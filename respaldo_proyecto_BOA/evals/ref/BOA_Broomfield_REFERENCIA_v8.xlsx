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MBIOS v8" sheetId="1" state="visible" r:id="rId1"/>
    <sheet xmlns:r="http://schemas.openxmlformats.org/officeDocument/2006/relationships" name="CAMBIOS v7" sheetId="2" state="visible" r:id="rId2"/>
    <sheet xmlns:r="http://schemas.openxmlformats.org/officeDocument/2006/relationships" name="CAMBIOS v6" sheetId="3" state="visible" r:id="rId3"/>
    <sheet xmlns:r="http://schemas.openxmlformats.org/officeDocument/2006/relationships" name="CAMBIOS v5" sheetId="4" state="visible" r:id="rId4"/>
    <sheet xmlns:r="http://schemas.openxmlformats.org/officeDocument/2006/relationships" name="D1-D6 v5 detail" sheetId="5" state="visible" r:id="rId5"/>
    <sheet xmlns:r="http://schemas.openxmlformats.org/officeDocument/2006/relationships" name="CAMBIOS v4" sheetId="6" state="visible" r:id="rId6"/>
    <sheet xmlns:r="http://schemas.openxmlformats.org/officeDocument/2006/relationships" name="Familias" sheetId="7" state="visible" r:id="rId7"/>
    <sheet xmlns:r="http://schemas.openxmlformats.org/officeDocument/2006/relationships" name="CAMBIOS vs original" sheetId="8" state="visible" r:id="rId8"/>
    <sheet xmlns:r="http://schemas.openxmlformats.org/officeDocument/2006/relationships" name="Inputs" sheetId="9" state="visible" r:id="rId9"/>
    <sheet xmlns:r="http://schemas.openxmlformats.org/officeDocument/2006/relationships" name="Partition Takeoff" sheetId="10" state="visible" r:id="rId10"/>
    <sheet xmlns:r="http://schemas.openxmlformats.org/officeDocument/2006/relationships" name="Board by Face" sheetId="11" state="visible" r:id="rId11"/>
    <sheet xmlns:r="http://schemas.openxmlformats.org/officeDocument/2006/relationships" name="Ceilings &amp; Soffits" sheetId="12" state="visible" r:id="rId12"/>
    <sheet xmlns:r="http://schemas.openxmlformats.org/officeDocument/2006/relationships" name="Other Scope" sheetId="13" state="visible" r:id="rId13"/>
    <sheet xmlns:r="http://schemas.openxmlformats.org/officeDocument/2006/relationships" name="Material Summary" sheetId="14" state="visible" r:id="rId14"/>
    <sheet xmlns:r="http://schemas.openxmlformats.org/officeDocument/2006/relationships" name="Clarifications" sheetId="15" state="visible" r:id="rId15"/>
    <sheet xmlns:r="http://schemas.openxmlformats.org/officeDocument/2006/relationships" name="Pending Items" sheetId="16" state="visible" r:id="rId16"/>
    <sheet xmlns:r="http://schemas.openxmlformats.org/officeDocument/2006/relationships" name="Sheet Index" sheetId="17" state="visible" r:id="rId17"/>
    <sheet xmlns:r="http://schemas.openxmlformats.org/officeDocument/2006/relationships" name="Detail log" sheetId="18" state="visible" r:id="rId18"/>
    <sheet xmlns:r="http://schemas.openxmlformats.org/officeDocument/2006/relationships" name="Handoff - Bid Set" sheetId="19" state="visible" r:id="rId19"/>
    <sheet xmlns:r="http://schemas.openxmlformats.org/officeDocument/2006/relationships" name="Handoff - Types" sheetId="20" state="visible" r:id="rId20"/>
    <sheet xmlns:r="http://schemas.openxmlformats.org/officeDocument/2006/relationships" name="Handoff - Locations" sheetId="21" state="visible" r:id="rId21"/>
    <sheet xmlns:r="http://schemas.openxmlformats.org/officeDocument/2006/relationships" name="Handoff - Open Items" sheetId="22" state="visible" r:id="rId22"/>
    <sheet xmlns:r="http://schemas.openxmlformats.org/officeDocument/2006/relationships" name="Handoff - Approved" sheetId="23" state="visible" r:id="rId2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i val="1"/>
      <color rgb="FF555555"/>
      <sz val="9"/>
    </font>
    <font>
      <name val="Arial"/>
      <charset val="1"/>
      <family val="0"/>
      <b val="1"/>
      <color rgb="FFFFFFFF"/>
      <sz val="10"/>
    </font>
    <font>
      <name val="Arial"/>
      <charset val="1"/>
      <family val="0"/>
      <b val="1"/>
      <sz val="10"/>
    </font>
    <font>
      <name val="Arial"/>
      <charset val="1"/>
      <family val="0"/>
      <color rgb="FF0000FF"/>
      <sz val="10"/>
    </font>
    <font>
      <name val="Arial"/>
      <charset val="1"/>
      <family val="0"/>
      <sz val="10"/>
    </font>
    <font>
      <name val="Arial"/>
      <charset val="1"/>
      <family val="0"/>
      <color rgb="FF008000"/>
      <sz val="10"/>
    </font>
    <font>
      <name val="Cambria"/>
      <charset val="1"/>
      <family val="0"/>
      <b val="1"/>
      <sz val="11"/>
    </font>
    <font>
      <b val="1"/>
    </font>
    <font>
      <b val="1"/>
      <color rgb="00C00000"/>
    </font>
  </fonts>
  <fills count="11">
    <fill>
      <patternFill/>
    </fill>
    <fill>
      <patternFill patternType="gray125"/>
    </fill>
    <fill>
      <patternFill patternType="solid">
        <fgColor rgb="FF1F3864"/>
        <bgColor rgb="FF333333"/>
      </patternFill>
    </fill>
    <fill>
      <patternFill patternType="solid">
        <fgColor rgb="FFFFFF00"/>
        <bgColor rgb="FFFFFF00"/>
      </patternFill>
    </fill>
    <fill>
      <patternFill patternType="solid">
        <fgColor rgb="FFEDEDED"/>
        <bgColor rgb="FFD9E1F2"/>
      </patternFill>
    </fill>
    <fill>
      <patternFill patternType="solid">
        <fgColor rgb="FFD9E1F2"/>
        <bgColor rgb="FFEDEDED"/>
      </patternFill>
    </fill>
    <fill>
      <patternFill patternType="solid">
        <fgColor rgb="FFFFF2CC"/>
        <bgColor rgb="FFEDEDED"/>
      </patternFill>
    </fill>
    <fill>
      <patternFill patternType="solid">
        <fgColor rgb="00FFC000"/>
      </patternFill>
    </fill>
    <fill>
      <patternFill patternType="solid">
        <fgColor rgb="0092D050"/>
      </patternFill>
    </fill>
    <fill>
      <patternFill patternType="solid">
        <fgColor rgb="009BC2E6"/>
      </patternFill>
    </fill>
    <fill>
      <patternFill patternType="solid">
        <fgColor rgb="00C6E0B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164" fontId="8" fillId="3" borderId="1" applyAlignment="1" pivotButton="0" quotePrefix="0" xfId="0">
      <alignment horizontal="general" vertical="bottom"/>
    </xf>
    <xf numFmtId="0" fontId="9" fillId="0" borderId="1" applyAlignment="1" pivotButton="0" quotePrefix="0" xfId="0">
      <alignment horizontal="general" vertical="top" wrapText="1"/>
    </xf>
    <xf numFmtId="4" fontId="8" fillId="3" borderId="1" applyAlignment="1" pivotButton="0" quotePrefix="0" xfId="0">
      <alignment horizontal="general" vertical="bottom"/>
    </xf>
    <xf numFmtId="4" fontId="9" fillId="0" borderId="1" applyAlignment="1" pivotButton="0" quotePrefix="0" xfId="0">
      <alignment horizontal="general" vertical="bottom"/>
    </xf>
    <xf numFmtId="0" fontId="8" fillId="3" borderId="1"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4" borderId="0" applyAlignment="1" pivotButton="0" quotePrefix="0" xfId="0">
      <alignment horizontal="general" vertical="bottom"/>
    </xf>
    <xf numFmtId="0" fontId="0" fillId="4" borderId="0" applyAlignment="1" pivotButton="0" quotePrefix="0" xfId="0">
      <alignment horizontal="general" vertical="bottom"/>
    </xf>
    <xf numFmtId="3" fontId="7" fillId="0" borderId="1" applyAlignment="1" pivotButton="0" quotePrefix="0" xfId="0">
      <alignment horizontal="general" vertical="bottom"/>
    </xf>
    <xf numFmtId="3" fontId="9" fillId="0" borderId="1" applyAlignment="1" pivotButton="0" quotePrefix="0" xfId="0">
      <alignment horizontal="general" vertical="bottom"/>
    </xf>
    <xf numFmtId="0" fontId="9" fillId="0" borderId="1" applyAlignment="1" pivotButton="0" quotePrefix="0" xfId="0">
      <alignment horizontal="general" vertical="bottom"/>
    </xf>
    <xf numFmtId="3" fontId="8" fillId="3" borderId="1" applyAlignment="1" pivotButton="0" quotePrefix="0" xfId="0">
      <alignment horizontal="general" vertical="bottom"/>
    </xf>
    <xf numFmtId="4" fontId="10" fillId="0" borderId="1" applyAlignment="1" pivotButton="0" quotePrefix="0" xfId="0">
      <alignment horizontal="general" vertical="bottom"/>
    </xf>
    <xf numFmtId="0" fontId="5" fillId="0" borderId="1" applyAlignment="1" pivotButton="0" quotePrefix="0" xfId="0">
      <alignment horizontal="general" vertical="top" wrapText="1"/>
    </xf>
    <xf numFmtId="0" fontId="7" fillId="5" borderId="1" applyAlignment="1" pivotButton="0" quotePrefix="0" xfId="0">
      <alignment horizontal="general" vertical="bottom"/>
    </xf>
    <xf numFmtId="4" fontId="7" fillId="5"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0" fontId="11" fillId="0" borderId="0" applyAlignment="1" pivotButton="0" quotePrefix="0" xfId="0">
      <alignment horizontal="general" vertical="bottom"/>
    </xf>
    <xf numFmtId="4" fontId="10" fillId="6" borderId="1" applyAlignment="1" pivotButton="0" quotePrefix="0" xfId="0">
      <alignment horizontal="general" vertical="bottom"/>
    </xf>
    <xf numFmtId="164" fontId="9" fillId="0" borderId="1" applyAlignment="1" pivotButton="0" quotePrefix="0" xfId="0">
      <alignment horizontal="general" vertical="bottom"/>
    </xf>
    <xf numFmtId="4" fontId="7" fillId="0" borderId="1" applyAlignment="1" pivotButton="0" quotePrefix="0" xfId="0">
      <alignment horizontal="general" vertical="bottom"/>
    </xf>
    <xf numFmtId="0" fontId="0" fillId="6" borderId="0" applyAlignment="1" pivotButton="0" quotePrefix="0" xfId="0">
      <alignment horizontal="general" vertical="bottom"/>
    </xf>
    <xf numFmtId="0" fontId="0" fillId="6" borderId="0" applyAlignment="1" pivotButton="0" quotePrefix="0" xfId="0">
      <alignment horizontal="general" vertical="bottom"/>
    </xf>
    <xf numFmtId="0" fontId="7" fillId="0" borderId="1" applyAlignment="1" pivotButton="0" quotePrefix="0" xfId="0">
      <alignment horizontal="general" vertical="top" wrapText="1"/>
    </xf>
    <xf numFmtId="0" fontId="0" fillId="0" borderId="0" pivotButton="0" quotePrefix="0" xfId="0"/>
    <xf numFmtId="0" fontId="12" fillId="0" borderId="0" pivotButton="0" quotePrefix="0" xfId="0"/>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0" fillId="7"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164" fontId="8" fillId="3" borderId="1" applyAlignment="1" pivotButton="0" quotePrefix="0" xfId="0">
      <alignment horizontal="general" vertical="bottom"/>
    </xf>
    <xf numFmtId="0" fontId="9" fillId="0" borderId="1" applyAlignment="1" pivotButton="0" quotePrefix="0" xfId="0">
      <alignment horizontal="general" vertical="top" wrapText="1"/>
    </xf>
    <xf numFmtId="4" fontId="8" fillId="3" borderId="1" applyAlignment="1" pivotButton="0" quotePrefix="0" xfId="0">
      <alignment horizontal="general" vertical="bottom"/>
    </xf>
    <xf numFmtId="4" fontId="9" fillId="0" borderId="1" applyAlignment="1" pivotButton="0" quotePrefix="0" xfId="0">
      <alignment horizontal="general" vertical="bottom"/>
    </xf>
    <xf numFmtId="0" fontId="8" fillId="3" borderId="1"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4" borderId="0" applyAlignment="1" pivotButton="0" quotePrefix="0" xfId="0">
      <alignment horizontal="general" vertical="bottom"/>
    </xf>
    <xf numFmtId="0" fontId="0" fillId="4" borderId="0" applyAlignment="1" pivotButton="0" quotePrefix="0" xfId="0">
      <alignment horizontal="general" vertical="bottom"/>
    </xf>
    <xf numFmtId="3" fontId="7" fillId="0" borderId="1" applyAlignment="1" pivotButton="0" quotePrefix="0" xfId="0">
      <alignment horizontal="general" vertical="bottom"/>
    </xf>
    <xf numFmtId="3" fontId="9" fillId="0" borderId="1" applyAlignment="1" pivotButton="0" quotePrefix="0" xfId="0">
      <alignment horizontal="general" vertical="bottom"/>
    </xf>
    <xf numFmtId="0" fontId="9" fillId="0" borderId="1" applyAlignment="1" pivotButton="0" quotePrefix="0" xfId="0">
      <alignment horizontal="general" vertical="bottom"/>
    </xf>
    <xf numFmtId="3" fontId="8" fillId="3" borderId="1" applyAlignment="1" pivotButton="0" quotePrefix="0" xfId="0">
      <alignment horizontal="general" vertical="bottom"/>
    </xf>
    <xf numFmtId="4" fontId="10" fillId="0" borderId="1" applyAlignment="1" pivotButton="0" quotePrefix="0" xfId="0">
      <alignment horizontal="general" vertical="bottom"/>
    </xf>
    <xf numFmtId="0" fontId="5" fillId="0" borderId="1" applyAlignment="1" pivotButton="0" quotePrefix="0" xfId="0">
      <alignment horizontal="general" vertical="top" wrapText="1"/>
    </xf>
    <xf numFmtId="0" fontId="7" fillId="5" borderId="1" applyAlignment="1" pivotButton="0" quotePrefix="0" xfId="0">
      <alignment horizontal="general" vertical="bottom"/>
    </xf>
    <xf numFmtId="4" fontId="7" fillId="5"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0" fontId="11" fillId="0" borderId="0" applyAlignment="1" pivotButton="0" quotePrefix="0" xfId="0">
      <alignment horizontal="general" vertical="bottom"/>
    </xf>
    <xf numFmtId="0" fontId="9" fillId="7" borderId="1" applyAlignment="1" pivotButton="0" quotePrefix="0" xfId="0">
      <alignment horizontal="general" vertical="top" wrapText="1"/>
    </xf>
    <xf numFmtId="0" fontId="9" fillId="7" borderId="1" applyAlignment="1" pivotButton="0" quotePrefix="0" xfId="0">
      <alignment horizontal="general" vertical="bottom"/>
    </xf>
    <xf numFmtId="4" fontId="10" fillId="7" borderId="1" applyAlignment="1" pivotButton="0" quotePrefix="0" xfId="0">
      <alignment horizontal="general" vertical="bottom"/>
    </xf>
    <xf numFmtId="164" fontId="9" fillId="7" borderId="1" applyAlignment="1" pivotButton="0" quotePrefix="0" xfId="0">
      <alignment horizontal="general" vertical="bottom"/>
    </xf>
    <xf numFmtId="4" fontId="9" fillId="7" borderId="1" applyAlignment="1" pivotButton="0" quotePrefix="0" xfId="0">
      <alignment horizontal="general" vertical="bottom"/>
    </xf>
    <xf numFmtId="4" fontId="7" fillId="7" borderId="1" applyAlignment="1" pivotButton="0" quotePrefix="0" xfId="0">
      <alignment horizontal="general" vertical="bottom"/>
    </xf>
    <xf numFmtId="3" fontId="7" fillId="7" borderId="1" applyAlignment="1" pivotButton="0" quotePrefix="0" xfId="0">
      <alignment horizontal="general" vertical="bottom"/>
    </xf>
    <xf numFmtId="0" fontId="5" fillId="7" borderId="1" applyAlignment="1" pivotButton="0" quotePrefix="0" xfId="0">
      <alignment horizontal="general" vertical="top" wrapText="1"/>
    </xf>
    <xf numFmtId="0" fontId="0" fillId="7" borderId="0" pivotButton="0" quotePrefix="0" xfId="0"/>
    <xf numFmtId="4" fontId="10" fillId="6" borderId="1" applyAlignment="1" pivotButton="0" quotePrefix="0" xfId="0">
      <alignment horizontal="general" vertical="bottom"/>
    </xf>
    <xf numFmtId="164" fontId="9" fillId="0" borderId="1" applyAlignment="1" pivotButton="0" quotePrefix="0" xfId="0">
      <alignment horizontal="general" vertical="bottom"/>
    </xf>
    <xf numFmtId="4" fontId="7" fillId="0" borderId="1" applyAlignment="1" pivotButton="0" quotePrefix="0" xfId="0">
      <alignment horizontal="general" vertical="bottom"/>
    </xf>
    <xf numFmtId="0" fontId="0" fillId="6" borderId="0" applyAlignment="1" pivotButton="0" quotePrefix="0" xfId="0">
      <alignment horizontal="general" vertical="bottom"/>
    </xf>
    <xf numFmtId="0" fontId="7" fillId="0" borderId="1" applyAlignment="1" pivotButton="0" quotePrefix="0" xfId="0">
      <alignment horizontal="general" vertical="top" wrapText="1"/>
    </xf>
    <xf numFmtId="0" fontId="13" fillId="0" borderId="0" pivotButton="0" quotePrefix="0" xfId="0"/>
    <xf numFmtId="0" fontId="0" fillId="8" borderId="0" applyAlignment="1" pivotButton="0" quotePrefix="0" xfId="0">
      <alignment horizontal="general" vertical="bottom"/>
    </xf>
    <xf numFmtId="0" fontId="0" fillId="8" borderId="0" pivotButton="0" quotePrefix="0" xfId="0"/>
    <xf numFmtId="0" fontId="9" fillId="8" borderId="1" applyAlignment="1" pivotButton="0" quotePrefix="0" xfId="0">
      <alignment horizontal="general" vertical="top" wrapText="1"/>
    </xf>
    <xf numFmtId="0" fontId="9" fillId="8" borderId="1" applyAlignment="1" pivotButton="0" quotePrefix="0" xfId="0">
      <alignment horizontal="general" vertical="bottom"/>
    </xf>
    <xf numFmtId="4" fontId="10" fillId="8" borderId="1" applyAlignment="1" pivotButton="0" quotePrefix="0" xfId="0">
      <alignment horizontal="general" vertical="bottom"/>
    </xf>
    <xf numFmtId="164" fontId="9" fillId="8" borderId="1" applyAlignment="1" pivotButton="0" quotePrefix="0" xfId="0">
      <alignment horizontal="general" vertical="bottom"/>
    </xf>
    <xf numFmtId="4" fontId="9" fillId="8" borderId="1" applyAlignment="1" pivotButton="0" quotePrefix="0" xfId="0">
      <alignment horizontal="general" vertical="bottom"/>
    </xf>
    <xf numFmtId="4" fontId="7" fillId="8" borderId="1" applyAlignment="1" pivotButton="0" quotePrefix="0" xfId="0">
      <alignment horizontal="general" vertical="bottom"/>
    </xf>
    <xf numFmtId="3" fontId="7" fillId="8" borderId="1" applyAlignment="1" pivotButton="0" quotePrefix="0" xfId="0">
      <alignment horizontal="general" vertical="bottom"/>
    </xf>
    <xf numFmtId="0" fontId="5" fillId="8" borderId="1" applyAlignment="1" pivotButton="0" quotePrefix="0" xfId="0">
      <alignment horizontal="general" vertical="top" wrapText="1"/>
    </xf>
    <xf numFmtId="0" fontId="0" fillId="9" borderId="0" applyAlignment="1" pivotButton="0" quotePrefix="0" xfId="0">
      <alignment horizontal="general" vertical="bottom"/>
    </xf>
    <xf numFmtId="0" fontId="9" fillId="9" borderId="1" applyAlignment="1" pivotButton="0" quotePrefix="0" xfId="0">
      <alignment horizontal="general" vertical="top" wrapText="1"/>
    </xf>
    <xf numFmtId="3" fontId="7" fillId="9" borderId="1" applyAlignment="1" pivotButton="0" quotePrefix="0" xfId="0">
      <alignment horizontal="general" vertical="bottom"/>
    </xf>
    <xf numFmtId="4" fontId="8" fillId="9" borderId="1" applyAlignment="1" pivotButton="0" quotePrefix="0" xfId="0">
      <alignment horizontal="general" vertical="bottom"/>
    </xf>
    <xf numFmtId="3" fontId="9" fillId="9" borderId="1" applyAlignment="1" pivotButton="0" quotePrefix="0" xfId="0">
      <alignment horizontal="general" vertical="bottom"/>
    </xf>
    <xf numFmtId="0" fontId="9" fillId="9" borderId="1" applyAlignment="1" pivotButton="0" quotePrefix="0" xfId="0">
      <alignment horizontal="general" vertical="bottom"/>
    </xf>
    <xf numFmtId="3" fontId="8" fillId="9" borderId="1" applyAlignment="1" pivotButton="0" quotePrefix="0" xfId="0">
      <alignment horizontal="general" vertical="bottom"/>
    </xf>
    <xf numFmtId="4" fontId="9" fillId="9" borderId="1" applyAlignment="1" pivotButton="0" quotePrefix="0" xfId="0">
      <alignment horizontal="general" vertical="bottom"/>
    </xf>
    <xf numFmtId="4" fontId="10" fillId="9" borderId="1" applyAlignment="1" pivotButton="0" quotePrefix="0" xfId="0">
      <alignment horizontal="general" vertical="bottom"/>
    </xf>
    <xf numFmtId="0" fontId="5" fillId="9" borderId="1" applyAlignment="1" pivotButton="0" quotePrefix="0" xfId="0">
      <alignment horizontal="general" vertical="top" wrapText="1"/>
    </xf>
    <xf numFmtId="0" fontId="7" fillId="9" borderId="1" applyAlignment="1" pivotButton="0" quotePrefix="0" xfId="0">
      <alignment horizontal="general" vertical="bottom"/>
    </xf>
    <xf numFmtId="0" fontId="0" fillId="9" borderId="0" pivotButton="0" quotePrefix="0" xfId="0"/>
    <xf numFmtId="164" fontId="9" fillId="9" borderId="1" applyAlignment="1" pivotButton="0" quotePrefix="0" xfId="0">
      <alignment horizontal="general" vertical="bottom"/>
    </xf>
    <xf numFmtId="4" fontId="7" fillId="9" borderId="1" applyAlignment="1" pivotButton="0" quotePrefix="0" xfId="0">
      <alignment horizontal="general" vertical="bottom"/>
    </xf>
    <xf numFmtId="0" fontId="0" fillId="10" borderId="0" applyAlignment="1" pivotButton="0" quotePrefix="0" xfId="0">
      <alignment horizontal="general" vertical="bottom"/>
    </xf>
    <xf numFmtId="0" fontId="9" fillId="10" borderId="1" applyAlignment="1" pivotButton="0" quotePrefix="0" xfId="0">
      <alignment horizontal="general" vertical="top" wrapText="1"/>
    </xf>
    <xf numFmtId="3" fontId="7" fillId="10" borderId="1" applyAlignment="1" pivotButton="0" quotePrefix="0" xfId="0">
      <alignment horizontal="general" vertical="bottom"/>
    </xf>
    <xf numFmtId="4" fontId="8" fillId="10" borderId="1" applyAlignment="1" pivotButton="0" quotePrefix="0" xfId="0">
      <alignment horizontal="general" vertical="bottom"/>
    </xf>
    <xf numFmtId="3" fontId="9" fillId="10" borderId="1" applyAlignment="1" pivotButton="0" quotePrefix="0" xfId="0">
      <alignment horizontal="general" vertical="bottom"/>
    </xf>
    <xf numFmtId="0" fontId="9" fillId="10" borderId="1" applyAlignment="1" pivotButton="0" quotePrefix="0" xfId="0">
      <alignment horizontal="general" vertical="bottom"/>
    </xf>
    <xf numFmtId="3" fontId="8" fillId="10" borderId="1" applyAlignment="1" pivotButton="0" quotePrefix="0" xfId="0">
      <alignment horizontal="general" vertical="bottom"/>
    </xf>
    <xf numFmtId="4" fontId="9" fillId="10" borderId="1" applyAlignment="1" pivotButton="0" quotePrefix="0" xfId="0">
      <alignment horizontal="general" vertical="bottom"/>
    </xf>
    <xf numFmtId="4" fontId="10" fillId="10" borderId="1" applyAlignment="1" pivotButton="0" quotePrefix="0" xfId="0">
      <alignment horizontal="general" vertical="bottom"/>
    </xf>
    <xf numFmtId="0" fontId="5" fillId="10" borderId="1" applyAlignment="1" pivotButton="0" quotePrefix="0" xfId="0">
      <alignment horizontal="general" vertical="top" wrapText="1"/>
    </xf>
    <xf numFmtId="0" fontId="7" fillId="10" borderId="1" applyAlignment="1" pivotButton="0" quotePrefix="0" xfId="0">
      <alignment horizontal="general" vertical="bottom"/>
    </xf>
    <xf numFmtId="0" fontId="0" fillId="10" borderId="0" pivotButton="0" quotePrefix="0" xfId="0"/>
    <xf numFmtId="164" fontId="9" fillId="10" borderId="1" applyAlignment="1" pivotButton="0" quotePrefix="0" xfId="0">
      <alignment horizontal="general" vertical="bottom"/>
    </xf>
    <xf numFmtId="4" fontId="7" fillId="1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60" customWidth="1" style="36" min="1" max="1"/>
    <col width="140" customWidth="1" style="36" min="6" max="6"/>
  </cols>
  <sheetData>
    <row r="1">
      <c r="A1" t="inlineStr">
        <is>
          <t>CAMBIOS v8 (2026-10-21, arbitration #26): user decisions W1-W2 + plan decisions (coiling grille head, A5 gross R77.10, stud blocking 4/S5.20). v4, v5, v6 and v7 are untouched.</t>
        </is>
      </c>
    </row>
    <row r="2">
      <c r="A2" s="37" t="inlineStr">
        <is>
          <t>Item</t>
        </is>
      </c>
      <c r="B2" s="37" t="inlineStr">
        <is>
          <t>v7</t>
        </is>
      </c>
      <c r="C2" s="37" t="inlineStr">
        <is>
          <t>v8</t>
        </is>
      </c>
      <c r="D2" s="37" t="inlineStr">
        <is>
          <t>Delta</t>
        </is>
      </c>
      <c r="E2" s="37" t="inlineStr">
        <is>
          <t>Decision</t>
        </is>
      </c>
      <c r="F2" s="37" t="inlineStr">
        <is>
          <t>Operation</t>
        </is>
      </c>
      <c r="G2" s="37" t="inlineStr">
        <is>
          <t>Sheet + detail</t>
        </is>
      </c>
    </row>
    <row r="3">
      <c r="A3" t="inlineStr">
        <is>
          <t>Partition Takeoff A5 #14 length</t>
        </is>
      </c>
      <c r="B3" t="n">
        <v>19</v>
      </c>
      <c r="C3" t="n">
        <v>19.4067</v>
      </c>
      <c r="D3" t="n">
        <v>0.41</v>
      </c>
      <c r="E3" t="inlineStr">
        <is>
          <t>R77.10 (user) + plan</t>
        </is>
      </c>
      <c r="F3" t="inlineStr">
        <is>
          <t>(1324.08 - 974.76) / 18 = 19.4067 (19'-0" printed 974.8 -&gt; 1316.8 + the SE T block to the W05 south face 1324.08, the A5 owns it in both test readings); materials on solid delta +0.4067</t>
        </is>
      </c>
      <c r="G3" t="inlineStr">
        <is>
          <t>A02.01; A1/A12.03; 3/A12.01</t>
        </is>
      </c>
    </row>
    <row r="4">
      <c r="A4" t="inlineStr">
        <is>
          <t>Partition Takeoff A5 #15 length</t>
        </is>
      </c>
      <c r="B4" t="n">
        <v>11</v>
      </c>
      <c r="C4" t="n">
        <v>14.1267</v>
      </c>
      <c r="D4" t="n">
        <v>3.13</v>
      </c>
      <c r="E4" t="inlineStr">
        <is>
          <t>R77.10 (user) + plan</t>
        </is>
      </c>
      <c r="F4" t="inlineStr">
        <is>
          <t>(1229.04 - 974.76) / 18 = 14.1267 = v7 net 11.00 + MW01 R.O. 3.125 (3'-1 1/2", A1/A12.03), the cabinet opening is in this wall (0.0017 = vector rounding, solid unchanged); materials on solid delta +0.0</t>
        </is>
      </c>
      <c r="G4" t="inlineStr">
        <is>
          <t>A02.01; A1/A12.03; 3/A12.01</t>
        </is>
      </c>
    </row>
    <row r="5">
      <c r="A5" t="inlineStr">
        <is>
          <t>Partition Takeoff A5 #16 length</t>
        </is>
      </c>
      <c r="B5" t="n">
        <v>5.41</v>
      </c>
      <c r="C5" t="n">
        <v>5.28</v>
      </c>
      <c r="D5" t="n">
        <v>-0.13</v>
      </c>
      <c r="E5" t="inlineStr">
        <is>
          <t>R77.10 (user) + plan</t>
        </is>
      </c>
      <c r="F5" t="inlineStr">
        <is>
          <t>(1324.08 - 1229.04) / 18 = 5.28 (W04 north face to W05 south face; both test readings); materials on solid delta -0.13</t>
        </is>
      </c>
      <c r="G5" t="inlineStr">
        <is>
          <t>A02.01; A1/A12.03; 3/A12.01</t>
        </is>
      </c>
    </row>
    <row r="6">
      <c r="A6" t="inlineStr">
        <is>
          <t>Partition Takeoff A5 #17 length</t>
        </is>
      </c>
      <c r="B6" t="n">
        <v>3.71</v>
      </c>
      <c r="C6" t="n">
        <v>6.9444</v>
      </c>
      <c r="D6" t="n">
        <v>3.23</v>
      </c>
      <c r="E6" t="inlineStr">
        <is>
          <t>R77.10 (user) + plan</t>
        </is>
      </c>
      <c r="F6" t="inlineStr">
        <is>
          <t>(1488.1 - 1363.1) / 18 = 6.9444 = v7 net 3.71 + door 116 (inside the wall, R77.10); type change to B2 at the drawn T node 1488.1; materials on solid delta +0.0</t>
        </is>
      </c>
      <c r="G6" t="inlineStr">
        <is>
          <t>A02.01; A1/A12.03; 3/A12.01</t>
        </is>
      </c>
    </row>
    <row r="7">
      <c r="A7" t="inlineStr">
        <is>
          <t>Partition Takeoff EXT-PARAPET #160 (north) length</t>
        </is>
      </c>
      <c r="B7" t="n">
        <v>14.95</v>
      </c>
      <c r="C7" t="n">
        <v>13.19</v>
      </c>
      <c r="D7" t="n">
        <v>-1.76</v>
      </c>
      <c r="E7" t="inlineStr">
        <is>
          <t>W2 (user)</t>
        </is>
      </c>
      <c r="F7" t="inlineStr">
        <is>
          <t>W2 (user 2026-10-21): the parapet follows the length of the exterior wall of its facade (north wall #60 = 13.19, U6): 14.95 -&gt; 13.19 (-1.76); studs ROUNDUP(13.19 x 20/14.95) = 18 (-2 pcs x 2.042 = -4.08 LF); parapet bottom / top track -1.76 each; ext gyp 30.53/14.95 x -1.76 = -3.59 SF; FRT+polyiso -3.59 SF; FRT blocking 2 plies (4/A09.26) x -1.76 = -3.52 LF; PAF -1.0</t>
        </is>
      </c>
      <c r="G7" t="inlineStr">
        <is>
          <t>A02.02; 4/A09.26; A/A09.21</t>
        </is>
      </c>
    </row>
    <row r="8">
      <c r="A8" t="inlineStr">
        <is>
          <t>6" metal stud 600S137-33 / -68 (LF of material)</t>
        </is>
      </c>
      <c r="B8" t="n">
        <v>4494.72</v>
      </c>
      <c r="C8" t="n">
        <v>4481.67</v>
      </c>
      <c r="D8" t="n">
        <v>-13.05</v>
      </c>
      <c r="E8" t="inlineStr">
        <is>
          <t>R77.10 A5</t>
        </is>
      </c>
      <c r="F8" t="inlineStr">
        <is>
          <t>R77.10 A5: A5 #14 +0 pcs x 15.375 + A5 #15 +0 pcs x 15.375 + A5 #16 -1 pcs x 13.052 + A5 #17 +0 pcs x 12.927 = -13.05</t>
        </is>
      </c>
      <c r="G8" t="inlineStr">
        <is>
          <t>A02.01 (exterior outline, 5 building corners) -&gt; A/A09.21, 2/A09.26 (6" CFMF to deck incl. above storefront) -&gt; 10/S5.10 + 6/S5.10 (studs stop at DEFLECTION TRACK under PERIMETER BEAM) -&gt; S2.20 (perimeter beam sizes, B.O.D. 15'-4 1/2" / 13'-0 5/8" / 12'-6 3/8", HSS9x5x5/8 lintels T.O.S. 9'-4 1/2") -&gt; S1.11 LIGHT GAUGE note 5 vs 7/S5.20 METAL STUD PROPERTIES; interior A5/B2/B2K: A02.01 -&gt; 1,3,4/A12.01 (v3 rows, not re-measured)</t>
        </is>
      </c>
    </row>
    <row r="9">
      <c r="A9" t="inlineStr">
        <is>
          <t>6" parapet infill stud 600S162-54 @ 16" O.C. (LF of material)</t>
        </is>
      </c>
      <c r="B9" t="n">
        <v>997.1900000000001</v>
      </c>
      <c r="C9" t="n">
        <v>993.11</v>
      </c>
      <c r="D9" t="n">
        <v>-4.08</v>
      </c>
      <c r="E9" t="inlineStr">
        <is>
          <t>W2</t>
        </is>
      </c>
      <c r="F9" t="inlineStr">
        <is>
          <t>W2: #160 -2 pcs x 2.042 = -4.08</t>
        </is>
      </c>
      <c r="G9" t="inlineStr">
        <is>
          <t>A02.02 roof plan (parapet outline + key note 10 stub) -&gt; 10/S5.10, 6/S5.10 (HSS 5x5x1/4 posts @5'-0" max, REF 11/S5.10) -&gt; 11/S5.10 PARAPET INFILL FRAMING ("ONE STUD EA. SIDE OF EA. POST", "600S162-54 @ 16" W/ 600T125-54 TOP &amp; BOT.") -&gt; heights C/A09.21 T/STUD LP 17'-5", A/A09.21 T/STUD HP 19'-8", S2.20 B.O.D.</t>
        </is>
      </c>
    </row>
    <row r="10">
      <c r="A10" t="inlineStr">
        <is>
          <t>Bottom track 6"</t>
        </is>
      </c>
      <c r="B10" t="n">
        <v>291.79</v>
      </c>
      <c r="C10" t="n">
        <v>292.07</v>
      </c>
      <c r="D10" t="n">
        <v>0.28</v>
      </c>
      <c r="E10" t="inlineStr">
        <is>
          <t>R77.10 A5</t>
        </is>
      </c>
      <c r="F10" t="inlineStr">
        <is>
          <t>R77.10 A5: A5 #14 +0.41 + A5 #15 +0.0 + A5 #16 -0.13 + A5 #17 +0.0 = +0.28</t>
        </is>
      </c>
      <c r="G10" t="inlineStr">
        <is>
          <t>A02.01 -&gt; 3/A12.01 (A5 6") -&gt; 1/A12.01 (B2 6") -&gt; 4/A12.01 (A5K/B2K) -&gt; exterior 7/S5.20</t>
        </is>
      </c>
    </row>
    <row r="11">
      <c r="A11" t="inlineStr">
        <is>
          <t>Top / deflection track 6"</t>
        </is>
      </c>
      <c r="B11" t="n">
        <v>291.79</v>
      </c>
      <c r="C11" t="n">
        <v>292.07</v>
      </c>
      <c r="D11" t="n">
        <v>0.28</v>
      </c>
      <c r="E11" t="inlineStr">
        <is>
          <t>R77.10 A5</t>
        </is>
      </c>
      <c r="F11" t="inlineStr">
        <is>
          <t>R77.10 A5: A5 #14 +0.41 + A5 #15 +0.0 + A5 #16 -0.13 + A5 #17 +0.0 = +0.28</t>
        </is>
      </c>
      <c r="G11" t="inlineStr">
        <is>
          <t>same as Bottom track 6"</t>
        </is>
      </c>
    </row>
    <row r="12">
      <c r="A12" t="inlineStr">
        <is>
          <t>Parapet bottom track 600T125-54 (PAF to steel beam)</t>
        </is>
      </c>
      <c r="B12" t="n">
        <v>269.37</v>
      </c>
      <c r="C12" t="n">
        <v>267.61</v>
      </c>
      <c r="D12" t="n">
        <v>-1.76</v>
      </c>
      <c r="E12" t="inlineStr">
        <is>
          <t>W2</t>
        </is>
      </c>
      <c r="F12" t="inlineStr">
        <is>
          <t>W2: #160 -1.76 = -1.76</t>
        </is>
      </c>
      <c r="G12" t="inlineStr">
        <is>
          <t>A02.02 roof plan parapet outline (vector) -&gt; 4/A09.26 (outer face 8" from stud CL) -&gt; 11/S5.10 "600T125-54 TOP &amp; BOT." -&gt; S2.20 52'-4" grid 3-8 (scale check)</t>
        </is>
      </c>
    </row>
    <row r="13">
      <c r="A13" t="inlineStr">
        <is>
          <t>Parapet top track 600T125-54</t>
        </is>
      </c>
      <c r="B13" t="n">
        <v>269.37</v>
      </c>
      <c r="C13" t="n">
        <v>267.61</v>
      </c>
      <c r="D13" t="n">
        <v>-1.76</v>
      </c>
      <c r="E13" t="inlineStr">
        <is>
          <t>W2</t>
        </is>
      </c>
      <c r="F13" t="inlineStr">
        <is>
          <t>W2: #160 -1.76 = -1.76</t>
        </is>
      </c>
      <c r="G13" t="inlineStr">
        <is>
          <t>A02.02 roof plan parapet outline (vector) -&gt; 4/A09.26 (outer face 8" from stud CL) -&gt; 11/S5.10 "600T125-54 TOP &amp; BOT." -&gt; S2.20 52'-4" grid 3-8 (scale check)</t>
        </is>
      </c>
    </row>
    <row r="14">
      <c r="A14" t="inlineStr">
        <is>
          <t>5/8" gypsum board, regular</t>
        </is>
      </c>
      <c r="B14" t="n">
        <v>17609.24</v>
      </c>
      <c r="C14" t="n">
        <v>17615.54</v>
      </c>
      <c r="D14" t="n">
        <v>6.3</v>
      </c>
      <c r="E14" t="inlineStr">
        <is>
          <t>R77.10 A5</t>
        </is>
      </c>
      <c r="F14" t="inlineStr">
        <is>
          <t>R77.10 A5: A5 #14 +7.52 + A5 #15 +0.0 + A5 #16 -1.22 + A5 #17 +0.0 = +6.3</t>
        </is>
      </c>
      <c r="G14" t="inlineStr">
        <is>
          <t>A02.01 -&gt; 3,1,5,6,12/A12.01 -&gt; 2/A09.26 (storefront head) -&gt; 1,2/A09.25 -&gt; 4/A02.02, 2-4/A08.21, 4-7/A12.10 -&gt; A04.01 (ceilings, MW01 open) -&gt; note F/A08.01 ; A04.01 -&gt; 7/A09.33 (G3)</t>
        </is>
      </c>
    </row>
    <row r="15">
      <c r="A15" t="inlineStr">
        <is>
          <t>Bracing 1-1/2" C.R. channel @ 48" O.C.</t>
        </is>
      </c>
      <c r="B15" t="n">
        <v>2637.07</v>
      </c>
      <c r="C15" t="n">
        <v>2637.9</v>
      </c>
      <c r="D15" t="n">
        <v>0.83</v>
      </c>
      <c r="E15" t="inlineStr">
        <is>
          <t>R77.10 A5</t>
        </is>
      </c>
      <c r="F15" t="inlineStr">
        <is>
          <t>R77.10 A5: A5 #14 +1.22 + A5 #15 +0.0 + A5 #16 -0.39 + A5 #17 +0.0 = +0.83</t>
        </is>
      </c>
      <c r="G15" t="inlineStr">
        <is>
          <t>F/1/S5.20 "1 1/2" C.R. CHANNEL @ 48" O.C." (typical, 53.4) -&gt; all stud walls ; 10/S5.10 ; A/A09.21</t>
        </is>
      </c>
    </row>
    <row r="16">
      <c r="A16" t="inlineStr">
        <is>
          <t>5/8" EXTERIOR gypsum sheathing (deck to top of parapet)</t>
        </is>
      </c>
      <c r="B16" t="n">
        <v>944.6</v>
      </c>
      <c r="C16" t="n">
        <v>941.01</v>
      </c>
      <c r="D16" t="n">
        <v>-3.59</v>
      </c>
      <c r="E16" t="inlineStr">
        <is>
          <t>W2</t>
        </is>
      </c>
      <c r="F16" t="inlineStr">
        <is>
          <t>W2: #160 -3.59 = -3.59</t>
        </is>
      </c>
      <c r="G16" t="inlineStr">
        <is>
          <t>A02.02 (inner parapet line, vector) -&gt; A,C/A09.21 + H/A09.23 "5/8" EXTERIOR GYPSUM SHEATHING" -&gt; 4/A09.26 "FULLY ADHERED ROOF MEMBRANE ON 5/8" DENS DECK OR EQUAL" -&gt; S2.20 B.O.D.</t>
        </is>
      </c>
    </row>
    <row r="17">
      <c r="A17" t="inlineStr">
        <is>
          <t>Exterior sheathing 5/8" FRT plywood bonded to 2-1/2" polyiso</t>
        </is>
      </c>
      <c r="B17" t="n">
        <v>3727.22</v>
      </c>
      <c r="C17" t="n">
        <v>3723.63</v>
      </c>
      <c r="D17" t="n">
        <v>-3.59</v>
      </c>
      <c r="E17" t="inlineStr">
        <is>
          <t>W2</t>
        </is>
      </c>
      <c r="F17" t="inlineStr">
        <is>
          <t>W2: #160 -3.59 = -3.59</t>
        </is>
      </c>
      <c r="G17" t="inlineStr">
        <is>
          <t>H/A09.23, A,B,C/A09.21, D,E,F/A09.22 "SHEATHING/INSULATION SYSTEM: 5/8" FRT PLYWOOD BONDED TO 2 1/2" POLYISO" -&gt; 5/A09.26, 9,12/A09.27 (starts at T/BASE 0'-6") -&gt; 7/A09.26, 3/A09.26 (interrupted in canopy band) -&gt; 2/A09.26, 11/A09.27 (continues above storefront head T/OPENING 8'-6") -&gt; 4/A09.26 (to T/STUD)</t>
        </is>
      </c>
    </row>
    <row r="18">
      <c r="A18" t="inlineStr">
        <is>
          <t>Blocking FRT / 2X FRT wood</t>
        </is>
      </c>
      <c r="B18" t="n">
        <v>1083.9</v>
      </c>
      <c r="C18" t="n">
        <v>1080.38</v>
      </c>
      <c r="D18" t="n">
        <v>-3.52</v>
      </c>
      <c r="E18" t="inlineStr">
        <is>
          <t>W2</t>
        </is>
      </c>
      <c r="F18" t="inlineStr">
        <is>
          <t>W2: #160 2 plies x -1.76 = -3.52</t>
        </is>
      </c>
      <c r="G18" t="inlineStr">
        <is>
          <t>4/A09.26 (parapet); 9,8,10/A12.01 + A11.01 7 (office front); 4/A02.02; 3/A08.21; 8/A12.10; 1,2/A09.33 (WAP); 10/A09.33=9/A12.08 (CSR soffit, once); A12.03-A12.06 note D + A00.30 millwork schedule; A08.01 note E + 1/A08.01 + A-D/A08.01 + A11.02 (TA-2/TA-19); A00.30 note D + hardware groups; A02.01 KN3 -&gt; 3/A09.30; A02.01 KN7 -&gt; 13/A12.02; A11.01 4, A11.03 7, A11.04 3/7/9/16 (artwork); A02.01 note C + KN5 -&gt; 5,6/A11.02, 2/A11.02 + A00.40 items 7, 69, CW-16</t>
        </is>
      </c>
    </row>
    <row r="19">
      <c r="A19" t="inlineStr">
        <is>
          <t>Power-driven fasteners and duct sleeves</t>
        </is>
      </c>
      <c r="B19" t="n">
        <v>275</v>
      </c>
      <c r="C19" t="n">
        <v>274</v>
      </c>
      <c r="D19" t="n">
        <v>-1</v>
      </c>
      <c r="E19" t="inlineStr">
        <is>
          <t>W2</t>
        </is>
      </c>
      <c r="F19" t="inlineStr">
        <is>
          <t>W2: #160 -1.0 = -1.0</t>
        </is>
      </c>
      <c r="G19" t="inlineStr">
        <is>
          <t>11/S5.10 PARAPET INFILL FRAMING: '600T125-54 TOP &amp; BOT.' + 'PAFs SPACED AT 12" O.C. MAX.' (bottom track to steel beam); duct sleeves per v3 Partition_Takeoff walls B #19 (1) and B2 #27 (3)</t>
        </is>
      </c>
    </row>
    <row r="20">
      <c r="A20" t="inlineStr">
        <is>
          <t>Extra framing - ATM recess (printed sistered studs + furring, 6/A08.11)</t>
        </is>
      </c>
      <c r="B20" t="n">
        <v>0</v>
      </c>
      <c r="C20" t="n">
        <v>49.87</v>
      </c>
      <c r="D20" t="n">
        <v>49.87</v>
      </c>
      <c r="E20" t="inlineStr">
        <is>
          <t>W1 (user 2026-10-21)</t>
        </is>
      </c>
      <c r="F20" t="inlineStr">
        <is>
          <t>W1 (user 2026-10-21): a detail that PRINTS sistered studs / furring in an ATM recess is counted as extra framing; 6/A08.11 prints "2 1/2" METAL STUD SISTERED TO 6" METAL STUD" + "FURRING ON 5/8" FRT PLYWOOD" at the drive-up = 49.87 LF (v4 operation, EXT-6CFMF #65 column AD); the walk-up (1, 4/A08.11) prints nothing = 0. The walls that contain the ATMs stay in their types.</t>
        </is>
      </c>
      <c r="G20" t="inlineStr">
        <is>
          <t>1/A08.11; 4/A08.11; 6/A08.11; 7/A08.11; A02.01 tag F; 12/A12.01</t>
        </is>
      </c>
    </row>
    <row r="21">
      <c r="A21" t="inlineStr">
        <is>
          <t>2-1/2" CFMF @ 16" O.C. at coiling grille head (4/A08.21)</t>
        </is>
      </c>
      <c r="B21" t="n">
        <v>7.85</v>
      </c>
      <c r="C21" t="n">
        <v>10.43</v>
      </c>
      <c r="D21" t="n">
        <v>2.58</v>
      </c>
      <c r="E21" t="inlineStr">
        <is>
          <t>Plan (arbitration #26)</t>
        </is>
      </c>
      <c r="F21" t="inlineStr">
        <is>
          <t>Plan (arbitration #26): 4/A08.21 prints the dimension chain 6" + 1'-6" = 2'-0" from the top of the upper 6" CFMF BOX BEAM HEADER to the finished underside; stud between the boxes = 2.0 - 2 x 0.5 (box) - 0.625/12 (board under the lower box) = 0.948 ft (measured 249 px / 263 px per ft = 0.947); 11 studs (ROUNDUP(13.333/1.333) + 1, 1/A08.21 13'-4") x 0.948 = 10.43. v4 scaled the stud against the 1'-6" segment only (0.714 ft).</t>
        </is>
      </c>
      <c r="G21" t="inlineStr">
        <is>
          <t>1/A08.21 (13'-4" CLEAR OPENING) -&gt; 4/A08.21 COILING GRILLE HEAD DETAIL "2 1/2" CFMF @ 16" O.C." between two "6" CFMF BOX BEAM HEADER"</t>
        </is>
      </c>
    </row>
    <row r="22">
      <c r="A22" t="inlineStr">
        <is>
          <t>Stud blocking 362CR22 at edge of gypboard (4/S5.20)</t>
        </is>
      </c>
      <c r="B22" t="n">
        <v>466</v>
      </c>
      <c r="C22" t="n">
        <v>591.55</v>
      </c>
      <c r="D22" t="n">
        <v>125.55</v>
      </c>
      <c r="E22" t="inlineStr">
        <is>
          <t>Plan + R59.14(b) (arbitration #26)</t>
        </is>
      </c>
      <c r="F22" t="inlineStr">
        <is>
          <t>Plan + R59.14(b) (arbitration #26): one row of 362CR22 per stud row at the horizontal joint of every face whose BOARD PIECE is taller than the 12 ft sheet; LF = length of the tall face (not the whole wall when only part of a face is tall); a door bulkhead board piece starts at the opening head (~7 ft piece, no joint). Over the 26A canon faces (the reading that has the MW01 recess and ELECTRICAL 120 "open to structure" faces): EXT 212.13 + G 161.45 + B 60.27 + C1 47.64 + B2 38.40 + G1 35.49 + A1 22.13 + A1K 8.60 + A5 3.94 + B2K 1.50 = 591.55. Alternative (a) exterior + double-layer only stays as RFI.</t>
        </is>
      </c>
      <c r="G22" t="inlineStr">
        <is>
          <t>S5.20 -&gt; 4/S5.20 TYPICAL BLOCKING DETAIL (NTS): 'STUD BLOCKING 362CR22 (TYP.)' + 'PROVIDE BLOCKING AT THE EDGE OF GYPBOARD.'</t>
        </is>
      </c>
    </row>
    <row r="23">
      <c r="A23" t="inlineStr">
        <is>
          <t>Type A5 (Partition Takeoff)</t>
        </is>
      </c>
      <c r="B23" t="n">
        <v>39.12</v>
      </c>
      <c r="C23" t="n">
        <v>45.76</v>
      </c>
      <c r="D23" t="n">
        <v>6.64</v>
      </c>
      <c r="E23" t="inlineStr">
        <is>
          <t>R77.10 (user) + plan</t>
        </is>
      </c>
      <c r="F23" t="inlineStr">
        <is>
          <t>19.4067 + 14.1267 + 5.28 + 6.9444 = 45.7578 (gross through MW01 and door 116; corners by vector)</t>
        </is>
      </c>
      <c r="G23" t="inlineStr">
        <is>
          <t>A02.01</t>
        </is>
      </c>
    </row>
    <row r="24">
      <c r="A24" t="inlineStr">
        <is>
          <t>Type B2K</t>
        </is>
      </c>
      <c r="B24" t="n">
        <v>1.773</v>
      </c>
      <c r="C24" t="n">
        <v>1.773</v>
      </c>
      <c r="D24" t="n">
        <v>0</v>
      </c>
      <c r="E24" t="inlineStr">
        <is>
          <t>U5 / R77.10 (user)</t>
        </is>
      </c>
      <c r="F24" t="inlineStr">
        <is>
          <t>unchanged: measured to the jamb / corner (1622.04 -&gt; 1653.96 pt); 26A took the hatch extent (1626.96) = 1.50</t>
        </is>
      </c>
      <c r="G24" t="inlineStr">
        <is>
          <t>A02.01</t>
        </is>
      </c>
    </row>
    <row r="26">
      <c r="A26" t="inlineStr">
        <is>
          <t>Kept (plan confirms v7): Level 5 874.83 (A05.01 key note 9 "TO PREP FOR WALLCOVERING WC-20 PROVIDE LEVEL 5 FINISH" sits in 24 HR VESTIBULE 101 on the diagonal F wall face: 161.98 SF carried; 26B missed the key note) ; FRT blocking (4/A09.26 draws TWO hatched plies of 3/4" F.R.T. plywood at the parapet top: 2 x LF; both tests carried 1 ply) ; purlin, metal trim, jamb return: inside their ranges (see ARBITRAJE_26.md).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60" customWidth="1" style="36" min="1" max="1"/>
    <col width="120" customWidth="1" style="36" min="6" max="6"/>
  </cols>
  <sheetData>
    <row r="1">
      <c r="A1" s="38" t="inlineStr">
        <is>
          <t>CAMBIOS v7 (2026-10-21, arbitration #25c): user decisions U1-U8 (Bluebeam 2026-10-20). v4, v5 and v6 are untouched.</t>
        </is>
      </c>
    </row>
    <row r="2">
      <c r="A2" s="37" t="inlineStr">
        <is>
          <t>Item</t>
        </is>
      </c>
      <c r="B2" s="37" t="inlineStr">
        <is>
          <t>v6</t>
        </is>
      </c>
      <c r="C2" s="37" t="inlineStr">
        <is>
          <t>v7</t>
        </is>
      </c>
      <c r="D2" s="37" t="inlineStr">
        <is>
          <t>Delta</t>
        </is>
      </c>
      <c r="E2" s="37" t="inlineStr">
        <is>
          <t>Decision</t>
        </is>
      </c>
      <c r="F2" s="37" t="inlineStr">
        <is>
          <t>Operation</t>
        </is>
      </c>
      <c r="G2" s="37" t="inlineStr">
        <is>
          <t>Sheet + detail</t>
        </is>
      </c>
    </row>
    <row r="3">
      <c r="A3" s="38" t="inlineStr">
        <is>
          <t>Partition Takeoff G #48 (ATM Room 102 / Office 5 CB 109) length</t>
        </is>
      </c>
      <c r="B3" s="38" t="n">
        <v>11.625</v>
      </c>
      <c r="C3" s="38" t="n">
        <v>12.333</v>
      </c>
      <c r="D3" s="38" t="n">
        <v>0.71</v>
      </c>
      <c r="E3" s="38" t="inlineStr">
        <is>
          <t>U3 (user)</t>
        </is>
      </c>
      <c r="F3" s="38" t="inlineStr">
        <is>
          <t>user value 12'-4"; studs +2 pcs, board +43.54 SF, track +1.42 each</t>
        </is>
      </c>
      <c r="G3" s="38" t="inlineStr">
        <is>
          <t>A02.01</t>
        </is>
      </c>
    </row>
    <row r="4">
      <c r="A4" s="38" t="inlineStr">
        <is>
          <t>Partition Takeoff G #52 (Office 6 CB 110 / Women's Restroom 114) length</t>
        </is>
      </c>
      <c r="B4" s="38" t="n">
        <v>11.625</v>
      </c>
      <c r="C4" s="38" t="n">
        <v>12.333</v>
      </c>
      <c r="D4" s="38" t="n">
        <v>0.71</v>
      </c>
      <c r="E4" s="38" t="inlineStr">
        <is>
          <t>U3 (user)</t>
        </is>
      </c>
      <c r="F4" s="38" t="inlineStr">
        <is>
          <t>user value 12'-4"; studs +2 pcs, board +43.54 SF, track +1.42 each</t>
        </is>
      </c>
      <c r="G4" s="38" t="inlineStr">
        <is>
          <t>A02.01</t>
        </is>
      </c>
    </row>
    <row r="5">
      <c r="A5" s="38" t="inlineStr">
        <is>
          <t>Partition Takeoff G1 #51 (office front return between Office 5 CB 109 and Office 6 CB 110) length</t>
        </is>
      </c>
      <c r="B5" s="38" t="n">
        <v>2.67</v>
      </c>
      <c r="C5" s="38" t="n">
        <v>3.507</v>
      </c>
      <c r="D5" s="38" t="n">
        <v>0.84</v>
      </c>
      <c r="E5" s="38" t="inlineStr">
        <is>
          <t>U4 (user)</t>
        </is>
      </c>
      <c r="F5" s="38" t="inlineStr">
        <is>
          <t>user value 3'-6"; studs +0 pcs, board +51.48 SF, track +1.67 each</t>
        </is>
      </c>
      <c r="G5" s="38" t="inlineStr">
        <is>
          <t>A02.01</t>
        </is>
      </c>
    </row>
    <row r="6">
      <c r="A6" s="38" t="inlineStr">
        <is>
          <t>Partition Takeoff G1 #53 (south return of the Office 6 CB 110 office front (untagged)) length</t>
        </is>
      </c>
      <c r="B6" s="38" t="n">
        <v>2.67</v>
      </c>
      <c r="C6" s="38" t="n">
        <v>3.18</v>
      </c>
      <c r="D6" s="38" t="n">
        <v>0.51</v>
      </c>
      <c r="E6" s="38" t="inlineStr">
        <is>
          <t>U4 (user)</t>
        </is>
      </c>
      <c r="F6" s="38" t="inlineStr">
        <is>
          <t>user value 3'-2"; studs +0 pcs, board +31.37 SF, track +1.02 each</t>
        </is>
      </c>
      <c r="G6" s="38" t="inlineStr">
        <is>
          <t>A02.01</t>
        </is>
      </c>
    </row>
    <row r="7">
      <c r="A7" s="38" t="inlineStr">
        <is>
          <t>Partition Takeoff B2K #31 (short wall at Office 4 CB 108 (teller side)) length</t>
        </is>
      </c>
      <c r="B7" s="38" t="n">
        <v>1.26</v>
      </c>
      <c r="C7" s="38" t="n">
        <v>1.773</v>
      </c>
      <c r="D7" s="38" t="n">
        <v>0.51</v>
      </c>
      <c r="E7" s="38" t="inlineStr">
        <is>
          <t>U5 (user)</t>
        </is>
      </c>
      <c r="F7" s="38" t="inlineStr">
        <is>
          <t>user value 1'-9 1/4"; studs +0 pcs, board +15.77 SF, track +0.51 each; ballistic +4.1; 3/8" gyp +3.78</t>
        </is>
      </c>
      <c r="G7" s="38" t="inlineStr">
        <is>
          <t>A02.01</t>
        </is>
      </c>
    </row>
    <row r="8">
      <c r="A8" s="38" t="inlineStr">
        <is>
          <t>Partition Takeoff EXT-6CFMF #60 (NORTH facade (grid F, Office 1 ME 105)) length</t>
        </is>
      </c>
      <c r="B8" s="38" t="n">
        <v>14.95</v>
      </c>
      <c r="C8" s="38" t="n">
        <v>13.19</v>
      </c>
      <c r="D8" s="38" t="n">
        <v>-1.76</v>
      </c>
      <c r="E8" s="38" t="inlineStr">
        <is>
          <t>U6 (user)</t>
        </is>
      </c>
      <c r="F8" s="38" t="inlineStr">
        <is>
          <t>user value 13.19 LF; studs -2 pcs, board -27.06 SF, track -1.76 each; FRT+polyiso -27.06</t>
        </is>
      </c>
      <c r="G8" s="38" t="inlineStr">
        <is>
          <t>A02.01</t>
        </is>
      </c>
    </row>
    <row r="9">
      <c r="A9" s="38" t="inlineStr">
        <is>
          <t>Extra framing - ATM recess (0: the recess framing is in the wall that contains it)</t>
        </is>
      </c>
      <c r="B9" s="38" t="n">
        <v>109.87</v>
      </c>
      <c r="C9" s="38" t="n">
        <v>0</v>
      </c>
      <c r="D9" s="38" t="n">
        <v>-109.87</v>
      </c>
      <c r="E9" s="38" t="inlineStr">
        <is>
          <t>U1</t>
        </is>
      </c>
      <c r="F9" s="38" t="inlineStr">
        <is>
          <t>U1: extra framing ATM = 0. The tag F diagonal wall already carries all its metal in partition type F (12/A12.01); no row, no sistered, no furring. v4 109.87 = 49.87 drive-up sistered + furring (EXT-6CFMF #65, 6/A08.11; RFI-ATM-DU +49.87 because 6/A08.11 prints them) + 60.00 G / G1 framing (moved to 1-5/8" stud, its type)</t>
        </is>
      </c>
      <c r="G9" s="38" t="inlineStr">
        <is>
          <t>1/A08.11; 4/A08.11; 6/A08.11; 7/A08.11; A02.01 tag F; 12/A12.01</t>
        </is>
      </c>
    </row>
    <row r="10">
      <c r="A10" s="38" t="inlineStr">
        <is>
          <t>1-5/8" metal stud (LF of material)</t>
        </is>
      </c>
      <c r="B10" s="38" t="n">
        <v>3860.1</v>
      </c>
      <c r="C10" s="38" t="n">
        <v>3981.6</v>
      </c>
      <c r="D10" s="38" t="n">
        <v>121.5</v>
      </c>
      <c r="E10" s="38" t="inlineStr">
        <is>
          <t>U1 + U3 + U4</t>
        </is>
      </c>
      <c r="F10" s="38" t="inlineStr">
        <is>
          <t>U1 + U3 + U4: G #48 +2 pcs x 15.375 + G #52 +2 pcs x 15.375 + G1 #51 +0 pcs x 15.375 + G1 #53 +0 pcs x 15.375 + U1: AD of G / G1 rows 60.0 = +121.5</t>
        </is>
      </c>
      <c r="G10" s="38" t="inlineStr">
        <is>
          <t>A02.01 -&gt; 5/A12.01 (G, G1 1 5/8", double row, wall 6 1/8" / 8") -&gt; 8,9/A12.01 office bulkhead (double row METAL STUD above CONT. BOX BEAM to underside of structure) -&gt; A00.30 (DFC-1A 7'-10") -&gt; S2.20</t>
        </is>
      </c>
    </row>
    <row r="11">
      <c r="A11" s="38" t="inlineStr">
        <is>
          <t>6" metal stud 600S137-33 / -68 (LF of material)</t>
        </is>
      </c>
      <c r="B11" s="38" t="n">
        <v>4525.47</v>
      </c>
      <c r="C11" s="38" t="n">
        <v>4494.72</v>
      </c>
      <c r="D11" s="38" t="n">
        <v>-30.75</v>
      </c>
      <c r="E11" s="38" t="inlineStr">
        <is>
          <t>U5 + U6</t>
        </is>
      </c>
      <c r="F11" s="38" t="inlineStr">
        <is>
          <t>U5 + U6: B2K #31 +0 pcs x 15.375 + EXT-6CFMF #60 -2 pcs x 15.375 = -30.75</t>
        </is>
      </c>
      <c r="G11" s="38" t="inlineStr">
        <is>
          <t>A02.01 (exterior outline, 5 building corners) -&gt; A/A09.21, 2/A09.26 (6" CFMF to deck incl. above storefront) -&gt; 10/S5.10 + 6/S5.10 (studs stop at DEFLECTION TRACK under PERIMETER BEAM) -&gt; S2.20 (perimeter beam sizes, B.O.D. 15'-4 1/2" / 13'-0 5/8" / 12'-6 3/8", HSS9x5x5/8 lintels T.O.S. 9'-4 1/2") -&gt; S1.11 LIGHT GAUGE note 5 vs 7/S5.20 METAL STUD PROPERTIES; interior A5/B2/B2K: A02.01 -&gt; 1,3,4/A12.01 (v3 rows, not re-measured)</t>
        </is>
      </c>
    </row>
    <row r="12">
      <c r="A12" s="38" t="inlineStr">
        <is>
          <t>3-5/8" metal stud 362S137-33 / -68 (LF of material)</t>
        </is>
      </c>
      <c r="B12" s="38" t="n">
        <v>6123.12</v>
      </c>
      <c r="C12" s="38" t="n">
        <v>6585.23</v>
      </c>
      <c r="D12" s="38" t="n">
        <v>462.11</v>
      </c>
      <c r="E12" s="38" t="inlineStr">
        <is>
          <t>U7 (user)</t>
        </is>
      </c>
      <c r="F12" s="38" t="inlineStr">
        <is>
          <t>U7 (user): 3-5/8" stud family = 6,690 LF (studs @ O.C. + 1 + extras at L corners and T intersections, as the blind tests count them): row = 6690.00 - CSR soffit row 104.77 = 6585.23</t>
        </is>
      </c>
      <c r="G12" s="38" t="inlineStr">
        <is>
          <t>A02.01 -&gt; 3/A12.01 (A1) -&gt; 4/A12.01 (A1K 14 GA @ 24") -&gt; 1/A12.01 (B) -&gt; 6/A12.01 (C1) -&gt; 12/A12.01 (F) -&gt; S2.20 (B.O.D.) -&gt; 9/S5.20 + 7/S5.20; 4/A02.02 roof step; 4-7/A12.10 + 3/A12.10 vestibule heads; 1,3/A08.21 coiling grille C1 boxes; 5/A09.25 canopy column wraps; 4,5/A09.33 + 7/A09.26 + 15,16/A09.27 canopy soffit (v3 Ceilings &amp; Soffits) ; F/A09.22 -&gt; 7/A09.26 ; 7/A09.33</t>
        </is>
      </c>
    </row>
    <row r="13">
      <c r="A13" s="38" t="inlineStr">
        <is>
          <t>Bottom track 6"</t>
        </is>
      </c>
      <c r="B13" s="38" t="n">
        <v>293.04</v>
      </c>
      <c r="C13" s="38" t="n">
        <v>291.79</v>
      </c>
      <c r="D13" s="38" t="n">
        <v>-1.25</v>
      </c>
      <c r="E13" s="38" t="inlineStr">
        <is>
          <t>U3-U6</t>
        </is>
      </c>
      <c r="F13" s="38" t="inlineStr">
        <is>
          <t>U3-U6: B2K #31 +0.51 + EXT-6CFMF #60 -1.76 = -1.25</t>
        </is>
      </c>
      <c r="G13" s="38" t="inlineStr">
        <is>
          <t>A02.01 -&gt; 3/A12.01 (A5 6") -&gt; 1/A12.01 (B2 6") -&gt; 4/A12.01 (A5K/B2K) -&gt; exterior 7/S5.20</t>
        </is>
      </c>
    </row>
    <row r="14">
      <c r="A14" s="38" t="inlineStr">
        <is>
          <t>Top / deflection track 6"</t>
        </is>
      </c>
      <c r="B14" s="38" t="n">
        <v>293.04</v>
      </c>
      <c r="C14" s="38" t="n">
        <v>291.79</v>
      </c>
      <c r="D14" s="38" t="n">
        <v>-1.25</v>
      </c>
      <c r="E14" s="38" t="inlineStr">
        <is>
          <t>U3-U6</t>
        </is>
      </c>
      <c r="F14" s="38" t="inlineStr">
        <is>
          <t>U3-U6: B2K #31 +0.51 + EXT-6CFMF #60 -1.76 = -1.25</t>
        </is>
      </c>
      <c r="G14" s="38" t="inlineStr">
        <is>
          <t>same as Bottom track 6"</t>
        </is>
      </c>
    </row>
    <row r="15">
      <c r="A15" s="38" t="inlineStr">
        <is>
          <t>Bottom track 1-5/8"</t>
        </is>
      </c>
      <c r="B15" s="38" t="n">
        <v>285.97</v>
      </c>
      <c r="C15" s="38" t="n">
        <v>291.5</v>
      </c>
      <c r="D15" s="38" t="n">
        <v>5.53</v>
      </c>
      <c r="E15" s="38" t="inlineStr">
        <is>
          <t>U3-U6</t>
        </is>
      </c>
      <c r="F15" s="38" t="inlineStr">
        <is>
          <t>U3-U6: G #48 +1.42 + G #52 +1.42 + G1 #51 +1.67 + G1 #53 +1.02 = +5.53</t>
        </is>
      </c>
      <c r="G15" s="38" t="inlineStr">
        <is>
          <t>5/A12.01 -&gt; 8,9/A12.01</t>
        </is>
      </c>
    </row>
    <row r="16">
      <c r="A16" s="38" t="inlineStr">
        <is>
          <t>Top / deflection track 1-5/8"</t>
        </is>
      </c>
      <c r="B16" s="38" t="n">
        <v>285.97</v>
      </c>
      <c r="C16" s="38" t="n">
        <v>291.5</v>
      </c>
      <c r="D16" s="38" t="n">
        <v>5.53</v>
      </c>
      <c r="E16" s="38" t="inlineStr">
        <is>
          <t>U3-U6</t>
        </is>
      </c>
      <c r="F16" s="38" t="inlineStr">
        <is>
          <t>U3-U6: G #48 +1.42 + G #52 +1.42 + G1 #51 +1.67 + G1 #53 +1.02 = +5.53</t>
        </is>
      </c>
      <c r="G16" s="38" t="inlineStr">
        <is>
          <t>5/A12.01 -&gt; 8,9/A12.01 (CONT. SLIP TRACK)</t>
        </is>
      </c>
    </row>
    <row r="17">
      <c r="A17" s="38" t="inlineStr">
        <is>
          <t>5/8" gypsum board, regular</t>
        </is>
      </c>
      <c r="B17" s="38" t="n">
        <v>17450.6</v>
      </c>
      <c r="C17" s="38" t="n">
        <v>17609.24</v>
      </c>
      <c r="D17" s="38" t="n">
        <v>158.64</v>
      </c>
      <c r="E17" s="38" t="inlineStr">
        <is>
          <t>U3-U6</t>
        </is>
      </c>
      <c r="F17" s="38" t="inlineStr">
        <is>
          <t>U3-U6: G #48 +43.54 + G #52 +43.54 + G1 #51 +51.48 + G1 #53 +31.37 + B2K #31 +15.77 + EXT-6CFMF #60 -27.06 = +158.64</t>
        </is>
      </c>
      <c r="G17" s="38" t="inlineStr">
        <is>
          <t>A02.01 -&gt; 3,1,5,6,12/A12.01 -&gt; 2/A09.26 (storefront head) -&gt; 1,2/A09.25 -&gt; 4/A02.02, 2-4/A08.21, 4-7/A12.10 -&gt; A04.01 (ceilings, MW01 open) -&gt; note F/A08.01 ; A04.01 -&gt; 7/A09.33 (G3)</t>
        </is>
      </c>
    </row>
    <row r="18">
      <c r="A18" s="38" t="inlineStr">
        <is>
          <t>Bracing 1-1/2" C.R. channel @ 48" O.C.</t>
        </is>
      </c>
      <c r="B18" s="38" t="n">
        <v>2624.23</v>
      </c>
      <c r="C18" s="38" t="n">
        <v>2637.07</v>
      </c>
      <c r="D18" s="38" t="n">
        <v>12.84</v>
      </c>
      <c r="E18" s="38" t="inlineStr">
        <is>
          <t>U3-U6</t>
        </is>
      </c>
      <c r="F18" s="38" t="inlineStr">
        <is>
          <t>U3-U6: G #48 +4.25 + G #52 +4.25 + G1 #51 +5.02 + G1 #53 +3.06 + B2K #31 +1.54 + EXT-6CFMF #60 -5.28 = +12.84</t>
        </is>
      </c>
      <c r="G18" s="38" t="inlineStr">
        <is>
          <t>F/1/S5.20 "1 1/2" C.R. CHANNEL @ 48" O.C." (typical, 53.4) -&gt; all stud walls ; 10/S5.10 ; A/A09.21</t>
        </is>
      </c>
    </row>
    <row r="19">
      <c r="A19" s="38" t="inlineStr">
        <is>
          <t>Ballistic panel 3/8" UL752</t>
        </is>
      </c>
      <c r="B19" s="38" t="n">
        <v>74</v>
      </c>
      <c r="C19" s="38" t="n">
        <v>78.09999999999999</v>
      </c>
      <c r="D19" s="38" t="n">
        <v>4.1</v>
      </c>
      <c r="E19" s="38" t="inlineStr">
        <is>
          <t>U5</t>
        </is>
      </c>
      <c r="F19" s="38" t="inlineStr">
        <is>
          <t>U5: B2K #31 10.08/1.26 x 0.51 = +4.1</t>
        </is>
      </c>
      <c r="G19" s="38" t="inlineStr">
        <is>
          <t>A02.01 (A1K/B2K tags, 3'-5") -&gt; 4/A12.01</t>
        </is>
      </c>
    </row>
    <row r="20">
      <c r="A20" s="38" t="inlineStr">
        <is>
          <t>3/8" gypsum board</t>
        </is>
      </c>
      <c r="B20" s="38" t="n">
        <v>57.04</v>
      </c>
      <c r="C20" s="38" t="n">
        <v>60.82</v>
      </c>
      <c r="D20" s="38" t="n">
        <v>3.78</v>
      </c>
      <c r="E20" s="38" t="inlineStr">
        <is>
          <t>U5</t>
        </is>
      </c>
      <c r="F20" s="38" t="inlineStr">
        <is>
          <t>U5: B2K #31 9.29/1.26 x 0.51 = +3.78</t>
        </is>
      </c>
      <c r="G20" s="38" t="inlineStr">
        <is>
          <t>4/A12.01 'PROVIDE 3/8" GYP. BD. FROM 8'-0" TO UNDERSIDE OF STRUCTURE ABOVE'</t>
        </is>
      </c>
    </row>
    <row r="21">
      <c r="A21" s="38" t="inlineStr">
        <is>
          <t>Exterior sheathing 5/8" FRT plywood bonded to 2-1/2" polyiso</t>
        </is>
      </c>
      <c r="B21" s="38" t="n">
        <v>3754.28</v>
      </c>
      <c r="C21" s="38" t="n">
        <v>3727.22</v>
      </c>
      <c r="D21" s="38" t="n">
        <v>-27.06</v>
      </c>
      <c r="E21" s="38" t="inlineStr">
        <is>
          <t>U6</t>
        </is>
      </c>
      <c r="F21" s="38" t="inlineStr">
        <is>
          <t>U6: #60 229.86/14.95 x -1.76 = -27.06</t>
        </is>
      </c>
      <c r="G21" s="38" t="inlineStr">
        <is>
          <t>H/A09.23, A,B,C/A09.21, D,E,F/A09.22 "SHEATHING/INSULATION SYSTEM: 5/8" FRT PLYWOOD BONDED TO 2 1/2" POLYISO" -&gt; 5/A09.26, 9,12/A09.27 (starts at T/BASE 0'-6") -&gt; 7/A09.26, 3/A09.26 (interrupted in canopy band) -&gt; 2/A09.26, 11/A09.27 (continues above storefront head T/OPENING 8'-6") -&gt; 4/A09.26 (to T/STUD)</t>
        </is>
      </c>
    </row>
    <row r="22">
      <c r="A22" s="38" t="inlineStr">
        <is>
          <t>Acoustical sealant</t>
        </is>
      </c>
      <c r="B22" s="38" t="n">
        <v>957.52</v>
      </c>
      <c r="C22" s="38" t="inlineStr">
        <is>
          <t>EXCLUDED (no row)</t>
        </is>
      </c>
      <c r="D22" s="38" t="inlineStr"/>
      <c r="E22" s="38" t="inlineStr">
        <is>
          <t>U8</t>
        </is>
      </c>
      <c r="F22" s="38" t="inlineStr">
        <is>
          <t>U8 (user): acoustical sealant EXCLUDED in all projects: no row, no calculation; listed in Clarifications as an exclusion. "Sealant at base of gypsum (exterior)" stays.</t>
        </is>
      </c>
      <c r="G22" s="38" t="inlineStr"/>
    </row>
    <row r="23">
      <c r="A23" s="38" t="inlineStr">
        <is>
          <t>Type A1 (Partition Takeoff, accepted range)</t>
        </is>
      </c>
      <c r="B23" s="38" t="inlineStr">
        <is>
          <t>82.23-84.04</t>
        </is>
      </c>
      <c r="C23" s="38" t="inlineStr">
        <is>
          <t>82.23-84.04</t>
        </is>
      </c>
      <c r="D23" s="38" t="inlineStr"/>
      <c r="E23" s="38" t="inlineStr">
        <is>
          <t>U2 (user)</t>
        </is>
      </c>
      <c r="F23" s="38" t="inlineStr">
        <is>
          <t>the wall length runs through its doors to the corner / intersection (R77.10); range unchanged</t>
        </is>
      </c>
      <c r="G23" s="38" t="inlineStr">
        <is>
          <t>A02.01</t>
        </is>
      </c>
    </row>
    <row r="25">
      <c r="A25" s="38" t="inlineStr">
        <is>
          <t>RFI-ATM-DU</t>
        </is>
      </c>
      <c r="B25" s="38" t="inlineStr">
        <is>
          <t>6/A08.11 prints "2 1/2" METAL STUD SISTERED TO 6" METAL STUD" and "FURRING ON 5/8" FRT PLYWOOD" at the drive-up recess; user decision U1 = 0 extra framing. Delta if carried: +49.87 LF (v4 EXT-6CFMF #65 column AD).</t>
        </is>
      </c>
    </row>
    <row r="26">
      <c r="A26" s="38" t="inlineStr">
        <is>
          <t>EXT-PARAPET north</t>
        </is>
      </c>
      <c r="B26" s="38" t="inlineStr">
        <is>
          <t>U6 changes the 6" CFMF wall of the north facade only; the north parapet row (#160, 14.95) and the parapet range (roof plan A02.02) are not changed: PARA REVISAR if the parapet follows the wall (delta -1.76 LF parapet track each, -1.76 x 2.042 SF)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60" customWidth="1" style="36" min="1" max="1"/>
    <col width="120" customWidth="1" style="36" min="6" max="6"/>
  </cols>
  <sheetData>
    <row r="1">
      <c r="A1" s="38" t="inlineStr">
        <is>
          <t>CAMBIOS v6 (2026-10-21, arbitration #25b): D1 applied to the right wall + A1 accepted range. v4 and v5 are untouched.</t>
        </is>
      </c>
    </row>
    <row r="2">
      <c r="A2" s="37" t="inlineStr">
        <is>
          <t>Item</t>
        </is>
      </c>
      <c r="B2" s="37" t="inlineStr">
        <is>
          <t>v5</t>
        </is>
      </c>
      <c r="C2" s="37" t="inlineStr">
        <is>
          <t>v6</t>
        </is>
      </c>
      <c r="D2" s="37" t="inlineStr">
        <is>
          <t>Delta</t>
        </is>
      </c>
      <c r="E2" s="37" t="inlineStr">
        <is>
          <t>Decision</t>
        </is>
      </c>
      <c r="F2" s="37" t="inlineStr">
        <is>
          <t>Operation</t>
        </is>
      </c>
      <c r="G2" s="37" t="inlineStr">
        <is>
          <t>Sheet + detail</t>
        </is>
      </c>
    </row>
    <row r="3">
      <c r="A3" s="38" t="inlineStr">
        <is>
          <t>6" metal stud 600S137-33 / -68 (LF of material)</t>
        </is>
      </c>
      <c r="B3" s="38" t="n">
        <v>4187</v>
      </c>
      <c r="C3" s="38" t="n">
        <v>4525.47</v>
      </c>
      <c r="D3" s="38" t="n">
        <v>338.47</v>
      </c>
      <c r="E3" s="38" t="inlineStr">
        <is>
          <t>D1 corrected</t>
        </is>
      </c>
      <c r="F3" s="38" t="inlineStr">
        <is>
          <t>v6: D1 subtraction of v5 reverted (-338.47 belonged to the grid-2 exterior wall of the drive-up ATM, the wrong wall); the exterior wall framing stays in its exterior type</t>
        </is>
      </c>
      <c r="G3" s="38" t="inlineStr"/>
    </row>
    <row r="4">
      <c r="A4" s="38" t="inlineStr">
        <is>
          <t>Bottom track 6"</t>
        </is>
      </c>
      <c r="B4" s="38" t="n">
        <v>271.58</v>
      </c>
      <c r="C4" s="38" t="n">
        <v>293.04</v>
      </c>
      <c r="D4" s="38" t="n">
        <v>21.46</v>
      </c>
      <c r="E4" s="38" t="inlineStr">
        <is>
          <t>D1 corrected</t>
        </is>
      </c>
      <c r="F4" s="38" t="inlineStr">
        <is>
          <t>v6: D1 subtraction of v5 reverted (+21.46)</t>
        </is>
      </c>
      <c r="G4" s="38" t="inlineStr"/>
    </row>
    <row r="5">
      <c r="A5" s="38" t="inlineStr">
        <is>
          <t>Top / deflection track 6"</t>
        </is>
      </c>
      <c r="B5" s="38" t="n">
        <v>271.58</v>
      </c>
      <c r="C5" s="38" t="n">
        <v>293.04</v>
      </c>
      <c r="D5" s="38" t="n">
        <v>21.46</v>
      </c>
      <c r="E5" s="38" t="inlineStr">
        <is>
          <t>D1 corrected</t>
        </is>
      </c>
      <c r="F5" s="38" t="inlineStr">
        <is>
          <t>v6: D1 subtraction of v5 reverted (+21.46)</t>
        </is>
      </c>
      <c r="G5" s="38" t="inlineStr"/>
    </row>
    <row r="6">
      <c r="A6" s="38" t="inlineStr">
        <is>
          <t>Extra framing - ATM wall: tag F partition with the walk-up ATM (full wall framing, floor to deck + bottom and top runner)</t>
        </is>
      </c>
      <c r="B6" s="38" t="n">
        <v>381.39</v>
      </c>
      <c r="C6" s="38" t="n">
        <v>109.87</v>
      </c>
      <c r="D6" s="38" t="n">
        <v>-271.52</v>
      </c>
      <c r="E6" s="38" t="inlineStr">
        <is>
          <t>D1 corrected</t>
        </is>
      </c>
      <c r="F6" s="38" t="inlineStr">
        <is>
          <t>v6 (user, Bluebeam 2026-10-20): the ATM wall is the 60 deg tag F partition between 24 HR VESTIBULE 101 and ATM ROOM 102 (walk-up ATM, 1/A08.11), complete, studs floor to deck with top and bottom runners; nothing added for sistered studs; the partition also stays in type F. Estimator value 109.87 kept. verification from the drawings (arbitration #25b): tag F partition, A02.01 vector 17.7624 ft (mean of both faces; printed 15'-7 3/4" / cos 30 = 18.07 ft = outer face), 12/A12.01 3 5/8" METAL STUDS AT 16" O.C. SPAN BETWEEN STUD TRACKS AT FLOOR AND DECK ABOVE, S2.20 B.O.D. EL. 15'-4 1/2": 1 + ROUNDUP(17.7624/1.3333) = 15 - 1 inside R.O. 2'-3" (7/A08.11) + 4 jambs + 1 or 2 end studs = 19-20 full x 15.375 = 292.13-307.50 + 1 cripple (15.375 - 5.3333) + 2.6458 = 12.69 -&gt; studs 304.81-320.19 + bottom 17.76 + top 17.76 = 340.33-355.71 LF. RFI-ATM-25b: +230.46 to +245.84 LF vs 109.87</t>
        </is>
      </c>
      <c r="G6" s="38" t="inlineStr">
        <is>
          <t>1/A08.11; 4/A08.11; 7/A08.11; A02.01 tag F; 12/A12.01; S2.20</t>
        </is>
      </c>
    </row>
    <row r="7">
      <c r="A7" s="38" t="inlineStr">
        <is>
          <t>Type A1 (Partition Takeoff, accepted total range)</t>
        </is>
      </c>
      <c r="B7" s="38" t="inlineStr">
        <is>
          <t>78.37-90.90 (rangos_v22)</t>
        </is>
      </c>
      <c r="C7" s="38" t="inlineStr">
        <is>
          <t>82.23-84.04</t>
        </is>
      </c>
      <c r="D7" s="38" t="inlineStr"/>
      <c r="E7" s="38" t="inlineStr">
        <is>
          <t>A1 (user)</t>
        </is>
      </c>
      <c r="F7" s="38" t="inlineStr">
        <is>
          <t>the wall length runs through the door openings to the corner / intersection (wall #8 Corridor 111 / Break Room 118 + Electrical 120 + NER 121 includes the door 118B span); accepted = the blind tests 82.23-84.04 LF</t>
        </is>
      </c>
      <c r="G7" s="38" t="inlineStr">
        <is>
          <t>A02.01; A00.30</t>
        </is>
      </c>
    </row>
    <row r="9">
      <c r="A9" s="38" t="inlineStr">
        <is>
          <t>Verification of the ATM wall (not carried; the estimator value 109.87 rules):</t>
        </is>
      </c>
      <c r="B9" s="38" t="inlineStr">
        <is>
          <t>verification from the drawings (arbitration #25b): tag F partition, A02.01 vector 17.7624 ft (mean of both faces; printed 15'-7 3/4" / cos 30 = 18.07 ft = outer face), 12/A12.01 3 5/8" METAL STUDS AT 16" O.C. SPAN BETWEEN STUD TRACKS AT FLOOR AND DECK ABOVE, S2.20 B.O.D. EL. 15'-4 1/2": 1 + ROUNDUP(17.7624/1.3333) = 15 - 1 inside R.O. 2'-3" (7/A08.11) + 4 jambs + 1 or 2 end studs = 19-20 full x 15.375 = 292.13-307.50 + 1 cripple (15.375 - 5.3333) + 2.6458 = 12.69 -&gt; studs 304.81-320.19 + bottom 17.76 + top 17.76 = 340.33-355.71 LF</t>
        </is>
      </c>
    </row>
    <row r="10">
      <c r="A10" s="38" t="inlineStr">
        <is>
          <t>Note: 109.87 equals the v4 Partition Takeoff column AD total (49.87 at EXT-6CFMF #65 grid 2, 6/A08.11 sistered stud + furring, + 60.00 at the G / G1 walls); see ARBITRAJE_25b.md, RFI-ATM-25b.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60" customWidth="1" style="36" min="1" max="1"/>
    <col width="120" customWidth="1" style="36" min="6" max="6"/>
  </cols>
  <sheetData>
    <row r="1">
      <c r="A1" s="38" t="inlineStr">
        <is>
          <t>CAMBIOS v5 (2026-10-20): user decisions D1-D6 taken in Bluebeam, applied from the drawings. v4 is untouched.</t>
        </is>
      </c>
    </row>
    <row r="2">
      <c r="A2" s="37" t="inlineStr">
        <is>
          <t>Row</t>
        </is>
      </c>
      <c r="B2" s="37" t="inlineStr">
        <is>
          <t>v4</t>
        </is>
      </c>
      <c r="C2" s="37" t="inlineStr">
        <is>
          <t>v5</t>
        </is>
      </c>
      <c r="D2" s="37" t="inlineStr">
        <is>
          <t>Delta</t>
        </is>
      </c>
      <c r="E2" s="37" t="inlineStr">
        <is>
          <t>Decision</t>
        </is>
      </c>
      <c r="F2" s="37" t="inlineStr">
        <is>
          <t>Operation</t>
        </is>
      </c>
      <c r="G2" s="37" t="inlineStr">
        <is>
          <t>Sheet + detail</t>
        </is>
      </c>
    </row>
    <row r="3">
      <c r="A3" s="38" t="inlineStr">
        <is>
          <t>6" metal stud 600S137-33 / -68 (LF of material)</t>
        </is>
      </c>
      <c r="B3" s="38" t="n">
        <v>4525.47</v>
      </c>
      <c r="C3" s="38" t="n">
        <v>4187</v>
      </c>
      <c r="D3" s="38" t="n">
        <v>-338.47</v>
      </c>
      <c r="E3" s="38" t="inlineStr">
        <is>
          <t>D1</t>
        </is>
      </c>
      <c r="F3" s="38" t="inlineStr">
        <is>
          <t>D1: the ATM wall studs (338.47 LF) move to the extra framing ATM row; the wall is counted once</t>
        </is>
      </c>
      <c r="G3" s="38" t="inlineStr"/>
    </row>
    <row r="4">
      <c r="A4" s="38" t="inlineStr">
        <is>
          <t>Bottom track 6"</t>
        </is>
      </c>
      <c r="B4" s="38" t="n">
        <v>293.04</v>
      </c>
      <c r="C4" s="38" t="n">
        <v>271.58</v>
      </c>
      <c r="D4" s="38" t="n">
        <v>-21.46</v>
      </c>
      <c r="E4" s="38" t="inlineStr">
        <is>
          <t>D1</t>
        </is>
      </c>
      <c r="F4" s="38" t="inlineStr">
        <is>
          <t>D1: ATM wall bottom runner (21.46 LF) moves to the extra framing ATM row</t>
        </is>
      </c>
      <c r="G4" s="38" t="inlineStr"/>
    </row>
    <row r="5">
      <c r="A5" s="38" t="inlineStr">
        <is>
          <t>Top / deflection track 6"</t>
        </is>
      </c>
      <c r="B5" s="38" t="n">
        <v>293.04</v>
      </c>
      <c r="C5" s="38" t="n">
        <v>271.58</v>
      </c>
      <c r="D5" s="38" t="n">
        <v>-21.46</v>
      </c>
      <c r="E5" s="38" t="inlineStr">
        <is>
          <t>D1</t>
        </is>
      </c>
      <c r="F5" s="38" t="inlineStr">
        <is>
          <t>D1: ATM wall top runner (21.46 LF) moves to the extra framing ATM row</t>
        </is>
      </c>
      <c r="G5" s="38" t="inlineStr"/>
    </row>
    <row r="6">
      <c r="A6" s="38" t="inlineStr">
        <is>
          <t>Track, ceilings / soffits / canopy</t>
        </is>
      </c>
      <c r="B6" s="38" t="n">
        <v>1168.97</v>
      </c>
      <c r="C6" s="38" t="n">
        <v>1246</v>
      </c>
      <c r="D6" s="38" t="n">
        <v>77.03</v>
      </c>
      <c r="E6" s="38" t="inlineStr">
        <is>
          <t>D6</t>
        </is>
      </c>
      <c r="F6" s="38" t="inlineStr">
        <is>
          <t>D6: 1323.03 (rangos_v18m, decision 16-oct with the transitions) - 77.03 (perimeter track carried on the Waiting 104 transition edges, RFI-CEIL-104 of arbitration #21) = 1246.00 (D6: 7/A09.33 ends the ceiling with shadow molding, no perimeter track on a transition edge)</t>
        </is>
      </c>
      <c r="G6" s="38" t="inlineStr">
        <is>
          <t>7/A09.33; A04.01; 4,5/A09.33; 7/A09.26; 15,16/A09.27; 10/A09.33</t>
        </is>
      </c>
    </row>
    <row r="7">
      <c r="A7" s="38" t="inlineStr">
        <is>
          <t>Header / metal stud box beam</t>
        </is>
      </c>
      <c r="B7" s="38" t="n">
        <v>305.63</v>
      </c>
      <c r="C7" s="38" t="n">
        <v>796.76</v>
      </c>
      <c r="D7" s="38" t="n">
        <v>491.13</v>
      </c>
      <c r="E7" s="38" t="inlineStr">
        <is>
          <t>D2 / D3</t>
        </is>
      </c>
      <c r="F7" s="38" t="inlineStr">
        <is>
          <t>D2/D3: every box beam / box header = 4 pieces x (R.O. + 1'-4"); CONT. BOX BEAM one run per office front, first to last jamb + 1'-4" x 4; other headers = pieces of 7/S5.20 HEADER SCHEDULE. Item list: sheet "D1-D6 v5 detail".</t>
        </is>
      </c>
      <c r="G7" s="38" t="inlineStr">
        <is>
          <t>A00.30; 7/S5.20; 6,7/A08.11; 10,11,14/A09.27; 4/A08.21; 1,4-7/A12.10; 8,9/A12.01; A02.01; B3,B4/A12.03</t>
        </is>
      </c>
    </row>
    <row r="8">
      <c r="A8" s="38" t="inlineStr">
        <is>
          <t>Sill track</t>
        </is>
      </c>
      <c r="B8" s="38" t="n">
        <v>67.76000000000001</v>
      </c>
      <c r="C8" s="38" t="n">
        <v>119.14</v>
      </c>
      <c r="D8" s="38" t="n">
        <v>51.38</v>
      </c>
      <c r="E8" s="38" t="inlineStr">
        <is>
          <t>D5</t>
        </is>
      </c>
      <c r="F8" s="38" t="inlineStr">
        <is>
          <t>D5: 2/S5.20 ADD FULL LENGTH ADDL HEAD TRACK @ OPNG &gt;4'-0" + INVERT DETAIL FOR SILL CONDITION: R.O. &gt; 4'-0" x 2, &lt;= 4'-0" x 1, openings with sill only (6 windows x 2 x 9.333 + ATM-WU 3.583 + ATM-DU 3.542). RFI-H7 ATM-DU sill.</t>
        </is>
      </c>
      <c r="G8" s="38" t="inlineStr">
        <is>
          <t>2/S5.20; 10,11/A09.27; 1,4/A08.11; 6/A08.11</t>
        </is>
      </c>
    </row>
    <row r="9">
      <c r="A9" s="38" t="inlineStr">
        <is>
          <t>Extra framing - ATM wall (full wall framing, floor to deck + bottom and top runner)</t>
        </is>
      </c>
      <c r="B9" s="38" t="n">
        <v>109.87</v>
      </c>
      <c r="C9" s="38" t="n">
        <v>381.39</v>
      </c>
      <c r="D9" s="38" t="n">
        <v>271.52</v>
      </c>
      <c r="E9" s="38" t="inlineStr">
        <is>
          <t>D1</t>
        </is>
      </c>
      <c r="F9" s="38" t="inlineStr">
        <is>
          <t>D1: studs 338.47 + bottom runner 21.46 + top runner 21.46 = 381.39. S1.11 6" @ 16" O.C. + 12" O.C. within 6 ft of the corner: 1 + ROUNDUP(15.46/1.333) + ROUNDUP(6.0/1.0) = 19 - 1 inside R.O. + 4 jambs + 1 L-corner = 23 full x 14.3583 = 330.24 + 1 cripple x (14.3583 - 6.125) = 8.23</t>
        </is>
      </c>
      <c r="G9" s="38" t="inlineStr">
        <is>
          <t>6/A08.11; 7/A08.11; A02.01 grid 2; S1.11 note 5; S2.20; 10/S5.10</t>
        </is>
      </c>
    </row>
    <row r="10">
      <c r="A10" s="38" t="inlineStr">
        <is>
          <t>3/4" FRT plywood at storefront piers</t>
        </is>
      </c>
      <c r="B10" s="38" t="n">
        <v>26.86</v>
      </c>
      <c r="C10" s="38" t="n">
        <v>23.59</v>
      </c>
      <c r="D10" s="38" t="n">
        <v>-3.27</v>
      </c>
      <c r="E10" s="38" t="inlineStr">
        <is>
          <t>D4 / D3</t>
        </is>
      </c>
      <c r="F10" s="38" t="inlineStr">
        <is>
          <t>D4: 0.7589 + 0.7578 + 0.7589 + 0.5000 = 2.7756 ft x 8.5 (T/GLAZING 8'-6" A09.01) x 1 ply = 23.59 SF. RFI-PIER-PLY: 2 layers drawn, label singular -&gt; 1 ply (+23.59 SF if 2 plies)</t>
        </is>
      </c>
      <c r="G10" s="38" t="inlineStr">
        <is>
          <t>1/A09.25; 2/A09.25; A09.01 T/GLAZING</t>
        </is>
      </c>
    </row>
    <row r="12">
      <c r="A12" s="38" t="inlineStr">
        <is>
          <t>Note: the v4 Net of header (305.63), sill (67.76) and ceiling track (1168.97) predate the 16/17-oct decisions; the grading values in force were 791.96 / 119.09 / 1323.03 (rangos_v18m). v5 replaces both. See RANGOS_v22_propuesta.md.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40" customWidth="1" style="36" min="1" max="1"/>
    <col width="40" customWidth="1" style="36" min="5" max="5"/>
    <col width="110" customWidth="1" style="36" min="7" max="7"/>
  </cols>
  <sheetData>
    <row r="1">
      <c r="A1" s="38" t="inlineStr">
        <is>
          <t>HEADER / BOX BEAM (D2, D3)</t>
        </is>
      </c>
    </row>
    <row r="2">
      <c r="A2" s="38" t="inlineStr">
        <is>
          <t>Item</t>
        </is>
      </c>
      <c r="B2" s="38" t="inlineStr">
        <is>
          <t>R.O. ft</t>
        </is>
      </c>
      <c r="C2" s="38" t="inlineStr">
        <is>
          <t>Pieces</t>
        </is>
      </c>
      <c r="D2" s="38" t="inlineStr">
        <is>
          <t>LF</t>
        </is>
      </c>
      <c r="E2" s="38" t="inlineStr">
        <is>
          <t>Operation</t>
        </is>
      </c>
      <c r="F2" s="38" t="inlineStr">
        <is>
          <t>Status</t>
        </is>
      </c>
      <c r="G2" s="38" t="inlineStr">
        <is>
          <t>Sheet + detail</t>
        </is>
      </c>
    </row>
    <row r="3">
      <c r="A3" s="38" t="inlineStr">
        <is>
          <t>door 111</t>
        </is>
      </c>
      <c r="B3" s="38" t="n">
        <v>3.33</v>
      </c>
      <c r="C3" s="38" t="n">
        <v>1</v>
      </c>
      <c r="D3" s="38" t="n">
        <v>4.67</v>
      </c>
      <c r="E3" s="38" t="inlineStr">
        <is>
          <t>(3.3333 + 1.3333) x 1 = 4.67</t>
        </is>
      </c>
      <c r="F3" s="38" t="inlineStr">
        <is>
          <t>CONFIRMADO</t>
        </is>
      </c>
      <c r="G3" s="38" t="inlineStr">
        <is>
          <t>A00.30 door 3'-0" -&gt; R.O. 3'-4"; 7/S5.20 NON LOAD BRG &lt;=3'-4" SINGLE TRACK</t>
        </is>
      </c>
    </row>
    <row r="4">
      <c r="A4" s="38" t="inlineStr">
        <is>
          <t>door 112</t>
        </is>
      </c>
      <c r="B4" s="38" t="n">
        <v>3.33</v>
      </c>
      <c r="C4" s="38" t="n">
        <v>1</v>
      </c>
      <c r="D4" s="38" t="n">
        <v>4.67</v>
      </c>
      <c r="E4" s="38" t="inlineStr">
        <is>
          <t>(3.3333 + 1.3333) x 1 = 4.67</t>
        </is>
      </c>
      <c r="F4" s="38" t="inlineStr">
        <is>
          <t>CONFIRMADO</t>
        </is>
      </c>
      <c r="G4" s="38" t="inlineStr">
        <is>
          <t>A00.30 door 3'-0" -&gt; R.O. 3'-4"; 7/S5.20 NON LOAD BRG &lt;=3'-4" SINGLE TRACK</t>
        </is>
      </c>
    </row>
    <row r="5">
      <c r="A5" s="38" t="inlineStr">
        <is>
          <t>door 113</t>
        </is>
      </c>
      <c r="B5" s="38" t="n">
        <v>3.33</v>
      </c>
      <c r="C5" s="38" t="n">
        <v>1</v>
      </c>
      <c r="D5" s="38" t="n">
        <v>4.67</v>
      </c>
      <c r="E5" s="38" t="inlineStr">
        <is>
          <t>(3.3333 + 1.3333) x 1 = 4.67</t>
        </is>
      </c>
      <c r="F5" s="38" t="inlineStr">
        <is>
          <t>CONFIRMADO</t>
        </is>
      </c>
      <c r="G5" s="38" t="inlineStr">
        <is>
          <t>A00.30 door 3'-0" -&gt; R.O. 3'-4"; 7/S5.20 NON LOAD BRG &lt;=3'-4" SINGLE TRACK</t>
        </is>
      </c>
    </row>
    <row r="6">
      <c r="A6" s="38" t="inlineStr">
        <is>
          <t>door 114</t>
        </is>
      </c>
      <c r="B6" s="38" t="n">
        <v>3.33</v>
      </c>
      <c r="C6" s="38" t="n">
        <v>1</v>
      </c>
      <c r="D6" s="38" t="n">
        <v>4.67</v>
      </c>
      <c r="E6" s="38" t="inlineStr">
        <is>
          <t>(3.3333 + 1.3333) x 1 = 4.67</t>
        </is>
      </c>
      <c r="F6" s="38" t="inlineStr">
        <is>
          <t>CONFIRMADO</t>
        </is>
      </c>
      <c r="G6" s="38" t="inlineStr">
        <is>
          <t>A00.30 door 3'-0" -&gt; R.O. 3'-4"; 7/S5.20 NON LOAD BRG &lt;=3'-4" SINGLE TRACK</t>
        </is>
      </c>
    </row>
    <row r="7">
      <c r="A7" s="38" t="inlineStr">
        <is>
          <t>door 115</t>
        </is>
      </c>
      <c r="B7" s="38" t="n">
        <v>3.33</v>
      </c>
      <c r="C7" s="38" t="n">
        <v>1</v>
      </c>
      <c r="D7" s="38" t="n">
        <v>4.67</v>
      </c>
      <c r="E7" s="38" t="inlineStr">
        <is>
          <t>(3.3333 + 1.3333) x 1 = 4.67</t>
        </is>
      </c>
      <c r="F7" s="38" t="inlineStr">
        <is>
          <t>CONFIRMADO</t>
        </is>
      </c>
      <c r="G7" s="38" t="inlineStr">
        <is>
          <t>A00.30 door 3'-0" -&gt; R.O. 3'-4"; 7/S5.20 NON LOAD BRG &lt;=3'-4" SINGLE TRACK</t>
        </is>
      </c>
    </row>
    <row r="8">
      <c r="A8" s="38" t="inlineStr">
        <is>
          <t>door 116</t>
        </is>
      </c>
      <c r="B8" s="38" t="n">
        <v>3.33</v>
      </c>
      <c r="C8" s="38" t="n">
        <v>1</v>
      </c>
      <c r="D8" s="38" t="n">
        <v>4.67</v>
      </c>
      <c r="E8" s="38" t="inlineStr">
        <is>
          <t>(3.3333 + 1.3333) x 1 = 4.67</t>
        </is>
      </c>
      <c r="F8" s="38" t="inlineStr">
        <is>
          <t>CONFIRMADO</t>
        </is>
      </c>
      <c r="G8" s="38" t="inlineStr">
        <is>
          <t>A00.30 door 3'-0" -&gt; R.O. 3'-4"; 7/S5.20 NON LOAD BRG &lt;=3'-4" SINGLE TRACK</t>
        </is>
      </c>
    </row>
    <row r="9">
      <c r="A9" s="38" t="inlineStr">
        <is>
          <t>door 117</t>
        </is>
      </c>
      <c r="B9" s="38" t="n">
        <v>3.33</v>
      </c>
      <c r="C9" s="38" t="n">
        <v>1</v>
      </c>
      <c r="D9" s="38" t="n">
        <v>4.67</v>
      </c>
      <c r="E9" s="38" t="inlineStr">
        <is>
          <t>(3.3333 + 1.3333) x 1 = 4.67</t>
        </is>
      </c>
      <c r="F9" s="38" t="inlineStr">
        <is>
          <t>CONFIRMADO</t>
        </is>
      </c>
      <c r="G9" s="38" t="inlineStr">
        <is>
          <t>A00.30 door 3'-0" -&gt; R.O. 3'-4"; 7/S5.20 NON LOAD BRG &lt;=3'-4" SINGLE TRACK</t>
        </is>
      </c>
    </row>
    <row r="10">
      <c r="A10" s="38" t="inlineStr">
        <is>
          <t>door 118A</t>
        </is>
      </c>
      <c r="B10" s="38" t="n">
        <v>3.33</v>
      </c>
      <c r="C10" s="38" t="n">
        <v>1</v>
      </c>
      <c r="D10" s="38" t="n">
        <v>4.67</v>
      </c>
      <c r="E10" s="38" t="inlineStr">
        <is>
          <t>(3.3333 + 1.3333) x 1 = 4.67</t>
        </is>
      </c>
      <c r="F10" s="38" t="inlineStr">
        <is>
          <t>CONFIRMADO</t>
        </is>
      </c>
      <c r="G10" s="38" t="inlineStr">
        <is>
          <t>A00.30 door 3'-0" -&gt; R.O. 3'-4"; 7/S5.20 NON LOAD BRG &lt;=3'-4" SINGLE TRACK</t>
        </is>
      </c>
    </row>
    <row r="11">
      <c r="A11" s="38" t="inlineStr">
        <is>
          <t>door 118B</t>
        </is>
      </c>
      <c r="B11" s="38" t="n">
        <v>3.33</v>
      </c>
      <c r="C11" s="38" t="n">
        <v>1</v>
      </c>
      <c r="D11" s="38" t="n">
        <v>4.67</v>
      </c>
      <c r="E11" s="38" t="inlineStr">
        <is>
          <t>(3.3333 + 1.3333) x 1 = 4.67</t>
        </is>
      </c>
      <c r="F11" s="38" t="inlineStr">
        <is>
          <t>CONFIRMADO</t>
        </is>
      </c>
      <c r="G11" s="38" t="inlineStr">
        <is>
          <t>A00.30 door 3'-0" -&gt; R.O. 3'-4"; 7/S5.20 NON LOAD BRG &lt;=3'-4" SINGLE TRACK</t>
        </is>
      </c>
    </row>
    <row r="12">
      <c r="A12" s="38" t="inlineStr">
        <is>
          <t>door 119</t>
        </is>
      </c>
      <c r="B12" s="38" t="n">
        <v>3.33</v>
      </c>
      <c r="C12" s="38" t="n">
        <v>1</v>
      </c>
      <c r="D12" s="38" t="n">
        <v>4.67</v>
      </c>
      <c r="E12" s="38" t="inlineStr">
        <is>
          <t>(3.3333 + 1.3333) x 1 = 4.67</t>
        </is>
      </c>
      <c r="F12" s="38" t="inlineStr">
        <is>
          <t>CONFIRMADO</t>
        </is>
      </c>
      <c r="G12" s="38" t="inlineStr">
        <is>
          <t>A00.30 door 3'-0" -&gt; R.O. 3'-4"; 7/S5.20 NON LOAD BRG &lt;=3'-4" SINGLE TRACK</t>
        </is>
      </c>
    </row>
    <row r="13">
      <c r="A13" s="38" t="inlineStr">
        <is>
          <t>door 120</t>
        </is>
      </c>
      <c r="B13" s="38" t="n">
        <v>3.33</v>
      </c>
      <c r="C13" s="38" t="n">
        <v>1</v>
      </c>
      <c r="D13" s="38" t="n">
        <v>4.67</v>
      </c>
      <c r="E13" s="38" t="inlineStr">
        <is>
          <t>(3.3333 + 1.3333) x 1 = 4.67</t>
        </is>
      </c>
      <c r="F13" s="38" t="inlineStr">
        <is>
          <t>CONFIRMADO</t>
        </is>
      </c>
      <c r="G13" s="38" t="inlineStr">
        <is>
          <t>A00.30 door 3'-0" -&gt; R.O. 3'-4"; 7/S5.20 NON LOAD BRG &lt;=3'-4" SINGLE TRACK</t>
        </is>
      </c>
    </row>
    <row r="14">
      <c r="A14" s="38" t="inlineStr">
        <is>
          <t>door 121</t>
        </is>
      </c>
      <c r="B14" s="38" t="n">
        <v>3.33</v>
      </c>
      <c r="C14" s="38" t="n">
        <v>1</v>
      </c>
      <c r="D14" s="38" t="n">
        <v>4.67</v>
      </c>
      <c r="E14" s="38" t="inlineStr">
        <is>
          <t>(3.3333 + 1.3333) x 1 = 4.67</t>
        </is>
      </c>
      <c r="F14" s="38" t="inlineStr">
        <is>
          <t>CONFIRMADO</t>
        </is>
      </c>
      <c r="G14" s="38" t="inlineStr">
        <is>
          <t>A00.30 door 3'-0" -&gt; R.O. 3'-4"; 7/S5.20 NON LOAD BRG &lt;=3'-4" SINGLE TRACK</t>
        </is>
      </c>
    </row>
    <row r="15">
      <c r="A15" s="38" t="inlineStr">
        <is>
          <t>door 122</t>
        </is>
      </c>
      <c r="B15" s="38" t="n">
        <v>3.33</v>
      </c>
      <c r="C15" s="38" t="n">
        <v>1</v>
      </c>
      <c r="D15" s="38" t="n">
        <v>4.67</v>
      </c>
      <c r="E15" s="38" t="inlineStr">
        <is>
          <t>(3.3333 + 1.3333) x 1 = 4.67</t>
        </is>
      </c>
      <c r="F15" s="38" t="inlineStr">
        <is>
          <t>CONFIRMADO</t>
        </is>
      </c>
      <c r="G15" s="38" t="inlineStr">
        <is>
          <t>A00.30 door 3'-0" -&gt; R.O. 3'-4"; 7/S5.20 NON LOAD BRG &lt;=3'-4" SINGLE TRACK</t>
        </is>
      </c>
    </row>
    <row r="16">
      <c r="A16" s="38" t="inlineStr">
        <is>
          <t>door 102</t>
        </is>
      </c>
      <c r="B16" s="38" t="n">
        <v>3.83</v>
      </c>
      <c r="C16" s="38" t="n">
        <v>2</v>
      </c>
      <c r="D16" s="38" t="n">
        <v>10.33</v>
      </c>
      <c r="E16" s="38" t="inlineStr">
        <is>
          <t>(3.8333 + 1.3333) x 2 = 10.33</t>
        </is>
      </c>
      <c r="F16" s="38" t="inlineStr">
        <is>
          <t>CONFIRMADO</t>
        </is>
      </c>
      <c r="G16" s="38" t="inlineStr">
        <is>
          <t>A00.30 door 3'-6" -&gt; R.O. 3'-10"; 7/S5.20 &lt;=6'-0" DOUBLE TRACK</t>
        </is>
      </c>
    </row>
    <row r="17">
      <c r="A17" s="38" t="inlineStr">
        <is>
          <t>ATM-WU (walk-up)</t>
        </is>
      </c>
      <c r="B17" s="38" t="n">
        <v>2.25</v>
      </c>
      <c r="C17" s="38" t="n">
        <v>1</v>
      </c>
      <c r="D17" s="38" t="n">
        <v>3.58</v>
      </c>
      <c r="E17" s="38" t="inlineStr">
        <is>
          <t>(2.2500 + 1.3333) x 1 = 3.58</t>
        </is>
      </c>
      <c r="F17" s="38" t="inlineStr">
        <is>
          <t>CONFIRMADO</t>
        </is>
      </c>
      <c r="G17" s="38" t="inlineStr">
        <is>
          <t>7/A08.11 R.O. 2'-3"; 7/S5.20 SINGLE TRACK</t>
        </is>
      </c>
    </row>
    <row r="18">
      <c r="A18" s="38" t="inlineStr">
        <is>
          <t>MW01 printer cabinet opening</t>
        </is>
      </c>
      <c r="B18" s="38" t="n">
        <v>3.12</v>
      </c>
      <c r="C18" s="38" t="n">
        <v>1</v>
      </c>
      <c r="D18" s="38" t="n">
        <v>4.46</v>
      </c>
      <c r="E18" s="38" t="inlineStr">
        <is>
          <t>(3.1250 + 1.3333) x 1 = 4.46</t>
        </is>
      </c>
      <c r="F18" s="38" t="inlineStr">
        <is>
          <t>CONFIRMADO</t>
        </is>
      </c>
      <c r="G18" s="38" t="inlineStr">
        <is>
          <t>A02.01 3'-1 1/2"; B3/A12.03 drywall framing above cabinet, B4/A12.03 SCHED. PARTITION; 7/S5.20 SINGLE TRACK</t>
        </is>
      </c>
    </row>
    <row r="19">
      <c r="A19" s="38" t="inlineStr">
        <is>
          <t>ATM-DU (drive-up) box beam</t>
        </is>
      </c>
      <c r="B19" s="38" t="n">
        <v>2.21</v>
      </c>
      <c r="C19" s="38" t="n">
        <v>4</v>
      </c>
      <c r="D19" s="38" t="n">
        <v>14.17</v>
      </c>
      <c r="E19" s="38" t="inlineStr">
        <is>
          <t>(2.2083 + 1.3333) x 4 = 14.17</t>
        </is>
      </c>
      <c r="F19" s="38" t="inlineStr">
        <is>
          <t>CONFIRMADO</t>
        </is>
      </c>
      <c r="G19" s="38" t="inlineStr">
        <is>
          <t>7/A08.11 R.O. 2'-2 1/2"; 6/A08.11 METAL STUD BOX BEAM = 4 pieces (D2)</t>
        </is>
      </c>
    </row>
    <row r="20">
      <c r="A20" s="38" t="inlineStr">
        <is>
          <t>window W-1 box beam</t>
        </is>
      </c>
      <c r="B20" s="38" t="n">
        <v>8</v>
      </c>
      <c r="C20" s="38" t="n">
        <v>4</v>
      </c>
      <c r="D20" s="38" t="n">
        <v>37.33</v>
      </c>
      <c r="E20" s="38" t="inlineStr">
        <is>
          <t>(8.0000 + 1.3333) x 4 = 37.33</t>
        </is>
      </c>
      <c r="F20" s="38" t="inlineStr">
        <is>
          <t>CONFIRMADO</t>
        </is>
      </c>
      <c r="G20" s="38" t="inlineStr">
        <is>
          <t>10,11/A09.27 METAL STUD BOX BEAM OR STEEL FRAMING AS REQUIRED (= box, 4 pieces, D2); R.O. 8'-0"</t>
        </is>
      </c>
    </row>
    <row r="21">
      <c r="A21" s="38" t="inlineStr">
        <is>
          <t>window W-2 box beam</t>
        </is>
      </c>
      <c r="B21" s="38" t="n">
        <v>8</v>
      </c>
      <c r="C21" s="38" t="n">
        <v>4</v>
      </c>
      <c r="D21" s="38" t="n">
        <v>37.33</v>
      </c>
      <c r="E21" s="38" t="inlineStr">
        <is>
          <t>(8.0000 + 1.3333) x 4 = 37.33</t>
        </is>
      </c>
      <c r="F21" s="38" t="inlineStr">
        <is>
          <t>CONFIRMADO</t>
        </is>
      </c>
      <c r="G21" s="38" t="inlineStr">
        <is>
          <t>10,11/A09.27 METAL STUD BOX BEAM OR STEEL FRAMING AS REQUIRED (= box, 4 pieces, D2); R.O. 8'-0"</t>
        </is>
      </c>
    </row>
    <row r="22">
      <c r="A22" s="38" t="inlineStr">
        <is>
          <t>window W-3 box beam</t>
        </is>
      </c>
      <c r="B22" s="38" t="n">
        <v>8</v>
      </c>
      <c r="C22" s="38" t="n">
        <v>4</v>
      </c>
      <c r="D22" s="38" t="n">
        <v>37.33</v>
      </c>
      <c r="E22" s="38" t="inlineStr">
        <is>
          <t>(8.0000 + 1.3333) x 4 = 37.33</t>
        </is>
      </c>
      <c r="F22" s="38" t="inlineStr">
        <is>
          <t>CONFIRMADO</t>
        </is>
      </c>
      <c r="G22" s="38" t="inlineStr">
        <is>
          <t>10,11/A09.27 METAL STUD BOX BEAM OR STEEL FRAMING AS REQUIRED (= box, 4 pieces, D2); R.O. 8'-0"</t>
        </is>
      </c>
    </row>
    <row r="23">
      <c r="A23" s="38" t="inlineStr">
        <is>
          <t>window W-4 box beam</t>
        </is>
      </c>
      <c r="B23" s="38" t="n">
        <v>8</v>
      </c>
      <c r="C23" s="38" t="n">
        <v>4</v>
      </c>
      <c r="D23" s="38" t="n">
        <v>37.33</v>
      </c>
      <c r="E23" s="38" t="inlineStr">
        <is>
          <t>(8.0000 + 1.3333) x 4 = 37.33</t>
        </is>
      </c>
      <c r="F23" s="38" t="inlineStr">
        <is>
          <t>CONFIRMADO</t>
        </is>
      </c>
      <c r="G23" s="38" t="inlineStr">
        <is>
          <t>10,11/A09.27 METAL STUD BOX BEAM OR STEEL FRAMING AS REQUIRED (= box, 4 pieces, D2); R.O. 8'-0"</t>
        </is>
      </c>
    </row>
    <row r="24">
      <c r="A24" s="38" t="inlineStr">
        <is>
          <t>window W-5 box beam</t>
        </is>
      </c>
      <c r="B24" s="38" t="n">
        <v>8</v>
      </c>
      <c r="C24" s="38" t="n">
        <v>4</v>
      </c>
      <c r="D24" s="38" t="n">
        <v>37.33</v>
      </c>
      <c r="E24" s="38" t="inlineStr">
        <is>
          <t>(8.0000 + 1.3333) x 4 = 37.33</t>
        </is>
      </c>
      <c r="F24" s="38" t="inlineStr">
        <is>
          <t>CONFIRMADO</t>
        </is>
      </c>
      <c r="G24" s="38" t="inlineStr">
        <is>
          <t>10,11/A09.27 METAL STUD BOX BEAM OR STEEL FRAMING AS REQUIRED (= box, 4 pieces, D2); R.O. 8'-0"</t>
        </is>
      </c>
    </row>
    <row r="25">
      <c r="A25" s="38" t="inlineStr">
        <is>
          <t>window W-6 box beam</t>
        </is>
      </c>
      <c r="B25" s="38" t="n">
        <v>8</v>
      </c>
      <c r="C25" s="38" t="n">
        <v>4</v>
      </c>
      <c r="D25" s="38" t="n">
        <v>37.33</v>
      </c>
      <c r="E25" s="38" t="inlineStr">
        <is>
          <t>(8.0000 + 1.3333) x 4 = 37.33</t>
        </is>
      </c>
      <c r="F25" s="38" t="inlineStr">
        <is>
          <t>CONFIRMADO</t>
        </is>
      </c>
      <c r="G25" s="38" t="inlineStr">
        <is>
          <t>10,11/A09.27 METAL STUD BOX BEAM OR STEEL FRAMING AS REQUIRED (= box, 4 pieces, D2); R.O. 8'-0"</t>
        </is>
      </c>
    </row>
    <row r="26">
      <c r="A26" s="38" t="inlineStr">
        <is>
          <t>door 123 box beam</t>
        </is>
      </c>
      <c r="B26" s="38" t="n">
        <v>3.33</v>
      </c>
      <c r="C26" s="38" t="n">
        <v>4</v>
      </c>
      <c r="D26" s="38" t="n">
        <v>18.67</v>
      </c>
      <c r="E26" s="38" t="inlineStr">
        <is>
          <t>(3.3333 + 1.3333) x 4 = 18.67</t>
        </is>
      </c>
      <c r="F26" s="38" t="inlineStr">
        <is>
          <t>CONFIRMADO</t>
        </is>
      </c>
      <c r="G26" s="38" t="inlineStr">
        <is>
          <t>14/A09.27 METAL STUD BOX BEAM AS REQUIRED; A00.30 3'-0" -&gt; 3'-4"</t>
        </is>
      </c>
    </row>
    <row r="27">
      <c r="A27" s="38" t="inlineStr">
        <is>
          <t>coiling grille 103 (2 box beams)</t>
        </is>
      </c>
      <c r="B27" s="38" t="n">
        <v>13.33</v>
      </c>
      <c r="C27" s="38" t="n">
        <v>8</v>
      </c>
      <c r="D27" s="38" t="n">
        <v>117.33</v>
      </c>
      <c r="E27" s="38" t="inlineStr">
        <is>
          <t>(13.3333 + 1.3333) x 8 = 117.33</t>
        </is>
      </c>
      <c r="F27" s="38" t="inlineStr">
        <is>
          <t>CONFIRMADO</t>
        </is>
      </c>
      <c r="G27" s="38" t="inlineStr">
        <is>
          <t>4/A08.21 two 6" CFMF BOX BEAM HEADER x 4 pieces; R.O. 13'-4"</t>
        </is>
      </c>
    </row>
    <row r="28">
      <c r="A28" s="38" t="inlineStr">
        <is>
          <t>vestibule head VB-101</t>
        </is>
      </c>
      <c r="B28" s="38" t="n">
        <v>15.65</v>
      </c>
      <c r="C28" s="38" t="n">
        <v>4</v>
      </c>
      <c r="D28" s="38" t="n">
        <v>67.92</v>
      </c>
      <c r="E28" s="38" t="inlineStr">
        <is>
          <t>(15.6458 + 1.3333) x 4 = 67.92</t>
        </is>
      </c>
      <c r="F28" s="38" t="inlineStr">
        <is>
          <t>DERIVADO</t>
        </is>
      </c>
      <c r="G28" s="38" t="inlineStr">
        <is>
          <t>1/A12.10 chain 15'-7 3/4" (R73.8); 4-7/A12.10 BOX HEADER = 4 pieces</t>
        </is>
      </c>
    </row>
    <row r="29">
      <c r="A29" s="38" t="inlineStr">
        <is>
          <t>vestibule head VB-100A</t>
        </is>
      </c>
      <c r="B29" s="38" t="n">
        <v>6.42</v>
      </c>
      <c r="C29" s="38" t="n">
        <v>4</v>
      </c>
      <c r="D29" s="38" t="n">
        <v>31</v>
      </c>
      <c r="E29" s="38" t="inlineStr">
        <is>
          <t>(6.4167 + 1.3333) x 4 = 31.00</t>
        </is>
      </c>
      <c r="F29" s="38" t="inlineStr">
        <is>
          <t>DERIVADO</t>
        </is>
      </c>
      <c r="G29" s="38" t="inlineStr">
        <is>
          <t>A12.10 6'-5"; BOX HEADER = 4 pieces</t>
        </is>
      </c>
    </row>
    <row r="30">
      <c r="A30" s="38" t="inlineStr">
        <is>
          <t>office front east CONT. BOX BEAM</t>
        </is>
      </c>
      <c r="B30" s="38" t="n">
        <v>39.98</v>
      </c>
      <c r="C30" s="38" t="n">
        <v>4</v>
      </c>
      <c r="D30" s="38" t="n">
        <v>165.24</v>
      </c>
      <c r="E30" s="38" t="inlineStr">
        <is>
          <t>(39.9767 + 1.3333) x 4 = 165.24</t>
        </is>
      </c>
      <c r="F30" s="38" t="inlineStr">
        <is>
          <t>DERIVADO</t>
        </is>
      </c>
      <c r="G30" s="38" t="inlineStr">
        <is>
          <t>8,9/A12.01 CONT. BOX BEAM; A02.01 first jamb 380.97 pt to last jamb 1100.55 pt / 18 pt/ft (D2)</t>
        </is>
      </c>
    </row>
    <row r="31">
      <c r="A31" s="38" t="inlineStr">
        <is>
          <t>office front west CONT. BOX BEAM</t>
        </is>
      </c>
      <c r="B31" s="38" t="n">
        <v>18.51</v>
      </c>
      <c r="C31" s="38" t="n">
        <v>4</v>
      </c>
      <c r="D31" s="38" t="n">
        <v>79.37</v>
      </c>
      <c r="E31" s="38" t="inlineStr">
        <is>
          <t>(18.5083 + 1.3333) x 4 = 79.37</t>
        </is>
      </c>
      <c r="F31" s="38" t="inlineStr">
        <is>
          <t>DERIVADO</t>
        </is>
      </c>
      <c r="G31" s="38" t="inlineStr">
        <is>
          <t>8,9/A12.01 CONT. BOX BEAM; A02.01 first jamb 845.97 pt to last jamb 1179.12 pt / 18 pt/ft (D2)</t>
        </is>
      </c>
    </row>
    <row r="32">
      <c r="A32" s="38" t="inlineStr">
        <is>
          <t>Total</t>
        </is>
      </c>
      <c r="B32" s="38" t="inlineStr"/>
      <c r="C32" s="38" t="inlineStr"/>
      <c r="D32" s="38" t="n">
        <v>796.76</v>
      </c>
    </row>
    <row r="34">
      <c r="A34" s="38" t="inlineStr">
        <is>
          <t>SILL TRACK (D5)</t>
        </is>
      </c>
    </row>
    <row r="35">
      <c r="A35" s="38" t="inlineStr">
        <is>
          <t>Item</t>
        </is>
      </c>
      <c r="B35" s="38" t="inlineStr">
        <is>
          <t>R.O. ft</t>
        </is>
      </c>
      <c r="C35" s="38" t="inlineStr">
        <is>
          <t>Pieces</t>
        </is>
      </c>
      <c r="D35" s="38" t="inlineStr">
        <is>
          <t>LF</t>
        </is>
      </c>
      <c r="E35" s="38" t="inlineStr">
        <is>
          <t>Operation</t>
        </is>
      </c>
      <c r="F35" s="38" t="inlineStr"/>
      <c r="G35" s="38" t="inlineStr">
        <is>
          <t>Sheet + detail</t>
        </is>
      </c>
    </row>
    <row r="36">
      <c r="A36" s="38" t="inlineStr">
        <is>
          <t>window W-1</t>
        </is>
      </c>
      <c r="B36" s="38" t="n">
        <v>8</v>
      </c>
      <c r="C36" s="38" t="n">
        <v>2</v>
      </c>
      <c r="D36" s="38" t="n">
        <v>18.67</v>
      </c>
      <c r="E36" s="38" t="inlineStr">
        <is>
          <t>(8.0000 + 1.3333) x 2 = 18.67</t>
        </is>
      </c>
      <c r="F36" s="38" t="inlineStr">
        <is>
          <t>DERIVADO</t>
        </is>
      </c>
      <c r="G36" s="38" t="inlineStr">
        <is>
          <t>2/S5.20 INVERT DETAIL FOR SILL CONDITION + ADDL TRACK @ OPNG &gt; 4'-0" (D5)</t>
        </is>
      </c>
    </row>
    <row r="37">
      <c r="A37" s="38" t="inlineStr">
        <is>
          <t>window W-2</t>
        </is>
      </c>
      <c r="B37" s="38" t="n">
        <v>8</v>
      </c>
      <c r="C37" s="38" t="n">
        <v>2</v>
      </c>
      <c r="D37" s="38" t="n">
        <v>18.67</v>
      </c>
      <c r="E37" s="38" t="inlineStr">
        <is>
          <t>(8.0000 + 1.3333) x 2 = 18.67</t>
        </is>
      </c>
      <c r="F37" s="38" t="inlineStr">
        <is>
          <t>DERIVADO</t>
        </is>
      </c>
      <c r="G37" s="38" t="inlineStr">
        <is>
          <t>2/S5.20 INVERT DETAIL FOR SILL CONDITION + ADDL TRACK @ OPNG &gt; 4'-0" (D5)</t>
        </is>
      </c>
    </row>
    <row r="38">
      <c r="A38" s="38" t="inlineStr">
        <is>
          <t>window W-3</t>
        </is>
      </c>
      <c r="B38" s="38" t="n">
        <v>8</v>
      </c>
      <c r="C38" s="38" t="n">
        <v>2</v>
      </c>
      <c r="D38" s="38" t="n">
        <v>18.67</v>
      </c>
      <c r="E38" s="38" t="inlineStr">
        <is>
          <t>(8.0000 + 1.3333) x 2 = 18.67</t>
        </is>
      </c>
      <c r="F38" s="38" t="inlineStr">
        <is>
          <t>DERIVADO</t>
        </is>
      </c>
      <c r="G38" s="38" t="inlineStr">
        <is>
          <t>2/S5.20 INVERT DETAIL FOR SILL CONDITION + ADDL TRACK @ OPNG &gt; 4'-0" (D5)</t>
        </is>
      </c>
    </row>
    <row r="39">
      <c r="A39" s="38" t="inlineStr">
        <is>
          <t>window W-4</t>
        </is>
      </c>
      <c r="B39" s="38" t="n">
        <v>8</v>
      </c>
      <c r="C39" s="38" t="n">
        <v>2</v>
      </c>
      <c r="D39" s="38" t="n">
        <v>18.67</v>
      </c>
      <c r="E39" s="38" t="inlineStr">
        <is>
          <t>(8.0000 + 1.3333) x 2 = 18.67</t>
        </is>
      </c>
      <c r="F39" s="38" t="inlineStr">
        <is>
          <t>DERIVADO</t>
        </is>
      </c>
      <c r="G39" s="38" t="inlineStr">
        <is>
          <t>2/S5.20 INVERT DETAIL FOR SILL CONDITION + ADDL TRACK @ OPNG &gt; 4'-0" (D5)</t>
        </is>
      </c>
    </row>
    <row r="40">
      <c r="A40" s="38" t="inlineStr">
        <is>
          <t>window W-5</t>
        </is>
      </c>
      <c r="B40" s="38" t="n">
        <v>8</v>
      </c>
      <c r="C40" s="38" t="n">
        <v>2</v>
      </c>
      <c r="D40" s="38" t="n">
        <v>18.67</v>
      </c>
      <c r="E40" s="38" t="inlineStr">
        <is>
          <t>(8.0000 + 1.3333) x 2 = 18.67</t>
        </is>
      </c>
      <c r="F40" s="38" t="inlineStr">
        <is>
          <t>DERIVADO</t>
        </is>
      </c>
      <c r="G40" s="38" t="inlineStr">
        <is>
          <t>2/S5.20 INVERT DETAIL FOR SILL CONDITION + ADDL TRACK @ OPNG &gt; 4'-0" (D5)</t>
        </is>
      </c>
    </row>
    <row r="41">
      <c r="A41" s="38" t="inlineStr">
        <is>
          <t>window W-6</t>
        </is>
      </c>
      <c r="B41" s="38" t="n">
        <v>8</v>
      </c>
      <c r="C41" s="38" t="n">
        <v>2</v>
      </c>
      <c r="D41" s="38" t="n">
        <v>18.67</v>
      </c>
      <c r="E41" s="38" t="inlineStr">
        <is>
          <t>(8.0000 + 1.3333) x 2 = 18.67</t>
        </is>
      </c>
      <c r="F41" s="38" t="inlineStr">
        <is>
          <t>DERIVADO</t>
        </is>
      </c>
      <c r="G41" s="38" t="inlineStr">
        <is>
          <t>2/S5.20 INVERT DETAIL FOR SILL CONDITION + ADDL TRACK @ OPNG &gt; 4'-0" (D5)</t>
        </is>
      </c>
    </row>
    <row r="42">
      <c r="A42" s="38" t="inlineStr">
        <is>
          <t>ATM-WU</t>
        </is>
      </c>
      <c r="B42" s="38" t="n">
        <v>2.25</v>
      </c>
      <c r="C42" s="38" t="n">
        <v>1</v>
      </c>
      <c r="D42" s="38" t="n">
        <v>3.58</v>
      </c>
      <c r="E42" s="38" t="inlineStr">
        <is>
          <t>(2.2500 + 1.3333) x 1 = 3.58</t>
        </is>
      </c>
      <c r="F42" s="38" t="inlineStr">
        <is>
          <t>DERIVADO</t>
        </is>
      </c>
      <c r="G42" s="38" t="inlineStr">
        <is>
          <t>4/A08.11 sill 2'-7 3/4"; R.O. &lt;= 4'-0" -&gt; 1 (D5)</t>
        </is>
      </c>
    </row>
    <row r="43">
      <c r="A43" s="38" t="inlineStr">
        <is>
          <t>ATM-DU</t>
        </is>
      </c>
      <c r="B43" s="38" t="n">
        <v>2.21</v>
      </c>
      <c r="C43" s="38" t="n">
        <v>1</v>
      </c>
      <c r="D43" s="38" t="n">
        <v>3.54</v>
      </c>
      <c r="E43" s="38" t="inlineStr">
        <is>
          <t>(2.2083 + 1.3333) x 1 = 3.54</t>
        </is>
      </c>
      <c r="F43" s="38" t="inlineStr">
        <is>
          <t>DERIVADO</t>
        </is>
      </c>
      <c r="G43" s="38" t="inlineStr">
        <is>
          <t>6/A08.11 R.O. sill 2'-8 1/8"; R.O. &lt;= 4'-0" -&gt; 1 (D5); RFI-H7</t>
        </is>
      </c>
    </row>
    <row r="44">
      <c r="A44" s="38" t="inlineStr">
        <is>
          <t>Total</t>
        </is>
      </c>
      <c r="B44" s="38" t="inlineStr"/>
      <c r="C44" s="38" t="inlineStr"/>
      <c r="D44" s="38" t="n">
        <v>119.14</v>
      </c>
    </row>
    <row r="46">
      <c r="A46" s="38" t="inlineStr">
        <is>
          <t>EXTRA FRAMING ATM (D1)</t>
        </is>
      </c>
      <c r="B46" s="82" t="inlineStr">
        <is>
          <t>SUPERSEDED IN v6: this was the grid-2 exterior wall (drive-up), the wrong wall. See "CAMBIOS v6".</t>
        </is>
      </c>
    </row>
    <row r="47">
      <c r="A47" s="38" t="inlineStr">
        <is>
          <t>Wall length ft</t>
        </is>
      </c>
      <c r="B47" s="38" t="n">
        <v>21.46</v>
      </c>
      <c r="C47" s="38" t="inlineStr">
        <is>
          <t>A02.01 vector: storefront jamb 454.44 pt to outer stud face of the D wall 840.72 pt / 18 pt/ft (printed ticks 5'-1 1/4" and 14'-10" check the scale)</t>
        </is>
      </c>
    </row>
    <row r="48">
      <c r="A48" s="38" t="inlineStr">
        <is>
          <t>Stud height ft</t>
        </is>
      </c>
      <c r="B48" s="38" t="n">
        <v>14.3583</v>
      </c>
      <c r="C48" s="38" t="inlineStr">
        <is>
          <t>S2.20 B.O.D. 15'-4 1/2" - W12X19 perimeter beam (10/S5.10): studs stop under the beam</t>
        </is>
      </c>
    </row>
    <row r="49">
      <c r="A49" s="38" t="inlineStr">
        <is>
          <t>Studs LF</t>
        </is>
      </c>
      <c r="B49" s="38" t="n">
        <v>338.47</v>
      </c>
      <c r="C49" s="38" t="inlineStr">
        <is>
          <t>S1.11 6" @ 16" O.C. + 12" O.C. within 6 ft of the corner: 1 + ROUNDUP(15.46/1.333) + ROUNDUP(6.0/1.0) = 19 - 1 inside R.O. + 4 jambs + 1 L-corner = 23 full x 14.3583 = 330.24 + 1 cripple x (14.3583 - 6.125) = 8.23</t>
        </is>
      </c>
    </row>
    <row r="50">
      <c r="A50" s="38" t="inlineStr">
        <is>
          <t>Runners LF</t>
        </is>
      </c>
      <c r="B50" s="38" t="n">
        <v>42.92</v>
      </c>
      <c r="C50" s="38" t="inlineStr">
        <is>
          <t>bottom + top runner, 2 x wall length</t>
        </is>
      </c>
    </row>
    <row r="51">
      <c r="A51" s="38" t="inlineStr">
        <is>
          <t>Total LF</t>
        </is>
      </c>
      <c r="B51" s="38" t="n">
        <v>381.39</v>
      </c>
      <c r="C51" s="38" t="inlineStr">
        <is>
          <t>studs 338.47 + bottom runner 21.46 + top runner 21.46 = 381.39</t>
        </is>
      </c>
    </row>
    <row r="53">
      <c r="A53" s="38" t="inlineStr">
        <is>
          <t>3/4" FRT PLYWOOD AT STOREFRONT PIERS (D4)</t>
        </is>
      </c>
    </row>
    <row r="54">
      <c r="A54" s="38" t="inlineStr">
        <is>
          <t>1/A09.25 top jamb</t>
        </is>
      </c>
      <c r="B54" s="38" t="n">
        <v>0.7589</v>
      </c>
      <c r="C54" s="38" t="inlineStr">
        <is>
          <t>vector at 1 1/2"=1'-0" (108 pt/ft); ply thickness drawn 6.72-6.84 pt = 0.75-0.76" vs printed 3/4" (scale check)</t>
        </is>
      </c>
    </row>
    <row r="55">
      <c r="A55" s="38" t="inlineStr">
        <is>
          <t>1/A09.25 side jamb</t>
        </is>
      </c>
      <c r="B55" s="38" t="n">
        <v>0.7578</v>
      </c>
      <c r="C55" s="38" t="inlineStr">
        <is>
          <t>vector at 1 1/2"=1'-0" (108 pt/ft); ply thickness drawn 6.72-6.84 pt = 0.75-0.76" vs printed 3/4" (scale check)</t>
        </is>
      </c>
    </row>
    <row r="56">
      <c r="A56" s="38" t="inlineStr">
        <is>
          <t>2/A09.25 left jamb</t>
        </is>
      </c>
      <c r="B56" s="38" t="n">
        <v>0.7589</v>
      </c>
      <c r="C56" s="38" t="inlineStr">
        <is>
          <t>vector at 1 1/2"=1'-0" (108 pt/ft); ply thickness drawn 6.72-6.84 pt = 0.75-0.76" vs printed 3/4" (scale check)</t>
        </is>
      </c>
    </row>
    <row r="57">
      <c r="A57" s="38" t="inlineStr">
        <is>
          <t>2/A09.25 right jamb</t>
        </is>
      </c>
      <c r="B57" s="38" t="n">
        <v>0.5</v>
      </c>
      <c r="C57" s="38" t="inlineStr">
        <is>
          <t>vector at 1 1/2"=1'-0" (108 pt/ft); ply thickness drawn 6.72-6.84 pt = 0.75-0.76" vs printed 3/4" (scale check)</t>
        </is>
      </c>
    </row>
    <row r="58">
      <c r="A58" s="38" t="inlineStr">
        <is>
          <t>Total SF</t>
        </is>
      </c>
      <c r="B58" s="38" t="n">
        <v>23.59</v>
      </c>
      <c r="C58" s="38" t="inlineStr">
        <is>
          <t>0.7589 + 0.7578 + 0.7589 + 0.5000 = 2.7756 ft x 8.5 (T/GLAZING 8'-6" A09.01) x 1 ply = 23.59 SF</t>
        </is>
      </c>
    </row>
    <row r="60">
      <c r="A60" s="38" t="inlineStr">
        <is>
          <t>TRACK OF CEILINGS (D6)</t>
        </is>
      </c>
      <c r="B60" s="38" t="n">
        <v>1246</v>
      </c>
      <c r="C60" s="38" t="inlineStr">
        <is>
          <t>1323.03 (rangos_v18m, decision 16-oct with the transitions) - 77.03 (perimeter track carried on the Waiting 104 transition edges, RFI-CEIL-104 of arbitration #21) = 1246.00 (D6: 7/A09.33 ends the ceiling with shadow molding, no perimeter track on a transition edge)</t>
        </is>
      </c>
    </row>
  </sheetData>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J6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38" min="1" max="1"/>
    <col width="6" customWidth="1" style="38" min="2" max="2"/>
    <col width="12" customWidth="1" style="38" min="3" max="4"/>
    <col width="10" customWidth="1" style="38" min="5" max="5"/>
    <col width="11" customWidth="1" style="38" min="6" max="6"/>
    <col width="45" customWidth="1" style="38" min="7" max="7"/>
    <col width="80" customWidth="1" style="38" min="8" max="9"/>
    <col width="50" customWidth="1" style="38" min="10" max="10"/>
  </cols>
  <sheetData>
    <row r="1" ht="15" customHeight="1" s="36">
      <c r="A1" s="38" t="inlineStr">
        <is>
          <t>CAMBIOS v4 vs v3 - definitive reference 2026-10-15. Every row re-quantified from the bid set; v3 kept untouched in its own file.</t>
        </is>
      </c>
    </row>
    <row r="2" ht="15" customHeight="1" s="36">
      <c r="A2" s="38" t="inlineStr">
        <is>
          <t>Row</t>
        </is>
      </c>
      <c r="B2" s="38" t="inlineStr">
        <is>
          <t>Unit</t>
        </is>
      </c>
      <c r="C2" s="38" t="inlineStr">
        <is>
          <t>Before (v3)</t>
        </is>
      </c>
      <c r="D2" s="38" t="inlineStr">
        <is>
          <t>Now (v4)</t>
        </is>
      </c>
      <c r="E2" s="38" t="inlineStr">
        <is>
          <t>Delta</t>
        </is>
      </c>
      <c r="F2" s="38" t="inlineStr">
        <is>
          <t>Status</t>
        </is>
      </c>
      <c r="G2" s="38" t="inlineStr">
        <is>
          <t>Sheet + detail</t>
        </is>
      </c>
      <c r="H2" s="38" t="inlineStr">
        <is>
          <t>Reason</t>
        </is>
      </c>
      <c r="I2" s="38" t="inlineStr">
        <is>
          <t>Operation</t>
        </is>
      </c>
      <c r="J2" s="38" t="inlineStr">
        <is>
          <t>RFI</t>
        </is>
      </c>
    </row>
    <row r="3" ht="323.85" customHeight="1" s="36">
      <c r="A3" s="39" t="inlineStr">
        <is>
          <t>6" metal stud 600S137-33 / -68 (LF of material)</t>
        </is>
      </c>
      <c r="B3" s="39" t="inlineStr">
        <is>
          <t>LF</t>
        </is>
      </c>
      <c r="C3" s="39" t="n">
        <v>5486.56</v>
      </c>
      <c r="D3" s="39" t="n">
        <v>4525.47</v>
      </c>
      <c r="E3" s="39" t="n">
        <v>-961.09</v>
      </c>
      <c r="F3" s="39" t="inlineStr">
        <is>
          <t>RFI</t>
        </is>
      </c>
      <c r="G3" s="39" t="inlineStr">
        <is>
          <t>A02.01 (exterior outline, 5 building corners) -&gt; A/A09.21, 2/A09.26 (6" CFMF to deck incl. above storefront) -&gt; 10/S5.10 + 6/S5.10 (studs stop at DEFLECTION TRACK under PERIMETER BEAM) -&gt; S2.20 (perimeter beam sizes, B.O.D. 15'-4 1/2" / 13'-0 5/8" / 12'-6 3/8", HSS9x5x5/8 lintels T.O.S. 9'-4 1/2") -&gt; S1.11 LIGHT GAUGE note 5 vs 7/S5.20 METAL STUD PROPERTIES; interior A5/B2/B2K: A02.01 -&gt; 1,3,4/A12.01 (v3 rows, not re-measured)</t>
        </is>
      </c>
      <c r="H3" s="39" t="inlineStr">
        <is>
          <t>Carried option = S1.11 note 5 (exterior studs 600S162-54, corners @12", more material per 53.3); the row name is kept as v3 but the 3,274.49 LF exterior part is 600S162-54 (54 mil) under this option, the 1,250.98 interior part stays 600S137-33/-68. Change vs v3 (-961.1 LF): (1) v3 ran exterior studs to B.O.D.; 10/S5.10 stops them at the deflection track under the perimeter beam (-302.1 LF on the 7/S5.20 basis); (2) v3 counted window cripples as full-height studs and used outer-face lengths (E 132 pcs x 14.52 ft) - with 53.2 counting at real length (-792.0 LF on 7/S5.20 basis, includes +150.8 LF of cripples above the storefronts that v3 did not carry at all, see A/A09.21 6" CFMF above storefront); (3) S1.11 corners +133.0 LF. Reconciliation (7/S5.20 basis): v3 exterior 4,235.58 -&gt; 3,443.55 at B.O.D. heights with 53.2 count -&gt; 3,141.46 under beam. Interior 6" walls (1,250.98) not re-measured.</t>
        </is>
      </c>
      <c r="I3" s="39" t="inlineStr">
        <is>
          <t>[DERIVADO] Stud height = B.O.D. [CONFIRMADO S2.20] - perimeter beam depth [AISC nominal d of the S2.20 size]: W12x19 (HI) 15.375-1.013=14.362 ft (N solid, E north of grid B, W grid 3 D-&gt;B, W grid 2, jog); W14x22 low roof 13.052-1.145=11.907 ft (E and W grid B-&gt;A, high side per 53.2); W18x35 grid A bays 3-6: 12.531-1.475=11.056 ft; W14x22 grid A bay 6-8: 12.531-1.145=11.386 ft. Lengths = stud centerline [DERIVADO, A02.02 vector, outer parapet line -8", scale validated: S = 52.34 = printed 52'-4" grid 3-8 on S2.20; E 75.96 = F-A 75'-11 1/4" sum of S2.20 grid dims]: N solid 13.62 (=39.87 grid F run - 26'-3" storefront), E 75.96 (50.71 high + 25.25 low, B-A = 25'-3" S2.20), S 52.34 (34.37 under W18x35 + 17.97 under W14x22), W grid 3 47.93 (22.68 high D-B + 25.25 low), jog 3.91, W grid 2 wall 20.55 (29.03 - pier 1.98 - storefront 6.50). Count per 53.2: SUM ROUNDUP(zone/OC)+1 per wall; S1.11 option: 6 ft @12" O.C. at each building corner leg (5 corners: NE, SE, SW, re-entrant 3/D, jog 2/D; NW is storefront pier 1/A09.25, no 6" wall within 6 ft), @16" elsewhere; +1 per corner (5), +1 per T (E 5, S 4, W grid 3 6, W grid 2 3), +4 per opening (king+jack each jamb: E 4 windows, W grid 3 2 windows, ATM 2.18x2.60, door 123 3.33x7.00), +2 at each storefront jamb (N solid W end, W grid 2 N end); field studs inside openings removed and replaced by cripples at real length (window 8'-0" R.O.: 5 cripples x (6.50 below sill + H-8.50 above head); ATM 1 x (H-2.60); door 123 2 x (H-7.00)). Cripples above storefront [DERIVADO]: N main 26.25 LF under W18x35: 19 x (13.900-9.375 HSS T.O.S.) = 85.98; N vestibule 12.56 under W12x19: 10 x 4.987 = 49.87; W vestibule 6.50 under W12x19 (HSS B.O.S. 8'-7 1/2"): 6 x 4.987 = 29.92. S1.11 option per facade: N 365.64 (N solid 16 pcs 229.79 + storefront cripples 135.85) | E 1,109.92 (64 full studs + 20 window cripple pairs) | S 577.25 (51 pcs) | W 1,221.68 (grid 3 720.43 + jog 86.17 + grid 2 385.16 + vestibule storefront cripples 29.92) = 3,274.49 exterior + 1,250.98 interior 6" A5/B2/B2K (v3 Partition Takeoff, kept) = 4,525.47 LF. 7/S5.20 option (all @16"): N 346.29 | E 1,083.65 | S 554.81 | W 1,156.72 = 3,141.46 + 1,250.98 = 4,392.44 LF.</t>
        </is>
      </c>
      <c r="J3" s="39" t="inlineStr">
        <is>
          <t>RFI-1 gauge/spacing: S1.11 LIGHT GAUGE note 5 (600S162-54, @12" within 6 ft of building corners, @16" elsewhere) vs 7/S5.20 (600S137-33 @16" EXTERIOR WALLS). Carried S1.11 = 4,525.47 LF (exterior 3,274.49 LF of 600S162-54); 7/S5.20 = 4,392.44 LF (-133.03 LF, lighter 33 mil product). RFI-2: canopy beams (W12x19/W16x26 CANOPY, T.O.S. 11'-11 3/8" / 12'-2 3/4") are drawn inside the stud depth in 7/A09.26, A/A09.21 and C/A09.21; if the studs must also stop/restart at the canopy beam, deduct ~1.0-1.3 ft per stud on the canopy-band walls (approx. -175 LF, not carried). Interior 6" walls: v3 not re-checked against beams (A5/B2 run to B.O.D. per 3/A12.01).</t>
        </is>
      </c>
    </row>
    <row r="4" ht="135.8" customHeight="1" s="36">
      <c r="A4" s="39" t="inlineStr">
        <is>
          <t>6" parapet infill stud 600S162-54 @ 16" O.C. (LF of material)</t>
        </is>
      </c>
      <c r="B4" s="39" t="inlineStr">
        <is>
          <t>LF</t>
        </is>
      </c>
      <c r="C4" s="39" t="n">
        <v>967.5</v>
      </c>
      <c r="D4" s="39" t="n">
        <v>997.1900000000001</v>
      </c>
      <c r="E4" s="39" t="n">
        <v>29.69</v>
      </c>
      <c r="F4" s="39" t="inlineStr">
        <is>
          <t>DERIVADO</t>
        </is>
      </c>
      <c r="G4" s="39" t="inlineStr">
        <is>
          <t>A02.02 roof plan (parapet outline + key note 10 stub) -&gt; 10/S5.10, 6/S5.10 (HSS 5x5x1/4 posts @5'-0" max, REF 11/S5.10) -&gt; 11/S5.10 PARAPET INFILL FRAMING ("ONE STUD EA. SIDE OF EA. POST", "600S162-54 @ 16" W/ 600T125-54 TOP &amp; BOT.") -&gt; heights C/A09.21 T/STUD LP 17'-5", A/A09.21 T/STUD HP 19'-8", S2.20 B.O.D.</t>
        </is>
      </c>
      <c r="H4" s="39" t="inlineStr">
        <is>
          <t>Same method as arb5/arb6 (bay by bay, 5 studs per 5-ft bay, average height on the sloped deck); the +29.7 LF is ROUNDUP of bays per straight run (53.2) on the vector centerline runs, incl. the key note 10 stub. Min 945.9 = 1 stud per LF x LF-weighted height (no rounding); max 1,041.6 = bays split again at every height change. Arb5 value 967.5 is inside the range; no new drawing evidence against it, only the counting rule.</t>
        </is>
      </c>
      <c r="I4" s="39" t="inlineStr">
        <is>
          <t>[DERIVADO] Bays per straight run = ROUNDUP(L/5.0) (53.2); studs per bay = 2 (one each side of the posts) + ROUNDUP((bay-0.6)/1.333)-1 intermediates = 5 for bays 4.65-5.0 ft (3 for the 2.94 ft stub, 4 for the 3.91 ft jog). Heights = T/STUD - B.O.D.: LP 17.417-15.375=2.042; HP 19.667-15.375=4.292; grid A 17.417-12.531=4.885; sloped B-A average 17.417-12.792=4.625 (55.3). N: main 39.87 LF -&gt; 8 bays x 5 = 40 x 2.042 = 81.68; tower front 17.39 (16.39+1.00 step) -&gt; 4 bays = 20 x 4.292 = 85.84; stub KN10 2.94 -&gt; 3 x 4.292 = 12.88; N = 180.40 | E 75.96 -&gt; 16 bays = 80 x 2.9006 (weighted 50.71 @2.042 + 25.25 @4.625) = 232.05 | S 52.34 -&gt; 11 bays = 55 x 4.885 = 268.68 | W: grid 3 47.93 -&gt; 10 bays = 50 x 3.4027 (22.68 @2.042 + 25.25 @4.625) = 170.13; jog 3.91 -&gt; 4 x 4.292 = 17.17; tower W 29.03 -&gt; 6 bays = 30 x 4.292 = 128.76; W = 316.06. Total 997.19 LF.</t>
        </is>
      </c>
      <c r="J4" s="39" t="inlineStr">
        <is>
          <t>Arb5 RFI stands: 11/S5.10 bay-by-bay (carried) vs @16" continuous + 2 per post (~+141 LF).</t>
        </is>
      </c>
    </row>
    <row r="5" ht="471.6" customHeight="1" s="36">
      <c r="A5" s="39" t="inlineStr">
        <is>
          <t>3-5/8" metal stud 362S137-33 / -68 (LF of material)</t>
        </is>
      </c>
      <c r="B5" s="39" t="inlineStr">
        <is>
          <t>LF</t>
        </is>
      </c>
      <c r="C5" s="39" t="n">
        <v>4928.59</v>
      </c>
      <c r="D5" s="39" t="n">
        <v>6123.12</v>
      </c>
      <c r="E5" s="39" t="n">
        <v>1194.53</v>
      </c>
      <c r="F5" s="39" t="inlineStr">
        <is>
          <t>CRITERIO</t>
        </is>
      </c>
      <c r="G5" s="39" t="inlineStr">
        <is>
          <t>A02.01 -&gt; 3/A12.01 (A1) -&gt; 4/A12.01 (A1K 14 GA @ 24") -&gt; 1/A12.01 (B) -&gt; 6/A12.01 (C1) -&gt; 12/A12.01 (F) -&gt; S2.20 (B.O.D.) -&gt; 9/S5.20 + 7/S5.20; 4/A02.02 roof step; 4-7/A12.10 + 3/A12.10 vestibule heads; 1,3/A08.21 coiling grille C1 boxes; 5/A09.25 canopy column wraps; 4,5/A09.33 + 7/A09.26 + 15,16/A09.27 canopy soffit (v3 Ceilings &amp; Soffits) ; F/A09.22 -&gt; 7/A09.26 ; 7/A09.33</t>
        </is>
      </c>
      <c r="H5" s="39" t="inlineStr">
        <is>
          <t>v3 4,928.59 omitted roof step, vestibule heads and the fountain alcove; carried C1 at ceiling heights (9-11.5 ft) and the chase faces at 5.6 LF; B walls lacked the +1 end stud. Cripples above doors now at real length (v3 counted them full height). Result inside arbitration #5 range 5,400-6,050. | COORDINATOR: adds south canopy framing and transition kickers that no group/v3 carried</t>
        </is>
      </c>
      <c r="I5" s="39" t="inlineStr">
        <is>
          <t>RULE 53.2 per wall: full-height studs = ROUNDUP(L/1.333)+1 - positions inside each R.O. + 4 per opening (king+jack each jamb) + J (1 per T end, 0.5 per corner end so each junction is counted once); cripples = positions inside R.O. x real length (H - door/opening head); A1K at 24" O.C. (4/A12.01). Heights = B.O.D. per S2.20 at the wall high end (15.375 north of grid B; 13.052 - (y-1246)/454.5 x 0.521 south of B) [CONFIRMADO elevations, DERIVADO per wall]. INTERIOR PART = 4,567.07 LF: (a) A1 9 walls 1,379.88 [v3 lengths held; door cripples now at real length]; (b) NEW untagged drinking-fountain alcove walls = A1 by note A/A02.01 (arb2 #20): back 4.48 + 2 returns 1.81 LF [DERIVADO vector A02.01, 18 pt/ft validated vs printed 1'-1" chase width] = 6+4.5+4.5 studs x 12.95 ft = 193.93; (c) A1K 145.53; (d) B 6 walls 940.65 (v3 omitted the +1 end stud of ROUNDUP+1 on every B wall; door 112 R.O. measured 3.33 not 3.00); (e) C1 686.86: chase faces #37/#39 = 10.03 LF each [DERIVADO vector: 911.88-&gt;1092.36 pt] not 5.6, and ALL C1 carried to deck because 6/A12.01 draws the studs to the structure line and no height is printed (53.3 more material): #36 12 x 15.375, #37 11 x 12.919, #39 11 x 12.896, #32 5 x 15.375, #33 5 x 15.375, #38 5 x 12.926; (f) F #40 320.19 (20 full + 1 cripple 12.69 ft at the walk-up ATM R.O. 2'-3" x 2'-8 1/4", 1/A08.11); (g) coiling grille jamb boxes (= v3 C1 #34/#35, counted ONCE per 55.2): 10 studs drawn in 3/A08.21 (4 north box + 6 south box) x 15.375 ("3/4" FRT PLYWOOD TO DECK") = 153.75; (h) canopy column wraps 4 x 8 x 10.5 = 336.00 [v3 held, 5/A09.25, not re-derived]; (i) NEW roof step 4/A02.02: 3 stud rows drawn (outer 3.113 ft + inner 3.460 ft + lower 1.131 ft = 7.704 ft per position, DERIVADO at 1 1/2"=1'-0", validated: high-to-low deck in detail 2.33 ft vs S2.20 15'-4 1/2" - 13'-0 5/8" = 2.32 ft) x 40 positions (ROUNDUP(51.59/1.333)+1; step line 51.59 LF measured on A02.02, scale validated grid 3-8 = 942 pt = 52'-4" printed) = 308.16; (j) NEW vestibule 100 storefront heads 4-7/A12.10 "METAL STUD FRAMING &amp; BOX HEADER AS NEEDED": runs 15.65 (4'-9 1/2"+6'-2"+4'-8 1/4", 1/A12.10) + 6.42 (3'-4"+3'-1") LF -&gt; 13 + 6 = 19 studs x (15.375 - 10.0 storefront top, DERIVADO from 3/A12.10 at 1/2"=1'-0" validated vs printed 5'-0") 5.375 = 102.13. Interior subtotal 3,667.03 + 153.75 + 336.00 + 308.16 + 102.13 = 4,567.07. CANOPY/SOFFIT PART = 1,340.39 LF carried from v3 Ceilings &amp; Soffits (CANOPY-81..85), not re-derived here. TOTAL 4,567.07 + 1,340.39 = 5,907.46 LF. CSR soffit studs are in their own LF row (not included here). | COORDINATOR: 5,907.46 (G1) + south canopy at door 123 (A04.01, F/A09.22 SIM 7/A09.26, missing in v3): soffit joists ROUNDUP(21.92/1.333)+1 = 18 x 2.48 ft (54.34 SF / 21.92 LF, G2/G3 vector) = 44.64 + fascia studs ROUNDUP(26.9/1.333)+1 = 22 x 1.865 ft (T/STUD 12-7 - B/STUD 10-8 5/8, 7/A09.26) = 41.03 -&gt; 85.67 [DERIVADO]; + 7/A09.33 "3 5/8 METAL STUD KICKER AT 48 O.C. ATTACH TO STRUCTURE ABOVE" along Waiting 104 transition 77.03 LF: ROUNDUP(77.03/4)+1 = 21 kickers x 45 deg diagonal (15.375 B.O.D. - 11.0 ceiling) x 1.414 = 6.19 ft = 129.99 [DERIVADO, angle as drawn]</t>
        </is>
      </c>
      <c r="J5" s="39" t="inlineStr">
        <is>
          <t>RFI-1 C1 top not dimensioned (6/A12.01): carried to deck; to ceiling (v3 heights) = -244.6 LF. RFI-2 roof step height not dimensioned (4/A02.02): derived 7.704 ft/position; arb5 323.82 vs 308.16 (+15.7). RFI-3 vestibule head "BOX HEADER AS NEEDED" (4-7/A12.10): 102.13 at 19 studs; 134.38 if 25 studs (+32.3). Grille boxes 10 drawn vs 12 (+30.75).</t>
        </is>
      </c>
    </row>
    <row r="6" ht="82.05" customHeight="1" s="36">
      <c r="A6" s="39" t="inlineStr">
        <is>
          <t>1-5/8" metal stud (LF of material)</t>
        </is>
      </c>
      <c r="B6" s="39" t="inlineStr">
        <is>
          <t>LF</t>
        </is>
      </c>
      <c r="C6" s="39" t="n">
        <v>4547.72</v>
      </c>
      <c r="D6" s="39" t="n">
        <v>3860.1</v>
      </c>
      <c r="E6" s="39" t="n">
        <v>-687.62</v>
      </c>
      <c r="F6" s="39" t="inlineStr">
        <is>
          <t>RFI</t>
        </is>
      </c>
      <c r="G6" s="39" t="inlineStr">
        <is>
          <t>A02.01 -&gt; 5/A12.01 (G, G1 1 5/8", double row, wall 6 1/8" / 8") -&gt; 8,9/A12.01 office bulkhead (double row METAL STUD above CONT. BOX BEAM to underside of structure) -&gt; A00.30 (DFC-1A 7'-10") -&gt; S2.20</t>
        </is>
      </c>
      <c r="H6" s="39" t="inlineStr">
        <is>
          <t>v3 4,547.72 carried 6-10 unexplained extra studs on several G/G1 walls (e.g. #46, #52, #50 30 studs on 11.77 LF) and treated the bulkheads as one continuous 30/15 LF run with 64/32 studs; rule 53.2 gives 22 per 11.77 LF G wall and 14 per bulkhead segment. Wall LF unchanged (v3 holds on G/G1 lengths).</t>
        </is>
      </c>
      <c r="I6" s="39" t="inlineStr">
        <is>
          <t>G/G1 double row, per row ROUNDUP(L/1.333)+1 + 1 T stud at the exterior/G end (office-front end = vendor jamb 10/A12.01, no extra), H 15.375: G 9 walls (80.875 LF, v3 lengths held = arb2 80.9) = 2,598.37 LF; G1 3 walls (17.11 LF) = 645.75 LF; office bulkhead 8,9/A12.01: 6 segments of 7'-6" (between the full-height G returns, "7'-6" HOLD" printed A02.01) x 2 rows x 7 studs = 84 studs x 7.333 ft = 615.97 LF. Total 2,598.37 + 645.75 + 615.97 = 3,860.09 (rounded 3,860.10) LF (per-wall table in notes).</t>
        </is>
      </c>
      <c r="J6" s="39" t="inlineStr">
        <is>
          <t>RFI bulkhead stud height: office-front head height is vendor (not printed); carried 7.333 ft (front+box beam top at ~8'-0", door 7'-10" A00.30). If bulkhead studs start at 9'-0" ceiling = 6.375 ft: -80.5 LF. RFI bulkhead stud size: 8,9/A12.01 say only "METAL STUD" (1-5/8" assumed from G).</t>
        </is>
      </c>
    </row>
    <row r="7" ht="41.75" customHeight="1" s="36">
      <c r="A7" s="39" t="inlineStr">
        <is>
          <t>Bottom track 3-5/8"</t>
        </is>
      </c>
      <c r="B7" s="39" t="inlineStr">
        <is>
          <t>LF</t>
        </is>
      </c>
      <c r="C7" s="39" t="n">
        <v>227.482</v>
      </c>
      <c r="D7" s="39" t="n">
        <v>244.34</v>
      </c>
      <c r="E7" s="39" t="n">
        <v>16.86</v>
      </c>
      <c r="F7" s="39" t="inlineStr">
        <is>
          <t>DERIVADO</t>
        </is>
      </c>
      <c r="G7" s="39" t="inlineStr">
        <is>
          <t>A02.01 -&gt; 3/A12.01 (METAL STUD TRACK) -&gt; 6/A12.01 -&gt; 12/A12.01 -&gt; 3/A08.21 -&gt; 5/A09.25</t>
        </is>
      </c>
      <c r="H7" s="39" t="inlineStr">
        <is>
          <t>Chase C1 faces 10.03 LF each instead of 5.6 (+8.86) and the untagged fountain alcove (A1 by note A, +8.10) were missing.</t>
        </is>
      </c>
      <c r="I7" s="39" t="inlineStr">
        <is>
          <t>A1 78.367 + NEW fountain alcove 8.10 (4.48 + 2 x 1.81) + A1K 7.99 + B 60.68 (B #20 = 11.73 vector) + C1 (11.333 + 10.03 + 10.03 + 4.56 + 3.58 + 3.39) 42.923 + F 17.762 + grille boxes 3.33 + 2.52 (v3 lengths, 55.2 counted once) + canopy column wraps 22.672 = 244.34 LF.</t>
        </is>
      </c>
      <c r="J7" s="39" t="n"/>
    </row>
    <row r="8" ht="82.05" customHeight="1" s="36">
      <c r="A8" s="39" t="inlineStr">
        <is>
          <t>Parapet bottom track 600T125-54 (PAF to steel beam)</t>
        </is>
      </c>
      <c r="B8" s="39" t="inlineStr">
        <is>
          <t>LF</t>
        </is>
      </c>
      <c r="C8" s="39" t="n">
        <v>263.84</v>
      </c>
      <c r="D8" s="39" t="n">
        <v>269.37</v>
      </c>
      <c r="E8" s="39" t="n">
        <v>5.53</v>
      </c>
      <c r="F8" s="39" t="inlineStr">
        <is>
          <t>DERIVADO</t>
        </is>
      </c>
      <c r="G8" s="39" t="inlineStr">
        <is>
          <t>A02.02 roof plan parapet outline (vector) -&gt; 4/A09.26 (outer face 8" from stud CL) -&gt; 11/S5.10 "600T125-54 TOP &amp; BOT." -&gt; S2.20 52'-4" grid 3-8 (scale check)</t>
        </is>
      </c>
      <c r="H8" s="39" t="inlineStr">
        <is>
          <t>v3 parapet row 263.84 + 6.85 LF parapet portion inside the v3 row "Bottom track - roof step 4/A02.02, vestibule heads 4-7/A12.10, parapet faltante (arbitraje #5)" = 270.69 = arb5 run. Full perimeter incl. over storefront confirmed. Re-measured centerline incl. stub = 269.37: this row +5.53 LF, and the 6.85 LF parapet part of the faltante row overlaps 100% with it -&gt; that row must drop 6.85 (190.67 -&gt; 183.82) to avoid double count. Net effect on the family vs v3: -1.32 LF.</t>
        </is>
      </c>
      <c r="I8" s="39" t="inlineStr">
        <is>
          <t>[DERIVADO, vector A02.02 at 18 pt/ft, outer parapet line offset 8" inward = stud centerline; scale validated by S = 52.34 ft = printed 52'-4" (S2.20 grid 3-8) and tower front 17.73 ft outer = 2'-6 3/4"+12'-6 3/4"+2'-6 3/4" (A02.01)]: N 60.20 (main 39.87 + tower 16.39 + step 1.00 + KN10 stub 2.94) | E 75.96 | S 52.34 | W 80.87 (grid 3 47.93 + jog 3.91 + tower W 29.03) = 269.37 LF (one run, bottom track).</t>
        </is>
      </c>
      <c r="J8" s="39" t="n"/>
    </row>
    <row r="9" ht="82.05" customHeight="1" s="36">
      <c r="A9" s="39" t="inlineStr">
        <is>
          <t>Parapet top track 600T125-54</t>
        </is>
      </c>
      <c r="B9" s="39" t="inlineStr">
        <is>
          <t>LF</t>
        </is>
      </c>
      <c r="C9" s="39" t="n">
        <v>263.84</v>
      </c>
      <c r="D9" s="39" t="n">
        <v>269.37</v>
      </c>
      <c r="E9" s="39" t="n">
        <v>5.53</v>
      </c>
      <c r="F9" s="39" t="inlineStr">
        <is>
          <t>DERIVADO</t>
        </is>
      </c>
      <c r="G9" s="39" t="inlineStr">
        <is>
          <t>A02.02 roof plan parapet outline (vector) -&gt; 4/A09.26 (outer face 8" from stud CL) -&gt; 11/S5.10 "600T125-54 TOP &amp; BOT." -&gt; S2.20 52'-4" grid 3-8 (scale check)</t>
        </is>
      </c>
      <c r="H9" s="39" t="inlineStr">
        <is>
          <t>v3 parapet row 263.84 + 6.85 LF parapet portion inside the v3 row "Top track - roof step 4/A02.02, vestibule heads 4-7/A12.10, parapet faltante (arbitraje #5)" = 270.69 = arb5 run. Full perimeter incl. over storefront confirmed. Re-measured centerline incl. stub = 269.37: this row +5.53 LF, and the 6.85 LF parapet part of the faltante row overlaps 100% with it -&gt; that row must drop 6.85 (190.67 -&gt; 183.82) to avoid double count. Net effect on the family vs v3: -1.32 LF.</t>
        </is>
      </c>
      <c r="I9" s="39" t="inlineStr">
        <is>
          <t>[DERIVADO, vector A02.02 at 18 pt/ft, outer parapet line offset 8" inward = stud centerline; scale validated by S = 52.34 ft = printed 52'-4" (S2.20 grid 3-8) and tower front 17.73 ft outer = 2'-6 3/4"+12'-6 3/4"+2'-6 3/4" (A02.01)]: N 60.20 (main 39.87 + tower 16.39 + step 1.00 + KN10 stub 2.94) | E 75.96 | S 52.34 | W 80.87 (grid 3 47.93 + jog 3.91 + tower W 29.03) = 269.37 LF (one run, top track).</t>
        </is>
      </c>
      <c r="J9" s="39" t="n"/>
    </row>
    <row r="10" ht="55.2" customHeight="1" s="36">
      <c r="A10" s="39" t="inlineStr">
        <is>
          <t>Bottom track - roof step 4/A02.02, vestibule heads 4-7/A12.10, parapet faltante (arbitraje #5)</t>
        </is>
      </c>
      <c r="B10" s="39" t="inlineStr">
        <is>
          <t>LF</t>
        </is>
      </c>
      <c r="C10" s="39" t="n">
        <v>190.67</v>
      </c>
      <c r="D10" s="39" t="n">
        <v>176.84</v>
      </c>
      <c r="E10" s="39" t="n">
        <v>-13.83</v>
      </c>
      <c r="F10" s="39" t="inlineStr">
        <is>
          <t>DERIVADO</t>
        </is>
      </c>
      <c r="G10" s="39" t="inlineStr">
        <is>
          <t>4/A02.02; 4-7/A12.10; 1/A12.10</t>
        </is>
      </c>
      <c r="H10" s="39" t="inlineStr">
        <is>
          <t>Roof step length 51.59 (measured) vs 53.67 used by arb5; vestibule run 22.07 from printed dims vs 22.67; parapet 6.99 moved out to G2.</t>
        </is>
      </c>
      <c r="I10" s="39" t="inlineStr">
        <is>
          <t>Roof step 3 stud rows x 51.59 LF (A02.02 step line, vector, scale validated vs 52'-4" grid 3-8) = 154.77 + vestibule 100 storefront head runs 15.65 + 6.42 = 22.07 (printed strings 1/A12.10) = 176.84 LF. PARAPET part EXCLUDED: of v3 190.67, 190.67 - 161.01 - 22.67 = 6.99 LF is parapet (arb5 says 6.85) -&gt; belongs to G2 parapet 600T125-54 rows.</t>
        </is>
      </c>
      <c r="J10" s="39" t="inlineStr">
        <is>
          <t>If G2 does not absorb the 6.99 LF parapet piece, add it back here.</t>
        </is>
      </c>
    </row>
    <row r="11" ht="28.35" customHeight="1" s="36">
      <c r="A11" s="39" t="inlineStr">
        <is>
          <t>Top track - roof step 4/A02.02, vestibule heads 4-7/A12.10, parapet faltante (arbitraje #5)</t>
        </is>
      </c>
      <c r="B11" s="39" t="inlineStr">
        <is>
          <t>LF</t>
        </is>
      </c>
      <c r="C11" s="39" t="n">
        <v>190.67</v>
      </c>
      <c r="D11" s="39" t="n">
        <v>176.84</v>
      </c>
      <c r="E11" s="39" t="n">
        <v>-13.83</v>
      </c>
      <c r="F11" s="39" t="inlineStr">
        <is>
          <t>DERIVADO</t>
        </is>
      </c>
      <c r="G11" s="39" t="inlineStr">
        <is>
          <t>4/A02.02; 4-7/A12.10</t>
        </is>
      </c>
      <c r="H11" s="39" t="inlineStr">
        <is>
          <t>Same as bottom twin.</t>
        </is>
      </c>
      <c r="I11" s="39">
        <f>bottom: 3 x 51.59 + 22.07 = 176.84 lf (one top track per stud row). parapet part 6.99 excluded (G2).</f>
        <v/>
      </c>
      <c r="J11" s="39" t="n"/>
    </row>
    <row r="12" ht="15" customHeight="1" s="36">
      <c r="A12" s="39" t="inlineStr">
        <is>
          <t>Top / deflection track 3-5/8"</t>
        </is>
      </c>
      <c r="B12" s="39" t="inlineStr">
        <is>
          <t>LF</t>
        </is>
      </c>
      <c r="C12" s="39" t="n">
        <v>227.482</v>
      </c>
      <c r="D12" s="39" t="n">
        <v>244.34</v>
      </c>
      <c r="E12" s="39" t="n">
        <v>16.86</v>
      </c>
      <c r="F12" s="39" t="inlineStr">
        <is>
          <t>DERIVADO</t>
        </is>
      </c>
      <c r="G12" s="39" t="inlineStr">
        <is>
          <t>same as Bottom track 3-5/8"</t>
        </is>
      </c>
      <c r="H12" s="39" t="inlineStr">
        <is>
          <t>Same as bottom track 3-5/8".</t>
        </is>
      </c>
      <c r="I12" s="39">
        <f>bottom wall by wall (cont. slip track 3/a12.01, metal stud track 1/a12.01).</f>
        <v/>
      </c>
      <c r="J12" s="39" t="n"/>
    </row>
    <row r="13" ht="202.95" customHeight="1" s="36">
      <c r="A13" s="39" t="inlineStr">
        <is>
          <t>Track, ceilings / soffits / canopy</t>
        </is>
      </c>
      <c r="B13" s="39" t="inlineStr">
        <is>
          <t>LF</t>
        </is>
      </c>
      <c r="C13" s="39" t="n">
        <v>1154</v>
      </c>
      <c r="D13" s="39" t="n">
        <v>1168.97</v>
      </c>
      <c r="E13" s="39" t="n">
        <v>14.97</v>
      </c>
      <c r="F13" s="39" t="inlineStr">
        <is>
          <t>CRITERIO</t>
        </is>
      </c>
      <c r="G13" s="39" t="inlineStr">
        <is>
          <t>A04.01 (canopy stipple, fascia lines, GWB legend) -&gt; 4,5/A09.33 (3-5/8" CFMF @16" one way) -&gt; 7/A09.26 + 3/A09.26 + 15,16/A09.27 (fascia box B/STUD-T/STUD, soffit joists fascia-to-wall) -&gt; F/A09.22 (south canopy at door 123, SIM 7/A09.26) -&gt; 10/A09.33 (CSR soffit CONT. TRACK) ; GWB perimeter: no detail (3/A09.33 is ACT)</t>
        </is>
      </c>
      <c r="H13" s="39" t="inlineStr">
        <is>
          <t>v3 1,154 = canopy 822.5 (soffit rectangles perimeter 411.23 with seams double counted + fascia 2 x 205.62) + soffit 61.7 + GWB 269.9. Changes: (a) soffit track now at joist ends only per the one-way framing decision (-41.4 vs 411.23); (b) NEW SCOPE: the south canopy at door 123 (A04.01 stipple + fascia, UU6 16' fixture, Section F/A09.22 T/CANOPY 12'-8" B/CANOPY 10'-6" with SIM 7/A09.26) was missing in v3 and in arbitration #5's 205.10 LF fascia (+43.83 soffit, +53.75 fascia); the east-strip end return 2.467 also added; (c) GWB perimeter re-measured 268.55 vs 269.9. Net +14.97. Arbitration #5 range (1,109.8-1,139.2) is superseded by the south canopy evidence.</t>
        </is>
      </c>
      <c r="I13" s="39" t="inlineStr">
        <is>
          <t>All lengths DERIVADO by pdfplumber/pymupdf vector measurement on A04.01 at 18 pt/ft (1/4"=1'-0"), scale validated on printed 30'-0" (waiting 104, 540.0 pt = 30.00 ft) and 3'-5" (CSR soffit, 3.413 ft). (1) Canopy soffit track at BOTH ENDS of each joist (one-way 3-5/8" CFMF @16", joists span fascia-to-building): West drive-up block 2 x 55.473 (fascia inner line x=516.84, y 247.92-1246.44) = 110.95; North strip 2 x 60.007 (x 824.76-1904.88) = 120.01; East strip 2 x 47.527 (y 320.04-1175.52) = 95.05; South canopy at door 123 2 x 21.913 = 43.83 -&gt; 369.84. (2) Fascia box top + bottom track (7/A09.26 B/STUD 10'-8 5/8" to T/STUD 12'-7"): fascia inner line 55.473 W + 77.113 N + 51.533 E + 20.98 W-block south return + 2.467 E-strip end return + south canopy 21.913 + 2 x 2.48 returns = 234.44; x 2 = 468.88. (3) CSR soffit 10/A09.33: 2 x perimeter 2 x (3.413 + 12.013) = 61.70 (v3 holds). (4) GWB ceiling perimeter (interior faces): Vest100 48.60 + Vest101 52.30 + Waiting104 94.05 + Women114 36.80 + Men113 36.80 = 268.55. TOTAL 369.84 + 468.88 + 61.70 + 268.55 = 1,168.97. MIN 886.77 = 369.84 + 468.88 + CSR long sides only 4 x 12.013 = 48.05 + no GWB perimeter track. MAX 1,230.51 = soffit full perimeter (W+N+E polygon 369.99 + south 48.79 = 418.78) + fascia outer line 2 x 240.74 = 481.48 + 61.70 + 268.55.</t>
        </is>
      </c>
      <c r="J13" s="39" t="inlineStr">
        <is>
          <t>RFI-G3-1: GWB suspended ceiling perimeter has no detail (3/A09.33 is the ACT LIGHT FIXTURE INSTALLATION detail): carried 268.55 LF per 53.3; delta -268.55 if no perimeter track/angle. RFI-G3-2: canopy soffit framing direction drawn only by section (7/A09.26, 16/A09.27); if track runs on the full soffit perimeter +48.94 LF. RFI-G3-3: CSR soffit end track (10/A09.33 shows only the section): -13.65 LF if only long sides.</t>
        </is>
      </c>
    </row>
    <row r="14" ht="149.25" customHeight="1" s="36">
      <c r="A14" s="39" t="inlineStr">
        <is>
          <t>Bracing 1-1/2" C.R. channel @ 48" O.C.</t>
        </is>
      </c>
      <c r="B14" s="39" t="inlineStr">
        <is>
          <t>LF</t>
        </is>
      </c>
      <c r="C14" s="39" t="n">
        <v>2557.43</v>
      </c>
      <c r="D14" s="39" t="n">
        <v>2624.23</v>
      </c>
      <c r="E14" s="39" t="n">
        <v>66.8</v>
      </c>
      <c r="F14" s="39" t="inlineStr">
        <is>
          <t>DERIVADO</t>
        </is>
      </c>
      <c r="G14" s="39" t="inlineStr">
        <is>
          <t>F/1/S5.20 "1 1/2" C.R. CHANNEL @ 48" O.C." (typical, 53.4) -&gt; all stud walls ; 10/S5.10 ; A/A09.21</t>
        </is>
      </c>
      <c r="H14" s="39" t="inlineStr">
        <is>
          <t>C1 walls go to deck (3 rows instead of 2), chase faces longer, alcove, vestibule heads, CSR drop and grille boxes added. | COORDINATOR: exterior heights now under beam; walls above storefront braced per 53.4</t>
        </is>
      </c>
      <c r="I14" s="39" t="inlineStr">
        <is>
          <t>Rows = ROUNDUP(H/4)-1 (13 ft -&gt; 3; 15.375 -&gt; 3; 7.333 -&gt; 1; 5.375 -&gt; 1; 3.46 -&gt; 0) x wall LF (x2 for double-row G/G1/bulkhead): interior 3-5/8" walls 647.47 (incl. alcove 24.30, C1 now 3 rows = 128.77) + 1-5/8" G/G1/bulkhead 677.91 + interior 6" A5/B2/B2K 75.40 x 3 = 226.21 + exterior 6" 217.64 x 3 = 652.92 (v3 lengths) + parapet 78.47 (v3, 1 row where H &gt; 4 ft) + canopy column wraps 45.36 + grille boxes 5.85 x 3 = 17.55 + vestibule heads 22.07 x 1 + CSR soffit drop 12.01 x 1 (rounded 12.1) + canopy framing 302.06 (v3 Ceilings &amp; Soffits) = 2,682.12 LF. Roof step rows (H &lt;= 4 ft) = 0. | COORDINATOR: 2,682.12 (G1, exterior rows from v3 at B.O.D. heights) - 1 row on E low (25.25), S (52.70), W grid 3 low (25.25) because studs stop under the perimeter beam (10/S5.10; G2 heights 11.91 / 11.06-11.39 ft -&gt; ROUNDUP(h/4)-1 = 2 rows, v3 had 3) + 1 row on 6" walls above storefront (cripples ~4.5-5.0 ft, 53.4; 26.25 + 12.56 + 6.50 = 45.31 LF) = 2,624.23 [DERIVADO]</t>
        </is>
      </c>
      <c r="J14" s="39" t="inlineStr">
        <is>
          <t>Exterior heights may drop below 12 ft if studs stop under the perimeter beam (10/S5.10, arb6) - south facade 52.7 LF would go 3 -&gt; 2 rows (-52.7); G2 parapet extent (tower N grid G 2-4) may add ~16 LF at 1 row.</t>
        </is>
      </c>
    </row>
    <row r="15" ht="55.2" customHeight="1" s="36">
      <c r="A15" s="39" t="inlineStr">
        <is>
          <t>Additional head track at openings over 4'-0" wide</t>
        </is>
      </c>
      <c r="B15" s="39" t="inlineStr">
        <is>
          <t>LF</t>
        </is>
      </c>
      <c r="C15" s="39" t="n">
        <v>0</v>
      </c>
      <c r="D15" s="39" t="n">
        <v>56</v>
      </c>
      <c r="E15" s="39" t="n">
        <v>56</v>
      </c>
      <c r="F15" s="39" t="inlineStr">
        <is>
          <t>CRITERIO</t>
        </is>
      </c>
      <c r="G15" s="39" t="inlineStr">
        <is>
          <t>2/S5.20 HEAD TRACK @ NON LOAD BRG "ADD FULL LENGTH ADDL HEAD TRACK @ OPNG &gt;4'-0""; 9/S5.20 "HEAD TRACK (DOUBLE TRACK @ OPNG &gt; 4'-0")"</t>
        </is>
      </c>
      <c r="H15" s="39" t="inlineStr">
        <is>
          <t>v3 text itself says the six 8'-0" windows carry it but its net was 0.</t>
        </is>
      </c>
      <c r="I15" s="39" t="inlineStr">
        <is>
          <t>Openings &gt; 4'-0" framed with a stud head track: 6 GL-2 windows R.O. 8'-0" (walls #61 x4, #63 x2) x (8.0 + 1.333 full length into jambs) = 56.00 LF. Max if the same rule is applied under the box headers of vestibule storefronts (24.73), exterior storefronts (60.31), office fronts (53.00) and grille (29.33): 223.37.</t>
        </is>
      </c>
      <c r="J15" s="39" t="inlineStr">
        <is>
          <t>Whether openings with their own box beam/box header details also take the 2/S5.20 extra track: +167.37 LF.</t>
        </is>
      </c>
    </row>
    <row r="16" ht="135.8" customHeight="1" s="36">
      <c r="A16" s="39" t="inlineStr">
        <is>
          <t>Header / metal stud box beam</t>
        </is>
      </c>
      <c r="B16" s="39" t="inlineStr">
        <is>
          <t>LF</t>
        </is>
      </c>
      <c r="C16" s="39" t="n">
        <v>221.86</v>
      </c>
      <c r="D16" s="39" t="n">
        <v>305.63</v>
      </c>
      <c r="E16" s="39" t="n">
        <v>83.77</v>
      </c>
      <c r="F16" s="39" t="inlineStr">
        <is>
          <t>DERIVADO</t>
        </is>
      </c>
      <c r="G16" s="39" t="inlineStr">
        <is>
          <t>A00.30 door schedule -&gt; 9/S5.20 + 7/S5.20 HEADER SCHEDULE - WALLS; 8,9/A12.01 CONT. BOX BEAM; 4-7/A12.10; 4/A08.21; 6/A08.11; 1/A08.11</t>
        </is>
      </c>
      <c r="H16" s="39" t="inlineStr">
        <is>
          <t>v3 gave interior doors their R.O. only (3.33, no 8" bearing), office-front beams with no bearing (45 vs 53), and missed the vestibule storefront box headers and the coiling grille box beams.</t>
        </is>
      </c>
      <c r="I16" s="39" t="inlineStr">
        <is>
          <t>Rule 53.6 = R.O. + 1'-4" each opening, own width. Interior doors 13 x (3.333 + 1.333) = 60.67 (R.O. 3.33 measured, e.g. door 112 = 60 pt) + door 102 (3.833 + 1.333) = 5.17 -&gt; 65.83; duct framed openings in A1 #9 2 x (1.0 + 1.333) = 4.67; walk-up ATM (2'-3" R.O. 1/A08.11) 3.58; drive-up ATM (2'-2 1/8" R.O. 5/A08.11) 3.51; GL-2 windows 6 x (8.0 + 1.333) = 56.00; door 123 4.67; exterior storefront heads with wall above 42.97 + 17.34 = 60.31 (v3, not re-derived); NEW vestibule 100 storefront box headers (15.65 + 1.333) + (6.42 + 1.333) = 24.73; NEW coiling grille head 2 x 6" CFMF BOX BEAM HEADER (4/A08.21) x (13'-4" clear opening 1/A08.21 + 1.333) = 29.33; office-front CONT. BOX BEAM 6 x (7.5 + 1.333) = 53.00. Total 305.63 LF. Material per S5.20 schedule: R.O. &lt;= 3'-4" single track 18 ga; &lt;= 6'-0" double track; &lt;= 8'-0" 2-362CSJ20.</t>
        </is>
      </c>
      <c r="J16" s="39" t="inlineStr">
        <is>
          <t>Vestibule "BOX HEADER AS NEEDED" (4-7/A12.10): -24.73 if not required; grille box beam is 6" CFMF (two per 4/A08.21).</t>
        </is>
      </c>
    </row>
    <row r="17" ht="41.75" customHeight="1" s="36">
      <c r="A17" s="39" t="inlineStr">
        <is>
          <t>Sill track</t>
        </is>
      </c>
      <c r="B17" s="39" t="inlineStr">
        <is>
          <t>LF</t>
        </is>
      </c>
      <c r="C17" s="39" t="n">
        <v>65.09</v>
      </c>
      <c r="D17" s="39" t="n">
        <v>67.76000000000001</v>
      </c>
      <c r="E17" s="39" t="n">
        <v>2.67</v>
      </c>
      <c r="F17" s="39" t="inlineStr">
        <is>
          <t>DERIVADO</t>
        </is>
      </c>
      <c r="G17" s="39" t="inlineStr">
        <is>
          <t>1/S5.20 B INTERIOR SILL / A EXTERIOR SILL; 1/A08.11; 5,6/A08.11; M01.01</t>
        </is>
      </c>
      <c r="H17" s="39" t="inlineStr">
        <is>
          <t>v3 carried the duct openings at 1.0 LF each without bearing.</t>
        </is>
      </c>
      <c r="I17" s="39" t="inlineStr">
        <is>
          <t>Rule 53.7 = R.O. + 8" each side, openings with a sill only: GL-2 windows 6 x 9.333 = 56.00 + walk-up ATM 2.25 + 1.333 = 3.58 + drive-up ATM 2.177 + 1.333 = 3.51 + 2 duct framed openings in A1 #9 2 x (1.0 + 1.333) = 4.67 -&gt; 67.76 LF.</t>
        </is>
      </c>
      <c r="J17" s="39" t="n"/>
    </row>
    <row r="18" ht="176.1" customHeight="1" s="36">
      <c r="A18" s="39" t="inlineStr">
        <is>
          <t>Framed openings - MEP, light slots and diffusers</t>
        </is>
      </c>
      <c r="B18" s="39" t="inlineStr">
        <is>
          <t>LF</t>
        </is>
      </c>
      <c r="C18" s="39" t="n">
        <v>859.67</v>
      </c>
      <c r="D18" s="39" t="n">
        <v>970.3200000000001</v>
      </c>
      <c r="E18" s="39" t="n">
        <v>110.65</v>
      </c>
      <c r="F18" s="39" t="inlineStr">
        <is>
          <t>DERIVADO</t>
        </is>
      </c>
      <c r="G18" s="39" t="inlineStr">
        <is>
          <t>4,5/A09.33 (canopy linear light, FIXTURE LENGTH + 1/4") -&gt; E00.01 luminaire schedule (UU1 20', UU2 2', UU3 3', UU4 55', UU5 50', UU6 16'; R-11A 4', R-11C/CE 12') -&gt; E02.01 tags ; 6/A09.33 trimless slot (3-5/8" studs @16" each side) ; A04.01 KN4 ; M01.01 linear slot diffusers in GWB ceilings + M00.03 SD/SDR TITUS TBDI-10 'SEE DRAWING' ; MEP wall penetrations 9/S5.20, 6/S5.20 (v3, not re-measured)</t>
        </is>
      </c>
      <c r="H18" s="39" t="inlineStr">
        <is>
          <t>Canopy 686, slots 112 and access panel 8 hold (schedule, tags and vector geometry all agree; images). v3 'diffuser 10.67' is replaced: M01.01 draws linear slot diffusers (SD, TBDI-10) inside the GWB ceilings of Vestibule 100, 24 HR Vestibule 101 and restrooms 113/114 = 121.32 LF of opening sides; the S-1/R-1 square devices sit only in ACT and M00.03 note 3 gives RAPID-MOUNT frames for S-1/R-1 in drywall, so no other diffuser openings. MEP wall penetrations 43 kept as v3 but PENDIENTE (classification: wall openings per 9/S5.20, same family).</t>
        </is>
      </c>
      <c r="I18" s="39" t="inlineStr">
        <is>
          <t>(1) Canopy linear lights, sides only (54.1): tags E02.01 UU1 x1, UU2 x5, UU3 x9, UU4 x4, UU5 x1, UU6 x1 = 21 fixtures [CONFIRMADO count]; lengths E00.01 [CONFIRMADO]: 20 + 5x2 + 9x3 + 4x55 + 50 + 16 = 343; vector check on A04.01: UU4 54.41, UU5 49.18, UU1 19.64, UU6 16.39, UU2 2.25, UU3 3.25 ft (agree); 2 x 343 = 686.00. (2) GWB light slots 6/A09.33: R-11C x2 + R-11CE x2 at 12' (vector 11.99, waiting 104) + R-11A x2 at 4' (vector 3.99, CSR soffit) = 56; x2 = 112.00. (3) Access panel 2'x2' A04.01 KN4 (1 marker, Vestibule 100): 4 x 2 = 8.00. (4) Air devices in GWB ceilings per M01.01 (vector): 4 linear slot diffuser runs of 3 sections = 12.873 ft each (Vest100 north + south, Vest101 north + diagonal at ATM wall): 4 x 2 x 12.873 = 102.98; restrooms 113/114 4 slot units 2.293 ft: 4 x 2 x 2.293 = 18.34 -&gt; 121.32. (5) MEP wall penetrations 43.00 (v3, 26 penetrations, NOT re-measured [PENDIENTE]). TOTAL 686 + 112 + 8 + 121.32 + 43 = 970.32. MIN 927.32 = without the unverified MEP 43. MAX 995.39 = + ends PENDIENTE: canopy 21 x 2 x 2.5" (catalog LSR-WET-2.5) = 8.75, SD ends 8 x 0.643 + 8 x 0.647 = 10.32, slot ends 6 x 2 x ~0.5 = 6.0.</t>
        </is>
      </c>
      <c r="J18" s="39" t="inlineStr">
        <is>
          <t>RFI-G3-6: restroom air devices - A04.01/E02.01 draw ~1'x1' boxed-X devices, M01.01 draws 2' slot units: carried M01.01 18.34 LF; 1'x1' alternative 16.0 LF. RFI-G3-7 (54.1): opening ends of canopy fixtures (COORD. W/ FIXTURE CUTSHEET, 4/A09.33), slot fixtures and SD units not dimensioned: +~25 LF if added. RFI-G3-8: 26 MEP wall penetrations (43 LF) not re-measured; -43 LF if they are already in the header/sill rows of walls.</t>
        </is>
      </c>
    </row>
    <row r="19" ht="55.2" customHeight="1" s="36">
      <c r="A19" s="39" t="inlineStr">
        <is>
          <t>3-5/8" stud, CSR soffit 10/A09.33 (LF)</t>
        </is>
      </c>
      <c r="B19" s="39" t="inlineStr">
        <is>
          <t>LF</t>
        </is>
      </c>
      <c r="C19" s="39" t="n"/>
      <c r="D19" s="39" t="n">
        <v>104.77</v>
      </c>
      <c r="E19" s="39" t="n"/>
      <c r="F19" s="39" t="inlineStr">
        <is>
          <t>DERIVADO</t>
        </is>
      </c>
      <c r="G19" s="39" t="inlineStr">
        <is>
          <t>A04.01 (GB 8'-0", width 3'-5") -&gt; 10/A09.33 CEILING DETAIL @ CSR SOFFIT (STL STUD from B/DECK, CONT. TRACK) -&gt; 9/A12.08 (same soffit, 55.2) -&gt; S2.20</t>
        </is>
      </c>
      <c r="H19" s="39" t="inlineStr">
        <is>
          <t>v3 carried 26 pieces with no length; the drop is derivable from the printed GB 8'-0" and the S2.20 B.O.D.; 22 pieces by 16" layout.</t>
        </is>
      </c>
      <c r="I19" s="39" t="inlineStr">
        <is>
          <t>Soffit 3'-5" x 12.01 LF (between A1K #11 and #12 inner faces 1128.48 -&gt; 1344.72 pt). 11 positions @ 16" (ROUNDUP(12.01/1.333)+1). Drop studs: 5 north of grid B x (15.375 - 8.0) + 6 south x (13.052 - 8.0) = 36.88 + 30.31 = 67.19; soffit joists 11 x 3.417 = 37.58. Total 104.77 LF (22 pcs). Replaces v3 row "3-5/8" stud, CSR soffit (pieces - length pending)" 26 pcs.</t>
        </is>
      </c>
      <c r="J19" s="39" t="inlineStr">
        <is>
          <t>Max 118.71 if all drop studs taken at the 15.375 high side (53.2).</t>
        </is>
      </c>
    </row>
    <row r="20" ht="41.75" customHeight="1" s="36">
      <c r="A20" s="39" t="inlineStr">
        <is>
          <t>2-1/2" CFMF @ 16" O.C. at coiling grille head (4/A08.21)</t>
        </is>
      </c>
      <c r="B20" s="39" t="inlineStr">
        <is>
          <t>LF</t>
        </is>
      </c>
      <c r="C20" s="39" t="n"/>
      <c r="D20" s="39" t="n">
        <v>7.85</v>
      </c>
      <c r="E20" s="39" t="n"/>
      <c r="F20" s="39" t="inlineStr">
        <is>
          <t>DERIVADO</t>
        </is>
      </c>
      <c r="G20" s="39" t="inlineStr">
        <is>
          <t>1/A08.21 (13'-4" CLEAR OPENING) -&gt; 4/A08.21 COILING GRILLE HEAD DETAIL "2 1/2" CFMF @ 16" O.C." between two "6" CFMF BOX BEAM HEADER"</t>
        </is>
      </c>
      <c r="H20" s="39" t="inlineStr">
        <is>
          <t>New scope, not in v3.</t>
        </is>
      </c>
      <c r="I20" s="39" t="inlineStr">
        <is>
          <t>11 studs (ROUNDUP(13.333/1.333)+1) x 0.714 ft (stud between the two box beams = 257/540 of the printed 1'-6" head depth) = 7.85 LF.</t>
        </is>
      </c>
      <c r="J20" s="39" t="inlineStr">
        <is>
          <t>Max 10.45 if studs run the full 1'-6" minus nothing (11 x 0.95).</t>
        </is>
      </c>
    </row>
    <row r="21" ht="95.5" customHeight="1" s="36">
      <c r="A21" s="39" t="inlineStr">
        <is>
          <t>Purlin 1x1x1 16 ga, top track to deck</t>
        </is>
      </c>
      <c r="B21" s="39" t="inlineStr">
        <is>
          <t>LF</t>
        </is>
      </c>
      <c r="C21" s="39" t="n">
        <v>141.81</v>
      </c>
      <c r="D21" s="39" t="n">
        <v>214.4</v>
      </c>
      <c r="E21" s="39" t="n">
        <v>72.59</v>
      </c>
      <c r="F21" s="39" t="inlineStr">
        <is>
          <t>CRITERIO</t>
        </is>
      </c>
      <c r="G21" s="39" t="inlineStr">
        <is>
          <t>10/A09.33 enlarged circle "1X1X1 16GA PURLIN, ACROSS MIN. (2) FLUTES" + "STL DECK FLUTE, PARALLEL TO TRACKS" + "VIF FLUTE DIRECTION"; S2.20 framing (N-S members -&gt; E-W flutes)</t>
        </is>
      </c>
      <c r="H21" s="39" t="inlineStr">
        <is>
          <t>Wall list re-derived with the longer C1 chase faces, alcove and the new roof-step / vestibule tracks.</t>
        </is>
      </c>
      <c r="I21" s="39" t="inlineStr">
        <is>
          <t>E-W top tracks fastened to deck (flutes run E-W because the roof members on S2.20 run N-S): A1 51.45 + alcove returns 3.62 + A1K 6.83 + B 43.03 + C1 33.45 (#36 face 10.0, chase 2 x 10.03, #38 3.39) + G 68.49 + G1 11.77 (double-row G counted once: one purlin across &gt;= 2 flutes spans both 1-5/8" tracks) = 218.63; + NEW roof step inner row to high deck 51.59 + vestibule south head 15.65 = 285.87 LF x 0.75 LF purlin per LF track (v3 basis: ~18" piece @ 24" O.C., spacing not printed) = 214.40 LF. Exterior walls excluded: they stop at the deflection track on the perimeter beam (10/S5.10), not on the deck.</t>
        </is>
      </c>
      <c r="J21" s="39" t="inlineStr">
        <is>
          <t>Detail is VIF: min 163.97 (partitions only); ~19.5 LF of G/C1 track west of grid 3.4 sits where S2.20 members run E-W (flutes N-S, no purlin); max 285.87 if continuous 1 LF/LF.</t>
        </is>
      </c>
    </row>
    <row r="22" ht="122.35" customHeight="1" s="36">
      <c r="A22" s="39" t="inlineStr">
        <is>
          <t>Furring channel (ceilings)</t>
        </is>
      </c>
      <c r="B22" s="39" t="inlineStr">
        <is>
          <t>LF</t>
        </is>
      </c>
      <c r="C22" s="39" t="n">
        <v>719.21</v>
      </c>
      <c r="D22" s="39" t="n">
        <v>808.88</v>
      </c>
      <c r="E22" s="39" t="n">
        <v>89.67</v>
      </c>
      <c r="F22" s="39" t="inlineStr">
        <is>
          <t>CRITERIO</t>
        </is>
      </c>
      <c r="G22" s="39" t="inlineStr">
        <is>
          <t>A04.01 legend 'NEW SUSPENDED GYPSUM WALL BOARD CEILING/SOFFIT' + room GB tags; NO suspended-GWB framing detail exists in the set (A09.33 details 1-10 checked: 3 = ACT, 7 = transition, 8 = bulkhead, 10 = CSR soffit stud-framed) -&gt; spacing by criterion 53.3</t>
        </is>
      </c>
      <c r="H22" s="39" t="inlineStr">
        <is>
          <t>v3 = 0.75 x 958.94 SF (area factor, areas to wall lines). Re-measured areas to interior faces (940.15; Vest101 east face is 1125.24 not 1141.2, -15.8 SF) and counted runs ROUNDUP+1 per room instead of an area factor (more material, 53.3). Departs from v3/arb2 method (area factor) on method grounds, not new plan evidence.</t>
        </is>
      </c>
      <c r="I22" s="39" t="inlineStr">
        <is>
          <t>GWB ceiling areas DERIVADO (vector, interior faces): Vest100 129.73 (x 834.36-1129.20 storefront to storefront, y 314.88-457.44), Vest101 148.12 (polygon to ATM diagonal wall, east face 1125.24), Waiting104 510.80 (17.027 x 30.000, printed 30'-0"), Women114 75.77, Men113 75.73 -&gt; 940.15 SF. Run-based layout, 7/8" furring @16" O.C. = ROUNDUP(span/1.333)+1 runs x run length (53.2 logic), carrying channels running N-S: Vest100 7 runs = 114.66; Vest101 12 runs (chords of the polygon) = 128.12; Waiting104 24 x 17.027 = 408.64; Women114 7 runs = 78.73; Men113 7 runs = 78.73 -&gt; 808.88. MIN 470.07 = 0.50 LF/SF x 940.15 (furring @24", ASTM C754 max for 5/8" board). Other orientation 776.24; v3 area factor 0.75 x 940.15 = 705.11.</t>
        </is>
      </c>
      <c r="J22" s="39" t="inlineStr">
        <is>
          <t>RFI-G3-4: no GWB suspension detail/spec in the bid set: furring spacing @16" carried (808.88) vs @24" (470.07 area / ~530 run-based); delta -278 to -339 LF.</t>
        </is>
      </c>
    </row>
    <row r="23" ht="55.2" customHeight="1" s="36">
      <c r="A23" s="39" t="inlineStr">
        <is>
          <t>Carrying channel (ceilings)</t>
        </is>
      </c>
      <c r="B23" s="39" t="inlineStr">
        <is>
          <t>LF</t>
        </is>
      </c>
      <c r="C23" s="39" t="n">
        <v>239.74</v>
      </c>
      <c r="D23" s="39" t="n">
        <v>316.77</v>
      </c>
      <c r="E23" s="39" t="n">
        <v>77.03</v>
      </c>
      <c r="F23" s="39" t="inlineStr">
        <is>
          <t>CRITERIO</t>
        </is>
      </c>
      <c r="G23" s="39" t="inlineStr">
        <is>
          <t>A04.01 GWB areas; no suspension detail in set -&gt; 1-1/2" CRC @48" O.C., within 6" of walls (ASTM C754 practice) by criterion 53.3</t>
        </is>
      </c>
      <c r="H23" s="39" t="inlineStr">
        <is>
          <t>v3 = 0.25 x 958.94 area factor. Re-measured areas and counted channel runs per room (ROUNDUP+1, edge channels within 6" of walls). Method change, flagged.</t>
        </is>
      </c>
      <c r="I23" s="39" t="inlineStr">
        <is>
          <t>Run-based, channels running N-S, count = ROUNDUP((width-1.0)/4)+1 (6" from each wall): Vest100 5 x 7.92 = 39.60; Vest101 5 chords = 46.93; Waiting104 6 x 30.00 = 180.00; Women114 4 runs = 25.13; Men113 4 runs = 25.11 -&gt; 316.77 (same orientation as the furring row). MIN 235.04 = 0.25 LF/SF x 940.15 (v3 area factor). MAX 321.79 = channels running E-W.</t>
        </is>
      </c>
      <c r="J23" s="39" t="inlineStr">
        <is>
          <t>Same RFI-G3-4 (no suspension detail): area-factor alternative 235.04 LF (-81.7).</t>
        </is>
      </c>
    </row>
    <row r="24" ht="108.95" customHeight="1" s="36">
      <c r="A24" s="39" t="inlineStr">
        <is>
          <t>Hanger wire</t>
        </is>
      </c>
      <c r="B24" s="39" t="inlineStr">
        <is>
          <t>LF</t>
        </is>
      </c>
      <c r="C24" s="39" t="n">
        <v>293</v>
      </c>
      <c r="D24" s="39" t="n">
        <v>524.78</v>
      </c>
      <c r="E24" s="39" t="n">
        <v>231.78</v>
      </c>
      <c r="F24" s="39" t="inlineStr">
        <is>
          <t>CRITERIO</t>
        </is>
      </c>
      <c r="G24" s="39" t="inlineStr">
        <is>
          <t>3/A09.33 'TYPICAL 12 GAUGE HANGER WIRE' (ACT LIGHT FIXTURE INSTALLATION - the only hanger callout in the set) ; S2.20 B.O.D. 15'-4 1/2" NO SLOPE north of grid B, 13'-0 5/8" at grid B sloping to 12'-6 3/8" at grid A ; A04.01 GB heights 10'-0" / 11'-0" / 8'-6"</t>
        </is>
      </c>
      <c r="H24" s="39" t="inlineStr">
        <is>
          <t>v3 293 = area/16 whole hangers (arbitration #2) on 958.94 SF with restrooms at 13.052 (high end). Changes: (a) per 54.5 sloped deck -&gt; averaged B.O.D. per restroom (4.495 / 4.320 ft, not 4.552); (b) hangers laid out on the carrying channels with ROUNDUP+1 and 6" end distance (more material, 53.3) instead of area/16. This explicitly departs from arbitration #2's count method; the plan prints no hanger spacing for GWB, so the choice is criterion, not plan evidence. No tie/wrap allowance included.</t>
        </is>
      </c>
      <c r="I24" s="39" t="inlineStr">
        <is>
          <t>Hangers @48" along each carrying channel, within 6" of ends: count per channel = ROUNDUP((L-1)/4)+1. Vest100 15 x (15.375-10.0=5.375) = 80.63; Vest101 19 x 5.375 = 102.13; Waiting104 54 (6 channels x 9) x (15.375-11.0=4.375) = 236.25; Women114 12 x 4.495 = 53.94 (deck interpolated at room centre y=1296.4: 13.052 - (50.2/454.45) x 0.521 = 12.995; grid B-A = 454.45 pt = 25.25 ft = printed 25'-3" on S2.20); Men113 12 x 4.320 = 51.84 (deck 12.820). Total 112 hangers = 524.78 LF. MIN 286.20 = v3 method ROUNDUP(area/16) whole hangers on re-measured areas (9+10+32+5+5 = 61 hangers) with averaged deck. MAX 528.25 = run-based with restrooms at the high end 13.052 (v3 convention).</t>
        </is>
      </c>
      <c r="J24" s="39" t="inlineStr">
        <is>
          <t>RFI-G3-5: GWB ceiling hanger gauge/spacing not detailed (12 GA is called only in the ACT detail 3/A09.33; ASTM C754 normally asks 8 GA for GWB suspension): carried 524.78 LF of 12 GA; area/16 alternative 286.20 LF (-238.6).</t>
        </is>
      </c>
    </row>
    <row r="25" ht="310.4" customHeight="1" s="36">
      <c r="A25" s="39" t="inlineStr">
        <is>
          <t>5/8" gypsum board, regular</t>
        </is>
      </c>
      <c r="B25" s="39" t="inlineStr">
        <is>
          <t>SF</t>
        </is>
      </c>
      <c r="C25" s="39" t="n">
        <v>16339.79977</v>
      </c>
      <c r="D25" s="39" t="n">
        <v>17450.6</v>
      </c>
      <c r="E25" s="39" t="n">
        <v>1110.8</v>
      </c>
      <c r="F25" s="39" t="inlineStr">
        <is>
          <t>CRITERIO</t>
        </is>
      </c>
      <c r="G25" s="39" t="inlineStr">
        <is>
          <t>A02.01 -&gt; 3,1,5,6,12/A12.01 -&gt; 2/A09.26 (storefront head) -&gt; 1,2/A09.25 -&gt; 4/A02.02, 2-4/A08.21, 4-7/A12.10 -&gt; A04.01 (ceilings, MW01 open) -&gt; note F/A08.01 ; A04.01 -&gt; 7/A09.33 (G3)</t>
        </is>
      </c>
      <c r="H25" s="39" t="inlineStr">
        <is>
          <t>v3 missed the interior band over storefront heads, the fountain alcove, board over door 114, roof step/grille/vestibule heads; v3 over-carried F lobby face to deck; v3 missed MW01 open-to-structure faces; v3 wrongly deducted 112.94 SF exterior wall as MR; C1 to deck by 53.3. A's errors listed in arb5 (G #36/#38 12.33 vs 11'-7 1/2", G1 piers 109/110, #111 pier metal panel faces) do NOT exist in v3 - v3 holds on those (G walls carried at 11.77/11.625). | COORDINATOR: ceiling/soffit part re-derived by G3 (+19.72 SF)</t>
        </is>
      </c>
      <c r="I25" s="39" t="inlineStr">
        <is>
          <t>SPLIT: walls 16,430.94 + GWB ceilings/soffit 999.94 (carried from v3 Ceilings &amp; Soffits, G3 re-derives) = 17,430.88. WALLS: v3 walls 15,339.86 [= Board_by_Face 15,809.10 - CANOPY-COL 255.53 (now FRT plywood, already out in v3) - old MR 213.74] + 311.52 interior band above storefront heads T/OPENING 8'-6" to deck (2/A09.26 '5/8" GYPSUM BOARD ON 6" METAL STUD FRAMING - TO DECK'; arb5, = 45.31 LF x 6.875 ft) [DERIVADO] + 135.83 drinking-fountain alcove walls, untagged = A1 (arb5/A qty) [CRITERIO: my vector check of the alcove-side faces only = (4.78 + 2 x 1.70) LF x 9.00 = 73.62; remaining 62.21 = outer faces/height, not closed] + 40.34 board over door 114 (arb5) [DERIVADO] + 423.90 roof step 4/A02.02 + coiling-grille C1 boxes 3/A08.21 + vestibule heads 4-7/A12.10 (arb5, vestibule band height RFI) [DERIVADO] - 93.84 F wall #40 lobby face: 12/A12.01 draws the 5/8" gyp on the ATM LOBBY side dying at the GWB ceiling (FRT plywood alone runs to deck); 24 HR Vestibule 101 ceiling GB 10'-0" (A04.01): 17.458 x 10.00 - 6.05 = 168.53 vs v3 262.37 [DERIVADO] + 36.72 MW01 niche open to structure A04.01: (3.13 + 2.63) x (15.375 - 9.00) [DERIVADO] + 112.94 inside face of west exterior wall at the toilets returned to regular (v3 deducted it as MR; note F/A08.01 = chase only) [DERIVADO] + 123.67 C1 furring board to deck (6/A12.01 draws the board to the break line, no ceiling stop; criterion 53.3 more material): #36 11.333x3.875 = 43.92, #34 3.33x3.875 = 12.90, #35 2.52x3.875 = 9.77, #32 4.56x5.375 = 24.51, #33 3.58x5.375 = 19.24, #38 3.39x3.933 = 13.33 [CRITERIO]. MR chase faces: v3 carries them at 100.8 regular and deducts 100.8 -&gt; net 0, consistent with MR row 261.82 (no change). MIN 17,245.00 = net - 62.21 (alcove at 73.62) - 123.67 (C1 to ceiling). MAX 17,492.67 = net + 61.79 ceiling transitions 7/A09.33 (G3 scope). | COORDINATOR: 17,430.88 (G4, ceilings at v3 999.94) + 19.72 (G3 re-derived GWB ceilings+CSR soffit+7/A09.33 transition face = 1,019.66) = 17,450.60 [DERIVADO]</t>
        </is>
      </c>
      <c r="J25" s="39" t="inlineStr">
        <is>
          <t>C1 top not dimensioned (6/A12.01): to deck (carried) vs 6" above ceiling -123.67 SF. Vestibule head band 4-7/A12.10 'BOX HEADER AS NEEDED' height not dimensioned (inside the 423.90). Fountain alcove faces: 73.62 (alcove side only) vs 135.83 (carried). ~290 SF of faces arb5 left unmeasured remain PENDIENTE (not in max).</t>
        </is>
      </c>
    </row>
    <row r="26" ht="95.5" customHeight="1" s="36">
      <c r="A26" s="39" t="inlineStr">
        <is>
          <t>FRP WC-3</t>
        </is>
      </c>
      <c r="B26" s="39" t="inlineStr">
        <is>
          <t>SF</t>
        </is>
      </c>
      <c r="C26" s="39" t="n">
        <v>338</v>
      </c>
      <c r="D26" s="39" t="n">
        <v>354</v>
      </c>
      <c r="E26" s="39" t="n">
        <v>16</v>
      </c>
      <c r="F26" s="39" t="inlineStr">
        <is>
          <t>CRITERIO</t>
        </is>
      </c>
      <c r="G26" s="39" t="inlineStr">
        <is>
          <t>A-D/A08.01 (5'-0" TO TOP OF FRP over 6" CT-12C base) -&gt; 3/A08.01 -&gt; A05.01 key note 6 -&gt; 4,5/A08.01 -&gt; P00.01 PF-07</t>
        </is>
      </c>
      <c r="H26" s="39" t="inlineStr">
        <is>
          <t>Mop sink width no longer left PENDIENTE: the fixture schedule names the model (TSH-24). v3 restroom part holds. v3 Material Summary Waste/Purchase on this row are stale (computed on 132.1) - recompute.</t>
        </is>
      </c>
      <c r="I26" s="39" t="inlineStr">
        <is>
          <t>Restrooms 113+114: 67.6 LF x 5.00 ft = 338.0 [DERIVADO, arb2; my check from elevation widths A 11.64 + B 6.55 + C 11.64 + D 6.56 - door 3.34 = 33.05 LF/room = 66.1 LF, the 1.5 LF gap is the fountain-alcove jog returns visible on A04.01/1-A08.01]. Mop sink Janitor 112: key note 6 'FRP FROM FLOOR TO 4'-0" AFF, WIDTH TO MATCH WIDTH OF MOP SINK AT BOTH SIDES'; P00.01 PF-07 = ACORN TSH-24-TF2 (24" nominal basin per model designation) -&gt; 2 sides x 2.00 x 4.00 = 16.0 [CRITERIO]. 338.0 + 16.0 = 354.0. MAX with a 28" basin: 2 x 2.333 x 4 = 18.67 -&gt; 356.67. MIN 338.0 (mop sink excluded).</t>
        </is>
      </c>
      <c r="J26" s="39" t="inlineStr">
        <is>
          <t>Mop sink width: confirm TSH-24 basin size (24" -&gt; 16.0 SF carried; 28" -&gt; 18.67 SF).</t>
        </is>
      </c>
    </row>
    <row r="27" ht="68.65000000000001" customHeight="1" s="36">
      <c r="A27" s="39" t="inlineStr">
        <is>
          <t>Cement board (substrate under the FRP cove base band)</t>
        </is>
      </c>
      <c r="B27" s="39" t="inlineStr">
        <is>
          <t>SF</t>
        </is>
      </c>
      <c r="C27" s="39" t="n">
        <v>14.45</v>
      </c>
      <c r="D27" s="39" t="n">
        <v>33.8</v>
      </c>
      <c r="E27" s="39" t="n">
        <v>19.35</v>
      </c>
      <c r="F27" s="39" t="inlineStr">
        <is>
          <t>CRITERIO</t>
        </is>
      </c>
      <c r="G27" s="39" t="inlineStr">
        <is>
          <t>3/A08.01 RESTROOM FRP/TILE DETAIL -&gt; 8/A08.01 -&gt; A08.01 toilet room finish schedule CT-12C</t>
        </is>
      </c>
      <c r="H27" s="39" t="inlineStr">
        <is>
          <t>v3 14.45 SF was computed on the OLD FRP run (28.9 LF on 4 walls); once FRP runs on all walls of both restrooms (67.6 LF, arb2) the same criterion gives 33.80. MIN 0 = by the drawings.</t>
        </is>
      </c>
      <c r="I27" s="39" t="inlineStr">
        <is>
          <t>Drawings do NOT call cement board: 3/A08.01 draws the CT-12C ceramic cove base set directly on the gypsum board and 8/A08.01 draws it on a MORTAR BED; no backer anywhere in the set. Carried only by the estimator standing order in v3 Handoff-Approved ('Cementitious backer board under any tile'). Band = cove-base length x 0.50 ft = 67.6 LF (same perimeter as FRP, arb2) x 0.50 = 33.80 SF.</t>
        </is>
      </c>
      <c r="J27" s="39" t="inlineStr">
        <is>
          <t>No detail calls a backer under the cove base (0 SF by drawings) vs standing order 33.80 SF.</t>
        </is>
      </c>
    </row>
    <row r="28" ht="108.95" customHeight="1" s="36">
      <c r="A28" s="39" t="inlineStr">
        <is>
          <t>Exterior sheathing 5/8" FRT plywood bonded to 2-1/2" polyiso</t>
        </is>
      </c>
      <c r="B28" s="39" t="inlineStr">
        <is>
          <t>SF</t>
        </is>
      </c>
      <c r="C28" s="39" t="n">
        <v>4224.28</v>
      </c>
      <c r="D28" s="39" t="n">
        <v>3754.28</v>
      </c>
      <c r="E28" s="39" t="n">
        <v>-470</v>
      </c>
      <c r="F28" s="39" t="inlineStr">
        <is>
          <t>CRITERIO</t>
        </is>
      </c>
      <c r="G28" s="39" t="inlineStr">
        <is>
          <t>H/A09.23, A,B,C/A09.21, D,E,F/A09.22 "SHEATHING/INSULATION SYSTEM: 5/8" FRT PLYWOOD BONDED TO 2 1/2" POLYISO" -&gt; 5/A09.26, 9,12/A09.27 (starts at T/BASE 0'-6") -&gt; 7/A09.26, 3/A09.26 (interrupted in canopy band) -&gt; 2/A09.26, 11/A09.27 (continues above storefront head T/OPENING 8'-6") -&gt; 4/A09.26 (to T/STUD)</t>
        </is>
      </c>
      <c r="H28" s="39" t="inlineStr">
        <is>
          <t>Decision 1 (glass mat only at the base strip and canopy band) means the nailbase is NOT there: 5/A09.26, 9,12/A09.27 start it at T/BASE 0'-6" and 7/A09.26 interrupts it across the canopy band. v3 4,224.28 ran it slab to T/STUD (incl. the +526 above storefront); the delta -470.0 = base strip 106.1 + canopy band 355.9 + ~8 SF length basis (stud CL vs outer). Extent per facade otherwise matches v3 (above storefront included).</t>
        </is>
      </c>
      <c r="I28" s="39" t="inlineStr">
        <is>
          <t>[DERIVADO] stud outer-face LF x (T/STUD - start) - openings - canopy band (1.924 ft, same as glass mat): T/STUD LP 17.417, HP 19.667, T/BASE 0.50, T/OPENING 8.50. N: solid 13.62x16.917 + over main storefront 26.25x8.917 - band 39.87x1.924 + tower front above 8.50: 17.89x(11.167-1.924) = 553.09 | E: 76.46x16.917 - 4 windows 64.0 - band 48.06x1.924 = 1,136.97 | S: 52.84x16.917 - door 123 3.33x6.50 - band 23.0x1.924 = 827.97 | W: grid 3 47.93x16.917 - 2 windows 32.0 - band 22.68x1.924; jog 3.91x(19.167-1.924); tower wall 20.80x19.167 - ATM 5.67 - band; vestibule storefront 6.50 and NW pier 2.23 above 8.50 less band = 1,236.25. Total 3,754.28 SF.</t>
        </is>
      </c>
      <c r="J28" s="39" t="inlineStr">
        <is>
          <t>Band height (see glass mat): 1.52 ft -&gt; 3,829.05 (+74.8); 1.979 ft -&gt; 3,744.16 (-10.1). Piers below 8'-6" excluded (own detail 1,2/A09.25 carries nailbase on their outer faces: ~ +60 SF if added).</t>
        </is>
      </c>
    </row>
    <row r="29" ht="149.25" customHeight="1" s="36">
      <c r="A29" s="39" t="inlineStr">
        <is>
          <t>5/8" glass mat sheathing (exterior face of the stud)</t>
        </is>
      </c>
      <c r="B29" s="39" t="inlineStr">
        <is>
          <t>SF</t>
        </is>
      </c>
      <c r="C29" s="39" t="n">
        <v>2939.76</v>
      </c>
      <c r="D29" s="39" t="n">
        <v>462</v>
      </c>
      <c r="E29" s="39" t="n">
        <v>-2477.76</v>
      </c>
      <c r="F29" s="39" t="inlineStr">
        <is>
          <t>CRITERIO</t>
        </is>
      </c>
      <c r="G29" s="39" t="inlineStr">
        <is>
          <t>5/A09.26 (ACM base), 9/A09.27 (metal panel base), 12/A09.27 (stucco base): "5/8" GLASS MAT SHEATHING" T/SLAB to "T/BASE ELEV. 0'-6"" -&gt; 7/A09.26 + 3/A09.26 (canopy band "SPRAY FOAM INSULATION ON 5/8" GLASS-MAT SHEATHING", T/STUD 12'-7", B/STUD 10'-7 1/4") -&gt; F/A09.22 (south canopy SIM 7/A09.26) -&gt; A02.02 / A04.01 canopy extents</t>
        </is>
      </c>
      <c r="H29" s="39" t="inlineStr">
        <is>
          <t>User decision 462.0 kept (no grave error). Independent re-derivation: base strip 106.11 (vs 105.75) and band 184.94 LF; 53.3 max (h=1.979) would give 472.1 (+10.1, +2.2%) - not a grave error, so the decision stands; same band height must be used in the nailbase row.</t>
        </is>
      </c>
      <c r="I29" s="39" t="inlineStr">
        <is>
          <t>Base strip [DERIVADO] = stud outer-face LF minus storefront, storefront piers (own detail 1,2/A09.25) and door 123 x 0.50 ft [CONFIRMADO T/BASE 0'-6"]: N 13.62 -&gt; 6.81 | E 76.46 -&gt; 38.23 | S 52.84-3.33 = 49.51 -&gt; 24.76 | W 47.93+3.91+20.80 = 72.64 -&gt; 36.32; base = 106.11 SF (decision 105.75). Canopy band LF [DERIVADO, canopy outlines A02.02/A04.01]: N 57.76 (whole grid F incl. over storefront and tower) | E 48.06 (F to 4 ft short of B, section E/A09.22 has no canopy) | S 23.00 (door 123 canopy, F/A09.22) | W 56.12 (drive-up canopy: tower W 29.53 + jog 3.91 + grid 3 D-&gt;B 22.68) = 184.94 LF. Band height not dimensioned [CRITERIO]: 1.52 ft (nailbase gap measured on 7/A09.26 against printed T/STUD-B/STUD) to 1.979 ft (B/STUD 10'-7 1/4" to T/STUD 12'-7"). Decision value 462.0 =&gt; band h = (462.0-106.11)/184.94 = 1.924 ft (inside range). Per facade at 1.924: N 6.81+111.15 = 117.96 | E 38.23+92.48 = 130.71 | S 24.76+44.26 = 69.01 | W 36.32+107.99 = 144.31 = 462.0 SF.</t>
        </is>
      </c>
      <c r="J29" s="39" t="inlineStr">
        <is>
          <t>Canopy band glass-mat height not dimensioned (7/A09.26, 3/A09.26): 1.52 ft -&gt; 387.2 SF (-74.8); 1.979 ft -&gt; 472.1 SF (+10.1).</t>
        </is>
      </c>
    </row>
    <row r="30" ht="82.05" customHeight="1" s="36">
      <c r="A30" s="39" t="inlineStr">
        <is>
          <t>Gypsum board jamb return at openings</t>
        </is>
      </c>
      <c r="B30" s="39" t="inlineStr">
        <is>
          <t>SF</t>
        </is>
      </c>
      <c r="C30" s="39" t="n">
        <v>101.07</v>
      </c>
      <c r="D30" s="39" t="n">
        <v>95.94</v>
      </c>
      <c r="E30" s="39" t="n">
        <v>-5.13</v>
      </c>
      <c r="F30" s="39" t="inlineStr">
        <is>
          <t>CRITERIO</t>
        </is>
      </c>
      <c r="G30" s="39" t="inlineStr">
        <is>
          <t>2/A09.26 and 11/A09.27 SECTION DETAIL @ STOREFRONT HEAD "GYPSUM BOARD JAMB RETURN BEYOND" -&gt; 10/A09.27 (sill), 3/A09.25 (window jamb) -&gt; A02.01 / A09.01-02 openings</t>
        </is>
      </c>
      <c r="H30" s="39" t="inlineStr">
        <is>
          <t>Same width basis as v3; LF re-derived per opening: v3 N carried 58.64 LF (29.32 SF) vs 47.31 LF here (pier jambs have no board return). -5.13 SF.</t>
        </is>
      </c>
      <c r="I30" s="39" t="inlineStr">
        <is>
          <t>[CRITERIO] return LF x width. LF [DERIVADO]: E 4 GL-2 windows x 2x(8+2) = 80.0 | W 2 windows 40.0 + ATM 2x(2.18+2.60) = 9.56 + vestibule storefront head 6.50 + jamb at wall 8.50 = 64.56 | N main storefront head 26.25 + jamb at office 105 wall 8.50 + vestibule storefront head 12.56 = 47.31 (pier jambs excluded: board dies at the frame, 1,2/A09.25) | S 0 (door 123 HM frame, 4/A09.25, 14/A09.27) = 191.87 LF. Width not dimensioned: v3 basis 6" stud depth = 0.50 ft (max plausible, 53.3) -&gt; N 23.66 | E 40.00 | S 0 | W 32.28 = 95.94 SF.</t>
        </is>
      </c>
      <c r="J30" s="39" t="inlineStr">
        <is>
          <t>Return width not dimensioned on 2/A09.26, 11/A09.27, 3/A09.25: as drawn the frame sits mid-wall and the return is ~2.4" (0.20 ft) -&gt; 38.4 SF (-57.6).</t>
        </is>
      </c>
    </row>
    <row r="31" ht="108.95" customHeight="1" s="36">
      <c r="A31" s="39" t="inlineStr">
        <is>
          <t>FRT plywood substrate</t>
        </is>
      </c>
      <c r="B31" s="39" t="inlineStr">
        <is>
          <t>SF</t>
        </is>
      </c>
      <c r="C31" s="39" t="n">
        <v>647.95</v>
      </c>
      <c r="D31" s="39" t="n">
        <v>632.49</v>
      </c>
      <c r="E31" s="39" t="n">
        <v>-15.46</v>
      </c>
      <c r="F31" s="39" t="inlineStr">
        <is>
          <t>DERIVADO</t>
        </is>
      </c>
      <c r="G31" s="39" t="inlineStr">
        <is>
          <t>12/A12.01 (type F) ; A02.01 key note 6 -&gt; 2,3,4,5/A11.03 (backboards) ; 2/A09.26, 11/A09.27, 1-3/A09.25 (3/4" FRT ply at openings) ; 6/A08.11 (ATM recess 5/8" FRT ply)</t>
        </is>
      </c>
      <c r="H31" s="39" t="inlineStr">
        <is>
          <t>v3 backboards 259.14 used 8.0 ft (from floor) on #8 and odd heights 7.64/7.95 and 9.99 LF on #18; the plywood starts 6" AFF and stops at 8'-0" (7.50 ft) and the Electrical room is 9'-7" face to face. -15.46 SF.</t>
        </is>
      </c>
      <c r="I31" s="39" t="inlineStr">
        <is>
          <t>Type F lobby face 3/4" FRT plywood 'EXTEND TO DECK ABOVE': 17.458 x 15.375 - 6.05 = 262.37 (v3 holds). Backboards: key note 6 'FIRE RATED 3/4" PLYWOOD BACKBOARD ... INSTALL 6" AFF' with top at 8'-0" on A11.03 -&gt; 7.50 ft high; faces: Electrical 120 three walls 9'-7" + 9'-7" + 5'-10" (A02.01) and NER 121 one wall 7'-6" (5/A11.03; 7/A11.03 has no plywood): 7.50 x (9.583 + 9.583 + 5.833 + 7.50) = 243.75 -&gt; carried 243.68 using v3 face lengths 9.58/9.58/5.83/7.50 [DERIVADO]. Opening-perimeter 3/4" FRT ply strips + ATM recess 5/8" FRT ply: 126.44 (v3 #60 29.32 + #61 40 + #63 20 + #65 37.12, not re-measured). Total 262.37 + 243.68 + 126.44 = 632.49.</t>
        </is>
      </c>
      <c r="J31" s="39" t="n"/>
    </row>
    <row r="32" ht="122.35" customHeight="1" s="36">
      <c r="A32" s="39" t="inlineStr">
        <is>
          <t>Level 5 finish</t>
        </is>
      </c>
      <c r="B32" s="39" t="inlineStr">
        <is>
          <t>SF</t>
        </is>
      </c>
      <c r="C32" s="39" t="n">
        <v>490.43</v>
      </c>
      <c r="D32" s="39" t="n">
        <v>874.83</v>
      </c>
      <c r="E32" s="39" t="n">
        <v>384.4</v>
      </c>
      <c r="F32" s="39" t="inlineStr">
        <is>
          <t>RFI</t>
        </is>
      </c>
      <c r="G32" s="39" t="inlineStr">
        <is>
          <t>A00.40 finish schedule WC-18/WC-22 'WALL SURFACE TO BE LEVEL 5' -&gt; A05.01 key notes 9 (WC-20), 10 (WC-22), 12 -&gt; A11.01 (office 2 S, media wall), A11.03 (office 6 N), A11.04 (offices 1,3,4,5 S) -&gt; A02.01 10'-0" media wall -&gt; A04.01 ceiling heights</t>
        </is>
      </c>
      <c r="H32" s="39" t="inlineStr">
        <is>
          <t>v3 carried 5 WC-18 faces with a wrong set (#47 office-108/teller face at 10.07 LF, #49 both faces) and missed office 1 (#50 face 105), WC-22 media wall and WC-20. Area of WC-18 now from the 6 printed elevation widths.</t>
        </is>
      </c>
      <c r="I32" s="39" t="inlineStr">
        <is>
          <t>WC-18 (one wall per office, elevations print the width): offices 105-108 4 x 11.771 (11'-9 1/4") + offices 109-110 2 x 11.625 (11'-7 1/2") = 70.33 LF x 8.625 ft (ACT-4 9'-0" ceiling A04.01 minus 4.5" B-11 base, key note 12 'bottom of WC-18 above wall base' - same height convention as v3) = 606.60. WC-22 media wall (key note 10): C1 furring face 10'-0" (A02.01) x (11.0 ft top of panel on 1/A11.01 = Waiting GB 11'-0" - 0.375 base) = 106.25 [DERIVADO, height by vector at 1/2"=1'-0"]. WC-20 (key note 9, bubble placed in 24 HR Vestibule 101, no WC-20 tag, wall tagged P-24 with note 'PRIMER TINTED WITH P-15 BEHIND WC'): F wall lobby face 17.458 x (10.00 - 0.375) - 6.05 = 161.98 [RFI]. Total 606.60 + 106.25 + 161.98 = 874.83; MIN without WC-20 = 712.85.</t>
        </is>
      </c>
      <c r="J32" s="39" t="inlineStr">
        <is>
          <t>WC-20 (A05.01 key note 9) has no tag and is not in the A00.40 schedule; the vestibule 101 wall is tagged P-24: 0 vs 161.98 SF (carried). Finish plan A05.01 draws the WC-18 tags on the north wall of 105-108 and the south wall of 110, while A11.01/03/04 put WC-18 on the SOUTH walls of offices 1-5 and the NORTH wall of office 6: same area either way, wall location to confirm.</t>
        </is>
      </c>
    </row>
    <row r="33" ht="82.05" customHeight="1" s="36">
      <c r="A33" s="39" t="inlineStr">
        <is>
          <t>5/8" FRT plywood sheathing (canopy and soffits)</t>
        </is>
      </c>
      <c r="B33" s="39" t="inlineStr">
        <is>
          <t>SF</t>
        </is>
      </c>
      <c r="C33" s="39" t="n">
        <v>1768.38</v>
      </c>
      <c r="D33" s="39" t="n">
        <v>1872.88</v>
      </c>
      <c r="E33" s="39" t="n">
        <v>104.5</v>
      </c>
      <c r="F33" s="39" t="inlineStr">
        <is>
          <t>DERIVADO</t>
        </is>
      </c>
      <c r="G33" s="39" t="inlineStr">
        <is>
          <t>A04.01 RCP (canopy soffits incl. south canopy at door 123, section F/A09.22) -&gt; F/A09.22 "SIM 7/A09.26" -&gt; 7/A09.26, 3/A09.26, 15,16/A09.27 "5/8" EXT. GRADE FRT PLYWOOD SHEATHING ON 3 5/8" METAL STUD FRAMING"</t>
        </is>
      </c>
      <c r="H33" s="39" t="inlineStr">
        <is>
          <t>v3 (and arb5 fascia 205.1 LF) omit the canopy over door 123: A04.01 draws its soffit with UU6 linear light and section F/A09.22 cuts it as SIM 7/A09.26 (same FRT plywood construction). +104.5 SF. Cross-check of the other four on the A02.02 roof outline: W 1,027.1 / N 218.2 / E 113.9 (v3 within -25 SF, kept).</t>
        </is>
      </c>
      <c r="I33" s="39" t="inlineStr">
        <is>
          <t>v3 rows kept [DERIVADO v3]: W drive-up soffit CANOPY-81+82 1,035.97, N strip CANOPY-83 230.61, E strip CANOPY-84 118.52, fascia CANOPY-85 383.28 (205.62 LF x 1.864) split by fascia LF: W 93.24/207.04 -&gt; 172.61, N 59.99 -&gt; 111.06, E 53.81 -&gt; 99.61. ADDED south canopy at door 123 [DERIVADO, A04.01 vector, 18 pt/ft]: soffit inner line 21.91 x 2.48 = 54.39 + fascia 26.87 LF (21.91 + 2 x 2.48) x 1.864 = 50.09 -&gt; S 104.48. Per facade: N 341.67 | E 218.13 | S 104.48 | W 1,208.58 = 1,872.86 SF.</t>
        </is>
      </c>
      <c r="J33" s="39" t="inlineStr">
        <is>
          <t>Fascia box: only the outer face is carried (B/STUD 10'-8 5/8" to T/STUD 12'-7"); if the 3-5/8" fascia box also gets FRT on top and inner face (7/A09.26 AWB wraps 3 faces) add ~1.0 SF/LF x 232.5 LF = +232 SF (max ~2,030 incl. outer-line footprint).</t>
        </is>
      </c>
    </row>
    <row r="34" ht="216.4" customHeight="1" s="36">
      <c r="A34" s="39" t="inlineStr">
        <is>
          <t>METAL trim - corner bead, casing bead, shadow molding, gypsum edge trim</t>
        </is>
      </c>
      <c r="B34" s="39" t="inlineStr">
        <is>
          <t>LF</t>
        </is>
      </c>
      <c r="C34" s="39" t="n">
        <v>514.77</v>
      </c>
      <c r="D34" s="39" t="n">
        <v>1267.55</v>
      </c>
      <c r="E34" s="39" t="n">
        <v>752.78</v>
      </c>
      <c r="F34" s="39" t="inlineStr">
        <is>
          <t>CRITERIO</t>
        </is>
      </c>
      <c r="G34" s="39" t="inlineStr">
        <is>
          <t>8,9/A12.01 (corner bead + shadow molding) ; 10/A12.01 OFFICE JAMB 'CORNER BEAD - TYPICAL' ; 4/A12.01 'APPROPRIATE METAL TRIM AND CASING BEADS' ; 10/A09.33 soffit corner bead ; 6/A09.33 gypsum edge trim ; 2/A09.26 + 11/A09.27 + 1,2/A09.25 GYPSUM BOARD JAMB RETURN (criterion 53.1) ; 6/A12.01 C1 + A02.01 10'-0" x 8" media furring ; 7/A09.33</t>
        </is>
      </c>
      <c r="H34" s="39" t="inlineStr">
        <is>
          <t>v3 had no trim at the office-front jambs (10/A12.01 calls corner bead) and none at the jamb returns it already carries as board (criterion 53.1 mandatory), nor at the media-wall furring. | COORDINATOR: 7/A09.33 transition trims were in no v3 row; jamb return re-derived by G2</t>
        </is>
      </c>
      <c r="I34" s="39" t="inlineStr">
        <is>
          <t>CALLOUT PART (=MIN 555.73): office-front bulkhead 8,9/A12.01 4 runs x 45 LF = 180.00 (v3) + A1K/B2K casing 4/A12.01 17.24 (v3) + NEW office jamb corner bead 10/A12.01: 6 office fronts x 2 jambs x 2 outside corners x 8.04 ft (floor to bulkhead underside, 15.375 - 7.333) = 192.96 + CSR soffit corner bead 10/A09.33 42.86 (v3) + gypsum edge trim at light slots 6/A09.33 122.67 (v3). CRITERION 53.1 PART 578.28: C1 pilasters/column enclosures corner bead 152.00 (v3) + jamb returns at exterior windows / ATM / north storefront edges: v3 jamb-return board 101.07 SF at 0.50 ft = 202.14 LF of opening edge, each edge = 1 corner bead + 1 casing bead = 404.28 + media-wall C1 furring returns (10'-0" x 8") 2 outside corners x 11.0 ft = 22.00. NET = 555.73 + 578.28 = 1,134.01. MAX 1,410.00 = + storefront heads 2/A09.26 not inside the v3 north return (45.31 LF x corner bead + casing = 90.62) + ceiling transitions 7/A09.33 if G3 carries them (61.79 LF x 2 corner bead + 1 shadow = 185.37). | COORDINATOR: 1,134.01 (G4) - 404.28 x (1 - 95.94/101.07) = -20.52 (jamb-return trim follows G2 re-derived return 95.94 SF) + 7/A09.33 TYPICAL CEILING TRANSITION at Waiting 104 GB/ACT-4 edge 77.03 LF [DERIVADO G3 vector] x 2 (CORNER BEAD - TYPICAL + SHADOW MOLDING AS SPECIFIED) = +154.06; min adds 77.03 shadow only, max 3 runs (detail lower variant draws 2 corner beads + 1 shadow)</t>
        </is>
      </c>
      <c r="J34" s="39" t="inlineStr">
        <is>
          <t>Gypsum edge trim at slots 122.67 (carried) vs 112.0 slot framing LF (RFI-10, -10.67). Office front head height (vendor) sets the jamb corner-bead height 8.04 ft. Storefront head/jamb edges possibly outside the v3 north jamb-return 58.64 LF: +90.62 (in max). Other free wall ends (A1 stubs, niche returns) not enumerated [PENDIENTE].</t>
        </is>
      </c>
    </row>
    <row r="35" ht="68.65000000000001" customHeight="1" s="36">
      <c r="A35" s="39" t="inlineStr">
        <is>
          <t>PVC trim - edge trim molding and inside corner molding at the FRP</t>
        </is>
      </c>
      <c r="B35" s="39" t="inlineStr">
        <is>
          <t>LF</t>
        </is>
      </c>
      <c r="C35" s="39" t="n">
        <v>4</v>
      </c>
      <c r="D35" s="39" t="n">
        <v>211.2</v>
      </c>
      <c r="E35" s="39" t="n">
        <v>207.2</v>
      </c>
      <c r="F35" s="39" t="inlineStr">
        <is>
          <t>CRITERIO</t>
        </is>
      </c>
      <c r="G35" s="39" t="inlineStr">
        <is>
          <t>3/A08.01 (PVC EDGE TRIM MOLDING top + PVC EDGE TRIP MOLDING bottom over the cove base) ; 7/A08.01 PVC INSIDE CORNER TRIM MOLDING ; 4,5/A08.01 mop sink</t>
        </is>
      </c>
      <c r="H35" s="39" t="inlineStr">
        <is>
          <t>v3 carried only the mop-sink inside corner (4 LF); 3/A08.01 draws PVC edge trim at the top AND the bottom of the FRP and 7/A08.01 an inside-corner molding at every inside corner of the restrooms.</t>
        </is>
      </c>
      <c r="I35" s="39" t="inlineStr">
        <is>
          <t>Restrooms: edge trim top 67.6 + bottom 67.6 = 135.2 + inside corners 8 (4 per room) x 5.00 ft = 40.0 + vertical edge trim where FRP stops at the 2 door frames 4 x 5.00 = 20.0 [criterion]. Mop sink: inside corner 4.0 + edge trim top 2 x 2.0 + vertical ends 2 x 4.0 = 12.0 -&gt; 16.0. Total 135.2 + 40.0 + 20.0 + 16.0 = 211.2. MIN 191.2 without door-jamb edges. MAX 211.87 with a 28" basin.</t>
        </is>
      </c>
      <c r="J35" s="39" t="inlineStr">
        <is>
          <t>Inside corner count assumes 4 per room; the fountain-alcove jog adds corners [PENDIENTE]. Door-jamb FRP edge (20 LF) not drawn, criterion.</t>
        </is>
      </c>
    </row>
    <row r="36" ht="55.2" customHeight="1" s="36">
      <c r="A36" s="39" t="inlineStr">
        <is>
          <t>Power-driven fasteners and duct sleeves</t>
        </is>
      </c>
      <c r="B36" s="39" t="inlineStr">
        <is>
          <t>pcs</t>
        </is>
      </c>
      <c r="C36" s="39" t="n">
        <v>239</v>
      </c>
      <c r="D36" s="39" t="n">
        <v>275</v>
      </c>
      <c r="E36" s="39" t="n">
        <v>36</v>
      </c>
      <c r="F36" s="39" t="inlineStr">
        <is>
          <t>DERIVADO</t>
        </is>
      </c>
      <c r="G36" s="39" t="inlineStr">
        <is>
          <t>11/S5.10 PARAPET INFILL FRAMING: '600T125-54 TOP &amp; BOT.' + 'PAFs SPACED AT 12" O.C. MAX.' (bottom track to steel beam); duct sleeves per v3 Partition_Takeoff walls B #19 (1) and B2 #27 (3)</t>
        </is>
      </c>
      <c r="H36" s="39" t="inlineStr">
        <is>
          <t>Parapet run grows to the full perimeter (G2 270.69 vs 217.64). The 16 A1K bottom-track fasteners are moved to the slab-pin row: 7/S5.20 SILL TRACK ANCHORAGE governs interior walls at 12in O.C. (tighter than 4/A12.01's 2'-0"), keeping them here would double-count the A1K bottom track.</t>
        </is>
      </c>
      <c r="I36" s="39" t="inlineStr">
        <is>
          <t>YIELD/FORMULA: pcs = SUM over parapet runs ROUNDUP(run_LF / 1.0 ft) [driver: parapet bottom track LF from G2] + 4 duct sleeves. With G2 centerline 270.69 LF: ROUNDUP(270.69) = 271 (+ up to 1 per run when rounded per run) + 4 = 275. v3 239 = 219 parapet PAF (on 217.64 LF, 6 runs) + 16 A1K fasteners (4/A12.01 @ 2'-0") + 4 sleeves.</t>
        </is>
      </c>
      <c r="J36" s="39" t="inlineStr">
        <is>
          <t>Recompute with G2 final parapet runs (per-run rounding). If the A1K 4/A12.01 fasteners are kept as their own item instead of 7/S5.20 pins: +16 here and -8 in slab pins.</t>
        </is>
      </c>
    </row>
    <row r="37" ht="323.85" customHeight="1" s="36">
      <c r="A37" s="39" t="inlineStr">
        <is>
          <t>Blocking FRT / 2X FRT wood</t>
        </is>
      </c>
      <c r="B37" s="39" t="inlineStr">
        <is>
          <t>LF</t>
        </is>
      </c>
      <c r="C37" s="39" t="n">
        <v>788.35</v>
      </c>
      <c r="D37" s="39" t="n">
        <v>1083.9</v>
      </c>
      <c r="E37" s="39" t="n">
        <v>295.55</v>
      </c>
      <c r="F37" s="39" t="inlineStr">
        <is>
          <t>CRITERIO</t>
        </is>
      </c>
      <c r="G37" s="39" t="inlineStr">
        <is>
          <t>4/A09.26 (parapet); 9,8,10/A12.01 + A11.01 7 (office front); 4/A02.02; 3/A08.21; 8/A12.10; 1,2/A09.33 (WAP); 10/A09.33=9/A12.08 (CSR soffit, once); A12.03-A12.06 note D + A00.30 millwork schedule; A08.01 note E + 1/A08.01 + A-D/A08.01 + A11.02 (TA-2/TA-19); A00.30 note D + hardware groups; A02.01 KN3 -&gt; 3/A09.30; A02.01 KN7 -&gt; 13/A12.02; A11.01 4, A11.03 7, A11.04 3/7/9/16 (artwork); A02.01 note C + KN5 -&gt; 5,6/A11.02, 2/A11.02 + A00.40 items 7, 69, CW-16</t>
        </is>
      </c>
      <c r="H37" s="39" t="inlineStr">
        <is>
          <t>Rebuilt item by item; v3 per-wall Blocking column cannot be traced to items (it still mixed the 2xL metal 362CR22 pattern). Changes vs v3 788.35: parapet carried at the 2 plies drawn in 4/A09.26 (criterion 53.3, more material) on G2 centerline 270.69 instead of 1 ply on 263.84 (+277.54); artwork now 6 pieces (v3 had 5, none on Office 1); note C boards/lockers and monitor rebuilt from elevations; wall stops limited to 9 doors whose hardware group lists WALL STOP; toilet accessories piece by piece. Door 123 HM-head 3/4in FRT plywood (14/A09.27, 17.33 LF) NOT carried here: per arb5 it belongs to the FRT plywood (SF) family with the other opening-perimeter strips (v3 788.35 also excluded it). NOTE: this departs from the value arb5 accepted (788.35, 1 ply) only on the ply count; arb5's own range (788-1,272) contains it. If the coordinator keeps 1 ply: net = 813.21.</t>
        </is>
      </c>
      <c r="I37" s="39" t="inlineStr">
        <is>
          <t>Item by item (LF): [1] parapet top 3/4in FRT plywood blocking 4/A09.26, drawn 2 plies: 2 x 270.69 (parapet centerline from G2, DERIVADO) = 541.38. [2] office bulkhead under CONT. BOX BEAM 9/A12.01: 6 office fronts x 7'-6" CLEAR FINISHED OPENING (A11.01 7, CONFIRMADO) = 45.00. [3] office jambs 10/A12.01: 12 jambs x 8'-0 1/2" HOLD (A11.01 7, CONFIRMADO) = 96.50. [4] roof step 2X FRT 4/A02.02 = 53.67 (arb5). [5] coiling grille jambs 3/A08.21 = 23.00 (arb5). [6] vestibule wall termination 8/A12.10 = 20.00 (arb5). [7] WAP 1,2/A09.33 = 2.00 (arb5). [8] CSR soffit FRTW 10/A09.33 (= 9/A12.08, counted once) = 12.01. [9] millwork note D, rows x length (base/counter 1 row, upper 2, tall/standards 2): MW01 2x3.125=6.25; MW05 2x3.5=7.00; MW06A x2: 2x2x3.458=13.83; MW07 3x6.625=19.88; MW08 1x7.583=7.58; MW11 1x13.5=13.50; MW12 base 1x(7.0+4.27)=11.27 + upper 2x7.0=14.00; MW13 2x11.667=23.33; MW18 3x3.333=10.00; MW21 1x10.0=10.00 -&gt; 136.65. [10] toilet accessories note E, each = item length + 8in bearing each side: per restroom TA-3 4.83, TA-4 4.33, TA-5 2.83, TA-16 4.25, TA-7 3.33, TA-6/TA-8/TA-10/TA-17 2.33 each = 28.89 (men); women +TA-9 2.33 = 31.22; wellness TA-19 2.83 -&gt; 62.94 (63.00 unrounded). Recessed TA-2/TA-13/TA-14 excluded (framed openings, other group). [11] wall stops A00.30 note D: hardware groups with WALL STOP = 04A, 08, 10, 11, 11B, 12, 16 -&gt; doors 111, 113, 114, 117, 116, 118B, 118A, 119, 115 = 9 x 2.0 = 18.00 (11D has FLOOR STOP; 09, 10A, 10B, 11C, 13 none). [12] roof ladder 3/A09.30: 3 bracket levels drawn x 2 stud bays (2.67) = 8.00. [13] 85in monitor 13/A12.02: dashed 3/4in FRT plywood panel, vector 132.7 pt / 36 pt/ft = 3.69 (11in tall). [14] artwork 4'-0"x4'-0": 6 offices (A11.01 4, A11.03 7, A11.04 3/7/9/16) x (4.0+1.33) = 32.00. [15] A02.01 note C equipment: corkboard 69 x2 (break room N 5/A11.02, S 6/A11.02, 4.0 ft wide by vector) + combo board 7 (2/A11.02, 48in) = 3 x 2 rows x 4.0 = 24.00; lockers CW-16 KN5 1 row x 5.0 (4 units x 15in, vector) = 5.00. TOTAL = 541.38+45+96.50+53.67+23+20+2+12.01+136.65+63.00+18+8+3.69+32+29 = 1,083.90.</t>
        </is>
      </c>
      <c r="J37" s="39" t="inlineStr">
        <is>
          <t>RFI-B1 parapet blocking 4/A09.26 'AS REQUIRED', 2 plies drawn: 2 plies 541.38 (carried) vs 1 ply 270.69 -&gt; net 813.21 (-270.69). RFI-B2 millwork/accessory/equipment blocking row counts and bearing not dimensioned: range 706.41 (1 row, no bearing, 1 ply) to 1,179.06. RFI-B3 roof hatch curb '2x FRT BLOCKING AS REQUIRED' 1/A09.30 not carried (roofing/carpentry at curb). Small wall devices (phones 24, sanitizer 64, clock 9, robbery lights 62, security monitors 58, monitor arms 111/113) not carried - anchors/studs; add ~2.0 LF each if the owner wants blocking under note C.</t>
        </is>
      </c>
    </row>
    <row r="38" ht="122.35" customHeight="1" s="36">
      <c r="A38" s="39" t="inlineStr">
        <is>
          <t>Acoustical sealant</t>
        </is>
      </c>
      <c r="B38" s="39" t="inlineStr">
        <is>
          <t>LF</t>
        </is>
      </c>
      <c r="C38" s="39" t="n">
        <v>1002.98</v>
      </c>
      <c r="D38" s="39" t="n">
        <v>957.52</v>
      </c>
      <c r="E38" s="39" t="n">
        <v>-45.46</v>
      </c>
      <c r="F38" s="39" t="inlineStr">
        <is>
          <t>RFI</t>
        </is>
      </c>
      <c r="G38" s="39" t="inlineStr">
        <is>
          <t>1/A12.01 (B,B2 top+bottom both faces); 4/A12.01 (A1K/A5K; B2K by analogy) top+bottom; 3/A12.01 (A1,A5 bottom only, top = CONTINUOUS SLIP TRACK); 5/A12.01 (G,G1 unlabeled bead at bottom both faces); 6/A12.01 C1 none; 12/A12.01 F none; 9,8/A12.01 SEALANT at underside of structure + at office-front head; 10/A12.01 SEALANT at office-front jambs</t>
        </is>
      </c>
      <c r="H38" s="39" t="inlineStr">
        <is>
          <t>v3 1,002.98 was test-#4 'A' lengths, not v3's own Partition_Takeoff, and had no door deductions. Rebuilt run by run on v3 wall lengths with 55.5 door deductions; F removed (v3 Partition_Takeoff row F #40 carries 71.05 LF of sealant - delete it there too). The 55.5 LF deduction quoted in the task could not be reproduced: run-by-run it is 73.60 LF (12 door openings x 2 faces in A1/A5/B/B2 walls).</t>
        </is>
      </c>
      <c r="I38" s="39" t="inlineStr">
        <is>
          <t>Wall lengths from v3 Partition_Takeoff (not re-measured): B 60.78 + B2 35.014 = 95.794 x4 = 383.18; A1K 7.99 x4 = 31.96; B2K 1.26 x4 = 5.04; A1 78.367 + A5 39.12 = 117.487 x2 = 234.97; G 80.875 + G1 17.11 = 97.985 x2 = 195.97; bulkhead top at structure 9/A12.01 2 faces x 45.0 = 90.00; office-front head 9/A12.01 2 x 45.0 = 90.00 (RFI, carried per 53.3). Gross = 1,031.12. Door R.O. deduction on bottom runs (55.5), 2 faces per door, R.O. from v3 openings: A1 doors 119, 118A, 111 (3 x 3.33) = 9.99; A5 door 122 3.33; B doors 120, 121 (3.33 each) + 112 (3.00) = 9.66; B2 doors 113, 117, 115 (3 x 3.33) + 102 (3.83) = 13.82; sum 36.80 x 2 = 73.60 (door 118B excluded: v3 places it in the jog between walls 8 and 16, outside both wall lengths). Net = 1,031.12 - 73.60 = 957.52. C1 = 0; F = 0 (decision 4).</t>
        </is>
      </c>
      <c r="J38" s="39" t="inlineStr">
        <is>
          <t>RFI-S1 G/G1 bead 5/A12.01 drawn but unlabeled: carried 195.97 (delete -&gt; -195.97). RFI-S2 office-front head SEALANT 9/A12.01 (Div 09 vs bank-vendor office front): carried 90.00 (-90.00 if vendor). RFI-S3 office-front jamb SEALANT 10/A12.01 same question: 12 jambs x 8.042 x 2 faces = 193.00 NOT carried (+193.00) - if S2 is answered 'Div 09', S3 goes in too. Min 671.55 = no G bead, no head. Max 1,150.52 = + jambs.</t>
        </is>
      </c>
    </row>
    <row r="39" ht="82.05" customHeight="1" s="36">
      <c r="A39" s="39" t="inlineStr">
        <is>
          <t>5/8" FRT plywood at canopy column wraps</t>
        </is>
      </c>
      <c r="B39" s="39" t="inlineStr">
        <is>
          <t>SF</t>
        </is>
      </c>
      <c r="C39" s="39" t="n">
        <v>255.5</v>
      </c>
      <c r="D39" s="39" t="n">
        <v>220.5</v>
      </c>
      <c r="E39" s="39" t="n">
        <v>-35</v>
      </c>
      <c r="F39" s="39" t="inlineStr">
        <is>
          <t>DERIVADO</t>
        </is>
      </c>
      <c r="G39" s="39" t="inlineStr">
        <is>
          <t>A02.01 (4 canopy columns grid 1 at G, E.4, C.5, B.2, bubbles 5/A09.25) -&gt; 5/A09.25 DETAIL @ CANOPY COLUMN "1'-2 1/2" FOS" both ways, "STUCCO SYSTEM (PT-03) ON 5/8" EXTERIOR GRADE FRT PLYWOOD ON 3-5/8" METAL FRAMING" -&gt; A09.01 B/CANOPY 10'-6"</t>
        </is>
      </c>
      <c r="H39" s="39" t="inlineStr">
        <is>
          <t>v3 used 1'-5" per side (not printed); 5/A09.25 prints 1'-2 1/2" FOS. Arb2 value 220.5 confirmed.</t>
        </is>
      </c>
      <c r="I39" s="39" t="inlineStr">
        <is>
          <t>[DERIVADO] plywood outside face = 1'-2 1/2" FOS [CONFIRMADO] + 2 x 5/8" = 15.75" -&gt; 4 x 1.3125 = 5.25 LF per column x 10.50 ft (B/CANOPY 10'-6" [CONFIRMADO A09.01]) = 55.125 SF x 4 columns = 220.5 SF. All W facade (drive-up, grid 1).</t>
        </is>
      </c>
      <c r="J39" s="39" t="inlineStr">
        <is>
          <t>If the wrap runs to B/STUD 10'-7 1/4" of the canopy soffit: 222.7 SF (+2.2).</t>
        </is>
      </c>
    </row>
    <row r="40" ht="68.65000000000001" customHeight="1" s="36">
      <c r="A40" s="39" t="inlineStr">
        <is>
          <t>3/4" FRT plywood at storefront piers</t>
        </is>
      </c>
      <c r="B40" s="39" t="inlineStr">
        <is>
          <t>SF</t>
        </is>
      </c>
      <c r="C40" s="39" t="n">
        <v>327.2</v>
      </c>
      <c r="D40" s="39" t="n">
        <v>26.86</v>
      </c>
      <c r="E40" s="39" t="n">
        <v>-300.34</v>
      </c>
      <c r="F40" s="39" t="inlineStr">
        <is>
          <t>CRITERIO</t>
        </is>
      </c>
      <c r="G40" s="39" t="inlineStr">
        <is>
          <t>A02.01 / A12.10 (2 vestibule piers: grid 2 = 1/A09.25, grid 4 = 2/A09.25) -&gt; 1/A09.25 and 2/A09.25 DETAIL @ STOREFRONT PIER "3/4" FRT PLYWOOD" (jamb strip behind each storefront frame) -&gt; A09.01 T/GLAZING 8'-6"</t>
        </is>
      </c>
      <c r="H40" s="39" t="inlineStr">
        <is>
          <t>1,2/A09.25 label 3/4" FRT plywood only as the narrow jamb strips behind the storefront frames; the pier faces are "CONTINUOUS AWB ON 5/8" FRT PLYWOOD BONDED TO POLYISO" (nailbase family) and 5/8" gypsum board inside. v3 327.2 SF (from test A of arb2) has no support in the details: -300.3 SF.</t>
        </is>
      </c>
      <c r="I40" s="39" t="inlineStr">
        <is>
          <t>[CRITERIO] 4 jamb strips (pier grid 2: N jamb + W jamb; pier grid 4: both jambs on grid F/G) x width x 8.50 ft (T/GLAZING 8'-6" [CONFIRMADO]). Strip width not dimensioned: drawn 0.56-0.79 ft (scaled against the printed 1'-0" F-G); 53.3 -&gt; 0.79 ft: N 3 x 0.79 x 8.5 = 20.15 | W 1 x 0.79 x 8.5 = 6.72 | E 0 | S 0 = 26.86 SF.</t>
        </is>
      </c>
      <c r="J40" s="39" t="inlineStr">
        <is>
          <t>Jamb strip width not dimensioned: 0.50 ft -&gt; 17.0 SF (-9.9). Opening-perimeter 3/4" FRT plywood at storefront/window heads, sills and jambs (2/A09.26, 11/A09.27, 10/A09.27, 3/A09.25) stays in v3 "FRT plywood substrate" (126.44 SF), not here.</t>
        </is>
      </c>
    </row>
    <row r="41" ht="55.2" customHeight="1" s="36">
      <c r="A41" s="39" t="inlineStr">
        <is>
          <t>Sealant at base of gypsum (exterior, not acoustical)</t>
        </is>
      </c>
      <c r="B41" s="39" t="inlineStr">
        <is>
          <t>LF</t>
        </is>
      </c>
      <c r="C41" s="39" t="n">
        <v>217.6</v>
      </c>
      <c r="D41" s="39" t="n">
        <v>209.18</v>
      </c>
      <c r="E41" s="39" t="n">
        <v>-8.42</v>
      </c>
      <c r="F41" s="39" t="inlineStr">
        <is>
          <t>DERIVADO</t>
        </is>
      </c>
      <c r="G41" s="39" t="inlineStr">
        <is>
          <t>5/A09.26, 9/A09.27, 12/A09.27 "SEALANT AT BASE OF GYPSUM" (interior face of the exterior wall, all three base types) -&gt; A02.01 openings (storefront, door 123)</t>
        </is>
      </c>
      <c r="H41" s="39" t="inlineStr">
        <is>
          <t>v3 217.6 = full v3 wall LF (outer-face basis, door 123 not deducted). Re-measured on the stud CL validated by printed grid dims; stops at storefront and door openings (arb6). -8.4 LF, slightly below arb6 range 211.4-217.6 because of the interior-face basis.</t>
        </is>
      </c>
      <c r="I41" s="39" t="inlineStr">
        <is>
          <t>[DERIVADO] interior board face = stud CL -0.30 ft at each convex corner (+0.30 at re-entrant), runs stop at storefront jambs and door 123 (R.O. 3.33): N 13.62-0.30 = 13.32 | E 75.96-0.60 = 75.36 | S 52.34-0.60-3.33 = 48.41 | W 47.93 (grid 3) + 3.91 (jog) + 20.25 (grid 2 wall) = 72.09 =&gt; 209.18 LF.</t>
        </is>
      </c>
      <c r="J41" s="39" t="inlineStr">
        <is>
          <t>Storefront pier inner faces (1,2/A09.25 show 5/8" gypsum board) not counted: up to ~+5 LF if the bead is also run there.</t>
        </is>
      </c>
    </row>
    <row r="42" ht="82.05" customHeight="1" s="36">
      <c r="A42" s="39" t="inlineStr">
        <is>
          <t>Stud blocking 362CR22 at edge of gypboard (4/S5.20)</t>
        </is>
      </c>
      <c r="B42" s="39" t="inlineStr">
        <is>
          <t>LF</t>
        </is>
      </c>
      <c r="C42" s="39" t="n">
        <v>201</v>
      </c>
      <c r="D42" s="39" t="n">
        <v>466</v>
      </c>
      <c r="E42" s="39" t="n">
        <v>265</v>
      </c>
      <c r="F42" s="39" t="inlineStr">
        <is>
          <t>CRITERIO</t>
        </is>
      </c>
      <c r="G42" s="39" t="inlineStr">
        <is>
          <t>S5.20 -&gt; 4/S5.20 TYPICAL BLOCKING DETAIL (NTS): 'STUD BLOCKING 362CR22 (TYP.)' + 'PROVIDE BLOCKING AT THE EDGE OF GYPBOARD.'</t>
        </is>
      </c>
      <c r="H42" s="39" t="inlineStr">
        <is>
          <t>v3 carried only the 201 LF reading (top edge where board stops below stud top). Per user decision the base carries 466 (butt-joint reading) with RFI.</t>
        </is>
      </c>
      <c r="I42" s="39" t="inlineStr">
        <is>
          <t>User decision 3 (15-oct) and arb6 F6: 466 LF = one row at horizontal butt joints on walls taller than the 12 ft sheet (exterior walls + G/G1). Re-derivation attempt on v3 Partition_Takeoff lengths: exterior 6in walls 217.64 + G/G1 97.985 = 315.63 (1 row per wall) or 217.64 + 2 faces x 97.985 = 413.61 (G/G1 have two independent stud rows, one per board face). Neither reproduces 466 exactly (466 came from test #6's own wall inventory), so 466 is kept as CRITERIO per the decision.</t>
        </is>
      </c>
      <c r="J42" s="39" t="inlineStr">
        <is>
          <t>4/S5.20 gives no location: top-edge reading 201 LF (-265) / butt-joint reading 466 LF (carried) / both ~667 LF (+201). My own butt-joint derivation on v3 lengths gives 413.61 LF (-52.39) - recompute with final G1/G2 wall lengths.</t>
        </is>
      </c>
    </row>
    <row r="43" ht="55.2" customHeight="1" s="36">
      <c r="A43" s="39" t="inlineStr">
        <is>
          <t>Drywall screws 1-1/4" bugle head</t>
        </is>
      </c>
      <c r="B43" s="39" t="inlineStr">
        <is>
          <t>pcs</t>
        </is>
      </c>
      <c r="C43" s="39" t="n">
        <v>20239.295724</v>
      </c>
      <c r="D43" s="39" t="n">
        <v>21323.33</v>
      </c>
      <c r="E43" s="39" t="n">
        <v>1084.03</v>
      </c>
      <c r="F43" s="39" t="inlineStr">
        <is>
          <t>DERIVADO</t>
        </is>
      </c>
      <c r="G43" s="39" t="inlineStr">
        <is>
          <t>Inputs B20 yield 1.2 screws/SF (GA-216); S5.20 FASTENER SCHEDULE '5/8" GYPBOARD TO STUDS ... 6" O.C. @ EDGES, 12" O.C. @ SUPPORTS' is consistent</t>
        </is>
      </c>
      <c r="H43" s="39" t="inlineStr">
        <is>
          <t>v3 20,239.30 = 1.2 x 16,866.08, a stale driver (16,595.30 regular + 213.74 MR + 57.04 = old pre-arbitration values). Coordinator must recompute with the final G3/G4 board totals. | COORDINATOR: driver refreshed with v4 board totals</t>
        </is>
      </c>
      <c r="I43" s="39" t="inlineStr">
        <is>
          <t>FORMULA: 1.2 x [5/8" regular SF + 5/8" MR SF + 3/8" gyp SF]. With current v3 Material Summary drivers: 1.2 x (16,339.80 + 261.80 + 57.04 = 16,658.64) = 19,990.37. Max adds the 5/8" exterior gypsum sheathing (parapet roof side) 944.6 SF: 1.2 x 17,603.24 = 21,123.89. | COORDINATOR: yield 1.2 x board driver (regular + MR + 3/8") 17769.44 SF = 21323.33</t>
        </is>
      </c>
      <c r="J43" s="39" t="inlineStr">
        <is>
          <t>Exterior gypsum sheathing (944.6 SF, possibly by roofer per arb5) screws not in the yield; +1,133.5 pcs if framing trade.</t>
        </is>
      </c>
    </row>
    <row r="44" ht="68.65000000000001" customHeight="1" s="36">
      <c r="A44" s="39" t="inlineStr">
        <is>
          <t>Framing screws, pan head self-drilling</t>
        </is>
      </c>
      <c r="B44" s="39" t="inlineStr">
        <is>
          <t>pcs</t>
        </is>
      </c>
      <c r="C44" s="39" t="n">
        <v>2996</v>
      </c>
      <c r="D44" s="39" t="n">
        <v>5252</v>
      </c>
      <c r="E44" s="39" t="n">
        <v>2256</v>
      </c>
      <c r="F44" s="39" t="inlineStr">
        <is>
          <t>DERIVADO</t>
        </is>
      </c>
      <c r="G44" s="39" t="inlineStr">
        <is>
          <t>Inputs B21 yield 4 screws per installed stud piece (2 per stud-to-track connection, each end)</t>
        </is>
      </c>
      <c r="H44" s="39" t="inlineStr">
        <is>
          <t>v3 2,996 = 4 x 749 pieces, a driver that matches no stud count in v3 (Partition_Takeoff alone gives 1,287 pcs). Recompute with final G1/G2 stud piece counts.</t>
        </is>
      </c>
      <c r="I44" s="39" t="inlineStr">
        <is>
          <t>FORMULA: 4 x installed stud pieces. v3 drivers: Partition_Takeoff 'Stud (pcs)' = 1,287 (A1 108, A1K 11, A5 36, B 60, B2 52, B2K 2, bulkhead 96, C1 48, canopy col 32, ext 298, parapet 270, F 24, G 200, G1 50) + CSR soffit 26 = 1,313 -&gt; 4 x 1,313 = 5,252. Canopy/soffit CFMF pieces (1,340.39 LF in Ceilings &amp; Soffits) have no piece count in v3 -&gt; add 4 x their pieces when G-groups report them.</t>
        </is>
      </c>
      <c r="J44" s="39" t="n"/>
    </row>
    <row r="45" ht="108.95" customHeight="1" s="36">
      <c r="A45" s="39" t="inlineStr">
        <is>
          <t>Power-driven fasteners, slab pins for the bottom track</t>
        </is>
      </c>
      <c r="B45" s="39" t="inlineStr">
        <is>
          <t>pcs</t>
        </is>
      </c>
      <c r="C45" s="39" t="n">
        <v>403.246</v>
      </c>
      <c r="D45" s="39" t="n">
        <v>515.71</v>
      </c>
      <c r="E45" s="39" t="n">
        <v>112.46</v>
      </c>
      <c r="F45" s="39" t="inlineStr">
        <is>
          <t>RFI</t>
        </is>
      </c>
      <c r="G45" s="39" t="inlineStr">
        <is>
          <t>7/S5.20 SILL TRACK ANCHORAGE: INTERIOR WALLS 'HILTI DNI 32 P8 @ 12" O.C.'; 3/S5.20 FASTENER SCHEDULE level 1-3 16" O.C.; 4/A12.01 2'-0" O.C. (A1K)</t>
        </is>
      </c>
      <c r="H45" s="39" t="inlineStr">
        <is>
          <t>v3 used 2 ft spacing (Inputs B22, from 4/A12.01) on 806.49 LF that included the exterior walls and the bulkhead. 7/S5.20 sets interior walls at 12in and exterior walls at Kwik Bolt @ 8in; v3's own Pending Items already said the 12in figure should be priced. | COORDINATOR: driver refreshed with G1 track</t>
        </is>
      </c>
      <c r="I45" s="39" t="inlineStr">
        <is>
          <t>FORMULA: interior bottom track ON SLAB (LF) / 1.0 ft. Driver from v3 Partition_Takeoff Bottom Track: A1 78.37 + A1K 7.99 + A5 39.12 + B 60.78 + B2 35.02 + B2K 1.26 + C1 39.91 + F 17.76 + G 161.75 (2 tracks) + G1 34.22 (2 tracks) + canopy columns 22.67 = 498.85 LF -&gt; 498.85 pins (per-run ROUNDUP+1 adds ~1 per wall). Excluded: office bulkhead bottom track 90.0 (hangs from structure at the box beam, 9/A12.01, not on slab) and exterior 6in bottom track 217.64 (Kwik Bolt, own row). | COORDINATOR: 498.85 (G5) + 16.86 LF of new interior 3-5/8" bottom track on slab (G1: C1 chase faces +8.76, fountain alcove +8.10) @ 12" O.C. = 515.71</t>
        </is>
      </c>
      <c r="J45" s="39" t="inlineStr">
        <is>
          <t>Spacing conflict 7/S5.20 12in (carried) vs 3/S5.20 16in (374.14, -124.71) vs 4/A12.01 24in (249.43, -249.42).</t>
        </is>
      </c>
    </row>
    <row r="46" ht="28.35" customHeight="1" s="36">
      <c r="A46" s="39" t="inlineStr">
        <is>
          <t>Expansion anchors Hilti 1/4" Kwik Bolt II, exterior bottom track @ 8" O.C.</t>
        </is>
      </c>
      <c r="B46" s="39" t="inlineStr">
        <is>
          <t>pcs</t>
        </is>
      </c>
      <c r="C46" s="39" t="n"/>
      <c r="D46" s="39" t="n">
        <v>326.46</v>
      </c>
      <c r="E46" s="39" t="n"/>
      <c r="F46" s="39" t="inlineStr">
        <is>
          <t>DERIVADO</t>
        </is>
      </c>
      <c r="G46" s="39" t="inlineStr">
        <is>
          <t>7/S5.20 SILL TRACK ANCHORAGE: EXTERIOR WALLS 'HILTI 1/4" KWIK BOLT II @ 8" O.C.'</t>
        </is>
      </c>
      <c r="H46" s="39" t="inlineStr">
        <is>
          <t>New row: v3 priced these as 2 ft powder pins inside the slab-pin yield; the structural schedule calls an expansion anchor at 8in.</t>
        </is>
      </c>
      <c r="I46" s="39" t="inlineStr">
        <is>
          <t>FORMULA: exterior 6in bottom track on slab (LF) / 0.667 ft. v3 driver 217.64 LF (walls #60-#65) -&gt; 217.64 x 1.5 = 326.46 pcs.</t>
        </is>
      </c>
      <c r="J46" s="39" t="inlineStr">
        <is>
          <t>Recompute with G2 final exterior bottom-track LF.</t>
        </is>
      </c>
    </row>
    <row r="47" ht="28.35" customHeight="1" s="36">
      <c r="A47" s="39" t="inlineStr">
        <is>
          <t>Joint compound, all purpose</t>
        </is>
      </c>
      <c r="B47" s="39" t="inlineStr">
        <is>
          <t>lb</t>
        </is>
      </c>
      <c r="C47" s="39" t="n">
        <v>1214.35774344</v>
      </c>
      <c r="D47" s="39" t="n">
        <v>1279.4</v>
      </c>
      <c r="E47" s="39" t="n">
        <v>65.04000000000001</v>
      </c>
      <c r="F47" s="39" t="inlineStr">
        <is>
          <t>DERIVADO</t>
        </is>
      </c>
      <c r="G47" s="39" t="inlineStr">
        <is>
          <t>Inputs B23 yield 0.072 lb/SF (level 4)</t>
        </is>
      </c>
      <c r="H47" s="39" t="inlineStr">
        <is>
          <t>Same stale driver as drywall screws (v3 used 16,866.08 SF). Level 5 area (490.43 SF) would add skim coat if priced here. | COORDINATOR: driver refreshed with v4 board totals</t>
        </is>
      </c>
      <c r="I47" s="39" t="inlineStr">
        <is>
          <t>FORMULA: 0.072 x [regular + MR + 3/8" board SF] = 0.072 x 16,658.64 = 1,199.42 lb. | COORDINATOR: yield 0.072 x board driver (regular + MR + 3/8") 17769.44 SF = 1279.40</t>
        </is>
      </c>
      <c r="J47" s="39" t="n"/>
    </row>
    <row r="48" ht="28.35" customHeight="1" s="36">
      <c r="A48" s="39" t="inlineStr">
        <is>
          <t>Joint tape, paper</t>
        </is>
      </c>
      <c r="B48" s="39" t="inlineStr">
        <is>
          <t>LF</t>
        </is>
      </c>
      <c r="C48" s="39" t="n">
        <v>6240.4495149</v>
      </c>
      <c r="D48" s="39" t="n">
        <v>6574.69</v>
      </c>
      <c r="E48" s="39" t="n">
        <v>334.24</v>
      </c>
      <c r="F48" s="39" t="inlineStr">
        <is>
          <t>DERIVADO</t>
        </is>
      </c>
      <c r="G48" s="39" t="inlineStr">
        <is>
          <t>Inputs B24 yield 0.37 LF/SF</t>
        </is>
      </c>
      <c r="H48" s="39" t="inlineStr">
        <is>
          <t>Same stale driver as drywall screws (v3 used 16,866.08 SF). | COORDINATOR: driver refreshed with v4 board totals</t>
        </is>
      </c>
      <c r="I48" s="39" t="inlineStr">
        <is>
          <t>FORMULA: 0.37 x [regular + MR + 3/8" board SF] = 0.37 x 16,658.64 = 6,163.70 LF. | COORDINATOR: yield 0.37 x board driver (regular + MR + 3/8") 17769.44 SF = 6574.69</t>
        </is>
      </c>
      <c r="J48" s="39" t="n"/>
    </row>
    <row r="49" ht="15" customHeight="1" s="36">
      <c r="A49" s="39" t="n"/>
      <c r="B49" s="39" t="n"/>
      <c r="C49" s="39" t="n"/>
      <c r="D49" s="39" t="n"/>
      <c r="E49" s="39" t="n"/>
      <c r="F49" s="39" t="n"/>
      <c r="G49" s="39" t="n"/>
      <c r="H49" s="39" t="n"/>
      <c r="I49" s="39" t="n"/>
      <c r="J49" s="39" t="n"/>
    </row>
    <row r="50" ht="15" customHeight="1" s="36">
      <c r="A50" s="39" t="inlineStr">
        <is>
          <t>Rows checked and unchanged (v3 holds):</t>
        </is>
      </c>
      <c r="B50" s="39" t="n"/>
      <c r="C50" s="39" t="n"/>
      <c r="D50" s="39" t="n"/>
      <c r="E50" s="39" t="n"/>
      <c r="F50" s="39" t="n"/>
      <c r="G50" s="39" t="n"/>
      <c r="H50" s="39" t="n"/>
      <c r="I50" s="39" t="n"/>
      <c r="J50" s="39" t="n"/>
    </row>
    <row r="51" ht="28.35" customHeight="1" s="36">
      <c r="A51" s="39" t="inlineStr">
        <is>
          <t>Bottom track 6"</t>
        </is>
      </c>
      <c r="B51" s="39" t="inlineStr">
        <is>
          <t>LF</t>
        </is>
      </c>
      <c r="C51" s="39" t="n">
        <v>293.04</v>
      </c>
      <c r="D51" s="39" t="n">
        <v>293.04</v>
      </c>
      <c r="E51" s="39" t="n">
        <v>0</v>
      </c>
      <c r="F51" s="39" t="inlineStr">
        <is>
          <t>DERIVADO</t>
        </is>
      </c>
      <c r="G51" s="39" t="inlineStr">
        <is>
          <t>A02.01 -&gt; 3/A12.01 (A5 6") -&gt; 1/A12.01 (B2 6") -&gt; 4/A12.01 (A5K/B2K) -&gt; exterior 7/S5.20</t>
        </is>
      </c>
      <c r="H51" s="39" t="inlineStr">
        <is>
          <t>v3 holds. A5, B2 and B2K are 6" (A12.01 schedule A5/A8 6", B2 6") and correctly belong here.</t>
        </is>
      </c>
      <c r="I51" s="39" t="n"/>
      <c r="J51" s="39" t="n"/>
    </row>
    <row r="52" ht="15" customHeight="1" s="36">
      <c r="A52" s="39" t="inlineStr">
        <is>
          <t>Bottom track 1-5/8"</t>
        </is>
      </c>
      <c r="B52" s="39" t="inlineStr">
        <is>
          <t>LF</t>
        </is>
      </c>
      <c r="C52" s="39" t="n">
        <v>285.97</v>
      </c>
      <c r="D52" s="39" t="n">
        <v>285.97</v>
      </c>
      <c r="E52" s="39" t="n">
        <v>0</v>
      </c>
      <c r="F52" s="39" t="inlineStr">
        <is>
          <t>DERIVADO</t>
        </is>
      </c>
      <c r="G52" s="39" t="inlineStr">
        <is>
          <t>5/A12.01 -&gt; 8,9/A12.01</t>
        </is>
      </c>
      <c r="H52" s="39" t="inlineStr">
        <is>
          <t>v3 holds.</t>
        </is>
      </c>
      <c r="I52" s="39" t="n"/>
      <c r="J52" s="39" t="n"/>
    </row>
    <row r="53" ht="15" customHeight="1" s="36">
      <c r="A53" s="39" t="inlineStr">
        <is>
          <t>Top / deflection track 6"</t>
        </is>
      </c>
      <c r="B53" s="39" t="inlineStr">
        <is>
          <t>LF</t>
        </is>
      </c>
      <c r="C53" s="39" t="n">
        <v>293.04</v>
      </c>
      <c r="D53" s="39" t="n">
        <v>293.04</v>
      </c>
      <c r="E53" s="39" t="n">
        <v>0</v>
      </c>
      <c r="F53" s="39" t="inlineStr">
        <is>
          <t>DERIVADO</t>
        </is>
      </c>
      <c r="G53" s="39" t="inlineStr">
        <is>
          <t>same as Bottom track 6"</t>
        </is>
      </c>
      <c r="H53" s="39" t="inlineStr">
        <is>
          <t>v3 holds.</t>
        </is>
      </c>
      <c r="I53" s="39" t="n"/>
      <c r="J53" s="39" t="n"/>
    </row>
    <row r="54" ht="15" customHeight="1" s="36">
      <c r="A54" s="39" t="inlineStr">
        <is>
          <t>Top / deflection track 1-5/8"</t>
        </is>
      </c>
      <c r="B54" s="39" t="inlineStr">
        <is>
          <t>LF</t>
        </is>
      </c>
      <c r="C54" s="39" t="n">
        <v>285.97</v>
      </c>
      <c r="D54" s="39" t="n">
        <v>285.97</v>
      </c>
      <c r="E54" s="39" t="n">
        <v>0</v>
      </c>
      <c r="F54" s="39" t="inlineStr">
        <is>
          <t>DERIVADO</t>
        </is>
      </c>
      <c r="G54" s="39" t="inlineStr">
        <is>
          <t>5/A12.01 -&gt; 8,9/A12.01 (CONT. SLIP TRACK)</t>
        </is>
      </c>
      <c r="H54" s="39" t="inlineStr">
        <is>
          <t>v3 holds.</t>
        </is>
      </c>
      <c r="I54" s="39" t="n"/>
      <c r="J54" s="39" t="n"/>
    </row>
    <row r="55" ht="41.75" customHeight="1" s="36">
      <c r="A55" s="39" t="inlineStr">
        <is>
          <t>Stud reinforcement at MEP penetrations</t>
        </is>
      </c>
      <c r="B55" s="39" t="inlineStr">
        <is>
          <t>pcs</t>
        </is>
      </c>
      <c r="C55" s="39" t="n">
        <v>18</v>
      </c>
      <c r="D55" s="39" t="n">
        <v>18</v>
      </c>
      <c r="E55" s="39" t="n">
        <v>0</v>
      </c>
      <c r="F55" s="39" t="inlineStr">
        <is>
          <t>CRITERIO</t>
        </is>
      </c>
      <c r="G55" s="39" t="inlineStr">
        <is>
          <t>6/S5.20 PENETRATION THRU STUDS "REINFORCEMENT REQ'D AT PENETRATIONS"; M01.01</t>
        </is>
      </c>
      <c r="H55" s="39" t="inlineStr">
        <is>
          <t>v3 held, not re-verified.</t>
        </is>
      </c>
      <c r="I55" s="39" t="n"/>
      <c r="J55" s="39" t="n"/>
    </row>
    <row r="56" ht="41.75" customHeight="1" s="36">
      <c r="A56" s="39" t="inlineStr">
        <is>
          <t>Extra framing - sistered stud and furring at the ATM recess</t>
        </is>
      </c>
      <c r="B56" s="39" t="inlineStr">
        <is>
          <t>LF</t>
        </is>
      </c>
      <c r="C56" s="39" t="n">
        <v>109.87</v>
      </c>
      <c r="D56" s="39" t="n">
        <v>109.87</v>
      </c>
      <c r="E56" s="39" t="n">
        <v>0</v>
      </c>
      <c r="F56" s="39" t="inlineStr">
        <is>
          <t>CRITERIO</t>
        </is>
      </c>
      <c r="G56" s="39" t="inlineStr">
        <is>
          <t>6/A08.11 "2 1/2" METAL STUD SISTERED TO 6" METAL STUD", "FIBER CEMENT PANEL ON FURRING ON 5/8" FRT PLYWOOD"; 5/A08.11</t>
        </is>
      </c>
      <c r="H56" s="39" t="inlineStr">
        <is>
          <t>v3 holds within range (+6.5 LF possible).</t>
        </is>
      </c>
      <c r="I56" s="39" t="n"/>
      <c r="J56" s="39" t="n"/>
    </row>
    <row r="57" ht="15" customHeight="1" s="36">
      <c r="A57" s="39" t="inlineStr">
        <is>
          <t>5/8" gypsum board, MOISTURE RESISTANT</t>
        </is>
      </c>
      <c r="B57" s="39" t="inlineStr">
        <is>
          <t>SF</t>
        </is>
      </c>
      <c r="C57" s="39" t="n">
        <v>261.8</v>
      </c>
      <c r="D57" s="39" t="n">
        <v>261.8</v>
      </c>
      <c r="E57" s="39" t="n">
        <v>0</v>
      </c>
      <c r="F57" s="39" t="inlineStr">
        <is>
          <t>RFI</t>
        </is>
      </c>
      <c r="G57" s="39" t="inlineStr">
        <is>
          <t>A08.01 note F -&gt; 1/A08.01 -&gt; 6/A12.01 -&gt; A04.01</t>
        </is>
      </c>
      <c r="H57" s="39" t="inlineStr">
        <is>
          <t>v3 holds (arb5 B correct: MR only where toilet and lavatory back onto the chase).</t>
        </is>
      </c>
      <c r="I57" s="39" t="n"/>
      <c r="J57" s="39" t="n"/>
    </row>
    <row r="58" ht="55.2" customHeight="1" s="36">
      <c r="A58" s="39" t="inlineStr">
        <is>
          <t>5/8" EXTERIOR gypsum sheathing (deck to top of parapet)</t>
        </is>
      </c>
      <c r="B58" s="39" t="inlineStr">
        <is>
          <t>SF</t>
        </is>
      </c>
      <c r="C58" s="39" t="n">
        <v>944.6</v>
      </c>
      <c r="D58" s="39" t="n">
        <v>944.6</v>
      </c>
      <c r="E58" s="39" t="n">
        <v>0</v>
      </c>
      <c r="F58" s="39" t="inlineStr">
        <is>
          <t>RFI</t>
        </is>
      </c>
      <c r="G58" s="39" t="inlineStr">
        <is>
          <t>A02.02 (inner parapet line, vector) -&gt; A,C/A09.21 + H/A09.23 "5/8" EXTERIOR GYPSUM SHEATHING" -&gt; 4/A09.26 "FULLY ADHERED ROOF MEMBRANE ON 5/8" DENS DECK OR EQUAL" -&gt; S2.20 B.O.D.</t>
        </is>
      </c>
      <c r="H58" s="39" t="inlineStr">
        <is>
          <t>v3 holds (re-derived 945.16 vs 944.6, +0.06%).</t>
        </is>
      </c>
      <c r="I58" s="39" t="n"/>
      <c r="J58" s="39" t="n"/>
    </row>
    <row r="59" ht="15" customHeight="1" s="36">
      <c r="A59" s="39" t="inlineStr">
        <is>
          <t>Ballistic panel 3/8" UL752</t>
        </is>
      </c>
      <c r="B59" s="39" t="inlineStr">
        <is>
          <t>SF</t>
        </is>
      </c>
      <c r="C59" s="39" t="n">
        <v>74</v>
      </c>
      <c r="D59" s="39" t="n">
        <v>74</v>
      </c>
      <c r="E59" s="39" t="n">
        <v>0</v>
      </c>
      <c r="F59" s="39" t="inlineStr">
        <is>
          <t>RFI</t>
        </is>
      </c>
      <c r="G59" s="39" t="inlineStr">
        <is>
          <t>A02.01 (A1K/B2K tags, 3'-5") -&gt; 4/A12.01</t>
        </is>
      </c>
      <c r="H59" s="39" t="inlineStr">
        <is>
          <t>v3 holds.</t>
        </is>
      </c>
      <c r="I59" s="39" t="n"/>
      <c r="J59" s="39" t="n"/>
    </row>
    <row r="60" ht="28.35" customHeight="1" s="36">
      <c r="A60" s="39" t="inlineStr">
        <is>
          <t>3/8" gypsum board</t>
        </is>
      </c>
      <c r="B60" s="39" t="inlineStr">
        <is>
          <t>SF</t>
        </is>
      </c>
      <c r="C60" s="39" t="n">
        <v>57.04</v>
      </c>
      <c r="D60" s="39" t="n">
        <v>57.04</v>
      </c>
      <c r="E60" s="39" t="n">
        <v>0</v>
      </c>
      <c r="F60" s="39" t="inlineStr">
        <is>
          <t>RFI</t>
        </is>
      </c>
      <c r="G60" s="39" t="inlineStr">
        <is>
          <t>4/A12.01 'PROVIDE 3/8" GYP. BD. FROM 8'-0" TO UNDERSIDE OF STRUCTURE ABOVE'</t>
        </is>
      </c>
      <c r="H60" s="39" t="inlineStr">
        <is>
          <t>v3 holds (arb2).</t>
        </is>
      </c>
      <c r="I60" s="39" t="n"/>
      <c r="J60" s="39" t="n"/>
    </row>
    <row r="61" ht="41.75" customHeight="1" s="36">
      <c r="A61" s="39" t="inlineStr">
        <is>
          <t>Access panel 2'x2'</t>
        </is>
      </c>
      <c r="B61" s="39" t="inlineStr">
        <is>
          <t>pcs</t>
        </is>
      </c>
      <c r="C61" s="39" t="n">
        <v>1</v>
      </c>
      <c r="D61" s="39" t="n">
        <v>1</v>
      </c>
      <c r="E61" s="39" t="n">
        <v>0</v>
      </c>
      <c r="F61" s="39" t="inlineStr">
        <is>
          <t>CONFIRMADO</t>
        </is>
      </c>
      <c r="G61" s="39" t="inlineStr">
        <is>
          <t>A04.01 key note 4 '2' X 2' LOCKING ACCESS PANEL. KEYED TO MATCH MAIN ENTRY' - one marker, Vestibule 100 (GWB ceiling)</t>
        </is>
      </c>
      <c r="H61" s="39" t="inlineStr">
        <is>
          <t>v3 holds.</t>
        </is>
      </c>
      <c r="I61" s="39" t="n"/>
      <c r="J61" s="39" t="n"/>
    </row>
    <row r="62" ht="15" customHeight="1" s="36">
      <c r="A62" s="39" t="n"/>
      <c r="B62" s="39" t="n"/>
      <c r="C62" s="39" t="n"/>
      <c r="D62" s="39" t="n"/>
      <c r="E62" s="39" t="n"/>
      <c r="F62" s="39" t="n"/>
      <c r="G62" s="39" t="n"/>
      <c r="H62" s="39" t="n"/>
      <c r="I62" s="39" t="n"/>
      <c r="J62" s="39" t="n"/>
    </row>
    <row r="63" ht="55.2" customHeight="1" s="36">
      <c r="A63" s="39" t="inlineStr">
        <is>
          <t>Arithmetic fix: v3 Waste/Purchase cells were stale on MR, FRP, FRT nailbase, ceiling track, hanger wire, regular board and had no waste on rows 54-57; v4 recomputes Waste and Purchase by formula in every row.</t>
        </is>
      </c>
      <c r="B63" s="39" t="n"/>
      <c r="C63" s="39" t="n"/>
      <c r="D63" s="39" t="n"/>
      <c r="E63" s="39" t="n"/>
      <c r="F63" s="39" t="n"/>
      <c r="G63" s="39" t="n"/>
      <c r="H63" s="39" t="n"/>
      <c r="I63" s="39" t="n"/>
      <c r="J63" s="3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5" customWidth="1" style="38" min="1" max="1"/>
    <col width="90" customWidth="1" style="38" min="7" max="7"/>
  </cols>
  <sheetData>
    <row r="1" ht="15" customHeight="1" s="36">
      <c r="A1" s="38" t="inlineStr">
        <is>
          <t>Family (grader familias.py names first, then extra families)</t>
        </is>
      </c>
      <c r="B1" s="38" t="inlineStr">
        <is>
          <t>Value</t>
        </is>
      </c>
      <c r="C1" s="38" t="inlineStr">
        <is>
          <t>Min</t>
        </is>
      </c>
      <c r="D1" s="38" t="inlineStr">
        <is>
          <t>Max</t>
        </is>
      </c>
      <c r="E1" s="38" t="inlineStr">
        <is>
          <t>Status</t>
        </is>
      </c>
      <c r="F1" s="38" t="inlineStr">
        <is>
          <t>Unit</t>
        </is>
      </c>
      <c r="G1" s="38" t="inlineStr">
        <is>
          <t>Rows</t>
        </is>
      </c>
    </row>
    <row r="2" ht="15" customHeight="1" s="36">
      <c r="A2" s="107" t="inlineStr">
        <is>
          <t>6" parapet stud</t>
        </is>
      </c>
      <c r="B2" s="107" t="n">
        <v>993.11</v>
      </c>
      <c r="C2" s="107" t="n">
        <v>941.8200000000001</v>
      </c>
      <c r="D2" s="107" t="n">
        <v>1037.52</v>
      </c>
      <c r="E2" s="107" t="inlineStr">
        <is>
          <t>DERIVADO</t>
        </is>
      </c>
      <c r="F2" s="107" t="inlineStr">
        <is>
          <t>lf</t>
        </is>
      </c>
      <c r="G2" s="107" t="inlineStr">
        <is>
          <t>6" parapet infill stud 600S162-54 @ 16" O.C. (LF of material)</t>
        </is>
      </c>
    </row>
    <row r="3" ht="15" customHeight="1" s="36">
      <c r="A3" s="107" t="inlineStr">
        <is>
          <t>6" stud (todos los gauges)</t>
        </is>
      </c>
      <c r="B3" s="107" t="n">
        <v>4481.67</v>
      </c>
      <c r="C3" s="107" t="n">
        <v>4348.64</v>
      </c>
      <c r="D3" s="107" t="n">
        <v>4481.67</v>
      </c>
      <c r="E3" s="107" t="inlineStr">
        <is>
          <t>RFI</t>
        </is>
      </c>
      <c r="F3" s="107" t="inlineStr">
        <is>
          <t>lf</t>
        </is>
      </c>
      <c r="G3" s="107" t="inlineStr">
        <is>
          <t>6" metal stud 600S137-33 / -68 (LF of material)</t>
        </is>
      </c>
    </row>
    <row r="4" ht="15" customHeight="1" s="36">
      <c r="A4" s="93" t="inlineStr">
        <is>
          <t>3-5/8" stud (todos los gauges)</t>
        </is>
      </c>
      <c r="B4" s="93" t="n">
        <v>6690</v>
      </c>
      <c r="C4" s="93" t="n">
        <v>6611.71</v>
      </c>
      <c r="D4" s="93" t="n">
        <v>6731.46</v>
      </c>
      <c r="E4" s="93" t="inlineStr">
        <is>
          <t>CRITERIO</t>
        </is>
      </c>
      <c r="F4" s="93" t="inlineStr">
        <is>
          <t>lf</t>
        </is>
      </c>
      <c r="G4" s="93" t="inlineStr">
        <is>
          <t>3-5/8" metal stud 362S137-33 / -68 (LF of material); 3-5/8" stud, CSR soffit 10/A09.33 (LF)</t>
        </is>
      </c>
    </row>
    <row r="5" ht="15" customHeight="1" s="36">
      <c r="A5" s="93" t="inlineStr">
        <is>
          <t>1-5/8" stud</t>
        </is>
      </c>
      <c r="B5" s="93" t="n">
        <v>3981.6</v>
      </c>
      <c r="C5" s="93" t="n">
        <v>3865.49</v>
      </c>
      <c r="D5" s="93" t="n">
        <v>3983.2</v>
      </c>
      <c r="E5" s="93" t="inlineStr">
        <is>
          <t>RFI</t>
        </is>
      </c>
      <c r="F5" s="93" t="inlineStr">
        <is>
          <t>lf</t>
        </is>
      </c>
      <c r="G5" s="93" t="inlineStr">
        <is>
          <t>1-5/8" metal stud (LF of material)</t>
        </is>
      </c>
    </row>
    <row r="6" ht="15" customHeight="1" s="36">
      <c r="A6" s="38" t="inlineStr">
        <is>
          <t>purlin (track to deck)</t>
        </is>
      </c>
      <c r="B6" s="38" t="n">
        <v>214.4</v>
      </c>
      <c r="C6" s="38" t="n">
        <v>163.97</v>
      </c>
      <c r="D6" s="38" t="n">
        <v>285.87</v>
      </c>
      <c r="E6" s="38" t="inlineStr">
        <is>
          <t>CRITERIO</t>
        </is>
      </c>
      <c r="F6" s="38" t="inlineStr">
        <is>
          <t>lf</t>
        </is>
      </c>
      <c r="G6" s="38" t="inlineStr">
        <is>
          <t>Purlin 1x1x1 16 ga, top track to deck</t>
        </is>
      </c>
    </row>
    <row r="7" ht="15" customHeight="1" s="36">
      <c r="A7" s="40" t="inlineStr">
        <is>
          <t>track de ceilings / soffits</t>
        </is>
      </c>
      <c r="B7" s="40" t="n">
        <v>1246</v>
      </c>
      <c r="C7" s="40" t="n">
        <v>1246</v>
      </c>
      <c r="D7" s="40" t="n">
        <v>1246</v>
      </c>
      <c r="E7" s="40" t="inlineStr">
        <is>
          <t>DERIVADO</t>
        </is>
      </c>
      <c r="F7" s="40" t="inlineStr">
        <is>
          <t>lf</t>
        </is>
      </c>
      <c r="G7" s="40" t="inlineStr">
        <is>
          <t>Track, ceilings / soffits / canopy</t>
        </is>
      </c>
    </row>
    <row r="8" ht="15" customHeight="1" s="36">
      <c r="A8" s="107" t="inlineStr">
        <is>
          <t>bottom track (todos)</t>
        </is>
      </c>
      <c r="B8" s="107" t="n">
        <v>1272.36</v>
      </c>
      <c r="C8" s="107" t="n">
        <v>1260.58</v>
      </c>
      <c r="D8" s="107" t="n">
        <v>1287.37</v>
      </c>
      <c r="E8" s="107" t="inlineStr">
        <is>
          <t>DERIVADO</t>
        </is>
      </c>
      <c r="F8" s="107" t="inlineStr">
        <is>
          <t>lf</t>
        </is>
      </c>
      <c r="G8" s="107" t="inlineStr">
        <is>
          <t>Bottom track 6"; Bottom track 3-5/8"; Parapet bottom track 600T125-54 (PAF to steel beam); Bottom track - roof step 4/A02.02, vestibule heads 4-7/A12.10, parapet faltante (arbitraje #5); Bottom track 1-5/8"</t>
        </is>
      </c>
    </row>
    <row r="9" ht="15" customHeight="1" s="36">
      <c r="A9" s="107" t="inlineStr">
        <is>
          <t>top / deflection track (todos)</t>
        </is>
      </c>
      <c r="B9" s="107" t="n">
        <v>1272.36</v>
      </c>
      <c r="C9" s="107" t="n">
        <v>1260.58</v>
      </c>
      <c r="D9" s="107" t="n">
        <v>1287.37</v>
      </c>
      <c r="E9" s="107" t="inlineStr">
        <is>
          <t>DERIVADO</t>
        </is>
      </c>
      <c r="F9" s="107" t="inlineStr">
        <is>
          <t>lf</t>
        </is>
      </c>
      <c r="G9" s="107" t="inlineStr">
        <is>
          <t>Parapet top track 600T125-54; Top track - roof step 4/A02.02, vestibule heads 4-7/A12.10, parapet faltante (arbitraje #5); Top / deflection track 6"; Top / deflection track 3-5/8"; Top / deflection track 1-5/8"</t>
        </is>
      </c>
    </row>
    <row r="10" ht="15" customHeight="1" s="36">
      <c r="A10" s="40" t="inlineStr">
        <is>
          <t>header / box beam</t>
        </is>
      </c>
      <c r="B10" s="40" t="n">
        <v>796.76</v>
      </c>
      <c r="C10" s="40" t="n">
        <v>796.76</v>
      </c>
      <c r="D10" s="40" t="n">
        <v>796.76</v>
      </c>
      <c r="E10" s="40" t="inlineStr">
        <is>
          <t>DERIVADO</t>
        </is>
      </c>
      <c r="F10" s="40" t="inlineStr">
        <is>
          <t>lf</t>
        </is>
      </c>
      <c r="G10" s="40" t="inlineStr">
        <is>
          <t>Header / metal stud box beam</t>
        </is>
      </c>
    </row>
    <row r="11" ht="15" customHeight="1" s="36">
      <c r="A11" s="40" t="inlineStr">
        <is>
          <t>sill track</t>
        </is>
      </c>
      <c r="B11" s="40" t="n">
        <v>119.14</v>
      </c>
      <c r="C11" s="40" t="n">
        <v>119.14</v>
      </c>
      <c r="D11" s="40" t="n">
        <v>119.14</v>
      </c>
      <c r="E11" s="40" t="inlineStr">
        <is>
          <t>DERIVADO</t>
        </is>
      </c>
      <c r="F11" s="40" t="inlineStr">
        <is>
          <t>lf</t>
        </is>
      </c>
      <c r="G11" s="40" t="inlineStr">
        <is>
          <t>Sill track</t>
        </is>
      </c>
    </row>
    <row r="12" ht="15" customHeight="1" s="36">
      <c r="A12" s="107" t="inlineStr">
        <is>
          <t>bracing C.R. channel</t>
        </is>
      </c>
      <c r="B12" s="107" t="n">
        <v>2637.9</v>
      </c>
      <c r="C12" s="107" t="n">
        <v>2550.47</v>
      </c>
      <c r="D12" s="107" t="n">
        <v>2758.98</v>
      </c>
      <c r="E12" s="107" t="inlineStr">
        <is>
          <t>DERIVADO</t>
        </is>
      </c>
      <c r="F12" s="107" t="inlineStr">
        <is>
          <t>lf</t>
        </is>
      </c>
      <c r="G12" s="107" t="inlineStr">
        <is>
          <t>Bracing 1-1/2" C.R. channel @ 48" O.C.</t>
        </is>
      </c>
    </row>
    <row r="13" ht="15" customHeight="1" s="36">
      <c r="A13" s="38" t="inlineStr">
        <is>
          <t>framed openings MEP</t>
        </is>
      </c>
      <c r="B13" s="38" t="n">
        <v>970.3200000000001</v>
      </c>
      <c r="C13" s="38" t="n">
        <v>927.3200000000001</v>
      </c>
      <c r="D13" s="38" t="n">
        <v>995.39</v>
      </c>
      <c r="E13" s="38" t="inlineStr">
        <is>
          <t>DERIVADO</t>
        </is>
      </c>
      <c r="F13" s="38" t="inlineStr">
        <is>
          <t>lf</t>
        </is>
      </c>
      <c r="G13" s="38" t="inlineStr">
        <is>
          <t>Framed openings - MEP, light slots and diffusers</t>
        </is>
      </c>
    </row>
    <row r="14" ht="15" customHeight="1" s="36">
      <c r="A14" s="38" t="inlineStr">
        <is>
          <t>furring channel</t>
        </is>
      </c>
      <c r="B14" s="38" t="n">
        <v>808.88</v>
      </c>
      <c r="C14" s="38" t="n">
        <v>470.07</v>
      </c>
      <c r="D14" s="38" t="n">
        <v>808.88</v>
      </c>
      <c r="E14" s="38" t="inlineStr">
        <is>
          <t>CRITERIO</t>
        </is>
      </c>
      <c r="F14" s="38" t="inlineStr">
        <is>
          <t>lf</t>
        </is>
      </c>
      <c r="G14" s="38" t="inlineStr">
        <is>
          <t>Furring channel (ceilings)</t>
        </is>
      </c>
    </row>
    <row r="15" ht="15" customHeight="1" s="36">
      <c r="A15" s="38" t="inlineStr">
        <is>
          <t>carrying channel</t>
        </is>
      </c>
      <c r="B15" s="38" t="n">
        <v>316.77</v>
      </c>
      <c r="C15" s="38" t="n">
        <v>235.04</v>
      </c>
      <c r="D15" s="38" t="n">
        <v>321.79</v>
      </c>
      <c r="E15" s="38" t="inlineStr">
        <is>
          <t>CRITERIO</t>
        </is>
      </c>
      <c r="F15" s="38" t="inlineStr">
        <is>
          <t>lf</t>
        </is>
      </c>
      <c r="G15" s="38" t="inlineStr">
        <is>
          <t>Carrying channel (ceilings)</t>
        </is>
      </c>
    </row>
    <row r="16" ht="15" customHeight="1" s="36">
      <c r="A16" s="38" t="inlineStr">
        <is>
          <t>hanger wire</t>
        </is>
      </c>
      <c r="B16" s="38" t="n">
        <v>524.78</v>
      </c>
      <c r="C16" s="38" t="n">
        <v>286.2</v>
      </c>
      <c r="D16" s="38" t="n">
        <v>528.25</v>
      </c>
      <c r="E16" s="38" t="inlineStr">
        <is>
          <t>CRITERIO</t>
        </is>
      </c>
      <c r="F16" s="38" t="inlineStr">
        <is>
          <t>lf</t>
        </is>
      </c>
      <c r="G16" s="38" t="inlineStr">
        <is>
          <t>Hanger wire</t>
        </is>
      </c>
    </row>
    <row r="17" ht="15" customHeight="1" s="36">
      <c r="A17" s="38" t="inlineStr">
        <is>
          <t>5/8" gyp MOISTURE RESISTANT</t>
        </is>
      </c>
      <c r="B17" s="38" t="n">
        <v>261.8</v>
      </c>
      <c r="C17" s="38" t="n">
        <v>180.54</v>
      </c>
      <c r="D17" s="38" t="n">
        <v>261.8</v>
      </c>
      <c r="E17" s="38" t="inlineStr">
        <is>
          <t>RFI</t>
        </is>
      </c>
      <c r="F17" s="38" t="inlineStr">
        <is>
          <t>sf</t>
        </is>
      </c>
      <c r="G17" s="38" t="inlineStr">
        <is>
          <t>5/8" gypsum board, MOISTURE RESISTANT</t>
        </is>
      </c>
    </row>
    <row r="18" ht="15" customHeight="1" s="36">
      <c r="A18" s="107" t="inlineStr">
        <is>
          <t>5/8" EXTERIOR gyp sheathing</t>
        </is>
      </c>
      <c r="B18" s="107" t="n">
        <v>941.01</v>
      </c>
      <c r="C18" s="107" t="n">
        <v>0</v>
      </c>
      <c r="D18" s="107" t="n">
        <v>974.61</v>
      </c>
      <c r="E18" s="107" t="inlineStr">
        <is>
          <t>RFI</t>
        </is>
      </c>
      <c r="F18" s="107" t="inlineStr">
        <is>
          <t>sf</t>
        </is>
      </c>
      <c r="G18" s="107" t="inlineStr">
        <is>
          <t>5/8" EXTERIOR gypsum sheathing (deck to top of parapet)</t>
        </is>
      </c>
    </row>
    <row r="19" ht="15" customHeight="1" s="36">
      <c r="A19" s="38" t="inlineStr">
        <is>
          <t>5/8" glass mat sheathing</t>
        </is>
      </c>
      <c r="B19" s="38" t="n">
        <v>462</v>
      </c>
      <c r="C19" s="38" t="n">
        <v>387.2</v>
      </c>
      <c r="D19" s="38" t="n">
        <v>472.1</v>
      </c>
      <c r="E19" s="38" t="inlineStr">
        <is>
          <t>CRITERIO</t>
        </is>
      </c>
      <c r="F19" s="38" t="inlineStr">
        <is>
          <t>sf</t>
        </is>
      </c>
      <c r="G19" s="38" t="inlineStr">
        <is>
          <t>5/8" glass mat sheathing (exterior face of the stud)</t>
        </is>
      </c>
    </row>
    <row r="20" ht="15" customHeight="1" s="36">
      <c r="A20" s="93" t="inlineStr">
        <is>
          <t>3/8" gyp board</t>
        </is>
      </c>
      <c r="B20" s="93" t="n">
        <v>60.82</v>
      </c>
      <c r="C20" s="93" t="n">
        <v>51.53</v>
      </c>
      <c r="D20" s="93" t="n">
        <v>60.82</v>
      </c>
      <c r="E20" s="93" t="inlineStr">
        <is>
          <t>RFI</t>
        </is>
      </c>
      <c r="F20" s="93" t="inlineStr">
        <is>
          <t>sf</t>
        </is>
      </c>
      <c r="G20" s="93" t="inlineStr">
        <is>
          <t>3/8" gypsum board</t>
        </is>
      </c>
    </row>
    <row r="21" ht="15" customHeight="1" s="36">
      <c r="A21" s="93" t="inlineStr">
        <is>
          <t>ballistic panel</t>
        </is>
      </c>
      <c r="B21" s="93" t="n">
        <v>78.09999999999999</v>
      </c>
      <c r="C21" s="93" t="n">
        <v>68.02</v>
      </c>
      <c r="D21" s="93" t="n">
        <v>78.09999999999999</v>
      </c>
      <c r="E21" s="93" t="inlineStr">
        <is>
          <t>RFI</t>
        </is>
      </c>
      <c r="F21" s="93" t="inlineStr">
        <is>
          <t>sf</t>
        </is>
      </c>
      <c r="G21" s="93" t="inlineStr">
        <is>
          <t>Ballistic panel 3/8" UL752</t>
        </is>
      </c>
    </row>
    <row r="22" ht="15" customHeight="1" s="36">
      <c r="A22" s="107" t="inlineStr">
        <is>
          <t>5/8" gyp board regular (walls + ceilings)</t>
        </is>
      </c>
      <c r="B22" s="107" t="n">
        <v>17615.54</v>
      </c>
      <c r="C22" s="107" t="n">
        <v>17410.87</v>
      </c>
      <c r="D22" s="107" t="n">
        <v>17695.33</v>
      </c>
      <c r="E22" s="107" t="inlineStr">
        <is>
          <t>CRITERIO</t>
        </is>
      </c>
      <c r="F22" s="107" t="inlineStr">
        <is>
          <t>sf</t>
        </is>
      </c>
      <c r="G22" s="107" t="inlineStr">
        <is>
          <t>5/8" gypsum board, regular</t>
        </is>
      </c>
    </row>
    <row r="23" ht="15" customHeight="1" s="36">
      <c r="A23" s="38" t="inlineStr">
        <is>
          <t>FRP</t>
        </is>
      </c>
      <c r="B23" s="38" t="n">
        <v>387.8</v>
      </c>
      <c r="C23" s="38" t="n">
        <v>338</v>
      </c>
      <c r="D23" s="38" t="n">
        <v>390.47</v>
      </c>
      <c r="E23" s="38" t="inlineStr">
        <is>
          <t>CRITERIO</t>
        </is>
      </c>
      <c r="F23" s="38" t="inlineStr">
        <is>
          <t>sf</t>
        </is>
      </c>
      <c r="G23" s="38" t="inlineStr">
        <is>
          <t>FRP WC-3; Cement board (substrate under the FRP cove base band)</t>
        </is>
      </c>
    </row>
    <row r="24" ht="15" customHeight="1" s="36">
      <c r="A24" s="38" t="inlineStr">
        <is>
          <t>cement board</t>
        </is>
      </c>
      <c r="B24" s="38" t="n">
        <v>0</v>
      </c>
      <c r="C24" s="38" t="n">
        <v>0</v>
      </c>
      <c r="D24" s="38" t="n">
        <v>0</v>
      </c>
      <c r="E24" s="38" t="inlineStr">
        <is>
          <t>CRITERIO</t>
        </is>
      </c>
      <c r="F24" s="38" t="inlineStr">
        <is>
          <t>sf</t>
        </is>
      </c>
      <c r="G24" s="38" t="inlineStr">
        <is>
          <t>grader familias.py maps the row "Cement board (substrate under the FRP cove base band)" (33.8 SF, CRITERIO 0-33.8) into FRP because it contains "FRP"; FRP family value 387.80 includes it</t>
        </is>
      </c>
    </row>
    <row r="25" ht="15" customHeight="1" s="36">
      <c r="A25" s="107" t="inlineStr">
        <is>
          <t>FRT plywood (SF)</t>
        </is>
      </c>
      <c r="B25" s="107" t="n">
        <v>6473.09</v>
      </c>
      <c r="C25" s="107" t="n">
        <v>6348.61</v>
      </c>
      <c r="D25" s="107" t="n">
        <v>6722.64</v>
      </c>
      <c r="E25" s="107" t="inlineStr">
        <is>
          <t>CRITERIO</t>
        </is>
      </c>
      <c r="F25" s="107" t="inlineStr">
        <is>
          <t>sf</t>
        </is>
      </c>
      <c r="G25" s="107" t="inlineStr">
        <is>
          <t>Exterior sheathing 5/8" FRT plywood bonded to 2-1/2" polyiso; FRT plywood substrate; 5/8" FRT plywood sheathing (canopy and soffits); 5/8" FRT plywood at canopy column wraps; 3/4" FRT plywood at storefront piers</t>
        </is>
      </c>
    </row>
    <row r="26" ht="15" customHeight="1" s="36">
      <c r="A26" s="38" t="inlineStr">
        <is>
          <t>metal trim (corner bead, casing, shadow molding)</t>
        </is>
      </c>
      <c r="B26" s="38" t="n">
        <v>1267.55</v>
      </c>
      <c r="C26" s="38" t="n">
        <v>632.76</v>
      </c>
      <c r="D26" s="38" t="n">
        <v>1620.57</v>
      </c>
      <c r="E26" s="38" t="inlineStr">
        <is>
          <t>CRITERIO</t>
        </is>
      </c>
      <c r="F26" s="38" t="inlineStr">
        <is>
          <t>lf</t>
        </is>
      </c>
      <c r="G26" s="38" t="inlineStr">
        <is>
          <t>METAL trim - corner bead, casing bead, shadow molding, gypsum edge trim</t>
        </is>
      </c>
    </row>
    <row r="27" ht="15" customHeight="1" s="36">
      <c r="A27" s="93" t="inlineStr">
        <is>
          <t>sealant at base of gypsum (exterior)</t>
        </is>
      </c>
      <c r="B27" s="93" t="n">
        <v>209.18</v>
      </c>
      <c r="C27" s="93" t="n">
        <v>209.18</v>
      </c>
      <c r="D27" s="93" t="n">
        <v>217.6</v>
      </c>
      <c r="E27" s="93" t="inlineStr">
        <is>
          <t>RFI</t>
        </is>
      </c>
      <c r="F27" s="93" t="inlineStr">
        <is>
          <t>lf</t>
        </is>
      </c>
      <c r="G27" s="93" t="inlineStr">
        <is>
          <t>Sealant at base of gypsum (exterior, not acoustical) | acoustical sealant EXCLUDED (U8)</t>
        </is>
      </c>
    </row>
    <row r="28" ht="15" customHeight="1" s="36">
      <c r="A28" s="107" t="inlineStr">
        <is>
          <t>metal stud blocking (362CR / STUD BLOCKING)</t>
        </is>
      </c>
      <c r="B28" s="107" t="n">
        <v>591.55</v>
      </c>
      <c r="C28" s="107" t="n">
        <v>591.55</v>
      </c>
      <c r="D28" s="107" t="n">
        <v>680.7</v>
      </c>
      <c r="E28" s="107" t="inlineStr">
        <is>
          <t>CRITERIO</t>
        </is>
      </c>
      <c r="F28" s="107" t="inlineStr">
        <is>
          <t>lf</t>
        </is>
      </c>
      <c r="G28" s="107" t="inlineStr">
        <is>
          <t>Stud blocking 362CR22 at edge of gypboard (4/S5.20)</t>
        </is>
      </c>
    </row>
    <row r="29" ht="15" customHeight="1" s="36">
      <c r="A29" s="107" t="inlineStr">
        <is>
          <t>FRT blocking</t>
        </is>
      </c>
      <c r="B29" s="107" t="n">
        <v>1080.38</v>
      </c>
      <c r="C29" s="107" t="n">
        <v>702.89</v>
      </c>
      <c r="D29" s="107" t="n">
        <v>1175.54</v>
      </c>
      <c r="E29" s="107" t="inlineStr">
        <is>
          <t>CRITERIO</t>
        </is>
      </c>
      <c r="F29" s="107" t="inlineStr">
        <is>
          <t>lf</t>
        </is>
      </c>
      <c r="G29" s="107" t="inlineStr">
        <is>
          <t>Blocking FRT / 2X FRT wood</t>
        </is>
      </c>
    </row>
    <row r="30" ht="15" customHeight="1" s="36">
      <c r="A30" s="38" t="inlineStr">
        <is>
          <t>Level 5 finish</t>
        </is>
      </c>
      <c r="B30" s="38" t="n">
        <v>874.83</v>
      </c>
      <c r="C30" s="38" t="n">
        <v>712.85</v>
      </c>
      <c r="D30" s="38" t="n">
        <v>874.83</v>
      </c>
      <c r="E30" s="38" t="inlineStr">
        <is>
          <t>RFI</t>
        </is>
      </c>
      <c r="F30" s="38" t="inlineStr">
        <is>
          <t>sf</t>
        </is>
      </c>
      <c r="G30" s="38" t="inlineStr">
        <is>
          <t>Level 5 finish</t>
        </is>
      </c>
    </row>
    <row r="31" ht="15" customHeight="1" s="36">
      <c r="A31" s="107" t="inlineStr">
        <is>
          <t>gypsum board jamb return</t>
        </is>
      </c>
      <c r="B31" s="107" t="n">
        <v>95.94</v>
      </c>
      <c r="C31" s="107" t="n">
        <v>60.88</v>
      </c>
      <c r="D31" s="107" t="n">
        <v>95.94</v>
      </c>
      <c r="E31" s="107" t="inlineStr">
        <is>
          <t>CRITERIO</t>
        </is>
      </c>
      <c r="F31" s="107" t="inlineStr">
        <is>
          <t>sf</t>
        </is>
      </c>
      <c r="G31" s="107" t="inlineStr">
        <is>
          <t>Gypsum board jamb return at openings</t>
        </is>
      </c>
    </row>
    <row r="32" ht="15" customHeight="1" s="36">
      <c r="A32" s="38" t="inlineStr">
        <is>
          <t>PVC trim at FRP</t>
        </is>
      </c>
      <c r="B32" s="38" t="n">
        <v>211.2</v>
      </c>
      <c r="C32" s="38" t="n">
        <v>191.2</v>
      </c>
      <c r="D32" s="38" t="n">
        <v>211.87</v>
      </c>
      <c r="E32" s="38" t="inlineStr">
        <is>
          <t>CRITERIO</t>
        </is>
      </c>
      <c r="F32" s="38" t="inlineStr">
        <is>
          <t>lf</t>
        </is>
      </c>
      <c r="G32" s="38" t="inlineStr">
        <is>
          <t>PVC trim - edge trim molding and inside corner molding at the FRP</t>
        </is>
      </c>
    </row>
    <row r="33" ht="15" customHeight="1" s="36">
      <c r="A33" s="38" t="inlineStr">
        <is>
          <t>additional head track</t>
        </is>
      </c>
      <c r="B33" s="38" t="n">
        <v>56</v>
      </c>
      <c r="C33" s="38" t="n">
        <v>56</v>
      </c>
      <c r="D33" s="38" t="n">
        <v>223.37</v>
      </c>
      <c r="E33" s="38" t="inlineStr">
        <is>
          <t>CRITERIO</t>
        </is>
      </c>
      <c r="F33" s="38" t="inlineStr">
        <is>
          <t>lf</t>
        </is>
      </c>
      <c r="G33" s="38" t="inlineStr">
        <is>
          <t>Additional head track at openings over 4'-0" wide</t>
        </is>
      </c>
    </row>
    <row r="34" ht="15" customHeight="1" s="36">
      <c r="A34" s="107" t="inlineStr">
        <is>
          <t>extra framing ATM</t>
        </is>
      </c>
      <c r="B34" s="107" t="n">
        <v>49.87</v>
      </c>
      <c r="C34" s="107" t="n">
        <v>49.87</v>
      </c>
      <c r="D34" s="107" t="n">
        <v>49.87</v>
      </c>
      <c r="E34" s="107" t="inlineStr">
        <is>
          <t>DERIVADO</t>
        </is>
      </c>
      <c r="F34" s="107" t="inlineStr">
        <is>
          <t>lf</t>
        </is>
      </c>
      <c r="G34" s="107" t="inlineStr">
        <is>
          <t>Extra framing - ATM recess (W1: printed sistered + furring, 6/A08.11)</t>
        </is>
      </c>
    </row>
    <row r="35" ht="15" customHeight="1" s="36">
      <c r="A35" s="107" t="inlineStr">
        <is>
          <t>2-1/2" CFMF coiling grille head</t>
        </is>
      </c>
      <c r="B35" s="107" t="n">
        <v>10.43</v>
      </c>
      <c r="C35" s="107" t="n">
        <v>10.43</v>
      </c>
      <c r="D35" s="107" t="n">
        <v>10.43</v>
      </c>
      <c r="E35" s="107" t="inlineStr">
        <is>
          <t>DERIVADO</t>
        </is>
      </c>
      <c r="F35" s="107" t="inlineStr">
        <is>
          <t>lf</t>
        </is>
      </c>
      <c r="G35" s="107" t="inlineStr">
        <is>
          <t>2-1/2" CFMF @ 16" O.C. at coiling grille head (4/A08.21)</t>
        </is>
      </c>
    </row>
    <row r="36" ht="15" customHeight="1" s="36">
      <c r="A36" s="38" t="inlineStr">
        <is>
          <t>insulation partitions (EXCLUDED by standing order)</t>
        </is>
      </c>
      <c r="B36" s="38" t="n">
        <v>4846.27</v>
      </c>
      <c r="C36" s="38" t="n">
        <v>4132.69</v>
      </c>
      <c r="D36" s="38" t="n">
        <v>4868.93</v>
      </c>
      <c r="E36" s="38" t="inlineStr">
        <is>
          <t>CRITERIO</t>
        </is>
      </c>
      <c r="F36" s="38" t="inlineStr">
        <is>
          <t>sf</t>
        </is>
      </c>
      <c r="G36" s="38" t="inlineStr">
        <is>
          <t>Insulation - sound attenuation batt (partitions)</t>
        </is>
      </c>
    </row>
    <row r="37" ht="15" customHeight="1" s="36">
      <c r="A37" s="38" t="inlineStr">
        <is>
          <t>insulation above restroom ceilings (EXCLUDED by standing order)</t>
        </is>
      </c>
      <c r="B37" s="38" t="n">
        <v>152.92</v>
      </c>
      <c r="C37" s="38" t="n">
        <v>152.92</v>
      </c>
      <c r="D37" s="38" t="n">
        <v>152.92</v>
      </c>
      <c r="E37" s="38" t="inlineStr">
        <is>
          <t>DERIVADO</t>
        </is>
      </c>
      <c r="F37" s="38" t="inlineStr">
        <is>
          <t>sf</t>
        </is>
      </c>
      <c r="G37" s="38" t="inlineStr">
        <is>
          <t>Insulation - sound batt above restroom ceilings (A04.01 key note 11)</t>
        </is>
      </c>
    </row>
    <row r="38" ht="15" customHeight="1" s="36">
      <c r="A38" s="38" t="inlineStr">
        <is>
          <t>drywall screws</t>
        </is>
      </c>
      <c r="B38" s="38" t="n">
        <v>21323.33</v>
      </c>
      <c r="C38" s="38" t="n">
        <v>21323.33</v>
      </c>
      <c r="D38" s="38" t="n">
        <v>21323.33</v>
      </c>
      <c r="E38" s="38" t="inlineStr">
        <is>
          <t>DERIVADO</t>
        </is>
      </c>
      <c r="F38" s="38" t="inlineStr">
        <is>
          <t>pcs</t>
        </is>
      </c>
      <c r="G38" s="38" t="inlineStr">
        <is>
          <t>Drywall screws 1-1/4" bugle head</t>
        </is>
      </c>
    </row>
    <row r="39" ht="15" customHeight="1" s="36">
      <c r="A39" s="38" t="inlineStr">
        <is>
          <t>framing screws</t>
        </is>
      </c>
      <c r="B39" s="38" t="n">
        <v>5252</v>
      </c>
      <c r="C39" s="38" t="n">
        <v>5252</v>
      </c>
      <c r="D39" s="38" t="n">
        <v>5252</v>
      </c>
      <c r="E39" s="38" t="inlineStr">
        <is>
          <t>DERIVADO</t>
        </is>
      </c>
      <c r="F39" s="38" t="inlineStr">
        <is>
          <t>pcs</t>
        </is>
      </c>
      <c r="G39" s="38" t="inlineStr">
        <is>
          <t>Framing screws, pan head self-drilling</t>
        </is>
      </c>
    </row>
    <row r="40" ht="15" customHeight="1" s="36">
      <c r="A40" s="38" t="inlineStr">
        <is>
          <t>slab pins</t>
        </is>
      </c>
      <c r="B40" s="38" t="n">
        <v>515.71</v>
      </c>
      <c r="C40" s="38" t="n">
        <v>257.86</v>
      </c>
      <c r="D40" s="38" t="n">
        <v>515.71</v>
      </c>
      <c r="E40" s="38" t="inlineStr">
        <is>
          <t>RFI</t>
        </is>
      </c>
      <c r="F40" s="38" t="inlineStr">
        <is>
          <t>pcs</t>
        </is>
      </c>
      <c r="G40" s="38" t="inlineStr">
        <is>
          <t>Power-driven fasteners, slab pins for the bottom track</t>
        </is>
      </c>
    </row>
    <row r="41" ht="15" customHeight="1" s="36">
      <c r="A41" s="38" t="inlineStr">
        <is>
          <t>expansion anchors</t>
        </is>
      </c>
      <c r="B41" s="38" t="n">
        <v>326.46</v>
      </c>
      <c r="C41" s="38" t="n">
        <v>326.46</v>
      </c>
      <c r="D41" s="38" t="n">
        <v>326.46</v>
      </c>
      <c r="E41" s="38" t="inlineStr">
        <is>
          <t>DERIVADO</t>
        </is>
      </c>
      <c r="F41" s="38" t="inlineStr">
        <is>
          <t>pcs</t>
        </is>
      </c>
      <c r="G41" s="38" t="inlineStr">
        <is>
          <t>Expansion anchors Hilti 1/4" Kwik Bolt II, exterior bottom track @ 8" O.C.</t>
        </is>
      </c>
    </row>
    <row r="42" ht="15" customHeight="1" s="36">
      <c r="A42" s="107" t="inlineStr">
        <is>
          <t>PAFs and duct sleeves</t>
        </is>
      </c>
      <c r="B42" s="107" t="n">
        <v>274</v>
      </c>
      <c r="C42" s="107" t="n">
        <v>274</v>
      </c>
      <c r="D42" s="107" t="n">
        <v>298</v>
      </c>
      <c r="E42" s="107" t="inlineStr">
        <is>
          <t>DERIVADO</t>
        </is>
      </c>
      <c r="F42" s="107" t="inlineStr">
        <is>
          <t>pcs</t>
        </is>
      </c>
      <c r="G42" s="107" t="inlineStr">
        <is>
          <t>Power-driven fasteners and duct sleeves</t>
        </is>
      </c>
    </row>
    <row r="43" ht="15" customHeight="1" s="36">
      <c r="A43" s="38" t="inlineStr">
        <is>
          <t>joint compound</t>
        </is>
      </c>
      <c r="B43" s="38" t="n">
        <v>1279.4</v>
      </c>
      <c r="C43" s="38" t="n">
        <v>1279.4</v>
      </c>
      <c r="D43" s="38" t="n">
        <v>1279.4</v>
      </c>
      <c r="E43" s="38" t="inlineStr">
        <is>
          <t>DERIVADO</t>
        </is>
      </c>
      <c r="F43" s="38" t="inlineStr">
        <is>
          <t>lb</t>
        </is>
      </c>
      <c r="G43" s="38" t="inlineStr">
        <is>
          <t>Joint compound, all purpose</t>
        </is>
      </c>
    </row>
    <row r="44" ht="15" customHeight="1" s="36">
      <c r="A44" s="38" t="inlineStr">
        <is>
          <t>joint tape</t>
        </is>
      </c>
      <c r="B44" s="38" t="n">
        <v>6574.69</v>
      </c>
      <c r="C44" s="38" t="n">
        <v>6574.69</v>
      </c>
      <c r="D44" s="38" t="n">
        <v>6574.69</v>
      </c>
      <c r="E44" s="38" t="inlineStr">
        <is>
          <t>DERIVADO</t>
        </is>
      </c>
      <c r="F44" s="38" t="inlineStr">
        <is>
          <t>lf</t>
        </is>
      </c>
      <c r="G44" s="38" t="inlineStr">
        <is>
          <t>Joint tape, paper</t>
        </is>
      </c>
    </row>
    <row r="45" ht="15" customHeight="1" s="36">
      <c r="A45" s="38" t="inlineStr">
        <is>
          <t>access panel</t>
        </is>
      </c>
      <c r="B45" s="38" t="n">
        <v>1</v>
      </c>
      <c r="C45" s="38" t="n">
        <v>1</v>
      </c>
      <c r="D45" s="38" t="n">
        <v>1</v>
      </c>
      <c r="E45" s="38" t="inlineStr">
        <is>
          <t>CONFIRMADO</t>
        </is>
      </c>
      <c r="F45" s="38" t="inlineStr">
        <is>
          <t>pcs</t>
        </is>
      </c>
      <c r="G45" s="38" t="inlineStr">
        <is>
          <t>Access panel 2'x2'</t>
        </is>
      </c>
    </row>
    <row r="46" ht="15" customHeight="1" s="36">
      <c r="A46" s="38" t="inlineStr">
        <is>
          <t>stud reinforcement MEP</t>
        </is>
      </c>
      <c r="B46" s="38" t="n">
        <v>18</v>
      </c>
      <c r="C46" s="38" t="n">
        <v>18</v>
      </c>
      <c r="D46" s="38" t="n">
        <v>18</v>
      </c>
      <c r="E46" s="38" t="inlineStr">
        <is>
          <t>CRITERIO</t>
        </is>
      </c>
      <c r="F46" s="38" t="inlineStr">
        <is>
          <t>pcs</t>
        </is>
      </c>
      <c r="G46" s="38" t="inlineStr">
        <is>
          <t>Stud reinforcement at MEP penetrations</t>
        </is>
      </c>
    </row>
    <row r="47">
      <c r="A47" s="38" t="inlineStr">
        <is>
          <t>acoustical sealant (EXCLUDED, U8)</t>
        </is>
      </c>
      <c r="B47" s="38" t="n">
        <v>0</v>
      </c>
      <c r="C47" s="38" t="n">
        <v>0</v>
      </c>
      <c r="D47" s="38" t="n">
        <v>0</v>
      </c>
      <c r="E47" s="38" t="inlineStr">
        <is>
          <t>EXCLUIDO</t>
        </is>
      </c>
      <c r="F47" s="38" t="inlineStr">
        <is>
          <t>lf</t>
        </is>
      </c>
      <c r="G47" s="38" t="inlineStr">
        <is>
          <t>no row in Material Summary; grader mode "excluir"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36">
      <c r="A1" s="38" t="inlineStr">
        <is>
          <t>Referencia corregida con el arbitraje del 14-oct-2026 (ARBITRAJE.md). El original NO se modificó.</t>
        </is>
      </c>
    </row>
    <row r="2" ht="15" customHeight="1" s="36">
      <c r="A2" s="38" t="inlineStr">
        <is>
          <t>Pendiente del criterio del estimador (sin cambio aquí): metal trim, 3-5/8" stud, 1-5/8" stud, bracing, exterior gyp sheathing, header, sill track, LF de C1/A5/B2.</t>
        </is>
      </c>
    </row>
    <row r="4" ht="15" customHeight="1" s="36">
      <c r="A4" s="38" t="inlineStr">
        <is>
          <t>Material</t>
        </is>
      </c>
      <c r="B4" s="38" t="inlineStr">
        <is>
          <t>Unit</t>
        </is>
      </c>
      <c r="C4" s="38" t="inlineStr">
        <is>
          <t>Antes</t>
        </is>
      </c>
      <c r="D4" s="38" t="inlineStr">
        <is>
          <t>Ahora</t>
        </is>
      </c>
      <c r="E4" s="38" t="inlineStr">
        <is>
          <t>Motivo (hoja + detalle)</t>
        </is>
      </c>
    </row>
    <row r="5" ht="15" customHeight="1" s="36">
      <c r="A5" s="38" t="inlineStr">
        <is>
          <t>FRP WC-3</t>
        </is>
      </c>
      <c r="B5" s="38" t="inlineStr">
        <is>
          <t>SF</t>
        </is>
      </c>
      <c r="C5" s="38" t="n">
        <v>132.1</v>
      </c>
      <c r="D5" s="38" t="n">
        <v>338</v>
      </c>
      <c r="E5" s="38" t="inlineStr">
        <is>
          <t>FRP WC-3 a 5'-0" sobre el cove base de 6" (A-D/A08.01), 67.6 LF x 5.00 ft. Mop sink: ancho no impreso, queda PENDIENTE</t>
        </is>
      </c>
    </row>
    <row r="6" ht="15" customHeight="1" s="36">
      <c r="A6" s="38" t="inlineStr">
        <is>
          <t>Acoustical sealant</t>
        </is>
      </c>
      <c r="B6" s="38" t="inlineStr">
        <is>
          <t>LF</t>
        </is>
      </c>
      <c r="C6" s="38" t="n">
        <v>2652.66</v>
      </c>
      <c r="D6" s="38" t="n">
        <v>1220.5</v>
      </c>
      <c r="E6" s="38" t="inlineStr">
        <is>
          <t>Acoustical sealant por regla de cada detalle de A12.01 (1/,3/,4/,6/,8/,9/,12/A12.01): rango 1,196-1,245 LF, se toma el centro; el exterior/parapet no lleva acoustical sealant</t>
        </is>
      </c>
    </row>
    <row r="7" ht="15" customHeight="1" s="36">
      <c r="A7" s="38" t="inlineStr">
        <is>
          <t>Exterior sheathing 5/8" FRT plywood bonded to 2-1/2" polyiso</t>
        </is>
      </c>
      <c r="B7" s="38" t="inlineStr">
        <is>
          <t>SF</t>
        </is>
      </c>
      <c r="C7" s="38" t="n">
        <v>3698.28</v>
      </c>
      <c r="D7" s="38" t="n">
        <v>4224.28</v>
      </c>
      <c r="E7" s="38" t="inlineStr">
        <is>
          <t>Exterior FRT plywood: + 526 SF arriba de storefront (H/A09.23)</t>
        </is>
      </c>
    </row>
    <row r="8" ht="15" customHeight="1" s="36">
      <c r="A8" s="38" t="inlineStr">
        <is>
          <t>Hanger wire</t>
        </is>
      </c>
      <c r="B8" s="38" t="inlineStr">
        <is>
          <t>LF</t>
        </is>
      </c>
      <c r="C8" s="38" t="n">
        <v>316.26</v>
      </c>
      <c r="D8" s="38" t="n">
        <v>293</v>
      </c>
      <c r="E8" s="38" t="inlineStr">
        <is>
          <t>Hanger wire: hangers enteros @48"x48"; restrooms en zona baja de deck (S2.20), 4.552 ft cada uno</t>
        </is>
      </c>
    </row>
    <row r="9" ht="15" customHeight="1" s="36">
      <c r="A9" s="38" t="inlineStr">
        <is>
          <t>Track, ceilings / soffits / canopy</t>
        </is>
      </c>
      <c r="B9" s="38" t="inlineStr">
        <is>
          <t>LF</t>
        </is>
      </c>
      <c r="C9" s="38" t="n">
        <v>884.17</v>
      </c>
      <c r="D9" s="38" t="n">
        <v>1154</v>
      </c>
      <c r="E9" s="38" t="inlineStr">
        <is>
          <t>Ceiling/soffit/canopy track: canopy 822.5 (track en ambos extremos de cada stud, 4,5/A09.33) + soffit 61.7 + perímetro GWB ceiling 269.9 (3/A09.33)</t>
        </is>
      </c>
    </row>
    <row r="10" ht="15" customHeight="1" s="36">
      <c r="A10" s="38" t="inlineStr">
        <is>
          <t>5/8" gypsum board, MOISTURE RESISTANT</t>
        </is>
      </c>
      <c r="B10" s="38" t="inlineStr">
        <is>
          <t>SF</t>
        </is>
      </c>
      <c r="C10" s="38" t="n">
        <v>213.74</v>
      </c>
      <c r="D10" s="38" t="n">
        <v>261.8</v>
      </c>
      <c r="E10" s="38" t="inlineStr">
        <is>
          <t>Moisture resistant: va en el chase detrás de toilet y lavatory (A08.01 nota F; 1 y A/A08.01), hasta deck; los 112.9 SF en muro exterior no van</t>
        </is>
      </c>
    </row>
    <row r="11" ht="15" customHeight="1" s="36">
      <c r="A11" s="38" t="inlineStr">
        <is>
          <t>5/8" gypsum board, regular</t>
        </is>
      </c>
      <c r="B11" s="38" t="inlineStr">
        <is>
          <t>SF</t>
        </is>
      </c>
      <c r="C11" s="38" t="n">
        <v>16595.29977</v>
      </c>
      <c r="D11" s="38" t="n">
        <v>16339.79977</v>
      </c>
      <c r="E11" s="38" t="inlineStr">
        <is>
          <t>CANOPY-COL: los 255.5 SF van como 5/8" FRT plywood (5/A09.25), no como gypsum board (back-check 13-oct)</t>
        </is>
      </c>
    </row>
    <row r="12" ht="15" customHeight="1" s="36">
      <c r="A12" s="38" t="inlineStr">
        <is>
          <t>5/8" FRT plywood at canopy column wraps</t>
        </is>
      </c>
      <c r="B12" s="38" t="inlineStr">
        <is>
          <t>SF</t>
        </is>
      </c>
      <c r="D12" s="38" t="n">
        <v>255.5</v>
      </c>
      <c r="E12" s="38" t="inlineStr">
        <is>
          <t>NUEVO: 5/A09.25 '5/8" EXTERIOR GRADE FRT PLYWOOD' en column wraps (220.5 SF del arbitraje; se usan los 255.5 SF que la referencia ya tenía medidos como board)</t>
        </is>
      </c>
    </row>
    <row r="13" ht="15" customHeight="1" s="36">
      <c r="A13" s="38" t="inlineStr">
        <is>
          <t>3/4" FRT plywood at storefront piers</t>
        </is>
      </c>
      <c r="B13" s="38" t="inlineStr">
        <is>
          <t>SF</t>
        </is>
      </c>
      <c r="D13" s="38" t="n">
        <v>327.2</v>
      </c>
      <c r="E13" s="38" t="inlineStr">
        <is>
          <t>NUEVO: 1,2/A09.25 '3/4" FRT PLYWOOD' en piers</t>
        </is>
      </c>
    </row>
    <row r="14" ht="15" customHeight="1" s="36">
      <c r="A14" s="38" t="inlineStr">
        <is>
          <t>Sealant at base of gypsum (exterior, not acoustical)</t>
        </is>
      </c>
      <c r="B14" s="38" t="inlineStr">
        <is>
          <t>LF</t>
        </is>
      </c>
      <c r="D14" s="38" t="n">
        <v>217.6</v>
      </c>
      <c r="E14" s="38" t="inlineStr">
        <is>
          <t>NUEVO: 5/A09.26, 9 y 12/A09.27 'SEALANT AT BASE OF GYPSUM' - renglón aparte</t>
        </is>
      </c>
    </row>
    <row r="16" ht="15" customHeight="1" s="36">
      <c r="A16" s="38" t="inlineStr">
        <is>
          <t>--- 15-oct-2026: arbitraje prueba #4 (ARBITRAJE.md 1ZZPwkhjizX61SznBbsPQkjiidRayMSuq) ---</t>
        </is>
      </c>
    </row>
    <row r="17" ht="15" customHeight="1" s="36">
      <c r="A17" s="38" t="inlineStr">
        <is>
          <t>Framed openings - MEP, light slots and diffusers</t>
        </is>
      </c>
      <c r="B17" s="38" t="inlineStr">
        <is>
          <t>LF</t>
        </is>
      </c>
      <c r="C17" s="38" t="n">
        <v>165.67</v>
      </c>
      <c r="D17" s="38" t="n">
        <v>859.67</v>
      </c>
      <c r="E17" s="38" t="inlineStr">
        <is>
          <t>Framed openings: canopy linear lights 2x343 LF = 686 (4,5/A09.33; largos E00.01, conteo E02.01) + light slots 112 (6/A09.33) + access panel 8 (A04.01 KN4) + MEP 43 y diffuser 10.67 de la referencia (no re-medidos, PENDIENTE). Ends de fixtures y recessed toilet accessories PENDIENTE</t>
        </is>
      </c>
    </row>
    <row r="18" ht="15" customHeight="1" s="36">
      <c r="A18" s="38" t="inlineStr">
        <is>
          <t>Parapet bottom track 600T125-54 (PAF to steel beam)</t>
        </is>
      </c>
      <c r="B18" s="38" t="inlineStr">
        <is>
          <t>LF</t>
        </is>
      </c>
      <c r="C18" s="38" t="n">
        <v>217.64</v>
      </c>
      <c r="D18" s="38" t="n">
        <v>263.84</v>
      </c>
      <c r="E18" s="38" t="inlineStr">
        <is>
          <t>Parapet bottom track: el parapet sigue sobre el storefront (A/A09.21) +46.2 LF</t>
        </is>
      </c>
    </row>
    <row r="19" ht="15" customHeight="1" s="36">
      <c r="A19" s="38" t="inlineStr">
        <is>
          <t>Parapet top track 600T125-54</t>
        </is>
      </c>
      <c r="B19" s="38" t="inlineStr">
        <is>
          <t>LF</t>
        </is>
      </c>
      <c r="C19" s="38" t="n">
        <v>217.64</v>
      </c>
      <c r="D19" s="38" t="n">
        <v>263.84</v>
      </c>
      <c r="E19" s="38" t="inlineStr">
        <is>
          <t>Parapet top track: mismo faltante sobre storefront (A/A09.21) +46.2 LF; 11/S5.10 TOP &amp; BOT.</t>
        </is>
      </c>
    </row>
    <row r="20" ht="15" customHeight="1" s="36">
      <c r="A20" s="38" t="inlineStr">
        <is>
          <t>Blocking FRT / 2X FRT wood</t>
        </is>
      </c>
      <c r="B20" s="38" t="inlineStr">
        <is>
          <t>LF</t>
        </is>
      </c>
      <c r="C20" s="38" t="n">
        <v>748</v>
      </c>
      <c r="D20" s="38" t="n">
        <v>593.2</v>
      </c>
      <c r="E20" s="38" t="inlineStr">
        <is>
          <t>FRT blocking: 748 - 201 de blocking METALICO 362CR22 (4/S5.20, renglon propio) + 46.2 parapet sobre storefront (4/A09.26). Artwork (A11.0x) PENDIENTE</t>
        </is>
      </c>
    </row>
    <row r="21" ht="15" customHeight="1" s="36">
      <c r="A21" s="38" t="inlineStr">
        <is>
          <t>Acoustical sealant</t>
        </is>
      </c>
      <c r="B21" s="38" t="inlineStr">
        <is>
          <t>LF</t>
        </is>
      </c>
      <c r="C21" s="38" t="n">
        <v>1220.5</v>
      </c>
      <c r="D21" s="38" t="n">
        <v>1002.98</v>
      </c>
      <c r="E21" s="38" t="inlineStr">
        <is>
          <t>Acoustical sealant corrida por corrida segun cada detalle de A12.01 (el 1,220.5 era punto medio de un rango). RFI: G sin rotulo -201.34; office front 9/A12.01 +90</t>
        </is>
      </c>
    </row>
    <row r="22" ht="15" customHeight="1" s="36">
      <c r="A22" s="38" t="inlineStr">
        <is>
          <t>Stud blocking 362CR22 at edge of gypboard (4/S5.20)</t>
        </is>
      </c>
      <c r="B22" s="38" t="inlineStr">
        <is>
          <t>LF</t>
        </is>
      </c>
      <c r="D22" s="38" t="n">
        <v>201</v>
      </c>
      <c r="E22" s="38" t="inlineStr">
        <is>
          <t>NUEVO: 4/S5.20 STUD BLOCKING 362CR22 = metal; la referencia lo traia dentro del FRT blocking. ~201 LF [DERIVADO]</t>
        </is>
      </c>
    </row>
    <row r="23" ht="15" customHeight="1" s="36">
      <c r="A23" s="38" t="inlineStr">
        <is>
          <t>5/8" glass mat sheathing</t>
        </is>
      </c>
      <c r="B23" s="38" t="inlineStr">
        <is>
          <t>SF</t>
        </is>
      </c>
      <c r="C23" s="38" t="n">
        <v>2939.76</v>
      </c>
      <c r="D23" s="38" t="n">
        <v>2939.76</v>
      </c>
      <c r="E23" s="38" t="inlineStr">
        <is>
          <t>Sin cambio: la referencia gana (2/A09.26 no lleva glass mat sobre storefront)</t>
        </is>
      </c>
    </row>
    <row r="25" ht="15" customHeight="1" s="36">
      <c r="A25" s="38" t="inlineStr">
        <is>
          <t>--- 15-oct-2026: arbitraje prueba #5 (ARBITRAJE.md 1m5qQnmZWvPVjbN5z2vmR2koxQHtw4M0C) ---</t>
        </is>
      </c>
    </row>
    <row r="26" ht="15" customHeight="1" s="36">
      <c r="A26" s="38" t="inlineStr">
        <is>
          <t>6" parapet infill stud 600S162-54 @ 16" O.C. (LF of material)</t>
        </is>
      </c>
      <c r="B26" s="38" t="inlineStr">
        <is>
          <t>LF</t>
        </is>
      </c>
      <c r="C26" s="38" t="n">
        <v>973.34</v>
      </c>
      <c r="D26" s="38" t="n">
        <v>967.5</v>
      </c>
      <c r="E26" s="38" t="inlineStr">
        <is>
          <t>Parapet infill bay por bay entre HSS posts (11/S5.10): 1 stud a cada lado del post + @16" en el bay; incluye north F, tower y stub que faltaban</t>
        </is>
      </c>
    </row>
    <row r="27" ht="15" customHeight="1" s="36">
      <c r="A27" s="38" t="inlineStr">
        <is>
          <t>5/8" EXTERIOR gypsum sheathing (deck to top of parapet)</t>
        </is>
      </c>
      <c r="B27" s="38" t="inlineStr">
        <is>
          <t>SF</t>
        </is>
      </c>
      <c r="C27" s="38" t="n">
        <v>783.89</v>
      </c>
      <c r="D27" s="38" t="n">
        <v>944.6</v>
      </c>
      <c r="E27" s="38" t="inlineStr">
        <is>
          <t>Parapet sheathing de B.O.D. a T/STUD (no a T.O. PARAPET) en todo el parapet, incluidos tramos que faltaban. Dens Deck = RFI (si es del roofer, 0 SF)</t>
        </is>
      </c>
    </row>
    <row r="28" ht="15" customHeight="1" s="36">
      <c r="A28" s="38" t="inlineStr">
        <is>
          <t>Blocking FRT / 2X FRT wood</t>
        </is>
      </c>
      <c r="B28" s="38" t="inlineStr">
        <is>
          <t>LF</t>
        </is>
      </c>
      <c r="C28" s="38" t="n">
        <v>593.2</v>
      </c>
      <c r="D28" s="38" t="n">
        <v>788.35</v>
      </c>
      <c r="E28" s="38" t="inlineStr">
        <is>
          <t>FRT blocking: + office front jambs 96.48 (10/A12.01), roof step 53.67 (4/A02.02), coiling grille jambs 23 (3/A08.21), wall termination 20 (8/A12.10), door 123 17.33, WAP 2; accesorios por pieza = criterio</t>
        </is>
      </c>
    </row>
    <row r="29" ht="15" customHeight="1" s="36">
      <c r="A29" s="38" t="inlineStr">
        <is>
          <t>Bottom track - roof step 4/A02.02, vestibule heads 4-7/A12.10, parapet faltante (arbitraje #5)</t>
        </is>
      </c>
      <c r="B29" s="38" t="inlineStr">
        <is>
          <t>LF</t>
        </is>
      </c>
      <c r="D29" s="38" t="n">
        <v>190.67</v>
      </c>
      <c r="E29" s="38" t="inlineStr">
        <is>
          <t>NUEVO: bottom track de alcances que la referencia no traia; total bottom = 1,261 LF (top = bottom muro por muro, 1,3,4/A12.01)</t>
        </is>
      </c>
    </row>
    <row r="30" ht="15" customHeight="1" s="36">
      <c r="A30" s="38" t="inlineStr">
        <is>
          <t>Top track - roof step 4/A02.02, vestibule heads 4-7/A12.10, parapet faltante (arbitraje #5)</t>
        </is>
      </c>
      <c r="B30" s="38" t="inlineStr">
        <is>
          <t>LF</t>
        </is>
      </c>
      <c r="D30" s="38" t="n">
        <v>190.67</v>
      </c>
      <c r="E30" s="38" t="inlineStr">
        <is>
          <t>NUEVO: top track de los mismos alcances; total top = 1,261 LF. El purlin 1x1x1 va en su propia familia (no es top track)</t>
        </is>
      </c>
    </row>
    <row r="31" ht="15" customHeight="1" s="36">
      <c r="A31" s="38" t="inlineStr">
        <is>
          <t>3-5/8" metal stud</t>
        </is>
      </c>
      <c r="B31" s="38" t="inlineStr">
        <is>
          <t>LF</t>
        </is>
      </c>
      <c r="E31" s="38" t="inlineStr">
        <is>
          <t>CRITERIO, sin cambio: valor correcto 5,400-6,050 LF (roof step 323.82 + vestibule 134.38 + coiling grille 92.5 que faltaban)</t>
        </is>
      </c>
    </row>
    <row r="32" ht="15" customHeight="1" s="36">
      <c r="A32" s="38" t="inlineStr">
        <is>
          <t>5/8" gypsum board, regular</t>
        </is>
      </c>
      <c r="B32" s="38" t="inlineStr">
        <is>
          <t>SF</t>
        </is>
      </c>
      <c r="E32" s="38" t="inlineStr">
        <is>
          <t>CRITERIO, sin cambio: 17,408-17,975 SF (banda sobre storefront 311.52 + alcove/puerta 114 176 que faltaban)</t>
        </is>
      </c>
    </row>
    <row r="33" ht="15" customHeight="1" s="36">
      <c r="A33" s="38" t="inlineStr">
        <is>
          <t>Track, ceilings / soffits / canopy</t>
        </is>
      </c>
      <c r="B33" s="38" t="inlineStr">
        <is>
          <t>LF</t>
        </is>
      </c>
      <c r="E33" s="38" t="inlineStr">
        <is>
          <t>CRITERIO, sin cambio: 1,109.8-1,139.2 LF; sin perimeter track en GWB ceiling 839.9-869.3 (RFI)</t>
        </is>
      </c>
    </row>
    <row r="34" ht="15" customHeight="1" s="36">
      <c r="A34" s="38" t="inlineStr">
        <is>
          <t>5/8" gypsum board, MOISTURE RESISTANT</t>
        </is>
      </c>
      <c r="B34" s="38" t="inlineStr">
        <is>
          <t>SF</t>
        </is>
      </c>
      <c r="C34" s="38" t="n">
        <v>261.8</v>
      </c>
      <c r="D34" s="38" t="n">
        <v>261.8</v>
      </c>
      <c r="E34" s="38" t="inlineStr">
        <is>
          <t>Sin cambio: la referencia gana (nota F/A08.01: MR solo en el chase C1)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38" min="1" max="1"/>
    <col width="14" customWidth="1" style="38" min="2" max="2"/>
    <col width="76" customWidth="1" style="38" min="3" max="3"/>
  </cols>
  <sheetData>
    <row r="1" ht="15.75" customHeight="1" s="36">
      <c r="A1" s="41" t="inlineStr">
        <is>
          <t>BANK OF AMERICA - BROOMFIELD, CO   |   METAL FRAMING &amp; DRYWALL TAKEOFF</t>
        </is>
      </c>
    </row>
    <row r="2" ht="15" customHeight="1" s="36">
      <c r="A2" s="42" t="inlineStr">
        <is>
          <t>Permit / Bid Set, 95 sheets. Every quantity below is driven by a live formula. Edit ONLY the yellow cells: the whole workbook recalculates.</t>
        </is>
      </c>
    </row>
    <row r="4" ht="15" customHeight="1" s="36">
      <c r="A4" s="43" t="inlineStr">
        <is>
          <t>PARAMETER</t>
        </is>
      </c>
      <c r="B4" s="43" t="inlineStr">
        <is>
          <t>VALUE</t>
        </is>
      </c>
      <c r="C4" s="43" t="inlineStr">
        <is>
          <t>NOTE / SOURCE</t>
        </is>
      </c>
    </row>
    <row r="5" ht="23.25" customHeight="1" s="36">
      <c r="A5" s="44" t="inlineStr">
        <is>
          <t>Waste - ALL METAL, any type</t>
        </is>
      </c>
      <c r="B5" s="45" t="n">
        <v>0.15</v>
      </c>
      <c r="C5" s="46" t="inlineStr">
        <is>
          <t>Estimator standing rule, 11-Oct-2026: 15% on everything that is metal, whatever type it is - stud, track, channel, clip, hanger wire, metal trim. No type-by-type exceptions.</t>
        </is>
      </c>
    </row>
    <row r="6" ht="45.75" customHeight="1" s="36">
      <c r="A6" s="44" t="inlineStr">
        <is>
          <t>Waste - EVERYTHING THAT IS NOT METAL</t>
        </is>
      </c>
      <c r="B6" s="45" t="n">
        <v>0.06</v>
      </c>
      <c r="C6" s="46" t="inlineStr">
        <is>
          <t>Estimator standing rule, 11-Oct-2026: everything that is not metal takes the SAME figure as drywall / gypsum board, 6%. That covers board of every type, plywood, FRP, substrates, FRT wood blocking and non-metal trim. This cell is the single source of the 6%; nothing else carries its own copy.</t>
        </is>
      </c>
    </row>
    <row r="7" ht="15" customHeight="1" s="36">
      <c r="A7" s="44" t="inlineStr">
        <is>
          <t>Board sheet width (ft)</t>
        </is>
      </c>
      <c r="B7" s="47" t="n">
        <v>4</v>
      </c>
      <c r="C7" s="46" t="inlineStr">
        <is>
          <t>Sheet size is a PARAMETER, never fixed at 4x8 - buy the size that wastes least.</t>
        </is>
      </c>
    </row>
    <row r="8" ht="15" customHeight="1" s="36">
      <c r="A8" s="44" t="inlineStr">
        <is>
          <t>Board sheet length (ft)</t>
        </is>
      </c>
      <c r="B8" s="47" t="n">
        <v>12</v>
      </c>
      <c r="C8" s="46" t="inlineStr">
        <is>
          <t>Change it and every piece count below re-rounds up.</t>
        </is>
      </c>
    </row>
    <row r="9" ht="15" customHeight="1" s="36">
      <c r="A9" s="44" t="inlineStr">
        <is>
          <t>SF per board sheet</t>
        </is>
      </c>
      <c r="B9" s="48" t="n">
        <v>48</v>
      </c>
      <c r="C9" s="46" t="inlineStr">
        <is>
          <t>Width x length.</t>
        </is>
      </c>
    </row>
    <row r="10" ht="15" customHeight="1" s="36">
      <c r="A10" s="44" t="inlineStr">
        <is>
          <t>Stud stock length (ft)</t>
        </is>
      </c>
      <c r="B10" s="47" t="n">
        <v>20</v>
      </c>
      <c r="C10" s="46" t="inlineStr">
        <is>
          <t>Stud is bought in sticks; pieces are converted to sticks in Material Summary.</t>
        </is>
      </c>
    </row>
    <row r="11" ht="15" customHeight="1" s="36">
      <c r="A11" s="44" t="inlineStr">
        <is>
          <t>Track stock length (ft)</t>
        </is>
      </c>
      <c r="B11" s="47" t="n">
        <v>10</v>
      </c>
      <c r="C11" s="46" t="inlineStr">
        <is>
          <t>Track is bought in 10 ft runs unless the supplier says otherwise.</t>
        </is>
      </c>
    </row>
    <row r="12" ht="23.25" customHeight="1" s="36">
      <c r="A12" s="44" t="inlineStr">
        <is>
          <t>Floor plan scale (pt/ft)</t>
        </is>
      </c>
      <c r="B12" s="47" t="n">
        <v>18</v>
      </c>
      <c r="C12" s="46" t="inlineStr">
        <is>
          <t>A02.01 at 1/4"=1'-0" -&gt; 18.0 pt/ft, 1.5 pt per real inch. Every length came from vector geometry at this scale.</t>
        </is>
      </c>
    </row>
    <row r="13" ht="15" customHeight="1" s="36">
      <c r="A13" s="44" t="inlineStr">
        <is>
          <t>B.O. Deck north of grid B (ft)</t>
        </is>
      </c>
      <c r="B13" s="47" t="n">
        <v>15.375</v>
      </c>
      <c r="C13" s="46" t="inlineStr">
        <is>
          <t>S2.20: T/STEEL 15'-4 1/2", NO SLOPE north of grid B.</t>
        </is>
      </c>
    </row>
    <row r="14" ht="15" customHeight="1" s="36">
      <c r="A14" s="44" t="inlineStr">
        <is>
          <t>T.O. Parapet 1 (ft)</t>
        </is>
      </c>
      <c r="B14" s="47" t="n">
        <v>17.75</v>
      </c>
      <c r="C14" s="46" t="inlineStr">
        <is>
          <t>Exterior elevations A09.01 / A09.02 datum T.O. PARAPET 1 = 17'-9".</t>
        </is>
      </c>
    </row>
    <row r="15" ht="15" customHeight="1" s="36">
      <c r="A15" s="44" t="inlineStr">
        <is>
          <t>Sealant coverage (LF per tube)</t>
        </is>
      </c>
      <c r="B15" s="47" t="n">
        <v>25</v>
      </c>
      <c r="C15" s="46" t="inlineStr">
        <is>
          <t>Acoustical sealant yield per tube - set your supplier's figure.</t>
        </is>
      </c>
    </row>
    <row r="16" ht="15" customHeight="1" s="36">
      <c r="A16" s="44" t="inlineStr">
        <is>
          <t>C.R. channel stock length (ft)</t>
        </is>
      </c>
      <c r="B16" s="47" t="n">
        <v>16</v>
      </c>
      <c r="C16" s="46" t="inlineStr">
        <is>
          <t>1-1/2" cold-rolled channel ships in 16 ft and 20 ft - NOT in 10 ft track lengths.</t>
        </is>
      </c>
    </row>
    <row r="17" ht="15" customHeight="1" s="36">
      <c r="A17" s="44" t="inlineStr">
        <is>
          <t>Hat / furring channel stock (ft)</t>
        </is>
      </c>
      <c r="B17" s="47" t="n">
        <v>12</v>
      </c>
      <c r="C17" s="46" t="inlineStr">
        <is>
          <t>7/8" hat furring channel ships in 12 ft.</t>
        </is>
      </c>
    </row>
    <row r="18" ht="23.25" customHeight="1" s="36">
      <c r="A18" s="44" t="inlineStr">
        <is>
          <t>Trim stick length (ft)</t>
        </is>
      </c>
      <c r="B18" s="47" t="n">
        <v>10</v>
      </c>
      <c r="C18" s="46" t="inlineStr">
        <is>
          <t>Corner bead, casing bead and shadow molding ship in 8 ft and 10 ft sticks - NOT in 20 ft stud lengths.</t>
        </is>
      </c>
    </row>
    <row r="19" ht="68.25" customHeight="1" s="36">
      <c r="A19" s="44" t="inlineStr">
        <is>
          <t>Wood blocking waste - SUPERSEDED, do not use</t>
        </is>
      </c>
      <c r="B19" s="49" t="n"/>
      <c r="C19" s="46" t="inlineStr">
        <is>
          <t>SUPERSEDED 11-Oct-2026. This used to be its own parameter, left at 0 because FRT wood blocking was neither metal nor board and the old 15%/6% rule had no row for it. The rule now covers it: everything that is not metal takes the same figure as board, so wood blocking reads the 'EVERYTHING THAT IS NOT METAL' cell above like every other non-metal material. The cell is left empty on purpose - two cells meaning the same 6% is a second source of truth, which is how the figures drift apart.</t>
        </is>
      </c>
    </row>
    <row r="20" ht="23.25" customHeight="1" s="36">
      <c r="A20" s="44" t="inlineStr">
        <is>
          <t>Drywall screws per SF of board</t>
        </is>
      </c>
      <c r="B20" s="47" t="n">
        <v>1.2</v>
      </c>
      <c r="C20" s="46" t="inlineStr">
        <is>
          <t>YIELD, not a drawing quantity. GA-216: field 12" O.C., perimeter 8" O.C. over framing at 16" O.C. Set your own figure.</t>
        </is>
      </c>
    </row>
    <row r="21" ht="15" customHeight="1" s="36">
      <c r="A21" s="44" t="inlineStr">
        <is>
          <t>Framing screws per stud piece</t>
        </is>
      </c>
      <c r="B21" s="47" t="n">
        <v>4</v>
      </c>
      <c r="C21" s="46" t="inlineStr">
        <is>
          <t>YIELD: 2 per stud-to-track connection at each end. Clips and bracing are counted separately.</t>
        </is>
      </c>
    </row>
    <row r="22" ht="23.25" customHeight="1" s="36">
      <c r="A22" s="44" t="inlineStr">
        <is>
          <t>Power-driven pin spacing (ft)</t>
        </is>
      </c>
      <c r="B22" s="47" t="n">
        <v>2</v>
      </c>
      <c r="C22" s="46" t="inlineStr">
        <is>
          <t>YIELD: 4/A12.01 calls POWER DRIVEN FASTENERS @ 2'-0" O.C. alternating sides on the bottom track.</t>
        </is>
      </c>
    </row>
    <row r="23" ht="15" customHeight="1" s="36">
      <c r="A23" s="44" t="inlineStr">
        <is>
          <t>Joint compound (lb per SF)</t>
        </is>
      </c>
      <c r="B23" s="47" t="n">
        <v>0.07199999999999999</v>
      </c>
      <c r="C23" s="46" t="inlineStr">
        <is>
          <t>YIELD: 72 lb per 1,000 SF, typical level 4 finish. Set your supplier's figure.</t>
        </is>
      </c>
    </row>
    <row r="24" ht="15" customHeight="1" s="36">
      <c r="A24" s="44" t="inlineStr">
        <is>
          <t>Joint tape (LF per SF)</t>
        </is>
      </c>
      <c r="B24" s="47" t="n">
        <v>0.37</v>
      </c>
      <c r="C24" s="46" t="inlineStr">
        <is>
          <t>YIELD: 370 LF per 1,000 SF.</t>
        </is>
      </c>
    </row>
    <row r="26" ht="15" customHeight="1" s="36">
      <c r="A26" s="50" t="inlineStr">
        <is>
          <t>LEGEND</t>
        </is>
      </c>
    </row>
    <row r="27" ht="15" customHeight="1" s="36">
      <c r="A27" s="51" t="inlineStr">
        <is>
          <t>Blue text on yellow fill = input you may edit</t>
        </is>
      </c>
    </row>
    <row r="28" ht="15" customHeight="1" s="36">
      <c r="A28" s="52" t="inlineStr">
        <is>
          <t>Black text = live formula, do not overwrite</t>
        </is>
      </c>
    </row>
    <row r="29" ht="15" customHeight="1" s="36">
      <c r="A29" s="53" t="inlineStr">
        <is>
          <t>Green text = pulled from another sheet</t>
        </is>
      </c>
    </row>
    <row r="31" ht="15" customHeight="1" s="36">
      <c r="A31" s="50" t="inlineStr">
        <is>
          <t>EXAMPLE ROW (format reference, not part of the takeoff)</t>
        </is>
      </c>
    </row>
    <row r="32" ht="15" customHeight="1" s="36">
      <c r="A32" s="42" t="inlineStr">
        <is>
          <t>A1  #1  |  Corridor 111 / Break Room 118  |  L 16.42 LF  |  H 15.375 FT  |  Layers 2  |  3-5/8" 362S137-33 MST @ 16" O.C., 33 mil  |  1 layer 5/8" gyp per face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AQ8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4" customWidth="1" style="38" min="1" max="1"/>
    <col width="7" customWidth="1" style="38" min="2" max="2"/>
    <col width="11" customWidth="1" style="38" min="3" max="4"/>
    <col width="7" customWidth="1" style="38" min="5" max="5"/>
    <col width="10" customWidth="1" style="38" min="6" max="6"/>
    <col width="9" customWidth="1" style="38" min="7" max="7"/>
    <col width="12" customWidth="1" style="38" min="8" max="8"/>
    <col width="13" customWidth="1" style="38" min="9" max="10"/>
    <col width="12" customWidth="1" style="38" min="11" max="11"/>
    <col width="10" customWidth="1" style="38" min="12" max="13"/>
    <col width="12" customWidth="1" style="38" min="14" max="14"/>
    <col width="11" customWidth="1" style="38" min="15" max="15"/>
    <col width="10" customWidth="1" style="38" min="16" max="16"/>
    <col width="12" customWidth="1" style="38" min="17" max="17"/>
    <col width="14" customWidth="1" style="38" min="18" max="18"/>
    <col width="11" customWidth="1" style="38" min="19" max="19"/>
    <col width="9" customWidth="1" style="38" min="20" max="20"/>
    <col width="11" customWidth="1" style="38" min="21" max="22"/>
    <col width="15" customWidth="1" style="38" min="23" max="23"/>
    <col width="14" customWidth="1" style="38" min="24" max="25"/>
    <col width="12" customWidth="1" style="38" min="26" max="26"/>
    <col width="13" customWidth="1" style="38" min="27" max="27"/>
    <col width="12" customWidth="1" style="38" min="28" max="28"/>
    <col width="14" customWidth="1" style="38" min="29" max="29"/>
    <col width="15" customWidth="1" style="38" min="30" max="30"/>
    <col width="11" customWidth="1" style="38" min="31" max="32"/>
    <col width="13" customWidth="1" style="38" min="33" max="33"/>
    <col width="11" customWidth="1" style="38" min="34" max="34"/>
    <col width="26" customWidth="1" style="38" min="35" max="35"/>
    <col width="10" customWidth="1" style="38" min="36" max="36"/>
    <col width="46" customWidth="1" style="38" min="37" max="37"/>
    <col width="14" customWidth="1" style="38" min="38" max="38"/>
    <col width="16" customWidth="1" style="38" min="39" max="40"/>
    <col width="15" customWidth="1" style="38" min="41" max="41"/>
    <col width="78" customWidth="1" style="38" min="42" max="42"/>
  </cols>
  <sheetData>
    <row r="1" ht="15.75" customHeight="1" s="36">
      <c r="A1" s="41" t="inlineStr">
        <is>
          <t>ORGANIZED PARTITION TAKEOFF ESTIMATOR - BANK OF AMERICA, BROOMFIELD CO</t>
        </is>
      </c>
    </row>
    <row r="2" ht="15" customHeight="1" s="36">
      <c r="A2" s="42" t="inlineStr">
        <is>
          <t>Grouped by partition type, longest first inside each type. Stud columns are in LF of MATERIAL (pieces x height) and never mix two stud sizes. Quantities are NET - waste lives in its own cells on Material Summary.</t>
        </is>
      </c>
    </row>
    <row r="4" ht="33.75" customHeight="1" s="36">
      <c r="A4" s="54" t="inlineStr">
        <is>
          <t>Partition / Scope</t>
        </is>
      </c>
      <c r="B4" s="54" t="inlineStr">
        <is>
          <t>Wall #</t>
        </is>
      </c>
      <c r="C4" s="54" t="inlineStr">
        <is>
          <t>Length (LF)</t>
        </is>
      </c>
      <c r="D4" s="54" t="inlineStr">
        <is>
          <t>Height (FT)</t>
        </is>
      </c>
      <c r="E4" s="54" t="inlineStr">
        <is>
          <t>Layers</t>
        </is>
      </c>
      <c r="F4" s="54" t="inlineStr">
        <is>
          <t>Stud Size</t>
        </is>
      </c>
      <c r="G4" s="54" t="inlineStr">
        <is>
          <t>Stud (pcs)</t>
        </is>
      </c>
      <c r="H4" s="54" t="inlineStr">
        <is>
          <t>6" Metal Stud (LF)</t>
        </is>
      </c>
      <c r="I4" s="54" t="inlineStr">
        <is>
          <t>3-5/8" Metal Stud (LF)</t>
        </is>
      </c>
      <c r="J4" s="54" t="inlineStr">
        <is>
          <t>1-5/8" Metal Stud (LF)</t>
        </is>
      </c>
      <c r="K4" s="54" t="inlineStr">
        <is>
          <t>5/8" Gyp Board (SF)</t>
        </is>
      </c>
      <c r="L4" s="54" t="inlineStr">
        <is>
          <t>FRP-1 (SF)</t>
        </is>
      </c>
      <c r="M4" s="54" t="inlineStr">
        <is>
          <t>FRP-2 (SF)</t>
        </is>
      </c>
      <c r="N4" s="54" t="inlineStr">
        <is>
          <t>Durock / Cement Bd (SF)</t>
        </is>
      </c>
      <c r="O4" s="54" t="inlineStr">
        <is>
          <t>Demolition (SF)</t>
        </is>
      </c>
      <c r="P4" s="54" t="inlineStr">
        <is>
          <t>Labor (Hrs)</t>
        </is>
      </c>
      <c r="Q4" s="54" t="inlineStr">
        <is>
          <t>Bottom Track (LF)</t>
        </is>
      </c>
      <c r="R4" s="54" t="inlineStr">
        <is>
          <t>Top / Deflection Track (LF)</t>
        </is>
      </c>
      <c r="S4" s="54" t="inlineStr">
        <is>
          <t>Bracing (LF)</t>
        </is>
      </c>
      <c r="T4" s="54" t="inlineStr">
        <is>
          <t>Clips (pcs)</t>
        </is>
      </c>
      <c r="U4" s="54" t="inlineStr">
        <is>
          <t>Blocking (LF)</t>
        </is>
      </c>
      <c r="V4" s="54" t="inlineStr">
        <is>
          <t>Insulation (SF)</t>
        </is>
      </c>
      <c r="W4" s="54" t="inlineStr">
        <is>
          <t>Ext. Gypsum Sheathing, deck to parapet (SF)</t>
        </is>
      </c>
      <c r="X4" s="54" t="inlineStr">
        <is>
          <t>Ext. Sheathing FRT+Polyiso (SF)</t>
        </is>
      </c>
      <c r="Y4" s="54" t="inlineStr">
        <is>
          <t>Ballistic Panel 3/8" UL752 (SF)</t>
        </is>
      </c>
      <c r="Z4" s="54" t="inlineStr">
        <is>
          <t>3/8" Gyp Board (SF)</t>
        </is>
      </c>
      <c r="AA4" s="54" t="inlineStr">
        <is>
          <t>FRT Plywood Substrate (SF)</t>
        </is>
      </c>
      <c r="AB4" s="54" t="inlineStr">
        <is>
          <t>Level 5 Finish (SF)</t>
        </is>
      </c>
      <c r="AC4" s="54" t="inlineStr">
        <is>
          <t>Trim - corner/casing/shadow (LF)</t>
        </is>
      </c>
      <c r="AD4" s="54" t="inlineStr">
        <is>
          <t>Extra Framing - sistered, furring, MEP (LF)</t>
        </is>
      </c>
      <c r="AE4" s="54" t="inlineStr">
        <is>
          <t>Fasteners (pcs)</t>
        </is>
      </c>
      <c r="AF4" s="54" t="inlineStr">
        <is>
          <t>Sealant (LF) - v7: acoustical sealant EXCLUDED in all projects (U8); not carried</t>
        </is>
      </c>
      <c r="AG4" s="54" t="inlineStr">
        <is>
          <t>Header / Box Beam (LF)</t>
        </is>
      </c>
      <c r="AH4" s="54" t="inlineStr">
        <is>
          <t>Sill Track (LF)</t>
        </is>
      </c>
      <c r="AI4" s="54" t="inlineStr">
        <is>
          <t>Openings</t>
        </is>
      </c>
      <c r="AJ4" s="54" t="inlineStr">
        <is>
          <t>Status</t>
        </is>
      </c>
      <c r="AK4" s="54" t="inlineStr">
        <is>
          <t>Source / Seal</t>
        </is>
      </c>
      <c r="AL4" s="54" t="inlineStr">
        <is>
          <t>Stud (LF of material)</t>
        </is>
      </c>
      <c r="AM4" s="54" t="inlineStr">
        <is>
          <t>Addl Head Track &gt;4'-0" opening (LF)</t>
        </is>
      </c>
      <c r="AN4" s="54" t="inlineStr">
        <is>
          <t>Ext. Glass Mat Sheathing at stud face (SF)</t>
        </is>
      </c>
      <c r="AO4" s="54" t="inlineStr">
        <is>
          <t>Gypsum Board Jamb Return (SF)</t>
        </is>
      </c>
      <c r="AP4" s="54" t="inlineStr">
        <is>
          <t>Detail sequence  (plan → section → detail → schedule)</t>
        </is>
      </c>
      <c r="AQ4" s="38" t="inlineStr">
        <is>
          <t>v6 note</t>
        </is>
      </c>
    </row>
    <row r="5" ht="15" customHeight="1" s="36">
      <c r="A5" s="55" t="inlineStr">
        <is>
          <t>TYPE A1</t>
        </is>
      </c>
      <c r="B5" s="56" t="n"/>
      <c r="C5" s="56" t="n"/>
      <c r="D5" s="56" t="n"/>
      <c r="E5" s="56" t="n"/>
      <c r="F5" s="56" t="n"/>
      <c r="G5" s="56" t="n"/>
      <c r="H5" s="56" t="n"/>
      <c r="I5" s="56" t="n"/>
      <c r="J5" s="56" t="n"/>
      <c r="K5" s="56" t="n"/>
      <c r="L5" s="56" t="n"/>
      <c r="M5" s="56" t="n"/>
      <c r="N5" s="56" t="n"/>
      <c r="O5" s="56" t="n"/>
      <c r="P5" s="56" t="n"/>
      <c r="Q5" s="56" t="n"/>
      <c r="R5" s="56" t="n"/>
      <c r="S5" s="56" t="n"/>
      <c r="T5" s="56" t="n"/>
      <c r="U5" s="56" t="n"/>
      <c r="V5" s="56" t="n"/>
      <c r="W5" s="56" t="n"/>
      <c r="X5" s="56" t="n"/>
      <c r="Y5" s="56" t="n"/>
      <c r="Z5" s="56" t="n"/>
      <c r="AA5" s="56" t="n"/>
      <c r="AB5" s="56" t="n"/>
      <c r="AC5" s="56" t="n"/>
      <c r="AD5" s="56" t="n"/>
      <c r="AE5" s="56" t="n"/>
      <c r="AF5" s="56" t="n"/>
      <c r="AG5" s="56" t="n"/>
      <c r="AH5" s="56" t="n"/>
      <c r="AI5" s="56" t="n"/>
      <c r="AJ5" s="56" t="n"/>
      <c r="AK5" s="56" t="n"/>
      <c r="AL5" s="56" t="n"/>
      <c r="AM5" s="56" t="n"/>
      <c r="AN5" s="56" t="n"/>
      <c r="AO5" s="56" t="n"/>
      <c r="AP5" s="56" t="n"/>
    </row>
    <row r="6" ht="57" customHeight="1" s="36">
      <c r="A6" s="46" t="inlineStr">
        <is>
          <t>A1  #8  -  Corridor 111 / Break Room 118 + Electrical 120 + NER 121 - the long wall (tags #8 and #10).  Stud 3-5/8" 362S137-33 MST @ 16" O.C.; bracing 1-1/2" C.R. channel @ 48" O.C.  Corridor 111: 1 layer(s) 5/8 GYP @ 9.000 FT | Break Room 118: 1 layer(s) 5/8 GYP @ 9.000 FT | Electrical 120: 1 layer(s) 5/8 GYP @ 12.820 FT | NER 121: 1 layer(s) 5/8 GYP @ 12.690 FT  (1 instance)</t>
        </is>
      </c>
      <c r="B6" s="57" t="n">
        <v>8</v>
      </c>
      <c r="C6" s="47" t="n">
        <v>17.06</v>
      </c>
      <c r="D6" s="47" t="n">
        <v>12.89</v>
      </c>
      <c r="E6" s="58" t="n">
        <v>1.95</v>
      </c>
      <c r="F6" s="59" t="inlineStr">
        <is>
          <t>3-5/8"</t>
        </is>
      </c>
      <c r="G6" s="60" t="n">
        <v>21</v>
      </c>
      <c r="H6" s="48" t="n">
        <v>0</v>
      </c>
      <c r="I6" s="48" t="n">
        <v>270.69</v>
      </c>
      <c r="J6" s="48" t="n">
        <v>0</v>
      </c>
      <c r="K6" s="61" t="n">
        <v>349.6456</v>
      </c>
      <c r="L6" s="48" t="n"/>
      <c r="M6" s="48" t="n"/>
      <c r="N6" s="48" t="n"/>
      <c r="O6" s="48" t="n"/>
      <c r="P6" s="48" t="n"/>
      <c r="Q6" s="48" t="n">
        <v>17.06</v>
      </c>
      <c r="R6" s="48" t="n">
        <v>17.06</v>
      </c>
      <c r="S6" s="48" t="n">
        <v>51.18</v>
      </c>
      <c r="T6" s="58" t="n"/>
      <c r="U6" s="48" t="n">
        <v>21.97</v>
      </c>
      <c r="V6" s="48" t="n"/>
      <c r="W6" s="48" t="n"/>
      <c r="X6" s="48" t="n"/>
      <c r="Y6" s="48" t="n"/>
      <c r="Z6" s="48" t="n"/>
      <c r="AA6" s="48" t="n">
        <v>106.66</v>
      </c>
      <c r="AB6" s="48" t="n"/>
      <c r="AC6" s="48" t="n"/>
      <c r="AD6" s="48" t="n"/>
      <c r="AE6" s="58" t="n"/>
      <c r="AF6" s="48" t="n"/>
      <c r="AG6" s="48" t="n">
        <v>3.33</v>
      </c>
      <c r="AH6" s="48" t="n"/>
      <c r="AI6" s="62" t="inlineStr">
        <is>
          <t>door 118B 3.33 x 7.00</t>
        </is>
      </c>
      <c r="AJ6" s="44" t="inlineStr">
        <is>
          <t>CLOSED</t>
        </is>
      </c>
      <c r="AK6" s="62" t="inlineStr">
        <is>
          <t>seal f6f3ebf997a3f559</t>
        </is>
      </c>
      <c r="AL6" s="47" t="n">
        <v>270.69</v>
      </c>
      <c r="AM6" s="48" t="n"/>
      <c r="AN6" s="48" t="n"/>
      <c r="AO6" s="48" t="n"/>
      <c r="AP6" s="62" t="inlineStr">
        <is>
          <t>A02.01 → A04.01 → S2.20 → 2/A11.03 → 3/A11.03 → 4/A11.03 → 5/A11.03 → 7/A11.03 → 1/A12.01 → 3/A12.01 → 4/A12.01 → A09.01 → 10/A12.02 → 11/A12.02 → 1/S5.20 → 2/S5.20 → 4/S5.20 → 7/S5.20 → 9/S5.20 → A00.01 → A00.30 → A09.27 → A09.33 → E02.01 → M01.01 → P01.01 → P01.02</t>
        </is>
      </c>
      <c r="AQ6" s="84" t="inlineStr">
        <is>
          <t>v6 (user 2026-10-20): the wall length runs through the door openings to the corner / intersection (this wall includes the door 118B span). Type A1 accepted total 82.23-84.04 LF (the two blind tests); this row is not re-measured here.</t>
        </is>
      </c>
    </row>
    <row r="7" ht="45.75" customHeight="1" s="36">
      <c r="A7" s="46" t="inlineStr">
        <is>
          <t>A1  #1  -  Central Zone 103 / Calling Cubes 122 - north wall of Calling Cubes.  Stud 3-5/8" 362S137-33 MST @ 16" O.C.; bracing 1-1/2" C.R. channel @ 48" O.C.  Central Zone 103: 1 layer(s) 5/8 GYP @ 12.000 FT | Calling Cubes 122: 1 layer(s) 5/8 GYP @ 9.000 FT  (1 instance)</t>
        </is>
      </c>
      <c r="B7" s="57" t="n">
        <v>1</v>
      </c>
      <c r="C7" s="47" t="n">
        <v>16.42</v>
      </c>
      <c r="D7" s="47" t="n">
        <v>15.375</v>
      </c>
      <c r="E7" s="58" t="n">
        <v>2</v>
      </c>
      <c r="F7" s="59" t="inlineStr">
        <is>
          <t>3-5/8"</t>
        </is>
      </c>
      <c r="G7" s="60" t="n">
        <v>16</v>
      </c>
      <c r="H7" s="48" t="n">
        <v>0</v>
      </c>
      <c r="I7" s="48" t="n">
        <v>246</v>
      </c>
      <c r="J7" s="48" t="n">
        <v>0</v>
      </c>
      <c r="K7" s="61" t="n">
        <v>344.82</v>
      </c>
      <c r="L7" s="48" t="n"/>
      <c r="M7" s="48" t="n"/>
      <c r="N7" s="48" t="n"/>
      <c r="O7" s="48" t="n"/>
      <c r="P7" s="48" t="n"/>
      <c r="Q7" s="48" t="n">
        <v>16.42</v>
      </c>
      <c r="R7" s="48" t="n">
        <v>16.42</v>
      </c>
      <c r="S7" s="48" t="n">
        <v>49.26</v>
      </c>
      <c r="T7" s="58" t="n"/>
      <c r="U7" s="48" t="n">
        <v>32.84</v>
      </c>
      <c r="V7" s="48" t="n"/>
      <c r="W7" s="48" t="n"/>
      <c r="X7" s="48" t="n"/>
      <c r="Y7" s="48" t="n"/>
      <c r="Z7" s="48" t="n"/>
      <c r="AA7" s="48" t="n"/>
      <c r="AB7" s="48" t="n"/>
      <c r="AC7" s="48" t="n"/>
      <c r="AD7" s="48" t="n"/>
      <c r="AE7" s="58" t="n"/>
      <c r="AF7" s="48" t="n"/>
      <c r="AG7" s="48" t="n"/>
      <c r="AH7" s="48" t="n"/>
      <c r="AI7" s="62" t="inlineStr">
        <is>
          <t>none</t>
        </is>
      </c>
      <c r="AJ7" s="44" t="inlineStr">
        <is>
          <t>CLOSED</t>
        </is>
      </c>
      <c r="AK7" s="62" t="inlineStr">
        <is>
          <t>seal 0b6d1dcbcf676ced</t>
        </is>
      </c>
      <c r="AL7" s="47" t="n">
        <v>246</v>
      </c>
      <c r="AM7" s="48" t="n"/>
      <c r="AN7" s="48" t="n"/>
      <c r="AO7" s="48" t="n"/>
      <c r="AP7" s="62" t="inlineStr">
        <is>
          <t>A02.01 → A04.01 → S2.20 → 1/A12.01 → 3/A12.01 → 4/A12.01 → A09.01 → 10/A12.02 → 11/A12.02 → 1/S5.20 → 4/S5.20 → 7/S5.20 → A00.01 → A00.30 → A09.27 → A09.33 → E02.01 → M01.01 → P01.01 → P01.02</t>
        </is>
      </c>
    </row>
    <row r="8" ht="45.75" customHeight="1" s="36">
      <c r="A8" s="46" t="inlineStr">
        <is>
          <t>A1  #5  -  Calling Cubes 122 / Break Room 118 - carries MW21 on the south face.  Stud 3-5/8" 362S137-33 MST @ 16" O.C.; bracing 1-1/2" C.R. channel @ 48" O.C.  Calling Cubes 122: 1 layer(s) 5/8 GYP @ 9.000 FT | Break Room 118: 1 layer(s) 5/8 GYP @ 9.000 FT  (1 instance)</t>
        </is>
      </c>
      <c r="B8" s="57" t="n">
        <v>5</v>
      </c>
      <c r="C8" s="47" t="n">
        <v>15.23</v>
      </c>
      <c r="D8" s="47" t="n">
        <v>12.971</v>
      </c>
      <c r="E8" s="58" t="n">
        <v>2</v>
      </c>
      <c r="F8" s="59" t="inlineStr">
        <is>
          <t>3-5/8"</t>
        </is>
      </c>
      <c r="G8" s="60" t="n">
        <v>14</v>
      </c>
      <c r="H8" s="48" t="n">
        <v>0</v>
      </c>
      <c r="I8" s="48" t="n">
        <v>181.59</v>
      </c>
      <c r="J8" s="48" t="n">
        <v>0</v>
      </c>
      <c r="K8" s="61" t="n">
        <v>274.14</v>
      </c>
      <c r="L8" s="48" t="n"/>
      <c r="M8" s="48" t="n"/>
      <c r="N8" s="48" t="n"/>
      <c r="O8" s="48" t="n"/>
      <c r="P8" s="48" t="n"/>
      <c r="Q8" s="48" t="n">
        <v>15.23</v>
      </c>
      <c r="R8" s="48" t="n">
        <v>15.23</v>
      </c>
      <c r="S8" s="48" t="n">
        <v>45.69</v>
      </c>
      <c r="T8" s="58" t="n"/>
      <c r="U8" s="48" t="n">
        <v>40.46</v>
      </c>
      <c r="V8" s="48" t="n"/>
      <c r="W8" s="48" t="n"/>
      <c r="X8" s="48" t="n"/>
      <c r="Y8" s="48" t="n"/>
      <c r="Z8" s="48" t="n"/>
      <c r="AA8" s="48" t="n"/>
      <c r="AB8" s="48" t="n"/>
      <c r="AC8" s="48" t="n"/>
      <c r="AD8" s="48" t="n"/>
      <c r="AE8" s="58" t="n"/>
      <c r="AF8" s="48" t="n"/>
      <c r="AG8" s="48" t="n"/>
      <c r="AH8" s="48" t="n"/>
      <c r="AI8" s="62" t="inlineStr">
        <is>
          <t>none</t>
        </is>
      </c>
      <c r="AJ8" s="44" t="inlineStr">
        <is>
          <t>CLOSED</t>
        </is>
      </c>
      <c r="AK8" s="62" t="inlineStr">
        <is>
          <t>seal b142fb73ec3b93d8</t>
        </is>
      </c>
      <c r="AL8" s="47" t="n">
        <v>181.59</v>
      </c>
      <c r="AM8" s="48" t="n"/>
      <c r="AN8" s="48" t="n"/>
      <c r="AO8" s="48" t="n"/>
      <c r="AP8" s="62" t="inlineStr">
        <is>
          <t>A02.01 → A04.01 → S2.20 → 1/A12.01 → 3/A12.01 → 4/A12.01 → A09.01 → 10/A12.02 → 11/A12.02 → 1/S5.20 → 4/S5.20 → 7/S5.20 → A00.01 → A00.30 → A09.27 → A09.33 → A12.04 → A12.06 → E02.01 → M01.01 → P01.01 → P01.02</t>
        </is>
      </c>
    </row>
    <row r="9" ht="53.25" customHeight="1" s="36">
      <c r="A9" s="46" t="inlineStr">
        <is>
          <t>A1  #9  -  Cash Window 116 / Work Room 119 - north wall of the Work Room, carries MW12 and door 119.  Stud 3-5/8" 362S137-33 MST @ 16" O.C.; bracing 1-1/2" C.R. channel @ 48" O.C.  Cash Window 116: 1 layer(s) 5/8 GYP @ 9.500 FT | Work Room 119: 1 layer(s) 5/8 GYP @ 9.000 FT  (1 instance)</t>
        </is>
      </c>
      <c r="B9" s="57" t="n">
        <v>9</v>
      </c>
      <c r="C9" s="47" t="n">
        <v>11.667</v>
      </c>
      <c r="D9" s="47" t="n">
        <v>12.775</v>
      </c>
      <c r="E9" s="58" t="n">
        <v>2</v>
      </c>
      <c r="F9" s="59" t="inlineStr">
        <is>
          <t>3-5/8"</t>
        </is>
      </c>
      <c r="G9" s="60" t="n">
        <v>23</v>
      </c>
      <c r="H9" s="48" t="n">
        <v>0</v>
      </c>
      <c r="I9" s="48" t="n">
        <v>293.82</v>
      </c>
      <c r="J9" s="48" t="n">
        <v>0</v>
      </c>
      <c r="K9" s="61" t="n">
        <v>169.235</v>
      </c>
      <c r="L9" s="48" t="n"/>
      <c r="M9" s="48" t="n"/>
      <c r="N9" s="48" t="n"/>
      <c r="O9" s="48" t="n"/>
      <c r="P9" s="48" t="n"/>
      <c r="Q9" s="48" t="n">
        <v>11.667</v>
      </c>
      <c r="R9" s="48" t="n">
        <v>11.667</v>
      </c>
      <c r="S9" s="48" t="n">
        <v>35</v>
      </c>
      <c r="T9" s="58" t="n"/>
      <c r="U9" s="48" t="n">
        <v>46.27</v>
      </c>
      <c r="V9" s="48" t="n"/>
      <c r="W9" s="48" t="n"/>
      <c r="X9" s="48" t="n"/>
      <c r="Y9" s="48" t="n"/>
      <c r="Z9" s="48" t="n"/>
      <c r="AA9" s="48" t="n"/>
      <c r="AB9" s="48" t="n"/>
      <c r="AC9" s="48" t="n"/>
      <c r="AD9" s="48" t="n"/>
      <c r="AE9" s="58" t="n"/>
      <c r="AF9" s="48" t="n"/>
      <c r="AG9" s="48" t="n">
        <v>5.33</v>
      </c>
      <c r="AH9" s="48" t="n">
        <v>2</v>
      </c>
      <c r="AI9" s="62" t="inlineStr">
        <is>
          <t>door 119 3.33 x 7.00 + framed opening 8" duct M01.01 (solid run) 1.00 x 1.00 + framed opening 8" duct M01.01 (over the 119 header) 1.00 x 1.00</t>
        </is>
      </c>
      <c r="AJ9" s="44" t="inlineStr">
        <is>
          <t>CLOSED</t>
        </is>
      </c>
      <c r="AK9" s="62" t="inlineStr">
        <is>
          <t>seal 5ae93fd71c06450b</t>
        </is>
      </c>
      <c r="AL9" s="47" t="n">
        <v>293.82</v>
      </c>
      <c r="AM9" s="48" t="n"/>
      <c r="AN9" s="48" t="n"/>
      <c r="AO9" s="48" t="n"/>
      <c r="AP9" s="62" t="inlineStr">
        <is>
          <t>A02.01 → A04.01 → S2.20 → 1/A12.01 → 3/A12.01 → 4/A12.01 → A09.01 → 10/A12.02 → 11/A12.02 → 1/S5.20 → 2/S5.20 → 4/S5.20 → 6/S5.20 → 7/S5.20 → 9/S5.20 → A00.01 → A00.30 → A09.27 → A09.33 → A12.05 → E02.01 → M01.01 → P01.01 → P01.02</t>
        </is>
      </c>
    </row>
    <row r="10" ht="45.75" customHeight="1" s="36">
      <c r="A10" s="46" t="inlineStr">
        <is>
          <t>A1  #6  -  Break Room 118 / Future FCAM - carries door 118A.  Stud 3-5/8" 362S137-33 MST @ 16" O.C.; bracing 1-1/2" C.R. channel @ 48" O.C.  Cash Window 116: 1 layer(s) 5/8 GYP @ 9.500 FT | Break Room 118: 1 layer(s) 5/8 GYP @ 9.000 FT  (1 instance)</t>
        </is>
      </c>
      <c r="B10" s="57" t="n">
        <v>6</v>
      </c>
      <c r="C10" s="47" t="n">
        <v>5.5</v>
      </c>
      <c r="D10" s="47" t="n">
        <v>12.927</v>
      </c>
      <c r="E10" s="58" t="n">
        <v>2</v>
      </c>
      <c r="F10" s="59" t="inlineStr">
        <is>
          <t>3-5/8"</t>
        </is>
      </c>
      <c r="G10" s="60" t="n">
        <v>11</v>
      </c>
      <c r="H10" s="48" t="n">
        <v>0</v>
      </c>
      <c r="I10" s="48" t="n">
        <v>142.2</v>
      </c>
      <c r="J10" s="48" t="n">
        <v>0</v>
      </c>
      <c r="K10" s="61" t="n">
        <v>48.43</v>
      </c>
      <c r="L10" s="48" t="n"/>
      <c r="M10" s="48" t="n"/>
      <c r="N10" s="48" t="n"/>
      <c r="O10" s="48" t="n"/>
      <c r="P10" s="48" t="n"/>
      <c r="Q10" s="48" t="n">
        <v>5.5</v>
      </c>
      <c r="R10" s="48" t="n">
        <v>5.5</v>
      </c>
      <c r="S10" s="48" t="n">
        <v>16.5</v>
      </c>
      <c r="T10" s="58" t="n"/>
      <c r="U10" s="48" t="n">
        <v>13</v>
      </c>
      <c r="V10" s="48" t="n"/>
      <c r="W10" s="48" t="n"/>
      <c r="X10" s="48" t="n"/>
      <c r="Y10" s="48" t="n"/>
      <c r="Z10" s="48" t="n"/>
      <c r="AA10" s="48" t="n"/>
      <c r="AB10" s="48" t="n"/>
      <c r="AC10" s="48" t="n"/>
      <c r="AD10" s="48" t="n"/>
      <c r="AE10" s="58" t="n"/>
      <c r="AF10" s="48" t="n"/>
      <c r="AG10" s="48" t="n">
        <v>3.33</v>
      </c>
      <c r="AH10" s="48" t="n"/>
      <c r="AI10" s="62" t="inlineStr">
        <is>
          <t>door 118A 3.33 x 8.00</t>
        </is>
      </c>
      <c r="AJ10" s="44" t="inlineStr">
        <is>
          <t>CLOSED</t>
        </is>
      </c>
      <c r="AK10" s="62" t="inlineStr">
        <is>
          <t>seal 330ea163b4a7954b</t>
        </is>
      </c>
      <c r="AL10" s="47" t="n">
        <v>142.2</v>
      </c>
      <c r="AM10" s="48" t="n"/>
      <c r="AN10" s="48" t="n"/>
      <c r="AO10" s="48" t="n"/>
      <c r="AP10" s="62" t="inlineStr">
        <is>
          <t>A02.01 → A04.01 → S2.20 → 1/A12.01 → 3/A12.01 → 4/A12.01 → A09.01 → 10/A12.02 → 11/A12.02 → 1/S5.20 → 2/S5.20 → 4/S5.20 → 7/S5.20 → 9/S5.20 → A00.01 → A00.30 → A09.27 → A09.33 → E02.01 → M01.01 → P01.01 → P01.02</t>
        </is>
      </c>
    </row>
    <row r="11" ht="45.75" customHeight="1" s="36">
      <c r="A11" s="46" t="inlineStr">
        <is>
          <t>A1  #4  -  Corridor 111 - jambs of door 111, entry from Central Zone.  Stud 3-5/8" 362S137-33 MST @ 16" O.C.; bracing 1-1/2" C.R. channel @ 48" O.C.  Corridor 111: 1 layer(s) 5/8 GYP @ 9.000 FT | Corridor 111 (face 2): 1 layer(s) 5/8 GYP @ 9.000 FT  (1 instance)</t>
        </is>
      </c>
      <c r="B11" s="57" t="n">
        <v>4</v>
      </c>
      <c r="C11" s="47" t="n">
        <v>5</v>
      </c>
      <c r="D11" s="47" t="n">
        <v>15.375</v>
      </c>
      <c r="E11" s="58" t="n">
        <v>2</v>
      </c>
      <c r="F11" s="59" t="inlineStr">
        <is>
          <t>3-5/8"</t>
        </is>
      </c>
      <c r="G11" s="60" t="n">
        <v>10</v>
      </c>
      <c r="H11" s="48" t="n">
        <v>0</v>
      </c>
      <c r="I11" s="48" t="n">
        <v>153.75</v>
      </c>
      <c r="J11" s="48" t="n">
        <v>0</v>
      </c>
      <c r="K11" s="61" t="n">
        <v>36.68</v>
      </c>
      <c r="L11" s="48" t="n"/>
      <c r="M11" s="48" t="n"/>
      <c r="N11" s="48" t="n"/>
      <c r="O11" s="48" t="n"/>
      <c r="P11" s="48" t="n"/>
      <c r="Q11" s="48" t="n">
        <v>5</v>
      </c>
      <c r="R11" s="48" t="n">
        <v>5</v>
      </c>
      <c r="S11" s="48" t="n">
        <v>15</v>
      </c>
      <c r="T11" s="58" t="n"/>
      <c r="U11" s="48" t="n">
        <v>12</v>
      </c>
      <c r="V11" s="48" t="n"/>
      <c r="W11" s="48" t="n"/>
      <c r="X11" s="48" t="n"/>
      <c r="Y11" s="48" t="n"/>
      <c r="Z11" s="48" t="n"/>
      <c r="AA11" s="48" t="n"/>
      <c r="AB11" s="48" t="n"/>
      <c r="AC11" s="48" t="n"/>
      <c r="AD11" s="48" t="n"/>
      <c r="AE11" s="58" t="n"/>
      <c r="AF11" s="48" t="n"/>
      <c r="AG11" s="48" t="n">
        <v>3.33</v>
      </c>
      <c r="AH11" s="48" t="n"/>
      <c r="AI11" s="62" t="inlineStr">
        <is>
          <t>door 111 3.33 x 8.00</t>
        </is>
      </c>
      <c r="AJ11" s="44" t="inlineStr">
        <is>
          <t>CLOSED</t>
        </is>
      </c>
      <c r="AK11" s="62" t="inlineStr">
        <is>
          <t>seal bad128ab97504e87</t>
        </is>
      </c>
      <c r="AL11" s="47" t="n">
        <v>153.75</v>
      </c>
      <c r="AM11" s="48" t="n"/>
      <c r="AN11" s="48" t="n"/>
      <c r="AO11" s="48" t="n"/>
      <c r="AP11" s="62" t="inlineStr">
        <is>
          <t>A02.01 → A04.01 → S2.20 → 1/A12.01 → 3/A12.01 → 4/A12.01 → A09.01 → 10/A12.02 → 11/A12.02 → 1/S5.20 → 2/S5.20 → 4/S5.20 → 7/S5.20 → 9/S5.20 → A00.01 → A00.30 → A09.27 → A09.33 → E02.01 → M01.01 → P01.01 → P01.02</t>
        </is>
      </c>
    </row>
    <row r="12" ht="45.75" customHeight="1" s="36">
      <c r="A12" s="46" t="inlineStr">
        <is>
          <t>A1  #2  -  MW01 niche / Calling Cubes 122 - back of the printer cabinet.  Stud 3-5/8" 362S137-33 MST @ 16" O.C.; bracing 1-1/2" C.R. channel @ 48" O.C.  Calling Cubes 122: 1 layer(s) 5/8 GYP @ 9.000 FT | MW01 niche: 1 layer(s) 5/8 GYP @ 9.000 FT  (1 instance)</t>
        </is>
      </c>
      <c r="B12" s="57" t="n">
        <v>2</v>
      </c>
      <c r="C12" s="47" t="n">
        <v>3.13</v>
      </c>
      <c r="D12" s="47" t="n">
        <v>15.375</v>
      </c>
      <c r="E12" s="58" t="n">
        <v>2</v>
      </c>
      <c r="F12" s="59" t="inlineStr">
        <is>
          <t>3-5/8"</t>
        </is>
      </c>
      <c r="G12" s="60" t="n">
        <v>5</v>
      </c>
      <c r="H12" s="48" t="n">
        <v>0</v>
      </c>
      <c r="I12" s="48" t="n">
        <v>76.88</v>
      </c>
      <c r="J12" s="48" t="n">
        <v>0</v>
      </c>
      <c r="K12" s="61" t="n">
        <v>56.34</v>
      </c>
      <c r="L12" s="48" t="n"/>
      <c r="M12" s="48" t="n"/>
      <c r="N12" s="48" t="n"/>
      <c r="O12" s="48" t="n"/>
      <c r="P12" s="48" t="n"/>
      <c r="Q12" s="48" t="n">
        <v>3.13</v>
      </c>
      <c r="R12" s="48" t="n">
        <v>3.13</v>
      </c>
      <c r="S12" s="48" t="n">
        <v>9.390000000000001</v>
      </c>
      <c r="T12" s="58" t="n"/>
      <c r="U12" s="48" t="n">
        <v>12.52</v>
      </c>
      <c r="V12" s="48" t="n"/>
      <c r="W12" s="48" t="n"/>
      <c r="X12" s="48" t="n"/>
      <c r="Y12" s="48" t="n"/>
      <c r="Z12" s="48" t="n"/>
      <c r="AA12" s="48" t="n"/>
      <c r="AB12" s="48" t="n"/>
      <c r="AC12" s="48" t="n"/>
      <c r="AD12" s="48" t="n"/>
      <c r="AE12" s="58" t="n"/>
      <c r="AF12" s="48" t="n"/>
      <c r="AG12" s="48" t="n"/>
      <c r="AH12" s="48" t="n"/>
      <c r="AI12" s="62" t="inlineStr">
        <is>
          <t>none</t>
        </is>
      </c>
      <c r="AJ12" s="44" t="inlineStr">
        <is>
          <t>CLOSED</t>
        </is>
      </c>
      <c r="AK12" s="62" t="inlineStr">
        <is>
          <t>seal f9459712ac3d5e8f</t>
        </is>
      </c>
      <c r="AL12" s="47" t="n">
        <v>76.88</v>
      </c>
      <c r="AM12" s="48" t="n"/>
      <c r="AN12" s="48" t="n"/>
      <c r="AO12" s="48" t="n"/>
      <c r="AP12" s="62" t="inlineStr">
        <is>
          <t>A02.01 → A04.01 → S2.20 → 1/A12.01 → 3/A12.01 → 4/A12.01 → A09.01 → 10/A12.02 → 11/A12.02 → 1/S5.20 → 4/S5.20 → 7/S5.20 → A00.01 → A00.30 → A09.27 → A09.33 → A12.03 → A12.04 → A12.05 → E02.01 → M01.01 → P01.01 → P01.02</t>
        </is>
      </c>
    </row>
    <row r="13" ht="45.75" customHeight="1" s="36">
      <c r="A13" s="46" t="inlineStr">
        <is>
          <t>A1  #3  -  MW01 niche / Calling Cubes 122 - south close of the niche.  Stud 3-5/8" 362S137-33 MST @ 16" O.C.; bracing 1-1/2" C.R. channel @ 48" O.C.  Calling Cubes 122: 1 layer(s) 5/8 GYP @ 9.000 FT | MW01 niche: 1 layer(s) 5/8 GYP @ 9.000 FT  (1 instance)</t>
        </is>
      </c>
      <c r="B13" s="57" t="n">
        <v>3</v>
      </c>
      <c r="C13" s="47" t="n">
        <v>2.63</v>
      </c>
      <c r="D13" s="47" t="n">
        <v>15.375</v>
      </c>
      <c r="E13" s="58" t="n">
        <v>2</v>
      </c>
      <c r="F13" s="59" t="inlineStr">
        <is>
          <t>3-5/8"</t>
        </is>
      </c>
      <c r="G13" s="60" t="n">
        <v>4</v>
      </c>
      <c r="H13" s="48" t="n">
        <v>0</v>
      </c>
      <c r="I13" s="48" t="n">
        <v>61.5</v>
      </c>
      <c r="J13" s="48" t="n">
        <v>0</v>
      </c>
      <c r="K13" s="61" t="n">
        <v>47.34</v>
      </c>
      <c r="L13" s="48" t="n"/>
      <c r="M13" s="48" t="n"/>
      <c r="N13" s="48" t="n"/>
      <c r="O13" s="48" t="n"/>
      <c r="P13" s="48" t="n"/>
      <c r="Q13" s="48" t="n">
        <v>2.63</v>
      </c>
      <c r="R13" s="48" t="n">
        <v>2.63</v>
      </c>
      <c r="S13" s="48" t="n">
        <v>7.89</v>
      </c>
      <c r="T13" s="58" t="n"/>
      <c r="U13" s="48" t="n">
        <v>5.26</v>
      </c>
      <c r="V13" s="48" t="n"/>
      <c r="W13" s="48" t="n"/>
      <c r="X13" s="48" t="n"/>
      <c r="Y13" s="48" t="n"/>
      <c r="Z13" s="48" t="n"/>
      <c r="AA13" s="48" t="n"/>
      <c r="AB13" s="48" t="n"/>
      <c r="AC13" s="48" t="n"/>
      <c r="AD13" s="48" t="n"/>
      <c r="AE13" s="58" t="n"/>
      <c r="AF13" s="48" t="n"/>
      <c r="AG13" s="48" t="n"/>
      <c r="AH13" s="48" t="n"/>
      <c r="AI13" s="62" t="inlineStr">
        <is>
          <t>none</t>
        </is>
      </c>
      <c r="AJ13" s="44" t="inlineStr">
        <is>
          <t>CLOSED</t>
        </is>
      </c>
      <c r="AK13" s="62" t="inlineStr">
        <is>
          <t>seal de2d6c733839b704</t>
        </is>
      </c>
      <c r="AL13" s="47" t="n">
        <v>61.5</v>
      </c>
      <c r="AM13" s="48" t="n"/>
      <c r="AN13" s="48" t="n"/>
      <c r="AO13" s="48" t="n"/>
      <c r="AP13" s="62" t="inlineStr">
        <is>
          <t>A02.01 → A04.01 → S2.20 → 1/A12.01 → 3/A12.01 → 4/A12.01 → A09.01 → 10/A12.02 → 11/A12.02 → 7/A12.04 → 1/S5.20 → 4/S5.20 → 7/S5.20 → A00.01 → A00.30 → A09.27 → A09.33 → E02.01 → M01.01 → P01.01 → P01.02</t>
        </is>
      </c>
    </row>
    <row r="14" ht="45.75" customHeight="1" s="36">
      <c r="A14" s="46" t="inlineStr">
        <is>
          <t>A1  #7  -  Break Room 118 / Cash Window 116 - vertical return between walls A1-5 and A1-6.  Stud 3-5/8" 362S137-33 MST @ 16" O.C.; bracing 1-1/2" C.R. channel @ 48" O.C.  Break Room 118: 1 layer(s) 5/8 GYP @ 9.000 FT | Cash Window 116: 1 layer(s) 5/8 GYP @ 9.500 FT  (1 instance)</t>
        </is>
      </c>
      <c r="B14" s="57" t="n">
        <v>7</v>
      </c>
      <c r="C14" s="47" t="n">
        <v>1.73</v>
      </c>
      <c r="D14" s="47" t="n">
        <v>12.963</v>
      </c>
      <c r="E14" s="58" t="n">
        <v>2</v>
      </c>
      <c r="F14" s="59" t="inlineStr">
        <is>
          <t>3-5/8"</t>
        </is>
      </c>
      <c r="G14" s="60" t="n">
        <v>4</v>
      </c>
      <c r="H14" s="48" t="n">
        <v>0</v>
      </c>
      <c r="I14" s="48" t="n">
        <v>51.85</v>
      </c>
      <c r="J14" s="48" t="n">
        <v>0</v>
      </c>
      <c r="K14" s="61" t="n">
        <v>32.005</v>
      </c>
      <c r="L14" s="48" t="n"/>
      <c r="M14" s="48" t="n"/>
      <c r="N14" s="48" t="n"/>
      <c r="O14" s="48" t="n"/>
      <c r="P14" s="48" t="n"/>
      <c r="Q14" s="48" t="n">
        <v>1.73</v>
      </c>
      <c r="R14" s="48" t="n">
        <v>1.73</v>
      </c>
      <c r="S14" s="48" t="n">
        <v>5.19</v>
      </c>
      <c r="T14" s="58" t="n"/>
      <c r="U14" s="48" t="n">
        <v>3.46</v>
      </c>
      <c r="V14" s="48" t="n"/>
      <c r="W14" s="48" t="n"/>
      <c r="X14" s="48" t="n"/>
      <c r="Y14" s="48" t="n"/>
      <c r="Z14" s="48" t="n"/>
      <c r="AA14" s="48" t="n"/>
      <c r="AB14" s="48" t="n"/>
      <c r="AC14" s="48" t="n"/>
      <c r="AD14" s="48" t="n"/>
      <c r="AE14" s="58" t="n"/>
      <c r="AF14" s="48" t="n"/>
      <c r="AG14" s="48" t="n"/>
      <c r="AH14" s="48" t="n"/>
      <c r="AI14" s="62" t="inlineStr">
        <is>
          <t>none</t>
        </is>
      </c>
      <c r="AJ14" s="44" t="inlineStr">
        <is>
          <t>CLOSED</t>
        </is>
      </c>
      <c r="AK14" s="62" t="inlineStr">
        <is>
          <t>seal 59b6ae489514c65f</t>
        </is>
      </c>
      <c r="AL14" s="47" t="n">
        <v>51.85</v>
      </c>
      <c r="AM14" s="48" t="n"/>
      <c r="AN14" s="48" t="n"/>
      <c r="AO14" s="48" t="n"/>
      <c r="AP14" s="62" t="inlineStr">
        <is>
          <t>A02.01 → A04.01 → S2.20 → 1/A12.01 → 3/A12.01 → 4/A12.01 → A09.01 → 10/A12.02 → 11/A12.02 → 1/S5.20 → 4/S5.20 → 7/S5.20 → A00.01 → A00.30 → A09.27 → A09.33 → E02.01 → M01.01 → P01.01 → P01.02</t>
        </is>
      </c>
    </row>
    <row r="15" ht="15" customHeight="1" s="36">
      <c r="A15" s="55" t="inlineStr">
        <is>
          <t>TYPE A1K</t>
        </is>
      </c>
      <c r="B15" s="56" t="n"/>
      <c r="C15" s="56" t="n"/>
      <c r="D15" s="56" t="n"/>
      <c r="E15" s="56" t="n"/>
      <c r="F15" s="56" t="n"/>
      <c r="G15" s="56" t="n"/>
      <c r="H15" s="56" t="n"/>
      <c r="I15" s="56" t="n"/>
      <c r="J15" s="56" t="n"/>
      <c r="K15" s="56" t="n"/>
      <c r="L15" s="56" t="n"/>
      <c r="M15" s="56" t="n"/>
      <c r="N15" s="56" t="n"/>
      <c r="O15" s="56" t="n"/>
      <c r="P15" s="56" t="n"/>
      <c r="Q15" s="56" t="n"/>
      <c r="R15" s="56" t="n"/>
      <c r="S15" s="56" t="n"/>
      <c r="T15" s="56" t="n"/>
      <c r="U15" s="56" t="n"/>
      <c r="V15" s="56" t="n"/>
      <c r="W15" s="56" t="n"/>
      <c r="X15" s="56" t="n"/>
      <c r="Y15" s="56" t="n"/>
      <c r="Z15" s="56" t="n"/>
      <c r="AA15" s="56" t="n"/>
      <c r="AB15" s="56" t="n"/>
      <c r="AC15" s="56" t="n"/>
      <c r="AD15" s="56" t="n"/>
      <c r="AE15" s="56" t="n"/>
      <c r="AF15" s="56" t="n"/>
      <c r="AG15" s="56" t="n"/>
      <c r="AH15" s="56" t="n"/>
      <c r="AI15" s="56" t="n"/>
      <c r="AJ15" s="56" t="n"/>
      <c r="AK15" s="56" t="n"/>
      <c r="AL15" s="56" t="n"/>
      <c r="AM15" s="56" t="n"/>
      <c r="AN15" s="56" t="n"/>
      <c r="AO15" s="56" t="n"/>
      <c r="AP15" s="56" t="n"/>
    </row>
    <row r="16" ht="57" customHeight="1" s="36">
      <c r="A16" s="46" t="inlineStr">
        <is>
          <t>A1K  #11  -  NORTH head of Cash Window 116 / CSR line (banda y 1120.68/1128.48).  Stud 3-5/8" 362S137-68 MST @ 24" O.C.; bracing 1-1/2" C.R. channel @ 48" O.C.  Lado norte (linea de teller, contra el wall G-47): 1 layer(s) 5/8 GYP 1 layer @ 15.375 FT | Cash Window 116: 1 layer(s) 5/8 GYP 1 layer @ 15.375 FT  (1 instance)</t>
        </is>
      </c>
      <c r="B16" s="57" t="n">
        <v>11</v>
      </c>
      <c r="C16" s="47" t="n">
        <v>3.417</v>
      </c>
      <c r="D16" s="47" t="n">
        <v>15.375</v>
      </c>
      <c r="E16" s="58" t="n">
        <v>2</v>
      </c>
      <c r="F16" s="59" t="inlineStr">
        <is>
          <t>3-5/8"</t>
        </is>
      </c>
      <c r="G16" s="60" t="n">
        <v>4</v>
      </c>
      <c r="H16" s="48" t="n">
        <v>0</v>
      </c>
      <c r="I16" s="48" t="n">
        <v>61.5</v>
      </c>
      <c r="J16" s="48" t="n">
        <v>0</v>
      </c>
      <c r="K16" s="61" t="n">
        <v>105.07275</v>
      </c>
      <c r="L16" s="48" t="n"/>
      <c r="M16" s="48" t="n"/>
      <c r="N16" s="48" t="n"/>
      <c r="O16" s="48" t="n"/>
      <c r="P16" s="48" t="n"/>
      <c r="Q16" s="48" t="n">
        <v>3.42</v>
      </c>
      <c r="R16" s="48" t="n">
        <v>3.42</v>
      </c>
      <c r="S16" s="48" t="n">
        <v>10.25</v>
      </c>
      <c r="T16" s="58" t="n"/>
      <c r="U16" s="48" t="n"/>
      <c r="V16" s="48" t="n"/>
      <c r="W16" s="48" t="n"/>
      <c r="X16" s="48" t="n"/>
      <c r="Y16" s="48" t="n">
        <v>27.34</v>
      </c>
      <c r="Z16" s="48" t="n">
        <v>25.2</v>
      </c>
      <c r="AA16" s="48" t="n"/>
      <c r="AB16" s="48" t="n"/>
      <c r="AC16" s="48" t="n">
        <v>6.83</v>
      </c>
      <c r="AD16" s="48" t="n"/>
      <c r="AE16" s="58" t="n">
        <v>6</v>
      </c>
      <c r="AF16" s="48" t="n"/>
      <c r="AG16" s="48" t="n"/>
      <c r="AH16" s="48" t="n"/>
      <c r="AI16" s="62" t="inlineStr">
        <is>
          <t>none</t>
        </is>
      </c>
      <c r="AJ16" s="44" t="inlineStr">
        <is>
          <t>CLOSED</t>
        </is>
      </c>
      <c r="AK16" s="62" t="inlineStr">
        <is>
          <t>seal 55ac0f1c5756bccf</t>
        </is>
      </c>
      <c r="AL16" s="47" t="n">
        <v>61.5</v>
      </c>
      <c r="AM16" s="48" t="n"/>
      <c r="AN16" s="48" t="n"/>
      <c r="AO16" s="48" t="n"/>
      <c r="AP16" s="62" t="inlineStr">
        <is>
          <t>A02.01 → S2.20 → 4/A12.01 → 1/S5.20 → 7/S5.20 → A09.01 → A00.01 → A09.27 → A09.33</t>
        </is>
      </c>
    </row>
    <row r="17" ht="57" customHeight="1" s="36">
      <c r="A17" s="46" t="inlineStr">
        <is>
          <t>A1K  #12  -  SOUTH head of Cash Window 116 (banda y 1344.72/1352.64).  Stud 3-5/8" 362S137-68 MST @ 24" O.C.; bracing 1-1/2" C.R. channel @ 48" O.C.  Cash Window 116: 1 layer(s) 5/8 GYP 1 layer @ 12.933 FT | Lado sur (zona del FUTURE FCAM): 1 layer(s) 5/8 GYP 1 layer @ 12.933 FT  (1 instance)</t>
        </is>
      </c>
      <c r="B17" s="57" t="n">
        <v>12</v>
      </c>
      <c r="C17" s="47" t="n">
        <v>3.413</v>
      </c>
      <c r="D17" s="47" t="n">
        <v>12.933</v>
      </c>
      <c r="E17" s="58" t="n">
        <v>2</v>
      </c>
      <c r="F17" s="59" t="inlineStr">
        <is>
          <t>3-5/8"</t>
        </is>
      </c>
      <c r="G17" s="60" t="n">
        <v>4</v>
      </c>
      <c r="H17" s="48" t="n">
        <v>0</v>
      </c>
      <c r="I17" s="48" t="n">
        <v>51.73</v>
      </c>
      <c r="J17" s="48" t="n">
        <v>0</v>
      </c>
      <c r="K17" s="61" t="n">
        <v>88.280658</v>
      </c>
      <c r="L17" s="48" t="n"/>
      <c r="M17" s="48" t="n"/>
      <c r="N17" s="48" t="n"/>
      <c r="O17" s="48" t="n"/>
      <c r="P17" s="48" t="n"/>
      <c r="Q17" s="48" t="n">
        <v>3.41</v>
      </c>
      <c r="R17" s="48" t="n">
        <v>3.41</v>
      </c>
      <c r="S17" s="48" t="n">
        <v>10.24</v>
      </c>
      <c r="T17" s="58" t="n"/>
      <c r="U17" s="48" t="n"/>
      <c r="V17" s="48" t="n"/>
      <c r="W17" s="48" t="n"/>
      <c r="X17" s="48" t="n"/>
      <c r="Y17" s="48" t="n">
        <v>27.3</v>
      </c>
      <c r="Z17" s="48" t="n">
        <v>16.84</v>
      </c>
      <c r="AA17" s="48" t="n"/>
      <c r="AB17" s="48" t="n"/>
      <c r="AC17" s="48" t="n">
        <v>6.83</v>
      </c>
      <c r="AD17" s="48" t="n"/>
      <c r="AE17" s="58" t="n">
        <v>6</v>
      </c>
      <c r="AF17" s="48" t="n"/>
      <c r="AG17" s="48" t="n"/>
      <c r="AH17" s="48" t="n"/>
      <c r="AI17" s="62" t="inlineStr">
        <is>
          <t>none</t>
        </is>
      </c>
      <c r="AJ17" s="44" t="inlineStr">
        <is>
          <t>CLOSED</t>
        </is>
      </c>
      <c r="AK17" s="62" t="inlineStr">
        <is>
          <t>seal 7fa175fb06948b14</t>
        </is>
      </c>
      <c r="AL17" s="47" t="n">
        <v>51.73</v>
      </c>
      <c r="AM17" s="48" t="n"/>
      <c r="AN17" s="48" t="n"/>
      <c r="AO17" s="48" t="n"/>
      <c r="AP17" s="62" t="inlineStr">
        <is>
          <t>A02.01 → S2.20 → 4/A12.01 → 1/S5.20 → 7/S5.20 → A09.01 → A00.01 → A09.27 → A09.33</t>
        </is>
      </c>
    </row>
    <row r="18" ht="57" customHeight="1" s="36">
      <c r="A18" s="46" t="inlineStr">
        <is>
          <t>A1K  #13  -  Southwest return at Cash Window 116 (banda y 1355.28/1363.08).  Stud 3-5/8" 362S137-68 MST @ 24" O.C.; bracing 1-1/2" C.R. channel @ 48" O.C.  Lado norte: 1 layer(s) 5/8 GYP 1 layer @ 12.921 FT | Lado sur (zona del FUTURE FCAM): 1 layer(s) 5/8 GYP 1 layer @ 12.921 FT  (1 instance)</t>
        </is>
      </c>
      <c r="B18" s="57" t="n">
        <v>13</v>
      </c>
      <c r="C18" s="47" t="n">
        <v>1.16</v>
      </c>
      <c r="D18" s="47" t="n">
        <v>12.921</v>
      </c>
      <c r="E18" s="58" t="n">
        <v>2</v>
      </c>
      <c r="F18" s="59" t="inlineStr">
        <is>
          <t>3-5/8"</t>
        </is>
      </c>
      <c r="G18" s="60" t="n">
        <v>3</v>
      </c>
      <c r="H18" s="48" t="n">
        <v>0</v>
      </c>
      <c r="I18" s="48" t="n">
        <v>38.76</v>
      </c>
      <c r="J18" s="48" t="n">
        <v>0</v>
      </c>
      <c r="K18" s="61" t="n">
        <v>29.97672</v>
      </c>
      <c r="L18" s="48" t="n"/>
      <c r="M18" s="48" t="n"/>
      <c r="N18" s="48" t="n"/>
      <c r="O18" s="48" t="n"/>
      <c r="P18" s="48" t="n"/>
      <c r="Q18" s="48" t="n">
        <v>1.16</v>
      </c>
      <c r="R18" s="48" t="n">
        <v>1.16</v>
      </c>
      <c r="S18" s="48" t="n">
        <v>3.48</v>
      </c>
      <c r="T18" s="58" t="n"/>
      <c r="U18" s="48" t="n"/>
      <c r="V18" s="48" t="n"/>
      <c r="W18" s="48" t="n"/>
      <c r="X18" s="48" t="n"/>
      <c r="Y18" s="48" t="n">
        <v>9.279999999999999</v>
      </c>
      <c r="Z18" s="48" t="n">
        <v>5.71</v>
      </c>
      <c r="AA18" s="48" t="n"/>
      <c r="AB18" s="48" t="n"/>
      <c r="AC18" s="48" t="n">
        <v>2.32</v>
      </c>
      <c r="AD18" s="48" t="n"/>
      <c r="AE18" s="58" t="n">
        <v>4</v>
      </c>
      <c r="AF18" s="48" t="n"/>
      <c r="AG18" s="48" t="n"/>
      <c r="AH18" s="48" t="n"/>
      <c r="AI18" s="62" t="inlineStr">
        <is>
          <t>none</t>
        </is>
      </c>
      <c r="AJ18" s="44" t="inlineStr">
        <is>
          <t>CLOSED</t>
        </is>
      </c>
      <c r="AK18" s="62" t="inlineStr">
        <is>
          <t>seal e3169842073623f7</t>
        </is>
      </c>
      <c r="AL18" s="47" t="n">
        <v>38.76</v>
      </c>
      <c r="AM18" s="48" t="n"/>
      <c r="AN18" s="48" t="n"/>
      <c r="AO18" s="48" t="n"/>
      <c r="AP18" s="62" t="inlineStr">
        <is>
          <t>A02.01 → S2.20 → 4/A12.01 → 1/S5.20 → 7/S5.20 → A09.01 → A00.01 → A09.27 → A09.33</t>
        </is>
      </c>
    </row>
    <row r="19" ht="15" customHeight="1" s="36">
      <c r="A19" s="55" t="inlineStr">
        <is>
          <t>TYPE A5</t>
        </is>
      </c>
      <c r="B19" s="56" t="n"/>
      <c r="C19" s="56" t="n"/>
      <c r="D19" s="56" t="n"/>
      <c r="E19" s="56" t="n"/>
      <c r="F19" s="56" t="n"/>
      <c r="G19" s="56" t="n"/>
      <c r="H19" s="56" t="n"/>
      <c r="I19" s="56" t="n"/>
      <c r="J19" s="56" t="n"/>
      <c r="K19" s="56" t="n"/>
      <c r="L19" s="56" t="n"/>
      <c r="M19" s="56" t="n"/>
      <c r="N19" s="56" t="n"/>
      <c r="O19" s="56" t="n"/>
      <c r="P19" s="56" t="n"/>
      <c r="Q19" s="56" t="n"/>
      <c r="R19" s="56" t="n"/>
      <c r="S19" s="56" t="n"/>
      <c r="T19" s="56" t="n"/>
      <c r="U19" s="56" t="n"/>
      <c r="V19" s="56" t="n"/>
      <c r="W19" s="56" t="n"/>
      <c r="X19" s="56" t="n"/>
      <c r="Y19" s="56" t="n"/>
      <c r="Z19" s="56" t="n"/>
      <c r="AA19" s="56" t="n"/>
      <c r="AB19" s="56" t="n"/>
      <c r="AC19" s="56" t="n"/>
      <c r="AD19" s="56" t="n"/>
      <c r="AE19" s="56" t="n"/>
      <c r="AF19" s="56" t="n"/>
      <c r="AG19" s="56" t="n"/>
      <c r="AH19" s="56" t="n"/>
      <c r="AI19" s="56" t="n"/>
      <c r="AJ19" s="56" t="n"/>
      <c r="AK19" s="56" t="n"/>
      <c r="AL19" s="56" t="n"/>
      <c r="AM19" s="56" t="n"/>
      <c r="AN19" s="56" t="n"/>
      <c r="AO19" s="56" t="n"/>
      <c r="AP19" s="56" t="n"/>
    </row>
    <row r="20" ht="45.75" customHeight="1" s="36">
      <c r="A20" s="108" t="inlineStr">
        <is>
          <t>A5  #14  -  Calling Cubes 122 / Office 4 CB 108.  Stud 6" 600S137-33 MST @ 16" O.C.; bracing 1-1/2" C.R. channel @ 48" O.C.  Calling Cubes 122: 1 layer(s) 5/8 GYP @ 9.000 FT | Office 4 CB 108: 1 layer(s) 5/8 GYP @ 9.500 FT  (1 instance)</t>
        </is>
      </c>
      <c r="B20" s="109" t="n">
        <v>14</v>
      </c>
      <c r="C20" s="110" t="n">
        <v>19.4067</v>
      </c>
      <c r="D20" s="110" t="n">
        <v>15.375</v>
      </c>
      <c r="E20" s="111" t="n">
        <v>2</v>
      </c>
      <c r="F20" s="112" t="inlineStr">
        <is>
          <t>6"</t>
        </is>
      </c>
      <c r="G20" s="113" t="n">
        <v>15</v>
      </c>
      <c r="H20" s="114" t="n">
        <v>223.66</v>
      </c>
      <c r="I20" s="114" t="n">
        <v>0</v>
      </c>
      <c r="J20" s="114" t="n">
        <v>0</v>
      </c>
      <c r="K20" s="115" t="n">
        <v>359.02</v>
      </c>
      <c r="L20" s="114" t="n"/>
      <c r="M20" s="114" t="n"/>
      <c r="N20" s="114" t="n"/>
      <c r="O20" s="114" t="n"/>
      <c r="P20" s="114" t="n"/>
      <c r="Q20" s="114" t="n">
        <v>19.41</v>
      </c>
      <c r="R20" s="114" t="n">
        <v>19.41</v>
      </c>
      <c r="S20" s="114" t="n">
        <v>58.22</v>
      </c>
      <c r="T20" s="111" t="n"/>
      <c r="U20" s="114" t="n">
        <v>38</v>
      </c>
      <c r="V20" s="114" t="n"/>
      <c r="W20" s="114" t="n"/>
      <c r="X20" s="114" t="n"/>
      <c r="Y20" s="114" t="n"/>
      <c r="Z20" s="114" t="n"/>
      <c r="AA20" s="114" t="n"/>
      <c r="AB20" s="114" t="n"/>
      <c r="AC20" s="114" t="n"/>
      <c r="AD20" s="114" t="n"/>
      <c r="AE20" s="111" t="n"/>
      <c r="AF20" s="114" t="n"/>
      <c r="AG20" s="114" t="n"/>
      <c r="AH20" s="114" t="n"/>
      <c r="AI20" s="116" t="inlineStr">
        <is>
          <t>none</t>
        </is>
      </c>
      <c r="AJ20" s="117" t="inlineStr">
        <is>
          <t>CLOSED</t>
        </is>
      </c>
      <c r="AK20" s="116" t="inlineStr">
        <is>
          <t>seal 95c67946c0f7261d</t>
        </is>
      </c>
      <c r="AL20" s="110" t="n">
        <v>223.66</v>
      </c>
      <c r="AM20" s="114" t="n"/>
      <c r="AN20" s="114" t="n"/>
      <c r="AO20" s="114" t="n"/>
      <c r="AP20" s="116" t="inlineStr">
        <is>
          <t>A02.01 → A04.01 → 3/A12.01 → 1/S5.20 → 4/S5.20 → 7/S5.20 → A09.01 → A00.30 → A09.27 → A09.33</t>
        </is>
      </c>
      <c r="AQ20" s="118" t="inlineStr">
        <is>
          <t>v8 (R77.10, arbitration #26): type LF 19.0 -&gt; 19.4067 GROSS: (1324.08 - 974.76) / 18 = 19.4067 (19'-0" printed 974.8 -&gt; 1316.8 + the SE T block to the W05 south face 1324.08, the A5 owns it in both test readings). Solid length 19.0 -&gt; 19.41 (delta +0.4067): studs 53.2 (ROUNDUP(19.41/1.3333) - ROUNDUP(19.0/1.3333)) = +0 pcs x 15.375 = +0.0 LF; board 351.5/19.0 x +0.4067 = +7.52 SF; track +0.41 each; bracing +1.22. Openings (MW01 / door 116) carry no board, no bottom track.</t>
        </is>
      </c>
    </row>
    <row r="21" ht="45.75" customHeight="1" s="36">
      <c r="A21" s="108" t="inlineStr">
        <is>
          <t>A5  #15  -  Calling Cubes 122 / Corridor 111.  Stud 6" 600S137-33 MST @ 16" O.C.; bracing 1-1/2" C.R. channel @ 48" O.C.  Calling Cubes 122: 1 layer(s) 5/8 GYP @ 9.000 FT | Corridor 111: 1 layer(s) 5/8 GYP @ 9.000 FT  (1 instance)</t>
        </is>
      </c>
      <c r="B21" s="109" t="n">
        <v>15</v>
      </c>
      <c r="C21" s="110" t="n">
        <v>14.1267</v>
      </c>
      <c r="D21" s="110" t="n">
        <v>15.375</v>
      </c>
      <c r="E21" s="111" t="n">
        <v>2</v>
      </c>
      <c r="F21" s="112" t="inlineStr">
        <is>
          <t>6"</t>
        </is>
      </c>
      <c r="G21" s="113" t="n">
        <v>9</v>
      </c>
      <c r="H21" s="114" t="n">
        <v>138.38</v>
      </c>
      <c r="I21" s="114" t="n">
        <v>0</v>
      </c>
      <c r="J21" s="114" t="n">
        <v>0</v>
      </c>
      <c r="K21" s="115" t="n">
        <v>198</v>
      </c>
      <c r="L21" s="114" t="n"/>
      <c r="M21" s="114" t="n"/>
      <c r="N21" s="114" t="n"/>
      <c r="O21" s="114" t="n"/>
      <c r="P21" s="114" t="n"/>
      <c r="Q21" s="114" t="n">
        <v>11</v>
      </c>
      <c r="R21" s="114" t="n">
        <v>11</v>
      </c>
      <c r="S21" s="114" t="n">
        <v>33</v>
      </c>
      <c r="T21" s="111" t="n"/>
      <c r="U21" s="114" t="n">
        <v>41.88</v>
      </c>
      <c r="V21" s="114" t="n"/>
      <c r="W21" s="114" t="n"/>
      <c r="X21" s="114" t="n"/>
      <c r="Y21" s="114" t="n"/>
      <c r="Z21" s="114" t="n"/>
      <c r="AA21" s="114" t="n"/>
      <c r="AB21" s="114" t="n"/>
      <c r="AC21" s="114" t="n"/>
      <c r="AD21" s="114" t="n"/>
      <c r="AE21" s="111" t="n"/>
      <c r="AF21" s="114" t="n"/>
      <c r="AG21" s="114" t="n"/>
      <c r="AH21" s="114" t="n"/>
      <c r="AI21" s="116" t="inlineStr">
        <is>
          <t>none</t>
        </is>
      </c>
      <c r="AJ21" s="117" t="inlineStr">
        <is>
          <t>CLOSED</t>
        </is>
      </c>
      <c r="AK21" s="116" t="inlineStr">
        <is>
          <t>seal 4742d9e4779e1bab</t>
        </is>
      </c>
      <c r="AL21" s="110" t="n">
        <v>138.38</v>
      </c>
      <c r="AM21" s="114" t="n"/>
      <c r="AN21" s="114" t="n"/>
      <c r="AO21" s="114" t="n"/>
      <c r="AP21" s="116" t="inlineStr">
        <is>
          <t>A02.01 → A04.01 → S2.20 → 3/A12.01 → 1/S5.20 → 4/S5.20 → 7/S5.20 → A09.01 → A00.30 → A09.27 → A09.33 → A12.05</t>
        </is>
      </c>
      <c r="AQ21" s="118" t="inlineStr">
        <is>
          <t>v8 (R77.10, arbitration #26): type LF 11.0 -&gt; 14.1267 GROSS: (1229.04 - 974.76) / 18 = 14.1267 = v7 net 11.00 + MW01 R.O. 3.125 (3'-1 1/2", A1/A12.03), the cabinet opening is in this wall (0.0017 = vector rounding, solid unchanged). Solid length 11.0 -&gt; 11.0 (delta +0.0): studs 53.2 (ROUNDUP(11.0/1.3333) - ROUNDUP(11.0/1.3333)) = +0 pcs x 15.375 = +0.0 LF; board 198.0/11.0 x +0.0 = +0.0 SF; track +0.0 each; bracing +0.0. Openings (MW01 / door 116) carry no board, no bottom track.</t>
        </is>
      </c>
    </row>
    <row r="22" ht="34.5" customHeight="1" s="36">
      <c r="A22" s="108" t="inlineStr">
        <is>
          <t>A5  #16  -  Corridor 111 / Calling Cubes 122.  Stud 6" 600S137-33 MST @ 16" O.C.; bracing 1-1/2" C.R. channel @ 48" O.C.  Corridor 111: 1 layer(s) 5/8 GYP @ 9.000 FT | Calling Cubes 122: 1 layer(s) 5/8 GYP @ 9.000 FT  (1 instance)</t>
        </is>
      </c>
      <c r="B22" s="109" t="n">
        <v>16</v>
      </c>
      <c r="C22" s="110" t="n">
        <v>5.28</v>
      </c>
      <c r="D22" s="110" t="n">
        <v>13.052</v>
      </c>
      <c r="E22" s="111" t="n">
        <v>2</v>
      </c>
      <c r="F22" s="112" t="inlineStr">
        <is>
          <t>6"</t>
        </is>
      </c>
      <c r="G22" s="113" t="n">
        <v>8</v>
      </c>
      <c r="H22" s="114" t="n">
        <v>106.74</v>
      </c>
      <c r="I22" s="114" t="n">
        <v>0</v>
      </c>
      <c r="J22" s="114" t="n">
        <v>0</v>
      </c>
      <c r="K22" s="115" t="n">
        <v>49.54</v>
      </c>
      <c r="L22" s="114" t="n"/>
      <c r="M22" s="114" t="n"/>
      <c r="N22" s="114" t="n"/>
      <c r="O22" s="114" t="n"/>
      <c r="P22" s="114" t="n"/>
      <c r="Q22" s="114" t="n">
        <v>5.28</v>
      </c>
      <c r="R22" s="114" t="n">
        <v>5.28</v>
      </c>
      <c r="S22" s="114" t="n">
        <v>15.84</v>
      </c>
      <c r="T22" s="111" t="n"/>
      <c r="U22" s="114" t="n">
        <v>10.82</v>
      </c>
      <c r="V22" s="114" t="n"/>
      <c r="W22" s="114" t="n"/>
      <c r="X22" s="114" t="n"/>
      <c r="Y22" s="114" t="n"/>
      <c r="Z22" s="114" t="n"/>
      <c r="AA22" s="114" t="n"/>
      <c r="AB22" s="114" t="n"/>
      <c r="AC22" s="114" t="n"/>
      <c r="AD22" s="114" t="n"/>
      <c r="AE22" s="111" t="n"/>
      <c r="AF22" s="114" t="n"/>
      <c r="AG22" s="114" t="n">
        <v>3.33</v>
      </c>
      <c r="AH22" s="114" t="n"/>
      <c r="AI22" s="116" t="inlineStr">
        <is>
          <t>door 122 3.33 x 7.00</t>
        </is>
      </c>
      <c r="AJ22" s="117" t="inlineStr">
        <is>
          <t>CLOSED</t>
        </is>
      </c>
      <c r="AK22" s="116" t="inlineStr">
        <is>
          <t>seal 33f26d5ec19f564f</t>
        </is>
      </c>
      <c r="AL22" s="110" t="n">
        <v>106.74</v>
      </c>
      <c r="AM22" s="114" t="n"/>
      <c r="AN22" s="114" t="n"/>
      <c r="AO22" s="114" t="n"/>
      <c r="AP22" s="116" t="inlineStr">
        <is>
          <t>A02.01 → A04.01 → 3/A12.01 → A09.01 → 10/A12.02 → 1/S5.20 → 4/S5.20 → 7/S5.20 → 9/S5.20 → A00.30 → A09.27 → A09.33</t>
        </is>
      </c>
      <c r="AQ22" s="118" t="inlineStr">
        <is>
          <t>v8 (R77.10, arbitration #26): type LF 5.41 -&gt; 5.28 GROSS: (1324.08 - 1229.04) / 18 = 5.28 (W04 north face to W05 south face; both test readings). Solid length 5.41 -&gt; 5.28 (delta -0.13): studs 53.2 (ROUNDUP(5.28/1.3333) - ROUNDUP(5.41/1.3333)) = -1 pcs x 13.052 = -13.05 LF; board 50.76/5.41 x -0.13 = -1.22 SF; track -0.13 each; bracing -0.39. Openings (MW01 / door 116) carry no board, no bottom track.</t>
        </is>
      </c>
    </row>
    <row r="23" ht="45.75" customHeight="1" s="36">
      <c r="A23" s="108" t="inlineStr">
        <is>
          <t>A5  #17  -  Break Room 118 / Cash Window 116.  Stud 6" 600S137-33 MST @ 16" O.C.; bracing 1-1/2" C.R. channel @ 48" O.C.  Break Room 118: 1 layer(s) 5/8 GYP @ 9.000 FT | Cash Window 116: 1 layer(s) 5/8 GYP @ 9.500 FT  (1 instance)</t>
        </is>
      </c>
      <c r="B23" s="109" t="n">
        <v>17</v>
      </c>
      <c r="C23" s="110" t="n">
        <v>6.9444</v>
      </c>
      <c r="D23" s="110" t="n">
        <v>12.927</v>
      </c>
      <c r="E23" s="111" t="n">
        <v>2</v>
      </c>
      <c r="F23" s="112" t="inlineStr">
        <is>
          <t>6"</t>
        </is>
      </c>
      <c r="G23" s="113" t="n">
        <v>3</v>
      </c>
      <c r="H23" s="114" t="n">
        <v>38.78</v>
      </c>
      <c r="I23" s="114" t="n">
        <v>0</v>
      </c>
      <c r="J23" s="114" t="n">
        <v>0</v>
      </c>
      <c r="K23" s="115" t="n">
        <v>68.64</v>
      </c>
      <c r="L23" s="114" t="n"/>
      <c r="M23" s="114" t="n"/>
      <c r="N23" s="114" t="n"/>
      <c r="O23" s="114" t="n"/>
      <c r="P23" s="114" t="n"/>
      <c r="Q23" s="114" t="n">
        <v>3.71</v>
      </c>
      <c r="R23" s="114" t="n">
        <v>3.71</v>
      </c>
      <c r="S23" s="114" t="n">
        <v>11.13</v>
      </c>
      <c r="T23" s="111" t="n"/>
      <c r="U23" s="114" t="n">
        <v>7.42</v>
      </c>
      <c r="V23" s="114" t="n"/>
      <c r="W23" s="114" t="n"/>
      <c r="X23" s="114" t="n"/>
      <c r="Y23" s="114" t="n"/>
      <c r="Z23" s="114" t="n"/>
      <c r="AA23" s="114" t="n"/>
      <c r="AB23" s="114" t="n"/>
      <c r="AC23" s="114" t="n"/>
      <c r="AD23" s="114" t="n"/>
      <c r="AE23" s="111" t="n"/>
      <c r="AF23" s="114" t="n"/>
      <c r="AG23" s="114" t="n"/>
      <c r="AH23" s="114" t="n"/>
      <c r="AI23" s="116" t="inlineStr">
        <is>
          <t>none</t>
        </is>
      </c>
      <c r="AJ23" s="117" t="inlineStr">
        <is>
          <t>CLOSED</t>
        </is>
      </c>
      <c r="AK23" s="116" t="inlineStr">
        <is>
          <t>seal e3797658ed2d6b14</t>
        </is>
      </c>
      <c r="AL23" s="110" t="n">
        <v>38.78</v>
      </c>
      <c r="AM23" s="114" t="n"/>
      <c r="AN23" s="114" t="n"/>
      <c r="AO23" s="114" t="n"/>
      <c r="AP23" s="116" t="inlineStr">
        <is>
          <t>A02.01 → A04.01 → S2.20 → 3/A12.01 → 1/S5.20 → 4/S5.20 → 7/S5.20 → A09.01 → A00.30 → A09.27 → A09.33</t>
        </is>
      </c>
      <c r="AQ23" s="118" t="inlineStr">
        <is>
          <t>v8 (R77.10, arbitration #26): type LF 3.71 -&gt; 6.9444 GROSS: (1488.1 - 1363.1) / 18 = 6.9444 = v7 net 3.71 + door 116 (inside the wall, R77.10); type change to B2 at the drawn T node 1488.1. Solid length 3.71 -&gt; 3.71 (delta +0.0): studs 53.2 (ROUNDUP(3.71/1.3333) - ROUNDUP(3.71/1.3333)) = +0 pcs x 12.927 = +0.0 LF; board 68.64/3.71 x +0.0 = +0.0 SF; track +0.0 each; bracing +0.0. Openings (MW01 / door 116) carry no board, no bottom track.</t>
        </is>
      </c>
    </row>
    <row r="24" ht="15" customHeight="1" s="36">
      <c r="A24" s="55" t="inlineStr">
        <is>
          <t>TYPE B</t>
        </is>
      </c>
      <c r="B24" s="56" t="n"/>
      <c r="C24" s="56" t="n"/>
      <c r="D24" s="56" t="n"/>
      <c r="E24" s="56" t="n"/>
      <c r="F24" s="56" t="n"/>
      <c r="G24" s="56" t="n"/>
      <c r="H24" s="56" t="n"/>
      <c r="I24" s="56" t="n"/>
      <c r="J24" s="56" t="n"/>
      <c r="K24" s="56" t="n"/>
      <c r="L24" s="56" t="n"/>
      <c r="M24" s="56" t="n"/>
      <c r="N24" s="56" t="n"/>
      <c r="O24" s="56" t="n"/>
      <c r="P24" s="56" t="n"/>
      <c r="Q24" s="56" t="n"/>
      <c r="R24" s="56" t="n"/>
      <c r="S24" s="56" t="n"/>
      <c r="T24" s="56" t="n"/>
      <c r="U24" s="56" t="n"/>
      <c r="V24" s="56" t="n"/>
      <c r="W24" s="56" t="n"/>
      <c r="X24" s="56" t="n"/>
      <c r="Y24" s="56" t="n"/>
      <c r="Z24" s="56" t="n"/>
      <c r="AA24" s="56" t="n"/>
      <c r="AB24" s="56" t="n"/>
      <c r="AC24" s="56" t="n"/>
      <c r="AD24" s="56" t="n"/>
      <c r="AE24" s="56" t="n"/>
      <c r="AF24" s="56" t="n"/>
      <c r="AG24" s="56" t="n"/>
      <c r="AH24" s="56" t="n"/>
      <c r="AI24" s="56" t="n"/>
      <c r="AJ24" s="56" t="n"/>
      <c r="AK24" s="56" t="n"/>
      <c r="AL24" s="56" t="n"/>
      <c r="AM24" s="56" t="n"/>
      <c r="AN24" s="56" t="n"/>
      <c r="AO24" s="56" t="n"/>
      <c r="AP24" s="56" t="n"/>
    </row>
    <row r="25" ht="45.75" customHeight="1" s="36">
      <c r="A25" s="46" t="inlineStr">
        <is>
          <t>B  #23  -  Electrical 120 + NER 121 / Break Room 118 (east wall).  Stud 3-5/8" 362S137-33 MST @ 16" O.C.; bracing 1-1/2" C.R. channel @ 48" O.C.  Electrical 120: 1 layer(s) 5/8 GYP @ 12.831 FT | NER 121: 1 layer(s) 5/8 GYP @ 12.831 FT | Break Room 118: 1 layer(s) 5/8 GYP @ 12.831 FT  (1 instance)</t>
        </is>
      </c>
      <c r="B25" s="57" t="n">
        <v>23</v>
      </c>
      <c r="C25" s="47" t="n">
        <v>14.15</v>
      </c>
      <c r="D25" s="47" t="n">
        <v>12.831</v>
      </c>
      <c r="E25" s="58" t="n">
        <v>2</v>
      </c>
      <c r="F25" s="59" t="inlineStr">
        <is>
          <t>3-5/8"</t>
        </is>
      </c>
      <c r="G25" s="60" t="n">
        <v>19</v>
      </c>
      <c r="H25" s="48" t="n">
        <v>0</v>
      </c>
      <c r="I25" s="48" t="n">
        <v>243.79</v>
      </c>
      <c r="J25" s="48" t="n">
        <v>0</v>
      </c>
      <c r="K25" s="61" t="n">
        <v>269.74899</v>
      </c>
      <c r="L25" s="48" t="n"/>
      <c r="M25" s="48" t="n"/>
      <c r="N25" s="48" t="n"/>
      <c r="O25" s="48" t="n"/>
      <c r="P25" s="48" t="n"/>
      <c r="Q25" s="48" t="n">
        <v>14.15</v>
      </c>
      <c r="R25" s="48" t="n">
        <v>14.15</v>
      </c>
      <c r="S25" s="48" t="n">
        <v>42.45</v>
      </c>
      <c r="T25" s="58" t="n"/>
      <c r="U25" s="48" t="n"/>
      <c r="V25" s="48" t="n"/>
      <c r="W25" s="48" t="n"/>
      <c r="X25" s="48" t="n"/>
      <c r="Y25" s="48" t="n"/>
      <c r="Z25" s="48" t="n"/>
      <c r="AA25" s="48" t="n"/>
      <c r="AB25" s="48" t="n"/>
      <c r="AC25" s="48" t="n"/>
      <c r="AD25" s="48" t="n"/>
      <c r="AE25" s="58" t="n"/>
      <c r="AF25" s="48" t="n"/>
      <c r="AG25" s="48" t="n">
        <v>6.66</v>
      </c>
      <c r="AH25" s="48" t="n"/>
      <c r="AI25" s="62" t="inlineStr">
        <is>
          <t>door 120 3.33 x 7.00 + door 121 3.33 x 7.00</t>
        </is>
      </c>
      <c r="AJ25" s="44" t="inlineStr">
        <is>
          <t>CLOSED</t>
        </is>
      </c>
      <c r="AK25" s="62" t="inlineStr">
        <is>
          <t>seal 94fc9636f6965f50</t>
        </is>
      </c>
      <c r="AL25" s="47" t="n">
        <v>243.79</v>
      </c>
      <c r="AM25" s="48" t="n"/>
      <c r="AN25" s="48" t="n"/>
      <c r="AO25" s="48" t="n"/>
      <c r="AP25" s="62" t="inlineStr">
        <is>
          <t>A02.01 → S2.20 → 1/A12.01 → A09.01 → 10/A12.02 → 11/A12.02 → 1/S5.20 → 4/S5.20 → 7/S5.20 → 9/S5.20 → A00.30 → A09.27 → A09.33</t>
        </is>
      </c>
    </row>
    <row r="26" ht="45.75" customHeight="1" s="36">
      <c r="A26" s="46" t="inlineStr">
        <is>
          <t>B  #20  -  Janitor Closet 112 / Storage 117 (horizontal wall, with door 112).  Stud 3-5/8" 362S137-33 MST @ 16" O.C.; bracing 1-1/2" C.R. channel @ 48" O.C.  Janitor Closet 112: 1 layer(s) 5/8 GYP @ 12.748 FT | Storage 117: 1 layer(s) 5/8 GYP @ 12.748 FT  (1 instance)</t>
        </is>
      </c>
      <c r="B26" s="57" t="n">
        <v>20</v>
      </c>
      <c r="C26" s="47" t="n">
        <v>11.83</v>
      </c>
      <c r="D26" s="47" t="n">
        <v>12.748</v>
      </c>
      <c r="E26" s="58" t="n">
        <v>2</v>
      </c>
      <c r="F26" s="59" t="inlineStr">
        <is>
          <t>3-5/8"</t>
        </is>
      </c>
      <c r="G26" s="60" t="n">
        <v>13</v>
      </c>
      <c r="H26" s="48" t="n">
        <v>0</v>
      </c>
      <c r="I26" s="48" t="n">
        <v>165.72</v>
      </c>
      <c r="J26" s="48" t="n">
        <v>0</v>
      </c>
      <c r="K26" s="61" t="n">
        <v>259.61768</v>
      </c>
      <c r="L26" s="48" t="n"/>
      <c r="M26" s="48" t="n"/>
      <c r="N26" s="48" t="n"/>
      <c r="O26" s="48" t="n"/>
      <c r="P26" s="48" t="n"/>
      <c r="Q26" s="48" t="n">
        <v>11.83</v>
      </c>
      <c r="R26" s="48" t="n">
        <v>11.83</v>
      </c>
      <c r="S26" s="48" t="n">
        <v>35.49</v>
      </c>
      <c r="T26" s="58" t="n"/>
      <c r="U26" s="48" t="n"/>
      <c r="V26" s="48" t="n"/>
      <c r="W26" s="48" t="n"/>
      <c r="X26" s="48" t="n"/>
      <c r="Y26" s="48" t="n"/>
      <c r="Z26" s="48" t="n"/>
      <c r="AA26" s="48" t="n"/>
      <c r="AB26" s="48" t="n"/>
      <c r="AC26" s="48" t="n"/>
      <c r="AD26" s="48" t="n"/>
      <c r="AE26" s="58" t="n"/>
      <c r="AF26" s="48" t="n"/>
      <c r="AG26" s="48" t="n">
        <v>3</v>
      </c>
      <c r="AH26" s="48" t="n"/>
      <c r="AI26" s="62" t="inlineStr">
        <is>
          <t>door 112 3.00 x 7.00</t>
        </is>
      </c>
      <c r="AJ26" s="44" t="inlineStr">
        <is>
          <t>CLOSED</t>
        </is>
      </c>
      <c r="AK26" s="62" t="inlineStr">
        <is>
          <t>seal cf6621bf33cfc512</t>
        </is>
      </c>
      <c r="AL26" s="47" t="n">
        <v>165.72</v>
      </c>
      <c r="AM26" s="48" t="n"/>
      <c r="AN26" s="48" t="n"/>
      <c r="AO26" s="48" t="n"/>
      <c r="AP26" s="62" t="inlineStr">
        <is>
          <t>A02.01 → S2.20 → 1/A12.01 → A09.01 → 10/A12.02 → 11/A12.02 → 1/S5.20 → 4/S5.20 → 7/S5.20 → 9/S5.20 → A00.30 → A09.27 → A09.33</t>
        </is>
      </c>
    </row>
    <row r="27" ht="57" customHeight="1" s="36">
      <c r="A27" s="46" t="inlineStr">
        <is>
          <t>B  #21  -  Janitor Closet 112 + Storage 117 / Wellness 115.  Stud 3-5/8" 362S137-33 MST @ 16" O.C.; bracing 1-1/2" C.R. channel @ 48" O.C.  Wellness 115: 1 layer(s) 5/8 GYP @ 12.666 FT | Janitor Closet 112: 1 layer(s) 5/8 GYP @ 12.666 FT | Storage 117: 1 layer(s) 5/8 GYP @ 12.666 FT  (1 instance)</t>
        </is>
      </c>
      <c r="B27" s="57" t="n">
        <v>21</v>
      </c>
      <c r="C27" s="47" t="n">
        <v>11.73</v>
      </c>
      <c r="D27" s="47" t="n">
        <v>12.666</v>
      </c>
      <c r="E27" s="58" t="n">
        <v>2</v>
      </c>
      <c r="F27" s="59" t="inlineStr">
        <is>
          <t>3-5/8"</t>
        </is>
      </c>
      <c r="G27" s="60" t="n">
        <v>9</v>
      </c>
      <c r="H27" s="48" t="n">
        <v>0</v>
      </c>
      <c r="I27" s="48" t="n">
        <v>113.99</v>
      </c>
      <c r="J27" s="48" t="n">
        <v>0</v>
      </c>
      <c r="K27" s="61" t="n">
        <v>297.14436</v>
      </c>
      <c r="L27" s="48" t="n"/>
      <c r="M27" s="48" t="n"/>
      <c r="N27" s="48" t="n"/>
      <c r="O27" s="48" t="n"/>
      <c r="P27" s="48" t="n"/>
      <c r="Q27" s="48" t="n">
        <v>11.73</v>
      </c>
      <c r="R27" s="48" t="n">
        <v>11.73</v>
      </c>
      <c r="S27" s="48" t="n">
        <v>35.19</v>
      </c>
      <c r="T27" s="58" t="n"/>
      <c r="U27" s="48" t="n"/>
      <c r="V27" s="48" t="n"/>
      <c r="W27" s="48" t="n"/>
      <c r="X27" s="48" t="n"/>
      <c r="Y27" s="48" t="n"/>
      <c r="Z27" s="48" t="n"/>
      <c r="AA27" s="48" t="n"/>
      <c r="AB27" s="48" t="n"/>
      <c r="AC27" s="48" t="n"/>
      <c r="AD27" s="48" t="n"/>
      <c r="AE27" s="58" t="n"/>
      <c r="AF27" s="48" t="n"/>
      <c r="AG27" s="48" t="n"/>
      <c r="AH27" s="48" t="n"/>
      <c r="AI27" s="62" t="inlineStr">
        <is>
          <t>none</t>
        </is>
      </c>
      <c r="AJ27" s="44" t="inlineStr">
        <is>
          <t>CLOSED</t>
        </is>
      </c>
      <c r="AK27" s="62" t="inlineStr">
        <is>
          <t>seal 97c412d53363891c</t>
        </is>
      </c>
      <c r="AL27" s="47" t="n">
        <v>113.99</v>
      </c>
      <c r="AM27" s="48" t="n"/>
      <c r="AN27" s="48" t="n"/>
      <c r="AO27" s="48" t="n"/>
      <c r="AP27" s="62" t="inlineStr">
        <is>
          <t>A02.01 → S2.20 → 1/A12.01 → 1/S5.20 → 4/S5.20 → 7/S5.20 → A09.01 → A00.30 → A09.27 → A09.33</t>
        </is>
      </c>
    </row>
    <row r="28" ht="45.75" customHeight="1" s="36">
      <c r="A28" s="46" t="inlineStr">
        <is>
          <t>B  #18  -  Electrical 120 / Break Room 118 (north wall of Electrical).  Stud 3-5/8" 362S137-33 MST @ 16" O.C.; bracing 1-1/2" C.R. channel @ 48" O.C.  Break Room 118: 1 layer(s) 5/8 GYP @ 12.827 FT | Electrical 120: 1 layer(s) 5/8 GYP @ 12.827 FT  (1 instance)</t>
        </is>
      </c>
      <c r="B28" s="57" t="n">
        <v>18</v>
      </c>
      <c r="C28" s="47" t="n">
        <v>9.99</v>
      </c>
      <c r="D28" s="47" t="n">
        <v>12.827</v>
      </c>
      <c r="E28" s="58" t="n">
        <v>2</v>
      </c>
      <c r="F28" s="59" t="inlineStr">
        <is>
          <t>3-5/8"</t>
        </is>
      </c>
      <c r="G28" s="60" t="n">
        <v>8</v>
      </c>
      <c r="H28" s="48" t="n">
        <v>0</v>
      </c>
      <c r="I28" s="48" t="n">
        <v>102.62</v>
      </c>
      <c r="J28" s="48" t="n">
        <v>0</v>
      </c>
      <c r="K28" s="61" t="n">
        <v>256.28346</v>
      </c>
      <c r="L28" s="48" t="n"/>
      <c r="M28" s="48" t="n"/>
      <c r="N28" s="48" t="n"/>
      <c r="O28" s="48" t="n"/>
      <c r="P28" s="48" t="n"/>
      <c r="Q28" s="48" t="n">
        <v>9.99</v>
      </c>
      <c r="R28" s="48" t="n">
        <v>9.99</v>
      </c>
      <c r="S28" s="48" t="n">
        <v>29.97</v>
      </c>
      <c r="T28" s="58" t="n"/>
      <c r="U28" s="48" t="n"/>
      <c r="V28" s="48" t="n"/>
      <c r="W28" s="48" t="n"/>
      <c r="X28" s="48" t="n"/>
      <c r="Y28" s="48" t="n"/>
      <c r="Z28" s="48" t="n"/>
      <c r="AA28" s="48" t="n">
        <v>76.31999999999999</v>
      </c>
      <c r="AB28" s="48" t="n"/>
      <c r="AC28" s="48" t="n"/>
      <c r="AD28" s="48" t="n"/>
      <c r="AE28" s="58" t="n"/>
      <c r="AF28" s="48" t="n"/>
      <c r="AG28" s="48" t="n"/>
      <c r="AH28" s="48" t="n"/>
      <c r="AI28" s="62" t="inlineStr">
        <is>
          <t>none</t>
        </is>
      </c>
      <c r="AJ28" s="44" t="inlineStr">
        <is>
          <t>CLOSED</t>
        </is>
      </c>
      <c r="AK28" s="62" t="inlineStr">
        <is>
          <t>seal 22cceb27f4d24f0a</t>
        </is>
      </c>
      <c r="AL28" s="47" t="n">
        <v>102.62</v>
      </c>
      <c r="AM28" s="48" t="n"/>
      <c r="AN28" s="48" t="n"/>
      <c r="AO28" s="48" t="n"/>
      <c r="AP28" s="62" t="inlineStr">
        <is>
          <t>A02.01 → S2.20 → 2/A11.03 → 3/A11.03 → 4/A11.03 → 1/A12.01 → 1/S5.20 → 4/S5.20 → 7/S5.20 → A09.01 → A00.30 → A09.27 → A09.33</t>
        </is>
      </c>
    </row>
    <row r="29" ht="45.75" customHeight="1" s="36">
      <c r="A29" s="46" t="inlineStr">
        <is>
          <t>B  #22  -  Electrical 120 / NER 121 (south wall of Electrical).  Stud 3-5/8" 362S137-33 MST @ 16" O.C.; bracing 1-1/2" C.R. channel @ 48" O.C.  Electrical 120: 1 layer(s) 5/8 GYP @ 12.698 FT | NER 121: 1 layer(s) 5/8 GYP @ 12.698 FT  (1 instance)</t>
        </is>
      </c>
      <c r="B29" s="57" t="n">
        <v>22</v>
      </c>
      <c r="C29" s="47" t="n">
        <v>9.58</v>
      </c>
      <c r="D29" s="47" t="n">
        <v>12.698</v>
      </c>
      <c r="E29" s="58" t="n">
        <v>2</v>
      </c>
      <c r="F29" s="59" t="inlineStr">
        <is>
          <t>3-5/8"</t>
        </is>
      </c>
      <c r="G29" s="60" t="n">
        <v>8</v>
      </c>
      <c r="H29" s="48" t="n">
        <v>0</v>
      </c>
      <c r="I29" s="48" t="n">
        <v>101.58</v>
      </c>
      <c r="J29" s="48" t="n">
        <v>0</v>
      </c>
      <c r="K29" s="61" t="n">
        <v>243.29368</v>
      </c>
      <c r="L29" s="48" t="n"/>
      <c r="M29" s="48" t="n"/>
      <c r="N29" s="48" t="n"/>
      <c r="O29" s="48" t="n"/>
      <c r="P29" s="48" t="n"/>
      <c r="Q29" s="48" t="n">
        <v>9.58</v>
      </c>
      <c r="R29" s="48" t="n">
        <v>9.58</v>
      </c>
      <c r="S29" s="48" t="n">
        <v>28.74</v>
      </c>
      <c r="T29" s="58" t="n"/>
      <c r="U29" s="48" t="n"/>
      <c r="V29" s="48" t="n"/>
      <c r="W29" s="48" t="n"/>
      <c r="X29" s="48" t="n"/>
      <c r="Y29" s="48" t="n"/>
      <c r="Z29" s="48" t="n"/>
      <c r="AA29" s="48" t="n">
        <v>76.16</v>
      </c>
      <c r="AB29" s="48" t="n"/>
      <c r="AC29" s="48" t="n"/>
      <c r="AD29" s="48" t="n"/>
      <c r="AE29" s="58" t="n"/>
      <c r="AF29" s="48" t="n"/>
      <c r="AG29" s="48" t="n"/>
      <c r="AH29" s="48" t="n"/>
      <c r="AI29" s="62" t="inlineStr">
        <is>
          <t>none</t>
        </is>
      </c>
      <c r="AJ29" s="44" t="inlineStr">
        <is>
          <t>CLOSED</t>
        </is>
      </c>
      <c r="AK29" s="62" t="inlineStr">
        <is>
          <t>seal 1f8b6511c9a47902</t>
        </is>
      </c>
      <c r="AL29" s="47" t="n">
        <v>101.58</v>
      </c>
      <c r="AM29" s="48" t="n"/>
      <c r="AN29" s="48" t="n"/>
      <c r="AO29" s="48" t="n"/>
      <c r="AP29" s="62" t="inlineStr">
        <is>
          <t>A02.01 → S2.20 → 2/A11.03 → 3/A11.03 → 4/A11.03 → 1/A12.01 → 1/S5.20 → 4/S5.20 → 7/S5.20 → A09.01 → A00.30 → A09.27 → A09.33</t>
        </is>
      </c>
    </row>
    <row r="30" ht="45.75" customHeight="1" s="36">
      <c r="A30" s="46" t="inlineStr">
        <is>
          <t>B  #19  -  Janitor Closet 112 / Storage 117 (also carries tag #20, same wall).  Stud 3-5/8" 362S137-33 MST @ 16" O.C.; bracing 1-1/2" C.R. channel @ 48" O.C.  Janitor Closet 112: 1 layer(s) 5/8 GYP @ 12.743 FT | Storage 117: 1 layer(s) 5/8 GYP @ 12.743 FT  (1 instance)</t>
        </is>
      </c>
      <c r="B30" s="57" t="n">
        <v>19</v>
      </c>
      <c r="C30" s="47" t="n">
        <v>3.5</v>
      </c>
      <c r="D30" s="47" t="n">
        <v>12.743</v>
      </c>
      <c r="E30" s="58" t="n">
        <v>2</v>
      </c>
      <c r="F30" s="59" t="inlineStr">
        <is>
          <t>3-5/8"</t>
        </is>
      </c>
      <c r="G30" s="60" t="n">
        <v>3</v>
      </c>
      <c r="H30" s="48" t="n">
        <v>0</v>
      </c>
      <c r="I30" s="48" t="n">
        <v>38.23</v>
      </c>
      <c r="J30" s="48" t="n">
        <v>0</v>
      </c>
      <c r="K30" s="61" t="n">
        <v>89.20099999999999</v>
      </c>
      <c r="L30" s="48" t="n"/>
      <c r="M30" s="48" t="n"/>
      <c r="N30" s="48" t="n"/>
      <c r="O30" s="48" t="n"/>
      <c r="P30" s="48" t="n"/>
      <c r="Q30" s="48" t="n">
        <v>3.5</v>
      </c>
      <c r="R30" s="48" t="n">
        <v>3.5</v>
      </c>
      <c r="S30" s="48" t="n">
        <v>10.5</v>
      </c>
      <c r="T30" s="58" t="n"/>
      <c r="U30" s="48" t="n">
        <v>29.22</v>
      </c>
      <c r="V30" s="48" t="n"/>
      <c r="W30" s="48" t="n"/>
      <c r="X30" s="48" t="n"/>
      <c r="Y30" s="48" t="n"/>
      <c r="Z30" s="48" t="n"/>
      <c r="AA30" s="48" t="n"/>
      <c r="AB30" s="48" t="n"/>
      <c r="AC30" s="48" t="n"/>
      <c r="AD30" s="48" t="n"/>
      <c r="AE30" s="58" t="n">
        <v>1</v>
      </c>
      <c r="AF30" s="48" t="n"/>
      <c r="AG30" s="48" t="n"/>
      <c r="AH30" s="48" t="n"/>
      <c r="AI30" s="62" t="inlineStr">
        <is>
          <t>none</t>
        </is>
      </c>
      <c r="AJ30" s="44" t="inlineStr">
        <is>
          <t>CLOSED</t>
        </is>
      </c>
      <c r="AK30" s="62" t="inlineStr">
        <is>
          <t>seal 3fed9fd55804aca5</t>
        </is>
      </c>
      <c r="AL30" s="47" t="n">
        <v>38.23</v>
      </c>
      <c r="AM30" s="48" t="n"/>
      <c r="AN30" s="48" t="n"/>
      <c r="AO30" s="48" t="n"/>
      <c r="AP30" s="62" t="inlineStr">
        <is>
          <t>A02.01 → S2.20 → 1/A12.01 → 1/S5.20 → 4/S5.20 → 6/S5.20 → 7/S5.20 → A09.01 → A00.30 → A09.27 → A09.33 → M01.01</t>
        </is>
      </c>
    </row>
    <row r="31" ht="15" customHeight="1" s="36">
      <c r="A31" s="55" t="inlineStr">
        <is>
          <t>TYPE B2</t>
        </is>
      </c>
      <c r="B31" s="56" t="n"/>
      <c r="C31" s="56" t="n"/>
      <c r="D31" s="56" t="n"/>
      <c r="E31" s="56" t="n"/>
      <c r="F31" s="56" t="n"/>
      <c r="G31" s="56" t="n"/>
      <c r="H31" s="56" t="n"/>
      <c r="I31" s="56" t="n"/>
      <c r="J31" s="56" t="n"/>
      <c r="K31" s="56" t="n"/>
      <c r="L31" s="56" t="n"/>
      <c r="M31" s="56" t="n"/>
      <c r="N31" s="56" t="n"/>
      <c r="O31" s="56" t="n"/>
      <c r="P31" s="56" t="n"/>
      <c r="Q31" s="56" t="n"/>
      <c r="R31" s="56" t="n"/>
      <c r="S31" s="56" t="n"/>
      <c r="T31" s="56" t="n"/>
      <c r="U31" s="56" t="n"/>
      <c r="V31" s="56" t="n"/>
      <c r="W31" s="56" t="n"/>
      <c r="X31" s="56" t="n"/>
      <c r="Y31" s="56" t="n"/>
      <c r="Z31" s="56" t="n"/>
      <c r="AA31" s="56" t="n"/>
      <c r="AB31" s="56" t="n"/>
      <c r="AC31" s="56" t="n"/>
      <c r="AD31" s="56" t="n"/>
      <c r="AE31" s="56" t="n"/>
      <c r="AF31" s="56" t="n"/>
      <c r="AG31" s="56" t="n"/>
      <c r="AH31" s="56" t="n"/>
      <c r="AI31" s="56" t="n"/>
      <c r="AJ31" s="56" t="n"/>
      <c r="AK31" s="56" t="n"/>
      <c r="AL31" s="56" t="n"/>
      <c r="AM31" s="56" t="n"/>
      <c r="AN31" s="56" t="n"/>
      <c r="AO31" s="56" t="n"/>
      <c r="AP31" s="56" t="n"/>
    </row>
    <row r="32" ht="68.25" customHeight="1" s="36">
      <c r="A32" s="46" t="inlineStr">
        <is>
          <t>B2  #27  -  Corridor 111 / Men's Restroom 113 + Storage 117 + Wellness 115 (lleva tambien el tag #29, mismo wall).  Stud 6" 600S137-33 MST @ 16" O.C.; bracing 1-1/2" C.R. channel @ 48" O.C.  Men's Restroom 113: 1 layer(s) 5/8 GYP @ 13.052 FT | Storage 117: 1 layer(s) 5/8 GYP @ 13.052 FT | Wellness 115: 1 layer(s) 5/8 GYP @ 13.052 FT | Corridor 111: 1 layer(s) 5/8 GYP @ 13.052 FT  (1 instance)</t>
        </is>
      </c>
      <c r="B32" s="57" t="n">
        <v>27</v>
      </c>
      <c r="C32" s="47" t="n">
        <v>15.787</v>
      </c>
      <c r="D32" s="47" t="n">
        <v>13.052</v>
      </c>
      <c r="E32" s="58" t="n">
        <v>2</v>
      </c>
      <c r="F32" s="59" t="inlineStr">
        <is>
          <t>6"</t>
        </is>
      </c>
      <c r="G32" s="60" t="n">
        <v>24</v>
      </c>
      <c r="H32" s="48" t="n">
        <v>313.25</v>
      </c>
      <c r="I32" s="48" t="n">
        <v>0</v>
      </c>
      <c r="J32" s="48" t="n">
        <v>0</v>
      </c>
      <c r="K32" s="61" t="n">
        <v>272.110796</v>
      </c>
      <c r="L32" s="48" t="n">
        <v>10.9</v>
      </c>
      <c r="M32" s="48" t="n"/>
      <c r="N32" s="48" t="n">
        <v>1.09</v>
      </c>
      <c r="O32" s="48" t="n"/>
      <c r="P32" s="48" t="n"/>
      <c r="Q32" s="48" t="n">
        <v>15.79</v>
      </c>
      <c r="R32" s="48" t="n">
        <v>15.79</v>
      </c>
      <c r="S32" s="48" t="n">
        <v>47.36</v>
      </c>
      <c r="T32" s="58" t="n"/>
      <c r="U32" s="48" t="n">
        <v>6</v>
      </c>
      <c r="V32" s="48" t="n"/>
      <c r="W32" s="48" t="n"/>
      <c r="X32" s="48" t="n"/>
      <c r="Y32" s="48" t="n"/>
      <c r="Z32" s="48" t="n"/>
      <c r="AA32" s="48" t="n"/>
      <c r="AB32" s="48" t="n"/>
      <c r="AC32" s="48" t="n"/>
      <c r="AD32" s="48" t="n"/>
      <c r="AE32" s="58" t="n">
        <v>3</v>
      </c>
      <c r="AF32" s="48" t="n"/>
      <c r="AG32" s="48" t="n">
        <v>10</v>
      </c>
      <c r="AH32" s="48" t="n"/>
      <c r="AI32" s="62" t="inlineStr">
        <is>
          <t>door 113 3.33 x 7.00 + door 117 3.33 x 7.00 + door 115 3.33 x 7.00</t>
        </is>
      </c>
      <c r="AJ32" s="44" t="inlineStr">
        <is>
          <t>CLOSED</t>
        </is>
      </c>
      <c r="AK32" s="62" t="inlineStr">
        <is>
          <t>seal 7730432fa7356abd</t>
        </is>
      </c>
      <c r="AL32" s="47" t="n">
        <v>313.25</v>
      </c>
      <c r="AM32" s="48" t="n"/>
      <c r="AN32" s="48" t="n"/>
      <c r="AO32" s="48" t="n"/>
      <c r="AP32" s="62" t="inlineStr">
        <is>
          <t>A02.01 → B/A08.01 → S2.20 → 1/A12.01 → 3/A12.01 → A09.01 → 9/A00.41 → 10/A12.02 → 11/A12.02 → 1/S5.20 → 4/S5.20 → 6/S5.20 → 7/S5.20 → 9/S5.20 → A00.30 → A09.27 → A09.33 → E02.01 → M01.01 → P01.01 → P01.02</t>
        </is>
      </c>
    </row>
    <row r="33" ht="57" customHeight="1" s="36">
      <c r="A33" s="46" t="inlineStr">
        <is>
          <t>B2  #28  -  Break Room 118 / Cash Window 116 + Work Room 119 (lleva tambien el tag #30, mismo wall).  Stud 6" 600S137-33 MST @ 16" O.C.; bracing 1-1/2" C.R. channel @ 48" O.C.  Break Room 118: 1 layer(s) 5/8 GYP @ 13.052 FT | Cash Window 116: 1 layer(s) 5/8 GYP @ 13.052 FT | Work Room 119: 1 layer(s) 5/8 GYP @ 13.052 FT  (1 instance)</t>
        </is>
      </c>
      <c r="B33" s="57" t="n">
        <v>28</v>
      </c>
      <c r="C33" s="47" t="n">
        <v>11.74</v>
      </c>
      <c r="D33" s="47" t="n">
        <v>13.052</v>
      </c>
      <c r="E33" s="58" t="n">
        <v>1.97</v>
      </c>
      <c r="F33" s="59" t="inlineStr">
        <is>
          <t>6"</t>
        </is>
      </c>
      <c r="G33" s="60" t="n">
        <v>13</v>
      </c>
      <c r="H33" s="48" t="n">
        <v>169.68</v>
      </c>
      <c r="I33" s="48" t="n">
        <v>0</v>
      </c>
      <c r="J33" s="48" t="n">
        <v>0</v>
      </c>
      <c r="K33" s="61" t="n">
        <v>301.148796</v>
      </c>
      <c r="L33" s="48" t="n"/>
      <c r="M33" s="48" t="n"/>
      <c r="N33" s="48" t="n"/>
      <c r="O33" s="48" t="n"/>
      <c r="P33" s="48" t="n"/>
      <c r="Q33" s="48" t="n">
        <v>11.74</v>
      </c>
      <c r="R33" s="48" t="n">
        <v>11.74</v>
      </c>
      <c r="S33" s="48" t="n">
        <v>35.22</v>
      </c>
      <c r="T33" s="58" t="n"/>
      <c r="U33" s="48" t="n">
        <v>24.9</v>
      </c>
      <c r="V33" s="48" t="n"/>
      <c r="W33" s="48" t="n"/>
      <c r="X33" s="48" t="n"/>
      <c r="Y33" s="48" t="n"/>
      <c r="Z33" s="48" t="n"/>
      <c r="AA33" s="48" t="n"/>
      <c r="AB33" s="48" t="n"/>
      <c r="AC33" s="48" t="n"/>
      <c r="AD33" s="48" t="n"/>
      <c r="AE33" s="58" t="n"/>
      <c r="AF33" s="48" t="n"/>
      <c r="AG33" s="48" t="n">
        <v>3.33</v>
      </c>
      <c r="AH33" s="48" t="n"/>
      <c r="AI33" s="62" t="inlineStr">
        <is>
          <t>none</t>
        </is>
      </c>
      <c r="AJ33" s="44" t="inlineStr">
        <is>
          <t>CLOSED</t>
        </is>
      </c>
      <c r="AK33" s="62" t="inlineStr">
        <is>
          <t>seal 038efd60d5bbdd8f</t>
        </is>
      </c>
      <c r="AL33" s="47" t="n">
        <v>169.68</v>
      </c>
      <c r="AM33" s="48" t="n"/>
      <c r="AN33" s="48" t="n"/>
      <c r="AO33" s="48" t="n"/>
      <c r="AP33" s="62" t="inlineStr">
        <is>
          <t>A02.01 → S2.20 → 1/A12.01 → 3/A12.01 → A09.01 → 7/A12.04 → 10/A12.04 → 11/A12.04 → 9/A12.05 → 1/S5.20 → 7/S5.20 → 9/S5.20 → A00.30 → A09.27 → A09.33 → A12.06 → E02.01 → M01.01 → P01.01 → P01.02</t>
        </is>
      </c>
    </row>
    <row r="34" ht="45.75" customHeight="1" s="36">
      <c r="A34" s="46" t="inlineStr">
        <is>
          <t>B2  #25  -  ATM Room 102 / Central Zone 103 (wall de la door 102).  Stud 6" 600S137-33 MST @ 16" O.C.; bracing 1-1/2" C.R. channel @ 48" O.C.  ATM Room 102: 1 layer(s) 5/8 GYP @ 15.375 FT | Central Zone 103: 1 layer(s) 5/8 GYP @ 15.375 FT  (1 instance)</t>
        </is>
      </c>
      <c r="B34" s="57" t="n">
        <v>25</v>
      </c>
      <c r="C34" s="47" t="n">
        <v>5.667</v>
      </c>
      <c r="D34" s="47" t="n">
        <v>15.375</v>
      </c>
      <c r="E34" s="58" t="n">
        <v>2</v>
      </c>
      <c r="F34" s="59" t="inlineStr">
        <is>
          <t>6"</t>
        </is>
      </c>
      <c r="G34" s="60" t="n">
        <v>9</v>
      </c>
      <c r="H34" s="48" t="n">
        <v>138.38</v>
      </c>
      <c r="I34" s="48" t="n">
        <v>0</v>
      </c>
      <c r="J34" s="48" t="n">
        <v>0</v>
      </c>
      <c r="K34" s="61" t="n">
        <v>112.94025</v>
      </c>
      <c r="L34" s="48" t="n"/>
      <c r="M34" s="48" t="n"/>
      <c r="N34" s="48" t="n"/>
      <c r="O34" s="48" t="n"/>
      <c r="P34" s="48" t="n"/>
      <c r="Q34" s="48" t="n">
        <v>5.67</v>
      </c>
      <c r="R34" s="48" t="n">
        <v>5.67</v>
      </c>
      <c r="S34" s="48" t="n">
        <v>17</v>
      </c>
      <c r="T34" s="58" t="n"/>
      <c r="U34" s="48" t="n"/>
      <c r="V34" s="48" t="n"/>
      <c r="W34" s="48" t="n"/>
      <c r="X34" s="48" t="n"/>
      <c r="Y34" s="48" t="n"/>
      <c r="Z34" s="48" t="n"/>
      <c r="AA34" s="48" t="n"/>
      <c r="AB34" s="48" t="n"/>
      <c r="AC34" s="48" t="n"/>
      <c r="AD34" s="48" t="n"/>
      <c r="AE34" s="58" t="n"/>
      <c r="AF34" s="48" t="n"/>
      <c r="AG34" s="48" t="n">
        <v>3.83</v>
      </c>
      <c r="AH34" s="48" t="n"/>
      <c r="AI34" s="62" t="inlineStr">
        <is>
          <t>door 102 3.83 x 8.00</t>
        </is>
      </c>
      <c r="AJ34" s="44" t="inlineStr">
        <is>
          <t>CLOSED</t>
        </is>
      </c>
      <c r="AK34" s="62" t="inlineStr">
        <is>
          <t>seal dc201c1d1b0c9138</t>
        </is>
      </c>
      <c r="AL34" s="47" t="n">
        <v>138.38</v>
      </c>
      <c r="AM34" s="48" t="n"/>
      <c r="AN34" s="48" t="n"/>
      <c r="AO34" s="48" t="n"/>
      <c r="AP34" s="62" t="inlineStr">
        <is>
          <t>A02.01 → S2.20 → 1/A12.01 → 3/A12.01 → A09.01 → 10/A12.02 → 11/A12.02 → 1/S5.20 → 7/S5.20 → 9/S5.20 → A00.30 → A09.27 → A09.33 → E02.01 → M01.01 → P01.01 → P01.02</t>
        </is>
      </c>
    </row>
    <row r="35" ht="45.75" customHeight="1" s="36">
      <c r="A35" s="46" t="inlineStr">
        <is>
          <t>B2  #26  -  Women's Restroom 114 / Corridor 111 (jamb sur de la door 114).  Stud 6" 600S137-33 MST @ 16" O.C.; bracing 1-1/2" C.R. channel @ 48" O.C.  Women's Restroom 114: 1 layer(s) 5/8 GYP @ 13.052 FT | Corridor 111: 1 layer(s) 5/8 GYP @ 13.052 FT  (1 instance)</t>
        </is>
      </c>
      <c r="B35" s="57" t="n">
        <v>26</v>
      </c>
      <c r="C35" s="47" t="n">
        <v>1.82</v>
      </c>
      <c r="D35" s="47" t="n">
        <v>13.052</v>
      </c>
      <c r="E35" s="58" t="n">
        <v>2</v>
      </c>
      <c r="F35" s="59" t="inlineStr">
        <is>
          <t>6"</t>
        </is>
      </c>
      <c r="G35" s="60" t="n">
        <v>6</v>
      </c>
      <c r="H35" s="48" t="n">
        <v>78.31</v>
      </c>
      <c r="I35" s="48" t="n">
        <v>0</v>
      </c>
      <c r="J35" s="48" t="n">
        <v>0</v>
      </c>
      <c r="K35" s="61" t="n">
        <v>47.50928</v>
      </c>
      <c r="L35" s="48" t="n">
        <v>9.1</v>
      </c>
      <c r="M35" s="48" t="n"/>
      <c r="N35" s="48" t="n">
        <v>0.91</v>
      </c>
      <c r="O35" s="48" t="n"/>
      <c r="P35" s="48" t="n"/>
      <c r="Q35" s="48" t="n">
        <v>1.82</v>
      </c>
      <c r="R35" s="48" t="n">
        <v>1.82</v>
      </c>
      <c r="S35" s="48" t="n">
        <v>5.46</v>
      </c>
      <c r="T35" s="58" t="n"/>
      <c r="U35" s="48" t="n">
        <v>2</v>
      </c>
      <c r="V35" s="48" t="n"/>
      <c r="W35" s="48" t="n"/>
      <c r="X35" s="48" t="n"/>
      <c r="Y35" s="48" t="n"/>
      <c r="Z35" s="48" t="n"/>
      <c r="AA35" s="48" t="n"/>
      <c r="AB35" s="48" t="n"/>
      <c r="AC35" s="48" t="n"/>
      <c r="AD35" s="48" t="n"/>
      <c r="AE35" s="58" t="n"/>
      <c r="AF35" s="48" t="n"/>
      <c r="AG35" s="48" t="n">
        <v>3.33</v>
      </c>
      <c r="AH35" s="48" t="n"/>
      <c r="AI35" s="62" t="inlineStr">
        <is>
          <t>none</t>
        </is>
      </c>
      <c r="AJ35" s="44" t="inlineStr">
        <is>
          <t>CLOSED</t>
        </is>
      </c>
      <c r="AK35" s="62" t="inlineStr">
        <is>
          <t>seal 87cfa9ebe94dc6bf</t>
        </is>
      </c>
      <c r="AL35" s="47" t="n">
        <v>78.31</v>
      </c>
      <c r="AM35" s="48" t="n"/>
      <c r="AN35" s="48" t="n"/>
      <c r="AO35" s="48" t="n"/>
      <c r="AP35" s="62" t="inlineStr">
        <is>
          <t>A02.01 → 2/A08.01 → B/A08.01 → S2.20 → 1/A12.01 → 3/A12.01 → 1/S5.20 → 4/S5.20 → 7/S5.20 → 9/S5.20 → A09.01 → A00.30 → A09.27 → A09.33</t>
        </is>
      </c>
    </row>
    <row r="36" ht="15" customHeight="1" s="36">
      <c r="A36" s="55" t="inlineStr">
        <is>
          <t>TYPE B2K</t>
        </is>
      </c>
      <c r="B36" s="56" t="n"/>
      <c r="C36" s="56" t="n"/>
      <c r="D36" s="56" t="n"/>
      <c r="E36" s="56" t="n"/>
      <c r="F36" s="56" t="n"/>
      <c r="G36" s="56" t="n"/>
      <c r="H36" s="56" t="n"/>
      <c r="I36" s="56" t="n"/>
      <c r="J36" s="56" t="n"/>
      <c r="K36" s="56" t="n"/>
      <c r="L36" s="56" t="n"/>
      <c r="M36" s="56" t="n"/>
      <c r="N36" s="56" t="n"/>
      <c r="O36" s="56" t="n"/>
      <c r="P36" s="56" t="n"/>
      <c r="Q36" s="56" t="n"/>
      <c r="R36" s="56" t="n"/>
      <c r="S36" s="56" t="n"/>
      <c r="T36" s="56" t="n"/>
      <c r="U36" s="56" t="n"/>
      <c r="V36" s="56" t="n"/>
      <c r="W36" s="56" t="n"/>
      <c r="X36" s="56" t="n"/>
      <c r="Y36" s="56" t="n"/>
      <c r="Z36" s="56" t="n"/>
      <c r="AA36" s="56" t="n"/>
      <c r="AB36" s="56" t="n"/>
      <c r="AC36" s="56" t="n"/>
      <c r="AD36" s="56" t="n"/>
      <c r="AE36" s="56" t="n"/>
      <c r="AF36" s="56" t="n"/>
      <c r="AG36" s="56" t="n"/>
      <c r="AH36" s="56" t="n"/>
      <c r="AI36" s="56" t="n"/>
      <c r="AJ36" s="56" t="n"/>
      <c r="AK36" s="56" t="n"/>
      <c r="AL36" s="56" t="n"/>
      <c r="AM36" s="56" t="n"/>
      <c r="AN36" s="56" t="n"/>
      <c r="AO36" s="56" t="n"/>
      <c r="AP36" s="56" t="n"/>
    </row>
    <row r="37" ht="45.75" customHeight="1" s="36">
      <c r="A37" s="94" t="inlineStr">
        <is>
          <t>B2K  #31  -  Office 4 CB 108 (customer side) / Cash Window 116 (teller side).  Stud 6" 600S137-68 MST @ 24" O.C.; bracing 1-1/2" C.R. channel @ 48" O.C.  Office 4 CB 108: 1 layer(s) 5/8 GYP @ 15.375 FT | Cash Window 116: 1 layer(s) 5/8 GYP @ 15.375 FT  (1 instance)</t>
        </is>
      </c>
      <c r="B37" s="95" t="n">
        <v>31</v>
      </c>
      <c r="C37" s="96" t="n">
        <v>1.773</v>
      </c>
      <c r="D37" s="96" t="n">
        <v>15.375</v>
      </c>
      <c r="E37" s="97" t="n">
        <v>2</v>
      </c>
      <c r="F37" s="98" t="inlineStr">
        <is>
          <t>6"</t>
        </is>
      </c>
      <c r="G37" s="99" t="n">
        <v>2</v>
      </c>
      <c r="H37" s="100" t="n">
        <v>30.75</v>
      </c>
      <c r="I37" s="100" t="n">
        <v>0</v>
      </c>
      <c r="J37" s="100" t="n">
        <v>0</v>
      </c>
      <c r="K37" s="101" t="n">
        <v>54.52</v>
      </c>
      <c r="L37" s="100" t="n"/>
      <c r="M37" s="100" t="n"/>
      <c r="N37" s="100" t="n"/>
      <c r="O37" s="100" t="n"/>
      <c r="P37" s="100" t="n"/>
      <c r="Q37" s="100" t="n">
        <v>1.77</v>
      </c>
      <c r="R37" s="100" t="n">
        <v>1.77</v>
      </c>
      <c r="S37" s="100" t="n">
        <v>5.32</v>
      </c>
      <c r="T37" s="97" t="n"/>
      <c r="U37" s="100" t="n"/>
      <c r="V37" s="100" t="n"/>
      <c r="W37" s="100" t="n"/>
      <c r="X37" s="100" t="n"/>
      <c r="Y37" s="100" t="n">
        <v>14.18</v>
      </c>
      <c r="Z37" s="100" t="n">
        <v>13.07</v>
      </c>
      <c r="AA37" s="100" t="n"/>
      <c r="AB37" s="100" t="n"/>
      <c r="AC37" s="100" t="n">
        <v>1.26</v>
      </c>
      <c r="AD37" s="100" t="n"/>
      <c r="AE37" s="97" t="n"/>
      <c r="AF37" s="100" t="n"/>
      <c r="AG37" s="100" t="n"/>
      <c r="AH37" s="100" t="n"/>
      <c r="AI37" s="102" t="inlineStr">
        <is>
          <t>none</t>
        </is>
      </c>
      <c r="AJ37" s="103" t="inlineStr">
        <is>
          <t>CLOSED</t>
        </is>
      </c>
      <c r="AK37" s="102" t="inlineStr">
        <is>
          <t>seal f0416b251e71edd3</t>
        </is>
      </c>
      <c r="AL37" s="96" t="n">
        <v>30.75</v>
      </c>
      <c r="AM37" s="100" t="n"/>
      <c r="AN37" s="100" t="n"/>
      <c r="AO37" s="100" t="n"/>
      <c r="AP37" s="102" t="inlineStr">
        <is>
          <t>A02.01 → S2.20 → 4/A12.01 → 1/S5.20 → 4/S5.20 → 5/S5.20 → 7/S5.20 → A09.01 → A00.30 → A09.27 → A09.33 → E02.01 → M01.01 → P01.01 → P01.02</t>
        </is>
      </c>
      <c r="AQ37" s="104" t="inlineStr">
        <is>
          <t>v7 (U5, user 2026-10-20): length 1.26 -&gt; 1.773 (1'-9 1/4"); studs 53.2 (ROUNDUP(1.773/2.0) - ROUNDUP(1.26/2.0)) x 1 row(s) = +0 pcs x 15.375 = +0.0 LF; board 38.74/1.26 x 0.51 = +15.77 SF; track +0.51 each; bracing +1.54; ballistic +4.1; 3/8" gyp +3.78</t>
        </is>
      </c>
    </row>
    <row r="38" ht="15" customHeight="1" s="36">
      <c r="A38" s="55" t="inlineStr">
        <is>
          <t>TYPE BULKHEAD-G</t>
        </is>
      </c>
      <c r="B38" s="56" t="n"/>
      <c r="C38" s="56" t="n"/>
      <c r="D38" s="56" t="n"/>
      <c r="E38" s="56" t="n"/>
      <c r="F38" s="56" t="n"/>
      <c r="G38" s="56" t="n"/>
      <c r="H38" s="56" t="n"/>
      <c r="I38" s="56" t="n"/>
      <c r="J38" s="56" t="n"/>
      <c r="K38" s="56" t="n"/>
      <c r="L38" s="56" t="n"/>
      <c r="M38" s="56" t="n"/>
      <c r="N38" s="56" t="n"/>
      <c r="O38" s="56" t="n"/>
      <c r="P38" s="56" t="n"/>
      <c r="Q38" s="56" t="n"/>
      <c r="R38" s="56" t="n"/>
      <c r="S38" s="56" t="n"/>
      <c r="T38" s="56" t="n"/>
      <c r="U38" s="56" t="n"/>
      <c r="V38" s="56" t="n"/>
      <c r="W38" s="56" t="n"/>
      <c r="X38" s="56" t="n"/>
      <c r="Y38" s="56" t="n"/>
      <c r="Z38" s="56" t="n"/>
      <c r="AA38" s="56" t="n"/>
      <c r="AB38" s="56" t="n"/>
      <c r="AC38" s="56" t="n"/>
      <c r="AD38" s="56" t="n"/>
      <c r="AE38" s="56" t="n"/>
      <c r="AF38" s="56" t="n"/>
      <c r="AG38" s="56" t="n"/>
      <c r="AH38" s="56" t="n"/>
      <c r="AI38" s="56" t="n"/>
      <c r="AJ38" s="56" t="n"/>
      <c r="AK38" s="56" t="n"/>
      <c r="AL38" s="56" t="n"/>
      <c r="AM38" s="56" t="n"/>
      <c r="AN38" s="56" t="n"/>
      <c r="AO38" s="56" t="n"/>
      <c r="AP38" s="56" t="n"/>
    </row>
    <row r="39" ht="57" customHeight="1" s="36">
      <c r="A39" s="46" t="inlineStr">
        <is>
          <t>BULKHEAD-G  #54  -  Over the 4 office fronts at Offices 105, 106, 107 and 108 (alineacion x 1622.04/1631.28).  Stud 1-5/8" 162S-family MST @ 16" O.C. DOUBLE ROW (2 rows of stud); bracing 1-1/2" C.R. channel @ 48" O.C.  Lado oficina (105-108): 2 layer(s) 5/8 GYP x2 layers @ 7.333 FT | Central Zone 103: 2 layer(s) 5/8 GYP x2 layers @ 7.333 FT  (1 instance)</t>
        </is>
      </c>
      <c r="B39" s="57" t="n">
        <v>54</v>
      </c>
      <c r="C39" s="47" t="n">
        <v>30</v>
      </c>
      <c r="D39" s="47" t="n">
        <v>7.333</v>
      </c>
      <c r="E39" s="58" t="n">
        <v>4</v>
      </c>
      <c r="F39" s="59" t="inlineStr">
        <is>
          <t>1-5/8"</t>
        </is>
      </c>
      <c r="G39" s="60" t="n">
        <v>64</v>
      </c>
      <c r="H39" s="48" t="n">
        <v>0</v>
      </c>
      <c r="I39" s="48" t="n">
        <v>0</v>
      </c>
      <c r="J39" s="48" t="n">
        <v>469.31</v>
      </c>
      <c r="K39" s="61" t="n">
        <v>879.96</v>
      </c>
      <c r="L39" s="48" t="n"/>
      <c r="M39" s="48" t="n"/>
      <c r="N39" s="48" t="n"/>
      <c r="O39" s="48" t="n"/>
      <c r="P39" s="48" t="n"/>
      <c r="Q39" s="48" t="n">
        <v>60</v>
      </c>
      <c r="R39" s="48" t="n">
        <v>60</v>
      </c>
      <c r="S39" s="48" t="n">
        <v>60</v>
      </c>
      <c r="T39" s="58" t="n"/>
      <c r="U39" s="48" t="n">
        <v>30</v>
      </c>
      <c r="V39" s="48" t="n"/>
      <c r="W39" s="48" t="n"/>
      <c r="X39" s="48" t="n"/>
      <c r="Y39" s="48" t="n"/>
      <c r="Z39" s="48" t="n"/>
      <c r="AA39" s="48" t="n"/>
      <c r="AB39" s="48" t="n"/>
      <c r="AC39" s="48" t="n">
        <v>120</v>
      </c>
      <c r="AD39" s="48" t="n"/>
      <c r="AE39" s="58" t="n"/>
      <c r="AF39" s="48" t="n"/>
      <c r="AG39" s="48" t="n">
        <v>30</v>
      </c>
      <c r="AH39" s="48" t="n"/>
      <c r="AI39" s="62" t="inlineStr">
        <is>
          <t>none</t>
        </is>
      </c>
      <c r="AJ39" s="44" t="inlineStr">
        <is>
          <t>CLOSED</t>
        </is>
      </c>
      <c r="AK39" s="62" t="inlineStr">
        <is>
          <t>seal 778c08f5074a3f2b</t>
        </is>
      </c>
      <c r="AL39" s="47" t="n">
        <v>469.31</v>
      </c>
      <c r="AM39" s="48" t="n"/>
      <c r="AN39" s="48" t="n"/>
      <c r="AO39" s="48" t="n"/>
      <c r="AP39" s="62" t="inlineStr">
        <is>
          <t>A02.01 → S2.20 → 7/A11.01 → 9/A12.01 → 1/S5.20 → 7/S5.20 → A09.01 → A00.01 → A09.27 → A09.33</t>
        </is>
      </c>
    </row>
    <row r="40" ht="57" customHeight="1" s="36">
      <c r="A40" s="46" t="inlineStr">
        <is>
          <t>BULKHEAD-G  #55  -  Over the 2 office fronts at Offices 109 and 110 (alineacion x 1121.16/1133.88).  Stud 1-5/8" 162S-family MST @ 16" O.C. DOUBLE ROW (2 rows of stud); bracing 1-1/2" C.R. channel @ 48" O.C.  Lado oficina (109-110): 2 layer(s) 5/8 GYP x2 layers @ 7.333 FT | Area abierta al este (Waiting 104): 2 layer(s) 5/8 GYP x2 layers @ 7.333 FT  (1 instance)</t>
        </is>
      </c>
      <c r="B40" s="57" t="n">
        <v>55</v>
      </c>
      <c r="C40" s="47" t="n">
        <v>15</v>
      </c>
      <c r="D40" s="47" t="n">
        <v>7.333</v>
      </c>
      <c r="E40" s="58" t="n">
        <v>4</v>
      </c>
      <c r="F40" s="59" t="inlineStr">
        <is>
          <t>1-5/8"</t>
        </is>
      </c>
      <c r="G40" s="60" t="n">
        <v>32</v>
      </c>
      <c r="H40" s="48" t="n">
        <v>0</v>
      </c>
      <c r="I40" s="48" t="n">
        <v>0</v>
      </c>
      <c r="J40" s="48" t="n">
        <v>234.66</v>
      </c>
      <c r="K40" s="61" t="n">
        <v>439.98</v>
      </c>
      <c r="L40" s="48" t="n"/>
      <c r="M40" s="48" t="n"/>
      <c r="N40" s="48" t="n"/>
      <c r="O40" s="48" t="n"/>
      <c r="P40" s="48" t="n"/>
      <c r="Q40" s="48" t="n">
        <v>30</v>
      </c>
      <c r="R40" s="48" t="n">
        <v>30</v>
      </c>
      <c r="S40" s="48" t="n">
        <v>30</v>
      </c>
      <c r="T40" s="58" t="n"/>
      <c r="U40" s="48" t="n">
        <v>15</v>
      </c>
      <c r="V40" s="48" t="n"/>
      <c r="W40" s="48" t="n"/>
      <c r="X40" s="48" t="n"/>
      <c r="Y40" s="48" t="n"/>
      <c r="Z40" s="48" t="n"/>
      <c r="AA40" s="48" t="n"/>
      <c r="AB40" s="48" t="n"/>
      <c r="AC40" s="48" t="n">
        <v>60</v>
      </c>
      <c r="AD40" s="48" t="n"/>
      <c r="AE40" s="58" t="n"/>
      <c r="AF40" s="48" t="n"/>
      <c r="AG40" s="48" t="n">
        <v>15</v>
      </c>
      <c r="AH40" s="48" t="n"/>
      <c r="AI40" s="62" t="inlineStr">
        <is>
          <t>none</t>
        </is>
      </c>
      <c r="AJ40" s="44" t="inlineStr">
        <is>
          <t>CLOSED</t>
        </is>
      </c>
      <c r="AK40" s="62" t="inlineStr">
        <is>
          <t>seal c904037bf9ccbc5c</t>
        </is>
      </c>
      <c r="AL40" s="47" t="n">
        <v>234.66</v>
      </c>
      <c r="AM40" s="48" t="n"/>
      <c r="AN40" s="48" t="n"/>
      <c r="AO40" s="48" t="n"/>
      <c r="AP40" s="62" t="inlineStr">
        <is>
          <t>A02.01 → S2.20 → 7/A11.01 → 9/A12.01 → 1/S5.20 → 7/S5.20 → A09.01 → A00.01 → A09.27 → A09.33</t>
        </is>
      </c>
    </row>
    <row r="41" ht="15" customHeight="1" s="36">
      <c r="A41" s="55" t="inlineStr">
        <is>
          <t>TYPE C1</t>
        </is>
      </c>
      <c r="B41" s="56" t="n"/>
      <c r="C41" s="56" t="n"/>
      <c r="D41" s="56" t="n"/>
      <c r="E41" s="56" t="n"/>
      <c r="F41" s="56" t="n"/>
      <c r="G41" s="56" t="n"/>
      <c r="H41" s="56" t="n"/>
      <c r="I41" s="56" t="n"/>
      <c r="J41" s="56" t="n"/>
      <c r="K41" s="56" t="n"/>
      <c r="L41" s="56" t="n"/>
      <c r="M41" s="56" t="n"/>
      <c r="N41" s="56" t="n"/>
      <c r="O41" s="56" t="n"/>
      <c r="P41" s="56" t="n"/>
      <c r="Q41" s="56" t="n"/>
      <c r="R41" s="56" t="n"/>
      <c r="S41" s="56" t="n"/>
      <c r="T41" s="56" t="n"/>
      <c r="U41" s="56" t="n"/>
      <c r="V41" s="56" t="n"/>
      <c r="W41" s="56" t="n"/>
      <c r="X41" s="56" t="n"/>
      <c r="Y41" s="56" t="n"/>
      <c r="Z41" s="56" t="n"/>
      <c r="AA41" s="56" t="n"/>
      <c r="AB41" s="56" t="n"/>
      <c r="AC41" s="56" t="n"/>
      <c r="AD41" s="56" t="n"/>
      <c r="AE41" s="56" t="n"/>
      <c r="AF41" s="56" t="n"/>
      <c r="AG41" s="56" t="n"/>
      <c r="AH41" s="56" t="n"/>
      <c r="AI41" s="56" t="n"/>
      <c r="AJ41" s="56" t="n"/>
      <c r="AK41" s="56" t="n"/>
      <c r="AL41" s="56" t="n"/>
      <c r="AM41" s="56" t="n"/>
      <c r="AN41" s="56" t="n"/>
      <c r="AO41" s="56" t="n"/>
      <c r="AP41" s="56" t="n"/>
    </row>
    <row r="42" ht="34.5" customHeight="1" s="36">
      <c r="A42" s="46" t="inlineStr">
        <is>
          <t>C1  #36  -  North wall of Calling Cubes 122, face towards Central Zone 103.  Stud 3-5/8" 362S137-33 MST @ 16" O.C.; bracing 1-1/2" C.R. channel @ 48" O.C.  Central Zone 103: 1 layer(s) 5/8 GYP @ 11.500 FT  (1 instance)</t>
        </is>
      </c>
      <c r="B42" s="57" t="n">
        <v>36</v>
      </c>
      <c r="C42" s="47" t="n">
        <v>11.333</v>
      </c>
      <c r="D42" s="47" t="n">
        <v>11.5</v>
      </c>
      <c r="E42" s="58" t="n">
        <v>1</v>
      </c>
      <c r="F42" s="59" t="inlineStr">
        <is>
          <t>3-5/8"</t>
        </is>
      </c>
      <c r="G42" s="60" t="n">
        <v>10</v>
      </c>
      <c r="H42" s="48" t="n">
        <v>0</v>
      </c>
      <c r="I42" s="48" t="n">
        <v>115</v>
      </c>
      <c r="J42" s="48" t="n">
        <v>0</v>
      </c>
      <c r="K42" s="61" t="n">
        <v>130.295</v>
      </c>
      <c r="L42" s="48" t="n"/>
      <c r="M42" s="48" t="n"/>
      <c r="N42" s="48" t="n"/>
      <c r="O42" s="48" t="n"/>
      <c r="P42" s="48" t="n"/>
      <c r="Q42" s="48" t="n">
        <v>11.333</v>
      </c>
      <c r="R42" s="48" t="n">
        <v>11.333</v>
      </c>
      <c r="S42" s="48" t="n">
        <v>22.67</v>
      </c>
      <c r="T42" s="58" t="n"/>
      <c r="U42" s="48" t="n">
        <v>10</v>
      </c>
      <c r="V42" s="48" t="n"/>
      <c r="W42" s="48" t="n"/>
      <c r="X42" s="48" t="n"/>
      <c r="Y42" s="48" t="n"/>
      <c r="Z42" s="48" t="n"/>
      <c r="AA42" s="48" t="n"/>
      <c r="AB42" s="48" t="n"/>
      <c r="AC42" s="48" t="n"/>
      <c r="AD42" s="48" t="n"/>
      <c r="AE42" s="58" t="n"/>
      <c r="AF42" s="48" t="n"/>
      <c r="AG42" s="48" t="n"/>
      <c r="AH42" s="48" t="n"/>
      <c r="AI42" s="62" t="inlineStr">
        <is>
          <t>none</t>
        </is>
      </c>
      <c r="AJ42" s="44" t="inlineStr">
        <is>
          <t>CLOSED</t>
        </is>
      </c>
      <c r="AK42" s="62" t="inlineStr">
        <is>
          <t>seal ee061539aa99e04a</t>
        </is>
      </c>
      <c r="AL42" s="47" t="n">
        <v>115</v>
      </c>
      <c r="AM42" s="48" t="n"/>
      <c r="AN42" s="48" t="n"/>
      <c r="AO42" s="48" t="n"/>
      <c r="AP42" s="62" t="inlineStr">
        <is>
          <t>A02.01 → A04.01 → 2/A12.01 → 3/A12.01 → 6/A12.01 → 12/A12.01 → A09.01 → 9/A12.02 → 13/A12.02 → 1/S5.20 → 4/S5.20 → 7/S5.20 → A00.30 → A09.27 → A09.33</t>
        </is>
      </c>
    </row>
    <row r="43" ht="34.5" customHeight="1" s="36">
      <c r="A43" s="46" t="inlineStr">
        <is>
          <t>C1  #37  -  North face of the plumbing chase between restrooms 113 and 114.  Stud 3-5/8" 362S137-33 MST @ 16" O.C.; bracing 1-1/2" C.R. channel @ 48" O.C.  Women's Restroom 114: 1 layer(s) 5/8 GYP @ 9.000 FT  (1 instance)</t>
        </is>
      </c>
      <c r="B43" s="57" t="n">
        <v>37</v>
      </c>
      <c r="C43" s="47" t="n">
        <v>5.6</v>
      </c>
      <c r="D43" s="47" t="n">
        <v>9</v>
      </c>
      <c r="E43" s="58" t="n">
        <v>1</v>
      </c>
      <c r="F43" s="59" t="inlineStr">
        <is>
          <t>3-5/8"</t>
        </is>
      </c>
      <c r="G43" s="60" t="n">
        <v>8</v>
      </c>
      <c r="H43" s="48" t="n">
        <v>0</v>
      </c>
      <c r="I43" s="48" t="n">
        <v>72</v>
      </c>
      <c r="J43" s="48" t="n">
        <v>0</v>
      </c>
      <c r="K43" s="61" t="n">
        <v>50.4</v>
      </c>
      <c r="L43" s="48" t="n"/>
      <c r="M43" s="48" t="n"/>
      <c r="N43" s="48" t="n"/>
      <c r="O43" s="48" t="n"/>
      <c r="P43" s="48" t="n"/>
      <c r="Q43" s="48" t="n">
        <v>5.6</v>
      </c>
      <c r="R43" s="48" t="n">
        <v>5.6</v>
      </c>
      <c r="S43" s="48" t="n">
        <v>11.2</v>
      </c>
      <c r="T43" s="58" t="n"/>
      <c r="U43" s="48" t="n">
        <v>5.6</v>
      </c>
      <c r="V43" s="48" t="n"/>
      <c r="W43" s="48" t="n"/>
      <c r="X43" s="48" t="n"/>
      <c r="Y43" s="48" t="n"/>
      <c r="Z43" s="48" t="n"/>
      <c r="AA43" s="48" t="n"/>
      <c r="AB43" s="48" t="n"/>
      <c r="AC43" s="48" t="n"/>
      <c r="AD43" s="48" t="n"/>
      <c r="AE43" s="58" t="n"/>
      <c r="AF43" s="48" t="n"/>
      <c r="AG43" s="48" t="n"/>
      <c r="AH43" s="48" t="n"/>
      <c r="AI43" s="62" t="inlineStr">
        <is>
          <t>none</t>
        </is>
      </c>
      <c r="AJ43" s="44" t="inlineStr">
        <is>
          <t>CLOSED</t>
        </is>
      </c>
      <c r="AK43" s="62" t="inlineStr">
        <is>
          <t>seal 8f93a0dfc5e6f9be</t>
        </is>
      </c>
      <c r="AL43" s="47" t="n">
        <v>72</v>
      </c>
      <c r="AM43" s="48" t="n"/>
      <c r="AN43" s="48" t="n"/>
      <c r="AO43" s="48" t="n"/>
      <c r="AP43" s="62" t="inlineStr">
        <is>
          <t>A02.01 → A04.01 → A08.01 → 2/A12.01 → 3/A12.01 → 6/A12.01 → 12/A12.01 → 1/S5.20 → 4/S5.20 → 7/S5.20 → 8/S5.20 → A09.01 → A00.30 → A09.27 → A09.33</t>
        </is>
      </c>
    </row>
    <row r="44" ht="34.5" customHeight="1" s="36">
      <c r="A44" s="46" t="inlineStr">
        <is>
          <t>C1  #39  -  South face of the plumbing chase between restrooms 113 and 114.  Stud 3-5/8" 362S137-33 MST @ 16" O.C.; bracing 1-1/2" C.R. channel @ 48" O.C.  Men's Restroom 113: 1 layer(s) 5/8 GYP @ 9.000 FT  (1 instance)</t>
        </is>
      </c>
      <c r="B44" s="57" t="n">
        <v>39</v>
      </c>
      <c r="C44" s="47" t="n">
        <v>5.6</v>
      </c>
      <c r="D44" s="47" t="n">
        <v>9</v>
      </c>
      <c r="E44" s="58" t="n">
        <v>1</v>
      </c>
      <c r="F44" s="59" t="inlineStr">
        <is>
          <t>3-5/8"</t>
        </is>
      </c>
      <c r="G44" s="60" t="n">
        <v>8</v>
      </c>
      <c r="H44" s="48" t="n">
        <v>0</v>
      </c>
      <c r="I44" s="48" t="n">
        <v>72</v>
      </c>
      <c r="J44" s="48" t="n">
        <v>0</v>
      </c>
      <c r="K44" s="61" t="n">
        <v>50.4</v>
      </c>
      <c r="L44" s="48" t="n"/>
      <c r="M44" s="48" t="n"/>
      <c r="N44" s="48" t="n"/>
      <c r="O44" s="48" t="n"/>
      <c r="P44" s="48" t="n"/>
      <c r="Q44" s="48" t="n">
        <v>5.6</v>
      </c>
      <c r="R44" s="48" t="n">
        <v>5.6</v>
      </c>
      <c r="S44" s="48" t="n">
        <v>11.2</v>
      </c>
      <c r="T44" s="58" t="n"/>
      <c r="U44" s="48" t="n">
        <v>5.6</v>
      </c>
      <c r="V44" s="48" t="n"/>
      <c r="W44" s="48" t="n"/>
      <c r="X44" s="48" t="n"/>
      <c r="Y44" s="48" t="n"/>
      <c r="Z44" s="48" t="n"/>
      <c r="AA44" s="48" t="n"/>
      <c r="AB44" s="48" t="n"/>
      <c r="AC44" s="48" t="n"/>
      <c r="AD44" s="48" t="n"/>
      <c r="AE44" s="58" t="n"/>
      <c r="AF44" s="48" t="n"/>
      <c r="AG44" s="48" t="n"/>
      <c r="AH44" s="48" t="n"/>
      <c r="AI44" s="62" t="inlineStr">
        <is>
          <t>none</t>
        </is>
      </c>
      <c r="AJ44" s="44" t="inlineStr">
        <is>
          <t>CLOSED</t>
        </is>
      </c>
      <c r="AK44" s="62" t="inlineStr">
        <is>
          <t>seal 05f3cbbb46afc9d5</t>
        </is>
      </c>
      <c r="AL44" s="47" t="n">
        <v>72</v>
      </c>
      <c r="AM44" s="48" t="n"/>
      <c r="AN44" s="48" t="n"/>
      <c r="AO44" s="48" t="n"/>
      <c r="AP44" s="62" t="inlineStr">
        <is>
          <t>A02.01 → A04.01 → A08.01 → 2/A12.01 → 3/A12.01 → 6/A12.01 → 12/A12.01 → 1/S5.20 → 4/S5.20 → 7/S5.20 → 8/S5.20 → A09.01 → A00.30 → A09.27 → A09.33</t>
        </is>
      </c>
    </row>
    <row r="45" ht="45.75" customHeight="1" s="36">
      <c r="A45" s="46" t="inlineStr">
        <is>
          <t>C1  #32  -  Entry pilaster of Vestibule 100, next to door 100A; it carries the push button (PB) and the card reader (CR).  Stud 3-5/8" 362S137-33 MST @ 16" O.C.; bracing 1-1/2" C.R. channel @ 48" O.C.  Vestibule 100: 1 layer(s) 5/8 GYP @ 10.000 FT  (1 instance)</t>
        </is>
      </c>
      <c r="B45" s="57" t="n">
        <v>32</v>
      </c>
      <c r="C45" s="47" t="n">
        <v>4.56</v>
      </c>
      <c r="D45" s="47" t="n">
        <v>10</v>
      </c>
      <c r="E45" s="58" t="n">
        <v>1</v>
      </c>
      <c r="F45" s="59" t="inlineStr">
        <is>
          <t>3-5/8"</t>
        </is>
      </c>
      <c r="G45" s="60" t="n">
        <v>5</v>
      </c>
      <c r="H45" s="48" t="n">
        <v>0</v>
      </c>
      <c r="I45" s="48" t="n">
        <v>50</v>
      </c>
      <c r="J45" s="48" t="n">
        <v>0</v>
      </c>
      <c r="K45" s="61" t="n">
        <v>45.6</v>
      </c>
      <c r="L45" s="48" t="n"/>
      <c r="M45" s="48" t="n"/>
      <c r="N45" s="48" t="n"/>
      <c r="O45" s="48" t="n"/>
      <c r="P45" s="48" t="n"/>
      <c r="Q45" s="48" t="n">
        <v>4.56</v>
      </c>
      <c r="R45" s="48" t="n">
        <v>4.56</v>
      </c>
      <c r="S45" s="48" t="n">
        <v>9.119999999999999</v>
      </c>
      <c r="T45" s="58" t="n"/>
      <c r="U45" s="48" t="n">
        <v>4</v>
      </c>
      <c r="V45" s="48" t="n"/>
      <c r="W45" s="48" t="n"/>
      <c r="X45" s="48" t="n"/>
      <c r="Y45" s="48" t="n"/>
      <c r="Z45" s="48" t="n"/>
      <c r="AA45" s="48" t="n"/>
      <c r="AB45" s="48" t="n"/>
      <c r="AC45" s="48" t="n">
        <v>30</v>
      </c>
      <c r="AD45" s="48" t="n"/>
      <c r="AE45" s="58" t="n"/>
      <c r="AF45" s="48" t="n"/>
      <c r="AG45" s="48" t="n"/>
      <c r="AH45" s="48" t="n"/>
      <c r="AI45" s="62" t="inlineStr">
        <is>
          <t>none</t>
        </is>
      </c>
      <c r="AJ45" s="44" t="inlineStr">
        <is>
          <t>CLOSED</t>
        </is>
      </c>
      <c r="AK45" s="62" t="inlineStr">
        <is>
          <t>seal 18f719ea04d85cfd</t>
        </is>
      </c>
      <c r="AL45" s="47" t="n">
        <v>50</v>
      </c>
      <c r="AM45" s="48" t="n"/>
      <c r="AN45" s="48" t="n"/>
      <c r="AO45" s="48" t="n"/>
      <c r="AP45" s="62" t="inlineStr">
        <is>
          <t>A02.01 → A04.01 → 2/A12.01 → 3/A12.01 → 6/A12.01 → 12/A12.01 → 1/S5.20 → 4/S5.20 → 7/S5.20 → A09.01 → A00.30 → A09.27 → A09.33</t>
        </is>
      </c>
    </row>
    <row r="46" ht="34.5" customHeight="1" s="36">
      <c r="A46" s="46" t="inlineStr">
        <is>
          <t>C1  #33  -  Pilaster at the northwest corner of Vestibule 100.  Stud 3-5/8" 362S137-33 MST @ 16" O.C.; bracing 1-1/2" C.R. channel @ 48" O.C.  Vestibule 100: 1 layer(s) 5/8 GYP @ 10.000 FT  (1 instance)</t>
        </is>
      </c>
      <c r="B46" s="57" t="n">
        <v>33</v>
      </c>
      <c r="C46" s="47" t="n">
        <v>3.58</v>
      </c>
      <c r="D46" s="47" t="n">
        <v>10</v>
      </c>
      <c r="E46" s="58" t="n">
        <v>1</v>
      </c>
      <c r="F46" s="59" t="inlineStr">
        <is>
          <t>3-5/8"</t>
        </is>
      </c>
      <c r="G46" s="60" t="n">
        <v>5</v>
      </c>
      <c r="H46" s="48" t="n">
        <v>0</v>
      </c>
      <c r="I46" s="48" t="n">
        <v>50</v>
      </c>
      <c r="J46" s="48" t="n">
        <v>0</v>
      </c>
      <c r="K46" s="61" t="n">
        <v>35.8</v>
      </c>
      <c r="L46" s="48" t="n"/>
      <c r="M46" s="48" t="n"/>
      <c r="N46" s="48" t="n"/>
      <c r="O46" s="48" t="n"/>
      <c r="P46" s="48" t="n"/>
      <c r="Q46" s="48" t="n">
        <v>3.58</v>
      </c>
      <c r="R46" s="48" t="n">
        <v>3.58</v>
      </c>
      <c r="S46" s="48" t="n">
        <v>7.16</v>
      </c>
      <c r="T46" s="58" t="n"/>
      <c r="U46" s="48" t="n"/>
      <c r="V46" s="48" t="n"/>
      <c r="W46" s="48" t="n"/>
      <c r="X46" s="48" t="n"/>
      <c r="Y46" s="48" t="n"/>
      <c r="Z46" s="48" t="n"/>
      <c r="AA46" s="48" t="n"/>
      <c r="AB46" s="48" t="n"/>
      <c r="AC46" s="48" t="n">
        <v>30</v>
      </c>
      <c r="AD46" s="48" t="n"/>
      <c r="AE46" s="58" t="n"/>
      <c r="AF46" s="48" t="n"/>
      <c r="AG46" s="48" t="n"/>
      <c r="AH46" s="48" t="n"/>
      <c r="AI46" s="62" t="inlineStr">
        <is>
          <t>none</t>
        </is>
      </c>
      <c r="AJ46" s="44" t="inlineStr">
        <is>
          <t>CLOSED</t>
        </is>
      </c>
      <c r="AK46" s="62" t="inlineStr">
        <is>
          <t>seal 99e04a76facc8aa6</t>
        </is>
      </c>
      <c r="AL46" s="47" t="n">
        <v>50</v>
      </c>
      <c r="AM46" s="48" t="n"/>
      <c r="AN46" s="48" t="n"/>
      <c r="AO46" s="48" t="n"/>
      <c r="AP46" s="62" t="inlineStr">
        <is>
          <t>A02.01 → A04.01 → 2/A12.01 → 3/A12.01 → 6/A12.01 → 12/A12.01 → 1/S5.20 → 4/S5.20 → 7/S5.20 → A09.01 → A00.30 → A09.27 → A09.33</t>
        </is>
      </c>
    </row>
    <row r="47" ht="34.5" customHeight="1" s="36">
      <c r="A47" s="46" t="inlineStr">
        <is>
          <t>C1  #38  -  Future FCAM, south face of the A1K wall that closes Cash Window 116.  Stud 3-5/8" 362S137-33 MST @ 16" O.C.; bracing 1-1/2" C.R. channel @ 48" O.C.  Cash Window 116: 1 layer(s) 5/8 GYP @ 9.000 FT  (1 instance)</t>
        </is>
      </c>
      <c r="B47" s="57" t="n">
        <v>38</v>
      </c>
      <c r="C47" s="47" t="n">
        <v>3.39</v>
      </c>
      <c r="D47" s="47" t="n">
        <v>9</v>
      </c>
      <c r="E47" s="58" t="n">
        <v>1</v>
      </c>
      <c r="F47" s="59" t="inlineStr">
        <is>
          <t>3-5/8"</t>
        </is>
      </c>
      <c r="G47" s="60" t="n">
        <v>4</v>
      </c>
      <c r="H47" s="48" t="n">
        <v>0</v>
      </c>
      <c r="I47" s="48" t="n">
        <v>36</v>
      </c>
      <c r="J47" s="48" t="n">
        <v>0</v>
      </c>
      <c r="K47" s="61" t="n">
        <v>30.51</v>
      </c>
      <c r="L47" s="48" t="n"/>
      <c r="M47" s="48" t="n"/>
      <c r="N47" s="48" t="n"/>
      <c r="O47" s="48" t="n"/>
      <c r="P47" s="48" t="n"/>
      <c r="Q47" s="48" t="n">
        <v>3.39</v>
      </c>
      <c r="R47" s="48" t="n">
        <v>3.39</v>
      </c>
      <c r="S47" s="48" t="n">
        <v>6.78</v>
      </c>
      <c r="T47" s="58" t="n"/>
      <c r="U47" s="48" t="n"/>
      <c r="V47" s="48" t="n"/>
      <c r="W47" s="48" t="n"/>
      <c r="X47" s="48" t="n"/>
      <c r="Y47" s="48" t="n"/>
      <c r="Z47" s="48" t="n"/>
      <c r="AA47" s="48" t="n"/>
      <c r="AB47" s="48" t="n"/>
      <c r="AC47" s="48" t="n"/>
      <c r="AD47" s="48" t="n"/>
      <c r="AE47" s="58" t="n"/>
      <c r="AF47" s="48" t="n"/>
      <c r="AG47" s="48" t="n"/>
      <c r="AH47" s="48" t="n"/>
      <c r="AI47" s="62" t="inlineStr">
        <is>
          <t>none</t>
        </is>
      </c>
      <c r="AJ47" s="44" t="inlineStr">
        <is>
          <t>CLOSED</t>
        </is>
      </c>
      <c r="AK47" s="62" t="inlineStr">
        <is>
          <t>seal ca69ddeec498e65b</t>
        </is>
      </c>
      <c r="AL47" s="47" t="n">
        <v>36</v>
      </c>
      <c r="AM47" s="48" t="n"/>
      <c r="AN47" s="48" t="n"/>
      <c r="AO47" s="48" t="n"/>
      <c r="AP47" s="62" t="inlineStr">
        <is>
          <t>A02.01 → A04.01 → 2/A12.01 → 3/A12.01 → 6/A12.01 → 12/A12.01 → 1/S5.20 → 4/S5.20 → 7/S5.20 → A09.01 → A00.30 → A09.27 → A09.33</t>
        </is>
      </c>
    </row>
    <row r="48" ht="45.75" customHeight="1" s="36">
      <c r="A48" s="46" t="inlineStr">
        <is>
          <t>C1  #34  -  Steel column enclosure between 24 HR Vestibule 101 and Central Zone 103; the column is drawn inside the box.  Stud 3-5/8" 362S137-33 MST @ 16" O.C.; bracing 1-1/2" C.R. channel @ 48" O.C.  Central Zone 103: 1 layer(s) 5/8 GYP @ 11.500 FT  (1 instance)</t>
        </is>
      </c>
      <c r="B48" s="57" t="n">
        <v>34</v>
      </c>
      <c r="C48" s="47" t="n">
        <v>3.33</v>
      </c>
      <c r="D48" s="47" t="n">
        <v>11.5</v>
      </c>
      <c r="E48" s="58" t="n">
        <v>1</v>
      </c>
      <c r="F48" s="59" t="inlineStr">
        <is>
          <t>3-5/8"</t>
        </is>
      </c>
      <c r="G48" s="60" t="n">
        <v>4</v>
      </c>
      <c r="H48" s="48" t="n">
        <v>0</v>
      </c>
      <c r="I48" s="48" t="n">
        <v>46</v>
      </c>
      <c r="J48" s="48" t="n">
        <v>0</v>
      </c>
      <c r="K48" s="61" t="n">
        <v>38.295</v>
      </c>
      <c r="L48" s="48" t="n"/>
      <c r="M48" s="48" t="n"/>
      <c r="N48" s="48" t="n"/>
      <c r="O48" s="48" t="n"/>
      <c r="P48" s="48" t="n"/>
      <c r="Q48" s="48" t="n">
        <v>3.33</v>
      </c>
      <c r="R48" s="48" t="n">
        <v>3.33</v>
      </c>
      <c r="S48" s="48" t="n">
        <v>6.66</v>
      </c>
      <c r="T48" s="58" t="n"/>
      <c r="U48" s="48" t="n"/>
      <c r="V48" s="48" t="n"/>
      <c r="W48" s="48" t="n"/>
      <c r="X48" s="48" t="n"/>
      <c r="Y48" s="48" t="n"/>
      <c r="Z48" s="48" t="n"/>
      <c r="AA48" s="48" t="n"/>
      <c r="AB48" s="48" t="n"/>
      <c r="AC48" s="48" t="n">
        <v>46</v>
      </c>
      <c r="AD48" s="48" t="n"/>
      <c r="AE48" s="58" t="n"/>
      <c r="AF48" s="48" t="n"/>
      <c r="AG48" s="48" t="n"/>
      <c r="AH48" s="48" t="n"/>
      <c r="AI48" s="62" t="inlineStr">
        <is>
          <t>none</t>
        </is>
      </c>
      <c r="AJ48" s="44" t="inlineStr">
        <is>
          <t>CLOSED</t>
        </is>
      </c>
      <c r="AK48" s="62" t="inlineStr">
        <is>
          <t>seal 8fb0489490dc755f</t>
        </is>
      </c>
      <c r="AL48" s="47" t="n">
        <v>46</v>
      </c>
      <c r="AM48" s="48" t="n"/>
      <c r="AN48" s="48" t="n"/>
      <c r="AO48" s="48" t="n"/>
      <c r="AP48" s="62" t="inlineStr">
        <is>
          <t>A02.01 → A04.01 → 2/A12.01 → 3/A12.01 → 6/A12.01 → 12/A12.01 → 1/S5.20 → 4/S5.20 → 7/S5.20 → A09.01 → A00.30 → A09.27 → A09.33</t>
        </is>
      </c>
    </row>
    <row r="49" ht="45.75" customHeight="1" s="36">
      <c r="A49" s="46" t="inlineStr">
        <is>
          <t>C1  #35  -  Steel column enclosure at the south end of the sloped ATM wall, between ATM Room 102 and Central Zone 103.  Stud 3-5/8" 362S137-33 MST @ 16" O.C.; bracing 1-1/2" C.R. channel @ 48" O.C.  Central Zone 103: 1 layer(s) 5/8 GYP @ 11.500 FT  (1 instance)</t>
        </is>
      </c>
      <c r="B49" s="57" t="n">
        <v>35</v>
      </c>
      <c r="C49" s="47" t="n">
        <v>2.52</v>
      </c>
      <c r="D49" s="47" t="n">
        <v>11.5</v>
      </c>
      <c r="E49" s="58" t="n">
        <v>1</v>
      </c>
      <c r="F49" s="59" t="inlineStr">
        <is>
          <t>3-5/8"</t>
        </is>
      </c>
      <c r="G49" s="60" t="n">
        <v>4</v>
      </c>
      <c r="H49" s="48" t="n">
        <v>0</v>
      </c>
      <c r="I49" s="48" t="n">
        <v>46</v>
      </c>
      <c r="J49" s="48" t="n">
        <v>0</v>
      </c>
      <c r="K49" s="61" t="n">
        <v>28.98</v>
      </c>
      <c r="L49" s="48" t="n"/>
      <c r="M49" s="48" t="n"/>
      <c r="N49" s="48" t="n"/>
      <c r="O49" s="48" t="n"/>
      <c r="P49" s="48" t="n"/>
      <c r="Q49" s="48" t="n">
        <v>2.52</v>
      </c>
      <c r="R49" s="48" t="n">
        <v>2.52</v>
      </c>
      <c r="S49" s="48" t="n">
        <v>5.04</v>
      </c>
      <c r="T49" s="58" t="n"/>
      <c r="U49" s="48" t="n"/>
      <c r="V49" s="48" t="n"/>
      <c r="W49" s="48" t="n"/>
      <c r="X49" s="48" t="n"/>
      <c r="Y49" s="48" t="n"/>
      <c r="Z49" s="48" t="n"/>
      <c r="AA49" s="48" t="n"/>
      <c r="AB49" s="48" t="n"/>
      <c r="AC49" s="48" t="n">
        <v>46</v>
      </c>
      <c r="AD49" s="48" t="n"/>
      <c r="AE49" s="58" t="n"/>
      <c r="AF49" s="48" t="n"/>
      <c r="AG49" s="48" t="n"/>
      <c r="AH49" s="48" t="n"/>
      <c r="AI49" s="62" t="inlineStr">
        <is>
          <t>none</t>
        </is>
      </c>
      <c r="AJ49" s="44" t="inlineStr">
        <is>
          <t>CLOSED</t>
        </is>
      </c>
      <c r="AK49" s="62" t="inlineStr">
        <is>
          <t>seal 3b9e6e7a71481bbb</t>
        </is>
      </c>
      <c r="AL49" s="47" t="n">
        <v>46</v>
      </c>
      <c r="AM49" s="48" t="n"/>
      <c r="AN49" s="48" t="n"/>
      <c r="AO49" s="48" t="n"/>
      <c r="AP49" s="62" t="inlineStr">
        <is>
          <t>A02.01 → A04.01 → 2/A12.01 → 3/A12.01 → 6/A12.01 → 12/A12.01 → 1/S5.20 → 4/S5.20 → 7/S5.20 → A09.01 → A00.30 → A09.27 → A09.33</t>
        </is>
      </c>
    </row>
    <row r="50" ht="15" customHeight="1" s="36">
      <c r="A50" s="55" t="inlineStr">
        <is>
          <t>TYPE CANOPY-COL</t>
        </is>
      </c>
      <c r="B50" s="56" t="n"/>
      <c r="C50" s="56" t="n"/>
      <c r="D50" s="56" t="n"/>
      <c r="E50" s="56" t="n"/>
      <c r="F50" s="56" t="n"/>
      <c r="G50" s="56" t="n"/>
      <c r="H50" s="56" t="n"/>
      <c r="I50" s="56" t="n"/>
      <c r="J50" s="56" t="n"/>
      <c r="K50" s="56" t="n"/>
      <c r="L50" s="56" t="n"/>
      <c r="M50" s="56" t="n"/>
      <c r="N50" s="56" t="n"/>
      <c r="O50" s="56" t="n"/>
      <c r="P50" s="56" t="n"/>
      <c r="Q50" s="56" t="n"/>
      <c r="R50" s="56" t="n"/>
      <c r="S50" s="56" t="n"/>
      <c r="T50" s="56" t="n"/>
      <c r="U50" s="56" t="n"/>
      <c r="V50" s="56" t="n"/>
      <c r="W50" s="56" t="n"/>
      <c r="X50" s="56" t="n"/>
      <c r="Y50" s="56" t="n"/>
      <c r="Z50" s="56" t="n"/>
      <c r="AA50" s="56" t="n"/>
      <c r="AB50" s="56" t="n"/>
      <c r="AC50" s="56" t="n"/>
      <c r="AD50" s="56" t="n"/>
      <c r="AE50" s="56" t="n"/>
      <c r="AF50" s="56" t="n"/>
      <c r="AG50" s="56" t="n"/>
      <c r="AH50" s="56" t="n"/>
      <c r="AI50" s="56" t="n"/>
      <c r="AJ50" s="56" t="n"/>
      <c r="AK50" s="56" t="n"/>
      <c r="AL50" s="56" t="n"/>
      <c r="AM50" s="56" t="n"/>
      <c r="AN50" s="56" t="n"/>
      <c r="AO50" s="56" t="n"/>
      <c r="AP50" s="56" t="n"/>
    </row>
    <row r="51" ht="45.75" customHeight="1" s="36">
      <c r="A51" s="46" t="inlineStr">
        <is>
          <t>CANOPY-COL  #66  -  CANOPY COLUMN 1 (drive-through island, northmost -- A02.01 y=283.8).  Stud 3-5/8" 362S137-33 MST @ 16" O.C.; bracing 1-1/2" C.R. channel @ 48" O.C.  Exterior (4 faces of the wrap): 1 layer(s) 5/8 EXTERIOR GRADE FRT PLYWOOD @ 10.500 FT  (1 instance)</t>
        </is>
      </c>
      <c r="B51" s="57" t="n">
        <v>66</v>
      </c>
      <c r="C51" s="47" t="n">
        <v>5.668</v>
      </c>
      <c r="D51" s="47" t="n">
        <v>10.5</v>
      </c>
      <c r="E51" s="58" t="n">
        <v>1.07</v>
      </c>
      <c r="F51" s="59" t="inlineStr">
        <is>
          <t>3-5/8"</t>
        </is>
      </c>
      <c r="G51" s="60" t="n">
        <v>8</v>
      </c>
      <c r="H51" s="48" t="n">
        <v>0</v>
      </c>
      <c r="I51" s="48" t="n">
        <v>84</v>
      </c>
      <c r="J51" s="48" t="n">
        <v>0</v>
      </c>
      <c r="K51" s="61" t="n">
        <v>63.882</v>
      </c>
      <c r="L51" s="48" t="n"/>
      <c r="M51" s="48" t="n"/>
      <c r="N51" s="48" t="n"/>
      <c r="O51" s="48" t="n"/>
      <c r="P51" s="48" t="n"/>
      <c r="Q51" s="48" t="n">
        <v>5.668</v>
      </c>
      <c r="R51" s="48" t="n">
        <v>5.668</v>
      </c>
      <c r="S51" s="48" t="n">
        <v>11.34</v>
      </c>
      <c r="T51" s="58" t="n"/>
      <c r="U51" s="48" t="n"/>
      <c r="V51" s="48" t="n"/>
      <c r="W51" s="48" t="n"/>
      <c r="X51" s="48" t="n"/>
      <c r="Y51" s="48" t="n"/>
      <c r="Z51" s="48" t="n"/>
      <c r="AA51" s="48" t="n"/>
      <c r="AB51" s="48" t="n"/>
      <c r="AC51" s="48" t="n"/>
      <c r="AD51" s="48" t="n"/>
      <c r="AE51" s="58" t="n"/>
      <c r="AF51" s="48" t="n"/>
      <c r="AG51" s="48" t="n"/>
      <c r="AH51" s="48" t="n"/>
      <c r="AI51" s="62" t="inlineStr">
        <is>
          <t>none</t>
        </is>
      </c>
      <c r="AJ51" s="44" t="inlineStr">
        <is>
          <t>CLOSED</t>
        </is>
      </c>
      <c r="AK51" s="62" t="inlineStr">
        <is>
          <t>seal 159cfafc30d95d57</t>
        </is>
      </c>
      <c r="AL51" s="47" t="n">
        <v>84</v>
      </c>
      <c r="AM51" s="48" t="n"/>
      <c r="AN51" s="48" t="n"/>
      <c r="AO51" s="48" t="n"/>
      <c r="AP51" s="62" t="inlineStr">
        <is>
          <t>A02.01 → D/A08.01 → 6/A08.11 → S2.10 → A/A09.21 → D/A09.22 → F/A09.22 → H/A09.23 → 2/A09.25 → 5/A09.25 → 9/S3.20 → 6/S5.10 → 10/S5.10 → A09.01 → A12.01 → 5/A09.26 → 9/A09.27 → 6/A09.31 → 7/S5.20 → A00.30 → A09.33</t>
        </is>
      </c>
    </row>
    <row r="52" ht="45.75" customHeight="1" s="36">
      <c r="A52" s="46" t="inlineStr">
        <is>
          <t>CANOPY-COL  #67  -  CANOPY COLUMN 2 (drive-through island -- A02.01 y=564.2).  Stud 3-5/8" 362S137-33 MST @ 16" O.C.; bracing 1-1/2" C.R. channel @ 48" O.C.  Exterior (4 faces of the wrap): 1 layer(s) 5/8 EXTERIOR GRADE FRT PLYWOOD @ 10.500 FT  (1 instance)</t>
        </is>
      </c>
      <c r="B52" s="57" t="n">
        <v>67</v>
      </c>
      <c r="C52" s="47" t="n">
        <v>5.668</v>
      </c>
      <c r="D52" s="47" t="n">
        <v>10.5</v>
      </c>
      <c r="E52" s="58" t="n">
        <v>1.07</v>
      </c>
      <c r="F52" s="59" t="inlineStr">
        <is>
          <t>3-5/8"</t>
        </is>
      </c>
      <c r="G52" s="60" t="n">
        <v>8</v>
      </c>
      <c r="H52" s="48" t="n">
        <v>0</v>
      </c>
      <c r="I52" s="48" t="n">
        <v>84</v>
      </c>
      <c r="J52" s="48" t="n">
        <v>0</v>
      </c>
      <c r="K52" s="61" t="n">
        <v>63.882</v>
      </c>
      <c r="L52" s="48" t="n"/>
      <c r="M52" s="48" t="n"/>
      <c r="N52" s="48" t="n"/>
      <c r="O52" s="48" t="n"/>
      <c r="P52" s="48" t="n"/>
      <c r="Q52" s="48" t="n">
        <v>5.668</v>
      </c>
      <c r="R52" s="48" t="n">
        <v>5.668</v>
      </c>
      <c r="S52" s="48" t="n">
        <v>11.34</v>
      </c>
      <c r="T52" s="58" t="n"/>
      <c r="U52" s="48" t="n"/>
      <c r="V52" s="48" t="n"/>
      <c r="W52" s="48" t="n"/>
      <c r="X52" s="48" t="n"/>
      <c r="Y52" s="48" t="n"/>
      <c r="Z52" s="48" t="n"/>
      <c r="AA52" s="48" t="n"/>
      <c r="AB52" s="48" t="n"/>
      <c r="AC52" s="48" t="n"/>
      <c r="AD52" s="48" t="n"/>
      <c r="AE52" s="58" t="n"/>
      <c r="AF52" s="48" t="n"/>
      <c r="AG52" s="48" t="n"/>
      <c r="AH52" s="48" t="n"/>
      <c r="AI52" s="62" t="inlineStr">
        <is>
          <t>none</t>
        </is>
      </c>
      <c r="AJ52" s="44" t="inlineStr">
        <is>
          <t>CLOSED</t>
        </is>
      </c>
      <c r="AK52" s="62" t="inlineStr">
        <is>
          <t>seal 83d00f2c2952a67c</t>
        </is>
      </c>
      <c r="AL52" s="47" t="n">
        <v>84</v>
      </c>
      <c r="AM52" s="48" t="n"/>
      <c r="AN52" s="48" t="n"/>
      <c r="AO52" s="48" t="n"/>
      <c r="AP52" s="62" t="inlineStr">
        <is>
          <t>A02.01 → D/A08.01 → 6/A08.11 → S2.10 → A/A09.21 → D/A09.22 → F/A09.22 → H/A09.23 → 2/A09.25 → 5/A09.25 → 9/S3.20 → 6/S5.10 → 10/S5.10 → A09.01 → A12.01 → 5/A09.26 → 9/A09.27 → 6/A09.31 → 7/S5.20 → A00.30 → A09.33</t>
        </is>
      </c>
    </row>
    <row r="53" ht="45.75" customHeight="1" s="36">
      <c r="A53" s="46" t="inlineStr">
        <is>
          <t>CANOPY-COL  #68  -  CANOPY COLUMN 3 (drive-through island -- A02.01 y=849.2).  Stud 3-5/8" 362S137-33 MST @ 16" O.C.; bracing 1-1/2" C.R. channel @ 48" O.C.  Exterior (4 faces of the wrap): 1 layer(s) 5/8 EXTERIOR GRADE FRT PLYWOOD @ 10.500 FT  (1 instance)</t>
        </is>
      </c>
      <c r="B53" s="57" t="n">
        <v>68</v>
      </c>
      <c r="C53" s="47" t="n">
        <v>5.668</v>
      </c>
      <c r="D53" s="47" t="n">
        <v>10.5</v>
      </c>
      <c r="E53" s="58" t="n">
        <v>1.07</v>
      </c>
      <c r="F53" s="59" t="inlineStr">
        <is>
          <t>3-5/8"</t>
        </is>
      </c>
      <c r="G53" s="60" t="n">
        <v>8</v>
      </c>
      <c r="H53" s="48" t="n">
        <v>0</v>
      </c>
      <c r="I53" s="48" t="n">
        <v>84</v>
      </c>
      <c r="J53" s="48" t="n">
        <v>0</v>
      </c>
      <c r="K53" s="61" t="n">
        <v>63.882</v>
      </c>
      <c r="L53" s="48" t="n"/>
      <c r="M53" s="48" t="n"/>
      <c r="N53" s="48" t="n"/>
      <c r="O53" s="48" t="n"/>
      <c r="P53" s="48" t="n"/>
      <c r="Q53" s="48" t="n">
        <v>5.668</v>
      </c>
      <c r="R53" s="48" t="n">
        <v>5.668</v>
      </c>
      <c r="S53" s="48" t="n">
        <v>11.34</v>
      </c>
      <c r="T53" s="58" t="n"/>
      <c r="U53" s="48" t="n"/>
      <c r="V53" s="48" t="n"/>
      <c r="W53" s="48" t="n"/>
      <c r="X53" s="48" t="n"/>
      <c r="Y53" s="48" t="n"/>
      <c r="Z53" s="48" t="n"/>
      <c r="AA53" s="48" t="n"/>
      <c r="AB53" s="48" t="n"/>
      <c r="AC53" s="48" t="n"/>
      <c r="AD53" s="48" t="n"/>
      <c r="AE53" s="58" t="n"/>
      <c r="AF53" s="48" t="n"/>
      <c r="AG53" s="48" t="n"/>
      <c r="AH53" s="48" t="n"/>
      <c r="AI53" s="62" t="inlineStr">
        <is>
          <t>none</t>
        </is>
      </c>
      <c r="AJ53" s="44" t="inlineStr">
        <is>
          <t>CLOSED</t>
        </is>
      </c>
      <c r="AK53" s="62" t="inlineStr">
        <is>
          <t>seal 871fd9270d16311a</t>
        </is>
      </c>
      <c r="AL53" s="47" t="n">
        <v>84</v>
      </c>
      <c r="AM53" s="48" t="n"/>
      <c r="AN53" s="48" t="n"/>
      <c r="AO53" s="48" t="n"/>
      <c r="AP53" s="62" t="inlineStr">
        <is>
          <t>A02.01 → D/A08.01 → 6/A08.11 → S2.10 → A/A09.21 → D/A09.22 → F/A09.22 → H/A09.23 → 2/A09.25 → 5/A09.25 → 9/S3.20 → 6/S5.10 → 10/S5.10 → A09.01 → A12.01 → 5/A09.26 → 9/A09.27 → 6/A09.31 → 7/S5.20 → A00.30 → A09.33</t>
        </is>
      </c>
    </row>
    <row r="54" ht="45.75" customHeight="1" s="36">
      <c r="A54" s="46" t="inlineStr">
        <is>
          <t>CANOPY-COL  #69  -  CANOPY COLUMN 4 (drive-through island, southmost -- A02.01 y=1125.0).  Stud 3-5/8" 362S137-33 MST @ 16" O.C.; bracing 1-1/2" C.R. channel @ 48" O.C.  Exterior (4 faces of the wrap): 1 layer(s) 5/8 EXTERIOR GRADE FRT PLYWOOD @ 10.500 FT  (1 instance)</t>
        </is>
      </c>
      <c r="B54" s="57" t="n">
        <v>69</v>
      </c>
      <c r="C54" s="47" t="n">
        <v>5.668</v>
      </c>
      <c r="D54" s="47" t="n">
        <v>10.5</v>
      </c>
      <c r="E54" s="58" t="n">
        <v>1.07</v>
      </c>
      <c r="F54" s="59" t="inlineStr">
        <is>
          <t>3-5/8"</t>
        </is>
      </c>
      <c r="G54" s="60" t="n">
        <v>8</v>
      </c>
      <c r="H54" s="48" t="n">
        <v>0</v>
      </c>
      <c r="I54" s="48" t="n">
        <v>84</v>
      </c>
      <c r="J54" s="48" t="n">
        <v>0</v>
      </c>
      <c r="K54" s="61" t="n">
        <v>63.882</v>
      </c>
      <c r="L54" s="48" t="n"/>
      <c r="M54" s="48" t="n"/>
      <c r="N54" s="48" t="n"/>
      <c r="O54" s="48" t="n"/>
      <c r="P54" s="48" t="n"/>
      <c r="Q54" s="48" t="n">
        <v>5.668</v>
      </c>
      <c r="R54" s="48" t="n">
        <v>5.668</v>
      </c>
      <c r="S54" s="48" t="n">
        <v>11.34</v>
      </c>
      <c r="T54" s="58" t="n"/>
      <c r="U54" s="48" t="n"/>
      <c r="V54" s="48" t="n"/>
      <c r="W54" s="48" t="n"/>
      <c r="X54" s="48" t="n"/>
      <c r="Y54" s="48" t="n"/>
      <c r="Z54" s="48" t="n"/>
      <c r="AA54" s="48" t="n"/>
      <c r="AB54" s="48" t="n"/>
      <c r="AC54" s="48" t="n"/>
      <c r="AD54" s="48" t="n"/>
      <c r="AE54" s="58" t="n"/>
      <c r="AF54" s="48" t="n"/>
      <c r="AG54" s="48" t="n"/>
      <c r="AH54" s="48" t="n"/>
      <c r="AI54" s="62" t="inlineStr">
        <is>
          <t>none</t>
        </is>
      </c>
      <c r="AJ54" s="44" t="inlineStr">
        <is>
          <t>CLOSED</t>
        </is>
      </c>
      <c r="AK54" s="62" t="inlineStr">
        <is>
          <t>seal a46b2f79804210e6</t>
        </is>
      </c>
      <c r="AL54" s="47" t="n">
        <v>84</v>
      </c>
      <c r="AM54" s="48" t="n"/>
      <c r="AN54" s="48" t="n"/>
      <c r="AO54" s="48" t="n"/>
      <c r="AP54" s="62" t="inlineStr">
        <is>
          <t>A02.01 → D/A08.01 → 6/A08.11 → S2.10 → A/A09.21 → D/A09.22 → F/A09.22 → H/A09.23 → 2/A09.25 → 5/A09.25 → 9/S3.20 → 6/S5.10 → 10/S5.10 → A09.01 → A12.01 → 5/A09.26 → 9/A09.27 → 6/A09.31 → 7/S5.20 → A00.30 → A09.33</t>
        </is>
      </c>
    </row>
    <row r="55" ht="15" customHeight="1" s="36">
      <c r="A55" s="55" t="inlineStr">
        <is>
          <t>TYPE EXT-6CFMF</t>
        </is>
      </c>
      <c r="B55" s="56" t="n"/>
      <c r="C55" s="56" t="n"/>
      <c r="D55" s="56" t="n"/>
      <c r="E55" s="56" t="n"/>
      <c r="F55" s="56" t="n"/>
      <c r="G55" s="56" t="n"/>
      <c r="H55" s="56" t="n"/>
      <c r="I55" s="56" t="n"/>
      <c r="J55" s="56" t="n"/>
      <c r="K55" s="56" t="n"/>
      <c r="L55" s="56" t="n"/>
      <c r="M55" s="56" t="n"/>
      <c r="N55" s="56" t="n"/>
      <c r="O55" s="56" t="n"/>
      <c r="P55" s="56" t="n"/>
      <c r="Q55" s="56" t="n"/>
      <c r="R55" s="56" t="n"/>
      <c r="S55" s="56" t="n"/>
      <c r="T55" s="56" t="n"/>
      <c r="U55" s="56" t="n"/>
      <c r="V55" s="56" t="n"/>
      <c r="W55" s="56" t="n"/>
      <c r="X55" s="56" t="n"/>
      <c r="Y55" s="56" t="n"/>
      <c r="Z55" s="56" t="n"/>
      <c r="AA55" s="56" t="n"/>
      <c r="AB55" s="56" t="n"/>
      <c r="AC55" s="56" t="n"/>
      <c r="AD55" s="56" t="n"/>
      <c r="AE55" s="56" t="n"/>
      <c r="AF55" s="56" t="n"/>
      <c r="AG55" s="56" t="n"/>
      <c r="AH55" s="56" t="n"/>
      <c r="AI55" s="56" t="n"/>
      <c r="AJ55" s="56" t="n"/>
      <c r="AK55" s="56" t="n"/>
      <c r="AL55" s="56" t="n"/>
      <c r="AM55" s="56" t="n"/>
      <c r="AN55" s="56" t="n"/>
      <c r="AO55" s="56" t="n"/>
      <c r="AP55" s="56" t="n"/>
    </row>
    <row r="56" ht="74.25" customHeight="1" s="36">
      <c r="A56" s="46" t="inlineStr">
        <is>
          <t>EXT-6CFMF  #61  -  EAST facade (grid 8, x=1851.78) -- the 4 offices 105-108.  Stud 6" 600S137-33 MST @ 16" O.C.; bracing 1-1/2" C.R. channel @ 48" O.C.  Interior: 1 layer(s) 5/8 GYP @ 14.520 FT  (1 instance)</t>
        </is>
      </c>
      <c r="B56" s="57" t="n">
        <v>61</v>
      </c>
      <c r="C56" s="47" t="n">
        <v>76.3</v>
      </c>
      <c r="D56" s="47" t="n">
        <v>14.52</v>
      </c>
      <c r="E56" s="58" t="n">
        <v>1</v>
      </c>
      <c r="F56" s="59" t="inlineStr">
        <is>
          <t>6"</t>
        </is>
      </c>
      <c r="G56" s="60" t="n">
        <v>132</v>
      </c>
      <c r="H56" s="48" t="n">
        <v>1916.64</v>
      </c>
      <c r="I56" s="48" t="n">
        <v>0</v>
      </c>
      <c r="J56" s="48" t="n">
        <v>0</v>
      </c>
      <c r="K56" s="61" t="n">
        <v>1043.876</v>
      </c>
      <c r="L56" s="48" t="n"/>
      <c r="M56" s="48" t="n"/>
      <c r="N56" s="48" t="n"/>
      <c r="O56" s="48" t="n"/>
      <c r="P56" s="48" t="n"/>
      <c r="Q56" s="48" t="n">
        <v>76.3</v>
      </c>
      <c r="R56" s="48" t="n">
        <v>76.3</v>
      </c>
      <c r="S56" s="48" t="n">
        <v>228.9</v>
      </c>
      <c r="T56" s="58" t="n"/>
      <c r="U56" s="48" t="n"/>
      <c r="V56" s="48" t="n"/>
      <c r="W56" s="48" t="n"/>
      <c r="X56" s="48" t="n">
        <v>1043.88</v>
      </c>
      <c r="Y56" s="48" t="n"/>
      <c r="Z56" s="48" t="n"/>
      <c r="AA56" s="48" t="n">
        <v>40</v>
      </c>
      <c r="AB56" s="48" t="n"/>
      <c r="AC56" s="48" t="n"/>
      <c r="AD56" s="48" t="n"/>
      <c r="AE56" s="58" t="n"/>
      <c r="AF56" s="48" t="n"/>
      <c r="AG56" s="48" t="n">
        <v>37.33</v>
      </c>
      <c r="AH56" s="48" t="n">
        <v>37.33</v>
      </c>
      <c r="AI56" s="62" t="inlineStr">
        <is>
          <t>window window GL-2 #1 (R.O. 8'-0" x 2'-0") 8.00 x 2.00 + window window GL-2 #2 (R.O. 8'-0" x 2'-0") 8.00 x 2.00 + window window GL-2 #3 (R.O. 8'-0" x 2'-0") 8.00 x 2.00 + window window GL-2 #4 (R.O. 8'-0" x 2'-0") 8.00 x 2.00</t>
        </is>
      </c>
      <c r="AJ56" s="44" t="inlineStr">
        <is>
          <t>CLOSED</t>
        </is>
      </c>
      <c r="AK56" s="62" t="inlineStr">
        <is>
          <t>seal a3203de09a3a9d2f</t>
        </is>
      </c>
      <c r="AL56" s="47" t="n">
        <v>1916.64</v>
      </c>
      <c r="AM56" s="48" t="n"/>
      <c r="AN56" s="48" t="n">
        <v>1043.88</v>
      </c>
      <c r="AO56" s="48" t="n">
        <v>40</v>
      </c>
      <c r="AP56" s="62" t="inlineStr">
        <is>
          <t>A02.01 → 5/A08.11 → 6/A08.11 → A08.01 → 2/A09.01 → 1/A09.02 → A/A09.21 → B/A09.21 → C/A09.21 → D/A09.22 → E/A09.22 → F/A09.22 → H/A09.23 → J/A09.23 → 1/A09.25 → 2/A09.25 → 3/A09.25 → 4/A11.01 → 10/A11.03 → 3/A11.04 → 7/A11.04 → 9/A11.04 → 16/A11.04 → 2/S3.20 → 8/S3.20 → 6/S5.10 → 10/S5.10 → 11/S5.10 → 7/S5.11 → A12.01 → 1/A09.26 → 2/A09.26 → 4/A09.26 → 5/A09.26 → 6/A09.26 → 7/A09.26 → 9/A09.27 → 10/A09.27 → 11/A09.27 → 6/A09.31 → 7/S5.20 → A09.33</t>
        </is>
      </c>
    </row>
    <row r="57" ht="53.25" customHeight="1" s="36">
      <c r="A57" s="46" t="inlineStr">
        <is>
          <t>EXT-6CFMF  #62  -  SOUTH facade (grid A, y=1702.14) -- service side, egress door 123.  Stud 6" 600S137-33 MST @ 16" O.C.; bracing 1-1/2" C.R. channel @ 48" O.C.  Interior: 1 layer(s) 5/8 GYP @ 12.531 FT  (1 instance)</t>
        </is>
      </c>
      <c r="B57" s="57" t="n">
        <v>62</v>
      </c>
      <c r="C57" s="47" t="n">
        <v>52.7</v>
      </c>
      <c r="D57" s="47" t="n">
        <v>12.531</v>
      </c>
      <c r="E57" s="58" t="n">
        <v>1</v>
      </c>
      <c r="F57" s="59" t="inlineStr">
        <is>
          <t>6"</t>
        </is>
      </c>
      <c r="G57" s="60" t="n">
        <v>46</v>
      </c>
      <c r="H57" s="48" t="n">
        <v>576.4299999999999</v>
      </c>
      <c r="I57" s="48" t="n">
        <v>0</v>
      </c>
      <c r="J57" s="48" t="n">
        <v>0</v>
      </c>
      <c r="K57" s="61" t="n">
        <v>637.0737</v>
      </c>
      <c r="L57" s="48" t="n"/>
      <c r="M57" s="48" t="n"/>
      <c r="N57" s="48" t="n"/>
      <c r="O57" s="48" t="n"/>
      <c r="P57" s="48" t="n"/>
      <c r="Q57" s="48" t="n">
        <v>52.7</v>
      </c>
      <c r="R57" s="48" t="n">
        <v>52.7</v>
      </c>
      <c r="S57" s="48" t="n">
        <v>158.1</v>
      </c>
      <c r="T57" s="58" t="n"/>
      <c r="U57" s="48" t="n"/>
      <c r="V57" s="48" t="n"/>
      <c r="W57" s="48" t="n"/>
      <c r="X57" s="48" t="n">
        <v>637.0700000000001</v>
      </c>
      <c r="Y57" s="48" t="n"/>
      <c r="Z57" s="48" t="n"/>
      <c r="AA57" s="48" t="n"/>
      <c r="AB57" s="48" t="n"/>
      <c r="AC57" s="48" t="n"/>
      <c r="AD57" s="48" t="n"/>
      <c r="AE57" s="58" t="n"/>
      <c r="AF57" s="48" t="n"/>
      <c r="AG57" s="48" t="n">
        <v>4.66</v>
      </c>
      <c r="AH57" s="48" t="n"/>
      <c r="AI57" s="62" t="inlineStr">
        <is>
          <t>door door 123 de egreso 3.33 x 7.00</t>
        </is>
      </c>
      <c r="AJ57" s="44" t="inlineStr">
        <is>
          <t>CLOSED</t>
        </is>
      </c>
      <c r="AK57" s="62" t="inlineStr">
        <is>
          <t>seal 3eacd1caf553f123</t>
        </is>
      </c>
      <c r="AL57" s="47" t="n">
        <v>576.4299999999999</v>
      </c>
      <c r="AM57" s="48" t="n"/>
      <c r="AN57" s="48" t="n">
        <v>637.0700000000001</v>
      </c>
      <c r="AO57" s="48" t="n"/>
      <c r="AP57" s="62" t="inlineStr">
        <is>
          <t>A02.01 → 5/A08.11 → 6/A08.11 → A08.01 → S2.20 → A/A09.21 → B/A09.21 → C/A09.21 → D/A09.22 → E/A09.22 → F/A09.22 → H/A09.23 → J/A09.23 → 4/A11.01 → 10/A11.03 → 3/A11.04 → 7/A11.04 → 9/A11.04 → 16/A11.04 → 2/S3.20 → 8/S3.20 → 6/S5.10 → 10/S5.10 → 11/S5.10 → 7/S5.11 → A09.01 → A09.02 → A12.01 → 2/A09.26 → 4/A09.26 → 5/A09.26 → 7/A09.26 → 9/A09.27 → 11/A09.27 → 6/A09.31 → 7/S5.20 → A00.30 → A09.33</t>
        </is>
      </c>
    </row>
    <row r="58" ht="53.25" customHeight="1" s="36">
      <c r="A58" s="46" t="inlineStr">
        <is>
          <t>EXT-6CFMF  #63  -  WEST LOW facade (grid 3, x=903.18) -- offices 109-110 and restrooms.  Stud 6" 600S137-33 MST @ 16" O.C.; bracing 1-1/2" C.R. channel @ 48" O.C.  Interior: 1 layer(s) 5/8 GYP @ 13.990 FT  (1 instance)</t>
        </is>
      </c>
      <c r="B58" s="57" t="n">
        <v>63</v>
      </c>
      <c r="C58" s="47" t="n">
        <v>47.92</v>
      </c>
      <c r="D58" s="47" t="n">
        <v>13.99</v>
      </c>
      <c r="E58" s="58" t="n">
        <v>1</v>
      </c>
      <c r="F58" s="59" t="inlineStr">
        <is>
          <t>6"</t>
        </is>
      </c>
      <c r="G58" s="60" t="n">
        <v>74</v>
      </c>
      <c r="H58" s="48" t="n">
        <v>1035.26</v>
      </c>
      <c r="I58" s="48" t="n">
        <v>0</v>
      </c>
      <c r="J58" s="48" t="n">
        <v>0</v>
      </c>
      <c r="K58" s="61" t="n">
        <v>638.4008</v>
      </c>
      <c r="L58" s="48" t="n">
        <v>59.79</v>
      </c>
      <c r="M58" s="48" t="n"/>
      <c r="N58" s="48" t="n">
        <v>6.64</v>
      </c>
      <c r="O58" s="48" t="n"/>
      <c r="P58" s="48" t="n"/>
      <c r="Q58" s="48" t="n">
        <v>47.92</v>
      </c>
      <c r="R58" s="48" t="n">
        <v>47.92</v>
      </c>
      <c r="S58" s="48" t="n">
        <v>143.76</v>
      </c>
      <c r="T58" s="58" t="n"/>
      <c r="U58" s="48" t="n">
        <v>25.33</v>
      </c>
      <c r="V58" s="48" t="n"/>
      <c r="W58" s="48" t="n"/>
      <c r="X58" s="48" t="n">
        <v>638.4</v>
      </c>
      <c r="Y58" s="48" t="n"/>
      <c r="Z58" s="48" t="n"/>
      <c r="AA58" s="48" t="n">
        <v>20</v>
      </c>
      <c r="AB58" s="48" t="n"/>
      <c r="AC58" s="48" t="n"/>
      <c r="AD58" s="48" t="n"/>
      <c r="AE58" s="58" t="n"/>
      <c r="AF58" s="48" t="n"/>
      <c r="AG58" s="48" t="n">
        <v>18.67</v>
      </c>
      <c r="AH58" s="48" t="n">
        <v>18.67</v>
      </c>
      <c r="AI58" s="62" t="inlineStr">
        <is>
          <t>window window GL-2 #1 (R.O. 8'-0" x 2'-0") 8.00 x 2.00 + window window GL-2 #2 (R.O. 8'-0" x 2'-0") 8.00 x 2.00</t>
        </is>
      </c>
      <c r="AJ58" s="44" t="inlineStr">
        <is>
          <t>CLOSED</t>
        </is>
      </c>
      <c r="AK58" s="62" t="inlineStr">
        <is>
          <t>seal 689bc85d12113496</t>
        </is>
      </c>
      <c r="AL58" s="47" t="n">
        <v>1035.26</v>
      </c>
      <c r="AM58" s="48" t="n"/>
      <c r="AN58" s="48" t="n">
        <v>638.4</v>
      </c>
      <c r="AO58" s="48" t="n">
        <v>20</v>
      </c>
      <c r="AP58" s="62" t="inlineStr">
        <is>
          <t>A02.01 → C/A08.01 → D/A08.01 → 5/A08.11 → 6/A08.11 → 2/A09.01 → 1/A09.02 → A/A09.21 → B/A09.21 → C/A09.21 → D/A09.22 → E/A09.22 → F/A09.22 → H/A09.23 → J/A09.23 → 1/A09.25 → 2/A09.25 → 3/A09.25 → 2/S3.20 → 8/S3.20 → 6/S5.10 → 10/S5.10 → 11/S5.10 → 7/S5.11 → A12.01 → 1/A09.26 → 2/A09.26 → 4/A09.26 → 5/A09.26 → 6/A09.26 → 7/A09.26 → 9/A09.27 → 10/A09.27 → 11/A09.27 → 6/A09.31 → 7/S5.20 → A00.21 → A09.33</t>
        </is>
      </c>
    </row>
    <row r="59" ht="63.75" customHeight="1" s="36">
      <c r="A59" s="108" t="inlineStr">
        <is>
          <t>EXT-6CFMF  #65  -  WEST HIGH facade (grid 2, x=833.16) -- 24 hr vestibule and drive-up ATM.  Stud 6" 600S137-33 MST @ 16" O.C.; bracing 1-1/2" C.R. channel @ 48" O.C.  Interior: 1 layer(s) 5/8 GYP @ 15.375 FT  (1 instance)</t>
        </is>
      </c>
      <c r="B59" s="109" t="n">
        <v>65</v>
      </c>
      <c r="C59" s="110" t="n">
        <v>21.88</v>
      </c>
      <c r="D59" s="110" t="n">
        <v>15.375</v>
      </c>
      <c r="E59" s="111" t="n">
        <v>1</v>
      </c>
      <c r="F59" s="112" t="inlineStr">
        <is>
          <t>6"</t>
        </is>
      </c>
      <c r="G59" s="113" t="n">
        <v>27</v>
      </c>
      <c r="H59" s="114" t="n">
        <v>415.12</v>
      </c>
      <c r="I59" s="114" t="n">
        <v>0</v>
      </c>
      <c r="J59" s="114" t="n">
        <v>0</v>
      </c>
      <c r="K59" s="115" t="n">
        <v>330.735</v>
      </c>
      <c r="L59" s="114" t="n"/>
      <c r="M59" s="114" t="n"/>
      <c r="N59" s="114" t="n"/>
      <c r="O59" s="114" t="n"/>
      <c r="P59" s="114" t="n"/>
      <c r="Q59" s="114" t="n">
        <v>21.88</v>
      </c>
      <c r="R59" s="114" t="n">
        <v>21.88</v>
      </c>
      <c r="S59" s="114" t="n">
        <v>65.64</v>
      </c>
      <c r="T59" s="111" t="n"/>
      <c r="U59" s="114" t="n"/>
      <c r="V59" s="114" t="n"/>
      <c r="W59" s="114" t="n"/>
      <c r="X59" s="114" t="n">
        <v>305.37</v>
      </c>
      <c r="Y59" s="114" t="n"/>
      <c r="Z59" s="114" t="n"/>
      <c r="AA59" s="114" t="n">
        <v>37.12</v>
      </c>
      <c r="AB59" s="114" t="n"/>
      <c r="AC59" s="114" t="n"/>
      <c r="AD59" s="114" t="n">
        <v>49.87</v>
      </c>
      <c r="AE59" s="111" t="n"/>
      <c r="AF59" s="114" t="n"/>
      <c r="AG59" s="114" t="n">
        <v>20.85</v>
      </c>
      <c r="AH59" s="114" t="n">
        <v>3.51</v>
      </c>
      <c r="AI59" s="116" t="inlineStr">
        <is>
          <t>framed opening R.O. del ATM drive-up NHA 9D 2.18 x 2.60</t>
        </is>
      </c>
      <c r="AJ59" s="117" t="inlineStr">
        <is>
          <t>CLOSED</t>
        </is>
      </c>
      <c r="AK59" s="116" t="inlineStr">
        <is>
          <t>seal aded4bb735f151bd</t>
        </is>
      </c>
      <c r="AL59" s="110" t="n">
        <v>415.12</v>
      </c>
      <c r="AM59" s="114" t="n"/>
      <c r="AN59" s="114" t="n">
        <v>330.74</v>
      </c>
      <c r="AO59" s="114" t="n">
        <v>11.75</v>
      </c>
      <c r="AP59" s="116" t="inlineStr">
        <is>
          <t>A02.01 → D/A08.01 → 2/A08.11 → 3/A08.11 → 4/A08.11 → 5/A08.11 → 6/A08.11 → 7/A08.11 → 8/A08.11 → 9/A08.11 → A/A09.21 → B/A09.21 → C/A09.21 → D/A09.22 → E/A09.22 → F/A09.22 → H/A09.23 → J/A09.23 → 1/A09.25 → 2/A09.25 → 3/A09.25 → 2/S3.20 → 8/S3.20 → 6/S5.10 → 10/S5.10 → 11/S5.10 → 7/S5.11 → A09.01 → A09.02 → A12.01 → 1/A09.26 → 2/A09.26 → 4/A09.26 → 5/A09.26 → 6/A09.26 → 7/A09.26 → 9/A09.27 → 10/A09.27 → 11/A09.27 → 6/A09.31 → 7/S5.20 → A09.33</t>
        </is>
      </c>
      <c r="AQ59" s="107" t="inlineStr">
        <is>
          <t>v7 (U1): 49.87 LF sistered stud + furring at the drive-up recess (6/A08.11 prints "2 1/2" METAL STUD SISTERED TO 6" METAL STUD" and "FURRING ON 5/8" FRT PLYWOOD") NOT carried: extra framing ATM = 0 by user decision; RFI-ATM-DU +49.87 LF | v8 W1 (user 2026-10-21): 6/A08.11 PRINTS "2 1/2" METAL STUD SISTERED TO 6" METAL STUD" and "FURRING ON 5/8" FRT PLYWOOD" at the drive-up recess -&gt; counted as extra framing ATM = 49.87 LF (v4 operation of this column, restored). The wall stays in its type (EXT-6CFMF), nothing is subtracted from it.</t>
        </is>
      </c>
    </row>
    <row r="60" ht="63.75" customHeight="1" s="36">
      <c r="A60" s="94" t="inlineStr">
        <is>
          <t>EXT-6CFMF  #60  -  NORTH facade (grid F, y=328.74) -- entrance side.  Stud 6" 600S137-33 MST @ 16" O.C.; bracing 1-1/2" C.R. channel @ 48" O.C.  Interior: 1 layer(s) 5/8 GYP @ 15.375 FT  (1 instance)</t>
        </is>
      </c>
      <c r="B60" s="95" t="n">
        <v>60</v>
      </c>
      <c r="C60" s="96" t="n">
        <v>13.19</v>
      </c>
      <c r="D60" s="96" t="n">
        <v>15.375</v>
      </c>
      <c r="E60" s="97" t="n">
        <v>1</v>
      </c>
      <c r="F60" s="98" t="inlineStr">
        <is>
          <t>6"</t>
        </is>
      </c>
      <c r="G60" s="99" t="n">
        <v>12</v>
      </c>
      <c r="H60" s="100" t="n">
        <v>184.5</v>
      </c>
      <c r="I60" s="100" t="n">
        <v>0</v>
      </c>
      <c r="J60" s="100" t="n">
        <v>0</v>
      </c>
      <c r="K60" s="101" t="n">
        <v>202.8</v>
      </c>
      <c r="L60" s="100" t="n"/>
      <c r="M60" s="100" t="n"/>
      <c r="N60" s="100" t="n"/>
      <c r="O60" s="100" t="n"/>
      <c r="P60" s="100" t="n"/>
      <c r="Q60" s="100" t="n">
        <v>13.19</v>
      </c>
      <c r="R60" s="100" t="n">
        <v>13.19</v>
      </c>
      <c r="S60" s="100" t="n">
        <v>39.57</v>
      </c>
      <c r="T60" s="97" t="n"/>
      <c r="U60" s="100" t="n"/>
      <c r="V60" s="100" t="n"/>
      <c r="W60" s="100" t="n"/>
      <c r="X60" s="100" t="n">
        <v>202.8</v>
      </c>
      <c r="Y60" s="100" t="n"/>
      <c r="Z60" s="100" t="n"/>
      <c r="AA60" s="100" t="n">
        <v>29.32</v>
      </c>
      <c r="AB60" s="100" t="n"/>
      <c r="AC60" s="100" t="n"/>
      <c r="AD60" s="100" t="n"/>
      <c r="AE60" s="97" t="n"/>
      <c r="AF60" s="100" t="n"/>
      <c r="AG60" s="100" t="n">
        <v>42.97</v>
      </c>
      <c r="AH60" s="100" t="n"/>
      <c r="AI60" s="102" t="inlineStr">
        <is>
          <t>none</t>
        </is>
      </c>
      <c r="AJ60" s="103" t="inlineStr">
        <is>
          <t>CLOSED</t>
        </is>
      </c>
      <c r="AK60" s="102" t="inlineStr">
        <is>
          <t>seal 99b40ea2d02d7ef9</t>
        </is>
      </c>
      <c r="AL60" s="96" t="n">
        <v>184.5</v>
      </c>
      <c r="AM60" s="100" t="n"/>
      <c r="AN60" s="100" t="n">
        <v>229.86</v>
      </c>
      <c r="AO60" s="100" t="n">
        <v>29.32</v>
      </c>
      <c r="AP60" s="102" t="inlineStr">
        <is>
          <t>A02.01 → 6/A08.11 → A08.01 → S2.20 → A/A09.21 → B/A09.21 → C/A09.21 → D/A09.22 → E/A09.22 → F/A09.22 → H/A09.23 → J/A09.23 → 1/A09.25 → 2/A09.25 → 3/A09.25 → 4/A11.01 → 10/A11.03 → 3/A11.04 → 7/A11.04 → 9/A11.04 → 16/A11.04 → 2/S3.20 → 8/S3.20 → 6/S5.10 → 10/S5.10 → 11/S5.10 → 7/S5.11 → A09.01 → A09.02 → A12.01 → 1/A09.26 → 2/A09.26 → 4/A09.26 → 5/A09.26 → 6/A09.26 → 7/A09.26 → 9/A09.27 → 10/A09.27 → 11/A09.27 → 6/A09.31 → 7/S5.20 → A00.30 → A09.33</t>
        </is>
      </c>
      <c r="AQ60" s="104" t="inlineStr">
        <is>
          <t>v7 (U6, user 2026-10-20): length 14.95 -&gt; 13.19 (13.19 LF); studs 53.2 (ROUNDUP(13.19/1.3333) - ROUNDUP(14.95/1.3333)) x 1 row(s) = -2 pcs x 15.375 = -30.75 LF; board 229.86/14.95 x -1.76 = -27.06 SF; track -1.76 each; bracing -5.28; FRT+polyiso -27.06</t>
        </is>
      </c>
    </row>
    <row r="61" ht="53.25" customHeight="1" s="36">
      <c r="A61" s="46" t="inlineStr">
        <is>
          <t>EXT-6CFMF  #64  -  West perimeter jog (y=839.58, grid 2 to grid 3).  Stud 6" 600S137-33 MST @ 16" O.C.; bracing 1-1/2" C.R. channel @ 48" O.C.  Interior: 1 layer(s) 5/8 GYP @ 15.375 FT  (1 instance)</t>
        </is>
      </c>
      <c r="B61" s="57" t="n">
        <v>64</v>
      </c>
      <c r="C61" s="47" t="n">
        <v>3.89</v>
      </c>
      <c r="D61" s="47" t="n">
        <v>15.375</v>
      </c>
      <c r="E61" s="58" t="n">
        <v>1</v>
      </c>
      <c r="F61" s="59" t="inlineStr">
        <is>
          <t>6"</t>
        </is>
      </c>
      <c r="G61" s="60" t="n">
        <v>5</v>
      </c>
      <c r="H61" s="48" t="n">
        <v>76.88</v>
      </c>
      <c r="I61" s="48" t="n">
        <v>0</v>
      </c>
      <c r="J61" s="48" t="n">
        <v>0</v>
      </c>
      <c r="K61" s="61" t="n">
        <v>59.80875</v>
      </c>
      <c r="L61" s="48" t="n"/>
      <c r="M61" s="48" t="n"/>
      <c r="N61" s="48" t="n"/>
      <c r="O61" s="48" t="n"/>
      <c r="P61" s="48" t="n"/>
      <c r="Q61" s="48" t="n">
        <v>3.89</v>
      </c>
      <c r="R61" s="48" t="n">
        <v>3.89</v>
      </c>
      <c r="S61" s="48" t="n">
        <v>11.67</v>
      </c>
      <c r="T61" s="58" t="n"/>
      <c r="U61" s="48" t="n"/>
      <c r="V61" s="48" t="n"/>
      <c r="W61" s="48" t="n"/>
      <c r="X61" s="48" t="n">
        <v>59.81</v>
      </c>
      <c r="Y61" s="48" t="n"/>
      <c r="Z61" s="48" t="n"/>
      <c r="AA61" s="48" t="n"/>
      <c r="AB61" s="48" t="n"/>
      <c r="AC61" s="48" t="n"/>
      <c r="AD61" s="48" t="n"/>
      <c r="AE61" s="58" t="n"/>
      <c r="AF61" s="48" t="n"/>
      <c r="AG61" s="48" t="n"/>
      <c r="AH61" s="48" t="n"/>
      <c r="AI61" s="62" t="inlineStr">
        <is>
          <t>none</t>
        </is>
      </c>
      <c r="AJ61" s="44" t="inlineStr">
        <is>
          <t>CLOSED</t>
        </is>
      </c>
      <c r="AK61" s="62" t="inlineStr">
        <is>
          <t>seal 1a04cf242764cf6c</t>
        </is>
      </c>
      <c r="AL61" s="47" t="n">
        <v>76.88</v>
      </c>
      <c r="AM61" s="48" t="n"/>
      <c r="AN61" s="48" t="n">
        <v>59.81</v>
      </c>
      <c r="AO61" s="48" t="n"/>
      <c r="AP61" s="62" t="inlineStr">
        <is>
          <t>A02.01 → 6/A08.11 → A08.01 → A/A09.21 → B/A09.21 → C/A09.21 → D/A09.22 → E/A09.22 → F/A09.22 → H/A09.23 → J/A09.23 → 4/A11.01 → 10/A11.03 → 3/A11.04 → 7/A11.04 → 9/A11.04 → 16/A11.04 → 2/S3.20 → 8/S3.20 → 6/S5.10 → 10/S5.10 → 11/S5.10 → 7/S5.11 → A09.01 → A09.02 → A12.01 → 2/A09.26 → 4/A09.26 → 5/A09.26 → 7/A09.26 → 9/A09.27 → 11/A09.27 → 6/A09.31 → 7/S5.20 → A00.30 → A09.33</t>
        </is>
      </c>
    </row>
    <row r="62" ht="15" customHeight="1" s="36">
      <c r="A62" s="55" t="inlineStr">
        <is>
          <t>TYPE EXT-PARAPET</t>
        </is>
      </c>
      <c r="B62" s="56" t="n"/>
      <c r="C62" s="56" t="n"/>
      <c r="D62" s="56" t="n"/>
      <c r="E62" s="56" t="n"/>
      <c r="F62" s="56" t="n"/>
      <c r="G62" s="56" t="n"/>
      <c r="H62" s="56" t="n"/>
      <c r="I62" s="56" t="n"/>
      <c r="J62" s="56" t="n"/>
      <c r="K62" s="56" t="n"/>
      <c r="L62" s="56" t="n"/>
      <c r="M62" s="56" t="n"/>
      <c r="N62" s="56" t="n"/>
      <c r="O62" s="56" t="n"/>
      <c r="P62" s="56" t="n"/>
      <c r="Q62" s="56" t="n"/>
      <c r="R62" s="56" t="n"/>
      <c r="S62" s="56" t="n"/>
      <c r="T62" s="56" t="n"/>
      <c r="U62" s="56" t="n"/>
      <c r="V62" s="56" t="n"/>
      <c r="W62" s="56" t="n"/>
      <c r="X62" s="56" t="n"/>
      <c r="Y62" s="56" t="n"/>
      <c r="Z62" s="56" t="n"/>
      <c r="AA62" s="56" t="n"/>
      <c r="AB62" s="56" t="n"/>
      <c r="AC62" s="56" t="n"/>
      <c r="AD62" s="56" t="n"/>
      <c r="AE62" s="56" t="n"/>
      <c r="AF62" s="56" t="n"/>
      <c r="AG62" s="56" t="n"/>
      <c r="AH62" s="56" t="n"/>
      <c r="AI62" s="56" t="n"/>
      <c r="AJ62" s="56" t="n"/>
      <c r="AK62" s="56" t="n"/>
      <c r="AL62" s="56" t="n"/>
      <c r="AM62" s="56" t="n"/>
      <c r="AN62" s="56" t="n"/>
      <c r="AO62" s="56" t="n"/>
      <c r="AP62" s="56" t="n"/>
    </row>
    <row r="63" ht="34.5" customHeight="1" s="36">
      <c r="A63" s="46" t="inlineStr">
        <is>
          <t>EXT-PARAPET  #161  -  EAST facade (grid 8, x=1851.78) -- the 4 offices 105-108 -- PARAPET INFILL, from B.O.D. up to T/ STUD.  Stud 6" 54mil 600S162-54 MST @ 16" O.C.; bracing 1-1/2" C.R. channel @ 48" O.C.    (1 instance)</t>
        </is>
      </c>
      <c r="B63" s="57" t="n">
        <v>161</v>
      </c>
      <c r="C63" s="47" t="n">
        <v>76.3</v>
      </c>
      <c r="D63" s="47" t="n">
        <v>2.897</v>
      </c>
      <c r="E63" s="58" t="n">
        <v>0</v>
      </c>
      <c r="F63" s="59" t="inlineStr">
        <is>
          <t>6" 54mil</t>
        </is>
      </c>
      <c r="G63" s="60" t="n">
        <v>92</v>
      </c>
      <c r="H63" s="48" t="n">
        <v>0</v>
      </c>
      <c r="I63" s="48" t="n">
        <v>0</v>
      </c>
      <c r="J63" s="48" t="n">
        <v>0</v>
      </c>
      <c r="K63" s="61" t="n">
        <v>0</v>
      </c>
      <c r="L63" s="48" t="n"/>
      <c r="M63" s="48" t="n"/>
      <c r="N63" s="48" t="n"/>
      <c r="O63" s="48" t="n"/>
      <c r="P63" s="48" t="n"/>
      <c r="Q63" s="48" t="n">
        <v>76.3</v>
      </c>
      <c r="R63" s="48" t="n">
        <v>76.3</v>
      </c>
      <c r="S63" s="48" t="n">
        <v>0</v>
      </c>
      <c r="T63" s="58" t="n"/>
      <c r="U63" s="48" t="n">
        <v>76.3</v>
      </c>
      <c r="V63" s="48" t="n"/>
      <c r="W63" s="48" t="n">
        <v>221.04</v>
      </c>
      <c r="X63" s="48" t="n">
        <v>221.04</v>
      </c>
      <c r="Y63" s="48" t="n"/>
      <c r="Z63" s="48" t="n"/>
      <c r="AA63" s="48" t="n"/>
      <c r="AB63" s="48" t="n"/>
      <c r="AC63" s="48" t="n"/>
      <c r="AD63" s="48" t="n"/>
      <c r="AE63" s="58" t="n">
        <v>77</v>
      </c>
      <c r="AF63" s="48" t="n"/>
      <c r="AG63" s="48" t="n"/>
      <c r="AH63" s="48" t="n"/>
      <c r="AI63" s="62" t="inlineStr">
        <is>
          <t>none</t>
        </is>
      </c>
      <c r="AJ63" s="44" t="inlineStr">
        <is>
          <t>CLOSED</t>
        </is>
      </c>
      <c r="AK63" s="62" t="inlineStr">
        <is>
          <t>seal ef38ead4712e6278</t>
        </is>
      </c>
      <c r="AL63" s="47" t="n">
        <v>266.52</v>
      </c>
      <c r="AM63" s="48" t="n"/>
      <c r="AN63" s="48" t="n"/>
      <c r="AO63" s="48" t="n"/>
      <c r="AP63" s="62" t="inlineStr">
        <is>
          <t>A02.01 → A/A09.21 → C/A09.21 → D/A09.22 → H/A09.23 → J/A09.23 → 6/S5.10 → 10/S5.10 → 11/S5.10 → 7/S5.11 → A09.01 → A09.02 → A12.01 → 4/A09.26 → 7/S5.20 → A00.30 → A09.27 → A09.33</t>
        </is>
      </c>
    </row>
    <row r="64" ht="45.75" customHeight="1" s="36">
      <c r="A64" s="46" t="inlineStr">
        <is>
          <t>EXT-PARAPET  #162  -  SOUTH facade (grid A, y=1702.14) -- service side, egress door 123 -- PARAPET INFILL, from B.O.D. up to T/ STUD.  Stud 6" 54mil 600S162-54 MST @ 16" O.C.; bracing 1-1/2" C.R. channel @ 48" O.C.    (1 instance)</t>
        </is>
      </c>
      <c r="B64" s="57" t="n">
        <v>162</v>
      </c>
      <c r="C64" s="47" t="n">
        <v>52.7</v>
      </c>
      <c r="D64" s="47" t="n">
        <v>4.886</v>
      </c>
      <c r="E64" s="58" t="n">
        <v>0</v>
      </c>
      <c r="F64" s="59" t="inlineStr">
        <is>
          <t>6" 54mil</t>
        </is>
      </c>
      <c r="G64" s="60" t="n">
        <v>64</v>
      </c>
      <c r="H64" s="48" t="n">
        <v>0</v>
      </c>
      <c r="I64" s="48" t="n">
        <v>0</v>
      </c>
      <c r="J64" s="48" t="n">
        <v>0</v>
      </c>
      <c r="K64" s="61" t="n">
        <v>0</v>
      </c>
      <c r="L64" s="48" t="n"/>
      <c r="M64" s="48" t="n"/>
      <c r="N64" s="48" t="n"/>
      <c r="O64" s="48" t="n"/>
      <c r="P64" s="48" t="n"/>
      <c r="Q64" s="48" t="n">
        <v>52.7</v>
      </c>
      <c r="R64" s="48" t="n">
        <v>52.7</v>
      </c>
      <c r="S64" s="48" t="n">
        <v>52.7</v>
      </c>
      <c r="T64" s="58" t="n"/>
      <c r="U64" s="48" t="n">
        <v>52.7</v>
      </c>
      <c r="V64" s="48" t="n"/>
      <c r="W64" s="48" t="n">
        <v>257.49</v>
      </c>
      <c r="X64" s="48" t="n">
        <v>257.49</v>
      </c>
      <c r="Y64" s="48" t="n"/>
      <c r="Z64" s="48" t="n"/>
      <c r="AA64" s="48" t="n"/>
      <c r="AB64" s="48" t="n"/>
      <c r="AC64" s="48" t="n"/>
      <c r="AD64" s="48" t="n"/>
      <c r="AE64" s="58" t="n">
        <v>53</v>
      </c>
      <c r="AF64" s="48" t="n"/>
      <c r="AG64" s="48" t="n"/>
      <c r="AH64" s="48" t="n"/>
      <c r="AI64" s="62" t="inlineStr">
        <is>
          <t>none</t>
        </is>
      </c>
      <c r="AJ64" s="44" t="inlineStr">
        <is>
          <t>CLOSED</t>
        </is>
      </c>
      <c r="AK64" s="62" t="inlineStr">
        <is>
          <t>seal 13d7c711fa03fb8f</t>
        </is>
      </c>
      <c r="AL64" s="47" t="n">
        <v>312.7</v>
      </c>
      <c r="AM64" s="48" t="n"/>
      <c r="AN64" s="48" t="n"/>
      <c r="AO64" s="48" t="n"/>
      <c r="AP64" s="62" t="inlineStr">
        <is>
          <t>A02.01 → S2.20 → A/A09.21 → C/A09.21 → D/A09.22 → H/A09.23 → J/A09.23 → 6/S5.10 → 10/S5.10 → 11/S5.10 → 7/S5.11 → A09.01 → A09.02 → A12.01 → 4/A09.26 → 7/S5.20 → A00.30 → A09.27 → A09.33</t>
        </is>
      </c>
    </row>
    <row r="65" ht="45.75" customHeight="1" s="36">
      <c r="A65" s="46" t="inlineStr">
        <is>
          <t>EXT-PARAPET  #163  -  WEST LOW facade (grid 3, x=903.18) -- offices 109-110 and restrooms -- PARAPET INFILL, from B.O.D. up to T/ STUD.  Stud 6" 54mil 600S162-54 MST @ 16" O.C.; bracing 1-1/2" C.R. channel @ 48" O.C.    (1 instance)</t>
        </is>
      </c>
      <c r="B65" s="57" t="n">
        <v>163</v>
      </c>
      <c r="C65" s="47" t="n">
        <v>47.92</v>
      </c>
      <c r="D65" s="47" t="n">
        <v>3.427</v>
      </c>
      <c r="E65" s="58" t="n">
        <v>0</v>
      </c>
      <c r="F65" s="59" t="inlineStr">
        <is>
          <t>6" 54mil</t>
        </is>
      </c>
      <c r="G65" s="60" t="n">
        <v>58</v>
      </c>
      <c r="H65" s="48" t="n">
        <v>0</v>
      </c>
      <c r="I65" s="48" t="n">
        <v>0</v>
      </c>
      <c r="J65" s="48" t="n">
        <v>0</v>
      </c>
      <c r="K65" s="61" t="n">
        <v>0</v>
      </c>
      <c r="L65" s="48" t="n"/>
      <c r="M65" s="48" t="n"/>
      <c r="N65" s="48" t="n"/>
      <c r="O65" s="48" t="n"/>
      <c r="P65" s="48" t="n"/>
      <c r="Q65" s="48" t="n">
        <v>47.92</v>
      </c>
      <c r="R65" s="48" t="n">
        <v>47.92</v>
      </c>
      <c r="S65" s="48" t="n">
        <v>0</v>
      </c>
      <c r="T65" s="58" t="n"/>
      <c r="U65" s="48" t="n">
        <v>47.92</v>
      </c>
      <c r="V65" s="48" t="n"/>
      <c r="W65" s="48" t="n">
        <v>164.22</v>
      </c>
      <c r="X65" s="48" t="n">
        <v>164.22</v>
      </c>
      <c r="Y65" s="48" t="n"/>
      <c r="Z65" s="48" t="n"/>
      <c r="AA65" s="48" t="n"/>
      <c r="AB65" s="48" t="n"/>
      <c r="AC65" s="48" t="n"/>
      <c r="AD65" s="48" t="n"/>
      <c r="AE65" s="58" t="n">
        <v>48</v>
      </c>
      <c r="AF65" s="48" t="n"/>
      <c r="AG65" s="48" t="n"/>
      <c r="AH65" s="48" t="n"/>
      <c r="AI65" s="62" t="inlineStr">
        <is>
          <t>none</t>
        </is>
      </c>
      <c r="AJ65" s="44" t="inlineStr">
        <is>
          <t>CLOSED</t>
        </is>
      </c>
      <c r="AK65" s="62" t="inlineStr">
        <is>
          <t>seal d0130a7cdbf4c776</t>
        </is>
      </c>
      <c r="AL65" s="47" t="n">
        <v>198.77</v>
      </c>
      <c r="AM65" s="48" t="n"/>
      <c r="AN65" s="48" t="n"/>
      <c r="AO65" s="48" t="n"/>
      <c r="AP65" s="62" t="inlineStr">
        <is>
          <t>A02.01 → A/A09.21 → C/A09.21 → D/A09.22 → H/A09.23 → J/A09.23 → 6/S5.10 → 10/S5.10 → 11/S5.10 → 7/S5.11 → A09.01 → A09.02 → A12.01 → 4/A09.26 → 7/S5.20 → A00.30 → A09.27 → A09.33</t>
        </is>
      </c>
    </row>
    <row r="66" ht="45.75" customHeight="1" s="36">
      <c r="A66" s="46" t="inlineStr">
        <is>
          <t>EXT-PARAPET  #165  -  WEST HIGH facade (grid 2, x=833.16) -- 24 hr vestibule and drive-up ATM -- PARAPET INFILL, from B.O.D. up to T/ STUD.  Stud 6" 54mil 600S162-54 MST @ 16" O.C.; bracing 1-1/2" C.R. channel @ 48" O.C.    (1 instance)</t>
        </is>
      </c>
      <c r="B66" s="57" t="n">
        <v>165</v>
      </c>
      <c r="C66" s="47" t="n">
        <v>21.88</v>
      </c>
      <c r="D66" s="47" t="n">
        <v>4.292</v>
      </c>
      <c r="E66" s="58" t="n">
        <v>0</v>
      </c>
      <c r="F66" s="59" t="inlineStr">
        <is>
          <t>6" 54mil</t>
        </is>
      </c>
      <c r="G66" s="60" t="n">
        <v>29</v>
      </c>
      <c r="H66" s="48" t="n">
        <v>0</v>
      </c>
      <c r="I66" s="48" t="n">
        <v>0</v>
      </c>
      <c r="J66" s="48" t="n">
        <v>0</v>
      </c>
      <c r="K66" s="61" t="n">
        <v>0</v>
      </c>
      <c r="L66" s="48" t="n"/>
      <c r="M66" s="48" t="n"/>
      <c r="N66" s="48" t="n"/>
      <c r="O66" s="48" t="n"/>
      <c r="P66" s="48" t="n"/>
      <c r="Q66" s="48" t="n">
        <v>21.88</v>
      </c>
      <c r="R66" s="48" t="n">
        <v>21.88</v>
      </c>
      <c r="S66" s="48" t="n">
        <v>21.88</v>
      </c>
      <c r="T66" s="58" t="n"/>
      <c r="U66" s="48" t="n">
        <v>21.88</v>
      </c>
      <c r="V66" s="48" t="n"/>
      <c r="W66" s="48" t="n">
        <v>93.91</v>
      </c>
      <c r="X66" s="48" t="n">
        <v>93.91</v>
      </c>
      <c r="Y66" s="48" t="n"/>
      <c r="Z66" s="48" t="n"/>
      <c r="AA66" s="48" t="n"/>
      <c r="AB66" s="48" t="n"/>
      <c r="AC66" s="48" t="n"/>
      <c r="AD66" s="48" t="n"/>
      <c r="AE66" s="58" t="n">
        <v>22</v>
      </c>
      <c r="AF66" s="48" t="n"/>
      <c r="AG66" s="48" t="n"/>
      <c r="AH66" s="48" t="n"/>
      <c r="AI66" s="62" t="inlineStr">
        <is>
          <t>none</t>
        </is>
      </c>
      <c r="AJ66" s="44" t="inlineStr">
        <is>
          <t>CLOSED</t>
        </is>
      </c>
      <c r="AK66" s="62" t="inlineStr">
        <is>
          <t>seal bb5588df624beb73</t>
        </is>
      </c>
      <c r="AL66" s="47" t="n">
        <v>124.47</v>
      </c>
      <c r="AM66" s="48" t="n"/>
      <c r="AN66" s="48" t="n"/>
      <c r="AO66" s="48" t="n"/>
      <c r="AP66" s="62" t="inlineStr">
        <is>
          <t>A02.01 → A/A09.21 → C/A09.21 → D/A09.22 → H/A09.23 → J/A09.23 → 6/S5.10 → 10/S5.10 → 11/S5.10 → 7/S5.11 → A09.01 → A09.02 → A12.01 → 4/A09.26 → 7/S5.20 → A00.30 → A09.27 → A09.33</t>
        </is>
      </c>
    </row>
    <row r="67" ht="34.5" customHeight="1" s="36">
      <c r="A67" s="108" t="inlineStr">
        <is>
          <t>EXT-PARAPET  #160  -  NORTH facade (grid F, y=328.74) -- entrance side -- PARAPET INFILL, from B.O.D. up to T/ STUD.  Stud 6" 54mil 600S162-54 MST @ 16" O.C.; bracing 1-1/2" C.R. channel @ 48" O.C.    (1 instance)</t>
        </is>
      </c>
      <c r="B67" s="109" t="n">
        <v>160</v>
      </c>
      <c r="C67" s="110" t="n">
        <v>13.19</v>
      </c>
      <c r="D67" s="110" t="n">
        <v>2.042</v>
      </c>
      <c r="E67" s="111" t="n">
        <v>0</v>
      </c>
      <c r="F67" s="112" t="inlineStr">
        <is>
          <t>6" 54mil</t>
        </is>
      </c>
      <c r="G67" s="113" t="n">
        <v>18</v>
      </c>
      <c r="H67" s="114" t="n">
        <v>0</v>
      </c>
      <c r="I67" s="114" t="n">
        <v>0</v>
      </c>
      <c r="J67" s="114" t="n">
        <v>0</v>
      </c>
      <c r="K67" s="115" t="n">
        <v>0</v>
      </c>
      <c r="L67" s="114" t="n"/>
      <c r="M67" s="114" t="n"/>
      <c r="N67" s="114" t="n"/>
      <c r="O67" s="114" t="n"/>
      <c r="P67" s="114" t="n"/>
      <c r="Q67" s="114" t="n">
        <v>13.19</v>
      </c>
      <c r="R67" s="114" t="n">
        <v>13.19</v>
      </c>
      <c r="S67" s="114" t="n">
        <v>0</v>
      </c>
      <c r="T67" s="111" t="n"/>
      <c r="U67" s="114" t="n">
        <v>13.19</v>
      </c>
      <c r="V67" s="114" t="n"/>
      <c r="W67" s="114" t="n">
        <v>26.94</v>
      </c>
      <c r="X67" s="114" t="n">
        <v>26.94</v>
      </c>
      <c r="Y67" s="114" t="n"/>
      <c r="Z67" s="114" t="n"/>
      <c r="AA67" s="114" t="n"/>
      <c r="AB67" s="114" t="n"/>
      <c r="AC67" s="114" t="n"/>
      <c r="AD67" s="114" t="n"/>
      <c r="AE67" s="111" t="n">
        <v>14</v>
      </c>
      <c r="AF67" s="114" t="n"/>
      <c r="AG67" s="114" t="n"/>
      <c r="AH67" s="114" t="n"/>
      <c r="AI67" s="116" t="inlineStr">
        <is>
          <t>none</t>
        </is>
      </c>
      <c r="AJ67" s="117" t="inlineStr">
        <is>
          <t>CLOSED</t>
        </is>
      </c>
      <c r="AK67" s="116" t="inlineStr">
        <is>
          <t>seal a01717e19c2cd100</t>
        </is>
      </c>
      <c r="AL67" s="110" t="n">
        <v>36.76</v>
      </c>
      <c r="AM67" s="114" t="n"/>
      <c r="AN67" s="114" t="n"/>
      <c r="AO67" s="114" t="n"/>
      <c r="AP67" s="116" t="inlineStr">
        <is>
          <t>A02.01 → S2.20 → A/A09.21 → C/A09.21 → D/A09.22 → H/A09.23 → J/A09.23 → 6/S5.10 → 10/S5.10 → 11/S5.10 → 7/S5.11 → A09.01 → A09.02 → A12.01 → 4/A09.26 → 7/S5.20 → A00.30 → A09.27 → A09.33</t>
        </is>
      </c>
      <c r="AQ67" s="118" t="inlineStr">
        <is>
          <t>v8 W2 (user 2026-10-21): the parapet follows the length of the exterior wall of its facade (north wall #60 = 13.19, U6): 14.95 -&gt; 13.19 (-1.76); studs ROUNDUP(13.19 x 20/14.95) = 18 (-2 pcs x 2.042 = -4.08 LF); parapet bottom / top track -1.76 each; ext gyp 30.53/14.95 x -1.76 = -3.59 SF; FRT+polyiso -3.59 SF; FRT blocking 2 plies (4/A09.26) x -1.76 = -3.52 LF; PAF -1.0</t>
        </is>
      </c>
    </row>
    <row r="68" ht="34.5" customHeight="1" s="36">
      <c r="A68" s="46" t="inlineStr">
        <is>
          <t>EXT-PARAPET  #164  -  West perimeter jog (y=839.58, grid 2 to grid 3) -- PARAPET INFILL, from B.O.D. up to T/ STUD.  Stud 6" 54mil 600S162-54 MST @ 16" O.C.; bracing 1-1/2" C.R. channel @ 48" O.C.    (1 instance)</t>
        </is>
      </c>
      <c r="B68" s="57" t="n">
        <v>164</v>
      </c>
      <c r="C68" s="47" t="n">
        <v>3.89</v>
      </c>
      <c r="D68" s="47" t="n">
        <v>4.292</v>
      </c>
      <c r="E68" s="58" t="n">
        <v>0</v>
      </c>
      <c r="F68" s="59" t="inlineStr">
        <is>
          <t>6" 54mil</t>
        </is>
      </c>
      <c r="G68" s="60" t="n">
        <v>7</v>
      </c>
      <c r="H68" s="48" t="n">
        <v>0</v>
      </c>
      <c r="I68" s="48" t="n">
        <v>0</v>
      </c>
      <c r="J68" s="48" t="n">
        <v>0</v>
      </c>
      <c r="K68" s="61" t="n">
        <v>0</v>
      </c>
      <c r="L68" s="48" t="n"/>
      <c r="M68" s="48" t="n"/>
      <c r="N68" s="48" t="n"/>
      <c r="O68" s="48" t="n"/>
      <c r="P68" s="48" t="n"/>
      <c r="Q68" s="48" t="n">
        <v>3.89</v>
      </c>
      <c r="R68" s="48" t="n">
        <v>3.89</v>
      </c>
      <c r="S68" s="48" t="n">
        <v>3.89</v>
      </c>
      <c r="T68" s="58" t="n"/>
      <c r="U68" s="48" t="n">
        <v>3.89</v>
      </c>
      <c r="V68" s="48" t="n"/>
      <c r="W68" s="48" t="n">
        <v>16.7</v>
      </c>
      <c r="X68" s="48" t="n">
        <v>16.7</v>
      </c>
      <c r="Y68" s="48" t="n"/>
      <c r="Z68" s="48" t="n"/>
      <c r="AA68" s="48" t="n"/>
      <c r="AB68" s="48" t="n"/>
      <c r="AC68" s="48" t="n"/>
      <c r="AD68" s="48" t="n"/>
      <c r="AE68" s="58" t="n">
        <v>4</v>
      </c>
      <c r="AF68" s="48" t="n"/>
      <c r="AG68" s="48" t="n"/>
      <c r="AH68" s="48" t="n"/>
      <c r="AI68" s="62" t="inlineStr">
        <is>
          <t>none</t>
        </is>
      </c>
      <c r="AJ68" s="44" t="inlineStr">
        <is>
          <t>CLOSED</t>
        </is>
      </c>
      <c r="AK68" s="62" t="inlineStr">
        <is>
          <t>seal 9c62204d0618ecf0</t>
        </is>
      </c>
      <c r="AL68" s="47" t="n">
        <v>30.04</v>
      </c>
      <c r="AM68" s="48" t="n"/>
      <c r="AN68" s="48" t="n"/>
      <c r="AO68" s="48" t="n"/>
      <c r="AP68" s="62" t="inlineStr">
        <is>
          <t>A02.01 → A/A09.21 → C/A09.21 → D/A09.22 → H/A09.23 → J/A09.23 → 6/S5.10 → 10/S5.10 → 11/S5.10 → 7/S5.11 → A09.01 → A09.02 → A12.01 → 4/A09.26 → 7/S5.20 → A00.30 → A09.27 → A09.33</t>
        </is>
      </c>
    </row>
    <row r="69" ht="15" customHeight="1" s="36">
      <c r="A69" s="55" t="inlineStr">
        <is>
          <t>TYPE F</t>
        </is>
      </c>
      <c r="B69" s="56" t="n"/>
      <c r="C69" s="56" t="n"/>
      <c r="D69" s="56" t="n"/>
      <c r="E69" s="56" t="n"/>
      <c r="F69" s="56" t="n"/>
      <c r="G69" s="56" t="n"/>
      <c r="H69" s="56" t="n"/>
      <c r="I69" s="56" t="n"/>
      <c r="J69" s="56" t="n"/>
      <c r="K69" s="56" t="n"/>
      <c r="L69" s="56" t="n"/>
      <c r="M69" s="56" t="n"/>
      <c r="N69" s="56" t="n"/>
      <c r="O69" s="56" t="n"/>
      <c r="P69" s="56" t="n"/>
      <c r="Q69" s="56" t="n"/>
      <c r="R69" s="56" t="n"/>
      <c r="S69" s="56" t="n"/>
      <c r="T69" s="56" t="n"/>
      <c r="U69" s="56" t="n"/>
      <c r="V69" s="56" t="n"/>
      <c r="W69" s="56" t="n"/>
      <c r="X69" s="56" t="n"/>
      <c r="Y69" s="56" t="n"/>
      <c r="Z69" s="56" t="n"/>
      <c r="AA69" s="56" t="n"/>
      <c r="AB69" s="56" t="n"/>
      <c r="AC69" s="56" t="n"/>
      <c r="AD69" s="56" t="n"/>
      <c r="AE69" s="56" t="n"/>
      <c r="AF69" s="56" t="n"/>
      <c r="AG69" s="56" t="n"/>
      <c r="AH69" s="56" t="n"/>
      <c r="AI69" s="56" t="n"/>
      <c r="AJ69" s="56" t="n"/>
      <c r="AK69" s="56" t="n"/>
      <c r="AL69" s="56" t="n"/>
      <c r="AM69" s="56" t="n"/>
      <c r="AN69" s="56" t="n"/>
      <c r="AO69" s="56" t="n"/>
      <c r="AP69" s="56" t="n"/>
    </row>
    <row r="70" ht="57" customHeight="1" s="36">
      <c r="A70" s="46" t="inlineStr">
        <is>
          <t>F  #40  -  Wall inclinado 60 grados entre 24 HR VESTIBULE 101 (ATM LOBBY) y ATM ROOM 102.  Stud 3-5/8" 362S137-33 MST @ 16" O.C.; bracing 1-1/2" C.R. channel @ 48" O.C.  24 HR VESTIBULE 101 (ATM LOBBY, lado publico): 1 layer(s) 5/8 GYP + 3/4 FRT PLYWOOD @ 15.375 FT | ATM ROOM 102: 1 layer(s) 5/8 GYP @ 9.000 FT  (1 instance)</t>
        </is>
      </c>
      <c r="B70" s="57" t="n">
        <v>40</v>
      </c>
      <c r="C70" s="47" t="n">
        <v>17.762</v>
      </c>
      <c r="D70" s="47" t="n">
        <v>15.375</v>
      </c>
      <c r="E70" s="58" t="n">
        <v>2</v>
      </c>
      <c r="F70" s="59" t="inlineStr">
        <is>
          <t>3-5/8"</t>
        </is>
      </c>
      <c r="G70" s="60" t="n">
        <v>24</v>
      </c>
      <c r="H70" s="48" t="n">
        <v>0</v>
      </c>
      <c r="I70" s="48" t="n">
        <v>369</v>
      </c>
      <c r="J70" s="48" t="n">
        <v>0</v>
      </c>
      <c r="K70" s="61" t="n">
        <v>418.91975</v>
      </c>
      <c r="L70" s="48" t="n"/>
      <c r="M70" s="48" t="n"/>
      <c r="N70" s="48" t="n"/>
      <c r="O70" s="48" t="n"/>
      <c r="P70" s="48" t="n"/>
      <c r="Q70" s="48" t="n">
        <v>17.76</v>
      </c>
      <c r="R70" s="48" t="n">
        <v>17.76</v>
      </c>
      <c r="S70" s="48" t="n">
        <v>53.29</v>
      </c>
      <c r="T70" s="58" t="n"/>
      <c r="U70" s="48" t="n">
        <v>21.41</v>
      </c>
      <c r="V70" s="48" t="n"/>
      <c r="W70" s="48" t="n"/>
      <c r="X70" s="48" t="n"/>
      <c r="Y70" s="48" t="n"/>
      <c r="Z70" s="48" t="n"/>
      <c r="AA70" s="48" t="n">
        <v>262.37</v>
      </c>
      <c r="AB70" s="48" t="n"/>
      <c r="AC70" s="48" t="n"/>
      <c r="AD70" s="48" t="n"/>
      <c r="AE70" s="58" t="n"/>
      <c r="AF70" s="48" t="n"/>
      <c r="AG70" s="48" t="n">
        <v>3.58</v>
      </c>
      <c r="AH70" s="48" t="n">
        <v>3.58</v>
      </c>
      <c r="AI70" s="62" t="inlineStr">
        <is>
          <t>framed opening R.O. del ATM NHA 7800TC TTW WU (walk-up) 2.25 x 2.69</t>
        </is>
      </c>
      <c r="AJ70" s="44" t="inlineStr">
        <is>
          <t>CLOSED</t>
        </is>
      </c>
      <c r="AK70" s="62" t="inlineStr">
        <is>
          <t>seal c822135c48c91fbe</t>
        </is>
      </c>
      <c r="AL70" s="47" t="n">
        <v>369</v>
      </c>
      <c r="AM70" s="48" t="n"/>
      <c r="AN70" s="48" t="n"/>
      <c r="AO70" s="48" t="n"/>
      <c r="AP70" s="62" t="inlineStr">
        <is>
          <t>A02.01 → 1/A08.11 → 5/A08.11 → 9/A08.11 → A04.01 → S2.20 → 12/A12.01 → A09.01 → 8/A12.06 → 9/A12.06 → 1/S5.20 → 4/S5.20 → 7/S5.20 → 9/S5.20 → A00.01 → A09.27 → A09.33</t>
        </is>
      </c>
      <c r="AQ70" s="84" t="inlineStr">
        <is>
          <t>v6: this partition (tag F, walk-up ATM 1/A08.11) is also the "Extra framing - ATM wall" row of Material Summary (estimator convention: counted in type F and in that row; RFI-ATM-ONCE -369.00 stud / -17.76 bottom / -17.76 top if counted once)</t>
        </is>
      </c>
    </row>
    <row r="71" ht="15" customHeight="1" s="36">
      <c r="A71" s="55" t="inlineStr">
        <is>
          <t>TYPE G</t>
        </is>
      </c>
      <c r="B71" s="56" t="n"/>
      <c r="C71" s="56" t="n"/>
      <c r="D71" s="56" t="n"/>
      <c r="E71" s="56" t="n"/>
      <c r="F71" s="56" t="n"/>
      <c r="G71" s="56" t="n"/>
      <c r="H71" s="56" t="n"/>
      <c r="I71" s="56" t="n"/>
      <c r="J71" s="56" t="n"/>
      <c r="K71" s="56" t="n"/>
      <c r="L71" s="56" t="n"/>
      <c r="M71" s="56" t="n"/>
      <c r="N71" s="56" t="n"/>
      <c r="O71" s="56" t="n"/>
      <c r="P71" s="56" t="n"/>
      <c r="Q71" s="56" t="n"/>
      <c r="R71" s="56" t="n"/>
      <c r="S71" s="56" t="n"/>
      <c r="T71" s="56" t="n"/>
      <c r="U71" s="56" t="n"/>
      <c r="V71" s="56" t="n"/>
      <c r="W71" s="56" t="n"/>
      <c r="X71" s="56" t="n"/>
      <c r="Y71" s="56" t="n"/>
      <c r="Z71" s="56" t="n"/>
      <c r="AA71" s="56" t="n"/>
      <c r="AB71" s="56" t="n"/>
      <c r="AC71" s="56" t="n"/>
      <c r="AD71" s="56" t="n"/>
      <c r="AE71" s="56" t="n"/>
      <c r="AF71" s="56" t="n"/>
      <c r="AG71" s="56" t="n"/>
      <c r="AH71" s="56" t="n"/>
      <c r="AI71" s="56" t="n"/>
      <c r="AJ71" s="56" t="n"/>
      <c r="AK71" s="56" t="n"/>
      <c r="AL71" s="56" t="n"/>
      <c r="AM71" s="56" t="n"/>
      <c r="AN71" s="56" t="n"/>
      <c r="AO71" s="56" t="n"/>
      <c r="AP71" s="56" t="n"/>
    </row>
    <row r="72" ht="45.75" customHeight="1" s="36">
      <c r="A72" s="46" t="inlineStr">
        <is>
          <t>G  #45  -  Office 2 CL 106 / Office 3 SB 107.  Stud 1-5/8" 162S-family MST @ 16" O.C. DOUBLE ROW (2 rows of stud); bracing 1-1/2" C.R. channel @ 48" O.C.  Office 2 CL 106: 2 layer(s) 5/8 GYP x2 layers @ 15.375 FT | Office 3 SB 107: 2 layer(s) 5/8 GYP x2 layers @ 15.375 FT  (1 instance)</t>
        </is>
      </c>
      <c r="B72" s="57" t="n">
        <v>45</v>
      </c>
      <c r="C72" s="47" t="n">
        <v>11.77</v>
      </c>
      <c r="D72" s="47" t="n">
        <v>15.375</v>
      </c>
      <c r="E72" s="58" t="n">
        <v>4</v>
      </c>
      <c r="F72" s="59" t="inlineStr">
        <is>
          <t>1-5/8"</t>
        </is>
      </c>
      <c r="G72" s="60" t="n">
        <v>22</v>
      </c>
      <c r="H72" s="48" t="n">
        <v>0</v>
      </c>
      <c r="I72" s="48" t="n">
        <v>0</v>
      </c>
      <c r="J72" s="48" t="n">
        <v>338.25</v>
      </c>
      <c r="K72" s="61" t="n">
        <v>723.855</v>
      </c>
      <c r="L72" s="48" t="n"/>
      <c r="M72" s="48" t="n"/>
      <c r="N72" s="48" t="n"/>
      <c r="O72" s="48" t="n"/>
      <c r="P72" s="48" t="n"/>
      <c r="Q72" s="48" t="n">
        <v>23.54</v>
      </c>
      <c r="R72" s="48" t="n">
        <v>23.54</v>
      </c>
      <c r="S72" s="48" t="n">
        <v>70.62</v>
      </c>
      <c r="T72" s="58" t="n"/>
      <c r="U72" s="48" t="n">
        <v>4</v>
      </c>
      <c r="V72" s="48" t="n"/>
      <c r="W72" s="48" t="n"/>
      <c r="X72" s="48" t="n"/>
      <c r="Y72" s="48" t="n"/>
      <c r="Z72" s="48" t="n"/>
      <c r="AA72" s="48" t="n"/>
      <c r="AB72" s="48" t="n">
        <v>101.52</v>
      </c>
      <c r="AC72" s="48" t="n"/>
      <c r="AD72" s="48" t="n"/>
      <c r="AE72" s="58" t="n"/>
      <c r="AF72" s="48" t="n"/>
      <c r="AG72" s="48" t="n"/>
      <c r="AH72" s="48" t="n"/>
      <c r="AI72" s="62" t="inlineStr">
        <is>
          <t>none</t>
        </is>
      </c>
      <c r="AJ72" s="44" t="inlineStr">
        <is>
          <t>CLOSED</t>
        </is>
      </c>
      <c r="AK72" s="62" t="inlineStr">
        <is>
          <t>seal c6e057cc76414ea0</t>
        </is>
      </c>
      <c r="AL72" s="47" t="n">
        <v>338.25</v>
      </c>
      <c r="AM72" s="48" t="n"/>
      <c r="AN72" s="48" t="n"/>
      <c r="AO72" s="48" t="n"/>
      <c r="AP72" s="62" t="inlineStr">
        <is>
          <t>A02.01 → A04.01 → S2.20 → 6/A11.01 → 7/A11.04 → 5/A12.01 → 1/S5.20 → 7/S5.20 → 9/S5.20 → A09.01 → A00.01 → A09.27 → A09.33</t>
        </is>
      </c>
    </row>
    <row r="73" ht="45.75" customHeight="1" s="36">
      <c r="A73" s="46" t="inlineStr">
        <is>
          <t>G  #46  -  Office 3 SB 107 / Office 4 CB 108.  Stud 1-5/8" 162S-family MST @ 16" O.C. DOUBLE ROW (2 rows of stud); bracing 1-1/2" C.R. channel @ 48" O.C.  Office 3 SB 107: 2 layer(s) 5/8 GYP x2 layers @ 15.375 FT | Office 4 CB 108: 2 layer(s) 5/8 GYP x2 layers @ 15.375 FT  (1 instance)</t>
        </is>
      </c>
      <c r="B73" s="57" t="n">
        <v>46</v>
      </c>
      <c r="C73" s="47" t="n">
        <v>11.77</v>
      </c>
      <c r="D73" s="47" t="n">
        <v>15.375</v>
      </c>
      <c r="E73" s="58" t="n">
        <v>4</v>
      </c>
      <c r="F73" s="59" t="inlineStr">
        <is>
          <t>1-5/8"</t>
        </is>
      </c>
      <c r="G73" s="60" t="n">
        <v>30</v>
      </c>
      <c r="H73" s="48" t="n">
        <v>0</v>
      </c>
      <c r="I73" s="48" t="n">
        <v>0</v>
      </c>
      <c r="J73" s="48" t="n">
        <v>461.25</v>
      </c>
      <c r="K73" s="61" t="n">
        <v>723.855</v>
      </c>
      <c r="L73" s="48" t="n"/>
      <c r="M73" s="48" t="n"/>
      <c r="N73" s="48" t="n"/>
      <c r="O73" s="48" t="n"/>
      <c r="P73" s="48" t="n"/>
      <c r="Q73" s="48" t="n">
        <v>23.54</v>
      </c>
      <c r="R73" s="48" t="n">
        <v>23.54</v>
      </c>
      <c r="S73" s="48" t="n">
        <v>70.62</v>
      </c>
      <c r="T73" s="58" t="n"/>
      <c r="U73" s="48" t="n">
        <v>4</v>
      </c>
      <c r="V73" s="48" t="n"/>
      <c r="W73" s="48" t="n"/>
      <c r="X73" s="48" t="n"/>
      <c r="Y73" s="48" t="n"/>
      <c r="Z73" s="48" t="n"/>
      <c r="AA73" s="48" t="n"/>
      <c r="AB73" s="48" t="n">
        <v>101.52</v>
      </c>
      <c r="AC73" s="48" t="n"/>
      <c r="AD73" s="48" t="n">
        <v>12</v>
      </c>
      <c r="AE73" s="58" t="n"/>
      <c r="AF73" s="48" t="n"/>
      <c r="AG73" s="48" t="n"/>
      <c r="AH73" s="48" t="n"/>
      <c r="AI73" s="62" t="inlineStr">
        <is>
          <t>none</t>
        </is>
      </c>
      <c r="AJ73" s="44" t="inlineStr">
        <is>
          <t>CLOSED</t>
        </is>
      </c>
      <c r="AK73" s="62" t="inlineStr">
        <is>
          <t>seal a9d240d10ad50f93</t>
        </is>
      </c>
      <c r="AL73" s="47" t="n">
        <v>461.25</v>
      </c>
      <c r="AM73" s="48" t="n"/>
      <c r="AN73" s="48" t="n"/>
      <c r="AO73" s="48" t="n"/>
      <c r="AP73" s="62" t="inlineStr">
        <is>
          <t>A02.01 → A04.01 → S2.20 → 5/A11.04 → 9/A11.04 → 5/A12.01 → 1/S5.20 → 6/S5.20 → 7/S5.20 → 9/S5.20 → A09.01 → A00.01 → A09.27 → A09.33 → M01.01</t>
        </is>
      </c>
      <c r="AQ73" s="38" t="inlineStr">
        <is>
          <t>v7 (U1): AD 12 LF is framing of this G / G1 wall: carried in the 1-5/8" stud family (no longer in the ATM row)</t>
        </is>
      </c>
    </row>
    <row r="74" ht="45.75" customHeight="1" s="36">
      <c r="A74" s="94" t="inlineStr">
        <is>
          <t>G  #48  -  ATM Room 102 / Office 5 CB 109.  Stud 1-5/8" 162S-family MST @ 16" O.C. DOUBLE ROW (2 rows of stud); bracing 1-1/2" C.R. channel @ 48" O.C.  ATM Room 102: 2 layer(s) 5/8 GYP x2 layers @ 15.375 FT | Office 5 CB 109: 2 layer(s) 5/8 GYP x2 layers @ 15.375 FT  (1 instance)</t>
        </is>
      </c>
      <c r="B74" s="95" t="n">
        <v>48</v>
      </c>
      <c r="C74" s="96" t="n">
        <v>12.333</v>
      </c>
      <c r="D74" s="96" t="n">
        <v>15.375</v>
      </c>
      <c r="E74" s="97" t="n">
        <v>4</v>
      </c>
      <c r="F74" s="98" t="inlineStr">
        <is>
          <t>1-5/8"</t>
        </is>
      </c>
      <c r="G74" s="99" t="n">
        <v>28</v>
      </c>
      <c r="H74" s="100" t="n">
        <v>0</v>
      </c>
      <c r="I74" s="100" t="n">
        <v>0</v>
      </c>
      <c r="J74" s="100" t="n">
        <v>430.5</v>
      </c>
      <c r="K74" s="101" t="n">
        <v>758.48</v>
      </c>
      <c r="L74" s="100" t="n"/>
      <c r="M74" s="100" t="n"/>
      <c r="N74" s="100" t="n"/>
      <c r="O74" s="100" t="n"/>
      <c r="P74" s="100" t="n"/>
      <c r="Q74" s="100" t="n">
        <v>24.67</v>
      </c>
      <c r="R74" s="100" t="n">
        <v>24.67</v>
      </c>
      <c r="S74" s="100" t="n">
        <v>74</v>
      </c>
      <c r="T74" s="97" t="n"/>
      <c r="U74" s="100" t="n">
        <v>4</v>
      </c>
      <c r="V74" s="100" t="n"/>
      <c r="W74" s="100" t="n"/>
      <c r="X74" s="100" t="n"/>
      <c r="Y74" s="100" t="n"/>
      <c r="Z74" s="100" t="n"/>
      <c r="AA74" s="100" t="n"/>
      <c r="AB74" s="100" t="n"/>
      <c r="AC74" s="100" t="n"/>
      <c r="AD74" s="100" t="n">
        <v>6</v>
      </c>
      <c r="AE74" s="97" t="n"/>
      <c r="AF74" s="100" t="n"/>
      <c r="AG74" s="100" t="n"/>
      <c r="AH74" s="100" t="n"/>
      <c r="AI74" s="102" t="inlineStr">
        <is>
          <t>none</t>
        </is>
      </c>
      <c r="AJ74" s="103" t="inlineStr">
        <is>
          <t>CLOSED</t>
        </is>
      </c>
      <c r="AK74" s="102" t="inlineStr">
        <is>
          <t>seal a11bf7bf2f4fd70a</t>
        </is>
      </c>
      <c r="AL74" s="96" t="n">
        <v>430.5</v>
      </c>
      <c r="AM74" s="100" t="n"/>
      <c r="AN74" s="100" t="n"/>
      <c r="AO74" s="100" t="n"/>
      <c r="AP74" s="102" t="inlineStr">
        <is>
          <t>A02.01 → S2.20 → 16/A11.04 → 5/A12.01 → 1/S5.20 → 6/S5.20 → 7/S5.20 → 9/S5.20 → A09.01 → A00.01 → A09.27 → A09.33 → M01.01</t>
        </is>
      </c>
      <c r="AQ74" s="104" t="inlineStr">
        <is>
          <t>v7 (U3, user 2026-10-20): length 11.625 -&gt; 12.333 (12'-4"); studs 53.2 (ROUNDUP(12.333/1.3333) - ROUNDUP(11.625/1.3333)) x 2 row(s) = +2 pcs x 15.375 = +30.75 LF; board 714.94/11.625 x 0.71 = +43.54 SF; track +1.42 each; bracing +4.25 | v7 (U1): AD 6 LF is framing of this G / G1 wall: carried in the 1-5/8" stud family (no longer in the ATM row)</t>
        </is>
      </c>
    </row>
    <row r="75" ht="45.75" customHeight="1" s="36">
      <c r="A75" s="46" t="inlineStr">
        <is>
          <t>G  #49  -  Office 5 CB 109 / Office 6 CB 110.  Stud 1-5/8" 162S-family MST @ 16" O.C. DOUBLE ROW (2 rows of stud); bracing 1-1/2" C.R. channel @ 48" O.C.  Office 5 CB 109: 2 layer(s) 5/8 GYP x2 layers @ 15.375 FT | Office 6 CB 110: 2 layer(s) 5/8 GYP x2 layers @ 15.375 FT  (1 instance)</t>
        </is>
      </c>
      <c r="B75" s="57" t="n">
        <v>49</v>
      </c>
      <c r="C75" s="47" t="n">
        <v>11.625</v>
      </c>
      <c r="D75" s="47" t="n">
        <v>15.375</v>
      </c>
      <c r="E75" s="58" t="n">
        <v>4</v>
      </c>
      <c r="F75" s="59" t="inlineStr">
        <is>
          <t>1-5/8"</t>
        </is>
      </c>
      <c r="G75" s="60" t="n">
        <v>26</v>
      </c>
      <c r="H75" s="48" t="n">
        <v>0</v>
      </c>
      <c r="I75" s="48" t="n">
        <v>0</v>
      </c>
      <c r="J75" s="48" t="n">
        <v>399.75</v>
      </c>
      <c r="K75" s="61" t="n">
        <v>714.9375</v>
      </c>
      <c r="L75" s="48" t="n"/>
      <c r="M75" s="48" t="n"/>
      <c r="N75" s="48" t="n"/>
      <c r="O75" s="48" t="n"/>
      <c r="P75" s="48" t="n"/>
      <c r="Q75" s="48" t="n">
        <v>23.25</v>
      </c>
      <c r="R75" s="48" t="n">
        <v>23.25</v>
      </c>
      <c r="S75" s="48" t="n">
        <v>69.75</v>
      </c>
      <c r="T75" s="58" t="n"/>
      <c r="U75" s="48" t="n"/>
      <c r="V75" s="48" t="n"/>
      <c r="W75" s="48" t="n"/>
      <c r="X75" s="48" t="n"/>
      <c r="Y75" s="48" t="n"/>
      <c r="Z75" s="48" t="n"/>
      <c r="AA75" s="48" t="n"/>
      <c r="AB75" s="48" t="n">
        <v>200.54</v>
      </c>
      <c r="AC75" s="48" t="n"/>
      <c r="AD75" s="48" t="n">
        <v>6</v>
      </c>
      <c r="AE75" s="58" t="n"/>
      <c r="AF75" s="48" t="n"/>
      <c r="AG75" s="48" t="n"/>
      <c r="AH75" s="48" t="n"/>
      <c r="AI75" s="62" t="inlineStr">
        <is>
          <t>none</t>
        </is>
      </c>
      <c r="AJ75" s="44" t="inlineStr">
        <is>
          <t>CLOSED</t>
        </is>
      </c>
      <c r="AK75" s="62" t="inlineStr">
        <is>
          <t>seal f0693cf5177c3cea</t>
        </is>
      </c>
      <c r="AL75" s="47" t="n">
        <v>399.75</v>
      </c>
      <c r="AM75" s="48" t="n"/>
      <c r="AN75" s="48" t="n"/>
      <c r="AO75" s="48" t="n"/>
      <c r="AP75" s="62" t="inlineStr">
        <is>
          <t>A02.01 → A04.01 → S2.20 → 10/A11.03 → 14/A11.04 → 5/A12.01 → 1/S5.20 → 6/S5.20 → 7/S5.20 → 9/S5.20 → A09.01 → A00.01 → A09.27 → A09.33 → M01.01</t>
        </is>
      </c>
      <c r="AQ75" s="38" t="inlineStr">
        <is>
          <t>v7 (U1): AD 6 LF is framing of this G / G1 wall: carried in the 1-5/8" stud family (no longer in the ATM row)</t>
        </is>
      </c>
    </row>
    <row r="76" ht="57" customHeight="1" s="36">
      <c r="A76" s="94" t="inlineStr">
        <is>
          <t>G  #52  -  Office 6 CB 110 / Women's Restroom 114 (SIN TAG, numero nuevo).  Stud 1-5/8" 162S-family MST @ 16" O.C. DOUBLE ROW (2 rows of stud); bracing 1-1/2" C.R. channel @ 48" O.C.  Office 6 CB 110: 2 layer(s) 5/8 GYP x2 layers @ 15.375 FT | Womens Restroom 114: 2 layer(s) 5/8 GYP x2 layers @ 15.375 FT  (1 instance)</t>
        </is>
      </c>
      <c r="B76" s="95" t="n">
        <v>52</v>
      </c>
      <c r="C76" s="96" t="n">
        <v>12.333</v>
      </c>
      <c r="D76" s="96" t="n">
        <v>15.375</v>
      </c>
      <c r="E76" s="97" t="n">
        <v>4</v>
      </c>
      <c r="F76" s="98" t="inlineStr">
        <is>
          <t>1-5/8"</t>
        </is>
      </c>
      <c r="G76" s="99" t="n">
        <v>32</v>
      </c>
      <c r="H76" s="100" t="n">
        <v>0</v>
      </c>
      <c r="I76" s="100" t="n">
        <v>0</v>
      </c>
      <c r="J76" s="100" t="n">
        <v>492</v>
      </c>
      <c r="K76" s="101" t="n">
        <v>758.48</v>
      </c>
      <c r="L76" s="100" t="n">
        <v>52.31</v>
      </c>
      <c r="M76" s="100" t="n"/>
      <c r="N76" s="100" t="n">
        <v>5.81</v>
      </c>
      <c r="O76" s="100" t="n"/>
      <c r="P76" s="100" t="n"/>
      <c r="Q76" s="100" t="n">
        <v>24.67</v>
      </c>
      <c r="R76" s="100" t="n">
        <v>24.67</v>
      </c>
      <c r="S76" s="100" t="n">
        <v>74</v>
      </c>
      <c r="T76" s="97" t="n"/>
      <c r="U76" s="100" t="n">
        <v>9.67</v>
      </c>
      <c r="V76" s="100" t="n"/>
      <c r="W76" s="100" t="n"/>
      <c r="X76" s="100" t="n"/>
      <c r="Y76" s="100" t="n"/>
      <c r="Z76" s="100" t="n"/>
      <c r="AA76" s="100" t="n"/>
      <c r="AB76" s="100" t="n"/>
      <c r="AC76" s="100" t="n"/>
      <c r="AD76" s="100" t="n">
        <v>12</v>
      </c>
      <c r="AE76" s="97" t="n"/>
      <c r="AF76" s="100" t="n"/>
      <c r="AG76" s="100" t="n"/>
      <c r="AH76" s="100" t="n"/>
      <c r="AI76" s="102" t="inlineStr">
        <is>
          <t>none</t>
        </is>
      </c>
      <c r="AJ76" s="103" t="inlineStr">
        <is>
          <t>CLOSED</t>
        </is>
      </c>
      <c r="AK76" s="102" t="inlineStr">
        <is>
          <t>seal 43721dd850e9c63f</t>
        </is>
      </c>
      <c r="AL76" s="96" t="n">
        <v>492</v>
      </c>
      <c r="AM76" s="100" t="n"/>
      <c r="AN76" s="100" t="n"/>
      <c r="AO76" s="100" t="n"/>
      <c r="AP76" s="102" t="inlineStr">
        <is>
          <t>A02.01 → 1/A08.01 → 8/A08.01 → C/A08.01 → A04.01 → S2.20 → 8/A11.03 → 5/A12.01 → 1/S5.20 → 6/S5.20 → 7/S5.20 → 9/S5.20 → A09.01 → A00.01 → A09.27 → A09.33 → M01.01</t>
        </is>
      </c>
      <c r="AQ76" s="104" t="inlineStr">
        <is>
          <t>v7 (U3, user 2026-10-20): length 11.625 -&gt; 12.333 (12'-4"); studs 53.2 (ROUNDUP(12.333/1.3333) - ROUNDUP(11.625/1.3333)) x 2 row(s) = +2 pcs x 15.375 = +30.75 LF; board 714.94/11.625 x 0.71 = +43.54 SF; track +1.42 each; bracing +4.25 | v7 (U1): AD 12 LF is framing of this G / G1 wall: carried in the 1-5/8" stud family (no longer in the ATM row)</t>
        </is>
      </c>
    </row>
    <row r="77" ht="45.75" customHeight="1" s="36">
      <c r="A77" s="46" t="inlineStr">
        <is>
          <t>G  #47  -  Office 4 CB 108 / teller line.  Stud 1-5/8" 162S-family MST @ 16" O.C. DOUBLE ROW (2 rows of stud); bracing 1-1/2" C.R. channel @ 48" O.C.  Office 4 CB 108: 2 layer(s) 5/8 GYP x2 layers @ 15.375 FT | Linea de teller: 2 layer(s) 5/8 GYP x2 layers @ 15.375 FT  (1 instance)</t>
        </is>
      </c>
      <c r="B77" s="57" t="n">
        <v>47</v>
      </c>
      <c r="C77" s="47" t="n">
        <v>10.07</v>
      </c>
      <c r="D77" s="47" t="n">
        <v>15.375</v>
      </c>
      <c r="E77" s="58" t="n">
        <v>4</v>
      </c>
      <c r="F77" s="59" t="inlineStr">
        <is>
          <t>1-5/8"</t>
        </is>
      </c>
      <c r="G77" s="60" t="n">
        <v>24</v>
      </c>
      <c r="H77" s="48" t="n">
        <v>0</v>
      </c>
      <c r="I77" s="48" t="n">
        <v>0</v>
      </c>
      <c r="J77" s="48" t="n">
        <v>369</v>
      </c>
      <c r="K77" s="61" t="n">
        <v>619.3049999999999</v>
      </c>
      <c r="L77" s="48" t="n"/>
      <c r="M77" s="48" t="n"/>
      <c r="N77" s="48" t="n"/>
      <c r="O77" s="48" t="n"/>
      <c r="P77" s="48" t="n"/>
      <c r="Q77" s="48" t="n">
        <v>20.14</v>
      </c>
      <c r="R77" s="48" t="n">
        <v>20.14</v>
      </c>
      <c r="S77" s="48" t="n">
        <v>60.42</v>
      </c>
      <c r="T77" s="58" t="n"/>
      <c r="U77" s="48" t="n"/>
      <c r="V77" s="48" t="n"/>
      <c r="W77" s="48" t="n"/>
      <c r="X77" s="48" t="n"/>
      <c r="Y77" s="48" t="n"/>
      <c r="Z77" s="48" t="n"/>
      <c r="AA77" s="48" t="n"/>
      <c r="AB77" s="48" t="n">
        <v>86.84999999999999</v>
      </c>
      <c r="AC77" s="48" t="n"/>
      <c r="AD77" s="48" t="n">
        <v>6</v>
      </c>
      <c r="AE77" s="58" t="n"/>
      <c r="AF77" s="48" t="n"/>
      <c r="AG77" s="48" t="n"/>
      <c r="AH77" s="48" t="n"/>
      <c r="AI77" s="62" t="inlineStr">
        <is>
          <t>none</t>
        </is>
      </c>
      <c r="AJ77" s="44" t="inlineStr">
        <is>
          <t>CLOSED</t>
        </is>
      </c>
      <c r="AK77" s="62" t="inlineStr">
        <is>
          <t>seal ae0af120fa3e5465</t>
        </is>
      </c>
      <c r="AL77" s="47" t="n">
        <v>369</v>
      </c>
      <c r="AM77" s="48" t="n"/>
      <c r="AN77" s="48" t="n"/>
      <c r="AO77" s="48" t="n"/>
      <c r="AP77" s="62" t="inlineStr">
        <is>
          <t>A02.01 → A04.01 → S2.20 → 11/A11.04 → 5/A12.01 → 1/S5.20 → 6/S5.20 → 7/S5.20 → 9/S5.20 → A09.01 → A00.01 → A09.27 → A09.33 → M01.01</t>
        </is>
      </c>
      <c r="AQ77" s="38" t="inlineStr">
        <is>
          <t>v7 (U1): AD 6 LF is framing of this G / G1 wall: carried in the 1-5/8" stud family (no longer in the ATM row)</t>
        </is>
      </c>
    </row>
    <row r="78" ht="45.75" customHeight="1" s="36">
      <c r="A78" s="46" t="inlineStr">
        <is>
          <t>G  #42  -  Return between the office fronts at 105 y 106.  Stud 1-5/8" 162S-family MST @ 16" O.C. DOUBLE ROW (2 rows of stud); bracing 1-1/2" C.R. channel @ 48" O.C.  Central Zone 103: 2 layer(s) 5/8 GYP x2 layers @ 15.375 FT | Offices 105-106: 2 layer(s) 5/8 GYP x2 layers @ 15.375 FT  (1 instance)</t>
        </is>
      </c>
      <c r="B78" s="57" t="n">
        <v>42</v>
      </c>
      <c r="C78" s="47" t="n">
        <v>3.47</v>
      </c>
      <c r="D78" s="47" t="n">
        <v>15.375</v>
      </c>
      <c r="E78" s="58" t="n">
        <v>4</v>
      </c>
      <c r="F78" s="59" t="inlineStr">
        <is>
          <t>1-5/8"</t>
        </is>
      </c>
      <c r="G78" s="60" t="n">
        <v>10</v>
      </c>
      <c r="H78" s="48" t="n">
        <v>0</v>
      </c>
      <c r="I78" s="48" t="n">
        <v>0</v>
      </c>
      <c r="J78" s="48" t="n">
        <v>153.75</v>
      </c>
      <c r="K78" s="61" t="n">
        <v>213.405</v>
      </c>
      <c r="L78" s="48" t="n"/>
      <c r="M78" s="48" t="n"/>
      <c r="N78" s="48" t="n"/>
      <c r="O78" s="48" t="n"/>
      <c r="P78" s="48" t="n"/>
      <c r="Q78" s="48" t="n">
        <v>6.94</v>
      </c>
      <c r="R78" s="48" t="n">
        <v>6.94</v>
      </c>
      <c r="S78" s="48" t="n">
        <v>20.82</v>
      </c>
      <c r="T78" s="58" t="n"/>
      <c r="U78" s="48" t="n"/>
      <c r="V78" s="48" t="n"/>
      <c r="W78" s="48" t="n"/>
      <c r="X78" s="48" t="n"/>
      <c r="Y78" s="48" t="n"/>
      <c r="Z78" s="48" t="n"/>
      <c r="AA78" s="48" t="n"/>
      <c r="AB78" s="48" t="n"/>
      <c r="AC78" s="48" t="n"/>
      <c r="AD78" s="48" t="n"/>
      <c r="AE78" s="58" t="n"/>
      <c r="AF78" s="48" t="n"/>
      <c r="AG78" s="48" t="n"/>
      <c r="AH78" s="48" t="n"/>
      <c r="AI78" s="62" t="inlineStr">
        <is>
          <t>none</t>
        </is>
      </c>
      <c r="AJ78" s="44" t="inlineStr">
        <is>
          <t>CLOSED</t>
        </is>
      </c>
      <c r="AK78" s="62" t="inlineStr">
        <is>
          <t>seal 64b6347a21c26f79</t>
        </is>
      </c>
      <c r="AL78" s="47" t="n">
        <v>153.75</v>
      </c>
      <c r="AM78" s="48" t="n"/>
      <c r="AN78" s="48" t="n"/>
      <c r="AO78" s="48" t="n"/>
      <c r="AP78" s="62" t="inlineStr">
        <is>
          <t>A02.01 → S2.20 → 5/A12.01 → 1/S5.20 → 7/S5.20 → 9/S5.20 → A09.01 → A00.01 → A09.27 → A09.33</t>
        </is>
      </c>
    </row>
    <row r="79" ht="45.75" customHeight="1" s="36">
      <c r="A79" s="46" t="inlineStr">
        <is>
          <t>G  #43  -  Return between the office fronts at 106 y 107.  Stud 1-5/8" 162S-family MST @ 16" O.C. DOUBLE ROW (2 rows of stud); bracing 1-1/2" C.R. channel @ 48" O.C.  Central Zone 103: 2 layer(s) 5/8 GYP x2 layers @ 15.375 FT | Offices 106-107: 2 layer(s) 5/8 GYP x2 layers @ 15.375 FT  (1 instance)</t>
        </is>
      </c>
      <c r="B79" s="57" t="n">
        <v>43</v>
      </c>
      <c r="C79" s="47" t="n">
        <v>3.25</v>
      </c>
      <c r="D79" s="47" t="n">
        <v>15.375</v>
      </c>
      <c r="E79" s="58" t="n">
        <v>4</v>
      </c>
      <c r="F79" s="59" t="inlineStr">
        <is>
          <t>1-5/8"</t>
        </is>
      </c>
      <c r="G79" s="60" t="n">
        <v>14</v>
      </c>
      <c r="H79" s="48" t="n">
        <v>0</v>
      </c>
      <c r="I79" s="48" t="n">
        <v>0</v>
      </c>
      <c r="J79" s="48" t="n">
        <v>215.25</v>
      </c>
      <c r="K79" s="61" t="n">
        <v>199.875</v>
      </c>
      <c r="L79" s="48" t="n"/>
      <c r="M79" s="48" t="n"/>
      <c r="N79" s="48" t="n"/>
      <c r="O79" s="48" t="n"/>
      <c r="P79" s="48" t="n"/>
      <c r="Q79" s="48" t="n">
        <v>6.5</v>
      </c>
      <c r="R79" s="48" t="n">
        <v>6.5</v>
      </c>
      <c r="S79" s="48" t="n">
        <v>19.5</v>
      </c>
      <c r="T79" s="58" t="n"/>
      <c r="U79" s="48" t="n"/>
      <c r="V79" s="48" t="n"/>
      <c r="W79" s="48" t="n"/>
      <c r="X79" s="48" t="n"/>
      <c r="Y79" s="48" t="n"/>
      <c r="Z79" s="48" t="n"/>
      <c r="AA79" s="48" t="n"/>
      <c r="AB79" s="48" t="n"/>
      <c r="AC79" s="48" t="n"/>
      <c r="AD79" s="48" t="n">
        <v>6</v>
      </c>
      <c r="AE79" s="58" t="n"/>
      <c r="AF79" s="48" t="n"/>
      <c r="AG79" s="48" t="n"/>
      <c r="AH79" s="48" t="n"/>
      <c r="AI79" s="62" t="inlineStr">
        <is>
          <t>none</t>
        </is>
      </c>
      <c r="AJ79" s="44" t="inlineStr">
        <is>
          <t>CLOSED</t>
        </is>
      </c>
      <c r="AK79" s="62" t="inlineStr">
        <is>
          <t>seal 2ff2b63919825b92</t>
        </is>
      </c>
      <c r="AL79" s="47" t="n">
        <v>215.25</v>
      </c>
      <c r="AM79" s="48" t="n"/>
      <c r="AN79" s="48" t="n"/>
      <c r="AO79" s="48" t="n"/>
      <c r="AP79" s="62" t="inlineStr">
        <is>
          <t>A02.01 → S2.20 → 5/A12.01 → 1/S5.20 → 6/S5.20 → 7/S5.20 → 9/S5.20 → A09.01 → A00.01 → A09.27 → A09.33 → M01.01</t>
        </is>
      </c>
      <c r="AQ79" s="38" t="inlineStr">
        <is>
          <t>v7 (U1): AD 6 LF is framing of this G / G1 wall: carried in the 1-5/8" stud family (no longer in the ATM row)</t>
        </is>
      </c>
    </row>
    <row r="80" ht="45.75" customHeight="1" s="36">
      <c r="A80" s="46" t="inlineStr">
        <is>
          <t>G  #44  -  Return between the office fronts at 107 y 108.  Stud 1-5/8" 162S-family MST @ 16" O.C. DOUBLE ROW (2 rows of stud); bracing 1-1/2" C.R. channel @ 48" O.C.  Central Zone 103: 2 layer(s) 5/8 GYP x2 layers @ 15.375 FT | Offices 107-108: 2 layer(s) 5/8 GYP x2 layers @ 15.375 FT  (1 instance)</t>
        </is>
      </c>
      <c r="B80" s="57" t="n">
        <v>44</v>
      </c>
      <c r="C80" s="47" t="n">
        <v>3.25</v>
      </c>
      <c r="D80" s="47" t="n">
        <v>15.375</v>
      </c>
      <c r="E80" s="58" t="n">
        <v>4</v>
      </c>
      <c r="F80" s="59" t="inlineStr">
        <is>
          <t>1-5/8"</t>
        </is>
      </c>
      <c r="G80" s="60" t="n">
        <v>10</v>
      </c>
      <c r="H80" s="48" t="n">
        <v>0</v>
      </c>
      <c r="I80" s="48" t="n">
        <v>0</v>
      </c>
      <c r="J80" s="48" t="n">
        <v>153.75</v>
      </c>
      <c r="K80" s="61" t="n">
        <v>199.875</v>
      </c>
      <c r="L80" s="48" t="n"/>
      <c r="M80" s="48" t="n"/>
      <c r="N80" s="48" t="n"/>
      <c r="O80" s="48" t="n"/>
      <c r="P80" s="48" t="n"/>
      <c r="Q80" s="48" t="n">
        <v>6.5</v>
      </c>
      <c r="R80" s="48" t="n">
        <v>6.5</v>
      </c>
      <c r="S80" s="48" t="n">
        <v>19.5</v>
      </c>
      <c r="T80" s="58" t="n"/>
      <c r="U80" s="48" t="n"/>
      <c r="V80" s="48" t="n"/>
      <c r="W80" s="48" t="n"/>
      <c r="X80" s="48" t="n"/>
      <c r="Y80" s="48" t="n"/>
      <c r="Z80" s="48" t="n"/>
      <c r="AA80" s="48" t="n"/>
      <c r="AB80" s="48" t="n"/>
      <c r="AC80" s="48" t="n"/>
      <c r="AD80" s="48" t="n"/>
      <c r="AE80" s="58" t="n"/>
      <c r="AF80" s="48" t="n"/>
      <c r="AG80" s="48" t="n"/>
      <c r="AH80" s="48" t="n"/>
      <c r="AI80" s="62" t="inlineStr">
        <is>
          <t>none</t>
        </is>
      </c>
      <c r="AJ80" s="44" t="inlineStr">
        <is>
          <t>CLOSED</t>
        </is>
      </c>
      <c r="AK80" s="62" t="inlineStr">
        <is>
          <t>seal 2a5975f6c813bee9</t>
        </is>
      </c>
      <c r="AL80" s="47" t="n">
        <v>153.75</v>
      </c>
      <c r="AM80" s="48" t="n"/>
      <c r="AN80" s="48" t="n"/>
      <c r="AO80" s="48" t="n"/>
      <c r="AP80" s="62" t="inlineStr">
        <is>
          <t>A02.01 → S2.20 → 5/A12.01 → 1/S5.20 → 7/S5.20 → 9/S5.20 → A09.01 → A00.01 → A09.27 → A09.33</t>
        </is>
      </c>
    </row>
    <row r="81" ht="57" customHeight="1" s="36">
      <c r="A81" s="46" t="inlineStr">
        <is>
          <t>G  #41  -  North return at the Office 1 ME 105 office front (UNTAGGED).  Stud 1-5/8" 162S-family MST @ 16" O.C. DOUBLE ROW (2 rows of stud); bracing 1-1/2" C.R. channel @ 48" O.C.  Central Zone 103: 2 layer(s) 5/8 GYP x2 layers @ 15.375 FT | Office 1 ME 105: 2 layer(s) 5/8 GYP x2 layers @ 15.375 FT  (1 instance)</t>
        </is>
      </c>
      <c r="B81" s="57" t="n">
        <v>41</v>
      </c>
      <c r="C81" s="47" t="n">
        <v>2.42</v>
      </c>
      <c r="D81" s="47" t="n">
        <v>15.375</v>
      </c>
      <c r="E81" s="58" t="n">
        <v>4</v>
      </c>
      <c r="F81" s="59" t="inlineStr">
        <is>
          <t>1-5/8"</t>
        </is>
      </c>
      <c r="G81" s="60" t="n">
        <v>8</v>
      </c>
      <c r="H81" s="48" t="n">
        <v>0</v>
      </c>
      <c r="I81" s="48" t="n">
        <v>0</v>
      </c>
      <c r="J81" s="48" t="n">
        <v>123</v>
      </c>
      <c r="K81" s="61" t="n">
        <v>148.83</v>
      </c>
      <c r="L81" s="48" t="n"/>
      <c r="M81" s="48" t="n"/>
      <c r="N81" s="48" t="n"/>
      <c r="O81" s="48" t="n"/>
      <c r="P81" s="48" t="n"/>
      <c r="Q81" s="48" t="n">
        <v>4.84</v>
      </c>
      <c r="R81" s="48" t="n">
        <v>4.84</v>
      </c>
      <c r="S81" s="48" t="n">
        <v>14.52</v>
      </c>
      <c r="T81" s="58" t="n"/>
      <c r="U81" s="48" t="n"/>
      <c r="V81" s="48" t="n"/>
      <c r="W81" s="48" t="n"/>
      <c r="X81" s="48" t="n"/>
      <c r="Y81" s="48" t="n"/>
      <c r="Z81" s="48" t="n"/>
      <c r="AA81" s="48" t="n"/>
      <c r="AB81" s="48" t="n"/>
      <c r="AC81" s="48" t="n"/>
      <c r="AD81" s="48" t="n"/>
      <c r="AE81" s="58" t="n"/>
      <c r="AF81" s="48" t="n"/>
      <c r="AG81" s="48" t="n"/>
      <c r="AH81" s="48" t="n"/>
      <c r="AI81" s="62" t="inlineStr">
        <is>
          <t>none</t>
        </is>
      </c>
      <c r="AJ81" s="44" t="inlineStr">
        <is>
          <t>CLOSED</t>
        </is>
      </c>
      <c r="AK81" s="62" t="inlineStr">
        <is>
          <t>seal 240a328ab2dda3de</t>
        </is>
      </c>
      <c r="AL81" s="47" t="n">
        <v>123</v>
      </c>
      <c r="AM81" s="48" t="n"/>
      <c r="AN81" s="48" t="n"/>
      <c r="AO81" s="48" t="n"/>
      <c r="AP81" s="62" t="inlineStr">
        <is>
          <t>A02.01 → S2.20 → 5/A12.01 → 1/S5.20 → 7/S5.20 → 9/S5.20 → A09.01 → A00.01 → A09.27 → A09.33</t>
        </is>
      </c>
    </row>
    <row r="82" ht="15" customHeight="1" s="36">
      <c r="A82" s="55" t="inlineStr">
        <is>
          <t>TYPE G1</t>
        </is>
      </c>
      <c r="B82" s="56" t="n"/>
      <c r="C82" s="56" t="n"/>
      <c r="D82" s="56" t="n"/>
      <c r="E82" s="56" t="n"/>
      <c r="F82" s="56" t="n"/>
      <c r="G82" s="56" t="n"/>
      <c r="H82" s="56" t="n"/>
      <c r="I82" s="56" t="n"/>
      <c r="J82" s="56" t="n"/>
      <c r="K82" s="56" t="n"/>
      <c r="L82" s="56" t="n"/>
      <c r="M82" s="56" t="n"/>
      <c r="N82" s="56" t="n"/>
      <c r="O82" s="56" t="n"/>
      <c r="P82" s="56" t="n"/>
      <c r="Q82" s="56" t="n"/>
      <c r="R82" s="56" t="n"/>
      <c r="S82" s="56" t="n"/>
      <c r="T82" s="56" t="n"/>
      <c r="U82" s="56" t="n"/>
      <c r="V82" s="56" t="n"/>
      <c r="W82" s="56" t="n"/>
      <c r="X82" s="56" t="n"/>
      <c r="Y82" s="56" t="n"/>
      <c r="Z82" s="56" t="n"/>
      <c r="AA82" s="56" t="n"/>
      <c r="AB82" s="56" t="n"/>
      <c r="AC82" s="56" t="n"/>
      <c r="AD82" s="56" t="n"/>
      <c r="AE82" s="56" t="n"/>
      <c r="AF82" s="56" t="n"/>
      <c r="AG82" s="56" t="n"/>
      <c r="AH82" s="56" t="n"/>
      <c r="AI82" s="56" t="n"/>
      <c r="AJ82" s="56" t="n"/>
      <c r="AK82" s="56" t="n"/>
      <c r="AL82" s="56" t="n"/>
      <c r="AM82" s="56" t="n"/>
      <c r="AN82" s="56" t="n"/>
      <c r="AO82" s="56" t="n"/>
      <c r="AP82" s="56" t="n"/>
    </row>
    <row r="83" ht="45.75" customHeight="1" s="36">
      <c r="A83" s="46" t="inlineStr">
        <is>
          <t>G1  #50  -  Office 1 ME 105 / Office 2 CL 106 (right block).  Stud 1-5/8" 162S-family MST @ 16" O.C. DOUBLE ROW (2 rows of stud); bracing 1-1/2" C.R. channel @ 48" O.C.  Office 1 ME 105: 2 layer(s) 5/8 GYP x2 layers @ 15.375 FT | Office 2 CL 106: 2 layer(s) 5/8 GYP x2 layers @ 15.375 FT  (1 instance)</t>
        </is>
      </c>
      <c r="B83" s="57" t="n">
        <v>50</v>
      </c>
      <c r="C83" s="47" t="n">
        <v>11.77</v>
      </c>
      <c r="D83" s="47" t="n">
        <v>15.375</v>
      </c>
      <c r="E83" s="58" t="n">
        <v>4</v>
      </c>
      <c r="F83" s="59" t="inlineStr">
        <is>
          <t>1-5/8"</t>
        </is>
      </c>
      <c r="G83" s="60" t="n">
        <v>30</v>
      </c>
      <c r="H83" s="48" t="n">
        <v>0</v>
      </c>
      <c r="I83" s="48" t="n">
        <v>0</v>
      </c>
      <c r="J83" s="48" t="n">
        <v>461.25</v>
      </c>
      <c r="K83" s="61" t="n">
        <v>723.855</v>
      </c>
      <c r="L83" s="48" t="n"/>
      <c r="M83" s="48" t="n"/>
      <c r="N83" s="48" t="n"/>
      <c r="O83" s="48" t="n"/>
      <c r="P83" s="48" t="n"/>
      <c r="Q83" s="48" t="n">
        <v>23.54</v>
      </c>
      <c r="R83" s="48" t="n">
        <v>23.54</v>
      </c>
      <c r="S83" s="48" t="n">
        <v>70.62</v>
      </c>
      <c r="T83" s="58" t="n"/>
      <c r="U83" s="48" t="n">
        <v>4</v>
      </c>
      <c r="V83" s="48" t="n"/>
      <c r="W83" s="48" t="n"/>
      <c r="X83" s="48" t="n"/>
      <c r="Y83" s="48" t="n"/>
      <c r="Z83" s="48" t="n"/>
      <c r="AA83" s="48" t="n"/>
      <c r="AB83" s="48" t="n"/>
      <c r="AC83" s="48" t="n"/>
      <c r="AD83" s="48" t="n">
        <v>12</v>
      </c>
      <c r="AE83" s="58" t="n"/>
      <c r="AF83" s="48" t="n"/>
      <c r="AG83" s="48" t="n"/>
      <c r="AH83" s="48" t="n"/>
      <c r="AI83" s="62" t="inlineStr">
        <is>
          <t>none</t>
        </is>
      </c>
      <c r="AJ83" s="44" t="inlineStr">
        <is>
          <t>CLOSED</t>
        </is>
      </c>
      <c r="AK83" s="62" t="inlineStr">
        <is>
          <t>seal bc794c614f269517</t>
        </is>
      </c>
      <c r="AL83" s="47" t="n">
        <v>461.25</v>
      </c>
      <c r="AM83" s="48" t="n"/>
      <c r="AN83" s="48" t="n"/>
      <c r="AO83" s="48" t="n"/>
      <c r="AP83" s="62" t="inlineStr">
        <is>
          <t>A02.01 → S2.20 → 4/A11.01 → 6/A11.03 → 15/A11.04 → 5/A12.01 → 6/S5.20 → 7/S5.20 → 9/S5.20 → A09.01 → A00.01 → A09.27 → A09.33 → M01.01 → P01.01</t>
        </is>
      </c>
      <c r="AQ83" s="38" t="inlineStr">
        <is>
          <t>v7 (U1): AD 12 LF is framing of this G / G1 wall: carried in the 1-5/8" stud family (no longer in the ATM row)</t>
        </is>
      </c>
    </row>
    <row r="84" ht="57" customHeight="1" s="36">
      <c r="A84" s="94" t="inlineStr">
        <is>
          <t>G1  #51  -  South return at the Office 5 CB 109 office front (left block).  Stud 1-5/8" 162S-family MST @ 16" O.C. DOUBLE ROW (2 rows of stud); bracing 1-1/2" C.R. channel @ 48" O.C.  Office 5 CB 109: 2 layer(s) 5/8 GYP x2 layers @ 15.375 FT | Area abierta al este del office front (Waiting 104): 2 layer(s) 5/8 GYP x2 layers @ 15.375 FT  (1 instance)</t>
        </is>
      </c>
      <c r="B84" s="95" t="n">
        <v>51</v>
      </c>
      <c r="C84" s="96" t="n">
        <v>3.507</v>
      </c>
      <c r="D84" s="96" t="n">
        <v>15.375</v>
      </c>
      <c r="E84" s="97" t="n">
        <v>4</v>
      </c>
      <c r="F84" s="98" t="inlineStr">
        <is>
          <t>1-5/8"</t>
        </is>
      </c>
      <c r="G84" s="99" t="n">
        <v>10</v>
      </c>
      <c r="H84" s="100" t="n">
        <v>0</v>
      </c>
      <c r="I84" s="100" t="n">
        <v>0</v>
      </c>
      <c r="J84" s="100" t="n">
        <v>153.75</v>
      </c>
      <c r="K84" s="101" t="n">
        <v>215.68</v>
      </c>
      <c r="L84" s="100" t="n"/>
      <c r="M84" s="100" t="n"/>
      <c r="N84" s="100" t="n"/>
      <c r="O84" s="100" t="n"/>
      <c r="P84" s="100" t="n"/>
      <c r="Q84" s="100" t="n">
        <v>7.01</v>
      </c>
      <c r="R84" s="100" t="n">
        <v>7.01</v>
      </c>
      <c r="S84" s="100" t="n">
        <v>21.04</v>
      </c>
      <c r="T84" s="97" t="n"/>
      <c r="U84" s="100" t="n"/>
      <c r="V84" s="100" t="n"/>
      <c r="W84" s="100" t="n"/>
      <c r="X84" s="100" t="n"/>
      <c r="Y84" s="100" t="n"/>
      <c r="Z84" s="100" t="n"/>
      <c r="AA84" s="100" t="n"/>
      <c r="AB84" s="100" t="n"/>
      <c r="AC84" s="100" t="n"/>
      <c r="AD84" s="100" t="n"/>
      <c r="AE84" s="97" t="n"/>
      <c r="AF84" s="100" t="n"/>
      <c r="AG84" s="100" t="n"/>
      <c r="AH84" s="100" t="n"/>
      <c r="AI84" s="102" t="inlineStr">
        <is>
          <t>none</t>
        </is>
      </c>
      <c r="AJ84" s="103" t="inlineStr">
        <is>
          <t>CLOSED</t>
        </is>
      </c>
      <c r="AK84" s="102" t="inlineStr">
        <is>
          <t>seal 5f1c942218aa57cf</t>
        </is>
      </c>
      <c r="AL84" s="96" t="n">
        <v>153.75</v>
      </c>
      <c r="AM84" s="100" t="n"/>
      <c r="AN84" s="100" t="n"/>
      <c r="AO84" s="100" t="n"/>
      <c r="AP84" s="102" t="inlineStr">
        <is>
          <t>A02.01 → S2.20 → 6/A11.03 → 15/A11.04 → 5/A12.01 → 7/S5.20 → 9/S5.20 → A09.01 → A00.01 → A09.27 → A09.33</t>
        </is>
      </c>
      <c r="AQ84" s="104" t="inlineStr">
        <is>
          <t>v7 (U4, user 2026-10-20): length 2.67 -&gt; 3.507 (3'-6"); studs 53.2 (ROUNDUP(3.507/1.3333) - ROUNDUP(2.67/1.3333)) x 2 row(s) = +0 pcs x 15.375 = +0.0 LF; board 164.21/2.67 x 0.84 = +51.48 SF; track +1.67 each; bracing +5.02</t>
        </is>
      </c>
    </row>
    <row r="85" ht="57" customHeight="1" s="36">
      <c r="A85" s="94" t="inlineStr">
        <is>
          <t>G1  #53  -  South return at the Office 6 CB 110 office front, UNTAGGED (left block).  Stud 1-5/8" 162S-family MST @ 16" O.C. DOUBLE ROW (2 rows of stud); bracing 1-1/2" C.R. channel @ 48" O.C.  Office 6 CB 110: 2 layer(s) 5/8 GYP x2 layers @ 15.375 FT | Area abierta al este del office front (Waiting 104): 2 layer(s) 5/8 GYP x2 layers @ 15.375 FT  (1 instance)</t>
        </is>
      </c>
      <c r="B85" s="95" t="n">
        <v>53</v>
      </c>
      <c r="C85" s="96" t="n">
        <v>3.18</v>
      </c>
      <c r="D85" s="96" t="n">
        <v>15.375</v>
      </c>
      <c r="E85" s="97" t="n">
        <v>4</v>
      </c>
      <c r="F85" s="98" t="inlineStr">
        <is>
          <t>1-5/8"</t>
        </is>
      </c>
      <c r="G85" s="99" t="n">
        <v>10</v>
      </c>
      <c r="H85" s="100" t="n">
        <v>0</v>
      </c>
      <c r="I85" s="100" t="n">
        <v>0</v>
      </c>
      <c r="J85" s="100" t="n">
        <v>153.75</v>
      </c>
      <c r="K85" s="101" t="n">
        <v>195.57</v>
      </c>
      <c r="L85" s="100" t="n"/>
      <c r="M85" s="100" t="n"/>
      <c r="N85" s="100" t="n"/>
      <c r="O85" s="100" t="n"/>
      <c r="P85" s="100" t="n"/>
      <c r="Q85" s="100" t="n">
        <v>6.36</v>
      </c>
      <c r="R85" s="100" t="n">
        <v>6.36</v>
      </c>
      <c r="S85" s="100" t="n">
        <v>19.08</v>
      </c>
      <c r="T85" s="97" t="n"/>
      <c r="U85" s="100" t="n"/>
      <c r="V85" s="100" t="n"/>
      <c r="W85" s="100" t="n"/>
      <c r="X85" s="100" t="n"/>
      <c r="Y85" s="100" t="n"/>
      <c r="Z85" s="100" t="n"/>
      <c r="AA85" s="100" t="n"/>
      <c r="AB85" s="100" t="n"/>
      <c r="AC85" s="100" t="n"/>
      <c r="AD85" s="100" t="n"/>
      <c r="AE85" s="97" t="n"/>
      <c r="AF85" s="100" t="n"/>
      <c r="AG85" s="100" t="n"/>
      <c r="AH85" s="100" t="n"/>
      <c r="AI85" s="102" t="inlineStr">
        <is>
          <t>none</t>
        </is>
      </c>
      <c r="AJ85" s="103" t="inlineStr">
        <is>
          <t>CLOSED</t>
        </is>
      </c>
      <c r="AK85" s="102" t="inlineStr">
        <is>
          <t>seal 4fd0e58727f7b139</t>
        </is>
      </c>
      <c r="AL85" s="96" t="n">
        <v>153.75</v>
      </c>
      <c r="AM85" s="100" t="n"/>
      <c r="AN85" s="100" t="n"/>
      <c r="AO85" s="100" t="n"/>
      <c r="AP85" s="102" t="inlineStr">
        <is>
          <t>A02.01 → S2.20 → 6/A11.03 → 15/A11.04 → 5/A12.01 → 7/S5.20 → 9/S5.20 → A09.01 → A00.01 → A09.27 → A09.33</t>
        </is>
      </c>
      <c r="AQ85" s="104" t="inlineStr">
        <is>
          <t>v7 (U4, user 2026-10-20): length 2.67 -&gt; 3.18 (3'-2"); studs 53.2 (ROUNDUP(3.18/1.3333) - ROUNDUP(2.67/1.3333)) x 2 row(s) = +0 pcs x 15.375 = +0.0 LF; board 164.21/2.67 x 0.51 = +31.37 SF; track +1.02 each; bracing +3.06</t>
        </is>
      </c>
    </row>
    <row r="86" ht="15" customHeight="1" s="36">
      <c r="A86" s="63" t="inlineStr">
        <is>
          <t>TOTAL - PARTITIONS</t>
        </is>
      </c>
      <c r="B86" s="63" t="n"/>
      <c r="C86" s="64" t="n">
        <v>887.537</v>
      </c>
      <c r="D86" s="64" t="n">
        <v>832.821</v>
      </c>
      <c r="E86" s="64" t="n">
        <v>134.2</v>
      </c>
      <c r="F86" s="63" t="n"/>
      <c r="G86" s="64" t="n">
        <v>1286</v>
      </c>
      <c r="H86" s="64" t="n">
        <v>5442.76</v>
      </c>
      <c r="I86" s="64" t="n">
        <v>3588.2</v>
      </c>
      <c r="J86" s="64" t="n">
        <v>4609.22</v>
      </c>
      <c r="K86" s="64" t="n">
        <v>15974.049</v>
      </c>
      <c r="L86" s="64" t="n">
        <v>132.1</v>
      </c>
      <c r="M86" s="64" t="n">
        <v>0</v>
      </c>
      <c r="N86" s="64" t="n">
        <v>14.45</v>
      </c>
      <c r="O86" s="64" t="n">
        <v>0</v>
      </c>
      <c r="P86" s="64" t="n">
        <v>0</v>
      </c>
      <c r="Q86" s="64" t="n">
        <v>1026.932</v>
      </c>
      <c r="R86" s="64" t="n">
        <v>1026.932</v>
      </c>
      <c r="S86" s="64" t="n">
        <v>2269.04</v>
      </c>
      <c r="T86" s="64" t="n">
        <v>0</v>
      </c>
      <c r="U86" s="64" t="n">
        <v>706.51</v>
      </c>
      <c r="V86" s="64" t="n">
        <v>0</v>
      </c>
      <c r="W86" s="64" t="n">
        <v>780.3</v>
      </c>
      <c r="X86" s="64" t="n">
        <v>3667.63</v>
      </c>
      <c r="Y86" s="64" t="n">
        <v>78.09999999999999</v>
      </c>
      <c r="Z86" s="64" t="n">
        <v>60.82</v>
      </c>
      <c r="AA86" s="64" t="n">
        <v>647.95</v>
      </c>
      <c r="AB86" s="64" t="n">
        <v>490.43</v>
      </c>
      <c r="AC86" s="64" t="n">
        <v>349.24</v>
      </c>
      <c r="AD86" s="64" t="n">
        <v>109.87</v>
      </c>
      <c r="AE86" s="64" t="n">
        <v>238</v>
      </c>
      <c r="AF86" s="64" t="n"/>
      <c r="AG86" s="64" t="n">
        <v>221.86</v>
      </c>
      <c r="AH86" s="64" t="n">
        <v>65.09</v>
      </c>
      <c r="AI86" s="63" t="n"/>
      <c r="AJ86" s="63" t="n"/>
      <c r="AK86" s="63" t="n"/>
      <c r="AL86" s="64" t="n">
        <v>14609.44</v>
      </c>
      <c r="AM86" s="64" t="n">
        <v>0</v>
      </c>
      <c r="AN86" s="64" t="n">
        <v>2939.76</v>
      </c>
      <c r="AO86" s="64" t="n">
        <v>101.07</v>
      </c>
      <c r="AQ86" s="38" t="inlineStr">
        <is>
          <t>v7: column AD = 60.00 (G / G1 walls, carried in 1-5/8" stud); the 49.87 of EXT #65 was the drive-up sistered + furring (U1: not carried, RFI-ATM-DU)</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J1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8" min="1" max="1"/>
    <col width="9" customWidth="1" style="38" min="2" max="2"/>
    <col width="30" customWidth="1" style="38" min="3" max="3"/>
    <col width="20" customWidth="1" style="38" min="4" max="4"/>
    <col width="12" customWidth="1" style="38" min="5" max="6"/>
    <col width="8" customWidth="1" style="38" min="7" max="7"/>
    <col width="13" customWidth="1" style="38" min="8" max="8"/>
    <col width="12" customWidth="1" style="38" min="9" max="9"/>
    <col width="110" customWidth="1" style="38" min="10" max="10"/>
  </cols>
  <sheetData>
    <row r="1" ht="15.75" customHeight="1" s="36">
      <c r="A1" s="41" t="inlineStr">
        <is>
          <t>BOARD BY FACE - one row per face, because the two faces of a wall rarely share a height</t>
        </is>
      </c>
    </row>
    <row r="2" ht="15" customHeight="1" s="36">
      <c r="A2" s="42" t="inlineStr">
        <is>
          <t>Board (SF) = Length x Height x Layers - Openings deducted.  Every row reproduces the sealed closure for that face; the closure's own wording is in SOURCE.</t>
        </is>
      </c>
    </row>
    <row r="4" ht="33.75" customHeight="1" s="36">
      <c r="A4" s="54" t="inlineStr">
        <is>
          <t>Wall #</t>
        </is>
      </c>
      <c r="B4" s="54" t="inlineStr">
        <is>
          <t>Type</t>
        </is>
      </c>
      <c r="C4" s="54" t="inlineStr">
        <is>
          <t>Face (room)</t>
        </is>
      </c>
      <c r="D4" s="54" t="inlineStr">
        <is>
          <t>Board type</t>
        </is>
      </c>
      <c r="E4" s="54" t="inlineStr">
        <is>
          <t>Length (LF)</t>
        </is>
      </c>
      <c r="F4" s="54" t="inlineStr">
        <is>
          <t>Height (FT)</t>
        </is>
      </c>
      <c r="G4" s="54" t="inlineStr">
        <is>
          <t>Layers</t>
        </is>
      </c>
      <c r="H4" s="54" t="inlineStr">
        <is>
          <t>Openings deducted (SF)</t>
        </is>
      </c>
      <c r="I4" s="54" t="inlineStr">
        <is>
          <t>Board (SF)</t>
        </is>
      </c>
      <c r="J4" s="54" t="inlineStr">
        <is>
          <t>SOURCE - closure wording</t>
        </is>
      </c>
    </row>
    <row r="5" ht="42.75" customHeight="1" s="36">
      <c r="A5" s="44" t="n">
        <v>8</v>
      </c>
      <c r="B5" s="59" t="inlineStr">
        <is>
          <t>A1</t>
        </is>
      </c>
      <c r="C5" s="46" t="inlineStr">
        <is>
          <t>Corridor 111</t>
        </is>
      </c>
      <c r="D5" s="46" t="inlineStr">
        <is>
          <t>5/8 GYP</t>
        </is>
      </c>
      <c r="E5" s="47" t="n">
        <v>17.06</v>
      </c>
      <c r="F5" s="47" t="n">
        <v>9</v>
      </c>
      <c r="G5" s="60" t="n">
        <v>1</v>
      </c>
      <c r="H5" s="47" t="n">
        <v>0</v>
      </c>
      <c r="I5" s="48" t="n">
        <v>153.54</v>
      </c>
      <c r="J5" s="62" t="inlineStr">
        <is>
          <t>face oeste completa, Corridor 111: 17.06 x 9.00 = 153.54 SF. La door 118B NO se deduce porque su opening cae FUERA de este tramo (entre y=1326.36 y y=1386.36, en el quiebre contra el wall A5 #16); solo se carga aqui su header y sus jamb studs. Height: A04.01 da el tag ACT-4 con dimension impresa 8'-6" en CORRIDOR 111 y 3/A12.01 pone el edge of board 6" por encima del scheduled ceiling = 9.00 ft. Una layer de 5/8" gypsum board por face, fila A1 del schedule de 3/A12.01.</t>
        </is>
      </c>
    </row>
    <row r="6" ht="53.25" customHeight="1" s="36">
      <c r="A6" s="44" t="n">
        <v>8</v>
      </c>
      <c r="B6" s="59" t="inlineStr">
        <is>
          <t>A1</t>
        </is>
      </c>
      <c r="C6" s="46" t="inlineStr">
        <is>
          <t>Break Room 118</t>
        </is>
      </c>
      <c r="D6" s="46" t="inlineStr">
        <is>
          <t>5/8 GYP</t>
        </is>
      </c>
      <c r="E6" s="47" t="n">
        <v>2.91</v>
      </c>
      <c r="F6" s="47" t="n">
        <v>9</v>
      </c>
      <c r="G6" s="60" t="n">
        <v>1</v>
      </c>
      <c r="H6" s="47" t="n">
        <v>0</v>
      </c>
      <c r="I6" s="48" t="n">
        <v>26.19</v>
      </c>
      <c r="J6" s="62" t="inlineStr">
        <is>
          <t>face este, zona Break Room 118: 2.91 x 9.00 = 26.22 SF. CORREGIDO 5-oct-2026: la face este se mide FACE TO FACE, no de eje a eje. El board de esta face arranca en el extremo norte del wall (y=1386.36) y MUERE en la face norte del primer wall tipo B (y=1438.80): 52.44 pt / 18 = 2.913 ft. Medir hasta el EJE del wall B (y=1442.46) metia 0.204 ft de board que no existe, porque ahi esta el nucleo del wall B; y ademas el cierre de B #18 YA arranca en x=1241.76, la face este de este wall, asi que contar hasta el eje duplicaba. Cielo ACT-5 con dimension impresa 8'-6" en A04.01 + los 6" de 3/A12.01 = 9.00 ft</t>
        </is>
      </c>
    </row>
    <row r="7" ht="63.75" customHeight="1" s="36">
      <c r="A7" s="44" t="n">
        <v>8</v>
      </c>
      <c r="B7" s="59" t="inlineStr">
        <is>
          <t>A1</t>
        </is>
      </c>
      <c r="C7" s="46" t="inlineStr">
        <is>
          <t>Electrical 120</t>
        </is>
      </c>
      <c r="D7" s="46" t="inlineStr">
        <is>
          <t>5/8 GYP</t>
        </is>
      </c>
      <c r="E7" s="47" t="n">
        <v>5.83</v>
      </c>
      <c r="F7" s="47" t="n">
        <v>12.82</v>
      </c>
      <c r="G7" s="60" t="n">
        <v>1</v>
      </c>
      <c r="H7" s="47" t="n">
        <v>0</v>
      </c>
      <c r="I7" s="48" t="n">
        <v>74.7406</v>
      </c>
      <c r="J7" s="62" t="inlineStr">
        <is>
          <t>face este, zona Electrical 120: 5.83 x 12.82 = 74.78 SF. CORREGIDO 5-oct-2026: face to face entre los dos walls tipo B, y=1446.12 a y=1551.12 = 105.00 pt / 18 = 5.833 ft, que es EXACTAMENTE la dimension impresa 5'-10" de A02.01 (cadena en x=1277.76, ticks localizados descontando el sobretiro de punta de flecha de 6.72 pt, simetrico en los dos extremos). A04.01 le pone a ELECTRICAL 120 los key notes 1 y 10; el 1 es textual 'OPEN TO STRUCTURE ABOVE' y no hay tag ACT ni dimension de cielo: el board sube al DECK. B.O.D. interpolado en el extremo ALTO de la zona (y=1446.12 de A02.01 = y=1429.40 de S2.20) = 13.052 - (200.10/454.6) x 0.521 = 12.82 ft. Una layer de 5/8" gypsum board, fila A1 del schedule de 3/A12.01, que ademas manda el stud a UNDERSIDE OF STRUCTURE con continuous slip track.</t>
        </is>
      </c>
    </row>
    <row r="8" ht="53.25" customHeight="1" s="36">
      <c r="A8" s="44" t="n">
        <v>8</v>
      </c>
      <c r="B8" s="59" t="inlineStr">
        <is>
          <t>A1</t>
        </is>
      </c>
      <c r="C8" s="46" t="inlineStr">
        <is>
          <t>NER 121</t>
        </is>
      </c>
      <c r="D8" s="46" t="inlineStr">
        <is>
          <t>5/8 GYP</t>
        </is>
      </c>
      <c r="E8" s="47" t="n">
        <v>7.5</v>
      </c>
      <c r="F8" s="47" t="n">
        <v>12.69</v>
      </c>
      <c r="G8" s="60" t="n">
        <v>1</v>
      </c>
      <c r="H8" s="47" t="n">
        <v>0</v>
      </c>
      <c r="I8" s="48" t="n">
        <v>95.175</v>
      </c>
      <c r="J8" s="62" t="inlineStr">
        <is>
          <t>face este, zona NER 121: 7.50 x 12.69 = 95.17 SF. CORREGIDO 5-oct-2026: face to face de la face sur del segundo wall B (y=1558.44) al extremo sur (y=1693.44) = 135.00 pt / 18 = 7.500 ft, que es EXACTAMENTE la dimension impresa 7'-6" de A02.01, misma cadena x=1277.76. A04.01 le pone a NER 121 los mismos key notes 1 y 10: OPEN TO STRUCTURE ABOVE, board al DECK. B.O.D. interpolado en el extremo ALTO de la zona (y=1558.44 de A02.01 = y=1541.72 de S2.20) = 13.052 - (312.42/454.6) x 0.521 = 12.69 ft. Una layer de 5/8" gypsum board, fila A1 del schedule de 3/A12.01.</t>
        </is>
      </c>
    </row>
    <row r="9" ht="15" customHeight="1" s="36">
      <c r="A9" s="44" t="n">
        <v>1</v>
      </c>
      <c r="B9" s="59" t="inlineStr">
        <is>
          <t>A1</t>
        </is>
      </c>
      <c r="C9" s="46" t="inlineStr">
        <is>
          <t>Central Zone 103</t>
        </is>
      </c>
      <c r="D9" s="46" t="inlineStr">
        <is>
          <t>5/8 GYP</t>
        </is>
      </c>
      <c r="E9" s="47" t="n">
        <v>16.42</v>
      </c>
      <c r="F9" s="47" t="n">
        <v>12</v>
      </c>
      <c r="G9" s="60" t="n">
        <v>1</v>
      </c>
      <c r="H9" s="47" t="n">
        <v>0</v>
      </c>
      <c r="I9" s="48" t="n">
        <v>197.04</v>
      </c>
      <c r="J9" s="62" t="inlineStr">
        <is>
          <t>16.42 LF x 12.00 ft x 1 layer = 197.04 SF = 197.04 SF. 5/8" gypsum board, una layer por face segun la fila A1 de 3/A12.01.</t>
        </is>
      </c>
    </row>
    <row r="10" ht="15" customHeight="1" s="36">
      <c r="A10" s="44" t="n">
        <v>1</v>
      </c>
      <c r="B10" s="59" t="inlineStr">
        <is>
          <t>A1</t>
        </is>
      </c>
      <c r="C10" s="46" t="inlineStr">
        <is>
          <t>Calling Cubes 122</t>
        </is>
      </c>
      <c r="D10" s="46" t="inlineStr">
        <is>
          <t>5/8 GYP</t>
        </is>
      </c>
      <c r="E10" s="47" t="n">
        <v>16.42</v>
      </c>
      <c r="F10" s="47" t="n">
        <v>9</v>
      </c>
      <c r="G10" s="60" t="n">
        <v>1</v>
      </c>
      <c r="H10" s="47" t="n">
        <v>0</v>
      </c>
      <c r="I10" s="48" t="n">
        <v>147.78</v>
      </c>
      <c r="J10" s="62" t="inlineStr">
        <is>
          <t>16.42 LF x 9.00 ft x 1 layer = 147.78 SF = 147.78 SF. 5/8" gypsum board, una layer por face segun la fila A1 de 3/A12.01.</t>
        </is>
      </c>
    </row>
    <row r="11" ht="15" customHeight="1" s="36">
      <c r="A11" s="44" t="n">
        <v>5</v>
      </c>
      <c r="B11" s="59" t="inlineStr">
        <is>
          <t>A1</t>
        </is>
      </c>
      <c r="C11" s="46" t="inlineStr">
        <is>
          <t>Calling Cubes 122</t>
        </is>
      </c>
      <c r="D11" s="46" t="inlineStr">
        <is>
          <t>5/8 GYP</t>
        </is>
      </c>
      <c r="E11" s="47" t="n">
        <v>15.23</v>
      </c>
      <c r="F11" s="47" t="n">
        <v>9</v>
      </c>
      <c r="G11" s="60" t="n">
        <v>1</v>
      </c>
      <c r="H11" s="47" t="n">
        <v>0</v>
      </c>
      <c r="I11" s="48" t="n">
        <v>137.07</v>
      </c>
      <c r="J11" s="62" t="inlineStr">
        <is>
          <t>15.23 LF x 9.00 ft x 1 layer = 137.07 SF = 137.07 SF. 5/8" gypsum board, una layer por face segun la fila A1 de 3/A12.01.</t>
        </is>
      </c>
    </row>
    <row r="12" ht="15" customHeight="1" s="36">
      <c r="A12" s="44" t="n">
        <v>5</v>
      </c>
      <c r="B12" s="59" t="inlineStr">
        <is>
          <t>A1</t>
        </is>
      </c>
      <c r="C12" s="46" t="inlineStr">
        <is>
          <t>Break Room 118</t>
        </is>
      </c>
      <c r="D12" s="46" t="inlineStr">
        <is>
          <t>5/8 GYP</t>
        </is>
      </c>
      <c r="E12" s="47" t="n">
        <v>15.23</v>
      </c>
      <c r="F12" s="47" t="n">
        <v>9</v>
      </c>
      <c r="G12" s="60" t="n">
        <v>1</v>
      </c>
      <c r="H12" s="47" t="n">
        <v>0</v>
      </c>
      <c r="I12" s="48" t="n">
        <v>137.07</v>
      </c>
      <c r="J12" s="62" t="inlineStr">
        <is>
          <t>15.23 LF x 9.00 ft x 1 layer = 137.07 SF = 137.07 SF. 5/8" gypsum board, una layer por face segun la fila A1 de 3/A12.01.</t>
        </is>
      </c>
    </row>
    <row r="13" ht="21.75" customHeight="1" s="36">
      <c r="A13" s="44" t="n">
        <v>9</v>
      </c>
      <c r="B13" s="59" t="inlineStr">
        <is>
          <t>A1</t>
        </is>
      </c>
      <c r="C13" s="46" t="inlineStr">
        <is>
          <t>Cash Window 116</t>
        </is>
      </c>
      <c r="D13" s="46" t="inlineStr">
        <is>
          <t>5/8 GYP</t>
        </is>
      </c>
      <c r="E13" s="47" t="n">
        <v>11.67</v>
      </c>
      <c r="F13" s="47" t="n">
        <v>9.5</v>
      </c>
      <c r="G13" s="60" t="n">
        <v>1</v>
      </c>
      <c r="H13" s="47" t="n">
        <v>23.33</v>
      </c>
      <c r="I13" s="48" t="n">
        <v>87.535</v>
      </c>
      <c r="J13" s="62" t="inlineStr">
        <is>
          <t>11.67 LF x 9.50 ft x 1 layer = 110.84 SF; menos la abertura 119 de 3.333 x 7.00 = 23.33 SF = 87.51 SF. 5/8" gypsum board, una layer por face segun la fila A1 de 3/A12.01.</t>
        </is>
      </c>
    </row>
    <row r="14" ht="21.75" customHeight="1" s="36">
      <c r="A14" s="44" t="n">
        <v>9</v>
      </c>
      <c r="B14" s="59" t="inlineStr">
        <is>
          <t>A1</t>
        </is>
      </c>
      <c r="C14" s="46" t="inlineStr">
        <is>
          <t>Work Room 119</t>
        </is>
      </c>
      <c r="D14" s="46" t="inlineStr">
        <is>
          <t>5/8 GYP</t>
        </is>
      </c>
      <c r="E14" s="47" t="n">
        <v>11.67</v>
      </c>
      <c r="F14" s="47" t="n">
        <v>9</v>
      </c>
      <c r="G14" s="60" t="n">
        <v>1</v>
      </c>
      <c r="H14" s="47" t="n">
        <v>23.33</v>
      </c>
      <c r="I14" s="48" t="n">
        <v>81.7</v>
      </c>
      <c r="J14" s="62" t="inlineStr">
        <is>
          <t>11.67 LF x 9.00 ft x 1 layer = 105.00 SF; menos la abertura 119 de 3.333 x 7.00 = 23.33 SF = 81.67 SF. 5/8" gypsum board, una layer por face segun la fila A1 de 3/A12.01.</t>
        </is>
      </c>
    </row>
    <row r="15" ht="21.75" customHeight="1" s="36">
      <c r="A15" s="44" t="n">
        <v>6</v>
      </c>
      <c r="B15" s="59" t="inlineStr">
        <is>
          <t>A1</t>
        </is>
      </c>
      <c r="C15" s="46" t="inlineStr">
        <is>
          <t>Cash Window 116</t>
        </is>
      </c>
      <c r="D15" s="46" t="inlineStr">
        <is>
          <t>5/8 GYP</t>
        </is>
      </c>
      <c r="E15" s="47" t="n">
        <v>5.5</v>
      </c>
      <c r="F15" s="47" t="n">
        <v>9.5</v>
      </c>
      <c r="G15" s="60" t="n">
        <v>1</v>
      </c>
      <c r="H15" s="47" t="n">
        <v>26.66</v>
      </c>
      <c r="I15" s="48" t="n">
        <v>25.59</v>
      </c>
      <c r="J15" s="62" t="inlineStr">
        <is>
          <t>5.50 LF x 9.50 ft x 1 layer = 52.25 SF; menos la abertura 118A de 3.333 x 8.00 = 26.66 SF = 25.59 SF. 5/8" gypsum board, una layer por face segun la fila A1 de 3/A12.01.</t>
        </is>
      </c>
    </row>
    <row r="16" ht="21.75" customHeight="1" s="36">
      <c r="A16" s="44" t="n">
        <v>6</v>
      </c>
      <c r="B16" s="59" t="inlineStr">
        <is>
          <t>A1</t>
        </is>
      </c>
      <c r="C16" s="46" t="inlineStr">
        <is>
          <t>Break Room 118</t>
        </is>
      </c>
      <c r="D16" s="46" t="inlineStr">
        <is>
          <t>5/8 GYP</t>
        </is>
      </c>
      <c r="E16" s="47" t="n">
        <v>5.5</v>
      </c>
      <c r="F16" s="47" t="n">
        <v>9</v>
      </c>
      <c r="G16" s="60" t="n">
        <v>1</v>
      </c>
      <c r="H16" s="47" t="n">
        <v>26.66</v>
      </c>
      <c r="I16" s="48" t="n">
        <v>22.84</v>
      </c>
      <c r="J16" s="62" t="inlineStr">
        <is>
          <t>5.50 LF x 9.00 ft x 1 layer = 49.50 SF; menos la abertura 118A de 3.333 x 8.00 = 26.66 SF = 22.84 SF. 5/8" gypsum board, una layer por face segun la fila A1 de 3/A12.01.</t>
        </is>
      </c>
    </row>
    <row r="17" ht="21.75" customHeight="1" s="36">
      <c r="A17" s="44" t="n">
        <v>4</v>
      </c>
      <c r="B17" s="59" t="inlineStr">
        <is>
          <t>A1</t>
        </is>
      </c>
      <c r="C17" s="46" t="inlineStr">
        <is>
          <t>Corridor 111</t>
        </is>
      </c>
      <c r="D17" s="46" t="inlineStr">
        <is>
          <t>5/8 GYP</t>
        </is>
      </c>
      <c r="E17" s="47" t="n">
        <v>5</v>
      </c>
      <c r="F17" s="47" t="n">
        <v>9</v>
      </c>
      <c r="G17" s="60" t="n">
        <v>1</v>
      </c>
      <c r="H17" s="47" t="n">
        <v>26.66</v>
      </c>
      <c r="I17" s="48" t="n">
        <v>18.34</v>
      </c>
      <c r="J17" s="62" t="inlineStr">
        <is>
          <t>5.00 LF x 9.00 ft x 1 layer = 45.00 SF; menos la abertura 111 de 3.333 x 8.00 = 26.66 SF = 18.34 SF. 5/8" gypsum board, una layer por face segun la fila A1 de 3/A12.01.</t>
        </is>
      </c>
    </row>
    <row r="18" ht="21.75" customHeight="1" s="36">
      <c r="A18" s="44" t="n">
        <v>4</v>
      </c>
      <c r="B18" s="59" t="inlineStr">
        <is>
          <t>A1</t>
        </is>
      </c>
      <c r="C18" s="46" t="inlineStr">
        <is>
          <t>Corridor 111 (face 2)</t>
        </is>
      </c>
      <c r="D18" s="46" t="inlineStr">
        <is>
          <t>5/8 GYP</t>
        </is>
      </c>
      <c r="E18" s="47" t="n">
        <v>5</v>
      </c>
      <c r="F18" s="47" t="n">
        <v>9</v>
      </c>
      <c r="G18" s="60" t="n">
        <v>1</v>
      </c>
      <c r="H18" s="47" t="n">
        <v>26.66</v>
      </c>
      <c r="I18" s="48" t="n">
        <v>18.34</v>
      </c>
      <c r="J18" s="62" t="inlineStr">
        <is>
          <t>5.00 LF x 9.00 ft x 1 layer = 45.00 SF; menos la abertura 111 de 3.333 x 8.00 = 26.66 SF = 18.34 SF. 5/8" gypsum board, una layer por face segun la fila A1 de 3/A12.01.</t>
        </is>
      </c>
    </row>
    <row r="19" ht="15" customHeight="1" s="36">
      <c r="A19" s="44" t="n">
        <v>2</v>
      </c>
      <c r="B19" s="59" t="inlineStr">
        <is>
          <t>A1</t>
        </is>
      </c>
      <c r="C19" s="46" t="inlineStr">
        <is>
          <t>Calling Cubes 122</t>
        </is>
      </c>
      <c r="D19" s="46" t="inlineStr">
        <is>
          <t>5/8 GYP</t>
        </is>
      </c>
      <c r="E19" s="47" t="n">
        <v>3.13</v>
      </c>
      <c r="F19" s="47" t="n">
        <v>9</v>
      </c>
      <c r="G19" s="60" t="n">
        <v>1</v>
      </c>
      <c r="H19" s="47" t="n">
        <v>0</v>
      </c>
      <c r="I19" s="48" t="n">
        <v>28.17</v>
      </c>
      <c r="J19" s="62" t="inlineStr">
        <is>
          <t>3.13 LF x 9.00 ft x 1 layer = 28.17 SF = 28.17 SF. 5/8" gypsum board, una layer por face segun la fila A1 de 3/A12.01.</t>
        </is>
      </c>
    </row>
    <row r="20" ht="15" customHeight="1" s="36">
      <c r="A20" s="44" t="n">
        <v>2</v>
      </c>
      <c r="B20" s="59" t="inlineStr">
        <is>
          <t>A1</t>
        </is>
      </c>
      <c r="C20" s="46" t="inlineStr">
        <is>
          <t>MW01 niche</t>
        </is>
      </c>
      <c r="D20" s="46" t="inlineStr">
        <is>
          <t>5/8 GYP</t>
        </is>
      </c>
      <c r="E20" s="47" t="n">
        <v>3.13</v>
      </c>
      <c r="F20" s="47" t="n">
        <v>9</v>
      </c>
      <c r="G20" s="60" t="n">
        <v>1</v>
      </c>
      <c r="H20" s="47" t="n">
        <v>0</v>
      </c>
      <c r="I20" s="48" t="n">
        <v>28.17</v>
      </c>
      <c r="J20" s="62" t="inlineStr">
        <is>
          <t>3.13 LF x 9.00 ft x 1 layer = 28.17 SF = 28.17 SF. 5/8" gypsum board, una layer por face segun la fila A1 de 3/A12.01.</t>
        </is>
      </c>
    </row>
    <row r="21" ht="15" customHeight="1" s="36">
      <c r="A21" s="44" t="n">
        <v>3</v>
      </c>
      <c r="B21" s="59" t="inlineStr">
        <is>
          <t>A1</t>
        </is>
      </c>
      <c r="C21" s="46" t="inlineStr">
        <is>
          <t>Calling Cubes 122</t>
        </is>
      </c>
      <c r="D21" s="46" t="inlineStr">
        <is>
          <t>5/8 GYP</t>
        </is>
      </c>
      <c r="E21" s="47" t="n">
        <v>2.63</v>
      </c>
      <c r="F21" s="47" t="n">
        <v>9</v>
      </c>
      <c r="G21" s="60" t="n">
        <v>1</v>
      </c>
      <c r="H21" s="47" t="n">
        <v>0</v>
      </c>
      <c r="I21" s="48" t="n">
        <v>23.67</v>
      </c>
      <c r="J21" s="62" t="inlineStr">
        <is>
          <t>2.63 LF x 9.00 ft x 1 layer = 23.67 SF = 23.67 SF. 5/8" gypsum board, una layer por face segun la fila A1 de 3/A12.01.</t>
        </is>
      </c>
    </row>
    <row r="22" ht="15" customHeight="1" s="36">
      <c r="A22" s="44" t="n">
        <v>3</v>
      </c>
      <c r="B22" s="59" t="inlineStr">
        <is>
          <t>A1</t>
        </is>
      </c>
      <c r="C22" s="46" t="inlineStr">
        <is>
          <t>MW01 niche</t>
        </is>
      </c>
      <c r="D22" s="46" t="inlineStr">
        <is>
          <t>5/8 GYP</t>
        </is>
      </c>
      <c r="E22" s="47" t="n">
        <v>2.63</v>
      </c>
      <c r="F22" s="47" t="n">
        <v>9</v>
      </c>
      <c r="G22" s="60" t="n">
        <v>1</v>
      </c>
      <c r="H22" s="47" t="n">
        <v>0</v>
      </c>
      <c r="I22" s="48" t="n">
        <v>23.67</v>
      </c>
      <c r="J22" s="62" t="inlineStr">
        <is>
          <t>2.63 LF x 9.00 ft x 1 layer = 23.67 SF = 23.67 SF. 5/8" gypsum board, una layer por face segun la fila A1 de 3/A12.01.</t>
        </is>
      </c>
    </row>
    <row r="23" ht="15" customHeight="1" s="36">
      <c r="A23" s="44" t="n">
        <v>7</v>
      </c>
      <c r="B23" s="59" t="inlineStr">
        <is>
          <t>A1</t>
        </is>
      </c>
      <c r="C23" s="46" t="inlineStr">
        <is>
          <t>Break Room 118</t>
        </is>
      </c>
      <c r="D23" s="46" t="inlineStr">
        <is>
          <t>5/8 GYP</t>
        </is>
      </c>
      <c r="E23" s="47" t="n">
        <v>1.73</v>
      </c>
      <c r="F23" s="47" t="n">
        <v>9</v>
      </c>
      <c r="G23" s="60" t="n">
        <v>1</v>
      </c>
      <c r="H23" s="47" t="n">
        <v>0</v>
      </c>
      <c r="I23" s="48" t="n">
        <v>15.57</v>
      </c>
      <c r="J23" s="62" t="inlineStr">
        <is>
          <t>1.73 LF x 9.00 ft x 1 layer = 15.57 SF = 15.57 SF. 5/8" gypsum board, una layer por face segun la fila A1 de 3/A12.01.</t>
        </is>
      </c>
    </row>
    <row r="24" ht="15" customHeight="1" s="36">
      <c r="A24" s="44" t="n">
        <v>7</v>
      </c>
      <c r="B24" s="59" t="inlineStr">
        <is>
          <t>A1</t>
        </is>
      </c>
      <c r="C24" s="46" t="inlineStr">
        <is>
          <t>Cash Window 116</t>
        </is>
      </c>
      <c r="D24" s="46" t="inlineStr">
        <is>
          <t>5/8 GYP</t>
        </is>
      </c>
      <c r="E24" s="47" t="n">
        <v>1.73</v>
      </c>
      <c r="F24" s="47" t="n">
        <v>9.5</v>
      </c>
      <c r="G24" s="60" t="n">
        <v>1</v>
      </c>
      <c r="H24" s="47" t="n">
        <v>0</v>
      </c>
      <c r="I24" s="48" t="n">
        <v>16.435</v>
      </c>
      <c r="J24" s="62" t="inlineStr">
        <is>
          <t>1.73 LF x 9.50 ft x 1 layer = 16.43 SF = 16.43 SF. 5/8" gypsum board, una layer por face segun la fila A1 de 3/A12.01.</t>
        </is>
      </c>
    </row>
    <row r="25" ht="23.25" customHeight="1" s="36">
      <c r="A25" s="44" t="n">
        <v>11</v>
      </c>
      <c r="B25" s="59" t="inlineStr">
        <is>
          <t>A1K</t>
        </is>
      </c>
      <c r="C25" s="46" t="inlineStr">
        <is>
          <t>Lado norte (linea de teller, contra el wall G-47)</t>
        </is>
      </c>
      <c r="D25" s="46" t="inlineStr">
        <is>
          <t>5/8 GYP 1 layer</t>
        </is>
      </c>
      <c r="E25" s="47" t="n">
        <v>3.417</v>
      </c>
      <c r="F25" s="47" t="n">
        <v>15.375</v>
      </c>
      <c r="G25" s="60" t="n">
        <v>1</v>
      </c>
      <c r="H25" s="47" t="n">
        <v>0</v>
      </c>
      <c r="I25" s="48" t="n">
        <v>52.536375</v>
      </c>
      <c r="J25" s="62" t="inlineStr">
        <is>
          <t>face balistica: 4/A12.01 PARTITION TYPE A1K &amp; A5K labels 5/8" GYP. BD. OVER FIBERGLASS PANEL. La layer de 5/8" gyp corre TODA la height (verificado en el recorte a 1400 dpi del detalle: por encima de 8'-0" la layer moteada de 5/8" sigue), 3.417 LF x 15.375 ft</t>
        </is>
      </c>
    </row>
    <row r="26" ht="21.75" customHeight="1" s="36">
      <c r="A26" s="44" t="n">
        <v>11</v>
      </c>
      <c r="B26" s="59" t="inlineStr">
        <is>
          <t>A1K</t>
        </is>
      </c>
      <c r="C26" s="46" t="inlineStr">
        <is>
          <t>Cash Window 116</t>
        </is>
      </c>
      <c r="D26" s="46" t="inlineStr">
        <is>
          <t>5/8 GYP 1 layer</t>
        </is>
      </c>
      <c r="E26" s="47" t="n">
        <v>3.417</v>
      </c>
      <c r="F26" s="47" t="n">
        <v>15.375</v>
      </c>
      <c r="G26" s="60" t="n">
        <v>1</v>
      </c>
      <c r="H26" s="47" t="n">
        <v>0</v>
      </c>
      <c r="I26" s="48" t="n">
        <v>52.536375</v>
      </c>
      <c r="J26" s="62" t="inlineStr">
        <is>
          <t>face NO balistica: 5/8" gyp de piso a deck, 3.417 LF x 15.375 ft. 4/A12.01 PARTITION TYPE A1K &amp; A5K labels 5/8" GYP. BD. in the bullet for that face.</t>
        </is>
      </c>
    </row>
    <row r="27" ht="21.75" customHeight="1" s="36">
      <c r="A27" s="44" t="n">
        <v>12</v>
      </c>
      <c r="B27" s="59" t="inlineStr">
        <is>
          <t>A1K</t>
        </is>
      </c>
      <c r="C27" s="46" t="inlineStr">
        <is>
          <t>Cash Window 116</t>
        </is>
      </c>
      <c r="D27" s="46" t="inlineStr">
        <is>
          <t>5/8 GYP 1 layer</t>
        </is>
      </c>
      <c r="E27" s="47" t="n">
        <v>3.413</v>
      </c>
      <c r="F27" s="47" t="n">
        <v>12.933</v>
      </c>
      <c r="G27" s="60" t="n">
        <v>1</v>
      </c>
      <c r="H27" s="47" t="n">
        <v>0</v>
      </c>
      <c r="I27" s="48" t="n">
        <v>44.140329</v>
      </c>
      <c r="J27" s="62" t="inlineStr">
        <is>
          <t>face NO balistica: 5/8" gyp de piso a deck, 3.413 LF x 12.933 ft. 4/A12.01 PARTITION TYPE A1K &amp; A5K labels 5/8" GYP. BD. in the bullet for that face.</t>
        </is>
      </c>
    </row>
    <row r="28" ht="21.75" customHeight="1" s="36">
      <c r="A28" s="44" t="n">
        <v>12</v>
      </c>
      <c r="B28" s="59" t="inlineStr">
        <is>
          <t>A1K</t>
        </is>
      </c>
      <c r="C28" s="46" t="inlineStr">
        <is>
          <t>Lado sur (zona del FUTURE FCAM)</t>
        </is>
      </c>
      <c r="D28" s="46" t="inlineStr">
        <is>
          <t>5/8 GYP 1 layer</t>
        </is>
      </c>
      <c r="E28" s="47" t="n">
        <v>3.413</v>
      </c>
      <c r="F28" s="47" t="n">
        <v>12.933</v>
      </c>
      <c r="G28" s="60" t="n">
        <v>1</v>
      </c>
      <c r="H28" s="47" t="n">
        <v>0</v>
      </c>
      <c r="I28" s="48" t="n">
        <v>44.140329</v>
      </c>
      <c r="J28" s="62" t="inlineStr">
        <is>
          <t>face balistica: 4/A12.01 PARTITION TYPE A1K &amp; A5K labels 5/8" GYP. BD. OVER FIBERGLASS PANEL. La layer de 5/8" gyp corre TODA la height (verificado en el recorte a 1400 dpi del detalle: por encima de 8'-0" la layer moteada de 5/8" sigue), 3.413 LF x 12.933 ft</t>
        </is>
      </c>
    </row>
    <row r="29" ht="21.75" customHeight="1" s="36">
      <c r="A29" s="44" t="n">
        <v>13</v>
      </c>
      <c r="B29" s="59" t="inlineStr">
        <is>
          <t>A1K</t>
        </is>
      </c>
      <c r="C29" s="46" t="inlineStr">
        <is>
          <t>Lado norte</t>
        </is>
      </c>
      <c r="D29" s="46" t="inlineStr">
        <is>
          <t>5/8 GYP 1 layer</t>
        </is>
      </c>
      <c r="E29" s="47" t="n">
        <v>1.16</v>
      </c>
      <c r="F29" s="47" t="n">
        <v>12.921</v>
      </c>
      <c r="G29" s="60" t="n">
        <v>1</v>
      </c>
      <c r="H29" s="47" t="n">
        <v>0</v>
      </c>
      <c r="I29" s="48" t="n">
        <v>14.98836</v>
      </c>
      <c r="J29" s="62" t="inlineStr">
        <is>
          <t>face NO balistica: 5/8" gyp de piso a deck, 1.160 LF x 12.921 ft. 4/A12.01 PARTITION TYPE A1K &amp; A5K labels 5/8" GYP. BD. in the bullet for that face.</t>
        </is>
      </c>
    </row>
    <row r="30" ht="21.75" customHeight="1" s="36">
      <c r="A30" s="44" t="n">
        <v>13</v>
      </c>
      <c r="B30" s="59" t="inlineStr">
        <is>
          <t>A1K</t>
        </is>
      </c>
      <c r="C30" s="46" t="inlineStr">
        <is>
          <t>Lado sur (zona del FUTURE FCAM)</t>
        </is>
      </c>
      <c r="D30" s="46" t="inlineStr">
        <is>
          <t>5/8 GYP 1 layer</t>
        </is>
      </c>
      <c r="E30" s="47" t="n">
        <v>1.16</v>
      </c>
      <c r="F30" s="47" t="n">
        <v>12.921</v>
      </c>
      <c r="G30" s="60" t="n">
        <v>1</v>
      </c>
      <c r="H30" s="47" t="n">
        <v>0</v>
      </c>
      <c r="I30" s="48" t="n">
        <v>14.98836</v>
      </c>
      <c r="J30" s="62" t="inlineStr">
        <is>
          <t>face balistica: 4/A12.01 PARTITION TYPE A1K &amp; A5K labels 5/8" GYP. BD. OVER FIBERGLASS PANEL. La layer de 5/8" gyp corre TODA la height (verificado en el recorte a 1400 dpi del detalle: por encima de 8'-0" la layer moteada de 5/8" sigue), 1.160 LF x 12.921 ft</t>
        </is>
      </c>
    </row>
    <row r="31" ht="15" customHeight="1" s="36">
      <c r="A31" s="44" t="n">
        <v>14</v>
      </c>
      <c r="B31" s="59" t="inlineStr">
        <is>
          <t>A5</t>
        </is>
      </c>
      <c r="C31" s="46" t="inlineStr">
        <is>
          <t>Calling Cubes 122</t>
        </is>
      </c>
      <c r="D31" s="46" t="inlineStr">
        <is>
          <t>5/8 GYP</t>
        </is>
      </c>
      <c r="E31" s="47" t="n">
        <v>19</v>
      </c>
      <c r="F31" s="47" t="n">
        <v>9</v>
      </c>
      <c r="G31" s="60" t="n">
        <v>1</v>
      </c>
      <c r="H31" s="47" t="n">
        <v>0</v>
      </c>
      <c r="I31" s="48" t="n">
        <v>171</v>
      </c>
      <c r="J31" s="62" t="inlineStr">
        <is>
          <t>3/A12.01 PARTITION TYPE A1 &amp; A5: one layer of 5/8" GYP. BD. on this face, dying 6" above the scheduled ceiling. 19.00 LF x 9.00 ft x 1 layer</t>
        </is>
      </c>
    </row>
    <row r="32" ht="15" customHeight="1" s="36">
      <c r="A32" s="44" t="n">
        <v>14</v>
      </c>
      <c r="B32" s="59" t="inlineStr">
        <is>
          <t>A5</t>
        </is>
      </c>
      <c r="C32" s="46" t="inlineStr">
        <is>
          <t>Office 4 CB 108</t>
        </is>
      </c>
      <c r="D32" s="46" t="inlineStr">
        <is>
          <t>5/8 GYP</t>
        </is>
      </c>
      <c r="E32" s="47" t="n">
        <v>19</v>
      </c>
      <c r="F32" s="47" t="n">
        <v>9.5</v>
      </c>
      <c r="G32" s="60" t="n">
        <v>1</v>
      </c>
      <c r="H32" s="47" t="n">
        <v>0</v>
      </c>
      <c r="I32" s="48" t="n">
        <v>180.5</v>
      </c>
      <c r="J32" s="62" t="inlineStr">
        <is>
          <t>3/A12.01 PARTITION TYPE A1 &amp; A5: one layer of 5/8" GYP. BD. on this face, dying 6" above the scheduled ceiling. 19.00 LF x 9.50 ft x 1 layer</t>
        </is>
      </c>
    </row>
    <row r="33" ht="15" customHeight="1" s="36">
      <c r="A33" s="44" t="n">
        <v>15</v>
      </c>
      <c r="B33" s="59" t="inlineStr">
        <is>
          <t>A5</t>
        </is>
      </c>
      <c r="C33" s="46" t="inlineStr">
        <is>
          <t>Calling Cubes 122</t>
        </is>
      </c>
      <c r="D33" s="46" t="inlineStr">
        <is>
          <t>5/8 GYP</t>
        </is>
      </c>
      <c r="E33" s="47" t="n">
        <v>11</v>
      </c>
      <c r="F33" s="47" t="n">
        <v>9</v>
      </c>
      <c r="G33" s="60" t="n">
        <v>1</v>
      </c>
      <c r="H33" s="47" t="n">
        <v>0</v>
      </c>
      <c r="I33" s="48" t="n">
        <v>99</v>
      </c>
      <c r="J33" s="62" t="inlineStr">
        <is>
          <t>3/A12.01 PARTITION TYPE A1 &amp; A5: one layer of 5/8" GYP. BD. on this face, dying 6" above the scheduled ceiling. 11.00 LF x 9.00 ft x 1 layer</t>
        </is>
      </c>
    </row>
    <row r="34" ht="15" customHeight="1" s="36">
      <c r="A34" s="44" t="n">
        <v>15</v>
      </c>
      <c r="B34" s="59" t="inlineStr">
        <is>
          <t>A5</t>
        </is>
      </c>
      <c r="C34" s="46" t="inlineStr">
        <is>
          <t>Corridor 111</t>
        </is>
      </c>
      <c r="D34" s="46" t="inlineStr">
        <is>
          <t>5/8 GYP</t>
        </is>
      </c>
      <c r="E34" s="47" t="n">
        <v>11</v>
      </c>
      <c r="F34" s="47" t="n">
        <v>9</v>
      </c>
      <c r="G34" s="60" t="n">
        <v>1</v>
      </c>
      <c r="H34" s="47" t="n">
        <v>0</v>
      </c>
      <c r="I34" s="48" t="n">
        <v>99</v>
      </c>
      <c r="J34" s="62" t="inlineStr">
        <is>
          <t>3/A12.01 PARTITION TYPE A1 &amp; A5: one layer of 5/8" GYP. BD. on this face, dying 6" above the scheduled ceiling. 11.00 LF x 9.00 ft x 1 layer</t>
        </is>
      </c>
    </row>
    <row r="35" ht="21.75" customHeight="1" s="36">
      <c r="A35" s="44" t="n">
        <v>16</v>
      </c>
      <c r="B35" s="59" t="inlineStr">
        <is>
          <t>A5</t>
        </is>
      </c>
      <c r="C35" s="46" t="inlineStr">
        <is>
          <t>Corridor 111</t>
        </is>
      </c>
      <c r="D35" s="46" t="inlineStr">
        <is>
          <t>5/8 GYP</t>
        </is>
      </c>
      <c r="E35" s="47" t="n">
        <v>5.41</v>
      </c>
      <c r="F35" s="47" t="n">
        <v>9</v>
      </c>
      <c r="G35" s="60" t="n">
        <v>1</v>
      </c>
      <c r="H35" s="47" t="n">
        <v>23.31</v>
      </c>
      <c r="I35" s="48" t="n">
        <v>25.38</v>
      </c>
      <c r="J35" s="62" t="inlineStr">
        <is>
          <t>3/A12.01 PARTITION TYPE A1 &amp; A5: one layer of 5/8" GYP. BD. on this face, dying 6" above the scheduled ceiling. 5.41 LF x 9.00 ft x 1 layer = 48.69, less the opening 3.33 x 7.00 = 23.31 -&gt; 25.38</t>
        </is>
      </c>
    </row>
    <row r="36" ht="21.75" customHeight="1" s="36">
      <c r="A36" s="44" t="n">
        <v>16</v>
      </c>
      <c r="B36" s="59" t="inlineStr">
        <is>
          <t>A5</t>
        </is>
      </c>
      <c r="C36" s="46" t="inlineStr">
        <is>
          <t>Calling Cubes 122</t>
        </is>
      </c>
      <c r="D36" s="46" t="inlineStr">
        <is>
          <t>5/8 GYP</t>
        </is>
      </c>
      <c r="E36" s="47" t="n">
        <v>5.41</v>
      </c>
      <c r="F36" s="47" t="n">
        <v>9</v>
      </c>
      <c r="G36" s="60" t="n">
        <v>1</v>
      </c>
      <c r="H36" s="47" t="n">
        <v>23.31</v>
      </c>
      <c r="I36" s="48" t="n">
        <v>25.38</v>
      </c>
      <c r="J36" s="62" t="inlineStr">
        <is>
          <t>3/A12.01 PARTITION TYPE A1 &amp; A5: one layer of 5/8" GYP. BD. on this face, dying 6" above the scheduled ceiling. 5.41 LF x 9.00 ft x 1 layer = 48.69, less the opening 3.33 x 7.00 = 23.31 -&gt; 25.38</t>
        </is>
      </c>
    </row>
    <row r="37" ht="15" customHeight="1" s="36">
      <c r="A37" s="44" t="n">
        <v>17</v>
      </c>
      <c r="B37" s="59" t="inlineStr">
        <is>
          <t>A5</t>
        </is>
      </c>
      <c r="C37" s="46" t="inlineStr">
        <is>
          <t>Break Room 118</t>
        </is>
      </c>
      <c r="D37" s="46" t="inlineStr">
        <is>
          <t>5/8 GYP</t>
        </is>
      </c>
      <c r="E37" s="47" t="n">
        <v>3.71</v>
      </c>
      <c r="F37" s="47" t="n">
        <v>9</v>
      </c>
      <c r="G37" s="60" t="n">
        <v>1</v>
      </c>
      <c r="H37" s="47" t="n">
        <v>0</v>
      </c>
      <c r="I37" s="48" t="n">
        <v>33.39</v>
      </c>
      <c r="J37" s="62" t="inlineStr">
        <is>
          <t>3/A12.01 PARTITION TYPE A1 &amp; A5: one layer of 5/8" GYP. BD. on this face, dying 6" above the scheduled ceiling. 3.71 LF x 9.00 ft x 1 layer</t>
        </is>
      </c>
    </row>
    <row r="38" ht="15" customHeight="1" s="36">
      <c r="A38" s="44" t="n">
        <v>17</v>
      </c>
      <c r="B38" s="59" t="inlineStr">
        <is>
          <t>A5</t>
        </is>
      </c>
      <c r="C38" s="46" t="inlineStr">
        <is>
          <t>Cash Window 116</t>
        </is>
      </c>
      <c r="D38" s="46" t="inlineStr">
        <is>
          <t>5/8 GYP</t>
        </is>
      </c>
      <c r="E38" s="47" t="n">
        <v>3.71</v>
      </c>
      <c r="F38" s="47" t="n">
        <v>9.5</v>
      </c>
      <c r="G38" s="60" t="n">
        <v>1</v>
      </c>
      <c r="H38" s="47" t="n">
        <v>0</v>
      </c>
      <c r="I38" s="48" t="n">
        <v>35.245</v>
      </c>
      <c r="J38" s="62" t="inlineStr">
        <is>
          <t>3/A12.01 PARTITION TYPE A1 &amp; A5: one layer of 5/8" GYP. BD. on this face, dying 6" above the scheduled ceiling. 3.71 LF x 9.50 ft x 1 layer</t>
        </is>
      </c>
    </row>
    <row r="39" ht="21.75" customHeight="1" s="36">
      <c r="A39" s="44" t="n">
        <v>23</v>
      </c>
      <c r="B39" s="59" t="inlineStr">
        <is>
          <t>B</t>
        </is>
      </c>
      <c r="C39" s="46" t="inlineStr">
        <is>
          <t>Electrical 120</t>
        </is>
      </c>
      <c r="D39" s="46" t="inlineStr">
        <is>
          <t>5/8 GYP</t>
        </is>
      </c>
      <c r="E39" s="47" t="n">
        <v>6.44</v>
      </c>
      <c r="F39" s="47" t="n">
        <v>12.831</v>
      </c>
      <c r="G39" s="60" t="n">
        <v>1</v>
      </c>
      <c r="H39" s="47" t="n">
        <v>23.31</v>
      </c>
      <c r="I39" s="48" t="n">
        <v>59.32164</v>
      </c>
      <c r="J39" s="62" t="inlineStr">
        <is>
          <t>1/A12.01 PARTITION TYPE B &amp; B2: one layer of 5/8" GYP. BD. to the underside of structure. 6.44 LF x 12.831 ft x 1 layer = 82.63, less 1 opening(s) 23.31 = 59.32</t>
        </is>
      </c>
    </row>
    <row r="40" ht="21.75" customHeight="1" s="36">
      <c r="A40" s="44" t="n">
        <v>23</v>
      </c>
      <c r="B40" s="59" t="inlineStr">
        <is>
          <t>B</t>
        </is>
      </c>
      <c r="C40" s="46" t="inlineStr">
        <is>
          <t>NER 121</t>
        </is>
      </c>
      <c r="D40" s="46" t="inlineStr">
        <is>
          <t>5/8 GYP</t>
        </is>
      </c>
      <c r="E40" s="47" t="n">
        <v>7.7</v>
      </c>
      <c r="F40" s="47" t="n">
        <v>12.831</v>
      </c>
      <c r="G40" s="60" t="n">
        <v>1</v>
      </c>
      <c r="H40" s="47" t="n">
        <v>23.31</v>
      </c>
      <c r="I40" s="48" t="n">
        <v>75.48869999999999</v>
      </c>
      <c r="J40" s="62" t="inlineStr">
        <is>
          <t>1/A12.01 PARTITION TYPE B &amp; B2: one layer of 5/8" GYP. BD. to the underside of structure. 7.70 LF x 12.831 ft x 1 layer = 98.80, less 1 opening(s) 23.31 = 75.49</t>
        </is>
      </c>
    </row>
    <row r="41" ht="21.75" customHeight="1" s="36">
      <c r="A41" s="44" t="n">
        <v>23</v>
      </c>
      <c r="B41" s="59" t="inlineStr">
        <is>
          <t>B</t>
        </is>
      </c>
      <c r="C41" s="46" t="inlineStr">
        <is>
          <t>Break Room 118</t>
        </is>
      </c>
      <c r="D41" s="46" t="inlineStr">
        <is>
          <t>5/8 GYP</t>
        </is>
      </c>
      <c r="E41" s="47" t="n">
        <v>14.15</v>
      </c>
      <c r="F41" s="47" t="n">
        <v>12.831</v>
      </c>
      <c r="G41" s="60" t="n">
        <v>1</v>
      </c>
      <c r="H41" s="47" t="n">
        <v>46.62</v>
      </c>
      <c r="I41" s="48" t="n">
        <v>134.93865</v>
      </c>
      <c r="J41" s="62" t="inlineStr">
        <is>
          <t>1/A12.01 PARTITION TYPE B &amp; B2: one layer of 5/8" GYP. BD. to the underside of structure. 14.15 LF x 12.831 ft x 1 layer = 181.56, less 2 opening(s) 46.62 = 134.94</t>
        </is>
      </c>
    </row>
    <row r="42" ht="21.75" customHeight="1" s="36">
      <c r="A42" s="44" t="n">
        <v>20</v>
      </c>
      <c r="B42" s="59" t="inlineStr">
        <is>
          <t>B</t>
        </is>
      </c>
      <c r="C42" s="46" t="inlineStr">
        <is>
          <t>Janitor Closet 112</t>
        </is>
      </c>
      <c r="D42" s="46" t="inlineStr">
        <is>
          <t>5/8 GYP</t>
        </is>
      </c>
      <c r="E42" s="47" t="n">
        <v>11.83</v>
      </c>
      <c r="F42" s="47" t="n">
        <v>12.748</v>
      </c>
      <c r="G42" s="60" t="n">
        <v>1</v>
      </c>
      <c r="H42" s="47" t="n">
        <v>21</v>
      </c>
      <c r="I42" s="48" t="n">
        <v>129.80884</v>
      </c>
      <c r="J42" s="62" t="inlineStr">
        <is>
          <t>1/A12.01 PARTITION TYPE B &amp; B2: one layer of 5/8" GYP. BD. to the underside of structure. 11.83 LF x 12.748 ft x 1 layer = 150.81, less 1 opening(s) 21.00 = 129.81</t>
        </is>
      </c>
    </row>
    <row r="43" ht="21.75" customHeight="1" s="36">
      <c r="A43" s="44" t="n">
        <v>20</v>
      </c>
      <c r="B43" s="59" t="inlineStr">
        <is>
          <t>B</t>
        </is>
      </c>
      <c r="C43" s="46" t="inlineStr">
        <is>
          <t>Storage 117</t>
        </is>
      </c>
      <c r="D43" s="46" t="inlineStr">
        <is>
          <t>5/8 GYP</t>
        </is>
      </c>
      <c r="E43" s="47" t="n">
        <v>11.83</v>
      </c>
      <c r="F43" s="47" t="n">
        <v>12.748</v>
      </c>
      <c r="G43" s="60" t="n">
        <v>1</v>
      </c>
      <c r="H43" s="47" t="n">
        <v>21</v>
      </c>
      <c r="I43" s="48" t="n">
        <v>129.80884</v>
      </c>
      <c r="J43" s="62" t="inlineStr">
        <is>
          <t>1/A12.01 PARTITION TYPE B &amp; B2: one layer of 5/8" GYP. BD. to the underside of structure. 11.83 LF x 12.748 ft x 1 layer = 150.81, less 1 opening(s) 21.00 = 129.81</t>
        </is>
      </c>
    </row>
    <row r="44" ht="15" customHeight="1" s="36">
      <c r="A44" s="44" t="n">
        <v>21</v>
      </c>
      <c r="B44" s="59" t="inlineStr">
        <is>
          <t>B</t>
        </is>
      </c>
      <c r="C44" s="46" t="inlineStr">
        <is>
          <t>Wellness 115</t>
        </is>
      </c>
      <c r="D44" s="46" t="inlineStr">
        <is>
          <t>5/8 GYP</t>
        </is>
      </c>
      <c r="E44" s="47" t="n">
        <v>11.73</v>
      </c>
      <c r="F44" s="47" t="n">
        <v>12.666</v>
      </c>
      <c r="G44" s="60" t="n">
        <v>1</v>
      </c>
      <c r="H44" s="47" t="n">
        <v>0</v>
      </c>
      <c r="I44" s="48" t="n">
        <v>148.57218</v>
      </c>
      <c r="J44" s="62" t="inlineStr">
        <is>
          <t>1/A12.01 PARTITION TYPE B &amp; B2: one layer of 5/8" GYP. BD. to the underside of structure. 11.73 LF x 12.666 ft x 1 layer = 148.57</t>
        </is>
      </c>
    </row>
    <row r="45" ht="15" customHeight="1" s="36">
      <c r="A45" s="44" t="n">
        <v>21</v>
      </c>
      <c r="B45" s="59" t="inlineStr">
        <is>
          <t>B</t>
        </is>
      </c>
      <c r="C45" s="46" t="inlineStr">
        <is>
          <t>Janitor Closet 112</t>
        </is>
      </c>
      <c r="D45" s="46" t="inlineStr">
        <is>
          <t>5/8 GYP</t>
        </is>
      </c>
      <c r="E45" s="47" t="n">
        <v>8.699999999999999</v>
      </c>
      <c r="F45" s="47" t="n">
        <v>12.666</v>
      </c>
      <c r="G45" s="60" t="n">
        <v>1</v>
      </c>
      <c r="H45" s="47" t="n">
        <v>0</v>
      </c>
      <c r="I45" s="48" t="n">
        <v>110.1942</v>
      </c>
      <c r="J45" s="62" t="inlineStr">
        <is>
          <t>1/A12.01 PARTITION TYPE B &amp; B2: one layer of 5/8" GYP. BD. to the underside of structure. 8.70 LF x 12.666 ft x 1 layer = 110.19</t>
        </is>
      </c>
    </row>
    <row r="46" ht="15" customHeight="1" s="36">
      <c r="A46" s="44" t="n">
        <v>21</v>
      </c>
      <c r="B46" s="59" t="inlineStr">
        <is>
          <t>B</t>
        </is>
      </c>
      <c r="C46" s="46" t="inlineStr">
        <is>
          <t>Storage 117</t>
        </is>
      </c>
      <c r="D46" s="46" t="inlineStr">
        <is>
          <t>5/8 GYP</t>
        </is>
      </c>
      <c r="E46" s="47" t="n">
        <v>3.03</v>
      </c>
      <c r="F46" s="47" t="n">
        <v>12.666</v>
      </c>
      <c r="G46" s="60" t="n">
        <v>1</v>
      </c>
      <c r="H46" s="47" t="n">
        <v>0</v>
      </c>
      <c r="I46" s="48" t="n">
        <v>38.37798</v>
      </c>
      <c r="J46" s="62" t="inlineStr">
        <is>
          <t>1/A12.01 PARTITION TYPE B &amp; B2: one layer of 5/8" GYP. BD. to the underside of structure. 3.03 LF x 12.666 ft x 1 layer = 38.38</t>
        </is>
      </c>
    </row>
    <row r="47" ht="15" customHeight="1" s="36">
      <c r="A47" s="44" t="n">
        <v>18</v>
      </c>
      <c r="B47" s="59" t="inlineStr">
        <is>
          <t>B</t>
        </is>
      </c>
      <c r="C47" s="46" t="inlineStr">
        <is>
          <t>Break Room 118</t>
        </is>
      </c>
      <c r="D47" s="46" t="inlineStr">
        <is>
          <t>5/8 GYP</t>
        </is>
      </c>
      <c r="E47" s="47" t="n">
        <v>9.99</v>
      </c>
      <c r="F47" s="47" t="n">
        <v>12.827</v>
      </c>
      <c r="G47" s="60" t="n">
        <v>1</v>
      </c>
      <c r="H47" s="47" t="n">
        <v>0</v>
      </c>
      <c r="I47" s="48" t="n">
        <v>128.14173</v>
      </c>
      <c r="J47" s="62" t="inlineStr">
        <is>
          <t>1/A12.01 PARTITION TYPE B &amp; B2: one layer of 5/8" GYP. BD. to the underside of structure. 9.99 LF x 12.827 ft x 1 layer = 128.14</t>
        </is>
      </c>
    </row>
    <row r="48" ht="15" customHeight="1" s="36">
      <c r="A48" s="44" t="n">
        <v>18</v>
      </c>
      <c r="B48" s="59" t="inlineStr">
        <is>
          <t>B</t>
        </is>
      </c>
      <c r="C48" s="46" t="inlineStr">
        <is>
          <t>Electrical 120</t>
        </is>
      </c>
      <c r="D48" s="46" t="inlineStr">
        <is>
          <t>5/8 GYP</t>
        </is>
      </c>
      <c r="E48" s="47" t="n">
        <v>9.99</v>
      </c>
      <c r="F48" s="47" t="n">
        <v>12.827</v>
      </c>
      <c r="G48" s="60" t="n">
        <v>1</v>
      </c>
      <c r="H48" s="47" t="n">
        <v>0</v>
      </c>
      <c r="I48" s="48" t="n">
        <v>128.14173</v>
      </c>
      <c r="J48" s="62" t="inlineStr">
        <is>
          <t>1/A12.01 PARTITION TYPE B &amp; B2: one layer of 5/8" GYP. BD. to the underside of structure. 9.99 LF x 12.827 ft x 1 layer = 128.14</t>
        </is>
      </c>
    </row>
    <row r="49" ht="15" customHeight="1" s="36">
      <c r="A49" s="44" t="n">
        <v>22</v>
      </c>
      <c r="B49" s="59" t="inlineStr">
        <is>
          <t>B</t>
        </is>
      </c>
      <c r="C49" s="46" t="inlineStr">
        <is>
          <t>Electrical 120</t>
        </is>
      </c>
      <c r="D49" s="46" t="inlineStr">
        <is>
          <t>5/8 GYP</t>
        </is>
      </c>
      <c r="E49" s="47" t="n">
        <v>9.58</v>
      </c>
      <c r="F49" s="47" t="n">
        <v>12.698</v>
      </c>
      <c r="G49" s="60" t="n">
        <v>1</v>
      </c>
      <c r="H49" s="47" t="n">
        <v>0</v>
      </c>
      <c r="I49" s="48" t="n">
        <v>121.64684</v>
      </c>
      <c r="J49" s="62" t="inlineStr">
        <is>
          <t>1/A12.01 PARTITION TYPE B &amp; B2: one layer of 5/8" GYP. BD. to the underside of structure. 9.58 LF x 12.698 ft x 1 layer = 121.65</t>
        </is>
      </c>
    </row>
    <row r="50" ht="15" customHeight="1" s="36">
      <c r="A50" s="44" t="n">
        <v>22</v>
      </c>
      <c r="B50" s="59" t="inlineStr">
        <is>
          <t>B</t>
        </is>
      </c>
      <c r="C50" s="46" t="inlineStr">
        <is>
          <t>NER 121</t>
        </is>
      </c>
      <c r="D50" s="46" t="inlineStr">
        <is>
          <t>5/8 GYP</t>
        </is>
      </c>
      <c r="E50" s="47" t="n">
        <v>9.58</v>
      </c>
      <c r="F50" s="47" t="n">
        <v>12.698</v>
      </c>
      <c r="G50" s="60" t="n">
        <v>1</v>
      </c>
      <c r="H50" s="47" t="n">
        <v>0</v>
      </c>
      <c r="I50" s="48" t="n">
        <v>121.64684</v>
      </c>
      <c r="J50" s="62" t="inlineStr">
        <is>
          <t>1/A12.01 PARTITION TYPE B &amp; B2: one layer of 5/8" GYP. BD. to the underside of structure. 9.58 LF x 12.698 ft x 1 layer = 121.65</t>
        </is>
      </c>
    </row>
    <row r="51" ht="15" customHeight="1" s="36">
      <c r="A51" s="44" t="n">
        <v>19</v>
      </c>
      <c r="B51" s="59" t="inlineStr">
        <is>
          <t>B</t>
        </is>
      </c>
      <c r="C51" s="46" t="inlineStr">
        <is>
          <t>Janitor Closet 112</t>
        </is>
      </c>
      <c r="D51" s="46" t="inlineStr">
        <is>
          <t>5/8 GYP</t>
        </is>
      </c>
      <c r="E51" s="47" t="n">
        <v>3.5</v>
      </c>
      <c r="F51" s="47" t="n">
        <v>12.743</v>
      </c>
      <c r="G51" s="60" t="n">
        <v>1</v>
      </c>
      <c r="H51" s="47" t="n">
        <v>0</v>
      </c>
      <c r="I51" s="48" t="n">
        <v>44.6005</v>
      </c>
      <c r="J51" s="62" t="inlineStr">
        <is>
          <t>1/A12.01 PARTITION TYPE B &amp; B2: one layer of 5/8" GYP. BD. to the underside of structure. 3.50 LF x 12.743 ft x 1 layer = 44.60</t>
        </is>
      </c>
    </row>
    <row r="52" ht="15" customHeight="1" s="36">
      <c r="A52" s="44" t="n">
        <v>19</v>
      </c>
      <c r="B52" s="59" t="inlineStr">
        <is>
          <t>B</t>
        </is>
      </c>
      <c r="C52" s="46" t="inlineStr">
        <is>
          <t>Storage 117</t>
        </is>
      </c>
      <c r="D52" s="46" t="inlineStr">
        <is>
          <t>5/8 GYP</t>
        </is>
      </c>
      <c r="E52" s="47" t="n">
        <v>3.5</v>
      </c>
      <c r="F52" s="47" t="n">
        <v>12.743</v>
      </c>
      <c r="G52" s="60" t="n">
        <v>1</v>
      </c>
      <c r="H52" s="47" t="n">
        <v>0</v>
      </c>
      <c r="I52" s="48" t="n">
        <v>44.6005</v>
      </c>
      <c r="J52" s="62" t="inlineStr">
        <is>
          <t>1/A12.01 PARTITION TYPE B &amp; B2: one layer of 5/8" GYP. BD. to the underside of structure. 3.50 LF x 12.743 ft x 1 layer = 44.60</t>
        </is>
      </c>
    </row>
    <row r="53" ht="32.25" customHeight="1" s="36">
      <c r="A53" s="44" t="n">
        <v>27</v>
      </c>
      <c r="B53" s="59" t="inlineStr">
        <is>
          <t>B2</t>
        </is>
      </c>
      <c r="C53" s="46" t="inlineStr">
        <is>
          <t>Men's Restroom 113</t>
        </is>
      </c>
      <c r="D53" s="46" t="inlineStr">
        <is>
          <t>5/8 GYP</t>
        </is>
      </c>
      <c r="E53" s="47" t="n">
        <v>5.513</v>
      </c>
      <c r="F53" s="47" t="n">
        <v>13.052</v>
      </c>
      <c r="G53" s="60" t="n">
        <v>1</v>
      </c>
      <c r="H53" s="47" t="n">
        <v>23.33</v>
      </c>
      <c r="I53" s="48" t="n">
        <v>48.625676</v>
      </c>
      <c r="J53" s="62" t="inlineStr">
        <is>
          <t>tramo y 1409.28-1508.52 = 5.513 ft (el wall A1 de 4 7/8" que separa 113 de 117 entra en 1508.52). 5.513 x 13.052 = 71.96 SF, menos la door 113 (3.333 x 7.00 = 23.33) = 48.63 SF. 1/A12.01 PARTITION TYPE B, B2 labels GYPSUM BOARD, METAL STUDS, BATT INSULATION and METAL STUD TRACK; its schedule gives B2 6 in stud / 5/8 in board / 7 1/4 in wall thickness.</t>
        </is>
      </c>
    </row>
    <row r="54" ht="32.25" customHeight="1" s="36">
      <c r="A54" s="44" t="n">
        <v>27</v>
      </c>
      <c r="B54" s="59" t="inlineStr">
        <is>
          <t>B2</t>
        </is>
      </c>
      <c r="C54" s="46" t="inlineStr">
        <is>
          <t>Storage 117</t>
        </is>
      </c>
      <c r="D54" s="46" t="inlineStr">
        <is>
          <t>5/8 GYP</t>
        </is>
      </c>
      <c r="E54" s="47" t="n">
        <v>4.11</v>
      </c>
      <c r="F54" s="47" t="n">
        <v>13.052</v>
      </c>
      <c r="G54" s="60" t="n">
        <v>1</v>
      </c>
      <c r="H54" s="47" t="n">
        <v>23.33</v>
      </c>
      <c r="I54" s="48" t="n">
        <v>30.31372</v>
      </c>
      <c r="J54" s="62" t="inlineStr">
        <is>
          <t>tramo y 1508.52-1582.50 (eje del wall B #21, faces 1578.84/1586.16) = 4.110 ft. 4.110 x 13.052 = 53.64 SF, menos la door 117 (23.33) = 30.31 SF. 1/A12.01 PARTITION TYPE B, B2 labels GYPSUM BOARD, METAL STUDS, BATT INSULATION and METAL STUD TRACK; its schedule gives B2 6 in stud / 5/8 in board / 7 1/4 in wall thickness.</t>
        </is>
      </c>
    </row>
    <row r="55" ht="32.25" customHeight="1" s="36">
      <c r="A55" s="44" t="n">
        <v>27</v>
      </c>
      <c r="B55" s="59" t="inlineStr">
        <is>
          <t>B2</t>
        </is>
      </c>
      <c r="C55" s="46" t="inlineStr">
        <is>
          <t>Wellness 115</t>
        </is>
      </c>
      <c r="D55" s="46" t="inlineStr">
        <is>
          <t>5/8 GYP</t>
        </is>
      </c>
      <c r="E55" s="47" t="n">
        <v>6.163</v>
      </c>
      <c r="F55" s="47" t="n">
        <v>13.052</v>
      </c>
      <c r="G55" s="60" t="n">
        <v>1</v>
      </c>
      <c r="H55" s="47" t="n">
        <v>23.33</v>
      </c>
      <c r="I55" s="48" t="n">
        <v>57.109476</v>
      </c>
      <c r="J55" s="62" t="inlineStr">
        <is>
          <t>tramo y 1582.50-1693.44 = 6.163 ft. 6.163 x 13.052 = 80.44 SF, menos la door 115 (23.33) = 57.11 SF. 1/A12.01 PARTITION TYPE B, B2 labels GYPSUM BOARD, METAL STUDS, BATT INSULATION and METAL STUD TRACK; its schedule gives B2 6 in stud / 5/8 in board / 7 1/4 in wall thickness.</t>
        </is>
      </c>
    </row>
    <row r="56" ht="32.25" customHeight="1" s="36">
      <c r="A56" s="44" t="n">
        <v>27</v>
      </c>
      <c r="B56" s="59" t="inlineStr">
        <is>
          <t>B2</t>
        </is>
      </c>
      <c r="C56" s="46" t="inlineStr">
        <is>
          <t>Corridor 111</t>
        </is>
      </c>
      <c r="D56" s="46" t="inlineStr">
        <is>
          <t>5/8 GYP</t>
        </is>
      </c>
      <c r="E56" s="47" t="n">
        <v>15.787</v>
      </c>
      <c r="F56" s="47" t="n">
        <v>13.052</v>
      </c>
      <c r="G56" s="60" t="n">
        <v>1</v>
      </c>
      <c r="H56" s="47" t="n">
        <v>69.98999999999999</v>
      </c>
      <c r="I56" s="48" t="n">
        <v>136.061924</v>
      </c>
      <c r="J56" s="62" t="inlineStr">
        <is>
          <t>face continua: 15.787 x 13.052 = 206.05 SF, menos las 3 doors (3 x 23.33 = 70.00) = 136.05 SF. Control: 48.63 + 30.31 + 57.11 = 136.05, la suma de las tres faces del oeste. 1/A12.01 PARTITION TYPE B, B2 labels GYPSUM BOARD, METAL STUDS, BATT INSULATION and METAL STUD TRACK; its schedule gives B2 6 in stud / 5/8 in board / 7 1/4 in wall thickness.</t>
        </is>
      </c>
    </row>
    <row r="57" ht="21.75" customHeight="1" s="36">
      <c r="A57" s="44" t="n">
        <v>28</v>
      </c>
      <c r="B57" s="59" t="inlineStr">
        <is>
          <t>B2</t>
        </is>
      </c>
      <c r="C57" s="46" t="inlineStr">
        <is>
          <t>Break Room 118</t>
        </is>
      </c>
      <c r="D57" s="46" t="inlineStr">
        <is>
          <t>5/8 GYP</t>
        </is>
      </c>
      <c r="E57" s="47" t="n">
        <v>11.74</v>
      </c>
      <c r="F57" s="47" t="n">
        <v>13.052</v>
      </c>
      <c r="G57" s="60" t="n">
        <v>1</v>
      </c>
      <c r="H57" s="47" t="n">
        <v>0</v>
      </c>
      <c r="I57" s="48" t="n">
        <v>153.23048</v>
      </c>
      <c r="J57" s="62" t="inlineStr">
        <is>
          <t>face continua oeste: 11.74 x 13.052 = 153.23 SF, sin abertura dentro del tramo. 1/A12.01 PARTITION TYPE B, B2 labels GYPSUM BOARD, METAL STUDS, BATT INSULATION and METAL STUD TRACK; its schedule gives B2 6 in stud / 5/8 in board / 7 1/4 in wall thickness.</t>
        </is>
      </c>
    </row>
    <row r="58" ht="21.75" customHeight="1" s="36">
      <c r="A58" s="44" t="n">
        <v>28</v>
      </c>
      <c r="B58" s="59" t="inlineStr">
        <is>
          <t>B2</t>
        </is>
      </c>
      <c r="C58" s="46" t="inlineStr">
        <is>
          <t>Cash Window 116</t>
        </is>
      </c>
      <c r="D58" s="46" t="inlineStr">
        <is>
          <t>5/8 GYP</t>
        </is>
      </c>
      <c r="E58" s="47" t="n">
        <v>0.333</v>
      </c>
      <c r="F58" s="47" t="n">
        <v>13.052</v>
      </c>
      <c r="G58" s="60" t="n">
        <v>1</v>
      </c>
      <c r="H58" s="47" t="n">
        <v>0</v>
      </c>
      <c r="I58" s="48" t="n">
        <v>4.346316</v>
      </c>
      <c r="J58" s="62" t="inlineStr">
        <is>
          <t>face este, tramo y 1482.12-1488.12 = 0.333 ft (al norte del wall A1 que llega por el este): 0.333 x 13.052 = 4.35 SF. 1/A12.01 PARTITION TYPE B, B2 labels GYPSUM BOARD and its schedule gives B2 6 in stud / 5/8 in board / 7 1/4 in wall thickness</t>
        </is>
      </c>
    </row>
    <row r="59" ht="32.25" customHeight="1" s="36">
      <c r="A59" s="44" t="n">
        <v>28</v>
      </c>
      <c r="B59" s="59" t="inlineStr">
        <is>
          <t>B2</t>
        </is>
      </c>
      <c r="C59" s="46" t="inlineStr">
        <is>
          <t>Work Room 119</t>
        </is>
      </c>
      <c r="D59" s="46" t="inlineStr">
        <is>
          <t>5/8 GYP</t>
        </is>
      </c>
      <c r="E59" s="47" t="n">
        <v>11</v>
      </c>
      <c r="F59" s="47" t="n">
        <v>13.052</v>
      </c>
      <c r="G59" s="60" t="n">
        <v>1</v>
      </c>
      <c r="H59" s="47" t="n">
        <v>0</v>
      </c>
      <c r="I59" s="48" t="n">
        <v>143.572</v>
      </c>
      <c r="J59" s="62" t="inlineStr">
        <is>
          <t>face este, tramo y 1495.44-1693.44 = 11.00 ft (dimension impresa 11'-0" en x=1887.24): 11.00 x 13.052 = 143.57 SF. El tramo 1488.12-1495.44 (4 7/8") no lleva board de este wall: ahi muere el wall A1 perpendicular. 1/A12.01 PARTITION TYPE B, B2 labels GYPSUM BOARD, METAL STUDS, BATT INSULATION and METAL STUD TRACK; its schedule gives B2 6 in stud / 5/8 in board / 7 1/4 in wall thickness.</t>
        </is>
      </c>
    </row>
    <row r="60" ht="32.25" customHeight="1" s="36">
      <c r="A60" s="44" t="n">
        <v>25</v>
      </c>
      <c r="B60" s="59" t="inlineStr">
        <is>
          <t>B2</t>
        </is>
      </c>
      <c r="C60" s="46" t="inlineStr">
        <is>
          <t>ATM Room 102</t>
        </is>
      </c>
      <c r="D60" s="46" t="inlineStr">
        <is>
          <t>5/8 GYP</t>
        </is>
      </c>
      <c r="E60" s="47" t="n">
        <v>5.667</v>
      </c>
      <c r="F60" s="47" t="n">
        <v>15.375</v>
      </c>
      <c r="G60" s="60" t="n">
        <v>1</v>
      </c>
      <c r="H60" s="47" t="n">
        <v>30.66</v>
      </c>
      <c r="I60" s="48" t="n">
        <v>56.470125</v>
      </c>
      <c r="J60" s="62" t="inlineStr">
        <is>
          <t>5.667 x 15.375 = 87.13 SF bruto, menos la door 102 (3.833 x 8.00 = 30.66) = 56.47 SF, 1 layer de 5/8" hasta underside of structure. 1/A12.01 PARTITION TYPE B, B2 labels GYPSUM BOARD, METAL STUDS, BATT INSULATION and METAL STUD TRACK; its schedule gives B2 6 in stud / 5/8 in board / 7 1/4 in wall thickness.</t>
        </is>
      </c>
    </row>
    <row r="61" ht="21.75" customHeight="1" s="36">
      <c r="A61" s="44" t="n">
        <v>25</v>
      </c>
      <c r="B61" s="59" t="inlineStr">
        <is>
          <t>B2</t>
        </is>
      </c>
      <c r="C61" s="46" t="inlineStr">
        <is>
          <t>Central Zone 103</t>
        </is>
      </c>
      <c r="D61" s="46" t="inlineStr">
        <is>
          <t>5/8 GYP</t>
        </is>
      </c>
      <c r="E61" s="47" t="n">
        <v>5.667</v>
      </c>
      <c r="F61" s="47" t="n">
        <v>15.375</v>
      </c>
      <c r="G61" s="60" t="n">
        <v>1</v>
      </c>
      <c r="H61" s="47" t="n">
        <v>30.66</v>
      </c>
      <c r="I61" s="48" t="n">
        <v>56.470125</v>
      </c>
      <c r="J61" s="62" t="inlineStr">
        <is>
          <t>misma operacion que la face ATM Room 102: 87.13 - 30.66 = 56.47 SF. 1/A12.01 PARTITION TYPE B, B2 labels GYPSUM BOARD, METAL STUDS, BATT INSULATION and METAL STUD TRACK; its schedule gives B2 6 in stud / 5/8 in board / 7 1/4 in wall thickness.</t>
        </is>
      </c>
    </row>
    <row r="62" ht="21.75" customHeight="1" s="36">
      <c r="A62" s="44" t="n">
        <v>26</v>
      </c>
      <c r="B62" s="59" t="inlineStr">
        <is>
          <t>B2</t>
        </is>
      </c>
      <c r="C62" s="46" t="inlineStr">
        <is>
          <t>Women's Restroom 114</t>
        </is>
      </c>
      <c r="D62" s="46" t="inlineStr">
        <is>
          <t>5/8 GYP</t>
        </is>
      </c>
      <c r="E62" s="47" t="n">
        <v>1.82</v>
      </c>
      <c r="F62" s="47" t="n">
        <v>13.052</v>
      </c>
      <c r="G62" s="60" t="n">
        <v>1</v>
      </c>
      <c r="H62" s="47" t="n">
        <v>0</v>
      </c>
      <c r="I62" s="48" t="n">
        <v>23.75464</v>
      </c>
      <c r="J62" s="62" t="inlineStr">
        <is>
          <t>1.82 x 13.052 = 23.75 SF, 1 layer de 5/8", sin abertura dentro del tramo. 1/A12.01 PARTITION TYPE B, B2 labels GYPSUM BOARD, METAL STUDS and BATT INSULATION</t>
        </is>
      </c>
    </row>
    <row r="63" ht="21.75" customHeight="1" s="36">
      <c r="A63" s="44" t="n">
        <v>26</v>
      </c>
      <c r="B63" s="59" t="inlineStr">
        <is>
          <t>B2</t>
        </is>
      </c>
      <c r="C63" s="46" t="inlineStr">
        <is>
          <t>Corridor 111</t>
        </is>
      </c>
      <c r="D63" s="46" t="inlineStr">
        <is>
          <t>5/8 GYP</t>
        </is>
      </c>
      <c r="E63" s="47" t="n">
        <v>1.82</v>
      </c>
      <c r="F63" s="47" t="n">
        <v>13.052</v>
      </c>
      <c r="G63" s="60" t="n">
        <v>1</v>
      </c>
      <c r="H63" s="47" t="n">
        <v>0</v>
      </c>
      <c r="I63" s="48" t="n">
        <v>23.75464</v>
      </c>
      <c r="J63" s="62" t="inlineStr">
        <is>
          <t>1.82 x 13.052 = 23.75 SF. 1/A12.01 PARTITION TYPE B, B2 labels GYPSUM BOARD and its schedule gives B2 6 in stud / 5/8 in board / 7 1/4 in wall thickness</t>
        </is>
      </c>
    </row>
    <row r="64" ht="15" customHeight="1" s="36">
      <c r="A64" s="44" t="n">
        <v>31</v>
      </c>
      <c r="B64" s="59" t="inlineStr">
        <is>
          <t>B2K</t>
        </is>
      </c>
      <c r="C64" s="46" t="inlineStr">
        <is>
          <t>Office 4 CB 108</t>
        </is>
      </c>
      <c r="D64" s="46" t="inlineStr">
        <is>
          <t>5/8 GYP</t>
        </is>
      </c>
      <c r="E64" s="47" t="n">
        <v>1.26</v>
      </c>
      <c r="F64" s="47" t="n">
        <v>15.375</v>
      </c>
      <c r="G64" s="60" t="n">
        <v>1</v>
      </c>
      <c r="H64" s="47" t="n">
        <v>0</v>
      </c>
      <c r="I64" s="48" t="n">
        <v>19.3725</v>
      </c>
      <c r="J64" s="62" t="inlineStr">
        <is>
          <t>1.26 LF x 15.375 ft high x 1 layer of 5/8" GYP. BD. (4/A12.01 PARTITION TYPE A1K &amp; A5K). No opening to deduct.</t>
        </is>
      </c>
    </row>
    <row r="65" ht="15" customHeight="1" s="36">
      <c r="A65" s="44" t="n">
        <v>31</v>
      </c>
      <c r="B65" s="59" t="inlineStr">
        <is>
          <t>B2K</t>
        </is>
      </c>
      <c r="C65" s="46" t="inlineStr">
        <is>
          <t>Cash Window 116</t>
        </is>
      </c>
      <c r="D65" s="46" t="inlineStr">
        <is>
          <t>5/8 GYP</t>
        </is>
      </c>
      <c r="E65" s="47" t="n">
        <v>1.26</v>
      </c>
      <c r="F65" s="47" t="n">
        <v>15.375</v>
      </c>
      <c r="G65" s="60" t="n">
        <v>1</v>
      </c>
      <c r="H65" s="47" t="n">
        <v>0</v>
      </c>
      <c r="I65" s="48" t="n">
        <v>19.3725</v>
      </c>
      <c r="J65" s="62" t="inlineStr">
        <is>
          <t>1.26 LF x 15.375 ft high x 1 layer of 5/8" GYP. BD. (4/A12.01 PARTITION TYPE A1K &amp; A5K). No opening to deduct.</t>
        </is>
      </c>
    </row>
    <row r="66" ht="21.75" customHeight="1" s="36">
      <c r="A66" s="44" t="n">
        <v>54</v>
      </c>
      <c r="B66" s="59" t="inlineStr">
        <is>
          <t>BULKHEAD-G</t>
        </is>
      </c>
      <c r="C66" s="46" t="inlineStr">
        <is>
          <t>Lado oficina (105-108)</t>
        </is>
      </c>
      <c r="D66" s="46" t="inlineStr">
        <is>
          <t>5/8 GYP x2 layers</t>
        </is>
      </c>
      <c r="E66" s="47" t="n">
        <v>30</v>
      </c>
      <c r="F66" s="47" t="n">
        <v>7.333</v>
      </c>
      <c r="G66" s="60" t="n">
        <v>2</v>
      </c>
      <c r="H66" s="47" t="n">
        <v>0</v>
      </c>
      <c r="I66" s="48" t="n">
        <v>439.98</v>
      </c>
      <c r="J66" s="62" t="inlineStr">
        <is>
          <t>30.00 LF x 7.333 ft x 2 layers. 9/A12.01 OFFICE BULKHEAD DETAIL @ GLASS PANEL labels: "2 LAYERS 5/8" GYPSUM WALL BOARD TO EXTEND TO UNDERSIDE OF DECK"</t>
        </is>
      </c>
    </row>
    <row r="67" ht="21.75" customHeight="1" s="36">
      <c r="A67" s="44" t="n">
        <v>54</v>
      </c>
      <c r="B67" s="59" t="inlineStr">
        <is>
          <t>BULKHEAD-G</t>
        </is>
      </c>
      <c r="C67" s="46" t="inlineStr">
        <is>
          <t>Central Zone 103</t>
        </is>
      </c>
      <c r="D67" s="46" t="inlineStr">
        <is>
          <t>5/8 GYP x2 layers</t>
        </is>
      </c>
      <c r="E67" s="47" t="n">
        <v>30</v>
      </c>
      <c r="F67" s="47" t="n">
        <v>7.333</v>
      </c>
      <c r="G67" s="60" t="n">
        <v>2</v>
      </c>
      <c r="H67" s="47" t="n">
        <v>0</v>
      </c>
      <c r="I67" s="48" t="n">
        <v>439.98</v>
      </c>
      <c r="J67" s="62" t="inlineStr">
        <is>
          <t>30.00 LF x 7.333 ft x 2 layers. 9/A12.01 OFFICE BULKHEAD DETAIL @ GLASS PANEL labels: "2 LAYERS 5/8" GYPSUM WALL BOARD TO EXTEND TO UNDERSIDE OF DECK"</t>
        </is>
      </c>
    </row>
    <row r="68" ht="21.75" customHeight="1" s="36">
      <c r="A68" s="44" t="n">
        <v>55</v>
      </c>
      <c r="B68" s="59" t="inlineStr">
        <is>
          <t>BULKHEAD-G</t>
        </is>
      </c>
      <c r="C68" s="46" t="inlineStr">
        <is>
          <t>Lado oficina (109-110)</t>
        </is>
      </c>
      <c r="D68" s="46" t="inlineStr">
        <is>
          <t>5/8 GYP x2 layers</t>
        </is>
      </c>
      <c r="E68" s="47" t="n">
        <v>15</v>
      </c>
      <c r="F68" s="47" t="n">
        <v>7.333</v>
      </c>
      <c r="G68" s="60" t="n">
        <v>2</v>
      </c>
      <c r="H68" s="47" t="n">
        <v>0</v>
      </c>
      <c r="I68" s="48" t="n">
        <v>219.99</v>
      </c>
      <c r="J68" s="62" t="inlineStr">
        <is>
          <t>15.00 LF x 7.333 ft x 2 layers. 9/A12.01 OFFICE BULKHEAD DETAIL @ GLASS PANEL labels: "2 LAYERS 5/8" GYPSUM WALL BOARD TO EXTEND TO UNDERSIDE OF DECK"</t>
        </is>
      </c>
    </row>
    <row r="69" ht="21.75" customHeight="1" s="36">
      <c r="A69" s="44" t="n">
        <v>55</v>
      </c>
      <c r="B69" s="59" t="inlineStr">
        <is>
          <t>BULKHEAD-G</t>
        </is>
      </c>
      <c r="C69" s="46" t="inlineStr">
        <is>
          <t>Area abierta al este (Waiting 104)</t>
        </is>
      </c>
      <c r="D69" s="46" t="inlineStr">
        <is>
          <t>5/8 GYP x2 layers</t>
        </is>
      </c>
      <c r="E69" s="47" t="n">
        <v>15</v>
      </c>
      <c r="F69" s="47" t="n">
        <v>7.333</v>
      </c>
      <c r="G69" s="60" t="n">
        <v>2</v>
      </c>
      <c r="H69" s="47" t="n">
        <v>0</v>
      </c>
      <c r="I69" s="48" t="n">
        <v>219.99</v>
      </c>
      <c r="J69" s="62" t="inlineStr">
        <is>
          <t>15.00 LF x 7.333 ft x 2 layers. 9/A12.01 OFFICE BULKHEAD DETAIL @ GLASS PANEL labels: "2 LAYERS 5/8" GYPSUM WALL BOARD TO EXTEND TO UNDERSIDE OF DECK"</t>
        </is>
      </c>
    </row>
    <row r="70" ht="21.75" customHeight="1" s="36">
      <c r="A70" s="44" t="n">
        <v>36</v>
      </c>
      <c r="B70" s="59" t="inlineStr">
        <is>
          <t>C1</t>
        </is>
      </c>
      <c r="C70" s="46" t="inlineStr">
        <is>
          <t>Central Zone 103</t>
        </is>
      </c>
      <c r="D70" s="46" t="inlineStr">
        <is>
          <t>5/8 GYP</t>
        </is>
      </c>
      <c r="E70" s="47" t="n">
        <v>11.33</v>
      </c>
      <c r="F70" s="47" t="n">
        <v>11.5</v>
      </c>
      <c r="G70" s="60" t="n">
        <v>1</v>
      </c>
      <c r="H70" s="47" t="n">
        <v>0</v>
      </c>
      <c r="I70" s="48" t="n">
        <v>130.295</v>
      </c>
      <c r="J70" s="62" t="inlineStr">
        <is>
          <t>ONE face only: 6/A12.01 PARTITION TYPE C1 draws the 5/8" gypsum board on the furring side alone. 11.33 x 11.50 = 130.33 SF. No opening to deduct.</t>
        </is>
      </c>
    </row>
    <row r="71" ht="21.75" customHeight="1" s="36">
      <c r="A71" s="44" t="n">
        <v>37</v>
      </c>
      <c r="B71" s="59" t="inlineStr">
        <is>
          <t>C1</t>
        </is>
      </c>
      <c r="C71" s="46" t="inlineStr">
        <is>
          <t>Women's Restroom 114</t>
        </is>
      </c>
      <c r="D71" s="46" t="inlineStr">
        <is>
          <t>5/8 GYP</t>
        </is>
      </c>
      <c r="E71" s="47" t="n">
        <v>5.6</v>
      </c>
      <c r="F71" s="47" t="n">
        <v>9</v>
      </c>
      <c r="G71" s="60" t="n">
        <v>1</v>
      </c>
      <c r="H71" s="47" t="n">
        <v>0</v>
      </c>
      <c r="I71" s="48" t="n">
        <v>50.4</v>
      </c>
      <c r="J71" s="62" t="inlineStr">
        <is>
          <t>ONE face only: 6/A12.01 PARTITION TYPE C1 draws the 5/8" gypsum board on the furring side alone. 5.60 x 9.00 = 50.40 SF. No opening to deduct.</t>
        </is>
      </c>
    </row>
    <row r="72" ht="21.75" customHeight="1" s="36">
      <c r="A72" s="44" t="n">
        <v>39</v>
      </c>
      <c r="B72" s="59" t="inlineStr">
        <is>
          <t>C1</t>
        </is>
      </c>
      <c r="C72" s="46" t="inlineStr">
        <is>
          <t>Men's Restroom 113</t>
        </is>
      </c>
      <c r="D72" s="46" t="inlineStr">
        <is>
          <t>5/8 GYP</t>
        </is>
      </c>
      <c r="E72" s="47" t="n">
        <v>5.6</v>
      </c>
      <c r="F72" s="47" t="n">
        <v>9</v>
      </c>
      <c r="G72" s="60" t="n">
        <v>1</v>
      </c>
      <c r="H72" s="47" t="n">
        <v>0</v>
      </c>
      <c r="I72" s="48" t="n">
        <v>50.4</v>
      </c>
      <c r="J72" s="62" t="inlineStr">
        <is>
          <t>ONE face only: 6/A12.01 PARTITION TYPE C1 draws the 5/8" gypsum board on the furring side alone. 5.60 x 9.00 = 50.40 SF. No opening to deduct.</t>
        </is>
      </c>
    </row>
    <row r="73" ht="21.75" customHeight="1" s="36">
      <c r="A73" s="44" t="n">
        <v>32</v>
      </c>
      <c r="B73" s="59" t="inlineStr">
        <is>
          <t>C1</t>
        </is>
      </c>
      <c r="C73" s="46" t="inlineStr">
        <is>
          <t>Vestibule 100</t>
        </is>
      </c>
      <c r="D73" s="46" t="inlineStr">
        <is>
          <t>5/8 GYP</t>
        </is>
      </c>
      <c r="E73" s="47" t="n">
        <v>4.56</v>
      </c>
      <c r="F73" s="47" t="n">
        <v>10</v>
      </c>
      <c r="G73" s="60" t="n">
        <v>1</v>
      </c>
      <c r="H73" s="47" t="n">
        <v>0</v>
      </c>
      <c r="I73" s="48" t="n">
        <v>45.6</v>
      </c>
      <c r="J73" s="62" t="inlineStr">
        <is>
          <t>ONE face only: 6/A12.01 PARTITION TYPE C1 draws the 5/8" gypsum board on the furring side alone. 4.56 x 10.00 = 45.60 SF. No opening to deduct.</t>
        </is>
      </c>
    </row>
    <row r="74" ht="21.75" customHeight="1" s="36">
      <c r="A74" s="44" t="n">
        <v>33</v>
      </c>
      <c r="B74" s="59" t="inlineStr">
        <is>
          <t>C1</t>
        </is>
      </c>
      <c r="C74" s="46" t="inlineStr">
        <is>
          <t>Vestibule 100</t>
        </is>
      </c>
      <c r="D74" s="46" t="inlineStr">
        <is>
          <t>5/8 GYP</t>
        </is>
      </c>
      <c r="E74" s="47" t="n">
        <v>3.58</v>
      </c>
      <c r="F74" s="47" t="n">
        <v>10</v>
      </c>
      <c r="G74" s="60" t="n">
        <v>1</v>
      </c>
      <c r="H74" s="47" t="n">
        <v>0</v>
      </c>
      <c r="I74" s="48" t="n">
        <v>35.8</v>
      </c>
      <c r="J74" s="62" t="inlineStr">
        <is>
          <t>ONE face only: 6/A12.01 PARTITION TYPE C1 draws the 5/8" gypsum board on the furring side alone. 3.58 x 10.00 = 35.80 SF. No opening to deduct.</t>
        </is>
      </c>
    </row>
    <row r="75" ht="21.75" customHeight="1" s="36">
      <c r="A75" s="44" t="n">
        <v>38</v>
      </c>
      <c r="B75" s="59" t="inlineStr">
        <is>
          <t>C1</t>
        </is>
      </c>
      <c r="C75" s="46" t="inlineStr">
        <is>
          <t>Cash Window 116</t>
        </is>
      </c>
      <c r="D75" s="46" t="inlineStr">
        <is>
          <t>5/8 GYP</t>
        </is>
      </c>
      <c r="E75" s="47" t="n">
        <v>3.39</v>
      </c>
      <c r="F75" s="47" t="n">
        <v>9</v>
      </c>
      <c r="G75" s="60" t="n">
        <v>1</v>
      </c>
      <c r="H75" s="47" t="n">
        <v>0</v>
      </c>
      <c r="I75" s="48" t="n">
        <v>30.51</v>
      </c>
      <c r="J75" s="62" t="inlineStr">
        <is>
          <t>ONE face only: 6/A12.01 PARTITION TYPE C1 draws the 5/8" gypsum board on the furring side alone. 3.39 x 9.00 = 30.51 SF. No opening to deduct.</t>
        </is>
      </c>
    </row>
    <row r="76" ht="21.75" customHeight="1" s="36">
      <c r="A76" s="44" t="n">
        <v>34</v>
      </c>
      <c r="B76" s="59" t="inlineStr">
        <is>
          <t>C1</t>
        </is>
      </c>
      <c r="C76" s="46" t="inlineStr">
        <is>
          <t>Central Zone 103</t>
        </is>
      </c>
      <c r="D76" s="46" t="inlineStr">
        <is>
          <t>5/8 GYP</t>
        </is>
      </c>
      <c r="E76" s="47" t="n">
        <v>3.33</v>
      </c>
      <c r="F76" s="47" t="n">
        <v>11.5</v>
      </c>
      <c r="G76" s="60" t="n">
        <v>1</v>
      </c>
      <c r="H76" s="47" t="n">
        <v>0</v>
      </c>
      <c r="I76" s="48" t="n">
        <v>38.295</v>
      </c>
      <c r="J76" s="62" t="inlineStr">
        <is>
          <t>ONE face only: 6/A12.01 PARTITION TYPE C1 draws the 5/8" gypsum board on the furring side alone. 3.33 x 11.50 = 38.30 SF. No opening to deduct.</t>
        </is>
      </c>
    </row>
    <row r="77" ht="21.75" customHeight="1" s="36">
      <c r="A77" s="44" t="n">
        <v>35</v>
      </c>
      <c r="B77" s="59" t="inlineStr">
        <is>
          <t>C1</t>
        </is>
      </c>
      <c r="C77" s="46" t="inlineStr">
        <is>
          <t>Central Zone 103</t>
        </is>
      </c>
      <c r="D77" s="46" t="inlineStr">
        <is>
          <t>5/8 GYP</t>
        </is>
      </c>
      <c r="E77" s="47" t="n">
        <v>2.52</v>
      </c>
      <c r="F77" s="47" t="n">
        <v>11.5</v>
      </c>
      <c r="G77" s="60" t="n">
        <v>1</v>
      </c>
      <c r="H77" s="47" t="n">
        <v>0</v>
      </c>
      <c r="I77" s="48" t="n">
        <v>28.98</v>
      </c>
      <c r="J77" s="62" t="inlineStr">
        <is>
          <t>ONE face only: 6/A12.01 PARTITION TYPE C1 draws the 5/8" gypsum board on the furring side alone. 2.52 x 11.50 = 28.98 SF. No opening to deduct.</t>
        </is>
      </c>
    </row>
    <row r="78" ht="42.75" customHeight="1" s="36">
      <c r="A78" s="44" t="n">
        <v>66</v>
      </c>
      <c r="B78" s="59" t="inlineStr">
        <is>
          <t>CANOPY-COL</t>
        </is>
      </c>
      <c r="C78" s="46" t="inlineStr">
        <is>
          <t>Exterior (4 faces of the wrap)</t>
        </is>
      </c>
      <c r="D78" s="46" t="inlineStr">
        <is>
          <t>5/8 EXTERIOR GRADE FRT PLYWOOD</t>
        </is>
      </c>
      <c r="E78" s="47" t="n">
        <v>6.084</v>
      </c>
      <c r="F78" s="47" t="n">
        <v>10.5</v>
      </c>
      <c r="G78" s="60" t="n">
        <v>1</v>
      </c>
      <c r="H78" s="47" t="n">
        <v>0</v>
      </c>
      <c r="I78" s="48" t="n">
        <v>63.882</v>
      </c>
      <c r="J78" s="62"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79" ht="42.75" customHeight="1" s="36">
      <c r="A79" s="44" t="n">
        <v>67</v>
      </c>
      <c r="B79" s="59" t="inlineStr">
        <is>
          <t>CANOPY-COL</t>
        </is>
      </c>
      <c r="C79" s="46" t="inlineStr">
        <is>
          <t>Exterior (4 faces of the wrap)</t>
        </is>
      </c>
      <c r="D79" s="46" t="inlineStr">
        <is>
          <t>5/8 EXTERIOR GRADE FRT PLYWOOD</t>
        </is>
      </c>
      <c r="E79" s="47" t="n">
        <v>6.084</v>
      </c>
      <c r="F79" s="47" t="n">
        <v>10.5</v>
      </c>
      <c r="G79" s="60" t="n">
        <v>1</v>
      </c>
      <c r="H79" s="47" t="n">
        <v>0</v>
      </c>
      <c r="I79" s="48" t="n">
        <v>63.882</v>
      </c>
      <c r="J79" s="62"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0" ht="42.75" customHeight="1" s="36">
      <c r="A80" s="44" t="n">
        <v>68</v>
      </c>
      <c r="B80" s="59" t="inlineStr">
        <is>
          <t>CANOPY-COL</t>
        </is>
      </c>
      <c r="C80" s="46" t="inlineStr">
        <is>
          <t>Exterior (4 faces of the wrap)</t>
        </is>
      </c>
      <c r="D80" s="46" t="inlineStr">
        <is>
          <t>5/8 EXTERIOR GRADE FRT PLYWOOD</t>
        </is>
      </c>
      <c r="E80" s="47" t="n">
        <v>6.084</v>
      </c>
      <c r="F80" s="47" t="n">
        <v>10.5</v>
      </c>
      <c r="G80" s="60" t="n">
        <v>1</v>
      </c>
      <c r="H80" s="47" t="n">
        <v>0</v>
      </c>
      <c r="I80" s="48" t="n">
        <v>63.882</v>
      </c>
      <c r="J80" s="62"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1" ht="42.75" customHeight="1" s="36">
      <c r="A81" s="44" t="n">
        <v>69</v>
      </c>
      <c r="B81" s="59" t="inlineStr">
        <is>
          <t>CANOPY-COL</t>
        </is>
      </c>
      <c r="C81" s="46" t="inlineStr">
        <is>
          <t>Exterior (4 faces of the wrap)</t>
        </is>
      </c>
      <c r="D81" s="46" t="inlineStr">
        <is>
          <t>5/8 EXTERIOR GRADE FRT PLYWOOD</t>
        </is>
      </c>
      <c r="E81" s="47" t="n">
        <v>6.084</v>
      </c>
      <c r="F81" s="47" t="n">
        <v>10.5</v>
      </c>
      <c r="G81" s="60" t="n">
        <v>1</v>
      </c>
      <c r="H81" s="47" t="n">
        <v>0</v>
      </c>
      <c r="I81" s="48" t="n">
        <v>63.882</v>
      </c>
      <c r="J81" s="62"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2" ht="53.25" customHeight="1" s="36">
      <c r="A82" s="44" t="n">
        <v>61</v>
      </c>
      <c r="B82" s="59" t="inlineStr">
        <is>
          <t>EXT-6CFMF</t>
        </is>
      </c>
      <c r="C82" s="46" t="inlineStr">
        <is>
          <t>Interior</t>
        </is>
      </c>
      <c r="D82" s="46" t="inlineStr">
        <is>
          <t>5/8 GYP</t>
        </is>
      </c>
      <c r="E82" s="47" t="n">
        <v>76.3</v>
      </c>
      <c r="F82" s="47" t="n">
        <v>14.52</v>
      </c>
      <c r="G82" s="60" t="n">
        <v>1</v>
      </c>
      <c r="H82" s="47" t="n">
        <v>64</v>
      </c>
      <c r="I82" s="48" t="n">
        <v>1043.876</v>
      </c>
      <c r="J82" s="62" t="inlineStr">
        <is>
          <t>face interior, de la slab al DECK (no al parapet): 76.30 LF x 14.520 ft = 1107.88 SF, menos las aberturas 64.00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3" ht="53.25" customHeight="1" s="36">
      <c r="A83" s="44" t="n">
        <v>62</v>
      </c>
      <c r="B83" s="59" t="inlineStr">
        <is>
          <t>EXT-6CFMF</t>
        </is>
      </c>
      <c r="C83" s="46" t="inlineStr">
        <is>
          <t>Interior</t>
        </is>
      </c>
      <c r="D83" s="46" t="inlineStr">
        <is>
          <t>5/8 GYP</t>
        </is>
      </c>
      <c r="E83" s="47" t="n">
        <v>52.7</v>
      </c>
      <c r="F83" s="47" t="n">
        <v>12.531</v>
      </c>
      <c r="G83" s="60" t="n">
        <v>1</v>
      </c>
      <c r="H83" s="47" t="n">
        <v>23.31</v>
      </c>
      <c r="I83" s="48" t="n">
        <v>637.0737</v>
      </c>
      <c r="J83" s="62" t="inlineStr">
        <is>
          <t>face interior, de la slab al DECK (no al parapet): 52.70 LF x 12.531 ft = 660.38 SF, menos las aberturas 23.31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4" ht="53.25" customHeight="1" s="36">
      <c r="A84" s="44" t="n">
        <v>63</v>
      </c>
      <c r="B84" s="59" t="inlineStr">
        <is>
          <t>EXT-6CFMF</t>
        </is>
      </c>
      <c r="C84" s="46" t="inlineStr">
        <is>
          <t>Interior</t>
        </is>
      </c>
      <c r="D84" s="46" t="inlineStr">
        <is>
          <t>5/8 GYP</t>
        </is>
      </c>
      <c r="E84" s="47" t="n">
        <v>47.92</v>
      </c>
      <c r="F84" s="47" t="n">
        <v>13.99</v>
      </c>
      <c r="G84" s="60" t="n">
        <v>1</v>
      </c>
      <c r="H84" s="47" t="n">
        <v>32</v>
      </c>
      <c r="I84" s="48" t="n">
        <v>638.4008</v>
      </c>
      <c r="J84" s="62" t="inlineStr">
        <is>
          <t>face interior, de la slab al DECK (no al parapet): 47.92 LF x 13.990 ft = 670.40 SF, menos las aberturas 32.00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5" ht="53.25" customHeight="1" s="36">
      <c r="A85" s="44" t="n">
        <v>65</v>
      </c>
      <c r="B85" s="59" t="inlineStr">
        <is>
          <t>EXT-6CFMF</t>
        </is>
      </c>
      <c r="C85" s="46" t="inlineStr">
        <is>
          <t>Interior</t>
        </is>
      </c>
      <c r="D85" s="46" t="inlineStr">
        <is>
          <t>5/8 GYP</t>
        </is>
      </c>
      <c r="E85" s="47" t="n">
        <v>21.88</v>
      </c>
      <c r="F85" s="47" t="n">
        <v>15.375</v>
      </c>
      <c r="G85" s="60" t="n">
        <v>1</v>
      </c>
      <c r="H85" s="47" t="n">
        <v>5.67</v>
      </c>
      <c r="I85" s="48" t="n">
        <v>330.735</v>
      </c>
      <c r="J85" s="62" t="inlineStr">
        <is>
          <t>face interior, de la slab al DECK (no al parapet): 21.88 LF x 15.375 ft = 336.40 SF, menos las aberturas 5.67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6" ht="53.25" customHeight="1" s="36">
      <c r="A86" s="44" t="n">
        <v>60</v>
      </c>
      <c r="B86" s="59" t="inlineStr">
        <is>
          <t>EXT-6CFMF</t>
        </is>
      </c>
      <c r="C86" s="46" t="inlineStr">
        <is>
          <t>Interior</t>
        </is>
      </c>
      <c r="D86" s="46" t="inlineStr">
        <is>
          <t>5/8 GYP</t>
        </is>
      </c>
      <c r="E86" s="47" t="n">
        <v>14.95</v>
      </c>
      <c r="F86" s="47" t="n">
        <v>15.375</v>
      </c>
      <c r="G86" s="60" t="n">
        <v>1</v>
      </c>
      <c r="H86" s="47" t="n">
        <v>0</v>
      </c>
      <c r="I86" s="48" t="n">
        <v>229.85625</v>
      </c>
      <c r="J86" s="62" t="inlineStr">
        <is>
          <t>face interior, de la slab al DECK (no al parapet): 14.95 LF x 15.375 ft = 229.86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7" ht="53.25" customHeight="1" s="36">
      <c r="A87" s="44" t="n">
        <v>64</v>
      </c>
      <c r="B87" s="59" t="inlineStr">
        <is>
          <t>EXT-6CFMF</t>
        </is>
      </c>
      <c r="C87" s="46" t="inlineStr">
        <is>
          <t>Interior</t>
        </is>
      </c>
      <c r="D87" s="46" t="inlineStr">
        <is>
          <t>5/8 GYP</t>
        </is>
      </c>
      <c r="E87" s="47" t="n">
        <v>3.89</v>
      </c>
      <c r="F87" s="47" t="n">
        <v>15.375</v>
      </c>
      <c r="G87" s="60" t="n">
        <v>1</v>
      </c>
      <c r="H87" s="47" t="n">
        <v>0</v>
      </c>
      <c r="I87" s="48" t="n">
        <v>59.80875</v>
      </c>
      <c r="J87" s="62" t="inlineStr">
        <is>
          <t>face interior, de la slab al DECK (no al parapet): 3.89 LF x 15.375 ft = 59.81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8" ht="23.25" customHeight="1" s="36">
      <c r="A88" s="44" t="n">
        <v>40</v>
      </c>
      <c r="B88" s="59" t="inlineStr">
        <is>
          <t>F</t>
        </is>
      </c>
      <c r="C88" s="46" t="inlineStr">
        <is>
          <t>24 HR VESTIBULE 101 (ATM LOBBY, lado publico)</t>
        </is>
      </c>
      <c r="D88" s="46" t="inlineStr">
        <is>
          <t>5/8 GYP + 3/4 FRT PLYWOOD</t>
        </is>
      </c>
      <c r="E88" s="47" t="n">
        <v>17.458</v>
      </c>
      <c r="F88" s="47" t="n">
        <v>15.375</v>
      </c>
      <c r="G88" s="60" t="n">
        <v>1</v>
      </c>
      <c r="H88" s="47" t="n">
        <v>6.05</v>
      </c>
      <c r="I88" s="48" t="n">
        <v>262.36675</v>
      </c>
      <c r="J88" s="62" t="inlineStr">
        <is>
          <t>17.458 LF x 15.375 ft (a deck) = 268.42 SF, menos la abertura 2.25 x 2.69 = 6.05 SF. 12/A12.01 PARTITION TYPE F labels 5/8" GYPSUM WALLBOARD and 3 5/8" METAL STUDS AT 16" O.C. SPAN BETWEEN STUD TRACKS AT FLOOR AND DECK ABOVE.</t>
        </is>
      </c>
    </row>
    <row r="89" ht="21.75" customHeight="1" s="36">
      <c r="A89" s="44" t="n">
        <v>40</v>
      </c>
      <c r="B89" s="59" t="inlineStr">
        <is>
          <t>F</t>
        </is>
      </c>
      <c r="C89" s="46" t="inlineStr">
        <is>
          <t>ATM ROOM 102</t>
        </is>
      </c>
      <c r="D89" s="46" t="inlineStr">
        <is>
          <t>5/8 GYP</t>
        </is>
      </c>
      <c r="E89" s="47" t="n">
        <v>18.067</v>
      </c>
      <c r="F89" s="47" t="n">
        <v>9</v>
      </c>
      <c r="G89" s="60" t="n">
        <v>1</v>
      </c>
      <c r="H89" s="47" t="n">
        <v>6.05</v>
      </c>
      <c r="I89" s="48" t="n">
        <v>156.553</v>
      </c>
      <c r="J89" s="62" t="inlineStr">
        <is>
          <t>18.067 LF x 9.000 ft (cielo ACT-5 8'-6" + los 6" del detalle) = 162.60 SF, menos la abertura 6.05 SF. 12/A12.01 PARTITION TYPE F labels CEILING AS SCHEDULED on this side. ESTA FACE NO SUBE AL DECK: tomarla a 15.375 habria inflado el board de esta face un 71%</t>
        </is>
      </c>
    </row>
    <row r="90" ht="15" customHeight="1" s="36">
      <c r="A90" s="44" t="n">
        <v>45</v>
      </c>
      <c r="B90" s="59" t="inlineStr">
        <is>
          <t>G</t>
        </is>
      </c>
      <c r="C90" s="46" t="inlineStr">
        <is>
          <t>Office 2 CL 106</t>
        </is>
      </c>
      <c r="D90" s="46" t="inlineStr">
        <is>
          <t>5/8 GYP x2 layers</t>
        </is>
      </c>
      <c r="E90" s="47" t="n">
        <v>11.77</v>
      </c>
      <c r="F90" s="47" t="n">
        <v>15.375</v>
      </c>
      <c r="G90" s="60" t="n">
        <v>2</v>
      </c>
      <c r="H90" s="47" t="n">
        <v>0</v>
      </c>
      <c r="I90" s="48" t="n">
        <v>361.9275</v>
      </c>
      <c r="J90" s="62" t="inlineStr">
        <is>
          <t>11.770 LF x 15.375 ft de alto x 2 layers por face (5/A12.01)</t>
        </is>
      </c>
    </row>
    <row r="91" ht="15" customHeight="1" s="36">
      <c r="A91" s="44" t="n">
        <v>45</v>
      </c>
      <c r="B91" s="59" t="inlineStr">
        <is>
          <t>G</t>
        </is>
      </c>
      <c r="C91" s="46" t="inlineStr">
        <is>
          <t>Office 3 SB 107</t>
        </is>
      </c>
      <c r="D91" s="46" t="inlineStr">
        <is>
          <t>5/8 GYP x2 layers</t>
        </is>
      </c>
      <c r="E91" s="47" t="n">
        <v>11.77</v>
      </c>
      <c r="F91" s="47" t="n">
        <v>15.375</v>
      </c>
      <c r="G91" s="60" t="n">
        <v>2</v>
      </c>
      <c r="H91" s="47" t="n">
        <v>0</v>
      </c>
      <c r="I91" s="48" t="n">
        <v>361.9275</v>
      </c>
      <c r="J91" s="62" t="inlineStr">
        <is>
          <t>11.770 LF x 15.375 ft de alto x 2 layers por face (5/A12.01)</t>
        </is>
      </c>
    </row>
    <row r="92" ht="15" customHeight="1" s="36">
      <c r="A92" s="44" t="n">
        <v>46</v>
      </c>
      <c r="B92" s="59" t="inlineStr">
        <is>
          <t>G</t>
        </is>
      </c>
      <c r="C92" s="46" t="inlineStr">
        <is>
          <t>Office 3 SB 107</t>
        </is>
      </c>
      <c r="D92" s="46" t="inlineStr">
        <is>
          <t>5/8 GYP x2 layers</t>
        </is>
      </c>
      <c r="E92" s="47" t="n">
        <v>11.77</v>
      </c>
      <c r="F92" s="47" t="n">
        <v>15.375</v>
      </c>
      <c r="G92" s="60" t="n">
        <v>2</v>
      </c>
      <c r="H92" s="47" t="n">
        <v>0</v>
      </c>
      <c r="I92" s="48" t="n">
        <v>361.9275</v>
      </c>
      <c r="J92" s="62" t="inlineStr">
        <is>
          <t>11.770 LF x 15.375 ft de alto x 2 layers por face (5/A12.01)</t>
        </is>
      </c>
    </row>
    <row r="93" ht="15" customHeight="1" s="36">
      <c r="A93" s="44" t="n">
        <v>46</v>
      </c>
      <c r="B93" s="59" t="inlineStr">
        <is>
          <t>G</t>
        </is>
      </c>
      <c r="C93" s="46" t="inlineStr">
        <is>
          <t>Office 4 CB 108</t>
        </is>
      </c>
      <c r="D93" s="46" t="inlineStr">
        <is>
          <t>5/8 GYP x2 layers</t>
        </is>
      </c>
      <c r="E93" s="47" t="n">
        <v>11.77</v>
      </c>
      <c r="F93" s="47" t="n">
        <v>15.375</v>
      </c>
      <c r="G93" s="60" t="n">
        <v>2</v>
      </c>
      <c r="H93" s="47" t="n">
        <v>0</v>
      </c>
      <c r="I93" s="48" t="n">
        <v>361.9275</v>
      </c>
      <c r="J93" s="62" t="inlineStr">
        <is>
          <t>11.770 LF x 15.375 ft de alto x 2 layers por face (5/A12.01)</t>
        </is>
      </c>
    </row>
    <row r="94" ht="15" customHeight="1" s="36">
      <c r="A94" s="44" t="n">
        <v>48</v>
      </c>
      <c r="B94" s="59" t="inlineStr">
        <is>
          <t>G</t>
        </is>
      </c>
      <c r="C94" s="46" t="inlineStr">
        <is>
          <t>ATM Room 102</t>
        </is>
      </c>
      <c r="D94" s="46" t="inlineStr">
        <is>
          <t>5/8 GYP x2 layers</t>
        </is>
      </c>
      <c r="E94" s="47" t="n">
        <v>11.625</v>
      </c>
      <c r="F94" s="47" t="n">
        <v>15.375</v>
      </c>
      <c r="G94" s="60" t="n">
        <v>2</v>
      </c>
      <c r="H94" s="47" t="n">
        <v>0</v>
      </c>
      <c r="I94" s="48" t="n">
        <v>357.46875</v>
      </c>
      <c r="J94" s="62" t="inlineStr">
        <is>
          <t>11.625 LF x 15.375 ft de alto x 2 layers por face (5/A12.01)</t>
        </is>
      </c>
    </row>
    <row r="95" ht="15" customHeight="1" s="36">
      <c r="A95" s="44" t="n">
        <v>48</v>
      </c>
      <c r="B95" s="59" t="inlineStr">
        <is>
          <t>G</t>
        </is>
      </c>
      <c r="C95" s="46" t="inlineStr">
        <is>
          <t>Office 5 CB 109</t>
        </is>
      </c>
      <c r="D95" s="46" t="inlineStr">
        <is>
          <t>5/8 GYP x2 layers</t>
        </is>
      </c>
      <c r="E95" s="47" t="n">
        <v>11.625</v>
      </c>
      <c r="F95" s="47" t="n">
        <v>15.375</v>
      </c>
      <c r="G95" s="60" t="n">
        <v>2</v>
      </c>
      <c r="H95" s="47" t="n">
        <v>0</v>
      </c>
      <c r="I95" s="48" t="n">
        <v>357.46875</v>
      </c>
      <c r="J95" s="62" t="inlineStr">
        <is>
          <t>11.625 LF x 15.375 ft de alto x 2 layers por face (5/A12.01)</t>
        </is>
      </c>
    </row>
    <row r="96" ht="15" customHeight="1" s="36">
      <c r="A96" s="44" t="n">
        <v>49</v>
      </c>
      <c r="B96" s="59" t="inlineStr">
        <is>
          <t>G</t>
        </is>
      </c>
      <c r="C96" s="46" t="inlineStr">
        <is>
          <t>Office 5 CB 109</t>
        </is>
      </c>
      <c r="D96" s="46" t="inlineStr">
        <is>
          <t>5/8 GYP x2 layers</t>
        </is>
      </c>
      <c r="E96" s="47" t="n">
        <v>11.625</v>
      </c>
      <c r="F96" s="47" t="n">
        <v>15.375</v>
      </c>
      <c r="G96" s="60" t="n">
        <v>2</v>
      </c>
      <c r="H96" s="47" t="n">
        <v>0</v>
      </c>
      <c r="I96" s="48" t="n">
        <v>357.46875</v>
      </c>
      <c r="J96" s="62" t="inlineStr">
        <is>
          <t>11.625 LF x 15.375 ft de alto x 2 layers por face (5/A12.01)</t>
        </is>
      </c>
    </row>
    <row r="97" ht="15" customHeight="1" s="36">
      <c r="A97" s="44" t="n">
        <v>49</v>
      </c>
      <c r="B97" s="59" t="inlineStr">
        <is>
          <t>G</t>
        </is>
      </c>
      <c r="C97" s="46" t="inlineStr">
        <is>
          <t>Office 6 CB 110</t>
        </is>
      </c>
      <c r="D97" s="46" t="inlineStr">
        <is>
          <t>5/8 GYP x2 layers</t>
        </is>
      </c>
      <c r="E97" s="47" t="n">
        <v>11.625</v>
      </c>
      <c r="F97" s="47" t="n">
        <v>15.375</v>
      </c>
      <c r="G97" s="60" t="n">
        <v>2</v>
      </c>
      <c r="H97" s="47" t="n">
        <v>0</v>
      </c>
      <c r="I97" s="48" t="n">
        <v>357.46875</v>
      </c>
      <c r="J97" s="62" t="inlineStr">
        <is>
          <t>11.625 LF x 15.375 ft de alto x 2 layers por face (5/A12.01)</t>
        </is>
      </c>
    </row>
    <row r="98" ht="15" customHeight="1" s="36">
      <c r="A98" s="44" t="n">
        <v>52</v>
      </c>
      <c r="B98" s="59" t="inlineStr">
        <is>
          <t>G</t>
        </is>
      </c>
      <c r="C98" s="46" t="inlineStr">
        <is>
          <t>Office 6 CB 110</t>
        </is>
      </c>
      <c r="D98" s="46" t="inlineStr">
        <is>
          <t>5/8 GYP x2 layers</t>
        </is>
      </c>
      <c r="E98" s="47" t="n">
        <v>11.625</v>
      </c>
      <c r="F98" s="47" t="n">
        <v>15.375</v>
      </c>
      <c r="G98" s="60" t="n">
        <v>2</v>
      </c>
      <c r="H98" s="47" t="n">
        <v>0</v>
      </c>
      <c r="I98" s="48" t="n">
        <v>357.46875</v>
      </c>
      <c r="J98" s="62" t="inlineStr">
        <is>
          <t>11.625 LF x 15.375 ft x 2 layers (5/A12.01)</t>
        </is>
      </c>
    </row>
    <row r="99" ht="15" customHeight="1" s="36">
      <c r="A99" s="44" t="n">
        <v>52</v>
      </c>
      <c r="B99" s="59" t="inlineStr">
        <is>
          <t>G</t>
        </is>
      </c>
      <c r="C99" s="46" t="inlineStr">
        <is>
          <t>Womens Restroom 114</t>
        </is>
      </c>
      <c r="D99" s="46" t="inlineStr">
        <is>
          <t>5/8 GYP x2 layers</t>
        </is>
      </c>
      <c r="E99" s="47" t="n">
        <v>11.625</v>
      </c>
      <c r="F99" s="47" t="n">
        <v>15.375</v>
      </c>
      <c r="G99" s="60" t="n">
        <v>2</v>
      </c>
      <c r="H99" s="47" t="n">
        <v>0</v>
      </c>
      <c r="I99" s="48" t="n">
        <v>357.46875</v>
      </c>
      <c r="J99" s="62" t="inlineStr">
        <is>
          <t>11.625 LF x 15.375 ft x 2 layers (5/A12.01)</t>
        </is>
      </c>
    </row>
    <row r="100" ht="15" customHeight="1" s="36">
      <c r="A100" s="44" t="n">
        <v>47</v>
      </c>
      <c r="B100" s="59" t="inlineStr">
        <is>
          <t>G</t>
        </is>
      </c>
      <c r="C100" s="46" t="inlineStr">
        <is>
          <t>Office 4 CB 108</t>
        </is>
      </c>
      <c r="D100" s="46" t="inlineStr">
        <is>
          <t>5/8 GYP x2 layers</t>
        </is>
      </c>
      <c r="E100" s="47" t="n">
        <v>10.07</v>
      </c>
      <c r="F100" s="47" t="n">
        <v>15.375</v>
      </c>
      <c r="G100" s="60" t="n">
        <v>2</v>
      </c>
      <c r="H100" s="47" t="n">
        <v>0</v>
      </c>
      <c r="I100" s="48" t="n">
        <v>309.6525</v>
      </c>
      <c r="J100" s="62" t="inlineStr">
        <is>
          <t>10.070 LF x 15.375 ft de alto x 2 layers por face (5/A12.01)</t>
        </is>
      </c>
    </row>
    <row r="101" ht="15" customHeight="1" s="36">
      <c r="A101" s="44" t="n">
        <v>47</v>
      </c>
      <c r="B101" s="59" t="inlineStr">
        <is>
          <t>G</t>
        </is>
      </c>
      <c r="C101" s="46" t="inlineStr">
        <is>
          <t>Linea de teller</t>
        </is>
      </c>
      <c r="D101" s="46" t="inlineStr">
        <is>
          <t>5/8 GYP x2 layers</t>
        </is>
      </c>
      <c r="E101" s="47" t="n">
        <v>10.07</v>
      </c>
      <c r="F101" s="47" t="n">
        <v>15.375</v>
      </c>
      <c r="G101" s="60" t="n">
        <v>2</v>
      </c>
      <c r="H101" s="47" t="n">
        <v>0</v>
      </c>
      <c r="I101" s="48" t="n">
        <v>309.6525</v>
      </c>
      <c r="J101" s="62" t="inlineStr">
        <is>
          <t>10.070 LF x 15.375 ft de alto x 2 layers por face (5/A12.01)</t>
        </is>
      </c>
    </row>
    <row r="102" ht="15" customHeight="1" s="36">
      <c r="A102" s="44" t="n">
        <v>42</v>
      </c>
      <c r="B102" s="59" t="inlineStr">
        <is>
          <t>G</t>
        </is>
      </c>
      <c r="C102" s="46" t="inlineStr">
        <is>
          <t>Central Zone 103</t>
        </is>
      </c>
      <c r="D102" s="46" t="inlineStr">
        <is>
          <t>5/8 GYP x2 layers</t>
        </is>
      </c>
      <c r="E102" s="47" t="n">
        <v>3.47</v>
      </c>
      <c r="F102" s="47" t="n">
        <v>15.375</v>
      </c>
      <c r="G102" s="60" t="n">
        <v>2</v>
      </c>
      <c r="H102" s="47" t="n">
        <v>0</v>
      </c>
      <c r="I102" s="48" t="n">
        <v>106.7025</v>
      </c>
      <c r="J102" s="62" t="inlineStr">
        <is>
          <t>3.470 LF x 15.375 ft de alto x 2 layers por face (5/A12.01)</t>
        </is>
      </c>
    </row>
    <row r="103" ht="15" customHeight="1" s="36">
      <c r="A103" s="44" t="n">
        <v>42</v>
      </c>
      <c r="B103" s="59" t="inlineStr">
        <is>
          <t>G</t>
        </is>
      </c>
      <c r="C103" s="46" t="inlineStr">
        <is>
          <t>Offices 105-106</t>
        </is>
      </c>
      <c r="D103" s="46" t="inlineStr">
        <is>
          <t>5/8 GYP x2 layers</t>
        </is>
      </c>
      <c r="E103" s="47" t="n">
        <v>3.47</v>
      </c>
      <c r="F103" s="47" t="n">
        <v>15.375</v>
      </c>
      <c r="G103" s="60" t="n">
        <v>2</v>
      </c>
      <c r="H103" s="47" t="n">
        <v>0</v>
      </c>
      <c r="I103" s="48" t="n">
        <v>106.7025</v>
      </c>
      <c r="J103" s="62" t="inlineStr">
        <is>
          <t>3.470 LF x 15.375 ft de alto x 2 layers por face (5/A12.01)</t>
        </is>
      </c>
    </row>
    <row r="104" ht="15" customHeight="1" s="36">
      <c r="A104" s="44" t="n">
        <v>43</v>
      </c>
      <c r="B104" s="59" t="inlineStr">
        <is>
          <t>G</t>
        </is>
      </c>
      <c r="C104" s="46" t="inlineStr">
        <is>
          <t>Central Zone 103</t>
        </is>
      </c>
      <c r="D104" s="46" t="inlineStr">
        <is>
          <t>5/8 GYP x2 layers</t>
        </is>
      </c>
      <c r="E104" s="47" t="n">
        <v>3.25</v>
      </c>
      <c r="F104" s="47" t="n">
        <v>15.375</v>
      </c>
      <c r="G104" s="60" t="n">
        <v>2</v>
      </c>
      <c r="H104" s="47" t="n">
        <v>0</v>
      </c>
      <c r="I104" s="48" t="n">
        <v>99.9375</v>
      </c>
      <c r="J104" s="62" t="inlineStr">
        <is>
          <t>3.250 LF x 15.375 ft de alto x 2 layers por face (5/A12.01)</t>
        </is>
      </c>
    </row>
    <row r="105" ht="15" customHeight="1" s="36">
      <c r="A105" s="44" t="n">
        <v>43</v>
      </c>
      <c r="B105" s="59" t="inlineStr">
        <is>
          <t>G</t>
        </is>
      </c>
      <c r="C105" s="46" t="inlineStr">
        <is>
          <t>Offices 106-107</t>
        </is>
      </c>
      <c r="D105" s="46" t="inlineStr">
        <is>
          <t>5/8 GYP x2 layers</t>
        </is>
      </c>
      <c r="E105" s="47" t="n">
        <v>3.25</v>
      </c>
      <c r="F105" s="47" t="n">
        <v>15.375</v>
      </c>
      <c r="G105" s="60" t="n">
        <v>2</v>
      </c>
      <c r="H105" s="47" t="n">
        <v>0</v>
      </c>
      <c r="I105" s="48" t="n">
        <v>99.9375</v>
      </c>
      <c r="J105" s="62" t="inlineStr">
        <is>
          <t>3.250 LF x 15.375 ft de alto x 2 layers por face (5/A12.01)</t>
        </is>
      </c>
    </row>
    <row r="106" ht="15" customHeight="1" s="36">
      <c r="A106" s="44" t="n">
        <v>44</v>
      </c>
      <c r="B106" s="59" t="inlineStr">
        <is>
          <t>G</t>
        </is>
      </c>
      <c r="C106" s="46" t="inlineStr">
        <is>
          <t>Central Zone 103</t>
        </is>
      </c>
      <c r="D106" s="46" t="inlineStr">
        <is>
          <t>5/8 GYP x2 layers</t>
        </is>
      </c>
      <c r="E106" s="47" t="n">
        <v>3.25</v>
      </c>
      <c r="F106" s="47" t="n">
        <v>15.375</v>
      </c>
      <c r="G106" s="60" t="n">
        <v>2</v>
      </c>
      <c r="H106" s="47" t="n">
        <v>0</v>
      </c>
      <c r="I106" s="48" t="n">
        <v>99.9375</v>
      </c>
      <c r="J106" s="62" t="inlineStr">
        <is>
          <t>3.250 LF x 15.375 ft de alto x 2 layers por face (5/A12.01)</t>
        </is>
      </c>
    </row>
    <row r="107" ht="15" customHeight="1" s="36">
      <c r="A107" s="44" t="n">
        <v>44</v>
      </c>
      <c r="B107" s="59" t="inlineStr">
        <is>
          <t>G</t>
        </is>
      </c>
      <c r="C107" s="46" t="inlineStr">
        <is>
          <t>Offices 107-108</t>
        </is>
      </c>
      <c r="D107" s="46" t="inlineStr">
        <is>
          <t>5/8 GYP x2 layers</t>
        </is>
      </c>
      <c r="E107" s="47" t="n">
        <v>3.25</v>
      </c>
      <c r="F107" s="47" t="n">
        <v>15.375</v>
      </c>
      <c r="G107" s="60" t="n">
        <v>2</v>
      </c>
      <c r="H107" s="47" t="n">
        <v>0</v>
      </c>
      <c r="I107" s="48" t="n">
        <v>99.9375</v>
      </c>
      <c r="J107" s="62" t="inlineStr">
        <is>
          <t>3.250 LF x 15.375 ft de alto x 2 layers por face (5/A12.01)</t>
        </is>
      </c>
    </row>
    <row r="108" ht="15" customHeight="1" s="36">
      <c r="A108" s="44" t="n">
        <v>41</v>
      </c>
      <c r="B108" s="59" t="inlineStr">
        <is>
          <t>G</t>
        </is>
      </c>
      <c r="C108" s="46" t="inlineStr">
        <is>
          <t>Central Zone 103</t>
        </is>
      </c>
      <c r="D108" s="46" t="inlineStr">
        <is>
          <t>5/8 GYP x2 layers</t>
        </is>
      </c>
      <c r="E108" s="47" t="n">
        <v>2.42</v>
      </c>
      <c r="F108" s="47" t="n">
        <v>15.375</v>
      </c>
      <c r="G108" s="60" t="n">
        <v>2</v>
      </c>
      <c r="H108" s="47" t="n">
        <v>0</v>
      </c>
      <c r="I108" s="48" t="n">
        <v>74.41500000000001</v>
      </c>
      <c r="J108" s="62" t="inlineStr">
        <is>
          <t>2.420 LF x 15.375 ft de alto x 2 layers por face (5/A12.01)</t>
        </is>
      </c>
    </row>
    <row r="109" ht="15" customHeight="1" s="36">
      <c r="A109" s="44" t="n">
        <v>41</v>
      </c>
      <c r="B109" s="59" t="inlineStr">
        <is>
          <t>G</t>
        </is>
      </c>
      <c r="C109" s="46" t="inlineStr">
        <is>
          <t>Office 1 ME 105</t>
        </is>
      </c>
      <c r="D109" s="46" t="inlineStr">
        <is>
          <t>5/8 GYP x2 layers</t>
        </is>
      </c>
      <c r="E109" s="47" t="n">
        <v>2.42</v>
      </c>
      <c r="F109" s="47" t="n">
        <v>15.375</v>
      </c>
      <c r="G109" s="60" t="n">
        <v>2</v>
      </c>
      <c r="H109" s="47" t="n">
        <v>0</v>
      </c>
      <c r="I109" s="48" t="n">
        <v>74.41500000000001</v>
      </c>
      <c r="J109" s="62" t="inlineStr">
        <is>
          <t>2.420 LF x 15.375 ft de alto x 2 layers por face (5/A12.01)</t>
        </is>
      </c>
    </row>
    <row r="110" ht="15" customHeight="1" s="36">
      <c r="A110" s="44" t="n">
        <v>50</v>
      </c>
      <c r="B110" s="59" t="inlineStr">
        <is>
          <t>G1</t>
        </is>
      </c>
      <c r="C110" s="46" t="inlineStr">
        <is>
          <t>Office 1 ME 105</t>
        </is>
      </c>
      <c r="D110" s="46" t="inlineStr">
        <is>
          <t>5/8 GYP x2 layers</t>
        </is>
      </c>
      <c r="E110" s="47" t="n">
        <v>11.77</v>
      </c>
      <c r="F110" s="47" t="n">
        <v>15.375</v>
      </c>
      <c r="G110" s="60" t="n">
        <v>2</v>
      </c>
      <c r="H110" s="47" t="n">
        <v>0</v>
      </c>
      <c r="I110" s="48" t="n">
        <v>361.9275</v>
      </c>
      <c r="J110" s="62" t="inlineStr">
        <is>
          <t>11.770 LF x 15.375 ft de alto (a underside of structure, 5/A12.01) x 2 layers de 5/8" por face</t>
        </is>
      </c>
    </row>
    <row r="111" ht="15" customHeight="1" s="36">
      <c r="A111" s="44" t="n">
        <v>50</v>
      </c>
      <c r="B111" s="59" t="inlineStr">
        <is>
          <t>G1</t>
        </is>
      </c>
      <c r="C111" s="46" t="inlineStr">
        <is>
          <t>Office 2 CL 106</t>
        </is>
      </c>
      <c r="D111" s="46" t="inlineStr">
        <is>
          <t>5/8 GYP x2 layers</t>
        </is>
      </c>
      <c r="E111" s="47" t="n">
        <v>11.77</v>
      </c>
      <c r="F111" s="47" t="n">
        <v>15.375</v>
      </c>
      <c r="G111" s="60" t="n">
        <v>2</v>
      </c>
      <c r="H111" s="47" t="n">
        <v>0</v>
      </c>
      <c r="I111" s="48" t="n">
        <v>361.9275</v>
      </c>
      <c r="J111" s="62" t="inlineStr">
        <is>
          <t>11.770 LF x 15.375 ft de alto (a underside of structure, 5/A12.01) x 2 layers de 5/8" por face</t>
        </is>
      </c>
    </row>
    <row r="112" ht="15" customHeight="1" s="36">
      <c r="A112" s="44" t="n">
        <v>51</v>
      </c>
      <c r="B112" s="59" t="inlineStr">
        <is>
          <t>G1</t>
        </is>
      </c>
      <c r="C112" s="46" t="inlineStr">
        <is>
          <t>Office 5 CB 109</t>
        </is>
      </c>
      <c r="D112" s="46" t="inlineStr">
        <is>
          <t>5/8 GYP x2 layers</t>
        </is>
      </c>
      <c r="E112" s="47" t="n">
        <v>2.67</v>
      </c>
      <c r="F112" s="47" t="n">
        <v>15.375</v>
      </c>
      <c r="G112" s="60" t="n">
        <v>2</v>
      </c>
      <c r="H112" s="47" t="n">
        <v>0</v>
      </c>
      <c r="I112" s="48" t="n">
        <v>82.10250000000001</v>
      </c>
      <c r="J112" s="62" t="inlineStr">
        <is>
          <t>2.670 LF x 15.375 ft de alto (a underside of structure, 5/A12.01) x 2 layers de 5/8" por face</t>
        </is>
      </c>
    </row>
    <row r="113" ht="23.25" customHeight="1" s="36">
      <c r="A113" s="44" t="n">
        <v>51</v>
      </c>
      <c r="B113" s="59" t="inlineStr">
        <is>
          <t>G1</t>
        </is>
      </c>
      <c r="C113" s="46" t="inlineStr">
        <is>
          <t>Area abierta al este del office front (Waiting 104)</t>
        </is>
      </c>
      <c r="D113" s="46" t="inlineStr">
        <is>
          <t>5/8 GYP x2 layers</t>
        </is>
      </c>
      <c r="E113" s="47" t="n">
        <v>2.67</v>
      </c>
      <c r="F113" s="47" t="n">
        <v>15.375</v>
      </c>
      <c r="G113" s="60" t="n">
        <v>2</v>
      </c>
      <c r="H113" s="47" t="n">
        <v>0</v>
      </c>
      <c r="I113" s="48" t="n">
        <v>82.10250000000001</v>
      </c>
      <c r="J113" s="62" t="inlineStr">
        <is>
          <t>2.670 LF x 15.375 ft de alto (a underside of structure, 5/A12.01) x 2 layers de 5/8" por face</t>
        </is>
      </c>
    </row>
    <row r="114" ht="15" customHeight="1" s="36">
      <c r="A114" s="44" t="n">
        <v>53</v>
      </c>
      <c r="B114" s="59" t="inlineStr">
        <is>
          <t>G1</t>
        </is>
      </c>
      <c r="C114" s="46" t="inlineStr">
        <is>
          <t>Office 6 CB 110</t>
        </is>
      </c>
      <c r="D114" s="46" t="inlineStr">
        <is>
          <t>5/8 GYP x2 layers</t>
        </is>
      </c>
      <c r="E114" s="47" t="n">
        <v>2.67</v>
      </c>
      <c r="F114" s="47" t="n">
        <v>15.375</v>
      </c>
      <c r="G114" s="60" t="n">
        <v>2</v>
      </c>
      <c r="H114" s="47" t="n">
        <v>0</v>
      </c>
      <c r="I114" s="48" t="n">
        <v>82.10250000000001</v>
      </c>
      <c r="J114" s="62" t="inlineStr">
        <is>
          <t>2.670 LF x 15.375 ft de alto (a underside of structure, 5/A12.01) x 2 layers de 5/8" por face</t>
        </is>
      </c>
    </row>
    <row r="115" ht="23.25" customHeight="1" s="36">
      <c r="A115" s="44" t="n">
        <v>53</v>
      </c>
      <c r="B115" s="59" t="inlineStr">
        <is>
          <t>G1</t>
        </is>
      </c>
      <c r="C115" s="46" t="inlineStr">
        <is>
          <t>Area abierta al este del office front (Waiting 104)</t>
        </is>
      </c>
      <c r="D115" s="46" t="inlineStr">
        <is>
          <t>5/8 GYP x2 layers</t>
        </is>
      </c>
      <c r="E115" s="47" t="n">
        <v>2.67</v>
      </c>
      <c r="F115" s="47" t="n">
        <v>15.375</v>
      </c>
      <c r="G115" s="60" t="n">
        <v>2</v>
      </c>
      <c r="H115" s="47" t="n">
        <v>0</v>
      </c>
      <c r="I115" s="48" t="n">
        <v>82.10250000000001</v>
      </c>
      <c r="J115" s="62" t="inlineStr">
        <is>
          <t>2.670 LF x 15.375 ft de alto (a underside of structure, 5/A12.01) x 2 layers de 5/8" por face</t>
        </is>
      </c>
    </row>
    <row r="116" ht="15" customHeight="1" s="36">
      <c r="A116" s="63" t="n"/>
      <c r="B116" s="63" t="n"/>
      <c r="C116" s="63" t="inlineStr">
        <is>
          <t>TOTAL BOARD (SF)</t>
        </is>
      </c>
      <c r="D116" s="63" t="n"/>
      <c r="E116" s="63" t="n"/>
      <c r="F116" s="63" t="n"/>
      <c r="G116" s="63" t="n"/>
      <c r="H116" s="63" t="n"/>
      <c r="I116" s="64" t="n">
        <v>15809.09977</v>
      </c>
      <c r="J116" s="6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T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8" min="1" max="1"/>
    <col width="14" customWidth="1" style="38" min="2" max="2"/>
    <col width="30" customWidth="1" style="38" min="3" max="3"/>
    <col width="13" customWidth="1" style="38" min="4" max="4"/>
    <col width="11" customWidth="1" style="38" min="5" max="6"/>
    <col width="13" customWidth="1" style="38" min="7" max="8"/>
    <col width="12" customWidth="1" style="38" min="9" max="11"/>
    <col width="11" customWidth="1" style="38" min="12" max="13"/>
    <col width="14" customWidth="1" style="38" min="14" max="15"/>
    <col width="11" customWidth="1" style="38" min="16" max="17"/>
    <col width="9" customWidth="1" style="38" min="18" max="18"/>
    <col width="20" customWidth="1" style="38" min="19" max="19"/>
    <col width="78" customWidth="1" style="38" min="20" max="20"/>
  </cols>
  <sheetData>
    <row r="1" ht="15.75" customHeight="1" s="36">
      <c r="A1" s="41" t="inlineStr">
        <is>
          <t>GYPSUM CEILINGS, SOFFITS AND DRIVE-UP CANOPY - separate tables, never mixed with partitions</t>
        </is>
      </c>
    </row>
    <row r="2" ht="15" customHeight="1" s="36">
      <c r="A2" s="42" t="inlineStr">
        <is>
          <t>A soffit is BUILT: its labor and its material do not look like a flat ceiling's. ACT and open-to-deck areas are excluded and named on Clarifications.</t>
        </is>
      </c>
    </row>
    <row r="4" ht="33.75" customHeight="1" s="36">
      <c r="A4" s="54" t="inlineStr">
        <is>
          <t>Group</t>
        </is>
      </c>
      <c r="B4" s="54" t="inlineStr">
        <is>
          <t>ID</t>
        </is>
      </c>
      <c r="C4" s="54" t="inlineStr">
        <is>
          <t>Element</t>
        </is>
      </c>
      <c r="D4" s="54" t="inlineStr">
        <is>
          <t>Height A.F.F. (FT)</t>
        </is>
      </c>
      <c r="E4" s="54" t="inlineStr">
        <is>
          <t>Area (SF)</t>
        </is>
      </c>
      <c r="F4" s="54" t="inlineStr">
        <is>
          <t>Board (SF)</t>
        </is>
      </c>
      <c r="G4" s="54" t="inlineStr">
        <is>
          <t>Furring Channel (LF)</t>
        </is>
      </c>
      <c r="H4" s="54" t="inlineStr">
        <is>
          <t>Carrying Channel (LF)</t>
        </is>
      </c>
      <c r="I4" s="54" t="inlineStr">
        <is>
          <t>Hanger Wire (LF)</t>
        </is>
      </c>
      <c r="J4" s="54" t="inlineStr">
        <is>
          <t>3-5/8" Stud (LF)</t>
        </is>
      </c>
      <c r="K4" s="54" t="inlineStr">
        <is>
          <t>3-5/8" Stud (pcs)</t>
        </is>
      </c>
      <c r="L4" s="54" t="inlineStr">
        <is>
          <t>Track (LF)</t>
        </is>
      </c>
      <c r="M4" s="54" t="inlineStr">
        <is>
          <t>Bracing (LF)</t>
        </is>
      </c>
      <c r="N4" s="54" t="inlineStr">
        <is>
          <t>Sheathing FRT Ply (SF)</t>
        </is>
      </c>
      <c r="O4" s="54" t="inlineStr">
        <is>
          <t>Corner Bead / Ceiling Trim (LF)</t>
        </is>
      </c>
      <c r="P4" s="54" t="inlineStr">
        <is>
          <t>Blocking (LF)</t>
        </is>
      </c>
      <c r="Q4" s="54" t="inlineStr">
        <is>
          <t>Access Panel (pcs)</t>
        </is>
      </c>
      <c r="R4" s="54" t="inlineStr">
        <is>
          <t>Status</t>
        </is>
      </c>
      <c r="S4" s="54" t="inlineStr">
        <is>
          <t>Seal</t>
        </is>
      </c>
      <c r="T4" s="54" t="inlineStr">
        <is>
          <t>Detail sequence  (RCP → section → detail → schedule)</t>
        </is>
      </c>
    </row>
    <row r="5" ht="15" customHeight="1" s="36">
      <c r="A5" s="59" t="inlineStr">
        <is>
          <t>CEILING GWB</t>
        </is>
      </c>
      <c r="B5" s="59" t="inlineStr">
        <is>
          <t>CIELO-70</t>
        </is>
      </c>
      <c r="C5" s="46" t="inlineStr">
        <is>
          <t>VESTIBULE 100</t>
        </is>
      </c>
      <c r="D5" s="47" t="n"/>
      <c r="E5" s="47" t="n">
        <v>131.3</v>
      </c>
      <c r="F5" s="48" t="n">
        <v>131.3</v>
      </c>
      <c r="G5" s="48" t="n">
        <v>98.48</v>
      </c>
      <c r="H5" s="48" t="n">
        <v>32.83</v>
      </c>
      <c r="I5" s="48" t="n">
        <v>48.38</v>
      </c>
      <c r="J5" s="48" t="n"/>
      <c r="K5" s="58" t="n"/>
      <c r="L5" s="48" t="n"/>
      <c r="M5" s="48" t="n"/>
      <c r="N5" s="48" t="n"/>
      <c r="O5" s="48" t="n"/>
      <c r="P5" s="48" t="n"/>
      <c r="Q5" s="58" t="n">
        <v>1</v>
      </c>
      <c r="R5" s="44" t="inlineStr">
        <is>
          <t>CLOSED</t>
        </is>
      </c>
      <c r="S5" s="65" t="inlineStr">
        <is>
          <t>5bd1ec5d0fcc167b</t>
        </is>
      </c>
      <c r="T5" s="62" t="inlineStr">
        <is>
          <t>A04.01 → A02.01 → S2.20 → A12.01 → 3/A09.33 → 7/A09.33 → 10/A09.33</t>
        </is>
      </c>
    </row>
    <row r="6" ht="15" customHeight="1" s="36">
      <c r="A6" s="59" t="inlineStr">
        <is>
          <t>CEILING GWB</t>
        </is>
      </c>
      <c r="B6" s="59" t="inlineStr">
        <is>
          <t>CIELO-71</t>
        </is>
      </c>
      <c r="C6" s="46" t="inlineStr">
        <is>
          <t>24 HR VESTIBULE 101</t>
        </is>
      </c>
      <c r="D6" s="47" t="n"/>
      <c r="E6" s="47" t="n">
        <v>163.92</v>
      </c>
      <c r="F6" s="48" t="n">
        <v>163.92</v>
      </c>
      <c r="G6" s="48" t="n">
        <v>122.94</v>
      </c>
      <c r="H6" s="48" t="n">
        <v>40.98</v>
      </c>
      <c r="I6" s="48" t="n">
        <v>59.12</v>
      </c>
      <c r="J6" s="48" t="n"/>
      <c r="K6" s="58" t="n"/>
      <c r="L6" s="48" t="n"/>
      <c r="M6" s="48" t="n"/>
      <c r="N6" s="48" t="n"/>
      <c r="O6" s="48" t="n"/>
      <c r="P6" s="48" t="n"/>
      <c r="Q6" s="58" t="n"/>
      <c r="R6" s="44" t="inlineStr">
        <is>
          <t>CLOSED</t>
        </is>
      </c>
      <c r="S6" s="65" t="inlineStr">
        <is>
          <t>0d32abc5f7c5bddf</t>
        </is>
      </c>
      <c r="T6" s="62" t="inlineStr">
        <is>
          <t>A04.01 → S2.20 → A12.01 → 3/A09.33 → 7/A09.33 → 10/A09.33</t>
        </is>
      </c>
    </row>
    <row r="7" ht="15" customHeight="1" s="36">
      <c r="A7" s="59" t="inlineStr">
        <is>
          <t>CEILING GWB</t>
        </is>
      </c>
      <c r="B7" s="59" t="inlineStr">
        <is>
          <t>CIELO-72</t>
        </is>
      </c>
      <c r="C7" s="46" t="inlineStr">
        <is>
          <t>WAITING 104</t>
        </is>
      </c>
      <c r="D7" s="47" t="n"/>
      <c r="E7" s="47" t="n">
        <v>510.8</v>
      </c>
      <c r="F7" s="48" t="n">
        <v>510.8</v>
      </c>
      <c r="G7" s="48" t="n">
        <v>383.1</v>
      </c>
      <c r="H7" s="48" t="n">
        <v>127.7</v>
      </c>
      <c r="I7" s="48" t="n">
        <v>140</v>
      </c>
      <c r="J7" s="48" t="n"/>
      <c r="K7" s="58" t="n"/>
      <c r="L7" s="48" t="n"/>
      <c r="M7" s="48" t="n"/>
      <c r="N7" s="48" t="n"/>
      <c r="O7" s="48" t="n"/>
      <c r="P7" s="48" t="n"/>
      <c r="Q7" s="58" t="n"/>
      <c r="R7" s="44" t="inlineStr">
        <is>
          <t>CLOSED</t>
        </is>
      </c>
      <c r="S7" s="65" t="inlineStr">
        <is>
          <t>11d7860858a6b528</t>
        </is>
      </c>
      <c r="T7" s="62" t="inlineStr">
        <is>
          <t>A04.01 → S2.20 → A12.01 → 3/A09.33 → 7/A09.33 → 10/A09.33</t>
        </is>
      </c>
    </row>
    <row r="8" ht="15" customHeight="1" s="36">
      <c r="A8" s="59" t="inlineStr">
        <is>
          <t>CEILING GWB</t>
        </is>
      </c>
      <c r="B8" s="59" t="inlineStr">
        <is>
          <t>CIELO-73</t>
        </is>
      </c>
      <c r="C8" s="46" t="inlineStr">
        <is>
          <t>WOMEN'S RESTROOM 114</t>
        </is>
      </c>
      <c r="D8" s="47" t="n"/>
      <c r="E8" s="47" t="n">
        <v>76.75</v>
      </c>
      <c r="F8" s="48" t="n">
        <v>76.75</v>
      </c>
      <c r="G8" s="48" t="n">
        <v>57.56</v>
      </c>
      <c r="H8" s="48" t="n">
        <v>19.19</v>
      </c>
      <c r="I8" s="48" t="n">
        <v>34.38</v>
      </c>
      <c r="J8" s="48" t="n"/>
      <c r="K8" s="58" t="n"/>
      <c r="L8" s="48" t="n"/>
      <c r="M8" s="48" t="n"/>
      <c r="N8" s="48" t="n"/>
      <c r="O8" s="48" t="n"/>
      <c r="P8" s="48" t="n"/>
      <c r="Q8" s="58" t="n"/>
      <c r="R8" s="44" t="inlineStr">
        <is>
          <t>CLOSED</t>
        </is>
      </c>
      <c r="S8" s="65" t="inlineStr">
        <is>
          <t>ef1501f9315bda5a</t>
        </is>
      </c>
      <c r="T8" s="62" t="inlineStr">
        <is>
          <t>A04.01 → A02.01 → S2.20 → A12.01 → 3/A09.33 → 7/A09.33 → 10/A09.33</t>
        </is>
      </c>
    </row>
    <row r="9" ht="15" customHeight="1" s="36">
      <c r="A9" s="59" t="inlineStr">
        <is>
          <t>CEILING GWB</t>
        </is>
      </c>
      <c r="B9" s="59" t="inlineStr">
        <is>
          <t>CIELO-74</t>
        </is>
      </c>
      <c r="C9" s="46" t="inlineStr">
        <is>
          <t>MEN'S RESTROOM 113</t>
        </is>
      </c>
      <c r="D9" s="47" t="n"/>
      <c r="E9" s="47" t="n">
        <v>76.17</v>
      </c>
      <c r="F9" s="48" t="n">
        <v>76.17</v>
      </c>
      <c r="G9" s="48" t="n">
        <v>57.13</v>
      </c>
      <c r="H9" s="48" t="n">
        <v>19.04</v>
      </c>
      <c r="I9" s="48" t="n">
        <v>34.38</v>
      </c>
      <c r="J9" s="48" t="n"/>
      <c r="K9" s="58" t="n"/>
      <c r="L9" s="48" t="n"/>
      <c r="M9" s="48" t="n"/>
      <c r="N9" s="48" t="n"/>
      <c r="O9" s="48" t="n"/>
      <c r="P9" s="48" t="n"/>
      <c r="Q9" s="58" t="n"/>
      <c r="R9" s="44" t="inlineStr">
        <is>
          <t>CLOSED</t>
        </is>
      </c>
      <c r="S9" s="65" t="inlineStr">
        <is>
          <t>c795cff7ebb6a001</t>
        </is>
      </c>
      <c r="T9" s="62" t="inlineStr">
        <is>
          <t>A04.01 → S2.20 → A12.01 → 3/A09.33 → 7/A09.33 → 10/A09.33</t>
        </is>
      </c>
    </row>
    <row r="10" ht="15" customHeight="1" s="36">
      <c r="A10" s="59" t="inlineStr">
        <is>
          <t>SOFFIT</t>
        </is>
      </c>
      <c r="B10" s="59" t="inlineStr">
        <is>
          <t>SOFFIT-80</t>
        </is>
      </c>
      <c r="C10" s="46" t="inlineStr">
        <is>
          <t>SOFFIT-80</t>
        </is>
      </c>
      <c r="D10" s="47" t="n"/>
      <c r="E10" s="47" t="n">
        <v>41</v>
      </c>
      <c r="F10" s="48" t="n">
        <v>41</v>
      </c>
      <c r="G10" s="48" t="n"/>
      <c r="H10" s="48" t="n"/>
      <c r="I10" s="48" t="n"/>
      <c r="J10" s="48" t="n"/>
      <c r="K10" s="58" t="n">
        <v>26</v>
      </c>
      <c r="L10" s="48" t="n">
        <v>61.7</v>
      </c>
      <c r="M10" s="48" t="n"/>
      <c r="N10" s="48" t="n"/>
      <c r="O10" s="48" t="n">
        <v>42.86</v>
      </c>
      <c r="P10" s="48" t="n">
        <v>12.01</v>
      </c>
      <c r="Q10" s="58" t="n"/>
      <c r="R10" s="44" t="inlineStr">
        <is>
          <t>CLOSED</t>
        </is>
      </c>
      <c r="S10" s="65" t="inlineStr">
        <is>
          <t>190433897dc8f674</t>
        </is>
      </c>
      <c r="T10" s="62" t="inlineStr">
        <is>
          <t>A04.01 → 9/A12.01 → 10/A09.33</t>
        </is>
      </c>
    </row>
    <row r="11" ht="21.75" customHeight="1" s="36">
      <c r="A11" s="59" t="inlineStr">
        <is>
          <t>CANOPY</t>
        </is>
      </c>
      <c r="B11" s="59" t="inlineStr">
        <is>
          <t>CANOPY-81</t>
        </is>
      </c>
      <c r="C11" s="46" t="inlineStr">
        <is>
          <t>CANOPY-81</t>
        </is>
      </c>
      <c r="D11" s="47" t="n"/>
      <c r="E11" s="47" t="n">
        <v>561.75</v>
      </c>
      <c r="F11" s="48" t="n"/>
      <c r="G11" s="48" t="n"/>
      <c r="H11" s="48" t="n"/>
      <c r="I11" s="48" t="n"/>
      <c r="J11" s="48" t="n">
        <v>427.25</v>
      </c>
      <c r="K11" s="58" t="n"/>
      <c r="L11" s="48" t="n">
        <v>99.92</v>
      </c>
      <c r="M11" s="48" t="n">
        <v>131.48</v>
      </c>
      <c r="N11" s="48" t="n">
        <v>561.75</v>
      </c>
      <c r="O11" s="48" t="n"/>
      <c r="P11" s="48" t="n"/>
      <c r="Q11" s="58" t="n"/>
      <c r="R11" s="44" t="inlineStr">
        <is>
          <t>CLOSED</t>
        </is>
      </c>
      <c r="S11" s="65" t="inlineStr">
        <is>
          <t>fef35eab36b7ebbd</t>
        </is>
      </c>
      <c r="T11" s="62" t="inlineStr">
        <is>
          <t>A04.01 → A02.01 → D/A09.22 → F/A09.22 → A09.01 → A09.02 → A09.21 → 3/A09.26 → 7/A09.26 → 15/A09.27 → 16/A09.27 → 10/A09.33 → 7/S5.20</t>
        </is>
      </c>
    </row>
    <row r="12" ht="21.75" customHeight="1" s="36">
      <c r="A12" s="59" t="inlineStr">
        <is>
          <t>CANOPY</t>
        </is>
      </c>
      <c r="B12" s="59" t="inlineStr">
        <is>
          <t>CANOPY-82</t>
        </is>
      </c>
      <c r="C12" s="46" t="inlineStr">
        <is>
          <t>CANOPY-82</t>
        </is>
      </c>
      <c r="D12" s="47" t="n"/>
      <c r="E12" s="47" t="n">
        <v>474.22</v>
      </c>
      <c r="F12" s="48" t="n"/>
      <c r="G12" s="48" t="n"/>
      <c r="H12" s="48" t="n"/>
      <c r="I12" s="48" t="n"/>
      <c r="J12" s="48" t="n">
        <v>356.66</v>
      </c>
      <c r="K12" s="58" t="n"/>
      <c r="L12" s="48" t="n">
        <v>87.17</v>
      </c>
      <c r="M12" s="48" t="n">
        <v>113.02</v>
      </c>
      <c r="N12" s="48" t="n">
        <v>474.22</v>
      </c>
      <c r="O12" s="48" t="n"/>
      <c r="P12" s="48" t="n"/>
      <c r="Q12" s="58" t="n"/>
      <c r="R12" s="44" t="inlineStr">
        <is>
          <t>CLOSED</t>
        </is>
      </c>
      <c r="S12" s="65" t="inlineStr">
        <is>
          <t>37191aedb28a90bb</t>
        </is>
      </c>
      <c r="T12" s="62" t="inlineStr">
        <is>
          <t>A04.01 → A02.01 → D/A09.22 → F/A09.22 → A09.01 → A09.02 → A09.21 → 3/A09.26 → 7/A09.26 → 15/A09.27 → 16/A09.27 → 10/A09.33 → 7/S5.20</t>
        </is>
      </c>
    </row>
    <row r="13" ht="21.75" customHeight="1" s="36">
      <c r="A13" s="59" t="inlineStr">
        <is>
          <t>CANOPY</t>
        </is>
      </c>
      <c r="B13" s="59" t="inlineStr">
        <is>
          <t>CANOPY-83</t>
        </is>
      </c>
      <c r="C13" s="46" t="inlineStr">
        <is>
          <t>CANOPY-83</t>
        </is>
      </c>
      <c r="D13" s="47" t="n"/>
      <c r="E13" s="47" t="n">
        <v>230.61</v>
      </c>
      <c r="F13" s="48" t="n"/>
      <c r="G13" s="48" t="n"/>
      <c r="H13" s="48" t="n"/>
      <c r="I13" s="48" t="n"/>
      <c r="J13" s="48" t="n">
        <v>176.29</v>
      </c>
      <c r="K13" s="58" t="n"/>
      <c r="L13" s="48" t="n">
        <v>123.12</v>
      </c>
      <c r="M13" s="48" t="n">
        <v>57.56</v>
      </c>
      <c r="N13" s="48" t="n">
        <v>230.61</v>
      </c>
      <c r="O13" s="48" t="n"/>
      <c r="P13" s="48" t="n"/>
      <c r="Q13" s="58" t="n"/>
      <c r="R13" s="44" t="inlineStr">
        <is>
          <t>CLOSED</t>
        </is>
      </c>
      <c r="S13" s="65" t="inlineStr">
        <is>
          <t>ecd9ed69f3bcb5e6</t>
        </is>
      </c>
      <c r="T13" s="62" t="inlineStr">
        <is>
          <t>A04.01 → A02.01 → D/A09.22 → F/A09.22 → A09.01 → A09.02 → A09.21 → 3/A09.26 → 7/A09.26 → 15/A09.27 → 16/A09.27 → 10/A09.33 → 7/S5.20</t>
        </is>
      </c>
    </row>
    <row r="14" ht="21.75" customHeight="1" s="36">
      <c r="A14" s="59" t="inlineStr">
        <is>
          <t>CANOPY</t>
        </is>
      </c>
      <c r="B14" s="59" t="inlineStr">
        <is>
          <t>CANOPY-84</t>
        </is>
      </c>
      <c r="C14" s="46" t="inlineStr">
        <is>
          <t>CANOPY-84</t>
        </is>
      </c>
      <c r="D14" s="47" t="n"/>
      <c r="E14" s="47" t="n">
        <v>118.52</v>
      </c>
      <c r="F14" s="48" t="n"/>
      <c r="G14" s="48" t="n"/>
      <c r="H14" s="48" t="n"/>
      <c r="I14" s="48" t="n"/>
      <c r="J14" s="48" t="n">
        <v>91.27</v>
      </c>
      <c r="K14" s="58" t="n"/>
      <c r="L14" s="48" t="n">
        <v>101.02</v>
      </c>
      <c r="M14" s="48" t="n"/>
      <c r="N14" s="48" t="n">
        <v>118.52</v>
      </c>
      <c r="O14" s="48" t="n"/>
      <c r="P14" s="48" t="n"/>
      <c r="Q14" s="58" t="n"/>
      <c r="R14" s="44" t="inlineStr">
        <is>
          <t>CLOSED</t>
        </is>
      </c>
      <c r="S14" s="65" t="inlineStr">
        <is>
          <t>82e1ba339408e9f8</t>
        </is>
      </c>
      <c r="T14" s="62" t="inlineStr">
        <is>
          <t>A04.01 → A02.01 → D/A09.22 → F/A09.22 → A09.01 → A09.02 → A09.21 → 3/A09.26 → 7/A09.26 → 15/A09.27 → 16/A09.27 → 10/A09.33 → 7/S5.20</t>
        </is>
      </c>
    </row>
    <row r="15" ht="21.75" customHeight="1" s="36">
      <c r="A15" s="59" t="inlineStr">
        <is>
          <t>CANOPY</t>
        </is>
      </c>
      <c r="B15" s="59" t="inlineStr">
        <is>
          <t>CANOPY-85</t>
        </is>
      </c>
      <c r="C15" s="46" t="inlineStr">
        <is>
          <t>CANOPY-85</t>
        </is>
      </c>
      <c r="D15" s="47" t="n"/>
      <c r="E15" s="47" t="n">
        <v>383.28</v>
      </c>
      <c r="F15" s="48" t="n"/>
      <c r="G15" s="48" t="n"/>
      <c r="H15" s="48" t="n"/>
      <c r="I15" s="48" t="n"/>
      <c r="J15" s="48" t="n">
        <v>288.92</v>
      </c>
      <c r="K15" s="58" t="n"/>
      <c r="L15" s="48" t="n">
        <v>411.24</v>
      </c>
      <c r="M15" s="48" t="n"/>
      <c r="N15" s="48" t="n">
        <v>383.28</v>
      </c>
      <c r="O15" s="48" t="n"/>
      <c r="P15" s="48" t="n"/>
      <c r="Q15" s="58" t="n"/>
      <c r="R15" s="44" t="inlineStr">
        <is>
          <t>CLOSED</t>
        </is>
      </c>
      <c r="S15" s="65" t="inlineStr">
        <is>
          <t>6337f0fad40bbc4c</t>
        </is>
      </c>
      <c r="T15" s="62" t="inlineStr">
        <is>
          <t>A04.01 → A02.01 → 1/A09.01 → 2/A09.02 → D/A09.22 → F/A09.22 → A09.21 → 3/A09.26 → 7/A09.26 → 15/A09.27 → 16/A09.27 → 7/S5.20</t>
        </is>
      </c>
    </row>
    <row r="16" ht="15" customHeight="1" s="36">
      <c r="A16" s="63" t="n"/>
      <c r="B16" s="63" t="n"/>
      <c r="C16" s="63" t="inlineStr">
        <is>
          <t>TOTAL</t>
        </is>
      </c>
      <c r="D16" s="64" t="n">
        <v>0</v>
      </c>
      <c r="E16" s="64" t="n">
        <v>2768.32</v>
      </c>
      <c r="F16" s="64" t="n">
        <v>999.9400000000001</v>
      </c>
      <c r="G16" s="64" t="n">
        <v>719.21</v>
      </c>
      <c r="H16" s="64" t="n">
        <v>239.74</v>
      </c>
      <c r="I16" s="64" t="n">
        <v>316.26</v>
      </c>
      <c r="J16" s="64" t="n">
        <v>1340.39</v>
      </c>
      <c r="K16" s="64" t="n">
        <v>26</v>
      </c>
      <c r="L16" s="64" t="n">
        <v>884.17</v>
      </c>
      <c r="M16" s="64" t="n">
        <v>302.06</v>
      </c>
      <c r="N16" s="64" t="n">
        <v>1768.38</v>
      </c>
      <c r="O16" s="64" t="n">
        <v>42.86</v>
      </c>
      <c r="P16" s="64" t="n">
        <v>12.01</v>
      </c>
      <c r="Q16" s="64" t="n">
        <v>1</v>
      </c>
      <c r="R16" s="63" t="n"/>
      <c r="S16" s="6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8" min="1" max="1"/>
    <col width="20" customWidth="1" style="38" min="2" max="2"/>
    <col width="46" customWidth="1" style="38" min="3" max="3"/>
    <col width="40" customWidth="1" style="38" min="4" max="4"/>
    <col width="12" customWidth="1" style="38" min="5" max="5"/>
    <col width="8" customWidth="1" style="38" min="6" max="6"/>
    <col width="20" customWidth="1" style="38" min="7" max="7"/>
  </cols>
  <sheetData>
    <row r="1" ht="15.75" customHeight="1" s="36">
      <c r="A1" s="41" t="inlineStr">
        <is>
          <t>SCOPE THAT IS NOT A PARTITION - MEP penetrations, recessed fixture openings, misc</t>
        </is>
      </c>
    </row>
    <row r="2" ht="15" customHeight="1" s="36">
      <c r="A2" s="42" t="inlineStr">
        <is>
          <t>Ground-up job: there is no Demolition Plan, so an MEP penetration is a FRAMED OPENING, not a patch. Every penetration was measured on its own - the 1/4-sheet threshold is never cumulative.</t>
        </is>
      </c>
    </row>
    <row r="4" ht="33.75" customHeight="1" s="36">
      <c r="A4" s="54" t="inlineStr">
        <is>
          <t>Group</t>
        </is>
      </c>
      <c r="B4" s="54" t="inlineStr">
        <is>
          <t>ID</t>
        </is>
      </c>
      <c r="C4" s="54" t="inlineStr">
        <is>
          <t>Description</t>
        </is>
      </c>
      <c r="D4" s="54" t="inlineStr">
        <is>
          <t>Line item</t>
        </is>
      </c>
      <c r="E4" s="54" t="inlineStr">
        <is>
          <t>Qty</t>
        </is>
      </c>
      <c r="F4" s="54" t="inlineStr">
        <is>
          <t>Unit</t>
        </is>
      </c>
      <c r="G4" s="54" t="inlineStr">
        <is>
          <t>Seal</t>
        </is>
      </c>
    </row>
    <row r="5" ht="15" customHeight="1" s="36">
      <c r="A5" s="59" t="inlineStr">
        <is>
          <t>MEP PENETRATIONS</t>
        </is>
      </c>
      <c r="B5" s="59" t="inlineStr">
        <is>
          <t>MEP</t>
        </is>
      </c>
      <c r="C5" s="46" t="inlineStr">
        <is>
          <t>MEP</t>
        </is>
      </c>
      <c r="D5" s="46" t="inlineStr">
        <is>
          <t>DEDUCCION_BOARD_MEP</t>
        </is>
      </c>
      <c r="E5" s="48" t="n">
        <v>38.36</v>
      </c>
      <c r="F5" s="59" t="inlineStr">
        <is>
          <t>SF</t>
        </is>
      </c>
      <c r="G5" s="65" t="inlineStr">
        <is>
          <t>2ee850c5da7659b2</t>
        </is>
      </c>
    </row>
    <row r="6" ht="15" customHeight="1" s="36">
      <c r="A6" s="59" t="inlineStr">
        <is>
          <t>MEP PENETRATIONS</t>
        </is>
      </c>
      <c r="B6" s="59" t="inlineStr">
        <is>
          <t>MEP</t>
        </is>
      </c>
      <c r="C6" s="46" t="inlineStr">
        <is>
          <t>MEP</t>
        </is>
      </c>
      <c r="D6" s="46" t="inlineStr">
        <is>
          <t>FRAMED_OPENING_MEP</t>
        </is>
      </c>
      <c r="E6" s="48" t="n">
        <v>43</v>
      </c>
      <c r="F6" s="59" t="inlineStr">
        <is>
          <t>LF</t>
        </is>
      </c>
      <c r="G6" s="65" t="inlineStr">
        <is>
          <t>2ee850c5da7659b2</t>
        </is>
      </c>
    </row>
    <row r="7" ht="15" customHeight="1" s="36">
      <c r="A7" s="59" t="inlineStr">
        <is>
          <t>MEP PENETRATIONS</t>
        </is>
      </c>
      <c r="B7" s="59" t="inlineStr">
        <is>
          <t>MEP</t>
        </is>
      </c>
      <c r="C7" s="46" t="inlineStr">
        <is>
          <t>MEP</t>
        </is>
      </c>
      <c r="D7" s="46" t="inlineStr">
        <is>
          <t>REFUERZO_STUD_MEP</t>
        </is>
      </c>
      <c r="E7" s="48" t="n">
        <v>18</v>
      </c>
      <c r="F7" s="59" t="inlineStr">
        <is>
          <t>pcs</t>
        </is>
      </c>
      <c r="G7" s="65" t="inlineStr">
        <is>
          <t>2ee850c5da7659b2</t>
        </is>
      </c>
    </row>
    <row r="8" ht="15" customHeight="1" s="36">
      <c r="A8" s="59" t="inlineStr">
        <is>
          <t>RECESSED FIXTURE OPENINGS</t>
        </is>
      </c>
      <c r="B8" s="59" t="inlineStr">
        <is>
          <t>HUECOS</t>
        </is>
      </c>
      <c r="C8" s="46" t="inlineStr">
        <is>
          <t>HUECOS</t>
        </is>
      </c>
      <c r="D8" s="46" t="inlineStr">
        <is>
          <t>FRAMED_OPENING_DIFUSOR</t>
        </is>
      </c>
      <c r="E8" s="48" t="n">
        <v>10.67</v>
      </c>
      <c r="F8" s="59" t="inlineStr">
        <is>
          <t>LF</t>
        </is>
      </c>
      <c r="G8" s="65" t="inlineStr">
        <is>
          <t>7d8caa7409375969</t>
        </is>
      </c>
    </row>
    <row r="9" ht="15" customHeight="1" s="36">
      <c r="A9" s="59" t="inlineStr">
        <is>
          <t>RECESSED FIXTURE OPENINGS</t>
        </is>
      </c>
      <c r="B9" s="59" t="inlineStr">
        <is>
          <t>HUECOS</t>
        </is>
      </c>
      <c r="C9" s="46" t="inlineStr">
        <is>
          <t>HUECOS</t>
        </is>
      </c>
      <c r="D9" s="46" t="inlineStr">
        <is>
          <t>FRAMED_OPENING_RANURA</t>
        </is>
      </c>
      <c r="E9" s="48" t="n">
        <v>112</v>
      </c>
      <c r="F9" s="59" t="inlineStr">
        <is>
          <t>LF</t>
        </is>
      </c>
      <c r="G9" s="65" t="inlineStr">
        <is>
          <t>7d8caa7409375969</t>
        </is>
      </c>
    </row>
    <row r="10" ht="15" customHeight="1" s="36">
      <c r="A10" s="59" t="inlineStr">
        <is>
          <t>RECESSED FIXTURE OPENINGS</t>
        </is>
      </c>
      <c r="B10" s="59" t="inlineStr">
        <is>
          <t>HUECOS</t>
        </is>
      </c>
      <c r="C10" s="46" t="inlineStr">
        <is>
          <t>HUECOS</t>
        </is>
      </c>
      <c r="D10" s="46" t="inlineStr">
        <is>
          <t>GYPSUM_EDGE_TRIM</t>
        </is>
      </c>
      <c r="E10" s="48" t="n">
        <v>122.67</v>
      </c>
      <c r="F10" s="59" t="inlineStr">
        <is>
          <t>LF</t>
        </is>
      </c>
      <c r="G10" s="65" t="inlineStr">
        <is>
          <t>7d8caa7409375969</t>
        </is>
      </c>
    </row>
    <row r="11" ht="21.75" customHeight="1" s="36">
      <c r="A11" s="59" t="inlineStr">
        <is>
          <t>RECESSED FIXTURE OPENINGS</t>
        </is>
      </c>
      <c r="B11" s="59" t="inlineStr">
        <is>
          <t>HUECOS</t>
        </is>
      </c>
      <c r="C11" s="46" t="inlineStr">
        <is>
          <t>HUECOS</t>
        </is>
      </c>
      <c r="D11" s="46" t="inlineStr">
        <is>
          <t>RETORNO_BOARD_RANURA</t>
        </is>
      </c>
      <c r="E11" s="66" t="inlineStr">
        <is>
          <t>PENDING</t>
        </is>
      </c>
      <c r="F11" s="59" t="inlineStr">
        <is>
          <t>LF</t>
        </is>
      </c>
      <c r="G11" s="62" t="inlineStr">
        <is>
          <t>no cuantificado - ver Pending Items</t>
        </is>
      </c>
    </row>
    <row r="12" ht="23.25" customHeight="1" s="36">
      <c r="A12" s="59" t="inlineStr">
        <is>
          <t>MISC SCOPE</t>
        </is>
      </c>
      <c r="B12" s="59" t="inlineStr">
        <is>
          <t>LADDER-90</t>
        </is>
      </c>
      <c r="C12" s="46" t="inlineStr">
        <is>
          <t>JANITOR CLOSET 112 (el marcador del key note 9 de A04.01 cae dentro del cuarto, en pt 960, 1541)</t>
        </is>
      </c>
      <c r="D12" s="46" t="inlineStr">
        <is>
          <t>BLOCKING_2X_FRT</t>
        </is>
      </c>
      <c r="E12" s="48" t="n">
        <v>6</v>
      </c>
      <c r="F12" s="59" t="inlineStr">
        <is>
          <t>LF</t>
        </is>
      </c>
      <c r="G12" s="65" t="inlineStr">
        <is>
          <t>288a5526f7319968</t>
        </is>
      </c>
    </row>
    <row r="13" ht="15" customHeight="1" s="36">
      <c r="A13" s="59" t="inlineStr">
        <is>
          <t>MISC SCOPE</t>
        </is>
      </c>
      <c r="B13" s="59" t="inlineStr">
        <is>
          <t>WR-92</t>
        </is>
      </c>
      <c r="C13" s="46" t="inlineStr">
        <is>
          <t>WR-92</t>
        </is>
      </c>
      <c r="D13" s="46" t="inlineStr">
        <is>
          <t>BOARD_REGULAR_A_RESTAR</t>
        </is>
      </c>
      <c r="E13" s="48" t="n">
        <v>100.8</v>
      </c>
      <c r="F13" s="59" t="inlineStr">
        <is>
          <t>SF</t>
        </is>
      </c>
      <c r="G13" s="65" t="inlineStr">
        <is>
          <t>289e8bf1446af7d4</t>
        </is>
      </c>
    </row>
    <row r="14" ht="15" customHeight="1" s="36">
      <c r="A14" s="59" t="inlineStr">
        <is>
          <t>MISC SCOPE</t>
        </is>
      </c>
      <c r="B14" s="59" t="inlineStr">
        <is>
          <t>WR-92</t>
        </is>
      </c>
      <c r="C14" s="46" t="inlineStr">
        <is>
          <t>WR-92</t>
        </is>
      </c>
      <c r="D14" s="46" t="inlineStr">
        <is>
          <t>BOARD_WR</t>
        </is>
      </c>
      <c r="E14" s="48" t="n">
        <v>100.8</v>
      </c>
      <c r="F14" s="59" t="inlineStr">
        <is>
          <t>SF</t>
        </is>
      </c>
      <c r="G14" s="65" t="inlineStr">
        <is>
          <t>289e8bf1446af7d4</t>
        </is>
      </c>
    </row>
    <row r="15" ht="23.25" customHeight="1" s="36">
      <c r="A15" s="59" t="inlineStr">
        <is>
          <t>MISC SCOPE</t>
        </is>
      </c>
      <c r="B15" s="59" t="inlineStr">
        <is>
          <t>PURLIN-97</t>
        </is>
      </c>
      <c r="C15" s="46" t="inlineStr">
        <is>
          <t>Every wall running EAST-WEST that goes up to the deck: 21 walls, 189.08 LF de top track.</t>
        </is>
      </c>
      <c r="D15" s="46" t="inlineStr">
        <is>
          <t>PURLIN_1X1X1_16GA</t>
        </is>
      </c>
      <c r="E15" s="48" t="n">
        <v>141.81</v>
      </c>
      <c r="F15" s="59" t="inlineStr">
        <is>
          <t>LF</t>
        </is>
      </c>
      <c r="G15" s="65" t="inlineStr">
        <is>
          <t>3c1e4b6e392a0e8b</t>
        </is>
      </c>
    </row>
    <row r="16" ht="57" customHeight="1" s="36">
      <c r="A16" s="59" t="inlineStr">
        <is>
          <t>WET AREAS</t>
        </is>
      </c>
      <c r="B16" s="59" t="inlineStr">
        <is>
          <t>HUMEDA-93</t>
        </is>
      </c>
      <c r="C16" s="46" t="inlineStr">
        <is>
          <t>JANITOR CLOSET 112, corner. El marcador del key note 6 del FINISH PLAN cae dentro del cuarto (pt 965.4, 1534.0) y su linea guia apunta al oeste, a pt x=913.7, que es la face interior del wall exterior oeste (x=911.88): el mop sink va en la esquina contra esa face.</t>
        </is>
      </c>
      <c r="D16" s="46" t="inlineStr">
        <is>
          <t>PVC INSIDE CORNER TRIM MOLDING</t>
        </is>
      </c>
      <c r="E16" s="48" t="n">
        <v>4</v>
      </c>
      <c r="F16" s="59" t="inlineStr">
        <is>
          <t>LF</t>
        </is>
      </c>
      <c r="G16" s="65" t="inlineStr">
        <is>
          <t>dbf3f948b58f6fc7</t>
        </is>
      </c>
    </row>
    <row r="17" ht="57" customHeight="1" s="36">
      <c r="A17" s="59" t="inlineStr">
        <is>
          <t>WET AREAS</t>
        </is>
      </c>
      <c r="B17" s="59" t="inlineStr">
        <is>
          <t>HUMEDA-93</t>
        </is>
      </c>
      <c r="C17" s="46" t="inlineStr">
        <is>
          <t>JANITOR CLOSET 112, corner. El marcador del key note 6 del FINISH PLAN cae dentro del cuarto (pt 965.4, 1534.0) y su linea guia apunta al oeste, a pt x=913.7, que es la face interior del wall exterior oeste (x=911.88): el mop sink va en la esquina contra esa face.</t>
        </is>
      </c>
      <c r="D17" s="46" t="inlineStr">
        <is>
          <t>CLEAR SEALANT</t>
        </is>
      </c>
      <c r="E17" s="66" t="inlineStr">
        <is>
          <t>PENDING</t>
        </is>
      </c>
      <c r="F17" s="59" t="inlineStr">
        <is>
          <t>LF</t>
        </is>
      </c>
      <c r="G17" s="62" t="inlineStr">
        <is>
          <t>no cuantificado - ver Pending Items</t>
        </is>
      </c>
    </row>
    <row r="18" ht="57" customHeight="1" s="36">
      <c r="A18" s="59" t="inlineStr">
        <is>
          <t>WET AREAS</t>
        </is>
      </c>
      <c r="B18" s="59" t="inlineStr">
        <is>
          <t>HUMEDA-93</t>
        </is>
      </c>
      <c r="C18" s="46" t="inlineStr">
        <is>
          <t>JANITOR CLOSET 112, corner. El marcador del key note 6 del FINISH PLAN cae dentro del cuarto (pt 965.4, 1534.0) y su linea guia apunta al oeste, a pt x=913.7, que es la face interior del wall exterior oeste (x=911.88): el mop sink va en la esquina contra esa face.</t>
        </is>
      </c>
      <c r="D18" s="46" t="inlineStr">
        <is>
          <t>FRP WC-3</t>
        </is>
      </c>
      <c r="E18" s="66" t="inlineStr">
        <is>
          <t>PENDING</t>
        </is>
      </c>
      <c r="F18" s="59" t="inlineStr">
        <is>
          <t>SF</t>
        </is>
      </c>
      <c r="G18" s="62" t="inlineStr">
        <is>
          <t>no cuantificado - ver Pending Items</t>
        </is>
      </c>
    </row>
    <row r="19" ht="57" customHeight="1" s="36">
      <c r="A19" s="59" t="inlineStr">
        <is>
          <t>WET AREAS</t>
        </is>
      </c>
      <c r="B19" s="59" t="inlineStr">
        <is>
          <t>HUMEDA-93</t>
        </is>
      </c>
      <c r="C19" s="46" t="inlineStr">
        <is>
          <t>JANITOR CLOSET 112, corner. El marcador del key note 6 del FINISH PLAN cae dentro del cuarto (pt 965.4, 1534.0) y su linea guia apunta al oeste, a pt x=913.7, que es la face interior del wall exterior oeste (x=911.88): el mop sink va en la esquina contra esa face.</t>
        </is>
      </c>
      <c r="D19" s="46" t="inlineStr">
        <is>
          <t>PVC EDGE TRIM MOLDING</t>
        </is>
      </c>
      <c r="E19" s="66" t="inlineStr">
        <is>
          <t>PENDING</t>
        </is>
      </c>
      <c r="F19" s="59" t="inlineStr">
        <is>
          <t>LF</t>
        </is>
      </c>
      <c r="G19" s="62" t="inlineStr">
        <is>
          <t>no cuantificado - ver Pending Items</t>
        </is>
      </c>
    </row>
    <row r="20" ht="23.25" customHeight="1" s="36">
      <c r="A20" s="59" t="inlineStr">
        <is>
          <t>WET AREAS</t>
        </is>
      </c>
      <c r="B20" s="59" t="inlineStr">
        <is>
          <t>HUMEDA-94</t>
        </is>
      </c>
      <c r="C20" s="46" t="inlineStr">
        <is>
          <t>INSIDE face of the west exterior wall (#63) at the restroom runs 113 y 114 -- la wall de los inodoros</t>
        </is>
      </c>
      <c r="D20" s="46" t="inlineStr">
        <is>
          <t>BOARD_REGULAR_A_RESTAR</t>
        </is>
      </c>
      <c r="E20" s="48" t="n">
        <v>112.94</v>
      </c>
      <c r="F20" s="59" t="inlineStr">
        <is>
          <t>SF</t>
        </is>
      </c>
      <c r="G20" s="65" t="inlineStr">
        <is>
          <t>f075a0d59055f329</t>
        </is>
      </c>
    </row>
    <row r="21" ht="23.25" customHeight="1" s="36">
      <c r="A21" s="59" t="inlineStr">
        <is>
          <t>WET AREAS</t>
        </is>
      </c>
      <c r="B21" s="59" t="inlineStr">
        <is>
          <t>HUMEDA-94</t>
        </is>
      </c>
      <c r="C21" s="46" t="inlineStr">
        <is>
          <t>INSIDE face of the west exterior wall (#63) at the restroom runs 113 y 114 -- la wall de los inodoros</t>
        </is>
      </c>
      <c r="D21" s="46" t="inlineStr">
        <is>
          <t>BOARD_WR</t>
        </is>
      </c>
      <c r="E21" s="48" t="n">
        <v>112.94</v>
      </c>
      <c r="F21" s="59" t="inlineStr">
        <is>
          <t>SF</t>
        </is>
      </c>
      <c r="G21" s="65" t="inlineStr">
        <is>
          <t>f075a0d59055f329</t>
        </is>
      </c>
    </row>
    <row r="22" ht="15" customHeight="1" s="36">
      <c r="A22" s="59" t="inlineStr">
        <is>
          <t>MILLWORK BLOCKING</t>
        </is>
      </c>
      <c r="B22" s="59" t="inlineStr">
        <is>
          <t>MWBLK-MW11</t>
        </is>
      </c>
      <c r="C22" s="46" t="inlineStr">
        <is>
          <t>CASH WINDOW 116</t>
        </is>
      </c>
      <c r="D22" s="46" t="inlineStr">
        <is>
          <t>BLOCKING</t>
        </is>
      </c>
      <c r="E22" s="48" t="n">
        <v>13.5</v>
      </c>
      <c r="F22" s="59" t="inlineStr">
        <is>
          <t>LF</t>
        </is>
      </c>
      <c r="G22" s="65" t="inlineStr">
        <is>
          <t>c919275b7d9ef7ac</t>
        </is>
      </c>
    </row>
    <row r="23" ht="15" customHeight="1" s="36">
      <c r="A23" s="59" t="inlineStr">
        <is>
          <t>MILLWORK BLOCKING</t>
        </is>
      </c>
      <c r="B23" s="59" t="inlineStr">
        <is>
          <t>MWBLK-MW06A-2</t>
        </is>
      </c>
      <c r="C23" s="46" t="inlineStr">
        <is>
          <t>JANITOR CLOSET 112 (east side)</t>
        </is>
      </c>
      <c r="D23" s="46" t="inlineStr">
        <is>
          <t>BLOCKING</t>
        </is>
      </c>
      <c r="E23" s="48" t="n">
        <v>8.220000000000001</v>
      </c>
      <c r="F23" s="59" t="inlineStr">
        <is>
          <t>LF</t>
        </is>
      </c>
      <c r="G23" s="65" t="inlineStr">
        <is>
          <t>7558a389c353d1a6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P6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38" min="1" max="1"/>
    <col width="8" customWidth="1" style="38" min="2" max="2"/>
    <col width="13" customWidth="1" style="38" min="3" max="3"/>
    <col width="10" customWidth="1" style="38" min="4" max="4"/>
    <col width="12" customWidth="1" style="38" min="5" max="5"/>
    <col width="13" customWidth="1" style="38" min="6" max="6"/>
    <col width="22" customWidth="1" style="38" min="7" max="7"/>
    <col width="13" customWidth="1" style="38" min="8" max="8"/>
    <col width="62" customWidth="1" style="38" min="9" max="9"/>
  </cols>
  <sheetData>
    <row r="1" ht="15.75" customHeight="1" s="36">
      <c r="A1" s="41" t="inlineStr">
        <is>
          <t>MATERIAL SUMMARY v8 (reference v7 + user decisions W1-W2 + plan decisions of arbitration #26, 2026-10-21) - NET / WASTE / PURCHASE</t>
        </is>
      </c>
    </row>
    <row r="2" ht="15" customHeight="1" s="36">
      <c r="A2" s="42" t="inlineStr">
        <is>
          <t>Waste in its own column (metal 15%, everything else 6%). Purchase = Net + Waste, recalculated in EVERY row (v3 had stale Waste/Purchase cells on several rows). Yellow = changed vs v3; see CAMBIOS v4.</t>
        </is>
      </c>
    </row>
    <row r="4" ht="33.75" customHeight="1" s="36">
      <c r="A4" s="54" t="inlineStr">
        <is>
          <t>Material</t>
        </is>
      </c>
      <c r="B4" s="54" t="inlineStr">
        <is>
          <t>Unit</t>
        </is>
      </c>
      <c r="C4" s="54" t="inlineStr">
        <is>
          <t>Net</t>
        </is>
      </c>
      <c r="D4" s="54" t="inlineStr">
        <is>
          <t>Waste %</t>
        </is>
      </c>
      <c r="E4" s="54" t="inlineStr">
        <is>
          <t>Waste</t>
        </is>
      </c>
      <c r="F4" s="54" t="inlineStr">
        <is>
          <t>Purchase</t>
        </is>
      </c>
      <c r="G4" s="54" t="inlineStr">
        <is>
          <t>Selling unit</t>
        </is>
      </c>
      <c r="H4" s="54" t="inlineStr">
        <is>
          <t>Pieces to buy</t>
        </is>
      </c>
      <c r="I4" s="54" t="inlineStr">
        <is>
          <t>Where it comes from</t>
        </is>
      </c>
      <c r="J4" s="67" t="inlineStr">
        <is>
          <t>Status v4</t>
        </is>
      </c>
      <c r="K4" s="67" t="inlineStr">
        <is>
          <t>Min</t>
        </is>
      </c>
      <c r="L4" s="67" t="inlineStr">
        <is>
          <t>Max</t>
        </is>
      </c>
      <c r="M4" s="67" t="inlineStr">
        <is>
          <t>Sheet + detail (v4)</t>
        </is>
      </c>
      <c r="N4" s="38" t="inlineStr">
        <is>
          <t>v5 change (D1-D6)</t>
        </is>
      </c>
      <c r="O4" s="38" t="inlineStr">
        <is>
          <t>v7 change (arbitration #25c)</t>
        </is>
      </c>
      <c r="P4" t="inlineStr">
        <is>
          <t>v8 change (arbitration #26)</t>
        </is>
      </c>
    </row>
    <row r="5" ht="15" customHeight="1" s="36">
      <c r="A5" s="55" t="inlineStr">
        <is>
          <t>METAL FRAMING</t>
        </is>
      </c>
      <c r="B5" s="56" t="n"/>
      <c r="C5" s="56" t="n"/>
      <c r="D5" s="56" t="n"/>
      <c r="E5" s="56" t="n"/>
      <c r="F5" s="56" t="n"/>
      <c r="G5" s="56" t="n"/>
      <c r="H5" s="56" t="n"/>
      <c r="I5" s="56" t="n"/>
    </row>
    <row r="6" ht="21.75" customHeight="1" s="36">
      <c r="A6" s="108" t="inlineStr">
        <is>
          <t>6" metal stud 600S137-33 / -68 (LF of material)</t>
        </is>
      </c>
      <c r="B6" s="112" t="inlineStr">
        <is>
          <t>LF</t>
        </is>
      </c>
      <c r="C6" s="115" t="n">
        <v>4481.67</v>
      </c>
      <c r="D6" s="119" t="n">
        <v>0.15</v>
      </c>
      <c r="E6" s="114">
        <f>C6*D6</f>
        <v/>
      </c>
      <c r="F6" s="120">
        <f>C6+E6</f>
        <v/>
      </c>
      <c r="G6" s="112" t="inlineStr">
        <is>
          <t>stick 20 ft</t>
        </is>
      </c>
      <c r="H6" s="109">
        <f>ROUNDUP(F6/20,0)</f>
        <v/>
      </c>
      <c r="I6" s="116" t="inlineStr">
        <is>
          <t>Carried option = S1.11 note 5 (exterior studs 600S162-54, corners @12", more material per 53.3); the row name is kept as v3 but the 3,274.49 LF exterior part is 600S162-54 (54 mil) under this option, the 1,250.98 interior part stays 600S137-33/-68. Change vs v3 (-961.1 LF): (1) v3 ran exterior studs to B.O.D.; 10/S5.10 stops them at the deflection track under the perimeter beam (-302.1 LF on the 7/S5.20 basis); (2) v3 counted window cripples as full-height studs and used outer-face lengths (E 132 pcs x 14.52 ft) - with 53.2 counting at real length (-792.0 LF on 7/S5.20 basis, includes +150.8 LF of cripples above the storefronts that v3 did not carry at all, see A/A09.21 6" CFMF above storefront); (3) S1.11 corners +133.0 LF. Reconciliation (7/S5.20 basis): v3 exterior 4,235.58 -&gt; 3,443.55 at B.O.D. heights with 53.2 count -&gt; 3,141.46 under beam. Interior 6" walls (1,250.98) not re-measured.</t>
        </is>
      </c>
      <c r="J6" s="107" t="inlineStr">
        <is>
          <t>RFI</t>
        </is>
      </c>
      <c r="K6" s="107" t="n">
        <v>4348.64</v>
      </c>
      <c r="L6" s="107" t="n">
        <v>4481.67</v>
      </c>
      <c r="M6" s="107" t="inlineStr">
        <is>
          <t>A02.01 (exterior outline, 5 building corners) -&gt; A/A09.21, 2/A09.26 (6" CFMF to deck incl. above storefront) -&gt; 10/S5.10 + 6/S5.10 (studs stop at DEFLECTION TRACK under PERIMETER BEAM) -&gt; S2.20 (perimeter beam sizes, B.O.D. 15'-4 1/2" / 13'-0 5/8" / 12'-6 3/8", HSS9x5x5/8 lintels T.O.S. 9'-4 1/2") -&gt; S1.11 LIGHT GAUGE note 5 vs 7/S5.20 METAL STUD PROPERTIES; interior A5/B2/B2K: A02.01 -&gt; 1,3,4/A12.01 (v3 rows, not re-measured)</t>
        </is>
      </c>
      <c r="N6" s="118" t="inlineStr">
        <is>
          <t>D1: the ATM wall studs (338.47 LF) move to the extra framing ATM row; the wall is counted once</t>
        </is>
      </c>
      <c r="O6" s="118" t="inlineStr">
        <is>
          <t>U5 + U6: B2K #31 +0 pcs x 15.375 + EXT-6CFMF #60 -2 pcs x 15.375 = -30.75</t>
        </is>
      </c>
      <c r="P6" s="118" t="inlineStr">
        <is>
          <t>R77.10 A5: A5 #14 +0 pcs x 15.375 + A5 #15 +0 pcs x 15.375 + A5 #16 -1 pcs x 13.052 + A5 #17 +0 pcs x 12.927 = -13.05</t>
        </is>
      </c>
    </row>
    <row r="7" ht="53.25" customHeight="1" s="36">
      <c r="A7" s="108" t="inlineStr">
        <is>
          <t>6" parapet infill stud 600S162-54 @ 16" O.C. (LF of material)</t>
        </is>
      </c>
      <c r="B7" s="112" t="inlineStr">
        <is>
          <t>LF</t>
        </is>
      </c>
      <c r="C7" s="115" t="n">
        <v>993.11</v>
      </c>
      <c r="D7" s="119" t="n">
        <v>0.15</v>
      </c>
      <c r="E7" s="114">
        <f>C7*D7</f>
        <v/>
      </c>
      <c r="F7" s="120">
        <f>C7+E7</f>
        <v/>
      </c>
      <c r="G7" s="112" t="inlineStr">
        <is>
          <t>stick 20 ft</t>
        </is>
      </c>
      <c r="H7" s="109">
        <f>ROUNDUP(F7/20,0)</f>
        <v/>
      </c>
      <c r="I7" s="116" t="inlineStr">
        <is>
          <t>Same method as arb5/arb6 (bay by bay, 5 studs per 5-ft bay, average height on the sloped deck); the +29.7 LF is ROUNDUP of bays per straight run (53.2) on the vector centerline runs, incl. the key note 10 stub. Min 945.9 = 1 stud per LF x LF-weighted height (no rounding); max 1,041.6 = bays split again at every height change. Arb5 value 967.5 is inside the range; no new drawing evidence against it, only the counting rule.</t>
        </is>
      </c>
      <c r="J7" s="107" t="inlineStr">
        <is>
          <t>DERIVADO</t>
        </is>
      </c>
      <c r="K7" s="107" t="n">
        <v>941.8200000000001</v>
      </c>
      <c r="L7" s="107" t="n">
        <v>1037.52</v>
      </c>
      <c r="M7" s="107" t="inlineStr">
        <is>
          <t>A02.02 roof plan (parapet outline + key note 10 stub) -&gt; 10/S5.10, 6/S5.10 (HSS 5x5x1/4 posts @5'-0" max, REF 11/S5.10) -&gt; 11/S5.10 PARAPET INFILL FRAMING ("ONE STUD EA. SIDE OF EA. POST", "600S162-54 @ 16" W/ 600T125-54 TOP &amp; BOT.") -&gt; heights C/A09.21 T/STUD LP 17'-5", A/A09.21 T/STUD HP 19'-8", S2.20 B.O.D.</t>
        </is>
      </c>
      <c r="N7" s="118" t="n"/>
      <c r="O7" s="118" t="n"/>
      <c r="P7" s="118" t="inlineStr">
        <is>
          <t>W2: #160 -2 pcs x 2.042 = -4.08</t>
        </is>
      </c>
    </row>
    <row r="8" ht="21.75" customHeight="1" s="36">
      <c r="A8" s="94" t="inlineStr">
        <is>
          <t>3-5/8" metal stud 362S137-33 / -68 (LF of material)</t>
        </is>
      </c>
      <c r="B8" s="98" t="inlineStr">
        <is>
          <t>LF</t>
        </is>
      </c>
      <c r="C8" s="101" t="n">
        <v>6585.23</v>
      </c>
      <c r="D8" s="105" t="n">
        <v>0.15</v>
      </c>
      <c r="E8" s="100">
        <f>C8*D8</f>
        <v/>
      </c>
      <c r="F8" s="106">
        <f>C8+E8</f>
        <v/>
      </c>
      <c r="G8" s="98" t="inlineStr">
        <is>
          <t>stick 20 ft</t>
        </is>
      </c>
      <c r="H8" s="95">
        <f>ROUNDUP(F8/20,0)</f>
        <v/>
      </c>
      <c r="I8" s="102" t="inlineStr">
        <is>
          <t>v3 4,928.59 omitted roof step, vestibule heads and the fountain alcove; carried C1 at ceiling heights (9-11.5 ft) and the chase faces at 5.6 LF; B walls lacked the +1 end stud. Cripples above doors now at real length (v3 counted them full height). Result inside arbitration #5 range 5,400-6,050. | COORDINATOR: adds south canopy framing and transition kickers that no group/v3 carried</t>
        </is>
      </c>
      <c r="J8" s="93" t="inlineStr">
        <is>
          <t>CRITERIO</t>
        </is>
      </c>
      <c r="K8" s="93" t="n">
        <v>6506.94</v>
      </c>
      <c r="L8" s="93" t="n">
        <v>6626.69</v>
      </c>
      <c r="M8" s="93" t="inlineStr">
        <is>
          <t>A02.01 -&gt; 3/A12.01 (A1) -&gt; 4/A12.01 (A1K 14 GA @ 24") -&gt; 1/A12.01 (B) -&gt; 6/A12.01 (C1) -&gt; 12/A12.01 (F) -&gt; S2.20 (B.O.D.) -&gt; 9/S5.20 + 7/S5.20; 4/A02.02 roof step; 4-7/A12.10 + 3/A12.10 vestibule heads; 1,3/A08.21 coiling grille C1 boxes; 5/A09.25 canopy column wraps; 4,5/A09.33 + 7/A09.26 + 15,16/A09.27 canopy soffit (v3 Ceilings &amp; Soffits) ; F/A09.22 -&gt; 7/A09.26 ; 7/A09.33</t>
        </is>
      </c>
      <c r="N8" s="104" t="n"/>
      <c r="O8" s="104" t="inlineStr">
        <is>
          <t>U7 (user): 3-5/8" stud family = 6,690 LF (studs @ O.C. + 1 + extras at L corners and T intersections, as the blind tests count them): row = 6690.00 - CSR soffit row 104.77 = 6585.23</t>
        </is>
      </c>
    </row>
    <row r="9" ht="21.75" customHeight="1" s="36">
      <c r="A9" s="94" t="inlineStr">
        <is>
          <t>1-5/8" metal stud (LF of material)</t>
        </is>
      </c>
      <c r="B9" s="98" t="inlineStr">
        <is>
          <t>LF</t>
        </is>
      </c>
      <c r="C9" s="101" t="n">
        <v>3981.6</v>
      </c>
      <c r="D9" s="105" t="n">
        <v>0.15</v>
      </c>
      <c r="E9" s="100">
        <f>C9*D9</f>
        <v/>
      </c>
      <c r="F9" s="106">
        <f>C9+E9</f>
        <v/>
      </c>
      <c r="G9" s="98" t="inlineStr">
        <is>
          <t>stick 20 ft</t>
        </is>
      </c>
      <c r="H9" s="95">
        <f>ROUNDUP(F9/20,0)</f>
        <v/>
      </c>
      <c r="I9" s="102" t="inlineStr">
        <is>
          <t>v3 4,547.72 carried 6-10 unexplained extra studs on several G/G1 walls (e.g. #46, #52, #50 30 studs on 11.77 LF) and treated the bulkheads as one continuous 30/15 LF run with 64/32 studs; rule 53.2 gives 22 per 11.77 LF G wall and 14 per bulkhead segment. Wall LF unchanged (v3 holds on G/G1 lengths).</t>
        </is>
      </c>
      <c r="J9" s="93" t="inlineStr">
        <is>
          <t>RFI</t>
        </is>
      </c>
      <c r="K9" s="93" t="n">
        <v>3865.49</v>
      </c>
      <c r="L9" s="93" t="n">
        <v>3983.2</v>
      </c>
      <c r="M9" s="93" t="inlineStr">
        <is>
          <t>A02.01 -&gt; 5/A12.01 (G, G1 1 5/8", double row, wall 6 1/8" / 8") -&gt; 8,9/A12.01 office bulkhead (double row METAL STUD above CONT. BOX BEAM to underside of structure) -&gt; A00.30 (DFC-1A 7'-10") -&gt; S2.20</t>
        </is>
      </c>
      <c r="N9" s="104" t="n"/>
      <c r="O9" s="104" t="inlineStr">
        <is>
          <t>U1 + U3 + U4: G #48 +2 pcs x 15.375 + G #52 +2 pcs x 15.375 + G1 #51 +0 pcs x 15.375 + G1 #53 +0 pcs x 15.375 + U1: AD of G / G1 rows 60.0 = +121.5</t>
        </is>
      </c>
    </row>
    <row r="10" ht="21.75" customHeight="1" s="36">
      <c r="A10" s="108" t="inlineStr">
        <is>
          <t>Bottom track 6"</t>
        </is>
      </c>
      <c r="B10" s="112" t="inlineStr">
        <is>
          <t>LF</t>
        </is>
      </c>
      <c r="C10" s="115" t="n">
        <v>292.07</v>
      </c>
      <c r="D10" s="119" t="n">
        <v>0.15</v>
      </c>
      <c r="E10" s="114">
        <f>C10*D10</f>
        <v/>
      </c>
      <c r="F10" s="120">
        <f>C10+E10</f>
        <v/>
      </c>
      <c r="G10" s="112" t="inlineStr">
        <is>
          <t>run 10 ft</t>
        </is>
      </c>
      <c r="H10" s="109">
        <f>ROUNDUP(F10/10,0)</f>
        <v/>
      </c>
      <c r="I10" s="116" t="inlineStr">
        <is>
          <t>Track follows the stud of its wall. SUMIFS over the Stud Size column of Partition Takeoff</t>
        </is>
      </c>
      <c r="J10" s="107" t="inlineStr">
        <is>
          <t>DERIVADO</t>
        </is>
      </c>
      <c r="K10" s="107" t="n">
        <v>292.07</v>
      </c>
      <c r="L10" s="107" t="n">
        <v>292.07</v>
      </c>
      <c r="M10" s="107" t="inlineStr">
        <is>
          <t>A02.01 -&gt; 3/A12.01 (A5 6") -&gt; 1/A12.01 (B2 6") -&gt; 4/A12.01 (A5K/B2K) -&gt; exterior 7/S5.20</t>
        </is>
      </c>
      <c r="N10" s="118" t="inlineStr">
        <is>
          <t>D1: ATM wall bottom runner (21.46 LF) moves to the extra framing ATM row</t>
        </is>
      </c>
      <c r="O10" s="118" t="inlineStr">
        <is>
          <t>U3-U6: B2K #31 +0.51 + EXT-6CFMF #60 -1.76 = -1.25</t>
        </is>
      </c>
      <c r="P10" s="118" t="inlineStr">
        <is>
          <t>R77.10 A5: A5 #14 +0.41 + A5 #15 +0.0 + A5 #16 -0.13 + A5 #17 +0.0 = +0.28</t>
        </is>
      </c>
    </row>
    <row r="11" ht="15" customHeight="1" s="36">
      <c r="A11" s="46" t="inlineStr">
        <is>
          <t>Bottom track 3-5/8"</t>
        </is>
      </c>
      <c r="B11" s="59" t="inlineStr">
        <is>
          <t>LF</t>
        </is>
      </c>
      <c r="C11" s="77" t="n">
        <v>244.34</v>
      </c>
      <c r="D11" s="78" t="n">
        <v>0.15</v>
      </c>
      <c r="E11" s="48">
        <f>C11*D11</f>
        <v/>
      </c>
      <c r="F11" s="79">
        <f>C11+E11</f>
        <v/>
      </c>
      <c r="G11" s="59" t="inlineStr">
        <is>
          <t>run 10 ft</t>
        </is>
      </c>
      <c r="H11" s="57">
        <f>ROUNDUP(F11/10,0)</f>
        <v/>
      </c>
      <c r="I11" s="62" t="inlineStr">
        <is>
          <t>Chase C1 faces 10.03 LF each instead of 5.6 (+8.86) and the untagged fountain alcove (A1 by note A, +8.10) were missing.</t>
        </is>
      </c>
      <c r="J11" s="80" t="inlineStr">
        <is>
          <t>DERIVADO</t>
        </is>
      </c>
      <c r="K11" s="38" t="n">
        <v>235.5</v>
      </c>
      <c r="L11" s="38" t="n">
        <v>244.34</v>
      </c>
      <c r="M11" s="38" t="inlineStr">
        <is>
          <t>A02.01 -&gt; 3/A12.01 (METAL STUD TRACK) -&gt; 6/A12.01 -&gt; 12/A12.01 -&gt; 3/A08.21 -&gt; 5/A09.25</t>
        </is>
      </c>
    </row>
    <row r="12" ht="21.75" customHeight="1" s="36">
      <c r="A12" s="108" t="inlineStr">
        <is>
          <t>Parapet bottom track 600T125-54 (PAF to steel beam)</t>
        </is>
      </c>
      <c r="B12" s="112" t="inlineStr">
        <is>
          <t>LF</t>
        </is>
      </c>
      <c r="C12" s="115" t="n">
        <v>267.61</v>
      </c>
      <c r="D12" s="119" t="n">
        <v>0.15</v>
      </c>
      <c r="E12" s="114">
        <f>C12*D12</f>
        <v/>
      </c>
      <c r="F12" s="120">
        <f>C12+E12</f>
        <v/>
      </c>
      <c r="G12" s="112" t="inlineStr">
        <is>
          <t>run 10 ft</t>
        </is>
      </c>
      <c r="H12" s="109">
        <f>ROUNDUP(F12/10,0)</f>
        <v/>
      </c>
      <c r="I12" s="116" t="inlineStr">
        <is>
          <t>v3 parapet row 263.84 + 6.85 LF parapet portion inside the v3 row "Bottom track - roof step 4/A02.02, vestibule heads 4-7/A12.10, parapet faltante (arbitraje #5)" = 270.69 = arb5 run. Full perimeter incl. over storefront confirmed. Re-measured centerline incl. stub = 269.37: this row +5.53 LF, and the 6.85 LF parapet part of the faltante row overlaps 100% with it -&gt; that row must drop 6.85 (190.67 -&gt; 183.82) to avoid double count. Net effect on the family vs v3: -1.32 LF.</t>
        </is>
      </c>
      <c r="J12" s="107" t="inlineStr">
        <is>
          <t>DERIVADO</t>
        </is>
      </c>
      <c r="K12" s="107" t="n">
        <v>264.67</v>
      </c>
      <c r="L12" s="107" t="n">
        <v>268.93</v>
      </c>
      <c r="M12" s="107" t="inlineStr">
        <is>
          <t>A02.02 roof plan parapet outline (vector) -&gt; 4/A09.26 (outer face 8" from stud CL) -&gt; 11/S5.10 "600T125-54 TOP &amp; BOT." -&gt; S2.20 52'-4" grid 3-8 (scale check)</t>
        </is>
      </c>
      <c r="N12" s="118" t="n"/>
      <c r="O12" s="118" t="n"/>
      <c r="P12" s="118" t="inlineStr">
        <is>
          <t>W2: #160 -1.76 = -1.76</t>
        </is>
      </c>
    </row>
    <row r="13" ht="21.75" customHeight="1" s="36">
      <c r="A13" s="108" t="inlineStr">
        <is>
          <t>Parapet top track 600T125-54</t>
        </is>
      </c>
      <c r="B13" s="112" t="inlineStr">
        <is>
          <t>LF</t>
        </is>
      </c>
      <c r="C13" s="115" t="n">
        <v>267.61</v>
      </c>
      <c r="D13" s="119" t="n">
        <v>0.15</v>
      </c>
      <c r="E13" s="114">
        <f>C13*D13</f>
        <v/>
      </c>
      <c r="F13" s="120">
        <f>C13+E13</f>
        <v/>
      </c>
      <c r="G13" s="112" t="inlineStr">
        <is>
          <t>run 10 ft</t>
        </is>
      </c>
      <c r="H13" s="109">
        <f>ROUNDUP(F13/10,0)</f>
        <v/>
      </c>
      <c r="I13" s="116" t="inlineStr">
        <is>
          <t>v3 parapet row 263.84 + 6.85 LF parapet portion inside the v3 row "Top track - roof step 4/A02.02, vestibule heads 4-7/A12.10, parapet faltante (arbitraje #5)" = 270.69 = arb5 run. Full perimeter incl. over storefront confirmed. Re-measured centerline incl. stub = 269.37: this row +5.53 LF, and the 6.85 LF parapet part of the faltante row overlaps 100% with it -&gt; that row must drop 6.85 (190.67 -&gt; 183.82) to avoid double count. Net effect on the family vs v3: -1.32 LF.</t>
        </is>
      </c>
      <c r="J13" s="107" t="inlineStr">
        <is>
          <t>DERIVADO</t>
        </is>
      </c>
      <c r="K13" s="107" t="n">
        <v>264.67</v>
      </c>
      <c r="L13" s="107" t="n">
        <v>268.93</v>
      </c>
      <c r="M13" s="107" t="inlineStr">
        <is>
          <t>A02.02 roof plan parapet outline (vector) -&gt; 4/A09.26 (outer face 8" from stud CL) -&gt; 11/S5.10 "600T125-54 TOP &amp; BOT." -&gt; S2.20 52'-4" grid 3-8 (scale check)</t>
        </is>
      </c>
      <c r="N13" s="118" t="n"/>
      <c r="O13" s="118" t="n"/>
      <c r="P13" s="118" t="inlineStr">
        <is>
          <t>W2: #160 -1.76 = -1.76</t>
        </is>
      </c>
    </row>
    <row r="14" ht="15" customHeight="1" s="36">
      <c r="A14" s="38" t="inlineStr">
        <is>
          <t>Bottom track - roof step 4/A02.02, vestibule heads 4-7/A12.10, parapet faltante (arbitraje #5)</t>
        </is>
      </c>
      <c r="B14" s="38" t="inlineStr">
        <is>
          <t>LF</t>
        </is>
      </c>
      <c r="C14" s="80" t="n">
        <v>176.84</v>
      </c>
      <c r="D14" s="38" t="n">
        <v>0.15</v>
      </c>
      <c r="E14" s="38">
        <f>C14*D14</f>
        <v/>
      </c>
      <c r="F14" s="38">
        <f>C14+E14</f>
        <v/>
      </c>
      <c r="G14" s="38" t="inlineStr">
        <is>
          <t>run 10 ft</t>
        </is>
      </c>
      <c r="H14" s="38">
        <f>ROUNDUP(F14/10,0)</f>
        <v/>
      </c>
      <c r="I14" s="38" t="inlineStr">
        <is>
          <t>Roof step length 51.59 (measured) vs 53.67 used by arb5; vestibule run 22.07 from printed dims vs 22.67; parapet 6.99 moved out to G2.</t>
        </is>
      </c>
      <c r="J14" s="80" t="inlineStr">
        <is>
          <t>DERIVADO</t>
        </is>
      </c>
      <c r="K14" s="38" t="n">
        <v>176.84</v>
      </c>
      <c r="L14" s="38" t="n">
        <v>190.53</v>
      </c>
      <c r="M14" s="38" t="inlineStr">
        <is>
          <t>4/A02.02; 4-7/A12.10; 1/A12.10</t>
        </is>
      </c>
    </row>
    <row r="15" ht="21.75" customHeight="1" s="36">
      <c r="A15" s="38" t="inlineStr">
        <is>
          <t>Top track - roof step 4/A02.02, vestibule heads 4-7/A12.10, parapet faltante (arbitraje #5)</t>
        </is>
      </c>
      <c r="B15" s="38" t="inlineStr">
        <is>
          <t>LF</t>
        </is>
      </c>
      <c r="C15" s="80" t="n">
        <v>176.84</v>
      </c>
      <c r="D15" s="38" t="n">
        <v>0.15</v>
      </c>
      <c r="E15" s="38">
        <f>C15*D15</f>
        <v/>
      </c>
      <c r="F15" s="38">
        <f>C15+E15</f>
        <v/>
      </c>
      <c r="G15" s="38" t="inlineStr">
        <is>
          <t>run 10 ft</t>
        </is>
      </c>
      <c r="H15" s="38">
        <f>ROUNDUP(F15/10,0)</f>
        <v/>
      </c>
      <c r="I15" s="38" t="inlineStr">
        <is>
          <t>Same as bottom twin.</t>
        </is>
      </c>
      <c r="J15" s="80" t="inlineStr">
        <is>
          <t>DERIVADO</t>
        </is>
      </c>
      <c r="K15" s="38" t="n">
        <v>176.84</v>
      </c>
      <c r="L15" s="38" t="n">
        <v>190.53</v>
      </c>
      <c r="M15" s="38" t="inlineStr">
        <is>
          <t>4/A02.02; 4-7/A12.10</t>
        </is>
      </c>
    </row>
    <row r="16" ht="15" customHeight="1" s="36">
      <c r="A16" s="94" t="inlineStr">
        <is>
          <t>Bottom track 1-5/8"</t>
        </is>
      </c>
      <c r="B16" s="98" t="inlineStr">
        <is>
          <t>LF</t>
        </is>
      </c>
      <c r="C16" s="101" t="n">
        <v>291.5</v>
      </c>
      <c r="D16" s="105" t="n">
        <v>0.15</v>
      </c>
      <c r="E16" s="100">
        <f>C16*D16</f>
        <v/>
      </c>
      <c r="F16" s="106">
        <f>C16+E16</f>
        <v/>
      </c>
      <c r="G16" s="98" t="inlineStr">
        <is>
          <t>run 10 ft</t>
        </is>
      </c>
      <c r="H16" s="95">
        <f>ROUNDUP(F16/10,0)</f>
        <v/>
      </c>
      <c r="I16" s="102" t="inlineStr">
        <is>
          <t>Partition Takeoff</t>
        </is>
      </c>
      <c r="J16" s="93" t="inlineStr">
        <is>
          <t>DERIVADO</t>
        </is>
      </c>
      <c r="K16" s="93" t="n">
        <v>291.5</v>
      </c>
      <c r="L16" s="93" t="n">
        <v>291.5</v>
      </c>
      <c r="M16" s="93" t="inlineStr">
        <is>
          <t>5/A12.01 -&gt; 8,9/A12.01</t>
        </is>
      </c>
      <c r="N16" s="104" t="n"/>
      <c r="O16" s="104" t="inlineStr">
        <is>
          <t>U3-U6: G #48 +1.42 + G #52 +1.42 + G1 #51 +1.67 + G1 #53 +1.02 = +5.53</t>
        </is>
      </c>
    </row>
    <row r="17" ht="15" customHeight="1" s="36">
      <c r="A17" s="108" t="inlineStr">
        <is>
          <t>Top / deflection track 6"</t>
        </is>
      </c>
      <c r="B17" s="112" t="inlineStr">
        <is>
          <t>LF</t>
        </is>
      </c>
      <c r="C17" s="115" t="n">
        <v>292.07</v>
      </c>
      <c r="D17" s="119" t="n">
        <v>0.15</v>
      </c>
      <c r="E17" s="114">
        <f>C17*D17</f>
        <v/>
      </c>
      <c r="F17" s="120">
        <f>C17+E17</f>
        <v/>
      </c>
      <c r="G17" s="112" t="inlineStr">
        <is>
          <t>run 10 ft</t>
        </is>
      </c>
      <c r="H17" s="109">
        <f>ROUNDUP(F17/10,0)</f>
        <v/>
      </c>
      <c r="I17" s="116" t="inlineStr">
        <is>
          <t>Separate row from bottom track - never combined. Control: bottom + top = 2 runs per row of stud</t>
        </is>
      </c>
      <c r="J17" s="107" t="inlineStr">
        <is>
          <t>DERIVADO</t>
        </is>
      </c>
      <c r="K17" s="107" t="n">
        <v>292.07</v>
      </c>
      <c r="L17" s="107" t="n">
        <v>292.07</v>
      </c>
      <c r="M17" s="107" t="inlineStr">
        <is>
          <t>same as Bottom track 6"</t>
        </is>
      </c>
      <c r="N17" s="118" t="inlineStr">
        <is>
          <t>D1: ATM wall top runner (21.46 LF) moves to the extra framing ATM row</t>
        </is>
      </c>
      <c r="O17" s="118" t="inlineStr">
        <is>
          <t>U3-U6: B2K #31 +0.51 + EXT-6CFMF #60 -1.76 = -1.25</t>
        </is>
      </c>
      <c r="P17" s="118" t="inlineStr">
        <is>
          <t>R77.10 A5: A5 #14 +0.41 + A5 #15 +0.0 + A5 #16 -0.13 + A5 #17 +0.0 = +0.28</t>
        </is>
      </c>
    </row>
    <row r="18" ht="21.75" customHeight="1" s="36">
      <c r="A18" s="46" t="inlineStr">
        <is>
          <t>Top / deflection track 3-5/8"</t>
        </is>
      </c>
      <c r="B18" s="59" t="inlineStr">
        <is>
          <t>LF</t>
        </is>
      </c>
      <c r="C18" s="77" t="n">
        <v>244.34</v>
      </c>
      <c r="D18" s="78" t="n">
        <v>0.15</v>
      </c>
      <c r="E18" s="48">
        <f>C18*D18</f>
        <v/>
      </c>
      <c r="F18" s="79">
        <f>C18+E18</f>
        <v/>
      </c>
      <c r="G18" s="59" t="inlineStr">
        <is>
          <t>run 10 ft</t>
        </is>
      </c>
      <c r="H18" s="57">
        <f>ROUNDUP(F18/10,0)</f>
        <v/>
      </c>
      <c r="I18" s="62" t="inlineStr">
        <is>
          <t>Same as bottom track 3-5/8".</t>
        </is>
      </c>
      <c r="J18" s="80" t="inlineStr">
        <is>
          <t>DERIVADO</t>
        </is>
      </c>
      <c r="K18" s="38" t="n">
        <v>235.5</v>
      </c>
      <c r="L18" s="38" t="n">
        <v>244.34</v>
      </c>
      <c r="M18" s="38" t="inlineStr">
        <is>
          <t>same as Bottom track 3-5/8"</t>
        </is>
      </c>
    </row>
    <row r="19" ht="21.75" customHeight="1" s="36">
      <c r="A19" s="94" t="inlineStr">
        <is>
          <t>Top / deflection track 1-5/8"</t>
        </is>
      </c>
      <c r="B19" s="98" t="inlineStr">
        <is>
          <t>LF</t>
        </is>
      </c>
      <c r="C19" s="101" t="n">
        <v>291.5</v>
      </c>
      <c r="D19" s="105" t="n">
        <v>0.15</v>
      </c>
      <c r="E19" s="100">
        <f>C19*D19</f>
        <v/>
      </c>
      <c r="F19" s="106">
        <f>C19+E19</f>
        <v/>
      </c>
      <c r="G19" s="98" t="inlineStr">
        <is>
          <t>run 10 ft</t>
        </is>
      </c>
      <c r="H19" s="95">
        <f>ROUNDUP(F19/10,0)</f>
        <v/>
      </c>
      <c r="I19" s="102" t="inlineStr">
        <is>
          <t>Partition Takeoff</t>
        </is>
      </c>
      <c r="J19" s="93" t="inlineStr">
        <is>
          <t>DERIVADO</t>
        </is>
      </c>
      <c r="K19" s="93" t="n">
        <v>291.5</v>
      </c>
      <c r="L19" s="93" t="n">
        <v>291.5</v>
      </c>
      <c r="M19" s="93" t="inlineStr">
        <is>
          <t>5/A12.01 -&gt; 8,9/A12.01 (CONT. SLIP TRACK)</t>
        </is>
      </c>
      <c r="N19" s="104" t="n"/>
      <c r="O19" s="104" t="inlineStr">
        <is>
          <t>U3-U6: G #48 +1.42 + G #52 +1.42 + G1 #51 +1.67 + G1 #53 +1.02 = +5.53</t>
        </is>
      </c>
    </row>
    <row r="20" ht="42.75" customHeight="1" s="36">
      <c r="A20" s="68" t="inlineStr">
        <is>
          <t>Track, ceilings / soffits / canopy</t>
        </is>
      </c>
      <c r="B20" s="69" t="inlineStr">
        <is>
          <t>LF</t>
        </is>
      </c>
      <c r="C20" s="70" t="n">
        <v>1246</v>
      </c>
      <c r="D20" s="71" t="n">
        <v>0.15</v>
      </c>
      <c r="E20" s="72">
        <f>C20*D20</f>
        <v/>
      </c>
      <c r="F20" s="73">
        <f>C20+E20</f>
        <v/>
      </c>
      <c r="G20" s="69" t="inlineStr">
        <is>
          <t>run 10 ft</t>
        </is>
      </c>
      <c r="H20" s="74">
        <f>ROUNDUP(F20/10,0)</f>
        <v/>
      </c>
      <c r="I20" s="75" t="inlineStr">
        <is>
          <t>v3 1,154 = canopy 822.5 (soffit rectangles perimeter 411.23 with seams double counted + fascia 2 x 205.62) + soffit 61.7 + GWB 269.9. Changes: (a) soffit track now at joist ends only per the one-way framing decision (-41.4 vs 411.23); (b) NEW SCOPE: the south canopy at door 123 (A04.01 stipple + fascia, UU6 16' fixture, Section F/A09.22 T/CANOPY 12'-8" B/CANOPY 10'-6" with SIM 7/A09.26) was missing in v3 and in arbitration #5's 205.10 LF fascia (+43.83 soffit, +53.75 fascia); the east-strip end return 2.467 also added; (c) GWB perimeter re-measured 268.55 vs 269.9. Net +14.97. Arbitration #5 range (1,109.8-1,139.2) is superseded by the south canopy evidence.</t>
        </is>
      </c>
      <c r="J20" s="40" t="inlineStr">
        <is>
          <t>DERIVADO</t>
        </is>
      </c>
      <c r="K20" s="40" t="n">
        <v>1246</v>
      </c>
      <c r="L20" s="40" t="n">
        <v>1246</v>
      </c>
      <c r="M20" s="40" t="inlineStr">
        <is>
          <t>7/A09.33; A04.01; 4,5/A09.33; 7/A09.26; 15,16/A09.27; 10/A09.33</t>
        </is>
      </c>
      <c r="N20" s="76" t="inlineStr">
        <is>
          <t>D6: 1323.03 (rangos_v18m, decision 16-oct with the transitions) - 77.03 (perimeter track carried on the Waiting 104 transition edges, RFI-CEIL-104 of arbitration #21) = 1246.00 (D6: 7/A09.33 ends the ceiling with shadow molding, no perimeter track on a transition edge)</t>
        </is>
      </c>
    </row>
    <row r="21" ht="21.75" customHeight="1" s="36">
      <c r="A21" s="108" t="inlineStr">
        <is>
          <t>Bracing 1-1/2" C.R. channel @ 48" O.C.</t>
        </is>
      </c>
      <c r="B21" s="112" t="inlineStr">
        <is>
          <t>LF</t>
        </is>
      </c>
      <c r="C21" s="115" t="n">
        <v>2637.9</v>
      </c>
      <c r="D21" s="119" t="n">
        <v>0.15</v>
      </c>
      <c r="E21" s="114">
        <f>C21*D21</f>
        <v/>
      </c>
      <c r="F21" s="120">
        <f>C21+E21</f>
        <v/>
      </c>
      <c r="G21" s="112" t="inlineStr">
        <is>
          <t>C.R. channel 16 ft</t>
        </is>
      </c>
      <c r="H21" s="109">
        <f>ROUNDUP(F21/16,0)</f>
        <v/>
      </c>
      <c r="I21" s="116" t="inlineStr">
        <is>
          <t>C1 walls go to deck (3 rows instead of 2), chase faces longer, alcove, vestibule heads, CSR drop and grille boxes added. | COORDINATOR: exterior heights now under beam; walls above storefront braced per 53.4</t>
        </is>
      </c>
      <c r="J21" s="107" t="inlineStr">
        <is>
          <t>DERIVADO</t>
        </is>
      </c>
      <c r="K21" s="107" t="n">
        <v>2550.47</v>
      </c>
      <c r="L21" s="107" t="n">
        <v>2758.98</v>
      </c>
      <c r="M21" s="107" t="inlineStr">
        <is>
          <t>F/1/S5.20 "1 1/2" C.R. CHANNEL @ 48" O.C." (typical, 53.4) -&gt; all stud walls ; 10/S5.10 ; A/A09.21</t>
        </is>
      </c>
      <c r="N21" s="118" t="n"/>
      <c r="O21" s="118" t="inlineStr">
        <is>
          <t>U3-U6: G #48 +4.25 + G #52 +4.25 + G1 #51 +5.02 + G1 #53 +3.06 + B2K #31 +1.54 + EXT-6CFMF #60 -5.28 = +12.84</t>
        </is>
      </c>
      <c r="P21" s="118" t="inlineStr">
        <is>
          <t>R77.10 A5: A5 #14 +1.22 + A5 #15 +0.0 + A5 #16 -0.39 + A5 #17 +0.0 = +0.83</t>
        </is>
      </c>
    </row>
    <row r="22" ht="21.75" customHeight="1" s="36">
      <c r="A22" s="46" t="inlineStr">
        <is>
          <t>Additional head track at openings over 4'-0" wide</t>
        </is>
      </c>
      <c r="B22" s="59" t="inlineStr">
        <is>
          <t>LF</t>
        </is>
      </c>
      <c r="C22" s="77" t="n">
        <v>56</v>
      </c>
      <c r="D22" s="78" t="n">
        <v>0.15</v>
      </c>
      <c r="E22" s="48">
        <f>C22*D22</f>
        <v/>
      </c>
      <c r="F22" s="79">
        <f>C22+E22</f>
        <v/>
      </c>
      <c r="G22" s="59" t="inlineStr">
        <is>
          <t>run 10 ft</t>
        </is>
      </c>
      <c r="H22" s="57">
        <f>ROUNDUP(F22/10,0)</f>
        <v/>
      </c>
      <c r="I22" s="62" t="inlineStr">
        <is>
          <t>v3 text itself says the six 8'-0" windows carry it but its net was 0.</t>
        </is>
      </c>
      <c r="J22" s="80" t="inlineStr">
        <is>
          <t>CRITERIO</t>
        </is>
      </c>
      <c r="K22" s="38" t="n">
        <v>56</v>
      </c>
      <c r="L22" s="38" t="n">
        <v>223.37</v>
      </c>
      <c r="M22" s="38" t="inlineStr">
        <is>
          <t>2/S5.20 HEAD TRACK @ NON LOAD BRG "ADD FULL LENGTH ADDL HEAD TRACK @ OPNG &gt;4'-0""; 9/S5.20 "HEAD TRACK (DOUBLE TRACK @ OPNG &gt; 4'-0")"</t>
        </is>
      </c>
    </row>
    <row r="23" ht="21.75" customHeight="1" s="36">
      <c r="A23" s="68" t="inlineStr">
        <is>
          <t>Header / metal stud box beam</t>
        </is>
      </c>
      <c r="B23" s="69" t="inlineStr">
        <is>
          <t>LF</t>
        </is>
      </c>
      <c r="C23" s="70" t="n">
        <v>796.76</v>
      </c>
      <c r="D23" s="71" t="n">
        <v>0.15</v>
      </c>
      <c r="E23" s="72">
        <f>C23*D23</f>
        <v/>
      </c>
      <c r="F23" s="73">
        <f>C23+E23</f>
        <v/>
      </c>
      <c r="G23" s="69" t="inlineStr">
        <is>
          <t>stick 20 ft</t>
        </is>
      </c>
      <c r="H23" s="74">
        <f>ROUNDUP(F23/20,0)</f>
        <v/>
      </c>
      <c r="I23" s="75" t="inlineStr">
        <is>
          <t>v3 gave interior doors their R.O. only (3.33, no 8" bearing), office-front beams with no bearing (45 vs 53), and missed the vestibule storefront box headers and the coiling grille box beams.</t>
        </is>
      </c>
      <c r="J23" s="40" t="inlineStr">
        <is>
          <t>DERIVADO</t>
        </is>
      </c>
      <c r="K23" s="40" t="n">
        <v>796.76</v>
      </c>
      <c r="L23" s="40" t="n">
        <v>796.76</v>
      </c>
      <c r="M23" s="40" t="inlineStr">
        <is>
          <t>A00.30; 7/S5.20; 6,7/A08.11; 10,11,14/A09.27; 4/A08.21; 1,4-7/A12.10; 8,9/A12.01; A02.01; B3,B4/A12.03</t>
        </is>
      </c>
      <c r="N23" s="76" t="inlineStr">
        <is>
          <t>D2/D3: every box beam / box header = 4 pieces x (R.O. + 1'-4"); CONT. BOX BEAM one run per office front, first to last jamb + 1'-4" x 4; other headers = pieces of 7/S5.20 HEADER SCHEDULE. Item list: sheet "D1-D6 v5 detail".</t>
        </is>
      </c>
    </row>
    <row r="24" ht="21.75" customHeight="1" s="36">
      <c r="A24" s="68" t="inlineStr">
        <is>
          <t>Sill track</t>
        </is>
      </c>
      <c r="B24" s="69" t="inlineStr">
        <is>
          <t>LF</t>
        </is>
      </c>
      <c r="C24" s="70" t="n">
        <v>119.14</v>
      </c>
      <c r="D24" s="71" t="n">
        <v>0.15</v>
      </c>
      <c r="E24" s="72">
        <f>C24*D24</f>
        <v/>
      </c>
      <c r="F24" s="73">
        <f>C24+E24</f>
        <v/>
      </c>
      <c r="G24" s="69" t="inlineStr">
        <is>
          <t>run 10 ft</t>
        </is>
      </c>
      <c r="H24" s="74">
        <f>ROUNDUP(F24/10,0)</f>
        <v/>
      </c>
      <c r="I24" s="75" t="inlineStr">
        <is>
          <t>v3 carried the duct openings at 1.0 LF each without bearing.</t>
        </is>
      </c>
      <c r="J24" s="40" t="inlineStr">
        <is>
          <t>DERIVADO</t>
        </is>
      </c>
      <c r="K24" s="40" t="n">
        <v>119.14</v>
      </c>
      <c r="L24" s="40" t="n">
        <v>119.14</v>
      </c>
      <c r="M24" s="40" t="inlineStr">
        <is>
          <t>2/S5.20; 10,11/A09.27; 1,4/A08.11; 6/A08.11</t>
        </is>
      </c>
      <c r="N24" s="76" t="inlineStr">
        <is>
          <t>D5: 2/S5.20 ADD FULL LENGTH ADDL HEAD TRACK @ OPNG &gt;4'-0" + INVERT DETAIL FOR SILL CONDITION: R.O. &gt; 4'-0" x 2, &lt;= 4'-0" x 1, openings with sill only (6 windows x 2 x 9.333 + ATM-WU 3.583 + ATM-DU 3.542). RFI-H7 ATM-DU sill.</t>
        </is>
      </c>
    </row>
    <row r="25" ht="32.25" customHeight="1" s="36">
      <c r="A25" s="46" t="inlineStr">
        <is>
          <t>Framed openings - MEP, light slots and diffusers</t>
        </is>
      </c>
      <c r="B25" s="59" t="inlineStr">
        <is>
          <t>LF</t>
        </is>
      </c>
      <c r="C25" s="77" t="n">
        <v>970.3200000000001</v>
      </c>
      <c r="D25" s="78" t="n">
        <v>0.15</v>
      </c>
      <c r="E25" s="48">
        <f>C25*D25</f>
        <v/>
      </c>
      <c r="F25" s="79">
        <f>C25+E25</f>
        <v/>
      </c>
      <c r="G25" s="59" t="inlineStr">
        <is>
          <t>stick 20 ft</t>
        </is>
      </c>
      <c r="H25" s="57">
        <f>ROUNDUP(F25/20,0)</f>
        <v/>
      </c>
      <c r="I25" s="62" t="inlineStr">
        <is>
          <t>Canopy 686, slots 112 and access panel 8 hold (schedule, tags and vector geometry all agree; images). v3 'diffuser 10.67' is replaced: M01.01 draws linear slot diffusers (SD, TBDI-10) inside the GWB ceilings of Vestibule 100, 24 HR Vestibule 101 and restrooms 113/114 = 121.32 LF of opening sides; the S-1/R-1 square devices sit only in ACT and M00.03 note 3 gives RAPID-MOUNT frames for S-1/R-1 in drywall, so no other diffuser openings. MEP wall penetrations 43 kept as v3 but PENDIENTE (classification: wall openings per 9/S5.20, same family).</t>
        </is>
      </c>
      <c r="J25" s="80" t="inlineStr">
        <is>
          <t>DERIVADO</t>
        </is>
      </c>
      <c r="K25" s="38" t="n">
        <v>927.3200000000001</v>
      </c>
      <c r="L25" s="38" t="n">
        <v>995.39</v>
      </c>
      <c r="M25" s="38" t="inlineStr">
        <is>
          <t>4,5/A09.33 (canopy linear light, FIXTURE LENGTH + 1/4") -&gt; E00.01 luminaire schedule (UU1 20', UU2 2', UU3 3', UU4 55', UU5 50', UU6 16'; R-11A 4', R-11C/CE 12') -&gt; E02.01 tags ; 6/A09.33 trimless slot (3-5/8" studs @16" each side) ; A04.01 KN4 ; M01.01 linear slot diffusers in GWB ceilings + M00.03 SD/SDR TITUS TBDI-10 'SEE DRAWING' ; MEP wall penetrations 9/S5.20, 6/S5.20 (v3, not re-measured)</t>
        </is>
      </c>
    </row>
    <row r="26" ht="74.25" customHeight="1" s="36">
      <c r="A26" s="46" t="inlineStr">
        <is>
          <t>Stud reinforcement at MEP penetrations</t>
        </is>
      </c>
      <c r="B26" s="59" t="inlineStr">
        <is>
          <t>pcs</t>
        </is>
      </c>
      <c r="C26" s="61" t="n">
        <v>18</v>
      </c>
      <c r="D26" s="78" t="n"/>
      <c r="E26" s="48" t="n"/>
      <c r="F26" s="79">
        <f>C26</f>
        <v/>
      </c>
      <c r="G26" s="59" t="inlineStr">
        <is>
          <t>each</t>
        </is>
      </c>
      <c r="H26" s="57">
        <f>ROUNDUP(F26/1,0)</f>
        <v/>
      </c>
      <c r="I26" s="62" t="inlineStr">
        <is>
          <t>Other Scope. One per stud the duct crosses. 6/S5.20 WEB PENETRATION limits the web hole and forbids cutting the flanges</t>
        </is>
      </c>
      <c r="J26" s="38" t="inlineStr">
        <is>
          <t>CRITERIO</t>
        </is>
      </c>
      <c r="K26" s="38" t="n">
        <v>18</v>
      </c>
      <c r="L26" s="38" t="n">
        <v>18</v>
      </c>
      <c r="M26" s="38" t="inlineStr">
        <is>
          <t>6/S5.20 PENETRATION THRU STUDS "REINFORCEMENT REQ'D AT PENETRATIONS"; M01.01</t>
        </is>
      </c>
    </row>
    <row r="27" ht="15" customHeight="1" s="36">
      <c r="A27" s="46" t="inlineStr">
        <is>
          <t>3-5/8" stud, CSR soffit 10/A09.33 (LF)</t>
        </is>
      </c>
      <c r="B27" s="59" t="inlineStr">
        <is>
          <t>LF</t>
        </is>
      </c>
      <c r="C27" s="77" t="n">
        <v>104.77</v>
      </c>
      <c r="D27" s="78" t="n">
        <v>0.15</v>
      </c>
      <c r="E27" s="48">
        <f>C27*D27</f>
        <v/>
      </c>
      <c r="F27" s="79">
        <f>C27+E27</f>
        <v/>
      </c>
      <c r="G27" s="59" t="inlineStr">
        <is>
          <t>stick 20 ft</t>
        </is>
      </c>
      <c r="H27" s="57">
        <f>ROUNDUP(F27/20,0)</f>
        <v/>
      </c>
      <c r="I27" s="62" t="inlineStr">
        <is>
          <t>v3 carried 26 pieces with no length; the drop is derivable from the printed GB 8'-0" and the S2.20 B.O.D.; 22 pieces by 16" layout.</t>
        </is>
      </c>
      <c r="J27" s="80" t="inlineStr">
        <is>
          <t>DERIVADO</t>
        </is>
      </c>
      <c r="K27" s="38" t="n">
        <v>104.77</v>
      </c>
      <c r="L27" s="38" t="n">
        <v>118.71</v>
      </c>
      <c r="M27" s="38" t="inlineStr">
        <is>
          <t>A04.01 (GB 8'-0", width 3'-5") -&gt; 10/A09.33 CEILING DETAIL @ CSR SOFFIT (STL STUD from B/DECK, CONT. TRACK) -&gt; 9/A12.08 (same soffit, 55.2) -&gt; S2.20</t>
        </is>
      </c>
    </row>
    <row r="28" ht="15" customHeight="1" s="36">
      <c r="A28" s="107" t="inlineStr">
        <is>
          <t>2-1/2" CFMF @ 16" O.C. at coiling grille head (4/A08.21)</t>
        </is>
      </c>
      <c r="B28" s="107" t="inlineStr">
        <is>
          <t>LF</t>
        </is>
      </c>
      <c r="C28" s="107" t="n">
        <v>10.43</v>
      </c>
      <c r="D28" s="107" t="n">
        <v>0.15</v>
      </c>
      <c r="E28" s="107">
        <f>C28*D28</f>
        <v/>
      </c>
      <c r="F28" s="107">
        <f>C28+E28</f>
        <v/>
      </c>
      <c r="G28" s="107" t="inlineStr">
        <is>
          <t>stick 20 ft</t>
        </is>
      </c>
      <c r="H28" s="107">
        <f>ROUNDUP(F28/20,0)</f>
        <v/>
      </c>
      <c r="I28" s="107" t="inlineStr">
        <is>
          <t>New scope, not in v3.</t>
        </is>
      </c>
      <c r="J28" s="107" t="inlineStr">
        <is>
          <t>DERIVADO</t>
        </is>
      </c>
      <c r="K28" s="107" t="n">
        <v>10.43</v>
      </c>
      <c r="L28" s="107" t="n">
        <v>10.43</v>
      </c>
      <c r="M28" s="107" t="inlineStr">
        <is>
          <t>1/A08.21 (13'-4" CLEAR OPENING) -&gt; 4/A08.21 COILING GRILLE HEAD DETAIL "2 1/2" CFMF @ 16" O.C." between two "6" CFMF BOX BEAM HEADER"</t>
        </is>
      </c>
      <c r="N28" s="118" t="n"/>
      <c r="O28" s="118" t="n"/>
      <c r="P28" s="118" t="inlineStr">
        <is>
          <t>Plan (arbitration #26): 4/A08.21 prints the dimension chain 6" + 1'-6" = 2'-0" from the top of the upper 6" CFMF BOX BEAM HEADER to the finished underside; stud between the boxes = 2.0 - 2 x 0.5 (box) - 0.625/12 (board under the lower box) = 0.948 ft (measured 249 px / 263 px per ft = 0.947); 11 studs (ROUNDUP(13.333/1.333) + 1, 1/A08.21 13'-4") x 0.948 = 10.43. v4 scaled the stud against the 1'-6" segment only (0.714 ft).</t>
        </is>
      </c>
    </row>
    <row r="29" ht="21.75" customHeight="1" s="36">
      <c r="A29" s="46" t="inlineStr">
        <is>
          <t>Purlin 1x1x1 16 ga, top track to deck</t>
        </is>
      </c>
      <c r="B29" s="59" t="inlineStr">
        <is>
          <t>LF</t>
        </is>
      </c>
      <c r="C29" s="77" t="n">
        <v>214.4</v>
      </c>
      <c r="D29" s="78" t="n">
        <v>0.15</v>
      </c>
      <c r="E29" s="48">
        <f>C29*D29</f>
        <v/>
      </c>
      <c r="F29" s="79">
        <f>C29+E29</f>
        <v/>
      </c>
      <c r="G29" s="59" t="inlineStr">
        <is>
          <t>run 10 ft</t>
        </is>
      </c>
      <c r="H29" s="57">
        <f>ROUNDUP(F29/10,0)</f>
        <v/>
      </c>
      <c r="I29" s="62" t="inlineStr">
        <is>
          <t>Wall list re-derived with the longer C1 chase faces, alcove and the new roof-step / vestibule tracks.</t>
        </is>
      </c>
      <c r="J29" s="80" t="inlineStr">
        <is>
          <t>CRITERIO</t>
        </is>
      </c>
      <c r="K29" s="38" t="n">
        <v>163.97</v>
      </c>
      <c r="L29" s="38" t="n">
        <v>285.87</v>
      </c>
      <c r="M29" s="38" t="inlineStr">
        <is>
          <t>10/A09.33 enlarged circle "1X1X1 16GA PURLIN, ACROSS MIN. (2) FLUTES" + "STL DECK FLUTE, PARALLEL TO TRACKS" + "VIF FLUTE DIRECTION"; S2.20 framing (N-S members -&gt; E-W flutes)</t>
        </is>
      </c>
    </row>
    <row r="30" ht="23.25" customHeight="1" s="36">
      <c r="A30" s="46" t="inlineStr">
        <is>
          <t>Furring channel (ceilings)</t>
        </is>
      </c>
      <c r="B30" s="59" t="inlineStr">
        <is>
          <t>LF</t>
        </is>
      </c>
      <c r="C30" s="77" t="n">
        <v>808.88</v>
      </c>
      <c r="D30" s="78" t="n">
        <v>0.15</v>
      </c>
      <c r="E30" s="48">
        <f>C30*D30</f>
        <v/>
      </c>
      <c r="F30" s="79">
        <f>C30+E30</f>
        <v/>
      </c>
      <c r="G30" s="59" t="inlineStr">
        <is>
          <t>hat channel 12 ft</t>
        </is>
      </c>
      <c r="H30" s="57">
        <f>ROUNDUP(F30/12,0)</f>
        <v/>
      </c>
      <c r="I30" s="62" t="inlineStr">
        <is>
          <t>v3 = 0.75 x 958.94 SF (area factor, areas to wall lines). Re-measured areas to interior faces (940.15; Vest101 east face is 1125.24 not 1141.2, -15.8 SF) and counted runs ROUNDUP+1 per room instead of an area factor (more material, 53.3). Departs from v3/arb2 method (area factor) on method grounds, not new plan evidence.</t>
        </is>
      </c>
      <c r="J30" s="80" t="inlineStr">
        <is>
          <t>CRITERIO</t>
        </is>
      </c>
      <c r="K30" s="38" t="n">
        <v>470.07</v>
      </c>
      <c r="L30" s="38" t="n">
        <v>808.88</v>
      </c>
      <c r="M30" s="38" t="inlineStr">
        <is>
          <t>A04.01 legend 'NEW SUSPENDED GYPSUM WALL BOARD CEILING/SOFFIT' + room GB tags; NO suspended-GWB framing detail exists in the set (A09.33 details 1-10 checked: 3 = ACT, 7 = transition, 8 = bulkhead, 10 = CSR soffit stud-framed) -&gt; spacing by criterion 53.3</t>
        </is>
      </c>
    </row>
    <row r="31" ht="15" customHeight="1" s="36">
      <c r="A31" s="46" t="inlineStr">
        <is>
          <t>Carrying channel (ceilings)</t>
        </is>
      </c>
      <c r="B31" s="59" t="inlineStr">
        <is>
          <t>LF</t>
        </is>
      </c>
      <c r="C31" s="77" t="n">
        <v>316.77</v>
      </c>
      <c r="D31" s="78" t="n">
        <v>0.15</v>
      </c>
      <c r="E31" s="48">
        <f>C31*D31</f>
        <v/>
      </c>
      <c r="F31" s="79">
        <f>C31+E31</f>
        <v/>
      </c>
      <c r="G31" s="59" t="inlineStr">
        <is>
          <t>C.R. channel 16 ft</t>
        </is>
      </c>
      <c r="H31" s="57">
        <f>ROUNDUP(F31/16,0)</f>
        <v/>
      </c>
      <c r="I31" s="62" t="inlineStr">
        <is>
          <t>v3 = 0.25 x 958.94 area factor. Re-measured areas and counted channel runs per room (ROUNDUP+1, edge channels within 6" of walls). Method change, flagged.</t>
        </is>
      </c>
      <c r="J31" s="80" t="inlineStr">
        <is>
          <t>CRITERIO</t>
        </is>
      </c>
      <c r="K31" s="38" t="n">
        <v>235.04</v>
      </c>
      <c r="L31" s="38" t="n">
        <v>321.79</v>
      </c>
      <c r="M31" s="38" t="inlineStr">
        <is>
          <t>A04.01 GWB areas; no suspension detail in set -&gt; 1-1/2" CRC @48" O.C., within 6" of walls (ASTM C754 practice) by criterion 53.3</t>
        </is>
      </c>
    </row>
    <row r="32" ht="21.75" customHeight="1" s="36">
      <c r="A32" s="46" t="inlineStr">
        <is>
          <t>Hanger wire</t>
        </is>
      </c>
      <c r="B32" s="59" t="inlineStr">
        <is>
          <t>LF</t>
        </is>
      </c>
      <c r="C32" s="77" t="n">
        <v>524.78</v>
      </c>
      <c r="D32" s="78" t="n">
        <v>0.15</v>
      </c>
      <c r="E32" s="48">
        <f>C32*D32</f>
        <v/>
      </c>
      <c r="F32" s="79">
        <f>C32+E32</f>
        <v/>
      </c>
      <c r="G32" s="59" t="inlineStr">
        <is>
          <t>continuous coil</t>
        </is>
      </c>
      <c r="H32" s="57">
        <f>ROUNDUP(F32/1,0)</f>
        <v/>
      </c>
      <c r="I32" s="62" t="inlineStr">
        <is>
          <t>v3 293 = area/16 whole hangers (arbitration #2) on 958.94 SF with restrooms at 13.052 (high end). Changes: (a) per 54.5 sloped deck -&gt; averaged B.O.D. per restroom (4.495 / 4.320 ft, not 4.552); (b) hangers laid out on the carrying channels with ROUNDUP+1 and 6" end distance (more material, 53.3) instead of area/16. This explicitly departs from arbitration #2's count method; the plan prints no hanger spacing for GWB, so the choice is criterion, not plan evidence. No tie/wrap allowance included.</t>
        </is>
      </c>
      <c r="J32" s="80" t="inlineStr">
        <is>
          <t>CRITERIO</t>
        </is>
      </c>
      <c r="K32" s="38" t="n">
        <v>286.2</v>
      </c>
      <c r="L32" s="38" t="n">
        <v>528.25</v>
      </c>
      <c r="M32" s="38" t="inlineStr">
        <is>
          <t>3/A09.33 'TYPICAL 12 GAUGE HANGER WIRE' (ACT LIGHT FIXTURE INSTALLATION - the only hanger callout in the set) ; S2.20 B.O.D. 15'-4 1/2" NO SLOPE north of grid B, 13'-0 5/8" at grid B sloping to 12'-6 3/8" at grid A ; A04.01 GB heights 10'-0" / 11'-0" / 8'-6"</t>
        </is>
      </c>
    </row>
    <row r="33" ht="53.25" customHeight="1" s="36">
      <c r="A33" s="108" t="inlineStr">
        <is>
          <t>Extra framing - ATM recess (printed sistered studs + furring, 6/A08.11)</t>
        </is>
      </c>
      <c r="B33" s="112" t="inlineStr">
        <is>
          <t>LF</t>
        </is>
      </c>
      <c r="C33" s="115" t="n">
        <v>49.87</v>
      </c>
      <c r="D33" s="119" t="n">
        <v>0.15</v>
      </c>
      <c r="E33" s="114">
        <f>C33*D33</f>
        <v/>
      </c>
      <c r="F33" s="120">
        <f>C33+E33</f>
        <v/>
      </c>
      <c r="G33" s="112" t="inlineStr">
        <is>
          <t>stick 20 ft</t>
        </is>
      </c>
      <c r="H33" s="109">
        <f>ROUNDUP(F33/20,0)</f>
        <v/>
      </c>
      <c r="I33" s="116" t="inlineStr">
        <is>
          <t>6/A08.11: 2-1/2" stud sistered to the 6" stud, and the furring under the fiber cement panel</t>
        </is>
      </c>
      <c r="J33" s="107" t="inlineStr">
        <is>
          <t>DERIVADO</t>
        </is>
      </c>
      <c r="K33" s="107" t="n">
        <v>49.87</v>
      </c>
      <c r="L33" s="107" t="n">
        <v>49.87</v>
      </c>
      <c r="M33" s="107" t="inlineStr">
        <is>
          <t>1/A08.11; 4/A08.11; 6/A08.11; 7/A08.11; A02.01 tag F; 12/A12.01</t>
        </is>
      </c>
      <c r="N33" s="118" t="inlineStr">
        <is>
          <t>D1: studs 338.47 + bottom runner 21.46 + top runner 21.46 = 381.39. S1.11 6" @ 16" O.C. + 12" O.C. within 6 ft of the corner: 1 + ROUNDUP(15.46/1.333) + ROUNDUP(6.0/1.0) = 19 - 1 inside R.O. + 4 jambs + 1 L-corner = 23 full x 14.3583 = 330.24 + 1 cripple x (14.3583 - 6.125) = 8.23</t>
        </is>
      </c>
      <c r="O33" s="118" t="inlineStr">
        <is>
          <t>U1: extra framing ATM = 0. The tag F diagonal wall already carries all its metal in partition type F (12/A12.01); no row, no sistered, no furring. v4 109.87 = 49.87 drive-up sistered + furring (EXT-6CFMF #65, 6/A08.11; RFI-ATM-DU +49.87 because 6/A08.11 prints them) + 60.00 G / G1 framing (moved to 1-5/8" stud, its type)</t>
        </is>
      </c>
      <c r="P33" s="118" t="inlineStr">
        <is>
          <t>W1 (user 2026-10-21): a detail that PRINTS sistered studs / furring in an ATM recess is counted as extra framing; 6/A08.11 prints "2 1/2" METAL STUD SISTERED TO 6" METAL STUD" + "FURRING ON 5/8" FRT PLYWOOD" at the drive-up = 49.87 LF (v4 operation, EXT-6CFMF #65 column AD); the walk-up (1, 4/A08.11) prints nothing = 0. The walls that contain the ATMs stay in their types.</t>
        </is>
      </c>
    </row>
    <row r="34" ht="32.25" customHeight="1" s="36">
      <c r="A34" s="55" t="inlineStr">
        <is>
          <t>BOARD AND SUBSTRATE</t>
        </is>
      </c>
      <c r="B34" s="56" t="n"/>
      <c r="C34" s="56" t="n"/>
      <c r="D34" s="56" t="n"/>
      <c r="E34" s="56" t="n"/>
      <c r="F34" s="56" t="n"/>
      <c r="G34" s="56" t="n"/>
      <c r="H34" s="56" t="n"/>
      <c r="I34" s="56" t="n"/>
    </row>
    <row r="35" ht="21.75" customHeight="1" s="36">
      <c r="A35" s="108" t="inlineStr">
        <is>
          <t>5/8" gypsum board, regular</t>
        </is>
      </c>
      <c r="B35" s="112" t="inlineStr">
        <is>
          <t>SF</t>
        </is>
      </c>
      <c r="C35" s="115" t="n">
        <v>17615.54</v>
      </c>
      <c r="D35" s="119" t="n">
        <v>0.06</v>
      </c>
      <c r="E35" s="114">
        <f>C35*D35</f>
        <v/>
      </c>
      <c r="F35" s="120">
        <f>C35+E35</f>
        <v/>
      </c>
      <c r="G35" s="112" t="inlineStr">
        <is>
          <t>4x12 ft sheet</t>
        </is>
      </c>
      <c r="H35" s="109">
        <f>ROUNDUP(F35/48,0)</f>
        <v/>
      </c>
      <c r="I35" s="116" t="inlineStr">
        <is>
          <t>v3 missed the interior band over storefront heads, the fountain alcove, board over door 114, roof step/grille/vestibule heads; v3 over-carried F lobby face to deck; v3 missed MW01 open-to-structure faces; v3 wrongly deducted 112.94 SF exterior wall as MR; C1 to deck by 53.3. A's errors listed in arb5 (G #36/#38 12.33 vs 11'-7 1/2", G1 piers 109/110, #111 pier metal panel faces) do NOT exist in v3 - v3 holds on those (G walls carried at 11.77/11.625). | COORDINATOR: ceiling/soffit part re-derived by G3 (+19.72 SF)</t>
        </is>
      </c>
      <c r="J35" s="107" t="inlineStr">
        <is>
          <t>CRITERIO</t>
        </is>
      </c>
      <c r="K35" s="107" t="n">
        <v>17410.87</v>
      </c>
      <c r="L35" s="107" t="n">
        <v>17695.33</v>
      </c>
      <c r="M35" s="107" t="inlineStr">
        <is>
          <t>A02.01 -&gt; 3,1,5,6,12/A12.01 -&gt; 2/A09.26 (storefront head) -&gt; 1,2/A09.25 -&gt; 4/A02.02, 2-4/A08.21, 4-7/A12.10 -&gt; A04.01 (ceilings, MW01 open) -&gt; note F/A08.01 ; A04.01 -&gt; 7/A09.33 (G3)</t>
        </is>
      </c>
      <c r="N35" s="118" t="n"/>
      <c r="O35" s="118" t="inlineStr">
        <is>
          <t>U3-U6: G #48 +43.54 + G #52 +43.54 + G1 #51 +51.48 + G1 #53 +31.37 + B2K #31 +15.77 + EXT-6CFMF #60 -27.06 = +158.64</t>
        </is>
      </c>
      <c r="P35" s="118" t="inlineStr">
        <is>
          <t>R77.10 A5: A5 #14 +7.52 + A5 #15 +0.0 + A5 #16 -1.22 + A5 #17 +0.0 = +6.3</t>
        </is>
      </c>
    </row>
    <row r="36" ht="23.25" customHeight="1" s="36">
      <c r="A36" s="46" t="inlineStr">
        <is>
          <t>5/8" gypsum board, MOISTURE RESISTANT</t>
        </is>
      </c>
      <c r="B36" s="59" t="inlineStr">
        <is>
          <t>SF</t>
        </is>
      </c>
      <c r="C36" s="61" t="n">
        <v>261.8</v>
      </c>
      <c r="D36" s="78" t="n">
        <v>0.06</v>
      </c>
      <c r="E36" s="48">
        <f>C36*D36</f>
        <v/>
      </c>
      <c r="F36" s="79">
        <f>C36+E36</f>
        <v/>
      </c>
      <c r="G36" s="59" t="inlineStr">
        <is>
          <t>4x12 ft sheet</t>
        </is>
      </c>
      <c r="H36" s="57">
        <f>ROUNDUP(F36/48,0)</f>
        <v/>
      </c>
      <c r="I36" s="62" t="inlineStr">
        <is>
          <t>A08.01 sheet note F: "USE MOISTURE RESISTANT GYPSUM BOARD BEHIND TOILET AND LAVATORY". TWO fixtures on TWO different walls: the LAVATORY side is the chase (walls 37 and 39, 100.80 SF) and the TOILET side is the inside face of the west exterior wall in both restrooms (112.94 SF). Reclassification, not new board - the same area comes out of the regular gypsum line</t>
        </is>
      </c>
      <c r="J36" s="38" t="inlineStr">
        <is>
          <t>RFI</t>
        </is>
      </c>
      <c r="K36" s="38" t="n">
        <v>180.54</v>
      </c>
      <c r="L36" s="38" t="n">
        <v>261.8</v>
      </c>
      <c r="M36" s="38" t="inlineStr">
        <is>
          <t>A08.01 note F -&gt; 1/A08.01 -&gt; 6/A12.01 -&gt; A04.01</t>
        </is>
      </c>
    </row>
    <row r="37" ht="23.25" customHeight="1" s="36">
      <c r="A37" s="108" t="inlineStr">
        <is>
          <t>5/8" EXTERIOR gypsum sheathing (deck to top of parapet)</t>
        </is>
      </c>
      <c r="B37" s="112" t="inlineStr">
        <is>
          <t>SF</t>
        </is>
      </c>
      <c r="C37" s="115" t="n">
        <v>941.01</v>
      </c>
      <c r="D37" s="119" t="n">
        <v>0.06</v>
      </c>
      <c r="E37" s="114">
        <f>C37*D37</f>
        <v/>
      </c>
      <c r="F37" s="120">
        <f>C37+E37</f>
        <v/>
      </c>
      <c r="G37" s="112" t="inlineStr">
        <is>
          <t>4x12 ft sheet</t>
        </is>
      </c>
      <c r="H37" s="109">
        <f>ROUNDUP(F37/48,0)</f>
        <v/>
      </c>
      <c r="I37" s="116" t="inlineStr">
        <is>
          <t>H/A09.23, textual: "5/8" EXTERIOR GYPSUM SHEATHING". It is the INSIDE face of the parapet and it does not exist below the deck - a different material from the interior board, priced on its own line</t>
        </is>
      </c>
      <c r="J37" s="107" t="inlineStr">
        <is>
          <t>RFI</t>
        </is>
      </c>
      <c r="K37" s="107" t="n">
        <v>-3.59</v>
      </c>
      <c r="L37" s="107" t="n">
        <v>974.61</v>
      </c>
      <c r="M37" s="107" t="inlineStr">
        <is>
          <t>A02.02 (inner parapet line, vector) -&gt; A,C/A09.21 + H/A09.23 "5/8" EXTERIOR GYPSUM SHEATHING" -&gt; 4/A09.26 "FULLY ADHERED ROOF MEMBRANE ON 5/8" DENS DECK OR EQUAL" -&gt; S2.20 B.O.D.</t>
        </is>
      </c>
      <c r="N37" s="118" t="n"/>
      <c r="O37" s="118" t="n"/>
      <c r="P37" s="118" t="inlineStr">
        <is>
          <t>W2: #160 -3.59 = -3.59</t>
        </is>
      </c>
    </row>
    <row r="38" ht="84.75" customHeight="1" s="36">
      <c r="A38" s="46" t="inlineStr">
        <is>
          <t>FRP WC-3</t>
        </is>
      </c>
      <c r="B38" s="59" t="inlineStr">
        <is>
          <t>SF</t>
        </is>
      </c>
      <c r="C38" s="77" t="n">
        <v>354</v>
      </c>
      <c r="D38" s="78" t="n">
        <v>0.06</v>
      </c>
      <c r="E38" s="48">
        <f>C38*D38</f>
        <v/>
      </c>
      <c r="F38" s="79">
        <f>C38+E38</f>
        <v/>
      </c>
      <c r="G38" s="59" t="inlineStr">
        <is>
          <t>4x12 ft sheet</t>
        </is>
      </c>
      <c r="H38" s="57">
        <f>ROUNDUP(F38/48,0)</f>
        <v/>
      </c>
      <c r="I38" s="62" t="inlineStr">
        <is>
          <t>Mop sink width no longer left PENDIENTE: the fixture schedule names the model (TSH-24). v3 restroom part holds. v3 Material Summary Waste/Purchase on this row are stale (computed on 132.1) - recompute.</t>
        </is>
      </c>
      <c r="J38" s="80" t="inlineStr">
        <is>
          <t>CRITERIO</t>
        </is>
      </c>
      <c r="K38" s="38" t="n">
        <v>338</v>
      </c>
      <c r="L38" s="38" t="n">
        <v>356.67</v>
      </c>
      <c r="M38" s="38" t="inlineStr">
        <is>
          <t>A-D/A08.01 (5'-0" TO TOP OF FRP over 6" CT-12C base) -&gt; 3/A08.01 -&gt; A05.01 key note 6 -&gt; 4,5/A08.01 -&gt; P00.01 PF-07</t>
        </is>
      </c>
    </row>
    <row r="39" ht="53.25" customHeight="1" s="36">
      <c r="A39" s="46" t="inlineStr">
        <is>
          <t>Cement board (substrate under the FRP cove base band)</t>
        </is>
      </c>
      <c r="B39" s="59" t="inlineStr">
        <is>
          <t>SF</t>
        </is>
      </c>
      <c r="C39" s="77" t="n">
        <v>33.8</v>
      </c>
      <c r="D39" s="78" t="n">
        <v>0.06</v>
      </c>
      <c r="E39" s="48">
        <f>C39*D39</f>
        <v/>
      </c>
      <c r="F39" s="79">
        <f>C39+E39</f>
        <v/>
      </c>
      <c r="G39" s="59" t="inlineStr">
        <is>
          <t>4x12 ft sheet</t>
        </is>
      </c>
      <c r="H39" s="57">
        <f>ROUNDUP(F39/48,0)</f>
        <v/>
      </c>
      <c r="I39" s="62" t="inlineStr">
        <is>
          <t>v3 14.45 SF was computed on the OLD FRP run (28.9 LF on 4 walls); once FRP runs on all walls of both restrooms (67.6 LF, arb2) the same criterion gives 33.80. MIN 0 = by the drawings.</t>
        </is>
      </c>
      <c r="J39" s="80" t="inlineStr">
        <is>
          <t>CRITERIO</t>
        </is>
      </c>
      <c r="K39" s="38" t="n">
        <v>0</v>
      </c>
      <c r="L39" s="38" t="n">
        <v>33.8</v>
      </c>
      <c r="M39" s="38" t="inlineStr">
        <is>
          <t>3/A08.01 RESTROOM FRP/TILE DETAIL -&gt; 8/A08.01 -&gt; A08.01 toilet room finish schedule CT-12C</t>
        </is>
      </c>
    </row>
    <row r="40" ht="15" customHeight="1" s="36">
      <c r="A40" s="108" t="inlineStr">
        <is>
          <t>Exterior sheathing 5/8" FRT plywood bonded to 2-1/2" polyiso</t>
        </is>
      </c>
      <c r="B40" s="112" t="inlineStr">
        <is>
          <t>SF</t>
        </is>
      </c>
      <c r="C40" s="115" t="n">
        <v>3723.63</v>
      </c>
      <c r="D40" s="119" t="n">
        <v>0.06</v>
      </c>
      <c r="E40" s="114">
        <f>C40*D40</f>
        <v/>
      </c>
      <c r="F40" s="120">
        <f>C40+E40</f>
        <v/>
      </c>
      <c r="G40" s="112" t="inlineStr">
        <is>
          <t>4x12 ft sheet</t>
        </is>
      </c>
      <c r="H40" s="109">
        <f>ROUNDUP(F40/48,0)</f>
        <v/>
      </c>
      <c r="I40" s="116" t="inlineStr">
        <is>
          <t>Decision 1 (glass mat only at the base strip and canopy band) means the nailbase is NOT there: 5/A09.26, 9,12/A09.27 start it at T/BASE 0'-6" and 7/A09.26 interrupts it across the canopy band. v3 4,224.28 ran it slab to T/STUD (incl. the +526 above storefront); the delta -470.0 = base strip 106.1 + canopy band 355.9 + ~8 SF length basis (stud CL vs outer). Extent per facade otherwise matches v3 (above storefront included).</t>
        </is>
      </c>
      <c r="J40" s="107" t="inlineStr">
        <is>
          <t>CRITERIO</t>
        </is>
      </c>
      <c r="K40" s="107" t="n">
        <v>3713.51</v>
      </c>
      <c r="L40" s="107" t="n">
        <v>3798.4</v>
      </c>
      <c r="M40" s="107" t="inlineStr">
        <is>
          <t>H/A09.23, A,B,C/A09.21, D,E,F/A09.22 "SHEATHING/INSULATION SYSTEM: 5/8" FRT PLYWOOD BONDED TO 2 1/2" POLYISO" -&gt; 5/A09.26, 9,12/A09.27 (starts at T/BASE 0'-6") -&gt; 7/A09.26, 3/A09.26 (interrupted in canopy band) -&gt; 2/A09.26, 11/A09.27 (continues above storefront head T/OPENING 8'-6") -&gt; 4/A09.26 (to T/STUD)</t>
        </is>
      </c>
      <c r="N40" s="118" t="n"/>
      <c r="O40" s="118" t="inlineStr">
        <is>
          <t>U6: #60 229.86/14.95 x -1.76 = -27.06</t>
        </is>
      </c>
      <c r="P40" s="118" t="inlineStr">
        <is>
          <t>W2: #160 -3.59 = -3.59</t>
        </is>
      </c>
    </row>
    <row r="41" ht="15" customHeight="1" s="36">
      <c r="A41" s="46" t="inlineStr">
        <is>
          <t>5/8" glass mat sheathing (exterior face of the stud)</t>
        </is>
      </c>
      <c r="B41" s="59" t="inlineStr">
        <is>
          <t>SF</t>
        </is>
      </c>
      <c r="C41" s="77" t="n">
        <v>462</v>
      </c>
      <c r="D41" s="78" t="n">
        <v>0.06</v>
      </c>
      <c r="E41" s="48">
        <f>C41*D41</f>
        <v/>
      </c>
      <c r="F41" s="79">
        <f>C41+E41</f>
        <v/>
      </c>
      <c r="G41" s="59" t="inlineStr">
        <is>
          <t>4x12 ft sheet</t>
        </is>
      </c>
      <c r="H41" s="57">
        <f>ROUNDUP(F41/48,0)</f>
        <v/>
      </c>
      <c r="I41" s="62" t="inlineStr">
        <is>
          <t>User decision 462.0 kept (no grave error). Independent re-derivation: base strip 106.11 (vs 105.75) and band 184.94 LF; 53.3 max (h=1.979) would give 472.1 (+10.1, +2.2%) - not a grave error, so the decision stands; same band height must be used in the nailbase row.</t>
        </is>
      </c>
      <c r="J41" s="80" t="inlineStr">
        <is>
          <t>CRITERIO</t>
        </is>
      </c>
      <c r="K41" s="38" t="n">
        <v>387.2</v>
      </c>
      <c r="L41" s="38" t="n">
        <v>472.1</v>
      </c>
      <c r="M41" s="38" t="inlineStr">
        <is>
          <t>5/A09.26 (ACM base), 9/A09.27 (metal panel base), 12/A09.27 (stucco base): "5/8" GLASS MAT SHEATHING" T/SLAB to "T/BASE ELEV. 0'-6"" -&gt; 7/A09.26 + 3/A09.26 (canopy band "SPRAY FOAM INSULATION ON 5/8" GLASS-MAT SHEATHING", T/STUD 12'-7", B/STUD 10'-7 1/4") -&gt; F/A09.22 (south canopy SIM 7/A09.26) -&gt; A02.02 / A04.01 canopy extents</t>
        </is>
      </c>
    </row>
    <row r="42" ht="21.75" customHeight="1" s="36">
      <c r="A42" s="46" t="inlineStr">
        <is>
          <t>Gypsum board jamb return at openings</t>
        </is>
      </c>
      <c r="B42" s="59" t="inlineStr">
        <is>
          <t>SF</t>
        </is>
      </c>
      <c r="C42" s="77" t="n">
        <v>95.94</v>
      </c>
      <c r="D42" s="78" t="n">
        <v>0.06</v>
      </c>
      <c r="E42" s="48">
        <f>C42*D42</f>
        <v/>
      </c>
      <c r="F42" s="79">
        <f>C42+E42</f>
        <v/>
      </c>
      <c r="G42" s="59" t="inlineStr">
        <is>
          <t>4x12 ft sheet</t>
        </is>
      </c>
      <c r="H42" s="57">
        <f>ROUNDUP(F42/48,0)</f>
        <v/>
      </c>
      <c r="I42" s="62" t="inlineStr">
        <is>
          <t>Same width basis as v3; LF re-derived per opening: v3 N carried 58.64 LF (29.32 SF) vs 47.31 LF here (pier jambs have no board return). -5.13 SF.</t>
        </is>
      </c>
      <c r="J42" s="80" t="inlineStr">
        <is>
          <t>CRITERIO</t>
        </is>
      </c>
      <c r="K42" s="38" t="n">
        <v>38.4</v>
      </c>
      <c r="L42" s="38" t="n">
        <v>95.94</v>
      </c>
      <c r="M42" s="38" t="inlineStr">
        <is>
          <t>2/A09.26 and 11/A09.27 SECTION DETAIL @ STOREFRONT HEAD "GYPSUM BOARD JAMB RETURN BEYOND" -&gt; 10/A09.27 (sill), 3/A09.25 (window jamb) -&gt; A02.01 / A09.01-02 openings</t>
        </is>
      </c>
    </row>
    <row r="43" ht="15" customHeight="1" s="36">
      <c r="A43" s="94" t="inlineStr">
        <is>
          <t>Ballistic panel 3/8" UL752</t>
        </is>
      </c>
      <c r="B43" s="98" t="inlineStr">
        <is>
          <t>SF</t>
        </is>
      </c>
      <c r="C43" s="101" t="n">
        <v>78.09999999999999</v>
      </c>
      <c r="D43" s="105" t="n">
        <v>0.06</v>
      </c>
      <c r="E43" s="100">
        <f>C43*D43</f>
        <v/>
      </c>
      <c r="F43" s="106">
        <f>C43+E43</f>
        <v/>
      </c>
      <c r="G43" s="98" t="inlineStr">
        <is>
          <t>4x12 ft sheet</t>
        </is>
      </c>
      <c r="H43" s="95">
        <f>ROUNDUP(F43/48,0)</f>
        <v/>
      </c>
      <c r="I43" s="102" t="inlineStr">
        <is>
          <t>Types A1K and B2K - 4/A12.01, bullet-resistant assembly</t>
        </is>
      </c>
      <c r="J43" s="93" t="inlineStr">
        <is>
          <t>RFI</t>
        </is>
      </c>
      <c r="K43" s="93" t="n">
        <v>68.02</v>
      </c>
      <c r="L43" s="93" t="n">
        <v>78.09999999999999</v>
      </c>
      <c r="M43" s="93" t="inlineStr">
        <is>
          <t>A02.01 (A1K/B2K tags, 3'-5") -&gt; 4/A12.01</t>
        </is>
      </c>
      <c r="N43" s="104" t="n"/>
      <c r="O43" s="104" t="inlineStr">
        <is>
          <t>U5: B2K #31 10.08/1.26 x 0.51 = +4.1</t>
        </is>
      </c>
    </row>
    <row r="44" ht="21.75" customHeight="1" s="36">
      <c r="A44" s="94" t="inlineStr">
        <is>
          <t>3/8" gypsum board</t>
        </is>
      </c>
      <c r="B44" s="98" t="inlineStr">
        <is>
          <t>SF</t>
        </is>
      </c>
      <c r="C44" s="101" t="n">
        <v>60.82</v>
      </c>
      <c r="D44" s="105" t="n">
        <v>0.06</v>
      </c>
      <c r="E44" s="100">
        <f>C44*D44</f>
        <v/>
      </c>
      <c r="F44" s="106">
        <f>C44+E44</f>
        <v/>
      </c>
      <c r="G44" s="98" t="inlineStr">
        <is>
          <t>4x12 ft sheet</t>
        </is>
      </c>
      <c r="H44" s="95">
        <f>ROUNDUP(F44/48,0)</f>
        <v/>
      </c>
      <c r="I44" s="102" t="inlineStr">
        <is>
          <t>A1K / B2K: 3/8" gyp above the ballistic panel, 4/A12.01</t>
        </is>
      </c>
      <c r="J44" s="93" t="inlineStr">
        <is>
          <t>RFI</t>
        </is>
      </c>
      <c r="K44" s="93" t="n">
        <v>51.53</v>
      </c>
      <c r="L44" s="93" t="n">
        <v>60.82</v>
      </c>
      <c r="M44" s="93" t="inlineStr">
        <is>
          <t>4/A12.01 'PROVIDE 3/8" GYP. BD. FROM 8'-0" TO UNDERSIDE OF STRUCTURE ABOVE'</t>
        </is>
      </c>
      <c r="N44" s="104" t="n"/>
      <c r="O44" s="104" t="inlineStr">
        <is>
          <t>U5: B2K #31 9.29/1.26 x 0.51 = +3.78</t>
        </is>
      </c>
    </row>
    <row r="45" ht="15" customHeight="1" s="36">
      <c r="A45" s="46" t="inlineStr">
        <is>
          <t>FRT plywood substrate</t>
        </is>
      </c>
      <c r="B45" s="59" t="inlineStr">
        <is>
          <t>SF</t>
        </is>
      </c>
      <c r="C45" s="77" t="n">
        <v>632.49</v>
      </c>
      <c r="D45" s="78" t="n">
        <v>0.06</v>
      </c>
      <c r="E45" s="48">
        <f>C45*D45</f>
        <v/>
      </c>
      <c r="F45" s="79">
        <f>C45+E45</f>
        <v/>
      </c>
      <c r="G45" s="59" t="inlineStr">
        <is>
          <t>4x12 ft sheet</t>
        </is>
      </c>
      <c r="H45" s="57">
        <f>ROUNDUP(F45/48,0)</f>
        <v/>
      </c>
      <c r="I45" s="62" t="inlineStr">
        <is>
          <t>v3 backboards 259.14 used 8.0 ft (from floor) on #8 and odd heights 7.64/7.95 and 9.99 LF on #18; the plywood starts 6" AFF and stops at 8'-0" (7.50 ft) and the Electrical room is 9'-7" face to face. -15.46 SF.</t>
        </is>
      </c>
      <c r="J45" s="80" t="inlineStr">
        <is>
          <t>DERIVADO</t>
        </is>
      </c>
      <c r="K45" s="38" t="n">
        <v>632.49</v>
      </c>
      <c r="L45" s="38" t="n">
        <v>647.95</v>
      </c>
      <c r="M45" s="38" t="inlineStr">
        <is>
          <t>12/A12.01 (type F) ; A02.01 key note 6 -&gt; 2,3,4,5/A11.03 (backboards) ; 2/A09.26, 11/A09.27, 1-3/A09.25 (3/4" FRT ply at openings) ; 6/A08.11 (ATM recess 5/8" FRT ply)</t>
        </is>
      </c>
    </row>
    <row r="46" ht="32.25" customHeight="1" s="36">
      <c r="A46" s="46" t="inlineStr">
        <is>
          <t>Level 5 finish</t>
        </is>
      </c>
      <c r="B46" s="59" t="inlineStr">
        <is>
          <t>SF</t>
        </is>
      </c>
      <c r="C46" s="77" t="n">
        <v>874.83</v>
      </c>
      <c r="D46" s="78" t="n">
        <v>0.06</v>
      </c>
      <c r="E46" s="48">
        <f>C46*D46</f>
        <v/>
      </c>
      <c r="F46" s="79">
        <f>C46+E46</f>
        <v/>
      </c>
      <c r="G46" s="59" t="inlineStr">
        <is>
          <t>4x12 ft sheet</t>
        </is>
      </c>
      <c r="H46" s="57">
        <f>ROUNDUP(F46/48,0)</f>
        <v/>
      </c>
      <c r="I46" s="62" t="inlineStr">
        <is>
          <t>v3 carried 5 WC-18 faces with a wrong set (#47 office-108/teller face at 10.07 LF, #49 both faces) and missed office 1 (#50 face 105), WC-22 media wall and WC-20. Area of WC-18 now from the 6 printed elevation widths.</t>
        </is>
      </c>
      <c r="J46" s="80" t="inlineStr">
        <is>
          <t>RFI</t>
        </is>
      </c>
      <c r="K46" s="38" t="n">
        <v>712.85</v>
      </c>
      <c r="L46" s="38" t="n">
        <v>874.83</v>
      </c>
      <c r="M46" s="38" t="inlineStr">
        <is>
          <t>A00.40 finish schedule WC-18/WC-22 'WALL SURFACE TO BE LEVEL 5' -&gt; A05.01 key notes 9 (WC-20), 10 (WC-22), 12 -&gt; A11.01 (office 2 S, media wall), A11.03 (office 6 N), A11.04 (offices 1,3,4,5 S) -&gt; A02.01 10'-0" media wall -&gt; A04.01 ceiling heights</t>
        </is>
      </c>
    </row>
    <row r="47" ht="74.25" customHeight="1" s="36">
      <c r="A47" s="46" t="inlineStr">
        <is>
          <t>5/8" FRT plywood sheathing (canopy and soffits)</t>
        </is>
      </c>
      <c r="B47" s="59" t="inlineStr">
        <is>
          <t>SF</t>
        </is>
      </c>
      <c r="C47" s="77" t="n">
        <v>1872.88</v>
      </c>
      <c r="D47" s="78" t="n">
        <v>0.06</v>
      </c>
      <c r="E47" s="48">
        <f>C47*D47</f>
        <v/>
      </c>
      <c r="F47" s="79">
        <f>C47+E47</f>
        <v/>
      </c>
      <c r="G47" s="59" t="inlineStr">
        <is>
          <t>4x12 ft sheet</t>
        </is>
      </c>
      <c r="H47" s="57">
        <f>ROUNDUP(F47/48,0)</f>
        <v/>
      </c>
      <c r="I47" s="62" t="inlineStr">
        <is>
          <t>v3 (and arb5 fascia 205.1 LF) omit the canopy over door 123: A04.01 draws its soffit with UU6 linear light and section F/A09.22 cuts it as SIM 7/A09.26 (same FRT plywood construction). +104.5 SF. Cross-check of the other four on the A02.02 roof outline: W 1,027.1 / N 218.2 / E 113.9 (v3 within -25 SF, kept).</t>
        </is>
      </c>
      <c r="J47" s="80" t="inlineStr">
        <is>
          <t>DERIVADO</t>
        </is>
      </c>
      <c r="K47" s="38" t="n">
        <v>1768.38</v>
      </c>
      <c r="L47" s="38" t="n">
        <v>2030</v>
      </c>
      <c r="M47" s="38" t="inlineStr">
        <is>
          <t>A04.01 RCP (canopy soffits incl. south canopy at door 123, section F/A09.22) -&gt; F/A09.22 "SIM 7/A09.26" -&gt; 7/A09.26, 3/A09.26, 15,16/A09.27 "5/8" EXT. GRADE FRT PLYWOOD SHEATHING ON 3 5/8" METAL STUD FRAMING"</t>
        </is>
      </c>
    </row>
    <row r="48" ht="21.75" customHeight="1" s="36">
      <c r="A48" s="55" t="inlineStr">
        <is>
          <t>TRIM AND ACCESSORIES</t>
        </is>
      </c>
      <c r="B48" s="56" t="n"/>
      <c r="C48" s="56" t="n"/>
      <c r="D48" s="56" t="n"/>
      <c r="E48" s="56" t="n"/>
      <c r="F48" s="56" t="n"/>
      <c r="G48" s="56" t="n"/>
      <c r="H48" s="56" t="n"/>
      <c r="I48" s="56" t="n"/>
    </row>
    <row r="49" ht="42.75" customHeight="1" s="36">
      <c r="A49" s="46" t="inlineStr">
        <is>
          <t>METAL trim - corner bead, casing bead, shadow molding, gypsum edge trim</t>
        </is>
      </c>
      <c r="B49" s="59" t="inlineStr">
        <is>
          <t>LF</t>
        </is>
      </c>
      <c r="C49" s="77" t="n">
        <v>1267.55</v>
      </c>
      <c r="D49" s="78" t="n">
        <v>0.15</v>
      </c>
      <c r="E49" s="48">
        <f>C49*D49</f>
        <v/>
      </c>
      <c r="F49" s="79">
        <f>C49+E49</f>
        <v/>
      </c>
      <c r="G49" s="59" t="inlineStr">
        <is>
          <t>trim stick 10 ft</t>
        </is>
      </c>
      <c r="H49" s="57">
        <f>ROUNDUP(F49/10,0)</f>
        <v/>
      </c>
      <c r="I49" s="62" t="inlineStr">
        <is>
          <t>v3 had no trim at the office-front jambs (10/A12.01 calls corner bead) and none at the jamb returns it already carries as board (criterion 53.1 mandatory), nor at the media-wall furring. | COORDINATOR: 7/A09.33 transition trims were in no v3 row; jamb return re-derived by G2</t>
        </is>
      </c>
      <c r="J49" s="80" t="inlineStr">
        <is>
          <t>CRITERIO</t>
        </is>
      </c>
      <c r="K49" s="38" t="n">
        <v>632.76</v>
      </c>
      <c r="L49" s="38" t="n">
        <v>1620.57</v>
      </c>
      <c r="M49" s="38" t="inlineStr">
        <is>
          <t>8,9/A12.01 (corner bead + shadow molding) ; 10/A12.01 OFFICE JAMB 'CORNER BEAD - TYPICAL' ; 4/A12.01 'APPROPRIATE METAL TRIM AND CASING BEADS' ; 10/A09.33 soffit corner bead ; 6/A09.33 gypsum edge trim ; 2/A09.26 + 11/A09.27 + 1,2/A09.25 GYPSUM BOARD JAMB RETURN (criterion 53.1) ; 6/A12.01 C1 + A02.01 10'-0" x 8" media furring ; 7/A09.33</t>
        </is>
      </c>
    </row>
    <row r="50" ht="53.25" customHeight="1" s="36">
      <c r="A50" s="46" t="inlineStr">
        <is>
          <t>PVC trim - edge trim molding and inside corner molding at the FRP</t>
        </is>
      </c>
      <c r="B50" s="59" t="inlineStr">
        <is>
          <t>LF</t>
        </is>
      </c>
      <c r="C50" s="77" t="n">
        <v>211.2</v>
      </c>
      <c r="D50" s="78" t="n">
        <v>0.06</v>
      </c>
      <c r="E50" s="48">
        <f>C50*D50</f>
        <v/>
      </c>
      <c r="F50" s="79">
        <f>C50+E50</f>
        <v/>
      </c>
      <c r="G50" s="59" t="inlineStr">
        <is>
          <t>trim stick 10 ft</t>
        </is>
      </c>
      <c r="H50" s="57">
        <f>ROUNDUP(F50/10,0)</f>
        <v/>
      </c>
      <c r="I50" s="62" t="inlineStr">
        <is>
          <t>v3 carried only the mop-sink inside corner (4 LF); 3/A08.01 draws PVC edge trim at the top AND the bottom of the FRP and 7/A08.01 an inside-corner molding at every inside corner of the restrooms.</t>
        </is>
      </c>
      <c r="J50" s="80" t="inlineStr">
        <is>
          <t>CRITERIO</t>
        </is>
      </c>
      <c r="K50" s="38" t="n">
        <v>191.2</v>
      </c>
      <c r="L50" s="38" t="n">
        <v>211.87</v>
      </c>
      <c r="M50" s="38" t="inlineStr">
        <is>
          <t>3/A08.01 (PVC EDGE TRIM MOLDING top + PVC EDGE TRIP MOLDING bottom over the cove base) ; 7/A08.01 PVC INSIDE CORNER TRIM MOLDING ; 4,5/A08.01 mop sink</t>
        </is>
      </c>
    </row>
    <row r="51" ht="21.75" customHeight="1" s="36">
      <c r="A51" s="108" t="inlineStr">
        <is>
          <t>Power-driven fasteners and duct sleeves</t>
        </is>
      </c>
      <c r="B51" s="112" t="inlineStr">
        <is>
          <t>pcs</t>
        </is>
      </c>
      <c r="C51" s="115" t="n">
        <v>274</v>
      </c>
      <c r="D51" s="119" t="n"/>
      <c r="E51" s="114" t="n"/>
      <c r="F51" s="120">
        <f>C51</f>
        <v/>
      </c>
      <c r="G51" s="112" t="inlineStr">
        <is>
          <t>each</t>
        </is>
      </c>
      <c r="H51" s="109">
        <f>ROUNDUP(F51/1,0)</f>
        <v/>
      </c>
      <c r="I51" s="116" t="inlineStr">
        <is>
          <t>Parapet run grows to the full perimeter (G2 270.69 vs 217.64). The 16 A1K bottom-track fasteners are moved to the slab-pin row: 7/S5.20 SILL TRACK ANCHORAGE governs interior walls at 12in O.C. (tighter than 4/A12.01's 2'-0"), keeping them here would double-count the A1K bottom track.</t>
        </is>
      </c>
      <c r="J51" s="107" t="inlineStr">
        <is>
          <t>DERIVADO</t>
        </is>
      </c>
      <c r="K51" s="107" t="n">
        <v>274</v>
      </c>
      <c r="L51" s="107" t="n">
        <v>298</v>
      </c>
      <c r="M51" s="107" t="inlineStr">
        <is>
          <t>11/S5.10 PARAPET INFILL FRAMING: '600T125-54 TOP &amp; BOT.' + 'PAFs SPACED AT 12" O.C. MAX.' (bottom track to steel beam); duct sleeves per v3 Partition_Takeoff walls B #19 (1) and B2 #27 (3)</t>
        </is>
      </c>
      <c r="N51" s="118" t="n"/>
      <c r="O51" s="118" t="n"/>
      <c r="P51" s="118" t="inlineStr">
        <is>
          <t>W2: #160 -1.0 = -1.0</t>
        </is>
      </c>
    </row>
    <row r="52" ht="15" customHeight="1" s="36">
      <c r="A52" s="108" t="inlineStr">
        <is>
          <t>Blocking FRT / 2X FRT wood</t>
        </is>
      </c>
      <c r="B52" s="112" t="inlineStr">
        <is>
          <t>LF</t>
        </is>
      </c>
      <c r="C52" s="115" t="n">
        <v>1080.38</v>
      </c>
      <c r="D52" s="119" t="n">
        <v>0.06</v>
      </c>
      <c r="E52" s="114">
        <f>C52*D52</f>
        <v/>
      </c>
      <c r="F52" s="120">
        <f>C52+E52</f>
        <v/>
      </c>
      <c r="G52" s="112" t="inlineStr">
        <is>
          <t>LF</t>
        </is>
      </c>
      <c r="H52" s="109">
        <f>ROUNDUP(F52/1,0)</f>
        <v/>
      </c>
      <c r="I52" s="116" t="inlineStr">
        <is>
          <t>Rebuilt item by item; v3 per-wall Blocking column cannot be traced to items (it still mixed the 2xL metal 362CR22 pattern). Changes vs v3 788.35: parapet carried at the 2 plies drawn in 4/A09.26 (criterion 53.3, more material) on G2 centerline 270.69 instead of 1 ply on 263.84 (+277.54); artwork now 6 pieces (v3 had 5, none on Office 1); note C boards/lockers and monitor rebuilt from elevations; wall stops limited to 9 doors whose hardware group lists WALL STOP; toilet accessories piece by piece. Door 123 HM-head 3/4in FRT plywood (14/A09.27, 17.33 LF) NOT carried here: per arb5 it belongs to the FRT plywood (SF) family with the other opening-perimeter strips (v3 788.35 also excluded it). NOTE: this departs from the value arb5 accepted (788.35, 1 ply) only on the ply count; arb5's own range (788-1,272) contains it. If the coordinator keeps 1 ply: net = 813.21.</t>
        </is>
      </c>
      <c r="J52" s="107" t="inlineStr">
        <is>
          <t>CRITERIO</t>
        </is>
      </c>
      <c r="K52" s="107" t="n">
        <v>702.89</v>
      </c>
      <c r="L52" s="107" t="n">
        <v>1175.54</v>
      </c>
      <c r="M52" s="107" t="inlineStr">
        <is>
          <t>4/A09.26 (parapet); 9,8,10/A12.01 + A11.01 7 (office front); 4/A02.02; 3/A08.21; 8/A12.10; 1,2/A09.33 (WAP); 10/A09.33=9/A12.08 (CSR soffit, once); A12.03-A12.06 note D + A00.30 millwork schedule; A08.01 note E + 1/A08.01 + A-D/A08.01 + A11.02 (TA-2/TA-19); A00.30 note D + hardware groups; A02.01 KN3 -&gt; 3/A09.30; A02.01 KN7 -&gt; 13/A12.02; A11.01 4, A11.03 7, A11.04 3/7/9/16 (artwork); A02.01 note C + KN5 -&gt; 5,6/A11.02, 2/A11.02 + A00.40 items 7, 69, CW-16</t>
        </is>
      </c>
      <c r="N52" s="118" t="n"/>
      <c r="O52" s="118" t="n"/>
      <c r="P52" s="118" t="inlineStr">
        <is>
          <t>W2: #160 2 plies x -1.76 = -3.52</t>
        </is>
      </c>
    </row>
    <row r="53" ht="32.25" customHeight="1" s="36">
      <c r="A53" s="46" t="inlineStr">
        <is>
          <t>Access panel 2'x2'</t>
        </is>
      </c>
      <c r="B53" s="59" t="inlineStr">
        <is>
          <t>pcs</t>
        </is>
      </c>
      <c r="C53" s="61" t="n">
        <v>1</v>
      </c>
      <c r="D53" s="78" t="n"/>
      <c r="E53" s="48" t="n"/>
      <c r="F53" s="79">
        <f>C53</f>
        <v/>
      </c>
      <c r="G53" s="59" t="inlineStr">
        <is>
          <t>each</t>
        </is>
      </c>
      <c r="H53" s="57">
        <f>ROUNDUP(F53/1,0)</f>
        <v/>
      </c>
      <c r="I53" s="62" t="inlineStr">
        <is>
          <t>A04.01 key note 4: "2' X 2' LOCKING ACCESS PANEL. KEYED TO MATCH MAIN ENTRY" - marker only in Vestibule 100</t>
        </is>
      </c>
      <c r="J53" s="38" t="inlineStr">
        <is>
          <t>CONFIRMADO</t>
        </is>
      </c>
      <c r="K53" s="38" t="n">
        <v>1</v>
      </c>
      <c r="L53" s="38" t="n">
        <v>1</v>
      </c>
      <c r="M53" s="38" t="inlineStr">
        <is>
          <t>A04.01 key note 4 '2' X 2' LOCKING ACCESS PANEL. KEYED TO MATCH MAIN ENTRY' - one marker, Vestibule 100 (GWB ceiling)</t>
        </is>
      </c>
    </row>
    <row r="54" ht="21.75" customHeight="1" s="36">
      <c r="A54" s="38" t="inlineStr">
        <is>
          <t>5/8" FRT plywood at canopy column wraps</t>
        </is>
      </c>
      <c r="B54" s="38" t="inlineStr">
        <is>
          <t>SF</t>
        </is>
      </c>
      <c r="C54" s="80" t="n">
        <v>220.5</v>
      </c>
      <c r="D54" s="38" t="n">
        <v>0.06</v>
      </c>
      <c r="E54" s="38">
        <f>C54*D54</f>
        <v/>
      </c>
      <c r="F54" s="38">
        <f>C54+E54</f>
        <v/>
      </c>
      <c r="G54" s="38" t="inlineStr">
        <is>
          <t>4x12 ft sheet</t>
        </is>
      </c>
      <c r="H54" s="38">
        <f>ROUNDUP(F54/48,0)</f>
        <v/>
      </c>
      <c r="I54" s="38" t="inlineStr">
        <is>
          <t>v3 used 1'-5" per side (not printed); 5/A09.25 prints 1'-2 1/2" FOS. Arb2 value 220.5 confirmed.</t>
        </is>
      </c>
      <c r="J54" s="80" t="inlineStr">
        <is>
          <t>DERIVADO</t>
        </is>
      </c>
      <c r="K54" s="38" t="n">
        <v>220.5</v>
      </c>
      <c r="L54" s="38" t="n">
        <v>222.7</v>
      </c>
      <c r="M54" s="38" t="inlineStr">
        <is>
          <t>A02.01 (4 canopy columns grid 1 at G, E.4, C.5, B.2, bubbles 5/A09.25) -&gt; 5/A09.25 DETAIL @ CANOPY COLUMN "1'-2 1/2" FOS" both ways, "STUCCO SYSTEM (PT-03) ON 5/8" EXTERIOR GRADE FRT PLYWOOD ON 3-5/8" METAL FRAMING" -&gt; A09.01 B/CANOPY 10'-6"</t>
        </is>
      </c>
    </row>
    <row r="55" ht="32.25" customHeight="1" s="36">
      <c r="A55" s="40" t="inlineStr">
        <is>
          <t>3/4" FRT plywood at storefront piers</t>
        </is>
      </c>
      <c r="B55" s="40" t="inlineStr">
        <is>
          <t>SF</t>
        </is>
      </c>
      <c r="C55" s="40" t="n">
        <v>23.59</v>
      </c>
      <c r="D55" s="40" t="n">
        <v>0.06</v>
      </c>
      <c r="E55" s="40">
        <f>C55*D55</f>
        <v/>
      </c>
      <c r="F55" s="40">
        <f>C55+E55</f>
        <v/>
      </c>
      <c r="G55" s="40" t="inlineStr">
        <is>
          <t>4x12 ft sheet</t>
        </is>
      </c>
      <c r="H55" s="40">
        <f>ROUNDUP(F55/48,0)</f>
        <v/>
      </c>
      <c r="I55" s="40" t="inlineStr">
        <is>
          <t>1,2/A09.25 label 3/4" FRT plywood only as the narrow jamb strips behind the storefront frames; the pier faces are "CONTINUOUS AWB ON 5/8" FRT PLYWOOD BONDED TO POLYISO" (nailbase family) and 5/8" gypsum board inside. v3 327.2 SF (from test A of arb2) has no support in the details: -300.3 SF.</t>
        </is>
      </c>
      <c r="J55" s="40" t="inlineStr">
        <is>
          <t>DERIVADO</t>
        </is>
      </c>
      <c r="K55" s="40" t="n">
        <v>23.59</v>
      </c>
      <c r="L55" s="40" t="n">
        <v>23.59</v>
      </c>
      <c r="M55" s="40" t="inlineStr">
        <is>
          <t>1/A09.25; 2/A09.25; A09.01 T/GLAZING</t>
        </is>
      </c>
      <c r="N55" s="76" t="inlineStr">
        <is>
          <t>D4: 0.7589 + 0.7578 + 0.7589 + 0.5000 = 2.7756 ft x 8.5 (T/GLAZING 8'-6" A09.01) x 1 ply = 23.59 SF. RFI-PIER-PLY: 2 layers drawn, label singular -&gt; 1 ply (+23.59 SF if 2 plies)</t>
        </is>
      </c>
    </row>
    <row r="56" ht="21.75" customHeight="1" s="36">
      <c r="A56" s="38" t="inlineStr">
        <is>
          <t>Sealant at base of gypsum (exterior, not acoustical)</t>
        </is>
      </c>
      <c r="B56" s="38" t="inlineStr">
        <is>
          <t>LF</t>
        </is>
      </c>
      <c r="C56" s="80" t="n">
        <v>209.18</v>
      </c>
      <c r="D56" s="38" t="n">
        <v>0.06</v>
      </c>
      <c r="E56" s="38">
        <f>C56*D56</f>
        <v/>
      </c>
      <c r="F56" s="38">
        <f>C56+E56</f>
        <v/>
      </c>
      <c r="G56" s="38" t="inlineStr">
        <is>
          <t>LF</t>
        </is>
      </c>
      <c r="H56" s="38">
        <f>ROUNDUP(F56/1,0)</f>
        <v/>
      </c>
      <c r="I56" s="38" t="inlineStr">
        <is>
          <t>v3 217.6 = full v3 wall LF (outer-face basis, door 123 not deducted). Re-measured on the stud CL validated by printed grid dims; stops at storefront and door openings (arb6). -8.4 LF, slightly below arb6 range 211.4-217.6 because of the interior-face basis.</t>
        </is>
      </c>
      <c r="J56" s="80" t="inlineStr">
        <is>
          <t>DERIVADO</t>
        </is>
      </c>
      <c r="K56" s="38" t="n">
        <v>209.18</v>
      </c>
      <c r="L56" s="38" t="n">
        <v>217.6</v>
      </c>
      <c r="M56" s="38" t="inlineStr">
        <is>
          <t>5/A09.26, 9/A09.27, 12/A09.27 "SEALANT AT BASE OF GYPSUM" (interior face of the exterior wall, all three base types) -&gt; A02.01 openings (storefront, door 123)</t>
        </is>
      </c>
    </row>
    <row r="57" ht="21.75" customHeight="1" s="36">
      <c r="A57" s="107" t="inlineStr">
        <is>
          <t>Stud blocking 362CR22 at edge of gypboard (4/S5.20)</t>
        </is>
      </c>
      <c r="B57" s="107" t="inlineStr">
        <is>
          <t>LF</t>
        </is>
      </c>
      <c r="C57" s="107" t="n">
        <v>591.55</v>
      </c>
      <c r="D57" s="107" t="n">
        <v>0.15</v>
      </c>
      <c r="E57" s="107">
        <f>C57*D57</f>
        <v/>
      </c>
      <c r="F57" s="107">
        <f>C57+E57</f>
        <v/>
      </c>
      <c r="G57" s="107" t="inlineStr">
        <is>
          <t>stick 20 ft</t>
        </is>
      </c>
      <c r="H57" s="107">
        <f>ROUNDUP(F57/20,0)</f>
        <v/>
      </c>
      <c r="I57" s="107" t="inlineStr">
        <is>
          <t>v3 carried only the 201 LF reading (top edge where board stops below stud top). Per user decision the base carries 466 (butt-joint reading) with RFI.</t>
        </is>
      </c>
      <c r="J57" s="107" t="inlineStr">
        <is>
          <t>CRITERIO</t>
        </is>
      </c>
      <c r="K57" s="107" t="n">
        <v>591.55</v>
      </c>
      <c r="L57" s="107" t="n">
        <v>680.7</v>
      </c>
      <c r="M57" s="107" t="inlineStr">
        <is>
          <t>S5.20 -&gt; 4/S5.20 TYPICAL BLOCKING DETAIL (NTS): 'STUD BLOCKING 362CR22 (TYP.)' + 'PROVIDE BLOCKING AT THE EDGE OF GYPBOARD.'</t>
        </is>
      </c>
      <c r="N57" s="118" t="n"/>
      <c r="O57" s="118" t="n"/>
      <c r="P57" s="118" t="inlineStr">
        <is>
          <t>Plan + R59.14(b) (arbitration #26): one row of 362CR22 per stud row at the horizontal joint of every face whose BOARD PIECE is taller than the 12 ft sheet; LF = length of the tall face (not the whole wall when only part of a face is tall); a door bulkhead board piece starts at the opening head (~7 ft piece, no joint). Over the 26A canon faces (the reading that has the MW01 recess and ELECTRICAL 120 "open to structure" faces): EXT 212.13 + G 161.45 + B 60.27 + C1 47.64 + B2 38.40 + G1 35.49 + A1 22.13 + A1K 8.60 + A5 3.94 + B2K 1.50 = 591.55. Alternative (a) exterior + double-layer only stays as RFI.</t>
        </is>
      </c>
    </row>
    <row r="58" ht="15" customHeight="1" s="36">
      <c r="A58" s="55" t="inlineStr">
        <is>
          <t>TAPING, FASTENERS AND INSTALLATION ACCESSORIES</t>
        </is>
      </c>
      <c r="B58" s="56" t="n"/>
      <c r="C58" s="56" t="n"/>
      <c r="D58" s="56" t="n"/>
      <c r="E58" s="56" t="n"/>
      <c r="F58" s="56" t="n"/>
      <c r="G58" s="56" t="n"/>
      <c r="H58" s="56" t="n"/>
      <c r="I58" s="56" t="n"/>
    </row>
    <row r="59" ht="15" customHeight="1" s="36">
      <c r="A59" s="46" t="inlineStr">
        <is>
          <t>Drywall screws 1-1/4" bugle head</t>
        </is>
      </c>
      <c r="B59" s="59" t="inlineStr">
        <is>
          <t>pcs</t>
        </is>
      </c>
      <c r="C59" s="77" t="n">
        <v>21323.33</v>
      </c>
      <c r="D59" s="78" t="n"/>
      <c r="E59" s="48" t="n"/>
      <c r="F59" s="79">
        <f>C59</f>
        <v/>
      </c>
      <c r="G59" s="59" t="inlineStr">
        <is>
          <t>each</t>
        </is>
      </c>
      <c r="H59" s="57">
        <f>ROUNDUP(F59/1,0)</f>
        <v/>
      </c>
      <c r="I59" s="62" t="inlineStr">
        <is>
          <t>v3 20,239.30 = 1.2 x 16,866.08, a stale driver (16,595.30 regular + 213.74 MR + 57.04 = old pre-arbitration values). Coordinator must recompute with the final G3/G4 board totals. | COORDINATOR: driver refreshed with v4 board totals</t>
        </is>
      </c>
      <c r="J59" s="80" t="inlineStr">
        <is>
          <t>DERIVADO</t>
        </is>
      </c>
      <c r="K59" s="38" t="n">
        <v>21323.33</v>
      </c>
      <c r="L59" s="38" t="n">
        <v>21323.33</v>
      </c>
      <c r="M59" s="38" t="inlineStr">
        <is>
          <t>Inputs B20 yield 1.2 screws/SF (GA-216); S5.20 FASTENER SCHEDULE '5/8" GYPBOARD TO STUDS ... 6" O.C. @ EDGES, 12" O.C. @ SUPPORTS' is consistent</t>
        </is>
      </c>
    </row>
    <row r="60" ht="15" customHeight="1" s="36">
      <c r="A60" s="46" t="inlineStr">
        <is>
          <t>Framing screws, pan head self-drilling</t>
        </is>
      </c>
      <c r="B60" s="59" t="inlineStr">
        <is>
          <t>pcs</t>
        </is>
      </c>
      <c r="C60" s="77" t="n">
        <v>5252</v>
      </c>
      <c r="D60" s="78" t="n"/>
      <c r="E60" s="48" t="n"/>
      <c r="F60" s="79">
        <f>C60</f>
        <v/>
      </c>
      <c r="G60" s="59" t="inlineStr">
        <is>
          <t>each</t>
        </is>
      </c>
      <c r="H60" s="57">
        <f>ROUNDUP(F60/1,0)</f>
        <v/>
      </c>
      <c r="I60" s="62" t="inlineStr">
        <is>
          <t>v3 2,996 = 4 x 749 pieces, a driver that matches no stud count in v3 (Partition_Takeoff alone gives 1,287 pcs). Recompute with final G1/G2 stud piece counts.</t>
        </is>
      </c>
      <c r="J60" s="80" t="inlineStr">
        <is>
          <t>DERIVADO</t>
        </is>
      </c>
      <c r="K60" s="38" t="n">
        <v>5252</v>
      </c>
      <c r="L60" s="38" t="n">
        <v>5252</v>
      </c>
      <c r="M60" s="38" t="inlineStr">
        <is>
          <t>Inputs B21 yield 4 screws per installed stud piece (2 per stud-to-track connection, each end)</t>
        </is>
      </c>
    </row>
    <row r="61" ht="32.8" customHeight="1" s="36">
      <c r="A61" s="46" t="inlineStr">
        <is>
          <t>Power-driven fasteners, slab pins for the bottom track</t>
        </is>
      </c>
      <c r="B61" s="59" t="inlineStr">
        <is>
          <t>pcs</t>
        </is>
      </c>
      <c r="C61" s="77" t="n">
        <v>515.71</v>
      </c>
      <c r="D61" s="78" t="n"/>
      <c r="E61" s="48" t="n"/>
      <c r="F61" s="79">
        <f>C61</f>
        <v/>
      </c>
      <c r="G61" s="59" t="inlineStr">
        <is>
          <t>each</t>
        </is>
      </c>
      <c r="H61" s="57">
        <f>ROUNDUP(F61/1,0)</f>
        <v/>
      </c>
      <c r="I61" s="62" t="inlineStr">
        <is>
          <t>v3 used 2 ft spacing (Inputs B22, from 4/A12.01) on 806.49 LF that included the exterior walls and the bulkhead. 7/S5.20 sets interior walls at 12in and exterior walls at Kwik Bolt @ 8in; v3's own Pending Items already said the 12in figure should be priced. | COORDINATOR: driver refreshed with G1 track</t>
        </is>
      </c>
      <c r="J61" s="80" t="inlineStr">
        <is>
          <t>RFI</t>
        </is>
      </c>
      <c r="K61" s="38" t="n">
        <v>257.86</v>
      </c>
      <c r="L61" s="38" t="n">
        <v>515.71</v>
      </c>
      <c r="M61" s="38" t="inlineStr">
        <is>
          <t>7/S5.20 SILL TRACK ANCHORAGE: INTERIOR WALLS 'HILTI DNI 32 P8 @ 12" O.C.'; 3/S5.20 FASTENER SCHEDULE level 1-3 16" O.C.; 4/A12.01 2'-0" O.C. (A1K)</t>
        </is>
      </c>
    </row>
    <row r="62" ht="43.25" customHeight="1" s="36">
      <c r="A62" s="38" t="inlineStr">
        <is>
          <t>Expansion anchors Hilti 1/4" Kwik Bolt II, exterior bottom track @ 8" O.C.</t>
        </is>
      </c>
      <c r="B62" s="38" t="inlineStr">
        <is>
          <t>pcs</t>
        </is>
      </c>
      <c r="C62" s="80" t="n">
        <v>326.46</v>
      </c>
      <c r="F62" s="38">
        <f>C62</f>
        <v/>
      </c>
      <c r="G62" s="38" t="inlineStr">
        <is>
          <t>each</t>
        </is>
      </c>
      <c r="H62" s="38">
        <f>ROUNDUP(F62/1,0)</f>
        <v/>
      </c>
      <c r="I62" s="38" t="inlineStr">
        <is>
          <t>New row: v3 priced these as 2 ft powder pins inside the slab-pin yield; the structural schedule calls an expansion anchor at 8in.</t>
        </is>
      </c>
      <c r="J62" s="80" t="inlineStr">
        <is>
          <t>DERIVADO</t>
        </is>
      </c>
      <c r="K62" s="38" t="n">
        <v>326.46</v>
      </c>
      <c r="L62" s="38" t="n">
        <v>326.46</v>
      </c>
      <c r="M62" s="38" t="inlineStr">
        <is>
          <t>7/S5.20 SILL TRACK ANCHORAGE: EXTERIOR WALLS 'HILTI 1/4" KWIK BOLT II @ 8" O.C.'</t>
        </is>
      </c>
    </row>
    <row r="63" ht="15" customHeight="1" s="36">
      <c r="A63" s="46" t="inlineStr">
        <is>
          <t>Joint compound, all purpose</t>
        </is>
      </c>
      <c r="B63" s="59" t="inlineStr">
        <is>
          <t>lb</t>
        </is>
      </c>
      <c r="C63" s="77" t="n">
        <v>1279.4</v>
      </c>
      <c r="D63" s="78" t="n"/>
      <c r="E63" s="48" t="n"/>
      <c r="F63" s="79">
        <f>C63</f>
        <v/>
      </c>
      <c r="G63" s="59" t="inlineStr">
        <is>
          <t>lb</t>
        </is>
      </c>
      <c r="H63" s="57">
        <f>ROUNDUP(F63/1,0)</f>
        <v/>
      </c>
      <c r="I63" s="62" t="inlineStr">
        <is>
          <t>Same stale driver as drywall screws (v3 used 16,866.08 SF). Level 5 area (490.43 SF) would add skim coat if priced here. | COORDINATOR: driver refreshed with v4 board totals</t>
        </is>
      </c>
      <c r="J63" s="80" t="inlineStr">
        <is>
          <t>DERIVADO</t>
        </is>
      </c>
      <c r="K63" s="38" t="n">
        <v>1279.4</v>
      </c>
      <c r="L63" s="38" t="n">
        <v>1279.4</v>
      </c>
      <c r="M63" s="38" t="inlineStr">
        <is>
          <t>Inputs B23 yield 0.072 lb/SF (level 4)</t>
        </is>
      </c>
    </row>
    <row r="64" ht="32.8" customHeight="1" s="36">
      <c r="A64" s="46" t="inlineStr">
        <is>
          <t>Joint tape, paper</t>
        </is>
      </c>
      <c r="B64" s="59" t="inlineStr">
        <is>
          <t>LF</t>
        </is>
      </c>
      <c r="C64" s="77" t="n">
        <v>6574.69</v>
      </c>
      <c r="D64" s="78" t="n"/>
      <c r="E64" s="48" t="n"/>
      <c r="F64" s="79">
        <f>C64</f>
        <v/>
      </c>
      <c r="G64" s="59" t="inlineStr">
        <is>
          <t>LF</t>
        </is>
      </c>
      <c r="H64" s="57">
        <f>ROUNDUP(F64/1,0)</f>
        <v/>
      </c>
      <c r="I64" s="62" t="inlineStr">
        <is>
          <t>Same stale driver as drywall screws (v3 used 16,866.08 SF). | COORDINATOR: driver refreshed with v4 board totals</t>
        </is>
      </c>
      <c r="J64" s="80" t="inlineStr">
        <is>
          <t>DERIVADO</t>
        </is>
      </c>
      <c r="K64" s="38" t="n">
        <v>6574.69</v>
      </c>
      <c r="L64" s="38" t="n">
        <v>6574.69</v>
      </c>
      <c r="M64" s="38" t="inlineStr">
        <is>
          <t>Inputs B24 yield 0.37 LF/SF</t>
        </is>
      </c>
    </row>
    <row r="65" ht="22.35" customHeight="1" s="36"/>
    <row r="66">
      <c r="A66" s="42" t="inlineStr">
        <is>
          <t>Net values are typed from the v4 re-quantification (each traced in CAMBIOS v4 / REPORTE_v4.md); Waste, Purchase and Pieces are live formulas.</t>
        </is>
      </c>
    </row>
    <row r="67" ht="15" customHeight="1" s="36">
      <c r="A67" s="42" t="inlineStr">
        <is>
          <t>The five accessory lines are YIELDS, not drawing quantities: they are marked DERIVED, each one names the yield it used, and the yield lives in a yellow Inputs cell so you can set your own.</t>
        </is>
      </c>
    </row>
    <row r="68" ht="15" customHeight="1" s="36">
      <c r="A68" s="42" t="inlineStr">
        <is>
          <t>v7 (U8): acoustical sealant EXCLUDED in all projects (estimator standing order) - no row; see Clarifications.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C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8" min="1" max="1"/>
    <col width="34" customWidth="1" style="38" min="2" max="2"/>
    <col width="118" customWidth="1" style="38" min="3" max="3"/>
  </cols>
  <sheetData>
    <row r="1" ht="15.75" customHeight="1" s="36">
      <c r="A1" s="41" t="inlineStr">
        <is>
          <t>CLARIFICATIONS &amp; EXCLUSIONS - part of the bid, never omitted</t>
        </is>
      </c>
    </row>
    <row r="3" ht="33.75" customHeight="1" s="36">
      <c r="A3" s="54" t="inlineStr">
        <is>
          <t>#</t>
        </is>
      </c>
      <c r="B3" s="54" t="inlineStr">
        <is>
          <t>Subject</t>
        </is>
      </c>
      <c r="C3" s="54" t="inlineStr">
        <is>
          <t>Statement</t>
        </is>
      </c>
    </row>
    <row r="4" ht="15" customHeight="1" s="36">
      <c r="A4" s="55" t="inlineStr">
        <is>
          <t>A. SCOPE OF THIS PROPOSAL</t>
        </is>
      </c>
      <c r="B4" s="56" t="n"/>
      <c r="C4" s="56" t="n"/>
    </row>
    <row r="5" ht="30" customHeight="1" s="36">
      <c r="A5" s="57" t="n">
        <v>2</v>
      </c>
      <c r="B5" s="81" t="inlineStr">
        <is>
          <t>Divisions included</t>
        </is>
      </c>
      <c r="C5" s="46" t="inlineStr">
        <is>
          <t>CSI Division 05 40 00 Cold-Formed Metal Framing and Division 09 20 00 / 09 29 00 Gypsum Board Assemblies only. Metal framing, gypsum board and the substrates the drywall trade installs.</t>
        </is>
      </c>
    </row>
    <row r="6" ht="30" customHeight="1" s="36">
      <c r="A6" s="57" t="n">
        <v>3</v>
      </c>
      <c r="B6" s="81" t="inlineStr">
        <is>
          <t>New construction</t>
        </is>
      </c>
      <c r="C6" s="46" t="inlineStr">
        <is>
          <t>Ground-up building: the set has NO Demolition Plan. Every partition, ceiling and soffit priced here is new work. No patch-and-repair allowance is carried, and none is needed.</t>
        </is>
      </c>
    </row>
    <row r="7" ht="30" customHeight="1" s="36">
      <c r="A7" s="57" t="n">
        <v>4</v>
      </c>
      <c r="B7" s="81" t="inlineStr">
        <is>
          <t>Quantities are net</t>
        </is>
      </c>
      <c r="C7" s="46" t="inlineStr">
        <is>
          <t>All takeoff quantities are NET. Waste is shown separately on Material Summary at 15% on metal and 6% on board, applied by type, and is NOT buried inside any takeoff figure.</t>
        </is>
      </c>
    </row>
    <row r="8" ht="30" customHeight="1" s="36">
      <c r="A8" s="57" t="n">
        <v>5</v>
      </c>
      <c r="B8" s="81" t="inlineStr">
        <is>
          <t>Board sheet size</t>
        </is>
      </c>
      <c r="C8" s="46" t="inlineStr">
        <is>
          <t>Purchase quantities convert at the sheet size set on the Inputs tab (currently 4 ft x 12 ft). Change it there and every piece count re-rounds up automatically.</t>
        </is>
      </c>
    </row>
    <row r="9" ht="15" customHeight="1" s="36">
      <c r="A9" s="55" t="inlineStr">
        <is>
          <t>B. WHAT IS EXCLUDED, AND WHY</t>
        </is>
      </c>
      <c r="B9" s="56" t="n"/>
      <c r="C9" s="56" t="n"/>
    </row>
    <row r="10" ht="64.5" customHeight="1" s="36">
      <c r="A10" s="57" t="n">
        <v>7</v>
      </c>
      <c r="B10" s="81" t="inlineStr">
        <is>
          <t>Insulation - EXCLUDED by instruction</t>
        </is>
      </c>
      <c r="C10" s="46" t="inlineStr">
        <is>
          <t>Excluded at the estimator's instruction, not because the drawings omit it. The set DOES call for it: H/A09.23 labels "SPRAY FOAM INSULATION" in the 6" CFMF cavity and "MIN. 6" RIGID INSULATION ABOVE ROOF DECK", and A04.01 key note 11 reads "INSTALL SOUND BATT INSULATION ABOVE CEILING". Add on request. NOTE: the 2-1/2" polyiso IS carried, because H/A09.23 specifies it as "5/8" FRT PLYWOOD BONDED TO 2 1/2" POLYISO INSULATION" - it arrives bonded to the sheathing we install and cannot be separated from it.</t>
        </is>
      </c>
    </row>
    <row r="11" ht="39" customHeight="1" s="36">
      <c r="A11" s="57" t="n">
        <v>8</v>
      </c>
      <c r="B11" s="81" t="inlineStr">
        <is>
          <t>Aluminum storefront - Div 08, 48.14 LF</t>
        </is>
      </c>
      <c r="C11" s="46" t="inlineStr">
        <is>
          <t>ALUMINUM STOREFRONT SYSTEM AF-2 with GL-2 glazing and the entrance doors are Division 08 43 13. A02.01 note E and the A09.01 legend confirm it. Its length is measured and declared here (41.64 LF north + 6.50 LF west) so the reviewer can see it was not overlooked - but no material is carried for it.</t>
        </is>
      </c>
    </row>
    <row r="12" ht="39" customHeight="1" s="36">
      <c r="A12" s="57" t="n">
        <v>9</v>
      </c>
      <c r="B12" s="81" t="inlineStr">
        <is>
          <t>Office front DFC-1A - Div 08</t>
        </is>
      </c>
      <c r="C12" s="46" t="inlineStr">
        <is>
          <t>A02.01 note E, textual: "ALLSTEEL OFFICE FRONT SYSTEM: DFC-1A ASPECT. ORDERED BY GC. FURNISHED AND INSTALLED BY BANK VENDOR." Excluded. The gypsum bulkhead ABOVE it (walls 54 and 55) IS carried, because that is framing and board.</t>
        </is>
      </c>
    </row>
    <row r="13" ht="30" customHeight="1" s="36">
      <c r="A13" s="57" t="n">
        <v>10</v>
      </c>
      <c r="B13" s="81" t="inlineStr">
        <is>
          <t>Metal wall panel and coping - Div 07</t>
        </is>
      </c>
      <c r="C13" s="46" t="inlineStr">
        <is>
          <t>FORMED METAL WALL PANEL EPS-1 / EPS-3 / EPS-5, the 7/8" hat channel that comes with that system, the continuous vapor-permeable AWB and the ACM coping are Division 07 42 13 / 07 27 00. Our work stops at the sheathing.</t>
        </is>
      </c>
    </row>
    <row r="14" ht="39" customHeight="1" s="36">
      <c r="A14" s="57" t="n">
        <v>11</v>
      </c>
      <c r="B14" s="81" t="inlineStr">
        <is>
          <t>Portland cement plaster on the canopy - Div 09 24 00</t>
        </is>
      </c>
      <c r="C14" s="46" t="inlineStr">
        <is>
          <t>"5/8" PORTLAND CEMENT PLASTER SYSTEM (PT-4) ON (2) LAYERS GRADE 'D' BUILDING PAPER" (15 and 16/A09.27) is the plasterer's, with its own lath and its SA-2 / SA-4 screeds. We carry the 3-5/8" metal stud framing and the 5/8" FRT plywood sheathing underneath it.</t>
        </is>
      </c>
    </row>
    <row r="15" ht="30" customHeight="1" s="36">
      <c r="A15" s="57" t="n">
        <v>12</v>
      </c>
      <c r="B15" s="81" t="inlineStr">
        <is>
          <t>Acoustical ceiling tile and grid - Div 09 51 00</t>
        </is>
      </c>
      <c r="C15" s="46" t="inlineStr">
        <is>
          <t>ACT-4 / ACT-5 suspended tile and grid are excluded. Only GYPSUM ceilings are carried: 5 of them, 958.94 SF. Areas marked "OPEN TO STRUCTURE ABOVE" (A04.01 key note 1) carry no ceiling at all.</t>
        </is>
      </c>
    </row>
    <row r="16" ht="64.5" customHeight="1" s="36">
      <c r="A16" s="57" t="n">
        <v>13</v>
      </c>
      <c r="B16" s="81" t="inlineStr">
        <is>
          <t>ATM surrounds, plinths and bollards</t>
        </is>
      </c>
      <c r="C16" s="46" t="inlineStr">
        <is>
          <t>The ATM SURROUND comes with the equipment - the ATM EQUIPMENT PURCHASE ORDER FORM on A08.11 assigns surround "FRAME-R-SUR-54-SINGLE-STD-NG_3.0" to the drive-up unit. The plinths are FRT wood carpentry (Div 06): "(2) LAYERS 3/4" FRT PLYWOOD PLINTH", "2X4 FRT PERIMETER FRAMING", "4X4 FRT FRAMING". The bollards are miscellaneous metals. All excluded. What IS carried is the metal stud box beam over the opening, the 2-1/2" studs sistered to the 6" studs, and the FRT plywood and furring in the recess.</t>
        </is>
      </c>
    </row>
    <row r="17" ht="39" customHeight="1" s="36">
      <c r="A17" s="57" t="n">
        <v>14</v>
      </c>
      <c r="B17" s="81" t="inlineStr">
        <is>
          <t>Fiber cement panel at the drive-up ATM - Div 07</t>
        </is>
      </c>
      <c r="C17" s="46" t="inlineStr">
        <is>
          <t>6/A08.11 reads "FIBER CEMENT PANEL ON FURRING ON 5/8" FRT PLYWOOD". The panel is a facade product and is not in the A09.01 / A09.02 exterior material legend alongside the finishes others are already pricing - it is carried with the rainscreen. The substrate under it (furring and 5/8" FRT plywood) IS ours and IS quantified.</t>
        </is>
      </c>
    </row>
    <row r="18" ht="51.75" customHeight="1" s="36">
      <c r="A18" s="57" t="n">
        <v>15</v>
      </c>
      <c r="B18" s="81" t="inlineStr">
        <is>
          <t>Bridging clips</t>
        </is>
      </c>
      <c r="C18" s="46" t="inlineStr">
        <is>
          <t>No clips are carried. 7/S5.20 TYPICAL STUD FASTENER SCHEDULE resolves bracing with screws ("DIAGONAL BRACING TO STUD: 1/2" #8 TEKS LOW, 1 @ EACH STUD") and lists no bridging clip; sub-detail 1/S5.20 sub-detalle F of S5.20 calls WELD at each stud crossing. Welding is priced in the labor. If the field requires clips instead, they are a priced alternate.</t>
        </is>
      </c>
    </row>
    <row r="19" ht="103.5" customHeight="1" s="36">
      <c r="A19" s="57" t="n">
        <v>16</v>
      </c>
      <c r="B19" s="81" t="inlineStr">
        <is>
          <t>Openings - how they are treated in this takeoff</t>
        </is>
      </c>
      <c r="C19" s="46" t="inlineStr">
        <is>
          <t>BOARD is NET: every door, window and equipment rough opening is deducted, face by face, at its R.O. width x height x the faces and layers of that wall. 673.54 SF are deducted across the 23 openings of 14 walls, and each deduction is written in the wall it belongs to, never as a lump sum. METAL is NOT deducted: the stud run is continuous over and under an opening, and on top of the field studs each opening ADDS 2 studs per jamb plus cripples above and below a window (a door gets no cripples - it has no sill). Two openings deduct ZERO board on purpose and the reason is in their closure: door 118B falls in the jog BETWEEN walls 8 and 16, where neither wall has board to deduct, and the 8" duct sleeve on wall 9 is 1.00 SF - a cut, not a removed sheet. Storefront and office-front openings are not deducted either, because those runs carry no board at all (Div 08).</t>
        </is>
      </c>
    </row>
    <row r="20" ht="103.5" customHeight="1" s="36">
      <c r="A20" s="57" t="n">
        <v>17</v>
      </c>
      <c r="B20" s="81" t="inlineStr">
        <is>
          <t>Taping, fasteners and installation accessories - INCLUDED, by YIELD</t>
        </is>
      </c>
      <c r="C20" s="46" t="inlineStr">
        <is>
          <t>Drywall screws, framing screws, power-driven pins, joint compound and joint tape ARE carried. None of them is a drawing quantity - the drawings do not count screws - so each one is DERIVED from a stated yield, and every yield sits in its own yellow Inputs cell so you can set your own: 1.2 drywall screws per SF of board (GA-216 field 12" O.C., perimeter 8" O.C. over framing at 16" O.C.), 4 framing screws per stud piece (2 per stud-to-track connection at each end), power-driven pins at 2'-0" O.C. on the bottom track only - the figure 4/A12.01 calls out - 0.072 lb of joint compound per SF and 0.37 LF of tape per SF (72 lb and 370 LF per 1,000 SF, typical level 4). Corner bead, casing bead, shadow molding and gypsum edge trim are quantified from the details and carried on the Trim line, not by yield. Change any yield on Inputs and the purchase figure re-rounds.</t>
        </is>
      </c>
    </row>
    <row r="21" ht="117" customHeight="1" s="36">
      <c r="A21" s="57" t="n">
        <v>18</v>
      </c>
      <c r="B21" s="81" t="inlineStr">
        <is>
          <t>Purlin at the top track - INCLUDED, flute direction V.I.F.</t>
        </is>
      </c>
      <c r="C21" s="46" t="inlineStr">
        <is>
          <t>A09.33 details the top track fastening to the steel deck and rules, textual: "STL TRACK, CL TO BE BETWEEN ATTACHED FLUTES, NO EXCEPTION" and "1X1X1 16GA PURLIN, ACROSS MIN. (2) FLUTES". Where the deck flute runs PARALLEL to the track there is no valley to fasten into, so a 16 ga purlin spanning at least two flutes is required and the fastener goes through it. 139.21 LF are carried, from the 185.61 LF of top track on walls that run east-west and go to deck. Flute direction is DERIVED: Type B deck spans between joists, and the joists on S2.20 run north-south, so the flutes run east-west. The detail itself says "ALTERNATE CEILING DETAIL, VIF FLUTE DIRECTION", so this is verified in the field before ordering; if the flutes run the other way the purlin moves to the north-south walls (131.43 LF of track) and the figure changes. Exterior walls and the inclined wall 40 are NOT included and are named on Pending Items.</t>
        </is>
      </c>
    </row>
    <row r="22" ht="30" customHeight="1" s="36">
      <c r="A22" s="57" t="n">
        <v>19</v>
      </c>
      <c r="B22" s="81" t="inlineStr">
        <is>
          <t>Doors, frames and hardware</t>
        </is>
      </c>
      <c r="C22" s="46" t="inlineStr">
        <is>
          <t>Division 08. Door jamb anchors arrive attached to the frame and are not the drywaller's. Door openings ARE framed here: header, jamb studs and cripples.</t>
        </is>
      </c>
    </row>
    <row r="23" ht="30" customHeight="1" s="36">
      <c r="A23" s="57" t="n">
        <v>20</v>
      </c>
      <c r="B23" s="81" t="inlineStr">
        <is>
          <t>Painting and wall covering</t>
        </is>
      </c>
      <c r="C23" s="46" t="inlineStr">
        <is>
          <t>Division 09 90 00. Level-5 finish where the Finish Schedule calls for it IS carried as a board line item; the coating itself is not.</t>
        </is>
      </c>
    </row>
    <row r="24" ht="117" customHeight="1" s="36">
      <c r="A24" s="57" t="n">
        <v>21</v>
      </c>
      <c r="B24" s="81" t="inlineStr">
        <is>
          <t>Wet areas - every room with a plumbing fixture, and what board it gets</t>
        </is>
      </c>
      <c r="C24" s="46" t="inlineStr">
        <is>
          <t>Four rooms in this building have a plumbing fixture and each one was checked against THREE sources: the toilet-room sheet notes (what board type is required), the Finish Plan and its key notes (what wall finish each room gets), and the plumbing drawings (where the water actually is). RESTROOMS 113 and 114: FRP WC-3 to 4'-6", ceramic cove base, and moisture-resistant gypsum board behind BOTH fixtures - the lavatory side is the chase and the toilet side is the inside face of the west exterior wall, 213.74 SF of W.R. in total. JANITOR CLOSET 112: FRP from floor to 4'-0" on both walls at the mop sink corner, per Finish Plan key note 6 and 5/A08.01 - height confirmed, width pending the fixture size. BREAK ROOM 118: has a break sink but the drawings call for no wet-wall finish - see Pending Items. The W.R. board is a RECLASSIFICATION, not new board: the same area comes out of the regular gypsum line, and it changes the price because each board type carries its own waste.</t>
        </is>
      </c>
    </row>
    <row r="25" ht="15" customHeight="1" s="36">
      <c r="A25" s="104" t="inlineStr">
        <is>
          <t>14b</t>
        </is>
      </c>
      <c r="B25" s="104" t="inlineStr">
        <is>
          <t>Acoustical sealant - EXCLUDED (all projects)</t>
        </is>
      </c>
      <c r="C25" s="104" t="inlineStr">
        <is>
          <t>Acoustical sealant is excluded from this proposal by the estimator's standing order (all projects): no line item and no quantity. "Sealant at base of gypsum (exterior)" is not acoustical and stays as its own line item.</t>
        </is>
      </c>
    </row>
    <row r="26" ht="39" customHeight="1" s="36">
      <c r="A26" s="55" t="inlineStr">
        <is>
          <t>C. CONDITIONS AND ASSUMPTIONS THAT AFFECT THE PRICE</t>
        </is>
      </c>
      <c r="B26" s="56" t="n"/>
      <c r="C26" s="56" t="n"/>
    </row>
    <row r="27" ht="39" customHeight="1" s="36">
      <c r="A27" s="57" t="n">
        <v>23</v>
      </c>
      <c r="B27" s="81" t="inlineStr">
        <is>
          <t>Stud height to underside of structure</t>
        </is>
      </c>
      <c r="C27" s="46" t="inlineStr">
        <is>
          <t>Interior partitions run to the deck at 15'-4 1/2" north of grid B (S2.20, T/STEEL, NO SLOPE). South of grid B the deck slopes 1/4" per foot from 13'-0 5/8" down to 12'-6 3/8"; walls in that zone are priced at the interpolated height stated on each row. Exterior studs run from slab to T.O. PARAPET 1 at 17'-9".</t>
        </is>
      </c>
    </row>
    <row r="28" ht="64.5" customHeight="1" s="36">
      <c r="A28" s="57" t="n">
        <v>24</v>
      </c>
      <c r="B28" s="81" t="inlineStr">
        <is>
          <t>Gypsum board height differs from stud height on the exterior wall</t>
        </is>
      </c>
      <c r="C28" s="46" t="inlineStr">
        <is>
          <t>H/A09.23 reads "5/8" GYP. BOARD @ PERIMETER EXTERIOR WALL TO DECK" - the interior face stops at the deck, not the parapet. The strip from deck to top of parapet is "5/8" EXTERIOR GYPSUM SHEATHING" and is carried on its own line. Pricing both to the parapet would have overstated the interior board.</t>
        </is>
      </c>
    </row>
    <row r="29" ht="30" customHeight="1" s="36">
      <c r="A29" s="57" t="n">
        <v>25</v>
      </c>
      <c r="B29" s="81" t="inlineStr">
        <is>
          <t>Cementitious backer - where it IS and where it is NOT carried</t>
        </is>
      </c>
      <c r="C29" s="46" t="inlineStr">
        <is>
          <t>Cement board is carried ONLY under the 6" cove-base band at the bottom of the FRP walls (14.46 SF, which is 0.50 ft of the 5.00 ft FRP height). It is NOT carried behind the full height of the FRP: the wall types draw the FRP directly on gypsum board and no detail calls for a backer behind it. Trade practice would put a cementitious backer behind the whole wet area; if the owner wants that, it is roughly 130 SF more and is offered as a priced alternate rather than assumed. Stated plainly here so the scope is not read either way by accident.</t>
        </is>
      </c>
    </row>
    <row r="30" ht="51.75" customHeight="1" s="36">
      <c r="A30" s="57" t="n">
        <v>26</v>
      </c>
      <c r="B30" s="81" t="inlineStr">
        <is>
          <t>Ceiling perimeter sealant - RFI</t>
        </is>
      </c>
      <c r="C30" s="46" t="inlineStr">
        <is>
          <t>A04.01 does not label perimeter sealant at gypsum ceilings and no ceiling detail draws it. None is carried. Confirm before award.</t>
        </is>
      </c>
    </row>
    <row r="31" ht="51.75" customHeight="1" s="36">
      <c r="A31" s="57" t="n">
        <v>27</v>
      </c>
      <c r="B31" s="81" t="inlineStr">
        <is>
          <t>Exterior elevation titles are swapped - RFI</t>
        </is>
      </c>
      <c r="C31" s="46" t="inlineStr">
        <is>
          <t>The titles of 1/A09.01 and 2/A09.02 are crossed. The grid bubble order proves it: the sheet titled "SOUTH ELEVATION" runs grids 8 to 1 left to right, which is the NORTH facade, and it carries the entrance storefront that sits at the top of the plan; the one titled "NORTH ELEVATION" runs 1 to 8 and carries egress door EXPT-1, which is at the bottom of the plan. Quantities here follow the GRIDS, not the titles. Confirm before award.</t>
        </is>
      </c>
    </row>
    <row r="32" ht="30" customHeight="1" s="36">
      <c r="A32" s="57" t="n">
        <v>28</v>
      </c>
      <c r="B32" s="81" t="inlineStr">
        <is>
          <t>Drive-up canopy fascia does not run over the building</t>
        </is>
      </c>
      <c r="C32" s="46" t="inlineStr">
        <is>
          <t>2/A09.02 (the real SOUTH facade) shows the canopy only between grids 1 and 3; from grid 3 east the wall runs straight up to the parapet. The 56.13 LF of fascia that a plan-only reading would have carried over the building footprint DOES NOT EXIST and is not billed. Geometry confirms it independently: the edge-weight line at that location stops at grid 3 and the line that continues is a lighter paving edge.</t>
        </is>
      </c>
    </row>
    <row r="33" ht="39" customHeight="1" s="36">
      <c r="A33" s="57" t="n">
        <v>29</v>
      </c>
      <c r="B33" s="81" t="inlineStr">
        <is>
          <t>Wall type F, ATM lobby side</t>
        </is>
      </c>
      <c r="C33" s="46" t="inlineStr">
        <is>
          <t>The ATM ROOM 102 face of the inclined wall stops at 9'-0" (ACT-5 at 8'-6" plus 6"), not at the deck. Carrying it to 15.375 ft would have inflated that face's board by 71%.</t>
        </is>
      </c>
    </row>
    <row r="34" ht="39" customHeight="1" s="36">
      <c r="A34" s="57" t="n">
        <v>30</v>
      </c>
      <c r="B34" s="81" t="inlineStr">
        <is>
          <t>Face-by-face board</t>
        </is>
      </c>
      <c r="C34" s="46" t="inlineStr">
        <is>
          <t>Board is quantified FACE BY FACE, not "both sides". Where one side of a wall faces several rooms at different ceiling heights, each room is its own row on the Board by Face tab with its own length and height. The room name on each row is what defines the side.</t>
        </is>
      </c>
    </row>
    <row r="35" ht="90.75" customHeight="1" s="36">
      <c r="A35" s="57" t="n">
        <v>31</v>
      </c>
      <c r="B35" s="81" t="inlineStr">
        <is>
          <t>Field verification</t>
        </is>
      </c>
      <c r="C35" s="46" t="inlineStr">
        <is>
          <t>All dimensions were taken from the vector geometry of the PDF at the sheet's own printed scale and cross-checked against the printed dimension strings. Where a printed dimension exists it governs. Final dimensions to be verified in the field before fabrication.</t>
        </is>
      </c>
    </row>
    <row r="36" ht="15" customHeight="1" s="36">
      <c r="A36" s="57" t="n">
        <v>32</v>
      </c>
      <c r="B36" s="81" t="inlineStr">
        <is>
          <t>Ceiling transition at gypsum-to-ACT edges - NOT CARRIED, see Pending</t>
        </is>
      </c>
      <c r="C36" s="46" t="inlineStr">
        <is>
          <t>7/A09.33 TYPICAL CEILING TRANSITION DETAIL (3"=1'-0") draws a 6" gypsum transition wherever a gypsum ceiling meets a scheduled ceiling at a different height: "3 5/8" METAL STUD KICKER AT 48" O.C. ATTACH TO STRUCTURE ABOVE", "5/8" GYPSUM BOARD", "CORNER BEAD - TYPICAL" both sides and "SHADOW MOLDING AS SPECIFIED". The five gypsum ceilings have 167.68 LF of perimeter in total. How much of that perimeter dies against a wall or storefront (no transition) versus against an ACT ceiling at another height (transition) is NOT carried in this price and has to be confirmed edge by edge on A04.01. Per LF it would add 1.00 SF of board (6" on two faces), one kicker every 4 ft, two runs of corner bead and one run of shadow molding.</t>
        </is>
      </c>
    </row>
    <row r="37" ht="51.75" customHeight="1" s="36">
      <c r="A37" s="55" t="inlineStr">
        <is>
          <t>D. WHAT IS INCLUDED THAT IS EASY TO MISS</t>
        </is>
      </c>
      <c r="B37" s="56" t="n"/>
      <c r="C37" s="56" t="n"/>
    </row>
    <row r="38" ht="39" customHeight="1" s="36">
      <c r="A38" s="57" t="n">
        <v>34</v>
      </c>
      <c r="B38" s="81" t="inlineStr">
        <is>
          <t>Restroom scope on the exterior wall</t>
        </is>
      </c>
      <c r="C38" s="46" t="inlineStr">
        <is>
          <t>The inside face of the west exterior wall is the toilet wall of restrooms 113 and 114. It carries 25.33 LF of FRT blocking (A08.01 sheet note E, accessory by accessory), 66.44 SF of FRP WC-3 and its cement board. Restroom 113 does NOT get the TA-9 sanitary napkin disposal: the A08.01 TOILET ACCESSORY LEGEND gives it LOCATION "WOMEN" only.</t>
        </is>
      </c>
    </row>
    <row r="39" ht="39" customHeight="1" s="36">
      <c r="A39" s="57" t="n">
        <v>35</v>
      </c>
      <c r="B39" s="81" t="inlineStr">
        <is>
          <t>Blocking for everything that hangs</t>
        </is>
      </c>
      <c r="C39" s="46" t="inlineStr">
        <is>
          <t>Blocking is carried accessory by accessory - each one its own length plus 8" of bearing each side - for grab bars, dispensers, artwork, millwork, the roof-hatch ladder and the media monitor. Surface-mounted blocking and blocking inside the partition are distinguished.</t>
        </is>
      </c>
    </row>
    <row r="40" ht="30" customHeight="1" s="36">
      <c r="A40" s="57" t="n">
        <v>36</v>
      </c>
      <c r="B40" s="81" t="inlineStr">
        <is>
          <t>MEP penetrations framed, not patched</t>
        </is>
      </c>
      <c r="C40" s="46" t="inlineStr">
        <is>
          <t>26 penetrations were located by registering the M, E and P backgrounds onto the architectural plan and verifying the registration against the 30-degree ATM wall. All are under a quarter sheet, but the building is new, so each is carried as a FRAMED OPENING with its head, sill and stud reinforcement - never as a patch.</t>
        </is>
      </c>
    </row>
    <row r="41" ht="39" customHeight="1" s="36">
      <c r="A41" s="57" t="n">
        <v>37</v>
      </c>
      <c r="B41" s="81" t="inlineStr">
        <is>
          <t>Openings for recessed fixtures</t>
        </is>
      </c>
      <c r="C41" s="46" t="inlineStr">
        <is>
          <t>The continuous light slots and the diffusers get framed openings and gypsum edge trim, quantified from the RCP fixture layout itself rather than from a generic allowance.</t>
        </is>
      </c>
    </row>
    <row r="42">
      <c r="A42" s="57" t="n">
        <v>38</v>
      </c>
      <c r="B42" s="81" t="inlineStr">
        <is>
          <t>Canopy soffit and fascia framing</t>
        </is>
      </c>
      <c r="C42" s="46" t="inlineStr">
        <is>
          <t>The drive-up canopy carries 1,768.38 SF of 5/8" FRT plywood sheathing on 3-5/8" metal stud framing at 16" O.C., plus its track and bridging. On a soffit the track sits at the two ENDS of each stud and along the two side edges - it is reported that way, and the check is that the two add up to the full perimeter.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2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38" min="1" max="1"/>
    <col width="30" customWidth="1" style="38" min="2" max="2"/>
    <col width="14" customWidth="1" style="38" min="3" max="3"/>
    <col width="96" customWidth="1" style="38" min="4" max="4"/>
    <col width="30" customWidth="1" style="38" min="5" max="6"/>
  </cols>
  <sheetData>
    <row r="1" ht="15.75" customHeight="1" s="36">
      <c r="A1" s="41" t="inlineStr">
        <is>
          <t>PENDING ITEMS - what is missing, why, and who to ask</t>
        </is>
      </c>
    </row>
    <row r="2" ht="15" customHeight="1" s="36">
      <c r="A2" s="42" t="inlineStr">
        <is>
          <t>Nothing on this list was invented to close a gap. Where the drawings do not resolve a quantity, the quantity is not carried and it is named here.</t>
        </is>
      </c>
    </row>
    <row r="4" ht="33.75" customHeight="1" s="36">
      <c r="A4" s="54" t="inlineStr">
        <is>
          <t>#</t>
        </is>
      </c>
      <c r="B4" s="54" t="inlineStr">
        <is>
          <t>Item</t>
        </is>
      </c>
      <c r="C4" s="54" t="inlineStr">
        <is>
          <t>Area</t>
        </is>
      </c>
      <c r="D4" s="54" t="inlineStr">
        <is>
          <t>What exactly is missing, and why</t>
        </is>
      </c>
      <c r="E4" s="54" t="inlineStr">
        <is>
          <t>Ask</t>
        </is>
      </c>
      <c r="F4" s="54" t="inlineStr">
        <is>
          <t>Impact</t>
        </is>
      </c>
    </row>
    <row r="5" ht="96" customHeight="1" s="36">
      <c r="A5" s="57" t="n">
        <v>1</v>
      </c>
      <c r="B5" s="81" t="inlineStr">
        <is>
          <t>Size of the second duct crossing wall A1 #9</t>
        </is>
      </c>
      <c r="C5" s="46" t="inlineStr">
        <is>
          <t>Partitions</t>
        </is>
      </c>
      <c r="D5" s="46" t="inlineStr">
        <is>
          <t>M01.01 crosses wall A1 #9 TWICE, not once. The first duct is labelled 8" dia. and lands in the solid part of the wall. The second lands at A02.01 x 1801.57-1813.57, inside the 3'-4" R.O. of door 119, so in the building it passes above the header through the cripple studs. It is drawn 8" wide in plan, but its printed size is not legible on the sheet: the 10"x12" label belongs to the horizontal main above it, not to this branch. Both are carried as framed openings at 1.00 LF of header and 1.00 LF of sill track each, per 6/S5.20 (an 8" duct will not pass through the web of a 3 5/8" stud and the flanges may not be cut). If the second one is bigger than 8", its framed opening grows.</t>
        </is>
      </c>
      <c r="E5" s="46" t="inlineStr">
        <is>
          <t>Mechanical engineer - confirm the size of the branch duct over door 119</t>
        </is>
      </c>
      <c r="F5" s="46" t="inlineStr">
        <is>
          <t>The framed opening of one duct</t>
        </is>
      </c>
    </row>
    <row r="6" ht="96" customHeight="1" s="36">
      <c r="A6" s="57" t="n">
        <v>2</v>
      </c>
      <c r="B6" s="81" t="inlineStr">
        <is>
          <t>"@ LOW ROOF" on S2.20, north of grid B</t>
        </is>
      </c>
      <c r="C6" s="46" t="inlineStr">
        <is>
          <t>Partitions</t>
        </is>
      </c>
      <c r="D6" s="46" t="inlineStr">
        <is>
          <t>S2.20 carries FOUR B.O.D. callouts and only one of them is north of grid B: "B.O.D. EL. 15'-4 1/2"" with "NO SLOPE" in its own box right under it. Every wall north of grid B is carried at 15.375 ft on that callout, cross-checked against H/A09.23 "T/ STEEL 15'-4 1/2"". What is NOT settled: the words "@ LOW ROOF" sit south of the W16x31/W16x26 beam line, in the same band as walls A1 #1 to #4, and they carry no elevation of their own. They read as the tail of the "STL SUPPORT, REF. 3/S5.11" callout rather than as a roof zone, but the sheet does not prove it either way, and there is no second B.O.D. in that band to compare against. If there really is a lower roof there, every stud and every bracing row in that band changes.</t>
        </is>
      </c>
      <c r="E6" s="46" t="inlineStr">
        <is>
          <t>Structural engineer - confirm the deck elevation in the band between the W16x31 beam and grid B</t>
        </is>
      </c>
      <c r="F6" s="46" t="inlineStr">
        <is>
          <t>Stud length and bracing rows on every wall north of grid B</t>
        </is>
      </c>
    </row>
    <row r="7" ht="120" customHeight="1" s="36">
      <c r="A7" s="57" t="n">
        <v>3</v>
      </c>
      <c r="B7" s="81" t="inlineStr">
        <is>
          <t>W14x22 roof beam sits directly over wall A1 #8 on grid 5</t>
        </is>
      </c>
      <c r="C7" s="46" t="inlineStr">
        <is>
          <t>Partitions</t>
        </is>
      </c>
      <c r="D7" s="46" t="inlineStr">
        <is>
          <t>S2.20 ROOF FRAMING PLAN draws a W14x22 beam on grid 5 whose centerline (x=1472.64) is 0.13" from the centerline of wall A1 #8 (x=1472.44) once the two sheets are registered on their own grid bubbles (dx +234.34 pt over 8 columns, dy -16.72 pt over 9 rows, both sheets at 18.00 pt/ft). 3/A12.01 sends the stud to UNDERSIDE OF STRUCTURE with a continuous slip track, and along this wall line the underside of structure is the bottom flange of that beam, 13 3/4" below the bottom of deck. The take-off carries the stud to B.O.D. (12.89 ft at the high end), which is the LONGER and therefore safe number, and matches the architect wording in 12/A12.01 ("SPAN BETWEEN STUD TRACKS AT FLOOR AND DECK ABOVE"). If the slip track lands on the beam soffit instead, the stud drops to about 11.75 ft and the bracing goes from 3 rows to 2. Nothing is changed without the decision - the delta is named here.</t>
        </is>
      </c>
      <c r="E7" s="46" t="inlineStr">
        <is>
          <t>Architect / GC - confirm whether the head of wall lands on the beam or on the deck</t>
        </is>
      </c>
      <c r="F7" s="46" t="inlineStr">
        <is>
          <t>Stud 1.15 ft per piece on 21 pieces, plus 1 bracing row (17.06 LF)</t>
        </is>
      </c>
    </row>
    <row r="8" ht="72" customHeight="1" s="36">
      <c r="A8" s="57" t="n">
        <v>4</v>
      </c>
      <c r="B8" s="81" t="inlineStr">
        <is>
          <t>Track-to-slab fastener spacing: two different numbers in the set</t>
        </is>
      </c>
      <c r="C8" s="46" t="inlineStr">
        <is>
          <t>Partitions</t>
        </is>
      </c>
      <c r="D8" s="46" t="inlineStr">
        <is>
          <t>The SILL TRACK ANCHORAGE table of 7/S5.20 gives INTERIOR WALLS "HILTI DNI 32 P8 @ 12" O.C."; the FASTENER SCHEDULE next to 3/S5.20 WALL CONNECTION AT SLAB gives LEVEL 1-3 "16" O.C." with "ATTACH TRACK TO SLAB W/ (1) 0.157" dia. P.A.F. W/ 1 1/4" MIN. EMBED. LOCATED AT CENTER OF TRACK. REF. SCHEDULE FOR SPACING". Both read on track to slab. The take-off prices the TIGHTER of the two (12" O.C.) so the bid is not short; the difference is roughly a third of the pin count on every interior wall.</t>
        </is>
      </c>
      <c r="E8" s="46" t="inlineStr">
        <is>
          <t>Structural engineer - confirm which schedule governs interior partitions</t>
        </is>
      </c>
      <c r="F8" s="46" t="inlineStr">
        <is>
          <t>About 1/3 of the powder actuated pins on every interior wall</t>
        </is>
      </c>
    </row>
    <row r="9" ht="84" customHeight="1" s="36">
      <c r="A9" s="57" t="n">
        <v>5</v>
      </c>
      <c r="B9" s="81" t="inlineStr">
        <is>
          <t>Blocking at the edge of gypboard - CLOSED 10-Oct-2026</t>
        </is>
      </c>
      <c r="C9" s="46" t="inlineStr">
        <is>
          <t>Partitions</t>
        </is>
      </c>
      <c r="D9" s="46" t="inlineStr">
        <is>
          <t>CLOSED, no longer pending. 4/S5.20 TYPICAL BLOCKING DETAIL carries a boxed note, textual: "PROVIDE BLOCKING AT THE EDGE OF GYPBOARD.", with STUD BLOCKING 362CR22 (TYP.) and CLIP ANGLE 362CR22 (TYP.) &amp; BLOCKING W/ SCREWS (TYP.). When this item was written the note had been applied to wall A1 #8 only. The full sweep was run on 10-Oct-2026 against every closed face: it found 96 LF missing - 78.24 LF on the four A5 walls (which had been EXCLUDED in error when their closer was written, with the board at 9.00/9.50 ft against studs of 12.9-15.4 ft) and 17.76 LF on wall F #40. Both were added and the sweep now comes out at zero across all 67 walls.</t>
        </is>
      </c>
      <c r="E9" s="46" t="inlineStr">
        <is>
          <t>Closed - no action needed</t>
        </is>
      </c>
      <c r="F9" s="46" t="inlineStr">
        <is>
          <t>Was 96 LF of 362CR22; already carried</t>
        </is>
      </c>
    </row>
    <row r="10" ht="120" customHeight="1" s="36">
      <c r="A10" s="57" t="n">
        <v>6</v>
      </c>
      <c r="B10" s="81" t="inlineStr">
        <is>
          <t>The five GWB ceilings cite no detail - CLOSED 10-Oct-2026</t>
        </is>
      </c>
      <c r="C10" s="46" t="inlineStr">
        <is>
          <t>Ceilings</t>
        </is>
      </c>
      <c r="D10" s="46" t="inlineStr">
        <is>
          <t>CLOSED, no longer pending. CIELO-70 through CIELO-74 used to stop at A04.01 and cite not one detail. The A09.33 TYPICAL CEILING DETAILS sheet was opened on 10-Oct-2026, eight of its nine details for the first time, and the chain now closes: 7/A09.33 TYPICAL CEILING TRANSITION DETAIL governs a change of ceiling height and proves the NEGATIVE here - A04.01 gives each of the five rooms a single height tag, so none steps, so none carries the kicker, the vertical face or the corner bead it draws; and 3/A09.33 LIGHT FIXTURE INSTALLATION carries the seismic bracing note, excluded with its alternate calculated at 267.99 LF of 12 gauge wire because the anchorage it mandates ("SECURED TO THE MAIN RUNNER INTERSECTION") does not exist in a gypsum ceiling. Four line items that were neither quantified NOR excluded - CORNER_BEAD, PERIMETER_ANGLE, SHADOW_MOLDING and the seismic bracing - now carry a verified motive.</t>
        </is>
      </c>
      <c r="E10" s="46" t="inlineStr">
        <is>
          <t>Closed - no action needed</t>
        </is>
      </c>
      <c r="F10" s="46" t="inlineStr">
        <is>
          <t>Edge condition of the 5 rooms, resolved</t>
        </is>
      </c>
    </row>
    <row r="11" ht="144" customHeight="1" s="36">
      <c r="A11" s="57" t="n">
        <v>7</v>
      </c>
      <c r="B11" s="81" t="inlineStr">
        <is>
          <t>Storefront pier framing at the 24 HR vestibule</t>
        </is>
      </c>
      <c r="C11" s="46" t="inlineStr">
        <is>
          <t>Partitions</t>
        </is>
      </c>
      <c r="D11" s="46" t="inlineStr">
        <is>
          <t>A12.10 24 HR VESTIBULE PLAN puts one bubble on each end pier of the vestibule storefront wall: 1/A09.25 DETAIL @ STOREFRONT PIER on the west one and 2/A09.25 DETAIL @ WINDOW JAMB on the east one. Both details are plan cuts and both label framing that IS ours: "6" CFMF", "3 5/8" METAL STUD", "5/8" GYPSUM BOARD" and "3/4" FRT PLYWOOD" at the jambs. What is NOT resolvable is the SIZE of the box. The printed strings on 1/A09.25 (3", 1'-9", 1'-0", 4") run from the grid lines F and G and from the face of the storefront, not from the four faces of the pier, and they do not close on the drawn outline: the outline measures about 2'-6 1/2" by 2'-0" on the sheet geometry while the strings would give 2'-0" and 1'-3". Rather than pick one reading, nothing is carried for the pier BOX. What IS carried, and is not affected, is the 3/4" FRT plywood and the gypsum board jamb return around every opening, which come from the head and sill details. Two piers at about 10 LF of perimeter each by 8'-6" would be roughly 170 SF of board and about 20 studs - that is the size of the question, not an estimate.</t>
        </is>
      </c>
      <c r="E11" s="46" t="inlineStr">
        <is>
          <t>Architect - dimension the pier box on 1/A09.25 and 2/A09.25</t>
        </is>
      </c>
      <c r="F11" s="46" t="inlineStr">
        <is>
          <t>Two piers: about 170 SF of board and 20 studs</t>
        </is>
      </c>
    </row>
    <row r="12" ht="60" customHeight="1" s="36">
      <c r="A12" s="57" t="n">
        <v>8</v>
      </c>
      <c r="B12" s="81" t="inlineStr">
        <is>
          <t>Width of the plywood backing and the jamb return</t>
        </is>
      </c>
      <c r="C12" s="46" t="inlineStr">
        <is>
          <t>Partitions</t>
        </is>
      </c>
      <c r="D12" s="46" t="inlineStr">
        <is>
          <t>Five details cut the frame of the openings and all five label the material - 11/A09.27 and 2/A09.26 at the head ("3/4" FRT PLYWOOD", "GYPSUM BOARD JAMB RETURN BEYOND"), 10/A09.27 at the sill, 1/A09.25 and 2 and 3/A09.25 at the jambs - but NONE of them dimensions how wide the strip is. The 6" stud depth it backs is used, which is what the details draw. If the real return is deeper the quantity scales directly with it.</t>
        </is>
      </c>
      <c r="E12" s="46" t="inlineStr">
        <is>
          <t>Architect, or field decision at shop drawings</t>
        </is>
      </c>
      <c r="F12" s="46" t="inlineStr">
        <is>
          <t>Scales directly with the width</t>
        </is>
      </c>
    </row>
    <row r="13" ht="60" customHeight="1" s="36">
      <c r="A13" s="57" t="n">
        <v>9</v>
      </c>
      <c r="B13" s="81" t="inlineStr">
        <is>
          <t>Purlin at exterior walls and the inclined wall</t>
        </is>
      </c>
      <c r="C13" s="46" t="inlineStr">
        <is>
          <t>Partitions</t>
        </is>
      </c>
      <c r="D13" s="46" t="inlineStr">
        <is>
          <t>The 139.21 LF of purlin carried cover the interior walls that run east-west and go to deck. The six exterior walls and the inclined wall 40 have no straight orientation in the band table, so whether their top track runs parallel to the flute is a field condition - the detail itself says VIF FLUTE DIRECTION. Not estimated. If all of them turned out to need it, at the same 0.75 LF per LF it would be about 180 LF more.</t>
        </is>
      </c>
      <c r="E13" s="46" t="inlineStr">
        <is>
          <t>Field verification before ordering</t>
        </is>
      </c>
      <c r="F13" s="46" t="inlineStr">
        <is>
          <t>Up to about 180 LF of purlin</t>
        </is>
      </c>
    </row>
    <row r="14" ht="48" customHeight="1" s="36">
      <c r="A14" s="57" t="n">
        <v>10</v>
      </c>
      <c r="B14" s="81" t="inlineStr">
        <is>
          <t>Ceiling transition perimeter</t>
        </is>
      </c>
      <c r="C14" s="46" t="inlineStr">
        <is>
          <t>Ceilings</t>
        </is>
      </c>
      <c r="D14" s="46" t="inlineStr">
        <is>
          <t>How much of the 167.68 LF of gypsum-ceiling perimeter meets an ACT ceiling at a different height, and therefore takes the 6" transition of 7/A09.33 (kicker @ 48" O.C., board both faces, 2 corner beads, shadow molding). A mechanical wall test was run and it does NOT resolve the restroom edges, so no number is carried rather than a guessed one.</t>
        </is>
      </c>
      <c r="E14" s="46" t="inlineStr">
        <is>
          <t>Architect / A04.01 edge by edge</t>
        </is>
      </c>
      <c r="F14" s="46" t="inlineStr">
        <is>
          <t>Affects price</t>
        </is>
      </c>
    </row>
    <row r="15" ht="36" customHeight="1" s="36">
      <c r="A15" s="57" t="n">
        <v>11</v>
      </c>
      <c r="B15" s="81" t="inlineStr">
        <is>
          <t>CSR soffit stud length</t>
        </is>
      </c>
      <c r="C15" s="46" t="inlineStr">
        <is>
          <t>Soffits</t>
        </is>
      </c>
      <c r="D15" s="46" t="inlineStr">
        <is>
          <t>The CSR soffit carries 26 pieces of 3-5/8" stud (size confirmed on A09.33: "3 5/8" METAL STUD FRAMING AND TRACK @ 16" O.C."), but 10/A09.33 does not dimension the soffit drop, so the LF of each piece is not derivable. Pieces are carried; length is not.</t>
        </is>
      </c>
      <c r="E15" s="46" t="inlineStr">
        <is>
          <t>Architect - soffit drop dimension</t>
        </is>
      </c>
      <c r="F15" s="46" t="inlineStr">
        <is>
          <t>Minor</t>
        </is>
      </c>
    </row>
    <row r="16" ht="48" customHeight="1" s="36">
      <c r="A16" s="57" t="n">
        <v>12</v>
      </c>
      <c r="B16" s="81" t="inlineStr">
        <is>
          <t>Walls 51 and 53 may be short</t>
        </is>
      </c>
      <c r="C16" s="46" t="inlineStr">
        <is>
          <t>Partitions</t>
        </is>
      </c>
      <c r="D16" s="46" t="inlineStr">
        <is>
          <t>On the left office-front band (x 1121.16 / 1133.88) the face at x=1133.88 runs continuous 981.00 to 1044.12 (3.507 ft) and 1179.12 to 1236.36 (3.180 ft), while both closures took 2.667 ft. Those may be the junctions with walls 4 and 26, or 0.84 + 0.51 ft of uncounted wall. Needs a zoom of A02.01 at x 1115-1140 / y 975-1240 to see where each type dies.</t>
        </is>
      </c>
      <c r="E16" s="46" t="inlineStr">
        <is>
          <t>Re-measure on A02.01</t>
        </is>
      </c>
      <c r="F16" s="46" t="inlineStr">
        <is>
          <t>Up to 1.35 LF of wall</t>
        </is>
      </c>
    </row>
    <row r="17" ht="144" customHeight="1" s="36">
      <c r="A17" s="57" t="n">
        <v>13</v>
      </c>
      <c r="B17" s="81" t="inlineStr">
        <is>
          <t>Height convention south of grid B - RESOLVED 29-Sep-2026</t>
        </is>
      </c>
      <c r="C17" s="46" t="inlineStr">
        <is>
          <t>Partitions</t>
        </is>
      </c>
      <c r="D17" s="46" t="inlineStr">
        <is>
          <t>CLOSED, no longer pending. Two conventions were living in the same takeoff: 4 walls interpolated the deck slope to their own high point and 13 took the flat 13.052 of grid B, which is the high point of the ZONE, not of the wall. S2.20 settles which reading is right: it carries three B.O.D. elevations - 15'-4 1/2" with NO SLOPE on the high roof, 13'-0 5/8" at the north edge of the low roof and 12'-6 3/8" at its south edge - and between those last two it draws an arrow labelled SLOPE with detail 5/S5.10. The NO SLOPE belongs to the high roof and the canopy, not to the low one. So the deck DOES fall, and every wall is now quoted at ITS OWN high end: h = 13.052 - (y-1246)/(1700.5-1246) x 0.521, using the north end of a wall that runs north-south and the centreline of one that runs east-west. The rule was validated against the four walls that already interpolated, to the thousandth. 13 walls corrected: -28.97 LF of stud and -48.34 SF of board. Wall 16 was already right (its low segment starts at grid B) and the text of its closure, which claimed the deck was level and the slope was in the tapered insulation, was corrected.</t>
        </is>
      </c>
      <c r="E17" s="46" t="inlineStr">
        <is>
          <t>Closed - no action needed</t>
        </is>
      </c>
      <c r="F17" s="46" t="inlineStr">
        <is>
          <t>Stud -28.97 LF, board -48.34 SF</t>
        </is>
      </c>
    </row>
    <row r="18" ht="48" customHeight="1" s="36">
      <c r="A18" s="57" t="n">
        <v>14</v>
      </c>
      <c r="B18" s="81" t="inlineStr">
        <is>
          <t>Return board at the light slots</t>
        </is>
      </c>
      <c r="C18" s="46" t="inlineStr">
        <is>
          <t>Ceilings</t>
        </is>
      </c>
      <c r="D18" s="46" t="inlineStr">
        <is>
          <t>RETORNO_BOARD_RANURA is quantified as PENDING in the sealed closure of the recessed fixture openings: the depth of each slot pocket is not dimensioned on the RCP, so the board that lines the return cannot be derived. The framing of the slot (112.00 LF) and its gypsum edge trim (122.67 LF) ARE carried. It shows as PENDING on Other Scope, never as zero.</t>
        </is>
      </c>
      <c r="E18" s="46" t="inlineStr">
        <is>
          <t>Architect - slot pocket depth</t>
        </is>
      </c>
      <c r="F18" s="46" t="inlineStr">
        <is>
          <t>Minor, but it is board that will be installed</t>
        </is>
      </c>
    </row>
    <row r="19" ht="72" customHeight="1" s="36">
      <c r="A19" s="57" t="n">
        <v>15</v>
      </c>
      <c r="B19" s="81" t="inlineStr">
        <is>
          <t>Wood blocking waste factor - CLOSED 11-Oct-2026</t>
        </is>
      </c>
      <c r="C19" s="46" t="inlineStr">
        <is>
          <t>All</t>
        </is>
      </c>
      <c r="D19" s="46" t="inlineStr">
        <is>
          <t>CLOSED, no longer pending. The figure used to sit at 0 because FRT wood blocking is neither metal nor board and the old standing rule (15% metal / 6% board, by type) had no row for it. Rodolfo extended the rule on 11-Oct-2026: EVERYTHING that is metal takes 15% whatever type it is, and EVERYTHING that is not metal takes the same figure as drywall / gypsum board, 6%. So wood blocking now reads the same Inputs cell as the board, and the separate parameter was retired rather than set to 0.06 - two cells meaning the same 6% is a second source of truth.</t>
        </is>
      </c>
      <c r="E19" s="46" t="inlineStr">
        <is>
          <t>Closed - no action needed</t>
        </is>
      </c>
      <c r="F19" s="46" t="inlineStr">
        <is>
          <t>6% on 748.00 LF of FRT blocking = 44.88 LF</t>
        </is>
      </c>
    </row>
    <row r="20" ht="60" customHeight="1" s="36">
      <c r="A20" s="57" t="n">
        <v>16</v>
      </c>
      <c r="B20" s="81" t="inlineStr">
        <is>
          <t>Pieces without a length never become purchase</t>
        </is>
      </c>
      <c r="C20" s="46" t="inlineStr">
        <is>
          <t>All</t>
        </is>
      </c>
      <c r="D20" s="46" t="inlineStr">
        <is>
          <t>Two line items are carried in PIECES and have no length, so they never convert into LF of stud to buy: the 26 pieces of the CSR soffit framing and the 18 stud reinforcements at the MEP penetrations. The pieces are correct and installed; what is missing is the length of each one. They are listed on Material Summary in pcs so they are visible, not folded into a LF figure that would be invented.</t>
        </is>
      </c>
      <c r="E20" s="46" t="inlineStr">
        <is>
          <t>Architect - soffit drop; field - reinforcement length</t>
        </is>
      </c>
      <c r="F20" s="46" t="inlineStr">
        <is>
          <t>Under 100 LF of stud</t>
        </is>
      </c>
    </row>
    <row r="21" ht="60" customHeight="1" s="36">
      <c r="A21" s="57" t="n">
        <v>17</v>
      </c>
      <c r="B21" s="81" t="inlineStr">
        <is>
          <t>Mop sink FRP width</t>
        </is>
      </c>
      <c r="C21" s="46" t="inlineStr">
        <is>
          <t>Wet areas</t>
        </is>
      </c>
      <c r="D21" s="46" t="inlineStr">
        <is>
          <t>Finish Plan key note 6 reads "FRP FROM FLOOR TO 4'-0" AFF, WIDTH TO MATCH WIDTH OF MOP SINK AT BOTH SIDES", and 5/A08.01 draws the sink in a CORNER with FRP on both walls. The HEIGHT is printed and confirmed; the WIDTH is tied to the fixture and the mop sink is not dimensioned on A02.01, A08.01 or the Plumbing Fixture Schedule. Not invented. For pricing: a 24" service sink gives 2 x 2.00 x 4.00 = 16.00 SF, a 28" one gives 18.67 SF.</t>
        </is>
      </c>
      <c r="E21" s="46" t="inlineStr">
        <is>
          <t>Plumbing - mop sink model and size</t>
        </is>
      </c>
      <c r="F21" s="46" t="inlineStr">
        <is>
          <t>Under 20 SF of FRP plus its trim</t>
        </is>
      </c>
    </row>
    <row r="22" ht="72" customHeight="1" s="36">
      <c r="A22" s="57" t="n">
        <v>18</v>
      </c>
      <c r="B22" s="81" t="inlineStr">
        <is>
          <t>Break Room sink has no wet-wall finish called out</t>
        </is>
      </c>
      <c r="C22" s="46" t="inlineStr">
        <is>
          <t>Wet areas</t>
        </is>
      </c>
      <c r="D22" s="46" t="inlineStr">
        <is>
          <t>P01.01 keyed note 1 proves there is a BREAK SINK in Break Room 118, but the Finish Plan gives 118 only P-15, VCT-2 and B-12 - no FRP, no tile, no W.R. note. The contrast is what says it is not a labelling slip: the same Finish Plan DOES give the Janitor Closet mop sink its key note 6, and A08.01 DOES carry note F for the restrooms. The drawings do not ask for it here. Trade practice puts W.R. board behind a sink: RFI raised, offered as an alternate. Cannot be quantified without the sink millwork size.</t>
        </is>
      </c>
      <c r="E22" s="46" t="inlineStr">
        <is>
          <t>Architect - RFI</t>
        </is>
      </c>
      <c r="F22" s="46" t="inlineStr">
        <is>
          <t>Affects price if added</t>
        </is>
      </c>
    </row>
    <row r="23" ht="108" customHeight="1" s="36">
      <c r="A23" s="57" t="n">
        <v>19</v>
      </c>
      <c r="B23" s="81" t="inlineStr">
        <is>
          <t>Cementitious backer behind FRP - the drawings are now conclusive</t>
        </is>
      </c>
      <c r="C23" s="46" t="inlineStr">
        <is>
          <t>Wet areas</t>
        </is>
      </c>
      <c r="D23" s="46" t="inlineStr">
        <is>
          <t>3/A08.01 RESTROOM FRP/TILE DETAIL was opened on 10-Oct-2026, at 6"=1'-0". It draws the FRP PANEL set on ADHESIVE DIRECTLY to the gypsum board, with PVC EDGE TRIM MOLDING top and bottom and CLEAR SEALANT, and NO substrate behind it - the same as 4 and 5/A08.01 at the mop sink. So the question is settled on the drawings: the set does not ask for a backer behind FRP anywhere. It stays OUT, and the alternate stands at the same area as the FRP for whoever wants it. What the trade rule DOES govern is the CERAMIC TILE COVE BASE, and that one is already carried: tile on a wall gets a cementitious backer even where the drawings do not draw it, so the 6" band under the cove base is quantified on walls 26, 27, 52 and the west exterior, with the difference against the drawings written into Clarifications.</t>
        </is>
      </c>
      <c r="E23" s="46" t="inlineStr">
        <is>
          <t>Estimator decision - alternate only</t>
        </is>
      </c>
      <c r="F23" s="46" t="inlineStr">
        <is>
          <t>Same area as the mop sink FRP, if added</t>
        </is>
      </c>
    </row>
    <row r="24" ht="30" customHeight="1" s="36">
      <c r="A24" s="57" t="n">
        <v>20</v>
      </c>
      <c r="B24" s="81" t="inlineStr">
        <is>
          <t>Ceiling perimeter sealant</t>
        </is>
      </c>
      <c r="C24" s="46" t="inlineStr">
        <is>
          <t>Ceilings</t>
        </is>
      </c>
      <c r="D24" s="46" t="inlineStr">
        <is>
          <t>A04.01 does not label perimeter sealant at gypsum ceilings and no ceiling detail draws it. Not carried.</t>
        </is>
      </c>
      <c r="E24" s="46" t="inlineStr">
        <is>
          <t>Architect - RFI</t>
        </is>
      </c>
      <c r="F24" s="46" t="inlineStr">
        <is>
          <t>Minor</t>
        </is>
      </c>
    </row>
    <row r="25" ht="30" customHeight="1" s="36">
      <c r="A25" s="57" t="n">
        <v>21</v>
      </c>
      <c r="B25" s="81" t="inlineStr">
        <is>
          <t>Exterior elevation titles swapped</t>
        </is>
      </c>
      <c r="C25" s="46" t="inlineStr">
        <is>
          <t>Exterior</t>
        </is>
      </c>
      <c r="D25" s="46" t="inlineStr">
        <is>
          <t>1/A09.01 and 2/A09.02 carry crossed titles - proven by the grid bubble order and by the content. Quantities follow the grids. Needs a written confirmation before award.</t>
        </is>
      </c>
      <c r="E25" s="46" t="inlineStr">
        <is>
          <t>Architect - RFI</t>
        </is>
      </c>
      <c r="F25" s="46" t="inlineStr">
        <is>
          <t>No price impact, but it must be on the record</t>
        </is>
      </c>
    </row>
    <row r="26" ht="36" customHeight="1" s="36">
      <c r="A26" s="57" t="n">
        <v>22</v>
      </c>
      <c r="B26" s="81" t="inlineStr">
        <is>
          <t>Insulation</t>
        </is>
      </c>
      <c r="C26" s="46" t="inlineStr">
        <is>
          <t>All</t>
        </is>
      </c>
      <c r="D26" s="46" t="inlineStr">
        <is>
          <t>Located and cited everywhere it occurs (spray foam in the 6" CFMF cavity, sound batt above the restroom ceilings, rigid above the roof deck) and EXCLUDED at the estimator's instruction. Add on request - the delta is declared.</t>
        </is>
      </c>
      <c r="E26" s="46" t="inlineStr">
        <is>
          <t>Estimator decision</t>
        </is>
      </c>
      <c r="F26" s="46" t="inlineStr">
        <is>
          <t>Affects price if added</t>
        </is>
      </c>
    </row>
    <row r="27" ht="30" customHeight="1" s="36">
      <c r="A27" s="57" t="n">
        <v>23</v>
      </c>
      <c r="B27" s="81" t="inlineStr">
        <is>
          <t>Bridging clips</t>
        </is>
      </c>
      <c r="C27" s="46" t="inlineStr">
        <is>
          <t>All</t>
        </is>
      </c>
      <c r="D27" s="46" t="inlineStr">
        <is>
          <t>Not carried: 7/S5.20 resolves bracing with screws and with WELD at each stud crossing, and lists no bridging clip. If the field wants clips, they are a priced alternate.</t>
        </is>
      </c>
      <c r="E27" s="46" t="inlineStr">
        <is>
          <t>Estimator / field</t>
        </is>
      </c>
      <c r="F27" s="46" t="inlineStr">
        <is>
          <t>Alternate</t>
        </is>
      </c>
    </row>
    <row r="28" ht="36" customHeight="1" s="36">
      <c r="A28" s="57" t="n">
        <v>24</v>
      </c>
      <c r="B28" s="81" t="inlineStr">
        <is>
          <t>CSR soffit vertical face</t>
        </is>
      </c>
      <c r="C28" s="46" t="inlineStr">
        <is>
          <t>Soffits</t>
        </is>
      </c>
      <c r="D28" s="46" t="inlineStr">
        <is>
          <t>Excluded: 10/A09.33 draws the soffit dying into a SCHEDULED PARTITION with continuous corner bead, with no free vertical face, and walls A1K 11 and 12 sit at exactly the same x range. If a free face appears in the field it is 30.85 SF, declared as an alternate.</t>
        </is>
      </c>
      <c r="E28" s="46" t="inlineStr">
        <is>
          <t>Field verification</t>
        </is>
      </c>
      <c r="F28" s="46" t="inlineStr">
        <is>
          <t>Alternate 30.85 SF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8" min="1" max="1"/>
    <col width="40" customWidth="1" style="38" min="2" max="2"/>
    <col width="11" customWidth="1" style="38" min="3" max="3"/>
    <col width="98" customWidth="1" style="38" min="4" max="4"/>
  </cols>
  <sheetData>
    <row r="1" ht="15.75" customHeight="1" s="36">
      <c r="A1" s="41" t="inlineStr">
        <is>
          <t>SHEET INDEX - where every number came from</t>
        </is>
      </c>
    </row>
    <row r="3" ht="33.75" customHeight="1" s="36">
      <c r="A3" s="54" t="inlineStr">
        <is>
          <t>Sheet</t>
        </is>
      </c>
      <c r="B3" s="54" t="inlineStr">
        <is>
          <t>Title</t>
        </is>
      </c>
      <c r="C3" s="54" t="inlineStr">
        <is>
          <t>PDF page</t>
        </is>
      </c>
      <c r="D3" s="54" t="inlineStr">
        <is>
          <t>What was taken from it</t>
        </is>
      </c>
    </row>
    <row r="4" ht="15" customHeight="1" s="36">
      <c r="A4" s="44" t="inlineStr">
        <is>
          <t>A00.30</t>
        </is>
      </c>
      <c r="B4" s="46" t="inlineStr">
        <is>
          <t>Door Schedule</t>
        </is>
      </c>
      <c r="C4" s="58" t="n">
        <v>31</v>
      </c>
      <c r="D4" s="46" t="inlineStr">
        <is>
          <t>Door leaf widths and heights used for header and board deduction</t>
        </is>
      </c>
    </row>
    <row r="5" ht="15" customHeight="1" s="36">
      <c r="A5" s="44" t="inlineStr">
        <is>
          <t>A02.01</t>
        </is>
      </c>
      <c r="B5" s="46" t="inlineStr">
        <is>
          <t>Construction Plan</t>
        </is>
      </c>
      <c r="C5" s="58" t="n">
        <v>23</v>
      </c>
      <c r="D5" s="46" t="inlineStr">
        <is>
          <t>Every wall length and every opening clear, by vector geometry at 1/4"=1'-0"</t>
        </is>
      </c>
    </row>
    <row r="6" ht="15" customHeight="1" s="36">
      <c r="A6" s="44" t="inlineStr">
        <is>
          <t>A04.01</t>
        </is>
      </c>
      <c r="B6" s="46" t="inlineStr">
        <is>
          <t>Reflected Ceiling Plan</t>
        </is>
      </c>
      <c r="C6" s="58" t="n">
        <v>28</v>
      </c>
      <c r="D6" s="46" t="inlineStr">
        <is>
          <t>Gypsum vs ACT ceilings, heights, key notes, fixture layout for hanger wire</t>
        </is>
      </c>
    </row>
    <row r="7" ht="15" customHeight="1" s="36">
      <c r="A7" s="44" t="inlineStr">
        <is>
          <t>A08.01</t>
        </is>
      </c>
      <c r="B7" s="46" t="inlineStr">
        <is>
          <t>Enlarged Restroom Plans &amp; Elevations</t>
        </is>
      </c>
      <c r="C7" s="58" t="n">
        <v>31</v>
      </c>
      <c r="D7" s="46" t="inlineStr">
        <is>
          <t>Toilet accessories, sheet note E on blocking, FRP extent</t>
        </is>
      </c>
    </row>
    <row r="8" ht="15" customHeight="1" s="36">
      <c r="A8" s="44" t="inlineStr">
        <is>
          <t>A08.11</t>
        </is>
      </c>
      <c r="B8" s="46" t="inlineStr">
        <is>
          <t>ATM Details</t>
        </is>
      </c>
      <c r="C8" s="58" t="n">
        <v>32</v>
      </c>
      <c r="D8" s="46" t="inlineStr">
        <is>
          <t>Drive-up and walk-up ATM R.O., box beam, sistered studs, plinth and surround</t>
        </is>
      </c>
    </row>
    <row r="9" ht="15" customHeight="1" s="36">
      <c r="A9" s="44" t="inlineStr">
        <is>
          <t>A09.01</t>
        </is>
      </c>
      <c r="B9" s="46" t="inlineStr">
        <is>
          <t>Exterior Elevations (west + north)</t>
        </is>
      </c>
      <c r="C9" s="58" t="n">
        <v>34</v>
      </c>
      <c r="D9" s="46" t="inlineStr">
        <is>
          <t>Canopy extent and datums; grid order proves the title swap</t>
        </is>
      </c>
    </row>
    <row r="10" ht="15" customHeight="1" s="36">
      <c r="A10" s="44" t="inlineStr">
        <is>
          <t>A09.02</t>
        </is>
      </c>
      <c r="B10" s="46" t="inlineStr">
        <is>
          <t>Exterior Elevations (south + east)</t>
        </is>
      </c>
      <c r="C10" s="58" t="n">
        <v>35</v>
      </c>
      <c r="D10" s="46" t="inlineStr">
        <is>
          <t>Canopy extent, EXPT-1 door, exterior material legend</t>
        </is>
      </c>
    </row>
    <row r="11" ht="15" customHeight="1" s="36">
      <c r="A11" s="44" t="inlineStr">
        <is>
          <t>A09.23</t>
        </is>
      </c>
      <c r="B11" s="46" t="inlineStr">
        <is>
          <t>Wall Sections</t>
        </is>
      </c>
      <c r="C11" s="58" t="n">
        <v>38</v>
      </c>
      <c r="D11" s="46" t="inlineStr">
        <is>
          <t>H/A09.23: full exterior wall build-up and each layer's height</t>
        </is>
      </c>
    </row>
    <row r="12" ht="15" customHeight="1" s="36">
      <c r="A12" s="44" t="inlineStr">
        <is>
          <t>A09.25</t>
        </is>
      </c>
      <c r="B12" s="46" t="inlineStr">
        <is>
          <t>Plan Details</t>
        </is>
      </c>
      <c r="C12" s="58" t="n">
        <v>39</v>
      </c>
      <c r="D12" s="46" t="inlineStr">
        <is>
          <t>Exterior wall plan details, corner and jamb conditions</t>
        </is>
      </c>
    </row>
    <row r="13" ht="15" customHeight="1" s="36">
      <c r="A13" s="44" t="inlineStr">
        <is>
          <t>A09.27</t>
        </is>
      </c>
      <c r="B13" s="46" t="inlineStr">
        <is>
          <t>Gypsum Section Details</t>
        </is>
      </c>
      <c r="C13" s="58" t="n">
        <v>41</v>
      </c>
      <c r="D13" s="46" t="inlineStr">
        <is>
          <t>15 and 16/A09.27: drive-up canopy soffit and fascia build-up and datums</t>
        </is>
      </c>
    </row>
    <row r="14" ht="15" customHeight="1" s="36">
      <c r="A14" s="44" t="inlineStr">
        <is>
          <t>A09.30</t>
        </is>
      </c>
      <c r="B14" s="46" t="inlineStr">
        <is>
          <t>Roof Details</t>
        </is>
      </c>
      <c r="C14" s="58" t="n">
        <v>42</v>
      </c>
      <c r="D14" s="46" t="inlineStr">
        <is>
          <t>Roof hatch and ladder</t>
        </is>
      </c>
    </row>
    <row r="15" ht="15" customHeight="1" s="36">
      <c r="A15" s="44" t="inlineStr">
        <is>
          <t>A09.33</t>
        </is>
      </c>
      <c r="B15" s="46" t="inlineStr">
        <is>
          <t>Ceiling Details</t>
        </is>
      </c>
      <c r="C15" s="58" t="n">
        <v>44</v>
      </c>
      <c r="D15" s="46" t="inlineStr">
        <is>
          <t>10/A09.33: CSR soffit, corner bead, FRTW blocking, ceiling trim</t>
        </is>
      </c>
    </row>
    <row r="16" ht="15" customHeight="1" s="36">
      <c r="A16" s="44" t="inlineStr">
        <is>
          <t>A11.01-04</t>
        </is>
      </c>
      <c r="B16" s="46" t="inlineStr">
        <is>
          <t>Interior Elevations</t>
        </is>
      </c>
      <c r="C16" s="58" t="n">
        <v>45</v>
      </c>
      <c r="D16" s="46" t="inlineStr">
        <is>
          <t>What hangs on each face - artwork, millwork, media monitor - for blocking</t>
        </is>
      </c>
    </row>
    <row r="17" ht="15" customHeight="1" s="36">
      <c r="A17" s="44" t="inlineStr">
        <is>
          <t>A12.01</t>
        </is>
      </c>
      <c r="B17" s="46" t="inlineStr">
        <is>
          <t>Partition Types</t>
        </is>
      </c>
      <c r="C17" s="58" t="n">
        <v>49</v>
      </c>
      <c r="D17" s="46" t="inlineStr">
        <is>
          <t>Every partition type: stud size, layers per face, wall thickness, bulkhead details</t>
        </is>
      </c>
    </row>
    <row r="18" ht="15" customHeight="1" s="36">
      <c r="A18" s="44" t="inlineStr">
        <is>
          <t>S2.20</t>
        </is>
      </c>
      <c r="B18" s="46" t="inlineStr">
        <is>
          <t>Roof Framing Plan</t>
        </is>
      </c>
      <c r="C18" s="58" t="n">
        <v>62</v>
      </c>
      <c r="D18" s="46" t="inlineStr">
        <is>
          <t>B.O. Deck by zone: 15'-4 1/2" north of grid B, sloping 1/4"/ft south of it</t>
        </is>
      </c>
    </row>
    <row r="19" ht="15" customHeight="1" s="36">
      <c r="A19" s="44" t="inlineStr">
        <is>
          <t>S5.20</t>
        </is>
      </c>
      <c r="B19" s="46" t="inlineStr">
        <is>
          <t>CFMF Schedules and Details</t>
        </is>
      </c>
      <c r="C19" s="58" t="n">
        <v>68</v>
      </c>
      <c r="D19" s="46" t="inlineStr">
        <is>
          <t>7/S5.20: stud properties, spacing by application, bracing, fastener schedule</t>
        </is>
      </c>
    </row>
    <row r="20" ht="15" customHeight="1" s="36">
      <c r="A20" s="44" t="inlineStr">
        <is>
          <t>M01.01</t>
        </is>
      </c>
      <c r="B20" s="46" t="inlineStr">
        <is>
          <t>Mechanical Plan</t>
        </is>
      </c>
      <c r="C20" s="58" t="n">
        <v>75</v>
      </c>
      <c r="D20" s="46" t="inlineStr">
        <is>
          <t>Duct penetrations crossed against every wall and ceiling</t>
        </is>
      </c>
    </row>
    <row r="21" ht="15" customHeight="1" s="36">
      <c r="A21" s="44" t="inlineStr">
        <is>
          <t>E01.01 / E02.01</t>
        </is>
      </c>
      <c r="B21" s="46" t="inlineStr">
        <is>
          <t>Electrical Plans</t>
        </is>
      </c>
      <c r="C21" s="58" t="n">
        <v>79</v>
      </c>
      <c r="D21" s="46" t="inlineStr">
        <is>
          <t>Electrical penetrations and recessed fixture locations</t>
        </is>
      </c>
    </row>
    <row r="22" ht="15" customHeight="1" s="36">
      <c r="A22" s="44" t="inlineStr">
        <is>
          <t>P01.01 / P01.02</t>
        </is>
      </c>
      <c r="B22" s="46" t="inlineStr">
        <is>
          <t>Plumbing Plans</t>
        </is>
      </c>
      <c r="C22" s="58" t="n">
        <v>90</v>
      </c>
      <c r="D22" s="46" t="inlineStr">
        <is>
          <t>Plumbing penetrations crossed against every wall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G128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8" min="1" max="1"/>
    <col width="6" customWidth="1" style="38" min="2" max="2"/>
    <col width="15" customWidth="1" style="38" min="3" max="3"/>
    <col width="12" customWidth="1" style="38" min="4" max="4"/>
    <col width="86" customWidth="1" style="38" min="5" max="5"/>
    <col width="34" customWidth="1" style="38" min="6" max="6"/>
    <col width="92" customWidth="1" style="38" min="7" max="7"/>
  </cols>
  <sheetData>
    <row r="1" ht="15.75" customHeight="1" s="36">
      <c r="A1" s="41" t="inlineStr">
        <is>
          <t>DETAIL LOG - why the chain goes to each sheet, and what came out of it</t>
        </is>
      </c>
    </row>
    <row r="2" ht="15" customHeight="1" s="36">
      <c r="A2" s="42" t="inlineStr">
        <is>
          <t>One row per link of the Detail sequence shown on the Partition Takeoff and Ceilings &amp; Soffits tabs, in the order the sheets were read. "What was taken from it" is quoted from the sealed closure, not retyped.</t>
        </is>
      </c>
    </row>
    <row r="4" ht="33.75" customHeight="1" s="36">
      <c r="A4" s="54" t="inlineStr">
        <is>
          <t>Element</t>
        </is>
      </c>
      <c r="B4" s="54" t="inlineStr">
        <is>
          <t>Step</t>
        </is>
      </c>
      <c r="C4" s="54" t="inlineStr">
        <is>
          <t>Sheet / detail</t>
        </is>
      </c>
      <c r="D4" s="54" t="inlineStr">
        <is>
          <t>Used for</t>
        </is>
      </c>
      <c r="E4" s="54" t="inlineStr">
        <is>
          <t>What this detail is, and why the chain goes there</t>
        </is>
      </c>
      <c r="F4" s="54" t="inlineStr">
        <is>
          <t>Cited in</t>
        </is>
      </c>
      <c r="G4" s="54" t="inlineStr">
        <is>
          <t>What was taken from it</t>
        </is>
      </c>
    </row>
    <row r="5" ht="43.5" customHeight="1" s="36">
      <c r="A5" s="44" t="inlineStr">
        <is>
          <t>A1 #8</t>
        </is>
      </c>
      <c r="B5" s="58" t="n">
        <v>1</v>
      </c>
      <c r="C5" s="44" t="inlineStr">
        <is>
          <t>A02.01</t>
        </is>
      </c>
      <c r="D5" s="59" t="inlineStr">
        <is>
          <t>Dimension</t>
        </is>
      </c>
      <c r="E5" s="46" t="inlineStr">
        <is>
          <t>Construction Plan. Entry sheet for partitions and openings: vector geometry of every wall face at 1/4"=1'-0", the leader of every partition tag, the Construction Plan Legend (new vs. existing) and the Construction Plan Notes.</t>
        </is>
      </c>
      <c r="F5" s="46" t="inlineStr">
        <is>
          <t>BOARD, HEADER, SUSTRATO_PLYWOOD, face[2].board_height, face[3].board_height, length, scope[0].chain[0], scope[1].chain[0], scope[1].chain[1]</t>
        </is>
      </c>
      <c r="G5" s="46" t="inlineStr">
        <is>
          <t>CORREGIDO 5-oct-2026: face to face entre los dos walls tipo B, y=1446.12 a y=1551.12 = 105.00 pt / 18 = 5.833 ft, que es EXACTAMENTE la dimension impresa 5'-10" de A02.01 (cadena en x=1277.76, ticks localizados descontando el sobretiro de punta de flecha de 6.72 pt, simetrico en los dos extremos).</t>
        </is>
      </c>
    </row>
    <row r="6" ht="33" customHeight="1" s="36">
      <c r="A6" s="59" t="n"/>
      <c r="B6" s="58" t="n">
        <v>2</v>
      </c>
      <c r="C6" s="44" t="inlineStr">
        <is>
          <t>A04.01</t>
        </is>
      </c>
      <c r="D6" s="59" t="inlineStr">
        <is>
          <t>Dimension</t>
        </is>
      </c>
      <c r="E6" s="46" t="inlineStr">
        <is>
          <t>Reflected Ceiling Plan. Entry sheet for ceilings, soffits and canopy; on walls it gives the BOARD HEIGHT: each room ceiling tag with its printed A.F.F. dimension, plus the ceiling key notes.</t>
        </is>
      </c>
      <c r="F6" s="46" t="inlineStr">
        <is>
          <t>BOARD, face[0].board_height, face[1].board_height, face[2].board_height, face[3].board_height</t>
        </is>
      </c>
      <c r="G6" s="46" t="inlineStr">
        <is>
          <t>A04.01: tag ACT-4 con dimension impresa 8'-6" junto al room tag CORRIDOR 111, mas los 6" de 3/A12.01 = 9.00 ft</t>
        </is>
      </c>
    </row>
    <row r="7" ht="25.5" customHeight="1" s="36">
      <c r="A7" s="59" t="n"/>
      <c r="B7" s="58" t="n">
        <v>3</v>
      </c>
      <c r="C7" s="44" t="inlineStr">
        <is>
          <t>S2.20</t>
        </is>
      </c>
      <c r="D7" s="59" t="inlineStr">
        <is>
          <t>Dimension</t>
        </is>
      </c>
      <c r="E7" s="46" t="inlineStr">
        <is>
          <t>"ROOF FRAMING PLAN". Source of the STUD HEIGHT: every B.O.D. callout on the sheet and the slope of the bay between grids B and A (1/4" per foot).</t>
        </is>
      </c>
      <c r="F7" s="46" t="inlineStr">
        <is>
          <t>BOARD, face[2].board_height, face[3].board_height, stud_height</t>
        </is>
      </c>
      <c r="G7" s="46" t="inlineStr">
        <is>
          <t>interpolado en el extremo ALTO de la zona (y=1446.12 de A02.01 = y=1429.40 de S2.20) = 13.052 - (200.10/454.6) x 0.521 = 12.82 ft.</t>
        </is>
      </c>
    </row>
    <row r="8" ht="43.5" customHeight="1" s="36">
      <c r="A8" s="59" t="n"/>
      <c r="B8" s="58" t="n">
        <v>4</v>
      </c>
      <c r="C8" s="44" t="inlineStr">
        <is>
          <t>2/A11.03</t>
        </is>
      </c>
      <c r="D8" s="59" t="inlineStr">
        <is>
          <t>Quantity</t>
        </is>
      </c>
      <c r="E8" s="46"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8" s="46" t="inlineStr">
        <is>
          <t>SUSTRATO_PLYWOOD</t>
        </is>
      </c>
      <c r="G8" s="46" t="inlineStr">
        <is>
          <t>CORREGIDO 6-oct-2026: antes se citaban tambien 2/A11.03, 4/A11.03 y 7/A11.03.</t>
        </is>
      </c>
    </row>
    <row r="9" ht="43.5" customHeight="1" s="36">
      <c r="A9" s="59" t="n"/>
      <c r="B9" s="58" t="n">
        <v>5</v>
      </c>
      <c r="C9" s="44" t="inlineStr">
        <is>
          <t>3/A11.03</t>
        </is>
      </c>
      <c r="D9" s="59" t="inlineStr">
        <is>
          <t>Quantity</t>
        </is>
      </c>
      <c r="E9" s="46" t="inlineStr">
        <is>
          <t>"ELECTRICAL ELEVATION 2", measured width 5.833 ft. Panel backing board.</t>
        </is>
      </c>
      <c r="F9" s="46" t="inlineStr">
        <is>
          <t>SUSTRATO_PLYWOOD</t>
        </is>
      </c>
      <c r="G9" s="46" t="inlineStr">
        <is>
          <t>La height sale de las dos elevaciones interiores DE ESTE WALL, identificadas por WIDTH contra la planta (regla 61, A11.03 esta a 1/2"=1'-0" = 36 pt/pie): 3/A11.03 ELECTRICAL ELEVATION dibuja 210.00 pt = 5.833 ft, EXACTAMENTE la dimension impresa 5'-10", y 5/A11.03 NER ELEVATION dibuja 270.00 pt = 7.500 ft, EXACTAMENTE…</t>
        </is>
      </c>
    </row>
    <row r="10" ht="43.5" customHeight="1" s="36">
      <c r="A10" s="59" t="n"/>
      <c r="B10" s="58" t="n">
        <v>6</v>
      </c>
      <c r="C10" s="44" t="inlineStr">
        <is>
          <t>4/A11.03</t>
        </is>
      </c>
      <c r="D10" s="59" t="inlineStr">
        <is>
          <t>Quantity</t>
        </is>
      </c>
      <c r="E10" s="46"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10" s="46" t="inlineStr">
        <is>
          <t>SUSTRATO_PLYWOOD</t>
        </is>
      </c>
      <c r="G10" s="46" t="inlineStr">
        <is>
          <t>CORREGIDO 6-oct-2026: antes se citaban tambien 2/A11.03, 4/A11.03 y 7/A11.03.</t>
        </is>
      </c>
    </row>
    <row r="11" ht="43.5" customHeight="1" s="36">
      <c r="A11" s="59" t="n"/>
      <c r="B11" s="58" t="n">
        <v>7</v>
      </c>
      <c r="C11" s="44" t="inlineStr">
        <is>
          <t>5/A11.03</t>
        </is>
      </c>
      <c r="D11" s="59" t="inlineStr">
        <is>
          <t>Quantity</t>
        </is>
      </c>
      <c r="E11" s="46" t="inlineStr">
        <is>
          <t>"NER ELEVATION", measured width 7.500 ft. THIS is the plywood one: dimension chain 8'-0" + 6" puts the panel from 6" A.F.F. to 8'-6" A.F.F.</t>
        </is>
      </c>
      <c r="F11" s="46" t="inlineStr">
        <is>
          <t>SUSTRATO_PLYWOOD</t>
        </is>
      </c>
      <c r="G11" s="46" t="inlineStr">
        <is>
          <t>La height sale de las dos elevaciones interiores DE ESTE WALL, identificadas por WIDTH contra la planta (regla 61, A11.03 esta a 1/2"=1'-0" = 36 pt/pie): 3/A11.03 ELECTRICAL ELEVATION dibuja 210.00 pt = 5.833 ft, EXACTAMENTE la dimension impresa 5'-10", y 5/A11.03 NER ELEVATION dibuja 270.00 pt = 7.500 ft, EXACTAMENTE…</t>
        </is>
      </c>
    </row>
    <row r="12" ht="25.5" customHeight="1" s="36">
      <c r="A12" s="59" t="n"/>
      <c r="B12" s="58" t="n">
        <v>8</v>
      </c>
      <c r="C12" s="44" t="inlineStr">
        <is>
          <t>7/A11.03</t>
        </is>
      </c>
      <c r="D12" s="59" t="inlineStr">
        <is>
          <t>Ruled out</t>
        </is>
      </c>
      <c r="E12" s="46" t="inlineStr">
        <is>
          <t>"NER ELEVATION" (TECH 1 / TECH 2 rack). Draws NO plywood: verified, and that is why it is NOT the source of the substrate.</t>
        </is>
      </c>
      <c r="F12" s="46" t="inlineStr">
        <is>
          <t>SUSTRATO_PLYWOOD</t>
        </is>
      </c>
      <c r="G12" s="46" t="inlineStr">
        <is>
          <t>CORREGIDO 6-oct-2026: antes se citaban tambien 2/A11.03, 4/A11.03 y 7/A11.03.</t>
        </is>
      </c>
    </row>
    <row r="13" ht="33" customHeight="1" s="36">
      <c r="A13" s="59" t="n"/>
      <c r="B13" s="58" t="n">
        <v>9</v>
      </c>
      <c r="C13" s="44" t="inlineStr">
        <is>
          <t>1/A12.01</t>
        </is>
      </c>
      <c r="D13" s="59" t="inlineStr">
        <is>
          <t>Quantity</t>
        </is>
      </c>
      <c r="E13" s="46" t="inlineStr">
        <is>
          <t>"PARTITION TYPE B, B2". Stud, layers per face, wall thickness and sealant of types B and B2. On a B wall it is the source; on an A1 wall it enters as a CONTRAST (B does label sealant top AND bottom, A1 only at the bottom).</t>
        </is>
      </c>
      <c r="F13" s="46" t="inlineStr">
        <is>
          <t>SEALANT</t>
        </is>
      </c>
      <c r="G13" s="46" t="inlineStr">
        <is>
          <t>Contraste que prueba que no es omision mia: 1/A12.01 (B y B2) SI rotula sealant arriba Y abajo.</t>
        </is>
      </c>
    </row>
    <row r="14" ht="25.5" customHeight="1" s="36">
      <c r="A14" s="59" t="n"/>
      <c r="B14" s="58" t="n">
        <v>10</v>
      </c>
      <c r="C14" s="44" t="inlineStr">
        <is>
          <t>3/A12.01</t>
        </is>
      </c>
      <c r="D14" s="59" t="inlineStr">
        <is>
          <t>Dimension</t>
        </is>
      </c>
      <c r="E14" s="46" t="inlineStr">
        <is>
          <t>"PARTITION TYPE A1 &amp; A5". 3 5/8" stud, layers per face, WALL THICKNESS 4 7/8", slip track at the top, acoustic sealant at the slab and the 6" of board above the scheduled ceiling.</t>
        </is>
      </c>
      <c r="F14" s="46" t="inlineStr">
        <is>
          <t>BOARD, SEALANT, STUD, TRACK_BOTTOM, TRACK_TOP, excluded.INSULATION, face[0].board_height, face[1].board_height, face[2].board_height, face[3].board_height, scope[0].chain[1], stud_height</t>
        </is>
      </c>
      <c r="G14" s="46" t="inlineStr">
        <is>
          <t>A04.01: tag ACT-4 con dimension impresa 8'-6" junto al room tag CORRIDOR 111, mas los 6" de 3/A12.01 = 9.00 ft</t>
        </is>
      </c>
    </row>
    <row r="15" ht="33" customHeight="1" s="36">
      <c r="A15" s="59" t="n"/>
      <c r="B15" s="58" t="n">
        <v>11</v>
      </c>
      <c r="C15" s="44" t="inlineStr">
        <is>
          <t>4/A12.01</t>
        </is>
      </c>
      <c r="D15" s="59" t="inlineStr">
        <is>
          <t>Quantity</t>
        </is>
      </c>
      <c r="E15" s="46" t="inlineStr">
        <is>
          <t>"PARTITION TYPE A1K &amp; A5K". The K types. On an A1 wall it enters as a CONTRAST: detail 4 calls for 14 GA @ 24" O.C. MAX in its own note and detail 3 does not, so on the A1 the 7/S5.20 schedule governs.</t>
        </is>
      </c>
      <c r="F15" s="46" t="inlineStr">
        <is>
          <t>STUD</t>
        </is>
      </c>
      <c r="G15" s="46" t="inlineStr">
        <is>
          <t>El detalle 3/A12.01 no trae nota de construccion propia que lo contradiga (a diferencia de 4/A12.01, que para los walls K pide 14 GA @ 24" O.C.</t>
        </is>
      </c>
    </row>
    <row r="16" ht="43.5" customHeight="1" s="36">
      <c r="A16" s="59" t="n"/>
      <c r="B16" s="58" t="n">
        <v>12</v>
      </c>
      <c r="C16" s="44" t="inlineStr">
        <is>
          <t>A09.01</t>
        </is>
      </c>
      <c r="D16" s="59" t="inlineStr">
        <is>
          <t>Exclusion</t>
        </is>
      </c>
      <c r="E16" s="46" t="inlineStr">
        <is>
          <t>Exterior Elevations: "SOUTH ELEVATION" and "WEST ELEVATION" at 1/4"=1'-0". Extent of each exterior material and the material legend, verbatim "CJ CONTROL JOINT; PAINT TO MATCH STUCCO FINISH COLOR" - that joint is the STUCCO joint, not gypsum.</t>
        </is>
      </c>
      <c r="F16" s="46" t="inlineStr">
        <is>
          <t>excluded.CONTROL_JOINT</t>
        </is>
      </c>
      <c r="G16"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7" ht="33" customHeight="1" s="36">
      <c r="A17" s="59" t="n"/>
      <c r="B17" s="58" t="n">
        <v>13</v>
      </c>
      <c r="C17" s="44" t="inlineStr">
        <is>
          <t>10/A12.02</t>
        </is>
      </c>
      <c r="D17" s="59" t="inlineStr">
        <is>
          <t>Quantity</t>
        </is>
      </c>
      <c r="E17" s="46" t="inlineStr">
        <is>
          <t>"HEAD @ HOLLOW METAL FRAME" at 3"=1'-0". Head of the hollow metal frame: labels SCHEDULED PARTITION, METAL STUD, METAL CLIP, HOLLOW METAL FRAME and 1/2" of board lap per face inside the frame throat.</t>
        </is>
      </c>
      <c r="F17" s="46" t="inlineStr">
        <is>
          <t>HEADER, excluded.CLIPS, openings[0].head</t>
        </is>
      </c>
      <c r="G17" s="46" t="inlineStr">
        <is>
          <t>Door 118B del Door Schedule de A00.30, hoja 3'-0", hollow metal frame, HEAD 10/A12.02 y JAMB 11/A12.02, columna SILL vacia.</t>
        </is>
      </c>
    </row>
    <row r="18" ht="33" customHeight="1" s="36">
      <c r="A18" s="59" t="n"/>
      <c r="B18" s="58" t="n">
        <v>14</v>
      </c>
      <c r="C18" s="44" t="inlineStr">
        <is>
          <t>11/A12.02</t>
        </is>
      </c>
      <c r="D18" s="59" t="inlineStr">
        <is>
          <t>Quantity</t>
        </is>
      </c>
      <c r="E18" s="46" t="inlineStr">
        <is>
          <t>"JAMB @ HOLLOW METAL FRAME" at 3"=1'-0". Jamb of the same frame: it calls METAL ANCHOR the piece detail 10 calls METAL CLIP, so the piece is frame anchorage (Div 08), not a clip of ours.</t>
        </is>
      </c>
      <c r="F18" s="46" t="inlineStr">
        <is>
          <t>HEADER, excluded.CLIPS</t>
        </is>
      </c>
      <c r="G18" s="46" t="inlineStr">
        <is>
          <t>Door 118B del Door Schedule de A00.30, hoja 3'-0", hollow metal frame, HEAD 10/A12.02 y JAMB 11/A12.02, columna SILL vacia.</t>
        </is>
      </c>
    </row>
    <row r="19" ht="33" customHeight="1" s="36">
      <c r="A19" s="59" t="n"/>
      <c r="B19" s="58" t="n">
        <v>15</v>
      </c>
      <c r="C19" s="44" t="inlineStr">
        <is>
          <t>1/S5.20</t>
        </is>
      </c>
      <c r="D19" s="59" t="inlineStr">
        <is>
          <t>Quantity</t>
        </is>
      </c>
      <c r="E19" s="46" t="inlineStr">
        <is>
          <t>"TYPICAL WALL FRAMING DETAILS". Holds sub-details A through F; sub-detail F "BRIDGING AND BRACING - CONTINUOUS BRIDGING" is the bracing one: 1 1/2" C.R. CHANNEL welded to every stud. (Bracing is NOT in 5/S5.20, which is TYPICAL WALL FRAMING CONNX.)</t>
        </is>
      </c>
      <c r="F19" s="46" t="inlineStr">
        <is>
          <t>BRACING, excluded.CLIPS</t>
        </is>
      </c>
      <c r="G19" s="46" t="inlineStr">
        <is>
          <t>por el punchout del alma, soldado a cada stud (1/S5.20 sub-detalle F de S5.20).</t>
        </is>
      </c>
    </row>
    <row r="20" ht="33" customHeight="1" s="36">
      <c r="A20" s="59" t="n"/>
      <c r="B20" s="58" t="n">
        <v>16</v>
      </c>
      <c r="C20" s="44" t="inlineStr">
        <is>
          <t>2/S5.20</t>
        </is>
      </c>
      <c r="D20" s="59" t="inlineStr">
        <is>
          <t>Quantity</t>
        </is>
      </c>
      <c r="E20" s="46" t="inlineStr">
        <is>
          <t>"HEAD TRACK @ NON LOAD BRG". The head track and the verbatim condition "ADD FULL LENGTH ADDL HEAD TRACK @ OPNG &gt;4'-0"": an opening of 4'-0" or less takes a SINGLE track.</t>
        </is>
      </c>
      <c r="F20" s="46" t="inlineStr">
        <is>
          <t>HEADER</t>
        </is>
      </c>
      <c r="G20" s="46" t="inlineStr">
        <is>
          <t>9/S5.20 OPNG IN NON-LOAD-BRG WALLS rotula 'HEAD TRACK (DOUBLE TRACK @ OPNG &gt; 4'-0")' y 2/S5.20 HEAD TRACK @ NON LOAD BRG repite la condicional 'ADD FULL LENGTH ADDL HEAD TRACK @ OPNG &gt;4'-0"'.</t>
        </is>
      </c>
    </row>
    <row r="21" ht="33" customHeight="1" s="36">
      <c r="A21" s="59" t="n"/>
      <c r="B21" s="58" t="n">
        <v>17</v>
      </c>
      <c r="C21" s="44" t="inlineStr">
        <is>
          <t>4/S5.20</t>
        </is>
      </c>
      <c r="D21" s="59" t="inlineStr">
        <is>
          <t>Quantity</t>
        </is>
      </c>
      <c r="E21" s="46" t="inlineStr">
        <is>
          <t>"TYPICAL BLOCKING DETAIL". STUD BLOCKING 362CR22 and CLIP ANGLE 362CR22, with the boxed verbatim note "PROVIDE BLOCKING AT THE EDGE OF GYPBOARD." - source of the blocking at EVERY free edge of board.</t>
        </is>
      </c>
      <c r="F21" s="46" t="inlineStr">
        <is>
          <t>BLOCKING</t>
        </is>
      </c>
      <c r="G21" s="46" t="inlineStr">
        <is>
          <t>BOARD FREE EDGE: 4/S5.20 TYPICAL BLOCKING DETAIL carries a boxed note, TEXTUAL: 'PROVIDE BLOCKING AT THE EDGE OF GYPBOARD.', with STUD BLOCKING 362CR22 (TYP.) and CLIP ANGLE 362CR22 (TYP.) &amp; BLOCKING W/ SCREWS (TYP.).</t>
        </is>
      </c>
    </row>
    <row r="22" ht="33" customHeight="1" s="36">
      <c r="A22" s="59" t="n"/>
      <c r="B22" s="58" t="n">
        <v>18</v>
      </c>
      <c r="C22" s="44" t="inlineStr">
        <is>
          <t>7/S5.20</t>
        </is>
      </c>
      <c r="D22" s="59" t="inlineStr">
        <is>
          <t>Quantity</t>
        </is>
      </c>
      <c r="E22" s="46" t="inlineStr">
        <is>
          <t>"METAL STUDS SCHEDULES". The profile: web, flange, lip, mils, gauge and the APPLICATION column with the spacing ("INTERIOR WALLS @ 16" O.C."), plus the SILL TRACK ANCHORAGE and the FASTENER SCHEDULE.</t>
        </is>
      </c>
      <c r="F22" s="46" t="inlineStr">
        <is>
          <t>STUD, TRACK_BOTTOM</t>
        </is>
      </c>
      <c r="G22" s="46" t="inlineStr">
        <is>
          <t>7/S5.20 METAL STUDS SCHEDULES, renglon 362S137-33: alma 3 5/8", ala 1 3/8", lip 3/8", 33 mil = 20 ga, APPLICATION 'INTERIOR WALLS @ 16" O.C.'.</t>
        </is>
      </c>
    </row>
    <row r="23" ht="33" customHeight="1" s="36">
      <c r="A23" s="59" t="n"/>
      <c r="B23" s="58" t="n">
        <v>19</v>
      </c>
      <c r="C23" s="44" t="inlineStr">
        <is>
          <t>9/S5.20</t>
        </is>
      </c>
      <c r="D23" s="59" t="inlineStr">
        <is>
          <t>Quantity</t>
        </is>
      </c>
      <c r="E23" s="46" t="inlineStr">
        <is>
          <t>"OPNG IN NON-LOAD-BRG WALLS". The opening frame: DBL JAMB STUD (2 per jamb) and HEAD TRACK with the condition "DOUBLE TRACK @ OPNG &gt; 4'-0"".</t>
        </is>
      </c>
      <c r="F23" s="46" t="inlineStr">
        <is>
          <t>HEADER</t>
        </is>
      </c>
      <c r="G23" s="46" t="inlineStr">
        <is>
          <t>9/S5.20 OPNG IN NON-LOAD-BRG WALLS rotula 'HEAD TRACK (DOUBLE TRACK @ OPNG &gt; 4'-0")' y 2/S5.20 HEAD TRACK @ NON LOAD BRG repite la condicional 'ADD FULL LENGTH ADDL HEAD TRACK @ OPNG &gt;4'-0"'.</t>
        </is>
      </c>
    </row>
    <row r="24" ht="25.5" customHeight="1" s="36">
      <c r="A24" s="59" t="n"/>
      <c r="B24" s="58" t="n">
        <v>20</v>
      </c>
      <c r="C24" s="44" t="inlineStr">
        <is>
          <t>A00.01</t>
        </is>
      </c>
      <c r="D24" s="59" t="inlineStr">
        <is>
          <t>Scope</t>
        </is>
      </c>
      <c r="E24" s="46" t="inlineStr">
        <is>
          <t>Cover sheet and Drawing Index. Proof by ABSENCE: the index lists no interior Demolition Plan, which is why there is no patch-and-repair line item.</t>
        </is>
      </c>
      <c r="F24" s="46" t="inlineStr">
        <is>
          <t>excluded.PATCH, scope[1].chain[0]</t>
        </is>
      </c>
      <c r="G24" s="46" t="inlineStr">
        <is>
          <t>A02.01 Construction Plan Legend: la grafia de dos lineas limpias es NEW PARTITION (SEE SCHEDULE); no hay Demolition Plan interior en el Drawing Index de A00.01</t>
        </is>
      </c>
    </row>
    <row r="25" ht="33" customHeight="1" s="36">
      <c r="A25" s="59" t="n"/>
      <c r="B25" s="58" t="n">
        <v>21</v>
      </c>
      <c r="C25" s="44" t="inlineStr">
        <is>
          <t>A00.30</t>
        </is>
      </c>
      <c r="D25" s="59" t="inlineStr">
        <is>
          <t>Quantity</t>
        </is>
      </c>
      <c r="E25" s="46" t="inlineStr">
        <is>
          <t>Door Schedule. Leaf width and height of every door and the frame type: source of the header, the board deduction and the reference to 10 and 11/A12.02.</t>
        </is>
      </c>
      <c r="F25" s="46" t="inlineStr">
        <is>
          <t>BLOCKING, HEADER</t>
        </is>
      </c>
      <c r="G25" s="46" t="inlineStr">
        <is>
          <t>PLUS what hangs on the wall: WALL STOP: el Door Schedule de A00.30 le da a la door 118B el HARDWARE GROUP 11, que incluye WALL STOP, y la sheet note D de A00.30 dice textual 'PROVIDE BLOCKING AT EACH WALL STOP'; el plano no ubica el tope, asi que 2'-0" de FRTW.</t>
        </is>
      </c>
    </row>
    <row r="26" ht="33" customHeight="1" s="36">
      <c r="A26" s="59" t="n"/>
      <c r="B26" s="58" t="n">
        <v>22</v>
      </c>
      <c r="C26" s="44" t="inlineStr">
        <is>
          <t>A09.27</t>
        </is>
      </c>
      <c r="D26" s="59" t="inlineStr">
        <is>
          <t>Exclusion</t>
        </is>
      </c>
      <c r="E26" s="46" t="inlineStr">
        <is>
          <t>Gypsum Section Details, the sheet. Cited as a sheet when the finding is that NO detail on it labels a gypsum control joint.</t>
        </is>
      </c>
      <c r="F26" s="46" t="inlineStr">
        <is>
          <t>excluded.CONTROL_JOINT</t>
        </is>
      </c>
      <c r="G26" s="46" t="inlineStr">
        <is>
          <t>El set no rotula ni detalla ninguna junta de control de gypsum board, ni en A12.01 ni en los detalles de A09.27/A09.33, y no hay seccion de especificaciones 09 29 00 en el bid set.</t>
        </is>
      </c>
    </row>
    <row r="27" ht="33" customHeight="1" s="36">
      <c r="A27" s="59" t="n"/>
      <c r="B27" s="58" t="n">
        <v>23</v>
      </c>
      <c r="C27" s="44" t="inlineStr">
        <is>
          <t>A09.33</t>
        </is>
      </c>
      <c r="D27" s="59" t="inlineStr">
        <is>
          <t>Exclusion</t>
        </is>
      </c>
      <c r="E27" s="46" t="inlineStr">
        <is>
          <t>Ceiling Details, the sheet. Cited as a sheet for a finding by ABSENCE: its details label corner bead, casing bead and shadow molding one by one and NONE labels a control joint, so the omission is not a labeling oversight.</t>
        </is>
      </c>
      <c r="F27" s="46" t="inlineStr">
        <is>
          <t>excluded.CONTROL_JOINT</t>
        </is>
      </c>
      <c r="G27" s="46" t="inlineStr">
        <is>
          <t>El set no rotula ni detalla ninguna junta de control de gypsum board, ni en A12.01 ni en los detalles de A09.27/A09.33, y no hay seccion de especificaciones 09 29 00 en el bid set.</t>
        </is>
      </c>
    </row>
    <row r="28" ht="33" customHeight="1" s="36">
      <c r="A28" s="59" t="n"/>
      <c r="B28" s="58" t="n">
        <v>24</v>
      </c>
      <c r="C28" s="44" t="inlineStr">
        <is>
          <t>E02.01</t>
        </is>
      </c>
      <c r="D28" s="59" t="inlineStr">
        <is>
          <t>Exclusion</t>
        </is>
      </c>
      <c r="E28" s="46" t="inlineStr">
        <is>
          <t>"FLOOR PLAN - LIGHTING" at 1/4"=1'-0". Light fixtures and their framing: crossed against every wall and ceiling to locate penetrations and openings.</t>
        </is>
      </c>
      <c r="F28" s="46" t="inlineStr">
        <is>
          <t>excluded.PATCH</t>
        </is>
      </c>
      <c r="G28" s="46" t="inlineStr">
        <is>
          <t>Ademas el cruce MEP corrido contra M01.01, P01.01, P01.02 y E02.01 no encuentra ninguna penetracion por debajo de la height de board: en obra nueva el MEP se instala ANTES del board.</t>
        </is>
      </c>
    </row>
    <row r="29" ht="33" customHeight="1" s="36">
      <c r="A29" s="59" t="n"/>
      <c r="B29" s="58" t="n">
        <v>25</v>
      </c>
      <c r="C29" s="44" t="inlineStr">
        <is>
          <t>M01.01</t>
        </is>
      </c>
      <c r="D29" s="59" t="inlineStr">
        <is>
          <t>Exclusion</t>
        </is>
      </c>
      <c r="E29" s="46" t="inlineStr">
        <is>
          <t>Mechanical Floor Plan at 1/4"=1'-0". Swept across the WHOLE band of each wall, opening included, to locate and measure every duct penetration.</t>
        </is>
      </c>
      <c r="F29" s="46" t="inlineStr">
        <is>
          <t>excluded.PATCH</t>
        </is>
      </c>
      <c r="G29" s="46" t="inlineStr">
        <is>
          <t>Ademas el cruce MEP corrido contra M01.01, P01.01, P01.02 y E02.01 no encuentra ninguna penetracion por debajo de la height de board: en obra nueva el MEP se instala ANTES del board.</t>
        </is>
      </c>
    </row>
    <row r="30" ht="33" customHeight="1" s="36">
      <c r="A30" s="59" t="n"/>
      <c r="B30" s="58" t="n">
        <v>26</v>
      </c>
      <c r="C30" s="44" t="inlineStr">
        <is>
          <t>P01.01</t>
        </is>
      </c>
      <c r="D30" s="59" t="inlineStr">
        <is>
          <t>Exclusion</t>
        </is>
      </c>
      <c r="E30" s="46" t="inlineStr">
        <is>
          <t>"PLUMBING PLAN SANITARY" at 1/4"=1'-0". Crossed against every wall: on new construction the MEP goes in before the board, hence no patch.</t>
        </is>
      </c>
      <c r="F30" s="46" t="inlineStr">
        <is>
          <t>excluded.PATCH</t>
        </is>
      </c>
      <c r="G30" s="46" t="inlineStr">
        <is>
          <t>Ademas el cruce MEP corrido contra M01.01, P01.01, P01.02 y E02.01 no encuentra ninguna penetracion por debajo de la height de board: en obra nueva el MEP se instala ANTES del board.</t>
        </is>
      </c>
    </row>
    <row r="31" ht="33" customHeight="1" s="36">
      <c r="A31" s="59" t="n"/>
      <c r="B31" s="58" t="n">
        <v>27</v>
      </c>
      <c r="C31" s="44" t="inlineStr">
        <is>
          <t>P01.02</t>
        </is>
      </c>
      <c r="D31" s="59" t="inlineStr">
        <is>
          <t>Exclusion</t>
        </is>
      </c>
      <c r="E31" s="46" t="inlineStr">
        <is>
          <t>"PLUMBING PLAN SUPPLY" at 1/4"=1'-0". The same cross-check for the supply piping.</t>
        </is>
      </c>
      <c r="F31" s="46" t="inlineStr">
        <is>
          <t>excluded.PATCH</t>
        </is>
      </c>
      <c r="G31" s="46" t="inlineStr">
        <is>
          <t>Ademas el cruce MEP corrido contra M01.01, P01.01, P01.02 y E02.01 no encuentra ninguna penetracion por debajo de la height de board: en obra nueva el MEP se instala ANTES del board.</t>
        </is>
      </c>
    </row>
    <row r="32" ht="33" customHeight="1" s="36">
      <c r="A32" s="44" t="inlineStr">
        <is>
          <t>A1 #1</t>
        </is>
      </c>
      <c r="B32" s="58" t="n">
        <v>1</v>
      </c>
      <c r="C32" s="44" t="inlineStr">
        <is>
          <t>A02.01</t>
        </is>
      </c>
      <c r="D32" s="59" t="inlineStr">
        <is>
          <t>Dimension</t>
        </is>
      </c>
      <c r="E32" s="46" t="inlineStr">
        <is>
          <t>Construction Plan. Entry sheet for partitions and openings: vector geometry of every wall face at 1/4"=1'-0", the leader of every partition tag, the Construction Plan Legend (new vs. existing) and the Construction Plan Notes.</t>
        </is>
      </c>
      <c r="F32" s="46" t="inlineStr">
        <is>
          <t>BLOCKING, excluded.HEADER, length, scope[0].chain[0], scope[1].chain[0], scope[1].chain[1]</t>
        </is>
      </c>
      <c r="G32" s="46" t="inlineStr">
        <is>
          <t>A02.01 geometria vectorial: faces lw1.20 en y=967.44 y y=974.76, separacion 7.32 pt = 4.88" contra los 4 7/8" del schedule de 3/A12.01.</t>
        </is>
      </c>
    </row>
    <row r="33" ht="33" customHeight="1" s="36">
      <c r="A33" s="59" t="n"/>
      <c r="B33" s="58" t="n">
        <v>2</v>
      </c>
      <c r="C33" s="44" t="inlineStr">
        <is>
          <t>A04.01</t>
        </is>
      </c>
      <c r="D33" s="59" t="inlineStr">
        <is>
          <t>Dimension</t>
        </is>
      </c>
      <c r="E33" s="46" t="inlineStr">
        <is>
          <t>Reflected Ceiling Plan. Entry sheet for ceilings, soffits and canopy; on walls it gives the BOARD HEIGHT: each room ceiling tag with its printed A.F.F. dimension, plus the ceiling key notes.</t>
        </is>
      </c>
      <c r="F33" s="46" t="inlineStr">
        <is>
          <t>face[0].board_height, face[1].board_height</t>
        </is>
      </c>
      <c r="G33" s="46" t="inlineStr">
        <is>
          <t>A04.01: tag ACT-4 con dimension impresa 11'-6" junto al room tag CENTRAL ZONE 103, mas los 6" sobre el scheduled ceiling de 3/A12.01 = 12.00 ft</t>
        </is>
      </c>
    </row>
    <row r="34" ht="25.5" customHeight="1" s="36">
      <c r="A34" s="59" t="n"/>
      <c r="B34" s="58" t="n">
        <v>3</v>
      </c>
      <c r="C34" s="44" t="inlineStr">
        <is>
          <t>S2.20</t>
        </is>
      </c>
      <c r="D34" s="59" t="inlineStr">
        <is>
          <t>Dimension</t>
        </is>
      </c>
      <c r="E34" s="46" t="inlineStr">
        <is>
          <t>"ROOF FRAMING PLAN". Source of the STUD HEIGHT: every B.O.D. callout on the sheet and the slope of the bay between grids B and A (1/4" per foot).</t>
        </is>
      </c>
      <c r="F34" s="46" t="inlineStr">
        <is>
          <t>stud_height</t>
        </is>
      </c>
      <c r="G34" s="46" t="inlineStr">
        <is>
          <t>S2.20: al norte del eje B el B.O.D.</t>
        </is>
      </c>
    </row>
    <row r="35" ht="33" customHeight="1" s="36">
      <c r="A35" s="59" t="n"/>
      <c r="B35" s="58" t="n">
        <v>4</v>
      </c>
      <c r="C35" s="44" t="inlineStr">
        <is>
          <t>1/A12.01</t>
        </is>
      </c>
      <c r="D35" s="59" t="inlineStr">
        <is>
          <t>Quantity</t>
        </is>
      </c>
      <c r="E35" s="46" t="inlineStr">
        <is>
          <t>"PARTITION TYPE B, B2". Stud, layers per face, wall thickness and sealant of types B and B2. On a B wall it is the source; on an A1 wall it enters as a CONTRAST (B does label sealant top AND bottom, A1 only at the bottom).</t>
        </is>
      </c>
      <c r="F35" s="46" t="inlineStr">
        <is>
          <t>SEALANT</t>
        </is>
      </c>
      <c r="G35" s="46" t="inlineStr">
        <is>
          <t>Contraste que prueba que no es omision mia: 1/A12.01 (B y B2) SI rotula sealant arriba Y abajo.</t>
        </is>
      </c>
    </row>
    <row r="36" ht="25.5" customHeight="1" s="36">
      <c r="A36" s="59" t="n"/>
      <c r="B36" s="58" t="n">
        <v>5</v>
      </c>
      <c r="C36" s="44" t="inlineStr">
        <is>
          <t>3/A12.01</t>
        </is>
      </c>
      <c r="D36" s="59" t="inlineStr">
        <is>
          <t>Dimension</t>
        </is>
      </c>
      <c r="E36" s="46" t="inlineStr">
        <is>
          <t>"PARTITION TYPE A1 &amp; A5". 3 5/8" stud, layers per face, WALL THICKNESS 4 7/8", slip track at the top, acoustic sealant at the slab and the 6" of board above the scheduled ceiling.</t>
        </is>
      </c>
      <c r="F36" s="46" t="inlineStr">
        <is>
          <t>BOARD, SEALANT, STUD, TRACK_BOTTOM, TRACK_TOP, excluded.INSULATION, face[0].board_height, face[1].board_height, length, scope[0].chain[1], stud_height</t>
        </is>
      </c>
      <c r="G36" s="46" t="inlineStr">
        <is>
          <t>A04.01: tag ACT-4 con dimension impresa 11'-6" junto al room tag CENTRAL ZONE 103, mas los 6" sobre el scheduled ceiling de 3/A12.01 = 12.00 ft</t>
        </is>
      </c>
    </row>
    <row r="37" ht="33" customHeight="1" s="36">
      <c r="A37" s="59" t="n"/>
      <c r="B37" s="58" t="n">
        <v>6</v>
      </c>
      <c r="C37" s="44" t="inlineStr">
        <is>
          <t>4/A12.01</t>
        </is>
      </c>
      <c r="D37" s="59" t="inlineStr">
        <is>
          <t>Quantity</t>
        </is>
      </c>
      <c r="E37" s="46" t="inlineStr">
        <is>
          <t>"PARTITION TYPE A1K &amp; A5K". The K types. On an A1 wall it enters as a CONTRAST: detail 4 calls for 14 GA @ 24" O.C. MAX in its own note and detail 3 does not, so on the A1 the 7/S5.20 schedule governs.</t>
        </is>
      </c>
      <c r="F37" s="46" t="inlineStr">
        <is>
          <t>STUD</t>
        </is>
      </c>
      <c r="G37" s="46" t="inlineStr">
        <is>
          <t>El detalle 3/A12.01 no trae nota de construccion propia que lo contradiga (a diferencia de 4/A12.01, que para los walls K pide 14 GA @ 24" O.C.</t>
        </is>
      </c>
    </row>
    <row r="38" ht="43.5" customHeight="1" s="36">
      <c r="A38" s="59" t="n"/>
      <c r="B38" s="58" t="n">
        <v>7</v>
      </c>
      <c r="C38" s="44" t="inlineStr">
        <is>
          <t>A09.01</t>
        </is>
      </c>
      <c r="D38" s="59" t="inlineStr">
        <is>
          <t>Exclusion</t>
        </is>
      </c>
      <c r="E38" s="46" t="inlineStr">
        <is>
          <t>Exterior Elevations: "SOUTH ELEVATION" and "WEST ELEVATION" at 1/4"=1'-0". Extent of each exterior material and the material legend, verbatim "CJ CONTROL JOINT; PAINT TO MATCH STUCCO FINISH COLOR" - that joint is the STUCCO joint, not gypsum.</t>
        </is>
      </c>
      <c r="F38" s="46" t="inlineStr">
        <is>
          <t>excluded.CONTROL_JOINT</t>
        </is>
      </c>
      <c r="G3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9" ht="43.5" customHeight="1" s="36">
      <c r="A39" s="59" t="n"/>
      <c r="B39" s="58" t="n">
        <v>8</v>
      </c>
      <c r="C39" s="44" t="inlineStr">
        <is>
          <t>10/A12.02</t>
        </is>
      </c>
      <c r="D39" s="59" t="inlineStr">
        <is>
          <t>Exclusion</t>
        </is>
      </c>
      <c r="E39" s="46" t="inlineStr">
        <is>
          <t>"HEAD @ HOLLOW METAL FRAME" at 3"=1'-0". Head of the hollow metal frame: labels SCHEDULED PARTITION, METAL STUD, METAL CLIP, HOLLOW METAL FRAME and 1/2" of board lap per face inside the frame throat.</t>
        </is>
      </c>
      <c r="F39" s="46" t="inlineStr">
        <is>
          <t>excluded.CLIPS</t>
        </is>
      </c>
      <c r="G39"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40" ht="43.5" customHeight="1" s="36">
      <c r="A40" s="59" t="n"/>
      <c r="B40" s="58" t="n">
        <v>9</v>
      </c>
      <c r="C40" s="44" t="inlineStr">
        <is>
          <t>11/A12.02</t>
        </is>
      </c>
      <c r="D40" s="59" t="inlineStr">
        <is>
          <t>Exclusion</t>
        </is>
      </c>
      <c r="E40" s="46" t="inlineStr">
        <is>
          <t>"JAMB @ HOLLOW METAL FRAME" at 3"=1'-0". Jamb of the same frame: it calls METAL ANCHOR the piece detail 10 calls METAL CLIP, so the piece is frame anchorage (Div 08), not a clip of ours.</t>
        </is>
      </c>
      <c r="F40" s="46" t="inlineStr">
        <is>
          <t>excluded.CLIPS</t>
        </is>
      </c>
      <c r="G40"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41" ht="33" customHeight="1" s="36">
      <c r="A41" s="59" t="n"/>
      <c r="B41" s="58" t="n">
        <v>10</v>
      </c>
      <c r="C41" s="44" t="inlineStr">
        <is>
          <t>1/S5.20</t>
        </is>
      </c>
      <c r="D41" s="59" t="inlineStr">
        <is>
          <t>Quantity</t>
        </is>
      </c>
      <c r="E41" s="46" t="inlineStr">
        <is>
          <t>"TYPICAL WALL FRAMING DETAILS". Holds sub-details A through F; sub-detail F "BRIDGING AND BRACING - CONTINUOUS BRIDGING" is the bracing one: 1 1/2" C.R. CHANNEL welded to every stud. (Bracing is NOT in 5/S5.20, which is TYPICAL WALL FRAMING CONNX.)</t>
        </is>
      </c>
      <c r="F41" s="46" t="inlineStr">
        <is>
          <t>BRACING, excluded.CLIPS</t>
        </is>
      </c>
      <c r="G41" s="46" t="inlineStr">
        <is>
          <t>por el punchout del alma, soldado a cada stud (1/S5.20 sub-detalle F de S5.20).</t>
        </is>
      </c>
    </row>
    <row r="42" ht="33" customHeight="1" s="36">
      <c r="A42" s="59" t="n"/>
      <c r="B42" s="58" t="n">
        <v>11</v>
      </c>
      <c r="C42" s="44" t="inlineStr">
        <is>
          <t>4/S5.20</t>
        </is>
      </c>
      <c r="D42" s="59" t="inlineStr">
        <is>
          <t>Quantity</t>
        </is>
      </c>
      <c r="E42" s="46" t="inlineStr">
        <is>
          <t>"TYPICAL BLOCKING DETAIL". STUD BLOCKING 362CR22 and CLIP ANGLE 362CR22, with the boxed verbatim note "PROVIDE BLOCKING AT THE EDGE OF GYPBOARD." - source of the blocking at EVERY free edge of board.</t>
        </is>
      </c>
      <c r="F42" s="46" t="inlineStr">
        <is>
          <t>BLOCKING</t>
        </is>
      </c>
      <c r="G42" s="46" t="inlineStr">
        <is>
          <t>BOARD FREE EDGE: 4/S5.20 TYPICAL BLOCKING DETAIL carries a boxed note, TEXTUAL: 'PROVIDE BLOCKING AT THE EDGE OF GYPBOARD.', with STUD BLOCKING 362CR22 (TYP.) and CLIP ANGLE 362CR22 (TYP.) &amp; BLOCKING W/ SCREWS (TYP.).</t>
        </is>
      </c>
    </row>
    <row r="43" ht="33" customHeight="1" s="36">
      <c r="A43" s="59" t="n"/>
      <c r="B43" s="58" t="n">
        <v>12</v>
      </c>
      <c r="C43" s="44" t="inlineStr">
        <is>
          <t>7/S5.20</t>
        </is>
      </c>
      <c r="D43" s="59" t="inlineStr">
        <is>
          <t>Quantity</t>
        </is>
      </c>
      <c r="E43" s="46" t="inlineStr">
        <is>
          <t>"METAL STUDS SCHEDULES". The profile: web, flange, lip, mils, gauge and the APPLICATION column with the spacing ("INTERIOR WALLS @ 16" O.C."), plus the SILL TRACK ANCHORAGE and the FASTENER SCHEDULE.</t>
        </is>
      </c>
      <c r="F43" s="46" t="inlineStr">
        <is>
          <t>STUD, TRACK_BOTTOM</t>
        </is>
      </c>
      <c r="G43" s="46" t="inlineStr">
        <is>
          <t>7/S5.20 METAL STUDS SCHEDULES, renglon 362S137-33: alma 3 5/8", ala 1 3/8", lip 3/8", 33 mil = 20 ga, APPLICATION 'INTERIOR WALLS @ 16" O.C.'.</t>
        </is>
      </c>
    </row>
    <row r="44" ht="25.5" customHeight="1" s="36">
      <c r="A44" s="59" t="n"/>
      <c r="B44" s="58" t="n">
        <v>13</v>
      </c>
      <c r="C44" s="44" t="inlineStr">
        <is>
          <t>A00.01</t>
        </is>
      </c>
      <c r="D44" s="59" t="inlineStr">
        <is>
          <t>Scope</t>
        </is>
      </c>
      <c r="E44" s="46" t="inlineStr">
        <is>
          <t>Cover sheet and Drawing Index. Proof by ABSENCE: the index lists no interior Demolition Plan, which is why there is no patch-and-repair line item.</t>
        </is>
      </c>
      <c r="F44" s="46" t="inlineStr">
        <is>
          <t>excluded.PATCH, scope[1].chain[0]</t>
        </is>
      </c>
      <c r="G44" s="46" t="inlineStr">
        <is>
          <t>A02.01 Construction Plan Legend: la grafia de dos lineas limpias es NEW PARTITION (SEE SCHEDULE); no hay Demolition Plan interior en el Drawing Index de A00.01</t>
        </is>
      </c>
    </row>
    <row r="45" ht="25.5" customHeight="1" s="36">
      <c r="A45" s="59" t="n"/>
      <c r="B45" s="58" t="n">
        <v>14</v>
      </c>
      <c r="C45" s="44" t="inlineStr">
        <is>
          <t>A00.30</t>
        </is>
      </c>
      <c r="D45" s="59" t="inlineStr">
        <is>
          <t>Quantity</t>
        </is>
      </c>
      <c r="E45" s="46" t="inlineStr">
        <is>
          <t>Door Schedule. Leaf width and height of every door and the frame type: source of the header, the board deduction and the reference to 10 and 11/A12.02.</t>
        </is>
      </c>
      <c r="F45" s="46" t="inlineStr">
        <is>
          <t>BLOCKING, excluded.HEADER</t>
        </is>
      </c>
      <c r="G45" s="46" t="inlineStr">
        <is>
          <t>Sobre la face sur, Calling Cubes 122, el Millwork Schedule de A00.30 no pone ningun tag MW y el Fixture Plan no aterriza ningun accesorio.</t>
        </is>
      </c>
    </row>
    <row r="46" ht="33" customHeight="1" s="36">
      <c r="A46" s="59" t="n"/>
      <c r="B46" s="58" t="n">
        <v>15</v>
      </c>
      <c r="C46" s="44" t="inlineStr">
        <is>
          <t>A09.27</t>
        </is>
      </c>
      <c r="D46" s="59" t="inlineStr">
        <is>
          <t>Exclusion</t>
        </is>
      </c>
      <c r="E46" s="46" t="inlineStr">
        <is>
          <t>Gypsum Section Details, the sheet. Cited as a sheet when the finding is that NO detail on it labels a gypsum control joint.</t>
        </is>
      </c>
      <c r="F46" s="46" t="inlineStr">
        <is>
          <t>excluded.CONTROL_JOINT</t>
        </is>
      </c>
      <c r="G46" s="46" t="inlineStr">
        <is>
          <t>El set no rotula ni detalla ninguna junta de control de gypsum board, ni en A12.01 ni en los detalles de A09.27/A09.33, y no hay seccion de especificaciones 09 29 00 en el bid set.</t>
        </is>
      </c>
    </row>
    <row r="47" ht="33" customHeight="1" s="36">
      <c r="A47" s="59" t="n"/>
      <c r="B47" s="58" t="n">
        <v>16</v>
      </c>
      <c r="C47" s="44" t="inlineStr">
        <is>
          <t>A09.33</t>
        </is>
      </c>
      <c r="D47" s="59" t="inlineStr">
        <is>
          <t>Exclusion</t>
        </is>
      </c>
      <c r="E47" s="46" t="inlineStr">
        <is>
          <t>Ceiling Details, the sheet. Cited as a sheet for a finding by ABSENCE: its details label corner bead, casing bead and shadow molding one by one and NONE labels a control joint, so the omission is not a labeling oversight.</t>
        </is>
      </c>
      <c r="F47" s="46" t="inlineStr">
        <is>
          <t>excluded.CONTROL_JOINT</t>
        </is>
      </c>
      <c r="G47" s="46" t="inlineStr">
        <is>
          <t>El set no rotula ni detalla ninguna junta de control de gypsum board, ni en A12.01 ni en los detalles de A09.27/A09.33, y no hay seccion de especificaciones 09 29 00 en el bid set.</t>
        </is>
      </c>
    </row>
    <row r="48" ht="33" customHeight="1" s="36">
      <c r="A48" s="59" t="n"/>
      <c r="B48" s="58" t="n">
        <v>17</v>
      </c>
      <c r="C48" s="44" t="inlineStr">
        <is>
          <t>E02.01</t>
        </is>
      </c>
      <c r="D48" s="59" t="inlineStr">
        <is>
          <t>Exclusion</t>
        </is>
      </c>
      <c r="E48" s="46" t="inlineStr">
        <is>
          <t>"FLOOR PLAN - LIGHTING" at 1/4"=1'-0". Light fixtures and their framing: crossed against every wall and ceiling to locate penetrations and openings.</t>
        </is>
      </c>
      <c r="F48" s="46" t="inlineStr">
        <is>
          <t>excluded.PATCH</t>
        </is>
      </c>
      <c r="G48" s="46" t="inlineStr">
        <is>
          <t>Ademas el cruce MEP corrido contra M01.01, P01.01, P01.02 y E02.01 no encuentra ninguna penetracion por debajo de la height de board: en obra nueva el MEP se instala ANTES del board.</t>
        </is>
      </c>
    </row>
    <row r="49" ht="33" customHeight="1" s="36">
      <c r="A49" s="59" t="n"/>
      <c r="B49" s="58" t="n">
        <v>18</v>
      </c>
      <c r="C49" s="44" t="inlineStr">
        <is>
          <t>M01.01</t>
        </is>
      </c>
      <c r="D49" s="59" t="inlineStr">
        <is>
          <t>Exclusion</t>
        </is>
      </c>
      <c r="E49" s="46" t="inlineStr">
        <is>
          <t>Mechanical Floor Plan at 1/4"=1'-0". Swept across the WHOLE band of each wall, opening included, to locate and measure every duct penetration.</t>
        </is>
      </c>
      <c r="F49" s="46" t="inlineStr">
        <is>
          <t>excluded.PATCH</t>
        </is>
      </c>
      <c r="G49" s="46" t="inlineStr">
        <is>
          <t>Ademas el cruce MEP corrido contra M01.01, P01.01, P01.02 y E02.01 no encuentra ninguna penetracion por debajo de la height de board: en obra nueva el MEP se instala ANTES del board.</t>
        </is>
      </c>
    </row>
    <row r="50" ht="33" customHeight="1" s="36">
      <c r="A50" s="59" t="n"/>
      <c r="B50" s="58" t="n">
        <v>19</v>
      </c>
      <c r="C50" s="44" t="inlineStr">
        <is>
          <t>P01.01</t>
        </is>
      </c>
      <c r="D50" s="59" t="inlineStr">
        <is>
          <t>Exclusion</t>
        </is>
      </c>
      <c r="E50" s="46" t="inlineStr">
        <is>
          <t>"PLUMBING PLAN SANITARY" at 1/4"=1'-0". Crossed against every wall: on new construction the MEP goes in before the board, hence no patch.</t>
        </is>
      </c>
      <c r="F50" s="46" t="inlineStr">
        <is>
          <t>excluded.PATCH</t>
        </is>
      </c>
      <c r="G50" s="46" t="inlineStr">
        <is>
          <t>Ademas el cruce MEP corrido contra M01.01, P01.01, P01.02 y E02.01 no encuentra ninguna penetracion por debajo de la height de board: en obra nueva el MEP se instala ANTES del board.</t>
        </is>
      </c>
    </row>
    <row r="51" ht="33" customHeight="1" s="36">
      <c r="A51" s="59" t="n"/>
      <c r="B51" s="58" t="n">
        <v>20</v>
      </c>
      <c r="C51" s="44" t="inlineStr">
        <is>
          <t>P01.02</t>
        </is>
      </c>
      <c r="D51" s="59" t="inlineStr">
        <is>
          <t>Exclusion</t>
        </is>
      </c>
      <c r="E51" s="46" t="inlineStr">
        <is>
          <t>"PLUMBING PLAN SUPPLY" at 1/4"=1'-0". The same cross-check for the supply piping.</t>
        </is>
      </c>
      <c r="F51" s="46" t="inlineStr">
        <is>
          <t>excluded.PATCH</t>
        </is>
      </c>
      <c r="G51" s="46" t="inlineStr">
        <is>
          <t>Ademas el cruce MEP corrido contra M01.01, P01.01, P01.02 y E02.01 no encuentra ninguna penetracion por debajo de la height de board: en obra nueva el MEP se instala ANTES del board.</t>
        </is>
      </c>
    </row>
    <row r="52" ht="33" customHeight="1" s="36">
      <c r="A52" s="44" t="inlineStr">
        <is>
          <t>A1 #5</t>
        </is>
      </c>
      <c r="B52" s="58" t="n">
        <v>1</v>
      </c>
      <c r="C52" s="44" t="inlineStr">
        <is>
          <t>A02.01</t>
        </is>
      </c>
      <c r="D52" s="59" t="inlineStr">
        <is>
          <t>Dimension</t>
        </is>
      </c>
      <c r="E52" s="46" t="inlineStr">
        <is>
          <t>Construction Plan. Entry sheet for partitions and openings: vector geometry of every wall face at 1/4"=1'-0", the leader of every partition tag, the Construction Plan Legend (new vs. existing) and the Construction Plan Notes.</t>
        </is>
      </c>
      <c r="F52" s="46" t="inlineStr">
        <is>
          <t>BLOCKING, excluded.HEADER, length, scope[0].chain[0], scope[1].chain[0], scope[1].chain[1], stud_height</t>
        </is>
      </c>
      <c r="G52" s="46" t="inlineStr">
        <is>
          <t>A02.01 geometria vectorial: faces lw1.20 en y=1316.76 y y=1324.08, separacion 7.32 pt = 4.88".</t>
        </is>
      </c>
    </row>
    <row r="53" ht="33" customHeight="1" s="36">
      <c r="A53" s="59" t="n"/>
      <c r="B53" s="58" t="n">
        <v>2</v>
      </c>
      <c r="C53" s="44" t="inlineStr">
        <is>
          <t>A04.01</t>
        </is>
      </c>
      <c r="D53" s="59" t="inlineStr">
        <is>
          <t>Dimension</t>
        </is>
      </c>
      <c r="E53" s="46" t="inlineStr">
        <is>
          <t>Reflected Ceiling Plan. Entry sheet for ceilings, soffits and canopy; on walls it gives the BOARD HEIGHT: each room ceiling tag with its printed A.F.F. dimension, plus the ceiling key notes.</t>
        </is>
      </c>
      <c r="F53" s="46" t="inlineStr">
        <is>
          <t>face[0].board_height, face[1].board_height</t>
        </is>
      </c>
      <c r="G53" s="46" t="inlineStr">
        <is>
          <t>A04.01: tag ACT-5 con dimension impresa 8'-6", mas los 6" de 3/A12.01 = 9.00 ft</t>
        </is>
      </c>
    </row>
    <row r="54" ht="25.5" customHeight="1" s="36">
      <c r="A54" s="59" t="n"/>
      <c r="B54" s="58" t="n">
        <v>3</v>
      </c>
      <c r="C54" s="44" t="inlineStr">
        <is>
          <t>S2.20</t>
        </is>
      </c>
      <c r="D54" s="59" t="inlineStr">
        <is>
          <t>Dimension</t>
        </is>
      </c>
      <c r="E54" s="46" t="inlineStr">
        <is>
          <t>"ROOF FRAMING PLAN". Source of the STUD HEIGHT: every B.O.D. callout on the sheet and the slope of the bay between grids B and A (1/4" per foot).</t>
        </is>
      </c>
      <c r="F54" s="46" t="inlineStr">
        <is>
          <t>stud_height</t>
        </is>
      </c>
      <c r="G54" s="46" t="inlineStr">
        <is>
          <t>S2.20: el wall esta en la bahia EN PENDIENTE.</t>
        </is>
      </c>
    </row>
    <row r="55" ht="33" customHeight="1" s="36">
      <c r="A55" s="59" t="n"/>
      <c r="B55" s="58" t="n">
        <v>4</v>
      </c>
      <c r="C55" s="44" t="inlineStr">
        <is>
          <t>1/A12.01</t>
        </is>
      </c>
      <c r="D55" s="59" t="inlineStr">
        <is>
          <t>Quantity</t>
        </is>
      </c>
      <c r="E55" s="46" t="inlineStr">
        <is>
          <t>"PARTITION TYPE B, B2". Stud, layers per face, wall thickness and sealant of types B and B2. On a B wall it is the source; on an A1 wall it enters as a CONTRAST (B does label sealant top AND bottom, A1 only at the bottom).</t>
        </is>
      </c>
      <c r="F55" s="46" t="inlineStr">
        <is>
          <t>SEALANT</t>
        </is>
      </c>
      <c r="G55" s="46" t="inlineStr">
        <is>
          <t>Contraste que prueba que no es omision mia: 1/A12.01 (B y B2) SI rotula sealant arriba Y abajo.</t>
        </is>
      </c>
    </row>
    <row r="56" ht="25.5" customHeight="1" s="36">
      <c r="A56" s="59" t="n"/>
      <c r="B56" s="58" t="n">
        <v>5</v>
      </c>
      <c r="C56" s="44" t="inlineStr">
        <is>
          <t>3/A12.01</t>
        </is>
      </c>
      <c r="D56" s="59" t="inlineStr">
        <is>
          <t>Dimension</t>
        </is>
      </c>
      <c r="E56" s="46" t="inlineStr">
        <is>
          <t>"PARTITION TYPE A1 &amp; A5". 3 5/8" stud, layers per face, WALL THICKNESS 4 7/8", slip track at the top, acoustic sealant at the slab and the 6" of board above the scheduled ceiling.</t>
        </is>
      </c>
      <c r="F56" s="46" t="inlineStr">
        <is>
          <t>BOARD, SEALANT, STUD, TRACK_BOTTOM, TRACK_TOP, excluded.INSULATION, face[0].board_height, face[1].board_height, scope[0].chain[1], stud_height</t>
        </is>
      </c>
      <c r="G56" s="46" t="inlineStr">
        <is>
          <t>A04.01: tag ACT-5 con dimension impresa 8'-6", mas los 6" de 3/A12.01 = 9.00 ft</t>
        </is>
      </c>
    </row>
    <row r="57" ht="33" customHeight="1" s="36">
      <c r="A57" s="59" t="n"/>
      <c r="B57" s="58" t="n">
        <v>6</v>
      </c>
      <c r="C57" s="44" t="inlineStr">
        <is>
          <t>4/A12.01</t>
        </is>
      </c>
      <c r="D57" s="59" t="inlineStr">
        <is>
          <t>Quantity</t>
        </is>
      </c>
      <c r="E57" s="46" t="inlineStr">
        <is>
          <t>"PARTITION TYPE A1K &amp; A5K". The K types. On an A1 wall it enters as a CONTRAST: detail 4 calls for 14 GA @ 24" O.C. MAX in its own note and detail 3 does not, so on the A1 the 7/S5.20 schedule governs.</t>
        </is>
      </c>
      <c r="F57" s="46" t="inlineStr">
        <is>
          <t>STUD</t>
        </is>
      </c>
      <c r="G57" s="46" t="inlineStr">
        <is>
          <t>El detalle 3/A12.01 no trae nota de construccion propia que lo contradiga (a diferencia de 4/A12.01, que para los walls K pide 14 GA @ 24" O.C.</t>
        </is>
      </c>
    </row>
    <row r="58" ht="43.5" customHeight="1" s="36">
      <c r="A58" s="59" t="n"/>
      <c r="B58" s="58" t="n">
        <v>7</v>
      </c>
      <c r="C58" s="44" t="inlineStr">
        <is>
          <t>A09.01</t>
        </is>
      </c>
      <c r="D58" s="59" t="inlineStr">
        <is>
          <t>Exclusion</t>
        </is>
      </c>
      <c r="E58" s="46" t="inlineStr">
        <is>
          <t>Exterior Elevations: "SOUTH ELEVATION" and "WEST ELEVATION" at 1/4"=1'-0". Extent of each exterior material and the material legend, verbatim "CJ CONTROL JOINT; PAINT TO MATCH STUCCO FINISH COLOR" - that joint is the STUCCO joint, not gypsum.</t>
        </is>
      </c>
      <c r="F58" s="46" t="inlineStr">
        <is>
          <t>excluded.CONTROL_JOINT</t>
        </is>
      </c>
      <c r="G5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9" ht="43.5" customHeight="1" s="36">
      <c r="A59" s="59" t="n"/>
      <c r="B59" s="58" t="n">
        <v>8</v>
      </c>
      <c r="C59" s="44" t="inlineStr">
        <is>
          <t>10/A12.02</t>
        </is>
      </c>
      <c r="D59" s="59" t="inlineStr">
        <is>
          <t>Exclusion</t>
        </is>
      </c>
      <c r="E59" s="46" t="inlineStr">
        <is>
          <t>"HEAD @ HOLLOW METAL FRAME" at 3"=1'-0". Head of the hollow metal frame: labels SCHEDULED PARTITION, METAL STUD, METAL CLIP, HOLLOW METAL FRAME and 1/2" of board lap per face inside the frame throat.</t>
        </is>
      </c>
      <c r="F59" s="46" t="inlineStr">
        <is>
          <t>excluded.CLIPS</t>
        </is>
      </c>
      <c r="G59"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60" ht="43.5" customHeight="1" s="36">
      <c r="A60" s="59" t="n"/>
      <c r="B60" s="58" t="n">
        <v>9</v>
      </c>
      <c r="C60" s="44" t="inlineStr">
        <is>
          <t>11/A12.02</t>
        </is>
      </c>
      <c r="D60" s="59" t="inlineStr">
        <is>
          <t>Exclusion</t>
        </is>
      </c>
      <c r="E60" s="46" t="inlineStr">
        <is>
          <t>"JAMB @ HOLLOW METAL FRAME" at 3"=1'-0". Jamb of the same frame: it calls METAL ANCHOR the piece detail 10 calls METAL CLIP, so the piece is frame anchorage (Div 08), not a clip of ours.</t>
        </is>
      </c>
      <c r="F60" s="46" t="inlineStr">
        <is>
          <t>excluded.CLIPS</t>
        </is>
      </c>
      <c r="G60"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61" ht="33" customHeight="1" s="36">
      <c r="A61" s="59" t="n"/>
      <c r="B61" s="58" t="n">
        <v>10</v>
      </c>
      <c r="C61" s="44" t="inlineStr">
        <is>
          <t>1/S5.20</t>
        </is>
      </c>
      <c r="D61" s="59" t="inlineStr">
        <is>
          <t>Quantity</t>
        </is>
      </c>
      <c r="E61" s="46" t="inlineStr">
        <is>
          <t>"TYPICAL WALL FRAMING DETAILS". Holds sub-details A through F; sub-detail F "BRIDGING AND BRACING - CONTINUOUS BRIDGING" is the bracing one: 1 1/2" C.R. CHANNEL welded to every stud. (Bracing is NOT in 5/S5.20, which is TYPICAL WALL FRAMING CONNX.)</t>
        </is>
      </c>
      <c r="F61" s="46" t="inlineStr">
        <is>
          <t>BRACING, excluded.CLIPS</t>
        </is>
      </c>
      <c r="G61" s="46" t="inlineStr">
        <is>
          <t>por el punchout del alma, soldado a cada stud (1/S5.20 sub-detalle F de S5.20).</t>
        </is>
      </c>
    </row>
    <row r="62" ht="33" customHeight="1" s="36">
      <c r="A62" s="59" t="n"/>
      <c r="B62" s="58" t="n">
        <v>11</v>
      </c>
      <c r="C62" s="44" t="inlineStr">
        <is>
          <t>4/S5.20</t>
        </is>
      </c>
      <c r="D62" s="59" t="inlineStr">
        <is>
          <t>Quantity</t>
        </is>
      </c>
      <c r="E62" s="46" t="inlineStr">
        <is>
          <t>"TYPICAL BLOCKING DETAIL". STUD BLOCKING 362CR22 and CLIP ANGLE 362CR22, with the boxed verbatim note "PROVIDE BLOCKING AT THE EDGE OF GYPBOARD." - source of the blocking at EVERY free edge of board.</t>
        </is>
      </c>
      <c r="F62" s="46" t="inlineStr">
        <is>
          <t>BLOCKING</t>
        </is>
      </c>
      <c r="G62" s="46" t="inlineStr">
        <is>
          <t>BOARD FREE EDGE: 4/S5.20 TYPICAL BLOCKING DETAIL carries a boxed note, TEXTUAL: 'PROVIDE BLOCKING AT THE EDGE OF GYPBOARD.', with STUD BLOCKING 362CR22 (TYP.) and CLIP ANGLE 362CR22 (TYP.) &amp; BLOCKING W/ SCREWS (TYP.).</t>
        </is>
      </c>
    </row>
    <row r="63" ht="33" customHeight="1" s="36">
      <c r="A63" s="59" t="n"/>
      <c r="B63" s="58" t="n">
        <v>12</v>
      </c>
      <c r="C63" s="44" t="inlineStr">
        <is>
          <t>7/S5.20</t>
        </is>
      </c>
      <c r="D63" s="59" t="inlineStr">
        <is>
          <t>Quantity</t>
        </is>
      </c>
      <c r="E63" s="46" t="inlineStr">
        <is>
          <t>"METAL STUDS SCHEDULES". The profile: web, flange, lip, mils, gauge and the APPLICATION column with the spacing ("INTERIOR WALLS @ 16" O.C."), plus the SILL TRACK ANCHORAGE and the FASTENER SCHEDULE.</t>
        </is>
      </c>
      <c r="F63" s="46" t="inlineStr">
        <is>
          <t>STUD, TRACK_BOTTOM</t>
        </is>
      </c>
      <c r="G63" s="46" t="inlineStr">
        <is>
          <t>7/S5.20 METAL STUDS SCHEDULES, renglon 362S137-33: alma 3 5/8", ala 1 3/8", lip 3/8", 33 mil = 20 ga, APPLICATION 'INTERIOR WALLS @ 16" O.C.'.</t>
        </is>
      </c>
    </row>
    <row r="64" ht="25.5" customHeight="1" s="36">
      <c r="A64" s="59" t="n"/>
      <c r="B64" s="58" t="n">
        <v>13</v>
      </c>
      <c r="C64" s="44" t="inlineStr">
        <is>
          <t>A00.01</t>
        </is>
      </c>
      <c r="D64" s="59" t="inlineStr">
        <is>
          <t>Scope</t>
        </is>
      </c>
      <c r="E64" s="46" t="inlineStr">
        <is>
          <t>Cover sheet and Drawing Index. Proof by ABSENCE: the index lists no interior Demolition Plan, which is why there is no patch-and-repair line item.</t>
        </is>
      </c>
      <c r="F64" s="46" t="inlineStr">
        <is>
          <t>excluded.PATCH, scope[1].chain[0]</t>
        </is>
      </c>
      <c r="G64" s="46" t="inlineStr">
        <is>
          <t>A02.01 Construction Plan Legend: la grafia de dos lineas limpias es NEW PARTITION (SEE SCHEDULE); no hay Demolition Plan interior en el Drawing Index de A00.01</t>
        </is>
      </c>
    </row>
    <row r="65" ht="33" customHeight="1" s="36">
      <c r="A65" s="59" t="n"/>
      <c r="B65" s="58" t="n">
        <v>14</v>
      </c>
      <c r="C65" s="44" t="inlineStr">
        <is>
          <t>A00.30</t>
        </is>
      </c>
      <c r="D65" s="59" t="inlineStr">
        <is>
          <t>Dimension</t>
        </is>
      </c>
      <c r="E65" s="46" t="inlineStr">
        <is>
          <t>Door Schedule. Leaf width and height of every door and the frame type: source of the header, the board deduction and the reference to 10 and 11/A12.02.</t>
        </is>
      </c>
      <c r="F65" s="46" t="inlineStr">
        <is>
          <t>BLOCKING, excluded.HEADER, length</t>
        </is>
      </c>
      <c r="G65" s="46" t="inlineStr">
        <is>
          <t>El Door Schedule de A00.30 no lista ninguna door en este wall; las doors 122 y 118B que se ven al oeste estan en la banda perpendicular x=1234.44/1245.24 (thickness 7.20" = tipo A5), no en esta.</t>
        </is>
      </c>
    </row>
    <row r="66" ht="33" customHeight="1" s="36">
      <c r="A66" s="59" t="n"/>
      <c r="B66" s="58" t="n">
        <v>15</v>
      </c>
      <c r="C66" s="44" t="inlineStr">
        <is>
          <t>A09.27</t>
        </is>
      </c>
      <c r="D66" s="59" t="inlineStr">
        <is>
          <t>Exclusion</t>
        </is>
      </c>
      <c r="E66" s="46" t="inlineStr">
        <is>
          <t>Gypsum Section Details, the sheet. Cited as a sheet when the finding is that NO detail on it labels a gypsum control joint.</t>
        </is>
      </c>
      <c r="F66" s="46" t="inlineStr">
        <is>
          <t>excluded.CONTROL_JOINT</t>
        </is>
      </c>
      <c r="G66" s="46" t="inlineStr">
        <is>
          <t>El set no rotula ni detalla ninguna junta de control de gypsum board, ni en A12.01 ni en los detalles de A09.27/A09.33, y no hay seccion de especificaciones 09 29 00 en el bid set.</t>
        </is>
      </c>
    </row>
    <row r="67" ht="33" customHeight="1" s="36">
      <c r="A67" s="59" t="n"/>
      <c r="B67" s="58" t="n">
        <v>16</v>
      </c>
      <c r="C67" s="44" t="inlineStr">
        <is>
          <t>A09.33</t>
        </is>
      </c>
      <c r="D67" s="59" t="inlineStr">
        <is>
          <t>Exclusion</t>
        </is>
      </c>
      <c r="E67" s="46" t="inlineStr">
        <is>
          <t>Ceiling Details, the sheet. Cited as a sheet for a finding by ABSENCE: its details label corner bead, casing bead and shadow molding one by one and NONE labels a control joint, so the omission is not a labeling oversight.</t>
        </is>
      </c>
      <c r="F67" s="46" t="inlineStr">
        <is>
          <t>excluded.CONTROL_JOINT</t>
        </is>
      </c>
      <c r="G67" s="46" t="inlineStr">
        <is>
          <t>El set no rotula ni detalla ninguna junta de control de gypsum board, ni en A12.01 ni en los detalles de A09.27/A09.33, y no hay seccion de especificaciones 09 29 00 en el bid set.</t>
        </is>
      </c>
    </row>
    <row r="68" ht="25.5" customHeight="1" s="36">
      <c r="A68" s="59" t="n"/>
      <c r="B68" s="58" t="n">
        <v>17</v>
      </c>
      <c r="C68" s="44" t="inlineStr">
        <is>
          <t>A12.04</t>
        </is>
      </c>
      <c r="D68" s="59" t="inlineStr">
        <is>
          <t>Quantity</t>
        </is>
      </c>
      <c r="E68" s="46" t="inlineStr">
        <is>
          <t>Millwork details MW05, MW06, MW08. Our scope here is the blocking.</t>
        </is>
      </c>
      <c r="F68" s="46" t="inlineStr">
        <is>
          <t>BLOCKING</t>
        </is>
      </c>
      <c r="G68" s="46" t="inlineStr">
        <is>
          <t>Sheet note D de A12.04/A12.05 lo obliga.</t>
        </is>
      </c>
    </row>
    <row r="69" ht="25.5" customHeight="1" s="36">
      <c r="A69" s="59" t="n"/>
      <c r="B69" s="58" t="n">
        <v>18</v>
      </c>
      <c r="C69" s="44" t="inlineStr">
        <is>
          <t>A12.06</t>
        </is>
      </c>
      <c r="D69" s="59" t="inlineStr">
        <is>
          <t>Quantity</t>
        </is>
      </c>
      <c r="E69" s="46" t="inlineStr">
        <is>
          <t>Millwork details MW13, MW21, MW18. Our scope here is the blocking.</t>
        </is>
      </c>
      <c r="F69" s="46" t="inlineStr">
        <is>
          <t>BLOCKING</t>
        </is>
      </c>
      <c r="G69" s="46" t="inlineStr">
        <is>
          <t>PLUS what hangs on the wall: Millwork Schedule de A00.30: MW21 BREAKROOM COUNTER, 'OPEN COUNTER W/ SUPPORTS', DEPTH 2'-0", detalles 5 y 6 de A12.06.</t>
        </is>
      </c>
    </row>
    <row r="70" ht="33" customHeight="1" s="36">
      <c r="A70" s="59" t="n"/>
      <c r="B70" s="58" t="n">
        <v>19</v>
      </c>
      <c r="C70" s="44" t="inlineStr">
        <is>
          <t>E02.01</t>
        </is>
      </c>
      <c r="D70" s="59" t="inlineStr">
        <is>
          <t>Exclusion</t>
        </is>
      </c>
      <c r="E70" s="46" t="inlineStr">
        <is>
          <t>"FLOOR PLAN - LIGHTING" at 1/4"=1'-0". Light fixtures and their framing: crossed against every wall and ceiling to locate penetrations and openings.</t>
        </is>
      </c>
      <c r="F70" s="46" t="inlineStr">
        <is>
          <t>excluded.PATCH</t>
        </is>
      </c>
      <c r="G70" s="46" t="inlineStr">
        <is>
          <t>Ademas el cruce MEP corrido contra M01.01, P01.01, P01.02 y E02.01 no encuentra ninguna penetracion por debajo de la height de board: en obra nueva el MEP se instala ANTES del board.</t>
        </is>
      </c>
    </row>
    <row r="71" ht="33" customHeight="1" s="36">
      <c r="A71" s="59" t="n"/>
      <c r="B71" s="58" t="n">
        <v>20</v>
      </c>
      <c r="C71" s="44" t="inlineStr">
        <is>
          <t>M01.01</t>
        </is>
      </c>
      <c r="D71" s="59" t="inlineStr">
        <is>
          <t>Exclusion</t>
        </is>
      </c>
      <c r="E71" s="46" t="inlineStr">
        <is>
          <t>Mechanical Floor Plan at 1/4"=1'-0". Swept across the WHOLE band of each wall, opening included, to locate and measure every duct penetration.</t>
        </is>
      </c>
      <c r="F71" s="46" t="inlineStr">
        <is>
          <t>excluded.PATCH</t>
        </is>
      </c>
      <c r="G71" s="46" t="inlineStr">
        <is>
          <t>Ademas el cruce MEP corrido contra M01.01, P01.01, P01.02 y E02.01 no encuentra ninguna penetracion por debajo de la height de board: en obra nueva el MEP se instala ANTES del board.</t>
        </is>
      </c>
    </row>
    <row r="72" ht="33" customHeight="1" s="36">
      <c r="A72" s="59" t="n"/>
      <c r="B72" s="58" t="n">
        <v>21</v>
      </c>
      <c r="C72" s="44" t="inlineStr">
        <is>
          <t>P01.01</t>
        </is>
      </c>
      <c r="D72" s="59" t="inlineStr">
        <is>
          <t>Exclusion</t>
        </is>
      </c>
      <c r="E72" s="46" t="inlineStr">
        <is>
          <t>"PLUMBING PLAN SANITARY" at 1/4"=1'-0". Crossed against every wall: on new construction the MEP goes in before the board, hence no patch.</t>
        </is>
      </c>
      <c r="F72" s="46" t="inlineStr">
        <is>
          <t>excluded.PATCH</t>
        </is>
      </c>
      <c r="G72" s="46" t="inlineStr">
        <is>
          <t>Ademas el cruce MEP corrido contra M01.01, P01.01, P01.02 y E02.01 no encuentra ninguna penetracion por debajo de la height de board: en obra nueva el MEP se instala ANTES del board.</t>
        </is>
      </c>
    </row>
    <row r="73" ht="33" customHeight="1" s="36">
      <c r="A73" s="59" t="n"/>
      <c r="B73" s="58" t="n">
        <v>22</v>
      </c>
      <c r="C73" s="44" t="inlineStr">
        <is>
          <t>P01.02</t>
        </is>
      </c>
      <c r="D73" s="59" t="inlineStr">
        <is>
          <t>Exclusion</t>
        </is>
      </c>
      <c r="E73" s="46" t="inlineStr">
        <is>
          <t>"PLUMBING PLAN SUPPLY" at 1/4"=1'-0". The same cross-check for the supply piping.</t>
        </is>
      </c>
      <c r="F73" s="46" t="inlineStr">
        <is>
          <t>excluded.PATCH</t>
        </is>
      </c>
      <c r="G73" s="46" t="inlineStr">
        <is>
          <t>Ademas el cruce MEP corrido contra M01.01, P01.01, P01.02 y E02.01 no encuentra ninguna penetracion por debajo de la height de board: en obra nueva el MEP se instala ANTES del board.</t>
        </is>
      </c>
    </row>
    <row r="74" ht="33" customHeight="1" s="36">
      <c r="A74" s="44" t="inlineStr">
        <is>
          <t>A1 #9</t>
        </is>
      </c>
      <c r="B74" s="58" t="n">
        <v>1</v>
      </c>
      <c r="C74" s="44" t="inlineStr">
        <is>
          <t>A02.01</t>
        </is>
      </c>
      <c r="D74" s="59" t="inlineStr">
        <is>
          <t>Dimension</t>
        </is>
      </c>
      <c r="E74" s="46" t="inlineStr">
        <is>
          <t>Construction Plan. Entry sheet for partitions and openings: vector geometry of every wall face at 1/4"=1'-0", the leader of every partition tag, the Construction Plan Legend (new vs. existing) and the Construction Plan Notes.</t>
        </is>
      </c>
      <c r="F74" s="46" t="inlineStr">
        <is>
          <t>BLOCKING, HEADER, length, scope[0].chain[0], scope[1].chain[0], scope[1].chain[1], stud_height</t>
        </is>
      </c>
      <c r="G74" s="46" t="inlineStr">
        <is>
          <t>A02.01 geometria vectorial: faces lw1.20 en y=1488.12 y y=1495.44, separacion 7.32 pt = 4.88".</t>
        </is>
      </c>
    </row>
    <row r="75" ht="33" customHeight="1" s="36">
      <c r="A75" s="59" t="n"/>
      <c r="B75" s="58" t="n">
        <v>2</v>
      </c>
      <c r="C75" s="44" t="inlineStr">
        <is>
          <t>A04.01</t>
        </is>
      </c>
      <c r="D75" s="59" t="inlineStr">
        <is>
          <t>Dimension</t>
        </is>
      </c>
      <c r="E75" s="46" t="inlineStr">
        <is>
          <t>Reflected Ceiling Plan. Entry sheet for ceilings, soffits and canopy; on walls it gives the BOARD HEIGHT: each room ceiling tag with its printed A.F.F. dimension, plus the ceiling key notes.</t>
        </is>
      </c>
      <c r="F75" s="46" t="inlineStr">
        <is>
          <t>face[0].board_height, face[1].board_height</t>
        </is>
      </c>
      <c r="G75" s="46" t="inlineStr">
        <is>
          <t>A04.01: tag ACT-4 con dimension impresa 9'-0" junto al room tag CASH WINDOW 116 -el area FUTURE FCAM esta dentro de ese mismo cuarto-, mas los 6" de 3/A12.01 = 9.50 ft</t>
        </is>
      </c>
    </row>
    <row r="76" ht="25.5" customHeight="1" s="36">
      <c r="A76" s="59" t="n"/>
      <c r="B76" s="58" t="n">
        <v>3</v>
      </c>
      <c r="C76" s="44" t="inlineStr">
        <is>
          <t>S2.20</t>
        </is>
      </c>
      <c r="D76" s="59" t="inlineStr">
        <is>
          <t>Dimension</t>
        </is>
      </c>
      <c r="E76" s="46" t="inlineStr">
        <is>
          <t>"ROOF FRAMING PLAN". Source of the STUD HEIGHT: every B.O.D. callout on the sheet and the slope of the bay between grids B and A (1/4" per foot).</t>
        </is>
      </c>
      <c r="F76" s="46" t="inlineStr">
        <is>
          <t>stud_height</t>
        </is>
      </c>
      <c r="G76" s="46" t="inlineStr">
        <is>
          <t>S2.20: el wall esta en la bahia EN PENDIENTE.</t>
        </is>
      </c>
    </row>
    <row r="77" ht="33" customHeight="1" s="36">
      <c r="A77" s="59" t="n"/>
      <c r="B77" s="58" t="n">
        <v>4</v>
      </c>
      <c r="C77" s="44" t="inlineStr">
        <is>
          <t>1/A12.01</t>
        </is>
      </c>
      <c r="D77" s="59" t="inlineStr">
        <is>
          <t>Quantity</t>
        </is>
      </c>
      <c r="E77" s="46" t="inlineStr">
        <is>
          <t>"PARTITION TYPE B, B2". Stud, layers per face, wall thickness and sealant of types B and B2. On a B wall it is the source; on an A1 wall it enters as a CONTRAST (B does label sealant top AND bottom, A1 only at the bottom).</t>
        </is>
      </c>
      <c r="F77" s="46" t="inlineStr">
        <is>
          <t>SEALANT</t>
        </is>
      </c>
      <c r="G77" s="46" t="inlineStr">
        <is>
          <t>Contraste que prueba que no es omision mia: 1/A12.01 (B y B2) SI rotula sealant arriba Y abajo.</t>
        </is>
      </c>
    </row>
    <row r="78" ht="25.5" customHeight="1" s="36">
      <c r="A78" s="59" t="n"/>
      <c r="B78" s="58" t="n">
        <v>5</v>
      </c>
      <c r="C78" s="44" t="inlineStr">
        <is>
          <t>3/A12.01</t>
        </is>
      </c>
      <c r="D78" s="59" t="inlineStr">
        <is>
          <t>Dimension</t>
        </is>
      </c>
      <c r="E78" s="46" t="inlineStr">
        <is>
          <t>"PARTITION TYPE A1 &amp; A5". 3 5/8" stud, layers per face, WALL THICKNESS 4 7/8", slip track at the top, acoustic sealant at the slab and the 6" of board above the scheduled ceiling.</t>
        </is>
      </c>
      <c r="F78" s="46" t="inlineStr">
        <is>
          <t>BOARD, SEALANT, STUD, TRACK_BOTTOM, TRACK_TOP, excluded.INSULATION, face[0].board_height, face[1].board_height, scope[0].chain[1], stud_height</t>
        </is>
      </c>
      <c r="G78" s="46" t="inlineStr">
        <is>
          <t>A04.01: tag ACT-4 con dimension impresa 9'-0" junto al room tag CASH WINDOW 116 -el area FUTURE FCAM esta dentro de ese mismo cuarto-, mas los 6" de 3/A12.01 = 9.50 ft</t>
        </is>
      </c>
    </row>
    <row r="79" ht="33" customHeight="1" s="36">
      <c r="A79" s="59" t="n"/>
      <c r="B79" s="58" t="n">
        <v>6</v>
      </c>
      <c r="C79" s="44" t="inlineStr">
        <is>
          <t>4/A12.01</t>
        </is>
      </c>
      <c r="D79" s="59" t="inlineStr">
        <is>
          <t>Quantity</t>
        </is>
      </c>
      <c r="E79" s="46" t="inlineStr">
        <is>
          <t>"PARTITION TYPE A1K &amp; A5K". The K types. On an A1 wall it enters as a CONTRAST: detail 4 calls for 14 GA @ 24" O.C. MAX in its own note and detail 3 does not, so on the A1 the 7/S5.20 schedule governs.</t>
        </is>
      </c>
      <c r="F79" s="46" t="inlineStr">
        <is>
          <t>STUD</t>
        </is>
      </c>
      <c r="G79" s="46" t="inlineStr">
        <is>
          <t>El detalle 3/A12.01 no trae nota de construccion propia que lo contradiga (a diferencia de 4/A12.01, que para los walls K pide 14 GA @ 24" O.C.</t>
        </is>
      </c>
    </row>
    <row r="80" ht="43.5" customHeight="1" s="36">
      <c r="A80" s="59" t="n"/>
      <c r="B80" s="58" t="n">
        <v>7</v>
      </c>
      <c r="C80" s="44" t="inlineStr">
        <is>
          <t>A09.01</t>
        </is>
      </c>
      <c r="D80" s="59" t="inlineStr">
        <is>
          <t>Exclusion</t>
        </is>
      </c>
      <c r="E80" s="46" t="inlineStr">
        <is>
          <t>Exterior Elevations: "SOUTH ELEVATION" and "WEST ELEVATION" at 1/4"=1'-0". Extent of each exterior material and the material legend, verbatim "CJ CONTROL JOINT; PAINT TO MATCH STUCCO FINISH COLOR" - that joint is the STUCCO joint, not gypsum.</t>
        </is>
      </c>
      <c r="F80" s="46" t="inlineStr">
        <is>
          <t>excluded.CONTROL_JOINT</t>
        </is>
      </c>
      <c r="G8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1" ht="33" customHeight="1" s="36">
      <c r="A81" s="59" t="n"/>
      <c r="B81" s="58" t="n">
        <v>8</v>
      </c>
      <c r="C81" s="44" t="inlineStr">
        <is>
          <t>10/A12.02</t>
        </is>
      </c>
      <c r="D81" s="59" t="inlineStr">
        <is>
          <t>Quantity</t>
        </is>
      </c>
      <c r="E81" s="46" t="inlineStr">
        <is>
          <t>"HEAD @ HOLLOW METAL FRAME" at 3"=1'-0". Head of the hollow metal frame: labels SCHEDULED PARTITION, METAL STUD, METAL CLIP, HOLLOW METAL FRAME and 1/2" of board lap per face inside the frame throat.</t>
        </is>
      </c>
      <c r="F81" s="46" t="inlineStr">
        <is>
          <t>HEADER, excluded.CLIPS, openings[0].head</t>
        </is>
      </c>
      <c r="G81" s="46" t="inlineStr">
        <is>
          <t>(a) DOOR 119, 3.33 LF: Door Schedule de A00.30, FROM CASH WINDOW, tipo A, hoja 3'-0" x 7'-0" x 1 3/4" WOOD, hollow metal frame, HEAD 10/A12.02 y JAMB 11/A12.02, columna SILL vacia, HARDWARE GROUP 12.</t>
        </is>
      </c>
    </row>
    <row r="82" ht="33" customHeight="1" s="36">
      <c r="A82" s="59" t="n"/>
      <c r="B82" s="58" t="n">
        <v>9</v>
      </c>
      <c r="C82" s="44" t="inlineStr">
        <is>
          <t>11/A12.02</t>
        </is>
      </c>
      <c r="D82" s="59" t="inlineStr">
        <is>
          <t>Quantity</t>
        </is>
      </c>
      <c r="E82" s="46" t="inlineStr">
        <is>
          <t>"JAMB @ HOLLOW METAL FRAME" at 3"=1'-0". Jamb of the same frame: it calls METAL ANCHOR the piece detail 10 calls METAL CLIP, so the piece is frame anchorage (Div 08), not a clip of ours.</t>
        </is>
      </c>
      <c r="F82" s="46" t="inlineStr">
        <is>
          <t>HEADER, excluded.CLIPS</t>
        </is>
      </c>
      <c r="G82" s="46" t="inlineStr">
        <is>
          <t>(a) DOOR 119, 3.33 LF: Door Schedule de A00.30, FROM CASH WINDOW, tipo A, hoja 3'-0" x 7'-0" x 1 3/4" WOOD, hollow metal frame, HEAD 10/A12.02 y JAMB 11/A12.02, columna SILL vacia, HARDWARE GROUP 12.</t>
        </is>
      </c>
    </row>
    <row r="83" ht="33" customHeight="1" s="36">
      <c r="A83" s="59" t="n"/>
      <c r="B83" s="58" t="n">
        <v>10</v>
      </c>
      <c r="C83" s="44" t="inlineStr">
        <is>
          <t>1/S5.20</t>
        </is>
      </c>
      <c r="D83" s="59" t="inlineStr">
        <is>
          <t>Quantity</t>
        </is>
      </c>
      <c r="E83" s="46" t="inlineStr">
        <is>
          <t>"TYPICAL WALL FRAMING DETAILS". Holds sub-details A through F; sub-detail F "BRIDGING AND BRACING - CONTINUOUS BRIDGING" is the bracing one: 1 1/2" C.R. CHANNEL welded to every stud. (Bracing is NOT in 5/S5.20, which is TYPICAL WALL FRAMING CONNX.)</t>
        </is>
      </c>
      <c r="F83" s="46" t="inlineStr">
        <is>
          <t>BRACING, excluded.CLIPS</t>
        </is>
      </c>
      <c r="G83" s="46" t="inlineStr">
        <is>
          <t>por el punchout del alma, soldado a cada stud (1/S5.20 sub-detalle F de S5.20).</t>
        </is>
      </c>
    </row>
    <row r="84" ht="25.5" customHeight="1" s="36">
      <c r="A84" s="59" t="n"/>
      <c r="B84" s="58" t="n">
        <v>11</v>
      </c>
      <c r="C84" s="44" t="inlineStr">
        <is>
          <t>2/S5.20</t>
        </is>
      </c>
      <c r="D84" s="59" t="inlineStr">
        <is>
          <t>Quantity</t>
        </is>
      </c>
      <c r="E84" s="46" t="inlineStr">
        <is>
          <t>"HEAD TRACK @ NON LOAD BRG". The head track and the verbatim condition "ADD FULL LENGTH ADDL HEAD TRACK @ OPNG &gt;4'-0"": an opening of 4'-0" or less takes a SINGLE track.</t>
        </is>
      </c>
      <c r="F84" s="46" t="inlineStr">
        <is>
          <t>HEADER</t>
        </is>
      </c>
      <c r="G84" s="46" t="inlineStr">
        <is>
          <t>Head track SENCILLO: 9/S5.20 OPNG IN NON-LOAD-BRG WALLS pone el doble solo @ OPNG &gt; 4'-0" y 2/S5.20 repite la condicional.</t>
        </is>
      </c>
    </row>
    <row r="85" ht="33" customHeight="1" s="36">
      <c r="A85" s="59" t="n"/>
      <c r="B85" s="58" t="n">
        <v>12</v>
      </c>
      <c r="C85" s="44" t="inlineStr">
        <is>
          <t>4/S5.20</t>
        </is>
      </c>
      <c r="D85" s="59" t="inlineStr">
        <is>
          <t>Quantity</t>
        </is>
      </c>
      <c r="E85" s="46" t="inlineStr">
        <is>
          <t>"TYPICAL BLOCKING DETAIL". STUD BLOCKING 362CR22 and CLIP ANGLE 362CR22, with the boxed verbatim note "PROVIDE BLOCKING AT THE EDGE OF GYPBOARD." - source of the blocking at EVERY free edge of board.</t>
        </is>
      </c>
      <c r="F85" s="46" t="inlineStr">
        <is>
          <t>BLOCKING</t>
        </is>
      </c>
      <c r="G85" s="46" t="inlineStr">
        <is>
          <t>BOARD FREE EDGE: 4/S5.20 TYPICAL BLOCKING DETAIL carries a boxed note, TEXTUAL: 'PROVIDE BLOCKING AT THE EDGE OF GYPBOARD.', with STUD BLOCKING 362CR22 (TYP.) and CLIP ANGLE 362CR22 (TYP.) &amp; BLOCKING W/ SCREWS (TYP.).</t>
        </is>
      </c>
    </row>
    <row r="86" ht="33" customHeight="1" s="36">
      <c r="A86" s="59" t="n"/>
      <c r="B86" s="58" t="n">
        <v>13</v>
      </c>
      <c r="C86" s="44" t="inlineStr">
        <is>
          <t>6/S5.20</t>
        </is>
      </c>
      <c r="D86" s="59" t="inlineStr">
        <is>
          <t>Quantity</t>
        </is>
      </c>
      <c r="E86" s="46" t="inlineStr">
        <is>
          <t>"PENETRATION THRU STUDS". How the stud is reinforced where a duct passes through.</t>
        </is>
      </c>
      <c r="F86" s="46" t="inlineStr">
        <is>
          <t>HEADER, SILL_TRACK, openings[1].head, openings[1].sill, openings[2].head, openings[2].sill</t>
        </is>
      </c>
      <c r="G86" s="46" t="inlineStr">
        <is>
          <t>6/S5.20 limita el agujero del alma a 3 1/2" de diametro en stud de 6" y PROHIBE cortar las alas, asi que un ducto de 8" no pasa por el alma de un stud de 3 5/8": exige hueco framing.</t>
        </is>
      </c>
    </row>
    <row r="87" ht="33" customHeight="1" s="36">
      <c r="A87" s="59" t="n"/>
      <c r="B87" s="58" t="n">
        <v>14</v>
      </c>
      <c r="C87" s="44" t="inlineStr">
        <is>
          <t>7/S5.20</t>
        </is>
      </c>
      <c r="D87" s="59" t="inlineStr">
        <is>
          <t>Quantity</t>
        </is>
      </c>
      <c r="E87" s="46" t="inlineStr">
        <is>
          <t>"METAL STUDS SCHEDULES". The profile: web, flange, lip, mils, gauge and the APPLICATION column with the spacing ("INTERIOR WALLS @ 16" O.C."), plus the SILL TRACK ANCHORAGE and the FASTENER SCHEDULE.</t>
        </is>
      </c>
      <c r="F87" s="46" t="inlineStr">
        <is>
          <t>STUD, TRACK_BOTTOM</t>
        </is>
      </c>
      <c r="G87" s="46" t="inlineStr">
        <is>
          <t>7/S5.20 METAL STUDS SCHEDULES, renglon 362S137-33: alma 3 5/8", ala 1 3/8", lip 3/8", 33 mil = 20 ga, APPLICATION 'INTERIOR WALLS @ 16" O.C.'.</t>
        </is>
      </c>
    </row>
    <row r="88" ht="25.5" customHeight="1" s="36">
      <c r="A88" s="59" t="n"/>
      <c r="B88" s="58" t="n">
        <v>15</v>
      </c>
      <c r="C88" s="44" t="inlineStr">
        <is>
          <t>9/S5.20</t>
        </is>
      </c>
      <c r="D88" s="59" t="inlineStr">
        <is>
          <t>Quantity</t>
        </is>
      </c>
      <c r="E88" s="46" t="inlineStr">
        <is>
          <t>"OPNG IN NON-LOAD-BRG WALLS". The opening frame: DBL JAMB STUD (2 per jamb) and HEAD TRACK with the condition "DOUBLE TRACK @ OPNG &gt; 4'-0"".</t>
        </is>
      </c>
      <c r="F88" s="46" t="inlineStr">
        <is>
          <t>HEADER</t>
        </is>
      </c>
      <c r="G88" s="46" t="inlineStr">
        <is>
          <t>Head track SENCILLO: 9/S5.20 OPNG IN NON-LOAD-BRG WALLS pone el doble solo @ OPNG &gt; 4'-0" y 2/S5.20 repite la condicional.</t>
        </is>
      </c>
    </row>
    <row r="89" ht="25.5" customHeight="1" s="36">
      <c r="A89" s="59" t="n"/>
      <c r="B89" s="58" t="n">
        <v>16</v>
      </c>
      <c r="C89" s="44" t="inlineStr">
        <is>
          <t>A00.01</t>
        </is>
      </c>
      <c r="D89" s="59" t="inlineStr">
        <is>
          <t>Scope</t>
        </is>
      </c>
      <c r="E89" s="46" t="inlineStr">
        <is>
          <t>Cover sheet and Drawing Index. Proof by ABSENCE: the index lists no interior Demolition Plan, which is why there is no patch-and-repair line item.</t>
        </is>
      </c>
      <c r="F89" s="46" t="inlineStr">
        <is>
          <t>excluded.PATCH, scope[1].chain[0]</t>
        </is>
      </c>
      <c r="G89" s="46" t="inlineStr">
        <is>
          <t>A02.01 Construction Plan Legend: la grafia de dos lineas limpias es NEW PARTITION (SEE SCHEDULE); no hay Demolition Plan interior en el Drawing Index de A00.01</t>
        </is>
      </c>
    </row>
    <row r="90" ht="33" customHeight="1" s="36">
      <c r="A90" s="59" t="n"/>
      <c r="B90" s="58" t="n">
        <v>17</v>
      </c>
      <c r="C90" s="44" t="inlineStr">
        <is>
          <t>A00.30</t>
        </is>
      </c>
      <c r="D90" s="59" t="inlineStr">
        <is>
          <t>Quantity</t>
        </is>
      </c>
      <c r="E90" s="46" t="inlineStr">
        <is>
          <t>Door Schedule. Leaf width and height of every door and the frame type: source of the header, the board deduction and the reference to 10 and 11/A12.02.</t>
        </is>
      </c>
      <c r="F90" s="46" t="inlineStr">
        <is>
          <t>BLOCKING, HEADER</t>
        </is>
      </c>
      <c r="G90" s="46" t="inlineStr">
        <is>
          <t>(a) WALL STOP de la door 119, 2.00 LF: el Door Schedule de A00.30 le da el HARDWARE GROUP 12, que incluye '1 EA WALL STOP WS407CCV 630 IVE', y la sheet note D de A00.30 dice textual 'PROVIDE BLOCKING AT EACH WALL STOP'; el plano no ubica el tope, asi que 2'-0" de FRTW.</t>
        </is>
      </c>
    </row>
    <row r="91" ht="33" customHeight="1" s="36">
      <c r="A91" s="59" t="n"/>
      <c r="B91" s="58" t="n">
        <v>18</v>
      </c>
      <c r="C91" s="44" t="inlineStr">
        <is>
          <t>A09.27</t>
        </is>
      </c>
      <c r="D91" s="59" t="inlineStr">
        <is>
          <t>Exclusion</t>
        </is>
      </c>
      <c r="E91" s="46" t="inlineStr">
        <is>
          <t>Gypsum Section Details, the sheet. Cited as a sheet when the finding is that NO detail on it labels a gypsum control joint.</t>
        </is>
      </c>
      <c r="F91" s="46" t="inlineStr">
        <is>
          <t>excluded.CONTROL_JOINT</t>
        </is>
      </c>
      <c r="G91" s="46" t="inlineStr">
        <is>
          <t>El set no rotula ni detalla ninguna junta de control de gypsum board, ni en A12.01 ni en los detalles de A09.27/A09.33, y no hay seccion de especificaciones 09 29 00 en el bid set.</t>
        </is>
      </c>
    </row>
    <row r="92" ht="33" customHeight="1" s="36">
      <c r="A92" s="59" t="n"/>
      <c r="B92" s="58" t="n">
        <v>19</v>
      </c>
      <c r="C92" s="44" t="inlineStr">
        <is>
          <t>A09.33</t>
        </is>
      </c>
      <c r="D92" s="59" t="inlineStr">
        <is>
          <t>Exclusion</t>
        </is>
      </c>
      <c r="E92" s="46" t="inlineStr">
        <is>
          <t>Ceiling Details, the sheet. Cited as a sheet for a finding by ABSENCE: its details label corner bead, casing bead and shadow molding one by one and NONE labels a control joint, so the omission is not a labeling oversight.</t>
        </is>
      </c>
      <c r="F92" s="46" t="inlineStr">
        <is>
          <t>excluded.CONTROL_JOINT</t>
        </is>
      </c>
      <c r="G92" s="46" t="inlineStr">
        <is>
          <t>El set no rotula ni detalla ninguna junta de control de gypsum board, ni en A12.01 ni en los detalles de A09.27/A09.33, y no hay seccion de especificaciones 09 29 00 en el bid set.</t>
        </is>
      </c>
    </row>
    <row r="93" ht="25.5" customHeight="1" s="36">
      <c r="A93" s="59" t="n"/>
      <c r="B93" s="58" t="n">
        <v>20</v>
      </c>
      <c r="C93" s="44" t="inlineStr">
        <is>
          <t>A12.05</t>
        </is>
      </c>
      <c r="D93" s="59" t="inlineStr">
        <is>
          <t>Quantity</t>
        </is>
      </c>
      <c r="E93" s="46" t="inlineStr">
        <is>
          <t>Millwork details MW07, MW11, MW12. Our scope here is the blocking.</t>
        </is>
      </c>
      <c r="F93" s="46" t="inlineStr">
        <is>
          <t>BLOCKING</t>
        </is>
      </c>
      <c r="G93" s="46" t="inlineStr">
        <is>
          <t>(b) MILLWORK MW12, 20.94 LF: Millwork Schedule de A00.30: MW12 TELLER WORKROOM, 'COUNTER OPEN BELOW AND 1'-3" DEEP OPEN UPPER CABINET', DEPTH 2'-0", detalles de A12.05.</t>
        </is>
      </c>
    </row>
    <row r="94" ht="33" customHeight="1" s="36">
      <c r="A94" s="59" t="n"/>
      <c r="B94" s="58" t="n">
        <v>21</v>
      </c>
      <c r="C94" s="44" t="inlineStr">
        <is>
          <t>E02.01</t>
        </is>
      </c>
      <c r="D94" s="59" t="inlineStr">
        <is>
          <t>Exclusion</t>
        </is>
      </c>
      <c r="E94" s="46" t="inlineStr">
        <is>
          <t>"FLOOR PLAN - LIGHTING" at 1/4"=1'-0". Light fixtures and their framing: crossed against every wall and ceiling to locate penetrations and openings.</t>
        </is>
      </c>
      <c r="F94" s="46" t="inlineStr">
        <is>
          <t>excluded.PATCH</t>
        </is>
      </c>
      <c r="G94" s="46" t="inlineStr">
        <is>
          <t>Ademas el cruce MEP corrido contra M01.01, P01.01, P01.02 y E02.01 no encuentra ninguna penetracion por debajo de la height de board: en obra nueva el MEP se instala ANTES del board.</t>
        </is>
      </c>
    </row>
    <row r="95" ht="25.5" customHeight="1" s="36">
      <c r="A95" s="59" t="n"/>
      <c r="B95" s="58" t="n">
        <v>22</v>
      </c>
      <c r="C95" s="44" t="inlineStr">
        <is>
          <t>M01.01</t>
        </is>
      </c>
      <c r="D95" s="59" t="inlineStr">
        <is>
          <t>Quantity</t>
        </is>
      </c>
      <c r="E95" s="46" t="inlineStr">
        <is>
          <t>Mechanical Floor Plan at 1/4"=1'-0". Swept across the WHOLE band of each wall, opening included, to locate and measure every duct penetration.</t>
        </is>
      </c>
      <c r="F95" s="46" t="inlineStr">
        <is>
          <t>HEADER, excluded.PATCH, openings[1].ref, openings[2].ref</t>
        </is>
      </c>
      <c r="G95" s="46" t="inlineStr">
        <is>
          <t>M01.01 cruza este wall DOS veces, no una (hallado el 6-oct-2026 con el mapeo de ejes A02.01 -&gt; M01.01: dx +571.91 pt en 7 columnas, dy -21.84 pt en 6 renglones).</t>
        </is>
      </c>
    </row>
    <row r="96" ht="33" customHeight="1" s="36">
      <c r="A96" s="59" t="n"/>
      <c r="B96" s="58" t="n">
        <v>23</v>
      </c>
      <c r="C96" s="44" t="inlineStr">
        <is>
          <t>P01.01</t>
        </is>
      </c>
      <c r="D96" s="59" t="inlineStr">
        <is>
          <t>Exclusion</t>
        </is>
      </c>
      <c r="E96" s="46" t="inlineStr">
        <is>
          <t>"PLUMBING PLAN SANITARY" at 1/4"=1'-0". Crossed against every wall: on new construction the MEP goes in before the board, hence no patch.</t>
        </is>
      </c>
      <c r="F96" s="46" t="inlineStr">
        <is>
          <t>excluded.PATCH</t>
        </is>
      </c>
      <c r="G96" s="46" t="inlineStr">
        <is>
          <t>Ademas el cruce MEP corrido contra M01.01, P01.01, P01.02 y E02.01 no encuentra ninguna penetracion por debajo de la height de board: en obra nueva el MEP se instala ANTES del board.</t>
        </is>
      </c>
    </row>
    <row r="97" ht="33" customHeight="1" s="36">
      <c r="A97" s="59" t="n"/>
      <c r="B97" s="58" t="n">
        <v>24</v>
      </c>
      <c r="C97" s="44" t="inlineStr">
        <is>
          <t>P01.02</t>
        </is>
      </c>
      <c r="D97" s="59" t="inlineStr">
        <is>
          <t>Exclusion</t>
        </is>
      </c>
      <c r="E97" s="46" t="inlineStr">
        <is>
          <t>"PLUMBING PLAN SUPPLY" at 1/4"=1'-0". The same cross-check for the supply piping.</t>
        </is>
      </c>
      <c r="F97" s="46" t="inlineStr">
        <is>
          <t>excluded.PATCH</t>
        </is>
      </c>
      <c r="G97" s="46" t="inlineStr">
        <is>
          <t>Ademas el cruce MEP corrido contra M01.01, P01.01, P01.02 y E02.01 no encuentra ninguna penetracion por debajo de la height de board: en obra nueva el MEP se instala ANTES del board.</t>
        </is>
      </c>
    </row>
    <row r="98" ht="33" customHeight="1" s="36">
      <c r="A98" s="44" t="inlineStr">
        <is>
          <t>A1 #6</t>
        </is>
      </c>
      <c r="B98" s="58" t="n">
        <v>1</v>
      </c>
      <c r="C98" s="44" t="inlineStr">
        <is>
          <t>A02.01</t>
        </is>
      </c>
      <c r="D98" s="59" t="inlineStr">
        <is>
          <t>Dimension</t>
        </is>
      </c>
      <c r="E98" s="46" t="inlineStr">
        <is>
          <t>Construction Plan. Entry sheet for partitions and openings: vector geometry of every wall face at 1/4"=1'-0", the leader of every partition tag, the Construction Plan Legend (new vs. existing) and the Construction Plan Notes.</t>
        </is>
      </c>
      <c r="F98" s="46" t="inlineStr">
        <is>
          <t>HEADER, length.source, scope[0].chain[0], scope[1].chain[0], scope[1].chain[1], stud_height</t>
        </is>
      </c>
      <c r="G98" s="46" t="inlineStr">
        <is>
          <t>A02.01: dimension impresa 5'-6" = 5.500 ft, con sus DOS ticks de 45 grados localizados en x=1522.9 y x=1622.2 -- que son exactamente los dos extremos de este wall, asi que la dimension es de ESTE tramo y no de uno vecino.</t>
        </is>
      </c>
    </row>
    <row r="99" ht="33" customHeight="1" s="36">
      <c r="A99" s="59" t="n"/>
      <c r="B99" s="58" t="n">
        <v>2</v>
      </c>
      <c r="C99" s="44" t="inlineStr">
        <is>
          <t>A04.01</t>
        </is>
      </c>
      <c r="D99" s="59" t="inlineStr">
        <is>
          <t>Dimension</t>
        </is>
      </c>
      <c r="E99" s="46" t="inlineStr">
        <is>
          <t>Reflected Ceiling Plan. Entry sheet for ceilings, soffits and canopy; on walls it gives the BOARD HEIGHT: each room ceiling tag with its printed A.F.F. dimension, plus the ceiling key notes.</t>
        </is>
      </c>
      <c r="F99" s="46" t="inlineStr">
        <is>
          <t>face[0].board_height, face[1].board_height</t>
        </is>
      </c>
      <c r="G99" s="46" t="inlineStr">
        <is>
          <t>A04.01: tag ACT-4 con dimension impresa 9'-0" junto al room tag CASH WINDOW 116 -el area FUTURE FCAM esta dentro de ese mismo cuarto-, mas los 6" de 3/A12.01 = 9.50 ft</t>
        </is>
      </c>
    </row>
    <row r="100" ht="25.5" customHeight="1" s="36">
      <c r="A100" s="59" t="n"/>
      <c r="B100" s="58" t="n">
        <v>3</v>
      </c>
      <c r="C100" s="44" t="inlineStr">
        <is>
          <t>S2.20</t>
        </is>
      </c>
      <c r="D100" s="59" t="inlineStr">
        <is>
          <t>Dimension</t>
        </is>
      </c>
      <c r="E100" s="46" t="inlineStr">
        <is>
          <t>"ROOF FRAMING PLAN". Source of the STUD HEIGHT: every B.O.D. callout on the sheet and the slope of the bay between grids B and A (1/4" per foot).</t>
        </is>
      </c>
      <c r="F100" s="46" t="inlineStr">
        <is>
          <t>stud_height</t>
        </is>
      </c>
      <c r="G100" s="46" t="inlineStr">
        <is>
          <t>S2.20: el wall esta en la bahia EN PENDIENTE.</t>
        </is>
      </c>
    </row>
    <row r="101" ht="33" customHeight="1" s="36">
      <c r="A101" s="59" t="n"/>
      <c r="B101" s="58" t="n">
        <v>4</v>
      </c>
      <c r="C101" s="44" t="inlineStr">
        <is>
          <t>1/A12.01</t>
        </is>
      </c>
      <c r="D101" s="59" t="inlineStr">
        <is>
          <t>Quantity</t>
        </is>
      </c>
      <c r="E101" s="46" t="inlineStr">
        <is>
          <t>"PARTITION TYPE B, B2". Stud, layers per face, wall thickness and sealant of types B and B2. On a B wall it is the source; on an A1 wall it enters as a CONTRAST (B does label sealant top AND bottom, A1 only at the bottom).</t>
        </is>
      </c>
      <c r="F101" s="46" t="inlineStr">
        <is>
          <t>SEALANT</t>
        </is>
      </c>
      <c r="G101" s="46" t="inlineStr">
        <is>
          <t>Contraste que prueba que no es omision mia: 1/A12.01 (B y B2) SI rotula sealant arriba Y abajo.</t>
        </is>
      </c>
    </row>
    <row r="102" ht="25.5" customHeight="1" s="36">
      <c r="A102" s="59" t="n"/>
      <c r="B102" s="58" t="n">
        <v>5</v>
      </c>
      <c r="C102" s="44" t="inlineStr">
        <is>
          <t>3/A12.01</t>
        </is>
      </c>
      <c r="D102" s="59" t="inlineStr">
        <is>
          <t>Dimension</t>
        </is>
      </c>
      <c r="E102" s="46" t="inlineStr">
        <is>
          <t>"PARTITION TYPE A1 &amp; A5". 3 5/8" stud, layers per face, WALL THICKNESS 4 7/8", slip track at the top, acoustic sealant at the slab and the 6" of board above the scheduled ceiling.</t>
        </is>
      </c>
      <c r="F102" s="46" t="inlineStr">
        <is>
          <t>BOARD, SEALANT, STUD, TRACK_BOTTOM, TRACK_TOP, excluded.INSULATION, face[0].board_height, face[1].board_height, scope[0].chain[1], stud_height</t>
        </is>
      </c>
      <c r="G102" s="46" t="inlineStr">
        <is>
          <t>A04.01: tag ACT-4 con dimension impresa 9'-0" junto al room tag CASH WINDOW 116 -el area FUTURE FCAM esta dentro de ese mismo cuarto-, mas los 6" de 3/A12.01 = 9.50 ft</t>
        </is>
      </c>
    </row>
    <row r="103" ht="33" customHeight="1" s="36">
      <c r="A103" s="59" t="n"/>
      <c r="B103" s="58" t="n">
        <v>6</v>
      </c>
      <c r="C103" s="44" t="inlineStr">
        <is>
          <t>4/A12.01</t>
        </is>
      </c>
      <c r="D103" s="59" t="inlineStr">
        <is>
          <t>Quantity</t>
        </is>
      </c>
      <c r="E103" s="46" t="inlineStr">
        <is>
          <t>"PARTITION TYPE A1K &amp; A5K". The K types. On an A1 wall it enters as a CONTRAST: detail 4 calls for 14 GA @ 24" O.C. MAX in its own note and detail 3 does not, so on the A1 the 7/S5.20 schedule governs.</t>
        </is>
      </c>
      <c r="F103" s="46" t="inlineStr">
        <is>
          <t>STUD</t>
        </is>
      </c>
      <c r="G103" s="46" t="inlineStr">
        <is>
          <t>El detalle 3/A12.01 no trae nota de construccion propia que lo contradiga (a diferencia de 4/A12.01, que para los walls K pide 14 GA @ 24" O.C.</t>
        </is>
      </c>
    </row>
    <row r="104" ht="43.5" customHeight="1" s="36">
      <c r="A104" s="59" t="n"/>
      <c r="B104" s="58" t="n">
        <v>7</v>
      </c>
      <c r="C104" s="44" t="inlineStr">
        <is>
          <t>A09.01</t>
        </is>
      </c>
      <c r="D104" s="59" t="inlineStr">
        <is>
          <t>Exclusion</t>
        </is>
      </c>
      <c r="E104" s="46" t="inlineStr">
        <is>
          <t>Exterior Elevations: "SOUTH ELEVATION" and "WEST ELEVATION" at 1/4"=1'-0". Extent of each exterior material and the material legend, verbatim "CJ CONTROL JOINT; PAINT TO MATCH STUCCO FINISH COLOR" - that joint is the STUCCO joint, not gypsum.</t>
        </is>
      </c>
      <c r="F104" s="46" t="inlineStr">
        <is>
          <t>excluded.CONTROL_JOINT</t>
        </is>
      </c>
      <c r="G10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5" ht="33" customHeight="1" s="36">
      <c r="A105" s="59" t="n"/>
      <c r="B105" s="58" t="n">
        <v>8</v>
      </c>
      <c r="C105" s="44" t="inlineStr">
        <is>
          <t>10/A12.02</t>
        </is>
      </c>
      <c r="D105" s="59" t="inlineStr">
        <is>
          <t>Quantity</t>
        </is>
      </c>
      <c r="E105" s="46" t="inlineStr">
        <is>
          <t>"HEAD @ HOLLOW METAL FRAME" at 3"=1'-0". Head of the hollow metal frame: labels SCHEDULED PARTITION, METAL STUD, METAL CLIP, HOLLOW METAL FRAME and 1/2" of board lap per face inside the frame throat.</t>
        </is>
      </c>
      <c r="F105" s="46" t="inlineStr">
        <is>
          <t>HEADER, excluded.CLIPS, openings[0].head</t>
        </is>
      </c>
      <c r="G105" s="46" t="inlineStr">
        <is>
          <t>Door 118A del Door Schedule de A00.30, hoja 3'-0", hollow metal frame, HEAD 10/A12.02 y JAMB 11/A12.02, columna SILL vacia.</t>
        </is>
      </c>
    </row>
    <row r="106" ht="33" customHeight="1" s="36">
      <c r="A106" s="59" t="n"/>
      <c r="B106" s="58" t="n">
        <v>9</v>
      </c>
      <c r="C106" s="44" t="inlineStr">
        <is>
          <t>11/A12.02</t>
        </is>
      </c>
      <c r="D106" s="59" t="inlineStr">
        <is>
          <t>Quantity</t>
        </is>
      </c>
      <c r="E106" s="46" t="inlineStr">
        <is>
          <t>"JAMB @ HOLLOW METAL FRAME" at 3"=1'-0". Jamb of the same frame: it calls METAL ANCHOR the piece detail 10 calls METAL CLIP, so the piece is frame anchorage (Div 08), not a clip of ours.</t>
        </is>
      </c>
      <c r="F106" s="46" t="inlineStr">
        <is>
          <t>HEADER, excluded.CLIPS</t>
        </is>
      </c>
      <c r="G106" s="46" t="inlineStr">
        <is>
          <t>Door 118A del Door Schedule de A00.30, hoja 3'-0", hollow metal frame, HEAD 10/A12.02 y JAMB 11/A12.02, columna SILL vacia.</t>
        </is>
      </c>
    </row>
    <row r="107" ht="33" customHeight="1" s="36">
      <c r="A107" s="59" t="n"/>
      <c r="B107" s="58" t="n">
        <v>10</v>
      </c>
      <c r="C107" s="44" t="inlineStr">
        <is>
          <t>1/S5.20</t>
        </is>
      </c>
      <c r="D107" s="59" t="inlineStr">
        <is>
          <t>Quantity</t>
        </is>
      </c>
      <c r="E107" s="46" t="inlineStr">
        <is>
          <t>"TYPICAL WALL FRAMING DETAILS". Holds sub-details A through F; sub-detail F "BRIDGING AND BRACING - CONTINUOUS BRIDGING" is the bracing one: 1 1/2" C.R. CHANNEL welded to every stud. (Bracing is NOT in 5/S5.20, which is TYPICAL WALL FRAMING CONNX.)</t>
        </is>
      </c>
      <c r="F107" s="46" t="inlineStr">
        <is>
          <t>BRACING, excluded.CLIPS</t>
        </is>
      </c>
      <c r="G107" s="46" t="inlineStr">
        <is>
          <t>por el punchout del alma, soldado a cada stud (1/S5.20 sub-detalle F de S5.20).</t>
        </is>
      </c>
    </row>
    <row r="108" ht="33" customHeight="1" s="36">
      <c r="A108" s="59" t="n"/>
      <c r="B108" s="58" t="n">
        <v>11</v>
      </c>
      <c r="C108" s="44" t="inlineStr">
        <is>
          <t>2/S5.20</t>
        </is>
      </c>
      <c r="D108" s="59" t="inlineStr">
        <is>
          <t>Quantity</t>
        </is>
      </c>
      <c r="E108" s="46" t="inlineStr">
        <is>
          <t>"HEAD TRACK @ NON LOAD BRG". The head track and the verbatim condition "ADD FULL LENGTH ADDL HEAD TRACK @ OPNG &gt;4'-0"": an opening of 4'-0" or less takes a SINGLE track.</t>
        </is>
      </c>
      <c r="F108" s="46" t="inlineStr">
        <is>
          <t>HEADER</t>
        </is>
      </c>
      <c r="G108" s="46" t="inlineStr">
        <is>
          <t>9/S5.20 OPNG IN NON-LOAD-BRG WALLS rotula 'HEAD TRACK (DOUBLE TRACK @ OPNG &gt; 4'-0")' y 2/S5.20 HEAD TRACK @ NON LOAD BRG repite la condicional 'ADD FULL LENGTH ADDL HEAD TRACK @ OPNG &gt;4'-0"'.</t>
        </is>
      </c>
    </row>
    <row r="109" ht="33" customHeight="1" s="36">
      <c r="A109" s="59" t="n"/>
      <c r="B109" s="58" t="n">
        <v>12</v>
      </c>
      <c r="C109" s="44" t="inlineStr">
        <is>
          <t>4/S5.20</t>
        </is>
      </c>
      <c r="D109" s="59" t="inlineStr">
        <is>
          <t>Quantity</t>
        </is>
      </c>
      <c r="E109" s="46" t="inlineStr">
        <is>
          <t>"TYPICAL BLOCKING DETAIL". STUD BLOCKING 362CR22 and CLIP ANGLE 362CR22, with the boxed verbatim note "PROVIDE BLOCKING AT THE EDGE OF GYPBOARD." - source of the blocking at EVERY free edge of board.</t>
        </is>
      </c>
      <c r="F109" s="46" t="inlineStr">
        <is>
          <t>BLOCKING</t>
        </is>
      </c>
      <c r="G109" s="46" t="inlineStr">
        <is>
          <t>BOARD FREE EDGE: 4/S5.20 TYPICAL BLOCKING DETAIL carries a boxed note, TEXTUAL: 'PROVIDE BLOCKING AT THE EDGE OF GYPBOARD.', with STUD BLOCKING 362CR22 (TYP.) and CLIP ANGLE 362CR22 (TYP.) &amp; BLOCKING W/ SCREWS (TYP.).</t>
        </is>
      </c>
    </row>
    <row r="110" ht="33" customHeight="1" s="36">
      <c r="A110" s="59" t="n"/>
      <c r="B110" s="58" t="n">
        <v>13</v>
      </c>
      <c r="C110" s="44" t="inlineStr">
        <is>
          <t>7/S5.20</t>
        </is>
      </c>
      <c r="D110" s="59" t="inlineStr">
        <is>
          <t>Quantity</t>
        </is>
      </c>
      <c r="E110" s="46" t="inlineStr">
        <is>
          <t>"METAL STUDS SCHEDULES". The profile: web, flange, lip, mils, gauge and the APPLICATION column with the spacing ("INTERIOR WALLS @ 16" O.C."), plus the SILL TRACK ANCHORAGE and the FASTENER SCHEDULE.</t>
        </is>
      </c>
      <c r="F110" s="46" t="inlineStr">
        <is>
          <t>STUD, TRACK_BOTTOM</t>
        </is>
      </c>
      <c r="G110" s="46" t="inlineStr">
        <is>
          <t>7/S5.20 METAL STUDS SCHEDULES, renglon 362S137-33: alma 3 5/8", ala 1 3/8", lip 3/8", 33 mil = 20 ga, APPLICATION 'INTERIOR WALLS @ 16" O.C.'.</t>
        </is>
      </c>
    </row>
    <row r="111" ht="33" customHeight="1" s="36">
      <c r="A111" s="59" t="n"/>
      <c r="B111" s="58" t="n">
        <v>14</v>
      </c>
      <c r="C111" s="44" t="inlineStr">
        <is>
          <t>9/S5.20</t>
        </is>
      </c>
      <c r="D111" s="59" t="inlineStr">
        <is>
          <t>Quantity</t>
        </is>
      </c>
      <c r="E111" s="46" t="inlineStr">
        <is>
          <t>"OPNG IN NON-LOAD-BRG WALLS". The opening frame: DBL JAMB STUD (2 per jamb) and HEAD TRACK with the condition "DOUBLE TRACK @ OPNG &gt; 4'-0"".</t>
        </is>
      </c>
      <c r="F111" s="46" t="inlineStr">
        <is>
          <t>HEADER</t>
        </is>
      </c>
      <c r="G111" s="46" t="inlineStr">
        <is>
          <t>9/S5.20 OPNG IN NON-LOAD-BRG WALLS rotula 'HEAD TRACK (DOUBLE TRACK @ OPNG &gt; 4'-0")' y 2/S5.20 HEAD TRACK @ NON LOAD BRG repite la condicional 'ADD FULL LENGTH ADDL HEAD TRACK @ OPNG &gt;4'-0"'.</t>
        </is>
      </c>
    </row>
    <row r="112" ht="25.5" customHeight="1" s="36">
      <c r="A112" s="59" t="n"/>
      <c r="B112" s="58" t="n">
        <v>15</v>
      </c>
      <c r="C112" s="44" t="inlineStr">
        <is>
          <t>A00.01</t>
        </is>
      </c>
      <c r="D112" s="59" t="inlineStr">
        <is>
          <t>Scope</t>
        </is>
      </c>
      <c r="E112" s="46" t="inlineStr">
        <is>
          <t>Cover sheet and Drawing Index. Proof by ABSENCE: the index lists no interior Demolition Plan, which is why there is no patch-and-repair line item.</t>
        </is>
      </c>
      <c r="F112" s="46" t="inlineStr">
        <is>
          <t>excluded.PATCH, scope[1].chain[0]</t>
        </is>
      </c>
      <c r="G112" s="46" t="inlineStr">
        <is>
          <t>A02.01 Construction Plan Legend: la grafia de dos lineas limpias es NEW PARTITION (SEE SCHEDULE); no hay Demolition Plan interior en el Drawing Index de A00.01</t>
        </is>
      </c>
    </row>
    <row r="113" ht="25.5" customHeight="1" s="36">
      <c r="A113" s="59" t="n"/>
      <c r="B113" s="58" t="n">
        <v>16</v>
      </c>
      <c r="C113" s="44" t="inlineStr">
        <is>
          <t>A00.30</t>
        </is>
      </c>
      <c r="D113" s="59" t="inlineStr">
        <is>
          <t>Quantity</t>
        </is>
      </c>
      <c r="E113" s="46" t="inlineStr">
        <is>
          <t>Door Schedule. Leaf width and height of every door and the frame type: source of the header, the board deduction and the reference to 10 and 11/A12.02.</t>
        </is>
      </c>
      <c r="F113" s="46" t="inlineStr">
        <is>
          <t>BLOCKING, HEADER</t>
        </is>
      </c>
      <c r="G113" s="46" t="inlineStr">
        <is>
          <t>PLUS what hangs on the wall: Door Schedule de A00.30: la door 118A lleva HARDWARE GROUP 11B, que incluye WALL STOP.</t>
        </is>
      </c>
    </row>
    <row r="114" ht="33" customHeight="1" s="36">
      <c r="A114" s="59" t="n"/>
      <c r="B114" s="58" t="n">
        <v>17</v>
      </c>
      <c r="C114" s="44" t="inlineStr">
        <is>
          <t>A09.27</t>
        </is>
      </c>
      <c r="D114" s="59" t="inlineStr">
        <is>
          <t>Exclusion</t>
        </is>
      </c>
      <c r="E114" s="46" t="inlineStr">
        <is>
          <t>Gypsum Section Details, the sheet. Cited as a sheet when the finding is that NO detail on it labels a gypsum control joint.</t>
        </is>
      </c>
      <c r="F114" s="46" t="inlineStr">
        <is>
          <t>excluded.CONTROL_JOINT</t>
        </is>
      </c>
      <c r="G114" s="46" t="inlineStr">
        <is>
          <t>El set no rotula ni detalla ninguna junta de control de gypsum board, ni en A12.01 ni en los detalles de A09.27/A09.33, y no hay seccion de especificaciones 09 29 00 en el bid set.</t>
        </is>
      </c>
    </row>
    <row r="115" ht="33" customHeight="1" s="36">
      <c r="A115" s="59" t="n"/>
      <c r="B115" s="58" t="n">
        <v>18</v>
      </c>
      <c r="C115" s="44" t="inlineStr">
        <is>
          <t>A09.33</t>
        </is>
      </c>
      <c r="D115" s="59" t="inlineStr">
        <is>
          <t>Exclusion</t>
        </is>
      </c>
      <c r="E115" s="46" t="inlineStr">
        <is>
          <t>Ceiling Details, the sheet. Cited as a sheet for a finding by ABSENCE: its details label corner bead, casing bead and shadow molding one by one and NONE labels a control joint, so the omission is not a labeling oversight.</t>
        </is>
      </c>
      <c r="F115" s="46" t="inlineStr">
        <is>
          <t>excluded.CONTROL_JOINT</t>
        </is>
      </c>
      <c r="G115" s="46" t="inlineStr">
        <is>
          <t>El set no rotula ni detalla ninguna junta de control de gypsum board, ni en A12.01 ni en los detalles de A09.27/A09.33, y no hay seccion de especificaciones 09 29 00 en el bid set.</t>
        </is>
      </c>
    </row>
    <row r="116" ht="33" customHeight="1" s="36">
      <c r="A116" s="59" t="n"/>
      <c r="B116" s="58" t="n">
        <v>19</v>
      </c>
      <c r="C116" s="44" t="inlineStr">
        <is>
          <t>E02.01</t>
        </is>
      </c>
      <c r="D116" s="59" t="inlineStr">
        <is>
          <t>Exclusion</t>
        </is>
      </c>
      <c r="E116" s="46" t="inlineStr">
        <is>
          <t>"FLOOR PLAN - LIGHTING" at 1/4"=1'-0". Light fixtures and their framing: crossed against every wall and ceiling to locate penetrations and openings.</t>
        </is>
      </c>
      <c r="F116" s="46" t="inlineStr">
        <is>
          <t>excluded.PATCH</t>
        </is>
      </c>
      <c r="G116" s="46" t="inlineStr">
        <is>
          <t>Ademas el cruce MEP corrido contra M01.01, P01.01, P01.02 y E02.01 no encuentra ninguna penetracion por debajo de la height de board: en obra nueva el MEP se instala ANTES del board.</t>
        </is>
      </c>
    </row>
    <row r="117" ht="33" customHeight="1" s="36">
      <c r="A117" s="59" t="n"/>
      <c r="B117" s="58" t="n">
        <v>20</v>
      </c>
      <c r="C117" s="44" t="inlineStr">
        <is>
          <t>M01.01</t>
        </is>
      </c>
      <c r="D117" s="59" t="inlineStr">
        <is>
          <t>Exclusion</t>
        </is>
      </c>
      <c r="E117" s="46" t="inlineStr">
        <is>
          <t>Mechanical Floor Plan at 1/4"=1'-0". Swept across the WHOLE band of each wall, opening included, to locate and measure every duct penetration.</t>
        </is>
      </c>
      <c r="F117" s="46" t="inlineStr">
        <is>
          <t>excluded.PATCH</t>
        </is>
      </c>
      <c r="G117" s="46" t="inlineStr">
        <is>
          <t>Ademas el cruce MEP corrido contra M01.01, P01.01, P01.02 y E02.01 no encuentra ninguna penetracion por debajo de la height de board: en obra nueva el MEP se instala ANTES del board.</t>
        </is>
      </c>
    </row>
    <row r="118" ht="33" customHeight="1" s="36">
      <c r="A118" s="59" t="n"/>
      <c r="B118" s="58" t="n">
        <v>21</v>
      </c>
      <c r="C118" s="44" t="inlineStr">
        <is>
          <t>P01.01</t>
        </is>
      </c>
      <c r="D118" s="59" t="inlineStr">
        <is>
          <t>Exclusion</t>
        </is>
      </c>
      <c r="E118" s="46" t="inlineStr">
        <is>
          <t>"PLUMBING PLAN SANITARY" at 1/4"=1'-0". Crossed against every wall: on new construction the MEP goes in before the board, hence no patch.</t>
        </is>
      </c>
      <c r="F118" s="46" t="inlineStr">
        <is>
          <t>excluded.PATCH</t>
        </is>
      </c>
      <c r="G118" s="46" t="inlineStr">
        <is>
          <t>Ademas el cruce MEP corrido contra M01.01, P01.01, P01.02 y E02.01 no encuentra ninguna penetracion por debajo de la height de board: en obra nueva el MEP se instala ANTES del board.</t>
        </is>
      </c>
    </row>
    <row r="119" ht="33" customHeight="1" s="36">
      <c r="A119" s="59" t="n"/>
      <c r="B119" s="58" t="n">
        <v>22</v>
      </c>
      <c r="C119" s="44" t="inlineStr">
        <is>
          <t>P01.02</t>
        </is>
      </c>
      <c r="D119" s="59" t="inlineStr">
        <is>
          <t>Exclusion</t>
        </is>
      </c>
      <c r="E119" s="46" t="inlineStr">
        <is>
          <t>"PLUMBING PLAN SUPPLY" at 1/4"=1'-0". The same cross-check for the supply piping.</t>
        </is>
      </c>
      <c r="F119" s="46" t="inlineStr">
        <is>
          <t>excluded.PATCH</t>
        </is>
      </c>
      <c r="G119" s="46" t="inlineStr">
        <is>
          <t>Ademas el cruce MEP corrido contra M01.01, P01.01, P01.02 y E02.01 no encuentra ninguna penetracion por debajo de la height de board: en obra nueva el MEP se instala ANTES del board.</t>
        </is>
      </c>
    </row>
    <row r="120" ht="43.5" customHeight="1" s="36">
      <c r="A120" s="44" t="inlineStr">
        <is>
          <t>A1 #4</t>
        </is>
      </c>
      <c r="B120" s="58" t="n">
        <v>1</v>
      </c>
      <c r="C120" s="44" t="inlineStr">
        <is>
          <t>A02.01</t>
        </is>
      </c>
      <c r="D120" s="59" t="inlineStr">
        <is>
          <t>Dimension</t>
        </is>
      </c>
      <c r="E120" s="46" t="inlineStr">
        <is>
          <t>Construction Plan. Entry sheet for partitions and openings: vector geometry of every wall face at 1/4"=1'-0", the leader of every partition tag, the Construction Plan Legend (new vs. existing) and the Construction Plan Notes.</t>
        </is>
      </c>
      <c r="F120" s="46" t="inlineStr">
        <is>
          <t>HEADER, length.source, scope[0].chain[0], scope[1].chain[0], scope[1].chain[1]</t>
        </is>
      </c>
      <c r="G120" s="46" t="inlineStr">
        <is>
          <t>A02.01 printed dimension 5'-0" = 5.000 ft, with its TWO 45-degree ticks located at x=1133.9 and x=1223.9: those are exactly the two ends of this wall, so the dimension belongs to THIS run and not to a neighbouring one (two other dimension lines run alongside, the 7'-6" CLEAR FINISHED OPENING of the office front and th…</t>
        </is>
      </c>
    </row>
    <row r="121" ht="33" customHeight="1" s="36">
      <c r="A121" s="59" t="n"/>
      <c r="B121" s="58" t="n">
        <v>2</v>
      </c>
      <c r="C121" s="44" t="inlineStr">
        <is>
          <t>A04.01</t>
        </is>
      </c>
      <c r="D121" s="59" t="inlineStr">
        <is>
          <t>Dimension</t>
        </is>
      </c>
      <c r="E121" s="46" t="inlineStr">
        <is>
          <t>Reflected Ceiling Plan. Entry sheet for ceilings, soffits and canopy; on walls it gives the BOARD HEIGHT: each room ceiling tag with its printed A.F.F. dimension, plus the ceiling key notes.</t>
        </is>
      </c>
      <c r="F121" s="46" t="inlineStr">
        <is>
          <t>face[0].board_height, face[1].board_height</t>
        </is>
      </c>
      <c r="G121" s="46" t="inlineStr">
        <is>
          <t>A04.01: tag ACT-4 con dimension impresa 8'-6" junto al room tag CORRIDOR 111, mas los 6" de 3/A12.01 = 9.00 ft</t>
        </is>
      </c>
    </row>
    <row r="122" ht="25.5" customHeight="1" s="36">
      <c r="A122" s="59" t="n"/>
      <c r="B122" s="58" t="n">
        <v>3</v>
      </c>
      <c r="C122" s="44" t="inlineStr">
        <is>
          <t>S2.20</t>
        </is>
      </c>
      <c r="D122" s="59" t="inlineStr">
        <is>
          <t>Dimension</t>
        </is>
      </c>
      <c r="E122" s="46" t="inlineStr">
        <is>
          <t>"ROOF FRAMING PLAN". Source of the STUD HEIGHT: every B.O.D. callout on the sheet and the slope of the bay between grids B and A (1/4" per foot).</t>
        </is>
      </c>
      <c r="F122" s="46" t="inlineStr">
        <is>
          <t>stud_height</t>
        </is>
      </c>
      <c r="G122" s="46" t="inlineStr">
        <is>
          <t>S2.20: al norte del eje B el B.O.D.</t>
        </is>
      </c>
    </row>
    <row r="123" ht="33" customHeight="1" s="36">
      <c r="A123" s="59" t="n"/>
      <c r="B123" s="58" t="n">
        <v>4</v>
      </c>
      <c r="C123" s="44" t="inlineStr">
        <is>
          <t>1/A12.01</t>
        </is>
      </c>
      <c r="D123" s="59" t="inlineStr">
        <is>
          <t>Quantity</t>
        </is>
      </c>
      <c r="E123" s="46" t="inlineStr">
        <is>
          <t>"PARTITION TYPE B, B2". Stud, layers per face, wall thickness and sealant of types B and B2. On a B wall it is the source; on an A1 wall it enters as a CONTRAST (B does label sealant top AND bottom, A1 only at the bottom).</t>
        </is>
      </c>
      <c r="F123" s="46" t="inlineStr">
        <is>
          <t>SEALANT</t>
        </is>
      </c>
      <c r="G123" s="46" t="inlineStr">
        <is>
          <t>Contraste que prueba que no es omision mia: 1/A12.01 (B y B2) SI rotula sealant arriba Y abajo.</t>
        </is>
      </c>
    </row>
    <row r="124" ht="25.5" customHeight="1" s="36">
      <c r="A124" s="59" t="n"/>
      <c r="B124" s="58" t="n">
        <v>5</v>
      </c>
      <c r="C124" s="44" t="inlineStr">
        <is>
          <t>3/A12.01</t>
        </is>
      </c>
      <c r="D124" s="59" t="inlineStr">
        <is>
          <t>Dimension</t>
        </is>
      </c>
      <c r="E124" s="46" t="inlineStr">
        <is>
          <t>"PARTITION TYPE A1 &amp; A5". 3 5/8" stud, layers per face, WALL THICKNESS 4 7/8", slip track at the top, acoustic sealant at the slab and the 6" of board above the scheduled ceiling.</t>
        </is>
      </c>
      <c r="F124" s="46" t="inlineStr">
        <is>
          <t>BOARD, SEALANT, STUD, TRACK_BOTTOM, TRACK_TOP, excluded.INSULATION, face[0].board_height, face[1].board_height, length.source, scope[0].chain[1], stud_height</t>
        </is>
      </c>
      <c r="G124" s="46" t="inlineStr">
        <is>
          <t>A04.01: tag ACT-4 con dimension impresa 8'-6" junto al room tag CORRIDOR 111, mas los 6" de 3/A12.01 = 9.00 ft</t>
        </is>
      </c>
    </row>
    <row r="125" ht="33" customHeight="1" s="36">
      <c r="A125" s="59" t="n"/>
      <c r="B125" s="58" t="n">
        <v>6</v>
      </c>
      <c r="C125" s="44" t="inlineStr">
        <is>
          <t>4/A12.01</t>
        </is>
      </c>
      <c r="D125" s="59" t="inlineStr">
        <is>
          <t>Quantity</t>
        </is>
      </c>
      <c r="E125" s="46" t="inlineStr">
        <is>
          <t>"PARTITION TYPE A1K &amp; A5K". The K types. On an A1 wall it enters as a CONTRAST: detail 4 calls for 14 GA @ 24" O.C. MAX in its own note and detail 3 does not, so on the A1 the 7/S5.20 schedule governs.</t>
        </is>
      </c>
      <c r="F125" s="46" t="inlineStr">
        <is>
          <t>STUD</t>
        </is>
      </c>
      <c r="G125" s="46" t="inlineStr">
        <is>
          <t>El detalle 3/A12.01 no trae nota de construccion propia que lo contradiga (a diferencia de 4/A12.01, que para los walls K pide 14 GA @ 24" O.C.</t>
        </is>
      </c>
    </row>
    <row r="126" ht="43.5" customHeight="1" s="36">
      <c r="A126" s="59" t="n"/>
      <c r="B126" s="58" t="n">
        <v>7</v>
      </c>
      <c r="C126" s="44" t="inlineStr">
        <is>
          <t>A09.01</t>
        </is>
      </c>
      <c r="D126" s="59" t="inlineStr">
        <is>
          <t>Exclusion</t>
        </is>
      </c>
      <c r="E126" s="46" t="inlineStr">
        <is>
          <t>Exterior Elevations: "SOUTH ELEVATION" and "WEST ELEVATION" at 1/4"=1'-0". Extent of each exterior material and the material legend, verbatim "CJ CONTROL JOINT; PAINT TO MATCH STUCCO FINISH COLOR" - that joint is the STUCCO joint, not gypsum.</t>
        </is>
      </c>
      <c r="F126" s="46" t="inlineStr">
        <is>
          <t>excluded.CONTROL_JOINT</t>
        </is>
      </c>
      <c r="G126"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27" ht="33" customHeight="1" s="36">
      <c r="A127" s="59" t="n"/>
      <c r="B127" s="58" t="n">
        <v>8</v>
      </c>
      <c r="C127" s="44" t="inlineStr">
        <is>
          <t>10/A12.02</t>
        </is>
      </c>
      <c r="D127" s="59" t="inlineStr">
        <is>
          <t>Quantity</t>
        </is>
      </c>
      <c r="E127" s="46" t="inlineStr">
        <is>
          <t>"HEAD @ HOLLOW METAL FRAME" at 3"=1'-0". Head of the hollow metal frame: labels SCHEDULED PARTITION, METAL STUD, METAL CLIP, HOLLOW METAL FRAME and 1/2" of board lap per face inside the frame throat.</t>
        </is>
      </c>
      <c r="F127" s="46" t="inlineStr">
        <is>
          <t>HEADER, excluded.CLIPS, openings[0].head</t>
        </is>
      </c>
      <c r="G127" s="46" t="inlineStr">
        <is>
          <t>Door 111 del Door Schedule de A00.30, hoja 3'-0", hollow metal frame, HEAD 10/A12.02 y JAMB 11/A12.02, columna SILL vacia.</t>
        </is>
      </c>
    </row>
    <row r="128" ht="33" customHeight="1" s="36">
      <c r="A128" s="59" t="n"/>
      <c r="B128" s="58" t="n">
        <v>9</v>
      </c>
      <c r="C128" s="44" t="inlineStr">
        <is>
          <t>11/A12.02</t>
        </is>
      </c>
      <c r="D128" s="59" t="inlineStr">
        <is>
          <t>Quantity</t>
        </is>
      </c>
      <c r="E128" s="46" t="inlineStr">
        <is>
          <t>"JAMB @ HOLLOW METAL FRAME" at 3"=1'-0". Jamb of the same frame: it calls METAL ANCHOR the piece detail 10 calls METAL CLIP, so the piece is frame anchorage (Div 08), not a clip of ours.</t>
        </is>
      </c>
      <c r="F128" s="46" t="inlineStr">
        <is>
          <t>HEADER, excluded.CLIPS</t>
        </is>
      </c>
      <c r="G128" s="46" t="inlineStr">
        <is>
          <t>Door 111 del Door Schedule de A00.30, hoja 3'-0", hollow metal frame, HEAD 10/A12.02 y JAMB 11/A12.02, columna SILL vacia.</t>
        </is>
      </c>
    </row>
    <row r="129" ht="33" customHeight="1" s="36">
      <c r="A129" s="59" t="n"/>
      <c r="B129" s="58" t="n">
        <v>10</v>
      </c>
      <c r="C129" s="44" t="inlineStr">
        <is>
          <t>1/S5.20</t>
        </is>
      </c>
      <c r="D129" s="59" t="inlineStr">
        <is>
          <t>Quantity</t>
        </is>
      </c>
      <c r="E129" s="46" t="inlineStr">
        <is>
          <t>"TYPICAL WALL FRAMING DETAILS". Holds sub-details A through F; sub-detail F "BRIDGING AND BRACING - CONTINUOUS BRIDGING" is the bracing one: 1 1/2" C.R. CHANNEL welded to every stud. (Bracing is NOT in 5/S5.20, which is TYPICAL WALL FRAMING CONNX.)</t>
        </is>
      </c>
      <c r="F129" s="46" t="inlineStr">
        <is>
          <t>BRACING, excluded.CLIPS</t>
        </is>
      </c>
      <c r="G129" s="46" t="inlineStr">
        <is>
          <t>por el punchout del alma, soldado a cada stud (1/S5.20 sub-detalle F de S5.20).</t>
        </is>
      </c>
    </row>
    <row r="130" ht="33" customHeight="1" s="36">
      <c r="A130" s="59" t="n"/>
      <c r="B130" s="58" t="n">
        <v>11</v>
      </c>
      <c r="C130" s="44" t="inlineStr">
        <is>
          <t>2/S5.20</t>
        </is>
      </c>
      <c r="D130" s="59" t="inlineStr">
        <is>
          <t>Quantity</t>
        </is>
      </c>
      <c r="E130" s="46" t="inlineStr">
        <is>
          <t>"HEAD TRACK @ NON LOAD BRG". The head track and the verbatim condition "ADD FULL LENGTH ADDL HEAD TRACK @ OPNG &gt;4'-0"": an opening of 4'-0" or less takes a SINGLE track.</t>
        </is>
      </c>
      <c r="F130" s="46" t="inlineStr">
        <is>
          <t>HEADER</t>
        </is>
      </c>
      <c r="G130" s="46" t="inlineStr">
        <is>
          <t>9/S5.20 OPNG IN NON-LOAD-BRG WALLS rotula 'HEAD TRACK (DOUBLE TRACK @ OPNG &gt; 4'-0")' y 2/S5.20 HEAD TRACK @ NON LOAD BRG repite la condicional 'ADD FULL LENGTH ADDL HEAD TRACK @ OPNG &gt;4'-0"'.</t>
        </is>
      </c>
    </row>
    <row r="131" ht="33" customHeight="1" s="36">
      <c r="A131" s="59" t="n"/>
      <c r="B131" s="58" t="n">
        <v>12</v>
      </c>
      <c r="C131" s="44" t="inlineStr">
        <is>
          <t>4/S5.20</t>
        </is>
      </c>
      <c r="D131" s="59" t="inlineStr">
        <is>
          <t>Quantity</t>
        </is>
      </c>
      <c r="E131" s="46" t="inlineStr">
        <is>
          <t>"TYPICAL BLOCKING DETAIL". STUD BLOCKING 362CR22 and CLIP ANGLE 362CR22, with the boxed verbatim note "PROVIDE BLOCKING AT THE EDGE OF GYPBOARD." - source of the blocking at EVERY free edge of board.</t>
        </is>
      </c>
      <c r="F131" s="46" t="inlineStr">
        <is>
          <t>BLOCKING</t>
        </is>
      </c>
      <c r="G131" s="46" t="inlineStr">
        <is>
          <t>BOARD FREE EDGE: 4/S5.20 TYPICAL BLOCKING DETAIL carries a boxed note, TEXTUAL: 'PROVIDE BLOCKING AT THE EDGE OF GYPBOARD.', with STUD BLOCKING 362CR22 (TYP.) and CLIP ANGLE 362CR22 (TYP.) &amp; BLOCKING W/ SCREWS (TYP.).</t>
        </is>
      </c>
    </row>
    <row r="132" ht="33" customHeight="1" s="36">
      <c r="A132" s="59" t="n"/>
      <c r="B132" s="58" t="n">
        <v>13</v>
      </c>
      <c r="C132" s="44" t="inlineStr">
        <is>
          <t>7/S5.20</t>
        </is>
      </c>
      <c r="D132" s="59" t="inlineStr">
        <is>
          <t>Quantity</t>
        </is>
      </c>
      <c r="E132" s="46" t="inlineStr">
        <is>
          <t>"METAL STUDS SCHEDULES". The profile: web, flange, lip, mils, gauge and the APPLICATION column with the spacing ("INTERIOR WALLS @ 16" O.C."), plus the SILL TRACK ANCHORAGE and the FASTENER SCHEDULE.</t>
        </is>
      </c>
      <c r="F132" s="46" t="inlineStr">
        <is>
          <t>STUD, TRACK_BOTTOM</t>
        </is>
      </c>
      <c r="G132" s="46" t="inlineStr">
        <is>
          <t>7/S5.20 METAL STUDS SCHEDULES, renglon 362S137-33: alma 3 5/8", ala 1 3/8", lip 3/8", 33 mil = 20 ga, APPLICATION 'INTERIOR WALLS @ 16" O.C.'.</t>
        </is>
      </c>
    </row>
    <row r="133" ht="33" customHeight="1" s="36">
      <c r="A133" s="59" t="n"/>
      <c r="B133" s="58" t="n">
        <v>14</v>
      </c>
      <c r="C133" s="44" t="inlineStr">
        <is>
          <t>9/S5.20</t>
        </is>
      </c>
      <c r="D133" s="59" t="inlineStr">
        <is>
          <t>Quantity</t>
        </is>
      </c>
      <c r="E133" s="46" t="inlineStr">
        <is>
          <t>"OPNG IN NON-LOAD-BRG WALLS". The opening frame: DBL JAMB STUD (2 per jamb) and HEAD TRACK with the condition "DOUBLE TRACK @ OPNG &gt; 4'-0"".</t>
        </is>
      </c>
      <c r="F133" s="46" t="inlineStr">
        <is>
          <t>HEADER</t>
        </is>
      </c>
      <c r="G133" s="46" t="inlineStr">
        <is>
          <t>9/S5.20 OPNG IN NON-LOAD-BRG WALLS rotula 'HEAD TRACK (DOUBLE TRACK @ OPNG &gt; 4'-0")' y 2/S5.20 HEAD TRACK @ NON LOAD BRG repite la condicional 'ADD FULL LENGTH ADDL HEAD TRACK @ OPNG &gt;4'-0"'.</t>
        </is>
      </c>
    </row>
    <row r="134" ht="25.5" customHeight="1" s="36">
      <c r="A134" s="59" t="n"/>
      <c r="B134" s="58" t="n">
        <v>15</v>
      </c>
      <c r="C134" s="44" t="inlineStr">
        <is>
          <t>A00.01</t>
        </is>
      </c>
      <c r="D134" s="59" t="inlineStr">
        <is>
          <t>Scope</t>
        </is>
      </c>
      <c r="E134" s="46" t="inlineStr">
        <is>
          <t>Cover sheet and Drawing Index. Proof by ABSENCE: the index lists no interior Demolition Plan, which is why there is no patch-and-repair line item.</t>
        </is>
      </c>
      <c r="F134" s="46" t="inlineStr">
        <is>
          <t>excluded.PATCH, scope[1].chain[0]</t>
        </is>
      </c>
      <c r="G134" s="46" t="inlineStr">
        <is>
          <t>A02.01 Construction Plan Legend: la grafia de dos lineas limpias es NEW PARTITION (SEE SCHEDULE); no hay Demolition Plan interior en el Drawing Index de A00.01</t>
        </is>
      </c>
    </row>
    <row r="135" ht="25.5" customHeight="1" s="36">
      <c r="A135" s="59" t="n"/>
      <c r="B135" s="58" t="n">
        <v>16</v>
      </c>
      <c r="C135" s="44" t="inlineStr">
        <is>
          <t>A00.30</t>
        </is>
      </c>
      <c r="D135" s="59" t="inlineStr">
        <is>
          <t>Dimension</t>
        </is>
      </c>
      <c r="E135" s="46" t="inlineStr">
        <is>
          <t>Door Schedule. Leaf width and height of every door and the frame type: source of the header, the board deduction and the reference to 10 and 11/A12.02.</t>
        </is>
      </c>
      <c r="F135" s="46" t="inlineStr">
        <is>
          <t>BLOCKING, HEADER, length.source</t>
        </is>
      </c>
      <c r="G135" s="46" t="inlineStr">
        <is>
          <t>of door 111 (3'-0" leaf from the A00.30 Door Schedule plus 2" of frame per jamb): bridged by the end-cap rule.</t>
        </is>
      </c>
    </row>
    <row r="136" ht="33" customHeight="1" s="36">
      <c r="A136" s="59" t="n"/>
      <c r="B136" s="58" t="n">
        <v>17</v>
      </c>
      <c r="C136" s="44" t="inlineStr">
        <is>
          <t>A09.27</t>
        </is>
      </c>
      <c r="D136" s="59" t="inlineStr">
        <is>
          <t>Exclusion</t>
        </is>
      </c>
      <c r="E136" s="46" t="inlineStr">
        <is>
          <t>Gypsum Section Details, the sheet. Cited as a sheet when the finding is that NO detail on it labels a gypsum control joint.</t>
        </is>
      </c>
      <c r="F136" s="46" t="inlineStr">
        <is>
          <t>excluded.CONTROL_JOINT</t>
        </is>
      </c>
      <c r="G136" s="46" t="inlineStr">
        <is>
          <t>El set no rotula ni detalla ninguna junta de control de gypsum board, ni en A12.01 ni en los detalles de A09.27/A09.33, y no hay seccion de especificaciones 09 29 00 en el bid set.</t>
        </is>
      </c>
    </row>
    <row r="137" ht="33" customHeight="1" s="36">
      <c r="A137" s="59" t="n"/>
      <c r="B137" s="58" t="n">
        <v>18</v>
      </c>
      <c r="C137" s="44" t="inlineStr">
        <is>
          <t>A09.33</t>
        </is>
      </c>
      <c r="D137" s="59" t="inlineStr">
        <is>
          <t>Exclusion</t>
        </is>
      </c>
      <c r="E137" s="46" t="inlineStr">
        <is>
          <t>Ceiling Details, the sheet. Cited as a sheet for a finding by ABSENCE: its details label corner bead, casing bead and shadow molding one by one and NONE labels a control joint, so the omission is not a labeling oversight.</t>
        </is>
      </c>
      <c r="F137" s="46" t="inlineStr">
        <is>
          <t>excluded.CONTROL_JOINT</t>
        </is>
      </c>
      <c r="G137" s="46" t="inlineStr">
        <is>
          <t>El set no rotula ni detalla ninguna junta de control de gypsum board, ni en A12.01 ni en los detalles de A09.27/A09.33, y no hay seccion de especificaciones 09 29 00 en el bid set.</t>
        </is>
      </c>
    </row>
    <row r="138" ht="33" customHeight="1" s="36">
      <c r="A138" s="59" t="n"/>
      <c r="B138" s="58" t="n">
        <v>19</v>
      </c>
      <c r="C138" s="44" t="inlineStr">
        <is>
          <t>E02.01</t>
        </is>
      </c>
      <c r="D138" s="59" t="inlineStr">
        <is>
          <t>Exclusion</t>
        </is>
      </c>
      <c r="E138" s="46" t="inlineStr">
        <is>
          <t>"FLOOR PLAN - LIGHTING" at 1/4"=1'-0". Light fixtures and their framing: crossed against every wall and ceiling to locate penetrations and openings.</t>
        </is>
      </c>
      <c r="F138" s="46" t="inlineStr">
        <is>
          <t>excluded.PATCH</t>
        </is>
      </c>
      <c r="G138" s="46" t="inlineStr">
        <is>
          <t>Ademas el cruce MEP corrido contra M01.01, P01.01, P01.02 y E02.01 no encuentra ninguna penetracion por debajo de la height de board: en obra nueva el MEP se instala ANTES del board.</t>
        </is>
      </c>
    </row>
    <row r="139" ht="33" customHeight="1" s="36">
      <c r="A139" s="59" t="n"/>
      <c r="B139" s="58" t="n">
        <v>20</v>
      </c>
      <c r="C139" s="44" t="inlineStr">
        <is>
          <t>M01.01</t>
        </is>
      </c>
      <c r="D139" s="59" t="inlineStr">
        <is>
          <t>Exclusion</t>
        </is>
      </c>
      <c r="E139" s="46" t="inlineStr">
        <is>
          <t>Mechanical Floor Plan at 1/4"=1'-0". Swept across the WHOLE band of each wall, opening included, to locate and measure every duct penetration.</t>
        </is>
      </c>
      <c r="F139" s="46" t="inlineStr">
        <is>
          <t>excluded.PATCH</t>
        </is>
      </c>
      <c r="G139" s="46" t="inlineStr">
        <is>
          <t>Ademas el cruce MEP corrido contra M01.01, P01.01, P01.02 y E02.01 no encuentra ninguna penetracion por debajo de la height de board: en obra nueva el MEP se instala ANTES del board.</t>
        </is>
      </c>
    </row>
    <row r="140" ht="33" customHeight="1" s="36">
      <c r="A140" s="59" t="n"/>
      <c r="B140" s="58" t="n">
        <v>21</v>
      </c>
      <c r="C140" s="44" t="inlineStr">
        <is>
          <t>P01.01</t>
        </is>
      </c>
      <c r="D140" s="59" t="inlineStr">
        <is>
          <t>Exclusion</t>
        </is>
      </c>
      <c r="E140" s="46" t="inlineStr">
        <is>
          <t>"PLUMBING PLAN SANITARY" at 1/4"=1'-0". Crossed against every wall: on new construction the MEP goes in before the board, hence no patch.</t>
        </is>
      </c>
      <c r="F140" s="46" t="inlineStr">
        <is>
          <t>excluded.PATCH</t>
        </is>
      </c>
      <c r="G140" s="46" t="inlineStr">
        <is>
          <t>Ademas el cruce MEP corrido contra M01.01, P01.01, P01.02 y E02.01 no encuentra ninguna penetracion por debajo de la height de board: en obra nueva el MEP se instala ANTES del board.</t>
        </is>
      </c>
    </row>
    <row r="141" ht="33" customHeight="1" s="36">
      <c r="A141" s="59" t="n"/>
      <c r="B141" s="58" t="n">
        <v>22</v>
      </c>
      <c r="C141" s="44" t="inlineStr">
        <is>
          <t>P01.02</t>
        </is>
      </c>
      <c r="D141" s="59" t="inlineStr">
        <is>
          <t>Exclusion</t>
        </is>
      </c>
      <c r="E141" s="46" t="inlineStr">
        <is>
          <t>"PLUMBING PLAN SUPPLY" at 1/4"=1'-0". The same cross-check for the supply piping.</t>
        </is>
      </c>
      <c r="F141" s="46" t="inlineStr">
        <is>
          <t>excluded.PATCH</t>
        </is>
      </c>
      <c r="G141" s="46" t="inlineStr">
        <is>
          <t>Ademas el cruce MEP corrido contra M01.01, P01.01, P01.02 y E02.01 no encuentra ninguna penetracion por debajo de la height de board: en obra nueva el MEP se instala ANTES del board.</t>
        </is>
      </c>
    </row>
    <row r="142" ht="33" customHeight="1" s="36">
      <c r="A142" s="44" t="inlineStr">
        <is>
          <t>A1 #2</t>
        </is>
      </c>
      <c r="B142" s="58" t="n">
        <v>1</v>
      </c>
      <c r="C142" s="44" t="inlineStr">
        <is>
          <t>A02.01</t>
        </is>
      </c>
      <c r="D142" s="59" t="inlineStr">
        <is>
          <t>Dimension</t>
        </is>
      </c>
      <c r="E142" s="46" t="inlineStr">
        <is>
          <t>Construction Plan. Entry sheet for partitions and openings: vector geometry of every wall face at 1/4"=1'-0", the leader of every partition tag, the Construction Plan Legend (new vs. existing) and the Construction Plan Notes.</t>
        </is>
      </c>
      <c r="F142" s="46" t="inlineStr">
        <is>
          <t>BLOCKING, excluded.HEADER, length.source, scope[0].chain[0], scope[1].chain[0], scope[1].chain[1]</t>
        </is>
      </c>
      <c r="G142" s="46" t="inlineStr">
        <is>
          <t>A02.01: dimension impresa 3'-1 1/2" con ticks en los dos extremos de la banda (y=974.76 y y=1031.04), medida FACE OF FINISH TO FACE OF FINISH segun la nota D de la hoja.</t>
        </is>
      </c>
    </row>
    <row r="143" ht="33" customHeight="1" s="36">
      <c r="A143" s="59" t="n"/>
      <c r="B143" s="58" t="n">
        <v>2</v>
      </c>
      <c r="C143" s="44" t="inlineStr">
        <is>
          <t>A04.01</t>
        </is>
      </c>
      <c r="D143" s="59" t="inlineStr">
        <is>
          <t>Dimension</t>
        </is>
      </c>
      <c r="E143" s="46" t="inlineStr">
        <is>
          <t>Reflected Ceiling Plan. Entry sheet for ceilings, soffits and canopy; on walls it gives the BOARD HEIGHT: each room ceiling tag with its printed A.F.F. dimension, plus the ceiling key notes.</t>
        </is>
      </c>
      <c r="F143" s="46" t="inlineStr">
        <is>
          <t>face[0].board_height, face[1].board_height</t>
        </is>
      </c>
      <c r="G143" s="46" t="inlineStr">
        <is>
          <t>A04.01: tag ACT-5 con dimension impresa 8'-6", mas los 6" de 3/A12.01 = 9.00 ft</t>
        </is>
      </c>
    </row>
    <row r="144" ht="25.5" customHeight="1" s="36">
      <c r="A144" s="59" t="n"/>
      <c r="B144" s="58" t="n">
        <v>3</v>
      </c>
      <c r="C144" s="44" t="inlineStr">
        <is>
          <t>S2.20</t>
        </is>
      </c>
      <c r="D144" s="59" t="inlineStr">
        <is>
          <t>Dimension</t>
        </is>
      </c>
      <c r="E144" s="46" t="inlineStr">
        <is>
          <t>"ROOF FRAMING PLAN". Source of the STUD HEIGHT: every B.O.D. callout on the sheet and the slope of the bay between grids B and A (1/4" per foot).</t>
        </is>
      </c>
      <c r="F144" s="46" t="inlineStr">
        <is>
          <t>stud_height</t>
        </is>
      </c>
      <c r="G144" s="46" t="inlineStr">
        <is>
          <t>S2.20: al norte del eje B el B.O.D.</t>
        </is>
      </c>
    </row>
    <row r="145" ht="33" customHeight="1" s="36">
      <c r="A145" s="59" t="n"/>
      <c r="B145" s="58" t="n">
        <v>4</v>
      </c>
      <c r="C145" s="44" t="inlineStr">
        <is>
          <t>1/A12.01</t>
        </is>
      </c>
      <c r="D145" s="59" t="inlineStr">
        <is>
          <t>Quantity</t>
        </is>
      </c>
      <c r="E145" s="46" t="inlineStr">
        <is>
          <t>"PARTITION TYPE B, B2". Stud, layers per face, wall thickness and sealant of types B and B2. On a B wall it is the source; on an A1 wall it enters as a CONTRAST (B does label sealant top AND bottom, A1 only at the bottom).</t>
        </is>
      </c>
      <c r="F145" s="46" t="inlineStr">
        <is>
          <t>SEALANT</t>
        </is>
      </c>
      <c r="G145" s="46" t="inlineStr">
        <is>
          <t>Contraste que prueba que no es omision mia: 1/A12.01 (B y B2) SI rotula sealant arriba Y abajo.</t>
        </is>
      </c>
    </row>
    <row r="146" ht="25.5" customHeight="1" s="36">
      <c r="A146" s="59" t="n"/>
      <c r="B146" s="58" t="n">
        <v>5</v>
      </c>
      <c r="C146" s="44" t="inlineStr">
        <is>
          <t>3/A12.01</t>
        </is>
      </c>
      <c r="D146" s="59" t="inlineStr">
        <is>
          <t>Dimension</t>
        </is>
      </c>
      <c r="E146" s="46" t="inlineStr">
        <is>
          <t>"PARTITION TYPE A1 &amp; A5". 3 5/8" stud, layers per face, WALL THICKNESS 4 7/8", slip track at the top, acoustic sealant at the slab and the 6" of board above the scheduled ceiling.</t>
        </is>
      </c>
      <c r="F146" s="46" t="inlineStr">
        <is>
          <t>BOARD, SEALANT, STUD, TRACK_BOTTOM, TRACK_TOP, excluded.INSULATION, face[0].board_height, face[1].board_height, scope[0].chain[1], stud_height</t>
        </is>
      </c>
      <c r="G146" s="46" t="inlineStr">
        <is>
          <t>A04.01: tag ACT-5 con dimension impresa 8'-6", mas los 6" de 3/A12.01 = 9.00 ft</t>
        </is>
      </c>
    </row>
    <row r="147" ht="33" customHeight="1" s="36">
      <c r="A147" s="59" t="n"/>
      <c r="B147" s="58" t="n">
        <v>6</v>
      </c>
      <c r="C147" s="44" t="inlineStr">
        <is>
          <t>4/A12.01</t>
        </is>
      </c>
      <c r="D147" s="59" t="inlineStr">
        <is>
          <t>Quantity</t>
        </is>
      </c>
      <c r="E147" s="46" t="inlineStr">
        <is>
          <t>"PARTITION TYPE A1K &amp; A5K". The K types. On an A1 wall it enters as a CONTRAST: detail 4 calls for 14 GA @ 24" O.C. MAX in its own note and detail 3 does not, so on the A1 the 7/S5.20 schedule governs.</t>
        </is>
      </c>
      <c r="F147" s="46" t="inlineStr">
        <is>
          <t>STUD</t>
        </is>
      </c>
      <c r="G147" s="46" t="inlineStr">
        <is>
          <t>El detalle 3/A12.01 no trae nota de construccion propia que lo contradiga (a diferencia de 4/A12.01, que para los walls K pide 14 GA @ 24" O.C.</t>
        </is>
      </c>
    </row>
    <row r="148" ht="43.5" customHeight="1" s="36">
      <c r="A148" s="59" t="n"/>
      <c r="B148" s="58" t="n">
        <v>7</v>
      </c>
      <c r="C148" s="44" t="inlineStr">
        <is>
          <t>A09.01</t>
        </is>
      </c>
      <c r="D148" s="59" t="inlineStr">
        <is>
          <t>Exclusion</t>
        </is>
      </c>
      <c r="E148" s="46" t="inlineStr">
        <is>
          <t>Exterior Elevations: "SOUTH ELEVATION" and "WEST ELEVATION" at 1/4"=1'-0". Extent of each exterior material and the material legend, verbatim "CJ CONTROL JOINT; PAINT TO MATCH STUCCO FINISH COLOR" - that joint is the STUCCO joint, not gypsum.</t>
        </is>
      </c>
      <c r="F148" s="46" t="inlineStr">
        <is>
          <t>excluded.CONTROL_JOINT</t>
        </is>
      </c>
      <c r="G14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49" ht="43.5" customHeight="1" s="36">
      <c r="A149" s="59" t="n"/>
      <c r="B149" s="58" t="n">
        <v>8</v>
      </c>
      <c r="C149" s="44" t="inlineStr">
        <is>
          <t>10/A12.02</t>
        </is>
      </c>
      <c r="D149" s="59" t="inlineStr">
        <is>
          <t>Exclusion</t>
        </is>
      </c>
      <c r="E149" s="46" t="inlineStr">
        <is>
          <t>"HEAD @ HOLLOW METAL FRAME" at 3"=1'-0". Head of the hollow metal frame: labels SCHEDULED PARTITION, METAL STUD, METAL CLIP, HOLLOW METAL FRAME and 1/2" of board lap per face inside the frame throat.</t>
        </is>
      </c>
      <c r="F149" s="46" t="inlineStr">
        <is>
          <t>excluded.CLIPS</t>
        </is>
      </c>
      <c r="G149"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50" ht="43.5" customHeight="1" s="36">
      <c r="A150" s="59" t="n"/>
      <c r="B150" s="58" t="n">
        <v>9</v>
      </c>
      <c r="C150" s="44" t="inlineStr">
        <is>
          <t>11/A12.02</t>
        </is>
      </c>
      <c r="D150" s="59" t="inlineStr">
        <is>
          <t>Exclusion</t>
        </is>
      </c>
      <c r="E150" s="46" t="inlineStr">
        <is>
          <t>"JAMB @ HOLLOW METAL FRAME" at 3"=1'-0". Jamb of the same frame: it calls METAL ANCHOR the piece detail 10 calls METAL CLIP, so the piece is frame anchorage (Div 08), not a clip of ours.</t>
        </is>
      </c>
      <c r="F150" s="46" t="inlineStr">
        <is>
          <t>excluded.CLIPS</t>
        </is>
      </c>
      <c r="G150"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51" ht="33" customHeight="1" s="36">
      <c r="A151" s="59" t="n"/>
      <c r="B151" s="58" t="n">
        <v>10</v>
      </c>
      <c r="C151" s="44" t="inlineStr">
        <is>
          <t>1/S5.20</t>
        </is>
      </c>
      <c r="D151" s="59" t="inlineStr">
        <is>
          <t>Quantity</t>
        </is>
      </c>
      <c r="E151" s="46" t="inlineStr">
        <is>
          <t>"TYPICAL WALL FRAMING DETAILS". Holds sub-details A through F; sub-detail F "BRIDGING AND BRACING - CONTINUOUS BRIDGING" is the bracing one: 1 1/2" C.R. CHANNEL welded to every stud. (Bracing is NOT in 5/S5.20, which is TYPICAL WALL FRAMING CONNX.)</t>
        </is>
      </c>
      <c r="F151" s="46" t="inlineStr">
        <is>
          <t>BRACING, excluded.CLIPS</t>
        </is>
      </c>
      <c r="G151" s="46" t="inlineStr">
        <is>
          <t>por el punchout del alma, soldado a cada stud (1/S5.20 sub-detalle F de S5.20).</t>
        </is>
      </c>
    </row>
    <row r="152" ht="33" customHeight="1" s="36">
      <c r="A152" s="59" t="n"/>
      <c r="B152" s="58" t="n">
        <v>11</v>
      </c>
      <c r="C152" s="44" t="inlineStr">
        <is>
          <t>4/S5.20</t>
        </is>
      </c>
      <c r="D152" s="59" t="inlineStr">
        <is>
          <t>Quantity</t>
        </is>
      </c>
      <c r="E152" s="46" t="inlineStr">
        <is>
          <t>"TYPICAL BLOCKING DETAIL". STUD BLOCKING 362CR22 and CLIP ANGLE 362CR22, with the boxed verbatim note "PROVIDE BLOCKING AT THE EDGE OF GYPBOARD." - source of the blocking at EVERY free edge of board.</t>
        </is>
      </c>
      <c r="F152" s="46" t="inlineStr">
        <is>
          <t>BLOCKING</t>
        </is>
      </c>
      <c r="G152" s="46" t="inlineStr">
        <is>
          <t>BOARD FREE EDGE: 4/S5.20 TYPICAL BLOCKING DETAIL carries a boxed note, TEXTUAL: 'PROVIDE BLOCKING AT THE EDGE OF GYPBOARD.', with STUD BLOCKING 362CR22 (TYP.) and CLIP ANGLE 362CR22 (TYP.) &amp; BLOCKING W/ SCREWS (TYP.).</t>
        </is>
      </c>
    </row>
    <row r="153" ht="33" customHeight="1" s="36">
      <c r="A153" s="59" t="n"/>
      <c r="B153" s="58" t="n">
        <v>12</v>
      </c>
      <c r="C153" s="44" t="inlineStr">
        <is>
          <t>7/S5.20</t>
        </is>
      </c>
      <c r="D153" s="59" t="inlineStr">
        <is>
          <t>Quantity</t>
        </is>
      </c>
      <c r="E153" s="46" t="inlineStr">
        <is>
          <t>"METAL STUDS SCHEDULES". The profile: web, flange, lip, mils, gauge and the APPLICATION column with the spacing ("INTERIOR WALLS @ 16" O.C."), plus the SILL TRACK ANCHORAGE and the FASTENER SCHEDULE.</t>
        </is>
      </c>
      <c r="F153" s="46" t="inlineStr">
        <is>
          <t>STUD, TRACK_BOTTOM</t>
        </is>
      </c>
      <c r="G153" s="46" t="inlineStr">
        <is>
          <t>7/S5.20 METAL STUDS SCHEDULES, renglon 362S137-33: alma 3 5/8", ala 1 3/8", lip 3/8", 33 mil = 20 ga, APPLICATION 'INTERIOR WALLS @ 16" O.C.'.</t>
        </is>
      </c>
    </row>
    <row r="154" ht="25.5" customHeight="1" s="36">
      <c r="A154" s="59" t="n"/>
      <c r="B154" s="58" t="n">
        <v>13</v>
      </c>
      <c r="C154" s="44" t="inlineStr">
        <is>
          <t>A00.01</t>
        </is>
      </c>
      <c r="D154" s="59" t="inlineStr">
        <is>
          <t>Scope</t>
        </is>
      </c>
      <c r="E154" s="46" t="inlineStr">
        <is>
          <t>Cover sheet and Drawing Index. Proof by ABSENCE: the index lists no interior Demolition Plan, which is why there is no patch-and-repair line item.</t>
        </is>
      </c>
      <c r="F154" s="46" t="inlineStr">
        <is>
          <t>excluded.PATCH, scope[1].chain[0]</t>
        </is>
      </c>
      <c r="G154" s="46" t="inlineStr">
        <is>
          <t>A02.01 Construction Plan Legend: la grafia de dos lineas limpias es NEW PARTITION (SEE SCHEDULE); no hay Demolition Plan interior en el Drawing Index de A00.01</t>
        </is>
      </c>
    </row>
    <row r="155" ht="25.5" customHeight="1" s="36">
      <c r="A155" s="59" t="n"/>
      <c r="B155" s="58" t="n">
        <v>14</v>
      </c>
      <c r="C155" s="44" t="inlineStr">
        <is>
          <t>A00.30</t>
        </is>
      </c>
      <c r="D155" s="59" t="inlineStr">
        <is>
          <t>Quantity</t>
        </is>
      </c>
      <c r="E155" s="46" t="inlineStr">
        <is>
          <t>Door Schedule. Leaf width and height of every door and the frame type: source of the header, the board deduction and the reference to 10 and 11/A12.02.</t>
        </is>
      </c>
      <c r="F155" s="46" t="inlineStr">
        <is>
          <t>BLOCKING, excluded.HEADER</t>
        </is>
      </c>
      <c r="G155" s="46" t="inlineStr">
        <is>
          <t>PLUS what hangs on the wall: Millwork Schedule de A00.30: MW01 PRINTER CABINET, detalle A12.03.</t>
        </is>
      </c>
    </row>
    <row r="156" ht="33" customHeight="1" s="36">
      <c r="A156" s="59" t="n"/>
      <c r="B156" s="58" t="n">
        <v>15</v>
      </c>
      <c r="C156" s="44" t="inlineStr">
        <is>
          <t>A09.27</t>
        </is>
      </c>
      <c r="D156" s="59" t="inlineStr">
        <is>
          <t>Exclusion</t>
        </is>
      </c>
      <c r="E156" s="46" t="inlineStr">
        <is>
          <t>Gypsum Section Details, the sheet. Cited as a sheet when the finding is that NO detail on it labels a gypsum control joint.</t>
        </is>
      </c>
      <c r="F156" s="46" t="inlineStr">
        <is>
          <t>excluded.CONTROL_JOINT</t>
        </is>
      </c>
      <c r="G156" s="46" t="inlineStr">
        <is>
          <t>El set no rotula ni detalla ninguna junta de control de gypsum board, ni en A12.01 ni en los detalles de A09.27/A09.33, y no hay seccion de especificaciones 09 29 00 en el bid set.</t>
        </is>
      </c>
    </row>
    <row r="157" ht="33" customHeight="1" s="36">
      <c r="A157" s="59" t="n"/>
      <c r="B157" s="58" t="n">
        <v>16</v>
      </c>
      <c r="C157" s="44" t="inlineStr">
        <is>
          <t>A09.33</t>
        </is>
      </c>
      <c r="D157" s="59" t="inlineStr">
        <is>
          <t>Exclusion</t>
        </is>
      </c>
      <c r="E157" s="46" t="inlineStr">
        <is>
          <t>Ceiling Details, the sheet. Cited as a sheet for a finding by ABSENCE: its details label corner bead, casing bead and shadow molding one by one and NONE labels a control joint, so the omission is not a labeling oversight.</t>
        </is>
      </c>
      <c r="F157" s="46" t="inlineStr">
        <is>
          <t>excluded.CONTROL_JOINT</t>
        </is>
      </c>
      <c r="G157" s="46" t="inlineStr">
        <is>
          <t>El set no rotula ni detalla ninguna junta de control de gypsum board, ni en A12.01 ni en los detalles de A09.27/A09.33, y no hay seccion de especificaciones 09 29 00 en el bid set.</t>
        </is>
      </c>
    </row>
    <row r="158" ht="25.5" customHeight="1" s="36">
      <c r="A158" s="59" t="n"/>
      <c r="B158" s="58" t="n">
        <v>17</v>
      </c>
      <c r="C158" s="44" t="inlineStr">
        <is>
          <t>A12.03</t>
        </is>
      </c>
      <c r="D158" s="59" t="inlineStr">
        <is>
          <t>Quantity</t>
        </is>
      </c>
      <c r="E158" s="46" t="inlineStr">
        <is>
          <t>Millwork details MW01 (printer cabinet). Our scope here is the blocking.</t>
        </is>
      </c>
      <c r="F158" s="46" t="inlineStr">
        <is>
          <t>BLOCKING</t>
        </is>
      </c>
      <c r="G158" s="46" t="inlineStr">
        <is>
          <t>PLUS what hangs on the wall: Millwork Schedule de A00.30: MW01 PRINTER CABINET, detalle A12.03.</t>
        </is>
      </c>
    </row>
    <row r="159" ht="25.5" customHeight="1" s="36">
      <c r="A159" s="59" t="n"/>
      <c r="B159" s="58" t="n">
        <v>18</v>
      </c>
      <c r="C159" s="44" t="inlineStr">
        <is>
          <t>A12.04</t>
        </is>
      </c>
      <c r="D159" s="59" t="inlineStr">
        <is>
          <t>Quantity</t>
        </is>
      </c>
      <c r="E159" s="46" t="inlineStr">
        <is>
          <t>Millwork details MW05, MW06, MW08. Our scope here is the blocking.</t>
        </is>
      </c>
      <c r="F159" s="46" t="inlineStr">
        <is>
          <t>BLOCKING</t>
        </is>
      </c>
      <c r="G159" s="46" t="inlineStr">
        <is>
          <t>Sheet note D de A12.04 y A12.05, textual: 'PROVIDE FRTW BLOCKING AT ALL MILLWORK VERTICAL SURFACE CLEATS AND MOUNTING LOCATIONS'.</t>
        </is>
      </c>
    </row>
    <row r="160" ht="25.5" customHeight="1" s="36">
      <c r="A160" s="59" t="n"/>
      <c r="B160" s="58" t="n">
        <v>19</v>
      </c>
      <c r="C160" s="44" t="inlineStr">
        <is>
          <t>A12.05</t>
        </is>
      </c>
      <c r="D160" s="59" t="inlineStr">
        <is>
          <t>Quantity</t>
        </is>
      </c>
      <c r="E160" s="46" t="inlineStr">
        <is>
          <t>Millwork details MW07, MW11, MW12. Our scope here is the blocking.</t>
        </is>
      </c>
      <c r="F160" s="46" t="inlineStr">
        <is>
          <t>BLOCKING</t>
        </is>
      </c>
      <c r="G160" s="46" t="inlineStr">
        <is>
          <t>Sheet note D de A12.04 y A12.05, textual: 'PROVIDE FRTW BLOCKING AT ALL MILLWORK VERTICAL SURFACE CLEATS AND MOUNTING LOCATIONS'.</t>
        </is>
      </c>
    </row>
    <row r="161" ht="33" customHeight="1" s="36">
      <c r="A161" s="59" t="n"/>
      <c r="B161" s="58" t="n">
        <v>20</v>
      </c>
      <c r="C161" s="44" t="inlineStr">
        <is>
          <t>E02.01</t>
        </is>
      </c>
      <c r="D161" s="59" t="inlineStr">
        <is>
          <t>Exclusion</t>
        </is>
      </c>
      <c r="E161" s="46" t="inlineStr">
        <is>
          <t>"FLOOR PLAN - LIGHTING" at 1/4"=1'-0". Light fixtures and their framing: crossed against every wall and ceiling to locate penetrations and openings.</t>
        </is>
      </c>
      <c r="F161" s="46" t="inlineStr">
        <is>
          <t>excluded.PATCH</t>
        </is>
      </c>
      <c r="G161" s="46" t="inlineStr">
        <is>
          <t>Ademas el cruce MEP corrido contra M01.01, P01.01, P01.02 y E02.01 no encuentra ninguna penetracion por debajo de la height de board: en obra nueva el MEP se instala ANTES del board.</t>
        </is>
      </c>
    </row>
    <row r="162" ht="33" customHeight="1" s="36">
      <c r="A162" s="59" t="n"/>
      <c r="B162" s="58" t="n">
        <v>21</v>
      </c>
      <c r="C162" s="44" t="inlineStr">
        <is>
          <t>M01.01</t>
        </is>
      </c>
      <c r="D162" s="59" t="inlineStr">
        <is>
          <t>Exclusion</t>
        </is>
      </c>
      <c r="E162" s="46" t="inlineStr">
        <is>
          <t>Mechanical Floor Plan at 1/4"=1'-0". Swept across the WHOLE band of each wall, opening included, to locate and measure every duct penetration.</t>
        </is>
      </c>
      <c r="F162" s="46" t="inlineStr">
        <is>
          <t>excluded.PATCH</t>
        </is>
      </c>
      <c r="G162" s="46" t="inlineStr">
        <is>
          <t>Ademas el cruce MEP corrido contra M01.01, P01.01, P01.02 y E02.01 no encuentra ninguna penetracion por debajo de la height de board: en obra nueva el MEP se instala ANTES del board.</t>
        </is>
      </c>
    </row>
    <row r="163" ht="33" customHeight="1" s="36">
      <c r="A163" s="59" t="n"/>
      <c r="B163" s="58" t="n">
        <v>22</v>
      </c>
      <c r="C163" s="44" t="inlineStr">
        <is>
          <t>P01.01</t>
        </is>
      </c>
      <c r="D163" s="59" t="inlineStr">
        <is>
          <t>Exclusion</t>
        </is>
      </c>
      <c r="E163" s="46" t="inlineStr">
        <is>
          <t>"PLUMBING PLAN SANITARY" at 1/4"=1'-0". Crossed against every wall: on new construction the MEP goes in before the board, hence no patch.</t>
        </is>
      </c>
      <c r="F163" s="46" t="inlineStr">
        <is>
          <t>excluded.PATCH</t>
        </is>
      </c>
      <c r="G163" s="46" t="inlineStr">
        <is>
          <t>Ademas el cruce MEP corrido contra M01.01, P01.01, P01.02 y E02.01 no encuentra ninguna penetracion por debajo de la height de board: en obra nueva el MEP se instala ANTES del board.</t>
        </is>
      </c>
    </row>
    <row r="164" ht="33" customHeight="1" s="36">
      <c r="A164" s="59" t="n"/>
      <c r="B164" s="58" t="n">
        <v>23</v>
      </c>
      <c r="C164" s="44" t="inlineStr">
        <is>
          <t>P01.02</t>
        </is>
      </c>
      <c r="D164" s="59" t="inlineStr">
        <is>
          <t>Exclusion</t>
        </is>
      </c>
      <c r="E164" s="46" t="inlineStr">
        <is>
          <t>"PLUMBING PLAN SUPPLY" at 1/4"=1'-0". The same cross-check for the supply piping.</t>
        </is>
      </c>
      <c r="F164" s="46" t="inlineStr">
        <is>
          <t>excluded.PATCH</t>
        </is>
      </c>
      <c r="G164" s="46" t="inlineStr">
        <is>
          <t>Ademas el cruce MEP corrido contra M01.01, P01.01, P01.02 y E02.01 no encuentra ninguna penetracion por debajo de la height de board: en obra nueva el MEP se instala ANTES del board.</t>
        </is>
      </c>
    </row>
    <row r="165" ht="33" customHeight="1" s="36">
      <c r="A165" s="44" t="inlineStr">
        <is>
          <t>A1 #3</t>
        </is>
      </c>
      <c r="B165" s="58" t="n">
        <v>1</v>
      </c>
      <c r="C165" s="44" t="inlineStr">
        <is>
          <t>A02.01</t>
        </is>
      </c>
      <c r="D165" s="59" t="inlineStr">
        <is>
          <t>Dimension</t>
        </is>
      </c>
      <c r="E165" s="46" t="inlineStr">
        <is>
          <t>Construction Plan. Entry sheet for partitions and openings: vector geometry of every wall face at 1/4"=1'-0", the leader of every partition tag, the Construction Plan Legend (new vs. existing) and the Construction Plan Notes.</t>
        </is>
      </c>
      <c r="F165" s="46" t="inlineStr">
        <is>
          <t>BLOCKING, excluded.HEADER, length.source, scope[0].chain[0], scope[1].chain[0], scope[1].chain[1]</t>
        </is>
      </c>
      <c r="G165" s="46" t="inlineStr">
        <is>
          <t>A02.01: dimension impresa 2'-7 1/2" con ticks en x=1223.88 y x=1271.16, medida FACE OF FINISH TO FACE OF FINISH segun la nota D.</t>
        </is>
      </c>
    </row>
    <row r="166" ht="33" customHeight="1" s="36">
      <c r="A166" s="59" t="n"/>
      <c r="B166" s="58" t="n">
        <v>2</v>
      </c>
      <c r="C166" s="44" t="inlineStr">
        <is>
          <t>A04.01</t>
        </is>
      </c>
      <c r="D166" s="59" t="inlineStr">
        <is>
          <t>Dimension</t>
        </is>
      </c>
      <c r="E166" s="46" t="inlineStr">
        <is>
          <t>Reflected Ceiling Plan. Entry sheet for ceilings, soffits and canopy; on walls it gives the BOARD HEIGHT: each room ceiling tag with its printed A.F.F. dimension, plus the ceiling key notes.</t>
        </is>
      </c>
      <c r="F166" s="46" t="inlineStr">
        <is>
          <t>face[0].board_height, face[1].board_height</t>
        </is>
      </c>
      <c r="G166" s="46" t="inlineStr">
        <is>
          <t>A04.01: tag ACT-5 con dimension impresa 8'-6", mas los 6" de 3/A12.01 = 9.00 ft</t>
        </is>
      </c>
    </row>
    <row r="167" ht="25.5" customHeight="1" s="36">
      <c r="A167" s="59" t="n"/>
      <c r="B167" s="58" t="n">
        <v>3</v>
      </c>
      <c r="C167" s="44" t="inlineStr">
        <is>
          <t>S2.20</t>
        </is>
      </c>
      <c r="D167" s="59" t="inlineStr">
        <is>
          <t>Dimension</t>
        </is>
      </c>
      <c r="E167" s="46" t="inlineStr">
        <is>
          <t>"ROOF FRAMING PLAN". Source of the STUD HEIGHT: every B.O.D. callout on the sheet and the slope of the bay between grids B and A (1/4" per foot).</t>
        </is>
      </c>
      <c r="F167" s="46" t="inlineStr">
        <is>
          <t>stud_height</t>
        </is>
      </c>
      <c r="G167" s="46" t="inlineStr">
        <is>
          <t>S2.20: al norte del eje B el B.O.D.</t>
        </is>
      </c>
    </row>
    <row r="168" ht="33" customHeight="1" s="36">
      <c r="A168" s="59" t="n"/>
      <c r="B168" s="58" t="n">
        <v>4</v>
      </c>
      <c r="C168" s="44" t="inlineStr">
        <is>
          <t>1/A12.01</t>
        </is>
      </c>
      <c r="D168" s="59" t="inlineStr">
        <is>
          <t>Quantity</t>
        </is>
      </c>
      <c r="E168" s="46" t="inlineStr">
        <is>
          <t>"PARTITION TYPE B, B2". Stud, layers per face, wall thickness and sealant of types B and B2. On a B wall it is the source; on an A1 wall it enters as a CONTRAST (B does label sealant top AND bottom, A1 only at the bottom).</t>
        </is>
      </c>
      <c r="F168" s="46" t="inlineStr">
        <is>
          <t>SEALANT</t>
        </is>
      </c>
      <c r="G168" s="46" t="inlineStr">
        <is>
          <t>Contraste que prueba que no es omision mia: 1/A12.01 (B y B2) SI rotula sealant arriba Y abajo.</t>
        </is>
      </c>
    </row>
    <row r="169" ht="25.5" customHeight="1" s="36">
      <c r="A169" s="59" t="n"/>
      <c r="B169" s="58" t="n">
        <v>5</v>
      </c>
      <c r="C169" s="44" t="inlineStr">
        <is>
          <t>3/A12.01</t>
        </is>
      </c>
      <c r="D169" s="59" t="inlineStr">
        <is>
          <t>Dimension</t>
        </is>
      </c>
      <c r="E169" s="46" t="inlineStr">
        <is>
          <t>"PARTITION TYPE A1 &amp; A5". 3 5/8" stud, layers per face, WALL THICKNESS 4 7/8", slip track at the top, acoustic sealant at the slab and the 6" of board above the scheduled ceiling.</t>
        </is>
      </c>
      <c r="F169" s="46" t="inlineStr">
        <is>
          <t>BOARD, SEALANT, STUD, TRACK_BOTTOM, TRACK_TOP, excluded.INSULATION, face[0].board_height, face[1].board_height, scope[0].chain[1], stud_height</t>
        </is>
      </c>
      <c r="G169" s="46" t="inlineStr">
        <is>
          <t>A04.01: tag ACT-5 con dimension impresa 8'-6", mas los 6" de 3/A12.01 = 9.00 ft</t>
        </is>
      </c>
    </row>
    <row r="170" ht="33" customHeight="1" s="36">
      <c r="A170" s="59" t="n"/>
      <c r="B170" s="58" t="n">
        <v>6</v>
      </c>
      <c r="C170" s="44" t="inlineStr">
        <is>
          <t>4/A12.01</t>
        </is>
      </c>
      <c r="D170" s="59" t="inlineStr">
        <is>
          <t>Quantity</t>
        </is>
      </c>
      <c r="E170" s="46" t="inlineStr">
        <is>
          <t>"PARTITION TYPE A1K &amp; A5K". The K types. On an A1 wall it enters as a CONTRAST: detail 4 calls for 14 GA @ 24" O.C. MAX in its own note and detail 3 does not, so on the A1 the 7/S5.20 schedule governs.</t>
        </is>
      </c>
      <c r="F170" s="46" t="inlineStr">
        <is>
          <t>STUD</t>
        </is>
      </c>
      <c r="G170" s="46" t="inlineStr">
        <is>
          <t>El detalle 3/A12.01 no trae nota de construccion propia que lo contradiga (a diferencia de 4/A12.01, que para los walls K pide 14 GA @ 24" O.C.</t>
        </is>
      </c>
    </row>
    <row r="171" ht="43.5" customHeight="1" s="36">
      <c r="A171" s="59" t="n"/>
      <c r="B171" s="58" t="n">
        <v>7</v>
      </c>
      <c r="C171" s="44" t="inlineStr">
        <is>
          <t>A09.01</t>
        </is>
      </c>
      <c r="D171" s="59" t="inlineStr">
        <is>
          <t>Exclusion</t>
        </is>
      </c>
      <c r="E171" s="46" t="inlineStr">
        <is>
          <t>Exterior Elevations: "SOUTH ELEVATION" and "WEST ELEVATION" at 1/4"=1'-0". Extent of each exterior material and the material legend, verbatim "CJ CONTROL JOINT; PAINT TO MATCH STUCCO FINISH COLOR" - that joint is the STUCCO joint, not gypsum.</t>
        </is>
      </c>
      <c r="F171" s="46" t="inlineStr">
        <is>
          <t>excluded.CONTROL_JOINT</t>
        </is>
      </c>
      <c r="G17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72" ht="43.5" customHeight="1" s="36">
      <c r="A172" s="59" t="n"/>
      <c r="B172" s="58" t="n">
        <v>8</v>
      </c>
      <c r="C172" s="44" t="inlineStr">
        <is>
          <t>10/A12.02</t>
        </is>
      </c>
      <c r="D172" s="59" t="inlineStr">
        <is>
          <t>Exclusion</t>
        </is>
      </c>
      <c r="E172" s="46" t="inlineStr">
        <is>
          <t>"HEAD @ HOLLOW METAL FRAME" at 3"=1'-0". Head of the hollow metal frame: labels SCHEDULED PARTITION, METAL STUD, METAL CLIP, HOLLOW METAL FRAME and 1/2" of board lap per face inside the frame throat.</t>
        </is>
      </c>
      <c r="F172" s="46" t="inlineStr">
        <is>
          <t>excluded.CLIPS</t>
        </is>
      </c>
      <c r="G172"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73" ht="43.5" customHeight="1" s="36">
      <c r="A173" s="59" t="n"/>
      <c r="B173" s="58" t="n">
        <v>9</v>
      </c>
      <c r="C173" s="44" t="inlineStr">
        <is>
          <t>11/A12.02</t>
        </is>
      </c>
      <c r="D173" s="59" t="inlineStr">
        <is>
          <t>Exclusion</t>
        </is>
      </c>
      <c r="E173" s="46" t="inlineStr">
        <is>
          <t>"JAMB @ HOLLOW METAL FRAME" at 3"=1'-0". Jamb of the same frame: it calls METAL ANCHOR the piece detail 10 calls METAL CLIP, so the piece is frame anchorage (Div 08), not a clip of ours.</t>
        </is>
      </c>
      <c r="F173" s="46" t="inlineStr">
        <is>
          <t>excluded.CLIPS</t>
        </is>
      </c>
      <c r="G173"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74" ht="25.5" customHeight="1" s="36">
      <c r="A174" s="59" t="n"/>
      <c r="B174" s="58" t="n">
        <v>10</v>
      </c>
      <c r="C174" s="44" t="inlineStr">
        <is>
          <t>7/A12.04</t>
        </is>
      </c>
      <c r="D174" s="59" t="inlineStr">
        <is>
          <t>Quantity</t>
        </is>
      </c>
      <c r="E174" s="46" t="inlineStr">
        <is>
          <t>Shelf detail on A12.04 for MW06. The shelf support is blocking.</t>
        </is>
      </c>
      <c r="F174" s="46" t="inlineStr">
        <is>
          <t>BLOCKING</t>
        </is>
      </c>
      <c r="G174" s="46" t="inlineStr">
        <is>
          <t>El Millwork Schedule de A00.30 no da cleat lateral y 7/A12.04 pide blocking adicional solo donde la unidad se monta al wall.</t>
        </is>
      </c>
    </row>
    <row r="175" ht="33" customHeight="1" s="36">
      <c r="A175" s="59" t="n"/>
      <c r="B175" s="58" t="n">
        <v>11</v>
      </c>
      <c r="C175" s="44" t="inlineStr">
        <is>
          <t>1/S5.20</t>
        </is>
      </c>
      <c r="D175" s="59" t="inlineStr">
        <is>
          <t>Quantity</t>
        </is>
      </c>
      <c r="E175" s="46" t="inlineStr">
        <is>
          <t>"TYPICAL WALL FRAMING DETAILS". Holds sub-details A through F; sub-detail F "BRIDGING AND BRACING - CONTINUOUS BRIDGING" is the bracing one: 1 1/2" C.R. CHANNEL welded to every stud. (Bracing is NOT in 5/S5.20, which is TYPICAL WALL FRAMING CONNX.)</t>
        </is>
      </c>
      <c r="F175" s="46" t="inlineStr">
        <is>
          <t>BRACING, excluded.CLIPS</t>
        </is>
      </c>
      <c r="G175" s="46" t="inlineStr">
        <is>
          <t>por el punchout del alma, soldado a cada stud (1/S5.20 sub-detalle F de S5.20).</t>
        </is>
      </c>
    </row>
    <row r="176" ht="33" customHeight="1" s="36">
      <c r="A176" s="59" t="n"/>
      <c r="B176" s="58" t="n">
        <v>12</v>
      </c>
      <c r="C176" s="44" t="inlineStr">
        <is>
          <t>4/S5.20</t>
        </is>
      </c>
      <c r="D176" s="59" t="inlineStr">
        <is>
          <t>Quantity</t>
        </is>
      </c>
      <c r="E176" s="46" t="inlineStr">
        <is>
          <t>"TYPICAL BLOCKING DETAIL". STUD BLOCKING 362CR22 and CLIP ANGLE 362CR22, with the boxed verbatim note "PROVIDE BLOCKING AT THE EDGE OF GYPBOARD." - source of the blocking at EVERY free edge of board.</t>
        </is>
      </c>
      <c r="F176" s="46" t="inlineStr">
        <is>
          <t>BLOCKING</t>
        </is>
      </c>
      <c r="G176" s="46" t="inlineStr">
        <is>
          <t>BOARD FREE EDGE: 4/S5.20 TYPICAL BLOCKING DETAIL carries a boxed note, TEXTUAL: 'PROVIDE BLOCKING AT THE EDGE OF GYPBOARD.', with STUD BLOCKING 362CR22 (TYP.) and CLIP ANGLE 362CR22 (TYP.) &amp; BLOCKING W/ SCREWS (TYP.).</t>
        </is>
      </c>
    </row>
    <row r="177" ht="33" customHeight="1" s="36">
      <c r="A177" s="59" t="n"/>
      <c r="B177" s="58" t="n">
        <v>13</v>
      </c>
      <c r="C177" s="44" t="inlineStr">
        <is>
          <t>7/S5.20</t>
        </is>
      </c>
      <c r="D177" s="59" t="inlineStr">
        <is>
          <t>Quantity</t>
        </is>
      </c>
      <c r="E177" s="46" t="inlineStr">
        <is>
          <t>"METAL STUDS SCHEDULES". The profile: web, flange, lip, mils, gauge and the APPLICATION column with the spacing ("INTERIOR WALLS @ 16" O.C."), plus the SILL TRACK ANCHORAGE and the FASTENER SCHEDULE.</t>
        </is>
      </c>
      <c r="F177" s="46" t="inlineStr">
        <is>
          <t>STUD, TRACK_BOTTOM</t>
        </is>
      </c>
      <c r="G177" s="46" t="inlineStr">
        <is>
          <t>7/S5.20 METAL STUDS SCHEDULES, renglon 362S137-33: alma 3 5/8", ala 1 3/8", lip 3/8", 33 mil = 20 ga, APPLICATION 'INTERIOR WALLS @ 16" O.C.'.</t>
        </is>
      </c>
    </row>
    <row r="178" ht="25.5" customHeight="1" s="36">
      <c r="A178" s="59" t="n"/>
      <c r="B178" s="58" t="n">
        <v>14</v>
      </c>
      <c r="C178" s="44" t="inlineStr">
        <is>
          <t>A00.01</t>
        </is>
      </c>
      <c r="D178" s="59" t="inlineStr">
        <is>
          <t>Scope</t>
        </is>
      </c>
      <c r="E178" s="46" t="inlineStr">
        <is>
          <t>Cover sheet and Drawing Index. Proof by ABSENCE: the index lists no interior Demolition Plan, which is why there is no patch-and-repair line item.</t>
        </is>
      </c>
      <c r="F178" s="46" t="inlineStr">
        <is>
          <t>excluded.PATCH, scope[1].chain[0]</t>
        </is>
      </c>
      <c r="G178" s="46" t="inlineStr">
        <is>
          <t>A02.01 Construction Plan Legend: la grafia de dos lineas limpias es NEW PARTITION (SEE SCHEDULE); no hay Demolition Plan interior en el Drawing Index de A00.01</t>
        </is>
      </c>
    </row>
    <row r="179" ht="25.5" customHeight="1" s="36">
      <c r="A179" s="59" t="n"/>
      <c r="B179" s="58" t="n">
        <v>15</v>
      </c>
      <c r="C179" s="44" t="inlineStr">
        <is>
          <t>A00.30</t>
        </is>
      </c>
      <c r="D179" s="59" t="inlineStr">
        <is>
          <t>Quantity</t>
        </is>
      </c>
      <c r="E179" s="46" t="inlineStr">
        <is>
          <t>Door Schedule. Leaf width and height of every door and the frame type: source of the header, the board deduction and the reference to 10 and 11/A12.02.</t>
        </is>
      </c>
      <c r="F179" s="46" t="inlineStr">
        <is>
          <t>BLOCKING, excluded.HEADER</t>
        </is>
      </c>
      <c r="G179" s="46" t="inlineStr">
        <is>
          <t>El Millwork Schedule de A00.30 no da cleat lateral y 7/A12.04 pide blocking adicional solo donde la unidad se monta al wall.</t>
        </is>
      </c>
    </row>
    <row r="180" ht="33" customHeight="1" s="36">
      <c r="A180" s="59" t="n"/>
      <c r="B180" s="58" t="n">
        <v>16</v>
      </c>
      <c r="C180" s="44" t="inlineStr">
        <is>
          <t>A09.27</t>
        </is>
      </c>
      <c r="D180" s="59" t="inlineStr">
        <is>
          <t>Exclusion</t>
        </is>
      </c>
      <c r="E180" s="46" t="inlineStr">
        <is>
          <t>Gypsum Section Details, the sheet. Cited as a sheet when the finding is that NO detail on it labels a gypsum control joint.</t>
        </is>
      </c>
      <c r="F180" s="46" t="inlineStr">
        <is>
          <t>excluded.CONTROL_JOINT</t>
        </is>
      </c>
      <c r="G180" s="46" t="inlineStr">
        <is>
          <t>El set no rotula ni detalla ninguna junta de control de gypsum board, ni en A12.01 ni en los detalles de A09.27/A09.33, y no hay seccion de especificaciones 09 29 00 en el bid set.</t>
        </is>
      </c>
    </row>
    <row r="181" ht="33" customHeight="1" s="36">
      <c r="A181" s="59" t="n"/>
      <c r="B181" s="58" t="n">
        <v>17</v>
      </c>
      <c r="C181" s="44" t="inlineStr">
        <is>
          <t>A09.33</t>
        </is>
      </c>
      <c r="D181" s="59" t="inlineStr">
        <is>
          <t>Exclusion</t>
        </is>
      </c>
      <c r="E181" s="46" t="inlineStr">
        <is>
          <t>Ceiling Details, the sheet. Cited as a sheet for a finding by ABSENCE: its details label corner bead, casing bead and shadow molding one by one and NONE labels a control joint, so the omission is not a labeling oversight.</t>
        </is>
      </c>
      <c r="F181" s="46" t="inlineStr">
        <is>
          <t>excluded.CONTROL_JOINT</t>
        </is>
      </c>
      <c r="G181" s="46" t="inlineStr">
        <is>
          <t>El set no rotula ni detalla ninguna junta de control de gypsum board, ni en A12.01 ni en los detalles de A09.27/A09.33, y no hay seccion de especificaciones 09 29 00 en el bid set.</t>
        </is>
      </c>
    </row>
    <row r="182" ht="33" customHeight="1" s="36">
      <c r="A182" s="59" t="n"/>
      <c r="B182" s="58" t="n">
        <v>18</v>
      </c>
      <c r="C182" s="44" t="inlineStr">
        <is>
          <t>E02.01</t>
        </is>
      </c>
      <c r="D182" s="59" t="inlineStr">
        <is>
          <t>Exclusion</t>
        </is>
      </c>
      <c r="E182" s="46" t="inlineStr">
        <is>
          <t>"FLOOR PLAN - LIGHTING" at 1/4"=1'-0". Light fixtures and their framing: crossed against every wall and ceiling to locate penetrations and openings.</t>
        </is>
      </c>
      <c r="F182" s="46" t="inlineStr">
        <is>
          <t>excluded.PATCH</t>
        </is>
      </c>
      <c r="G182" s="46" t="inlineStr">
        <is>
          <t>Ademas el cruce MEP corrido contra M01.01, P01.01, P01.02 y E02.01 no encuentra ninguna penetracion por debajo de la height de board: en obra nueva el MEP se instala ANTES del board.</t>
        </is>
      </c>
    </row>
    <row r="183" ht="33" customHeight="1" s="36">
      <c r="A183" s="59" t="n"/>
      <c r="B183" s="58" t="n">
        <v>19</v>
      </c>
      <c r="C183" s="44" t="inlineStr">
        <is>
          <t>M01.01</t>
        </is>
      </c>
      <c r="D183" s="59" t="inlineStr">
        <is>
          <t>Exclusion</t>
        </is>
      </c>
      <c r="E183" s="46" t="inlineStr">
        <is>
          <t>Mechanical Floor Plan at 1/4"=1'-0". Swept across the WHOLE band of each wall, opening included, to locate and measure every duct penetration.</t>
        </is>
      </c>
      <c r="F183" s="46" t="inlineStr">
        <is>
          <t>excluded.PATCH</t>
        </is>
      </c>
      <c r="G183" s="46" t="inlineStr">
        <is>
          <t>Ademas el cruce MEP corrido contra M01.01, P01.01, P01.02 y E02.01 no encuentra ninguna penetracion por debajo de la height de board: en obra nueva el MEP se instala ANTES del board.</t>
        </is>
      </c>
    </row>
    <row r="184" ht="33" customHeight="1" s="36">
      <c r="A184" s="59" t="n"/>
      <c r="B184" s="58" t="n">
        <v>20</v>
      </c>
      <c r="C184" s="44" t="inlineStr">
        <is>
          <t>P01.01</t>
        </is>
      </c>
      <c r="D184" s="59" t="inlineStr">
        <is>
          <t>Exclusion</t>
        </is>
      </c>
      <c r="E184" s="46" t="inlineStr">
        <is>
          <t>"PLUMBING PLAN SANITARY" at 1/4"=1'-0". Crossed against every wall: on new construction the MEP goes in before the board, hence no patch.</t>
        </is>
      </c>
      <c r="F184" s="46" t="inlineStr">
        <is>
          <t>excluded.PATCH</t>
        </is>
      </c>
      <c r="G184" s="46" t="inlineStr">
        <is>
          <t>Ademas el cruce MEP corrido contra M01.01, P01.01, P01.02 y E02.01 no encuentra ninguna penetracion por debajo de la height de board: en obra nueva el MEP se instala ANTES del board.</t>
        </is>
      </c>
    </row>
    <row r="185" ht="33" customHeight="1" s="36">
      <c r="A185" s="59" t="n"/>
      <c r="B185" s="58" t="n">
        <v>21</v>
      </c>
      <c r="C185" s="44" t="inlineStr">
        <is>
          <t>P01.02</t>
        </is>
      </c>
      <c r="D185" s="59" t="inlineStr">
        <is>
          <t>Exclusion</t>
        </is>
      </c>
      <c r="E185" s="46" t="inlineStr">
        <is>
          <t>"PLUMBING PLAN SUPPLY" at 1/4"=1'-0". The same cross-check for the supply piping.</t>
        </is>
      </c>
      <c r="F185" s="46" t="inlineStr">
        <is>
          <t>excluded.PATCH</t>
        </is>
      </c>
      <c r="G185" s="46" t="inlineStr">
        <is>
          <t>Ademas el cruce MEP corrido contra M01.01, P01.01, P01.02 y E02.01 no encuentra ninguna penetracion por debajo de la height de board: en obra nueva el MEP se instala ANTES del board.</t>
        </is>
      </c>
    </row>
    <row r="186" ht="33" customHeight="1" s="36">
      <c r="A186" s="44" t="inlineStr">
        <is>
          <t>A1 #7</t>
        </is>
      </c>
      <c r="B186" s="58" t="n">
        <v>1</v>
      </c>
      <c r="C186" s="44" t="inlineStr">
        <is>
          <t>A02.01</t>
        </is>
      </c>
      <c r="D186" s="59" t="inlineStr">
        <is>
          <t>Dimension</t>
        </is>
      </c>
      <c r="E186" s="46" t="inlineStr">
        <is>
          <t>Construction Plan. Entry sheet for partitions and openings: vector geometry of every wall face at 1/4"=1'-0", the leader of every partition tag, the Construction Plan Legend (new vs. existing) and the Construction Plan Notes.</t>
        </is>
      </c>
      <c r="F186" s="46" t="inlineStr">
        <is>
          <t>BLOCKING, excluded.HEADER, length, scope[0].chain[0], scope[1].chain[0], scope[1].chain[1], stud_height</t>
        </is>
      </c>
      <c r="G186" s="46" t="inlineStr">
        <is>
          <t>A02.01 geometria vectorial: faces lw1.20 en x=1522.92 y x=1530.24, separacion 7.32 pt = 4.88".</t>
        </is>
      </c>
    </row>
    <row r="187" ht="33" customHeight="1" s="36">
      <c r="A187" s="59" t="n"/>
      <c r="B187" s="58" t="n">
        <v>2</v>
      </c>
      <c r="C187" s="44" t="inlineStr">
        <is>
          <t>A04.01</t>
        </is>
      </c>
      <c r="D187" s="59" t="inlineStr">
        <is>
          <t>Dimension</t>
        </is>
      </c>
      <c r="E187" s="46" t="inlineStr">
        <is>
          <t>Reflected Ceiling Plan. Entry sheet for ceilings, soffits and canopy; on walls it gives the BOARD HEIGHT: each room ceiling tag with its printed A.F.F. dimension, plus the ceiling key notes.</t>
        </is>
      </c>
      <c r="F187" s="46" t="inlineStr">
        <is>
          <t>face[0].board_height, face[1].board_height</t>
        </is>
      </c>
      <c r="G187" s="46" t="inlineStr">
        <is>
          <t>A04.01: tag ACT-5 con dimension impresa 8'-6" junto al room tag BREAK ROOM 118, mas los 6" de 3/A12.01 = 9.00 ft</t>
        </is>
      </c>
    </row>
    <row r="188" ht="25.5" customHeight="1" s="36">
      <c r="A188" s="59" t="n"/>
      <c r="B188" s="58" t="n">
        <v>3</v>
      </c>
      <c r="C188" s="44" t="inlineStr">
        <is>
          <t>S2.20</t>
        </is>
      </c>
      <c r="D188" s="59" t="inlineStr">
        <is>
          <t>Dimension</t>
        </is>
      </c>
      <c r="E188" s="46" t="inlineStr">
        <is>
          <t>"ROOF FRAMING PLAN". Source of the STUD HEIGHT: every B.O.D. callout on the sheet and the slope of the bay between grids B and A (1/4" per foot).</t>
        </is>
      </c>
      <c r="F188" s="46" t="inlineStr">
        <is>
          <t>stud_height</t>
        </is>
      </c>
      <c r="G188" s="46" t="inlineStr">
        <is>
          <t>S2.20: el wall esta en la bahia EN PENDIENTE.</t>
        </is>
      </c>
    </row>
    <row r="189" ht="33" customHeight="1" s="36">
      <c r="A189" s="59" t="n"/>
      <c r="B189" s="58" t="n">
        <v>4</v>
      </c>
      <c r="C189" s="44" t="inlineStr">
        <is>
          <t>1/A12.01</t>
        </is>
      </c>
      <c r="D189" s="59" t="inlineStr">
        <is>
          <t>Quantity</t>
        </is>
      </c>
      <c r="E189" s="46" t="inlineStr">
        <is>
          <t>"PARTITION TYPE B, B2". Stud, layers per face, wall thickness and sealant of types B and B2. On a B wall it is the source; on an A1 wall it enters as a CONTRAST (B does label sealant top AND bottom, A1 only at the bottom).</t>
        </is>
      </c>
      <c r="F189" s="46" t="inlineStr">
        <is>
          <t>SEALANT</t>
        </is>
      </c>
      <c r="G189" s="46" t="inlineStr">
        <is>
          <t>Contraste que prueba que no es omision mia: 1/A12.01 (B y B2) SI rotula sealant arriba Y abajo.</t>
        </is>
      </c>
    </row>
    <row r="190" ht="25.5" customHeight="1" s="36">
      <c r="A190" s="59" t="n"/>
      <c r="B190" s="58" t="n">
        <v>5</v>
      </c>
      <c r="C190" s="44" t="inlineStr">
        <is>
          <t>3/A12.01</t>
        </is>
      </c>
      <c r="D190" s="59" t="inlineStr">
        <is>
          <t>Dimension</t>
        </is>
      </c>
      <c r="E190" s="46" t="inlineStr">
        <is>
          <t>"PARTITION TYPE A1 &amp; A5". 3 5/8" stud, layers per face, WALL THICKNESS 4 7/8", slip track at the top, acoustic sealant at the slab and the 6" of board above the scheduled ceiling.</t>
        </is>
      </c>
      <c r="F190" s="46" t="inlineStr">
        <is>
          <t>BOARD, SEALANT, STUD, TRACK_BOTTOM, TRACK_TOP, excluded.INSULATION, face[0].board_height, face[1].board_height, scope[0].chain[1], stud_height</t>
        </is>
      </c>
      <c r="G190" s="46" t="inlineStr">
        <is>
          <t>A04.01: tag ACT-5 con dimension impresa 8'-6" junto al room tag BREAK ROOM 118, mas los 6" de 3/A12.01 = 9.00 ft</t>
        </is>
      </c>
    </row>
    <row r="191" ht="33" customHeight="1" s="36">
      <c r="A191" s="59" t="n"/>
      <c r="B191" s="58" t="n">
        <v>6</v>
      </c>
      <c r="C191" s="44" t="inlineStr">
        <is>
          <t>4/A12.01</t>
        </is>
      </c>
      <c r="D191" s="59" t="inlineStr">
        <is>
          <t>Quantity</t>
        </is>
      </c>
      <c r="E191" s="46" t="inlineStr">
        <is>
          <t>"PARTITION TYPE A1K &amp; A5K". The K types. On an A1 wall it enters as a CONTRAST: detail 4 calls for 14 GA @ 24" O.C. MAX in its own note and detail 3 does not, so on the A1 the 7/S5.20 schedule governs.</t>
        </is>
      </c>
      <c r="F191" s="46" t="inlineStr">
        <is>
          <t>STUD</t>
        </is>
      </c>
      <c r="G191" s="46" t="inlineStr">
        <is>
          <t>El detalle 3/A12.01 no trae nota de construccion propia que lo contradiga (a diferencia de 4/A12.01, que para los walls K pide 14 GA @ 24" O.C.</t>
        </is>
      </c>
    </row>
    <row r="192" ht="43.5" customHeight="1" s="36">
      <c r="A192" s="59" t="n"/>
      <c r="B192" s="58" t="n">
        <v>7</v>
      </c>
      <c r="C192" s="44" t="inlineStr">
        <is>
          <t>A09.01</t>
        </is>
      </c>
      <c r="D192" s="59" t="inlineStr">
        <is>
          <t>Exclusion</t>
        </is>
      </c>
      <c r="E192" s="46" t="inlineStr">
        <is>
          <t>Exterior Elevations: "SOUTH ELEVATION" and "WEST ELEVATION" at 1/4"=1'-0". Extent of each exterior material and the material legend, verbatim "CJ CONTROL JOINT; PAINT TO MATCH STUCCO FINISH COLOR" - that joint is the STUCCO joint, not gypsum.</t>
        </is>
      </c>
      <c r="F192" s="46" t="inlineStr">
        <is>
          <t>excluded.CONTROL_JOINT</t>
        </is>
      </c>
      <c r="G19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93" ht="43.5" customHeight="1" s="36">
      <c r="A193" s="59" t="n"/>
      <c r="B193" s="58" t="n">
        <v>8</v>
      </c>
      <c r="C193" s="44" t="inlineStr">
        <is>
          <t>10/A12.02</t>
        </is>
      </c>
      <c r="D193" s="59" t="inlineStr">
        <is>
          <t>Exclusion</t>
        </is>
      </c>
      <c r="E193" s="46" t="inlineStr">
        <is>
          <t>"HEAD @ HOLLOW METAL FRAME" at 3"=1'-0". Head of the hollow metal frame: labels SCHEDULED PARTITION, METAL STUD, METAL CLIP, HOLLOW METAL FRAME and 1/2" of board lap per face inside the frame throat.</t>
        </is>
      </c>
      <c r="F193" s="46" t="inlineStr">
        <is>
          <t>excluded.CLIPS</t>
        </is>
      </c>
      <c r="G193"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94" ht="43.5" customHeight="1" s="36">
      <c r="A194" s="59" t="n"/>
      <c r="B194" s="58" t="n">
        <v>9</v>
      </c>
      <c r="C194" s="44" t="inlineStr">
        <is>
          <t>11/A12.02</t>
        </is>
      </c>
      <c r="D194" s="59" t="inlineStr">
        <is>
          <t>Exclusion</t>
        </is>
      </c>
      <c r="E194" s="46" t="inlineStr">
        <is>
          <t>"JAMB @ HOLLOW METAL FRAME" at 3"=1'-0". Jamb of the same frame: it calls METAL ANCHOR the piece detail 10 calls METAL CLIP, so the piece is frame anchorage (Div 08), not a clip of ours.</t>
        </is>
      </c>
      <c r="F194" s="46" t="inlineStr">
        <is>
          <t>excluded.CLIPS</t>
        </is>
      </c>
      <c r="G194"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95" ht="33" customHeight="1" s="36">
      <c r="A195" s="59" t="n"/>
      <c r="B195" s="58" t="n">
        <v>10</v>
      </c>
      <c r="C195" s="44" t="inlineStr">
        <is>
          <t>1/S5.20</t>
        </is>
      </c>
      <c r="D195" s="59" t="inlineStr">
        <is>
          <t>Quantity</t>
        </is>
      </c>
      <c r="E195" s="46" t="inlineStr">
        <is>
          <t>"TYPICAL WALL FRAMING DETAILS". Holds sub-details A through F; sub-detail F "BRIDGING AND BRACING - CONTINUOUS BRIDGING" is the bracing one: 1 1/2" C.R. CHANNEL welded to every stud. (Bracing is NOT in 5/S5.20, which is TYPICAL WALL FRAMING CONNX.)</t>
        </is>
      </c>
      <c r="F195" s="46" t="inlineStr">
        <is>
          <t>BRACING, excluded.CLIPS</t>
        </is>
      </c>
      <c r="G195" s="46" t="inlineStr">
        <is>
          <t>por el punchout del alma, soldado a cada stud (1/S5.20 sub-detalle F de S5.20).</t>
        </is>
      </c>
    </row>
    <row r="196" ht="33" customHeight="1" s="36">
      <c r="A196" s="59" t="n"/>
      <c r="B196" s="58" t="n">
        <v>11</v>
      </c>
      <c r="C196" s="44" t="inlineStr">
        <is>
          <t>4/S5.20</t>
        </is>
      </c>
      <c r="D196" s="59" t="inlineStr">
        <is>
          <t>Quantity</t>
        </is>
      </c>
      <c r="E196" s="46" t="inlineStr">
        <is>
          <t>"TYPICAL BLOCKING DETAIL". STUD BLOCKING 362CR22 and CLIP ANGLE 362CR22, with the boxed verbatim note "PROVIDE BLOCKING AT THE EDGE OF GYPBOARD." - source of the blocking at EVERY free edge of board.</t>
        </is>
      </c>
      <c r="F196" s="46" t="inlineStr">
        <is>
          <t>BLOCKING</t>
        </is>
      </c>
      <c r="G196" s="46" t="inlineStr">
        <is>
          <t>BOARD FREE EDGE: 4/S5.20 TYPICAL BLOCKING DETAIL carries a boxed note, TEXTUAL: 'PROVIDE BLOCKING AT THE EDGE OF GYPBOARD.', with STUD BLOCKING 362CR22 (TYP.) and CLIP ANGLE 362CR22 (TYP.) &amp; BLOCKING W/ SCREWS (TYP.).</t>
        </is>
      </c>
    </row>
    <row r="197" ht="33" customHeight="1" s="36">
      <c r="A197" s="59" t="n"/>
      <c r="B197" s="58" t="n">
        <v>12</v>
      </c>
      <c r="C197" s="44" t="inlineStr">
        <is>
          <t>7/S5.20</t>
        </is>
      </c>
      <c r="D197" s="59" t="inlineStr">
        <is>
          <t>Quantity</t>
        </is>
      </c>
      <c r="E197" s="46" t="inlineStr">
        <is>
          <t>"METAL STUDS SCHEDULES". The profile: web, flange, lip, mils, gauge and the APPLICATION column with the spacing ("INTERIOR WALLS @ 16" O.C."), plus the SILL TRACK ANCHORAGE and the FASTENER SCHEDULE.</t>
        </is>
      </c>
      <c r="F197" s="46" t="inlineStr">
        <is>
          <t>STUD, TRACK_BOTTOM</t>
        </is>
      </c>
      <c r="G197" s="46" t="inlineStr">
        <is>
          <t>7/S5.20 METAL STUDS SCHEDULES, renglon 362S137-33: alma 3 5/8", ala 1 3/8", lip 3/8", 33 mil = 20 ga, APPLICATION 'INTERIOR WALLS @ 16" O.C.'.</t>
        </is>
      </c>
    </row>
    <row r="198" ht="25.5" customHeight="1" s="36">
      <c r="A198" s="59" t="n"/>
      <c r="B198" s="58" t="n">
        <v>13</v>
      </c>
      <c r="C198" s="44" t="inlineStr">
        <is>
          <t>A00.01</t>
        </is>
      </c>
      <c r="D198" s="59" t="inlineStr">
        <is>
          <t>Scope</t>
        </is>
      </c>
      <c r="E198" s="46" t="inlineStr">
        <is>
          <t>Cover sheet and Drawing Index. Proof by ABSENCE: the index lists no interior Demolition Plan, which is why there is no patch-and-repair line item.</t>
        </is>
      </c>
      <c r="F198" s="46" t="inlineStr">
        <is>
          <t>excluded.PATCH, scope[1].chain[0]</t>
        </is>
      </c>
      <c r="G198" s="46" t="inlineStr">
        <is>
          <t>A02.01 Construction Plan Legend: la grafia de dos lineas limpias es NEW PARTITION (SEE SCHEDULE); no hay Demolition Plan interior en el Drawing Index de A00.01</t>
        </is>
      </c>
    </row>
    <row r="199" ht="33" customHeight="1" s="36">
      <c r="A199" s="59" t="n"/>
      <c r="B199" s="58" t="n">
        <v>14</v>
      </c>
      <c r="C199" s="44" t="inlineStr">
        <is>
          <t>A00.30</t>
        </is>
      </c>
      <c r="D199" s="59" t="inlineStr">
        <is>
          <t>Quantity</t>
        </is>
      </c>
      <c r="E199" s="46" t="inlineStr">
        <is>
          <t>Door Schedule. Leaf width and height of every door and the frame type: source of the header, the board deduction and the reference to 10 and 11/A12.02.</t>
        </is>
      </c>
      <c r="F199" s="46" t="inlineStr">
        <is>
          <t>BLOCKING, excluded.HEADER</t>
        </is>
      </c>
      <c r="G199" s="46" t="inlineStr">
        <is>
          <t>A02.01 no dibuja nada encima: ningun tag MW del Millwork Schedule de A00.30, ningun key note de blocking (ni el 5 de lockers ni el 7 del monitor) y ningun accesorio del Fixture Plan.</t>
        </is>
      </c>
    </row>
    <row r="200" ht="33" customHeight="1" s="36">
      <c r="A200" s="59" t="n"/>
      <c r="B200" s="58" t="n">
        <v>15</v>
      </c>
      <c r="C200" s="44" t="inlineStr">
        <is>
          <t>A09.27</t>
        </is>
      </c>
      <c r="D200" s="59" t="inlineStr">
        <is>
          <t>Exclusion</t>
        </is>
      </c>
      <c r="E200" s="46" t="inlineStr">
        <is>
          <t>Gypsum Section Details, the sheet. Cited as a sheet when the finding is that NO detail on it labels a gypsum control joint.</t>
        </is>
      </c>
      <c r="F200" s="46" t="inlineStr">
        <is>
          <t>excluded.CONTROL_JOINT</t>
        </is>
      </c>
      <c r="G200" s="46" t="inlineStr">
        <is>
          <t>El set no rotula ni detalla ninguna junta de control de gypsum board, ni en A12.01 ni en los detalles de A09.27/A09.33, y no hay seccion de especificaciones 09 29 00 en el bid set.</t>
        </is>
      </c>
    </row>
    <row r="201" ht="33" customHeight="1" s="36">
      <c r="A201" s="59" t="n"/>
      <c r="B201" s="58" t="n">
        <v>16</v>
      </c>
      <c r="C201" s="44" t="inlineStr">
        <is>
          <t>A09.33</t>
        </is>
      </c>
      <c r="D201" s="59" t="inlineStr">
        <is>
          <t>Exclusion</t>
        </is>
      </c>
      <c r="E201" s="46" t="inlineStr">
        <is>
          <t>Ceiling Details, the sheet. Cited as a sheet for a finding by ABSENCE: its details label corner bead, casing bead and shadow molding one by one and NONE labels a control joint, so the omission is not a labeling oversight.</t>
        </is>
      </c>
      <c r="F201" s="46" t="inlineStr">
        <is>
          <t>excluded.CONTROL_JOINT</t>
        </is>
      </c>
      <c r="G201" s="46" t="inlineStr">
        <is>
          <t>El set no rotula ni detalla ninguna junta de control de gypsum board, ni en A12.01 ni en los detalles de A09.27/A09.33, y no hay seccion de especificaciones 09 29 00 en el bid set.</t>
        </is>
      </c>
    </row>
    <row r="202" ht="33" customHeight="1" s="36">
      <c r="A202" s="59" t="n"/>
      <c r="B202" s="58" t="n">
        <v>17</v>
      </c>
      <c r="C202" s="44" t="inlineStr">
        <is>
          <t>E02.01</t>
        </is>
      </c>
      <c r="D202" s="59" t="inlineStr">
        <is>
          <t>Exclusion</t>
        </is>
      </c>
      <c r="E202" s="46" t="inlineStr">
        <is>
          <t>"FLOOR PLAN - LIGHTING" at 1/4"=1'-0". Light fixtures and their framing: crossed against every wall and ceiling to locate penetrations and openings.</t>
        </is>
      </c>
      <c r="F202" s="46" t="inlineStr">
        <is>
          <t>excluded.PATCH</t>
        </is>
      </c>
      <c r="G202" s="46" t="inlineStr">
        <is>
          <t>Ademas el cruce MEP corrido contra M01.01, P01.01, P01.02 y E02.01 no encuentra ninguna penetracion por debajo de la height de board: en obra nueva el MEP se instala ANTES del board.</t>
        </is>
      </c>
    </row>
    <row r="203" ht="33" customHeight="1" s="36">
      <c r="A203" s="59" t="n"/>
      <c r="B203" s="58" t="n">
        <v>18</v>
      </c>
      <c r="C203" s="44" t="inlineStr">
        <is>
          <t>M01.01</t>
        </is>
      </c>
      <c r="D203" s="59" t="inlineStr">
        <is>
          <t>Exclusion</t>
        </is>
      </c>
      <c r="E203" s="46" t="inlineStr">
        <is>
          <t>Mechanical Floor Plan at 1/4"=1'-0". Swept across the WHOLE band of each wall, opening included, to locate and measure every duct penetration.</t>
        </is>
      </c>
      <c r="F203" s="46" t="inlineStr">
        <is>
          <t>excluded.PATCH</t>
        </is>
      </c>
      <c r="G203" s="46" t="inlineStr">
        <is>
          <t>Ademas el cruce MEP corrido contra M01.01, P01.01, P01.02 y E02.01 no encuentra ninguna penetracion por debajo de la height de board: en obra nueva el MEP se instala ANTES del board.</t>
        </is>
      </c>
    </row>
    <row r="204" ht="33" customHeight="1" s="36">
      <c r="A204" s="59" t="n"/>
      <c r="B204" s="58" t="n">
        <v>19</v>
      </c>
      <c r="C204" s="44" t="inlineStr">
        <is>
          <t>P01.01</t>
        </is>
      </c>
      <c r="D204" s="59" t="inlineStr">
        <is>
          <t>Exclusion</t>
        </is>
      </c>
      <c r="E204" s="46" t="inlineStr">
        <is>
          <t>"PLUMBING PLAN SANITARY" at 1/4"=1'-0". Crossed against every wall: on new construction the MEP goes in before the board, hence no patch.</t>
        </is>
      </c>
      <c r="F204" s="46" t="inlineStr">
        <is>
          <t>excluded.PATCH</t>
        </is>
      </c>
      <c r="G204" s="46" t="inlineStr">
        <is>
          <t>Ademas el cruce MEP corrido contra M01.01, P01.01, P01.02 y E02.01 no encuentra ninguna penetracion por debajo de la height de board: en obra nueva el MEP se instala ANTES del board.</t>
        </is>
      </c>
    </row>
    <row r="205" ht="33" customHeight="1" s="36">
      <c r="A205" s="59" t="n"/>
      <c r="B205" s="58" t="n">
        <v>20</v>
      </c>
      <c r="C205" s="44" t="inlineStr">
        <is>
          <t>P01.02</t>
        </is>
      </c>
      <c r="D205" s="59" t="inlineStr">
        <is>
          <t>Exclusion</t>
        </is>
      </c>
      <c r="E205" s="46" t="inlineStr">
        <is>
          <t>"PLUMBING PLAN SUPPLY" at 1/4"=1'-0". The same cross-check for the supply piping.</t>
        </is>
      </c>
      <c r="F205" s="46" t="inlineStr">
        <is>
          <t>excluded.PATCH</t>
        </is>
      </c>
      <c r="G205" s="46" t="inlineStr">
        <is>
          <t>Ademas el cruce MEP corrido contra M01.01, P01.01, P01.02 y E02.01 no encuentra ninguna penetracion por debajo de la height de board: en obra nueva el MEP se instala ANTES del board.</t>
        </is>
      </c>
    </row>
    <row r="206" ht="33" customHeight="1" s="36">
      <c r="A206" s="44" t="inlineStr">
        <is>
          <t>A1K #11</t>
        </is>
      </c>
      <c r="B206" s="58" t="n">
        <v>1</v>
      </c>
      <c r="C206" s="44" t="inlineStr">
        <is>
          <t>A02.01</t>
        </is>
      </c>
      <c r="D206" s="59" t="inlineStr">
        <is>
          <t>Dimension</t>
        </is>
      </c>
      <c r="E206" s="46" t="inlineStr">
        <is>
          <t>Construction Plan. Entry sheet for partitions and openings: vector geometry of every wall face at 1/4"=1'-0", the leader of every partition tag, the Construction Plan Legend (new vs. existing) and the Construction Plan Notes.</t>
        </is>
      </c>
      <c r="F206" s="46" t="inlineStr">
        <is>
          <t>excluded.BLOCKING, length.source, scope[0].chain[0], scope[0].chain[1]</t>
        </is>
      </c>
      <c r="G206" s="46" t="inlineStr">
        <is>
          <t>A02.01 dimension impresa 3'-5" en la linea de dimension y=1169.64, con ticks de 45 grados verificados en x=1653.96 (face este del B2K) y x=1715.40 (extremo este del wall).</t>
        </is>
      </c>
    </row>
    <row r="207" ht="25.5" customHeight="1" s="36">
      <c r="A207" s="59" t="n"/>
      <c r="B207" s="58" t="n">
        <v>2</v>
      </c>
      <c r="C207" s="44" t="inlineStr">
        <is>
          <t>S2.20</t>
        </is>
      </c>
      <c r="D207" s="59" t="inlineStr">
        <is>
          <t>Dimension</t>
        </is>
      </c>
      <c r="E207" s="46" t="inlineStr">
        <is>
          <t>"ROOF FRAMING PLAN". Source of the STUD HEIGHT: every B.O.D. callout on the sheet and the slope of the bay between grids B and A (1/4" per foot).</t>
        </is>
      </c>
      <c r="F207" s="46" t="inlineStr">
        <is>
          <t>face[0].board_height, face[1].board_height, scope[1].chain[1], stud_height</t>
        </is>
      </c>
      <c r="G207" s="46" t="inlineStr">
        <is>
          <t>S2.20 B.O.D.</t>
        </is>
      </c>
    </row>
    <row r="208" ht="33" customHeight="1" s="36">
      <c r="A208" s="59" t="n"/>
      <c r="B208" s="58" t="n">
        <v>3</v>
      </c>
      <c r="C208" s="44" t="inlineStr">
        <is>
          <t>4/A12.01</t>
        </is>
      </c>
      <c r="D208" s="59" t="inlineStr">
        <is>
          <t>Quantity</t>
        </is>
      </c>
      <c r="E208" s="46" t="inlineStr">
        <is>
          <t>"PARTITION TYPE A1K &amp; A5K". The K types. On an A1 wall it enters as a CONTRAST: detail 4 calls for 14 GA @ 24" O.C. MAX in its own note and detail 3 does not, so on the A1 the 7/S5.20 schedule governs.</t>
        </is>
      </c>
      <c r="F208" s="46" t="inlineStr">
        <is>
          <t>BOARD, BOARD_3-8, BRACING, CASING_BEAD, FASTENER_PWR_DRIVEN, PANEL_BALISTICO_3-8_UL752, SEALANT, STUD, TRACK_BOTTOM, TRACK_TOP, excluded.INSULATION, scope[0].chain[1], scope[1].chain[0]</t>
        </is>
      </c>
      <c r="G208" s="46" t="inlineStr">
        <is>
          <t>4/A12.01 PARTITION TYPE A1K &amp; A5K labels 5/8" GYP.</t>
        </is>
      </c>
    </row>
    <row r="209" ht="33" customHeight="1" s="36">
      <c r="A209" s="59" t="n"/>
      <c r="B209" s="58" t="n">
        <v>4</v>
      </c>
      <c r="C209" s="44" t="inlineStr">
        <is>
          <t>1/S5.20</t>
        </is>
      </c>
      <c r="D209" s="59" t="inlineStr">
        <is>
          <t>Quantity</t>
        </is>
      </c>
      <c r="E209" s="46" t="inlineStr">
        <is>
          <t>"TYPICAL WALL FRAMING DETAILS". Holds sub-details A through F; sub-detail F "BRIDGING AND BRACING - CONTINUOUS BRIDGING" is the bracing one: 1 1/2" C.R. CHANNEL welded to every stud. (Bracing is NOT in 5/S5.20, which is TYPICAL WALL FRAMING CONNX.)</t>
        </is>
      </c>
      <c r="F209" s="46" t="inlineStr">
        <is>
          <t>BRACING</t>
        </is>
      </c>
      <c r="G209" s="46" t="inlineStr">
        <is>
          <t>1/S5.20 sub-detalle F "BRIDGING AND BRACING - CONTINUOUS BRIDGING" sets the 1 1/2" C.R.</t>
        </is>
      </c>
    </row>
    <row r="210" ht="33" customHeight="1" s="36">
      <c r="A210" s="59" t="n"/>
      <c r="B210" s="58" t="n">
        <v>5</v>
      </c>
      <c r="C210" s="44" t="inlineStr">
        <is>
          <t>7/S5.20</t>
        </is>
      </c>
      <c r="D210" s="59" t="inlineStr">
        <is>
          <t>Quantity</t>
        </is>
      </c>
      <c r="E210" s="46" t="inlineStr">
        <is>
          <t>"METAL STUDS SCHEDULES". The profile: web, flange, lip, mils, gauge and the APPLICATION column with the spacing ("INTERIOR WALLS @ 16" O.C."), plus the SILL TRACK ANCHORAGE and the FASTENER SCHEDULE.</t>
        </is>
      </c>
      <c r="F210" s="46" t="inlineStr">
        <is>
          <t>STUD, excluded.CLIPS</t>
        </is>
      </c>
      <c r="G210" s="46" t="inlineStr">
        <is>
          <t>MAX" de 4/A12.01 -- es mas grueso que el 33 mil de 7/S5.20 porque es wall balistico).</t>
        </is>
      </c>
    </row>
    <row r="211" ht="43.5" customHeight="1" s="36">
      <c r="A211" s="59" t="n"/>
      <c r="B211" s="58" t="n">
        <v>6</v>
      </c>
      <c r="C211" s="44" t="inlineStr">
        <is>
          <t>A09.01</t>
        </is>
      </c>
      <c r="D211" s="59" t="inlineStr">
        <is>
          <t>Exclusion</t>
        </is>
      </c>
      <c r="E211" s="46" t="inlineStr">
        <is>
          <t>Exterior Elevations: "SOUTH ELEVATION" and "WEST ELEVATION" at 1/4"=1'-0". Extent of each exterior material and the material legend, verbatim "CJ CONTROL JOINT; PAINT TO MATCH STUCCO FINISH COLOR" - that joint is the STUCCO joint, not gypsum.</t>
        </is>
      </c>
      <c r="F211" s="46" t="inlineStr">
        <is>
          <t>excluded.CONTROL_JOINT</t>
        </is>
      </c>
      <c r="G21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12" ht="33" customHeight="1" s="36">
      <c r="A212" s="59" t="n"/>
      <c r="B212" s="58" t="n">
        <v>7</v>
      </c>
      <c r="C212" s="44" t="inlineStr">
        <is>
          <t>A00.01</t>
        </is>
      </c>
      <c r="D212" s="59" t="inlineStr">
        <is>
          <t>Exclusion</t>
        </is>
      </c>
      <c r="E212" s="46" t="inlineStr">
        <is>
          <t>Cover sheet and Drawing Index. Proof by ABSENCE: the index lists no interior Demolition Plan, which is why there is no patch-and-repair line item.</t>
        </is>
      </c>
      <c r="F212" s="46" t="inlineStr">
        <is>
          <t>excluded.PATCH</t>
        </is>
      </c>
      <c r="G212" s="46" t="inlineStr">
        <is>
          <t>Obra ground-up: sin Demolition Plan interior en el Drawing Index de A00.01 y la Construction Plan Legend rotula estas bandas como NEW PARTITION WITH KEVLAR REINFORCEMENT, o sea construccion nueva.</t>
        </is>
      </c>
    </row>
    <row r="213" ht="33" customHeight="1" s="36">
      <c r="A213" s="59" t="n"/>
      <c r="B213" s="58" t="n">
        <v>8</v>
      </c>
      <c r="C213" s="44" t="inlineStr">
        <is>
          <t>A09.27</t>
        </is>
      </c>
      <c r="D213" s="59" t="inlineStr">
        <is>
          <t>Exclusion</t>
        </is>
      </c>
      <c r="E213" s="46" t="inlineStr">
        <is>
          <t>Gypsum Section Details, the sheet. Cited as a sheet when the finding is that NO detail on it labels a gypsum control joint.</t>
        </is>
      </c>
      <c r="F213" s="46" t="inlineStr">
        <is>
          <t>excluded.CONTROL_JOINT</t>
        </is>
      </c>
      <c r="G213" s="46" t="inlineStr">
        <is>
          <t>El set no rotula ni detalla ninguna junta de control de gypsum board, ni en A12.01 ni en los detalles de A09.27/A09.33, y no hay seccion de especificaciones 09 29 00 en el bid set.</t>
        </is>
      </c>
    </row>
    <row r="214" ht="33" customHeight="1" s="36">
      <c r="A214" s="59" t="n"/>
      <c r="B214" s="58" t="n">
        <v>9</v>
      </c>
      <c r="C214" s="44" t="inlineStr">
        <is>
          <t>A09.33</t>
        </is>
      </c>
      <c r="D214" s="59" t="inlineStr">
        <is>
          <t>Exclusion</t>
        </is>
      </c>
      <c r="E214" s="46" t="inlineStr">
        <is>
          <t>Ceiling Details, the sheet. Cited as a sheet for a finding by ABSENCE: its details label corner bead, casing bead and shadow molding one by one and NONE labels a control joint, so the omission is not a labeling oversight.</t>
        </is>
      </c>
      <c r="F214" s="46" t="inlineStr">
        <is>
          <t>excluded.CONTROL_JOINT</t>
        </is>
      </c>
      <c r="G214" s="46" t="inlineStr">
        <is>
          <t>El set no rotula ni detalla ninguna junta de control de gypsum board, ni en A12.01 ni en los detalles de A09.27/A09.33, y no hay seccion de especificaciones 09 29 00 en el bid set.</t>
        </is>
      </c>
    </row>
    <row r="215" ht="33" customHeight="1" s="36">
      <c r="A215" s="44" t="inlineStr">
        <is>
          <t>A1K #12</t>
        </is>
      </c>
      <c r="B215" s="58" t="n">
        <v>1</v>
      </c>
      <c r="C215" s="44" t="inlineStr">
        <is>
          <t>A02.01</t>
        </is>
      </c>
      <c r="D215" s="59" t="inlineStr">
        <is>
          <t>Scope</t>
        </is>
      </c>
      <c r="E215" s="46" t="inlineStr">
        <is>
          <t>Construction Plan. Entry sheet for partitions and openings: vector geometry of every wall face at 1/4"=1'-0", the leader of every partition tag, the Construction Plan Legend (new vs. existing) and the Construction Plan Notes.</t>
        </is>
      </c>
      <c r="F215" s="46" t="inlineStr">
        <is>
          <t>excluded.BLOCKING, scope[0].chain[0], scope[0].chain[1]</t>
        </is>
      </c>
      <c r="G215" s="46" t="inlineStr">
        <is>
          <t>A02.01 tag A1K con su leader aterrizando dentro de esta banda, y la banda con HATCH diagonal a 45 grados entre faces</t>
        </is>
      </c>
    </row>
    <row r="216" ht="25.5" customHeight="1" s="36">
      <c r="A216" s="59" t="n"/>
      <c r="B216" s="58" t="n">
        <v>2</v>
      </c>
      <c r="C216" s="44" t="inlineStr">
        <is>
          <t>S2.20</t>
        </is>
      </c>
      <c r="D216" s="59" t="inlineStr">
        <is>
          <t>Dimension</t>
        </is>
      </c>
      <c r="E216" s="46" t="inlineStr">
        <is>
          <t>"ROOF FRAMING PLAN". Source of the STUD HEIGHT: every B.O.D. callout on the sheet and the slope of the bay between grids B and A (1/4" per foot).</t>
        </is>
      </c>
      <c r="F216" s="46" t="inlineStr">
        <is>
          <t>face[0].board_height, face[1].board_height, scope[1].chain[1], stud_height</t>
        </is>
      </c>
      <c r="G216" s="46" t="inlineStr">
        <is>
          <t>S2.20: del eje B (y=1246, 13'-0 5/8") al eje A (y=1700.5, 12'-6 3/8") con pendiente de 1/4" por pie.</t>
        </is>
      </c>
    </row>
    <row r="217" ht="33" customHeight="1" s="36">
      <c r="A217" s="59" t="n"/>
      <c r="B217" s="58" t="n">
        <v>3</v>
      </c>
      <c r="C217" s="44" t="inlineStr">
        <is>
          <t>4/A12.01</t>
        </is>
      </c>
      <c r="D217" s="59" t="inlineStr">
        <is>
          <t>Quantity</t>
        </is>
      </c>
      <c r="E217" s="46" t="inlineStr">
        <is>
          <t>"PARTITION TYPE A1K &amp; A5K". The K types. On an A1 wall it enters as a CONTRAST: detail 4 calls for 14 GA @ 24" O.C. MAX in its own note and detail 3 does not, so on the A1 the 7/S5.20 schedule governs.</t>
        </is>
      </c>
      <c r="F217" s="46" t="inlineStr">
        <is>
          <t>BOARD, BOARD_3-8, BRACING, CASING_BEAD, FASTENER_PWR_DRIVEN, PANEL_BALISTICO_3-8_UL752, SEALANT, STUD, TRACK_BOTTOM, TRACK_TOP, excluded.INSULATION, scope[0].chain[1], scope[1].chain[0]</t>
        </is>
      </c>
      <c r="G217" s="46" t="inlineStr">
        <is>
          <t>4/A12.01 PARTITION TYPE A1K &amp; A5K labels 5/8" GYP.</t>
        </is>
      </c>
    </row>
    <row r="218" ht="33" customHeight="1" s="36">
      <c r="A218" s="59" t="n"/>
      <c r="B218" s="58" t="n">
        <v>4</v>
      </c>
      <c r="C218" s="44" t="inlineStr">
        <is>
          <t>1/S5.20</t>
        </is>
      </c>
      <c r="D218" s="59" t="inlineStr">
        <is>
          <t>Quantity</t>
        </is>
      </c>
      <c r="E218" s="46" t="inlineStr">
        <is>
          <t>"TYPICAL WALL FRAMING DETAILS". Holds sub-details A through F; sub-detail F "BRIDGING AND BRACING - CONTINUOUS BRIDGING" is the bracing one: 1 1/2" C.R. CHANNEL welded to every stud. (Bracing is NOT in 5/S5.20, which is TYPICAL WALL FRAMING CONNX.)</t>
        </is>
      </c>
      <c r="F218" s="46" t="inlineStr">
        <is>
          <t>BRACING</t>
        </is>
      </c>
      <c r="G218" s="46" t="inlineStr">
        <is>
          <t>1/S5.20 sub-detalle F "BRIDGING AND BRACING - CONTINUOUS BRIDGING" sets the 1 1/2" C.R.</t>
        </is>
      </c>
    </row>
    <row r="219" ht="33" customHeight="1" s="36">
      <c r="A219" s="59" t="n"/>
      <c r="B219" s="58" t="n">
        <v>5</v>
      </c>
      <c r="C219" s="44" t="inlineStr">
        <is>
          <t>7/S5.20</t>
        </is>
      </c>
      <c r="D219" s="59" t="inlineStr">
        <is>
          <t>Quantity</t>
        </is>
      </c>
      <c r="E219" s="46" t="inlineStr">
        <is>
          <t>"METAL STUDS SCHEDULES". The profile: web, flange, lip, mils, gauge and the APPLICATION column with the spacing ("INTERIOR WALLS @ 16" O.C."), plus the SILL TRACK ANCHORAGE and the FASTENER SCHEDULE.</t>
        </is>
      </c>
      <c r="F219" s="46" t="inlineStr">
        <is>
          <t>STUD, excluded.CLIPS</t>
        </is>
      </c>
      <c r="G219" s="46" t="inlineStr">
        <is>
          <t>MAX" de 4/A12.01 -- es mas grueso que el 33 mil de 7/S5.20 porque es wall balistico).</t>
        </is>
      </c>
    </row>
    <row r="220" ht="43.5" customHeight="1" s="36">
      <c r="A220" s="59" t="n"/>
      <c r="B220" s="58" t="n">
        <v>6</v>
      </c>
      <c r="C220" s="44" t="inlineStr">
        <is>
          <t>A09.01</t>
        </is>
      </c>
      <c r="D220" s="59" t="inlineStr">
        <is>
          <t>Exclusion</t>
        </is>
      </c>
      <c r="E220" s="46" t="inlineStr">
        <is>
          <t>Exterior Elevations: "SOUTH ELEVATION" and "WEST ELEVATION" at 1/4"=1'-0". Extent of each exterior material and the material legend, verbatim "CJ CONTROL JOINT; PAINT TO MATCH STUCCO FINISH COLOR" - that joint is the STUCCO joint, not gypsum.</t>
        </is>
      </c>
      <c r="F220" s="46" t="inlineStr">
        <is>
          <t>excluded.CONTROL_JOINT</t>
        </is>
      </c>
      <c r="G22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21" ht="33" customHeight="1" s="36">
      <c r="A221" s="59" t="n"/>
      <c r="B221" s="58" t="n">
        <v>7</v>
      </c>
      <c r="C221" s="44" t="inlineStr">
        <is>
          <t>A00.01</t>
        </is>
      </c>
      <c r="D221" s="59" t="inlineStr">
        <is>
          <t>Exclusion</t>
        </is>
      </c>
      <c r="E221" s="46" t="inlineStr">
        <is>
          <t>Cover sheet and Drawing Index. Proof by ABSENCE: the index lists no interior Demolition Plan, which is why there is no patch-and-repair line item.</t>
        </is>
      </c>
      <c r="F221" s="46" t="inlineStr">
        <is>
          <t>excluded.PATCH</t>
        </is>
      </c>
      <c r="G221" s="46" t="inlineStr">
        <is>
          <t>Obra ground-up: sin Demolition Plan interior en el Drawing Index de A00.01 y la Construction Plan Legend rotula estas bandas como NEW PARTITION WITH KEVLAR REINFORCEMENT, o sea construccion nueva.</t>
        </is>
      </c>
    </row>
    <row r="222" ht="33" customHeight="1" s="36">
      <c r="A222" s="59" t="n"/>
      <c r="B222" s="58" t="n">
        <v>8</v>
      </c>
      <c r="C222" s="44" t="inlineStr">
        <is>
          <t>A09.27</t>
        </is>
      </c>
      <c r="D222" s="59" t="inlineStr">
        <is>
          <t>Exclusion</t>
        </is>
      </c>
      <c r="E222" s="46" t="inlineStr">
        <is>
          <t>Gypsum Section Details, the sheet. Cited as a sheet when the finding is that NO detail on it labels a gypsum control joint.</t>
        </is>
      </c>
      <c r="F222" s="46" t="inlineStr">
        <is>
          <t>excluded.CONTROL_JOINT</t>
        </is>
      </c>
      <c r="G222" s="46" t="inlineStr">
        <is>
          <t>El set no rotula ni detalla ninguna junta de control de gypsum board, ni en A12.01 ni en los detalles de A09.27/A09.33, y no hay seccion de especificaciones 09 29 00 en el bid set.</t>
        </is>
      </c>
    </row>
    <row r="223" ht="33" customHeight="1" s="36">
      <c r="A223" s="59" t="n"/>
      <c r="B223" s="58" t="n">
        <v>9</v>
      </c>
      <c r="C223" s="44" t="inlineStr">
        <is>
          <t>A09.33</t>
        </is>
      </c>
      <c r="D223" s="59" t="inlineStr">
        <is>
          <t>Exclusion</t>
        </is>
      </c>
      <c r="E223" s="46" t="inlineStr">
        <is>
          <t>Ceiling Details, the sheet. Cited as a sheet for a finding by ABSENCE: its details label corner bead, casing bead and shadow molding one by one and NONE labels a control joint, so the omission is not a labeling oversight.</t>
        </is>
      </c>
      <c r="F223" s="46" t="inlineStr">
        <is>
          <t>excluded.CONTROL_JOINT</t>
        </is>
      </c>
      <c r="G223" s="46" t="inlineStr">
        <is>
          <t>El set no rotula ni detalla ninguna junta de control de gypsum board, ni en A12.01 ni en los detalles de A09.27/A09.33, y no hay seccion de especificaciones 09 29 00 en el bid set.</t>
        </is>
      </c>
    </row>
    <row r="224" ht="33" customHeight="1" s="36">
      <c r="A224" s="44" t="inlineStr">
        <is>
          <t>A1K #13</t>
        </is>
      </c>
      <c r="B224" s="58" t="n">
        <v>1</v>
      </c>
      <c r="C224" s="44" t="inlineStr">
        <is>
          <t>A02.01</t>
        </is>
      </c>
      <c r="D224" s="59" t="inlineStr">
        <is>
          <t>Scope</t>
        </is>
      </c>
      <c r="E224" s="46" t="inlineStr">
        <is>
          <t>Construction Plan. Entry sheet for partitions and openings: vector geometry of every wall face at 1/4"=1'-0", the leader of every partition tag, the Construction Plan Legend (new vs. existing) and the Construction Plan Notes.</t>
        </is>
      </c>
      <c r="F224" s="46" t="inlineStr">
        <is>
          <t>excluded.BLOCKING, scope[0].chain[0], scope[0].chain[1]</t>
        </is>
      </c>
      <c r="G224" s="46" t="inlineStr">
        <is>
          <t>A02.01 tag A1K con su leader aterrizando dentro de esta banda, y la banda con HATCH diagonal a 45 grados entre faces</t>
        </is>
      </c>
    </row>
    <row r="225" ht="25.5" customHeight="1" s="36">
      <c r="A225" s="59" t="n"/>
      <c r="B225" s="58" t="n">
        <v>2</v>
      </c>
      <c r="C225" s="44" t="inlineStr">
        <is>
          <t>S2.20</t>
        </is>
      </c>
      <c r="D225" s="59" t="inlineStr">
        <is>
          <t>Dimension</t>
        </is>
      </c>
      <c r="E225" s="46" t="inlineStr">
        <is>
          <t>"ROOF FRAMING PLAN". Source of the STUD HEIGHT: every B.O.D. callout on the sheet and the slope of the bay between grids B and A (1/4" per foot).</t>
        </is>
      </c>
      <c r="F225" s="46" t="inlineStr">
        <is>
          <t>face[0].board_height, face[1].board_height, scope[1].chain[1], stud_height</t>
        </is>
      </c>
      <c r="G225" s="46" t="inlineStr">
        <is>
          <t>S2.20 misma zona en pendiente: y=1359.2 -&gt; 13.052 - (1359.2-1246)/18 x 0.25/12 = 12.921 ft, menos el datum T/SLAB 0'-0" de la misma hoja: 12.921 - 0 = 12.921 ft.</t>
        </is>
      </c>
    </row>
    <row r="226" ht="33" customHeight="1" s="36">
      <c r="A226" s="59" t="n"/>
      <c r="B226" s="58" t="n">
        <v>3</v>
      </c>
      <c r="C226" s="44" t="inlineStr">
        <is>
          <t>4/A12.01</t>
        </is>
      </c>
      <c r="D226" s="59" t="inlineStr">
        <is>
          <t>Quantity</t>
        </is>
      </c>
      <c r="E226" s="46" t="inlineStr">
        <is>
          <t>"PARTITION TYPE A1K &amp; A5K". The K types. On an A1 wall it enters as a CONTRAST: detail 4 calls for 14 GA @ 24" O.C. MAX in its own note and detail 3 does not, so on the A1 the 7/S5.20 schedule governs.</t>
        </is>
      </c>
      <c r="F226" s="46" t="inlineStr">
        <is>
          <t>BOARD, BOARD_3-8, BRACING, CASING_BEAD, FASTENER_PWR_DRIVEN, PANEL_BALISTICO_3-8_UL752, SEALANT, STUD, TRACK_BOTTOM, TRACK_TOP, excluded.INSULATION, scope[0].chain[1], scope[1].chain[0]</t>
        </is>
      </c>
      <c r="G226" s="46" t="inlineStr">
        <is>
          <t>4/A12.01 PARTITION TYPE A1K &amp; A5K labels 5/8" GYP.</t>
        </is>
      </c>
    </row>
    <row r="227" ht="33" customHeight="1" s="36">
      <c r="A227" s="59" t="n"/>
      <c r="B227" s="58" t="n">
        <v>4</v>
      </c>
      <c r="C227" s="44" t="inlineStr">
        <is>
          <t>1/S5.20</t>
        </is>
      </c>
      <c r="D227" s="59" t="inlineStr">
        <is>
          <t>Quantity</t>
        </is>
      </c>
      <c r="E227" s="46" t="inlineStr">
        <is>
          <t>"TYPICAL WALL FRAMING DETAILS". Holds sub-details A through F; sub-detail F "BRIDGING AND BRACING - CONTINUOUS BRIDGING" is the bracing one: 1 1/2" C.R. CHANNEL welded to every stud. (Bracing is NOT in 5/S5.20, which is TYPICAL WALL FRAMING CONNX.)</t>
        </is>
      </c>
      <c r="F227" s="46" t="inlineStr">
        <is>
          <t>BRACING</t>
        </is>
      </c>
      <c r="G227" s="46" t="inlineStr">
        <is>
          <t>1/S5.20 sub-detalle F "BRIDGING AND BRACING - CONTINUOUS BRIDGING" sets the 1 1/2" C.R.</t>
        </is>
      </c>
    </row>
    <row r="228" ht="33" customHeight="1" s="36">
      <c r="A228" s="59" t="n"/>
      <c r="B228" s="58" t="n">
        <v>5</v>
      </c>
      <c r="C228" s="44" t="inlineStr">
        <is>
          <t>7/S5.20</t>
        </is>
      </c>
      <c r="D228" s="59" t="inlineStr">
        <is>
          <t>Quantity</t>
        </is>
      </c>
      <c r="E228" s="46" t="inlineStr">
        <is>
          <t>"METAL STUDS SCHEDULES". The profile: web, flange, lip, mils, gauge and the APPLICATION column with the spacing ("INTERIOR WALLS @ 16" O.C."), plus the SILL TRACK ANCHORAGE and the FASTENER SCHEDULE.</t>
        </is>
      </c>
      <c r="F228" s="46" t="inlineStr">
        <is>
          <t>STUD, excluded.CLIPS</t>
        </is>
      </c>
      <c r="G228" s="46" t="inlineStr">
        <is>
          <t>MAX" de 4/A12.01 -- es mas grueso que el 33 mil de 7/S5.20 porque es wall balistico).</t>
        </is>
      </c>
    </row>
    <row r="229" ht="43.5" customHeight="1" s="36">
      <c r="A229" s="59" t="n"/>
      <c r="B229" s="58" t="n">
        <v>6</v>
      </c>
      <c r="C229" s="44" t="inlineStr">
        <is>
          <t>A09.01</t>
        </is>
      </c>
      <c r="D229" s="59" t="inlineStr">
        <is>
          <t>Exclusion</t>
        </is>
      </c>
      <c r="E229" s="46" t="inlineStr">
        <is>
          <t>Exterior Elevations: "SOUTH ELEVATION" and "WEST ELEVATION" at 1/4"=1'-0". Extent of each exterior material and the material legend, verbatim "CJ CONTROL JOINT; PAINT TO MATCH STUCCO FINISH COLOR" - that joint is the STUCCO joint, not gypsum.</t>
        </is>
      </c>
      <c r="F229" s="46" t="inlineStr">
        <is>
          <t>excluded.CONTROL_JOINT</t>
        </is>
      </c>
      <c r="G22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30" ht="33" customHeight="1" s="36">
      <c r="A230" s="59" t="n"/>
      <c r="B230" s="58" t="n">
        <v>7</v>
      </c>
      <c r="C230" s="44" t="inlineStr">
        <is>
          <t>A00.01</t>
        </is>
      </c>
      <c r="D230" s="59" t="inlineStr">
        <is>
          <t>Exclusion</t>
        </is>
      </c>
      <c r="E230" s="46" t="inlineStr">
        <is>
          <t>Cover sheet and Drawing Index. Proof by ABSENCE: the index lists no interior Demolition Plan, which is why there is no patch-and-repair line item.</t>
        </is>
      </c>
      <c r="F230" s="46" t="inlineStr">
        <is>
          <t>excluded.PATCH</t>
        </is>
      </c>
      <c r="G230" s="46" t="inlineStr">
        <is>
          <t>Obra ground-up: sin Demolition Plan interior en el Drawing Index de A00.01 y la Construction Plan Legend rotula estas bandas como NEW PARTITION WITH KEVLAR REINFORCEMENT, o sea construccion nueva.</t>
        </is>
      </c>
    </row>
    <row r="231" ht="33" customHeight="1" s="36">
      <c r="A231" s="59" t="n"/>
      <c r="B231" s="58" t="n">
        <v>8</v>
      </c>
      <c r="C231" s="44" t="inlineStr">
        <is>
          <t>A09.27</t>
        </is>
      </c>
      <c r="D231" s="59" t="inlineStr">
        <is>
          <t>Exclusion</t>
        </is>
      </c>
      <c r="E231" s="46" t="inlineStr">
        <is>
          <t>Gypsum Section Details, the sheet. Cited as a sheet when the finding is that NO detail on it labels a gypsum control joint.</t>
        </is>
      </c>
      <c r="F231" s="46" t="inlineStr">
        <is>
          <t>excluded.CONTROL_JOINT</t>
        </is>
      </c>
      <c r="G231" s="46" t="inlineStr">
        <is>
          <t>El set no rotula ni detalla ninguna junta de control de gypsum board, ni en A12.01 ni en los detalles de A09.27/A09.33, y no hay seccion de especificaciones 09 29 00 en el bid set.</t>
        </is>
      </c>
    </row>
    <row r="232" ht="33" customHeight="1" s="36">
      <c r="A232" s="59" t="n"/>
      <c r="B232" s="58" t="n">
        <v>9</v>
      </c>
      <c r="C232" s="44" t="inlineStr">
        <is>
          <t>A09.33</t>
        </is>
      </c>
      <c r="D232" s="59" t="inlineStr">
        <is>
          <t>Exclusion</t>
        </is>
      </c>
      <c r="E232" s="46" t="inlineStr">
        <is>
          <t>Ceiling Details, the sheet. Cited as a sheet for a finding by ABSENCE: its details label corner bead, casing bead and shadow molding one by one and NONE labels a control joint, so the omission is not a labeling oversight.</t>
        </is>
      </c>
      <c r="F232" s="46" t="inlineStr">
        <is>
          <t>excluded.CONTROL_JOINT</t>
        </is>
      </c>
      <c r="G232" s="46" t="inlineStr">
        <is>
          <t>El set no rotula ni detalla ninguna junta de control de gypsum board, ni en A12.01 ni en los detalles de A09.27/A09.33, y no hay seccion de especificaciones 09 29 00 en el bid set.</t>
        </is>
      </c>
    </row>
    <row r="233" ht="33" customHeight="1" s="36">
      <c r="A233" s="44" t="inlineStr">
        <is>
          <t>A5 #14</t>
        </is>
      </c>
      <c r="B233" s="58" t="n">
        <v>1</v>
      </c>
      <c r="C233" s="44" t="inlineStr">
        <is>
          <t>A02.01</t>
        </is>
      </c>
      <c r="D233" s="59" t="inlineStr">
        <is>
          <t>Dimension</t>
        </is>
      </c>
      <c r="E233" s="46" t="inlineStr">
        <is>
          <t>Construction Plan. Entry sheet for partitions and openings: vector geometry of every wall face at 1/4"=1'-0", the leader of every partition tag, the Construction Plan Legend (new vs. existing) and the Construction Plan Notes.</t>
        </is>
      </c>
      <c r="F233" s="46" t="inlineStr">
        <is>
          <t>excluded.HEADER, excluded.PATCH, length.source, stud_height</t>
        </is>
      </c>
      <c r="G233" s="46" t="inlineStr">
        <is>
          <t>A02.01 printed dimension 19'-0", with its ticks at y=974.8 and y=1316.8, which are the two ends of this wall.</t>
        </is>
      </c>
    </row>
    <row r="234" ht="33" customHeight="1" s="36">
      <c r="A234" s="59" t="n"/>
      <c r="B234" s="58" t="n">
        <v>2</v>
      </c>
      <c r="C234" s="44" t="inlineStr">
        <is>
          <t>A04.01</t>
        </is>
      </c>
      <c r="D234" s="59" t="inlineStr">
        <is>
          <t>Dimension</t>
        </is>
      </c>
      <c r="E234" s="46" t="inlineStr">
        <is>
          <t>Reflected Ceiling Plan. Entry sheet for ceilings, soffits and canopy; on walls it gives the BOARD HEIGHT: each room ceiling tag with its printed A.F.F. dimension, plus the ceiling key notes.</t>
        </is>
      </c>
      <c r="F234" s="46" t="inlineStr">
        <is>
          <t>face[0].board_height, face[1].board_height</t>
        </is>
      </c>
      <c r="G234" s="46" t="inlineStr">
        <is>
          <t>A04.01 ACT-5 at 8'-6" in Calling Cubes 122, plus the 6" that 3/A12.01 PARTITION TYPE A1 &amp; A5 labels between the top of the board and the scheduled ceiling: 8.500 + 0.500 = 9.000 ft.</t>
        </is>
      </c>
    </row>
    <row r="235" ht="33" customHeight="1" s="36">
      <c r="A235" s="59" t="n"/>
      <c r="B235" s="58" t="n">
        <v>3</v>
      </c>
      <c r="C235" s="44" t="inlineStr">
        <is>
          <t>3/A12.01</t>
        </is>
      </c>
      <c r="D235" s="59" t="inlineStr">
        <is>
          <t>Dimension</t>
        </is>
      </c>
      <c r="E235" s="46" t="inlineStr">
        <is>
          <t>"PARTITION TYPE A1 &amp; A5". 3 5/8" stud, layers per face, WALL THICKNESS 4 7/8", slip track at the top, acoustic sealant at the slab and the 6" of board above the scheduled ceiling.</t>
        </is>
      </c>
      <c r="F235" s="46" t="inlineStr">
        <is>
          <t>BLOCKING, BOARD, SEALANT, TRACK_BOTTOM, TRACK_TOP, excluded.INSULATION, face[0].board_height, face[1].board_height</t>
        </is>
      </c>
      <c r="G235" s="46" t="inlineStr">
        <is>
          <t>A04.01 ACT-5 at 8'-6" in Calling Cubes 122, plus the 6" that 3/A12.01 PARTITION TYPE A1 &amp; A5 labels between the top of the board and the scheduled ceiling: 8.500 + 0.500 = 9.000 ft.</t>
        </is>
      </c>
    </row>
    <row r="236" ht="33" customHeight="1" s="36">
      <c r="A236" s="59" t="n"/>
      <c r="B236" s="58" t="n">
        <v>4</v>
      </c>
      <c r="C236" s="44" t="inlineStr">
        <is>
          <t>1/S5.20</t>
        </is>
      </c>
      <c r="D236" s="59" t="inlineStr">
        <is>
          <t>Quantity</t>
        </is>
      </c>
      <c r="E236" s="46" t="inlineStr">
        <is>
          <t>"TYPICAL WALL FRAMING DETAILS". Holds sub-details A through F; sub-detail F "BRIDGING AND BRACING - CONTINUOUS BRIDGING" is the bracing one: 1 1/2" C.R. CHANNEL welded to every stud. (Bracing is NOT in 5/S5.20, which is TYPICAL WALL FRAMING CONNX.)</t>
        </is>
      </c>
      <c r="F236" s="46" t="inlineStr">
        <is>
          <t>BRACING, excluded.CLIPS</t>
        </is>
      </c>
      <c r="G236" s="46" t="inlineStr">
        <is>
          <t>(1/S5.20 sub-detail F "BRIDGING AND BRACING - CONTINUOUS BRIDGING", welded to each stud; the spacing comes from 7/S5.20).</t>
        </is>
      </c>
    </row>
    <row r="237" ht="33" customHeight="1" s="36">
      <c r="A237" s="59" t="n"/>
      <c r="B237" s="58" t="n">
        <v>5</v>
      </c>
      <c r="C237" s="44" t="inlineStr">
        <is>
          <t>4/S5.20</t>
        </is>
      </c>
      <c r="D237" s="59" t="inlineStr">
        <is>
          <t>Quantity</t>
        </is>
      </c>
      <c r="E237" s="46" t="inlineStr">
        <is>
          <t>"TYPICAL BLOCKING DETAIL". STUD BLOCKING 362CR22 and CLIP ANGLE 362CR22, with the boxed verbatim note "PROVIDE BLOCKING AT THE EDGE OF GYPBOARD." - source of the blocking at EVERY free edge of board.</t>
        </is>
      </c>
      <c r="F237" s="46" t="inlineStr">
        <is>
          <t>BLOCKING</t>
        </is>
      </c>
      <c r="G237" s="46" t="inlineStr">
        <is>
          <t>4/S5.20 TYPICAL BLOCKING DETAIL, boxed note, textual: "PROVIDE BLOCKING AT THE EDGE OF GYPBOARD", with STUD BLOCKING 362CR22 (TYP.) and CLIP ANGLE 362CR22 (TYP.) &amp; BLOCKING W/ SCREWS (TYP.).</t>
        </is>
      </c>
    </row>
    <row r="238" ht="33" customHeight="1" s="36">
      <c r="A238" s="59" t="n"/>
      <c r="B238" s="58" t="n">
        <v>6</v>
      </c>
      <c r="C238" s="44" t="inlineStr">
        <is>
          <t>7/S5.20</t>
        </is>
      </c>
      <c r="D238" s="59" t="inlineStr">
        <is>
          <t>Quantity</t>
        </is>
      </c>
      <c r="E238" s="46" t="inlineStr">
        <is>
          <t>"METAL STUDS SCHEDULES". The profile: web, flange, lip, mils, gauge and the APPLICATION column with the spacing ("INTERIOR WALLS @ 16" O.C."), plus the SILL TRACK ANCHORAGE and the FASTENER SCHEDULE.</t>
        </is>
      </c>
      <c r="F238" s="46" t="inlineStr">
        <is>
          <t>BRACING, STUD, TRACK_BOTTOM, TRACK_TOP, excluded.CLIPS</t>
        </is>
      </c>
      <c r="G238" s="46" t="inlineStr">
        <is>
          <t>(1/S5.20 sub-detail F "BRIDGING AND BRACING - CONTINUOUS BRIDGING", welded to each stud; the spacing comes from 7/S5.20).</t>
        </is>
      </c>
    </row>
    <row r="239" ht="43.5" customHeight="1" s="36">
      <c r="A239" s="59" t="n"/>
      <c r="B239" s="58" t="n">
        <v>7</v>
      </c>
      <c r="C239" s="44" t="inlineStr">
        <is>
          <t>A09.01</t>
        </is>
      </c>
      <c r="D239" s="59" t="inlineStr">
        <is>
          <t>Exclusion</t>
        </is>
      </c>
      <c r="E239" s="46" t="inlineStr">
        <is>
          <t>Exterior Elevations: "SOUTH ELEVATION" and "WEST ELEVATION" at 1/4"=1'-0". Extent of each exterior material and the material legend, verbatim "CJ CONTROL JOINT; PAINT TO MATCH STUCCO FINISH COLOR" - that joint is the STUCCO joint, not gypsum.</t>
        </is>
      </c>
      <c r="F239" s="46" t="inlineStr">
        <is>
          <t>excluded.CONTROL_JOINT</t>
        </is>
      </c>
      <c r="G23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40" ht="33" customHeight="1" s="36">
      <c r="A240" s="59" t="n"/>
      <c r="B240" s="58" t="n">
        <v>8</v>
      </c>
      <c r="C240" s="44" t="inlineStr">
        <is>
          <t>A00.30</t>
        </is>
      </c>
      <c r="D240" s="59" t="inlineStr">
        <is>
          <t>Exclusion</t>
        </is>
      </c>
      <c r="E240" s="46" t="inlineStr">
        <is>
          <t>Door Schedule. Leaf width and height of every door and the frame type: source of the header, the board deduction and the reference to 10 and 11/A12.02.</t>
        </is>
      </c>
      <c r="F240" s="46" t="inlineStr">
        <is>
          <t>excluded.HEADER</t>
        </is>
      </c>
      <c r="G240" s="46" t="inlineStr">
        <is>
          <t>Run with no opening: the full run was walked by vector geometry on A02.01 and neither an end cap nor a jamb appears inside it, and the Door Schedule of A00.30 places no door on this band.</t>
        </is>
      </c>
    </row>
    <row r="241" ht="33" customHeight="1" s="36">
      <c r="A241" s="59" t="n"/>
      <c r="B241" s="58" t="n">
        <v>9</v>
      </c>
      <c r="C241" s="44" t="inlineStr">
        <is>
          <t>A09.27</t>
        </is>
      </c>
      <c r="D241" s="59" t="inlineStr">
        <is>
          <t>Exclusion</t>
        </is>
      </c>
      <c r="E241" s="46" t="inlineStr">
        <is>
          <t>Gypsum Section Details, the sheet. Cited as a sheet when the finding is that NO detail on it labels a gypsum control joint.</t>
        </is>
      </c>
      <c r="F241" s="46" t="inlineStr">
        <is>
          <t>excluded.CONTROL_JOINT</t>
        </is>
      </c>
      <c r="G241" s="46" t="inlineStr">
        <is>
          <t>El set no rotula ni detalla ninguna junta de control de gypsum board, ni en A12.01 ni en los detalles de A09.27/A09.33, y no hay seccion de especificaciones 09 29 00 en el bid set.</t>
        </is>
      </c>
    </row>
    <row r="242" ht="33" customHeight="1" s="36">
      <c r="A242" s="59" t="n"/>
      <c r="B242" s="58" t="n">
        <v>10</v>
      </c>
      <c r="C242" s="44" t="inlineStr">
        <is>
          <t>A09.33</t>
        </is>
      </c>
      <c r="D242" s="59" t="inlineStr">
        <is>
          <t>Exclusion</t>
        </is>
      </c>
      <c r="E242" s="46" t="inlineStr">
        <is>
          <t>Ceiling Details, the sheet. Cited as a sheet for a finding by ABSENCE: its details label corner bead, casing bead and shadow molding one by one and NONE labels a control joint, so the omission is not a labeling oversight.</t>
        </is>
      </c>
      <c r="F242" s="46" t="inlineStr">
        <is>
          <t>excluded.CONTROL_JOINT</t>
        </is>
      </c>
      <c r="G242" s="46" t="inlineStr">
        <is>
          <t>El set no rotula ni detalla ninguna junta de control de gypsum board, ni en A12.01 ni en los detalles de A09.27/A09.33, y no hay seccion de especificaciones 09 29 00 en el bid set.</t>
        </is>
      </c>
    </row>
    <row r="243" ht="33" customHeight="1" s="36">
      <c r="A243" s="44" t="inlineStr">
        <is>
          <t>A5 #15</t>
        </is>
      </c>
      <c r="B243" s="58" t="n">
        <v>1</v>
      </c>
      <c r="C243" s="44" t="inlineStr">
        <is>
          <t>A02.01</t>
        </is>
      </c>
      <c r="D243" s="59" t="inlineStr">
        <is>
          <t>Dimension</t>
        </is>
      </c>
      <c r="E243" s="46" t="inlineStr">
        <is>
          <t>Construction Plan. Entry sheet for partitions and openings: vector geometry of every wall face at 1/4"=1'-0", the leader of every partition tag, the Construction Plan Legend (new vs. existing) and the Construction Plan Notes.</t>
        </is>
      </c>
      <c r="F243" s="46" t="inlineStr">
        <is>
          <t>excluded.HEADER, excluded.PATCH, length, stud_height</t>
        </is>
      </c>
      <c r="G243" s="46" t="inlineStr">
        <is>
          <t>A02.01 vector geometry: faces lw 1.20 at x=1223.88 and x=1234.80 (measured thickness 10.92 pt = 7.28" against the 7 1/4" of the schedule of 3/A12.01 PARTITION TYPE A1 &amp; A5); run y=1031.0 to 1229.0 = 198.00 pt / 18 = 11.000 ft.</t>
        </is>
      </c>
    </row>
    <row r="244" ht="33" customHeight="1" s="36">
      <c r="A244" s="59" t="n"/>
      <c r="B244" s="58" t="n">
        <v>2</v>
      </c>
      <c r="C244" s="44" t="inlineStr">
        <is>
          <t>A04.01</t>
        </is>
      </c>
      <c r="D244" s="59" t="inlineStr">
        <is>
          <t>Dimension</t>
        </is>
      </c>
      <c r="E244" s="46" t="inlineStr">
        <is>
          <t>Reflected Ceiling Plan. Entry sheet for ceilings, soffits and canopy; on walls it gives the BOARD HEIGHT: each room ceiling tag with its printed A.F.F. dimension, plus the ceiling key notes.</t>
        </is>
      </c>
      <c r="F244" s="46" t="inlineStr">
        <is>
          <t>face[0].board_height, face[1].board_height</t>
        </is>
      </c>
      <c r="G244" s="46" t="inlineStr">
        <is>
          <t>A04.01 ACT-5 at 8'-6" in Calling Cubes 122, plus the 6" that 3/A12.01 PARTITION TYPE A1 &amp; A5 labels between the top of the board and the scheduled ceiling: 8.500 + 0.500 = 9.000 ft.</t>
        </is>
      </c>
    </row>
    <row r="245" ht="25.5" customHeight="1" s="36">
      <c r="A245" s="59" t="n"/>
      <c r="B245" s="58" t="n">
        <v>3</v>
      </c>
      <c r="C245" s="44" t="inlineStr">
        <is>
          <t>S2.20</t>
        </is>
      </c>
      <c r="D245" s="59" t="inlineStr">
        <is>
          <t>Dimension</t>
        </is>
      </c>
      <c r="E245" s="46" t="inlineStr">
        <is>
          <t>"ROOF FRAMING PLAN". Source of the STUD HEIGHT: every B.O.D. callout on the sheet and the slope of the bay between grids B and A (1/4" per foot).</t>
        </is>
      </c>
      <c r="F245" s="46" t="inlineStr">
        <is>
          <t>stud_height</t>
        </is>
      </c>
      <c r="G245" s="46" t="inlineStr">
        <is>
          <t>S2.20 prints the ELEVATION B.O.D.</t>
        </is>
      </c>
    </row>
    <row r="246" ht="33" customHeight="1" s="36">
      <c r="A246" s="59" t="n"/>
      <c r="B246" s="58" t="n">
        <v>4</v>
      </c>
      <c r="C246" s="44" t="inlineStr">
        <is>
          <t>3/A12.01</t>
        </is>
      </c>
      <c r="D246" s="59" t="inlineStr">
        <is>
          <t>Dimension</t>
        </is>
      </c>
      <c r="E246" s="46" t="inlineStr">
        <is>
          <t>"PARTITION TYPE A1 &amp; A5". 3 5/8" stud, layers per face, WALL THICKNESS 4 7/8", slip track at the top, acoustic sealant at the slab and the 6" of board above the scheduled ceiling.</t>
        </is>
      </c>
      <c r="F246" s="46" t="inlineStr">
        <is>
          <t>BLOCKING, BOARD, SEALANT, TRACK_BOTTOM, TRACK_TOP, excluded.INSULATION, face[0].board_height, face[1].board_height, length</t>
        </is>
      </c>
      <c r="G246" s="46" t="inlineStr">
        <is>
          <t>A04.01 ACT-5 at 8'-6" in Calling Cubes 122, plus the 6" that 3/A12.01 PARTITION TYPE A1 &amp; A5 labels between the top of the board and the scheduled ceiling: 8.500 + 0.500 = 9.000 ft.</t>
        </is>
      </c>
    </row>
    <row r="247" ht="33" customHeight="1" s="36">
      <c r="A247" s="59" t="n"/>
      <c r="B247" s="58" t="n">
        <v>5</v>
      </c>
      <c r="C247" s="44" t="inlineStr">
        <is>
          <t>1/S5.20</t>
        </is>
      </c>
      <c r="D247" s="59" t="inlineStr">
        <is>
          <t>Quantity</t>
        </is>
      </c>
      <c r="E247" s="46" t="inlineStr">
        <is>
          <t>"TYPICAL WALL FRAMING DETAILS". Holds sub-details A through F; sub-detail F "BRIDGING AND BRACING - CONTINUOUS BRIDGING" is the bracing one: 1 1/2" C.R. CHANNEL welded to every stud. (Bracing is NOT in 5/S5.20, which is TYPICAL WALL FRAMING CONNX.)</t>
        </is>
      </c>
      <c r="F247" s="46" t="inlineStr">
        <is>
          <t>BRACING, excluded.CLIPS</t>
        </is>
      </c>
      <c r="G247" s="46" t="inlineStr">
        <is>
          <t>(1/S5.20 sub-detail F "BRIDGING AND BRACING - CONTINUOUS BRIDGING", welded to each stud; the spacing comes from 7/S5.20).</t>
        </is>
      </c>
    </row>
    <row r="248" ht="33" customHeight="1" s="36">
      <c r="A248" s="59" t="n"/>
      <c r="B248" s="58" t="n">
        <v>6</v>
      </c>
      <c r="C248" s="44" t="inlineStr">
        <is>
          <t>4/S5.20</t>
        </is>
      </c>
      <c r="D248" s="59" t="inlineStr">
        <is>
          <t>Quantity</t>
        </is>
      </c>
      <c r="E248" s="46" t="inlineStr">
        <is>
          <t>"TYPICAL BLOCKING DETAIL". STUD BLOCKING 362CR22 and CLIP ANGLE 362CR22, with the boxed verbatim note "PROVIDE BLOCKING AT THE EDGE OF GYPBOARD." - source of the blocking at EVERY free edge of board.</t>
        </is>
      </c>
      <c r="F248" s="46" t="inlineStr">
        <is>
          <t>BLOCKING</t>
        </is>
      </c>
      <c r="G248" s="46" t="inlineStr">
        <is>
          <t>4/S5.20 TYPICAL BLOCKING DETAIL, boxed note, textual: "PROVIDE BLOCKING AT THE EDGE OF GYPBOARD", with STUD BLOCKING 362CR22 (TYP.) and CLIP ANGLE 362CR22 (TYP.) &amp; BLOCKING W/ SCREWS (TYP.).</t>
        </is>
      </c>
    </row>
    <row r="249" ht="33" customHeight="1" s="36">
      <c r="A249" s="59" t="n"/>
      <c r="B249" s="58" t="n">
        <v>7</v>
      </c>
      <c r="C249" s="44" t="inlineStr">
        <is>
          <t>7/S5.20</t>
        </is>
      </c>
      <c r="D249" s="59" t="inlineStr">
        <is>
          <t>Quantity</t>
        </is>
      </c>
      <c r="E249" s="46" t="inlineStr">
        <is>
          <t>"METAL STUDS SCHEDULES". The profile: web, flange, lip, mils, gauge and the APPLICATION column with the spacing ("INTERIOR WALLS @ 16" O.C."), plus the SILL TRACK ANCHORAGE and the FASTENER SCHEDULE.</t>
        </is>
      </c>
      <c r="F249" s="46" t="inlineStr">
        <is>
          <t>BRACING, STUD, TRACK_BOTTOM, TRACK_TOP, excluded.CLIPS</t>
        </is>
      </c>
      <c r="G249" s="46" t="inlineStr">
        <is>
          <t>(1/S5.20 sub-detail F "BRIDGING AND BRACING - CONTINUOUS BRIDGING", welded to each stud; the spacing comes from 7/S5.20).</t>
        </is>
      </c>
    </row>
    <row r="250" ht="43.5" customHeight="1" s="36">
      <c r="A250" s="59" t="n"/>
      <c r="B250" s="58" t="n">
        <v>8</v>
      </c>
      <c r="C250" s="44" t="inlineStr">
        <is>
          <t>A09.01</t>
        </is>
      </c>
      <c r="D250" s="59" t="inlineStr">
        <is>
          <t>Exclusion</t>
        </is>
      </c>
      <c r="E250" s="46" t="inlineStr">
        <is>
          <t>Exterior Elevations: "SOUTH ELEVATION" and "WEST ELEVATION" at 1/4"=1'-0". Extent of each exterior material and the material legend, verbatim "CJ CONTROL JOINT; PAINT TO MATCH STUCCO FINISH COLOR" - that joint is the STUCCO joint, not gypsum.</t>
        </is>
      </c>
      <c r="F250" s="46" t="inlineStr">
        <is>
          <t>excluded.CONTROL_JOINT</t>
        </is>
      </c>
      <c r="G25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51" ht="25.5" customHeight="1" s="36">
      <c r="A251" s="59" t="n"/>
      <c r="B251" s="58" t="n">
        <v>9</v>
      </c>
      <c r="C251" s="44" t="inlineStr">
        <is>
          <t>A00.30</t>
        </is>
      </c>
      <c r="D251" s="59" t="inlineStr">
        <is>
          <t>Quantity</t>
        </is>
      </c>
      <c r="E251" s="46" t="inlineStr">
        <is>
          <t>Door Schedule. Leaf width and height of every door and the frame type: source of the header, the board deduction and the reference to 10 and 11/A12.02.</t>
        </is>
      </c>
      <c r="F251" s="46" t="inlineStr">
        <is>
          <t>BLOCKING, excluded.HEADER</t>
        </is>
      </c>
      <c r="G251" s="46" t="inlineStr">
        <is>
          <t>A12.05 MILLWORK DETAILS - MW07 and the Millwork Schedule of A00.30 locate it; 4/S5.20 TYPICAL BLOCKING DETAIL defines the piece.</t>
        </is>
      </c>
    </row>
    <row r="252" ht="33" customHeight="1" s="36">
      <c r="A252" s="59" t="n"/>
      <c r="B252" s="58" t="n">
        <v>10</v>
      </c>
      <c r="C252" s="44" t="inlineStr">
        <is>
          <t>A09.27</t>
        </is>
      </c>
      <c r="D252" s="59" t="inlineStr">
        <is>
          <t>Exclusion</t>
        </is>
      </c>
      <c r="E252" s="46" t="inlineStr">
        <is>
          <t>Gypsum Section Details, the sheet. Cited as a sheet when the finding is that NO detail on it labels a gypsum control joint.</t>
        </is>
      </c>
      <c r="F252" s="46" t="inlineStr">
        <is>
          <t>excluded.CONTROL_JOINT</t>
        </is>
      </c>
      <c r="G252" s="46" t="inlineStr">
        <is>
          <t>El set no rotula ni detalla ninguna junta de control de gypsum board, ni en A12.01 ni en los detalles de A09.27/A09.33, y no hay seccion de especificaciones 09 29 00 en el bid set.</t>
        </is>
      </c>
    </row>
    <row r="253" ht="33" customHeight="1" s="36">
      <c r="A253" s="59" t="n"/>
      <c r="B253" s="58" t="n">
        <v>11</v>
      </c>
      <c r="C253" s="44" t="inlineStr">
        <is>
          <t>A09.33</t>
        </is>
      </c>
      <c r="D253" s="59" t="inlineStr">
        <is>
          <t>Exclusion</t>
        </is>
      </c>
      <c r="E253" s="46" t="inlineStr">
        <is>
          <t>Ceiling Details, the sheet. Cited as a sheet for a finding by ABSENCE: its details label corner bead, casing bead and shadow molding one by one and NONE labels a control joint, so the omission is not a labeling oversight.</t>
        </is>
      </c>
      <c r="F253" s="46" t="inlineStr">
        <is>
          <t>excluded.CONTROL_JOINT</t>
        </is>
      </c>
      <c r="G253" s="46" t="inlineStr">
        <is>
          <t>El set no rotula ni detalla ninguna junta de control de gypsum board, ni en A12.01 ni en los detalles de A09.27/A09.33, y no hay seccion de especificaciones 09 29 00 en el bid set.</t>
        </is>
      </c>
    </row>
    <row r="254" ht="25.5" customHeight="1" s="36">
      <c r="A254" s="59" t="n"/>
      <c r="B254" s="58" t="n">
        <v>12</v>
      </c>
      <c r="C254" s="44" t="inlineStr">
        <is>
          <t>A12.05</t>
        </is>
      </c>
      <c r="D254" s="59" t="inlineStr">
        <is>
          <t>Quantity</t>
        </is>
      </c>
      <c r="E254" s="46" t="inlineStr">
        <is>
          <t>Millwork details MW07, MW11, MW12. Our scope here is the blocking.</t>
        </is>
      </c>
      <c r="F254" s="46" t="inlineStr">
        <is>
          <t>BLOCKING</t>
        </is>
      </c>
      <c r="G254" s="46" t="inlineStr">
        <is>
          <t>A12.05 MILLWORK DETAILS - MW07 and the Millwork Schedule of A00.30 locate it; 4/S5.20 TYPICAL BLOCKING DETAIL defines the piece.</t>
        </is>
      </c>
    </row>
    <row r="255" ht="33" customHeight="1" s="36">
      <c r="A255" s="44" t="inlineStr">
        <is>
          <t>A5 #16</t>
        </is>
      </c>
      <c r="B255" s="58" t="n">
        <v>1</v>
      </c>
      <c r="C255" s="44" t="inlineStr">
        <is>
          <t>A02.01</t>
        </is>
      </c>
      <c r="D255" s="59" t="inlineStr">
        <is>
          <t>Dimension</t>
        </is>
      </c>
      <c r="E255" s="46" t="inlineStr">
        <is>
          <t>Construction Plan. Entry sheet for partitions and openings: vector geometry of every wall face at 1/4"=1'-0", the leader of every partition tag, the Construction Plan Legend (new vs. existing) and the Construction Plan Notes.</t>
        </is>
      </c>
      <c r="F255" s="46" t="inlineStr">
        <is>
          <t>HEADER, excluded.PATCH, length, stud_height</t>
        </is>
      </c>
      <c r="G255" s="46" t="inlineStr">
        <is>
          <t>A02.01 vector geometry: the face pair is x=1234.44 / x=1245.24, 10.80 pt apart = 7.20" against the 7 1/4" of the schedule of 3/A12.01 PARTITION TYPE A1 &amp; A5.</t>
        </is>
      </c>
    </row>
    <row r="256" ht="33" customHeight="1" s="36">
      <c r="A256" s="59" t="n"/>
      <c r="B256" s="58" t="n">
        <v>2</v>
      </c>
      <c r="C256" s="44" t="inlineStr">
        <is>
          <t>A04.01</t>
        </is>
      </c>
      <c r="D256" s="59" t="inlineStr">
        <is>
          <t>Dimension</t>
        </is>
      </c>
      <c r="E256" s="46" t="inlineStr">
        <is>
          <t>Reflected Ceiling Plan. Entry sheet for ceilings, soffits and canopy; on walls it gives the BOARD HEIGHT: each room ceiling tag with its printed A.F.F. dimension, plus the ceiling key notes.</t>
        </is>
      </c>
      <c r="F256" s="46" t="inlineStr">
        <is>
          <t>face[0].board_height, face[1].board_height</t>
        </is>
      </c>
      <c r="G256" s="46" t="inlineStr">
        <is>
          <t>A04.01 ACT-4 at 8'-6" in Corridor 111, plus the 6" that 3/A12.01 PARTITION TYPE A1 &amp; A5 labels between the top of the board and the scheduled ceiling: 8.500 + 0.500 = 9.000 ft.</t>
        </is>
      </c>
    </row>
    <row r="257" ht="25.5" customHeight="1" s="36">
      <c r="A257" s="59" t="n"/>
      <c r="B257" s="58" t="n">
        <v>3</v>
      </c>
      <c r="C257" s="44" t="inlineStr">
        <is>
          <t>3/A12.01</t>
        </is>
      </c>
      <c r="D257" s="59" t="inlineStr">
        <is>
          <t>Dimension</t>
        </is>
      </c>
      <c r="E257" s="46" t="inlineStr">
        <is>
          <t>"PARTITION TYPE A1 &amp; A5". 3 5/8" stud, layers per face, WALL THICKNESS 4 7/8", slip track at the top, acoustic sealant at the slab and the 6" of board above the scheduled ceiling.</t>
        </is>
      </c>
      <c r="F257" s="46" t="inlineStr">
        <is>
          <t>BLOCKING, BOARD, SEALANT, TRACK_BOTTOM, TRACK_TOP, excluded.INSULATION, face[0].board_height, face[1].board_height, length</t>
        </is>
      </c>
      <c r="G257" s="46" t="inlineStr">
        <is>
          <t>A04.01 ACT-4 at 8'-6" in Corridor 111, plus the 6" that 3/A12.01 PARTITION TYPE A1 &amp; A5 labels between the top of the board and the scheduled ceiling: 8.500 + 0.500 = 9.000 ft.</t>
        </is>
      </c>
    </row>
    <row r="258" ht="43.5" customHeight="1" s="36">
      <c r="A258" s="59" t="n"/>
      <c r="B258" s="58" t="n">
        <v>4</v>
      </c>
      <c r="C258" s="44" t="inlineStr">
        <is>
          <t>A09.01</t>
        </is>
      </c>
      <c r="D258" s="59" t="inlineStr">
        <is>
          <t>Exclusion</t>
        </is>
      </c>
      <c r="E258" s="46" t="inlineStr">
        <is>
          <t>Exterior Elevations: "SOUTH ELEVATION" and "WEST ELEVATION" at 1/4"=1'-0". Extent of each exterior material and the material legend, verbatim "CJ CONTROL JOINT; PAINT TO MATCH STUCCO FINISH COLOR" - that joint is the STUCCO joint, not gypsum.</t>
        </is>
      </c>
      <c r="F258" s="46" t="inlineStr">
        <is>
          <t>excluded.CONTROL_JOINT</t>
        </is>
      </c>
      <c r="G25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59" ht="33" customHeight="1" s="36">
      <c r="A259" s="59" t="n"/>
      <c r="B259" s="58" t="n">
        <v>5</v>
      </c>
      <c r="C259" s="44" t="inlineStr">
        <is>
          <t>10/A12.02</t>
        </is>
      </c>
      <c r="D259" s="59" t="inlineStr">
        <is>
          <t>Quantity</t>
        </is>
      </c>
      <c r="E259" s="46" t="inlineStr">
        <is>
          <t>"HEAD @ HOLLOW METAL FRAME" at 3"=1'-0". Head of the hollow metal frame: labels SCHEDULED PARTITION, METAL STUD, METAL CLIP, HOLLOW METAL FRAME and 1/2" of board lap per face inside the frame throat.</t>
        </is>
      </c>
      <c r="F259" s="46" t="inlineStr">
        <is>
          <t>HEADER, openings[0].head</t>
        </is>
      </c>
      <c r="G259" s="46" t="inlineStr">
        <is>
          <t>Head per 10/A12.02.</t>
        </is>
      </c>
    </row>
    <row r="260" ht="33" customHeight="1" s="36">
      <c r="A260" s="59" t="n"/>
      <c r="B260" s="58" t="n">
        <v>6</v>
      </c>
      <c r="C260" s="44" t="inlineStr">
        <is>
          <t>1/S5.20</t>
        </is>
      </c>
      <c r="D260" s="59" t="inlineStr">
        <is>
          <t>Quantity</t>
        </is>
      </c>
      <c r="E260" s="46" t="inlineStr">
        <is>
          <t>"TYPICAL WALL FRAMING DETAILS". Holds sub-details A through F; sub-detail F "BRIDGING AND BRACING - CONTINUOUS BRIDGING" is the bracing one: 1 1/2" C.R. CHANNEL welded to every stud. (Bracing is NOT in 5/S5.20, which is TYPICAL WALL FRAMING CONNX.)</t>
        </is>
      </c>
      <c r="F260" s="46" t="inlineStr">
        <is>
          <t>BRACING, excluded.CLIPS</t>
        </is>
      </c>
      <c r="G260" s="46" t="inlineStr">
        <is>
          <t>(1/S5.20 sub-detail F "BRIDGING AND BRACING - CONTINUOUS BRIDGING", welded to each stud; the spacing comes from 7/S5.20).</t>
        </is>
      </c>
    </row>
    <row r="261" ht="33" customHeight="1" s="36">
      <c r="A261" s="59" t="n"/>
      <c r="B261" s="58" t="n">
        <v>7</v>
      </c>
      <c r="C261" s="44" t="inlineStr">
        <is>
          <t>4/S5.20</t>
        </is>
      </c>
      <c r="D261" s="59" t="inlineStr">
        <is>
          <t>Quantity</t>
        </is>
      </c>
      <c r="E261" s="46" t="inlineStr">
        <is>
          <t>"TYPICAL BLOCKING DETAIL". STUD BLOCKING 362CR22 and CLIP ANGLE 362CR22, with the boxed verbatim note "PROVIDE BLOCKING AT THE EDGE OF GYPBOARD." - source of the blocking at EVERY free edge of board.</t>
        </is>
      </c>
      <c r="F261" s="46" t="inlineStr">
        <is>
          <t>BLOCKING</t>
        </is>
      </c>
      <c r="G261" s="46" t="inlineStr">
        <is>
          <t>4/S5.20 TYPICAL BLOCKING DETAIL, boxed note, textual: "PROVIDE BLOCKING AT THE EDGE OF GYPBOARD", with STUD BLOCKING 362CR22 (TYP.) and CLIP ANGLE 362CR22 (TYP.) &amp; BLOCKING W/ SCREWS (TYP.).</t>
        </is>
      </c>
    </row>
    <row r="262" ht="33" customHeight="1" s="36">
      <c r="A262" s="59" t="n"/>
      <c r="B262" s="58" t="n">
        <v>8</v>
      </c>
      <c r="C262" s="44" t="inlineStr">
        <is>
          <t>7/S5.20</t>
        </is>
      </c>
      <c r="D262" s="59" t="inlineStr">
        <is>
          <t>Quantity</t>
        </is>
      </c>
      <c r="E262" s="46" t="inlineStr">
        <is>
          <t>"METAL STUDS SCHEDULES". The profile: web, flange, lip, mils, gauge and the APPLICATION column with the spacing ("INTERIOR WALLS @ 16" O.C."), plus the SILL TRACK ANCHORAGE and the FASTENER SCHEDULE.</t>
        </is>
      </c>
      <c r="F262" s="46" t="inlineStr">
        <is>
          <t>BRACING, STUD, TRACK_BOTTOM, TRACK_TOP, excluded.CLIPS</t>
        </is>
      </c>
      <c r="G262" s="46" t="inlineStr">
        <is>
          <t>(1/S5.20 sub-detail F "BRIDGING AND BRACING - CONTINUOUS BRIDGING", welded to each stud; the spacing comes from 7/S5.20).</t>
        </is>
      </c>
    </row>
    <row r="263" ht="25.5" customHeight="1" s="36">
      <c r="A263" s="59" t="n"/>
      <c r="B263" s="58" t="n">
        <v>9</v>
      </c>
      <c r="C263" s="44" t="inlineStr">
        <is>
          <t>9/S5.20</t>
        </is>
      </c>
      <c r="D263" s="59" t="inlineStr">
        <is>
          <t>Quantity</t>
        </is>
      </c>
      <c r="E263" s="46" t="inlineStr">
        <is>
          <t>"OPNG IN NON-LOAD-BRG WALLS". The opening frame: DBL JAMB STUD (2 per jamb) and HEAD TRACK with the condition "DOUBLE TRACK @ OPNG &gt; 4'-0"".</t>
        </is>
      </c>
      <c r="F263" s="46" t="inlineStr">
        <is>
          <t>HEADER, STUD</t>
        </is>
      </c>
      <c r="G263" s="46" t="inlineStr">
        <is>
          <t>Single HEAD TRACK: 9/S5.20 asks for the double only @ OPNG &gt; 4'-0" and this one is under it.</t>
        </is>
      </c>
    </row>
    <row r="264" ht="25.5" customHeight="1" s="36">
      <c r="A264" s="59" t="n"/>
      <c r="B264" s="58" t="n">
        <v>10</v>
      </c>
      <c r="C264" s="44" t="inlineStr">
        <is>
          <t>A00.30</t>
        </is>
      </c>
      <c r="D264" s="59" t="inlineStr">
        <is>
          <t>Quantity</t>
        </is>
      </c>
      <c r="E264" s="46" t="inlineStr">
        <is>
          <t>Door Schedule. Leaf width and height of every door and the frame type: source of the header, the board deduction and the reference to 10 and 11/A12.02.</t>
        </is>
      </c>
      <c r="F264" s="46" t="inlineStr">
        <is>
          <t>HEADER</t>
        </is>
      </c>
      <c r="G264" s="46" t="inlineStr">
        <is>
          <t>Opening framing width of door 122, 3.33 ft measured end cap to end cap on A02.01 (the leaf is 3'-0" x 7'-0" per the Door Schedule of A00.30, so the R.O.</t>
        </is>
      </c>
    </row>
    <row r="265" ht="33" customHeight="1" s="36">
      <c r="A265" s="59" t="n"/>
      <c r="B265" s="58" t="n">
        <v>11</v>
      </c>
      <c r="C265" s="44" t="inlineStr">
        <is>
          <t>A09.27</t>
        </is>
      </c>
      <c r="D265" s="59" t="inlineStr">
        <is>
          <t>Exclusion</t>
        </is>
      </c>
      <c r="E265" s="46" t="inlineStr">
        <is>
          <t>Gypsum Section Details, the sheet. Cited as a sheet when the finding is that NO detail on it labels a gypsum control joint.</t>
        </is>
      </c>
      <c r="F265" s="46" t="inlineStr">
        <is>
          <t>excluded.CONTROL_JOINT</t>
        </is>
      </c>
      <c r="G265" s="46" t="inlineStr">
        <is>
          <t>El set no rotula ni detalla ninguna junta de control de gypsum board, ni en A12.01 ni en los detalles de A09.27/A09.33, y no hay seccion de especificaciones 09 29 00 en el bid set.</t>
        </is>
      </c>
    </row>
    <row r="266" ht="33" customHeight="1" s="36">
      <c r="A266" s="59" t="n"/>
      <c r="B266" s="58" t="n">
        <v>12</v>
      </c>
      <c r="C266" s="44" t="inlineStr">
        <is>
          <t>A09.33</t>
        </is>
      </c>
      <c r="D266" s="59" t="inlineStr">
        <is>
          <t>Exclusion</t>
        </is>
      </c>
      <c r="E266" s="46" t="inlineStr">
        <is>
          <t>Ceiling Details, the sheet. Cited as a sheet for a finding by ABSENCE: its details label corner bead, casing bead and shadow molding one by one and NONE labels a control joint, so the omission is not a labeling oversight.</t>
        </is>
      </c>
      <c r="F266" s="46" t="inlineStr">
        <is>
          <t>excluded.CONTROL_JOINT</t>
        </is>
      </c>
      <c r="G266" s="46" t="inlineStr">
        <is>
          <t>El set no rotula ni detalla ninguna junta de control de gypsum board, ni en A12.01 ni en los detalles de A09.27/A09.33, y no hay seccion de especificaciones 09 29 00 en el bid set.</t>
        </is>
      </c>
    </row>
    <row r="267" ht="33" customHeight="1" s="36">
      <c r="A267" s="44" t="inlineStr">
        <is>
          <t>A5 #17</t>
        </is>
      </c>
      <c r="B267" s="58" t="n">
        <v>1</v>
      </c>
      <c r="C267" s="44" t="inlineStr">
        <is>
          <t>A02.01</t>
        </is>
      </c>
      <c r="D267" s="59" t="inlineStr">
        <is>
          <t>Dimension</t>
        </is>
      </c>
      <c r="E267" s="46" t="inlineStr">
        <is>
          <t>Construction Plan. Entry sheet for partitions and openings: vector geometry of every wall face at 1/4"=1'-0", the leader of every partition tag, the Construction Plan Legend (new vs. existing) and the Construction Plan Notes.</t>
        </is>
      </c>
      <c r="F267" s="46" t="inlineStr">
        <is>
          <t>excluded.HEADER, excluded.PATCH, length</t>
        </is>
      </c>
      <c r="G267" s="46" t="inlineStr">
        <is>
          <t>A02.01 vector geometry: run y=1355.3 to 1422.1; face pair x=1622.16 / x=1633.08, measured thickness 7.28" against the 7 1/4" of the schedule of 3/A12.01 PARTITION TYPE A1 &amp; A5.</t>
        </is>
      </c>
    </row>
    <row r="268" ht="33" customHeight="1" s="36">
      <c r="A268" s="59" t="n"/>
      <c r="B268" s="58" t="n">
        <v>2</v>
      </c>
      <c r="C268" s="44" t="inlineStr">
        <is>
          <t>A04.01</t>
        </is>
      </c>
      <c r="D268" s="59" t="inlineStr">
        <is>
          <t>Dimension</t>
        </is>
      </c>
      <c r="E268" s="46" t="inlineStr">
        <is>
          <t>Reflected Ceiling Plan. Entry sheet for ceilings, soffits and canopy; on walls it gives the BOARD HEIGHT: each room ceiling tag with its printed A.F.F. dimension, plus the ceiling key notes.</t>
        </is>
      </c>
      <c r="F268" s="46" t="inlineStr">
        <is>
          <t>face[0].board_height, face[1].board_height</t>
        </is>
      </c>
      <c r="G268" s="46" t="inlineStr">
        <is>
          <t>A04.01 ACT-5 at 8'-6" in Break Room 118, plus the 6" that 3/A12.01 PARTITION TYPE A1 &amp; A5 labels between the top of the board and the scheduled ceiling: 8.500 + 0.500 = 9.000 ft.</t>
        </is>
      </c>
    </row>
    <row r="269" ht="25.5" customHeight="1" s="36">
      <c r="A269" s="59" t="n"/>
      <c r="B269" s="58" t="n">
        <v>3</v>
      </c>
      <c r="C269" s="44" t="inlineStr">
        <is>
          <t>S2.20</t>
        </is>
      </c>
      <c r="D269" s="59" t="inlineStr">
        <is>
          <t>Dimension</t>
        </is>
      </c>
      <c r="E269" s="46" t="inlineStr">
        <is>
          <t>"ROOF FRAMING PLAN". Source of the STUD HEIGHT: every B.O.D. callout on the sheet and the slope of the bay between grids B and A (1/4" per foot).</t>
        </is>
      </c>
      <c r="F269" s="46" t="inlineStr">
        <is>
          <t>stud_height</t>
        </is>
      </c>
      <c r="G269" s="46" t="inlineStr">
        <is>
          <t>S2.20: the wall is in the SLOPED bay, south of grid B.</t>
        </is>
      </c>
    </row>
    <row r="270" ht="25.5" customHeight="1" s="36">
      <c r="A270" s="59" t="n"/>
      <c r="B270" s="58" t="n">
        <v>4</v>
      </c>
      <c r="C270" s="44" t="inlineStr">
        <is>
          <t>3/A12.01</t>
        </is>
      </c>
      <c r="D270" s="59" t="inlineStr">
        <is>
          <t>Dimension</t>
        </is>
      </c>
      <c r="E270" s="46" t="inlineStr">
        <is>
          <t>"PARTITION TYPE A1 &amp; A5". 3 5/8" stud, layers per face, WALL THICKNESS 4 7/8", slip track at the top, acoustic sealant at the slab and the 6" of board above the scheduled ceiling.</t>
        </is>
      </c>
      <c r="F270" s="46" t="inlineStr">
        <is>
          <t>BLOCKING, BOARD, SEALANT, TRACK_BOTTOM, TRACK_TOP, excluded.INSULATION, face[0].board_height, face[1].board_height, length</t>
        </is>
      </c>
      <c r="G270" s="46" t="inlineStr">
        <is>
          <t>A04.01 ACT-5 at 8'-6" in Break Room 118, plus the 6" that 3/A12.01 PARTITION TYPE A1 &amp; A5 labels between the top of the board and the scheduled ceiling: 8.500 + 0.500 = 9.000 ft.</t>
        </is>
      </c>
    </row>
    <row r="271" ht="33" customHeight="1" s="36">
      <c r="A271" s="59" t="n"/>
      <c r="B271" s="58" t="n">
        <v>5</v>
      </c>
      <c r="C271" s="44" t="inlineStr">
        <is>
          <t>1/S5.20</t>
        </is>
      </c>
      <c r="D271" s="59" t="inlineStr">
        <is>
          <t>Quantity</t>
        </is>
      </c>
      <c r="E271" s="46" t="inlineStr">
        <is>
          <t>"TYPICAL WALL FRAMING DETAILS". Holds sub-details A through F; sub-detail F "BRIDGING AND BRACING - CONTINUOUS BRIDGING" is the bracing one: 1 1/2" C.R. CHANNEL welded to every stud. (Bracing is NOT in 5/S5.20, which is TYPICAL WALL FRAMING CONNX.)</t>
        </is>
      </c>
      <c r="F271" s="46" t="inlineStr">
        <is>
          <t>BRACING, excluded.CLIPS</t>
        </is>
      </c>
      <c r="G271" s="46" t="inlineStr">
        <is>
          <t>(1/S5.20 sub-detail F "BRIDGING AND BRACING - CONTINUOUS BRIDGING", welded to each stud; the spacing comes from 7/S5.20).</t>
        </is>
      </c>
    </row>
    <row r="272" ht="33" customHeight="1" s="36">
      <c r="A272" s="59" t="n"/>
      <c r="B272" s="58" t="n">
        <v>6</v>
      </c>
      <c r="C272" s="44" t="inlineStr">
        <is>
          <t>4/S5.20</t>
        </is>
      </c>
      <c r="D272" s="59" t="inlineStr">
        <is>
          <t>Quantity</t>
        </is>
      </c>
      <c r="E272" s="46" t="inlineStr">
        <is>
          <t>"TYPICAL BLOCKING DETAIL". STUD BLOCKING 362CR22 and CLIP ANGLE 362CR22, with the boxed verbatim note "PROVIDE BLOCKING AT THE EDGE OF GYPBOARD." - source of the blocking at EVERY free edge of board.</t>
        </is>
      </c>
      <c r="F272" s="46" t="inlineStr">
        <is>
          <t>BLOCKING</t>
        </is>
      </c>
      <c r="G272" s="46" t="inlineStr">
        <is>
          <t>4/S5.20 TYPICAL BLOCKING DETAIL, boxed note, textual: "PROVIDE BLOCKING AT THE EDGE OF GYPBOARD", with STUD BLOCKING 362CR22 (TYP.) and CLIP ANGLE 362CR22 (TYP.) &amp; BLOCKING W/ SCREWS (TYP.).</t>
        </is>
      </c>
    </row>
    <row r="273" ht="33" customHeight="1" s="36">
      <c r="A273" s="59" t="n"/>
      <c r="B273" s="58" t="n">
        <v>7</v>
      </c>
      <c r="C273" s="44" t="inlineStr">
        <is>
          <t>7/S5.20</t>
        </is>
      </c>
      <c r="D273" s="59" t="inlineStr">
        <is>
          <t>Quantity</t>
        </is>
      </c>
      <c r="E273" s="46" t="inlineStr">
        <is>
          <t>"METAL STUDS SCHEDULES". The profile: web, flange, lip, mils, gauge and the APPLICATION column with the spacing ("INTERIOR WALLS @ 16" O.C."), plus the SILL TRACK ANCHORAGE and the FASTENER SCHEDULE.</t>
        </is>
      </c>
      <c r="F273" s="46" t="inlineStr">
        <is>
          <t>BRACING, STUD, TRACK_BOTTOM, TRACK_TOP, excluded.CLIPS</t>
        </is>
      </c>
      <c r="G273" s="46" t="inlineStr">
        <is>
          <t>(1/S5.20 sub-detail F "BRIDGING AND BRACING - CONTINUOUS BRIDGING", welded to each stud; the spacing comes from 7/S5.20).</t>
        </is>
      </c>
    </row>
    <row r="274" ht="43.5" customHeight="1" s="36">
      <c r="A274" s="59" t="n"/>
      <c r="B274" s="58" t="n">
        <v>8</v>
      </c>
      <c r="C274" s="44" t="inlineStr">
        <is>
          <t>A09.01</t>
        </is>
      </c>
      <c r="D274" s="59" t="inlineStr">
        <is>
          <t>Exclusion</t>
        </is>
      </c>
      <c r="E274" s="46" t="inlineStr">
        <is>
          <t>Exterior Elevations: "SOUTH ELEVATION" and "WEST ELEVATION" at 1/4"=1'-0". Extent of each exterior material and the material legend, verbatim "CJ CONTROL JOINT; PAINT TO MATCH STUCCO FINISH COLOR" - that joint is the STUCCO joint, not gypsum.</t>
        </is>
      </c>
      <c r="F274" s="46" t="inlineStr">
        <is>
          <t>excluded.CONTROL_JOINT</t>
        </is>
      </c>
      <c r="G27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75" ht="33" customHeight="1" s="36">
      <c r="A275" s="59" t="n"/>
      <c r="B275" s="58" t="n">
        <v>9</v>
      </c>
      <c r="C275" s="44" t="inlineStr">
        <is>
          <t>A00.30</t>
        </is>
      </c>
      <c r="D275" s="59" t="inlineStr">
        <is>
          <t>Exclusion</t>
        </is>
      </c>
      <c r="E275" s="46" t="inlineStr">
        <is>
          <t>Door Schedule. Leaf width and height of every door and the frame type: source of the header, the board deduction and the reference to 10 and 11/A12.02.</t>
        </is>
      </c>
      <c r="F275" s="46" t="inlineStr">
        <is>
          <t>excluded.HEADER</t>
        </is>
      </c>
      <c r="G275" s="46" t="inlineStr">
        <is>
          <t>Run with no opening: the full run was walked by vector geometry on A02.01 and neither an end cap nor a jamb appears inside it, and the Door Schedule of A00.30 places no door on this band.</t>
        </is>
      </c>
    </row>
    <row r="276" ht="33" customHeight="1" s="36">
      <c r="A276" s="59" t="n"/>
      <c r="B276" s="58" t="n">
        <v>10</v>
      </c>
      <c r="C276" s="44" t="inlineStr">
        <is>
          <t>A09.27</t>
        </is>
      </c>
      <c r="D276" s="59" t="inlineStr">
        <is>
          <t>Exclusion</t>
        </is>
      </c>
      <c r="E276" s="46" t="inlineStr">
        <is>
          <t>Gypsum Section Details, the sheet. Cited as a sheet when the finding is that NO detail on it labels a gypsum control joint.</t>
        </is>
      </c>
      <c r="F276" s="46" t="inlineStr">
        <is>
          <t>excluded.CONTROL_JOINT</t>
        </is>
      </c>
      <c r="G276" s="46" t="inlineStr">
        <is>
          <t>El set no rotula ni detalla ninguna junta de control de gypsum board, ni en A12.01 ni en los detalles de A09.27/A09.33, y no hay seccion de especificaciones 09 29 00 en el bid set.</t>
        </is>
      </c>
    </row>
    <row r="277" ht="33" customHeight="1" s="36">
      <c r="A277" s="59" t="n"/>
      <c r="B277" s="58" t="n">
        <v>11</v>
      </c>
      <c r="C277" s="44" t="inlineStr">
        <is>
          <t>A09.33</t>
        </is>
      </c>
      <c r="D277" s="59" t="inlineStr">
        <is>
          <t>Exclusion</t>
        </is>
      </c>
      <c r="E277" s="46" t="inlineStr">
        <is>
          <t>Ceiling Details, the sheet. Cited as a sheet for a finding by ABSENCE: its details label corner bead, casing bead and shadow molding one by one and NONE labels a control joint, so the omission is not a labeling oversight.</t>
        </is>
      </c>
      <c r="F277" s="46" t="inlineStr">
        <is>
          <t>excluded.CONTROL_JOINT</t>
        </is>
      </c>
      <c r="G277" s="46" t="inlineStr">
        <is>
          <t>El set no rotula ni detalla ninguna junta de control de gypsum board, ni en A12.01 ni en los detalles de A09.27/A09.33, y no hay seccion de especificaciones 09 29 00 en el bid set.</t>
        </is>
      </c>
    </row>
    <row r="278" ht="33" customHeight="1" s="36">
      <c r="A278" s="44" t="inlineStr">
        <is>
          <t>B #23</t>
        </is>
      </c>
      <c r="B278" s="58" t="n">
        <v>1</v>
      </c>
      <c r="C278" s="44" t="inlineStr">
        <is>
          <t>A02.01</t>
        </is>
      </c>
      <c r="D278" s="59" t="inlineStr">
        <is>
          <t>Dimension</t>
        </is>
      </c>
      <c r="E278" s="46" t="inlineStr">
        <is>
          <t>Construction Plan. Entry sheet for partitions and openings: vector geometry of every wall face at 1/4"=1'-0", the leader of every partition tag, the Construction Plan Legend (new vs. existing) and the Construction Plan Notes.</t>
        </is>
      </c>
      <c r="F278" s="46" t="inlineStr">
        <is>
          <t>excluded.BLOCKING, excluded.PATCH, length, stud_height</t>
        </is>
      </c>
      <c r="G278" s="46" t="inlineStr">
        <is>
          <t>A02.01 vector geometry: faces lw&gt;=1.1 at x=1414.20 and x=1421.52 (thickness 7.32 pt = 4.880"); 3 drawn stretches bridged into one run of 14.15 ft.</t>
        </is>
      </c>
    </row>
    <row r="279" ht="25.5" customHeight="1" s="36">
      <c r="A279" s="59" t="n"/>
      <c r="B279" s="58" t="n">
        <v>2</v>
      </c>
      <c r="C279" s="44" t="inlineStr">
        <is>
          <t>S2.20</t>
        </is>
      </c>
      <c r="D279" s="59" t="inlineStr">
        <is>
          <t>Dimension</t>
        </is>
      </c>
      <c r="E279" s="46" t="inlineStr">
        <is>
          <t>"ROOF FRAMING PLAN". Source of the STUD HEIGHT: every B.O.D. callout on the sheet and the slope of the bay between grids B and A (1/4" per foot).</t>
        </is>
      </c>
      <c r="F279" s="46" t="inlineStr">
        <is>
          <t>stud_height</t>
        </is>
      </c>
      <c r="G279" s="46" t="inlineStr">
        <is>
          <t>S2.20: the wall is in the SLOPED bay between grid B and grid A.</t>
        </is>
      </c>
    </row>
    <row r="280" ht="33" customHeight="1" s="36">
      <c r="A280" s="59" t="n"/>
      <c r="B280" s="58" t="n">
        <v>3</v>
      </c>
      <c r="C280" s="44" t="inlineStr">
        <is>
          <t>1/A12.01</t>
        </is>
      </c>
      <c r="D280" s="59" t="inlineStr">
        <is>
          <t>Dimension</t>
        </is>
      </c>
      <c r="E280" s="46" t="inlineStr">
        <is>
          <t>"PARTITION TYPE B, B2". Stud, layers per face, wall thickness and sealant of types B and B2. On a B wall it is the source; on an A1 wall it enters as a CONTRAST (B does label sealant top AND bottom, A1 only at the bottom).</t>
        </is>
      </c>
      <c r="F280" s="46" t="inlineStr">
        <is>
          <t>BOARD, SEALANT, TRACK_BOTTOM, TRACK_TOP, excluded.INSULATION, face[0].board_height, face[1].board_height, face[2].board_height</t>
        </is>
      </c>
      <c r="G280" s="46" t="inlineStr">
        <is>
          <t>1/A12.01 PARTITION TYPE B &amp; B2: stud AND board run from the slab to the UNDERSIDE OF STRUCTURE on both faces, so the board height equals the stud height, 12.831 ft.</t>
        </is>
      </c>
    </row>
    <row r="281" ht="43.5" customHeight="1" s="36">
      <c r="A281" s="59" t="n"/>
      <c r="B281" s="58" t="n">
        <v>4</v>
      </c>
      <c r="C281" s="44" t="inlineStr">
        <is>
          <t>A09.01</t>
        </is>
      </c>
      <c r="D281" s="59" t="inlineStr">
        <is>
          <t>Exclusion</t>
        </is>
      </c>
      <c r="E281" s="46" t="inlineStr">
        <is>
          <t>Exterior Elevations: "SOUTH ELEVATION" and "WEST ELEVATION" at 1/4"=1'-0". Extent of each exterior material and the material legend, verbatim "CJ CONTROL JOINT; PAINT TO MATCH STUCCO FINISH COLOR" - that joint is the STUCCO joint, not gypsum.</t>
        </is>
      </c>
      <c r="F281" s="46" t="inlineStr">
        <is>
          <t>excluded.CONTROL_JOINT</t>
        </is>
      </c>
      <c r="G28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82" ht="33" customHeight="1" s="36">
      <c r="A282" s="59" t="n"/>
      <c r="B282" s="58" t="n">
        <v>5</v>
      </c>
      <c r="C282" s="44" t="inlineStr">
        <is>
          <t>10/A12.02</t>
        </is>
      </c>
      <c r="D282" s="59" t="inlineStr">
        <is>
          <t>Quantity</t>
        </is>
      </c>
      <c r="E282" s="46" t="inlineStr">
        <is>
          <t>"HEAD @ HOLLOW METAL FRAME" at 3"=1'-0". Head of the hollow metal frame: labels SCHEDULED PARTITION, METAL STUD, METAL CLIP, HOLLOW METAL FRAME and 1/2" of board lap per face inside the frame throat.</t>
        </is>
      </c>
      <c r="F282" s="46" t="inlineStr">
        <is>
          <t>HEADER, openings[0].head, openings[1].head</t>
        </is>
      </c>
      <c r="G282" s="46" t="inlineStr">
        <is>
          <t>Head per 10/A12.02 HEAD @ HOLLOW METAL FRAME, jamb per 11/A12.02, no sill (a door carries a header and NO sill).</t>
        </is>
      </c>
    </row>
    <row r="283" ht="33" customHeight="1" s="36">
      <c r="A283" s="59" t="n"/>
      <c r="B283" s="58" t="n">
        <v>6</v>
      </c>
      <c r="C283" s="44" t="inlineStr">
        <is>
          <t>11/A12.02</t>
        </is>
      </c>
      <c r="D283" s="59" t="inlineStr">
        <is>
          <t>Quantity</t>
        </is>
      </c>
      <c r="E283" s="46" t="inlineStr">
        <is>
          <t>"JAMB @ HOLLOW METAL FRAME" at 3"=1'-0". Jamb of the same frame: it calls METAL ANCHOR the piece detail 10 calls METAL CLIP, so the piece is frame anchorage (Div 08), not a clip of ours.</t>
        </is>
      </c>
      <c r="F283" s="46" t="inlineStr">
        <is>
          <t>HEADER</t>
        </is>
      </c>
      <c r="G283" s="46" t="inlineStr">
        <is>
          <t>Head per 10/A12.02 HEAD @ HOLLOW METAL FRAME, jamb per 11/A12.02, no sill (a door carries a header and NO sill).</t>
        </is>
      </c>
    </row>
    <row r="284" ht="33" customHeight="1" s="36">
      <c r="A284" s="59" t="n"/>
      <c r="B284" s="58" t="n">
        <v>7</v>
      </c>
      <c r="C284" s="44" t="inlineStr">
        <is>
          <t>1/S5.20</t>
        </is>
      </c>
      <c r="D284" s="59" t="inlineStr">
        <is>
          <t>Quantity</t>
        </is>
      </c>
      <c r="E284" s="46" t="inlineStr">
        <is>
          <t>"TYPICAL WALL FRAMING DETAILS". Holds sub-details A through F; sub-detail F "BRIDGING AND BRACING - CONTINUOUS BRIDGING" is the bracing one: 1 1/2" C.R. CHANNEL welded to every stud. (Bracing is NOT in 5/S5.20, which is TYPICAL WALL FRAMING CONNX.)</t>
        </is>
      </c>
      <c r="F284" s="46" t="inlineStr">
        <is>
          <t>BRACING, excluded.CLIPS</t>
        </is>
      </c>
      <c r="G284" s="46" t="inlineStr">
        <is>
          <t>(1/S5.20 sub-detail F "BRIDGING AND BRACING - CONTINUOUS BRIDGING", welded to each stud; spacing from 7/S5.20).</t>
        </is>
      </c>
    </row>
    <row r="285" ht="33" customHeight="1" s="36">
      <c r="A285" s="59" t="n"/>
      <c r="B285" s="58" t="n">
        <v>8</v>
      </c>
      <c r="C285" s="44" t="inlineStr">
        <is>
          <t>4/S5.20</t>
        </is>
      </c>
      <c r="D285" s="59" t="inlineStr">
        <is>
          <t>Exclusion</t>
        </is>
      </c>
      <c r="E285" s="46" t="inlineStr">
        <is>
          <t>"TYPICAL BLOCKING DETAIL". STUD BLOCKING 362CR22 and CLIP ANGLE 362CR22, with the boxed verbatim note "PROVIDE BLOCKING AT THE EDGE OF GYPBOARD." - source of the blocking at EVERY free edge of board.</t>
        </is>
      </c>
      <c r="F285" s="46" t="inlineStr">
        <is>
          <t>excluded.BLOCKING</t>
        </is>
      </c>
      <c r="G285" s="46" t="inlineStr">
        <is>
          <t>The free edge rule of 4/S5.20 adds none either: the board of this type runs to the top track, which is itself the support of its edge.</t>
        </is>
      </c>
    </row>
    <row r="286" ht="33" customHeight="1" s="36">
      <c r="A286" s="59" t="n"/>
      <c r="B286" s="58" t="n">
        <v>9</v>
      </c>
      <c r="C286" s="44" t="inlineStr">
        <is>
          <t>7/S5.20</t>
        </is>
      </c>
      <c r="D286" s="59" t="inlineStr">
        <is>
          <t>Quantity</t>
        </is>
      </c>
      <c r="E286" s="46" t="inlineStr">
        <is>
          <t>"METAL STUDS SCHEDULES". The profile: web, flange, lip, mils, gauge and the APPLICATION column with the spacing ("INTERIOR WALLS @ 16" O.C."), plus the SILL TRACK ANCHORAGE and the FASTENER SCHEDULE.</t>
        </is>
      </c>
      <c r="F286" s="46" t="inlineStr">
        <is>
          <t>BRACING, HEADER, STUD, TRACK_BOTTOM, TRACK_TOP, excluded.CLIPS</t>
        </is>
      </c>
      <c r="G286" s="46" t="inlineStr">
        <is>
          <t>(1/S5.20 sub-detail F "BRIDGING AND BRACING - CONTINUOUS BRIDGING", welded to each stud; spacing from 7/S5.20).</t>
        </is>
      </c>
    </row>
    <row r="287" ht="25.5" customHeight="1" s="36">
      <c r="A287" s="59" t="n"/>
      <c r="B287" s="58" t="n">
        <v>10</v>
      </c>
      <c r="C287" s="44" t="inlineStr">
        <is>
          <t>9/S5.20</t>
        </is>
      </c>
      <c r="D287" s="59" t="inlineStr">
        <is>
          <t>Quantity</t>
        </is>
      </c>
      <c r="E287" s="46" t="inlineStr">
        <is>
          <t>"OPNG IN NON-LOAD-BRG WALLS". The opening frame: DBL JAMB STUD (2 per jamb) and HEAD TRACK with the condition "DOUBLE TRACK @ OPNG &gt; 4'-0"".</t>
        </is>
      </c>
      <c r="F287" s="46" t="inlineStr">
        <is>
          <t>HEADER, STUD</t>
        </is>
      </c>
      <c r="G287" s="46" t="inlineStr">
        <is>
          <t>SINGLE head track: the HEADER SCHEDULE of 7/S5.20 for non-load-bearing interior gives single track 18 ga at 3'-4", and 9/S5.20 asks for the double only @ OPNG &gt; 4'-0".</t>
        </is>
      </c>
    </row>
    <row r="288" ht="25.5" customHeight="1" s="36">
      <c r="A288" s="59" t="n"/>
      <c r="B288" s="58" t="n">
        <v>11</v>
      </c>
      <c r="C288" s="44" t="inlineStr">
        <is>
          <t>A00.30</t>
        </is>
      </c>
      <c r="D288" s="59" t="inlineStr">
        <is>
          <t>Quantity</t>
        </is>
      </c>
      <c r="E288" s="46" t="inlineStr">
        <is>
          <t>Door Schedule. Leaf width and height of every door and the frame type: source of the header, the board deduction and the reference to 10 and 11/A12.02.</t>
        </is>
      </c>
      <c r="F288" s="46" t="inlineStr">
        <is>
          <t>HEADER, excluded.BLOCKING</t>
        </is>
      </c>
      <c r="G288" s="46" t="inlineStr">
        <is>
          <t>door 120, 3.33 LF of framed opening (leaf 3'-0" x 7'-0" per the Door Schedule of A00.30); door 121, 3.33 LF of framed opening (leaf 3'-0" x 7'-0" per the Door Schedule of A00.30).</t>
        </is>
      </c>
    </row>
    <row r="289" ht="33" customHeight="1" s="36">
      <c r="A289" s="59" t="n"/>
      <c r="B289" s="58" t="n">
        <v>12</v>
      </c>
      <c r="C289" s="44" t="inlineStr">
        <is>
          <t>A09.27</t>
        </is>
      </c>
      <c r="D289" s="59" t="inlineStr">
        <is>
          <t>Exclusion</t>
        </is>
      </c>
      <c r="E289" s="46" t="inlineStr">
        <is>
          <t>Gypsum Section Details, the sheet. Cited as a sheet when the finding is that NO detail on it labels a gypsum control joint.</t>
        </is>
      </c>
      <c r="F289" s="46" t="inlineStr">
        <is>
          <t>excluded.CONTROL_JOINT</t>
        </is>
      </c>
      <c r="G289" s="46" t="inlineStr">
        <is>
          <t>El set no rotula ni detalla ninguna junta de control de gypsum board, ni en A12.01 ni en los detalles de A09.27/A09.33, y no hay seccion de especificaciones 09 29 00 en el bid set.</t>
        </is>
      </c>
    </row>
    <row r="290" ht="33" customHeight="1" s="36">
      <c r="A290" s="59" t="n"/>
      <c r="B290" s="58" t="n">
        <v>13</v>
      </c>
      <c r="C290" s="44" t="inlineStr">
        <is>
          <t>A09.33</t>
        </is>
      </c>
      <c r="D290" s="59" t="inlineStr">
        <is>
          <t>Exclusion</t>
        </is>
      </c>
      <c r="E290" s="46" t="inlineStr">
        <is>
          <t>Ceiling Details, the sheet. Cited as a sheet for a finding by ABSENCE: its details label corner bead, casing bead and shadow molding one by one and NONE labels a control joint, so the omission is not a labeling oversight.</t>
        </is>
      </c>
      <c r="F290" s="46" t="inlineStr">
        <is>
          <t>excluded.CONTROL_JOINT</t>
        </is>
      </c>
      <c r="G290" s="46" t="inlineStr">
        <is>
          <t>El set no rotula ni detalla ninguna junta de control de gypsum board, ni en A12.01 ni en los detalles de A09.27/A09.33, y no hay seccion de especificaciones 09 29 00 en el bid set.</t>
        </is>
      </c>
    </row>
    <row r="291" ht="33" customHeight="1" s="36">
      <c r="A291" s="44" t="inlineStr">
        <is>
          <t>B #20</t>
        </is>
      </c>
      <c r="B291" s="58" t="n">
        <v>1</v>
      </c>
      <c r="C291" s="44" t="inlineStr">
        <is>
          <t>A02.01</t>
        </is>
      </c>
      <c r="D291" s="59" t="inlineStr">
        <is>
          <t>Dimension</t>
        </is>
      </c>
      <c r="E291" s="46" t="inlineStr">
        <is>
          <t>Construction Plan. Entry sheet for partitions and openings: vector geometry of every wall face at 1/4"=1'-0", the leader of every partition tag, the Construction Plan Legend (new vs. existing) and the Construction Plan Notes.</t>
        </is>
      </c>
      <c r="F291" s="46" t="inlineStr">
        <is>
          <t>excluded.BLOCKING, excluded.PATCH, length, stud_height</t>
        </is>
      </c>
      <c r="G291" s="46" t="inlineStr">
        <is>
          <t>A02.01 vector geometry: faces at y=1507.68 and y=1515.00, 7.32 pt apart = 4.88" against the 4 7/8" of the B row of the schedule (self-check (a) OK).</t>
        </is>
      </c>
    </row>
    <row r="292" ht="25.5" customHeight="1" s="36">
      <c r="A292" s="59" t="n"/>
      <c r="B292" s="58" t="n">
        <v>2</v>
      </c>
      <c r="C292" s="44" t="inlineStr">
        <is>
          <t>S2.20</t>
        </is>
      </c>
      <c r="D292" s="59" t="inlineStr">
        <is>
          <t>Dimension</t>
        </is>
      </c>
      <c r="E292" s="46" t="inlineStr">
        <is>
          <t>"ROOF FRAMING PLAN". Source of the STUD HEIGHT: every B.O.D. callout on the sheet and the slope of the bay between grids B and A (1/4" per foot).</t>
        </is>
      </c>
      <c r="F292" s="46" t="inlineStr">
        <is>
          <t>stud_height</t>
        </is>
      </c>
      <c r="G292" s="46" t="inlineStr">
        <is>
          <t>S2.20: the wall is in the SLOPED bay between grid B and grid A.</t>
        </is>
      </c>
    </row>
    <row r="293" ht="33" customHeight="1" s="36">
      <c r="A293" s="59" t="n"/>
      <c r="B293" s="58" t="n">
        <v>3</v>
      </c>
      <c r="C293" s="44" t="inlineStr">
        <is>
          <t>1/A12.01</t>
        </is>
      </c>
      <c r="D293" s="59" t="inlineStr">
        <is>
          <t>Dimension</t>
        </is>
      </c>
      <c r="E293" s="46" t="inlineStr">
        <is>
          <t>"PARTITION TYPE B, B2". Stud, layers per face, wall thickness and sealant of types B and B2. On a B wall it is the source; on an A1 wall it enters as a CONTRAST (B does label sealant top AND bottom, A1 only at the bottom).</t>
        </is>
      </c>
      <c r="F293" s="46" t="inlineStr">
        <is>
          <t>BOARD, SEALANT, TRACK_BOTTOM, TRACK_TOP, excluded.INSULATION, face[0].board_height, face[1].board_height</t>
        </is>
      </c>
      <c r="G293" s="46" t="inlineStr">
        <is>
          <t>1/A12.01 PARTITION TYPE B &amp; B2: stud AND board run from the slab to the UNDERSIDE OF STRUCTURE on both faces, so the board height equals the stud height, 12.748 ft.</t>
        </is>
      </c>
    </row>
    <row r="294" ht="43.5" customHeight="1" s="36">
      <c r="A294" s="59" t="n"/>
      <c r="B294" s="58" t="n">
        <v>4</v>
      </c>
      <c r="C294" s="44" t="inlineStr">
        <is>
          <t>A09.01</t>
        </is>
      </c>
      <c r="D294" s="59" t="inlineStr">
        <is>
          <t>Exclusion</t>
        </is>
      </c>
      <c r="E294" s="46" t="inlineStr">
        <is>
          <t>Exterior Elevations: "SOUTH ELEVATION" and "WEST ELEVATION" at 1/4"=1'-0". Extent of each exterior material and the material legend, verbatim "CJ CONTROL JOINT; PAINT TO MATCH STUCCO FINISH COLOR" - that joint is the STUCCO joint, not gypsum.</t>
        </is>
      </c>
      <c r="F294" s="46" t="inlineStr">
        <is>
          <t>excluded.CONTROL_JOINT</t>
        </is>
      </c>
      <c r="G29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95" ht="33" customHeight="1" s="36">
      <c r="A295" s="59" t="n"/>
      <c r="B295" s="58" t="n">
        <v>5</v>
      </c>
      <c r="C295" s="44" t="inlineStr">
        <is>
          <t>10/A12.02</t>
        </is>
      </c>
      <c r="D295" s="59" t="inlineStr">
        <is>
          <t>Quantity</t>
        </is>
      </c>
      <c r="E295" s="46" t="inlineStr">
        <is>
          <t>"HEAD @ HOLLOW METAL FRAME" at 3"=1'-0". Head of the hollow metal frame: labels SCHEDULED PARTITION, METAL STUD, METAL CLIP, HOLLOW METAL FRAME and 1/2" of board lap per face inside the frame throat.</t>
        </is>
      </c>
      <c r="F295" s="46" t="inlineStr">
        <is>
          <t>HEADER, openings[0].head</t>
        </is>
      </c>
      <c r="G295" s="46" t="inlineStr">
        <is>
          <t>Head per 10/A12.02 HEAD @ HOLLOW METAL FRAME, jamb per 11/A12.02, no sill (a door carries a header and NO sill).</t>
        </is>
      </c>
    </row>
    <row r="296" ht="33" customHeight="1" s="36">
      <c r="A296" s="59" t="n"/>
      <c r="B296" s="58" t="n">
        <v>6</v>
      </c>
      <c r="C296" s="44" t="inlineStr">
        <is>
          <t>11/A12.02</t>
        </is>
      </c>
      <c r="D296" s="59" t="inlineStr">
        <is>
          <t>Quantity</t>
        </is>
      </c>
      <c r="E296" s="46" t="inlineStr">
        <is>
          <t>"JAMB @ HOLLOW METAL FRAME" at 3"=1'-0". Jamb of the same frame: it calls METAL ANCHOR the piece detail 10 calls METAL CLIP, so the piece is frame anchorage (Div 08), not a clip of ours.</t>
        </is>
      </c>
      <c r="F296" s="46" t="inlineStr">
        <is>
          <t>HEADER</t>
        </is>
      </c>
      <c r="G296" s="46" t="inlineStr">
        <is>
          <t>Head per 10/A12.02 HEAD @ HOLLOW METAL FRAME, jamb per 11/A12.02, no sill (a door carries a header and NO sill).</t>
        </is>
      </c>
    </row>
    <row r="297" ht="33" customHeight="1" s="36">
      <c r="A297" s="59" t="n"/>
      <c r="B297" s="58" t="n">
        <v>7</v>
      </c>
      <c r="C297" s="44" t="inlineStr">
        <is>
          <t>1/S5.20</t>
        </is>
      </c>
      <c r="D297" s="59" t="inlineStr">
        <is>
          <t>Quantity</t>
        </is>
      </c>
      <c r="E297" s="46" t="inlineStr">
        <is>
          <t>"TYPICAL WALL FRAMING DETAILS". Holds sub-details A through F; sub-detail F "BRIDGING AND BRACING - CONTINUOUS BRIDGING" is the bracing one: 1 1/2" C.R. CHANNEL welded to every stud. (Bracing is NOT in 5/S5.20, which is TYPICAL WALL FRAMING CONNX.)</t>
        </is>
      </c>
      <c r="F297" s="46" t="inlineStr">
        <is>
          <t>BRACING, excluded.CLIPS</t>
        </is>
      </c>
      <c r="G297" s="46" t="inlineStr">
        <is>
          <t>(1/S5.20 sub-detail F "BRIDGING AND BRACING - CONTINUOUS BRIDGING", welded to each stud; spacing from 7/S5.20).</t>
        </is>
      </c>
    </row>
    <row r="298" ht="33" customHeight="1" s="36">
      <c r="A298" s="59" t="n"/>
      <c r="B298" s="58" t="n">
        <v>8</v>
      </c>
      <c r="C298" s="44" t="inlineStr">
        <is>
          <t>4/S5.20</t>
        </is>
      </c>
      <c r="D298" s="59" t="inlineStr">
        <is>
          <t>Exclusion</t>
        </is>
      </c>
      <c r="E298" s="46" t="inlineStr">
        <is>
          <t>"TYPICAL BLOCKING DETAIL". STUD BLOCKING 362CR22 and CLIP ANGLE 362CR22, with the boxed verbatim note "PROVIDE BLOCKING AT THE EDGE OF GYPBOARD." - source of the blocking at EVERY free edge of board.</t>
        </is>
      </c>
      <c r="F298" s="46" t="inlineStr">
        <is>
          <t>excluded.BLOCKING</t>
        </is>
      </c>
      <c r="G298" s="46" t="inlineStr">
        <is>
          <t>The free edge rule of 4/S5.20 adds none either: the board of this type runs to the top track, which is itself the support of its edge.</t>
        </is>
      </c>
    </row>
    <row r="299" ht="33" customHeight="1" s="36">
      <c r="A299" s="59" t="n"/>
      <c r="B299" s="58" t="n">
        <v>9</v>
      </c>
      <c r="C299" s="44" t="inlineStr">
        <is>
          <t>7/S5.20</t>
        </is>
      </c>
      <c r="D299" s="59" t="inlineStr">
        <is>
          <t>Quantity</t>
        </is>
      </c>
      <c r="E299" s="46" t="inlineStr">
        <is>
          <t>"METAL STUDS SCHEDULES". The profile: web, flange, lip, mils, gauge and the APPLICATION column with the spacing ("INTERIOR WALLS @ 16" O.C."), plus the SILL TRACK ANCHORAGE and the FASTENER SCHEDULE.</t>
        </is>
      </c>
      <c r="F299" s="46" t="inlineStr">
        <is>
          <t>BRACING, HEADER, STUD, TRACK_BOTTOM, TRACK_TOP, excluded.CLIPS</t>
        </is>
      </c>
      <c r="G299" s="46" t="inlineStr">
        <is>
          <t>(1/S5.20 sub-detail F "BRIDGING AND BRACING - CONTINUOUS BRIDGING", welded to each stud; spacing from 7/S5.20).</t>
        </is>
      </c>
    </row>
    <row r="300" ht="25.5" customHeight="1" s="36">
      <c r="A300" s="59" t="n"/>
      <c r="B300" s="58" t="n">
        <v>10</v>
      </c>
      <c r="C300" s="44" t="inlineStr">
        <is>
          <t>9/S5.20</t>
        </is>
      </c>
      <c r="D300" s="59" t="inlineStr">
        <is>
          <t>Quantity</t>
        </is>
      </c>
      <c r="E300" s="46" t="inlineStr">
        <is>
          <t>"OPNG IN NON-LOAD-BRG WALLS". The opening frame: DBL JAMB STUD (2 per jamb) and HEAD TRACK with the condition "DOUBLE TRACK @ OPNG &gt; 4'-0"".</t>
        </is>
      </c>
      <c r="F300" s="46" t="inlineStr">
        <is>
          <t>HEADER, STUD</t>
        </is>
      </c>
      <c r="G300" s="46" t="inlineStr">
        <is>
          <t>SINGLE head track: the HEADER SCHEDULE of 7/S5.20 for non-load-bearing interior gives single track 18 ga at 3'-4", and 9/S5.20 asks for the double only @ OPNG &gt; 4'-0".</t>
        </is>
      </c>
    </row>
    <row r="301" ht="25.5" customHeight="1" s="36">
      <c r="A301" s="59" t="n"/>
      <c r="B301" s="58" t="n">
        <v>11</v>
      </c>
      <c r="C301" s="44" t="inlineStr">
        <is>
          <t>A00.30</t>
        </is>
      </c>
      <c r="D301" s="59" t="inlineStr">
        <is>
          <t>Quantity</t>
        </is>
      </c>
      <c r="E301" s="46" t="inlineStr">
        <is>
          <t>Door Schedule. Leaf width and height of every door and the frame type: source of the header, the board deduction and the reference to 10 and 11/A12.02.</t>
        </is>
      </c>
      <c r="F301" s="46" t="inlineStr">
        <is>
          <t>HEADER, excluded.BLOCKING</t>
        </is>
      </c>
      <c r="G301" s="46" t="inlineStr">
        <is>
          <t>door 112, 3.00 LF of framed opening (leaf 3'-0" x 7'-0" per the Door Schedule of A00.30).</t>
        </is>
      </c>
    </row>
    <row r="302" ht="33" customHeight="1" s="36">
      <c r="A302" s="59" t="n"/>
      <c r="B302" s="58" t="n">
        <v>12</v>
      </c>
      <c r="C302" s="44" t="inlineStr">
        <is>
          <t>A09.27</t>
        </is>
      </c>
      <c r="D302" s="59" t="inlineStr">
        <is>
          <t>Exclusion</t>
        </is>
      </c>
      <c r="E302" s="46" t="inlineStr">
        <is>
          <t>Gypsum Section Details, the sheet. Cited as a sheet when the finding is that NO detail on it labels a gypsum control joint.</t>
        </is>
      </c>
      <c r="F302" s="46" t="inlineStr">
        <is>
          <t>excluded.CONTROL_JOINT</t>
        </is>
      </c>
      <c r="G302" s="46" t="inlineStr">
        <is>
          <t>El set no rotula ni detalla ninguna junta de control de gypsum board, ni en A12.01 ni en los detalles de A09.27/A09.33, y no hay seccion de especificaciones 09 29 00 en el bid set.</t>
        </is>
      </c>
    </row>
    <row r="303" ht="33" customHeight="1" s="36">
      <c r="A303" s="59" t="n"/>
      <c r="B303" s="58" t="n">
        <v>13</v>
      </c>
      <c r="C303" s="44" t="inlineStr">
        <is>
          <t>A09.33</t>
        </is>
      </c>
      <c r="D303" s="59" t="inlineStr">
        <is>
          <t>Exclusion</t>
        </is>
      </c>
      <c r="E303" s="46" t="inlineStr">
        <is>
          <t>Ceiling Details, the sheet. Cited as a sheet for a finding by ABSENCE: its details label corner bead, casing bead and shadow molding one by one and NONE labels a control joint, so the omission is not a labeling oversight.</t>
        </is>
      </c>
      <c r="F303" s="46" t="inlineStr">
        <is>
          <t>excluded.CONTROL_JOINT</t>
        </is>
      </c>
      <c r="G303" s="46" t="inlineStr">
        <is>
          <t>El set no rotula ni detalla ninguna junta de control de gypsum board, ni en A12.01 ni en los detalles de A09.27/A09.33, y no hay seccion de especificaciones 09 29 00 en el bid set.</t>
        </is>
      </c>
    </row>
    <row r="304" ht="33" customHeight="1" s="36">
      <c r="A304" s="44" t="inlineStr">
        <is>
          <t>B #21</t>
        </is>
      </c>
      <c r="B304" s="58" t="n">
        <v>1</v>
      </c>
      <c r="C304" s="44" t="inlineStr">
        <is>
          <t>A02.01</t>
        </is>
      </c>
      <c r="D304" s="59" t="inlineStr">
        <is>
          <t>Dimension</t>
        </is>
      </c>
      <c r="E304" s="46" t="inlineStr">
        <is>
          <t>Construction Plan. Entry sheet for partitions and openings: vector geometry of every wall face at 1/4"=1'-0", the leader of every partition tag, the Construction Plan Legend (new vs. existing) and the Construction Plan Notes.</t>
        </is>
      </c>
      <c r="F304" s="46" t="inlineStr">
        <is>
          <t>excluded.BLOCKING, excluded.HEADER, excluded.PATCH, length, stud_height</t>
        </is>
      </c>
      <c r="G304" s="46" t="inlineStr">
        <is>
          <t>A02.01 vector geometry: faces lw&gt;=1.1 at y=1578.84 and y=1586.16 (thickness 7.32 pt = 4.880"); run x=911.88 to x=1123.08 = 211.20 pt / 18 = 11.733 ft.</t>
        </is>
      </c>
    </row>
    <row r="305" ht="25.5" customHeight="1" s="36">
      <c r="A305" s="59" t="n"/>
      <c r="B305" s="58" t="n">
        <v>2</v>
      </c>
      <c r="C305" s="44" t="inlineStr">
        <is>
          <t>S2.20</t>
        </is>
      </c>
      <c r="D305" s="59" t="inlineStr">
        <is>
          <t>Dimension</t>
        </is>
      </c>
      <c r="E305" s="46" t="inlineStr">
        <is>
          <t>"ROOF FRAMING PLAN". Source of the STUD HEIGHT: every B.O.D. callout on the sheet and the slope of the bay between grids B and A (1/4" per foot).</t>
        </is>
      </c>
      <c r="F305" s="46" t="inlineStr">
        <is>
          <t>stud_height</t>
        </is>
      </c>
      <c r="G305" s="46" t="inlineStr">
        <is>
          <t>S2.20: the wall is in the SLOPED bay between grid B and grid A.</t>
        </is>
      </c>
    </row>
    <row r="306" ht="33" customHeight="1" s="36">
      <c r="A306" s="59" t="n"/>
      <c r="B306" s="58" t="n">
        <v>3</v>
      </c>
      <c r="C306" s="44" t="inlineStr">
        <is>
          <t>1/A12.01</t>
        </is>
      </c>
      <c r="D306" s="59" t="inlineStr">
        <is>
          <t>Dimension</t>
        </is>
      </c>
      <c r="E306" s="46" t="inlineStr">
        <is>
          <t>"PARTITION TYPE B, B2". Stud, layers per face, wall thickness and sealant of types B and B2. On a B wall it is the source; on an A1 wall it enters as a CONTRAST (B does label sealant top AND bottom, A1 only at the bottom).</t>
        </is>
      </c>
      <c r="F306" s="46" t="inlineStr">
        <is>
          <t>BOARD, SEALANT, TRACK_BOTTOM, TRACK_TOP, excluded.INSULATION, face[0].board_height, face[1].board_height, face[2].board_height</t>
        </is>
      </c>
      <c r="G306" s="46" t="inlineStr">
        <is>
          <t>1/A12.01 PARTITION TYPE B &amp; B2: stud AND board run from the slab to the UNDERSIDE OF STRUCTURE on both faces, so the board height equals the stud height, 12.666 ft.</t>
        </is>
      </c>
    </row>
    <row r="307" ht="33" customHeight="1" s="36">
      <c r="A307" s="59" t="n"/>
      <c r="B307" s="58" t="n">
        <v>4</v>
      </c>
      <c r="C307" s="44" t="inlineStr">
        <is>
          <t>1/S5.20</t>
        </is>
      </c>
      <c r="D307" s="59" t="inlineStr">
        <is>
          <t>Quantity</t>
        </is>
      </c>
      <c r="E307" s="46" t="inlineStr">
        <is>
          <t>"TYPICAL WALL FRAMING DETAILS". Holds sub-details A through F; sub-detail F "BRIDGING AND BRACING - CONTINUOUS BRIDGING" is the bracing one: 1 1/2" C.R. CHANNEL welded to every stud. (Bracing is NOT in 5/S5.20, which is TYPICAL WALL FRAMING CONNX.)</t>
        </is>
      </c>
      <c r="F307" s="46" t="inlineStr">
        <is>
          <t>BRACING, excluded.CLIPS</t>
        </is>
      </c>
      <c r="G307" s="46" t="inlineStr">
        <is>
          <t>(1/S5.20 sub-detail F "BRIDGING AND BRACING - CONTINUOUS BRIDGING", welded to each stud; spacing from 7/S5.20).</t>
        </is>
      </c>
    </row>
    <row r="308" ht="33" customHeight="1" s="36">
      <c r="A308" s="59" t="n"/>
      <c r="B308" s="58" t="n">
        <v>5</v>
      </c>
      <c r="C308" s="44" t="inlineStr">
        <is>
          <t>4/S5.20</t>
        </is>
      </c>
      <c r="D308" s="59" t="inlineStr">
        <is>
          <t>Exclusion</t>
        </is>
      </c>
      <c r="E308" s="46" t="inlineStr">
        <is>
          <t>"TYPICAL BLOCKING DETAIL". STUD BLOCKING 362CR22 and CLIP ANGLE 362CR22, with the boxed verbatim note "PROVIDE BLOCKING AT THE EDGE OF GYPBOARD." - source of the blocking at EVERY free edge of board.</t>
        </is>
      </c>
      <c r="F308" s="46" t="inlineStr">
        <is>
          <t>excluded.BLOCKING</t>
        </is>
      </c>
      <c r="G308" s="46" t="inlineStr">
        <is>
          <t>The free edge rule of 4/S5.20 adds none either: the board of this type runs to the top track, which is itself the support of its edge.</t>
        </is>
      </c>
    </row>
    <row r="309" ht="33" customHeight="1" s="36">
      <c r="A309" s="59" t="n"/>
      <c r="B309" s="58" t="n">
        <v>6</v>
      </c>
      <c r="C309" s="44" t="inlineStr">
        <is>
          <t>7/S5.20</t>
        </is>
      </c>
      <c r="D309" s="59" t="inlineStr">
        <is>
          <t>Quantity</t>
        </is>
      </c>
      <c r="E309" s="46" t="inlineStr">
        <is>
          <t>"METAL STUDS SCHEDULES". The profile: web, flange, lip, mils, gauge and the APPLICATION column with the spacing ("INTERIOR WALLS @ 16" O.C."), plus the SILL TRACK ANCHORAGE and the FASTENER SCHEDULE.</t>
        </is>
      </c>
      <c r="F309" s="46" t="inlineStr">
        <is>
          <t>BRACING, STUD, TRACK_BOTTOM, TRACK_TOP, excluded.CLIPS</t>
        </is>
      </c>
      <c r="G309" s="46" t="inlineStr">
        <is>
          <t>(1/S5.20 sub-detail F "BRIDGING AND BRACING - CONTINUOUS BRIDGING", welded to each stud; spacing from 7/S5.20).</t>
        </is>
      </c>
    </row>
    <row r="310" ht="43.5" customHeight="1" s="36">
      <c r="A310" s="59" t="n"/>
      <c r="B310" s="58" t="n">
        <v>7</v>
      </c>
      <c r="C310" s="44" t="inlineStr">
        <is>
          <t>A09.01</t>
        </is>
      </c>
      <c r="D310" s="59" t="inlineStr">
        <is>
          <t>Exclusion</t>
        </is>
      </c>
      <c r="E310" s="46" t="inlineStr">
        <is>
          <t>Exterior Elevations: "SOUTH ELEVATION" and "WEST ELEVATION" at 1/4"=1'-0". Extent of each exterior material and the material legend, verbatim "CJ CONTROL JOINT; PAINT TO MATCH STUCCO FINISH COLOR" - that joint is the STUCCO joint, not gypsum.</t>
        </is>
      </c>
      <c r="F310" s="46" t="inlineStr">
        <is>
          <t>excluded.CONTROL_JOINT</t>
        </is>
      </c>
      <c r="G31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11" ht="25.5" customHeight="1" s="36">
      <c r="A311" s="59" t="n"/>
      <c r="B311" s="58" t="n">
        <v>8</v>
      </c>
      <c r="C311" s="44" t="inlineStr">
        <is>
          <t>A00.30</t>
        </is>
      </c>
      <c r="D311" s="59" t="inlineStr">
        <is>
          <t>Exclusion</t>
        </is>
      </c>
      <c r="E311" s="46" t="inlineStr">
        <is>
          <t>Door Schedule. Leaf width and height of every door and the frame type: source of the header, the board deduction and the reference to 10 and 11/A12.02.</t>
        </is>
      </c>
      <c r="F311" s="46" t="inlineStr">
        <is>
          <t>excluded.BLOCKING, excluded.HEADER</t>
        </is>
      </c>
      <c r="G311" s="46" t="inlineStr">
        <is>
          <t>Key notes 5, 6 and 7 of A02.01, the Fixture Plan and the Millwork Schedule of A00.30 were reviewed: no fixture, millwork or accessory lands on this run.</t>
        </is>
      </c>
    </row>
    <row r="312" ht="33" customHeight="1" s="36">
      <c r="A312" s="59" t="n"/>
      <c r="B312" s="58" t="n">
        <v>9</v>
      </c>
      <c r="C312" s="44" t="inlineStr">
        <is>
          <t>A09.27</t>
        </is>
      </c>
      <c r="D312" s="59" t="inlineStr">
        <is>
          <t>Exclusion</t>
        </is>
      </c>
      <c r="E312" s="46" t="inlineStr">
        <is>
          <t>Gypsum Section Details, the sheet. Cited as a sheet when the finding is that NO detail on it labels a gypsum control joint.</t>
        </is>
      </c>
      <c r="F312" s="46" t="inlineStr">
        <is>
          <t>excluded.CONTROL_JOINT</t>
        </is>
      </c>
      <c r="G312" s="46" t="inlineStr">
        <is>
          <t>El set no rotula ni detalla ninguna junta de control de gypsum board, ni en A12.01 ni en los detalles de A09.27/A09.33, y no hay seccion de especificaciones 09 29 00 en el bid set.</t>
        </is>
      </c>
    </row>
    <row r="313" ht="33" customHeight="1" s="36">
      <c r="A313" s="59" t="n"/>
      <c r="B313" s="58" t="n">
        <v>10</v>
      </c>
      <c r="C313" s="44" t="inlineStr">
        <is>
          <t>A09.33</t>
        </is>
      </c>
      <c r="D313" s="59" t="inlineStr">
        <is>
          <t>Exclusion</t>
        </is>
      </c>
      <c r="E313" s="46" t="inlineStr">
        <is>
          <t>Ceiling Details, the sheet. Cited as a sheet for a finding by ABSENCE: its details label corner bead, casing bead and shadow molding one by one and NONE labels a control joint, so the omission is not a labeling oversight.</t>
        </is>
      </c>
      <c r="F313" s="46" t="inlineStr">
        <is>
          <t>excluded.CONTROL_JOINT</t>
        </is>
      </c>
      <c r="G313" s="46" t="inlineStr">
        <is>
          <t>El set no rotula ni detalla ninguna junta de control de gypsum board, ni en A12.01 ni en los detalles de A09.27/A09.33, y no hay seccion de especificaciones 09 29 00 en el bid set.</t>
        </is>
      </c>
    </row>
    <row r="314" ht="33" customHeight="1" s="36">
      <c r="A314" s="44" t="inlineStr">
        <is>
          <t>B #18</t>
        </is>
      </c>
      <c r="B314" s="58" t="n">
        <v>1</v>
      </c>
      <c r="C314" s="44" t="inlineStr">
        <is>
          <t>A02.01</t>
        </is>
      </c>
      <c r="D314" s="59" t="inlineStr">
        <is>
          <t>Dimension</t>
        </is>
      </c>
      <c r="E314" s="46" t="inlineStr">
        <is>
          <t>Construction Plan. Entry sheet for partitions and openings: vector geometry of every wall face at 1/4"=1'-0", the leader of every partition tag, the Construction Plan Legend (new vs. existing) and the Construction Plan Notes.</t>
        </is>
      </c>
      <c r="F314" s="46" t="inlineStr">
        <is>
          <t>excluded.BLOCKING, excluded.HEADER, excluded.PATCH, length, stud_height</t>
        </is>
      </c>
      <c r="G314" s="46" t="inlineStr">
        <is>
          <t>A02.01 vector geometry: faces lw&gt;=1.1 at y=1438.80 and y=1446.12 (thickness 7.32 pt = 4.880" against the 4 7/8" of 1/A12.01 PARTITION TYPE B &amp; B2); run x=1241.76 to x=1421.52 = 179.76 pt / 18 = 9.987 ft.</t>
        </is>
      </c>
    </row>
    <row r="315" ht="25.5" customHeight="1" s="36">
      <c r="A315" s="59" t="n"/>
      <c r="B315" s="58" t="n">
        <v>2</v>
      </c>
      <c r="C315" s="44" t="inlineStr">
        <is>
          <t>S2.20</t>
        </is>
      </c>
      <c r="D315" s="59" t="inlineStr">
        <is>
          <t>Dimension</t>
        </is>
      </c>
      <c r="E315" s="46" t="inlineStr">
        <is>
          <t>"ROOF FRAMING PLAN". Source of the STUD HEIGHT: every B.O.D. callout on the sheet and the slope of the bay between grids B and A (1/4" per foot).</t>
        </is>
      </c>
      <c r="F315" s="46" t="inlineStr">
        <is>
          <t>stud_height</t>
        </is>
      </c>
      <c r="G315" s="46" t="inlineStr">
        <is>
          <t>S2.20: the wall is in the SLOPED bay between grid B and grid A.</t>
        </is>
      </c>
    </row>
    <row r="316" ht="43.5" customHeight="1" s="36">
      <c r="A316" s="59" t="n"/>
      <c r="B316" s="58" t="n">
        <v>3</v>
      </c>
      <c r="C316" s="44" t="inlineStr">
        <is>
          <t>2/A11.03</t>
        </is>
      </c>
      <c r="D316" s="59" t="inlineStr">
        <is>
          <t>Quantity</t>
        </is>
      </c>
      <c r="E316" s="46"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316" s="46" t="inlineStr">
        <is>
          <t>PLYWOOD_FRT</t>
        </is>
      </c>
      <c r="G316" s="46" t="inlineStr">
        <is>
          <t>2/A11.03 ELECTRICAL ELEVATION, 1/2"=1'-0", labels "3/4" FRT PLYWOOD" with a leader to the hatched field and prints its 8.00 ft height.</t>
        </is>
      </c>
    </row>
    <row r="317" ht="43.5" customHeight="1" s="36">
      <c r="A317" s="59" t="n"/>
      <c r="B317" s="58" t="n">
        <v>4</v>
      </c>
      <c r="C317" s="44" t="inlineStr">
        <is>
          <t>3/A11.03</t>
        </is>
      </c>
      <c r="D317" s="59" t="inlineStr">
        <is>
          <t>Quantity</t>
        </is>
      </c>
      <c r="E317" s="46" t="inlineStr">
        <is>
          <t>"ELECTRICAL ELEVATION 2", measured width 5.833 ft. Panel backing board.</t>
        </is>
      </c>
      <c r="F317" s="46" t="inlineStr">
        <is>
          <t>PLYWOOD_FRT</t>
        </is>
      </c>
      <c r="G317" s="46" t="inlineStr">
        <is>
          <t>Width 9.540 ft MEASURED on that elevation box (343.44 pt / 36), which is what assigns this elevation to THIS wall and not to the other one of the room: the three ELECTRICAL ELEVATIONS of A11.03 measure 9.540 (2/A11.03), 5.833 (3/A11.03) and 9.517 ft (4/A11.03), and the bubbles do NOT run left to right.</t>
        </is>
      </c>
    </row>
    <row r="318" ht="43.5" customHeight="1" s="36">
      <c r="A318" s="59" t="n"/>
      <c r="B318" s="58" t="n">
        <v>5</v>
      </c>
      <c r="C318" s="44" t="inlineStr">
        <is>
          <t>4/A11.03</t>
        </is>
      </c>
      <c r="D318" s="59" t="inlineStr">
        <is>
          <t>Quantity</t>
        </is>
      </c>
      <c r="E318" s="46"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318" s="46" t="inlineStr">
        <is>
          <t>PLYWOOD_FRT</t>
        </is>
      </c>
      <c r="G318" s="46" t="inlineStr">
        <is>
          <t>Width 9.540 ft MEASURED on that elevation box (343.44 pt / 36), which is what assigns this elevation to THIS wall and not to the other one of the room: the three ELECTRICAL ELEVATIONS of A11.03 measure 9.540 (2/A11.03), 5.833 (3/A11.03) and 9.517 ft (4/A11.03), and the bubbles do NOT run left to right.</t>
        </is>
      </c>
    </row>
    <row r="319" ht="33" customHeight="1" s="36">
      <c r="A319" s="59" t="n"/>
      <c r="B319" s="58" t="n">
        <v>6</v>
      </c>
      <c r="C319" s="44" t="inlineStr">
        <is>
          <t>1/A12.01</t>
        </is>
      </c>
      <c r="D319" s="59" t="inlineStr">
        <is>
          <t>Dimension</t>
        </is>
      </c>
      <c r="E319" s="46" t="inlineStr">
        <is>
          <t>"PARTITION TYPE B, B2". Stud, layers per face, wall thickness and sealant of types B and B2. On a B wall it is the source; on an A1 wall it enters as a CONTRAST (B does label sealant top AND bottom, A1 only at the bottom).</t>
        </is>
      </c>
      <c r="F319" s="46" t="inlineStr">
        <is>
          <t>BOARD, SEALANT, TRACK_BOTTOM, TRACK_TOP, excluded.INSULATION, face[0].board_height, face[1].board_height, length</t>
        </is>
      </c>
      <c r="G319" s="46" t="inlineStr">
        <is>
          <t>1/A12.01 PARTITION TYPE B &amp; B2: stud AND board run from the slab to the UNDERSIDE OF STRUCTURE on both faces, so the board height equals the stud height, 12.827 ft.</t>
        </is>
      </c>
    </row>
    <row r="320" ht="33" customHeight="1" s="36">
      <c r="A320" s="59" t="n"/>
      <c r="B320" s="58" t="n">
        <v>7</v>
      </c>
      <c r="C320" s="44" t="inlineStr">
        <is>
          <t>1/S5.20</t>
        </is>
      </c>
      <c r="D320" s="59" t="inlineStr">
        <is>
          <t>Quantity</t>
        </is>
      </c>
      <c r="E320" s="46" t="inlineStr">
        <is>
          <t>"TYPICAL WALL FRAMING DETAILS". Holds sub-details A through F; sub-detail F "BRIDGING AND BRACING - CONTINUOUS BRIDGING" is the bracing one: 1 1/2" C.R. CHANNEL welded to every stud. (Bracing is NOT in 5/S5.20, which is TYPICAL WALL FRAMING CONNX.)</t>
        </is>
      </c>
      <c r="F320" s="46" t="inlineStr">
        <is>
          <t>BRACING, excluded.CLIPS</t>
        </is>
      </c>
      <c r="G320" s="46" t="inlineStr">
        <is>
          <t>(1/S5.20 sub-detail F "BRIDGING AND BRACING - CONTINUOUS BRIDGING", welded to each stud; spacing from 7/S5.20).</t>
        </is>
      </c>
    </row>
    <row r="321" ht="33" customHeight="1" s="36">
      <c r="A321" s="59" t="n"/>
      <c r="B321" s="58" t="n">
        <v>8</v>
      </c>
      <c r="C321" s="44" t="inlineStr">
        <is>
          <t>4/S5.20</t>
        </is>
      </c>
      <c r="D321" s="59" t="inlineStr">
        <is>
          <t>Exclusion</t>
        </is>
      </c>
      <c r="E321" s="46" t="inlineStr">
        <is>
          <t>"TYPICAL BLOCKING DETAIL". STUD BLOCKING 362CR22 and CLIP ANGLE 362CR22, with the boxed verbatim note "PROVIDE BLOCKING AT THE EDGE OF GYPBOARD." - source of the blocking at EVERY free edge of board.</t>
        </is>
      </c>
      <c r="F321" s="46" t="inlineStr">
        <is>
          <t>excluded.BLOCKING</t>
        </is>
      </c>
      <c r="G321" s="46" t="inlineStr">
        <is>
          <t>The free edge rule of 4/S5.20 adds none either: the board of this type runs to the top track, which is itself the support of its edge.</t>
        </is>
      </c>
    </row>
    <row r="322" ht="33" customHeight="1" s="36">
      <c r="A322" s="59" t="n"/>
      <c r="B322" s="58" t="n">
        <v>9</v>
      </c>
      <c r="C322" s="44" t="inlineStr">
        <is>
          <t>7/S5.20</t>
        </is>
      </c>
      <c r="D322" s="59" t="inlineStr">
        <is>
          <t>Quantity</t>
        </is>
      </c>
      <c r="E322" s="46" t="inlineStr">
        <is>
          <t>"METAL STUDS SCHEDULES". The profile: web, flange, lip, mils, gauge and the APPLICATION column with the spacing ("INTERIOR WALLS @ 16" O.C."), plus the SILL TRACK ANCHORAGE and the FASTENER SCHEDULE.</t>
        </is>
      </c>
      <c r="F322" s="46" t="inlineStr">
        <is>
          <t>BRACING, STUD, TRACK_BOTTOM, TRACK_TOP, excluded.CLIPS</t>
        </is>
      </c>
      <c r="G322" s="46" t="inlineStr">
        <is>
          <t>(1/S5.20 sub-detail F "BRIDGING AND BRACING - CONTINUOUS BRIDGING", welded to each stud; spacing from 7/S5.20).</t>
        </is>
      </c>
    </row>
    <row r="323" ht="43.5" customHeight="1" s="36">
      <c r="A323" s="59" t="n"/>
      <c r="B323" s="58" t="n">
        <v>10</v>
      </c>
      <c r="C323" s="44" t="inlineStr">
        <is>
          <t>A09.01</t>
        </is>
      </c>
      <c r="D323" s="59" t="inlineStr">
        <is>
          <t>Exclusion</t>
        </is>
      </c>
      <c r="E323" s="46" t="inlineStr">
        <is>
          <t>Exterior Elevations: "SOUTH ELEVATION" and "WEST ELEVATION" at 1/4"=1'-0". Extent of each exterior material and the material legend, verbatim "CJ CONTROL JOINT; PAINT TO MATCH STUCCO FINISH COLOR" - that joint is the STUCCO joint, not gypsum.</t>
        </is>
      </c>
      <c r="F323" s="46" t="inlineStr">
        <is>
          <t>excluded.CONTROL_JOINT</t>
        </is>
      </c>
      <c r="G323"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24" ht="25.5" customHeight="1" s="36">
      <c r="A324" s="59" t="n"/>
      <c r="B324" s="58" t="n">
        <v>11</v>
      </c>
      <c r="C324" s="44" t="inlineStr">
        <is>
          <t>A00.30</t>
        </is>
      </c>
      <c r="D324" s="59" t="inlineStr">
        <is>
          <t>Exclusion</t>
        </is>
      </c>
      <c r="E324" s="46" t="inlineStr">
        <is>
          <t>Door Schedule. Leaf width and height of every door and the frame type: source of the header, the board deduction and the reference to 10 and 11/A12.02.</t>
        </is>
      </c>
      <c r="F324" s="46" t="inlineStr">
        <is>
          <t>excluded.BLOCKING, excluded.HEADER</t>
        </is>
      </c>
      <c r="G324" s="46" t="inlineStr">
        <is>
          <t>Key notes 5, 6 and 7 of A02.01, the Fixture Plan and the Millwork Schedule of A00.30 were reviewed: no fixture, millwork or accessory lands on this run.</t>
        </is>
      </c>
    </row>
    <row r="325" ht="33" customHeight="1" s="36">
      <c r="A325" s="59" t="n"/>
      <c r="B325" s="58" t="n">
        <v>12</v>
      </c>
      <c r="C325" s="44" t="inlineStr">
        <is>
          <t>A09.27</t>
        </is>
      </c>
      <c r="D325" s="59" t="inlineStr">
        <is>
          <t>Exclusion</t>
        </is>
      </c>
      <c r="E325" s="46" t="inlineStr">
        <is>
          <t>Gypsum Section Details, the sheet. Cited as a sheet when the finding is that NO detail on it labels a gypsum control joint.</t>
        </is>
      </c>
      <c r="F325" s="46" t="inlineStr">
        <is>
          <t>excluded.CONTROL_JOINT</t>
        </is>
      </c>
      <c r="G325" s="46" t="inlineStr">
        <is>
          <t>El set no rotula ni detalla ninguna junta de control de gypsum board, ni en A12.01 ni en los detalles de A09.27/A09.33, y no hay seccion de especificaciones 09 29 00 en el bid set.</t>
        </is>
      </c>
    </row>
    <row r="326" ht="33" customHeight="1" s="36">
      <c r="A326" s="59" t="n"/>
      <c r="B326" s="58" t="n">
        <v>13</v>
      </c>
      <c r="C326" s="44" t="inlineStr">
        <is>
          <t>A09.33</t>
        </is>
      </c>
      <c r="D326" s="59" t="inlineStr">
        <is>
          <t>Exclusion</t>
        </is>
      </c>
      <c r="E326" s="46" t="inlineStr">
        <is>
          <t>Ceiling Details, the sheet. Cited as a sheet for a finding by ABSENCE: its details label corner bead, casing bead and shadow molding one by one and NONE labels a control joint, so the omission is not a labeling oversight.</t>
        </is>
      </c>
      <c r="F326" s="46" t="inlineStr">
        <is>
          <t>excluded.CONTROL_JOINT</t>
        </is>
      </c>
      <c r="G326" s="46" t="inlineStr">
        <is>
          <t>El set no rotula ni detalla ninguna junta de control de gypsum board, ni en A12.01 ni en los detalles de A09.27/A09.33, y no hay seccion de especificaciones 09 29 00 en el bid set.</t>
        </is>
      </c>
    </row>
    <row r="327" ht="33" customHeight="1" s="36">
      <c r="A327" s="44" t="inlineStr">
        <is>
          <t>B #22</t>
        </is>
      </c>
      <c r="B327" s="58" t="n">
        <v>1</v>
      </c>
      <c r="C327" s="44" t="inlineStr">
        <is>
          <t>A02.01</t>
        </is>
      </c>
      <c r="D327" s="59" t="inlineStr">
        <is>
          <t>Dimension</t>
        </is>
      </c>
      <c r="E327" s="46" t="inlineStr">
        <is>
          <t>Construction Plan. Entry sheet for partitions and openings: vector geometry of every wall face at 1/4"=1'-0", the leader of every partition tag, the Construction Plan Legend (new vs. existing) and the Construction Plan Notes.</t>
        </is>
      </c>
      <c r="F327" s="46" t="inlineStr">
        <is>
          <t>excluded.BLOCKING, excluded.HEADER, excluded.PATCH, length, stud_height</t>
        </is>
      </c>
      <c r="G327" s="46" t="inlineStr">
        <is>
          <t>A02.01 vector geometry: faces lw&gt;=1.1 at y=1551.12 and y=1558.44 (thickness 7.32 pt = 4.880"); run x=1241.76 to x=1414.20 = 172.44 pt / 18 = 9.580 ft.</t>
        </is>
      </c>
    </row>
    <row r="328" ht="25.5" customHeight="1" s="36">
      <c r="A328" s="59" t="n"/>
      <c r="B328" s="58" t="n">
        <v>2</v>
      </c>
      <c r="C328" s="44" t="inlineStr">
        <is>
          <t>S2.20</t>
        </is>
      </c>
      <c r="D328" s="59" t="inlineStr">
        <is>
          <t>Dimension</t>
        </is>
      </c>
      <c r="E328" s="46" t="inlineStr">
        <is>
          <t>"ROOF FRAMING PLAN". Source of the STUD HEIGHT: every B.O.D. callout on the sheet and the slope of the bay between grids B and A (1/4" per foot).</t>
        </is>
      </c>
      <c r="F328" s="46" t="inlineStr">
        <is>
          <t>stud_height</t>
        </is>
      </c>
      <c r="G328" s="46" t="inlineStr">
        <is>
          <t>S2.20: the wall is in the SLOPED bay between grid B and grid A.</t>
        </is>
      </c>
    </row>
    <row r="329" ht="43.5" customHeight="1" s="36">
      <c r="A329" s="59" t="n"/>
      <c r="B329" s="58" t="n">
        <v>3</v>
      </c>
      <c r="C329" s="44" t="inlineStr">
        <is>
          <t>2/A11.03</t>
        </is>
      </c>
      <c r="D329" s="59" t="inlineStr">
        <is>
          <t>Quantity</t>
        </is>
      </c>
      <c r="E329" s="46"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329" s="46" t="inlineStr">
        <is>
          <t>PLYWOOD_FRT</t>
        </is>
      </c>
      <c r="G329" s="46" t="inlineStr">
        <is>
          <t>Width 9.520 ft MEASURED on that elevation box (342.72 pt / 36), which is what assigns this elevation to THIS wall and not to the other one of the room: the three ELECTRICAL ELEVATIONS of A11.03 measure 9.540 (2/A11.03), 5.833 (3/A11.03) and 9.517 ft (4/A11.03), and the bubbles do NOT run left to right.</t>
        </is>
      </c>
    </row>
    <row r="330" ht="43.5" customHeight="1" s="36">
      <c r="A330" s="59" t="n"/>
      <c r="B330" s="58" t="n">
        <v>4</v>
      </c>
      <c r="C330" s="44" t="inlineStr">
        <is>
          <t>3/A11.03</t>
        </is>
      </c>
      <c r="D330" s="59" t="inlineStr">
        <is>
          <t>Quantity</t>
        </is>
      </c>
      <c r="E330" s="46" t="inlineStr">
        <is>
          <t>"ELECTRICAL ELEVATION 2", measured width 5.833 ft. Panel backing board.</t>
        </is>
      </c>
      <c r="F330" s="46" t="inlineStr">
        <is>
          <t>PLYWOOD_FRT</t>
        </is>
      </c>
      <c r="G330" s="46" t="inlineStr">
        <is>
          <t>Width 9.520 ft MEASURED on that elevation box (342.72 pt / 36), which is what assigns this elevation to THIS wall and not to the other one of the room: the three ELECTRICAL ELEVATIONS of A11.03 measure 9.540 (2/A11.03), 5.833 (3/A11.03) and 9.517 ft (4/A11.03), and the bubbles do NOT run left to right.</t>
        </is>
      </c>
    </row>
    <row r="331" ht="43.5" customHeight="1" s="36">
      <c r="A331" s="59" t="n"/>
      <c r="B331" s="58" t="n">
        <v>5</v>
      </c>
      <c r="C331" s="44" t="inlineStr">
        <is>
          <t>4/A11.03</t>
        </is>
      </c>
      <c r="D331" s="59" t="inlineStr">
        <is>
          <t>Quantity</t>
        </is>
      </c>
      <c r="E331" s="46"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331" s="46" t="inlineStr">
        <is>
          <t>PLYWOOD_FRT</t>
        </is>
      </c>
      <c r="G331" s="46" t="inlineStr">
        <is>
          <t>4/A11.03 ELECTRICAL ELEVATION, 1/2"=1'-0", labels "3/4" FRT PLYWOOD" with a leader to the hatched field and prints its 8.00 ft height.</t>
        </is>
      </c>
    </row>
    <row r="332" ht="33" customHeight="1" s="36">
      <c r="A332" s="59" t="n"/>
      <c r="B332" s="58" t="n">
        <v>6</v>
      </c>
      <c r="C332" s="44" t="inlineStr">
        <is>
          <t>1/A12.01</t>
        </is>
      </c>
      <c r="D332" s="59" t="inlineStr">
        <is>
          <t>Dimension</t>
        </is>
      </c>
      <c r="E332" s="46" t="inlineStr">
        <is>
          <t>"PARTITION TYPE B, B2". Stud, layers per face, wall thickness and sealant of types B and B2. On a B wall it is the source; on an A1 wall it enters as a CONTRAST (B does label sealant top AND bottom, A1 only at the bottom).</t>
        </is>
      </c>
      <c r="F332" s="46" t="inlineStr">
        <is>
          <t>BOARD, SEALANT, TRACK_BOTTOM, TRACK_TOP, excluded.INSULATION, face[0].board_height, face[1].board_height</t>
        </is>
      </c>
      <c r="G332" s="46" t="inlineStr">
        <is>
          <t>1/A12.01 PARTITION TYPE B &amp; B2: stud AND board run from the slab to the UNDERSIDE OF STRUCTURE on both faces, so the board height equals the stud height, 12.698 ft.</t>
        </is>
      </c>
    </row>
    <row r="333" ht="33" customHeight="1" s="36">
      <c r="A333" s="59" t="n"/>
      <c r="B333" s="58" t="n">
        <v>7</v>
      </c>
      <c r="C333" s="44" t="inlineStr">
        <is>
          <t>1/S5.20</t>
        </is>
      </c>
      <c r="D333" s="59" t="inlineStr">
        <is>
          <t>Quantity</t>
        </is>
      </c>
      <c r="E333" s="46" t="inlineStr">
        <is>
          <t>"TYPICAL WALL FRAMING DETAILS". Holds sub-details A through F; sub-detail F "BRIDGING AND BRACING - CONTINUOUS BRIDGING" is the bracing one: 1 1/2" C.R. CHANNEL welded to every stud. (Bracing is NOT in 5/S5.20, which is TYPICAL WALL FRAMING CONNX.)</t>
        </is>
      </c>
      <c r="F333" s="46" t="inlineStr">
        <is>
          <t>BRACING, excluded.CLIPS</t>
        </is>
      </c>
      <c r="G333" s="46" t="inlineStr">
        <is>
          <t>(1/S5.20 sub-detail F "BRIDGING AND BRACING - CONTINUOUS BRIDGING", welded to each stud; spacing from 7/S5.20).</t>
        </is>
      </c>
    </row>
    <row r="334" ht="33" customHeight="1" s="36">
      <c r="A334" s="59" t="n"/>
      <c r="B334" s="58" t="n">
        <v>8</v>
      </c>
      <c r="C334" s="44" t="inlineStr">
        <is>
          <t>4/S5.20</t>
        </is>
      </c>
      <c r="D334" s="59" t="inlineStr">
        <is>
          <t>Exclusion</t>
        </is>
      </c>
      <c r="E334" s="46" t="inlineStr">
        <is>
          <t>"TYPICAL BLOCKING DETAIL". STUD BLOCKING 362CR22 and CLIP ANGLE 362CR22, with the boxed verbatim note "PROVIDE BLOCKING AT THE EDGE OF GYPBOARD." - source of the blocking at EVERY free edge of board.</t>
        </is>
      </c>
      <c r="F334" s="46" t="inlineStr">
        <is>
          <t>excluded.BLOCKING</t>
        </is>
      </c>
      <c r="G334" s="46" t="inlineStr">
        <is>
          <t>The free edge rule of 4/S5.20 adds none either: the board of this type runs to the top track, which is itself the support of its edge.</t>
        </is>
      </c>
    </row>
    <row r="335" ht="33" customHeight="1" s="36">
      <c r="A335" s="59" t="n"/>
      <c r="B335" s="58" t="n">
        <v>9</v>
      </c>
      <c r="C335" s="44" t="inlineStr">
        <is>
          <t>7/S5.20</t>
        </is>
      </c>
      <c r="D335" s="59" t="inlineStr">
        <is>
          <t>Quantity</t>
        </is>
      </c>
      <c r="E335" s="46" t="inlineStr">
        <is>
          <t>"METAL STUDS SCHEDULES". The profile: web, flange, lip, mils, gauge and the APPLICATION column with the spacing ("INTERIOR WALLS @ 16" O.C."), plus the SILL TRACK ANCHORAGE and the FASTENER SCHEDULE.</t>
        </is>
      </c>
      <c r="F335" s="46" t="inlineStr">
        <is>
          <t>BRACING, STUD, TRACK_BOTTOM, TRACK_TOP, excluded.CLIPS</t>
        </is>
      </c>
      <c r="G335" s="46" t="inlineStr">
        <is>
          <t>(1/S5.20 sub-detail F "BRIDGING AND BRACING - CONTINUOUS BRIDGING", welded to each stud; spacing from 7/S5.20).</t>
        </is>
      </c>
    </row>
    <row r="336" ht="43.5" customHeight="1" s="36">
      <c r="A336" s="59" t="n"/>
      <c r="B336" s="58" t="n">
        <v>10</v>
      </c>
      <c r="C336" s="44" t="inlineStr">
        <is>
          <t>A09.01</t>
        </is>
      </c>
      <c r="D336" s="59" t="inlineStr">
        <is>
          <t>Exclusion</t>
        </is>
      </c>
      <c r="E336" s="46" t="inlineStr">
        <is>
          <t>Exterior Elevations: "SOUTH ELEVATION" and "WEST ELEVATION" at 1/4"=1'-0". Extent of each exterior material and the material legend, verbatim "CJ CONTROL JOINT; PAINT TO MATCH STUCCO FINISH COLOR" - that joint is the STUCCO joint, not gypsum.</t>
        </is>
      </c>
      <c r="F336" s="46" t="inlineStr">
        <is>
          <t>excluded.CONTROL_JOINT</t>
        </is>
      </c>
      <c r="G336"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37" ht="25.5" customHeight="1" s="36">
      <c r="A337" s="59" t="n"/>
      <c r="B337" s="58" t="n">
        <v>11</v>
      </c>
      <c r="C337" s="44" t="inlineStr">
        <is>
          <t>A00.30</t>
        </is>
      </c>
      <c r="D337" s="59" t="inlineStr">
        <is>
          <t>Exclusion</t>
        </is>
      </c>
      <c r="E337" s="46" t="inlineStr">
        <is>
          <t>Door Schedule. Leaf width and height of every door and the frame type: source of the header, the board deduction and the reference to 10 and 11/A12.02.</t>
        </is>
      </c>
      <c r="F337" s="46" t="inlineStr">
        <is>
          <t>excluded.BLOCKING, excluded.HEADER</t>
        </is>
      </c>
      <c r="G337" s="46" t="inlineStr">
        <is>
          <t>Key notes 5, 6 and 7 of A02.01, the Fixture Plan and the Millwork Schedule of A00.30 were reviewed: no fixture, millwork or accessory lands on this run.</t>
        </is>
      </c>
    </row>
    <row r="338" ht="33" customHeight="1" s="36">
      <c r="A338" s="59" t="n"/>
      <c r="B338" s="58" t="n">
        <v>12</v>
      </c>
      <c r="C338" s="44" t="inlineStr">
        <is>
          <t>A09.27</t>
        </is>
      </c>
      <c r="D338" s="59" t="inlineStr">
        <is>
          <t>Exclusion</t>
        </is>
      </c>
      <c r="E338" s="46" t="inlineStr">
        <is>
          <t>Gypsum Section Details, the sheet. Cited as a sheet when the finding is that NO detail on it labels a gypsum control joint.</t>
        </is>
      </c>
      <c r="F338" s="46" t="inlineStr">
        <is>
          <t>excluded.CONTROL_JOINT</t>
        </is>
      </c>
      <c r="G338" s="46" t="inlineStr">
        <is>
          <t>El set no rotula ni detalla ninguna junta de control de gypsum board, ni en A12.01 ni en los detalles de A09.27/A09.33, y no hay seccion de especificaciones 09 29 00 en el bid set.</t>
        </is>
      </c>
    </row>
    <row r="339" ht="33" customHeight="1" s="36">
      <c r="A339" s="59" t="n"/>
      <c r="B339" s="58" t="n">
        <v>13</v>
      </c>
      <c r="C339" s="44" t="inlineStr">
        <is>
          <t>A09.33</t>
        </is>
      </c>
      <c r="D339" s="59" t="inlineStr">
        <is>
          <t>Exclusion</t>
        </is>
      </c>
      <c r="E339" s="46" t="inlineStr">
        <is>
          <t>Ceiling Details, the sheet. Cited as a sheet for a finding by ABSENCE: its details label corner bead, casing bead and shadow molding one by one and NONE labels a control joint, so the omission is not a labeling oversight.</t>
        </is>
      </c>
      <c r="F339" s="46" t="inlineStr">
        <is>
          <t>excluded.CONTROL_JOINT</t>
        </is>
      </c>
      <c r="G339" s="46" t="inlineStr">
        <is>
          <t>El set no rotula ni detalla ninguna junta de control de gypsum board, ni en A12.01 ni en los detalles de A09.27/A09.33, y no hay seccion de especificaciones 09 29 00 en el bid set.</t>
        </is>
      </c>
    </row>
    <row r="340" ht="33" customHeight="1" s="36">
      <c r="A340" s="44" t="inlineStr">
        <is>
          <t>B #19</t>
        </is>
      </c>
      <c r="B340" s="58" t="n">
        <v>1</v>
      </c>
      <c r="C340" s="44" t="inlineStr">
        <is>
          <t>A02.01</t>
        </is>
      </c>
      <c r="D340" s="59" t="inlineStr">
        <is>
          <t>Dimension</t>
        </is>
      </c>
      <c r="E340" s="46" t="inlineStr">
        <is>
          <t>Construction Plan. Entry sheet for partitions and openings: vector geometry of every wall face at 1/4"=1'-0", the leader of every partition tag, the Construction Plan Legend (new vs. existing) and the Construction Plan Notes.</t>
        </is>
      </c>
      <c r="F340" s="46" t="inlineStr">
        <is>
          <t>excluded.HEADER, excluded.PATCH, length, stud_height</t>
        </is>
      </c>
      <c r="G340" s="46" t="inlineStr">
        <is>
          <t>A02.01 vector geometry: faces lw&gt;=1.1 at x=1064.88 and x=1072.20 (thickness 7.32 pt = 4.880"); run y=1515.84 to y=1578.84 = 63.00 pt / 18 = 3.500 ft.</t>
        </is>
      </c>
    </row>
    <row r="341" ht="25.5" customHeight="1" s="36">
      <c r="A341" s="59" t="n"/>
      <c r="B341" s="58" t="n">
        <v>2</v>
      </c>
      <c r="C341" s="44" t="inlineStr">
        <is>
          <t>S2.20</t>
        </is>
      </c>
      <c r="D341" s="59" t="inlineStr">
        <is>
          <t>Dimension</t>
        </is>
      </c>
      <c r="E341" s="46" t="inlineStr">
        <is>
          <t>"ROOF FRAMING PLAN". Source of the STUD HEIGHT: every B.O.D. callout on the sheet and the slope of the bay between grids B and A (1/4" per foot).</t>
        </is>
      </c>
      <c r="F341" s="46" t="inlineStr">
        <is>
          <t>stud_height</t>
        </is>
      </c>
      <c r="G341" s="46" t="inlineStr">
        <is>
          <t>S2.20: the wall is in the SLOPED bay between grid B and grid A.</t>
        </is>
      </c>
    </row>
    <row r="342" ht="33" customHeight="1" s="36">
      <c r="A342" s="59" t="n"/>
      <c r="B342" s="58" t="n">
        <v>3</v>
      </c>
      <c r="C342" s="44" t="inlineStr">
        <is>
          <t>1/A12.01</t>
        </is>
      </c>
      <c r="D342" s="59" t="inlineStr">
        <is>
          <t>Dimension</t>
        </is>
      </c>
      <c r="E342" s="46" t="inlineStr">
        <is>
          <t>"PARTITION TYPE B, B2". Stud, layers per face, wall thickness and sealant of types B and B2. On a B wall it is the source; on an A1 wall it enters as a CONTRAST (B does label sealant top AND bottom, A1 only at the bottom).</t>
        </is>
      </c>
      <c r="F342" s="46" t="inlineStr">
        <is>
          <t>BOARD, SEALANT, TRACK_BOTTOM, TRACK_TOP, excluded.INSULATION, face[0].board_height, face[1].board_height</t>
        </is>
      </c>
      <c r="G342" s="46" t="inlineStr">
        <is>
          <t>1/A12.01 PARTITION TYPE B &amp; B2: stud AND board run from the slab to the UNDERSIDE OF STRUCTURE on both faces, so the board height equals the stud height, 12.743 ft.</t>
        </is>
      </c>
    </row>
    <row r="343" ht="33" customHeight="1" s="36">
      <c r="A343" s="59" t="n"/>
      <c r="B343" s="58" t="n">
        <v>4</v>
      </c>
      <c r="C343" s="44" t="inlineStr">
        <is>
          <t>1/S5.20</t>
        </is>
      </c>
      <c r="D343" s="59" t="inlineStr">
        <is>
          <t>Quantity</t>
        </is>
      </c>
      <c r="E343" s="46" t="inlineStr">
        <is>
          <t>"TYPICAL WALL FRAMING DETAILS". Holds sub-details A through F; sub-detail F "BRIDGING AND BRACING - CONTINUOUS BRIDGING" is the bracing one: 1 1/2" C.R. CHANNEL welded to every stud. (Bracing is NOT in 5/S5.20, which is TYPICAL WALL FRAMING CONNX.)</t>
        </is>
      </c>
      <c r="F343" s="46" t="inlineStr">
        <is>
          <t>BRACING, excluded.CLIPS</t>
        </is>
      </c>
      <c r="G343" s="46" t="inlineStr">
        <is>
          <t>(1/S5.20 sub-detail F "BRIDGING AND BRACING - CONTINUOUS BRIDGING", welded to each stud; spacing from 7/S5.20).</t>
        </is>
      </c>
    </row>
    <row r="344" ht="33" customHeight="1" s="36">
      <c r="A344" s="59" t="n"/>
      <c r="B344" s="58" t="n">
        <v>5</v>
      </c>
      <c r="C344" s="44" t="inlineStr">
        <is>
          <t>4/S5.20</t>
        </is>
      </c>
      <c r="D344" s="59" t="inlineStr">
        <is>
          <t>Quantity</t>
        </is>
      </c>
      <c r="E344" s="46" t="inlineStr">
        <is>
          <t>"TYPICAL BLOCKING DETAIL". STUD BLOCKING 362CR22 and CLIP ANGLE 362CR22, with the boxed verbatim note "PROVIDE BLOCKING AT THE EDGE OF GYPBOARD." - source of the blocking at EVERY free edge of board.</t>
        </is>
      </c>
      <c r="F344" s="46" t="inlineStr">
        <is>
          <t>BLOCKING</t>
        </is>
      </c>
      <c r="G344" s="46" t="inlineStr">
        <is>
          <t>A00.30 Millwork Schedule locates them and 4/S5.20 TYPICAL BLOCKING DETAIL defines the piece.</t>
        </is>
      </c>
    </row>
    <row r="345" ht="25.5" customHeight="1" s="36">
      <c r="A345" s="59" t="n"/>
      <c r="B345" s="58" t="n">
        <v>6</v>
      </c>
      <c r="C345" s="44" t="inlineStr">
        <is>
          <t>6/S5.20</t>
        </is>
      </c>
      <c r="D345" s="59" t="inlineStr">
        <is>
          <t>Quantity</t>
        </is>
      </c>
      <c r="E345" s="46" t="inlineStr">
        <is>
          <t>"PENETRATION THRU STUDS". How the stud is reinforced where a duct passes through.</t>
        </is>
      </c>
      <c r="F345" s="46" t="inlineStr">
        <is>
          <t>OPENING_DUCT</t>
        </is>
      </c>
      <c r="G345" s="46" t="inlineStr">
        <is>
          <t>It does carry header and sill blocking because 6/S5.20 PENETRATION THRU STUDS forbids cutting the flanges.</t>
        </is>
      </c>
    </row>
    <row r="346" ht="33" customHeight="1" s="36">
      <c r="A346" s="59" t="n"/>
      <c r="B346" s="58" t="n">
        <v>7</v>
      </c>
      <c r="C346" s="44" t="inlineStr">
        <is>
          <t>7/S5.20</t>
        </is>
      </c>
      <c r="D346" s="59" t="inlineStr">
        <is>
          <t>Quantity</t>
        </is>
      </c>
      <c r="E346" s="46" t="inlineStr">
        <is>
          <t>"METAL STUDS SCHEDULES". The profile: web, flange, lip, mils, gauge and the APPLICATION column with the spacing ("INTERIOR WALLS @ 16" O.C."), plus the SILL TRACK ANCHORAGE and the FASTENER SCHEDULE.</t>
        </is>
      </c>
      <c r="F346" s="46" t="inlineStr">
        <is>
          <t>BRACING, STUD, TRACK_BOTTOM, TRACK_TOP, excluded.CLIPS</t>
        </is>
      </c>
      <c r="G346" s="46" t="inlineStr">
        <is>
          <t>(1/S5.20 sub-detail F "BRIDGING AND BRACING - CONTINUOUS BRIDGING", welded to each stud; spacing from 7/S5.20).</t>
        </is>
      </c>
    </row>
    <row r="347" ht="43.5" customHeight="1" s="36">
      <c r="A347" s="59" t="n"/>
      <c r="B347" s="58" t="n">
        <v>8</v>
      </c>
      <c r="C347" s="44" t="inlineStr">
        <is>
          <t>A09.01</t>
        </is>
      </c>
      <c r="D347" s="59" t="inlineStr">
        <is>
          <t>Exclusion</t>
        </is>
      </c>
      <c r="E347" s="46" t="inlineStr">
        <is>
          <t>Exterior Elevations: "SOUTH ELEVATION" and "WEST ELEVATION" at 1/4"=1'-0". Extent of each exterior material and the material legend, verbatim "CJ CONTROL JOINT; PAINT TO MATCH STUCCO FINISH COLOR" - that joint is the STUCCO joint, not gypsum.</t>
        </is>
      </c>
      <c r="F347" s="46" t="inlineStr">
        <is>
          <t>excluded.CONTROL_JOINT</t>
        </is>
      </c>
      <c r="G34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48" ht="25.5" customHeight="1" s="36">
      <c r="A348" s="59" t="n"/>
      <c r="B348" s="58" t="n">
        <v>9</v>
      </c>
      <c r="C348" s="44" t="inlineStr">
        <is>
          <t>A00.30</t>
        </is>
      </c>
      <c r="D348" s="59" t="inlineStr">
        <is>
          <t>Quantity</t>
        </is>
      </c>
      <c r="E348" s="46" t="inlineStr">
        <is>
          <t>Door Schedule. Leaf width and height of every door and the frame type: source of the header, the board deduction and the reference to 10 and 11/A12.02.</t>
        </is>
      </c>
      <c r="F348" s="46" t="inlineStr">
        <is>
          <t>BLOCKING, excluded.HEADER</t>
        </is>
      </c>
      <c r="G348" s="46" t="inlineStr">
        <is>
          <t>A00.30 Millwork Schedule locates them and 4/S5.20 TYPICAL BLOCKING DETAIL defines the piece.</t>
        </is>
      </c>
    </row>
    <row r="349" ht="33" customHeight="1" s="36">
      <c r="A349" s="59" t="n"/>
      <c r="B349" s="58" t="n">
        <v>10</v>
      </c>
      <c r="C349" s="44" t="inlineStr">
        <is>
          <t>A09.27</t>
        </is>
      </c>
      <c r="D349" s="59" t="inlineStr">
        <is>
          <t>Exclusion</t>
        </is>
      </c>
      <c r="E349" s="46" t="inlineStr">
        <is>
          <t>Gypsum Section Details, the sheet. Cited as a sheet when the finding is that NO detail on it labels a gypsum control joint.</t>
        </is>
      </c>
      <c r="F349" s="46" t="inlineStr">
        <is>
          <t>excluded.CONTROL_JOINT</t>
        </is>
      </c>
      <c r="G349" s="46" t="inlineStr">
        <is>
          <t>El set no rotula ni detalla ninguna junta de control de gypsum board, ni en A12.01 ni en los detalles de A09.27/A09.33, y no hay seccion de especificaciones 09 29 00 en el bid set.</t>
        </is>
      </c>
    </row>
    <row r="350" ht="33" customHeight="1" s="36">
      <c r="A350" s="59" t="n"/>
      <c r="B350" s="58" t="n">
        <v>11</v>
      </c>
      <c r="C350" s="44" t="inlineStr">
        <is>
          <t>A09.33</t>
        </is>
      </c>
      <c r="D350" s="59" t="inlineStr">
        <is>
          <t>Exclusion</t>
        </is>
      </c>
      <c r="E350" s="46" t="inlineStr">
        <is>
          <t>Ceiling Details, the sheet. Cited as a sheet for a finding by ABSENCE: its details label corner bead, casing bead and shadow molding one by one and NONE labels a control joint, so the omission is not a labeling oversight.</t>
        </is>
      </c>
      <c r="F350" s="46" t="inlineStr">
        <is>
          <t>excluded.CONTROL_JOINT</t>
        </is>
      </c>
      <c r="G350" s="46" t="inlineStr">
        <is>
          <t>El set no rotula ni detalla ninguna junta de control de gypsum board, ni en A12.01 ni en los detalles de A09.27/A09.33, y no hay seccion de especificaciones 09 29 00 en el bid set.</t>
        </is>
      </c>
    </row>
    <row r="351" ht="25.5" customHeight="1" s="36">
      <c r="A351" s="59" t="n"/>
      <c r="B351" s="58" t="n">
        <v>12</v>
      </c>
      <c r="C351" s="44" t="inlineStr">
        <is>
          <t>M01.01</t>
        </is>
      </c>
      <c r="D351" s="59" t="inlineStr">
        <is>
          <t>Quantity</t>
        </is>
      </c>
      <c r="E351" s="46" t="inlineStr">
        <is>
          <t>Mechanical Floor Plan at 1/4"=1'-0". Swept across the WHOLE band of each wall, opening included, to locate and measure every duct penetration.</t>
        </is>
      </c>
      <c r="F351" s="46" t="inlineStr">
        <is>
          <t>OPENING_DUCT</t>
        </is>
      </c>
      <c r="G351" s="46" t="inlineStr">
        <is>
          <t>1 framed opening for duct S-1B 8"x8" (195 CFM) crossing this wall on M01.01.</t>
        </is>
      </c>
    </row>
    <row r="352" ht="33" customHeight="1" s="36">
      <c r="A352" s="44" t="inlineStr">
        <is>
          <t>B2 #27</t>
        </is>
      </c>
      <c r="B352" s="58" t="n">
        <v>1</v>
      </c>
      <c r="C352" s="44" t="inlineStr">
        <is>
          <t>A02.01</t>
        </is>
      </c>
      <c r="D352" s="59" t="inlineStr">
        <is>
          <t>Dimension</t>
        </is>
      </c>
      <c r="E352" s="46" t="inlineStr">
        <is>
          <t>Construction Plan. Entry sheet for partitions and openings: vector geometry of every wall face at 1/4"=1'-0", the leader of every partition tag, the Construction Plan Legend (new vs. existing) and the Construction Plan Notes.</t>
        </is>
      </c>
      <c r="F352" s="46" t="inlineStr">
        <is>
          <t>excluded.PATCH, length, scope[1].chain[0], scope[1].chain[1]</t>
        </is>
      </c>
      <c r="G352" s="46" t="inlineStr">
        <is>
          <t>geometria vectorial A02.01 entre dos puntos que SI estan acotados: y=1409.28 es tick de la linea de dimension x=1153.92 (ultimo tramo 1386.84-&gt;1409.28 = 1'-3") y y=1693.44 es tick de las lineas x=869.76, x=1277.76 y x=1887.24 (face del wall exterior sur).</t>
        </is>
      </c>
    </row>
    <row r="353" ht="25.5" customHeight="1" s="36">
      <c r="A353" s="59" t="n"/>
      <c r="B353" s="58" t="n">
        <v>2</v>
      </c>
      <c r="C353" s="44" t="inlineStr">
        <is>
          <t>B/A08.01</t>
        </is>
      </c>
      <c r="D353" s="59" t="inlineStr">
        <is>
          <t>Quantity</t>
        </is>
      </c>
      <c r="E353" s="46" t="inlineStr">
        <is>
          <t>Restroom elevation B on A08.01. Extent of FRP on that face.</t>
        </is>
      </c>
      <c r="F353" s="46" t="inlineStr">
        <is>
          <t>FRP</t>
        </is>
      </c>
      <c r="G353" s="46" t="inlineStr">
        <is>
          <t>B/A08.01 rotula 5'-0" TO TOP OF FRP.</t>
        </is>
      </c>
    </row>
    <row r="354" ht="25.5" customHeight="1" s="36">
      <c r="A354" s="59" t="n"/>
      <c r="B354" s="58" t="n">
        <v>3</v>
      </c>
      <c r="C354" s="44" t="inlineStr">
        <is>
          <t>S2.20</t>
        </is>
      </c>
      <c r="D354" s="59" t="inlineStr">
        <is>
          <t>Dimension</t>
        </is>
      </c>
      <c r="E354" s="46" t="inlineStr">
        <is>
          <t>"ROOF FRAMING PLAN". Source of the STUD HEIGHT: every B.O.D. callout on the sheet and the slope of the bay between grids B and A (1/4" per foot).</t>
        </is>
      </c>
      <c r="F354" s="46" t="inlineStr">
        <is>
          <t>stud_height</t>
        </is>
      </c>
      <c r="G354" s="46" t="inlineStr">
        <is>
          <t>S2.20: zona entre eje B y eje A, B.O.D.</t>
        </is>
      </c>
    </row>
    <row r="355" ht="33" customHeight="1" s="36">
      <c r="A355" s="59" t="n"/>
      <c r="B355" s="58" t="n">
        <v>4</v>
      </c>
      <c r="C355" s="44" t="inlineStr">
        <is>
          <t>1/A12.01</t>
        </is>
      </c>
      <c r="D355" s="59" t="inlineStr">
        <is>
          <t>Dimension</t>
        </is>
      </c>
      <c r="E355" s="46" t="inlineStr">
        <is>
          <t>"PARTITION TYPE B, B2". Stud, layers per face, wall thickness and sealant of types B and B2. On a B wall it is the source; on an A1 wall it enters as a CONTRAST (B does label sealant top AND bottom, A1 only at the bottom).</t>
        </is>
      </c>
      <c r="F355" s="46" t="inlineStr">
        <is>
          <t>BOARD, CEMENT_BOARD, SEALANT, STUD, TRACK_BOTTOM, TRACK_TOP, excluded.INSULATION, face[0].board_height, face[1].board_height, face[2].board_height, face[3].board_height</t>
        </is>
      </c>
      <c r="G355" s="46" t="inlineStr">
        <is>
          <t>1/A12.01 PARTITION TYPE B, B2: el board sube a la UNDERSIDE OF STRUCTURE en las DOS faces, con CONT ACOUS SEALANT arriba y abajo.</t>
        </is>
      </c>
    </row>
    <row r="356" ht="25.5" customHeight="1" s="36">
      <c r="A356" s="59" t="n"/>
      <c r="B356" s="58" t="n">
        <v>5</v>
      </c>
      <c r="C356" s="44" t="inlineStr">
        <is>
          <t>3/A12.01</t>
        </is>
      </c>
      <c r="D356" s="59" t="inlineStr">
        <is>
          <t>Dimension</t>
        </is>
      </c>
      <c r="E356" s="46" t="inlineStr">
        <is>
          <t>"PARTITION TYPE A1 &amp; A5". 3 5/8" stud, layers per face, WALL THICKNESS 4 7/8", slip track at the top, acoustic sealant at the slab and the 6" of board above the scheduled ceiling.</t>
        </is>
      </c>
      <c r="F356" s="46" t="inlineStr">
        <is>
          <t>face[0].board_height, face[1].board_height, face[2].board_height, face[3].board_height</t>
        </is>
      </c>
      <c r="G356" s="46" t="inlineStr">
        <is>
          <t>No hay dimension de 6" sobre ceiling como en 3/A12.01 (A1 &amp; A5).</t>
        </is>
      </c>
    </row>
    <row r="357" ht="43.5" customHeight="1" s="36">
      <c r="A357" s="59" t="n"/>
      <c r="B357" s="58" t="n">
        <v>6</v>
      </c>
      <c r="C357" s="44" t="inlineStr">
        <is>
          <t>A09.01</t>
        </is>
      </c>
      <c r="D357" s="59" t="inlineStr">
        <is>
          <t>Exclusion</t>
        </is>
      </c>
      <c r="E357" s="46" t="inlineStr">
        <is>
          <t>Exterior Elevations: "SOUTH ELEVATION" and "WEST ELEVATION" at 1/4"=1'-0". Extent of each exterior material and the material legend, verbatim "CJ CONTROL JOINT; PAINT TO MATCH STUCCO FINISH COLOR" - that joint is the STUCCO joint, not gypsum.</t>
        </is>
      </c>
      <c r="F357" s="46" t="inlineStr">
        <is>
          <t>excluded.CONTROL_JOINT</t>
        </is>
      </c>
      <c r="G35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58" ht="33" customHeight="1" s="36">
      <c r="A358" s="59" t="n"/>
      <c r="B358" s="58" t="n">
        <v>7</v>
      </c>
      <c r="C358" s="44" t="inlineStr">
        <is>
          <t>9/A00.41</t>
        </is>
      </c>
      <c r="D358" s="59" t="inlineStr">
        <is>
          <t>Ruled out</t>
        </is>
      </c>
      <c r="E358" s="46" t="inlineStr">
        <is>
          <t>NOT a citation of mine: it is the drawing's own verbatim reference. Construction Key Note 1 on A02.01 reads "TACTILE EXIT SIGNAGE. SEE 9/A00.41". It enters the chain because the scope text transcribes it.</t>
        </is>
      </c>
      <c r="F358" s="46" t="inlineStr">
        <is>
          <t>scope[1].chain[1]</t>
        </is>
      </c>
      <c r="G358" s="46" t="inlineStr">
        <is>
          <t>SEE 9/A00.41' — leader a y=1668.36.</t>
        </is>
      </c>
    </row>
    <row r="359" ht="33" customHeight="1" s="36">
      <c r="A359" s="59" t="n"/>
      <c r="B359" s="58" t="n">
        <v>8</v>
      </c>
      <c r="C359" s="44" t="inlineStr">
        <is>
          <t>10/A12.02</t>
        </is>
      </c>
      <c r="D359" s="59" t="inlineStr">
        <is>
          <t>Opening</t>
        </is>
      </c>
      <c r="E359" s="46" t="inlineStr">
        <is>
          <t>"HEAD @ HOLLOW METAL FRAME" at 3"=1'-0". Head of the hollow metal frame: labels SCHEDULED PARTITION, METAL STUD, METAL CLIP, HOLLOW METAL FRAME and 1/2" of board lap per face inside the frame throat.</t>
        </is>
      </c>
      <c r="F359" s="46" t="inlineStr">
        <is>
          <t>openings[0].head, openings[1].head, openings[2].head</t>
        </is>
      </c>
      <c r="G359" s="46" t="inlineStr">
        <is>
          <t>10/A12.02 (JAMB 11/A12.02; columna SILL = '--' en A00.30)</t>
        </is>
      </c>
    </row>
    <row r="360" ht="33" customHeight="1" s="36">
      <c r="A360" s="59" t="n"/>
      <c r="B360" s="58" t="n">
        <v>9</v>
      </c>
      <c r="C360" s="44" t="inlineStr">
        <is>
          <t>11/A12.02</t>
        </is>
      </c>
      <c r="D360" s="59" t="inlineStr">
        <is>
          <t>Opening</t>
        </is>
      </c>
      <c r="E360" s="46" t="inlineStr">
        <is>
          <t>"JAMB @ HOLLOW METAL FRAME" at 3"=1'-0". Jamb of the same frame: it calls METAL ANCHOR the piece detail 10 calls METAL CLIP, so the piece is frame anchorage (Div 08), not a clip of ours.</t>
        </is>
      </c>
      <c r="F360" s="46" t="inlineStr">
        <is>
          <t>openings[0].head, openings[1].head, openings[2].head</t>
        </is>
      </c>
      <c r="G360" s="46" t="inlineStr">
        <is>
          <t>10/A12.02 (JAMB 11/A12.02; columna SILL = '--' en A00.30)</t>
        </is>
      </c>
    </row>
    <row r="361" ht="33" customHeight="1" s="36">
      <c r="A361" s="59" t="n"/>
      <c r="B361" s="58" t="n">
        <v>10</v>
      </c>
      <c r="C361" s="44" t="inlineStr">
        <is>
          <t>1/S5.20</t>
        </is>
      </c>
      <c r="D361" s="59" t="inlineStr">
        <is>
          <t>Quantity</t>
        </is>
      </c>
      <c r="E361" s="46" t="inlineStr">
        <is>
          <t>"TYPICAL WALL FRAMING DETAILS". Holds sub-details A through F; sub-detail F "BRIDGING AND BRACING - CONTINUOUS BRIDGING" is the bracing one: 1 1/2" C.R. CHANNEL welded to every stud. (Bracing is NOT in 5/S5.20, which is TYPICAL WALL FRAMING CONNX.)</t>
        </is>
      </c>
      <c r="F361" s="46" t="inlineStr">
        <is>
          <t>BRACING, excluded.CLIPS</t>
        </is>
      </c>
      <c r="G361" s="46" t="inlineStr">
        <is>
          <t>1/S5.20 sub-detalle F BRIDGING AND BRACING - CONTINUOUS BRIDGING sets the 1 1/2 in C.R.</t>
        </is>
      </c>
    </row>
    <row r="362" ht="33" customHeight="1" s="36">
      <c r="A362" s="59" t="n"/>
      <c r="B362" s="58" t="n">
        <v>11</v>
      </c>
      <c r="C362" s="44" t="inlineStr">
        <is>
          <t>4/S5.20</t>
        </is>
      </c>
      <c r="D362" s="59" t="inlineStr">
        <is>
          <t>Quantity</t>
        </is>
      </c>
      <c r="E362" s="46" t="inlineStr">
        <is>
          <t>"TYPICAL BLOCKING DETAIL". STUD BLOCKING 362CR22 and CLIP ANGLE 362CR22, with the boxed verbatim note "PROVIDE BLOCKING AT THE EDGE OF GYPBOARD." - source of the blocking at EVERY free edge of board.</t>
        </is>
      </c>
      <c r="F362" s="46" t="inlineStr">
        <is>
          <t>BLOCKING</t>
        </is>
      </c>
      <c r="G362" s="46" t="inlineStr">
        <is>
          <t>The piece is defined by 4/S5.20 TYPICAL BLOCKING DETAIL, which labels STUD BLOCKING 362CR22 and CLIP ANGLE: 362CR22 &amp; BLOCKING W/ SCREWS.</t>
        </is>
      </c>
    </row>
    <row r="363" ht="25.5" customHeight="1" s="36">
      <c r="A363" s="59" t="n"/>
      <c r="B363" s="58" t="n">
        <v>12</v>
      </c>
      <c r="C363" s="44" t="inlineStr">
        <is>
          <t>6/S5.20</t>
        </is>
      </c>
      <c r="D363" s="59" t="inlineStr">
        <is>
          <t>Quantity</t>
        </is>
      </c>
      <c r="E363" s="46" t="inlineStr">
        <is>
          <t>"PENETRATION THRU STUDS". How the stud is reinforced where a duct passes through.</t>
        </is>
      </c>
      <c r="F363" s="46" t="inlineStr">
        <is>
          <t>OPENING_DUCT</t>
        </is>
      </c>
      <c r="G363" s="46" t="inlineStr">
        <is>
          <t>Cada uno lleva blocking de header y sill del hueco porque 6/S5.20 limita la penetracion del alma y prohibe cortar las alas.</t>
        </is>
      </c>
    </row>
    <row r="364" ht="33" customHeight="1" s="36">
      <c r="A364" s="59" t="n"/>
      <c r="B364" s="58" t="n">
        <v>13</v>
      </c>
      <c r="C364" s="44" t="inlineStr">
        <is>
          <t>7/S5.20</t>
        </is>
      </c>
      <c r="D364" s="59" t="inlineStr">
        <is>
          <t>Quantity</t>
        </is>
      </c>
      <c r="E364" s="46" t="inlineStr">
        <is>
          <t>"METAL STUDS SCHEDULES". The profile: web, flange, lip, mils, gauge and the APPLICATION column with the spacing ("INTERIOR WALLS @ 16" O.C."), plus the SILL TRACK ANCHORAGE and the FASTENER SCHEDULE.</t>
        </is>
      </c>
      <c r="F364" s="46" t="inlineStr">
        <is>
          <t>STUD, TRACK_BOTTOM</t>
        </is>
      </c>
      <c r="G364" s="46" t="inlineStr">
        <is>
          <t>Metal Stud Schedule de 7/S5.20 METAL STUDS SCHEDULES: solo hay dos renglones de stud, 362S137-33 (3 5/8", APPLICATION INTERIOR WALLS @ 16" O.C.) y 600S137-33 (6", APPLICATION EXTERIOR WALLS @ 16" O.C.).</t>
        </is>
      </c>
    </row>
    <row r="365" ht="25.5" customHeight="1" s="36">
      <c r="A365" s="59" t="n"/>
      <c r="B365" s="58" t="n">
        <v>14</v>
      </c>
      <c r="C365" s="44" t="inlineStr">
        <is>
          <t>9/S5.20</t>
        </is>
      </c>
      <c r="D365" s="59" t="inlineStr">
        <is>
          <t>Quantity</t>
        </is>
      </c>
      <c r="E365" s="46" t="inlineStr">
        <is>
          <t>"OPNG IN NON-LOAD-BRG WALLS". The opening frame: DBL JAMB STUD (2 per jamb) and HEAD TRACK with the condition "DOUBLE TRACK @ OPNG &gt; 4'-0"".</t>
        </is>
      </c>
      <c r="F365" s="46" t="inlineStr">
        <is>
          <t>HEADER</t>
        </is>
      </c>
      <c r="G365" s="46" t="inlineStr">
        <is>
          <t>The opening frame comes from 9/S5.20 OPNG IN NON-LOAD-BRG WALLS, que rotula HEAD TRACK (DOUBLE TRACK @ OPNG &gt; 4 ft) y DBL JAMB STUD.</t>
        </is>
      </c>
    </row>
    <row r="366" ht="25.5" customHeight="1" s="36">
      <c r="A366" s="59" t="n"/>
      <c r="B366" s="58" t="n">
        <v>15</v>
      </c>
      <c r="C366" s="44" t="inlineStr">
        <is>
          <t>A00.30</t>
        </is>
      </c>
      <c r="D366" s="59" t="inlineStr">
        <is>
          <t>Quantity</t>
        </is>
      </c>
      <c r="E366" s="46" t="inlineStr">
        <is>
          <t>Door Schedule. Leaf width and height of every door and the frame type: source of the header, the board deduction and the reference to 10 and 11/A12.02.</t>
        </is>
      </c>
      <c r="F366" s="46" t="inlineStr">
        <is>
          <t>BLOCKING, HEADER, openings[0].head, openings[1].head, openings[2].head, scope[0].chain[2]</t>
        </is>
      </c>
      <c r="G366" s="46" t="inlineStr">
        <is>
          <t>3 wall stops x 2'-0": door 113 HDW 08, door 117 HDW 10 y door 115 HDW 16; los tres grupos de A00.30 listan '1 EA WALL STOP WS407CCV 630 IVE'.</t>
        </is>
      </c>
    </row>
    <row r="367" ht="33" customHeight="1" s="36">
      <c r="A367" s="59" t="n"/>
      <c r="B367" s="58" t="n">
        <v>16</v>
      </c>
      <c r="C367" s="44" t="inlineStr">
        <is>
          <t>A09.27</t>
        </is>
      </c>
      <c r="D367" s="59" t="inlineStr">
        <is>
          <t>Exclusion</t>
        </is>
      </c>
      <c r="E367" s="46" t="inlineStr">
        <is>
          <t>Gypsum Section Details, the sheet. Cited as a sheet when the finding is that NO detail on it labels a gypsum control joint.</t>
        </is>
      </c>
      <c r="F367" s="46" t="inlineStr">
        <is>
          <t>excluded.CONTROL_JOINT</t>
        </is>
      </c>
      <c r="G367" s="46" t="inlineStr">
        <is>
          <t>El set no rotula ni detalla ninguna junta de control de gypsum board, ni en A12.01 ni en los detalles de A09.27/A09.33, y no hay seccion de especificaciones 09 29 00 en el bid set.</t>
        </is>
      </c>
    </row>
    <row r="368" ht="33" customHeight="1" s="36">
      <c r="A368" s="59" t="n"/>
      <c r="B368" s="58" t="n">
        <v>17</v>
      </c>
      <c r="C368" s="44" t="inlineStr">
        <is>
          <t>A09.33</t>
        </is>
      </c>
      <c r="D368" s="59" t="inlineStr">
        <is>
          <t>Exclusion</t>
        </is>
      </c>
      <c r="E368" s="46" t="inlineStr">
        <is>
          <t>Ceiling Details, the sheet. Cited as a sheet for a finding by ABSENCE: its details label corner bead, casing bead and shadow molding one by one and NONE labels a control joint, so the omission is not a labeling oversight.</t>
        </is>
      </c>
      <c r="F368" s="46" t="inlineStr">
        <is>
          <t>excluded.CONTROL_JOINT</t>
        </is>
      </c>
      <c r="G368" s="46" t="inlineStr">
        <is>
          <t>El set no rotula ni detalla ninguna junta de control de gypsum board, ni en A12.01 ni en los detalles de A09.27/A09.33, y no hay seccion de especificaciones 09 29 00 en el bid set.</t>
        </is>
      </c>
    </row>
    <row r="369" ht="33" customHeight="1" s="36">
      <c r="A369" s="59" t="n"/>
      <c r="B369" s="58" t="n">
        <v>18</v>
      </c>
      <c r="C369" s="44" t="inlineStr">
        <is>
          <t>E02.01</t>
        </is>
      </c>
      <c r="D369" s="59" t="inlineStr">
        <is>
          <t>Scope</t>
        </is>
      </c>
      <c r="E369" s="46" t="inlineStr">
        <is>
          <t>"FLOOR PLAN - LIGHTING" at 1/4"=1'-0". Light fixtures and their framing: crossed against every wall and ceiling to locate penetrations and openings.</t>
        </is>
      </c>
      <c r="F369" s="46" t="inlineStr">
        <is>
          <t>scope[0].chain[0]</t>
        </is>
      </c>
      <c r="G369" s="46" t="inlineStr">
        <is>
          <t>Cruce MEP verificado por geometria vectorial con el registro de hojas derivado del FONDO ARQUITECTONICO (no de las burbujas de eje): M01.01 +571.92/-21.84, P01.01 -808.69/+1030.43, P01.02 -808.63/+1030.44, E02.01 +716.40/-141.36.</t>
        </is>
      </c>
    </row>
    <row r="370" ht="33" customHeight="1" s="36">
      <c r="A370" s="59" t="n"/>
      <c r="B370" s="58" t="n">
        <v>19</v>
      </c>
      <c r="C370" s="44" t="inlineStr">
        <is>
          <t>M01.01</t>
        </is>
      </c>
      <c r="D370" s="59" t="inlineStr">
        <is>
          <t>Quantity</t>
        </is>
      </c>
      <c r="E370" s="46" t="inlineStr">
        <is>
          <t>Mechanical Floor Plan at 1/4"=1'-0". Swept across the WHOLE band of each wall, opening included, to locate and measure every duct penetration.</t>
        </is>
      </c>
      <c r="F370" s="46" t="inlineStr">
        <is>
          <t>OPENING_DUCT, scope[0].afirmacion, scope[0].chain[0], scope[0].chain[1]</t>
        </is>
      </c>
      <c r="G370" s="46" t="inlineStr">
        <is>
          <t>3 ductos de M01.01 cruzan esta banda, todos de 12.00 pt = 8.00" de width en planta: (a) 8"x8" S-1B 195 CFM en y 1530.36-1542.36, sobre el head de la door 117; (b) ducto de 8" en y 1610.04-1622.04, sobre wall solido; (c) 8" diam.</t>
        </is>
      </c>
    </row>
    <row r="371" ht="33" customHeight="1" s="36">
      <c r="A371" s="59" t="n"/>
      <c r="B371" s="58" t="n">
        <v>20</v>
      </c>
      <c r="C371" s="44" t="inlineStr">
        <is>
          <t>P01.01</t>
        </is>
      </c>
      <c r="D371" s="59" t="inlineStr">
        <is>
          <t>Scope</t>
        </is>
      </c>
      <c r="E371" s="46" t="inlineStr">
        <is>
          <t>"PLUMBING PLAN SANITARY" at 1/4"=1'-0". Crossed against every wall: on new construction the MEP goes in before the board, hence no patch.</t>
        </is>
      </c>
      <c r="F371" s="46" t="inlineStr">
        <is>
          <t>scope[0].chain[0]</t>
        </is>
      </c>
      <c r="G371" s="46" t="inlineStr">
        <is>
          <t>Cruce MEP verificado por geometria vectorial con el registro de hojas derivado del FONDO ARQUITECTONICO (no de las burbujas de eje): M01.01 +571.92/-21.84, P01.01 -808.69/+1030.43, P01.02 -808.63/+1030.44, E02.01 +716.40/-141.36.</t>
        </is>
      </c>
    </row>
    <row r="372" ht="33" customHeight="1" s="36">
      <c r="A372" s="59" t="n"/>
      <c r="B372" s="58" t="n">
        <v>21</v>
      </c>
      <c r="C372" s="44" t="inlineStr">
        <is>
          <t>P01.02</t>
        </is>
      </c>
      <c r="D372" s="59" t="inlineStr">
        <is>
          <t>Scope</t>
        </is>
      </c>
      <c r="E372" s="46" t="inlineStr">
        <is>
          <t>"PLUMBING PLAN SUPPLY" at 1/4"=1'-0". The same cross-check for the supply piping.</t>
        </is>
      </c>
      <c r="F372" s="46" t="inlineStr">
        <is>
          <t>scope[0].chain[0]</t>
        </is>
      </c>
      <c r="G372" s="46" t="inlineStr">
        <is>
          <t>Cruce MEP verificado por geometria vectorial con el registro de hojas derivado del FONDO ARQUITECTONICO (no de las burbujas de eje): M01.01 +571.92/-21.84, P01.01 -808.69/+1030.43, P01.02 -808.63/+1030.44, E02.01 +716.40/-141.36.</t>
        </is>
      </c>
    </row>
    <row r="373" ht="33" customHeight="1" s="36">
      <c r="A373" s="44" t="inlineStr">
        <is>
          <t>B2 #28</t>
        </is>
      </c>
      <c r="B373" s="58" t="n">
        <v>1</v>
      </c>
      <c r="C373" s="44" t="inlineStr">
        <is>
          <t>A02.01</t>
        </is>
      </c>
      <c r="D373" s="59" t="inlineStr">
        <is>
          <t>Dimension</t>
        </is>
      </c>
      <c r="E373" s="46" t="inlineStr">
        <is>
          <t>Construction Plan. Entry sheet for partitions and openings: vector geometry of every wall face at 1/4"=1'-0", the leader of every partition tag, the Construction Plan Legend (new vs. existing) and the Construction Plan Notes.</t>
        </is>
      </c>
      <c r="F373" s="46" t="inlineStr">
        <is>
          <t>BLOCKING, excluded.PATCH, length, scope[0].chain[2]</t>
        </is>
      </c>
      <c r="G373" s="46" t="inlineStr">
        <is>
          <t>geometria vectorial A02.01: faces x=1622.16 y x=1633.08, thickness 10.92 pt = 7.28" contra 7 1/4" del schedule.</t>
        </is>
      </c>
    </row>
    <row r="374" ht="25.5" customHeight="1" s="36">
      <c r="A374" s="59" t="n"/>
      <c r="B374" s="58" t="n">
        <v>2</v>
      </c>
      <c r="C374" s="44" t="inlineStr">
        <is>
          <t>S2.20</t>
        </is>
      </c>
      <c r="D374" s="59" t="inlineStr">
        <is>
          <t>Dimension</t>
        </is>
      </c>
      <c r="E374" s="46" t="inlineStr">
        <is>
          <t>"ROOF FRAMING PLAN". Source of the STUD HEIGHT: every B.O.D. callout on the sheet and the slope of the bay between grids B and A (1/4" per foot).</t>
        </is>
      </c>
      <c r="F374" s="46" t="inlineStr">
        <is>
          <t>stud_height</t>
        </is>
      </c>
      <c r="G374" s="46" t="inlineStr">
        <is>
          <t>S2.20: zona entre eje B y eje A, B.O.D.</t>
        </is>
      </c>
    </row>
    <row r="375" ht="33" customHeight="1" s="36">
      <c r="A375" s="59" t="n"/>
      <c r="B375" s="58" t="n">
        <v>3</v>
      </c>
      <c r="C375" s="44" t="inlineStr">
        <is>
          <t>1/A12.01</t>
        </is>
      </c>
      <c r="D375" s="59" t="inlineStr">
        <is>
          <t>Dimension</t>
        </is>
      </c>
      <c r="E375" s="46" t="inlineStr">
        <is>
          <t>"PARTITION TYPE B, B2". Stud, layers per face, wall thickness and sealant of types B and B2. On a B wall it is the source; on an A1 wall it enters as a CONTRAST (B does label sealant top AND bottom, A1 only at the bottom).</t>
        </is>
      </c>
      <c r="F375" s="46" t="inlineStr">
        <is>
          <t>BOARD, SEALANT, STUD, TRACK_BOTTOM, TRACK_TOP, excluded.INSULATION, face[0].board_height, face[1].board_height, face[2].board_height</t>
        </is>
      </c>
      <c r="G375" s="46" t="inlineStr">
        <is>
          <t>1/A12.01 PARTITION TYPE B, B2: el board sube a la UNDERSIDE OF STRUCTURE en las DOS faces, con CONT ACOUS SEALANT arriba y abajo.</t>
        </is>
      </c>
    </row>
    <row r="376" ht="25.5" customHeight="1" s="36">
      <c r="A376" s="59" t="n"/>
      <c r="B376" s="58" t="n">
        <v>4</v>
      </c>
      <c r="C376" s="44" t="inlineStr">
        <is>
          <t>3/A12.01</t>
        </is>
      </c>
      <c r="D376" s="59" t="inlineStr">
        <is>
          <t>Dimension</t>
        </is>
      </c>
      <c r="E376" s="46" t="inlineStr">
        <is>
          <t>"PARTITION TYPE A1 &amp; A5". 3 5/8" stud, layers per face, WALL THICKNESS 4 7/8", slip track at the top, acoustic sealant at the slab and the 6" of board above the scheduled ceiling.</t>
        </is>
      </c>
      <c r="F376" s="46" t="inlineStr">
        <is>
          <t>face[0].board_height, face[1].board_height, face[2].board_height</t>
        </is>
      </c>
      <c r="G376" s="46" t="inlineStr">
        <is>
          <t>No hay dimension de 6" sobre ceiling como en 3/A12.01 (A1 &amp; A5).</t>
        </is>
      </c>
    </row>
    <row r="377" ht="43.5" customHeight="1" s="36">
      <c r="A377" s="59" t="n"/>
      <c r="B377" s="58" t="n">
        <v>5</v>
      </c>
      <c r="C377" s="44" t="inlineStr">
        <is>
          <t>A09.01</t>
        </is>
      </c>
      <c r="D377" s="59" t="inlineStr">
        <is>
          <t>Exclusion</t>
        </is>
      </c>
      <c r="E377" s="46" t="inlineStr">
        <is>
          <t>Exterior Elevations: "SOUTH ELEVATION" and "WEST ELEVATION" at 1/4"=1'-0". Extent of each exterior material and the material legend, verbatim "CJ CONTROL JOINT; PAINT TO MATCH STUCCO FINISH COLOR" - that joint is the STUCCO joint, not gypsum.</t>
        </is>
      </c>
      <c r="F377" s="46" t="inlineStr">
        <is>
          <t>excluded.CONTROL_JOINT</t>
        </is>
      </c>
      <c r="G37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78" ht="25.5" customHeight="1" s="36">
      <c r="A378" s="59" t="n"/>
      <c r="B378" s="58" t="n">
        <v>6</v>
      </c>
      <c r="C378" s="44" t="inlineStr">
        <is>
          <t>7/A12.04</t>
        </is>
      </c>
      <c r="D378" s="59" t="inlineStr">
        <is>
          <t>Scope</t>
        </is>
      </c>
      <c r="E378" s="46" t="inlineStr">
        <is>
          <t>Shelf detail on A12.04 for MW06. The shelf support is blocking.</t>
        </is>
      </c>
      <c r="F378" s="46" t="inlineStr">
        <is>
          <t>scope[0].chain[1]</t>
        </is>
      </c>
      <c r="G378" s="46" t="inlineStr">
        <is>
          <t>11/A12.04 SECTION @ SHELVING OVERHEAD, textual: 'PROVIDE ADDITIONAL BLOCKING IN PARTITION AND MOUNT SHELVING UNIT TO STUDS AND BLOCKING ONLY'; y 7/A12.04 SECTION @ ADJ.</t>
        </is>
      </c>
    </row>
    <row r="379" ht="43.5" customHeight="1" s="36">
      <c r="A379" s="59" t="n"/>
      <c r="B379" s="58" t="n">
        <v>7</v>
      </c>
      <c r="C379" s="44" t="inlineStr">
        <is>
          <t>10/A12.04</t>
        </is>
      </c>
      <c r="D379" s="59" t="inlineStr">
        <is>
          <t>Quantity</t>
        </is>
      </c>
      <c r="E379" s="46" t="inlineStr">
        <is>
          <t>"MW08 ELEVATION". Height and width of MW08: blocking band.</t>
        </is>
      </c>
      <c r="F379" s="46" t="inlineStr">
        <is>
          <t>BLOCKING, scope[0].chain[2]</t>
        </is>
      </c>
      <c r="G379" s="46" t="inlineStr">
        <is>
          <t>(a) 1 wall stop de la door 116 (HDW 11, '1 EA WALL STOP WS407CCV') x 2'-0" = 2.00; (b) MW08 contra la face Break Room 118: run de base cabinets de 7'-7" (cadena de 10/A12.04 MW08 ELEVATION 1'-4" + 2'-5" + 3'-0" + 10" = 91"; la planta de A02.01 da y 1506.00-1642.44 = 136.44 pt = 7.583 ft, mismo numero) x 1 run de rail…</t>
        </is>
      </c>
    </row>
    <row r="380" ht="25.5" customHeight="1" s="36">
      <c r="A380" s="59" t="n"/>
      <c r="B380" s="58" t="n">
        <v>8</v>
      </c>
      <c r="C380" s="44" t="inlineStr">
        <is>
          <t>11/A12.04</t>
        </is>
      </c>
      <c r="D380" s="59" t="inlineStr">
        <is>
          <t>Scope</t>
        </is>
      </c>
      <c r="E380" s="46" t="inlineStr">
        <is>
          <t>"SECTION @ SHELVING OVERHEAD" at 1 1/2"=1'-0". The section that proves the shelf hangs off the wall and needs blocking inside the partition.</t>
        </is>
      </c>
      <c r="F380" s="46" t="inlineStr">
        <is>
          <t>scope[0].chain[1]</t>
        </is>
      </c>
      <c r="G380" s="46" t="inlineStr">
        <is>
          <t>11/A12.04 SECTION @ SHELVING OVERHEAD, textual: 'PROVIDE ADDITIONAL BLOCKING IN PARTITION AND MOUNT SHELVING UNIT TO STUDS AND BLOCKING ONLY'; y 7/A12.04 SECTION @ ADJ.</t>
        </is>
      </c>
    </row>
    <row r="381" ht="43.5" customHeight="1" s="36">
      <c r="A381" s="59" t="n"/>
      <c r="B381" s="58" t="n">
        <v>9</v>
      </c>
      <c r="C381" s="44" t="inlineStr">
        <is>
          <t>9/A12.05</t>
        </is>
      </c>
      <c r="D381" s="59" t="inlineStr">
        <is>
          <t>Quantity</t>
        </is>
      </c>
      <c r="E381" s="46" t="inlineStr">
        <is>
          <t>"MW12 PLAN". Length of MW12 in plan: blocking band.</t>
        </is>
      </c>
      <c r="F381" s="46" t="inlineStr">
        <is>
          <t>BLOCKING</t>
        </is>
      </c>
      <c r="G381" s="46" t="inlineStr">
        <is>
          <t>(a) 1 wall stop de la door 116 (HDW 11, '1 EA WALL STOP WS407CCV') x 2'-0" = 2.00; (b) MW08 contra la face Break Room 118: run de base cabinets de 7'-7" (cadena de 10/A12.04 MW08 ELEVATION 1'-4" + 2'-5" + 3'-0" + 10" = 91"; la planta de A02.01 da y 1506.00-1642.44 = 136.44 pt = 7.583 ft, mismo numero) x 1 run de rail…</t>
        </is>
      </c>
    </row>
    <row r="382" ht="33" customHeight="1" s="36">
      <c r="A382" s="59" t="n"/>
      <c r="B382" s="58" t="n">
        <v>10</v>
      </c>
      <c r="C382" s="44" t="inlineStr">
        <is>
          <t>1/S5.20</t>
        </is>
      </c>
      <c r="D382" s="59" t="inlineStr">
        <is>
          <t>Quantity</t>
        </is>
      </c>
      <c r="E382" s="46" t="inlineStr">
        <is>
          <t>"TYPICAL WALL FRAMING DETAILS". Holds sub-details A through F; sub-detail F "BRIDGING AND BRACING - CONTINUOUS BRIDGING" is the bracing one: 1 1/2" C.R. CHANNEL welded to every stud. (Bracing is NOT in 5/S5.20, which is TYPICAL WALL FRAMING CONNX.)</t>
        </is>
      </c>
      <c r="F382" s="46" t="inlineStr">
        <is>
          <t>BRACING, excluded.CLIPS</t>
        </is>
      </c>
      <c r="G382" s="46" t="inlineStr">
        <is>
          <t>1/S5.20 sub-detalle F BRIDGING AND BRACING - CONTINUOUS BRIDGING sets the 1 1/2 in C.R.</t>
        </is>
      </c>
    </row>
    <row r="383" ht="33" customHeight="1" s="36">
      <c r="A383" s="59" t="n"/>
      <c r="B383" s="58" t="n">
        <v>11</v>
      </c>
      <c r="C383" s="44" t="inlineStr">
        <is>
          <t>7/S5.20</t>
        </is>
      </c>
      <c r="D383" s="59" t="inlineStr">
        <is>
          <t>Quantity</t>
        </is>
      </c>
      <c r="E383" s="46" t="inlineStr">
        <is>
          <t>"METAL STUDS SCHEDULES". The profile: web, flange, lip, mils, gauge and the APPLICATION column with the spacing ("INTERIOR WALLS @ 16" O.C."), plus the SILL TRACK ANCHORAGE and the FASTENER SCHEDULE.</t>
        </is>
      </c>
      <c r="F383" s="46" t="inlineStr">
        <is>
          <t>STUD, TRACK_BOTTOM</t>
        </is>
      </c>
      <c r="G383" s="46" t="inlineStr">
        <is>
          <t>Metal Stud Schedule de 7/S5.20 METAL STUDS SCHEDULES: solo hay dos renglones de stud, 362S137-33 (3 5/8", APPLICATION INTERIOR WALLS @ 16" O.C.) y 600S137-33 (6", APPLICATION EXTERIOR WALLS @ 16" O.C.).</t>
        </is>
      </c>
    </row>
    <row r="384" ht="25.5" customHeight="1" s="36">
      <c r="A384" s="59" t="n"/>
      <c r="B384" s="58" t="n">
        <v>12</v>
      </c>
      <c r="C384" s="44" t="inlineStr">
        <is>
          <t>9/S5.20</t>
        </is>
      </c>
      <c r="D384" s="59" t="inlineStr">
        <is>
          <t>Quantity</t>
        </is>
      </c>
      <c r="E384" s="46" t="inlineStr">
        <is>
          <t>"OPNG IN NON-LOAD-BRG WALLS". The opening frame: DBL JAMB STUD (2 per jamb) and HEAD TRACK with the condition "DOUBLE TRACK @ OPNG &gt; 4'-0"".</t>
        </is>
      </c>
      <c r="F384" s="46" t="inlineStr">
        <is>
          <t>HEADER</t>
        </is>
      </c>
      <c r="G384" s="46" t="inlineStr">
        <is>
          <t>The opening frame comes from 9/S5.20 OPNG IN NON-LOAD-BRG WALLS, que rotula HEAD TRACK (DOUBLE TRACK @ OPNG &gt; 4 ft) y DBL JAMB STUD.</t>
        </is>
      </c>
    </row>
    <row r="385" ht="25.5" customHeight="1" s="36">
      <c r="A385" s="59" t="n"/>
      <c r="B385" s="58" t="n">
        <v>13</v>
      </c>
      <c r="C385" s="44" t="inlineStr">
        <is>
          <t>A00.30</t>
        </is>
      </c>
      <c r="D385" s="59" t="inlineStr">
        <is>
          <t>Quantity</t>
        </is>
      </c>
      <c r="E385" s="46" t="inlineStr">
        <is>
          <t>Door Schedule. Leaf width and height of every door and the frame type: source of the header, the board deduction and the reference to 10 and 11/A12.02.</t>
        </is>
      </c>
      <c r="F385" s="46" t="inlineStr">
        <is>
          <t>HEADER</t>
        </is>
      </c>
      <c r="G385" s="46" t="inlineStr">
        <is>
          <t>door 116 (3'-0" x 7'-0", A00.30, FROM ROOM BREAK ROOM), R.O.</t>
        </is>
      </c>
    </row>
    <row r="386" ht="33" customHeight="1" s="36">
      <c r="A386" s="59" t="n"/>
      <c r="B386" s="58" t="n">
        <v>14</v>
      </c>
      <c r="C386" s="44" t="inlineStr">
        <is>
          <t>A09.27</t>
        </is>
      </c>
      <c r="D386" s="59" t="inlineStr">
        <is>
          <t>Exclusion</t>
        </is>
      </c>
      <c r="E386" s="46" t="inlineStr">
        <is>
          <t>Gypsum Section Details, the sheet. Cited as a sheet when the finding is that NO detail on it labels a gypsum control joint.</t>
        </is>
      </c>
      <c r="F386" s="46" t="inlineStr">
        <is>
          <t>excluded.CONTROL_JOINT</t>
        </is>
      </c>
      <c r="G386" s="46" t="inlineStr">
        <is>
          <t>El set no rotula ni detalla ninguna junta de control de gypsum board, ni en A12.01 ni en los detalles de A09.27/A09.33, y no hay seccion de especificaciones 09 29 00 en el bid set.</t>
        </is>
      </c>
    </row>
    <row r="387" ht="33" customHeight="1" s="36">
      <c r="A387" s="59" t="n"/>
      <c r="B387" s="58" t="n">
        <v>15</v>
      </c>
      <c r="C387" s="44" t="inlineStr">
        <is>
          <t>A09.33</t>
        </is>
      </c>
      <c r="D387" s="59" t="inlineStr">
        <is>
          <t>Exclusion</t>
        </is>
      </c>
      <c r="E387" s="46" t="inlineStr">
        <is>
          <t>Ceiling Details, the sheet. Cited as a sheet for a finding by ABSENCE: its details label corner bead, casing bead and shadow molding one by one and NONE labels a control joint, so the omission is not a labeling oversight.</t>
        </is>
      </c>
      <c r="F387" s="46" t="inlineStr">
        <is>
          <t>excluded.CONTROL_JOINT</t>
        </is>
      </c>
      <c r="G387" s="46" t="inlineStr">
        <is>
          <t>El set no rotula ni detalla ninguna junta de control de gypsum board, ni en A12.01 ni en los detalles de A09.27/A09.33, y no hay seccion de especificaciones 09 29 00 en el bid set.</t>
        </is>
      </c>
    </row>
    <row r="388" ht="25.5" customHeight="1" s="36">
      <c r="A388" s="59" t="n"/>
      <c r="B388" s="58" t="n">
        <v>16</v>
      </c>
      <c r="C388" s="44" t="inlineStr">
        <is>
          <t>A12.06</t>
        </is>
      </c>
      <c r="D388" s="59" t="inlineStr">
        <is>
          <t>Scope</t>
        </is>
      </c>
      <c r="E388" s="46" t="inlineStr">
        <is>
          <t>Millwork details MW13, MW21, MW18. Our scope here is the blocking.</t>
        </is>
      </c>
      <c r="F388" s="46" t="inlineStr">
        <is>
          <t>scope[0].chain[0]</t>
        </is>
      </c>
      <c r="G388" s="46" t="inlineStr">
        <is>
          <t>A12.04, A12.05 y A12.06 sheet note D, textual e identica en las tres: 'PROVIDE FRTW BLOCKING AT ALL MILLWORK VERTICAL SURFACE CLEATS AND MOUNTING LOCATIONS'</t>
        </is>
      </c>
    </row>
    <row r="389" ht="33" customHeight="1" s="36">
      <c r="A389" s="59" t="n"/>
      <c r="B389" s="58" t="n">
        <v>17</v>
      </c>
      <c r="C389" s="44" t="inlineStr">
        <is>
          <t>E02.01</t>
        </is>
      </c>
      <c r="D389" s="59" t="inlineStr">
        <is>
          <t>Scope</t>
        </is>
      </c>
      <c r="E389" s="46" t="inlineStr">
        <is>
          <t>"FLOOR PLAN - LIGHTING" at 1/4"=1'-0". Light fixtures and their framing: crossed against every wall and ceiling to locate penetrations and openings.</t>
        </is>
      </c>
      <c r="F389" s="46" t="inlineStr">
        <is>
          <t>scope[1].chain[0], scope[1].chain[1]</t>
        </is>
      </c>
      <c r="G389" s="46" t="inlineStr">
        <is>
          <t>Cruce MEP verificado por geometria vectorial con el registro de hojas derivado del FONDO ARQUITECTONICO (no de las burbujas de eje): M01.01 +571.92/-21.84, P01.01 -808.69/+1030.43, P01.02 -808.63/+1030.44, E02.01 +716.40/-141.36.</t>
        </is>
      </c>
    </row>
    <row r="390" ht="33" customHeight="1" s="36">
      <c r="A390" s="59" t="n"/>
      <c r="B390" s="58" t="n">
        <v>18</v>
      </c>
      <c r="C390" s="44" t="inlineStr">
        <is>
          <t>M01.01</t>
        </is>
      </c>
      <c r="D390" s="59" t="inlineStr">
        <is>
          <t>Scope</t>
        </is>
      </c>
      <c r="E390" s="46" t="inlineStr">
        <is>
          <t>Mechanical Floor Plan at 1/4"=1'-0". Swept across the WHOLE band of each wall, opening included, to locate and measure every duct penetration.</t>
        </is>
      </c>
      <c r="F390" s="46" t="inlineStr">
        <is>
          <t>scope[1].chain[0], scope[1].chain[1]</t>
        </is>
      </c>
      <c r="G390" s="46" t="inlineStr">
        <is>
          <t>Cruce MEP verificado por geometria vectorial con el registro de hojas derivado del FONDO ARQUITECTONICO (no de las burbujas de eje): M01.01 +571.92/-21.84, P01.01 -808.69/+1030.43, P01.02 -808.63/+1030.44, E02.01 +716.40/-141.36.</t>
        </is>
      </c>
    </row>
    <row r="391" ht="33" customHeight="1" s="36">
      <c r="A391" s="59" t="n"/>
      <c r="B391" s="58" t="n">
        <v>19</v>
      </c>
      <c r="C391" s="44" t="inlineStr">
        <is>
          <t>P01.01</t>
        </is>
      </c>
      <c r="D391" s="59" t="inlineStr">
        <is>
          <t>Scope</t>
        </is>
      </c>
      <c r="E391" s="46" t="inlineStr">
        <is>
          <t>"PLUMBING PLAN SANITARY" at 1/4"=1'-0". Crossed against every wall: on new construction the MEP goes in before the board, hence no patch.</t>
        </is>
      </c>
      <c r="F391" s="46" t="inlineStr">
        <is>
          <t>scope[1].chain[0], scope[1].chain[1]</t>
        </is>
      </c>
      <c r="G391" s="46" t="inlineStr">
        <is>
          <t>Cruce MEP verificado por geometria vectorial con el registro de hojas derivado del FONDO ARQUITECTONICO (no de las burbujas de eje): M01.01 +571.92/-21.84, P01.01 -808.69/+1030.43, P01.02 -808.63/+1030.44, E02.01 +716.40/-141.36.</t>
        </is>
      </c>
    </row>
    <row r="392" ht="33" customHeight="1" s="36">
      <c r="A392" s="59" t="n"/>
      <c r="B392" s="58" t="n">
        <v>20</v>
      </c>
      <c r="C392" s="44" t="inlineStr">
        <is>
          <t>P01.02</t>
        </is>
      </c>
      <c r="D392" s="59" t="inlineStr">
        <is>
          <t>Scope</t>
        </is>
      </c>
      <c r="E392" s="46" t="inlineStr">
        <is>
          <t>"PLUMBING PLAN SUPPLY" at 1/4"=1'-0". The same cross-check for the supply piping.</t>
        </is>
      </c>
      <c r="F392" s="46" t="inlineStr">
        <is>
          <t>scope[1].chain[0], scope[1].chain[1]</t>
        </is>
      </c>
      <c r="G392" s="46" t="inlineStr">
        <is>
          <t>Cruce MEP verificado por geometria vectorial con el registro de hojas derivado del FONDO ARQUITECTONICO (no de las burbujas de eje): M01.01 +571.92/-21.84, P01.01 -808.69/+1030.43, P01.02 -808.63/+1030.44, E02.01 +716.40/-141.36.</t>
        </is>
      </c>
    </row>
    <row r="393" ht="33" customHeight="1" s="36">
      <c r="A393" s="44" t="inlineStr">
        <is>
          <t>B2 #25</t>
        </is>
      </c>
      <c r="B393" s="58" t="n">
        <v>1</v>
      </c>
      <c r="C393" s="44" t="inlineStr">
        <is>
          <t>A02.01</t>
        </is>
      </c>
      <c r="D393" s="59" t="inlineStr">
        <is>
          <t>Dimension</t>
        </is>
      </c>
      <c r="E393" s="46" t="inlineStr">
        <is>
          <t>Construction Plan. Entry sheet for partitions and openings: vector geometry of every wall face at 1/4"=1'-0", the leader of every partition tag, the Construction Plan Legend (new vs. existing) and the Construction Plan Notes.</t>
        </is>
      </c>
      <c r="F393" s="46" t="inlineStr">
        <is>
          <t>excluded.BLOCKING, excluded.PATCH, length.source, scope[0].chain[0], scope[0].chain[1], scope[1].chain[1]</t>
        </is>
      </c>
      <c r="G393" s="46" t="inlineStr">
        <is>
          <t>A02.01, dimension impresa 5'-8" en la linea de dimension vertical x=1169.76, ticks en y=728.88 y y=830.76; la misma linea encadena 1'-0" arriba (710.88-&gt;728.88)</t>
        </is>
      </c>
    </row>
    <row r="394" ht="25.5" customHeight="1" s="36">
      <c r="A394" s="59" t="n"/>
      <c r="B394" s="58" t="n">
        <v>2</v>
      </c>
      <c r="C394" s="44" t="inlineStr">
        <is>
          <t>S2.20</t>
        </is>
      </c>
      <c r="D394" s="59" t="inlineStr">
        <is>
          <t>Dimension</t>
        </is>
      </c>
      <c r="E394" s="46" t="inlineStr">
        <is>
          <t>"ROOF FRAMING PLAN". Source of the STUD HEIGHT: every B.O.D. callout on the sheet and the slope of the bay between grids B and A (1/4" per foot).</t>
        </is>
      </c>
      <c r="F394" s="46" t="inlineStr">
        <is>
          <t>stud_height</t>
        </is>
      </c>
      <c r="G394" s="46" t="inlineStr">
        <is>
          <t>S2.20: la zona al norte del eje B lleva B.O.D.</t>
        </is>
      </c>
    </row>
    <row r="395" ht="33" customHeight="1" s="36">
      <c r="A395" s="59" t="n"/>
      <c r="B395" s="58" t="n">
        <v>3</v>
      </c>
      <c r="C395" s="44" t="inlineStr">
        <is>
          <t>1/A12.01</t>
        </is>
      </c>
      <c r="D395" s="59" t="inlineStr">
        <is>
          <t>Dimension</t>
        </is>
      </c>
      <c r="E395" s="46" t="inlineStr">
        <is>
          <t>"PARTITION TYPE B, B2". Stud, layers per face, wall thickness and sealant of types B and B2. On a B wall it is the source; on an A1 wall it enters as a CONTRAST (B does label sealant top AND bottom, A1 only at the bottom).</t>
        </is>
      </c>
      <c r="F395" s="46" t="inlineStr">
        <is>
          <t>BOARD, SEALANT, STUD, TRACK_TOP, excluded.INSULATION, face[0].board_height, face[1].board_height</t>
        </is>
      </c>
      <c r="G395" s="46" t="inlineStr">
        <is>
          <t>1/A12.01 PARTITION TYPE B, B2: el board sube a la UNDERSIDE OF STRUCTURE en las DOS faces, con CONT ACOUS SEALANT arriba y abajo.</t>
        </is>
      </c>
    </row>
    <row r="396" ht="25.5" customHeight="1" s="36">
      <c r="A396" s="59" t="n"/>
      <c r="B396" s="58" t="n">
        <v>4</v>
      </c>
      <c r="C396" s="44" t="inlineStr">
        <is>
          <t>3/A12.01</t>
        </is>
      </c>
      <c r="D396" s="59" t="inlineStr">
        <is>
          <t>Dimension</t>
        </is>
      </c>
      <c r="E396" s="46" t="inlineStr">
        <is>
          <t>"PARTITION TYPE A1 &amp; A5". 3 5/8" stud, layers per face, WALL THICKNESS 4 7/8", slip track at the top, acoustic sealant at the slab and the 6" of board above the scheduled ceiling.</t>
        </is>
      </c>
      <c r="F396" s="46" t="inlineStr">
        <is>
          <t>face[0].board_height, face[1].board_height</t>
        </is>
      </c>
      <c r="G396" s="46" t="inlineStr">
        <is>
          <t>No hay dimension de 6" sobre ceiling como en 3/A12.01 (A1 &amp; A5).</t>
        </is>
      </c>
    </row>
    <row r="397" ht="43.5" customHeight="1" s="36">
      <c r="A397" s="59" t="n"/>
      <c r="B397" s="58" t="n">
        <v>5</v>
      </c>
      <c r="C397" s="44" t="inlineStr">
        <is>
          <t>A09.01</t>
        </is>
      </c>
      <c r="D397" s="59" t="inlineStr">
        <is>
          <t>Exclusion</t>
        </is>
      </c>
      <c r="E397" s="46" t="inlineStr">
        <is>
          <t>Exterior Elevations: "SOUTH ELEVATION" and "WEST ELEVATION" at 1/4"=1'-0". Extent of each exterior material and the material legend, verbatim "CJ CONTROL JOINT; PAINT TO MATCH STUCCO FINISH COLOR" - that joint is the STUCCO joint, not gypsum.</t>
        </is>
      </c>
      <c r="F397" s="46" t="inlineStr">
        <is>
          <t>excluded.CONTROL_JOINT</t>
        </is>
      </c>
      <c r="G39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98" ht="33" customHeight="1" s="36">
      <c r="A398" s="59" t="n"/>
      <c r="B398" s="58" t="n">
        <v>6</v>
      </c>
      <c r="C398" s="44" t="inlineStr">
        <is>
          <t>10/A12.02</t>
        </is>
      </c>
      <c r="D398" s="59" t="inlineStr">
        <is>
          <t>Quantity</t>
        </is>
      </c>
      <c r="E398" s="46" t="inlineStr">
        <is>
          <t>"HEAD @ HOLLOW METAL FRAME" at 3"=1'-0". Head of the hollow metal frame: labels SCHEDULED PARTITION, METAL STUD, METAL CLIP, HOLLOW METAL FRAME and 1/2" of board lap per face inside the frame throat.</t>
        </is>
      </c>
      <c r="F398" s="46" t="inlineStr">
        <is>
          <t>HEADER, openings[0].head</t>
        </is>
      </c>
      <c r="G398" s="46" t="inlineStr">
        <is>
          <t>HEAD 10/A12.02 segun A00.30</t>
        </is>
      </c>
    </row>
    <row r="399" ht="33" customHeight="1" s="36">
      <c r="A399" s="59" t="n"/>
      <c r="B399" s="58" t="n">
        <v>7</v>
      </c>
      <c r="C399" s="44" t="inlineStr">
        <is>
          <t>11/A12.02</t>
        </is>
      </c>
      <c r="D399" s="59" t="inlineStr">
        <is>
          <t>Opening</t>
        </is>
      </c>
      <c r="E399" s="46" t="inlineStr">
        <is>
          <t>"JAMB @ HOLLOW METAL FRAME" at 3"=1'-0". Jamb of the same frame: it calls METAL ANCHOR the piece detail 10 calls METAL CLIP, so the piece is frame anchorage (Div 08), not a clip of ours.</t>
        </is>
      </c>
      <c r="F399" s="46" t="inlineStr">
        <is>
          <t>openings[0].head</t>
        </is>
      </c>
      <c r="G399" s="46" t="inlineStr">
        <is>
          <t>10/A12.02 (JAMB 11/A12.02; columna SILL = '--')</t>
        </is>
      </c>
    </row>
    <row r="400" ht="33" customHeight="1" s="36">
      <c r="A400" s="59" t="n"/>
      <c r="B400" s="58" t="n">
        <v>8</v>
      </c>
      <c r="C400" s="44" t="inlineStr">
        <is>
          <t>1/S5.20</t>
        </is>
      </c>
      <c r="D400" s="59" t="inlineStr">
        <is>
          <t>Quantity</t>
        </is>
      </c>
      <c r="E400" s="46" t="inlineStr">
        <is>
          <t>"TYPICAL WALL FRAMING DETAILS". Holds sub-details A through F; sub-detail F "BRIDGING AND BRACING - CONTINUOUS BRIDGING" is the bracing one: 1 1/2" C.R. CHANNEL welded to every stud. (Bracing is NOT in 5/S5.20, which is TYPICAL WALL FRAMING CONNX.)</t>
        </is>
      </c>
      <c r="F400" s="46" t="inlineStr">
        <is>
          <t>BRACING, excluded.CLIPS</t>
        </is>
      </c>
      <c r="G400" s="46" t="inlineStr">
        <is>
          <t>(1/S5.20 sub-detalle F).</t>
        </is>
      </c>
    </row>
    <row r="401" ht="33" customHeight="1" s="36">
      <c r="A401" s="59" t="n"/>
      <c r="B401" s="58" t="n">
        <v>9</v>
      </c>
      <c r="C401" s="44" t="inlineStr">
        <is>
          <t>7/S5.20</t>
        </is>
      </c>
      <c r="D401" s="59" t="inlineStr">
        <is>
          <t>Quantity</t>
        </is>
      </c>
      <c r="E401" s="46" t="inlineStr">
        <is>
          <t>"METAL STUDS SCHEDULES". The profile: web, flange, lip, mils, gauge and the APPLICATION column with the spacing ("INTERIOR WALLS @ 16" O.C."), plus the SILL TRACK ANCHORAGE and the FASTENER SCHEDULE.</t>
        </is>
      </c>
      <c r="F401" s="46" t="inlineStr">
        <is>
          <t>STUD, TRACK_BOTTOM</t>
        </is>
      </c>
      <c r="G401" s="46" t="inlineStr">
        <is>
          <t>Perfil: Metal Stud Schedule de 7/S5.20 METAL STUDS SCHEDULES: solo hay dos renglones de stud, 362S137-33 (3 5/8", APPLICATION INTERIOR WALLS @ 16" O.C.) y 600S137-33 (6", APPLICATION EXTERIOR WALLS @ 16" O.C.).</t>
        </is>
      </c>
    </row>
    <row r="402" ht="25.5" customHeight="1" s="36">
      <c r="A402" s="59" t="n"/>
      <c r="B402" s="58" t="n">
        <v>10</v>
      </c>
      <c r="C402" s="44" t="inlineStr">
        <is>
          <t>9/S5.20</t>
        </is>
      </c>
      <c r="D402" s="59" t="inlineStr">
        <is>
          <t>Quantity</t>
        </is>
      </c>
      <c r="E402" s="46" t="inlineStr">
        <is>
          <t>"OPNG IN NON-LOAD-BRG WALLS". The opening frame: DBL JAMB STUD (2 per jamb) and HEAD TRACK with the condition "DOUBLE TRACK @ OPNG &gt; 4'-0"".</t>
        </is>
      </c>
      <c r="F402" s="46" t="inlineStr">
        <is>
          <t>STUD</t>
        </is>
      </c>
      <c r="G402" s="46" t="inlineStr">
        <is>
          <t>campo = floor(5.667 ft x12 / 16") + 1 = 5; mas 4 jamb studs de la door 102 (9/S5.20 DBL JAMB STUD) = 9 pz.</t>
        </is>
      </c>
    </row>
    <row r="403" ht="25.5" customHeight="1" s="36">
      <c r="A403" s="59" t="n"/>
      <c r="B403" s="58" t="n">
        <v>11</v>
      </c>
      <c r="C403" s="44" t="inlineStr">
        <is>
          <t>A00.30</t>
        </is>
      </c>
      <c r="D403" s="59" t="inlineStr">
        <is>
          <t>Quantity</t>
        </is>
      </c>
      <c r="E403" s="46" t="inlineStr">
        <is>
          <t>Door Schedule. Leaf width and height of every door and the frame type: source of the header, the board deduction and the reference to 10 and 11/A12.02.</t>
        </is>
      </c>
      <c r="F403" s="46" t="inlineStr">
        <is>
          <t>HEADER, excluded.BLOCKING, scope[0].chain[2]</t>
        </is>
      </c>
      <c r="G403" s="46" t="inlineStr">
        <is>
          <t>HEAD 10/A12.02 segun A00.30</t>
        </is>
      </c>
    </row>
    <row r="404" ht="33" customHeight="1" s="36">
      <c r="A404" s="59" t="n"/>
      <c r="B404" s="58" t="n">
        <v>12</v>
      </c>
      <c r="C404" s="44" t="inlineStr">
        <is>
          <t>A09.27</t>
        </is>
      </c>
      <c r="D404" s="59" t="inlineStr">
        <is>
          <t>Exclusion</t>
        </is>
      </c>
      <c r="E404" s="46" t="inlineStr">
        <is>
          <t>Gypsum Section Details, the sheet. Cited as a sheet when the finding is that NO detail on it labels a gypsum control joint.</t>
        </is>
      </c>
      <c r="F404" s="46" t="inlineStr">
        <is>
          <t>excluded.CONTROL_JOINT</t>
        </is>
      </c>
      <c r="G404" s="46" t="inlineStr">
        <is>
          <t>El set no rotula ni detalla ninguna junta de control de gypsum board, ni en A12.01 ni en los detalles de A09.27/A09.33, y no hay seccion de especificaciones 09 29 00 en el bid set.</t>
        </is>
      </c>
    </row>
    <row r="405" ht="33" customHeight="1" s="36">
      <c r="A405" s="59" t="n"/>
      <c r="B405" s="58" t="n">
        <v>13</v>
      </c>
      <c r="C405" s="44" t="inlineStr">
        <is>
          <t>A09.33</t>
        </is>
      </c>
      <c r="D405" s="59" t="inlineStr">
        <is>
          <t>Exclusion</t>
        </is>
      </c>
      <c r="E405" s="46" t="inlineStr">
        <is>
          <t>Ceiling Details, the sheet. Cited as a sheet for a finding by ABSENCE: its details label corner bead, casing bead and shadow molding one by one and NONE labels a control joint, so the omission is not a labeling oversight.</t>
        </is>
      </c>
      <c r="F405" s="46" t="inlineStr">
        <is>
          <t>excluded.CONTROL_JOINT</t>
        </is>
      </c>
      <c r="G405" s="46" t="inlineStr">
        <is>
          <t>El set no rotula ni detalla ninguna junta de control de gypsum board, ni en A12.01 ni en los detalles de A09.27/A09.33, y no hay seccion de especificaciones 09 29 00 en el bid set.</t>
        </is>
      </c>
    </row>
    <row r="406" ht="33" customHeight="1" s="36">
      <c r="A406" s="59" t="n"/>
      <c r="B406" s="58" t="n">
        <v>14</v>
      </c>
      <c r="C406" s="44" t="inlineStr">
        <is>
          <t>E02.01</t>
        </is>
      </c>
      <c r="D406" s="59" t="inlineStr">
        <is>
          <t>Scope</t>
        </is>
      </c>
      <c r="E406" s="46" t="inlineStr">
        <is>
          <t>"FLOOR PLAN - LIGHTING" at 1/4"=1'-0". Light fixtures and their framing: crossed against every wall and ceiling to locate penetrations and openings.</t>
        </is>
      </c>
      <c r="F406" s="46" t="inlineStr">
        <is>
          <t>scope[1].chain[0], scope[1].chain[1]</t>
        </is>
      </c>
      <c r="G406" s="46" t="inlineStr">
        <is>
          <t>Cruce MEP verificado por geometria vectorial con el registro de hojas derivado del FONDO ARQUITECTONICO (no de las burbujas de eje): M01.01 +571.92/-21.84, P01.01 -808.69/+1030.43, P01.02 -808.63/+1030.44, E02.01 +716.40/-141.36.</t>
        </is>
      </c>
    </row>
    <row r="407" ht="33" customHeight="1" s="36">
      <c r="A407" s="59" t="n"/>
      <c r="B407" s="58" t="n">
        <v>15</v>
      </c>
      <c r="C407" s="44" t="inlineStr">
        <is>
          <t>M01.01</t>
        </is>
      </c>
      <c r="D407" s="59" t="inlineStr">
        <is>
          <t>Scope</t>
        </is>
      </c>
      <c r="E407" s="46" t="inlineStr">
        <is>
          <t>Mechanical Floor Plan at 1/4"=1'-0". Swept across the WHOLE band of each wall, opening included, to locate and measure every duct penetration.</t>
        </is>
      </c>
      <c r="F407" s="46" t="inlineStr">
        <is>
          <t>scope[1].chain[0], scope[1].chain[1]</t>
        </is>
      </c>
      <c r="G407" s="46" t="inlineStr">
        <is>
          <t>Cruce MEP verificado por geometria vectorial con el registro de hojas derivado del FONDO ARQUITECTONICO (no de las burbujas de eje): M01.01 +571.92/-21.84, P01.01 -808.69/+1030.43, P01.02 -808.63/+1030.44, E02.01 +716.40/-141.36.</t>
        </is>
      </c>
    </row>
    <row r="408" ht="33" customHeight="1" s="36">
      <c r="A408" s="59" t="n"/>
      <c r="B408" s="58" t="n">
        <v>16</v>
      </c>
      <c r="C408" s="44" t="inlineStr">
        <is>
          <t>P01.01</t>
        </is>
      </c>
      <c r="D408" s="59" t="inlineStr">
        <is>
          <t>Scope</t>
        </is>
      </c>
      <c r="E408" s="46" t="inlineStr">
        <is>
          <t>"PLUMBING PLAN SANITARY" at 1/4"=1'-0". Crossed against every wall: on new construction the MEP goes in before the board, hence no patch.</t>
        </is>
      </c>
      <c r="F408" s="46" t="inlineStr">
        <is>
          <t>scope[1].chain[0], scope[1].chain[1]</t>
        </is>
      </c>
      <c r="G408" s="46" t="inlineStr">
        <is>
          <t>Cruce MEP verificado por geometria vectorial con el registro de hojas derivado del FONDO ARQUITECTONICO (no de las burbujas de eje): M01.01 +571.92/-21.84, P01.01 -808.69/+1030.43, P01.02 -808.63/+1030.44, E02.01 +716.40/-141.36.</t>
        </is>
      </c>
    </row>
    <row r="409" ht="33" customHeight="1" s="36">
      <c r="A409" s="59" t="n"/>
      <c r="B409" s="58" t="n">
        <v>17</v>
      </c>
      <c r="C409" s="44" t="inlineStr">
        <is>
          <t>P01.02</t>
        </is>
      </c>
      <c r="D409" s="59" t="inlineStr">
        <is>
          <t>Scope</t>
        </is>
      </c>
      <c r="E409" s="46" t="inlineStr">
        <is>
          <t>"PLUMBING PLAN SUPPLY" at 1/4"=1'-0". The same cross-check for the supply piping.</t>
        </is>
      </c>
      <c r="F409" s="46" t="inlineStr">
        <is>
          <t>scope[1].chain[0], scope[1].chain[1]</t>
        </is>
      </c>
      <c r="G409" s="46" t="inlineStr">
        <is>
          <t>Cruce MEP verificado por geometria vectorial con el registro de hojas derivado del FONDO ARQUITECTONICO (no de las burbujas de eje): M01.01 +571.92/-21.84, P01.01 -808.69/+1030.43, P01.02 -808.63/+1030.44, E02.01 +716.40/-141.36.</t>
        </is>
      </c>
    </row>
    <row r="410" ht="33" customHeight="1" s="36">
      <c r="A410" s="44" t="inlineStr">
        <is>
          <t>B2 #26</t>
        </is>
      </c>
      <c r="B410" s="58" t="n">
        <v>1</v>
      </c>
      <c r="C410" s="44" t="inlineStr">
        <is>
          <t>A02.01</t>
        </is>
      </c>
      <c r="D410" s="59" t="inlineStr">
        <is>
          <t>Dimension</t>
        </is>
      </c>
      <c r="E410" s="46" t="inlineStr">
        <is>
          <t>Construction Plan. Entry sheet for partitions and openings: vector geometry of every wall face at 1/4"=1'-0", the leader of every partition tag, the Construction Plan Legend (new vs. existing) and the Construction Plan Notes.</t>
        </is>
      </c>
      <c r="F410" s="46" t="inlineStr">
        <is>
          <t>excluded.PATCH, length, scope[0].chain[2], scope[1].chain[1]</t>
        </is>
      </c>
      <c r="G410" s="46" t="inlineStr">
        <is>
          <t>geometria vectorial A02.01: faces en x=1123.08 (lw 0.60) y x=1133.88 (lw 1.20), thickness 10.80 pt = 7.20" contra 7 1/4" del schedule; run y=1303.20 (end cap en 1299.48-1303.20) a y=1335.96 (quiebre a un wall A1 de 4 7/8") = 32.76 pt / 18 = 1.82 ft</t>
        </is>
      </c>
    </row>
    <row r="411" ht="43.5" customHeight="1" s="36">
      <c r="A411" s="59" t="n"/>
      <c r="B411" s="58" t="n">
        <v>2</v>
      </c>
      <c r="C411" s="44" t="inlineStr">
        <is>
          <t>2/A08.01</t>
        </is>
      </c>
      <c r="D411" s="59" t="inlineStr">
        <is>
          <t>Scope</t>
        </is>
      </c>
      <c r="E411" s="46" t="inlineStr">
        <is>
          <t>"ENLARGED RESTROOM FINISH PLAN". The finish of each restroom face.</t>
        </is>
      </c>
      <c r="F411" s="46" t="inlineStr">
        <is>
          <t>scope[1].chain[1]</t>
        </is>
      </c>
      <c r="G411" s="46" t="inlineStr">
        <is>
          <t>2/A08.01 ENLARGED RESTROOM FINISH PLAN (girada 180 grados respecto de A02.01, verificado con tres rasgos: doors, bebederos y inodoros): en la wall de la door solo caen el key note 3 (restroom signage provided by B&amp;N and installed by GC) y el key note 6 (outside cove base corner tile).</t>
        </is>
      </c>
    </row>
    <row r="412" ht="25.5" customHeight="1" s="36">
      <c r="A412" s="59" t="n"/>
      <c r="B412" s="58" t="n">
        <v>3</v>
      </c>
      <c r="C412" s="44" t="inlineStr">
        <is>
          <t>B/A08.01</t>
        </is>
      </c>
      <c r="D412" s="59" t="inlineStr">
        <is>
          <t>Quantity</t>
        </is>
      </c>
      <c r="E412" s="46" t="inlineStr">
        <is>
          <t>Restroom elevation B on A08.01. Extent of FRP on that face.</t>
        </is>
      </c>
      <c r="F412" s="46" t="inlineStr">
        <is>
          <t>CEMENT_BOARD, FRP, scope[0].chain[1], scope[1].chain[2]</t>
        </is>
      </c>
      <c r="G412" s="46" t="inlineStr">
        <is>
          <t>La banda sale de B/A08.01 RESTROOM ELEVATION B; A08.01 no lo dibuja, la diferencia queda anotada en Clarifications</t>
        </is>
      </c>
    </row>
    <row r="413" ht="25.5" customHeight="1" s="36">
      <c r="A413" s="59" t="n"/>
      <c r="B413" s="58" t="n">
        <v>4</v>
      </c>
      <c r="C413" s="44" t="inlineStr">
        <is>
          <t>S2.20</t>
        </is>
      </c>
      <c r="D413" s="59" t="inlineStr">
        <is>
          <t>Dimension</t>
        </is>
      </c>
      <c r="E413" s="46" t="inlineStr">
        <is>
          <t>"ROOF FRAMING PLAN". Source of the STUD HEIGHT: every B.O.D. callout on the sheet and the slope of the bay between grids B and A (1/4" per foot).</t>
        </is>
      </c>
      <c r="F413" s="46" t="inlineStr">
        <is>
          <t>stud_height</t>
        </is>
      </c>
      <c r="G413" s="46" t="inlineStr">
        <is>
          <t>S2.20: zona entre eje B y eje A, B.O.D.</t>
        </is>
      </c>
    </row>
    <row r="414" ht="33" customHeight="1" s="36">
      <c r="A414" s="59" t="n"/>
      <c r="B414" s="58" t="n">
        <v>5</v>
      </c>
      <c r="C414" s="44" t="inlineStr">
        <is>
          <t>1/A12.01</t>
        </is>
      </c>
      <c r="D414" s="59" t="inlineStr">
        <is>
          <t>Dimension</t>
        </is>
      </c>
      <c r="E414" s="46" t="inlineStr">
        <is>
          <t>"PARTITION TYPE B, B2". Stud, layers per face, wall thickness and sealant of types B and B2. On a B wall it is the source; on an A1 wall it enters as a CONTRAST (B does label sealant top AND bottom, A1 only at the bottom).</t>
        </is>
      </c>
      <c r="F414" s="46" t="inlineStr">
        <is>
          <t>BOARD, CEMENT_BOARD, SEALANT, STUD, TRACK_BOTTOM, TRACK_TOP, excluded.INSULATION, face[0].board_height, face[1].board_height</t>
        </is>
      </c>
      <c r="G414" s="46" t="inlineStr">
        <is>
          <t>1/A12.01 PARTITION TYPE B, B2: el board sube a la UNDERSIDE OF STRUCTURE en las DOS faces, con CONT ACOUS SEALANT arriba y abajo.</t>
        </is>
      </c>
    </row>
    <row r="415" ht="25.5" customHeight="1" s="36">
      <c r="A415" s="59" t="n"/>
      <c r="B415" s="58" t="n">
        <v>6</v>
      </c>
      <c r="C415" s="44" t="inlineStr">
        <is>
          <t>3/A12.01</t>
        </is>
      </c>
      <c r="D415" s="59" t="inlineStr">
        <is>
          <t>Dimension</t>
        </is>
      </c>
      <c r="E415" s="46" t="inlineStr">
        <is>
          <t>"PARTITION TYPE A1 &amp; A5". 3 5/8" stud, layers per face, WALL THICKNESS 4 7/8", slip track at the top, acoustic sealant at the slab and the 6" of board above the scheduled ceiling.</t>
        </is>
      </c>
      <c r="F415" s="46" t="inlineStr">
        <is>
          <t>face[0].board_height, face[1].board_height</t>
        </is>
      </c>
      <c r="G415" s="46" t="inlineStr">
        <is>
          <t>No hay dimension de 6" sobre ceiling como en 3/A12.01 (A1 &amp; A5).</t>
        </is>
      </c>
    </row>
    <row r="416" ht="33" customHeight="1" s="36">
      <c r="A416" s="59" t="n"/>
      <c r="B416" s="58" t="n">
        <v>7</v>
      </c>
      <c r="C416" s="44" t="inlineStr">
        <is>
          <t>1/S5.20</t>
        </is>
      </c>
      <c r="D416" s="59" t="inlineStr">
        <is>
          <t>Quantity</t>
        </is>
      </c>
      <c r="E416" s="46" t="inlineStr">
        <is>
          <t>"TYPICAL WALL FRAMING DETAILS". Holds sub-details A through F; sub-detail F "BRIDGING AND BRACING - CONTINUOUS BRIDGING" is the bracing one: 1 1/2" C.R. CHANNEL welded to every stud. (Bracing is NOT in 5/S5.20, which is TYPICAL WALL FRAMING CONNX.)</t>
        </is>
      </c>
      <c r="F416" s="46" t="inlineStr">
        <is>
          <t>BRACING, excluded.CLIPS</t>
        </is>
      </c>
      <c r="G416" s="46" t="inlineStr">
        <is>
          <t>1/S5.20 sub-detalle F BRIDGING AND BRACING - CONTINUOUS BRIDGING sets the 1 1/2 in C.R.</t>
        </is>
      </c>
    </row>
    <row r="417" ht="33" customHeight="1" s="36">
      <c r="A417" s="59" t="n"/>
      <c r="B417" s="58" t="n">
        <v>8</v>
      </c>
      <c r="C417" s="44" t="inlineStr">
        <is>
          <t>4/S5.20</t>
        </is>
      </c>
      <c r="D417" s="59" t="inlineStr">
        <is>
          <t>Quantity</t>
        </is>
      </c>
      <c r="E417" s="46" t="inlineStr">
        <is>
          <t>"TYPICAL BLOCKING DETAIL". STUD BLOCKING 362CR22 and CLIP ANGLE 362CR22, with the boxed verbatim note "PROVIDE BLOCKING AT THE EDGE OF GYPBOARD." - source of the blocking at EVERY free edge of board.</t>
        </is>
      </c>
      <c r="F417" s="46" t="inlineStr">
        <is>
          <t>BLOCKING</t>
        </is>
      </c>
      <c r="G417" s="46" t="inlineStr">
        <is>
          <t>The piece is defined by 4/S5.20 TYPICAL BLOCKING DETAIL, which labels STUD BLOCKING 362CR22 and CLIP ANGLE: 362CR22 &amp; BLOCKING W/ SCREWS.</t>
        </is>
      </c>
    </row>
    <row r="418" ht="33" customHeight="1" s="36">
      <c r="A418" s="59" t="n"/>
      <c r="B418" s="58" t="n">
        <v>9</v>
      </c>
      <c r="C418" s="44" t="inlineStr">
        <is>
          <t>7/S5.20</t>
        </is>
      </c>
      <c r="D418" s="59" t="inlineStr">
        <is>
          <t>Quantity</t>
        </is>
      </c>
      <c r="E418" s="46" t="inlineStr">
        <is>
          <t>"METAL STUDS SCHEDULES". The profile: web, flange, lip, mils, gauge and the APPLICATION column with the spacing ("INTERIOR WALLS @ 16" O.C."), plus the SILL TRACK ANCHORAGE and the FASTENER SCHEDULE.</t>
        </is>
      </c>
      <c r="F418" s="46" t="inlineStr">
        <is>
          <t>STUD, TRACK_BOTTOM</t>
        </is>
      </c>
      <c r="G418" s="46" t="inlineStr">
        <is>
          <t>Metal Stud Schedule de 7/S5.20 METAL STUDS SCHEDULES: solo hay dos renglones de stud, 362S137-33 (3 5/8", APPLICATION INTERIOR WALLS @ 16" O.C.) y 600S137-33 (6", APPLICATION EXTERIOR WALLS @ 16" O.C.).</t>
        </is>
      </c>
    </row>
    <row r="419" ht="25.5" customHeight="1" s="36">
      <c r="A419" s="59" t="n"/>
      <c r="B419" s="58" t="n">
        <v>10</v>
      </c>
      <c r="C419" s="44" t="inlineStr">
        <is>
          <t>9/S5.20</t>
        </is>
      </c>
      <c r="D419" s="59" t="inlineStr">
        <is>
          <t>Quantity</t>
        </is>
      </c>
      <c r="E419" s="46" t="inlineStr">
        <is>
          <t>"OPNG IN NON-LOAD-BRG WALLS". The opening frame: DBL JAMB STUD (2 per jamb) and HEAD TRACK with the condition "DOUBLE TRACK @ OPNG &gt; 4'-0"".</t>
        </is>
      </c>
      <c r="F419" s="46" t="inlineStr">
        <is>
          <t>HEADER, STUD</t>
        </is>
      </c>
      <c r="G419" s="46" t="inlineStr">
        <is>
          <t>The frame comes from 9/S5.20 OPNG IN NON-LOAD-BRG WALLS, que rotula HEAD TRACK y DBL JAMB STUD</t>
        </is>
      </c>
    </row>
    <row r="420" ht="43.5" customHeight="1" s="36">
      <c r="A420" s="59" t="n"/>
      <c r="B420" s="58" t="n">
        <v>11</v>
      </c>
      <c r="C420" s="44" t="inlineStr">
        <is>
          <t>A09.01</t>
        </is>
      </c>
      <c r="D420" s="59" t="inlineStr">
        <is>
          <t>Exclusion</t>
        </is>
      </c>
      <c r="E420" s="46" t="inlineStr">
        <is>
          <t>Exterior Elevations: "SOUTH ELEVATION" and "WEST ELEVATION" at 1/4"=1'-0". Extent of each exterior material and the material legend, verbatim "CJ CONTROL JOINT; PAINT TO MATCH STUCCO FINISH COLOR" - that joint is the STUCCO joint, not gypsum.</t>
        </is>
      </c>
      <c r="F420" s="46" t="inlineStr">
        <is>
          <t>excluded.CONTROL_JOINT</t>
        </is>
      </c>
      <c r="G42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21" ht="25.5" customHeight="1" s="36">
      <c r="A421" s="59" t="n"/>
      <c r="B421" s="58" t="n">
        <v>12</v>
      </c>
      <c r="C421" s="44" t="inlineStr">
        <is>
          <t>A00.30</t>
        </is>
      </c>
      <c r="D421" s="59" t="inlineStr">
        <is>
          <t>Quantity</t>
        </is>
      </c>
      <c r="E421" s="46" t="inlineStr">
        <is>
          <t>Door Schedule. Leaf width and height of every door and the frame type: source of the header, the board deduction and the reference to 10 and 11/A12.02.</t>
        </is>
      </c>
      <c r="F421" s="46" t="inlineStr">
        <is>
          <t>BLOCKING, HEADER</t>
        </is>
      </c>
      <c r="G421" s="46" t="inlineStr">
        <is>
          <t>08 de A00.30 lista '1 EA WALL STOP WS407CCV 630 IVE'.</t>
        </is>
      </c>
    </row>
    <row r="422" ht="33" customHeight="1" s="36">
      <c r="A422" s="59" t="n"/>
      <c r="B422" s="58" t="n">
        <v>13</v>
      </c>
      <c r="C422" s="44" t="inlineStr">
        <is>
          <t>A09.27</t>
        </is>
      </c>
      <c r="D422" s="59" t="inlineStr">
        <is>
          <t>Exclusion</t>
        </is>
      </c>
      <c r="E422" s="46" t="inlineStr">
        <is>
          <t>Gypsum Section Details, the sheet. Cited as a sheet when the finding is that NO detail on it labels a gypsum control joint.</t>
        </is>
      </c>
      <c r="F422" s="46" t="inlineStr">
        <is>
          <t>excluded.CONTROL_JOINT</t>
        </is>
      </c>
      <c r="G422" s="46" t="inlineStr">
        <is>
          <t>El set no rotula ni detalla ninguna junta de control de gypsum board, ni en A12.01 ni en los detalles de A09.27/A09.33, y no hay seccion de especificaciones 09 29 00 en el bid set.</t>
        </is>
      </c>
    </row>
    <row r="423" ht="33" customHeight="1" s="36">
      <c r="A423" s="59" t="n"/>
      <c r="B423" s="58" t="n">
        <v>14</v>
      </c>
      <c r="C423" s="44" t="inlineStr">
        <is>
          <t>A09.33</t>
        </is>
      </c>
      <c r="D423" s="59" t="inlineStr">
        <is>
          <t>Exclusion</t>
        </is>
      </c>
      <c r="E423" s="46" t="inlineStr">
        <is>
          <t>Ceiling Details, the sheet. Cited as a sheet for a finding by ABSENCE: its details label corner bead, casing bead and shadow molding one by one and NONE labels a control joint, so the omission is not a labeling oversight.</t>
        </is>
      </c>
      <c r="F423" s="46" t="inlineStr">
        <is>
          <t>excluded.CONTROL_JOINT</t>
        </is>
      </c>
      <c r="G423" s="46" t="inlineStr">
        <is>
          <t>El set no rotula ni detalla ninguna junta de control de gypsum board, ni en A12.01 ni en los detalles de A09.27/A09.33, y no hay seccion de especificaciones 09 29 00 en el bid set.</t>
        </is>
      </c>
    </row>
    <row r="424" ht="33" customHeight="1" s="36">
      <c r="A424" s="44" t="inlineStr">
        <is>
          <t>B2K #31</t>
        </is>
      </c>
      <c r="B424" s="58" t="n">
        <v>1</v>
      </c>
      <c r="C424" s="44" t="inlineStr">
        <is>
          <t>A02.01</t>
        </is>
      </c>
      <c r="D424" s="59" t="inlineStr">
        <is>
          <t>Dimension</t>
        </is>
      </c>
      <c r="E424" s="46" t="inlineStr">
        <is>
          <t>Construction Plan. Entry sheet for partitions and openings: vector geometry of every wall face at 1/4"=1'-0", the leader of every partition tag, the Construction Plan Legend (new vs. existing) and the Construction Plan Notes.</t>
        </is>
      </c>
      <c r="F424" s="46" t="inlineStr">
        <is>
          <t>excluded.BLOCKING, excluded.HEADER, excluded.PATCH, length, scope[0].chain[1], scope[0].chain[2], scope[1].chain[1], scope[2].chain[1], stud_height</t>
        </is>
      </c>
      <c r="G424" s="46" t="inlineStr">
        <is>
          <t>A02.01 vector geometry: the two faces are at y=1106.52 and y=1118.04 (lw 1.20), a measured thickness of 11.52 pt = 7.68" against the 7 5/8" derived for this type.</t>
        </is>
      </c>
    </row>
    <row r="425" ht="25.5" customHeight="1" s="36">
      <c r="A425" s="59" t="n"/>
      <c r="B425" s="58" t="n">
        <v>2</v>
      </c>
      <c r="C425" s="44" t="inlineStr">
        <is>
          <t>S2.20</t>
        </is>
      </c>
      <c r="D425" s="59" t="inlineStr">
        <is>
          <t>Dimension</t>
        </is>
      </c>
      <c r="E425" s="46" t="inlineStr">
        <is>
          <t>"ROOF FRAMING PLAN". Source of the STUD HEIGHT: every B.O.D. callout on the sheet and the slope of the bay between grids B and A (1/4" per foot).</t>
        </is>
      </c>
      <c r="F425" s="46" t="inlineStr">
        <is>
          <t>face[0].board_height, face[1].board_height, stud_height</t>
        </is>
      </c>
      <c r="G425" s="46" t="inlineStr">
        <is>
          <t>elevation of S2.20 minus the T/SLAB datum; 4/A12.01 PARTITION TYPE A1K &amp; A5K gives the RULE (to underside of structure), not the number.</t>
        </is>
      </c>
    </row>
    <row r="426" ht="33" customHeight="1" s="36">
      <c r="A426" s="59" t="n"/>
      <c r="B426" s="58" t="n">
        <v>3</v>
      </c>
      <c r="C426" s="44" t="inlineStr">
        <is>
          <t>4/A12.01</t>
        </is>
      </c>
      <c r="D426" s="59" t="inlineStr">
        <is>
          <t>Dimension</t>
        </is>
      </c>
      <c r="E426" s="46" t="inlineStr">
        <is>
          <t>"PARTITION TYPE A1K &amp; A5K". The K types. On an A1 wall it enters as a CONTRAST: detail 4 calls for 14 GA @ 24" O.C. MAX in its own note and detail 3 does not, so on the A1 the 7/S5.20 schedule governs.</t>
        </is>
      </c>
      <c r="F426" s="46" t="inlineStr">
        <is>
          <t>BOARD, BOARD_3_8, FIBERGLASS_UL752, SEALANT, STUD, TRACK_BOTTOM, TRACK_TOP, TRIM_CASING, excluded.INSULATION, face[0].board_height, face[1].board_height, scope[0].chain[0], scope[0].chain[1], scope[1].chain[0]</t>
        </is>
      </c>
      <c r="G426" s="46" t="inlineStr">
        <is>
          <t>4/A12.01 PARTITION TYPE A1K &amp; A5K: board runs to the UNDERSIDE OF STRUCTURE ABOVE with CONTINUOUS SLIP TRACK and CONTINUOUS ACOUSTICAL SEALANT top and bottom, so board height = stud height.</t>
        </is>
      </c>
    </row>
    <row r="427" ht="33" customHeight="1" s="36">
      <c r="A427" s="59" t="n"/>
      <c r="B427" s="58" t="n">
        <v>4</v>
      </c>
      <c r="C427" s="44" t="inlineStr">
        <is>
          <t>1/S5.20</t>
        </is>
      </c>
      <c r="D427" s="59" t="inlineStr">
        <is>
          <t>Quantity</t>
        </is>
      </c>
      <c r="E427" s="46" t="inlineStr">
        <is>
          <t>"TYPICAL WALL FRAMING DETAILS". Holds sub-details A through F; sub-detail F "BRIDGING AND BRACING - CONTINUOUS BRIDGING" is the bracing one: 1 1/2" C.R. CHANNEL welded to every stud. (Bracing is NOT in 5/S5.20, which is TYPICAL WALL FRAMING CONNX.)</t>
        </is>
      </c>
      <c r="F427" s="46" t="inlineStr">
        <is>
          <t>BRACING, excluded.CLIPS</t>
        </is>
      </c>
      <c r="G427" s="46" t="inlineStr">
        <is>
          <t>1/S5.20 sub-detail F "BRIDGING AND BRACING - CONTINUOUS BRIDGING" sets the 1 1/2" C.R.</t>
        </is>
      </c>
    </row>
    <row r="428" ht="33" customHeight="1" s="36">
      <c r="A428" s="59" t="n"/>
      <c r="B428" s="58" t="n">
        <v>5</v>
      </c>
      <c r="C428" s="44" t="inlineStr">
        <is>
          <t>4/S5.20</t>
        </is>
      </c>
      <c r="D428" s="59" t="inlineStr">
        <is>
          <t>Exclusion</t>
        </is>
      </c>
      <c r="E428" s="46" t="inlineStr">
        <is>
          <t>"TYPICAL BLOCKING DETAIL". STUD BLOCKING 362CR22 and CLIP ANGLE 362CR22, with the boxed verbatim note "PROVIDE BLOCKING AT THE EDGE OF GYPBOARD." - source of the blocking at EVERY free edge of board.</t>
        </is>
      </c>
      <c r="F428" s="46" t="inlineStr">
        <is>
          <t>excluded.BLOCKING</t>
        </is>
      </c>
      <c r="G428" s="46" t="inlineStr">
        <is>
          <t>And the free edge rule of 4/S5.20 does not apply either: both faces run to the top track, which is itself the support of the board edge, so there is no free edge of gypboard here.</t>
        </is>
      </c>
    </row>
    <row r="429" ht="87.75" customHeight="1" s="36">
      <c r="A429" s="59" t="n"/>
      <c r="B429" s="58" t="n">
        <v>6</v>
      </c>
      <c r="C429" s="44" t="inlineStr">
        <is>
          <t>5/S5.20</t>
        </is>
      </c>
      <c r="D429" s="59" t="inlineStr">
        <is>
          <t>Quantity</t>
        </is>
      </c>
      <c r="E429" s="46" t="inlineStr">
        <is>
          <t>"TYPICAL WALL FRAMING CONNX", NTS. OPENED 10-oct-2026, the first of the unswept details to be read. Three sub-details: WALL INTERSECTION FRAMING, INTERIOR CORNER FRAMING and EXTERIOR CORNER FRAMING. What it settles: at an intersection the TWO extra studs go in the THROUGH wall, and the wall that dies against it screws to them with 3/4"-#10 PAN HEAD TEK SCREW @ 24" O.C. (TYP.) without carrying a stud of its own for that end. It governs the interior partitions because the corner and intersection sub-details of 1/S5.20 are labelled LOAD-BEARING WALL and ours are non-load-bearing. It is the source of the rule in adenda v43 and of verif_studs_adicionales.</t>
        </is>
      </c>
      <c r="F429" s="46" t="inlineStr">
        <is>
          <t>STUD</t>
        </is>
      </c>
      <c r="G429" s="46" t="inlineStr">
        <is>
          <t>5/S5.20 WALL INTERSECTION FRAMING only puts the two extra studs in the THROUGH wall, so an end that dies against another partition takes none -- this one is a free end, and it does.</t>
        </is>
      </c>
    </row>
    <row r="430" ht="33" customHeight="1" s="36">
      <c r="A430" s="59" t="n"/>
      <c r="B430" s="58" t="n">
        <v>7</v>
      </c>
      <c r="C430" s="44" t="inlineStr">
        <is>
          <t>7/S5.20</t>
        </is>
      </c>
      <c r="D430" s="59" t="inlineStr">
        <is>
          <t>Quantity</t>
        </is>
      </c>
      <c r="E430" s="46" t="inlineStr">
        <is>
          <t>"METAL STUDS SCHEDULES". The profile: web, flange, lip, mils, gauge and the APPLICATION column with the spacing ("INTERIOR WALLS @ 16" O.C."), plus the SILL TRACK ANCHORAGE and the FASTENER SCHEDULE.</t>
        </is>
      </c>
      <c r="F430" s="46" t="inlineStr">
        <is>
          <t>BRACING, STUD, TRACK_BOTTOM, TRACK_TOP, excluded.CLIPS</t>
        </is>
      </c>
      <c r="G430" s="46" t="inlineStr">
        <is>
          <t>CHANNEL welded to every stud; the spacing comes from 7/S5.20.</t>
        </is>
      </c>
    </row>
    <row r="431" ht="43.5" customHeight="1" s="36">
      <c r="A431" s="59" t="n"/>
      <c r="B431" s="58" t="n">
        <v>8</v>
      </c>
      <c r="C431" s="44" t="inlineStr">
        <is>
          <t>A09.01</t>
        </is>
      </c>
      <c r="D431" s="59" t="inlineStr">
        <is>
          <t>Exclusion</t>
        </is>
      </c>
      <c r="E431" s="46" t="inlineStr">
        <is>
          <t>Exterior Elevations: "SOUTH ELEVATION" and "WEST ELEVATION" at 1/4"=1'-0". Extent of each exterior material and the material legend, verbatim "CJ CONTROL JOINT; PAINT TO MATCH STUCCO FINISH COLOR" - that joint is the STUCCO joint, not gypsum.</t>
        </is>
      </c>
      <c r="F431" s="46" t="inlineStr">
        <is>
          <t>excluded.CONTROL_JOINT</t>
        </is>
      </c>
      <c r="G43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32" ht="33" customHeight="1" s="36">
      <c r="A432" s="59" t="n"/>
      <c r="B432" s="58" t="n">
        <v>9</v>
      </c>
      <c r="C432" s="44" t="inlineStr">
        <is>
          <t>A00.30</t>
        </is>
      </c>
      <c r="D432" s="59" t="inlineStr">
        <is>
          <t>Exclusion</t>
        </is>
      </c>
      <c r="E432" s="46" t="inlineStr">
        <is>
          <t>Door Schedule. Leaf width and height of every door and the frame type: source of the header, the board deduction and the reference to 10 and 11/A12.02.</t>
        </is>
      </c>
      <c r="F432" s="46" t="inlineStr">
        <is>
          <t>excluded.HEADER</t>
        </is>
      </c>
      <c r="G432" s="46" t="inlineStr">
        <is>
          <t>The 1.26 ft run where both faces coexist (x=1631.28 to x=1653.96 on A02.01) is continuous: no gap and no intermediate jamb in the geometry, and the Door Schedule of A00.30 places no door on this band.</t>
        </is>
      </c>
    </row>
    <row r="433" ht="33" customHeight="1" s="36">
      <c r="A433" s="59" t="n"/>
      <c r="B433" s="58" t="n">
        <v>10</v>
      </c>
      <c r="C433" s="44" t="inlineStr">
        <is>
          <t>A09.27</t>
        </is>
      </c>
      <c r="D433" s="59" t="inlineStr">
        <is>
          <t>Exclusion</t>
        </is>
      </c>
      <c r="E433" s="46" t="inlineStr">
        <is>
          <t>Gypsum Section Details, the sheet. Cited as a sheet when the finding is that NO detail on it labels a gypsum control joint.</t>
        </is>
      </c>
      <c r="F433" s="46" t="inlineStr">
        <is>
          <t>excluded.CONTROL_JOINT</t>
        </is>
      </c>
      <c r="G433" s="46" t="inlineStr">
        <is>
          <t>El set no rotula ni detalla ninguna junta de control de gypsum board, ni en A12.01 ni en los detalles de A09.27/A09.33, y no hay seccion de especificaciones 09 29 00 en el bid set.</t>
        </is>
      </c>
    </row>
    <row r="434" ht="33" customHeight="1" s="36">
      <c r="A434" s="59" t="n"/>
      <c r="B434" s="58" t="n">
        <v>11</v>
      </c>
      <c r="C434" s="44" t="inlineStr">
        <is>
          <t>A09.33</t>
        </is>
      </c>
      <c r="D434" s="59" t="inlineStr">
        <is>
          <t>Exclusion</t>
        </is>
      </c>
      <c r="E434" s="46" t="inlineStr">
        <is>
          <t>Ceiling Details, the sheet. Cited as a sheet for a finding by ABSENCE: its details label corner bead, casing bead and shadow molding one by one and NONE labels a control joint, so the omission is not a labeling oversight.</t>
        </is>
      </c>
      <c r="F434" s="46" t="inlineStr">
        <is>
          <t>excluded.CONTROL_JOINT</t>
        </is>
      </c>
      <c r="G434" s="46" t="inlineStr">
        <is>
          <t>El set no rotula ni detalla ninguna junta de control de gypsum board, ni en A12.01 ni en los detalles de A09.27/A09.33, y no hay seccion de especificaciones 09 29 00 en el bid set.</t>
        </is>
      </c>
    </row>
    <row r="435" ht="33" customHeight="1" s="36">
      <c r="A435" s="59" t="n"/>
      <c r="B435" s="58" t="n">
        <v>12</v>
      </c>
      <c r="C435" s="44" t="inlineStr">
        <is>
          <t>E02.01</t>
        </is>
      </c>
      <c r="D435" s="59" t="inlineStr">
        <is>
          <t>Scope</t>
        </is>
      </c>
      <c r="E435" s="46" t="inlineStr">
        <is>
          <t>"FLOOR PLAN - LIGHTING" at 1/4"=1'-0". Light fixtures and their framing: crossed against every wall and ceiling to locate penetrations and openings.</t>
        </is>
      </c>
      <c r="F435" s="46" t="inlineStr">
        <is>
          <t>scope[2].chain[0], scope[2].chain[1]</t>
        </is>
      </c>
      <c r="G435" s="46" t="inlineStr">
        <is>
          <t>Crossing verified geometrically with the register derived from the architectural background: M01.01 +571.92/-21.84, P01.01 -808.69/+1030.43, P01.02 -808.63/+1030.44, E02.01 +716.40/-141.36.</t>
        </is>
      </c>
    </row>
    <row r="436" ht="33" customHeight="1" s="36">
      <c r="A436" s="59" t="n"/>
      <c r="B436" s="58" t="n">
        <v>13</v>
      </c>
      <c r="C436" s="44" t="inlineStr">
        <is>
          <t>M01.01</t>
        </is>
      </c>
      <c r="D436" s="59" t="inlineStr">
        <is>
          <t>Scope</t>
        </is>
      </c>
      <c r="E436" s="46" t="inlineStr">
        <is>
          <t>Mechanical Floor Plan at 1/4"=1'-0". Swept across the WHOLE band of each wall, opening included, to locate and measure every duct penetration.</t>
        </is>
      </c>
      <c r="F436" s="46" t="inlineStr">
        <is>
          <t>scope[2].chain[0], scope[2].chain[1]</t>
        </is>
      </c>
      <c r="G436" s="46" t="inlineStr">
        <is>
          <t>Crossing verified geometrically with the register derived from the architectural background: M01.01 +571.92/-21.84, P01.01 -808.69/+1030.43, P01.02 -808.63/+1030.44, E02.01 +716.40/-141.36.</t>
        </is>
      </c>
    </row>
    <row r="437" ht="33" customHeight="1" s="36">
      <c r="A437" s="59" t="n"/>
      <c r="B437" s="58" t="n">
        <v>14</v>
      </c>
      <c r="C437" s="44" t="inlineStr">
        <is>
          <t>P01.01</t>
        </is>
      </c>
      <c r="D437" s="59" t="inlineStr">
        <is>
          <t>Scope</t>
        </is>
      </c>
      <c r="E437" s="46" t="inlineStr">
        <is>
          <t>"PLUMBING PLAN SANITARY" at 1/4"=1'-0". Crossed against every wall: on new construction the MEP goes in before the board, hence no patch.</t>
        </is>
      </c>
      <c r="F437" s="46" t="inlineStr">
        <is>
          <t>scope[2].chain[0], scope[2].chain[1]</t>
        </is>
      </c>
      <c r="G437" s="46" t="inlineStr">
        <is>
          <t>Crossing verified geometrically with the register derived from the architectural background: M01.01 +571.92/-21.84, P01.01 -808.69/+1030.43, P01.02 -808.63/+1030.44, E02.01 +716.40/-141.36.</t>
        </is>
      </c>
    </row>
    <row r="438" ht="33" customHeight="1" s="36">
      <c r="A438" s="59" t="n"/>
      <c r="B438" s="58" t="n">
        <v>15</v>
      </c>
      <c r="C438" s="44" t="inlineStr">
        <is>
          <t>P01.02</t>
        </is>
      </c>
      <c r="D438" s="59" t="inlineStr">
        <is>
          <t>Scope</t>
        </is>
      </c>
      <c r="E438" s="46" t="inlineStr">
        <is>
          <t>"PLUMBING PLAN SUPPLY" at 1/4"=1'-0". The same cross-check for the supply piping.</t>
        </is>
      </c>
      <c r="F438" s="46" t="inlineStr">
        <is>
          <t>scope[2].chain[0], scope[2].chain[1]</t>
        </is>
      </c>
      <c r="G438" s="46" t="inlineStr">
        <is>
          <t>Crossing verified geometrically with the register derived from the architectural background: M01.01 +571.92/-21.84, P01.01 -808.69/+1030.43, P01.02 -808.63/+1030.44, E02.01 +716.40/-141.36.</t>
        </is>
      </c>
    </row>
    <row r="439" ht="33" customHeight="1" s="36">
      <c r="A439" s="44" t="inlineStr">
        <is>
          <t>BULKHEAD-G #54</t>
        </is>
      </c>
      <c r="B439" s="58" t="n">
        <v>1</v>
      </c>
      <c r="C439" s="44" t="inlineStr">
        <is>
          <t>A02.01</t>
        </is>
      </c>
      <c r="D439" s="59" t="inlineStr">
        <is>
          <t>Dimension</t>
        </is>
      </c>
      <c r="E439" s="46" t="inlineStr">
        <is>
          <t>Construction Plan. Entry sheet for partitions and openings: vector geometry of every wall face at 1/4"=1'-0", the leader of every partition tag, the Construction Plan Legend (new vs. existing) and the Construction Plan Notes.</t>
        </is>
      </c>
      <c r="F439" s="46" t="inlineStr">
        <is>
          <t>length, scope[0].chain[1]</t>
        </is>
      </c>
      <c r="G439" s="46" t="inlineStr">
        <is>
          <t>A02.01 dimension impresa "7'-6" HOLD CLEAR FINISHED OPENING" en cada opening, verificada en planta: cada opening mide 135.00 pt / 18 = 7.500 ft clavado.</t>
        </is>
      </c>
    </row>
    <row r="440" ht="25.5" customHeight="1" s="36">
      <c r="A440" s="59" t="n"/>
      <c r="B440" s="58" t="n">
        <v>2</v>
      </c>
      <c r="C440" s="44" t="inlineStr">
        <is>
          <t>S2.20</t>
        </is>
      </c>
      <c r="D440" s="59" t="inlineStr">
        <is>
          <t>Dimension</t>
        </is>
      </c>
      <c r="E440" s="46" t="inlineStr">
        <is>
          <t>"ROOF FRAMING PLAN". Source of the STUD HEIGHT: every B.O.D. callout on the sheet and the slope of the bay between grids B and A (1/4" per foot).</t>
        </is>
      </c>
      <c r="F440" s="46" t="inlineStr">
        <is>
          <t>face[0].board_height, face[1].board_height, scope[1].chain[1], stud_height</t>
        </is>
      </c>
      <c r="G440" s="46" t="inlineStr">
        <is>
          <t>15.375 ft (S2.20, NO SLOPE) menos el tope del office front 8.042 ft (7/A11.01 "8'-0 1/2" HOLD.</t>
        </is>
      </c>
    </row>
    <row r="441" ht="25.5" customHeight="1" s="36">
      <c r="A441" s="59" t="n"/>
      <c r="B441" s="58" t="n">
        <v>3</v>
      </c>
      <c r="C441" s="44" t="inlineStr">
        <is>
          <t>7/A11.01</t>
        </is>
      </c>
      <c r="D441" s="59" t="inlineStr">
        <is>
          <t>Dimension</t>
        </is>
      </c>
      <c r="E441" s="46" t="inlineStr">
        <is>
          <t>"CENTRAL ZONE - EAST". What hangs on that face and its finish height.</t>
        </is>
      </c>
      <c r="F441" s="46" t="inlineStr">
        <is>
          <t>face[0].board_height, face[1].board_height, scope[1].chain[0], stud_height</t>
        </is>
      </c>
      <c r="G441" s="46" t="inlineStr">
        <is>
          <t>15.375 ft (S2.20, NO SLOPE) menos el tope del office front 8.042 ft (7/A11.01 "8'-0 1/2" HOLD.</t>
        </is>
      </c>
    </row>
    <row r="442" ht="25.5" customHeight="1" s="36">
      <c r="A442" s="59" t="n"/>
      <c r="B442" s="58" t="n">
        <v>4</v>
      </c>
      <c r="C442" s="44" t="inlineStr">
        <is>
          <t>9/A12.01</t>
        </is>
      </c>
      <c r="D442" s="59" t="inlineStr">
        <is>
          <t>Quantity</t>
        </is>
      </c>
      <c r="E442" s="46" t="inlineStr">
        <is>
          <t>Bulkhead detail on A12.01. Bulkhead framing: stud, board and closure.</t>
        </is>
      </c>
      <c r="F442" s="46" t="inlineStr">
        <is>
          <t>BLOCKING, BOARD, BOX_BEAM, BRACING, CORNER_BEAD, SEALANT, SHADOW_MOLDING, TRACK_BOTTOM, TRACK_TOP, excluded.HEADER, excluded.INSULATION, scope[0].chain[0]</t>
        </is>
      </c>
      <c r="G442" s="46" t="inlineStr">
        <is>
          <t>Medido en 9/A12.01 y 462.72-&gt;476.16 = 13.44 pt = 0.747" = 3/4" exacto</t>
        </is>
      </c>
    </row>
    <row r="443" ht="33" customHeight="1" s="36">
      <c r="A443" s="59" t="n"/>
      <c r="B443" s="58" t="n">
        <v>5</v>
      </c>
      <c r="C443" s="44" t="inlineStr">
        <is>
          <t>1/S5.20</t>
        </is>
      </c>
      <c r="D443" s="59" t="inlineStr">
        <is>
          <t>Quantity</t>
        </is>
      </c>
      <c r="E443" s="46" t="inlineStr">
        <is>
          <t>"TYPICAL WALL FRAMING DETAILS". Holds sub-details A through F; sub-detail F "BRIDGING AND BRACING - CONTINUOUS BRIDGING" is the bracing one: 1 1/2" C.R. CHANNEL welded to every stud. (Bracing is NOT in 5/S5.20, which is TYPICAL WALL FRAMING CONNX.)</t>
        </is>
      </c>
      <c r="F443" s="46" t="inlineStr">
        <is>
          <t>BRACING</t>
        </is>
      </c>
      <c r="G443" s="46" t="inlineStr">
        <is>
          <t>El espaciamiento sale de 1/S5.20 sub-detalle F BRIDGING AND BRACING - CONTINUOUS BRIDGING; el stud del bulkhead es el de 9/A12.01 OFFICE BULKHEAD DETAIL @ GLASS PANEL.</t>
        </is>
      </c>
    </row>
    <row r="444" ht="33" customHeight="1" s="36">
      <c r="A444" s="59" t="n"/>
      <c r="B444" s="58" t="n">
        <v>6</v>
      </c>
      <c r="C444" s="44" t="inlineStr">
        <is>
          <t>7/S5.20</t>
        </is>
      </c>
      <c r="D444" s="59" t="inlineStr">
        <is>
          <t>Quantity</t>
        </is>
      </c>
      <c r="E444" s="46" t="inlineStr">
        <is>
          <t>"METAL STUDS SCHEDULES". The profile: web, flange, lip, mils, gauge and the APPLICATION column with the spacing ("INTERIOR WALLS @ 16" O.C."), plus the SILL TRACK ANCHORAGE and the FASTENER SCHEDULE.</t>
        </is>
      </c>
      <c r="F444" s="46" t="inlineStr">
        <is>
          <t>STUD, excluded.CLIPS</t>
        </is>
      </c>
      <c r="G444" s="46" t="inlineStr">
        <is>
          <t>de 7/S5.20 columna APPLICATION "INTERIOR WALLS @ 16" O.C.".</t>
        </is>
      </c>
    </row>
    <row r="445" ht="43.5" customHeight="1" s="36">
      <c r="A445" s="59" t="n"/>
      <c r="B445" s="58" t="n">
        <v>7</v>
      </c>
      <c r="C445" s="44" t="inlineStr">
        <is>
          <t>A09.01</t>
        </is>
      </c>
      <c r="D445" s="59" t="inlineStr">
        <is>
          <t>Exclusion</t>
        </is>
      </c>
      <c r="E445" s="46" t="inlineStr">
        <is>
          <t>Exterior Elevations: "SOUTH ELEVATION" and "WEST ELEVATION" at 1/4"=1'-0". Extent of each exterior material and the material legend, verbatim "CJ CONTROL JOINT; PAINT TO MATCH STUCCO FINISH COLOR" - that joint is the STUCCO joint, not gypsum.</t>
        </is>
      </c>
      <c r="F445" s="46" t="inlineStr">
        <is>
          <t>excluded.CONTROL_JOINT</t>
        </is>
      </c>
      <c r="G44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46" ht="25.5" customHeight="1" s="36">
      <c r="A446" s="59" t="n"/>
      <c r="B446" s="58" t="n">
        <v>8</v>
      </c>
      <c r="C446" s="44" t="inlineStr">
        <is>
          <t>A00.01</t>
        </is>
      </c>
      <c r="D446" s="59" t="inlineStr">
        <is>
          <t>Exclusion</t>
        </is>
      </c>
      <c r="E446" s="46" t="inlineStr">
        <is>
          <t>Cover sheet and Drawing Index. Proof by ABSENCE: the index lists no interior Demolition Plan, which is why there is no patch-and-repair line item.</t>
        </is>
      </c>
      <c r="F446" s="46" t="inlineStr">
        <is>
          <t>excluded.PATCH</t>
        </is>
      </c>
      <c r="G446" s="46" t="inlineStr">
        <is>
          <t>Obra ground-up: el Drawing Index de A00.01 no trae Demolition Plan interior, asi que no hay superficie existente que parchear sobre estos office fronts.</t>
        </is>
      </c>
    </row>
    <row r="447" ht="33" customHeight="1" s="36">
      <c r="A447" s="59" t="n"/>
      <c r="B447" s="58" t="n">
        <v>9</v>
      </c>
      <c r="C447" s="44" t="inlineStr">
        <is>
          <t>A09.27</t>
        </is>
      </c>
      <c r="D447" s="59" t="inlineStr">
        <is>
          <t>Exclusion</t>
        </is>
      </c>
      <c r="E447" s="46" t="inlineStr">
        <is>
          <t>Gypsum Section Details, the sheet. Cited as a sheet when the finding is that NO detail on it labels a gypsum control joint.</t>
        </is>
      </c>
      <c r="F447" s="46" t="inlineStr">
        <is>
          <t>excluded.CONTROL_JOINT</t>
        </is>
      </c>
      <c r="G447" s="46" t="inlineStr">
        <is>
          <t>El set no rotula ni detalla ninguna junta de control de gypsum board, ni en A12.01 ni en los detalles de A09.27/A09.33, y no hay seccion de especificaciones 09 29 00 en el bid set.</t>
        </is>
      </c>
    </row>
    <row r="448" ht="33" customHeight="1" s="36">
      <c r="A448" s="59" t="n"/>
      <c r="B448" s="58" t="n">
        <v>10</v>
      </c>
      <c r="C448" s="44" t="inlineStr">
        <is>
          <t>A09.33</t>
        </is>
      </c>
      <c r="D448" s="59" t="inlineStr">
        <is>
          <t>Exclusion</t>
        </is>
      </c>
      <c r="E448" s="46" t="inlineStr">
        <is>
          <t>Ceiling Details, the sheet. Cited as a sheet for a finding by ABSENCE: its details label corner bead, casing bead and shadow molding one by one and NONE labels a control joint, so the omission is not a labeling oversight.</t>
        </is>
      </c>
      <c r="F448" s="46" t="inlineStr">
        <is>
          <t>excluded.CONTROL_JOINT</t>
        </is>
      </c>
      <c r="G448" s="46" t="inlineStr">
        <is>
          <t>El set no rotula ni detalla ninguna junta de control de gypsum board, ni en A12.01 ni en los detalles de A09.27/A09.33, y no hay seccion de especificaciones 09 29 00 en el bid set.</t>
        </is>
      </c>
    </row>
    <row r="449" ht="33" customHeight="1" s="36">
      <c r="A449" s="44" t="inlineStr">
        <is>
          <t>BULKHEAD-G #55</t>
        </is>
      </c>
      <c r="B449" s="58" t="n">
        <v>1</v>
      </c>
      <c r="C449" s="44" t="inlineStr">
        <is>
          <t>A02.01</t>
        </is>
      </c>
      <c r="D449" s="59" t="inlineStr">
        <is>
          <t>Dimension</t>
        </is>
      </c>
      <c r="E449" s="46" t="inlineStr">
        <is>
          <t>Construction Plan. Entry sheet for partitions and openings: vector geometry of every wall face at 1/4"=1'-0", the leader of every partition tag, the Construction Plan Legend (new vs. existing) and the Construction Plan Notes.</t>
        </is>
      </c>
      <c r="F449" s="46" t="inlineStr">
        <is>
          <t>length, scope[0].chain[1]</t>
        </is>
      </c>
      <c r="G449" s="46" t="inlineStr">
        <is>
          <t>A02.01 dimension impresa "7'-6" HOLD CLEAR FINISHED OPENING" en cada opening, verificada en planta: cada opening mide 135.00 pt / 18 = 7.500 ft clavado.</t>
        </is>
      </c>
    </row>
    <row r="450" ht="25.5" customHeight="1" s="36">
      <c r="A450" s="59" t="n"/>
      <c r="B450" s="58" t="n">
        <v>2</v>
      </c>
      <c r="C450" s="44" t="inlineStr">
        <is>
          <t>S2.20</t>
        </is>
      </c>
      <c r="D450" s="59" t="inlineStr">
        <is>
          <t>Dimension</t>
        </is>
      </c>
      <c r="E450" s="46" t="inlineStr">
        <is>
          <t>"ROOF FRAMING PLAN". Source of the STUD HEIGHT: every B.O.D. callout on the sheet and the slope of the bay between grids B and A (1/4" per foot).</t>
        </is>
      </c>
      <c r="F450" s="46" t="inlineStr">
        <is>
          <t>face[0].board_height, face[1].board_height, scope[1].chain[1], stud_height</t>
        </is>
      </c>
      <c r="G450" s="46" t="inlineStr">
        <is>
          <t>15.375 ft (S2.20, NO SLOPE) menos el tope del office front 8.042 ft (7/A11.01 "8'-0 1/2" HOLD.</t>
        </is>
      </c>
    </row>
    <row r="451" ht="25.5" customHeight="1" s="36">
      <c r="A451" s="59" t="n"/>
      <c r="B451" s="58" t="n">
        <v>3</v>
      </c>
      <c r="C451" s="44" t="inlineStr">
        <is>
          <t>7/A11.01</t>
        </is>
      </c>
      <c r="D451" s="59" t="inlineStr">
        <is>
          <t>Dimension</t>
        </is>
      </c>
      <c r="E451" s="46" t="inlineStr">
        <is>
          <t>"CENTRAL ZONE - EAST". What hangs on that face and its finish height.</t>
        </is>
      </c>
      <c r="F451" s="46" t="inlineStr">
        <is>
          <t>face[0].board_height, face[1].board_height, scope[1].chain[0], stud_height</t>
        </is>
      </c>
      <c r="G451" s="46" t="inlineStr">
        <is>
          <t>15.375 ft (S2.20, NO SLOPE) menos el tope del office front 8.042 ft (7/A11.01 "8'-0 1/2" HOLD.</t>
        </is>
      </c>
    </row>
    <row r="452" ht="25.5" customHeight="1" s="36">
      <c r="A452" s="59" t="n"/>
      <c r="B452" s="58" t="n">
        <v>4</v>
      </c>
      <c r="C452" s="44" t="inlineStr">
        <is>
          <t>9/A12.01</t>
        </is>
      </c>
      <c r="D452" s="59" t="inlineStr">
        <is>
          <t>Quantity</t>
        </is>
      </c>
      <c r="E452" s="46" t="inlineStr">
        <is>
          <t>Bulkhead detail on A12.01. Bulkhead framing: stud, board and closure.</t>
        </is>
      </c>
      <c r="F452" s="46" t="inlineStr">
        <is>
          <t>BLOCKING, BOARD, BOX_BEAM, BRACING, CORNER_BEAD, SEALANT, SHADOW_MOLDING, TRACK_BOTTOM, TRACK_TOP, excluded.HEADER, excluded.INSULATION, scope[0].chain[0]</t>
        </is>
      </c>
      <c r="G452" s="46" t="inlineStr">
        <is>
          <t>Medido en 9/A12.01 y 462.72-&gt;476.16 = 13.44 pt = 0.747" = 3/4" exacto</t>
        </is>
      </c>
    </row>
    <row r="453" ht="33" customHeight="1" s="36">
      <c r="A453" s="59" t="n"/>
      <c r="B453" s="58" t="n">
        <v>5</v>
      </c>
      <c r="C453" s="44" t="inlineStr">
        <is>
          <t>1/S5.20</t>
        </is>
      </c>
      <c r="D453" s="59" t="inlineStr">
        <is>
          <t>Quantity</t>
        </is>
      </c>
      <c r="E453" s="46" t="inlineStr">
        <is>
          <t>"TYPICAL WALL FRAMING DETAILS". Holds sub-details A through F; sub-detail F "BRIDGING AND BRACING - CONTINUOUS BRIDGING" is the bracing one: 1 1/2" C.R. CHANNEL welded to every stud. (Bracing is NOT in 5/S5.20, which is TYPICAL WALL FRAMING CONNX.)</t>
        </is>
      </c>
      <c r="F453" s="46" t="inlineStr">
        <is>
          <t>BRACING</t>
        </is>
      </c>
      <c r="G453" s="46" t="inlineStr">
        <is>
          <t>El espaciamiento sale de 1/S5.20 sub-detalle F BRIDGING AND BRACING - CONTINUOUS BRIDGING; el stud del bulkhead es el de 9/A12.01 OFFICE BULKHEAD DETAIL @ GLASS PANEL.</t>
        </is>
      </c>
    </row>
    <row r="454" ht="33" customHeight="1" s="36">
      <c r="A454" s="59" t="n"/>
      <c r="B454" s="58" t="n">
        <v>6</v>
      </c>
      <c r="C454" s="44" t="inlineStr">
        <is>
          <t>7/S5.20</t>
        </is>
      </c>
      <c r="D454" s="59" t="inlineStr">
        <is>
          <t>Quantity</t>
        </is>
      </c>
      <c r="E454" s="46" t="inlineStr">
        <is>
          <t>"METAL STUDS SCHEDULES". The profile: web, flange, lip, mils, gauge and the APPLICATION column with the spacing ("INTERIOR WALLS @ 16" O.C."), plus the SILL TRACK ANCHORAGE and the FASTENER SCHEDULE.</t>
        </is>
      </c>
      <c r="F454" s="46" t="inlineStr">
        <is>
          <t>STUD, excluded.CLIPS</t>
        </is>
      </c>
      <c r="G454" s="46" t="inlineStr">
        <is>
          <t>de 7/S5.20 columna APPLICATION "INTERIOR WALLS @ 16" O.C.".</t>
        </is>
      </c>
    </row>
    <row r="455" ht="43.5" customHeight="1" s="36">
      <c r="A455" s="59" t="n"/>
      <c r="B455" s="58" t="n">
        <v>7</v>
      </c>
      <c r="C455" s="44" t="inlineStr">
        <is>
          <t>A09.01</t>
        </is>
      </c>
      <c r="D455" s="59" t="inlineStr">
        <is>
          <t>Exclusion</t>
        </is>
      </c>
      <c r="E455" s="46" t="inlineStr">
        <is>
          <t>Exterior Elevations: "SOUTH ELEVATION" and "WEST ELEVATION" at 1/4"=1'-0". Extent of each exterior material and the material legend, verbatim "CJ CONTROL JOINT; PAINT TO MATCH STUCCO FINISH COLOR" - that joint is the STUCCO joint, not gypsum.</t>
        </is>
      </c>
      <c r="F455" s="46" t="inlineStr">
        <is>
          <t>excluded.CONTROL_JOINT</t>
        </is>
      </c>
      <c r="G45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56" ht="25.5" customHeight="1" s="36">
      <c r="A456" s="59" t="n"/>
      <c r="B456" s="58" t="n">
        <v>8</v>
      </c>
      <c r="C456" s="44" t="inlineStr">
        <is>
          <t>A00.01</t>
        </is>
      </c>
      <c r="D456" s="59" t="inlineStr">
        <is>
          <t>Exclusion</t>
        </is>
      </c>
      <c r="E456" s="46" t="inlineStr">
        <is>
          <t>Cover sheet and Drawing Index. Proof by ABSENCE: the index lists no interior Demolition Plan, which is why there is no patch-and-repair line item.</t>
        </is>
      </c>
      <c r="F456" s="46" t="inlineStr">
        <is>
          <t>excluded.PATCH</t>
        </is>
      </c>
      <c r="G456" s="46" t="inlineStr">
        <is>
          <t>Obra ground-up: el Drawing Index de A00.01 no trae Demolition Plan interior, asi que no hay superficie existente que parchear sobre estos office fronts.</t>
        </is>
      </c>
    </row>
    <row r="457" ht="33" customHeight="1" s="36">
      <c r="A457" s="59" t="n"/>
      <c r="B457" s="58" t="n">
        <v>9</v>
      </c>
      <c r="C457" s="44" t="inlineStr">
        <is>
          <t>A09.27</t>
        </is>
      </c>
      <c r="D457" s="59" t="inlineStr">
        <is>
          <t>Exclusion</t>
        </is>
      </c>
      <c r="E457" s="46" t="inlineStr">
        <is>
          <t>Gypsum Section Details, the sheet. Cited as a sheet when the finding is that NO detail on it labels a gypsum control joint.</t>
        </is>
      </c>
      <c r="F457" s="46" t="inlineStr">
        <is>
          <t>excluded.CONTROL_JOINT</t>
        </is>
      </c>
      <c r="G457" s="46" t="inlineStr">
        <is>
          <t>El set no rotula ni detalla ninguna junta de control de gypsum board, ni en A12.01 ni en los detalles de A09.27/A09.33, y no hay seccion de especificaciones 09 29 00 en el bid set.</t>
        </is>
      </c>
    </row>
    <row r="458" ht="33" customHeight="1" s="36">
      <c r="A458" s="59" t="n"/>
      <c r="B458" s="58" t="n">
        <v>10</v>
      </c>
      <c r="C458" s="44" t="inlineStr">
        <is>
          <t>A09.33</t>
        </is>
      </c>
      <c r="D458" s="59" t="inlineStr">
        <is>
          <t>Exclusion</t>
        </is>
      </c>
      <c r="E458" s="46" t="inlineStr">
        <is>
          <t>Ceiling Details, the sheet. Cited as a sheet for a finding by ABSENCE: its details label corner bead, casing bead and shadow molding one by one and NONE labels a control joint, so the omission is not a labeling oversight.</t>
        </is>
      </c>
      <c r="F458" s="46" t="inlineStr">
        <is>
          <t>excluded.CONTROL_JOINT</t>
        </is>
      </c>
      <c r="G458" s="46" t="inlineStr">
        <is>
          <t>El set no rotula ni detalla ninguna junta de control de gypsum board, ni en A12.01 ni en los detalles de A09.27/A09.33, y no hay seccion de especificaciones 09 29 00 en el bid set.</t>
        </is>
      </c>
    </row>
    <row r="459" ht="43.5" customHeight="1" s="36">
      <c r="A459" s="44" t="inlineStr">
        <is>
          <t>C1 #36</t>
        </is>
      </c>
      <c r="B459" s="58" t="n">
        <v>1</v>
      </c>
      <c r="C459" s="44" t="inlineStr">
        <is>
          <t>A02.01</t>
        </is>
      </c>
      <c r="D459" s="59" t="inlineStr">
        <is>
          <t>Dimension</t>
        </is>
      </c>
      <c r="E459" s="46" t="inlineStr">
        <is>
          <t>Construction Plan. Entry sheet for partitions and openings: vector geometry of every wall face at 1/4"=1'-0", the leader of every partition tag, the Construction Plan Legend (new vs. existing) and the Construction Plan Notes.</t>
        </is>
      </c>
      <c r="F459" s="46" t="inlineStr">
        <is>
          <t>BLOCKING, excluded.PATCH, length</t>
        </is>
      </c>
      <c r="G459" s="46" t="inlineStr">
        <is>
          <t>A02.01, printed dimension 10'-0" with its tick marks landing on the two ends of the C1 box (the thin rectangle that carries the C1 tag and key note 7, north of Calling Cubes 122), PLUS the printed dimension 8" that A02.01 puts on the return at the east end of that same box.</t>
        </is>
      </c>
    </row>
    <row r="460" ht="33" customHeight="1" s="36">
      <c r="A460" s="59" t="n"/>
      <c r="B460" s="58" t="n">
        <v>2</v>
      </c>
      <c r="C460" s="44" t="inlineStr">
        <is>
          <t>A04.01</t>
        </is>
      </c>
      <c r="D460" s="59" t="inlineStr">
        <is>
          <t>Dimension</t>
        </is>
      </c>
      <c r="E460" s="46" t="inlineStr">
        <is>
          <t>Reflected Ceiling Plan. Entry sheet for ceilings, soffits and canopy; on walls it gives the BOARD HEIGHT: each room ceiling tag with its printed A.F.F. dimension, plus the ceiling key notes.</t>
        </is>
      </c>
      <c r="F460" s="46" t="inlineStr">
        <is>
          <t>face[0].board_height, stud_height</t>
        </is>
      </c>
      <c r="G460" s="46" t="inlineStr">
        <is>
          <t>A04.01: ceiling of Central Zone 103, printed dimension on the RCP; the board of the furring runs to it.</t>
        </is>
      </c>
    </row>
    <row r="461" ht="87.75" customHeight="1" s="36">
      <c r="A461" s="59" t="n"/>
      <c r="B461" s="58" t="n">
        <v>3</v>
      </c>
      <c r="C461" s="44" t="inlineStr">
        <is>
          <t>2/A12.01</t>
        </is>
      </c>
      <c r="D461" s="59" t="inlineStr">
        <is>
          <t>Exclusion</t>
        </is>
      </c>
      <c r="E461"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61" s="46" t="inlineStr">
        <is>
          <t>excluded.BOARD</t>
        </is>
      </c>
      <c r="G461"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2" ht="43.5" customHeight="1" s="36">
      <c r="A462" s="59" t="n"/>
      <c r="B462" s="58" t="n">
        <v>4</v>
      </c>
      <c r="C462" s="44" t="inlineStr">
        <is>
          <t>3/A12.01</t>
        </is>
      </c>
      <c r="D462" s="59" t="inlineStr">
        <is>
          <t>Exclusion</t>
        </is>
      </c>
      <c r="E462" s="46" t="inlineStr">
        <is>
          <t>"PARTITION TYPE A1 &amp; A5". 3 5/8" stud, layers per face, WALL THICKNESS 4 7/8", slip track at the top, acoustic sealant at the slab and the 6" of board above the scheduled ceiling.</t>
        </is>
      </c>
      <c r="F462" s="46" t="inlineStr">
        <is>
          <t>excluded.BOARD</t>
        </is>
      </c>
      <c r="G462"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3" ht="54.75" customHeight="1" s="36">
      <c r="A463" s="59" t="n"/>
      <c r="B463" s="58" t="n">
        <v>5</v>
      </c>
      <c r="C463" s="44" t="inlineStr">
        <is>
          <t>6/A12.01</t>
        </is>
      </c>
      <c r="D463" s="59" t="inlineStr">
        <is>
          <t>Dimension</t>
        </is>
      </c>
      <c r="E463"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63" s="46" t="inlineStr">
        <is>
          <t>BOARD, TRACK_TOP, excluded.BOARD, excluded.HEADER, excluded.INSULATION, excluded.SEALANT, length, stud_height</t>
        </is>
      </c>
      <c r="G463" s="46" t="inlineStr">
        <is>
          <t>Backing detail: 6/A12.01 PARTITION TYPE C1.</t>
        </is>
      </c>
    </row>
    <row r="464" ht="43.5" customHeight="1" s="36">
      <c r="A464" s="59" t="n"/>
      <c r="B464" s="58" t="n">
        <v>6</v>
      </c>
      <c r="C464" s="44" t="inlineStr">
        <is>
          <t>12/A12.01</t>
        </is>
      </c>
      <c r="D464" s="59" t="inlineStr">
        <is>
          <t>Exclusion</t>
        </is>
      </c>
      <c r="E464" s="46" t="inlineStr">
        <is>
          <t>"PARTITION TYPE F". Stud and board of type F.</t>
        </is>
      </c>
      <c r="F464" s="46" t="inlineStr">
        <is>
          <t>excluded.BOARD</t>
        </is>
      </c>
      <c r="G464"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5" ht="43.5" customHeight="1" s="36">
      <c r="A465" s="59" t="n"/>
      <c r="B465" s="58" t="n">
        <v>7</v>
      </c>
      <c r="C465" s="44" t="inlineStr">
        <is>
          <t>A09.01</t>
        </is>
      </c>
      <c r="D465" s="59" t="inlineStr">
        <is>
          <t>Exclusion</t>
        </is>
      </c>
      <c r="E465" s="46" t="inlineStr">
        <is>
          <t>Exterior Elevations: "SOUTH ELEVATION" and "WEST ELEVATION" at 1/4"=1'-0". Extent of each exterior material and the material legend, verbatim "CJ CONTROL JOINT; PAINT TO MATCH STUCCO FINISH COLOR" - that joint is the STUCCO joint, not gypsum.</t>
        </is>
      </c>
      <c r="F465" s="46" t="inlineStr">
        <is>
          <t>excluded.CONTROL_JOINT</t>
        </is>
      </c>
      <c r="G46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66" ht="43.5" customHeight="1" s="36">
      <c r="A466" s="59" t="n"/>
      <c r="B466" s="58" t="n">
        <v>8</v>
      </c>
      <c r="C466" s="44" t="inlineStr">
        <is>
          <t>9/A12.02</t>
        </is>
      </c>
      <c r="D466" s="59" t="inlineStr">
        <is>
          <t>Quantity</t>
        </is>
      </c>
      <c r="E466" s="46" t="inlineStr">
        <is>
          <t>"ELECTRICAL CABLES. CHIEF LSTU FIXED WALL DISPLAY SAMSUNG". The mount of the 85" display: it is what the blocking has to carry, and it is by others. Cited together with 13/A12.02 for the monitor blocking.</t>
        </is>
      </c>
      <c r="F466" s="46" t="inlineStr">
        <is>
          <t>BLOCKING</t>
        </is>
      </c>
      <c r="G466" s="46" t="inlineStr">
        <is>
          <t>COORDINATE WITH ELECTRICAL." The monitor is drawn in 13/A12.02 ENLARGED ELEVATION @ 85" MONITOR - MEDIA (1/2"=1'-0"), and 9/A12.02 draws its CHIEF LSTU FIXED WALL DISPLAY mount: 3/4" FRT plywood blocking in line with the metal studs, 1 run the length of the FRONT face only = 10.00 LF (el monitor cuelga del frente; los…</t>
        </is>
      </c>
    </row>
    <row r="467" ht="54.75" customHeight="1" s="36">
      <c r="A467" s="59" t="n"/>
      <c r="B467" s="58" t="n">
        <v>9</v>
      </c>
      <c r="C467" s="44" t="inlineStr">
        <is>
          <t>13/A12.02</t>
        </is>
      </c>
      <c r="D467" s="59" t="inlineStr">
        <is>
          <t>Quantity</t>
        </is>
      </c>
      <c r="E467" s="46" t="inlineStr">
        <is>
          <t>"ENLARGED ELEVATION @ 85" MONITOR - MEDIA" at 1/2"=1'-0". It draws the 85" display and its height on the wall, which is what locates the 3/4" FRT plywood blocking that key note 7 of A02.01 asks for. NOTE: there is no detail 7 on A12.02 -- the sheet runs 1 to 6 and 9 to 16. A citation "7/A12.02" is key note 7 of A02.01 confused with a detail number, and the citation gate caught it on 10-oct-2026.</t>
        </is>
      </c>
      <c r="F467" s="46" t="inlineStr">
        <is>
          <t>BLOCKING</t>
        </is>
      </c>
      <c r="G467" s="46" t="inlineStr">
        <is>
          <t>COORDINATE WITH ELECTRICAL." The monitor is drawn in 13/A12.02 ENLARGED ELEVATION @ 85" MONITOR - MEDIA (1/2"=1'-0"), and 9/A12.02 draws its CHIEF LSTU FIXED WALL DISPLAY mount: 3/4" FRT plywood blocking in line with the metal studs, 1 run the length of the FRONT face only = 10.00 LF (el monitor cuelga del frente; los…</t>
        </is>
      </c>
    </row>
    <row r="468" ht="33" customHeight="1" s="36">
      <c r="A468" s="59" t="n"/>
      <c r="B468" s="58" t="n">
        <v>10</v>
      </c>
      <c r="C468" s="44" t="inlineStr">
        <is>
          <t>1/S5.20</t>
        </is>
      </c>
      <c r="D468" s="59" t="inlineStr">
        <is>
          <t>Quantity</t>
        </is>
      </c>
      <c r="E468" s="46" t="inlineStr">
        <is>
          <t>"TYPICAL WALL FRAMING DETAILS". Holds sub-details A through F; sub-detail F "BRIDGING AND BRACING - CONTINUOUS BRIDGING" is the bracing one: 1 1/2" C.R. CHANNEL welded to every stud. (Bracing is NOT in 5/S5.20, which is TYPICAL WALL FRAMING CONNX.)</t>
        </is>
      </c>
      <c r="F468" s="46" t="inlineStr">
        <is>
          <t>BRACING, excluded.CLIPS</t>
        </is>
      </c>
      <c r="G468" s="46" t="inlineStr">
        <is>
          <t>(1/S5.20 sub-detail F).</t>
        </is>
      </c>
    </row>
    <row r="469" ht="33" customHeight="1" s="36">
      <c r="A469" s="59" t="n"/>
      <c r="B469" s="58" t="n">
        <v>11</v>
      </c>
      <c r="C469" s="44" t="inlineStr">
        <is>
          <t>4/S5.20</t>
        </is>
      </c>
      <c r="D469" s="59" t="inlineStr">
        <is>
          <t>Quantity</t>
        </is>
      </c>
      <c r="E469" s="46" t="inlineStr">
        <is>
          <t>"TYPICAL BLOCKING DETAIL". STUD BLOCKING 362CR22 and CLIP ANGLE 362CR22, with the boxed verbatim note "PROVIDE BLOCKING AT THE EDGE OF GYPBOARD." - source of the blocking at EVERY free edge of board.</t>
        </is>
      </c>
      <c r="F469" s="46" t="inlineStr">
        <is>
          <t>BLOCKING</t>
        </is>
      </c>
      <c r="G469" s="46" t="inlineStr">
        <is>
          <t>4/S5.20 defines the piece.</t>
        </is>
      </c>
    </row>
    <row r="470" ht="33" customHeight="1" s="36">
      <c r="A470" s="59" t="n"/>
      <c r="B470" s="58" t="n">
        <v>12</v>
      </c>
      <c r="C470" s="44" t="inlineStr">
        <is>
          <t>7/S5.20</t>
        </is>
      </c>
      <c r="D470" s="59" t="inlineStr">
        <is>
          <t>Quantity</t>
        </is>
      </c>
      <c r="E470" s="46" t="inlineStr">
        <is>
          <t>"METAL STUDS SCHEDULES". The profile: web, flange, lip, mils, gauge and the APPLICATION column with the spacing ("INTERIOR WALLS @ 16" O.C."), plus the SILL TRACK ANCHORAGE and the FASTENER SCHEDULE.</t>
        </is>
      </c>
      <c r="F470" s="46" t="inlineStr">
        <is>
          <t>STUD, TRACK_BOTTOM, excluded.CLIPS</t>
        </is>
      </c>
      <c r="G470" s="46" t="inlineStr">
        <is>
          <t>Stud 362S137-33 from the 3 5/8" row of 7/S5.20, APPLICATION "INTERIOR WALLS @ 16" O.C.".</t>
        </is>
      </c>
    </row>
    <row r="471" ht="25.5" customHeight="1" s="36">
      <c r="A471" s="59" t="n"/>
      <c r="B471" s="58" t="n">
        <v>13</v>
      </c>
      <c r="C471" s="44" t="inlineStr">
        <is>
          <t>A00.30</t>
        </is>
      </c>
      <c r="D471" s="59" t="inlineStr">
        <is>
          <t>Exclusion</t>
        </is>
      </c>
      <c r="E471" s="46" t="inlineStr">
        <is>
          <t>Door Schedule. Leaf width and height of every door and the frame type: source of the header, the board deduction and the reference to 10 and 11/A12.02.</t>
        </is>
      </c>
      <c r="F471" s="46" t="inlineStr">
        <is>
          <t>excluded.HEADER</t>
        </is>
      </c>
      <c r="G471" s="46" t="inlineStr">
        <is>
          <t>Furring with no opening: 6/A12.01 PARTITION TYPE C1 draws a continuous run of stud against the structure and the Door Schedule of A00.30 places no door on it.</t>
        </is>
      </c>
    </row>
    <row r="472" ht="33" customHeight="1" s="36">
      <c r="A472" s="59" t="n"/>
      <c r="B472" s="58" t="n">
        <v>14</v>
      </c>
      <c r="C472" s="44" t="inlineStr">
        <is>
          <t>A09.27</t>
        </is>
      </c>
      <c r="D472" s="59" t="inlineStr">
        <is>
          <t>Exclusion</t>
        </is>
      </c>
      <c r="E472" s="46" t="inlineStr">
        <is>
          <t>Gypsum Section Details, the sheet. Cited as a sheet when the finding is that NO detail on it labels a gypsum control joint.</t>
        </is>
      </c>
      <c r="F472" s="46" t="inlineStr">
        <is>
          <t>excluded.CONTROL_JOINT</t>
        </is>
      </c>
      <c r="G472" s="46" t="inlineStr">
        <is>
          <t>El set no rotula ni detalla ninguna junta de control de gypsum board, ni en A12.01 ni en los detalles de A09.27/A09.33, y no hay seccion de especificaciones 09 29 00 en el bid set.</t>
        </is>
      </c>
    </row>
    <row r="473" ht="33" customHeight="1" s="36">
      <c r="A473" s="59" t="n"/>
      <c r="B473" s="58" t="n">
        <v>15</v>
      </c>
      <c r="C473" s="44" t="inlineStr">
        <is>
          <t>A09.33</t>
        </is>
      </c>
      <c r="D473" s="59" t="inlineStr">
        <is>
          <t>Exclusion</t>
        </is>
      </c>
      <c r="E473" s="46" t="inlineStr">
        <is>
          <t>Ceiling Details, the sheet. Cited as a sheet for a finding by ABSENCE: its details label corner bead, casing bead and shadow molding one by one and NONE labels a control joint, so the omission is not a labeling oversight.</t>
        </is>
      </c>
      <c r="F473" s="46" t="inlineStr">
        <is>
          <t>excluded.CONTROL_JOINT</t>
        </is>
      </c>
      <c r="G473" s="46" t="inlineStr">
        <is>
          <t>El set no rotula ni detalla ninguna junta de control de gypsum board, ni en A12.01 ni en los detalles de A09.27/A09.33, y no hay seccion de especificaciones 09 29 00 en el bid set.</t>
        </is>
      </c>
    </row>
    <row r="474" ht="33" customHeight="1" s="36">
      <c r="A474" s="44" t="inlineStr">
        <is>
          <t>C1 #37</t>
        </is>
      </c>
      <c r="B474" s="58" t="n">
        <v>1</v>
      </c>
      <c r="C474" s="44" t="inlineStr">
        <is>
          <t>A02.01</t>
        </is>
      </c>
      <c r="D474" s="59" t="inlineStr">
        <is>
          <t>Dimension</t>
        </is>
      </c>
      <c r="E474" s="46" t="inlineStr">
        <is>
          <t>Construction Plan. Entry sheet for partitions and openings: vector geometry of every wall face at 1/4"=1'-0", the leader of every partition tag, the Construction Plan Legend (new vs. existing) and the Construction Plan Notes.</t>
        </is>
      </c>
      <c r="F474" s="46" t="inlineStr">
        <is>
          <t>STUD, excluded.PATCH, length</t>
        </is>
      </c>
      <c r="G474" s="46" t="inlineStr">
        <is>
          <t>A02.01 vector geometry: faces y=1356.36 and y=1362.72 (6.36 pt apart = 4.24", the furring of 6/A12.01 PARTITION TYPE C1); continuous stretch where BOTH faces exist, x=911.88 to x=1012.68 = 100.80 pt / 18 = 5.600 ft.</t>
        </is>
      </c>
    </row>
    <row r="475" ht="33" customHeight="1" s="36">
      <c r="A475" s="59" t="n"/>
      <c r="B475" s="58" t="n">
        <v>2</v>
      </c>
      <c r="C475" s="44" t="inlineStr">
        <is>
          <t>A04.01</t>
        </is>
      </c>
      <c r="D475" s="59" t="inlineStr">
        <is>
          <t>Dimension</t>
        </is>
      </c>
      <c r="E475" s="46" t="inlineStr">
        <is>
          <t>Reflected Ceiling Plan. Entry sheet for ceilings, soffits and canopy; on walls it gives the BOARD HEIGHT: each room ceiling tag with its printed A.F.F. dimension, plus the ceiling key notes.</t>
        </is>
      </c>
      <c r="F475" s="46" t="inlineStr">
        <is>
          <t>face[0].board_height, stud_height</t>
        </is>
      </c>
      <c r="G475" s="46" t="inlineStr">
        <is>
          <t>A04.01: ceiling of Women's Restroom 114, printed dimension on the RCP; the board of the furring runs to it.</t>
        </is>
      </c>
    </row>
    <row r="476" ht="25.5" customHeight="1" s="36">
      <c r="A476" s="59" t="n"/>
      <c r="B476" s="58" t="n">
        <v>3</v>
      </c>
      <c r="C476" s="44" t="inlineStr">
        <is>
          <t>A08.01</t>
        </is>
      </c>
      <c r="D476" s="59" t="inlineStr">
        <is>
          <t>Quantity</t>
        </is>
      </c>
      <c r="E476" s="46" t="inlineStr">
        <is>
          <t>Enlarged Restroom Floor Plan and Finish Plan (1 and 2/A08.01) at 1/2"=1'-0". The restroom faces: extent of FRP and of tile, and the sheet note on blocking.</t>
        </is>
      </c>
      <c r="F476" s="46" t="inlineStr">
        <is>
          <t>BLOCKING</t>
        </is>
      </c>
      <c r="G476" s="46" t="inlineStr">
        <is>
          <t>Sheet note E of A08.01, textual: "CONTRACTOR TO PROVIDE FRT BLOCKING IN WALLS FOR ALL TOILET ROOM ACCESSORIES AND FIXTURES." Face of Women's Restroom 114 with its water closet.</t>
        </is>
      </c>
    </row>
    <row r="477" ht="87.75" customHeight="1" s="36">
      <c r="A477" s="59" t="n"/>
      <c r="B477" s="58" t="n">
        <v>4</v>
      </c>
      <c r="C477" s="44" t="inlineStr">
        <is>
          <t>2/A12.01</t>
        </is>
      </c>
      <c r="D477" s="59" t="inlineStr">
        <is>
          <t>Exclusion</t>
        </is>
      </c>
      <c r="E477"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77" s="46" t="inlineStr">
        <is>
          <t>excluded.BOARD</t>
        </is>
      </c>
      <c r="G477"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78" ht="43.5" customHeight="1" s="36">
      <c r="A478" s="59" t="n"/>
      <c r="B478" s="58" t="n">
        <v>5</v>
      </c>
      <c r="C478" s="44" t="inlineStr">
        <is>
          <t>3/A12.01</t>
        </is>
      </c>
      <c r="D478" s="59" t="inlineStr">
        <is>
          <t>Exclusion</t>
        </is>
      </c>
      <c r="E478" s="46" t="inlineStr">
        <is>
          <t>"PARTITION TYPE A1 &amp; A5". 3 5/8" stud, layers per face, WALL THICKNESS 4 7/8", slip track at the top, acoustic sealant at the slab and the 6" of board above the scheduled ceiling.</t>
        </is>
      </c>
      <c r="F478" s="46" t="inlineStr">
        <is>
          <t>excluded.BOARD</t>
        </is>
      </c>
      <c r="G478"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79" ht="54.75" customHeight="1" s="36">
      <c r="A479" s="59" t="n"/>
      <c r="B479" s="58" t="n">
        <v>6</v>
      </c>
      <c r="C479" s="44" t="inlineStr">
        <is>
          <t>6/A12.01</t>
        </is>
      </c>
      <c r="D479" s="59" t="inlineStr">
        <is>
          <t>Dimension</t>
        </is>
      </c>
      <c r="E479"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79" s="46" t="inlineStr">
        <is>
          <t>BOARD, TRACK_TOP, excluded.BOARD, excluded.HEADER, excluded.INSULATION, excluded.SEALANT, length, stud_height</t>
        </is>
      </c>
      <c r="G479" s="46" t="inlineStr">
        <is>
          <t>A02.01 vector geometry: faces y=1356.36 and y=1362.72 (6.36 pt apart = 4.24", the furring of 6/A12.01 PARTITION TYPE C1); continuous stretch where BOTH faces exist, x=911.88 to x=1012.68 = 100.80 pt / 18 = 5.600 ft.</t>
        </is>
      </c>
    </row>
    <row r="480" ht="43.5" customHeight="1" s="36">
      <c r="A480" s="59" t="n"/>
      <c r="B480" s="58" t="n">
        <v>7</v>
      </c>
      <c r="C480" s="44" t="inlineStr">
        <is>
          <t>12/A12.01</t>
        </is>
      </c>
      <c r="D480" s="59" t="inlineStr">
        <is>
          <t>Exclusion</t>
        </is>
      </c>
      <c r="E480" s="46" t="inlineStr">
        <is>
          <t>"PARTITION TYPE F". Stud and board of type F.</t>
        </is>
      </c>
      <c r="F480" s="46" t="inlineStr">
        <is>
          <t>excluded.BOARD</t>
        </is>
      </c>
      <c r="G480"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81" ht="33" customHeight="1" s="36">
      <c r="A481" s="59" t="n"/>
      <c r="B481" s="58" t="n">
        <v>8</v>
      </c>
      <c r="C481" s="44" t="inlineStr">
        <is>
          <t>1/S5.20</t>
        </is>
      </c>
      <c r="D481" s="59" t="inlineStr">
        <is>
          <t>Quantity</t>
        </is>
      </c>
      <c r="E481" s="46" t="inlineStr">
        <is>
          <t>"TYPICAL WALL FRAMING DETAILS". Holds sub-details A through F; sub-detail F "BRIDGING AND BRACING - CONTINUOUS BRIDGING" is the bracing one: 1 1/2" C.R. CHANNEL welded to every stud. (Bracing is NOT in 5/S5.20, which is TYPICAL WALL FRAMING CONNX.)</t>
        </is>
      </c>
      <c r="F481" s="46" t="inlineStr">
        <is>
          <t>BRACING, STUD, excluded.CLIPS</t>
        </is>
      </c>
      <c r="G481" s="46" t="inlineStr">
        <is>
          <t>(1/S5.20 sub-detail F).</t>
        </is>
      </c>
    </row>
    <row r="482" ht="33" customHeight="1" s="36">
      <c r="A482" s="59" t="n"/>
      <c r="B482" s="58" t="n">
        <v>9</v>
      </c>
      <c r="C482" s="44" t="inlineStr">
        <is>
          <t>4/S5.20</t>
        </is>
      </c>
      <c r="D482" s="59" t="inlineStr">
        <is>
          <t>Quantity</t>
        </is>
      </c>
      <c r="E482" s="46" t="inlineStr">
        <is>
          <t>"TYPICAL BLOCKING DETAIL". STUD BLOCKING 362CR22 and CLIP ANGLE 362CR22, with the boxed verbatim note "PROVIDE BLOCKING AT THE EDGE OF GYPBOARD." - source of the blocking at EVERY free edge of board.</t>
        </is>
      </c>
      <c r="F482" s="46" t="inlineStr">
        <is>
          <t>BLOCKING</t>
        </is>
      </c>
      <c r="G482" s="46" t="inlineStr">
        <is>
          <t>1 horizontal run of FRTW the length of the furring = 5.60 LF; 4/S5.20 defines the piece.</t>
        </is>
      </c>
    </row>
    <row r="483" ht="33" customHeight="1" s="36">
      <c r="A483" s="59" t="n"/>
      <c r="B483" s="58" t="n">
        <v>10</v>
      </c>
      <c r="C483" s="44" t="inlineStr">
        <is>
          <t>7/S5.20</t>
        </is>
      </c>
      <c r="D483" s="59" t="inlineStr">
        <is>
          <t>Quantity</t>
        </is>
      </c>
      <c r="E483" s="46" t="inlineStr">
        <is>
          <t>"METAL STUDS SCHEDULES". The profile: web, flange, lip, mils, gauge and the APPLICATION column with the spacing ("INTERIOR WALLS @ 16" O.C."), plus the SILL TRACK ANCHORAGE and the FASTENER SCHEDULE.</t>
        </is>
      </c>
      <c r="F483" s="46" t="inlineStr">
        <is>
          <t>STUD, TRACK_BOTTOM, excluded.CLIPS</t>
        </is>
      </c>
      <c r="G483" s="46" t="inlineStr">
        <is>
          <t>Stud 362S137-33 from the 3 5/8" row of 7/S5.20, APPLICATION "INTERIOR WALLS @ 16" O.C.".</t>
        </is>
      </c>
    </row>
    <row r="484" ht="99" customHeight="1" s="36">
      <c r="A484" s="59" t="n"/>
      <c r="B484" s="58" t="n">
        <v>11</v>
      </c>
      <c r="C484" s="44" t="inlineStr">
        <is>
          <t>8/S5.20</t>
        </is>
      </c>
      <c r="D484" s="59" t="inlineStr">
        <is>
          <t>Quantity</t>
        </is>
      </c>
      <c r="E484" s="46" t="inlineStr">
        <is>
          <t>"MECH. CHASE FRAMING IN WALL", NTS. Opened 10-oct-2026 in the sweep of unopened details. Labels: TYPICAL STUD, TOE-TO-TOE STUD POST at each side of the chase, COLD ROLLED CHANNEL through the stud punchouts, BOTTOM TRACK, the clear chase dimensioned 1'-10" MAX, and a boxed NOTE: "PLUMBING CHASES TO BE SPACED AT LEAST 4'-0" APART". It governs C1 #37 and #39, which are literally the two faces of the plumbing chase between restrooms 113 and 114: the cavity measures 19.44 pt = 12.96" on A02.01, inside the 1'-10" maximum, so the detail applies. What it ADDS is the toe-to-toe post, 2 studs per face beyond the field count. What it does NOT add is the cold rolled channel, already carried in the BRACING line from 1/S5.20 sub-detail F.</t>
        </is>
      </c>
      <c r="F484" s="46" t="inlineStr">
        <is>
          <t>STUD</t>
        </is>
      </c>
      <c r="G484" s="46" t="inlineStr">
        <is>
          <t>Required by 8/S5.20 MECH.</t>
        </is>
      </c>
    </row>
    <row r="485" ht="43.5" customHeight="1" s="36">
      <c r="A485" s="59" t="n"/>
      <c r="B485" s="58" t="n">
        <v>12</v>
      </c>
      <c r="C485" s="44" t="inlineStr">
        <is>
          <t>A09.01</t>
        </is>
      </c>
      <c r="D485" s="59" t="inlineStr">
        <is>
          <t>Exclusion</t>
        </is>
      </c>
      <c r="E485" s="46" t="inlineStr">
        <is>
          <t>Exterior Elevations: "SOUTH ELEVATION" and "WEST ELEVATION" at 1/4"=1'-0". Extent of each exterior material and the material legend, verbatim "CJ CONTROL JOINT; PAINT TO MATCH STUCCO FINISH COLOR" - that joint is the STUCCO joint, not gypsum.</t>
        </is>
      </c>
      <c r="F485" s="46" t="inlineStr">
        <is>
          <t>excluded.CONTROL_JOINT</t>
        </is>
      </c>
      <c r="G48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86" ht="25.5" customHeight="1" s="36">
      <c r="A486" s="59" t="n"/>
      <c r="B486" s="58" t="n">
        <v>13</v>
      </c>
      <c r="C486" s="44" t="inlineStr">
        <is>
          <t>A00.30</t>
        </is>
      </c>
      <c r="D486" s="59" t="inlineStr">
        <is>
          <t>Exclusion</t>
        </is>
      </c>
      <c r="E486" s="46" t="inlineStr">
        <is>
          <t>Door Schedule. Leaf width and height of every door and the frame type: source of the header, the board deduction and the reference to 10 and 11/A12.02.</t>
        </is>
      </c>
      <c r="F486" s="46" t="inlineStr">
        <is>
          <t>excluded.HEADER</t>
        </is>
      </c>
      <c r="G486" s="46" t="inlineStr">
        <is>
          <t>Furring with no opening: 6/A12.01 PARTITION TYPE C1 draws a continuous run of stud against the structure and the Door Schedule of A00.30 places no door on it.</t>
        </is>
      </c>
    </row>
    <row r="487" ht="33" customHeight="1" s="36">
      <c r="A487" s="59" t="n"/>
      <c r="B487" s="58" t="n">
        <v>14</v>
      </c>
      <c r="C487" s="44" t="inlineStr">
        <is>
          <t>A09.27</t>
        </is>
      </c>
      <c r="D487" s="59" t="inlineStr">
        <is>
          <t>Exclusion</t>
        </is>
      </c>
      <c r="E487" s="46" t="inlineStr">
        <is>
          <t>Gypsum Section Details, the sheet. Cited as a sheet when the finding is that NO detail on it labels a gypsum control joint.</t>
        </is>
      </c>
      <c r="F487" s="46" t="inlineStr">
        <is>
          <t>excluded.CONTROL_JOINT</t>
        </is>
      </c>
      <c r="G487" s="46" t="inlineStr">
        <is>
          <t>El set no rotula ni detalla ninguna junta de control de gypsum board, ni en A12.01 ni en los detalles de A09.27/A09.33, y no hay seccion de especificaciones 09 29 00 en el bid set.</t>
        </is>
      </c>
    </row>
    <row r="488" ht="33" customHeight="1" s="36">
      <c r="A488" s="59" t="n"/>
      <c r="B488" s="58" t="n">
        <v>15</v>
      </c>
      <c r="C488" s="44" t="inlineStr">
        <is>
          <t>A09.33</t>
        </is>
      </c>
      <c r="D488" s="59" t="inlineStr">
        <is>
          <t>Exclusion</t>
        </is>
      </c>
      <c r="E488" s="46" t="inlineStr">
        <is>
          <t>Ceiling Details, the sheet. Cited as a sheet for a finding by ABSENCE: its details label corner bead, casing bead and shadow molding one by one and NONE labels a control joint, so the omission is not a labeling oversight.</t>
        </is>
      </c>
      <c r="F488" s="46" t="inlineStr">
        <is>
          <t>excluded.CONTROL_JOINT</t>
        </is>
      </c>
      <c r="G488" s="46" t="inlineStr">
        <is>
          <t>El set no rotula ni detalla ninguna junta de control de gypsum board, ni en A12.01 ni en los detalles de A09.27/A09.33, y no hay seccion de especificaciones 09 29 00 en el bid set.</t>
        </is>
      </c>
    </row>
    <row r="489" ht="33" customHeight="1" s="36">
      <c r="A489" s="44" t="inlineStr">
        <is>
          <t>C1 #39</t>
        </is>
      </c>
      <c r="B489" s="58" t="n">
        <v>1</v>
      </c>
      <c r="C489" s="44" t="inlineStr">
        <is>
          <t>A02.01</t>
        </is>
      </c>
      <c r="D489" s="59" t="inlineStr">
        <is>
          <t>Dimension</t>
        </is>
      </c>
      <c r="E489" s="46" t="inlineStr">
        <is>
          <t>Construction Plan. Entry sheet for partitions and openings: vector geometry of every wall face at 1/4"=1'-0", the leader of every partition tag, the Construction Plan Legend (new vs. existing) and the Construction Plan Notes.</t>
        </is>
      </c>
      <c r="F489" s="46" t="inlineStr">
        <is>
          <t>STUD, excluded.PATCH, length</t>
        </is>
      </c>
      <c r="G489" s="46" t="inlineStr">
        <is>
          <t>A02.01 vector geometry: faces y=1382.16 and y=1388.52 (6.36 pt = 4.24"), same stretch x=911.88 to x=1012.68 = 5.600 ft.</t>
        </is>
      </c>
    </row>
    <row r="490" ht="33" customHeight="1" s="36">
      <c r="A490" s="59" t="n"/>
      <c r="B490" s="58" t="n">
        <v>2</v>
      </c>
      <c r="C490" s="44" t="inlineStr">
        <is>
          <t>A04.01</t>
        </is>
      </c>
      <c r="D490" s="59" t="inlineStr">
        <is>
          <t>Dimension</t>
        </is>
      </c>
      <c r="E490" s="46" t="inlineStr">
        <is>
          <t>Reflected Ceiling Plan. Entry sheet for ceilings, soffits and canopy; on walls it gives the BOARD HEIGHT: each room ceiling tag with its printed A.F.F. dimension, plus the ceiling key notes.</t>
        </is>
      </c>
      <c r="F490" s="46" t="inlineStr">
        <is>
          <t>face[0].board_height, stud_height</t>
        </is>
      </c>
      <c r="G490" s="46" t="inlineStr">
        <is>
          <t>A04.01: ceiling of Men's Restroom 113, printed dimension on the RCP; the board of the furring runs to it.</t>
        </is>
      </c>
    </row>
    <row r="491" ht="25.5" customHeight="1" s="36">
      <c r="A491" s="59" t="n"/>
      <c r="B491" s="58" t="n">
        <v>3</v>
      </c>
      <c r="C491" s="44" t="inlineStr">
        <is>
          <t>A08.01</t>
        </is>
      </c>
      <c r="D491" s="59" t="inlineStr">
        <is>
          <t>Quantity</t>
        </is>
      </c>
      <c r="E491" s="46" t="inlineStr">
        <is>
          <t>Enlarged Restroom Floor Plan and Finish Plan (1 and 2/A08.01) at 1/2"=1'-0". The restroom faces: extent of FRP and of tile, and the sheet note on blocking.</t>
        </is>
      </c>
      <c r="F491" s="46" t="inlineStr">
        <is>
          <t>BLOCKING</t>
        </is>
      </c>
      <c r="G491" s="46" t="inlineStr">
        <is>
          <t>Same sheet note E of A08.01.</t>
        </is>
      </c>
    </row>
    <row r="492" ht="87.75" customHeight="1" s="36">
      <c r="A492" s="59" t="n"/>
      <c r="B492" s="58" t="n">
        <v>4</v>
      </c>
      <c r="C492" s="44" t="inlineStr">
        <is>
          <t>2/A12.01</t>
        </is>
      </c>
      <c r="D492" s="59" t="inlineStr">
        <is>
          <t>Exclusion</t>
        </is>
      </c>
      <c r="E492"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92" s="46" t="inlineStr">
        <is>
          <t>excluded.BOARD</t>
        </is>
      </c>
      <c r="G492"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3" ht="43.5" customHeight="1" s="36">
      <c r="A493" s="59" t="n"/>
      <c r="B493" s="58" t="n">
        <v>5</v>
      </c>
      <c r="C493" s="44" t="inlineStr">
        <is>
          <t>3/A12.01</t>
        </is>
      </c>
      <c r="D493" s="59" t="inlineStr">
        <is>
          <t>Exclusion</t>
        </is>
      </c>
      <c r="E493" s="46" t="inlineStr">
        <is>
          <t>"PARTITION TYPE A1 &amp; A5". 3 5/8" stud, layers per face, WALL THICKNESS 4 7/8", slip track at the top, acoustic sealant at the slab and the 6" of board above the scheduled ceiling.</t>
        </is>
      </c>
      <c r="F493" s="46" t="inlineStr">
        <is>
          <t>excluded.BOARD</t>
        </is>
      </c>
      <c r="G493"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4" ht="54.75" customHeight="1" s="36">
      <c r="A494" s="59" t="n"/>
      <c r="B494" s="58" t="n">
        <v>6</v>
      </c>
      <c r="C494" s="44" t="inlineStr">
        <is>
          <t>6/A12.01</t>
        </is>
      </c>
      <c r="D494" s="59" t="inlineStr">
        <is>
          <t>Dimension</t>
        </is>
      </c>
      <c r="E494"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94" s="46" t="inlineStr">
        <is>
          <t>BOARD, TRACK_TOP, excluded.BOARD, excluded.HEADER, excluded.INSULATION, excluded.SEALANT, stud_height</t>
        </is>
      </c>
      <c r="G494" s="46" t="inlineStr">
        <is>
          <t>6/A12.01 PARTITION TYPE C1 does not dimension how high the furring goes, so it is taken to the ceiling of the room it faces, the printed dimension of the RCP: 9.000 ft.</t>
        </is>
      </c>
    </row>
    <row r="495" ht="43.5" customHeight="1" s="36">
      <c r="A495" s="59" t="n"/>
      <c r="B495" s="58" t="n">
        <v>7</v>
      </c>
      <c r="C495" s="44" t="inlineStr">
        <is>
          <t>12/A12.01</t>
        </is>
      </c>
      <c r="D495" s="59" t="inlineStr">
        <is>
          <t>Exclusion</t>
        </is>
      </c>
      <c r="E495" s="46" t="inlineStr">
        <is>
          <t>"PARTITION TYPE F". Stud and board of type F.</t>
        </is>
      </c>
      <c r="F495" s="46" t="inlineStr">
        <is>
          <t>excluded.BOARD</t>
        </is>
      </c>
      <c r="G495"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6" ht="33" customHeight="1" s="36">
      <c r="A496" s="59" t="n"/>
      <c r="B496" s="58" t="n">
        <v>8</v>
      </c>
      <c r="C496" s="44" t="inlineStr">
        <is>
          <t>1/S5.20</t>
        </is>
      </c>
      <c r="D496" s="59" t="inlineStr">
        <is>
          <t>Quantity</t>
        </is>
      </c>
      <c r="E496" s="46" t="inlineStr">
        <is>
          <t>"TYPICAL WALL FRAMING DETAILS". Holds sub-details A through F; sub-detail F "BRIDGING AND BRACING - CONTINUOUS BRIDGING" is the bracing one: 1 1/2" C.R. CHANNEL welded to every stud. (Bracing is NOT in 5/S5.20, which is TYPICAL WALL FRAMING CONNX.)</t>
        </is>
      </c>
      <c r="F496" s="46" t="inlineStr">
        <is>
          <t>BRACING, STUD, excluded.CLIPS</t>
        </is>
      </c>
      <c r="G496" s="46" t="inlineStr">
        <is>
          <t>(1/S5.20 sub-detail F).</t>
        </is>
      </c>
    </row>
    <row r="497" ht="33" customHeight="1" s="36">
      <c r="A497" s="59" t="n"/>
      <c r="B497" s="58" t="n">
        <v>9</v>
      </c>
      <c r="C497" s="44" t="inlineStr">
        <is>
          <t>4/S5.20</t>
        </is>
      </c>
      <c r="D497" s="59" t="inlineStr">
        <is>
          <t>Quantity</t>
        </is>
      </c>
      <c r="E497" s="46" t="inlineStr">
        <is>
          <t>"TYPICAL BLOCKING DETAIL". STUD BLOCKING 362CR22 and CLIP ANGLE 362CR22, with the boxed verbatim note "PROVIDE BLOCKING AT THE EDGE OF GYPBOARD." - source of the blocking at EVERY free edge of board.</t>
        </is>
      </c>
      <c r="F497" s="46" t="inlineStr">
        <is>
          <t>BLOCKING</t>
        </is>
      </c>
      <c r="G497" s="46" t="inlineStr">
        <is>
          <t>1 horizontal run of FRTW the length of the furring = 5.60 LF; 4/S5.20 defines the piece.</t>
        </is>
      </c>
    </row>
    <row r="498" ht="33" customHeight="1" s="36">
      <c r="A498" s="59" t="n"/>
      <c r="B498" s="58" t="n">
        <v>10</v>
      </c>
      <c r="C498" s="44" t="inlineStr">
        <is>
          <t>7/S5.20</t>
        </is>
      </c>
      <c r="D498" s="59" t="inlineStr">
        <is>
          <t>Quantity</t>
        </is>
      </c>
      <c r="E498" s="46" t="inlineStr">
        <is>
          <t>"METAL STUDS SCHEDULES". The profile: web, flange, lip, mils, gauge and the APPLICATION column with the spacing ("INTERIOR WALLS @ 16" O.C."), plus the SILL TRACK ANCHORAGE and the FASTENER SCHEDULE.</t>
        </is>
      </c>
      <c r="F498" s="46" t="inlineStr">
        <is>
          <t>STUD, TRACK_BOTTOM, excluded.CLIPS</t>
        </is>
      </c>
      <c r="G498" s="46" t="inlineStr">
        <is>
          <t>Stud 362S137-33 from the 3 5/8" row of 7/S5.20, APPLICATION "INTERIOR WALLS @ 16" O.C.".</t>
        </is>
      </c>
    </row>
    <row r="499" ht="99" customHeight="1" s="36">
      <c r="A499" s="59" t="n"/>
      <c r="B499" s="58" t="n">
        <v>11</v>
      </c>
      <c r="C499" s="44" t="inlineStr">
        <is>
          <t>8/S5.20</t>
        </is>
      </c>
      <c r="D499" s="59" t="inlineStr">
        <is>
          <t>Quantity</t>
        </is>
      </c>
      <c r="E499" s="46" t="inlineStr">
        <is>
          <t>"MECH. CHASE FRAMING IN WALL", NTS. Opened 10-oct-2026 in the sweep of unopened details. Labels: TYPICAL STUD, TOE-TO-TOE STUD POST at each side of the chase, COLD ROLLED CHANNEL through the stud punchouts, BOTTOM TRACK, the clear chase dimensioned 1'-10" MAX, and a boxed NOTE: "PLUMBING CHASES TO BE SPACED AT LEAST 4'-0" APART". It governs C1 #37 and #39, which are literally the two faces of the plumbing chase between restrooms 113 and 114: the cavity measures 19.44 pt = 12.96" on A02.01, inside the 1'-10" maximum, so the detail applies. What it ADDS is the toe-to-toe post, 2 studs per face beyond the field count. What it does NOT add is the cold rolled channel, already carried in the BRACING line from 1/S5.20 sub-detail F.</t>
        </is>
      </c>
      <c r="F499" s="46" t="inlineStr">
        <is>
          <t>STUD</t>
        </is>
      </c>
      <c r="G499" s="46" t="inlineStr">
        <is>
          <t>Required by 8/S5.20 MECH.</t>
        </is>
      </c>
    </row>
    <row r="500" ht="43.5" customHeight="1" s="36">
      <c r="A500" s="59" t="n"/>
      <c r="B500" s="58" t="n">
        <v>12</v>
      </c>
      <c r="C500" s="44" t="inlineStr">
        <is>
          <t>A09.01</t>
        </is>
      </c>
      <c r="D500" s="59" t="inlineStr">
        <is>
          <t>Exclusion</t>
        </is>
      </c>
      <c r="E500" s="46" t="inlineStr">
        <is>
          <t>Exterior Elevations: "SOUTH ELEVATION" and "WEST ELEVATION" at 1/4"=1'-0". Extent of each exterior material and the material legend, verbatim "CJ CONTROL JOINT; PAINT TO MATCH STUCCO FINISH COLOR" - that joint is the STUCCO joint, not gypsum.</t>
        </is>
      </c>
      <c r="F500" s="46" t="inlineStr">
        <is>
          <t>excluded.CONTROL_JOINT</t>
        </is>
      </c>
      <c r="G50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01" ht="25.5" customHeight="1" s="36">
      <c r="A501" s="59" t="n"/>
      <c r="B501" s="58" t="n">
        <v>13</v>
      </c>
      <c r="C501" s="44" t="inlineStr">
        <is>
          <t>A00.30</t>
        </is>
      </c>
      <c r="D501" s="59" t="inlineStr">
        <is>
          <t>Exclusion</t>
        </is>
      </c>
      <c r="E501" s="46" t="inlineStr">
        <is>
          <t>Door Schedule. Leaf width and height of every door and the frame type: source of the header, the board deduction and the reference to 10 and 11/A12.02.</t>
        </is>
      </c>
      <c r="F501" s="46" t="inlineStr">
        <is>
          <t>excluded.HEADER</t>
        </is>
      </c>
      <c r="G501" s="46" t="inlineStr">
        <is>
          <t>Furring with no opening: 6/A12.01 PARTITION TYPE C1 draws a continuous run of stud against the structure and the Door Schedule of A00.30 places no door on it.</t>
        </is>
      </c>
    </row>
    <row r="502" ht="33" customHeight="1" s="36">
      <c r="A502" s="59" t="n"/>
      <c r="B502" s="58" t="n">
        <v>14</v>
      </c>
      <c r="C502" s="44" t="inlineStr">
        <is>
          <t>A09.27</t>
        </is>
      </c>
      <c r="D502" s="59" t="inlineStr">
        <is>
          <t>Exclusion</t>
        </is>
      </c>
      <c r="E502" s="46" t="inlineStr">
        <is>
          <t>Gypsum Section Details, the sheet. Cited as a sheet when the finding is that NO detail on it labels a gypsum control joint.</t>
        </is>
      </c>
      <c r="F502" s="46" t="inlineStr">
        <is>
          <t>excluded.CONTROL_JOINT</t>
        </is>
      </c>
      <c r="G502" s="46" t="inlineStr">
        <is>
          <t>El set no rotula ni detalla ninguna junta de control de gypsum board, ni en A12.01 ni en los detalles de A09.27/A09.33, y no hay seccion de especificaciones 09 29 00 en el bid set.</t>
        </is>
      </c>
    </row>
    <row r="503" ht="33" customHeight="1" s="36">
      <c r="A503" s="59" t="n"/>
      <c r="B503" s="58" t="n">
        <v>15</v>
      </c>
      <c r="C503" s="44" t="inlineStr">
        <is>
          <t>A09.33</t>
        </is>
      </c>
      <c r="D503" s="59" t="inlineStr">
        <is>
          <t>Exclusion</t>
        </is>
      </c>
      <c r="E503" s="46" t="inlineStr">
        <is>
          <t>Ceiling Details, the sheet. Cited as a sheet for a finding by ABSENCE: its details label corner bead, casing bead and shadow molding one by one and NONE labels a control joint, so the omission is not a labeling oversight.</t>
        </is>
      </c>
      <c r="F503" s="46" t="inlineStr">
        <is>
          <t>excluded.CONTROL_JOINT</t>
        </is>
      </c>
      <c r="G503" s="46" t="inlineStr">
        <is>
          <t>El set no rotula ni detalla ninguna junta de control de gypsum board, ni en A12.01 ni en los detalles de A09.27/A09.33, y no hay seccion de especificaciones 09 29 00 en el bid set.</t>
        </is>
      </c>
    </row>
    <row r="504" ht="33" customHeight="1" s="36">
      <c r="A504" s="44" t="inlineStr">
        <is>
          <t>C1 #32</t>
        </is>
      </c>
      <c r="B504" s="58" t="n">
        <v>1</v>
      </c>
      <c r="C504" s="44" t="inlineStr">
        <is>
          <t>A02.01</t>
        </is>
      </c>
      <c r="D504" s="59" t="inlineStr">
        <is>
          <t>Dimension</t>
        </is>
      </c>
      <c r="E504" s="46" t="inlineStr">
        <is>
          <t>Construction Plan. Entry sheet for partitions and openings: vector geometry of every wall face at 1/4"=1'-0", the leader of every partition tag, the Construction Plan Legend (new vs. existing) and the Construction Plan Notes.</t>
        </is>
      </c>
      <c r="F504" s="46" t="inlineStr">
        <is>
          <t>BLOCKING, excluded.PATCH, length</t>
        </is>
      </c>
      <c r="G504" s="46" t="inlineStr">
        <is>
          <t>A02.01: the C1 tag does not land on a running wall but inside a CLOSED BOX of wall lineweight.</t>
        </is>
      </c>
    </row>
    <row r="505" ht="33" customHeight="1" s="36">
      <c r="A505" s="59" t="n"/>
      <c r="B505" s="58" t="n">
        <v>2</v>
      </c>
      <c r="C505" s="44" t="inlineStr">
        <is>
          <t>A04.01</t>
        </is>
      </c>
      <c r="D505" s="59" t="inlineStr">
        <is>
          <t>Dimension</t>
        </is>
      </c>
      <c r="E505" s="46" t="inlineStr">
        <is>
          <t>Reflected Ceiling Plan. Entry sheet for ceilings, soffits and canopy; on walls it gives the BOARD HEIGHT: each room ceiling tag with its printed A.F.F. dimension, plus the ceiling key notes.</t>
        </is>
      </c>
      <c r="F505" s="46" t="inlineStr">
        <is>
          <t>face[0].board_height, stud_height</t>
        </is>
      </c>
      <c r="G505" s="46" t="inlineStr">
        <is>
          <t>A04.01: ceiling of Vestibule 100, printed dimension on the RCP.</t>
        </is>
      </c>
    </row>
    <row r="506" ht="87.75" customHeight="1" s="36">
      <c r="A506" s="59" t="n"/>
      <c r="B506" s="58" t="n">
        <v>3</v>
      </c>
      <c r="C506" s="44" t="inlineStr">
        <is>
          <t>2/A12.01</t>
        </is>
      </c>
      <c r="D506" s="59" t="inlineStr">
        <is>
          <t>Exclusion</t>
        </is>
      </c>
      <c r="E506"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06" s="46" t="inlineStr">
        <is>
          <t>excluded.BOARD</t>
        </is>
      </c>
      <c r="G506"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07" ht="43.5" customHeight="1" s="36">
      <c r="A507" s="59" t="n"/>
      <c r="B507" s="58" t="n">
        <v>4</v>
      </c>
      <c r="C507" s="44" t="inlineStr">
        <is>
          <t>3/A12.01</t>
        </is>
      </c>
      <c r="D507" s="59" t="inlineStr">
        <is>
          <t>Exclusion</t>
        </is>
      </c>
      <c r="E507" s="46" t="inlineStr">
        <is>
          <t>"PARTITION TYPE A1 &amp; A5". 3 5/8" stud, layers per face, WALL THICKNESS 4 7/8", slip track at the top, acoustic sealant at the slab and the 6" of board above the scheduled ceiling.</t>
        </is>
      </c>
      <c r="F507" s="46" t="inlineStr">
        <is>
          <t>excluded.BOARD</t>
        </is>
      </c>
      <c r="G507"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08" ht="54.75" customHeight="1" s="36">
      <c r="A508" s="59" t="n"/>
      <c r="B508" s="58" t="n">
        <v>5</v>
      </c>
      <c r="C508" s="44" t="inlineStr">
        <is>
          <t>6/A12.01</t>
        </is>
      </c>
      <c r="D508" s="59" t="inlineStr">
        <is>
          <t>Dimension</t>
        </is>
      </c>
      <c r="E508"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08" s="46" t="inlineStr">
        <is>
          <t>BOARD, TRACK_TOP, TRIM_CASING, excluded.BOARD, excluded.HEADER, excluded.INSULATION, excluded.SEALANT, length</t>
        </is>
      </c>
      <c r="G508" s="46" t="inlineStr">
        <is>
          <t>Each of the four sides of the box was checked for a parallel face 6.36 pt inwards (= 4.24", the furring of 6/A12.01 PARTITION TYPE C1): only the EXPOSED sides have it, the ones dying against another wall do not.</t>
        </is>
      </c>
    </row>
    <row r="509" ht="43.5" customHeight="1" s="36">
      <c r="A509" s="59" t="n"/>
      <c r="B509" s="58" t="n">
        <v>6</v>
      </c>
      <c r="C509" s="44" t="inlineStr">
        <is>
          <t>12/A12.01</t>
        </is>
      </c>
      <c r="D509" s="59" t="inlineStr">
        <is>
          <t>Exclusion</t>
        </is>
      </c>
      <c r="E509" s="46" t="inlineStr">
        <is>
          <t>"PARTITION TYPE F". Stud and board of type F.</t>
        </is>
      </c>
      <c r="F509" s="46" t="inlineStr">
        <is>
          <t>excluded.BOARD</t>
        </is>
      </c>
      <c r="G509"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10" ht="33" customHeight="1" s="36">
      <c r="A510" s="59" t="n"/>
      <c r="B510" s="58" t="n">
        <v>7</v>
      </c>
      <c r="C510" s="44" t="inlineStr">
        <is>
          <t>1/S5.20</t>
        </is>
      </c>
      <c r="D510" s="59" t="inlineStr">
        <is>
          <t>Quantity</t>
        </is>
      </c>
      <c r="E510" s="46" t="inlineStr">
        <is>
          <t>"TYPICAL WALL FRAMING DETAILS". Holds sub-details A through F; sub-detail F "BRIDGING AND BRACING - CONTINUOUS BRIDGING" is the bracing one: 1 1/2" C.R. CHANNEL welded to every stud. (Bracing is NOT in 5/S5.20, which is TYPICAL WALL FRAMING CONNX.)</t>
        </is>
      </c>
      <c r="F510" s="46" t="inlineStr">
        <is>
          <t>BRACING, excluded.CLIPS</t>
        </is>
      </c>
      <c r="G510" s="46" t="inlineStr">
        <is>
          <t>(1/S5.20 sub-detail F).</t>
        </is>
      </c>
    </row>
    <row r="511" ht="43.5" customHeight="1" s="36">
      <c r="A511" s="59" t="n"/>
      <c r="B511" s="58" t="n">
        <v>8</v>
      </c>
      <c r="C511" s="44" t="inlineStr">
        <is>
          <t>4/S5.20</t>
        </is>
      </c>
      <c r="D511" s="59" t="inlineStr">
        <is>
          <t>Quantity</t>
        </is>
      </c>
      <c r="E511" s="46" t="inlineStr">
        <is>
          <t>"TYPICAL BLOCKING DETAIL". STUD BLOCKING 362CR22 and CLIP ANGLE 362CR22, with the boxed verbatim note "PROVIDE BLOCKING AT THE EDGE OF GYPBOARD." - source of the blocking at EVERY free edge of board.</t>
        </is>
      </c>
      <c r="F511" s="46" t="inlineStr">
        <is>
          <t>BLOCKING</t>
        </is>
      </c>
      <c r="G511" s="46" t="inlineStr">
        <is>
          <t>Sheet general note C of A02.01, textual: "CONTRACTOR SHALL PROVIDE BLOCKING FOR ALL EQUIPMENT AND ACCESSORIES MOUNTED ON WALLS." A02.01 shows the push button and the card reader mounted on this pilaster, and 4/S5.20 TYPICAL BLOCKING DETAIL defines the piece: 1 horizontal run of 4.00 LF at the mounting height.</t>
        </is>
      </c>
    </row>
    <row r="512" ht="33" customHeight="1" s="36">
      <c r="A512" s="59" t="n"/>
      <c r="B512" s="58" t="n">
        <v>9</v>
      </c>
      <c r="C512" s="44" t="inlineStr">
        <is>
          <t>7/S5.20</t>
        </is>
      </c>
      <c r="D512" s="59" t="inlineStr">
        <is>
          <t>Quantity</t>
        </is>
      </c>
      <c r="E512" s="46" t="inlineStr">
        <is>
          <t>"METAL STUDS SCHEDULES". The profile: web, flange, lip, mils, gauge and the APPLICATION column with the spacing ("INTERIOR WALLS @ 16" O.C."), plus the SILL TRACK ANCHORAGE and the FASTENER SCHEDULE.</t>
        </is>
      </c>
      <c r="F512" s="46" t="inlineStr">
        <is>
          <t>STUD, TRACK_BOTTOM, excluded.CLIPS</t>
        </is>
      </c>
      <c r="G512" s="46" t="inlineStr">
        <is>
          <t>Stud 362S137-33 from the 3 5/8" row of 7/S5.20, APPLICATION "INTERIOR WALLS @ 16" O.C.".</t>
        </is>
      </c>
    </row>
    <row r="513" ht="43.5" customHeight="1" s="36">
      <c r="A513" s="59" t="n"/>
      <c r="B513" s="58" t="n">
        <v>10</v>
      </c>
      <c r="C513" s="44" t="inlineStr">
        <is>
          <t>A09.01</t>
        </is>
      </c>
      <c r="D513" s="59" t="inlineStr">
        <is>
          <t>Exclusion</t>
        </is>
      </c>
      <c r="E513" s="46" t="inlineStr">
        <is>
          <t>Exterior Elevations: "SOUTH ELEVATION" and "WEST ELEVATION" at 1/4"=1'-0". Extent of each exterior material and the material legend, verbatim "CJ CONTROL JOINT; PAINT TO MATCH STUCCO FINISH COLOR" - that joint is the STUCCO joint, not gypsum.</t>
        </is>
      </c>
      <c r="F513" s="46" t="inlineStr">
        <is>
          <t>excluded.CONTROL_JOINT</t>
        </is>
      </c>
      <c r="G513"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14" ht="25.5" customHeight="1" s="36">
      <c r="A514" s="59" t="n"/>
      <c r="B514" s="58" t="n">
        <v>11</v>
      </c>
      <c r="C514" s="44" t="inlineStr">
        <is>
          <t>A00.30</t>
        </is>
      </c>
      <c r="D514" s="59" t="inlineStr">
        <is>
          <t>Exclusion</t>
        </is>
      </c>
      <c r="E514" s="46" t="inlineStr">
        <is>
          <t>Door Schedule. Leaf width and height of every door and the frame type: source of the header, the board deduction and the reference to 10 and 11/A12.02.</t>
        </is>
      </c>
      <c r="F514" s="46" t="inlineStr">
        <is>
          <t>excluded.HEADER</t>
        </is>
      </c>
      <c r="G514" s="46" t="inlineStr">
        <is>
          <t>Furring with no opening: 6/A12.01 PARTITION TYPE C1 draws a continuous run of stud against the structure and the Door Schedule of A00.30 places no door on it.</t>
        </is>
      </c>
    </row>
    <row r="515" ht="33" customHeight="1" s="36">
      <c r="A515" s="59" t="n"/>
      <c r="B515" s="58" t="n">
        <v>12</v>
      </c>
      <c r="C515" s="44" t="inlineStr">
        <is>
          <t>A09.27</t>
        </is>
      </c>
      <c r="D515" s="59" t="inlineStr">
        <is>
          <t>Exclusion</t>
        </is>
      </c>
      <c r="E515" s="46" t="inlineStr">
        <is>
          <t>Gypsum Section Details, the sheet. Cited as a sheet when the finding is that NO detail on it labels a gypsum control joint.</t>
        </is>
      </c>
      <c r="F515" s="46" t="inlineStr">
        <is>
          <t>excluded.CONTROL_JOINT</t>
        </is>
      </c>
      <c r="G515" s="46" t="inlineStr">
        <is>
          <t>El set no rotula ni detalla ninguna junta de control de gypsum board, ni en A12.01 ni en los detalles de A09.27/A09.33, y no hay seccion de especificaciones 09 29 00 en el bid set.</t>
        </is>
      </c>
    </row>
    <row r="516" ht="33" customHeight="1" s="36">
      <c r="A516" s="59" t="n"/>
      <c r="B516" s="58" t="n">
        <v>13</v>
      </c>
      <c r="C516" s="44" t="inlineStr">
        <is>
          <t>A09.33</t>
        </is>
      </c>
      <c r="D516" s="59" t="inlineStr">
        <is>
          <t>Exclusion</t>
        </is>
      </c>
      <c r="E516" s="46" t="inlineStr">
        <is>
          <t>Ceiling Details, the sheet. Cited as a sheet for a finding by ABSENCE: its details label corner bead, casing bead and shadow molding one by one and NONE labels a control joint, so the omission is not a labeling oversight.</t>
        </is>
      </c>
      <c r="F516" s="46" t="inlineStr">
        <is>
          <t>excluded.CONTROL_JOINT</t>
        </is>
      </c>
      <c r="G516" s="46" t="inlineStr">
        <is>
          <t>El set no rotula ni detalla ninguna junta de control de gypsum board, ni en A12.01 ni en los detalles de A09.27/A09.33, y no hay seccion de especificaciones 09 29 00 en el bid set.</t>
        </is>
      </c>
    </row>
    <row r="517" ht="33" customHeight="1" s="36">
      <c r="A517" s="44" t="inlineStr">
        <is>
          <t>C1 #33</t>
        </is>
      </c>
      <c r="B517" s="58" t="n">
        <v>1</v>
      </c>
      <c r="C517" s="44" t="inlineStr">
        <is>
          <t>A02.01</t>
        </is>
      </c>
      <c r="D517" s="59" t="inlineStr">
        <is>
          <t>Dimension</t>
        </is>
      </c>
      <c r="E517" s="46" t="inlineStr">
        <is>
          <t>Construction Plan. Entry sheet for partitions and openings: vector geometry of every wall face at 1/4"=1'-0", the leader of every partition tag, the Construction Plan Legend (new vs. existing) and the Construction Plan Notes.</t>
        </is>
      </c>
      <c r="F517" s="46" t="inlineStr">
        <is>
          <t>excluded.BLOCKING, excluded.PATCH, length</t>
        </is>
      </c>
      <c r="G517" s="46" t="inlineStr">
        <is>
          <t>A02.01: the C1 tag does not land on a running wall but inside a CLOSED BOX of wall lineweight.</t>
        </is>
      </c>
    </row>
    <row r="518" ht="33" customHeight="1" s="36">
      <c r="A518" s="59" t="n"/>
      <c r="B518" s="58" t="n">
        <v>2</v>
      </c>
      <c r="C518" s="44" t="inlineStr">
        <is>
          <t>A04.01</t>
        </is>
      </c>
      <c r="D518" s="59" t="inlineStr">
        <is>
          <t>Dimension</t>
        </is>
      </c>
      <c r="E518" s="46" t="inlineStr">
        <is>
          <t>Reflected Ceiling Plan. Entry sheet for ceilings, soffits and canopy; on walls it gives the BOARD HEIGHT: each room ceiling tag with its printed A.F.F. dimension, plus the ceiling key notes.</t>
        </is>
      </c>
      <c r="F518" s="46" t="inlineStr">
        <is>
          <t>face[0].board_height, stud_height</t>
        </is>
      </c>
      <c r="G518" s="46" t="inlineStr">
        <is>
          <t>A04.01: ceiling of Vestibule 100, printed dimension on the RCP.</t>
        </is>
      </c>
    </row>
    <row r="519" ht="87.75" customHeight="1" s="36">
      <c r="A519" s="59" t="n"/>
      <c r="B519" s="58" t="n">
        <v>3</v>
      </c>
      <c r="C519" s="44" t="inlineStr">
        <is>
          <t>2/A12.01</t>
        </is>
      </c>
      <c r="D519" s="59" t="inlineStr">
        <is>
          <t>Exclusion</t>
        </is>
      </c>
      <c r="E519"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19" s="46" t="inlineStr">
        <is>
          <t>excluded.BOARD</t>
        </is>
      </c>
      <c r="G519"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0" ht="43.5" customHeight="1" s="36">
      <c r="A520" s="59" t="n"/>
      <c r="B520" s="58" t="n">
        <v>4</v>
      </c>
      <c r="C520" s="44" t="inlineStr">
        <is>
          <t>3/A12.01</t>
        </is>
      </c>
      <c r="D520" s="59" t="inlineStr">
        <is>
          <t>Exclusion</t>
        </is>
      </c>
      <c r="E520" s="46" t="inlineStr">
        <is>
          <t>"PARTITION TYPE A1 &amp; A5". 3 5/8" stud, layers per face, WALL THICKNESS 4 7/8", slip track at the top, acoustic sealant at the slab and the 6" of board above the scheduled ceiling.</t>
        </is>
      </c>
      <c r="F520" s="46" t="inlineStr">
        <is>
          <t>excluded.BOARD</t>
        </is>
      </c>
      <c r="G520"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1" ht="54.75" customHeight="1" s="36">
      <c r="A521" s="59" t="n"/>
      <c r="B521" s="58" t="n">
        <v>5</v>
      </c>
      <c r="C521" s="44" t="inlineStr">
        <is>
          <t>6/A12.01</t>
        </is>
      </c>
      <c r="D521" s="59" t="inlineStr">
        <is>
          <t>Dimension</t>
        </is>
      </c>
      <c r="E521"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21" s="46" t="inlineStr">
        <is>
          <t>BOARD, TRACK_TOP, TRIM_CASING, excluded.BOARD, excluded.HEADER, excluded.INSULATION, excluded.SEALANT, length</t>
        </is>
      </c>
      <c r="G521" s="46" t="inlineStr">
        <is>
          <t>Each of the four sides of the box was checked for a parallel face 6.36 pt inwards (= 4.24", the furring of 6/A12.01 PARTITION TYPE C1): only the EXPOSED sides have it, the ones dying against another wall do not.</t>
        </is>
      </c>
    </row>
    <row r="522" ht="43.5" customHeight="1" s="36">
      <c r="A522" s="59" t="n"/>
      <c r="B522" s="58" t="n">
        <v>6</v>
      </c>
      <c r="C522" s="44" t="inlineStr">
        <is>
          <t>12/A12.01</t>
        </is>
      </c>
      <c r="D522" s="59" t="inlineStr">
        <is>
          <t>Exclusion</t>
        </is>
      </c>
      <c r="E522" s="46" t="inlineStr">
        <is>
          <t>"PARTITION TYPE F". Stud and board of type F.</t>
        </is>
      </c>
      <c r="F522" s="46" t="inlineStr">
        <is>
          <t>excluded.BOARD</t>
        </is>
      </c>
      <c r="G522"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3" ht="33" customHeight="1" s="36">
      <c r="A523" s="59" t="n"/>
      <c r="B523" s="58" t="n">
        <v>7</v>
      </c>
      <c r="C523" s="44" t="inlineStr">
        <is>
          <t>1/S5.20</t>
        </is>
      </c>
      <c r="D523" s="59" t="inlineStr">
        <is>
          <t>Quantity</t>
        </is>
      </c>
      <c r="E523" s="46" t="inlineStr">
        <is>
          <t>"TYPICAL WALL FRAMING DETAILS". Holds sub-details A through F; sub-detail F "BRIDGING AND BRACING - CONTINUOUS BRIDGING" is the bracing one: 1 1/2" C.R. CHANNEL welded to every stud. (Bracing is NOT in 5/S5.20, which is TYPICAL WALL FRAMING CONNX.)</t>
        </is>
      </c>
      <c r="F523" s="46" t="inlineStr">
        <is>
          <t>BRACING, excluded.CLIPS</t>
        </is>
      </c>
      <c r="G523" s="46" t="inlineStr">
        <is>
          <t>(1/S5.20 sub-detail F).</t>
        </is>
      </c>
    </row>
    <row r="524" ht="33" customHeight="1" s="36">
      <c r="A524" s="59" t="n"/>
      <c r="B524" s="58" t="n">
        <v>8</v>
      </c>
      <c r="C524" s="44" t="inlineStr">
        <is>
          <t>4/S5.20</t>
        </is>
      </c>
      <c r="D524" s="59" t="inlineStr">
        <is>
          <t>Exclusion</t>
        </is>
      </c>
      <c r="E524" s="46" t="inlineStr">
        <is>
          <t>"TYPICAL BLOCKING DETAIL". STUD BLOCKING 362CR22 and CLIP ANGLE 362CR22, with the boxed verbatim note "PROVIDE BLOCKING AT THE EDGE OF GYPBOARD." - source of the blocking at EVERY free edge of board.</t>
        </is>
      </c>
      <c r="F524" s="46" t="inlineStr">
        <is>
          <t>excluded.BLOCKING</t>
        </is>
      </c>
      <c r="G524" s="46" t="inlineStr">
        <is>
          <t>4/S5.20 adds none either, because the board of the enclosure dies into the ceiling and leaves no free edge.</t>
        </is>
      </c>
    </row>
    <row r="525" ht="33" customHeight="1" s="36">
      <c r="A525" s="59" t="n"/>
      <c r="B525" s="58" t="n">
        <v>9</v>
      </c>
      <c r="C525" s="44" t="inlineStr">
        <is>
          <t>7/S5.20</t>
        </is>
      </c>
      <c r="D525" s="59" t="inlineStr">
        <is>
          <t>Quantity</t>
        </is>
      </c>
      <c r="E525" s="46" t="inlineStr">
        <is>
          <t>"METAL STUDS SCHEDULES". The profile: web, flange, lip, mils, gauge and the APPLICATION column with the spacing ("INTERIOR WALLS @ 16" O.C."), plus the SILL TRACK ANCHORAGE and the FASTENER SCHEDULE.</t>
        </is>
      </c>
      <c r="F525" s="46" t="inlineStr">
        <is>
          <t>STUD, TRACK_BOTTOM, excluded.CLIPS</t>
        </is>
      </c>
      <c r="G525" s="46" t="inlineStr">
        <is>
          <t>Stud 362S137-33 from the 3 5/8" row of 7/S5.20, APPLICATION "INTERIOR WALLS @ 16" O.C.".</t>
        </is>
      </c>
    </row>
    <row r="526" ht="43.5" customHeight="1" s="36">
      <c r="A526" s="59" t="n"/>
      <c r="B526" s="58" t="n">
        <v>10</v>
      </c>
      <c r="C526" s="44" t="inlineStr">
        <is>
          <t>A09.01</t>
        </is>
      </c>
      <c r="D526" s="59" t="inlineStr">
        <is>
          <t>Exclusion</t>
        </is>
      </c>
      <c r="E526" s="46" t="inlineStr">
        <is>
          <t>Exterior Elevations: "SOUTH ELEVATION" and "WEST ELEVATION" at 1/4"=1'-0". Extent of each exterior material and the material legend, verbatim "CJ CONTROL JOINT; PAINT TO MATCH STUCCO FINISH COLOR" - that joint is the STUCCO joint, not gypsum.</t>
        </is>
      </c>
      <c r="F526" s="46" t="inlineStr">
        <is>
          <t>excluded.CONTROL_JOINT</t>
        </is>
      </c>
      <c r="G526"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27" ht="25.5" customHeight="1" s="36">
      <c r="A527" s="59" t="n"/>
      <c r="B527" s="58" t="n">
        <v>11</v>
      </c>
      <c r="C527" s="44" t="inlineStr">
        <is>
          <t>A00.30</t>
        </is>
      </c>
      <c r="D527" s="59" t="inlineStr">
        <is>
          <t>Exclusion</t>
        </is>
      </c>
      <c r="E527" s="46" t="inlineStr">
        <is>
          <t>Door Schedule. Leaf width and height of every door and the frame type: source of the header, the board deduction and the reference to 10 and 11/A12.02.</t>
        </is>
      </c>
      <c r="F527" s="46" t="inlineStr">
        <is>
          <t>excluded.HEADER</t>
        </is>
      </c>
      <c r="G527" s="46" t="inlineStr">
        <is>
          <t>Furring with no opening: 6/A12.01 PARTITION TYPE C1 draws a continuous run of stud against the structure and the Door Schedule of A00.30 places no door on it.</t>
        </is>
      </c>
    </row>
    <row r="528" ht="33" customHeight="1" s="36">
      <c r="A528" s="59" t="n"/>
      <c r="B528" s="58" t="n">
        <v>12</v>
      </c>
      <c r="C528" s="44" t="inlineStr">
        <is>
          <t>A09.27</t>
        </is>
      </c>
      <c r="D528" s="59" t="inlineStr">
        <is>
          <t>Exclusion</t>
        </is>
      </c>
      <c r="E528" s="46" t="inlineStr">
        <is>
          <t>Gypsum Section Details, the sheet. Cited as a sheet when the finding is that NO detail on it labels a gypsum control joint.</t>
        </is>
      </c>
      <c r="F528" s="46" t="inlineStr">
        <is>
          <t>excluded.CONTROL_JOINT</t>
        </is>
      </c>
      <c r="G528" s="46" t="inlineStr">
        <is>
          <t>El set no rotula ni detalla ninguna junta de control de gypsum board, ni en A12.01 ni en los detalles de A09.27/A09.33, y no hay seccion de especificaciones 09 29 00 en el bid set.</t>
        </is>
      </c>
    </row>
    <row r="529" ht="33" customHeight="1" s="36">
      <c r="A529" s="59" t="n"/>
      <c r="B529" s="58" t="n">
        <v>13</v>
      </c>
      <c r="C529" s="44" t="inlineStr">
        <is>
          <t>A09.33</t>
        </is>
      </c>
      <c r="D529" s="59" t="inlineStr">
        <is>
          <t>Exclusion</t>
        </is>
      </c>
      <c r="E529" s="46" t="inlineStr">
        <is>
          <t>Ceiling Details, the sheet. Cited as a sheet for a finding by ABSENCE: its details label corner bead, casing bead and shadow molding one by one and NONE labels a control joint, so the omission is not a labeling oversight.</t>
        </is>
      </c>
      <c r="F529" s="46" t="inlineStr">
        <is>
          <t>excluded.CONTROL_JOINT</t>
        </is>
      </c>
      <c r="G529" s="46" t="inlineStr">
        <is>
          <t>El set no rotula ni detalla ninguna junta de control de gypsum board, ni en A12.01 ni en los detalles de A09.27/A09.33, y no hay seccion de especificaciones 09 29 00 en el bid set.</t>
        </is>
      </c>
    </row>
    <row r="530" ht="33" customHeight="1" s="36">
      <c r="A530" s="44" t="inlineStr">
        <is>
          <t>C1 #38</t>
        </is>
      </c>
      <c r="B530" s="58" t="n">
        <v>1</v>
      </c>
      <c r="C530" s="44" t="inlineStr">
        <is>
          <t>A02.01</t>
        </is>
      </c>
      <c r="D530" s="59" t="inlineStr">
        <is>
          <t>Dimension</t>
        </is>
      </c>
      <c r="E530" s="46" t="inlineStr">
        <is>
          <t>Construction Plan. Entry sheet for partitions and openings: vector geometry of every wall face at 1/4"=1'-0", the leader of every partition tag, the Construction Plan Legend (new vs. existing) and the Construction Plan Notes.</t>
        </is>
      </c>
      <c r="F530" s="46" t="inlineStr">
        <is>
          <t>excluded.BLOCKING, excluded.PATCH, length</t>
        </is>
      </c>
      <c r="G530" s="46" t="inlineStr">
        <is>
          <t>A02.01 vector geometry: faces y=1356.72 and y=1363.08 (6.36 pt = 4.24").</t>
        </is>
      </c>
    </row>
    <row r="531" ht="33" customHeight="1" s="36">
      <c r="A531" s="59" t="n"/>
      <c r="B531" s="58" t="n">
        <v>2</v>
      </c>
      <c r="C531" s="44" t="inlineStr">
        <is>
          <t>A04.01</t>
        </is>
      </c>
      <c r="D531" s="59" t="inlineStr">
        <is>
          <t>Dimension</t>
        </is>
      </c>
      <c r="E531" s="46" t="inlineStr">
        <is>
          <t>Reflected Ceiling Plan. Entry sheet for ceilings, soffits and canopy; on walls it gives the BOARD HEIGHT: each room ceiling tag with its printed A.F.F. dimension, plus the ceiling key notes.</t>
        </is>
      </c>
      <c r="F531" s="46" t="inlineStr">
        <is>
          <t>face[0].board_height, stud_height</t>
        </is>
      </c>
      <c r="G531" s="46" t="inlineStr">
        <is>
          <t>A04.01: ceiling of Cash Window 116, printed dimension on the RCP; the board of the furring runs to it.</t>
        </is>
      </c>
    </row>
    <row r="532" ht="87.75" customHeight="1" s="36">
      <c r="A532" s="59" t="n"/>
      <c r="B532" s="58" t="n">
        <v>3</v>
      </c>
      <c r="C532" s="44" t="inlineStr">
        <is>
          <t>2/A12.01</t>
        </is>
      </c>
      <c r="D532" s="59" t="inlineStr">
        <is>
          <t>Exclusion</t>
        </is>
      </c>
      <c r="E532"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32" s="46" t="inlineStr">
        <is>
          <t>excluded.BOARD</t>
        </is>
      </c>
      <c r="G532"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3" ht="43.5" customHeight="1" s="36">
      <c r="A533" s="59" t="n"/>
      <c r="B533" s="58" t="n">
        <v>4</v>
      </c>
      <c r="C533" s="44" t="inlineStr">
        <is>
          <t>3/A12.01</t>
        </is>
      </c>
      <c r="D533" s="59" t="inlineStr">
        <is>
          <t>Exclusion</t>
        </is>
      </c>
      <c r="E533" s="46" t="inlineStr">
        <is>
          <t>"PARTITION TYPE A1 &amp; A5". 3 5/8" stud, layers per face, WALL THICKNESS 4 7/8", slip track at the top, acoustic sealant at the slab and the 6" of board above the scheduled ceiling.</t>
        </is>
      </c>
      <c r="F533" s="46" t="inlineStr">
        <is>
          <t>excluded.BOARD</t>
        </is>
      </c>
      <c r="G533"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4" ht="54.75" customHeight="1" s="36">
      <c r="A534" s="59" t="n"/>
      <c r="B534" s="58" t="n">
        <v>5</v>
      </c>
      <c r="C534" s="44" t="inlineStr">
        <is>
          <t>6/A12.01</t>
        </is>
      </c>
      <c r="D534" s="59" t="inlineStr">
        <is>
          <t>Dimension</t>
        </is>
      </c>
      <c r="E534"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34" s="46" t="inlineStr">
        <is>
          <t>BOARD, TRACK_TOP, excluded.BOARD, excluded.HEADER, excluded.INSULATION, excluded.SEALANT, stud_height</t>
        </is>
      </c>
      <c r="G534" s="46" t="inlineStr">
        <is>
          <t>6/A12.01 PARTITION TYPE C1 does not dimension how high the furring goes, so it is taken to the ceiling of the room it faces, the printed dimension of the RCP: 9.000 ft.</t>
        </is>
      </c>
    </row>
    <row r="535" ht="43.5" customHeight="1" s="36">
      <c r="A535" s="59" t="n"/>
      <c r="B535" s="58" t="n">
        <v>6</v>
      </c>
      <c r="C535" s="44" t="inlineStr">
        <is>
          <t>12/A12.01</t>
        </is>
      </c>
      <c r="D535" s="59" t="inlineStr">
        <is>
          <t>Exclusion</t>
        </is>
      </c>
      <c r="E535" s="46" t="inlineStr">
        <is>
          <t>"PARTITION TYPE F". Stud and board of type F.</t>
        </is>
      </c>
      <c r="F535" s="46" t="inlineStr">
        <is>
          <t>excluded.BOARD</t>
        </is>
      </c>
      <c r="G535"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6" ht="33" customHeight="1" s="36">
      <c r="A536" s="59" t="n"/>
      <c r="B536" s="58" t="n">
        <v>7</v>
      </c>
      <c r="C536" s="44" t="inlineStr">
        <is>
          <t>1/S5.20</t>
        </is>
      </c>
      <c r="D536" s="59" t="inlineStr">
        <is>
          <t>Quantity</t>
        </is>
      </c>
      <c r="E536" s="46" t="inlineStr">
        <is>
          <t>"TYPICAL WALL FRAMING DETAILS". Holds sub-details A through F; sub-detail F "BRIDGING AND BRACING - CONTINUOUS BRIDGING" is the bracing one: 1 1/2" C.R. CHANNEL welded to every stud. (Bracing is NOT in 5/S5.20, which is TYPICAL WALL FRAMING CONNX.)</t>
        </is>
      </c>
      <c r="F536" s="46" t="inlineStr">
        <is>
          <t>BRACING, excluded.CLIPS</t>
        </is>
      </c>
      <c r="G536" s="46" t="inlineStr">
        <is>
          <t>(1/S5.20 sub-detail F).</t>
        </is>
      </c>
    </row>
    <row r="537" ht="33" customHeight="1" s="36">
      <c r="A537" s="59" t="n"/>
      <c r="B537" s="58" t="n">
        <v>8</v>
      </c>
      <c r="C537" s="44" t="inlineStr">
        <is>
          <t>4/S5.20</t>
        </is>
      </c>
      <c r="D537" s="59" t="inlineStr">
        <is>
          <t>Exclusion</t>
        </is>
      </c>
      <c r="E537" s="46" t="inlineStr">
        <is>
          <t>"TYPICAL BLOCKING DETAIL". STUD BLOCKING 362CR22 and CLIP ANGLE 362CR22, with the boxed verbatim note "PROVIDE BLOCKING AT THE EDGE OF GYPBOARD." - source of the blocking at EVERY free edge of board.</t>
        </is>
      </c>
      <c r="F537" s="46" t="inlineStr">
        <is>
          <t>excluded.BLOCKING</t>
        </is>
      </c>
      <c r="G537" s="46" t="inlineStr">
        <is>
          <t>4/S5.20 adds none either: the board dies into the ceiling and leaves no free edge.</t>
        </is>
      </c>
    </row>
    <row r="538" ht="33" customHeight="1" s="36">
      <c r="A538" s="59" t="n"/>
      <c r="B538" s="58" t="n">
        <v>9</v>
      </c>
      <c r="C538" s="44" t="inlineStr">
        <is>
          <t>7/S5.20</t>
        </is>
      </c>
      <c r="D538" s="59" t="inlineStr">
        <is>
          <t>Quantity</t>
        </is>
      </c>
      <c r="E538" s="46" t="inlineStr">
        <is>
          <t>"METAL STUDS SCHEDULES". The profile: web, flange, lip, mils, gauge and the APPLICATION column with the spacing ("INTERIOR WALLS @ 16" O.C."), plus the SILL TRACK ANCHORAGE and the FASTENER SCHEDULE.</t>
        </is>
      </c>
      <c r="F538" s="46" t="inlineStr">
        <is>
          <t>STUD, TRACK_BOTTOM, excluded.CLIPS</t>
        </is>
      </c>
      <c r="G538" s="46" t="inlineStr">
        <is>
          <t>Stud 362S137-33 from the 3 5/8" row of 7/S5.20, APPLICATION "INTERIOR WALLS @ 16" O.C.".</t>
        </is>
      </c>
    </row>
    <row r="539" ht="43.5" customHeight="1" s="36">
      <c r="A539" s="59" t="n"/>
      <c r="B539" s="58" t="n">
        <v>10</v>
      </c>
      <c r="C539" s="44" t="inlineStr">
        <is>
          <t>A09.01</t>
        </is>
      </c>
      <c r="D539" s="59" t="inlineStr">
        <is>
          <t>Exclusion</t>
        </is>
      </c>
      <c r="E539" s="46" t="inlineStr">
        <is>
          <t>Exterior Elevations: "SOUTH ELEVATION" and "WEST ELEVATION" at 1/4"=1'-0". Extent of each exterior material and the material legend, verbatim "CJ CONTROL JOINT; PAINT TO MATCH STUCCO FINISH COLOR" - that joint is the STUCCO joint, not gypsum.</t>
        </is>
      </c>
      <c r="F539" s="46" t="inlineStr">
        <is>
          <t>excluded.CONTROL_JOINT</t>
        </is>
      </c>
      <c r="G53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40" ht="25.5" customHeight="1" s="36">
      <c r="A540" s="59" t="n"/>
      <c r="B540" s="58" t="n">
        <v>11</v>
      </c>
      <c r="C540" s="44" t="inlineStr">
        <is>
          <t>A00.30</t>
        </is>
      </c>
      <c r="D540" s="59" t="inlineStr">
        <is>
          <t>Exclusion</t>
        </is>
      </c>
      <c r="E540" s="46" t="inlineStr">
        <is>
          <t>Door Schedule. Leaf width and height of every door and the frame type: source of the header, the board deduction and the reference to 10 and 11/A12.02.</t>
        </is>
      </c>
      <c r="F540" s="46" t="inlineStr">
        <is>
          <t>excluded.BLOCKING, excluded.HEADER</t>
        </is>
      </c>
      <c r="G540" s="46" t="inlineStr">
        <is>
          <t>Key notes 5, 6 and 7 of A02.01, the Fixture Plan and the Millwork Schedule of A00.30 were reviewed: nothing is mounted on this stretch of furring.</t>
        </is>
      </c>
    </row>
    <row r="541" ht="33" customHeight="1" s="36">
      <c r="A541" s="59" t="n"/>
      <c r="B541" s="58" t="n">
        <v>12</v>
      </c>
      <c r="C541" s="44" t="inlineStr">
        <is>
          <t>A09.27</t>
        </is>
      </c>
      <c r="D541" s="59" t="inlineStr">
        <is>
          <t>Exclusion</t>
        </is>
      </c>
      <c r="E541" s="46" t="inlineStr">
        <is>
          <t>Gypsum Section Details, the sheet. Cited as a sheet when the finding is that NO detail on it labels a gypsum control joint.</t>
        </is>
      </c>
      <c r="F541" s="46" t="inlineStr">
        <is>
          <t>excluded.CONTROL_JOINT</t>
        </is>
      </c>
      <c r="G541" s="46" t="inlineStr">
        <is>
          <t>El set no rotula ni detalla ninguna junta de control de gypsum board, ni en A12.01 ni en los detalles de A09.27/A09.33, y no hay seccion de especificaciones 09 29 00 en el bid set.</t>
        </is>
      </c>
    </row>
    <row r="542" ht="33" customHeight="1" s="36">
      <c r="A542" s="59" t="n"/>
      <c r="B542" s="58" t="n">
        <v>13</v>
      </c>
      <c r="C542" s="44" t="inlineStr">
        <is>
          <t>A09.33</t>
        </is>
      </c>
      <c r="D542" s="59" t="inlineStr">
        <is>
          <t>Exclusion</t>
        </is>
      </c>
      <c r="E542" s="46" t="inlineStr">
        <is>
          <t>Ceiling Details, the sheet. Cited as a sheet for a finding by ABSENCE: its details label corner bead, casing bead and shadow molding one by one and NONE labels a control joint, so the omission is not a labeling oversight.</t>
        </is>
      </c>
      <c r="F542" s="46" t="inlineStr">
        <is>
          <t>excluded.CONTROL_JOINT</t>
        </is>
      </c>
      <c r="G542" s="46" t="inlineStr">
        <is>
          <t>El set no rotula ni detalla ninguna junta de control de gypsum board, ni en A12.01 ni en los detalles de A09.27/A09.33, y no hay seccion de especificaciones 09 29 00 en el bid set.</t>
        </is>
      </c>
    </row>
    <row r="543" ht="33" customHeight="1" s="36">
      <c r="A543" s="44" t="inlineStr">
        <is>
          <t>C1 #34</t>
        </is>
      </c>
      <c r="B543" s="58" t="n">
        <v>1</v>
      </c>
      <c r="C543" s="44" t="inlineStr">
        <is>
          <t>A02.01</t>
        </is>
      </c>
      <c r="D543" s="59" t="inlineStr">
        <is>
          <t>Dimension</t>
        </is>
      </c>
      <c r="E543" s="46" t="inlineStr">
        <is>
          <t>Construction Plan. Entry sheet for partitions and openings: vector geometry of every wall face at 1/4"=1'-0", the leader of every partition tag, the Construction Plan Legend (new vs. existing) and the Construction Plan Notes.</t>
        </is>
      </c>
      <c r="F543" s="46" t="inlineStr">
        <is>
          <t>excluded.BLOCKING, excluded.PATCH, length</t>
        </is>
      </c>
      <c r="G543" s="46" t="inlineStr">
        <is>
          <t>A02.01: the C1 tag does not land on a running wall but inside a CLOSED BOX of wall lineweight.</t>
        </is>
      </c>
    </row>
    <row r="544" ht="33" customHeight="1" s="36">
      <c r="A544" s="59" t="n"/>
      <c r="B544" s="58" t="n">
        <v>2</v>
      </c>
      <c r="C544" s="44" t="inlineStr">
        <is>
          <t>A04.01</t>
        </is>
      </c>
      <c r="D544" s="59" t="inlineStr">
        <is>
          <t>Dimension</t>
        </is>
      </c>
      <c r="E544" s="46" t="inlineStr">
        <is>
          <t>Reflected Ceiling Plan. Entry sheet for ceilings, soffits and canopy; on walls it gives the BOARD HEIGHT: each room ceiling tag with its printed A.F.F. dimension, plus the ceiling key notes.</t>
        </is>
      </c>
      <c r="F544" s="46" t="inlineStr">
        <is>
          <t>face[0].board_height, stud_height</t>
        </is>
      </c>
      <c r="G544" s="46" t="inlineStr">
        <is>
          <t>A04.01: ceiling of Central Zone 103, printed dimension on the RCP.</t>
        </is>
      </c>
    </row>
    <row r="545" ht="87.75" customHeight="1" s="36">
      <c r="A545" s="59" t="n"/>
      <c r="B545" s="58" t="n">
        <v>3</v>
      </c>
      <c r="C545" s="44" t="inlineStr">
        <is>
          <t>2/A12.01</t>
        </is>
      </c>
      <c r="D545" s="59" t="inlineStr">
        <is>
          <t>Exclusion</t>
        </is>
      </c>
      <c r="E545"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45" s="46" t="inlineStr">
        <is>
          <t>excluded.BOARD</t>
        </is>
      </c>
      <c r="G545"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6" ht="43.5" customHeight="1" s="36">
      <c r="A546" s="59" t="n"/>
      <c r="B546" s="58" t="n">
        <v>4</v>
      </c>
      <c r="C546" s="44" t="inlineStr">
        <is>
          <t>3/A12.01</t>
        </is>
      </c>
      <c r="D546" s="59" t="inlineStr">
        <is>
          <t>Exclusion</t>
        </is>
      </c>
      <c r="E546" s="46" t="inlineStr">
        <is>
          <t>"PARTITION TYPE A1 &amp; A5". 3 5/8" stud, layers per face, WALL THICKNESS 4 7/8", slip track at the top, acoustic sealant at the slab and the 6" of board above the scheduled ceiling.</t>
        </is>
      </c>
      <c r="F546" s="46" t="inlineStr">
        <is>
          <t>excluded.BOARD</t>
        </is>
      </c>
      <c r="G546"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7" ht="54.75" customHeight="1" s="36">
      <c r="A547" s="59" t="n"/>
      <c r="B547" s="58" t="n">
        <v>5</v>
      </c>
      <c r="C547" s="44" t="inlineStr">
        <is>
          <t>6/A12.01</t>
        </is>
      </c>
      <c r="D547" s="59" t="inlineStr">
        <is>
          <t>Dimension</t>
        </is>
      </c>
      <c r="E547"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47" s="46" t="inlineStr">
        <is>
          <t>BOARD, TRACK_TOP, TRIM_CASING, excluded.BOARD, excluded.HEADER, excluded.INSULATION, excluded.SEALANT, length</t>
        </is>
      </c>
      <c r="G547" s="46" t="inlineStr">
        <is>
          <t>Each of the four sides of the box was checked for a parallel face 6.36 pt inwards (= 4.24", the furring of 6/A12.01 PARTITION TYPE C1): only the EXPOSED sides have it, the ones dying against another wall do not.</t>
        </is>
      </c>
    </row>
    <row r="548" ht="43.5" customHeight="1" s="36">
      <c r="A548" s="59" t="n"/>
      <c r="B548" s="58" t="n">
        <v>6</v>
      </c>
      <c r="C548" s="44" t="inlineStr">
        <is>
          <t>12/A12.01</t>
        </is>
      </c>
      <c r="D548" s="59" t="inlineStr">
        <is>
          <t>Exclusion</t>
        </is>
      </c>
      <c r="E548" s="46" t="inlineStr">
        <is>
          <t>"PARTITION TYPE F". Stud and board of type F.</t>
        </is>
      </c>
      <c r="F548" s="46" t="inlineStr">
        <is>
          <t>excluded.BOARD</t>
        </is>
      </c>
      <c r="G548"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9" ht="33" customHeight="1" s="36">
      <c r="A549" s="59" t="n"/>
      <c r="B549" s="58" t="n">
        <v>7</v>
      </c>
      <c r="C549" s="44" t="inlineStr">
        <is>
          <t>1/S5.20</t>
        </is>
      </c>
      <c r="D549" s="59" t="inlineStr">
        <is>
          <t>Quantity</t>
        </is>
      </c>
      <c r="E549" s="46" t="inlineStr">
        <is>
          <t>"TYPICAL WALL FRAMING DETAILS". Holds sub-details A through F; sub-detail F "BRIDGING AND BRACING - CONTINUOUS BRIDGING" is the bracing one: 1 1/2" C.R. CHANNEL welded to every stud. (Bracing is NOT in 5/S5.20, which is TYPICAL WALL FRAMING CONNX.)</t>
        </is>
      </c>
      <c r="F549" s="46" t="inlineStr">
        <is>
          <t>BRACING, excluded.CLIPS</t>
        </is>
      </c>
      <c r="G549" s="46" t="inlineStr">
        <is>
          <t>(1/S5.20 sub-detail F).</t>
        </is>
      </c>
    </row>
    <row r="550" ht="33" customHeight="1" s="36">
      <c r="A550" s="59" t="n"/>
      <c r="B550" s="58" t="n">
        <v>8</v>
      </c>
      <c r="C550" s="44" t="inlineStr">
        <is>
          <t>4/S5.20</t>
        </is>
      </c>
      <c r="D550" s="59" t="inlineStr">
        <is>
          <t>Exclusion</t>
        </is>
      </c>
      <c r="E550" s="46" t="inlineStr">
        <is>
          <t>"TYPICAL BLOCKING DETAIL". STUD BLOCKING 362CR22 and CLIP ANGLE 362CR22, with the boxed verbatim note "PROVIDE BLOCKING AT THE EDGE OF GYPBOARD." - source of the blocking at EVERY free edge of board.</t>
        </is>
      </c>
      <c r="F550" s="46" t="inlineStr">
        <is>
          <t>excluded.BLOCKING</t>
        </is>
      </c>
      <c r="G550" s="46" t="inlineStr">
        <is>
          <t>4/S5.20 adds none either, because the board of the enclosure dies into the ceiling and leaves no free edge.</t>
        </is>
      </c>
    </row>
    <row r="551" ht="33" customHeight="1" s="36">
      <c r="A551" s="59" t="n"/>
      <c r="B551" s="58" t="n">
        <v>9</v>
      </c>
      <c r="C551" s="44" t="inlineStr">
        <is>
          <t>7/S5.20</t>
        </is>
      </c>
      <c r="D551" s="59" t="inlineStr">
        <is>
          <t>Quantity</t>
        </is>
      </c>
      <c r="E551" s="46" t="inlineStr">
        <is>
          <t>"METAL STUDS SCHEDULES". The profile: web, flange, lip, mils, gauge and the APPLICATION column with the spacing ("INTERIOR WALLS @ 16" O.C."), plus the SILL TRACK ANCHORAGE and the FASTENER SCHEDULE.</t>
        </is>
      </c>
      <c r="F551" s="46" t="inlineStr">
        <is>
          <t>STUD, TRACK_BOTTOM, excluded.CLIPS</t>
        </is>
      </c>
      <c r="G551" s="46" t="inlineStr">
        <is>
          <t>Stud 362S137-33 from the 3 5/8" row of 7/S5.20, APPLICATION "INTERIOR WALLS @ 16" O.C.".</t>
        </is>
      </c>
    </row>
    <row r="552" ht="43.5" customHeight="1" s="36">
      <c r="A552" s="59" t="n"/>
      <c r="B552" s="58" t="n">
        <v>10</v>
      </c>
      <c r="C552" s="44" t="inlineStr">
        <is>
          <t>A09.01</t>
        </is>
      </c>
      <c r="D552" s="59" t="inlineStr">
        <is>
          <t>Exclusion</t>
        </is>
      </c>
      <c r="E552" s="46" t="inlineStr">
        <is>
          <t>Exterior Elevations: "SOUTH ELEVATION" and "WEST ELEVATION" at 1/4"=1'-0". Extent of each exterior material and the material legend, verbatim "CJ CONTROL JOINT; PAINT TO MATCH STUCCO FINISH COLOR" - that joint is the STUCCO joint, not gypsum.</t>
        </is>
      </c>
      <c r="F552" s="46" t="inlineStr">
        <is>
          <t>excluded.CONTROL_JOINT</t>
        </is>
      </c>
      <c r="G55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53" ht="25.5" customHeight="1" s="36">
      <c r="A553" s="59" t="n"/>
      <c r="B553" s="58" t="n">
        <v>11</v>
      </c>
      <c r="C553" s="44" t="inlineStr">
        <is>
          <t>A00.30</t>
        </is>
      </c>
      <c r="D553" s="59" t="inlineStr">
        <is>
          <t>Exclusion</t>
        </is>
      </c>
      <c r="E553" s="46" t="inlineStr">
        <is>
          <t>Door Schedule. Leaf width and height of every door and the frame type: source of the header, the board deduction and the reference to 10 and 11/A12.02.</t>
        </is>
      </c>
      <c r="F553" s="46" t="inlineStr">
        <is>
          <t>excluded.HEADER</t>
        </is>
      </c>
      <c r="G553" s="46" t="inlineStr">
        <is>
          <t>Furring with no opening: 6/A12.01 PARTITION TYPE C1 draws a continuous run of stud against the structure and the Door Schedule of A00.30 places no door on it.</t>
        </is>
      </c>
    </row>
    <row r="554" ht="33" customHeight="1" s="36">
      <c r="A554" s="59" t="n"/>
      <c r="B554" s="58" t="n">
        <v>12</v>
      </c>
      <c r="C554" s="44" t="inlineStr">
        <is>
          <t>A09.27</t>
        </is>
      </c>
      <c r="D554" s="59" t="inlineStr">
        <is>
          <t>Exclusion</t>
        </is>
      </c>
      <c r="E554" s="46" t="inlineStr">
        <is>
          <t>Gypsum Section Details, the sheet. Cited as a sheet when the finding is that NO detail on it labels a gypsum control joint.</t>
        </is>
      </c>
      <c r="F554" s="46" t="inlineStr">
        <is>
          <t>excluded.CONTROL_JOINT</t>
        </is>
      </c>
      <c r="G554" s="46" t="inlineStr">
        <is>
          <t>El set no rotula ni detalla ninguna junta de control de gypsum board, ni en A12.01 ni en los detalles de A09.27/A09.33, y no hay seccion de especificaciones 09 29 00 en el bid set.</t>
        </is>
      </c>
    </row>
    <row r="555" ht="33" customHeight="1" s="36">
      <c r="A555" s="59" t="n"/>
      <c r="B555" s="58" t="n">
        <v>13</v>
      </c>
      <c r="C555" s="44" t="inlineStr">
        <is>
          <t>A09.33</t>
        </is>
      </c>
      <c r="D555" s="59" t="inlineStr">
        <is>
          <t>Exclusion</t>
        </is>
      </c>
      <c r="E555" s="46" t="inlineStr">
        <is>
          <t>Ceiling Details, the sheet. Cited as a sheet for a finding by ABSENCE: its details label corner bead, casing bead and shadow molding one by one and NONE labels a control joint, so the omission is not a labeling oversight.</t>
        </is>
      </c>
      <c r="F555" s="46" t="inlineStr">
        <is>
          <t>excluded.CONTROL_JOINT</t>
        </is>
      </c>
      <c r="G555" s="46" t="inlineStr">
        <is>
          <t>El set no rotula ni detalla ninguna junta de control de gypsum board, ni en A12.01 ni en los detalles de A09.27/A09.33, y no hay seccion de especificaciones 09 29 00 en el bid set.</t>
        </is>
      </c>
    </row>
    <row r="556" ht="33" customHeight="1" s="36">
      <c r="A556" s="44" t="inlineStr">
        <is>
          <t>C1 #35</t>
        </is>
      </c>
      <c r="B556" s="58" t="n">
        <v>1</v>
      </c>
      <c r="C556" s="44" t="inlineStr">
        <is>
          <t>A02.01</t>
        </is>
      </c>
      <c r="D556" s="59" t="inlineStr">
        <is>
          <t>Dimension</t>
        </is>
      </c>
      <c r="E556" s="46" t="inlineStr">
        <is>
          <t>Construction Plan. Entry sheet for partitions and openings: vector geometry of every wall face at 1/4"=1'-0", the leader of every partition tag, the Construction Plan Legend (new vs. existing) and the Construction Plan Notes.</t>
        </is>
      </c>
      <c r="F556" s="46" t="inlineStr">
        <is>
          <t>excluded.BLOCKING, excluded.PATCH, length</t>
        </is>
      </c>
      <c r="G556" s="46" t="inlineStr">
        <is>
          <t>A02.01: the C1 tag does not land on a running wall but inside a CLOSED BOX of wall lineweight.</t>
        </is>
      </c>
    </row>
    <row r="557" ht="33" customHeight="1" s="36">
      <c r="A557" s="59" t="n"/>
      <c r="B557" s="58" t="n">
        <v>2</v>
      </c>
      <c r="C557" s="44" t="inlineStr">
        <is>
          <t>A04.01</t>
        </is>
      </c>
      <c r="D557" s="59" t="inlineStr">
        <is>
          <t>Dimension</t>
        </is>
      </c>
      <c r="E557" s="46" t="inlineStr">
        <is>
          <t>Reflected Ceiling Plan. Entry sheet for ceilings, soffits and canopy; on walls it gives the BOARD HEIGHT: each room ceiling tag with its printed A.F.F. dimension, plus the ceiling key notes.</t>
        </is>
      </c>
      <c r="F557" s="46" t="inlineStr">
        <is>
          <t>face[0].board_height, stud_height</t>
        </is>
      </c>
      <c r="G557" s="46" t="inlineStr">
        <is>
          <t>A04.01: ceiling of Central Zone 103, printed dimension on the RCP.</t>
        </is>
      </c>
    </row>
    <row r="558" ht="87.75" customHeight="1" s="36">
      <c r="A558" s="59" t="n"/>
      <c r="B558" s="58" t="n">
        <v>3</v>
      </c>
      <c r="C558" s="44" t="inlineStr">
        <is>
          <t>2/A12.01</t>
        </is>
      </c>
      <c r="D558" s="59" t="inlineStr">
        <is>
          <t>Exclusion</t>
        </is>
      </c>
      <c r="E558"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58" s="46" t="inlineStr">
        <is>
          <t>excluded.BOARD</t>
        </is>
      </c>
      <c r="G558"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59" ht="43.5" customHeight="1" s="36">
      <c r="A559" s="59" t="n"/>
      <c r="B559" s="58" t="n">
        <v>4</v>
      </c>
      <c r="C559" s="44" t="inlineStr">
        <is>
          <t>3/A12.01</t>
        </is>
      </c>
      <c r="D559" s="59" t="inlineStr">
        <is>
          <t>Exclusion</t>
        </is>
      </c>
      <c r="E559" s="46" t="inlineStr">
        <is>
          <t>"PARTITION TYPE A1 &amp; A5". 3 5/8" stud, layers per face, WALL THICKNESS 4 7/8", slip track at the top, acoustic sealant at the slab and the 6" of board above the scheduled ceiling.</t>
        </is>
      </c>
      <c r="F559" s="46" t="inlineStr">
        <is>
          <t>excluded.BOARD</t>
        </is>
      </c>
      <c r="G559"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60" ht="54.75" customHeight="1" s="36">
      <c r="A560" s="59" t="n"/>
      <c r="B560" s="58" t="n">
        <v>5</v>
      </c>
      <c r="C560" s="44" t="inlineStr">
        <is>
          <t>6/A12.01</t>
        </is>
      </c>
      <c r="D560" s="59" t="inlineStr">
        <is>
          <t>Dimension</t>
        </is>
      </c>
      <c r="E560"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60" s="46" t="inlineStr">
        <is>
          <t>BOARD, TRACK_TOP, TRIM_CASING, excluded.BOARD, excluded.HEADER, excluded.INSULATION, excluded.SEALANT, length</t>
        </is>
      </c>
      <c r="G560" s="46" t="inlineStr">
        <is>
          <t>Each of the four sides of the box was checked for a parallel face 6.36 pt inwards (= 4.24", the furring of 6/A12.01 PARTITION TYPE C1): only the EXPOSED sides have it, the ones dying against another wall do not.</t>
        </is>
      </c>
    </row>
    <row r="561" ht="43.5" customHeight="1" s="36">
      <c r="A561" s="59" t="n"/>
      <c r="B561" s="58" t="n">
        <v>6</v>
      </c>
      <c r="C561" s="44" t="inlineStr">
        <is>
          <t>12/A12.01</t>
        </is>
      </c>
      <c r="D561" s="59" t="inlineStr">
        <is>
          <t>Exclusion</t>
        </is>
      </c>
      <c r="E561" s="46" t="inlineStr">
        <is>
          <t>"PARTITION TYPE F". Stud and board of type F.</t>
        </is>
      </c>
      <c r="F561" s="46" t="inlineStr">
        <is>
          <t>excluded.BOARD</t>
        </is>
      </c>
      <c r="G561"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62" ht="33" customHeight="1" s="36">
      <c r="A562" s="59" t="n"/>
      <c r="B562" s="58" t="n">
        <v>7</v>
      </c>
      <c r="C562" s="44" t="inlineStr">
        <is>
          <t>1/S5.20</t>
        </is>
      </c>
      <c r="D562" s="59" t="inlineStr">
        <is>
          <t>Quantity</t>
        </is>
      </c>
      <c r="E562" s="46" t="inlineStr">
        <is>
          <t>"TYPICAL WALL FRAMING DETAILS". Holds sub-details A through F; sub-detail F "BRIDGING AND BRACING - CONTINUOUS BRIDGING" is the bracing one: 1 1/2" C.R. CHANNEL welded to every stud. (Bracing is NOT in 5/S5.20, which is TYPICAL WALL FRAMING CONNX.)</t>
        </is>
      </c>
      <c r="F562" s="46" t="inlineStr">
        <is>
          <t>BRACING, excluded.CLIPS</t>
        </is>
      </c>
      <c r="G562" s="46" t="inlineStr">
        <is>
          <t>(1/S5.20 sub-detail F).</t>
        </is>
      </c>
    </row>
    <row r="563" ht="33" customHeight="1" s="36">
      <c r="A563" s="59" t="n"/>
      <c r="B563" s="58" t="n">
        <v>8</v>
      </c>
      <c r="C563" s="44" t="inlineStr">
        <is>
          <t>4/S5.20</t>
        </is>
      </c>
      <c r="D563" s="59" t="inlineStr">
        <is>
          <t>Exclusion</t>
        </is>
      </c>
      <c r="E563" s="46" t="inlineStr">
        <is>
          <t>"TYPICAL BLOCKING DETAIL". STUD BLOCKING 362CR22 and CLIP ANGLE 362CR22, with the boxed verbatim note "PROVIDE BLOCKING AT THE EDGE OF GYPBOARD." - source of the blocking at EVERY free edge of board.</t>
        </is>
      </c>
      <c r="F563" s="46" t="inlineStr">
        <is>
          <t>excluded.BLOCKING</t>
        </is>
      </c>
      <c r="G563" s="46" t="inlineStr">
        <is>
          <t>4/S5.20 adds none either, because the board of the enclosure dies into the ceiling and leaves no free edge.</t>
        </is>
      </c>
    </row>
    <row r="564" ht="33" customHeight="1" s="36">
      <c r="A564" s="59" t="n"/>
      <c r="B564" s="58" t="n">
        <v>9</v>
      </c>
      <c r="C564" s="44" t="inlineStr">
        <is>
          <t>7/S5.20</t>
        </is>
      </c>
      <c r="D564" s="59" t="inlineStr">
        <is>
          <t>Quantity</t>
        </is>
      </c>
      <c r="E564" s="46" t="inlineStr">
        <is>
          <t>"METAL STUDS SCHEDULES". The profile: web, flange, lip, mils, gauge and the APPLICATION column with the spacing ("INTERIOR WALLS @ 16" O.C."), plus the SILL TRACK ANCHORAGE and the FASTENER SCHEDULE.</t>
        </is>
      </c>
      <c r="F564" s="46" t="inlineStr">
        <is>
          <t>STUD, TRACK_BOTTOM, excluded.CLIPS</t>
        </is>
      </c>
      <c r="G564" s="46" t="inlineStr">
        <is>
          <t>Stud 362S137-33 from the 3 5/8" row of 7/S5.20, APPLICATION "INTERIOR WALLS @ 16" O.C.".</t>
        </is>
      </c>
    </row>
    <row r="565" ht="43.5" customHeight="1" s="36">
      <c r="A565" s="59" t="n"/>
      <c r="B565" s="58" t="n">
        <v>10</v>
      </c>
      <c r="C565" s="44" t="inlineStr">
        <is>
          <t>A09.01</t>
        </is>
      </c>
      <c r="D565" s="59" t="inlineStr">
        <is>
          <t>Exclusion</t>
        </is>
      </c>
      <c r="E565" s="46" t="inlineStr">
        <is>
          <t>Exterior Elevations: "SOUTH ELEVATION" and "WEST ELEVATION" at 1/4"=1'-0". Extent of each exterior material and the material legend, verbatim "CJ CONTROL JOINT; PAINT TO MATCH STUCCO FINISH COLOR" - that joint is the STUCCO joint, not gypsum.</t>
        </is>
      </c>
      <c r="F565" s="46" t="inlineStr">
        <is>
          <t>excluded.CONTROL_JOINT</t>
        </is>
      </c>
      <c r="G56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66" ht="25.5" customHeight="1" s="36">
      <c r="A566" s="59" t="n"/>
      <c r="B566" s="58" t="n">
        <v>11</v>
      </c>
      <c r="C566" s="44" t="inlineStr">
        <is>
          <t>A00.30</t>
        </is>
      </c>
      <c r="D566" s="59" t="inlineStr">
        <is>
          <t>Exclusion</t>
        </is>
      </c>
      <c r="E566" s="46" t="inlineStr">
        <is>
          <t>Door Schedule. Leaf width and height of every door and the frame type: source of the header, the board deduction and the reference to 10 and 11/A12.02.</t>
        </is>
      </c>
      <c r="F566" s="46" t="inlineStr">
        <is>
          <t>excluded.HEADER</t>
        </is>
      </c>
      <c r="G566" s="46" t="inlineStr">
        <is>
          <t>Furring with no opening: 6/A12.01 PARTITION TYPE C1 draws a continuous run of stud against the structure and the Door Schedule of A00.30 places no door on it.</t>
        </is>
      </c>
    </row>
    <row r="567" ht="33" customHeight="1" s="36">
      <c r="A567" s="59" t="n"/>
      <c r="B567" s="58" t="n">
        <v>12</v>
      </c>
      <c r="C567" s="44" t="inlineStr">
        <is>
          <t>A09.27</t>
        </is>
      </c>
      <c r="D567" s="59" t="inlineStr">
        <is>
          <t>Exclusion</t>
        </is>
      </c>
      <c r="E567" s="46" t="inlineStr">
        <is>
          <t>Gypsum Section Details, the sheet. Cited as a sheet when the finding is that NO detail on it labels a gypsum control joint.</t>
        </is>
      </c>
      <c r="F567" s="46" t="inlineStr">
        <is>
          <t>excluded.CONTROL_JOINT</t>
        </is>
      </c>
      <c r="G567" s="46" t="inlineStr">
        <is>
          <t>El set no rotula ni detalla ninguna junta de control de gypsum board, ni en A12.01 ni en los detalles de A09.27/A09.33, y no hay seccion de especificaciones 09 29 00 en el bid set.</t>
        </is>
      </c>
    </row>
    <row r="568" ht="33" customHeight="1" s="36">
      <c r="A568" s="59" t="n"/>
      <c r="B568" s="58" t="n">
        <v>13</v>
      </c>
      <c r="C568" s="44" t="inlineStr">
        <is>
          <t>A09.33</t>
        </is>
      </c>
      <c r="D568" s="59" t="inlineStr">
        <is>
          <t>Exclusion</t>
        </is>
      </c>
      <c r="E568" s="46" t="inlineStr">
        <is>
          <t>Ceiling Details, the sheet. Cited as a sheet for a finding by ABSENCE: its details label corner bead, casing bead and shadow molding one by one and NONE labels a control joint, so the omission is not a labeling oversight.</t>
        </is>
      </c>
      <c r="F568" s="46" t="inlineStr">
        <is>
          <t>excluded.CONTROL_JOINT</t>
        </is>
      </c>
      <c r="G568" s="46" t="inlineStr">
        <is>
          <t>El set no rotula ni detalla ninguna junta de control de gypsum board, ni en A12.01 ni en los detalles de A09.27/A09.33, y no hay seccion de especificaciones 09 29 00 en el bid set.</t>
        </is>
      </c>
    </row>
    <row r="569" ht="33" customHeight="1" s="36">
      <c r="A569" s="44" t="inlineStr">
        <is>
          <t>CANOPY-COL #66</t>
        </is>
      </c>
      <c r="B569" s="58" t="n">
        <v>1</v>
      </c>
      <c r="C569" s="44" t="inlineStr">
        <is>
          <t>A02.01</t>
        </is>
      </c>
      <c r="D569" s="59" t="inlineStr">
        <is>
          <t>Note</t>
        </is>
      </c>
      <c r="E569" s="46" t="inlineStr">
        <is>
          <t>Construction Plan. Entry sheet for partitions and openings: vector geometry of every wall face at 1/4"=1'-0", the leader of every partition tag, the Construction Plan Legend (new vs. existing) and the Construction Plan Notes.</t>
        </is>
      </c>
      <c r="F569" s="46" t="inlineStr">
        <is>
          <t>location</t>
        </is>
      </c>
      <c r="G569" s="46" t="inlineStr">
        <is>
          <t>CANOPY COLUMN 1 (drive-through island, northmost -- A02.01 y=283.8)</t>
        </is>
      </c>
    </row>
    <row r="570" ht="25.5" customHeight="1" s="36">
      <c r="A570" s="59" t="n"/>
      <c r="B570" s="58" t="n">
        <v>2</v>
      </c>
      <c r="C570" s="44" t="inlineStr">
        <is>
          <t>D/A08.01</t>
        </is>
      </c>
      <c r="D570" s="59" t="inlineStr">
        <is>
          <t>Exclusion</t>
        </is>
      </c>
      <c r="E570" s="46" t="inlineStr">
        <is>
          <t>Restroom elevation D on A08.01. Accessories hung on that face (blocking) and the extent of FRP, cement board and water-resistant board.</t>
        </is>
      </c>
      <c r="F570" s="46" t="inlineStr">
        <is>
          <t>excluded.BLOCKING</t>
        </is>
      </c>
      <c r="G570" s="46" t="inlineStr">
        <is>
          <t>Contraste: los walls de los banos 113 y 114, donde D/A08.01 SI cuelga accesorios y por eso SI llevan blocking.</t>
        </is>
      </c>
    </row>
    <row r="571" ht="25.5" customHeight="1" s="36">
      <c r="A571" s="59" t="n"/>
      <c r="B571" s="58" t="n">
        <v>3</v>
      </c>
      <c r="C571" s="44" t="inlineStr">
        <is>
          <t>6/A08.11</t>
        </is>
      </c>
      <c r="D571" s="59" t="inlineStr">
        <is>
          <t>Exclusion</t>
        </is>
      </c>
      <c r="E571" s="46" t="inlineStr">
        <is>
          <t>Walk-up ATM detail on A08.11: length of the niche, box beam, sistered 2 1/2" studs and the 5/8" FRT plywood in the niche.</t>
        </is>
      </c>
      <c r="F571" s="46" t="inlineStr">
        <is>
          <t>excluded.BOLLARD_DIV05_METALES</t>
        </is>
      </c>
      <c r="G571" s="46" t="inlineStr">
        <is>
          <t>Mismo criterio que el "SURFACE MOUNTED 4" STEEL BOLLARD" de 6/A08.11 en el ATM.</t>
        </is>
      </c>
    </row>
    <row r="572" ht="25.5" customHeight="1" s="36">
      <c r="A572" s="59" t="n"/>
      <c r="B572" s="58" t="n">
        <v>4</v>
      </c>
      <c r="C572" s="44" t="inlineStr">
        <is>
          <t>S2.10</t>
        </is>
      </c>
      <c r="D572" s="59" t="inlineStr">
        <is>
          <t>Quantity</t>
        </is>
      </c>
      <c r="E572" s="46" t="inlineStr">
        <is>
          <t>"FOUNDATION PLAN". Slab level where the bottom track lands against the steel column.</t>
        </is>
      </c>
      <c r="F572" s="46" t="inlineStr">
        <is>
          <t>TRACK_BOTTOM, excluded.COLUMNA_DE_ACERO_DIV05_12, scope[0].chain[2]</t>
        </is>
      </c>
      <c r="G572" s="46" t="inlineStr">
        <is>
          <t>Arranque sobre el pedestal de la zapata: 9/S3.20 CANOPY FOUNDATION DETAIL, la burbuja que S2.10 pone en la zapata de estas columnas.</t>
        </is>
      </c>
    </row>
    <row r="573" ht="25.5" customHeight="1" s="36">
      <c r="A573" s="59" t="n"/>
      <c r="B573" s="58" t="n">
        <v>5</v>
      </c>
      <c r="C573" s="44" t="inlineStr">
        <is>
          <t>A/A09.21</t>
        </is>
      </c>
      <c r="D573" s="59" t="inlineStr">
        <is>
          <t>Dimension</t>
        </is>
      </c>
      <c r="E573" s="46" t="inlineStr">
        <is>
          <t>Exterior wall section A. Build-up by layer and height of each layer: 5/8" FRT plywood sheathing over 2 1/2" polyiso, CFMF cavity and interior board.</t>
        </is>
      </c>
      <c r="F573" s="46" t="inlineStr">
        <is>
          <t>TRACK_TOP, face[0].board_height, stud_height</t>
        </is>
      </c>
      <c r="G573" s="46" t="inlineStr">
        <is>
          <t>B/ CANOPY = 10'-6", a PRINTED datum repeated on FOUR independent sections: A/A09.21 SECTION A @ ENTRANCE DOOR, F/A09.22 SECTION F, D/A09.22 SECTION D and H/A09.23.</t>
        </is>
      </c>
    </row>
    <row r="574" ht="25.5" customHeight="1" s="36">
      <c r="A574" s="59" t="n"/>
      <c r="B574" s="58" t="n">
        <v>6</v>
      </c>
      <c r="C574" s="44" t="inlineStr">
        <is>
          <t>D/A09.22</t>
        </is>
      </c>
      <c r="D574" s="59" t="inlineStr">
        <is>
          <t>Dimension</t>
        </is>
      </c>
      <c r="E574" s="46" t="inlineStr">
        <is>
          <t>Exterior wall section D. Layer build-up, board height and the blocking of that run.</t>
        </is>
      </c>
      <c r="F574" s="46" t="inlineStr">
        <is>
          <t>TRACK_TOP, face[0].board_height, stud_height</t>
        </is>
      </c>
      <c r="G574" s="46" t="inlineStr">
        <is>
          <t>B/ CANOPY = 10'-6", a PRINTED datum repeated on FOUR independent sections: A/A09.21 SECTION A @ ENTRANCE DOOR, F/A09.22 SECTION F, D/A09.22 SECTION D and H/A09.23.</t>
        </is>
      </c>
    </row>
    <row r="575" ht="25.5" customHeight="1" s="36">
      <c r="A575" s="59" t="n"/>
      <c r="B575" s="58" t="n">
        <v>7</v>
      </c>
      <c r="C575" s="44" t="inlineStr">
        <is>
          <t>F/A09.22</t>
        </is>
      </c>
      <c r="D575" s="59" t="inlineStr">
        <is>
          <t>Dimension</t>
        </is>
      </c>
      <c r="E575" s="46" t="inlineStr">
        <is>
          <t>Exterior wall section F. Board and stud height of that run.</t>
        </is>
      </c>
      <c r="F575" s="46" t="inlineStr">
        <is>
          <t>TRACK_TOP, face[0].board_height, stud_height</t>
        </is>
      </c>
      <c r="G575" s="46" t="inlineStr">
        <is>
          <t>B/ CANOPY = 10'-6", a PRINTED datum repeated on FOUR independent sections: A/A09.21 SECTION A @ ENTRANCE DOOR, F/A09.22 SECTION F, D/A09.22 SECTION D and H/A09.23.</t>
        </is>
      </c>
    </row>
    <row r="576" ht="25.5" customHeight="1" s="36">
      <c r="A576" s="59" t="n"/>
      <c r="B576" s="58" t="n">
        <v>8</v>
      </c>
      <c r="C576" s="44" t="inlineStr">
        <is>
          <t>H/A09.23</t>
        </is>
      </c>
      <c r="D576" s="59" t="inlineStr">
        <is>
          <t>Dimension</t>
        </is>
      </c>
      <c r="E576" s="46" t="inlineStr">
        <is>
          <t>Exterior wall section H. The one that gives the full build-up: "5/8" FRT PLYWOOD BONDED TO 2 1/2" POLYISO INSULATION", CFMF cavity and the height of each layer.</t>
        </is>
      </c>
      <c r="F576" s="46" t="inlineStr">
        <is>
          <t>TRACK_TOP, face[0].board_height, stud_height</t>
        </is>
      </c>
      <c r="G576" s="46" t="inlineStr">
        <is>
          <t>B/ CANOPY = 10'-6", a PRINTED datum repeated on FOUR independent sections: A/A09.21 SECTION A @ ENTRANCE DOOR, F/A09.22 SECTION F, D/A09.22 SECTION D and H/A09.23.</t>
        </is>
      </c>
    </row>
    <row r="577" ht="33" customHeight="1" s="36">
      <c r="A577" s="59" t="n"/>
      <c r="B577" s="58" t="n">
        <v>9</v>
      </c>
      <c r="C577" s="44" t="inlineStr">
        <is>
          <t>2/A09.25</t>
        </is>
      </c>
      <c r="D577" s="59" t="inlineStr">
        <is>
          <t>Exclusion</t>
        </is>
      </c>
      <c r="E577" s="46" t="inlineStr">
        <is>
          <t>"DETAIL @ STOREFRONT PIER". The second pier, with its own width.</t>
        </is>
      </c>
      <c r="F577" s="46" t="inlineStr">
        <is>
          <t>excluded.INSULATION</t>
        </is>
      </c>
      <c r="G577" s="46" t="inlineStr">
        <is>
          <t>5/A09.25 no rotula insulation dentro del furring de la columna; el "SPRAY FOAM INSULATION @ JAMBS" que si aparece en 1 y 2/A09.25 es de las jambs del storefront, no de esta columna.</t>
        </is>
      </c>
    </row>
    <row r="578" ht="25.5" customHeight="1" s="36">
      <c r="A578" s="59" t="n"/>
      <c r="B578" s="58" t="n">
        <v>10</v>
      </c>
      <c r="C578" s="44" t="inlineStr">
        <is>
          <t>5/A09.25</t>
        </is>
      </c>
      <c r="D578" s="59" t="inlineStr">
        <is>
          <t>Dimension</t>
        </is>
      </c>
      <c r="E578" s="46" t="inlineStr">
        <is>
          <t>"DETAIL @ CANOPY COLUMN" at 1 1/2"=1'-0". The canopy column furring.</t>
        </is>
      </c>
      <c r="F578" s="46" t="inlineStr">
        <is>
          <t>BOARD, BRACING, SEALANT, STUD, excluded.BLOCKING, excluded.BOLLARD_DIV05_METALES, excluded.COLUMNA_DE_ACERO_DIV05_12, excluded.HEADER, excluded.INSULATION, excluded.PATCH, excluded.PLASTER_PT-03_DIV09_24, excluded.PLOMERIA_DIV22, length, scope[0].chain[0]</t>
        </is>
      </c>
      <c r="G578" s="46" t="inlineStr">
        <is>
          <t>5/A09.25 acota el furring face to face de stud con dos dimensions impresas en la misma linea: "1'-2 1/2" FOS" + "2 1/2" FOS" = 1'-5" = 1.417 ft.</t>
        </is>
      </c>
    </row>
    <row r="579" ht="25.5" customHeight="1" s="36">
      <c r="A579" s="59" t="n"/>
      <c r="B579" s="58" t="n">
        <v>11</v>
      </c>
      <c r="C579" s="44" t="inlineStr">
        <is>
          <t>9/S3.20</t>
        </is>
      </c>
      <c r="D579" s="59" t="inlineStr">
        <is>
          <t>Quantity</t>
        </is>
      </c>
      <c r="E579" s="46" t="inlineStr">
        <is>
          <t>"CANOPY FOUNDATION DETAIL". Base of the canopy column: the steel column is Div 05 12, not ours.</t>
        </is>
      </c>
      <c r="F579" s="46" t="inlineStr">
        <is>
          <t>TRACK_BOTTOM, excluded.COLUMNA_DE_ACERO_DIV05_12, scope[0].chain[2]</t>
        </is>
      </c>
      <c r="G579" s="46" t="inlineStr">
        <is>
          <t>Arranque sobre el pedestal de la zapata: 9/S3.20 CANOPY FOUNDATION DETAIL, la burbuja que S2.10 pone en la zapata de estas columnas.</t>
        </is>
      </c>
    </row>
    <row r="580" ht="25.5" customHeight="1" s="36">
      <c r="A580" s="59" t="n"/>
      <c r="B580" s="58" t="n">
        <v>12</v>
      </c>
      <c r="C580" s="44" t="inlineStr">
        <is>
          <t>6/S5.10</t>
        </is>
      </c>
      <c r="D580" s="59" t="inlineStr">
        <is>
          <t>Quantity</t>
        </is>
      </c>
      <c r="E580" s="46" t="inlineStr">
        <is>
          <t>"SECTION AT PERIMETER" at 3/4"=1'-0". Closure of the exterior wall against the roof edge: source of the stud height and the top track of that run.</t>
        </is>
      </c>
      <c r="F580" s="46" t="inlineStr">
        <is>
          <t>TRACK_TOP</t>
        </is>
      </c>
      <c r="G580" s="46" t="inlineStr">
        <is>
          <t>Aqui NO va deflection track: el deflection track del proyecto es el del perimetro del edificio contra la viga de techo (6/S5.10 y 10/S5.10), y esta columna no recibe esa viga.</t>
        </is>
      </c>
    </row>
    <row r="581" ht="25.5" customHeight="1" s="36">
      <c r="A581" s="59" t="n"/>
      <c r="B581" s="58" t="n">
        <v>13</v>
      </c>
      <c r="C581" s="44" t="inlineStr">
        <is>
          <t>10/S5.10</t>
        </is>
      </c>
      <c r="D581" s="59" t="inlineStr">
        <is>
          <t>Quantity</t>
        </is>
      </c>
      <c r="E581" s="46" t="inlineStr">
        <is>
          <t>Perimeter section on S5.10. The other perimeter closure, with its own height.</t>
        </is>
      </c>
      <c r="F581" s="46" t="inlineStr">
        <is>
          <t>TRACK_TOP</t>
        </is>
      </c>
      <c r="G581" s="46" t="inlineStr">
        <is>
          <t>Aqui NO va deflection track: el deflection track del proyecto es el del perimetro del edificio contra la viga de techo (6/S5.10 y 10/S5.10), y esta columna no recibe esa viga.</t>
        </is>
      </c>
    </row>
    <row r="582" ht="43.5" customHeight="1" s="36">
      <c r="A582" s="59" t="n"/>
      <c r="B582" s="58" t="n">
        <v>14</v>
      </c>
      <c r="C582" s="44" t="inlineStr">
        <is>
          <t>A09.01</t>
        </is>
      </c>
      <c r="D582" s="59" t="inlineStr">
        <is>
          <t>Exclusion</t>
        </is>
      </c>
      <c r="E582" s="46" t="inlineStr">
        <is>
          <t>Exterior Elevations: "SOUTH ELEVATION" and "WEST ELEVATION" at 1/4"=1'-0". Extent of each exterior material and the material legend, verbatim "CJ CONTROL JOINT; PAINT TO MATCH STUCCO FINISH COLOR" - that joint is the STUCCO joint, not gypsum.</t>
        </is>
      </c>
      <c r="F582" s="46" t="inlineStr">
        <is>
          <t>excluded.CONTROL_JOINT</t>
        </is>
      </c>
      <c r="G58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83" ht="33" customHeight="1" s="36">
      <c r="A583" s="59" t="n"/>
      <c r="B583" s="58" t="n">
        <v>15</v>
      </c>
      <c r="C583" s="44" t="inlineStr">
        <is>
          <t>A12.01</t>
        </is>
      </c>
      <c r="D583" s="59" t="inlineStr">
        <is>
          <t>Exclusion</t>
        </is>
      </c>
      <c r="E583" s="46" t="inlineStr">
        <is>
          <t>Partition Types, the whole sheet. Cited as a sheet when the finding is the ABSENCE across the sheet (e.g. that no type labels a gypsum control joint).</t>
        </is>
      </c>
      <c r="F583" s="46" t="inlineStr">
        <is>
          <t>excluded.CONTROL_JOINT</t>
        </is>
      </c>
      <c r="G583" s="46" t="inlineStr">
        <is>
          <t>El set no rotula ni detalla ninguna junta de control de gypsum board, ni en A12.01 ni en los detalles de A09.27/A09.33, y no hay seccion de especificaciones 09 29 00 en el bid set.</t>
        </is>
      </c>
    </row>
    <row r="584" ht="33" customHeight="1" s="36">
      <c r="A584" s="59" t="n"/>
      <c r="B584" s="58" t="n">
        <v>16</v>
      </c>
      <c r="C584" s="44" t="inlineStr">
        <is>
          <t>5/A09.26</t>
        </is>
      </c>
      <c r="D584" s="59" t="inlineStr">
        <is>
          <t>Quantity</t>
        </is>
      </c>
      <c r="E584" s="46" t="inlineStr">
        <is>
          <t>"SECTION DETAIL @ ACM BASE". Base of the ACM: sheathing and sealant.</t>
        </is>
      </c>
      <c r="F584" s="46" t="inlineStr">
        <is>
          <t>SEALANT</t>
        </is>
      </c>
      <c r="G584" s="46" t="inlineStr">
        <is>
          <t>5/A09.25 dibuja el furring apoyado en los dos extremos; el sello de arranque es el mismo criterio del "SEALANT AT BASE OF GYPSUM" que rotulan 5/A09.26 y 9/A09.27 en el pie de los walls exteriores.</t>
        </is>
      </c>
    </row>
    <row r="585" ht="33" customHeight="1" s="36">
      <c r="A585" s="59" t="n"/>
      <c r="B585" s="58" t="n">
        <v>17</v>
      </c>
      <c r="C585" s="44" t="inlineStr">
        <is>
          <t>9/A09.27</t>
        </is>
      </c>
      <c r="D585" s="59" t="inlineStr">
        <is>
          <t>Quantity</t>
        </is>
      </c>
      <c r="E585" s="46" t="inlineStr">
        <is>
          <t>"SECTION DETAIL @ METAL PANEL BASE". Base of the metal panel: glass-mat sheathing and sealant.</t>
        </is>
      </c>
      <c r="F585" s="46" t="inlineStr">
        <is>
          <t>SEALANT</t>
        </is>
      </c>
      <c r="G585" s="46" t="inlineStr">
        <is>
          <t>5/A09.25 dibuja el furring apoyado en los dos extremos; el sello de arranque es el mismo criterio del "SEALANT AT BASE OF GYPSUM" que rotulan 5/A09.26 y 9/A09.27 en el pie de los walls exteriores.</t>
        </is>
      </c>
    </row>
    <row r="586" ht="33" customHeight="1" s="36">
      <c r="A586" s="59" t="n"/>
      <c r="B586" s="58" t="n">
        <v>18</v>
      </c>
      <c r="C586" s="44" t="inlineStr">
        <is>
          <t>6/A09.31</t>
        </is>
      </c>
      <c r="D586" s="59" t="inlineStr">
        <is>
          <t>Scope</t>
        </is>
      </c>
      <c r="E586" s="46" t="inlineStr">
        <is>
          <t>"DETAIL AT NARROW CHANNEL SCREED" at 12"=1'-0". The stucco screed, Div 09 24 00: proves the finish of that run is not ours.</t>
        </is>
      </c>
      <c r="F586" s="46" t="inlineStr">
        <is>
          <t>excluded.PLASTER_PT-03_DIV09_24, scope[0].chain[1]</t>
        </is>
      </c>
      <c r="G586" s="46" t="inlineStr">
        <is>
          <t>6/A09.31 DETAIL AT NARROW CHANNEL SCREED TRANSITION: el sistema de estuco viene con su "SELF-FURRING METAL LATH" y su "NARROW CHANNEL SCREED (SA-2)", o sea con su propio instalador</t>
        </is>
      </c>
    </row>
    <row r="587" ht="33" customHeight="1" s="36">
      <c r="A587" s="59" t="n"/>
      <c r="B587" s="58" t="n">
        <v>19</v>
      </c>
      <c r="C587" s="44" t="inlineStr">
        <is>
          <t>7/S5.20</t>
        </is>
      </c>
      <c r="D587" s="59" t="inlineStr">
        <is>
          <t>Quantity</t>
        </is>
      </c>
      <c r="E587" s="46" t="inlineStr">
        <is>
          <t>"METAL STUDS SCHEDULES". The profile: web, flange, lip, mils, gauge and the APPLICATION column with the spacing ("INTERIOR WALLS @ 16" O.C."), plus the SILL TRACK ANCHORAGE and the FASTENER SCHEDULE.</t>
        </is>
      </c>
      <c r="F587" s="46" t="inlineStr">
        <is>
          <t>BRACING, TRACK_BOTTOM, excluded.CLIPS</t>
        </is>
      </c>
      <c r="G587" s="46" t="inlineStr">
        <is>
          <t>7/S5.20 BRIDGING AND BRACING @ 48" O.C.</t>
        </is>
      </c>
    </row>
    <row r="588" ht="33" customHeight="1" s="36">
      <c r="A588" s="59" t="n"/>
      <c r="B588" s="58" t="n">
        <v>20</v>
      </c>
      <c r="C588" s="44" t="inlineStr">
        <is>
          <t>A00.30</t>
        </is>
      </c>
      <c r="D588" s="59" t="inlineStr">
        <is>
          <t>Exclusion</t>
        </is>
      </c>
      <c r="E588" s="46" t="inlineStr">
        <is>
          <t>Door Schedule. Leaf width and height of every door and the frame type: source of the header, the board deduction and the reference to 10 and 11/A12.02.</t>
        </is>
      </c>
      <c r="F588" s="46" t="inlineStr">
        <is>
          <t>excluded.HEADER</t>
        </is>
      </c>
      <c r="G588" s="46" t="inlineStr">
        <is>
          <t>El furring de la columna no tiene aberturas: 5/A09.25 no dibuja door, window ni panel de acceso, y el Door Schedule de A00.30 no lista ninguna abertura en la isla del drive-through.</t>
        </is>
      </c>
    </row>
    <row r="589" ht="33" customHeight="1" s="36">
      <c r="A589" s="59" t="n"/>
      <c r="B589" s="58" t="n">
        <v>21</v>
      </c>
      <c r="C589" s="44" t="inlineStr">
        <is>
          <t>A09.33</t>
        </is>
      </c>
      <c r="D589" s="59" t="inlineStr">
        <is>
          <t>Exclusion</t>
        </is>
      </c>
      <c r="E589" s="46" t="inlineStr">
        <is>
          <t>Ceiling Details, the sheet. Cited as a sheet for a finding by ABSENCE: its details label corner bead, casing bead and shadow molding one by one and NONE labels a control joint, so the omission is not a labeling oversight.</t>
        </is>
      </c>
      <c r="F589" s="46" t="inlineStr">
        <is>
          <t>excluded.CONTROL_JOINT</t>
        </is>
      </c>
      <c r="G589" s="46" t="inlineStr">
        <is>
          <t>El set no rotula ni detalla ninguna junta de control de gypsum board, ni en A12.01 ni en los detalles de A09.27/A09.33, y no hay seccion de especificaciones 09 29 00 en el bid set.</t>
        </is>
      </c>
    </row>
    <row r="590" ht="33" customHeight="1" s="36">
      <c r="A590" s="44" t="inlineStr">
        <is>
          <t>CANOPY-COL #67</t>
        </is>
      </c>
      <c r="B590" s="58" t="n">
        <v>1</v>
      </c>
      <c r="C590" s="44" t="inlineStr">
        <is>
          <t>A02.01</t>
        </is>
      </c>
      <c r="D590" s="59" t="inlineStr">
        <is>
          <t>Note</t>
        </is>
      </c>
      <c r="E590" s="46" t="inlineStr">
        <is>
          <t>Construction Plan. Entry sheet for partitions and openings: vector geometry of every wall face at 1/4"=1'-0", the leader of every partition tag, the Construction Plan Legend (new vs. existing) and the Construction Plan Notes.</t>
        </is>
      </c>
      <c r="F590" s="46" t="inlineStr">
        <is>
          <t>location</t>
        </is>
      </c>
      <c r="G590" s="46" t="inlineStr">
        <is>
          <t>CANOPY COLUMN 2 (drive-through island -- A02.01 y=564.2)</t>
        </is>
      </c>
    </row>
    <row r="591" ht="25.5" customHeight="1" s="36">
      <c r="A591" s="59" t="n"/>
      <c r="B591" s="58" t="n">
        <v>2</v>
      </c>
      <c r="C591" s="44" t="inlineStr">
        <is>
          <t>D/A08.01</t>
        </is>
      </c>
      <c r="D591" s="59" t="inlineStr">
        <is>
          <t>Exclusion</t>
        </is>
      </c>
      <c r="E591" s="46" t="inlineStr">
        <is>
          <t>Restroom elevation D on A08.01. Accessories hung on that face (blocking) and the extent of FRP, cement board and water-resistant board.</t>
        </is>
      </c>
      <c r="F591" s="46" t="inlineStr">
        <is>
          <t>excluded.BLOCKING</t>
        </is>
      </c>
      <c r="G591" s="46" t="inlineStr">
        <is>
          <t>Contraste: los walls de los banos 113 y 114, donde D/A08.01 SI cuelga accesorios y por eso SI llevan blocking.</t>
        </is>
      </c>
    </row>
    <row r="592" ht="25.5" customHeight="1" s="36">
      <c r="A592" s="59" t="n"/>
      <c r="B592" s="58" t="n">
        <v>3</v>
      </c>
      <c r="C592" s="44" t="inlineStr">
        <is>
          <t>6/A08.11</t>
        </is>
      </c>
      <c r="D592" s="59" t="inlineStr">
        <is>
          <t>Exclusion</t>
        </is>
      </c>
      <c r="E592" s="46" t="inlineStr">
        <is>
          <t>Walk-up ATM detail on A08.11: length of the niche, box beam, sistered 2 1/2" studs and the 5/8" FRT plywood in the niche.</t>
        </is>
      </c>
      <c r="F592" s="46" t="inlineStr">
        <is>
          <t>excluded.BOLLARD_DIV05_METALES</t>
        </is>
      </c>
      <c r="G592" s="46" t="inlineStr">
        <is>
          <t>Mismo criterio que el "SURFACE MOUNTED 4" STEEL BOLLARD" de 6/A08.11 en el ATM.</t>
        </is>
      </c>
    </row>
    <row r="593" ht="25.5" customHeight="1" s="36">
      <c r="A593" s="59" t="n"/>
      <c r="B593" s="58" t="n">
        <v>4</v>
      </c>
      <c r="C593" s="44" t="inlineStr">
        <is>
          <t>S2.10</t>
        </is>
      </c>
      <c r="D593" s="59" t="inlineStr">
        <is>
          <t>Quantity</t>
        </is>
      </c>
      <c r="E593" s="46" t="inlineStr">
        <is>
          <t>"FOUNDATION PLAN". Slab level where the bottom track lands against the steel column.</t>
        </is>
      </c>
      <c r="F593" s="46" t="inlineStr">
        <is>
          <t>TRACK_BOTTOM, excluded.COLUMNA_DE_ACERO_DIV05_12, scope[0].chain[2]</t>
        </is>
      </c>
      <c r="G593" s="46" t="inlineStr">
        <is>
          <t>Arranque sobre el pedestal de la zapata: 9/S3.20 CANOPY FOUNDATION DETAIL, la burbuja que S2.10 pone en la zapata de estas columnas.</t>
        </is>
      </c>
    </row>
    <row r="594" ht="25.5" customHeight="1" s="36">
      <c r="A594" s="59" t="n"/>
      <c r="B594" s="58" t="n">
        <v>5</v>
      </c>
      <c r="C594" s="44" t="inlineStr">
        <is>
          <t>A/A09.21</t>
        </is>
      </c>
      <c r="D594" s="59" t="inlineStr">
        <is>
          <t>Dimension</t>
        </is>
      </c>
      <c r="E594" s="46" t="inlineStr">
        <is>
          <t>Exterior wall section A. Build-up by layer and height of each layer: 5/8" FRT plywood sheathing over 2 1/2" polyiso, CFMF cavity and interior board.</t>
        </is>
      </c>
      <c r="F594" s="46" t="inlineStr">
        <is>
          <t>TRACK_TOP, face[0].board_height, stud_height</t>
        </is>
      </c>
      <c r="G594" s="46" t="inlineStr">
        <is>
          <t>B/ CANOPY = 10'-6", a PRINTED datum repeated on FOUR independent sections: A/A09.21 SECTION A @ ENTRANCE DOOR, F/A09.22 SECTION F, D/A09.22 SECTION D and H/A09.23.</t>
        </is>
      </c>
    </row>
    <row r="595" ht="25.5" customHeight="1" s="36">
      <c r="A595" s="59" t="n"/>
      <c r="B595" s="58" t="n">
        <v>6</v>
      </c>
      <c r="C595" s="44" t="inlineStr">
        <is>
          <t>D/A09.22</t>
        </is>
      </c>
      <c r="D595" s="59" t="inlineStr">
        <is>
          <t>Dimension</t>
        </is>
      </c>
      <c r="E595" s="46" t="inlineStr">
        <is>
          <t>Exterior wall section D. Layer build-up, board height and the blocking of that run.</t>
        </is>
      </c>
      <c r="F595" s="46" t="inlineStr">
        <is>
          <t>TRACK_TOP, face[0].board_height, stud_height</t>
        </is>
      </c>
      <c r="G595" s="46" t="inlineStr">
        <is>
          <t>B/ CANOPY = 10'-6", a PRINTED datum repeated on FOUR independent sections: A/A09.21 SECTION A @ ENTRANCE DOOR, F/A09.22 SECTION F, D/A09.22 SECTION D and H/A09.23.</t>
        </is>
      </c>
    </row>
    <row r="596" ht="25.5" customHeight="1" s="36">
      <c r="A596" s="59" t="n"/>
      <c r="B596" s="58" t="n">
        <v>7</v>
      </c>
      <c r="C596" s="44" t="inlineStr">
        <is>
          <t>F/A09.22</t>
        </is>
      </c>
      <c r="D596" s="59" t="inlineStr">
        <is>
          <t>Dimension</t>
        </is>
      </c>
      <c r="E596" s="46" t="inlineStr">
        <is>
          <t>Exterior wall section F. Board and stud height of that run.</t>
        </is>
      </c>
      <c r="F596" s="46" t="inlineStr">
        <is>
          <t>TRACK_TOP, face[0].board_height, stud_height</t>
        </is>
      </c>
      <c r="G596" s="46" t="inlineStr">
        <is>
          <t>B/ CANOPY = 10'-6", a PRINTED datum repeated on FOUR independent sections: A/A09.21 SECTION A @ ENTRANCE DOOR, F/A09.22 SECTION F, D/A09.22 SECTION D and H/A09.23.</t>
        </is>
      </c>
    </row>
    <row r="597" ht="25.5" customHeight="1" s="36">
      <c r="A597" s="59" t="n"/>
      <c r="B597" s="58" t="n">
        <v>8</v>
      </c>
      <c r="C597" s="44" t="inlineStr">
        <is>
          <t>H/A09.23</t>
        </is>
      </c>
      <c r="D597" s="59" t="inlineStr">
        <is>
          <t>Dimension</t>
        </is>
      </c>
      <c r="E597" s="46" t="inlineStr">
        <is>
          <t>Exterior wall section H. The one that gives the full build-up: "5/8" FRT PLYWOOD BONDED TO 2 1/2" POLYISO INSULATION", CFMF cavity and the height of each layer.</t>
        </is>
      </c>
      <c r="F597" s="46" t="inlineStr">
        <is>
          <t>TRACK_TOP, face[0].board_height, stud_height</t>
        </is>
      </c>
      <c r="G597" s="46" t="inlineStr">
        <is>
          <t>B/ CANOPY = 10'-6", a PRINTED datum repeated on FOUR independent sections: A/A09.21 SECTION A @ ENTRANCE DOOR, F/A09.22 SECTION F, D/A09.22 SECTION D and H/A09.23.</t>
        </is>
      </c>
    </row>
    <row r="598" ht="33" customHeight="1" s="36">
      <c r="A598" s="59" t="n"/>
      <c r="B598" s="58" t="n">
        <v>9</v>
      </c>
      <c r="C598" s="44" t="inlineStr">
        <is>
          <t>2/A09.25</t>
        </is>
      </c>
      <c r="D598" s="59" t="inlineStr">
        <is>
          <t>Exclusion</t>
        </is>
      </c>
      <c r="E598" s="46" t="inlineStr">
        <is>
          <t>"DETAIL @ STOREFRONT PIER". The second pier, with its own width.</t>
        </is>
      </c>
      <c r="F598" s="46" t="inlineStr">
        <is>
          <t>excluded.INSULATION</t>
        </is>
      </c>
      <c r="G598" s="46" t="inlineStr">
        <is>
          <t>5/A09.25 no rotula insulation dentro del furring de la columna; el "SPRAY FOAM INSULATION @ JAMBS" que si aparece en 1 y 2/A09.25 es de las jambs del storefront, no de esta columna.</t>
        </is>
      </c>
    </row>
    <row r="599" ht="25.5" customHeight="1" s="36">
      <c r="A599" s="59" t="n"/>
      <c r="B599" s="58" t="n">
        <v>10</v>
      </c>
      <c r="C599" s="44" t="inlineStr">
        <is>
          <t>5/A09.25</t>
        </is>
      </c>
      <c r="D599" s="59" t="inlineStr">
        <is>
          <t>Dimension</t>
        </is>
      </c>
      <c r="E599" s="46" t="inlineStr">
        <is>
          <t>"DETAIL @ CANOPY COLUMN" at 1 1/2"=1'-0". The canopy column furring.</t>
        </is>
      </c>
      <c r="F599" s="46" t="inlineStr">
        <is>
          <t>BOARD, BRACING, SEALANT, STUD, excluded.BLOCKING, excluded.BOLLARD_DIV05_METALES, excluded.COLUMNA_DE_ACERO_DIV05_12, excluded.HEADER, excluded.INSULATION, excluded.PATCH, excluded.PLASTER_PT-03_DIV09_24, excluded.PLOMERIA_DIV22, length, scope[0].chain[0]</t>
        </is>
      </c>
      <c r="G599" s="46" t="inlineStr">
        <is>
          <t>5/A09.25 acota el furring face to face de stud con dos dimensions impresas en la misma linea: "1'-2 1/2" FOS" + "2 1/2" FOS" = 1'-5" = 1.417 ft.</t>
        </is>
      </c>
    </row>
    <row r="600" ht="25.5" customHeight="1" s="36">
      <c r="A600" s="59" t="n"/>
      <c r="B600" s="58" t="n">
        <v>11</v>
      </c>
      <c r="C600" s="44" t="inlineStr">
        <is>
          <t>9/S3.20</t>
        </is>
      </c>
      <c r="D600" s="59" t="inlineStr">
        <is>
          <t>Quantity</t>
        </is>
      </c>
      <c r="E600" s="46" t="inlineStr">
        <is>
          <t>"CANOPY FOUNDATION DETAIL". Base of the canopy column: the steel column is Div 05 12, not ours.</t>
        </is>
      </c>
      <c r="F600" s="46" t="inlineStr">
        <is>
          <t>TRACK_BOTTOM, excluded.COLUMNA_DE_ACERO_DIV05_12, scope[0].chain[2]</t>
        </is>
      </c>
      <c r="G600" s="46" t="inlineStr">
        <is>
          <t>Arranque sobre el pedestal de la zapata: 9/S3.20 CANOPY FOUNDATION DETAIL, la burbuja que S2.10 pone en la zapata de estas columnas.</t>
        </is>
      </c>
    </row>
    <row r="601" ht="25.5" customHeight="1" s="36">
      <c r="A601" s="59" t="n"/>
      <c r="B601" s="58" t="n">
        <v>12</v>
      </c>
      <c r="C601" s="44" t="inlineStr">
        <is>
          <t>6/S5.10</t>
        </is>
      </c>
      <c r="D601" s="59" t="inlineStr">
        <is>
          <t>Quantity</t>
        </is>
      </c>
      <c r="E601" s="46" t="inlineStr">
        <is>
          <t>"SECTION AT PERIMETER" at 3/4"=1'-0". Closure of the exterior wall against the roof edge: source of the stud height and the top track of that run.</t>
        </is>
      </c>
      <c r="F601" s="46" t="inlineStr">
        <is>
          <t>TRACK_TOP</t>
        </is>
      </c>
      <c r="G601" s="46" t="inlineStr">
        <is>
          <t>Aqui NO va deflection track: el deflection track del proyecto es el del perimetro del edificio contra la viga de techo (6/S5.10 y 10/S5.10), y esta columna no recibe esa viga.</t>
        </is>
      </c>
    </row>
    <row r="602" ht="25.5" customHeight="1" s="36">
      <c r="A602" s="59" t="n"/>
      <c r="B602" s="58" t="n">
        <v>13</v>
      </c>
      <c r="C602" s="44" t="inlineStr">
        <is>
          <t>10/S5.10</t>
        </is>
      </c>
      <c r="D602" s="59" t="inlineStr">
        <is>
          <t>Quantity</t>
        </is>
      </c>
      <c r="E602" s="46" t="inlineStr">
        <is>
          <t>Perimeter section on S5.10. The other perimeter closure, with its own height.</t>
        </is>
      </c>
      <c r="F602" s="46" t="inlineStr">
        <is>
          <t>TRACK_TOP</t>
        </is>
      </c>
      <c r="G602" s="46" t="inlineStr">
        <is>
          <t>Aqui NO va deflection track: el deflection track del proyecto es el del perimetro del edificio contra la viga de techo (6/S5.10 y 10/S5.10), y esta columna no recibe esa viga.</t>
        </is>
      </c>
    </row>
    <row r="603" ht="43.5" customHeight="1" s="36">
      <c r="A603" s="59" t="n"/>
      <c r="B603" s="58" t="n">
        <v>14</v>
      </c>
      <c r="C603" s="44" t="inlineStr">
        <is>
          <t>A09.01</t>
        </is>
      </c>
      <c r="D603" s="59" t="inlineStr">
        <is>
          <t>Exclusion</t>
        </is>
      </c>
      <c r="E603" s="46" t="inlineStr">
        <is>
          <t>Exterior Elevations: "SOUTH ELEVATION" and "WEST ELEVATION" at 1/4"=1'-0". Extent of each exterior material and the material legend, verbatim "CJ CONTROL JOINT; PAINT TO MATCH STUCCO FINISH COLOR" - that joint is the STUCCO joint, not gypsum.</t>
        </is>
      </c>
      <c r="F603" s="46" t="inlineStr">
        <is>
          <t>excluded.CONTROL_JOINT</t>
        </is>
      </c>
      <c r="G603"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04" ht="33" customHeight="1" s="36">
      <c r="A604" s="59" t="n"/>
      <c r="B604" s="58" t="n">
        <v>15</v>
      </c>
      <c r="C604" s="44" t="inlineStr">
        <is>
          <t>A12.01</t>
        </is>
      </c>
      <c r="D604" s="59" t="inlineStr">
        <is>
          <t>Exclusion</t>
        </is>
      </c>
      <c r="E604" s="46" t="inlineStr">
        <is>
          <t>Partition Types, the whole sheet. Cited as a sheet when the finding is the ABSENCE across the sheet (e.g. that no type labels a gypsum control joint).</t>
        </is>
      </c>
      <c r="F604" s="46" t="inlineStr">
        <is>
          <t>excluded.CONTROL_JOINT</t>
        </is>
      </c>
      <c r="G604" s="46" t="inlineStr">
        <is>
          <t>El set no rotula ni detalla ninguna junta de control de gypsum board, ni en A12.01 ni en los detalles de A09.27/A09.33, y no hay seccion de especificaciones 09 29 00 en el bid set.</t>
        </is>
      </c>
    </row>
    <row r="605" ht="33" customHeight="1" s="36">
      <c r="A605" s="59" t="n"/>
      <c r="B605" s="58" t="n">
        <v>16</v>
      </c>
      <c r="C605" s="44" t="inlineStr">
        <is>
          <t>5/A09.26</t>
        </is>
      </c>
      <c r="D605" s="59" t="inlineStr">
        <is>
          <t>Quantity</t>
        </is>
      </c>
      <c r="E605" s="46" t="inlineStr">
        <is>
          <t>"SECTION DETAIL @ ACM BASE". Base of the ACM: sheathing and sealant.</t>
        </is>
      </c>
      <c r="F605" s="46" t="inlineStr">
        <is>
          <t>SEALANT</t>
        </is>
      </c>
      <c r="G605" s="46" t="inlineStr">
        <is>
          <t>5/A09.25 dibuja el furring apoyado en los dos extremos; el sello de arranque es el mismo criterio del "SEALANT AT BASE OF GYPSUM" que rotulan 5/A09.26 y 9/A09.27 en el pie de los walls exteriores.</t>
        </is>
      </c>
    </row>
    <row r="606" ht="33" customHeight="1" s="36">
      <c r="A606" s="59" t="n"/>
      <c r="B606" s="58" t="n">
        <v>17</v>
      </c>
      <c r="C606" s="44" t="inlineStr">
        <is>
          <t>9/A09.27</t>
        </is>
      </c>
      <c r="D606" s="59" t="inlineStr">
        <is>
          <t>Quantity</t>
        </is>
      </c>
      <c r="E606" s="46" t="inlineStr">
        <is>
          <t>"SECTION DETAIL @ METAL PANEL BASE". Base of the metal panel: glass-mat sheathing and sealant.</t>
        </is>
      </c>
      <c r="F606" s="46" t="inlineStr">
        <is>
          <t>SEALANT</t>
        </is>
      </c>
      <c r="G606" s="46" t="inlineStr">
        <is>
          <t>5/A09.25 dibuja el furring apoyado en los dos extremos; el sello de arranque es el mismo criterio del "SEALANT AT BASE OF GYPSUM" que rotulan 5/A09.26 y 9/A09.27 en el pie de los walls exteriores.</t>
        </is>
      </c>
    </row>
    <row r="607" ht="33" customHeight="1" s="36">
      <c r="A607" s="59" t="n"/>
      <c r="B607" s="58" t="n">
        <v>18</v>
      </c>
      <c r="C607" s="44" t="inlineStr">
        <is>
          <t>6/A09.31</t>
        </is>
      </c>
      <c r="D607" s="59" t="inlineStr">
        <is>
          <t>Scope</t>
        </is>
      </c>
      <c r="E607" s="46" t="inlineStr">
        <is>
          <t>"DETAIL AT NARROW CHANNEL SCREED" at 12"=1'-0". The stucco screed, Div 09 24 00: proves the finish of that run is not ours.</t>
        </is>
      </c>
      <c r="F607" s="46" t="inlineStr">
        <is>
          <t>excluded.PLASTER_PT-03_DIV09_24, scope[0].chain[1]</t>
        </is>
      </c>
      <c r="G607" s="46" t="inlineStr">
        <is>
          <t>6/A09.31 DETAIL AT NARROW CHANNEL SCREED TRANSITION: el sistema de estuco viene con su "SELF-FURRING METAL LATH" y su "NARROW CHANNEL SCREED (SA-2)", o sea con su propio instalador</t>
        </is>
      </c>
    </row>
    <row r="608" ht="33" customHeight="1" s="36">
      <c r="A608" s="59" t="n"/>
      <c r="B608" s="58" t="n">
        <v>19</v>
      </c>
      <c r="C608" s="44" t="inlineStr">
        <is>
          <t>7/S5.20</t>
        </is>
      </c>
      <c r="D608" s="59" t="inlineStr">
        <is>
          <t>Quantity</t>
        </is>
      </c>
      <c r="E608" s="46" t="inlineStr">
        <is>
          <t>"METAL STUDS SCHEDULES". The profile: web, flange, lip, mils, gauge and the APPLICATION column with the spacing ("INTERIOR WALLS @ 16" O.C."), plus the SILL TRACK ANCHORAGE and the FASTENER SCHEDULE.</t>
        </is>
      </c>
      <c r="F608" s="46" t="inlineStr">
        <is>
          <t>BRACING, TRACK_BOTTOM, excluded.CLIPS</t>
        </is>
      </c>
      <c r="G608" s="46" t="inlineStr">
        <is>
          <t>7/S5.20 BRIDGING AND BRACING @ 48" O.C.</t>
        </is>
      </c>
    </row>
    <row r="609" ht="33" customHeight="1" s="36">
      <c r="A609" s="59" t="n"/>
      <c r="B609" s="58" t="n">
        <v>20</v>
      </c>
      <c r="C609" s="44" t="inlineStr">
        <is>
          <t>A00.30</t>
        </is>
      </c>
      <c r="D609" s="59" t="inlineStr">
        <is>
          <t>Exclusion</t>
        </is>
      </c>
      <c r="E609" s="46" t="inlineStr">
        <is>
          <t>Door Schedule. Leaf width and height of every door and the frame type: source of the header, the board deduction and the reference to 10 and 11/A12.02.</t>
        </is>
      </c>
      <c r="F609" s="46" t="inlineStr">
        <is>
          <t>excluded.HEADER</t>
        </is>
      </c>
      <c r="G609" s="46" t="inlineStr">
        <is>
          <t>El furring de la columna no tiene aberturas: 5/A09.25 no dibuja door, window ni panel de acceso, y el Door Schedule de A00.30 no lista ninguna abertura en la isla del drive-through.</t>
        </is>
      </c>
    </row>
    <row r="610" ht="33" customHeight="1" s="36">
      <c r="A610" s="59" t="n"/>
      <c r="B610" s="58" t="n">
        <v>21</v>
      </c>
      <c r="C610" s="44" t="inlineStr">
        <is>
          <t>A09.33</t>
        </is>
      </c>
      <c r="D610" s="59" t="inlineStr">
        <is>
          <t>Exclusion</t>
        </is>
      </c>
      <c r="E610" s="46" t="inlineStr">
        <is>
          <t>Ceiling Details, the sheet. Cited as a sheet for a finding by ABSENCE: its details label corner bead, casing bead and shadow molding one by one and NONE labels a control joint, so the omission is not a labeling oversight.</t>
        </is>
      </c>
      <c r="F610" s="46" t="inlineStr">
        <is>
          <t>excluded.CONTROL_JOINT</t>
        </is>
      </c>
      <c r="G610" s="46" t="inlineStr">
        <is>
          <t>El set no rotula ni detalla ninguna junta de control de gypsum board, ni en A12.01 ni en los detalles de A09.27/A09.33, y no hay seccion de especificaciones 09 29 00 en el bid set.</t>
        </is>
      </c>
    </row>
    <row r="611" ht="33" customHeight="1" s="36">
      <c r="A611" s="44" t="inlineStr">
        <is>
          <t>CANOPY-COL #68</t>
        </is>
      </c>
      <c r="B611" s="58" t="n">
        <v>1</v>
      </c>
      <c r="C611" s="44" t="inlineStr">
        <is>
          <t>A02.01</t>
        </is>
      </c>
      <c r="D611" s="59" t="inlineStr">
        <is>
          <t>Note</t>
        </is>
      </c>
      <c r="E611" s="46" t="inlineStr">
        <is>
          <t>Construction Plan. Entry sheet for partitions and openings: vector geometry of every wall face at 1/4"=1'-0", the leader of every partition tag, the Construction Plan Legend (new vs. existing) and the Construction Plan Notes.</t>
        </is>
      </c>
      <c r="F611" s="46" t="inlineStr">
        <is>
          <t>location</t>
        </is>
      </c>
      <c r="G611" s="46" t="inlineStr">
        <is>
          <t>CANOPY COLUMN 3 (drive-through island -- A02.01 y=849.2)</t>
        </is>
      </c>
    </row>
    <row r="612" ht="25.5" customHeight="1" s="36">
      <c r="A612" s="59" t="n"/>
      <c r="B612" s="58" t="n">
        <v>2</v>
      </c>
      <c r="C612" s="44" t="inlineStr">
        <is>
          <t>D/A08.01</t>
        </is>
      </c>
      <c r="D612" s="59" t="inlineStr">
        <is>
          <t>Exclusion</t>
        </is>
      </c>
      <c r="E612" s="46" t="inlineStr">
        <is>
          <t>Restroom elevation D on A08.01. Accessories hung on that face (blocking) and the extent of FRP, cement board and water-resistant board.</t>
        </is>
      </c>
      <c r="F612" s="46" t="inlineStr">
        <is>
          <t>excluded.BLOCKING</t>
        </is>
      </c>
      <c r="G612" s="46" t="inlineStr">
        <is>
          <t>Contraste: los walls de los banos 113 y 114, donde D/A08.01 SI cuelga accesorios y por eso SI llevan blocking.</t>
        </is>
      </c>
    </row>
    <row r="613" ht="25.5" customHeight="1" s="36">
      <c r="A613" s="59" t="n"/>
      <c r="B613" s="58" t="n">
        <v>3</v>
      </c>
      <c r="C613" s="44" t="inlineStr">
        <is>
          <t>6/A08.11</t>
        </is>
      </c>
      <c r="D613" s="59" t="inlineStr">
        <is>
          <t>Exclusion</t>
        </is>
      </c>
      <c r="E613" s="46" t="inlineStr">
        <is>
          <t>Walk-up ATM detail on A08.11: length of the niche, box beam, sistered 2 1/2" studs and the 5/8" FRT plywood in the niche.</t>
        </is>
      </c>
      <c r="F613" s="46" t="inlineStr">
        <is>
          <t>excluded.BOLLARD_DIV05_METALES</t>
        </is>
      </c>
      <c r="G613" s="46" t="inlineStr">
        <is>
          <t>Mismo criterio que el "SURFACE MOUNTED 4" STEEL BOLLARD" de 6/A08.11 en el ATM.</t>
        </is>
      </c>
    </row>
    <row r="614" ht="25.5" customHeight="1" s="36">
      <c r="A614" s="59" t="n"/>
      <c r="B614" s="58" t="n">
        <v>4</v>
      </c>
      <c r="C614" s="44" t="inlineStr">
        <is>
          <t>S2.10</t>
        </is>
      </c>
      <c r="D614" s="59" t="inlineStr">
        <is>
          <t>Quantity</t>
        </is>
      </c>
      <c r="E614" s="46" t="inlineStr">
        <is>
          <t>"FOUNDATION PLAN". Slab level where the bottom track lands against the steel column.</t>
        </is>
      </c>
      <c r="F614" s="46" t="inlineStr">
        <is>
          <t>TRACK_BOTTOM, excluded.COLUMNA_DE_ACERO_DIV05_12, scope[0].chain[2]</t>
        </is>
      </c>
      <c r="G614" s="46" t="inlineStr">
        <is>
          <t>Arranque sobre el pedestal de la zapata: 9/S3.20 CANOPY FOUNDATION DETAIL, la burbuja que S2.10 pone en la zapata de estas columnas.</t>
        </is>
      </c>
    </row>
    <row r="615" ht="25.5" customHeight="1" s="36">
      <c r="A615" s="59" t="n"/>
      <c r="B615" s="58" t="n">
        <v>5</v>
      </c>
      <c r="C615" s="44" t="inlineStr">
        <is>
          <t>A/A09.21</t>
        </is>
      </c>
      <c r="D615" s="59" t="inlineStr">
        <is>
          <t>Dimension</t>
        </is>
      </c>
      <c r="E615" s="46" t="inlineStr">
        <is>
          <t>Exterior wall section A. Build-up by layer and height of each layer: 5/8" FRT plywood sheathing over 2 1/2" polyiso, CFMF cavity and interior board.</t>
        </is>
      </c>
      <c r="F615" s="46" t="inlineStr">
        <is>
          <t>TRACK_TOP, face[0].board_height, stud_height</t>
        </is>
      </c>
      <c r="G615" s="46" t="inlineStr">
        <is>
          <t>B/ CANOPY = 10'-6", a PRINTED datum repeated on FOUR independent sections: A/A09.21 SECTION A @ ENTRANCE DOOR, F/A09.22 SECTION F, D/A09.22 SECTION D and H/A09.23.</t>
        </is>
      </c>
    </row>
    <row r="616" ht="25.5" customHeight="1" s="36">
      <c r="A616" s="59" t="n"/>
      <c r="B616" s="58" t="n">
        <v>6</v>
      </c>
      <c r="C616" s="44" t="inlineStr">
        <is>
          <t>D/A09.22</t>
        </is>
      </c>
      <c r="D616" s="59" t="inlineStr">
        <is>
          <t>Dimension</t>
        </is>
      </c>
      <c r="E616" s="46" t="inlineStr">
        <is>
          <t>Exterior wall section D. Layer build-up, board height and the blocking of that run.</t>
        </is>
      </c>
      <c r="F616" s="46" t="inlineStr">
        <is>
          <t>TRACK_TOP, face[0].board_height, stud_height</t>
        </is>
      </c>
      <c r="G616" s="46" t="inlineStr">
        <is>
          <t>B/ CANOPY = 10'-6", a PRINTED datum repeated on FOUR independent sections: A/A09.21 SECTION A @ ENTRANCE DOOR, F/A09.22 SECTION F, D/A09.22 SECTION D and H/A09.23.</t>
        </is>
      </c>
    </row>
    <row r="617" ht="25.5" customHeight="1" s="36">
      <c r="A617" s="59" t="n"/>
      <c r="B617" s="58" t="n">
        <v>7</v>
      </c>
      <c r="C617" s="44" t="inlineStr">
        <is>
          <t>F/A09.22</t>
        </is>
      </c>
      <c r="D617" s="59" t="inlineStr">
        <is>
          <t>Dimension</t>
        </is>
      </c>
      <c r="E617" s="46" t="inlineStr">
        <is>
          <t>Exterior wall section F. Board and stud height of that run.</t>
        </is>
      </c>
      <c r="F617" s="46" t="inlineStr">
        <is>
          <t>TRACK_TOP, face[0].board_height, stud_height</t>
        </is>
      </c>
      <c r="G617" s="46" t="inlineStr">
        <is>
          <t>B/ CANOPY = 10'-6", a PRINTED datum repeated on FOUR independent sections: A/A09.21 SECTION A @ ENTRANCE DOOR, F/A09.22 SECTION F, D/A09.22 SECTION D and H/A09.23.</t>
        </is>
      </c>
    </row>
    <row r="618" ht="25.5" customHeight="1" s="36">
      <c r="A618" s="59" t="n"/>
      <c r="B618" s="58" t="n">
        <v>8</v>
      </c>
      <c r="C618" s="44" t="inlineStr">
        <is>
          <t>H/A09.23</t>
        </is>
      </c>
      <c r="D618" s="59" t="inlineStr">
        <is>
          <t>Dimension</t>
        </is>
      </c>
      <c r="E618" s="46" t="inlineStr">
        <is>
          <t>Exterior wall section H. The one that gives the full build-up: "5/8" FRT PLYWOOD BONDED TO 2 1/2" POLYISO INSULATION", CFMF cavity and the height of each layer.</t>
        </is>
      </c>
      <c r="F618" s="46" t="inlineStr">
        <is>
          <t>TRACK_TOP, face[0].board_height, stud_height</t>
        </is>
      </c>
      <c r="G618" s="46" t="inlineStr">
        <is>
          <t>B/ CANOPY = 10'-6", a PRINTED datum repeated on FOUR independent sections: A/A09.21 SECTION A @ ENTRANCE DOOR, F/A09.22 SECTION F, D/A09.22 SECTION D and H/A09.23.</t>
        </is>
      </c>
    </row>
    <row r="619" ht="33" customHeight="1" s="36">
      <c r="A619" s="59" t="n"/>
      <c r="B619" s="58" t="n">
        <v>9</v>
      </c>
      <c r="C619" s="44" t="inlineStr">
        <is>
          <t>2/A09.25</t>
        </is>
      </c>
      <c r="D619" s="59" t="inlineStr">
        <is>
          <t>Exclusion</t>
        </is>
      </c>
      <c r="E619" s="46" t="inlineStr">
        <is>
          <t>"DETAIL @ STOREFRONT PIER". The second pier, with its own width.</t>
        </is>
      </c>
      <c r="F619" s="46" t="inlineStr">
        <is>
          <t>excluded.INSULATION</t>
        </is>
      </c>
      <c r="G619" s="46" t="inlineStr">
        <is>
          <t>5/A09.25 no rotula insulation dentro del furring de la columna; el "SPRAY FOAM INSULATION @ JAMBS" que si aparece en 1 y 2/A09.25 es de las jambs del storefront, no de esta columna.</t>
        </is>
      </c>
    </row>
    <row r="620" ht="25.5" customHeight="1" s="36">
      <c r="A620" s="59" t="n"/>
      <c r="B620" s="58" t="n">
        <v>10</v>
      </c>
      <c r="C620" s="44" t="inlineStr">
        <is>
          <t>5/A09.25</t>
        </is>
      </c>
      <c r="D620" s="59" t="inlineStr">
        <is>
          <t>Dimension</t>
        </is>
      </c>
      <c r="E620" s="46" t="inlineStr">
        <is>
          <t>"DETAIL @ CANOPY COLUMN" at 1 1/2"=1'-0". The canopy column furring.</t>
        </is>
      </c>
      <c r="F620" s="46" t="inlineStr">
        <is>
          <t>BOARD, BRACING, SEALANT, STUD, excluded.BLOCKING, excluded.BOLLARD_DIV05_METALES, excluded.COLUMNA_DE_ACERO_DIV05_12, excluded.HEADER, excluded.INSULATION, excluded.PATCH, excluded.PLASTER_PT-03_DIV09_24, excluded.PLOMERIA_DIV22, length, scope[0].chain[0]</t>
        </is>
      </c>
      <c r="G620" s="46" t="inlineStr">
        <is>
          <t>5/A09.25 acota el furring face to face de stud con dos dimensions impresas en la misma linea: "1'-2 1/2" FOS" + "2 1/2" FOS" = 1'-5" = 1.417 ft.</t>
        </is>
      </c>
    </row>
    <row r="621" ht="25.5" customHeight="1" s="36">
      <c r="A621" s="59" t="n"/>
      <c r="B621" s="58" t="n">
        <v>11</v>
      </c>
      <c r="C621" s="44" t="inlineStr">
        <is>
          <t>9/S3.20</t>
        </is>
      </c>
      <c r="D621" s="59" t="inlineStr">
        <is>
          <t>Quantity</t>
        </is>
      </c>
      <c r="E621" s="46" t="inlineStr">
        <is>
          <t>"CANOPY FOUNDATION DETAIL". Base of the canopy column: the steel column is Div 05 12, not ours.</t>
        </is>
      </c>
      <c r="F621" s="46" t="inlineStr">
        <is>
          <t>TRACK_BOTTOM, excluded.COLUMNA_DE_ACERO_DIV05_12, scope[0].chain[2]</t>
        </is>
      </c>
      <c r="G621" s="46" t="inlineStr">
        <is>
          <t>Arranque sobre el pedestal de la zapata: 9/S3.20 CANOPY FOUNDATION DETAIL, la burbuja que S2.10 pone en la zapata de estas columnas.</t>
        </is>
      </c>
    </row>
    <row r="622" ht="25.5" customHeight="1" s="36">
      <c r="A622" s="59" t="n"/>
      <c r="B622" s="58" t="n">
        <v>12</v>
      </c>
      <c r="C622" s="44" t="inlineStr">
        <is>
          <t>6/S5.10</t>
        </is>
      </c>
      <c r="D622" s="59" t="inlineStr">
        <is>
          <t>Quantity</t>
        </is>
      </c>
      <c r="E622" s="46" t="inlineStr">
        <is>
          <t>"SECTION AT PERIMETER" at 3/4"=1'-0". Closure of the exterior wall against the roof edge: source of the stud height and the top track of that run.</t>
        </is>
      </c>
      <c r="F622" s="46" t="inlineStr">
        <is>
          <t>TRACK_TOP</t>
        </is>
      </c>
      <c r="G622" s="46" t="inlineStr">
        <is>
          <t>Aqui NO va deflection track: el deflection track del proyecto es el del perimetro del edificio contra la viga de techo (6/S5.10 y 10/S5.10), y esta columna no recibe esa viga.</t>
        </is>
      </c>
    </row>
    <row r="623" ht="25.5" customHeight="1" s="36">
      <c r="A623" s="59" t="n"/>
      <c r="B623" s="58" t="n">
        <v>13</v>
      </c>
      <c r="C623" s="44" t="inlineStr">
        <is>
          <t>10/S5.10</t>
        </is>
      </c>
      <c r="D623" s="59" t="inlineStr">
        <is>
          <t>Quantity</t>
        </is>
      </c>
      <c r="E623" s="46" t="inlineStr">
        <is>
          <t>Perimeter section on S5.10. The other perimeter closure, with its own height.</t>
        </is>
      </c>
      <c r="F623" s="46" t="inlineStr">
        <is>
          <t>TRACK_TOP</t>
        </is>
      </c>
      <c r="G623" s="46" t="inlineStr">
        <is>
          <t>Aqui NO va deflection track: el deflection track del proyecto es el del perimetro del edificio contra la viga de techo (6/S5.10 y 10/S5.10), y esta columna no recibe esa viga.</t>
        </is>
      </c>
    </row>
    <row r="624" ht="43.5" customHeight="1" s="36">
      <c r="A624" s="59" t="n"/>
      <c r="B624" s="58" t="n">
        <v>14</v>
      </c>
      <c r="C624" s="44" t="inlineStr">
        <is>
          <t>A09.01</t>
        </is>
      </c>
      <c r="D624" s="59" t="inlineStr">
        <is>
          <t>Exclusion</t>
        </is>
      </c>
      <c r="E624" s="46" t="inlineStr">
        <is>
          <t>Exterior Elevations: "SOUTH ELEVATION" and "WEST ELEVATION" at 1/4"=1'-0". Extent of each exterior material and the material legend, verbatim "CJ CONTROL JOINT; PAINT TO MATCH STUCCO FINISH COLOR" - that joint is the STUCCO joint, not gypsum.</t>
        </is>
      </c>
      <c r="F624" s="46" t="inlineStr">
        <is>
          <t>excluded.CONTROL_JOINT</t>
        </is>
      </c>
      <c r="G62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25" ht="33" customHeight="1" s="36">
      <c r="A625" s="59" t="n"/>
      <c r="B625" s="58" t="n">
        <v>15</v>
      </c>
      <c r="C625" s="44" t="inlineStr">
        <is>
          <t>A12.01</t>
        </is>
      </c>
      <c r="D625" s="59" t="inlineStr">
        <is>
          <t>Exclusion</t>
        </is>
      </c>
      <c r="E625" s="46" t="inlineStr">
        <is>
          <t>Partition Types, the whole sheet. Cited as a sheet when the finding is the ABSENCE across the sheet (e.g. that no type labels a gypsum control joint).</t>
        </is>
      </c>
      <c r="F625" s="46" t="inlineStr">
        <is>
          <t>excluded.CONTROL_JOINT</t>
        </is>
      </c>
      <c r="G625" s="46" t="inlineStr">
        <is>
          <t>El set no rotula ni detalla ninguna junta de control de gypsum board, ni en A12.01 ni en los detalles de A09.27/A09.33, y no hay seccion de especificaciones 09 29 00 en el bid set.</t>
        </is>
      </c>
    </row>
    <row r="626" ht="33" customHeight="1" s="36">
      <c r="A626" s="59" t="n"/>
      <c r="B626" s="58" t="n">
        <v>16</v>
      </c>
      <c r="C626" s="44" t="inlineStr">
        <is>
          <t>5/A09.26</t>
        </is>
      </c>
      <c r="D626" s="59" t="inlineStr">
        <is>
          <t>Quantity</t>
        </is>
      </c>
      <c r="E626" s="46" t="inlineStr">
        <is>
          <t>"SECTION DETAIL @ ACM BASE". Base of the ACM: sheathing and sealant.</t>
        </is>
      </c>
      <c r="F626" s="46" t="inlineStr">
        <is>
          <t>SEALANT</t>
        </is>
      </c>
      <c r="G626" s="46" t="inlineStr">
        <is>
          <t>5/A09.25 dibuja el furring apoyado en los dos extremos; el sello de arranque es el mismo criterio del "SEALANT AT BASE OF GYPSUM" que rotulan 5/A09.26 y 9/A09.27 en el pie de los walls exteriores.</t>
        </is>
      </c>
    </row>
    <row r="627" ht="33" customHeight="1" s="36">
      <c r="A627" s="59" t="n"/>
      <c r="B627" s="58" t="n">
        <v>17</v>
      </c>
      <c r="C627" s="44" t="inlineStr">
        <is>
          <t>9/A09.27</t>
        </is>
      </c>
      <c r="D627" s="59" t="inlineStr">
        <is>
          <t>Quantity</t>
        </is>
      </c>
      <c r="E627" s="46" t="inlineStr">
        <is>
          <t>"SECTION DETAIL @ METAL PANEL BASE". Base of the metal panel: glass-mat sheathing and sealant.</t>
        </is>
      </c>
      <c r="F627" s="46" t="inlineStr">
        <is>
          <t>SEALANT</t>
        </is>
      </c>
      <c r="G627" s="46" t="inlineStr">
        <is>
          <t>5/A09.25 dibuja el furring apoyado en los dos extremos; el sello de arranque es el mismo criterio del "SEALANT AT BASE OF GYPSUM" que rotulan 5/A09.26 y 9/A09.27 en el pie de los walls exteriores.</t>
        </is>
      </c>
    </row>
    <row r="628" ht="33" customHeight="1" s="36">
      <c r="A628" s="59" t="n"/>
      <c r="B628" s="58" t="n">
        <v>18</v>
      </c>
      <c r="C628" s="44" t="inlineStr">
        <is>
          <t>6/A09.31</t>
        </is>
      </c>
      <c r="D628" s="59" t="inlineStr">
        <is>
          <t>Scope</t>
        </is>
      </c>
      <c r="E628" s="46" t="inlineStr">
        <is>
          <t>"DETAIL AT NARROW CHANNEL SCREED" at 12"=1'-0". The stucco screed, Div 09 24 00: proves the finish of that run is not ours.</t>
        </is>
      </c>
      <c r="F628" s="46" t="inlineStr">
        <is>
          <t>excluded.PLASTER_PT-03_DIV09_24, scope[0].chain[1]</t>
        </is>
      </c>
      <c r="G628" s="46" t="inlineStr">
        <is>
          <t>6/A09.31 DETAIL AT NARROW CHANNEL SCREED TRANSITION: el sistema de estuco viene con su "SELF-FURRING METAL LATH" y su "NARROW CHANNEL SCREED (SA-2)", o sea con su propio instalador</t>
        </is>
      </c>
    </row>
    <row r="629" ht="33" customHeight="1" s="36">
      <c r="A629" s="59" t="n"/>
      <c r="B629" s="58" t="n">
        <v>19</v>
      </c>
      <c r="C629" s="44" t="inlineStr">
        <is>
          <t>7/S5.20</t>
        </is>
      </c>
      <c r="D629" s="59" t="inlineStr">
        <is>
          <t>Quantity</t>
        </is>
      </c>
      <c r="E629" s="46" t="inlineStr">
        <is>
          <t>"METAL STUDS SCHEDULES". The profile: web, flange, lip, mils, gauge and the APPLICATION column with the spacing ("INTERIOR WALLS @ 16" O.C."), plus the SILL TRACK ANCHORAGE and the FASTENER SCHEDULE.</t>
        </is>
      </c>
      <c r="F629" s="46" t="inlineStr">
        <is>
          <t>BRACING, TRACK_BOTTOM, excluded.CLIPS</t>
        </is>
      </c>
      <c r="G629" s="46" t="inlineStr">
        <is>
          <t>7/S5.20 BRIDGING AND BRACING @ 48" O.C.</t>
        </is>
      </c>
    </row>
    <row r="630" ht="33" customHeight="1" s="36">
      <c r="A630" s="59" t="n"/>
      <c r="B630" s="58" t="n">
        <v>20</v>
      </c>
      <c r="C630" s="44" t="inlineStr">
        <is>
          <t>A00.30</t>
        </is>
      </c>
      <c r="D630" s="59" t="inlineStr">
        <is>
          <t>Exclusion</t>
        </is>
      </c>
      <c r="E630" s="46" t="inlineStr">
        <is>
          <t>Door Schedule. Leaf width and height of every door and the frame type: source of the header, the board deduction and the reference to 10 and 11/A12.02.</t>
        </is>
      </c>
      <c r="F630" s="46" t="inlineStr">
        <is>
          <t>excluded.HEADER</t>
        </is>
      </c>
      <c r="G630" s="46" t="inlineStr">
        <is>
          <t>El furring de la columna no tiene aberturas: 5/A09.25 no dibuja door, window ni panel de acceso, y el Door Schedule de A00.30 no lista ninguna abertura en la isla del drive-through.</t>
        </is>
      </c>
    </row>
    <row r="631" ht="33" customHeight="1" s="36">
      <c r="A631" s="59" t="n"/>
      <c r="B631" s="58" t="n">
        <v>21</v>
      </c>
      <c r="C631" s="44" t="inlineStr">
        <is>
          <t>A09.33</t>
        </is>
      </c>
      <c r="D631" s="59" t="inlineStr">
        <is>
          <t>Exclusion</t>
        </is>
      </c>
      <c r="E631" s="46" t="inlineStr">
        <is>
          <t>Ceiling Details, the sheet. Cited as a sheet for a finding by ABSENCE: its details label corner bead, casing bead and shadow molding one by one and NONE labels a control joint, so the omission is not a labeling oversight.</t>
        </is>
      </c>
      <c r="F631" s="46" t="inlineStr">
        <is>
          <t>excluded.CONTROL_JOINT</t>
        </is>
      </c>
      <c r="G631" s="46" t="inlineStr">
        <is>
          <t>El set no rotula ni detalla ninguna junta de control de gypsum board, ni en A12.01 ni en los detalles de A09.27/A09.33, y no hay seccion de especificaciones 09 29 00 en el bid set.</t>
        </is>
      </c>
    </row>
    <row r="632" ht="33" customHeight="1" s="36">
      <c r="A632" s="44" t="inlineStr">
        <is>
          <t>CANOPY-COL #69</t>
        </is>
      </c>
      <c r="B632" s="58" t="n">
        <v>1</v>
      </c>
      <c r="C632" s="44" t="inlineStr">
        <is>
          <t>A02.01</t>
        </is>
      </c>
      <c r="D632" s="59" t="inlineStr">
        <is>
          <t>Note</t>
        </is>
      </c>
      <c r="E632" s="46" t="inlineStr">
        <is>
          <t>Construction Plan. Entry sheet for partitions and openings: vector geometry of every wall face at 1/4"=1'-0", the leader of every partition tag, the Construction Plan Legend (new vs. existing) and the Construction Plan Notes.</t>
        </is>
      </c>
      <c r="F632" s="46" t="inlineStr">
        <is>
          <t>location</t>
        </is>
      </c>
      <c r="G632" s="46" t="inlineStr">
        <is>
          <t>CANOPY COLUMN 4 (drive-through island, southmost -- A02.01 y=1125.0)</t>
        </is>
      </c>
    </row>
    <row r="633" ht="25.5" customHeight="1" s="36">
      <c r="A633" s="59" t="n"/>
      <c r="B633" s="58" t="n">
        <v>2</v>
      </c>
      <c r="C633" s="44" t="inlineStr">
        <is>
          <t>D/A08.01</t>
        </is>
      </c>
      <c r="D633" s="59" t="inlineStr">
        <is>
          <t>Exclusion</t>
        </is>
      </c>
      <c r="E633" s="46" t="inlineStr">
        <is>
          <t>Restroom elevation D on A08.01. Accessories hung on that face (blocking) and the extent of FRP, cement board and water-resistant board.</t>
        </is>
      </c>
      <c r="F633" s="46" t="inlineStr">
        <is>
          <t>excluded.BLOCKING</t>
        </is>
      </c>
      <c r="G633" s="46" t="inlineStr">
        <is>
          <t>Contraste: los walls de los banos 113 y 114, donde D/A08.01 SI cuelga accesorios y por eso SI llevan blocking.</t>
        </is>
      </c>
    </row>
    <row r="634" ht="25.5" customHeight="1" s="36">
      <c r="A634" s="59" t="n"/>
      <c r="B634" s="58" t="n">
        <v>3</v>
      </c>
      <c r="C634" s="44" t="inlineStr">
        <is>
          <t>6/A08.11</t>
        </is>
      </c>
      <c r="D634" s="59" t="inlineStr">
        <is>
          <t>Exclusion</t>
        </is>
      </c>
      <c r="E634" s="46" t="inlineStr">
        <is>
          <t>Walk-up ATM detail on A08.11: length of the niche, box beam, sistered 2 1/2" studs and the 5/8" FRT plywood in the niche.</t>
        </is>
      </c>
      <c r="F634" s="46" t="inlineStr">
        <is>
          <t>excluded.BOLLARD_DIV05_METALES</t>
        </is>
      </c>
      <c r="G634" s="46" t="inlineStr">
        <is>
          <t>Mismo criterio que el "SURFACE MOUNTED 4" STEEL BOLLARD" de 6/A08.11 en el ATM.</t>
        </is>
      </c>
    </row>
    <row r="635" ht="25.5" customHeight="1" s="36">
      <c r="A635" s="59" t="n"/>
      <c r="B635" s="58" t="n">
        <v>4</v>
      </c>
      <c r="C635" s="44" t="inlineStr">
        <is>
          <t>S2.10</t>
        </is>
      </c>
      <c r="D635" s="59" t="inlineStr">
        <is>
          <t>Quantity</t>
        </is>
      </c>
      <c r="E635" s="46" t="inlineStr">
        <is>
          <t>"FOUNDATION PLAN". Slab level where the bottom track lands against the steel column.</t>
        </is>
      </c>
      <c r="F635" s="46" t="inlineStr">
        <is>
          <t>TRACK_BOTTOM, excluded.COLUMNA_DE_ACERO_DIV05_12, scope[0].chain[2]</t>
        </is>
      </c>
      <c r="G635" s="46" t="inlineStr">
        <is>
          <t>Arranque sobre el pedestal de la zapata: 9/S3.20 CANOPY FOUNDATION DETAIL, la burbuja que S2.10 pone en la zapata de estas columnas.</t>
        </is>
      </c>
    </row>
    <row r="636" ht="25.5" customHeight="1" s="36">
      <c r="A636" s="59" t="n"/>
      <c r="B636" s="58" t="n">
        <v>5</v>
      </c>
      <c r="C636" s="44" t="inlineStr">
        <is>
          <t>A/A09.21</t>
        </is>
      </c>
      <c r="D636" s="59" t="inlineStr">
        <is>
          <t>Dimension</t>
        </is>
      </c>
      <c r="E636" s="46" t="inlineStr">
        <is>
          <t>Exterior wall section A. Build-up by layer and height of each layer: 5/8" FRT plywood sheathing over 2 1/2" polyiso, CFMF cavity and interior board.</t>
        </is>
      </c>
      <c r="F636" s="46" t="inlineStr">
        <is>
          <t>TRACK_TOP, face[0].board_height, stud_height</t>
        </is>
      </c>
      <c r="G636" s="46" t="inlineStr">
        <is>
          <t>B/ CANOPY = 10'-6", a PRINTED datum repeated on FOUR independent sections: A/A09.21 SECTION A @ ENTRANCE DOOR, F/A09.22 SECTION F, D/A09.22 SECTION D and H/A09.23.</t>
        </is>
      </c>
    </row>
    <row r="637" ht="25.5" customHeight="1" s="36">
      <c r="A637" s="59" t="n"/>
      <c r="B637" s="58" t="n">
        <v>6</v>
      </c>
      <c r="C637" s="44" t="inlineStr">
        <is>
          <t>D/A09.22</t>
        </is>
      </c>
      <c r="D637" s="59" t="inlineStr">
        <is>
          <t>Dimension</t>
        </is>
      </c>
      <c r="E637" s="46" t="inlineStr">
        <is>
          <t>Exterior wall section D. Layer build-up, board height and the blocking of that run.</t>
        </is>
      </c>
      <c r="F637" s="46" t="inlineStr">
        <is>
          <t>TRACK_TOP, face[0].board_height, stud_height</t>
        </is>
      </c>
      <c r="G637" s="46" t="inlineStr">
        <is>
          <t>B/ CANOPY = 10'-6", a PRINTED datum repeated on FOUR independent sections: A/A09.21 SECTION A @ ENTRANCE DOOR, F/A09.22 SECTION F, D/A09.22 SECTION D and H/A09.23.</t>
        </is>
      </c>
    </row>
    <row r="638" ht="25.5" customHeight="1" s="36">
      <c r="A638" s="59" t="n"/>
      <c r="B638" s="58" t="n">
        <v>7</v>
      </c>
      <c r="C638" s="44" t="inlineStr">
        <is>
          <t>F/A09.22</t>
        </is>
      </c>
      <c r="D638" s="59" t="inlineStr">
        <is>
          <t>Dimension</t>
        </is>
      </c>
      <c r="E638" s="46" t="inlineStr">
        <is>
          <t>Exterior wall section F. Board and stud height of that run.</t>
        </is>
      </c>
      <c r="F638" s="46" t="inlineStr">
        <is>
          <t>TRACK_TOP, face[0].board_height, stud_height</t>
        </is>
      </c>
      <c r="G638" s="46" t="inlineStr">
        <is>
          <t>B/ CANOPY = 10'-6", a PRINTED datum repeated on FOUR independent sections: A/A09.21 SECTION A @ ENTRANCE DOOR, F/A09.22 SECTION F, D/A09.22 SECTION D and H/A09.23.</t>
        </is>
      </c>
    </row>
    <row r="639" ht="25.5" customHeight="1" s="36">
      <c r="A639" s="59" t="n"/>
      <c r="B639" s="58" t="n">
        <v>8</v>
      </c>
      <c r="C639" s="44" t="inlineStr">
        <is>
          <t>H/A09.23</t>
        </is>
      </c>
      <c r="D639" s="59" t="inlineStr">
        <is>
          <t>Dimension</t>
        </is>
      </c>
      <c r="E639" s="46" t="inlineStr">
        <is>
          <t>Exterior wall section H. The one that gives the full build-up: "5/8" FRT PLYWOOD BONDED TO 2 1/2" POLYISO INSULATION", CFMF cavity and the height of each layer.</t>
        </is>
      </c>
      <c r="F639" s="46" t="inlineStr">
        <is>
          <t>TRACK_TOP, face[0].board_height, stud_height</t>
        </is>
      </c>
      <c r="G639" s="46" t="inlineStr">
        <is>
          <t>B/ CANOPY = 10'-6", a PRINTED datum repeated on FOUR independent sections: A/A09.21 SECTION A @ ENTRANCE DOOR, F/A09.22 SECTION F, D/A09.22 SECTION D and H/A09.23.</t>
        </is>
      </c>
    </row>
    <row r="640" ht="33" customHeight="1" s="36">
      <c r="A640" s="59" t="n"/>
      <c r="B640" s="58" t="n">
        <v>9</v>
      </c>
      <c r="C640" s="44" t="inlineStr">
        <is>
          <t>2/A09.25</t>
        </is>
      </c>
      <c r="D640" s="59" t="inlineStr">
        <is>
          <t>Exclusion</t>
        </is>
      </c>
      <c r="E640" s="46" t="inlineStr">
        <is>
          <t>"DETAIL @ STOREFRONT PIER". The second pier, with its own width.</t>
        </is>
      </c>
      <c r="F640" s="46" t="inlineStr">
        <is>
          <t>excluded.INSULATION</t>
        </is>
      </c>
      <c r="G640" s="46" t="inlineStr">
        <is>
          <t>5/A09.25 no rotula insulation dentro del furring de la columna; el "SPRAY FOAM INSULATION @ JAMBS" que si aparece en 1 y 2/A09.25 es de las jambs del storefront, no de esta columna.</t>
        </is>
      </c>
    </row>
    <row r="641" ht="25.5" customHeight="1" s="36">
      <c r="A641" s="59" t="n"/>
      <c r="B641" s="58" t="n">
        <v>10</v>
      </c>
      <c r="C641" s="44" t="inlineStr">
        <is>
          <t>5/A09.25</t>
        </is>
      </c>
      <c r="D641" s="59" t="inlineStr">
        <is>
          <t>Dimension</t>
        </is>
      </c>
      <c r="E641" s="46" t="inlineStr">
        <is>
          <t>"DETAIL @ CANOPY COLUMN" at 1 1/2"=1'-0". The canopy column furring.</t>
        </is>
      </c>
      <c r="F641" s="46" t="inlineStr">
        <is>
          <t>BOARD, BRACING, SEALANT, STUD, excluded.BLOCKING, excluded.BOLLARD_DIV05_METALES, excluded.COLUMNA_DE_ACERO_DIV05_12, excluded.HEADER, excluded.INSULATION, excluded.PATCH, excluded.PLASTER_PT-03_DIV09_24, excluded.PLOMERIA_DIV22, length, scope[0].chain[0]</t>
        </is>
      </c>
      <c r="G641" s="46" t="inlineStr">
        <is>
          <t>5/A09.25 acota el furring face to face de stud con dos dimensions impresas en la misma linea: "1'-2 1/2" FOS" + "2 1/2" FOS" = 1'-5" = 1.417 ft.</t>
        </is>
      </c>
    </row>
    <row r="642" ht="25.5" customHeight="1" s="36">
      <c r="A642" s="59" t="n"/>
      <c r="B642" s="58" t="n">
        <v>11</v>
      </c>
      <c r="C642" s="44" t="inlineStr">
        <is>
          <t>9/S3.20</t>
        </is>
      </c>
      <c r="D642" s="59" t="inlineStr">
        <is>
          <t>Quantity</t>
        </is>
      </c>
      <c r="E642" s="46" t="inlineStr">
        <is>
          <t>"CANOPY FOUNDATION DETAIL". Base of the canopy column: the steel column is Div 05 12, not ours.</t>
        </is>
      </c>
      <c r="F642" s="46" t="inlineStr">
        <is>
          <t>TRACK_BOTTOM, excluded.COLUMNA_DE_ACERO_DIV05_12, scope[0].chain[2]</t>
        </is>
      </c>
      <c r="G642" s="46" t="inlineStr">
        <is>
          <t>Arranque sobre el pedestal de la zapata: 9/S3.20 CANOPY FOUNDATION DETAIL, la burbuja que S2.10 pone en la zapata de estas columnas.</t>
        </is>
      </c>
    </row>
    <row r="643" ht="25.5" customHeight="1" s="36">
      <c r="A643" s="59" t="n"/>
      <c r="B643" s="58" t="n">
        <v>12</v>
      </c>
      <c r="C643" s="44" t="inlineStr">
        <is>
          <t>6/S5.10</t>
        </is>
      </c>
      <c r="D643" s="59" t="inlineStr">
        <is>
          <t>Quantity</t>
        </is>
      </c>
      <c r="E643" s="46" t="inlineStr">
        <is>
          <t>"SECTION AT PERIMETER" at 3/4"=1'-0". Closure of the exterior wall against the roof edge: source of the stud height and the top track of that run.</t>
        </is>
      </c>
      <c r="F643" s="46" t="inlineStr">
        <is>
          <t>TRACK_TOP</t>
        </is>
      </c>
      <c r="G643" s="46" t="inlineStr">
        <is>
          <t>Aqui NO va deflection track: el deflection track del proyecto es el del perimetro del edificio contra la viga de techo (6/S5.10 y 10/S5.10), y esta columna no recibe esa viga.</t>
        </is>
      </c>
    </row>
    <row r="644" ht="25.5" customHeight="1" s="36">
      <c r="A644" s="59" t="n"/>
      <c r="B644" s="58" t="n">
        <v>13</v>
      </c>
      <c r="C644" s="44" t="inlineStr">
        <is>
          <t>10/S5.10</t>
        </is>
      </c>
      <c r="D644" s="59" t="inlineStr">
        <is>
          <t>Quantity</t>
        </is>
      </c>
      <c r="E644" s="46" t="inlineStr">
        <is>
          <t>Perimeter section on S5.10. The other perimeter closure, with its own height.</t>
        </is>
      </c>
      <c r="F644" s="46" t="inlineStr">
        <is>
          <t>TRACK_TOP</t>
        </is>
      </c>
      <c r="G644" s="46" t="inlineStr">
        <is>
          <t>Aqui NO va deflection track: el deflection track del proyecto es el del perimetro del edificio contra la viga de techo (6/S5.10 y 10/S5.10), y esta columna no recibe esa viga.</t>
        </is>
      </c>
    </row>
    <row r="645" ht="43.5" customHeight="1" s="36">
      <c r="A645" s="59" t="n"/>
      <c r="B645" s="58" t="n">
        <v>14</v>
      </c>
      <c r="C645" s="44" t="inlineStr">
        <is>
          <t>A09.01</t>
        </is>
      </c>
      <c r="D645" s="59" t="inlineStr">
        <is>
          <t>Exclusion</t>
        </is>
      </c>
      <c r="E645" s="46" t="inlineStr">
        <is>
          <t>Exterior Elevations: "SOUTH ELEVATION" and "WEST ELEVATION" at 1/4"=1'-0". Extent of each exterior material and the material legend, verbatim "CJ CONTROL JOINT; PAINT TO MATCH STUCCO FINISH COLOR" - that joint is the STUCCO joint, not gypsum.</t>
        </is>
      </c>
      <c r="F645" s="46" t="inlineStr">
        <is>
          <t>excluded.CONTROL_JOINT</t>
        </is>
      </c>
      <c r="G64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46" ht="33" customHeight="1" s="36">
      <c r="A646" s="59" t="n"/>
      <c r="B646" s="58" t="n">
        <v>15</v>
      </c>
      <c r="C646" s="44" t="inlineStr">
        <is>
          <t>A12.01</t>
        </is>
      </c>
      <c r="D646" s="59" t="inlineStr">
        <is>
          <t>Exclusion</t>
        </is>
      </c>
      <c r="E646" s="46" t="inlineStr">
        <is>
          <t>Partition Types, the whole sheet. Cited as a sheet when the finding is the ABSENCE across the sheet (e.g. that no type labels a gypsum control joint).</t>
        </is>
      </c>
      <c r="F646" s="46" t="inlineStr">
        <is>
          <t>excluded.CONTROL_JOINT</t>
        </is>
      </c>
      <c r="G646" s="46" t="inlineStr">
        <is>
          <t>El set no rotula ni detalla ninguna junta de control de gypsum board, ni en A12.01 ni en los detalles de A09.27/A09.33, y no hay seccion de especificaciones 09 29 00 en el bid set.</t>
        </is>
      </c>
    </row>
    <row r="647" ht="33" customHeight="1" s="36">
      <c r="A647" s="59" t="n"/>
      <c r="B647" s="58" t="n">
        <v>16</v>
      </c>
      <c r="C647" s="44" t="inlineStr">
        <is>
          <t>5/A09.26</t>
        </is>
      </c>
      <c r="D647" s="59" t="inlineStr">
        <is>
          <t>Quantity</t>
        </is>
      </c>
      <c r="E647" s="46" t="inlineStr">
        <is>
          <t>"SECTION DETAIL @ ACM BASE". Base of the ACM: sheathing and sealant.</t>
        </is>
      </c>
      <c r="F647" s="46" t="inlineStr">
        <is>
          <t>SEALANT</t>
        </is>
      </c>
      <c r="G647" s="46" t="inlineStr">
        <is>
          <t>5/A09.25 dibuja el furring apoyado en los dos extremos; el sello de arranque es el mismo criterio del "SEALANT AT BASE OF GYPSUM" que rotulan 5/A09.26 y 9/A09.27 en el pie de los walls exteriores.</t>
        </is>
      </c>
    </row>
    <row r="648" ht="33" customHeight="1" s="36">
      <c r="A648" s="59" t="n"/>
      <c r="B648" s="58" t="n">
        <v>17</v>
      </c>
      <c r="C648" s="44" t="inlineStr">
        <is>
          <t>9/A09.27</t>
        </is>
      </c>
      <c r="D648" s="59" t="inlineStr">
        <is>
          <t>Quantity</t>
        </is>
      </c>
      <c r="E648" s="46" t="inlineStr">
        <is>
          <t>"SECTION DETAIL @ METAL PANEL BASE". Base of the metal panel: glass-mat sheathing and sealant.</t>
        </is>
      </c>
      <c r="F648" s="46" t="inlineStr">
        <is>
          <t>SEALANT</t>
        </is>
      </c>
      <c r="G648" s="46" t="inlineStr">
        <is>
          <t>5/A09.25 dibuja el furring apoyado en los dos extremos; el sello de arranque es el mismo criterio del "SEALANT AT BASE OF GYPSUM" que rotulan 5/A09.26 y 9/A09.27 en el pie de los walls exteriores.</t>
        </is>
      </c>
    </row>
    <row r="649" ht="33" customHeight="1" s="36">
      <c r="A649" s="59" t="n"/>
      <c r="B649" s="58" t="n">
        <v>18</v>
      </c>
      <c r="C649" s="44" t="inlineStr">
        <is>
          <t>6/A09.31</t>
        </is>
      </c>
      <c r="D649" s="59" t="inlineStr">
        <is>
          <t>Scope</t>
        </is>
      </c>
      <c r="E649" s="46" t="inlineStr">
        <is>
          <t>"DETAIL AT NARROW CHANNEL SCREED" at 12"=1'-0". The stucco screed, Div 09 24 00: proves the finish of that run is not ours.</t>
        </is>
      </c>
      <c r="F649" s="46" t="inlineStr">
        <is>
          <t>excluded.PLASTER_PT-03_DIV09_24, scope[0].chain[1]</t>
        </is>
      </c>
      <c r="G649" s="46" t="inlineStr">
        <is>
          <t>6/A09.31 DETAIL AT NARROW CHANNEL SCREED TRANSITION: el sistema de estuco viene con su "SELF-FURRING METAL LATH" y su "NARROW CHANNEL SCREED (SA-2)", o sea con su propio instalador</t>
        </is>
      </c>
    </row>
    <row r="650" ht="33" customHeight="1" s="36">
      <c r="A650" s="59" t="n"/>
      <c r="B650" s="58" t="n">
        <v>19</v>
      </c>
      <c r="C650" s="44" t="inlineStr">
        <is>
          <t>7/S5.20</t>
        </is>
      </c>
      <c r="D650" s="59" t="inlineStr">
        <is>
          <t>Quantity</t>
        </is>
      </c>
      <c r="E650" s="46" t="inlineStr">
        <is>
          <t>"METAL STUDS SCHEDULES". The profile: web, flange, lip, mils, gauge and the APPLICATION column with the spacing ("INTERIOR WALLS @ 16" O.C."), plus the SILL TRACK ANCHORAGE and the FASTENER SCHEDULE.</t>
        </is>
      </c>
      <c r="F650" s="46" t="inlineStr">
        <is>
          <t>BRACING, TRACK_BOTTOM, excluded.CLIPS</t>
        </is>
      </c>
      <c r="G650" s="46" t="inlineStr">
        <is>
          <t>7/S5.20 BRIDGING AND BRACING @ 48" O.C.</t>
        </is>
      </c>
    </row>
    <row r="651" ht="33" customHeight="1" s="36">
      <c r="A651" s="59" t="n"/>
      <c r="B651" s="58" t="n">
        <v>20</v>
      </c>
      <c r="C651" s="44" t="inlineStr">
        <is>
          <t>A00.30</t>
        </is>
      </c>
      <c r="D651" s="59" t="inlineStr">
        <is>
          <t>Exclusion</t>
        </is>
      </c>
      <c r="E651" s="46" t="inlineStr">
        <is>
          <t>Door Schedule. Leaf width and height of every door and the frame type: source of the header, the board deduction and the reference to 10 and 11/A12.02.</t>
        </is>
      </c>
      <c r="F651" s="46" t="inlineStr">
        <is>
          <t>excluded.HEADER</t>
        </is>
      </c>
      <c r="G651" s="46" t="inlineStr">
        <is>
          <t>El furring de la columna no tiene aberturas: 5/A09.25 no dibuja door, window ni panel de acceso, y el Door Schedule de A00.30 no lista ninguna abertura en la isla del drive-through.</t>
        </is>
      </c>
    </row>
    <row r="652" ht="33" customHeight="1" s="36">
      <c r="A652" s="59" t="n"/>
      <c r="B652" s="58" t="n">
        <v>21</v>
      </c>
      <c r="C652" s="44" t="inlineStr">
        <is>
          <t>A09.33</t>
        </is>
      </c>
      <c r="D652" s="59" t="inlineStr">
        <is>
          <t>Exclusion</t>
        </is>
      </c>
      <c r="E652" s="46" t="inlineStr">
        <is>
          <t>Ceiling Details, the sheet. Cited as a sheet for a finding by ABSENCE: its details label corner bead, casing bead and shadow molding one by one and NONE labels a control joint, so the omission is not a labeling oversight.</t>
        </is>
      </c>
      <c r="F652" s="46" t="inlineStr">
        <is>
          <t>excluded.CONTROL_JOINT</t>
        </is>
      </c>
      <c r="G652" s="46" t="inlineStr">
        <is>
          <t>El set no rotula ni detalla ninguna junta de control de gypsum board, ni en A12.01 ni en los detalles de A09.27/A09.33, y no hay seccion de especificaciones 09 29 00 en el bid set.</t>
        </is>
      </c>
    </row>
    <row r="653" ht="33" customHeight="1" s="36">
      <c r="A653" s="44" t="inlineStr">
        <is>
          <t>EXT-6CFMF #61</t>
        </is>
      </c>
      <c r="B653" s="58" t="n">
        <v>1</v>
      </c>
      <c r="C653" s="44" t="inlineStr">
        <is>
          <t>A02.01</t>
        </is>
      </c>
      <c r="D653" s="59" t="inlineStr">
        <is>
          <t>Dimension</t>
        </is>
      </c>
      <c r="E653" s="46" t="inlineStr">
        <is>
          <t>Construction Plan. Entry sheet for partitions and openings: vector geometry of every wall face at 1/4"=1'-0", the leader of every partition tag, the Construction Plan Legend (new vs. existing) and the Construction Plan Notes.</t>
        </is>
      </c>
      <c r="F653" s="46" t="inlineStr">
        <is>
          <t>excluded.STOREFRONT_DIV08, length, scope[1].chain[1]</t>
        </is>
      </c>
      <c r="G653" s="46" t="inlineStr">
        <is>
          <t>longitud de WALL SOLIDO de esta fachada, medida sobre el EJE del wall en A02.01 y clasificada por lineweight con tools/perimetro.py (face de wall lw&gt;=1.1 y banda de 17.40 pt = 11.60"; storefront = banda de 1.44 pt = 0.96" con 2" mullions cada ~4'-4").</t>
        </is>
      </c>
    </row>
    <row r="654" ht="25.5" customHeight="1" s="36">
      <c r="A654" s="59" t="n"/>
      <c r="B654" s="58" t="n">
        <v>2</v>
      </c>
      <c r="C654" s="44" t="inlineStr">
        <is>
          <t>5/A08.11</t>
        </is>
      </c>
      <c r="D654" s="59" t="inlineStr">
        <is>
          <t>Quantity</t>
        </is>
      </c>
      <c r="E654" s="46" t="inlineStr">
        <is>
          <t>"ATM ELEVATION" at 3/4"=1'-0". Height of the ATM niche: source of the header.</t>
        </is>
      </c>
      <c r="F654" s="46" t="inlineStr">
        <is>
          <t>HEADER</t>
        </is>
      </c>
      <c r="G654" s="46" t="inlineStr">
        <is>
          <t>del ATM drive-up 2'-2 1/8" (5/A08.11).</t>
        </is>
      </c>
    </row>
    <row r="655" ht="43.5" customHeight="1" s="36">
      <c r="A655" s="59" t="n"/>
      <c r="B655" s="58" t="n">
        <v>3</v>
      </c>
      <c r="C655" s="44" t="inlineStr">
        <is>
          <t>6/A08.11</t>
        </is>
      </c>
      <c r="D655" s="59" t="inlineStr">
        <is>
          <t>Dimension</t>
        </is>
      </c>
      <c r="E655" s="46" t="inlineStr">
        <is>
          <t>Walk-up ATM detail on A08.11: length of the niche, box beam, sistered 2 1/2" studs and the 5/8" FRT plywood in the niche.</t>
        </is>
      </c>
      <c r="F655" s="46" t="inlineStr">
        <is>
          <t>SILL_TRACK, length</t>
        </is>
      </c>
      <c r="G655"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656" ht="43.5" customHeight="1" s="36">
      <c r="A656" s="59" t="n"/>
      <c r="B656" s="58" t="n">
        <v>4</v>
      </c>
      <c r="C656" s="44" t="inlineStr">
        <is>
          <t>A08.01</t>
        </is>
      </c>
      <c r="D656" s="59" t="inlineStr">
        <is>
          <t>Exclusion</t>
        </is>
      </c>
      <c r="E656" s="46" t="inlineStr">
        <is>
          <t>Enlarged Restroom Floor Plan and Finish Plan (1 and 2/A08.01) at 1/2"=1'-0". The restroom faces: extent of FRP and of tile, and the sheet note on blocking.</t>
        </is>
      </c>
      <c r="F656" s="46" t="inlineStr">
        <is>
          <t>excluded.BLOCKING</t>
        </is>
      </c>
      <c r="G656" s="46"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657" ht="25.5" customHeight="1" s="36">
      <c r="A657" s="59" t="n"/>
      <c r="B657" s="58" t="n">
        <v>5</v>
      </c>
      <c r="C657" s="44" t="inlineStr">
        <is>
          <t>2/A09.01</t>
        </is>
      </c>
      <c r="D657" s="59" t="inlineStr">
        <is>
          <t>Opening</t>
        </is>
      </c>
      <c r="E657" s="46" t="inlineStr">
        <is>
          <t>"WEST ELEVATION". Extent and datums of that elevation and the openings on it.</t>
        </is>
      </c>
      <c r="F657" s="46" t="inlineStr">
        <is>
          <t>openings[0].head, openings[0].sill, openings[1].head, openings[1].sill, openings[2].head, openings[2].sill, openings[3].head, openings[3].sill, scope[1].chain[0]</t>
        </is>
      </c>
      <c r="G657" s="46" t="inlineStr">
        <is>
          <t>H/A09.23 datum T/ GLAZING 8'-6" y 2/A09.01 T/ GLAZING</t>
        </is>
      </c>
    </row>
    <row r="658" ht="25.5" customHeight="1" s="36">
      <c r="A658" s="59" t="n"/>
      <c r="B658" s="58" t="n">
        <v>6</v>
      </c>
      <c r="C658" s="44" t="inlineStr">
        <is>
          <t>1/A09.02</t>
        </is>
      </c>
      <c r="D658" s="59" t="inlineStr">
        <is>
          <t>Scope</t>
        </is>
      </c>
      <c r="E658" s="46" t="inlineStr">
        <is>
          <t>"EAST ELEVATION". Extent of the metal panel on that side.</t>
        </is>
      </c>
      <c r="F658" s="46" t="inlineStr">
        <is>
          <t>scope[1].chain[0]</t>
        </is>
      </c>
      <c r="G658" s="46" t="inlineStr">
        <is>
          <t>2/A09.01 y 1/A09.02: datums "B/ GLAZING 6'-6"" y "T/ GLAZING 8'-6""</t>
        </is>
      </c>
    </row>
    <row r="659" ht="43.5" customHeight="1" s="36">
      <c r="A659" s="59" t="n"/>
      <c r="B659" s="58" t="n">
        <v>7</v>
      </c>
      <c r="C659" s="44" t="inlineStr">
        <is>
          <t>A/A09.21</t>
        </is>
      </c>
      <c r="D659" s="59" t="inlineStr">
        <is>
          <t>Quantity</t>
        </is>
      </c>
      <c r="E659" s="46" t="inlineStr">
        <is>
          <t>Exterior wall section A. Build-up by layer and height of each layer: 5/8" FRT plywood sheathing over 2 1/2" polyiso, CFMF cavity and interior board.</t>
        </is>
      </c>
      <c r="F659" s="46" t="inlineStr">
        <is>
          <t>BOARD, SHEATHING_5-8_FRT_PLYWOOD_2-1-2_POLYISO</t>
        </is>
      </c>
      <c r="G659"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0" ht="43.5" customHeight="1" s="36">
      <c r="A660" s="59" t="n"/>
      <c r="B660" s="58" t="n">
        <v>8</v>
      </c>
      <c r="C660" s="44" t="inlineStr">
        <is>
          <t>B/A09.21</t>
        </is>
      </c>
      <c r="D660" s="59" t="inlineStr">
        <is>
          <t>Quantity</t>
        </is>
      </c>
      <c r="E660" s="46" t="inlineStr">
        <is>
          <t>Exterior wall section B. Interior board height in that run.</t>
        </is>
      </c>
      <c r="F660" s="46" t="inlineStr">
        <is>
          <t>BOARD</t>
        </is>
      </c>
      <c r="G660"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1" ht="43.5" customHeight="1" s="36">
      <c r="A661" s="59" t="n"/>
      <c r="B661" s="58" t="n">
        <v>9</v>
      </c>
      <c r="C661" s="44" t="inlineStr">
        <is>
          <t>C/A09.21</t>
        </is>
      </c>
      <c r="D661" s="59" t="inlineStr">
        <is>
          <t>Quantity</t>
        </is>
      </c>
      <c r="E661" s="46" t="inlineStr">
        <is>
          <t>Exterior wall section C. Layer build-up of that run.</t>
        </is>
      </c>
      <c r="F661" s="46" t="inlineStr">
        <is>
          <t>BOARD, SHEATHING_5-8_FRT_PLYWOOD_2-1-2_POLYISO</t>
        </is>
      </c>
      <c r="G66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2" ht="43.5" customHeight="1" s="36">
      <c r="A662" s="59" t="n"/>
      <c r="B662" s="58" t="n">
        <v>10</v>
      </c>
      <c r="C662" s="44" t="inlineStr">
        <is>
          <t>D/A09.22</t>
        </is>
      </c>
      <c r="D662" s="59" t="inlineStr">
        <is>
          <t>Quantity</t>
        </is>
      </c>
      <c r="E662" s="46" t="inlineStr">
        <is>
          <t>Exterior wall section D. Layer build-up, board height and the blocking of that run.</t>
        </is>
      </c>
      <c r="F662" s="46" t="inlineStr">
        <is>
          <t>BOARD, SHEATHING_5-8_FRT_PLYWOOD_2-1-2_POLYISO</t>
        </is>
      </c>
      <c r="G66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3" ht="43.5" customHeight="1" s="36">
      <c r="A663" s="59" t="n"/>
      <c r="B663" s="58" t="n">
        <v>11</v>
      </c>
      <c r="C663" s="44" t="inlineStr">
        <is>
          <t>E/A09.22</t>
        </is>
      </c>
      <c r="D663" s="59" t="inlineStr">
        <is>
          <t>Quantity</t>
        </is>
      </c>
      <c r="E663" s="46" t="inlineStr">
        <is>
          <t>Exterior wall section E. Board height of that run and the stucco finish, which is not ours.</t>
        </is>
      </c>
      <c r="F663" s="46" t="inlineStr">
        <is>
          <t>BOARD, excluded.PLASTER_PT-3_DIV09_24</t>
        </is>
      </c>
      <c r="G663"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4" ht="43.5" customHeight="1" s="36">
      <c r="A664" s="59" t="n"/>
      <c r="B664" s="58" t="n">
        <v>12</v>
      </c>
      <c r="C664" s="44" t="inlineStr">
        <is>
          <t>F/A09.22</t>
        </is>
      </c>
      <c r="D664" s="59" t="inlineStr">
        <is>
          <t>Quantity</t>
        </is>
      </c>
      <c r="E664" s="46" t="inlineStr">
        <is>
          <t>Exterior wall section F. Board and stud height of that run.</t>
        </is>
      </c>
      <c r="F664" s="46" t="inlineStr">
        <is>
          <t>BOARD</t>
        </is>
      </c>
      <c r="G66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5" ht="25.5" customHeight="1" s="36">
      <c r="A665" s="59" t="n"/>
      <c r="B665" s="58" t="n">
        <v>13</v>
      </c>
      <c r="C665" s="44" t="inlineStr">
        <is>
          <t>H/A09.23</t>
        </is>
      </c>
      <c r="D665" s="59" t="inlineStr">
        <is>
          <t>Quantity</t>
        </is>
      </c>
      <c r="E665" s="46" t="inlineStr">
        <is>
          <t>Exterior wall section H. The one that gives the full build-up: "5/8" FRT PLYWOOD BONDED TO 2 1/2" POLYISO INSULATION", CFMF cavity and the height of each layer.</t>
        </is>
      </c>
      <c r="F665" s="46" t="inlineStr">
        <is>
          <t>BOARD, SHEATHING_5-8_FRT_PLYWOOD_2-1-2_POLYISO, excluded.INSULATION, openings[0].head, openings[0].sill, openings[1].head, openings[1].sill, openings[2].head, openings[2].sill, openings[3].head, openings[3].sill, scope[0].chain[0]</t>
        </is>
      </c>
      <c r="G665" s="46" t="inlineStr">
        <is>
          <t>Label TEXTUAL de H/A09.23: "5/8" GYP.</t>
        </is>
      </c>
    </row>
    <row r="666" ht="43.5" customHeight="1" s="36">
      <c r="A666" s="59" t="n"/>
      <c r="B666" s="58" t="n">
        <v>14</v>
      </c>
      <c r="C666" s="44" t="inlineStr">
        <is>
          <t>J/A09.23</t>
        </is>
      </c>
      <c r="D666" s="59" t="inlineStr">
        <is>
          <t>Quantity</t>
        </is>
      </c>
      <c r="E666" s="46" t="inlineStr">
        <is>
          <t>Exterior wall section J. Board height of that run and its blocking.</t>
        </is>
      </c>
      <c r="F666" s="46" t="inlineStr">
        <is>
          <t>BOARD</t>
        </is>
      </c>
      <c r="G666"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7" ht="25.5" customHeight="1" s="36">
      <c r="A667" s="59" t="n"/>
      <c r="B667" s="58" t="n">
        <v>15</v>
      </c>
      <c r="C667" s="44" t="inlineStr">
        <is>
          <t>1/A09.25</t>
        </is>
      </c>
      <c r="D667" s="59" t="inlineStr">
        <is>
          <t>Quantity</t>
        </is>
      </c>
      <c r="E667" s="46" t="inlineStr">
        <is>
          <t>"DETAIL @ STOREFRONT PIER" at 1 1/2"=1'-0". The pier between storefront bays: source of the 3/4" FRT plywood and the jamb return board.</t>
        </is>
      </c>
      <c r="F667" s="46" t="inlineStr">
        <is>
          <t>JAMB_RETURN_BOARD, PLYWOOD_3-4_FRT</t>
        </is>
      </c>
      <c r="G667" s="46" t="inlineStr">
        <is>
          <t>1/A09.25 y 2/A09.25 lo cierran en planta con "5/8" GYPSUM BOARD" doblando hacia el marco de aluminio</t>
        </is>
      </c>
    </row>
    <row r="668" ht="25.5" customHeight="1" s="36">
      <c r="A668" s="59" t="n"/>
      <c r="B668" s="58" t="n">
        <v>16</v>
      </c>
      <c r="C668" s="44" t="inlineStr">
        <is>
          <t>2/A09.25</t>
        </is>
      </c>
      <c r="D668" s="59" t="inlineStr">
        <is>
          <t>Quantity</t>
        </is>
      </c>
      <c r="E668" s="46" t="inlineStr">
        <is>
          <t>"DETAIL @ STOREFRONT PIER". The second pier, with its own width.</t>
        </is>
      </c>
      <c r="F668" s="46" t="inlineStr">
        <is>
          <t>JAMB_RETURN_BOARD, PLYWOOD_3-4_FRT</t>
        </is>
      </c>
      <c r="G668" s="46" t="inlineStr">
        <is>
          <t>1/A09.25 y 2/A09.25 lo cierran en planta con "5/8" GYPSUM BOARD" doblando hacia el marco de aluminio</t>
        </is>
      </c>
    </row>
    <row r="669" ht="25.5" customHeight="1" s="36">
      <c r="A669" s="59" t="n"/>
      <c r="B669" s="58" t="n">
        <v>17</v>
      </c>
      <c r="C669" s="44" t="inlineStr">
        <is>
          <t>3/A09.25</t>
        </is>
      </c>
      <c r="D669" s="59" t="inlineStr">
        <is>
          <t>Quantity</t>
        </is>
      </c>
      <c r="E669" s="46" t="inlineStr">
        <is>
          <t>"DETAIL @ WINDOW JAMB". Window jamb: plywood and return board.</t>
        </is>
      </c>
      <c r="F669" s="46" t="inlineStr">
        <is>
          <t>PLYWOOD_3-4_FRT</t>
        </is>
      </c>
      <c r="G669" s="46" t="inlineStr">
        <is>
          <t>6'-6""), y 1/A09.25 DETAIL @ STOREFRONT PIER mas 2/A09.25 y 3/A09.25 DETAIL @ WINDOW JAMB en las jambs</t>
        </is>
      </c>
    </row>
    <row r="670" ht="33" customHeight="1" s="36">
      <c r="A670" s="59" t="n"/>
      <c r="B670" s="58" t="n">
        <v>18</v>
      </c>
      <c r="C670" s="44" t="inlineStr">
        <is>
          <t>4/A11.01</t>
        </is>
      </c>
      <c r="D670" s="59" t="inlineStr">
        <is>
          <t>Exclusion</t>
        </is>
      </c>
      <c r="E670" s="46" t="inlineStr">
        <is>
          <t>"OFFICE 2 - NORTH". What hangs on that face and at what height.</t>
        </is>
      </c>
      <c r="F670" s="46" t="inlineStr">
        <is>
          <t>excluded.BLOCKING</t>
        </is>
      </c>
      <c r="G670" s="46" t="inlineStr">
        <is>
          <t>8'-0" x 2'-0"), pintura P-15 y base B-11 -- el ARTWORK 4'-0"x4'-0" va en la wall NORTE (3/A11.04, 7/A11.04, 9/A11.04, 16/A11.04, 4/A11.01, 10/A11.03) y el WC-18 con su casework en la wall SUR.</t>
        </is>
      </c>
    </row>
    <row r="671" ht="33" customHeight="1" s="36">
      <c r="A671" s="59" t="n"/>
      <c r="B671" s="58" t="n">
        <v>19</v>
      </c>
      <c r="C671" s="44" t="inlineStr">
        <is>
          <t>10/A11.03</t>
        </is>
      </c>
      <c r="D671" s="59" t="inlineStr">
        <is>
          <t>Exclusion</t>
        </is>
      </c>
      <c r="E671" s="46" t="inlineStr">
        <is>
          <t>"OFFICE 6 - NORTH". What hangs on that face.</t>
        </is>
      </c>
      <c r="F671" s="46" t="inlineStr">
        <is>
          <t>excluded.BLOCKING</t>
        </is>
      </c>
      <c r="G671" s="46" t="inlineStr">
        <is>
          <t>8'-0" x 2'-0"), pintura P-15 y base B-11 -- el ARTWORK 4'-0"x4'-0" va en la wall NORTE (3/A11.04, 7/A11.04, 9/A11.04, 16/A11.04, 4/A11.01, 10/A11.03) y el WC-18 con su casework en la wall SUR.</t>
        </is>
      </c>
    </row>
    <row r="672" ht="33" customHeight="1" s="36">
      <c r="A672" s="59" t="n"/>
      <c r="B672" s="58" t="n">
        <v>20</v>
      </c>
      <c r="C672" s="44" t="inlineStr">
        <is>
          <t>3/A11.04</t>
        </is>
      </c>
      <c r="D672" s="59" t="inlineStr">
        <is>
          <t>Exclusion</t>
        </is>
      </c>
      <c r="E672" s="46" t="inlineStr">
        <is>
          <t>"OFFICE 1 - NORTH". What hangs on that face.</t>
        </is>
      </c>
      <c r="F672" s="46" t="inlineStr">
        <is>
          <t>excluded.BLOCKING</t>
        </is>
      </c>
      <c r="G672" s="46" t="inlineStr">
        <is>
          <t>8'-0" x 2'-0"), pintura P-15 y base B-11 -- el ARTWORK 4'-0"x4'-0" va en la wall NORTE (3/A11.04, 7/A11.04, 9/A11.04, 16/A11.04, 4/A11.01, 10/A11.03) y el WC-18 con su casework en la wall SUR.</t>
        </is>
      </c>
    </row>
    <row r="673" ht="33" customHeight="1" s="36">
      <c r="A673" s="59" t="n"/>
      <c r="B673" s="58" t="n">
        <v>21</v>
      </c>
      <c r="C673" s="44" t="inlineStr">
        <is>
          <t>7/A11.04</t>
        </is>
      </c>
      <c r="D673" s="59" t="inlineStr">
        <is>
          <t>Exclusion</t>
        </is>
      </c>
      <c r="E673" s="46" t="inlineStr">
        <is>
          <t>"OFFICE 3 - NORTH". What hangs on that face.</t>
        </is>
      </c>
      <c r="F673" s="46" t="inlineStr">
        <is>
          <t>excluded.BLOCKING</t>
        </is>
      </c>
      <c r="G673" s="46" t="inlineStr">
        <is>
          <t>8'-0" x 2'-0"), pintura P-15 y base B-11 -- el ARTWORK 4'-0"x4'-0" va en la wall NORTE (3/A11.04, 7/A11.04, 9/A11.04, 16/A11.04, 4/A11.01, 10/A11.03) y el WC-18 con su casework en la wall SUR.</t>
        </is>
      </c>
    </row>
    <row r="674" ht="33" customHeight="1" s="36">
      <c r="A674" s="59" t="n"/>
      <c r="B674" s="58" t="n">
        <v>22</v>
      </c>
      <c r="C674" s="44" t="inlineStr">
        <is>
          <t>9/A11.04</t>
        </is>
      </c>
      <c r="D674" s="59" t="inlineStr">
        <is>
          <t>Exclusion</t>
        </is>
      </c>
      <c r="E674" s="46" t="inlineStr">
        <is>
          <t>"OFFICE 4 - NORTH". What hangs on that face.</t>
        </is>
      </c>
      <c r="F674" s="46" t="inlineStr">
        <is>
          <t>excluded.BLOCKING</t>
        </is>
      </c>
      <c r="G674" s="46" t="inlineStr">
        <is>
          <t>8'-0" x 2'-0"), pintura P-15 y base B-11 -- el ARTWORK 4'-0"x4'-0" va en la wall NORTE (3/A11.04, 7/A11.04, 9/A11.04, 16/A11.04, 4/A11.01, 10/A11.03) y el WC-18 con su casework en la wall SUR.</t>
        </is>
      </c>
    </row>
    <row r="675" ht="33" customHeight="1" s="36">
      <c r="A675" s="59" t="n"/>
      <c r="B675" s="58" t="n">
        <v>23</v>
      </c>
      <c r="C675" s="44" t="inlineStr">
        <is>
          <t>16/A11.04</t>
        </is>
      </c>
      <c r="D675" s="59" t="inlineStr">
        <is>
          <t>Exclusion</t>
        </is>
      </c>
      <c r="E675" s="46" t="inlineStr">
        <is>
          <t>Interior elevation on A11.04. What hangs on that face.</t>
        </is>
      </c>
      <c r="F675" s="46" t="inlineStr">
        <is>
          <t>excluded.BLOCKING</t>
        </is>
      </c>
      <c r="G675" s="46" t="inlineStr">
        <is>
          <t>8'-0" x 2'-0"), pintura P-15 y base B-11 -- el ARTWORK 4'-0"x4'-0" va en la wall NORTE (3/A11.04, 7/A11.04, 9/A11.04, 16/A11.04, 4/A11.01, 10/A11.03) y el WC-18 con su casework en la wall SUR.</t>
        </is>
      </c>
    </row>
    <row r="676" ht="25.5" customHeight="1" s="36">
      <c r="A676" s="59" t="n"/>
      <c r="B676" s="58" t="n">
        <v>24</v>
      </c>
      <c r="C676" s="44" t="inlineStr">
        <is>
          <t>2/S3.20</t>
        </is>
      </c>
      <c r="D676" s="59" t="inlineStr">
        <is>
          <t>Quantity</t>
        </is>
      </c>
      <c r="E676" s="46" t="inlineStr">
        <is>
          <t>"TYP. PERIMETER GRADE BEAM". The grade beam the exterior bottom track starts on.</t>
        </is>
      </c>
      <c r="F676" s="46" t="inlineStr">
        <is>
          <t>TRACK_BOTTOM</t>
        </is>
      </c>
      <c r="G676" s="46" t="inlineStr">
        <is>
          <t>Lo que recibe ese anchorage es la viga perimetral de cimentacion: 2/S3.20 TYP.</t>
        </is>
      </c>
    </row>
    <row r="677" ht="25.5" customHeight="1" s="36">
      <c r="A677" s="59" t="n"/>
      <c r="B677" s="58" t="n">
        <v>25</v>
      </c>
      <c r="C677" s="44" t="inlineStr">
        <is>
          <t>8/S3.20</t>
        </is>
      </c>
      <c r="D677" s="59" t="inlineStr">
        <is>
          <t>Quantity</t>
        </is>
      </c>
      <c r="E677" s="46" t="inlineStr">
        <is>
          <t>"TYP. INTERIOR GRADE BEAM". The interior grade beam the bottom track starts on.</t>
        </is>
      </c>
      <c r="F677" s="46" t="inlineStr">
        <is>
          <t>TRACK_BOTTOM</t>
        </is>
      </c>
      <c r="G677" s="46" t="inlineStr">
        <is>
          <t>Contraste: 3, 5, 6, 7 y 8/S3.20 son la misma familia de viga y NINGUNO lleva esa nota; por eso solo este se cita y los otros van declarados con motivo.</t>
        </is>
      </c>
    </row>
    <row r="678" ht="25.5" customHeight="1" s="36">
      <c r="A678" s="59" t="n"/>
      <c r="B678" s="58" t="n">
        <v>26</v>
      </c>
      <c r="C678" s="44" t="inlineStr">
        <is>
          <t>6/S5.10</t>
        </is>
      </c>
      <c r="D678" s="59" t="inlineStr">
        <is>
          <t>Dimension</t>
        </is>
      </c>
      <c r="E678" s="46" t="inlineStr">
        <is>
          <t>"SECTION AT PERIMETER" at 3/4"=1'-0". Closure of the exterior wall against the roof edge: source of the stud height and the top track of that run.</t>
        </is>
      </c>
      <c r="F678" s="46" t="inlineStr">
        <is>
          <t>BRACING, STUD, TRACK_TOP, stud_height</t>
        </is>
      </c>
      <c r="G678" s="46" t="inlineStr">
        <is>
          <t>(bottom of deck) = top of steel del perimetro, donde 6/S5.10 y 10/S5.10 SECTION AT PERIMETER rematan el LT.</t>
        </is>
      </c>
    </row>
    <row r="679" ht="25.5" customHeight="1" s="36">
      <c r="A679" s="59" t="n"/>
      <c r="B679" s="58" t="n">
        <v>27</v>
      </c>
      <c r="C679" s="44" t="inlineStr">
        <is>
          <t>10/S5.10</t>
        </is>
      </c>
      <c r="D679" s="59" t="inlineStr">
        <is>
          <t>Dimension</t>
        </is>
      </c>
      <c r="E679" s="46" t="inlineStr">
        <is>
          <t>Perimeter section on S5.10. The other perimeter closure, with its own height.</t>
        </is>
      </c>
      <c r="F679" s="46" t="inlineStr">
        <is>
          <t>BRACING, STUD, TRACK_TOP, stud_height</t>
        </is>
      </c>
      <c r="G679" s="46" t="inlineStr">
        <is>
          <t>(bottom of deck) = top of steel del perimetro, donde 6/S5.10 y 10/S5.10 SECTION AT PERIMETER rematan el LT.</t>
        </is>
      </c>
    </row>
    <row r="680" ht="33" customHeight="1" s="36">
      <c r="A680" s="59" t="n"/>
      <c r="B680" s="58" t="n">
        <v>28</v>
      </c>
      <c r="C680" s="44" t="inlineStr">
        <is>
          <t>11/S5.10</t>
        </is>
      </c>
      <c r="D680" s="59" t="inlineStr">
        <is>
          <t>Quantity</t>
        </is>
      </c>
      <c r="E680" s="46" t="inlineStr">
        <is>
          <t>Section on S5.10. Stud height, track and fastener of that perimeter run.</t>
        </is>
      </c>
      <c r="F680" s="46" t="inlineStr">
        <is>
          <t>STUD</t>
        </is>
      </c>
      <c r="G680" s="46" t="inlineStr">
        <is>
          <t>TO ACCOMMODATE VERTICAL MOVEMENT OF PERIMETER BEAM +/- 1/2"", y de ahi arriba el parapet es OTRO wall, el infill de 11/S5.10, con otro perfil (600S162-54, 54 mil) y track propio arriba y abajo.</t>
        </is>
      </c>
    </row>
    <row r="681" ht="25.5" customHeight="1" s="36">
      <c r="A681" s="59" t="n"/>
      <c r="B681" s="58" t="n">
        <v>29</v>
      </c>
      <c r="C681" s="44" t="inlineStr">
        <is>
          <t>7/S5.11</t>
        </is>
      </c>
      <c r="D681" s="59" t="inlineStr">
        <is>
          <t>Quantity</t>
        </is>
      </c>
      <c r="E681" s="46" t="inlineStr">
        <is>
          <t>"ROOF SECTION" at 3/4"=1'-0". Deck height in that run and the top track.</t>
        </is>
      </c>
      <c r="F681" s="46" t="inlineStr">
        <is>
          <t>TRACK_TOP</t>
        </is>
      </c>
      <c r="G681" s="46" t="inlineStr">
        <is>
          <t>Los dos detalles dibujan la misma condicion en el perimetro y los dos la rotulan igual; 7/S5.11 ROOF SECTION manda a 6/S5.10 para la misma.</t>
        </is>
      </c>
    </row>
    <row r="682" ht="33" customHeight="1" s="36">
      <c r="A682" s="59" t="n"/>
      <c r="B682" s="58" t="n">
        <v>30</v>
      </c>
      <c r="C682" s="44" t="inlineStr">
        <is>
          <t>A12.01</t>
        </is>
      </c>
      <c r="D682" s="59" t="inlineStr">
        <is>
          <t>Exclusion</t>
        </is>
      </c>
      <c r="E682" s="46" t="inlineStr">
        <is>
          <t>Partition Types, the whole sheet. Cited as a sheet when the finding is the ABSENCE across the sheet (e.g. that no type labels a gypsum control joint).</t>
        </is>
      </c>
      <c r="F682" s="46" t="inlineStr">
        <is>
          <t>excluded.CONTROL_JOINT</t>
        </is>
      </c>
      <c r="G682" s="46" t="inlineStr">
        <is>
          <t>El set no rotula ni detalla ninguna junta de control de gypsum board, ni en A12.01 ni en los detalles de A09.27/A09.33, y no hay seccion de especificaciones 09 29 00 en el bid set.</t>
        </is>
      </c>
    </row>
    <row r="683" ht="43.5" customHeight="1" s="36">
      <c r="A683" s="59" t="n"/>
      <c r="B683" s="58" t="n">
        <v>31</v>
      </c>
      <c r="C683" s="44" t="inlineStr">
        <is>
          <t>1/A09.26</t>
        </is>
      </c>
      <c r="D683" s="59" t="inlineStr">
        <is>
          <t>Quantity</t>
        </is>
      </c>
      <c r="E683" s="46" t="inlineStr">
        <is>
          <t>"SECTION DETAIL @ ENTRANCE DOOR". Jamb and head of the entrance door.</t>
        </is>
      </c>
      <c r="F683" s="46" t="inlineStr">
        <is>
          <t>PLYWOOD_3-4_FRT</t>
        </is>
      </c>
      <c r="G683" s="46"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684" ht="25.5" customHeight="1" s="36">
      <c r="A684" s="59" t="n"/>
      <c r="B684" s="58" t="n">
        <v>32</v>
      </c>
      <c r="C684" s="44" t="inlineStr">
        <is>
          <t>2/A09.26</t>
        </is>
      </c>
      <c r="D684" s="59" t="inlineStr">
        <is>
          <t>Quantity</t>
        </is>
      </c>
      <c r="E684" s="46" t="inlineStr">
        <is>
          <t>"SECTION DETAIL @ STOREFRONT HEAD". The storefront head and its box beam.</t>
        </is>
      </c>
      <c r="F684" s="46" t="inlineStr">
        <is>
          <t>JAMB_RETURN_BOARD, PLYWOOD_3-4_FRT, excluded.BOX_BEAM</t>
        </is>
      </c>
      <c r="G684" s="46" t="inlineStr">
        <is>
          <t>"GYPSUM BOARD JAMB RETURN BEYOND", rotulo TEXTUAL de 11/A09.27 y de 2/A09.26.</t>
        </is>
      </c>
    </row>
    <row r="685" ht="25.5" customHeight="1" s="36">
      <c r="A685" s="59" t="n"/>
      <c r="B685" s="58" t="n">
        <v>33</v>
      </c>
      <c r="C685" s="44" t="inlineStr">
        <is>
          <t>4/A09.26</t>
        </is>
      </c>
      <c r="D685" s="59" t="inlineStr">
        <is>
          <t>Quantity</t>
        </is>
      </c>
      <c r="E685" s="46" t="inlineStr">
        <is>
          <t>"SECTION DETAIL @ PARAPET" at 1 1/2"=1'-0". The parapet: glass-mat sheathing, sealant and closure blocking.</t>
        </is>
      </c>
      <c r="F685" s="46" t="inlineStr">
        <is>
          <t>SEALANT, SHEATHING_5-8_GLASS_MAT</t>
        </is>
      </c>
      <c r="G685" s="46" t="inlineStr">
        <is>
          <t>4/A09.26 SECTION DETAIL @ PARAPET rotula "SEALANT" en el closure de arriba.</t>
        </is>
      </c>
    </row>
    <row r="686" ht="43.5" customHeight="1" s="36">
      <c r="A686" s="59" t="n"/>
      <c r="B686" s="58" t="n">
        <v>34</v>
      </c>
      <c r="C686" s="44" t="inlineStr">
        <is>
          <t>5/A09.26</t>
        </is>
      </c>
      <c r="D686" s="59" t="inlineStr">
        <is>
          <t>Quantity</t>
        </is>
      </c>
      <c r="E686" s="46" t="inlineStr">
        <is>
          <t>"SECTION DETAIL @ ACM BASE". Base of the ACM: sheathing and sealant.</t>
        </is>
      </c>
      <c r="F686" s="46" t="inlineStr">
        <is>
          <t>SEALANT, SHEATHING_5-8_GLASS_MAT, excluded.PLASTER_PT-3_DIV09_24</t>
        </is>
      </c>
      <c r="G686"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687" ht="43.5" customHeight="1" s="36">
      <c r="A687" s="59" t="n"/>
      <c r="B687" s="58" t="n">
        <v>35</v>
      </c>
      <c r="C687" s="44" t="inlineStr">
        <is>
          <t>6/A09.26</t>
        </is>
      </c>
      <c r="D687" s="59" t="inlineStr">
        <is>
          <t>Quantity</t>
        </is>
      </c>
      <c r="E687" s="46" t="inlineStr">
        <is>
          <t>"SECTION DETAIL @ STOREFRONT BASE". Base of the storefront and its plywood.</t>
        </is>
      </c>
      <c r="F687" s="46" t="inlineStr">
        <is>
          <t>PLYWOOD_3-4_FRT</t>
        </is>
      </c>
      <c r="G687" s="46"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688" ht="43.5" customHeight="1" s="36">
      <c r="A688" s="59" t="n"/>
      <c r="B688" s="58" t="n">
        <v>36</v>
      </c>
      <c r="C688" s="44" t="inlineStr">
        <is>
          <t>7/A09.26</t>
        </is>
      </c>
      <c r="D688" s="59" t="inlineStr">
        <is>
          <t>Quantity</t>
        </is>
      </c>
      <c r="E688" s="46" t="inlineStr">
        <is>
          <t>"SECTION DETAIL @ SIDE CANOPY". Build-up of the side canopy.</t>
        </is>
      </c>
      <c r="F688" s="46" t="inlineStr">
        <is>
          <t>SHEATHING_5-8_GLASS_MAT</t>
        </is>
      </c>
      <c r="G688"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689" ht="43.5" customHeight="1" s="36">
      <c r="A689" s="59" t="n"/>
      <c r="B689" s="58" t="n">
        <v>37</v>
      </c>
      <c r="C689" s="44" t="inlineStr">
        <is>
          <t>9/A09.27</t>
        </is>
      </c>
      <c r="D689" s="59" t="inlineStr">
        <is>
          <t>Quantity</t>
        </is>
      </c>
      <c r="E689" s="46" t="inlineStr">
        <is>
          <t>"SECTION DETAIL @ METAL PANEL BASE". Base of the metal panel: glass-mat sheathing and sealant.</t>
        </is>
      </c>
      <c r="F689" s="46" t="inlineStr">
        <is>
          <t>SEALANT, SHEATHING_5-8_GLASS_MAT</t>
        </is>
      </c>
      <c r="G689"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690" ht="25.5" customHeight="1" s="36">
      <c r="A690" s="59" t="n"/>
      <c r="B690" s="58" t="n">
        <v>38</v>
      </c>
      <c r="C690" s="44" t="inlineStr">
        <is>
          <t>10/A09.27</t>
        </is>
      </c>
      <c r="D690" s="59" t="inlineStr">
        <is>
          <t>Quantity</t>
        </is>
      </c>
      <c r="E690" s="46" t="inlineStr">
        <is>
          <t>"SECTION DETAIL @ STOREFRONT SILL". The storefront sill and its plywood.</t>
        </is>
      </c>
      <c r="F690" s="46" t="inlineStr">
        <is>
          <t>PLYWOOD_3-4_FRT</t>
        </is>
      </c>
      <c r="G690" s="46" t="inlineStr">
        <is>
          <t>"3/4" FRT PLYWOOD" rotulado en los CINCO detalles que cortan el marco del opening: 11/A09.27 y 2/A09.26 en el header, 10/A09.27 en el sill ("T/STUD ELEV.</t>
        </is>
      </c>
    </row>
    <row r="691" ht="25.5" customHeight="1" s="36">
      <c r="A691" s="59" t="n"/>
      <c r="B691" s="58" t="n">
        <v>39</v>
      </c>
      <c r="C691" s="44" t="inlineStr">
        <is>
          <t>11/A09.27</t>
        </is>
      </c>
      <c r="D691" s="59" t="inlineStr">
        <is>
          <t>Quantity</t>
        </is>
      </c>
      <c r="E691" s="46" t="inlineStr">
        <is>
          <t>"SECTION DETAIL @ STOREFRONT HEAD". The head: 3/4" FRT plywood, jamb return board and the box beam, which is not ours.</t>
        </is>
      </c>
      <c r="F691" s="46" t="inlineStr">
        <is>
          <t>JAMB_RETURN_BOARD, PLYWOOD_3-4_FRT, excluded.BOX_BEAM</t>
        </is>
      </c>
      <c r="G691" s="46" t="inlineStr">
        <is>
          <t>"GYPSUM BOARD JAMB RETURN BEYOND", rotulo TEXTUAL de 11/A09.27 y de 2/A09.26.</t>
        </is>
      </c>
    </row>
    <row r="692" ht="43.5" customHeight="1" s="36">
      <c r="A692" s="59" t="n"/>
      <c r="B692" s="58" t="n">
        <v>40</v>
      </c>
      <c r="C692" s="44" t="inlineStr">
        <is>
          <t>6/A09.31</t>
        </is>
      </c>
      <c r="D692" s="59" t="inlineStr">
        <is>
          <t>Exclusion</t>
        </is>
      </c>
      <c r="E692" s="46" t="inlineStr">
        <is>
          <t>"DETAIL AT NARROW CHANNEL SCREED" at 12"=1'-0". The stucco screed, Div 09 24 00: proves the finish of that run is not ours.</t>
        </is>
      </c>
      <c r="F692" s="46" t="inlineStr">
        <is>
          <t>excluded.PLASTER_PT-3_DIV09_24</t>
        </is>
      </c>
      <c r="G692"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693" ht="33" customHeight="1" s="36">
      <c r="A693" s="59" t="n"/>
      <c r="B693" s="58" t="n">
        <v>41</v>
      </c>
      <c r="C693" s="44" t="inlineStr">
        <is>
          <t>7/S5.20</t>
        </is>
      </c>
      <c r="D693" s="59" t="inlineStr">
        <is>
          <t>Quantity</t>
        </is>
      </c>
      <c r="E693" s="46" t="inlineStr">
        <is>
          <t>"METAL STUDS SCHEDULES". The profile: web, flange, lip, mils, gauge and the APPLICATION column with the spacing ("INTERIOR WALLS @ 16" O.C."), plus the SILL TRACK ANCHORAGE and the FASTENER SCHEDULE.</t>
        </is>
      </c>
      <c r="F693" s="46" t="inlineStr">
        <is>
          <t>BRACING, STUD, TRACK_BOTTOM, excluded.CLIPS, scope[0].chain[1]</t>
        </is>
      </c>
      <c r="G693" s="46" t="inlineStr">
        <is>
          <t>7/S5.20 BRIDGING AND BRACING @ 48" O.C.</t>
        </is>
      </c>
    </row>
    <row r="694" ht="33" customHeight="1" s="36">
      <c r="A694" s="59" t="n"/>
      <c r="B694" s="58" t="n">
        <v>42</v>
      </c>
      <c r="C694" s="44" t="inlineStr">
        <is>
          <t>A09.33</t>
        </is>
      </c>
      <c r="D694" s="59" t="inlineStr">
        <is>
          <t>Exclusion</t>
        </is>
      </c>
      <c r="E694" s="46" t="inlineStr">
        <is>
          <t>Ceiling Details, the sheet. Cited as a sheet for a finding by ABSENCE: its details label corner bead, casing bead and shadow molding one by one and NONE labels a control joint, so the omission is not a labeling oversight.</t>
        </is>
      </c>
      <c r="F694" s="46" t="inlineStr">
        <is>
          <t>excluded.CONTROL_JOINT</t>
        </is>
      </c>
      <c r="G694" s="46" t="inlineStr">
        <is>
          <t>El set no rotula ni detalla ninguna junta de control de gypsum board, ni en A12.01 ni en los detalles de A09.27/A09.33, y no hay seccion de especificaciones 09 29 00 en el bid set.</t>
        </is>
      </c>
    </row>
    <row r="695" ht="33" customHeight="1" s="36">
      <c r="A695" s="44" t="inlineStr">
        <is>
          <t>EXT-6CFMF #62</t>
        </is>
      </c>
      <c r="B695" s="58" t="n">
        <v>1</v>
      </c>
      <c r="C695" s="44" t="inlineStr">
        <is>
          <t>A02.01</t>
        </is>
      </c>
      <c r="D695" s="59" t="inlineStr">
        <is>
          <t>Dimension</t>
        </is>
      </c>
      <c r="E695" s="46" t="inlineStr">
        <is>
          <t>Construction Plan. Entry sheet for partitions and openings: vector geometry of every wall face at 1/4"=1'-0", the leader of every partition tag, the Construction Plan Legend (new vs. existing) and the Construction Plan Notes.</t>
        </is>
      </c>
      <c r="F695" s="46" t="inlineStr">
        <is>
          <t>excluded.STOREFRONT_DIV08, length</t>
        </is>
      </c>
      <c r="G695" s="46" t="inlineStr">
        <is>
          <t>longitud de WALL SOLIDO de esta fachada, medida sobre el EJE del wall en A02.01 y clasificada por lineweight con tools/perimetro.py (face de wall lw&gt;=1.1 y banda de 17.40 pt = 11.60"; storefront = banda de 1.44 pt = 0.96" con 2" mullions cada ~4'-4").</t>
        </is>
      </c>
    </row>
    <row r="696" ht="25.5" customHeight="1" s="36">
      <c r="A696" s="59" t="n"/>
      <c r="B696" s="58" t="n">
        <v>2</v>
      </c>
      <c r="C696" s="44" t="inlineStr">
        <is>
          <t>5/A08.11</t>
        </is>
      </c>
      <c r="D696" s="59" t="inlineStr">
        <is>
          <t>Quantity</t>
        </is>
      </c>
      <c r="E696" s="46" t="inlineStr">
        <is>
          <t>"ATM ELEVATION" at 3/4"=1'-0". Height of the ATM niche: source of the header.</t>
        </is>
      </c>
      <c r="F696" s="46" t="inlineStr">
        <is>
          <t>HEADER</t>
        </is>
      </c>
      <c r="G696" s="46" t="inlineStr">
        <is>
          <t>del ATM drive-up 2'-2 1/8" (5/A08.11).</t>
        </is>
      </c>
    </row>
    <row r="697" ht="43.5" customHeight="1" s="36">
      <c r="A697" s="59" t="n"/>
      <c r="B697" s="58" t="n">
        <v>3</v>
      </c>
      <c r="C697" s="44" t="inlineStr">
        <is>
          <t>6/A08.11</t>
        </is>
      </c>
      <c r="D697" s="59" t="inlineStr">
        <is>
          <t>Dimension</t>
        </is>
      </c>
      <c r="E697" s="46" t="inlineStr">
        <is>
          <t>Walk-up ATM detail on A08.11: length of the niche, box beam, sistered 2 1/2" studs and the 5/8" FRT plywood in the niche.</t>
        </is>
      </c>
      <c r="F697" s="46" t="inlineStr">
        <is>
          <t>length</t>
        </is>
      </c>
      <c r="G697"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698" ht="43.5" customHeight="1" s="36">
      <c r="A698" s="59" t="n"/>
      <c r="B698" s="58" t="n">
        <v>4</v>
      </c>
      <c r="C698" s="44" t="inlineStr">
        <is>
          <t>A08.01</t>
        </is>
      </c>
      <c r="D698" s="59" t="inlineStr">
        <is>
          <t>Exclusion</t>
        </is>
      </c>
      <c r="E698" s="46" t="inlineStr">
        <is>
          <t>Enlarged Restroom Floor Plan and Finish Plan (1 and 2/A08.01) at 1/2"=1'-0". The restroom faces: extent of FRP and of tile, and the sheet note on blocking.</t>
        </is>
      </c>
      <c r="F698" s="46" t="inlineStr">
        <is>
          <t>excluded.BLOCKING</t>
        </is>
      </c>
      <c r="G698" s="46"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699" ht="25.5" customHeight="1" s="36">
      <c r="A699" s="59" t="n"/>
      <c r="B699" s="58" t="n">
        <v>5</v>
      </c>
      <c r="C699" s="44" t="inlineStr">
        <is>
          <t>S2.20</t>
        </is>
      </c>
      <c r="D699" s="59" t="inlineStr">
        <is>
          <t>Dimension</t>
        </is>
      </c>
      <c r="E699" s="46" t="inlineStr">
        <is>
          <t>"ROOF FRAMING PLAN". Source of the STUD HEIGHT: every B.O.D. callout on the sheet and the slope of the bay between grids B and A (1/4" per foot).</t>
        </is>
      </c>
      <c r="F699" s="46" t="inlineStr">
        <is>
          <t>STUD, TRACK_TOP, face[0].board_height, stud_height</t>
        </is>
      </c>
      <c r="G699" s="46" t="inlineStr">
        <is>
          <t>S2.20: el eje A es el extremo bajo de la pendiente -&gt; B.O.D.</t>
        </is>
      </c>
    </row>
    <row r="700" ht="43.5" customHeight="1" s="36">
      <c r="A700" s="59" t="n"/>
      <c r="B700" s="58" t="n">
        <v>6</v>
      </c>
      <c r="C700" s="44" t="inlineStr">
        <is>
          <t>A/A09.21</t>
        </is>
      </c>
      <c r="D700" s="59" t="inlineStr">
        <is>
          <t>Quantity</t>
        </is>
      </c>
      <c r="E700" s="46" t="inlineStr">
        <is>
          <t>Exterior wall section A. Build-up by layer and height of each layer: 5/8" FRT plywood sheathing over 2 1/2" polyiso, CFMF cavity and interior board.</t>
        </is>
      </c>
      <c r="F700" s="46" t="inlineStr">
        <is>
          <t>BOARD, SHEATHING_5-8_FRT_PLYWOOD_2-1-2_POLYISO</t>
        </is>
      </c>
      <c r="G700"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1" ht="43.5" customHeight="1" s="36">
      <c r="A701" s="59" t="n"/>
      <c r="B701" s="58" t="n">
        <v>7</v>
      </c>
      <c r="C701" s="44" t="inlineStr">
        <is>
          <t>B/A09.21</t>
        </is>
      </c>
      <c r="D701" s="59" t="inlineStr">
        <is>
          <t>Quantity</t>
        </is>
      </c>
      <c r="E701" s="46" t="inlineStr">
        <is>
          <t>Exterior wall section B. Interior board height in that run.</t>
        </is>
      </c>
      <c r="F701" s="46" t="inlineStr">
        <is>
          <t>BOARD</t>
        </is>
      </c>
      <c r="G70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2" ht="43.5" customHeight="1" s="36">
      <c r="A702" s="59" t="n"/>
      <c r="B702" s="58" t="n">
        <v>8</v>
      </c>
      <c r="C702" s="44" t="inlineStr">
        <is>
          <t>C/A09.21</t>
        </is>
      </c>
      <c r="D702" s="59" t="inlineStr">
        <is>
          <t>Quantity</t>
        </is>
      </c>
      <c r="E702" s="46" t="inlineStr">
        <is>
          <t>Exterior wall section C. Layer build-up of that run.</t>
        </is>
      </c>
      <c r="F702" s="46" t="inlineStr">
        <is>
          <t>BOARD, SHEATHING_5-8_FRT_PLYWOOD_2-1-2_POLYISO</t>
        </is>
      </c>
      <c r="G70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3" ht="43.5" customHeight="1" s="36">
      <c r="A703" s="59" t="n"/>
      <c r="B703" s="58" t="n">
        <v>9</v>
      </c>
      <c r="C703" s="44" t="inlineStr">
        <is>
          <t>D/A09.22</t>
        </is>
      </c>
      <c r="D703" s="59" t="inlineStr">
        <is>
          <t>Quantity</t>
        </is>
      </c>
      <c r="E703" s="46" t="inlineStr">
        <is>
          <t>Exterior wall section D. Layer build-up, board height and the blocking of that run.</t>
        </is>
      </c>
      <c r="F703" s="46" t="inlineStr">
        <is>
          <t>BOARD, SHEATHING_5-8_FRT_PLYWOOD_2-1-2_POLYISO</t>
        </is>
      </c>
      <c r="G703"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4" ht="43.5" customHeight="1" s="36">
      <c r="A704" s="59" t="n"/>
      <c r="B704" s="58" t="n">
        <v>10</v>
      </c>
      <c r="C704" s="44" t="inlineStr">
        <is>
          <t>E/A09.22</t>
        </is>
      </c>
      <c r="D704" s="59" t="inlineStr">
        <is>
          <t>Quantity</t>
        </is>
      </c>
      <c r="E704" s="46" t="inlineStr">
        <is>
          <t>Exterior wall section E. Board height of that run and the stucco finish, which is not ours.</t>
        </is>
      </c>
      <c r="F704" s="46" t="inlineStr">
        <is>
          <t>BOARD, excluded.PLASTER_PT-3_DIV09_24</t>
        </is>
      </c>
      <c r="G70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5" ht="43.5" customHeight="1" s="36">
      <c r="A705" s="59" t="n"/>
      <c r="B705" s="58" t="n">
        <v>11</v>
      </c>
      <c r="C705" s="44" t="inlineStr">
        <is>
          <t>F/A09.22</t>
        </is>
      </c>
      <c r="D705" s="59" t="inlineStr">
        <is>
          <t>Quantity</t>
        </is>
      </c>
      <c r="E705" s="46" t="inlineStr">
        <is>
          <t>Exterior wall section F. Board and stud height of that run.</t>
        </is>
      </c>
      <c r="F705" s="46" t="inlineStr">
        <is>
          <t>BOARD</t>
        </is>
      </c>
      <c r="G705"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6" ht="25.5" customHeight="1" s="36">
      <c r="A706" s="59" t="n"/>
      <c r="B706" s="58" t="n">
        <v>12</v>
      </c>
      <c r="C706" s="44" t="inlineStr">
        <is>
          <t>H/A09.23</t>
        </is>
      </c>
      <c r="D706" s="59" t="inlineStr">
        <is>
          <t>Quantity</t>
        </is>
      </c>
      <c r="E706" s="46" t="inlineStr">
        <is>
          <t>Exterior wall section H. The one that gives the full build-up: "5/8" FRT PLYWOOD BONDED TO 2 1/2" POLYISO INSULATION", CFMF cavity and the height of each layer.</t>
        </is>
      </c>
      <c r="F706" s="46" t="inlineStr">
        <is>
          <t>BOARD, SHEATHING_5-8_FRT_PLYWOOD_2-1-2_POLYISO, excluded.INSULATION, scope[0].chain[0]</t>
        </is>
      </c>
      <c r="G706" s="46" t="inlineStr">
        <is>
          <t>Label TEXTUAL de H/A09.23: "5/8" GYP.</t>
        </is>
      </c>
    </row>
    <row r="707" ht="43.5" customHeight="1" s="36">
      <c r="A707" s="59" t="n"/>
      <c r="B707" s="58" t="n">
        <v>13</v>
      </c>
      <c r="C707" s="44" t="inlineStr">
        <is>
          <t>J/A09.23</t>
        </is>
      </c>
      <c r="D707" s="59" t="inlineStr">
        <is>
          <t>Quantity</t>
        </is>
      </c>
      <c r="E707" s="46" t="inlineStr">
        <is>
          <t>Exterior wall section J. Board height of that run and its blocking.</t>
        </is>
      </c>
      <c r="F707" s="46" t="inlineStr">
        <is>
          <t>BOARD</t>
        </is>
      </c>
      <c r="G707"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8" ht="33" customHeight="1" s="36">
      <c r="A708" s="59" t="n"/>
      <c r="B708" s="58" t="n">
        <v>14</v>
      </c>
      <c r="C708" s="44" t="inlineStr">
        <is>
          <t>4/A11.01</t>
        </is>
      </c>
      <c r="D708" s="59" t="inlineStr">
        <is>
          <t>Exclusion</t>
        </is>
      </c>
      <c r="E708" s="46" t="inlineStr">
        <is>
          <t>"OFFICE 2 - NORTH". What hangs on that face and at what height.</t>
        </is>
      </c>
      <c r="F708" s="46" t="inlineStr">
        <is>
          <t>excluded.BLOCKING</t>
        </is>
      </c>
      <c r="G708" s="46" t="inlineStr">
        <is>
          <t>8'-0" x 2'-0"), pintura P-15 y base B-11 -- el ARTWORK 4'-0"x4'-0" va en la wall NORTE (3/A11.04, 7/A11.04, 9/A11.04, 16/A11.04, 4/A11.01, 10/A11.03) y el WC-18 con su casework en la wall SUR.</t>
        </is>
      </c>
    </row>
    <row r="709" ht="33" customHeight="1" s="36">
      <c r="A709" s="59" t="n"/>
      <c r="B709" s="58" t="n">
        <v>15</v>
      </c>
      <c r="C709" s="44" t="inlineStr">
        <is>
          <t>10/A11.03</t>
        </is>
      </c>
      <c r="D709" s="59" t="inlineStr">
        <is>
          <t>Exclusion</t>
        </is>
      </c>
      <c r="E709" s="46" t="inlineStr">
        <is>
          <t>"OFFICE 6 - NORTH". What hangs on that face.</t>
        </is>
      </c>
      <c r="F709" s="46" t="inlineStr">
        <is>
          <t>excluded.BLOCKING</t>
        </is>
      </c>
      <c r="G709" s="46" t="inlineStr">
        <is>
          <t>8'-0" x 2'-0"), pintura P-15 y base B-11 -- el ARTWORK 4'-0"x4'-0" va en la wall NORTE (3/A11.04, 7/A11.04, 9/A11.04, 16/A11.04, 4/A11.01, 10/A11.03) y el WC-18 con su casework en la wall SUR.</t>
        </is>
      </c>
    </row>
    <row r="710" ht="33" customHeight="1" s="36">
      <c r="A710" s="59" t="n"/>
      <c r="B710" s="58" t="n">
        <v>16</v>
      </c>
      <c r="C710" s="44" t="inlineStr">
        <is>
          <t>3/A11.04</t>
        </is>
      </c>
      <c r="D710" s="59" t="inlineStr">
        <is>
          <t>Exclusion</t>
        </is>
      </c>
      <c r="E710" s="46" t="inlineStr">
        <is>
          <t>"OFFICE 1 - NORTH". What hangs on that face.</t>
        </is>
      </c>
      <c r="F710" s="46" t="inlineStr">
        <is>
          <t>excluded.BLOCKING</t>
        </is>
      </c>
      <c r="G710" s="46" t="inlineStr">
        <is>
          <t>8'-0" x 2'-0"), pintura P-15 y base B-11 -- el ARTWORK 4'-0"x4'-0" va en la wall NORTE (3/A11.04, 7/A11.04, 9/A11.04, 16/A11.04, 4/A11.01, 10/A11.03) y el WC-18 con su casework en la wall SUR.</t>
        </is>
      </c>
    </row>
    <row r="711" ht="33" customHeight="1" s="36">
      <c r="A711" s="59" t="n"/>
      <c r="B711" s="58" t="n">
        <v>17</v>
      </c>
      <c r="C711" s="44" t="inlineStr">
        <is>
          <t>7/A11.04</t>
        </is>
      </c>
      <c r="D711" s="59" t="inlineStr">
        <is>
          <t>Exclusion</t>
        </is>
      </c>
      <c r="E711" s="46" t="inlineStr">
        <is>
          <t>"OFFICE 3 - NORTH". What hangs on that face.</t>
        </is>
      </c>
      <c r="F711" s="46" t="inlineStr">
        <is>
          <t>excluded.BLOCKING</t>
        </is>
      </c>
      <c r="G711" s="46" t="inlineStr">
        <is>
          <t>8'-0" x 2'-0"), pintura P-15 y base B-11 -- el ARTWORK 4'-0"x4'-0" va en la wall NORTE (3/A11.04, 7/A11.04, 9/A11.04, 16/A11.04, 4/A11.01, 10/A11.03) y el WC-18 con su casework en la wall SUR.</t>
        </is>
      </c>
    </row>
    <row r="712" ht="33" customHeight="1" s="36">
      <c r="A712" s="59" t="n"/>
      <c r="B712" s="58" t="n">
        <v>18</v>
      </c>
      <c r="C712" s="44" t="inlineStr">
        <is>
          <t>9/A11.04</t>
        </is>
      </c>
      <c r="D712" s="59" t="inlineStr">
        <is>
          <t>Exclusion</t>
        </is>
      </c>
      <c r="E712" s="46" t="inlineStr">
        <is>
          <t>"OFFICE 4 - NORTH". What hangs on that face.</t>
        </is>
      </c>
      <c r="F712" s="46" t="inlineStr">
        <is>
          <t>excluded.BLOCKING</t>
        </is>
      </c>
      <c r="G712" s="46" t="inlineStr">
        <is>
          <t>8'-0" x 2'-0"), pintura P-15 y base B-11 -- el ARTWORK 4'-0"x4'-0" va en la wall NORTE (3/A11.04, 7/A11.04, 9/A11.04, 16/A11.04, 4/A11.01, 10/A11.03) y el WC-18 con su casework en la wall SUR.</t>
        </is>
      </c>
    </row>
    <row r="713" ht="33" customHeight="1" s="36">
      <c r="A713" s="59" t="n"/>
      <c r="B713" s="58" t="n">
        <v>19</v>
      </c>
      <c r="C713" s="44" t="inlineStr">
        <is>
          <t>16/A11.04</t>
        </is>
      </c>
      <c r="D713" s="59" t="inlineStr">
        <is>
          <t>Exclusion</t>
        </is>
      </c>
      <c r="E713" s="46" t="inlineStr">
        <is>
          <t>Interior elevation on A11.04. What hangs on that face.</t>
        </is>
      </c>
      <c r="F713" s="46" t="inlineStr">
        <is>
          <t>excluded.BLOCKING</t>
        </is>
      </c>
      <c r="G713" s="46" t="inlineStr">
        <is>
          <t>8'-0" x 2'-0"), pintura P-15 y base B-11 -- el ARTWORK 4'-0"x4'-0" va en la wall NORTE (3/A11.04, 7/A11.04, 9/A11.04, 16/A11.04, 4/A11.01, 10/A11.03) y el WC-18 con su casework en la wall SUR.</t>
        </is>
      </c>
    </row>
    <row r="714" ht="25.5" customHeight="1" s="36">
      <c r="A714" s="59" t="n"/>
      <c r="B714" s="58" t="n">
        <v>20</v>
      </c>
      <c r="C714" s="44" t="inlineStr">
        <is>
          <t>2/S3.20</t>
        </is>
      </c>
      <c r="D714" s="59" t="inlineStr">
        <is>
          <t>Quantity</t>
        </is>
      </c>
      <c r="E714" s="46" t="inlineStr">
        <is>
          <t>"TYP. PERIMETER GRADE BEAM". The grade beam the exterior bottom track starts on.</t>
        </is>
      </c>
      <c r="F714" s="46" t="inlineStr">
        <is>
          <t>TRACK_BOTTOM</t>
        </is>
      </c>
      <c r="G714" s="46" t="inlineStr">
        <is>
          <t>Lo que recibe ese anchorage es la viga perimetral de cimentacion: 2/S3.20 TYP.</t>
        </is>
      </c>
    </row>
    <row r="715" ht="25.5" customHeight="1" s="36">
      <c r="A715" s="59" t="n"/>
      <c r="B715" s="58" t="n">
        <v>21</v>
      </c>
      <c r="C715" s="44" t="inlineStr">
        <is>
          <t>8/S3.20</t>
        </is>
      </c>
      <c r="D715" s="59" t="inlineStr">
        <is>
          <t>Quantity</t>
        </is>
      </c>
      <c r="E715" s="46" t="inlineStr">
        <is>
          <t>"TYP. INTERIOR GRADE BEAM". The interior grade beam the bottom track starts on.</t>
        </is>
      </c>
      <c r="F715" s="46" t="inlineStr">
        <is>
          <t>TRACK_BOTTOM</t>
        </is>
      </c>
      <c r="G715" s="46" t="inlineStr">
        <is>
          <t>Contraste: 3, 5, 6, 7 y 8/S3.20 son la misma familia de viga y NINGUNO lleva esa nota; por eso solo este se cita y los otros van declarados con motivo.</t>
        </is>
      </c>
    </row>
    <row r="716" ht="25.5" customHeight="1" s="36">
      <c r="A716" s="59" t="n"/>
      <c r="B716" s="58" t="n">
        <v>22</v>
      </c>
      <c r="C716" s="44" t="inlineStr">
        <is>
          <t>6/S5.10</t>
        </is>
      </c>
      <c r="D716" s="59" t="inlineStr">
        <is>
          <t>Dimension</t>
        </is>
      </c>
      <c r="E716" s="46" t="inlineStr">
        <is>
          <t>"SECTION AT PERIMETER" at 3/4"=1'-0". Closure of the exterior wall against the roof edge: source of the stud height and the top track of that run.</t>
        </is>
      </c>
      <c r="F716" s="46" t="inlineStr">
        <is>
          <t>BRACING, STUD, TRACK_TOP, stud_height</t>
        </is>
      </c>
      <c r="G716" s="46" t="inlineStr">
        <is>
          <t>(bottom of deck) = top of steel del perimetro, donde 6/S5.10 y 10/S5.10 SECTION AT PERIMETER rematan el LT.</t>
        </is>
      </c>
    </row>
    <row r="717" ht="25.5" customHeight="1" s="36">
      <c r="A717" s="59" t="n"/>
      <c r="B717" s="58" t="n">
        <v>23</v>
      </c>
      <c r="C717" s="44" t="inlineStr">
        <is>
          <t>10/S5.10</t>
        </is>
      </c>
      <c r="D717" s="59" t="inlineStr">
        <is>
          <t>Dimension</t>
        </is>
      </c>
      <c r="E717" s="46" t="inlineStr">
        <is>
          <t>Perimeter section on S5.10. The other perimeter closure, with its own height.</t>
        </is>
      </c>
      <c r="F717" s="46" t="inlineStr">
        <is>
          <t>BRACING, STUD, TRACK_TOP, stud_height</t>
        </is>
      </c>
      <c r="G717" s="46" t="inlineStr">
        <is>
          <t>(bottom of deck) = top of steel del perimetro, donde 6/S5.10 y 10/S5.10 SECTION AT PERIMETER rematan el LT.</t>
        </is>
      </c>
    </row>
    <row r="718" ht="33" customHeight="1" s="36">
      <c r="A718" s="59" t="n"/>
      <c r="B718" s="58" t="n">
        <v>24</v>
      </c>
      <c r="C718" s="44" t="inlineStr">
        <is>
          <t>11/S5.10</t>
        </is>
      </c>
      <c r="D718" s="59" t="inlineStr">
        <is>
          <t>Quantity</t>
        </is>
      </c>
      <c r="E718" s="46" t="inlineStr">
        <is>
          <t>Section on S5.10. Stud height, track and fastener of that perimeter run.</t>
        </is>
      </c>
      <c r="F718" s="46" t="inlineStr">
        <is>
          <t>STUD</t>
        </is>
      </c>
      <c r="G718" s="46" t="inlineStr">
        <is>
          <t>TO ACCOMMODATE VERTICAL MOVEMENT OF PERIMETER BEAM +/- 1/2"", y de ahi arriba el parapet es OTRO wall, el infill de 11/S5.10, con otro perfil (600S162-54, 54 mil) y track propio arriba y abajo.</t>
        </is>
      </c>
    </row>
    <row r="719" ht="25.5" customHeight="1" s="36">
      <c r="A719" s="59" t="n"/>
      <c r="B719" s="58" t="n">
        <v>25</v>
      </c>
      <c r="C719" s="44" t="inlineStr">
        <is>
          <t>7/S5.11</t>
        </is>
      </c>
      <c r="D719" s="59" t="inlineStr">
        <is>
          <t>Quantity</t>
        </is>
      </c>
      <c r="E719" s="46" t="inlineStr">
        <is>
          <t>"ROOF SECTION" at 3/4"=1'-0". Deck height in that run and the top track.</t>
        </is>
      </c>
      <c r="F719" s="46" t="inlineStr">
        <is>
          <t>TRACK_TOP</t>
        </is>
      </c>
      <c r="G719" s="46" t="inlineStr">
        <is>
          <t>Los dos detalles dibujan la misma condicion en el perimetro y los dos la rotulan igual; 7/S5.11 ROOF SECTION manda a 6/S5.10 para la misma.</t>
        </is>
      </c>
    </row>
    <row r="720" ht="43.5" customHeight="1" s="36">
      <c r="A720" s="59" t="n"/>
      <c r="B720" s="58" t="n">
        <v>26</v>
      </c>
      <c r="C720" s="44" t="inlineStr">
        <is>
          <t>A09.01</t>
        </is>
      </c>
      <c r="D720" s="59" t="inlineStr">
        <is>
          <t>Exclusion</t>
        </is>
      </c>
      <c r="E720" s="46" t="inlineStr">
        <is>
          <t>Exterior Elevations: "SOUTH ELEVATION" and "WEST ELEVATION" at 1/4"=1'-0". Extent of each exterior material and the material legend, verbatim "CJ CONTROL JOINT; PAINT TO MATCH STUCCO FINISH COLOR" - that joint is the STUCCO joint, not gypsum.</t>
        </is>
      </c>
      <c r="F720" s="46" t="inlineStr">
        <is>
          <t>excluded.CONTROL_JOINT, excluded.PLASTER_PT-3_DIV09_24, excluded.STOREFRONT_DIV08</t>
        </is>
      </c>
      <c r="G72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721" ht="25.5" customHeight="1" s="36">
      <c r="A721" s="59" t="n"/>
      <c r="B721" s="58" t="n">
        <v>27</v>
      </c>
      <c r="C721" s="44" t="inlineStr">
        <is>
          <t>A09.02</t>
        </is>
      </c>
      <c r="D721" s="59" t="inlineStr">
        <is>
          <t>Exclusion</t>
        </is>
      </c>
      <c r="E721" s="46" t="inlineStr">
        <is>
          <t>Exterior Elevations: "EAST ELEVATION" and "NORTH ELEVATION". Extent of the metal panel and of the AWB, both Div 07.</t>
        </is>
      </c>
      <c r="F721" s="46" t="inlineStr">
        <is>
          <t>excluded.PANEL_METALICO_DIV07</t>
        </is>
      </c>
      <c r="G721" s="46" t="inlineStr">
        <is>
          <t>FORMED METAL WALL PANEL EPS-1 / EPS-3 / EPS-5 y el ACM COPING: los define la leyenda de A09.02 como ALUMINUM COMPOSITE METAL PANEL (B.O.D.</t>
        </is>
      </c>
    </row>
    <row r="722" ht="33" customHeight="1" s="36">
      <c r="A722" s="59" t="n"/>
      <c r="B722" s="58" t="n">
        <v>28</v>
      </c>
      <c r="C722" s="44" t="inlineStr">
        <is>
          <t>A12.01</t>
        </is>
      </c>
      <c r="D722" s="59" t="inlineStr">
        <is>
          <t>Exclusion</t>
        </is>
      </c>
      <c r="E722" s="46" t="inlineStr">
        <is>
          <t>Partition Types, the whole sheet. Cited as a sheet when the finding is the ABSENCE across the sheet (e.g. that no type labels a gypsum control joint).</t>
        </is>
      </c>
      <c r="F722" s="46" t="inlineStr">
        <is>
          <t>excluded.CONTROL_JOINT</t>
        </is>
      </c>
      <c r="G722" s="46" t="inlineStr">
        <is>
          <t>El set no rotula ni detalla ninguna junta de control de gypsum board, ni en A12.01 ni en los detalles de A09.27/A09.33, y no hay seccion de especificaciones 09 29 00 en el bid set.</t>
        </is>
      </c>
    </row>
    <row r="723" ht="25.5" customHeight="1" s="36">
      <c r="A723" s="59" t="n"/>
      <c r="B723" s="58" t="n">
        <v>29</v>
      </c>
      <c r="C723" s="44" t="inlineStr">
        <is>
          <t>2/A09.26</t>
        </is>
      </c>
      <c r="D723" s="59" t="inlineStr">
        <is>
          <t>Exclusion</t>
        </is>
      </c>
      <c r="E723" s="46" t="inlineStr">
        <is>
          <t>"SECTION DETAIL @ STOREFRONT HEAD". The storefront head and its box beam.</t>
        </is>
      </c>
      <c r="F723" s="46" t="inlineStr">
        <is>
          <t>excluded.BOX_BEAM</t>
        </is>
      </c>
      <c r="G723" s="46" t="inlineStr">
        <is>
          <t>Esta fachada no tiene storefront (0.00 LF): el box beam de 11/A09.27 y 2/A09.26 solo existe sobre un opening de storefront.</t>
        </is>
      </c>
    </row>
    <row r="724" ht="25.5" customHeight="1" s="36">
      <c r="A724" s="59" t="n"/>
      <c r="B724" s="58" t="n">
        <v>30</v>
      </c>
      <c r="C724" s="44" t="inlineStr">
        <is>
          <t>4/A09.26</t>
        </is>
      </c>
      <c r="D724" s="59" t="inlineStr">
        <is>
          <t>Quantity</t>
        </is>
      </c>
      <c r="E724" s="46" t="inlineStr">
        <is>
          <t>"SECTION DETAIL @ PARAPET" at 1 1/2"=1'-0". The parapet: glass-mat sheathing, sealant and closure blocking.</t>
        </is>
      </c>
      <c r="F724" s="46" t="inlineStr">
        <is>
          <t>SEALANT, SHEATHING_5-8_GLASS_MAT</t>
        </is>
      </c>
      <c r="G724" s="46" t="inlineStr">
        <is>
          <t>4/A09.26 SECTION DETAIL @ PARAPET rotula "SEALANT" en el closure de arriba.</t>
        </is>
      </c>
    </row>
    <row r="725" ht="43.5" customHeight="1" s="36">
      <c r="A725" s="59" t="n"/>
      <c r="B725" s="58" t="n">
        <v>31</v>
      </c>
      <c r="C725" s="44" t="inlineStr">
        <is>
          <t>5/A09.26</t>
        </is>
      </c>
      <c r="D725" s="59" t="inlineStr">
        <is>
          <t>Quantity</t>
        </is>
      </c>
      <c r="E725" s="46" t="inlineStr">
        <is>
          <t>"SECTION DETAIL @ ACM BASE". Base of the ACM: sheathing and sealant.</t>
        </is>
      </c>
      <c r="F725" s="46" t="inlineStr">
        <is>
          <t>SEALANT, SHEATHING_5-8_GLASS_MAT, excluded.PLASTER_PT-3_DIV09_24</t>
        </is>
      </c>
      <c r="G725"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26" ht="43.5" customHeight="1" s="36">
      <c r="A726" s="59" t="n"/>
      <c r="B726" s="58" t="n">
        <v>32</v>
      </c>
      <c r="C726" s="44" t="inlineStr">
        <is>
          <t>7/A09.26</t>
        </is>
      </c>
      <c r="D726" s="59" t="inlineStr">
        <is>
          <t>Quantity</t>
        </is>
      </c>
      <c r="E726" s="46" t="inlineStr">
        <is>
          <t>"SECTION DETAIL @ SIDE CANOPY". Build-up of the side canopy.</t>
        </is>
      </c>
      <c r="F726" s="46" t="inlineStr">
        <is>
          <t>SHEATHING_5-8_GLASS_MAT</t>
        </is>
      </c>
      <c r="G726"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727" ht="43.5" customHeight="1" s="36">
      <c r="A727" s="59" t="n"/>
      <c r="B727" s="58" t="n">
        <v>33</v>
      </c>
      <c r="C727" s="44" t="inlineStr">
        <is>
          <t>9/A09.27</t>
        </is>
      </c>
      <c r="D727" s="59" t="inlineStr">
        <is>
          <t>Quantity</t>
        </is>
      </c>
      <c r="E727" s="46" t="inlineStr">
        <is>
          <t>"SECTION DETAIL @ METAL PANEL BASE". Base of the metal panel: glass-mat sheathing and sealant.</t>
        </is>
      </c>
      <c r="F727" s="46" t="inlineStr">
        <is>
          <t>SEALANT, SHEATHING_5-8_GLASS_MAT</t>
        </is>
      </c>
      <c r="G727"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28" ht="25.5" customHeight="1" s="36">
      <c r="A728" s="59" t="n"/>
      <c r="B728" s="58" t="n">
        <v>34</v>
      </c>
      <c r="C728" s="44" t="inlineStr">
        <is>
          <t>11/A09.27</t>
        </is>
      </c>
      <c r="D728" s="59" t="inlineStr">
        <is>
          <t>Exclusion</t>
        </is>
      </c>
      <c r="E728" s="46" t="inlineStr">
        <is>
          <t>"SECTION DETAIL @ STOREFRONT HEAD". The head: 3/4" FRT plywood, jamb return board and the box beam, which is not ours.</t>
        </is>
      </c>
      <c r="F728" s="46" t="inlineStr">
        <is>
          <t>excluded.BOX_BEAM</t>
        </is>
      </c>
      <c r="G728" s="46" t="inlineStr">
        <is>
          <t>Esta fachada no tiene storefront (0.00 LF): el box beam de 11/A09.27 y 2/A09.26 solo existe sobre un opening de storefront.</t>
        </is>
      </c>
    </row>
    <row r="729" ht="43.5" customHeight="1" s="36">
      <c r="A729" s="59" t="n"/>
      <c r="B729" s="58" t="n">
        <v>35</v>
      </c>
      <c r="C729" s="44" t="inlineStr">
        <is>
          <t>6/A09.31</t>
        </is>
      </c>
      <c r="D729" s="59" t="inlineStr">
        <is>
          <t>Exclusion</t>
        </is>
      </c>
      <c r="E729" s="46" t="inlineStr">
        <is>
          <t>"DETAIL AT NARROW CHANNEL SCREED" at 12"=1'-0". The stucco screed, Div 09 24 00: proves the finish of that run is not ours.</t>
        </is>
      </c>
      <c r="F729" s="46" t="inlineStr">
        <is>
          <t>excluded.PLASTER_PT-3_DIV09_24</t>
        </is>
      </c>
      <c r="G729"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730" ht="33" customHeight="1" s="36">
      <c r="A730" s="59" t="n"/>
      <c r="B730" s="58" t="n">
        <v>36</v>
      </c>
      <c r="C730" s="44" t="inlineStr">
        <is>
          <t>7/S5.20</t>
        </is>
      </c>
      <c r="D730" s="59" t="inlineStr">
        <is>
          <t>Quantity</t>
        </is>
      </c>
      <c r="E730" s="46" t="inlineStr">
        <is>
          <t>"METAL STUDS SCHEDULES". The profile: web, flange, lip, mils, gauge and the APPLICATION column with the spacing ("INTERIOR WALLS @ 16" O.C."), plus the SILL TRACK ANCHORAGE and the FASTENER SCHEDULE.</t>
        </is>
      </c>
      <c r="F730" s="46" t="inlineStr">
        <is>
          <t>BRACING, STUD, TRACK_BOTTOM, excluded.CLIPS, scope[0].chain[1]</t>
        </is>
      </c>
      <c r="G730" s="46" t="inlineStr">
        <is>
          <t>7/S5.20 BRIDGING AND BRACING @ 48" O.C.</t>
        </is>
      </c>
    </row>
    <row r="731" ht="25.5" customHeight="1" s="36">
      <c r="A731" s="59" t="n"/>
      <c r="B731" s="58" t="n">
        <v>37</v>
      </c>
      <c r="C731" s="44" t="inlineStr">
        <is>
          <t>A00.30</t>
        </is>
      </c>
      <c r="D731" s="59" t="inlineStr">
        <is>
          <t>Opening</t>
        </is>
      </c>
      <c r="E731" s="46" t="inlineStr">
        <is>
          <t>Door Schedule. Leaf width and height of every door and the frame type: source of the header, the board deduction and the reference to 10 and 11/A12.02.</t>
        </is>
      </c>
      <c r="F731" s="46" t="inlineStr">
        <is>
          <t>openings[0].head</t>
        </is>
      </c>
      <c r="G731" s="46" t="inlineStr">
        <is>
          <t>A00.30 Door Schedule, puerta de egreso</t>
        </is>
      </c>
    </row>
    <row r="732" ht="33" customHeight="1" s="36">
      <c r="A732" s="59" t="n"/>
      <c r="B732" s="58" t="n">
        <v>38</v>
      </c>
      <c r="C732" s="44" t="inlineStr">
        <is>
          <t>A09.33</t>
        </is>
      </c>
      <c r="D732" s="59" t="inlineStr">
        <is>
          <t>Exclusion</t>
        </is>
      </c>
      <c r="E732" s="46" t="inlineStr">
        <is>
          <t>Ceiling Details, the sheet. Cited as a sheet for a finding by ABSENCE: its details label corner bead, casing bead and shadow molding one by one and NONE labels a control joint, so the omission is not a labeling oversight.</t>
        </is>
      </c>
      <c r="F732" s="46" t="inlineStr">
        <is>
          <t>excluded.CONTROL_JOINT</t>
        </is>
      </c>
      <c r="G732" s="46" t="inlineStr">
        <is>
          <t>El set no rotula ni detalla ninguna junta de control de gypsum board, ni en A12.01 ni en los detalles de A09.27/A09.33, y no hay seccion de especificaciones 09 29 00 en el bid set.</t>
        </is>
      </c>
    </row>
    <row r="733" ht="33" customHeight="1" s="36">
      <c r="A733" s="44" t="inlineStr">
        <is>
          <t>EXT-6CFMF #63</t>
        </is>
      </c>
      <c r="B733" s="58" t="n">
        <v>1</v>
      </c>
      <c r="C733" s="44" t="inlineStr">
        <is>
          <t>A02.01</t>
        </is>
      </c>
      <c r="D733" s="59" t="inlineStr">
        <is>
          <t>Dimension</t>
        </is>
      </c>
      <c r="E733" s="46" t="inlineStr">
        <is>
          <t>Construction Plan. Entry sheet for partitions and openings: vector geometry of every wall face at 1/4"=1'-0", the leader of every partition tag, the Construction Plan Legend (new vs. existing) and the Construction Plan Notes.</t>
        </is>
      </c>
      <c r="F733" s="46" t="inlineStr">
        <is>
          <t>excluded.STOREFRONT_DIV08, length, scope[1].chain[1]</t>
        </is>
      </c>
      <c r="G733" s="46" t="inlineStr">
        <is>
          <t>longitud de WALL SOLIDO de esta fachada, medida sobre el EJE del wall en A02.01 y clasificada por lineweight con tools/perimetro.py (face de wall lw&gt;=1.1 y banda de 17.40 pt = 11.60"; storefront = banda de 1.44 pt = 0.96" con 2" mullions cada ~4'-4").</t>
        </is>
      </c>
    </row>
    <row r="734" ht="25.5" customHeight="1" s="36">
      <c r="A734" s="59" t="n"/>
      <c r="B734" s="58" t="n">
        <v>2</v>
      </c>
      <c r="C734" s="44" t="inlineStr">
        <is>
          <t>C/A08.01</t>
        </is>
      </c>
      <c r="D734" s="59" t="inlineStr">
        <is>
          <t>Quantity</t>
        </is>
      </c>
      <c r="E734" s="46" t="inlineStr">
        <is>
          <t>Restroom elevation C on A08.01. Extent of FRP WC-3 and the blocking for the accessories on that face.</t>
        </is>
      </c>
      <c r="F734" s="46" t="inlineStr">
        <is>
          <t>FRP WC-3</t>
        </is>
      </c>
      <c r="G734" s="46" t="inlineStr">
        <is>
          <t>La banda es la misma ya medida por geometria en C/A08.01 para el wall 52: del tope del cove base (6") al tope del FRP (5'-6" A.F.F.) = 5.000 ft exactos.</t>
        </is>
      </c>
    </row>
    <row r="735" ht="25.5" customHeight="1" s="36">
      <c r="A735" s="59" t="n"/>
      <c r="B735" s="58" t="n">
        <v>3</v>
      </c>
      <c r="C735" s="44" t="inlineStr">
        <is>
          <t>D/A08.01</t>
        </is>
      </c>
      <c r="D735" s="59" t="inlineStr">
        <is>
          <t>Quantity</t>
        </is>
      </c>
      <c r="E735" s="46" t="inlineStr">
        <is>
          <t>Restroom elevation D on A08.01. Accessories hung on that face (blocking) and the extent of FRP, cement board and water-resistant board.</t>
        </is>
      </c>
      <c r="F735" s="46" t="inlineStr">
        <is>
          <t>BLOCKING, CEMENT BOARD, FRP WC-3</t>
        </is>
      </c>
      <c r="G735" s="46" t="inlineStr">
        <is>
          <t>FRT blocking de los accesorios que D/A08.01 pone en ESTA face, accesorio por accesorio, cada uno su length mas 8" de apoyo a cada lado.</t>
        </is>
      </c>
    </row>
    <row r="736" ht="25.5" customHeight="1" s="36">
      <c r="A736" s="59" t="n"/>
      <c r="B736" s="58" t="n">
        <v>4</v>
      </c>
      <c r="C736" s="44" t="inlineStr">
        <is>
          <t>5/A08.11</t>
        </is>
      </c>
      <c r="D736" s="59" t="inlineStr">
        <is>
          <t>Quantity</t>
        </is>
      </c>
      <c r="E736" s="46" t="inlineStr">
        <is>
          <t>"ATM ELEVATION" at 3/4"=1'-0". Height of the ATM niche: source of the header.</t>
        </is>
      </c>
      <c r="F736" s="46" t="inlineStr">
        <is>
          <t>HEADER</t>
        </is>
      </c>
      <c r="G736" s="46" t="inlineStr">
        <is>
          <t>del ATM drive-up 2'-2 1/8" (5/A08.11).</t>
        </is>
      </c>
    </row>
    <row r="737" ht="43.5" customHeight="1" s="36">
      <c r="A737" s="59" t="n"/>
      <c r="B737" s="58" t="n">
        <v>5</v>
      </c>
      <c r="C737" s="44" t="inlineStr">
        <is>
          <t>6/A08.11</t>
        </is>
      </c>
      <c r="D737" s="59" t="inlineStr">
        <is>
          <t>Dimension</t>
        </is>
      </c>
      <c r="E737" s="46" t="inlineStr">
        <is>
          <t>Walk-up ATM detail on A08.11: length of the niche, box beam, sistered 2 1/2" studs and the 5/8" FRT plywood in the niche.</t>
        </is>
      </c>
      <c r="F737" s="46" t="inlineStr">
        <is>
          <t>SILL_TRACK, length</t>
        </is>
      </c>
      <c r="G737"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738" ht="25.5" customHeight="1" s="36">
      <c r="A738" s="59" t="n"/>
      <c r="B738" s="58" t="n">
        <v>6</v>
      </c>
      <c r="C738" s="44" t="inlineStr">
        <is>
          <t>2/A09.01</t>
        </is>
      </c>
      <c r="D738" s="59" t="inlineStr">
        <is>
          <t>Opening</t>
        </is>
      </c>
      <c r="E738" s="46" t="inlineStr">
        <is>
          <t>"WEST ELEVATION". Extent and datums of that elevation and the openings on it.</t>
        </is>
      </c>
      <c r="F738" s="46" t="inlineStr">
        <is>
          <t>openings[0].head, openings[0].sill, openings[1].head, openings[1].sill, scope[1].chain[0]</t>
        </is>
      </c>
      <c r="G738" s="46" t="inlineStr">
        <is>
          <t>H/A09.23 datum T/ GLAZING 8'-6" y 2/A09.01 T/ GLAZING</t>
        </is>
      </c>
    </row>
    <row r="739" ht="25.5" customHeight="1" s="36">
      <c r="A739" s="59" t="n"/>
      <c r="B739" s="58" t="n">
        <v>7</v>
      </c>
      <c r="C739" s="44" t="inlineStr">
        <is>
          <t>1/A09.02</t>
        </is>
      </c>
      <c r="D739" s="59" t="inlineStr">
        <is>
          <t>Scope</t>
        </is>
      </c>
      <c r="E739" s="46" t="inlineStr">
        <is>
          <t>"EAST ELEVATION". Extent of the metal panel on that side.</t>
        </is>
      </c>
      <c r="F739" s="46" t="inlineStr">
        <is>
          <t>scope[1].chain[0]</t>
        </is>
      </c>
      <c r="G739" s="46" t="inlineStr">
        <is>
          <t>2/A09.01 y 1/A09.02: datums "B/ GLAZING 6'-6"" y "T/ GLAZING 8'-6""</t>
        </is>
      </c>
    </row>
    <row r="740" ht="43.5" customHeight="1" s="36">
      <c r="A740" s="59" t="n"/>
      <c r="B740" s="58" t="n">
        <v>8</v>
      </c>
      <c r="C740" s="44" t="inlineStr">
        <is>
          <t>A/A09.21</t>
        </is>
      </c>
      <c r="D740" s="59" t="inlineStr">
        <is>
          <t>Quantity</t>
        </is>
      </c>
      <c r="E740" s="46" t="inlineStr">
        <is>
          <t>Exterior wall section A. Build-up by layer and height of each layer: 5/8" FRT plywood sheathing over 2 1/2" polyiso, CFMF cavity and interior board.</t>
        </is>
      </c>
      <c r="F740" s="46" t="inlineStr">
        <is>
          <t>BOARD, SHEATHING_5-8_FRT_PLYWOOD_2-1-2_POLYISO</t>
        </is>
      </c>
      <c r="G740"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1" ht="43.5" customHeight="1" s="36">
      <c r="A741" s="59" t="n"/>
      <c r="B741" s="58" t="n">
        <v>9</v>
      </c>
      <c r="C741" s="44" t="inlineStr">
        <is>
          <t>B/A09.21</t>
        </is>
      </c>
      <c r="D741" s="59" t="inlineStr">
        <is>
          <t>Quantity</t>
        </is>
      </c>
      <c r="E741" s="46" t="inlineStr">
        <is>
          <t>Exterior wall section B. Interior board height in that run.</t>
        </is>
      </c>
      <c r="F741" s="46" t="inlineStr">
        <is>
          <t>BOARD</t>
        </is>
      </c>
      <c r="G74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2" ht="43.5" customHeight="1" s="36">
      <c r="A742" s="59" t="n"/>
      <c r="B742" s="58" t="n">
        <v>10</v>
      </c>
      <c r="C742" s="44" t="inlineStr">
        <is>
          <t>C/A09.21</t>
        </is>
      </c>
      <c r="D742" s="59" t="inlineStr">
        <is>
          <t>Quantity</t>
        </is>
      </c>
      <c r="E742" s="46" t="inlineStr">
        <is>
          <t>Exterior wall section C. Layer build-up of that run.</t>
        </is>
      </c>
      <c r="F742" s="46" t="inlineStr">
        <is>
          <t>BOARD, SHEATHING_5-8_FRT_PLYWOOD_2-1-2_POLYISO</t>
        </is>
      </c>
      <c r="G74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3" ht="43.5" customHeight="1" s="36">
      <c r="A743" s="59" t="n"/>
      <c r="B743" s="58" t="n">
        <v>11</v>
      </c>
      <c r="C743" s="44" t="inlineStr">
        <is>
          <t>D/A09.22</t>
        </is>
      </c>
      <c r="D743" s="59" t="inlineStr">
        <is>
          <t>Quantity</t>
        </is>
      </c>
      <c r="E743" s="46" t="inlineStr">
        <is>
          <t>Exterior wall section D. Layer build-up, board height and the blocking of that run.</t>
        </is>
      </c>
      <c r="F743" s="46" t="inlineStr">
        <is>
          <t>BOARD, SHEATHING_5-8_FRT_PLYWOOD_2-1-2_POLYISO</t>
        </is>
      </c>
      <c r="G743"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4" ht="43.5" customHeight="1" s="36">
      <c r="A744" s="59" t="n"/>
      <c r="B744" s="58" t="n">
        <v>12</v>
      </c>
      <c r="C744" s="44" t="inlineStr">
        <is>
          <t>E/A09.22</t>
        </is>
      </c>
      <c r="D744" s="59" t="inlineStr">
        <is>
          <t>Quantity</t>
        </is>
      </c>
      <c r="E744" s="46" t="inlineStr">
        <is>
          <t>Exterior wall section E. Board height of that run and the stucco finish, which is not ours.</t>
        </is>
      </c>
      <c r="F744" s="46" t="inlineStr">
        <is>
          <t>BOARD, excluded.PLASTER_PT-3_DIV09_24</t>
        </is>
      </c>
      <c r="G74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5" ht="43.5" customHeight="1" s="36">
      <c r="A745" s="59" t="n"/>
      <c r="B745" s="58" t="n">
        <v>13</v>
      </c>
      <c r="C745" s="44" t="inlineStr">
        <is>
          <t>F/A09.22</t>
        </is>
      </c>
      <c r="D745" s="59" t="inlineStr">
        <is>
          <t>Quantity</t>
        </is>
      </c>
      <c r="E745" s="46" t="inlineStr">
        <is>
          <t>Exterior wall section F. Board and stud height of that run.</t>
        </is>
      </c>
      <c r="F745" s="46" t="inlineStr">
        <is>
          <t>BOARD</t>
        </is>
      </c>
      <c r="G745"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6" ht="25.5" customHeight="1" s="36">
      <c r="A746" s="59" t="n"/>
      <c r="B746" s="58" t="n">
        <v>14</v>
      </c>
      <c r="C746" s="44" t="inlineStr">
        <is>
          <t>H/A09.23</t>
        </is>
      </c>
      <c r="D746" s="59" t="inlineStr">
        <is>
          <t>Quantity</t>
        </is>
      </c>
      <c r="E746" s="46" t="inlineStr">
        <is>
          <t>Exterior wall section H. The one that gives the full build-up: "5/8" FRT PLYWOOD BONDED TO 2 1/2" POLYISO INSULATION", CFMF cavity and the height of each layer.</t>
        </is>
      </c>
      <c r="F746" s="46" t="inlineStr">
        <is>
          <t>BOARD, SHEATHING_5-8_FRT_PLYWOOD_2-1-2_POLYISO, STUD, excluded.INSULATION, openings[0].head, openings[0].sill, openings[1].head, openings[1].sill, scope[0].chain[0]</t>
        </is>
      </c>
      <c r="G746" s="46" t="inlineStr">
        <is>
          <t>Label TEXTUAL de H/A09.23: "5/8" GYP.</t>
        </is>
      </c>
    </row>
    <row r="747" ht="43.5" customHeight="1" s="36">
      <c r="A747" s="59" t="n"/>
      <c r="B747" s="58" t="n">
        <v>15</v>
      </c>
      <c r="C747" s="44" t="inlineStr">
        <is>
          <t>J/A09.23</t>
        </is>
      </c>
      <c r="D747" s="59" t="inlineStr">
        <is>
          <t>Quantity</t>
        </is>
      </c>
      <c r="E747" s="46" t="inlineStr">
        <is>
          <t>Exterior wall section J. Board height of that run and its blocking.</t>
        </is>
      </c>
      <c r="F747" s="46" t="inlineStr">
        <is>
          <t>BOARD</t>
        </is>
      </c>
      <c r="G747"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8" ht="25.5" customHeight="1" s="36">
      <c r="A748" s="59" t="n"/>
      <c r="B748" s="58" t="n">
        <v>16</v>
      </c>
      <c r="C748" s="44" t="inlineStr">
        <is>
          <t>1/A09.25</t>
        </is>
      </c>
      <c r="D748" s="59" t="inlineStr">
        <is>
          <t>Quantity</t>
        </is>
      </c>
      <c r="E748" s="46" t="inlineStr">
        <is>
          <t>"DETAIL @ STOREFRONT PIER" at 1 1/2"=1'-0". The pier between storefront bays: source of the 3/4" FRT plywood and the jamb return board.</t>
        </is>
      </c>
      <c r="F748" s="46" t="inlineStr">
        <is>
          <t>JAMB_RETURN_BOARD, PLYWOOD_3-4_FRT</t>
        </is>
      </c>
      <c r="G748" s="46" t="inlineStr">
        <is>
          <t>1/A09.25 y 2/A09.25 lo cierran en planta con "5/8" GYPSUM BOARD" doblando hacia el marco de aluminio</t>
        </is>
      </c>
    </row>
    <row r="749" ht="25.5" customHeight="1" s="36">
      <c r="A749" s="59" t="n"/>
      <c r="B749" s="58" t="n">
        <v>17</v>
      </c>
      <c r="C749" s="44" t="inlineStr">
        <is>
          <t>2/A09.25</t>
        </is>
      </c>
      <c r="D749" s="59" t="inlineStr">
        <is>
          <t>Quantity</t>
        </is>
      </c>
      <c r="E749" s="46" t="inlineStr">
        <is>
          <t>"DETAIL @ STOREFRONT PIER". The second pier, with its own width.</t>
        </is>
      </c>
      <c r="F749" s="46" t="inlineStr">
        <is>
          <t>JAMB_RETURN_BOARD, PLYWOOD_3-4_FRT</t>
        </is>
      </c>
      <c r="G749" s="46" t="inlineStr">
        <is>
          <t>1/A09.25 y 2/A09.25 lo cierran en planta con "5/8" GYPSUM BOARD" doblando hacia el marco de aluminio</t>
        </is>
      </c>
    </row>
    <row r="750" ht="25.5" customHeight="1" s="36">
      <c r="A750" s="59" t="n"/>
      <c r="B750" s="58" t="n">
        <v>18</v>
      </c>
      <c r="C750" s="44" t="inlineStr">
        <is>
          <t>3/A09.25</t>
        </is>
      </c>
      <c r="D750" s="59" t="inlineStr">
        <is>
          <t>Quantity</t>
        </is>
      </c>
      <c r="E750" s="46" t="inlineStr">
        <is>
          <t>"DETAIL @ WINDOW JAMB". Window jamb: plywood and return board.</t>
        </is>
      </c>
      <c r="F750" s="46" t="inlineStr">
        <is>
          <t>PLYWOOD_3-4_FRT</t>
        </is>
      </c>
      <c r="G750" s="46" t="inlineStr">
        <is>
          <t>6'-6""), y 1/A09.25 DETAIL @ STOREFRONT PIER mas 2/A09.25 y 3/A09.25 DETAIL @ WINDOW JAMB en las jambs</t>
        </is>
      </c>
    </row>
    <row r="751" ht="25.5" customHeight="1" s="36">
      <c r="A751" s="59" t="n"/>
      <c r="B751" s="58" t="n">
        <v>19</v>
      </c>
      <c r="C751" s="44" t="inlineStr">
        <is>
          <t>2/S3.20</t>
        </is>
      </c>
      <c r="D751" s="59" t="inlineStr">
        <is>
          <t>Quantity</t>
        </is>
      </c>
      <c r="E751" s="46" t="inlineStr">
        <is>
          <t>"TYP. PERIMETER GRADE BEAM". The grade beam the exterior bottom track starts on.</t>
        </is>
      </c>
      <c r="F751" s="46" t="inlineStr">
        <is>
          <t>TRACK_BOTTOM</t>
        </is>
      </c>
      <c r="G751" s="46" t="inlineStr">
        <is>
          <t>Lo que recibe ese anchorage es la viga perimetral de cimentacion: 2/S3.20 TYP.</t>
        </is>
      </c>
    </row>
    <row r="752" ht="25.5" customHeight="1" s="36">
      <c r="A752" s="59" t="n"/>
      <c r="B752" s="58" t="n">
        <v>20</v>
      </c>
      <c r="C752" s="44" t="inlineStr">
        <is>
          <t>8/S3.20</t>
        </is>
      </c>
      <c r="D752" s="59" t="inlineStr">
        <is>
          <t>Quantity</t>
        </is>
      </c>
      <c r="E752" s="46" t="inlineStr">
        <is>
          <t>"TYP. INTERIOR GRADE BEAM". The interior grade beam the bottom track starts on.</t>
        </is>
      </c>
      <c r="F752" s="46" t="inlineStr">
        <is>
          <t>TRACK_BOTTOM</t>
        </is>
      </c>
      <c r="G752" s="46" t="inlineStr">
        <is>
          <t>Contraste: 3, 5, 6, 7 y 8/S3.20 son la misma familia de viga y NINGUNO lleva esa nota; por eso solo este se cita y los otros van declarados con motivo.</t>
        </is>
      </c>
    </row>
    <row r="753" ht="25.5" customHeight="1" s="36">
      <c r="A753" s="59" t="n"/>
      <c r="B753" s="58" t="n">
        <v>21</v>
      </c>
      <c r="C753" s="44" t="inlineStr">
        <is>
          <t>6/S5.10</t>
        </is>
      </c>
      <c r="D753" s="59" t="inlineStr">
        <is>
          <t>Dimension</t>
        </is>
      </c>
      <c r="E753" s="46" t="inlineStr">
        <is>
          <t>"SECTION AT PERIMETER" at 3/4"=1'-0". Closure of the exterior wall against the roof edge: source of the stud height and the top track of that run.</t>
        </is>
      </c>
      <c r="F753" s="46" t="inlineStr">
        <is>
          <t>BRACING, STUD, TRACK_TOP, stud_height</t>
        </is>
      </c>
      <c r="G753" s="46" t="inlineStr">
        <is>
          <t>(bottom of deck) = top of steel del perimetro, donde 6/S5.10 y 10/S5.10 SECTION AT PERIMETER rematan el LT.</t>
        </is>
      </c>
    </row>
    <row r="754" ht="25.5" customHeight="1" s="36">
      <c r="A754" s="59" t="n"/>
      <c r="B754" s="58" t="n">
        <v>22</v>
      </c>
      <c r="C754" s="44" t="inlineStr">
        <is>
          <t>10/S5.10</t>
        </is>
      </c>
      <c r="D754" s="59" t="inlineStr">
        <is>
          <t>Dimension</t>
        </is>
      </c>
      <c r="E754" s="46" t="inlineStr">
        <is>
          <t>Perimeter section on S5.10. The other perimeter closure, with its own height.</t>
        </is>
      </c>
      <c r="F754" s="46" t="inlineStr">
        <is>
          <t>BRACING, STUD, TRACK_TOP, stud_height</t>
        </is>
      </c>
      <c r="G754" s="46" t="inlineStr">
        <is>
          <t>(bottom of deck) = top of steel del perimetro, donde 6/S5.10 y 10/S5.10 SECTION AT PERIMETER rematan el LT.</t>
        </is>
      </c>
    </row>
    <row r="755" ht="33" customHeight="1" s="36">
      <c r="A755" s="59" t="n"/>
      <c r="B755" s="58" t="n">
        <v>23</v>
      </c>
      <c r="C755" s="44" t="inlineStr">
        <is>
          <t>11/S5.10</t>
        </is>
      </c>
      <c r="D755" s="59" t="inlineStr">
        <is>
          <t>Quantity</t>
        </is>
      </c>
      <c r="E755" s="46" t="inlineStr">
        <is>
          <t>Section on S5.10. Stud height, track and fastener of that perimeter run.</t>
        </is>
      </c>
      <c r="F755" s="46" t="inlineStr">
        <is>
          <t>STUD</t>
        </is>
      </c>
      <c r="G755" s="46" t="inlineStr">
        <is>
          <t>TO ACCOMMODATE VERTICAL MOVEMENT OF PERIMETER BEAM +/- 1/2"", y de ahi arriba el parapet es OTRO wall, el infill de 11/S5.10, con otro perfil (600S162-54, 54 mil) y track propio arriba y abajo.</t>
        </is>
      </c>
    </row>
    <row r="756" ht="25.5" customHeight="1" s="36">
      <c r="A756" s="59" t="n"/>
      <c r="B756" s="58" t="n">
        <v>24</v>
      </c>
      <c r="C756" s="44" t="inlineStr">
        <is>
          <t>7/S5.11</t>
        </is>
      </c>
      <c r="D756" s="59" t="inlineStr">
        <is>
          <t>Quantity</t>
        </is>
      </c>
      <c r="E756" s="46" t="inlineStr">
        <is>
          <t>"ROOF SECTION" at 3/4"=1'-0". Deck height in that run and the top track.</t>
        </is>
      </c>
      <c r="F756" s="46" t="inlineStr">
        <is>
          <t>TRACK_TOP</t>
        </is>
      </c>
      <c r="G756" s="46" t="inlineStr">
        <is>
          <t>Los dos detalles dibujan la misma condicion en el perimetro y los dos la rotulan igual; 7/S5.11 ROOF SECTION manda a 6/S5.10 para la misma.</t>
        </is>
      </c>
    </row>
    <row r="757" ht="33" customHeight="1" s="36">
      <c r="A757" s="59" t="n"/>
      <c r="B757" s="58" t="n">
        <v>25</v>
      </c>
      <c r="C757" s="44" t="inlineStr">
        <is>
          <t>A12.01</t>
        </is>
      </c>
      <c r="D757" s="59" t="inlineStr">
        <is>
          <t>Exclusion</t>
        </is>
      </c>
      <c r="E757" s="46" t="inlineStr">
        <is>
          <t>Partition Types, the whole sheet. Cited as a sheet when the finding is the ABSENCE across the sheet (e.g. that no type labels a gypsum control joint).</t>
        </is>
      </c>
      <c r="F757" s="46" t="inlineStr">
        <is>
          <t>excluded.CONTROL_JOINT</t>
        </is>
      </c>
      <c r="G757" s="46" t="inlineStr">
        <is>
          <t>El set no rotula ni detalla ninguna junta de control de gypsum board, ni en A12.01 ni en los detalles de A09.27/A09.33, y no hay seccion de especificaciones 09 29 00 en el bid set.</t>
        </is>
      </c>
    </row>
    <row r="758" ht="43.5" customHeight="1" s="36">
      <c r="A758" s="59" t="n"/>
      <c r="B758" s="58" t="n">
        <v>26</v>
      </c>
      <c r="C758" s="44" t="inlineStr">
        <is>
          <t>1/A09.26</t>
        </is>
      </c>
      <c r="D758" s="59" t="inlineStr">
        <is>
          <t>Quantity</t>
        </is>
      </c>
      <c r="E758" s="46" t="inlineStr">
        <is>
          <t>"SECTION DETAIL @ ENTRANCE DOOR". Jamb and head of the entrance door.</t>
        </is>
      </c>
      <c r="F758" s="46" t="inlineStr">
        <is>
          <t>PLYWOOD_3-4_FRT</t>
        </is>
      </c>
      <c r="G758" s="46"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759" ht="25.5" customHeight="1" s="36">
      <c r="A759" s="59" t="n"/>
      <c r="B759" s="58" t="n">
        <v>27</v>
      </c>
      <c r="C759" s="44" t="inlineStr">
        <is>
          <t>2/A09.26</t>
        </is>
      </c>
      <c r="D759" s="59" t="inlineStr">
        <is>
          <t>Quantity</t>
        </is>
      </c>
      <c r="E759" s="46" t="inlineStr">
        <is>
          <t>"SECTION DETAIL @ STOREFRONT HEAD". The storefront head and its box beam.</t>
        </is>
      </c>
      <c r="F759" s="46" t="inlineStr">
        <is>
          <t>JAMB_RETURN_BOARD, PLYWOOD_3-4_FRT, excluded.BOX_BEAM</t>
        </is>
      </c>
      <c r="G759" s="46" t="inlineStr">
        <is>
          <t>"GYPSUM BOARD JAMB RETURN BEYOND", rotulo TEXTUAL de 11/A09.27 y de 2/A09.26.</t>
        </is>
      </c>
    </row>
    <row r="760" ht="25.5" customHeight="1" s="36">
      <c r="A760" s="59" t="n"/>
      <c r="B760" s="58" t="n">
        <v>28</v>
      </c>
      <c r="C760" s="44" t="inlineStr">
        <is>
          <t>4/A09.26</t>
        </is>
      </c>
      <c r="D760" s="59" t="inlineStr">
        <is>
          <t>Quantity</t>
        </is>
      </c>
      <c r="E760" s="46" t="inlineStr">
        <is>
          <t>"SECTION DETAIL @ PARAPET" at 1 1/2"=1'-0". The parapet: glass-mat sheathing, sealant and closure blocking.</t>
        </is>
      </c>
      <c r="F760" s="46" t="inlineStr">
        <is>
          <t>SEALANT, SHEATHING_5-8_GLASS_MAT</t>
        </is>
      </c>
      <c r="G760" s="46" t="inlineStr">
        <is>
          <t>4/A09.26 SECTION DETAIL @ PARAPET rotula "SEALANT" en el closure de arriba.</t>
        </is>
      </c>
    </row>
    <row r="761" ht="43.5" customHeight="1" s="36">
      <c r="A761" s="59" t="n"/>
      <c r="B761" s="58" t="n">
        <v>29</v>
      </c>
      <c r="C761" s="44" t="inlineStr">
        <is>
          <t>5/A09.26</t>
        </is>
      </c>
      <c r="D761" s="59" t="inlineStr">
        <is>
          <t>Quantity</t>
        </is>
      </c>
      <c r="E761" s="46" t="inlineStr">
        <is>
          <t>"SECTION DETAIL @ ACM BASE". Base of the ACM: sheathing and sealant.</t>
        </is>
      </c>
      <c r="F761" s="46" t="inlineStr">
        <is>
          <t>SEALANT, SHEATHING_5-8_GLASS_MAT, excluded.PLASTER_PT-3_DIV09_24</t>
        </is>
      </c>
      <c r="G761"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62" ht="43.5" customHeight="1" s="36">
      <c r="A762" s="59" t="n"/>
      <c r="B762" s="58" t="n">
        <v>30</v>
      </c>
      <c r="C762" s="44" t="inlineStr">
        <is>
          <t>6/A09.26</t>
        </is>
      </c>
      <c r="D762" s="59" t="inlineStr">
        <is>
          <t>Quantity</t>
        </is>
      </c>
      <c r="E762" s="46" t="inlineStr">
        <is>
          <t>"SECTION DETAIL @ STOREFRONT BASE". Base of the storefront and its plywood.</t>
        </is>
      </c>
      <c r="F762" s="46" t="inlineStr">
        <is>
          <t>PLYWOOD_3-4_FRT</t>
        </is>
      </c>
      <c r="G762" s="46"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763" ht="43.5" customHeight="1" s="36">
      <c r="A763" s="59" t="n"/>
      <c r="B763" s="58" t="n">
        <v>31</v>
      </c>
      <c r="C763" s="44" t="inlineStr">
        <is>
          <t>7/A09.26</t>
        </is>
      </c>
      <c r="D763" s="59" t="inlineStr">
        <is>
          <t>Quantity</t>
        </is>
      </c>
      <c r="E763" s="46" t="inlineStr">
        <is>
          <t>"SECTION DETAIL @ SIDE CANOPY". Build-up of the side canopy.</t>
        </is>
      </c>
      <c r="F763" s="46" t="inlineStr">
        <is>
          <t>SHEATHING_5-8_GLASS_MAT</t>
        </is>
      </c>
      <c r="G763"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764" ht="43.5" customHeight="1" s="36">
      <c r="A764" s="59" t="n"/>
      <c r="B764" s="58" t="n">
        <v>32</v>
      </c>
      <c r="C764" s="44" t="inlineStr">
        <is>
          <t>9/A09.27</t>
        </is>
      </c>
      <c r="D764" s="59" t="inlineStr">
        <is>
          <t>Quantity</t>
        </is>
      </c>
      <c r="E764" s="46" t="inlineStr">
        <is>
          <t>"SECTION DETAIL @ METAL PANEL BASE". Base of the metal panel: glass-mat sheathing and sealant.</t>
        </is>
      </c>
      <c r="F764" s="46" t="inlineStr">
        <is>
          <t>SEALANT, SHEATHING_5-8_GLASS_MAT</t>
        </is>
      </c>
      <c r="G764"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65" ht="25.5" customHeight="1" s="36">
      <c r="A765" s="59" t="n"/>
      <c r="B765" s="58" t="n">
        <v>33</v>
      </c>
      <c r="C765" s="44" t="inlineStr">
        <is>
          <t>10/A09.27</t>
        </is>
      </c>
      <c r="D765" s="59" t="inlineStr">
        <is>
          <t>Quantity</t>
        </is>
      </c>
      <c r="E765" s="46" t="inlineStr">
        <is>
          <t>"SECTION DETAIL @ STOREFRONT SILL". The storefront sill and its plywood.</t>
        </is>
      </c>
      <c r="F765" s="46" t="inlineStr">
        <is>
          <t>PLYWOOD_3-4_FRT</t>
        </is>
      </c>
      <c r="G765" s="46" t="inlineStr">
        <is>
          <t>"3/4" FRT PLYWOOD" rotulado en los CINCO detalles que cortan el marco del opening: 11/A09.27 y 2/A09.26 en el header, 10/A09.27 en el sill ("T/STUD ELEV.</t>
        </is>
      </c>
    </row>
    <row r="766" ht="25.5" customHeight="1" s="36">
      <c r="A766" s="59" t="n"/>
      <c r="B766" s="58" t="n">
        <v>34</v>
      </c>
      <c r="C766" s="44" t="inlineStr">
        <is>
          <t>11/A09.27</t>
        </is>
      </c>
      <c r="D766" s="59" t="inlineStr">
        <is>
          <t>Quantity</t>
        </is>
      </c>
      <c r="E766" s="46" t="inlineStr">
        <is>
          <t>"SECTION DETAIL @ STOREFRONT HEAD". The head: 3/4" FRT plywood, jamb return board and the box beam, which is not ours.</t>
        </is>
      </c>
      <c r="F766" s="46" t="inlineStr">
        <is>
          <t>JAMB_RETURN_BOARD, PLYWOOD_3-4_FRT, excluded.BOX_BEAM</t>
        </is>
      </c>
      <c r="G766" s="46" t="inlineStr">
        <is>
          <t>"GYPSUM BOARD JAMB RETURN BEYOND", rotulo TEXTUAL de 11/A09.27 y de 2/A09.26.</t>
        </is>
      </c>
    </row>
    <row r="767" ht="43.5" customHeight="1" s="36">
      <c r="A767" s="59" t="n"/>
      <c r="B767" s="58" t="n">
        <v>35</v>
      </c>
      <c r="C767" s="44" t="inlineStr">
        <is>
          <t>6/A09.31</t>
        </is>
      </c>
      <c r="D767" s="59" t="inlineStr">
        <is>
          <t>Exclusion</t>
        </is>
      </c>
      <c r="E767" s="46" t="inlineStr">
        <is>
          <t>"DETAIL AT NARROW CHANNEL SCREED" at 12"=1'-0". The stucco screed, Div 09 24 00: proves the finish of that run is not ours.</t>
        </is>
      </c>
      <c r="F767" s="46" t="inlineStr">
        <is>
          <t>excluded.PLASTER_PT-3_DIV09_24</t>
        </is>
      </c>
      <c r="G767"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768" ht="33" customHeight="1" s="36">
      <c r="A768" s="59" t="n"/>
      <c r="B768" s="58" t="n">
        <v>36</v>
      </c>
      <c r="C768" s="44" t="inlineStr">
        <is>
          <t>7/S5.20</t>
        </is>
      </c>
      <c r="D768" s="59" t="inlineStr">
        <is>
          <t>Quantity</t>
        </is>
      </c>
      <c r="E768" s="46" t="inlineStr">
        <is>
          <t>"METAL STUDS SCHEDULES". The profile: web, flange, lip, mils, gauge and the APPLICATION column with the spacing ("INTERIOR WALLS @ 16" O.C."), plus the SILL TRACK ANCHORAGE and the FASTENER SCHEDULE.</t>
        </is>
      </c>
      <c r="F768" s="46" t="inlineStr">
        <is>
          <t>BRACING, STUD, TRACK_BOTTOM, excluded.CLIPS, scope[0].chain[1]</t>
        </is>
      </c>
      <c r="G768" s="46" t="inlineStr">
        <is>
          <t>7/S5.20 BRIDGING AND BRACING @ 48" O.C.</t>
        </is>
      </c>
    </row>
    <row r="769" ht="43.5" customHeight="1" s="36">
      <c r="A769" s="59" t="n"/>
      <c r="B769" s="58" t="n">
        <v>37</v>
      </c>
      <c r="C769" s="44" t="inlineStr">
        <is>
          <t>A00.21</t>
        </is>
      </c>
      <c r="D769" s="59" t="inlineStr">
        <is>
          <t>Quantity</t>
        </is>
      </c>
      <c r="E769" s="46" t="inlineStr">
        <is>
          <t>Specification sheet. Opened for the substrate material (cement board).</t>
        </is>
      </c>
      <c r="F769" s="46" t="inlineStr">
        <is>
          <t>CEMENT BOARD</t>
        </is>
      </c>
      <c r="G769" s="46" t="inlineStr">
        <is>
          <t>El cove base CT-12C lo da D/A08.01 RESTROOM ELEVATION D, que dibuja la pieza y la rotula, y el Room Finish Schedule de A00.21 la confirma en la columna BASE de los cuartos 113 y 114; ninguna de las dos fuentes dibuja el sustrato detras, y esa diferencia con el plano queda anotada en Clarifications.</t>
        </is>
      </c>
    </row>
    <row r="770" ht="33" customHeight="1" s="36">
      <c r="A770" s="59" t="n"/>
      <c r="B770" s="58" t="n">
        <v>38</v>
      </c>
      <c r="C770" s="44" t="inlineStr">
        <is>
          <t>A09.33</t>
        </is>
      </c>
      <c r="D770" s="59" t="inlineStr">
        <is>
          <t>Exclusion</t>
        </is>
      </c>
      <c r="E770" s="46" t="inlineStr">
        <is>
          <t>Ceiling Details, the sheet. Cited as a sheet for a finding by ABSENCE: its details label corner bead, casing bead and shadow molding one by one and NONE labels a control joint, so the omission is not a labeling oversight.</t>
        </is>
      </c>
      <c r="F770" s="46" t="inlineStr">
        <is>
          <t>excluded.CONTROL_JOINT</t>
        </is>
      </c>
      <c r="G770" s="46" t="inlineStr">
        <is>
          <t>El set no rotula ni detalla ninguna junta de control de gypsum board, ni en A12.01 ni en los detalles de A09.27/A09.33, y no hay seccion de especificaciones 09 29 00 en el bid set.</t>
        </is>
      </c>
    </row>
    <row r="771" ht="33" customHeight="1" s="36">
      <c r="A771" s="44" t="inlineStr">
        <is>
          <t>EXT-6CFMF #65</t>
        </is>
      </c>
      <c r="B771" s="58" t="n">
        <v>1</v>
      </c>
      <c r="C771" s="44" t="inlineStr">
        <is>
          <t>A02.01</t>
        </is>
      </c>
      <c r="D771" s="59" t="inlineStr">
        <is>
          <t>Dimension</t>
        </is>
      </c>
      <c r="E771" s="46" t="inlineStr">
        <is>
          <t>Construction Plan. Entry sheet for partitions and openings: vector geometry of every wall face at 1/4"=1'-0", the leader of every partition tag, the Construction Plan Legend (new vs. existing) and the Construction Plan Notes.</t>
        </is>
      </c>
      <c r="F771" s="46" t="inlineStr">
        <is>
          <t>excluded.STOREFRONT_DIV08, length</t>
        </is>
      </c>
      <c r="G771" s="46" t="inlineStr">
        <is>
          <t>longitud de WALL SOLIDO de esta fachada, medida sobre el EJE del wall en A02.01 y clasificada por lineweight con tools/perimetro.py (face de wall lw&gt;=1.1 y banda de 17.40 pt = 11.60"; storefront = banda de 1.44 pt = 0.96" con 2" mullions cada ~4'-4").</t>
        </is>
      </c>
    </row>
    <row r="772" ht="25.5" customHeight="1" s="36">
      <c r="A772" s="59" t="n"/>
      <c r="B772" s="58" t="n">
        <v>2</v>
      </c>
      <c r="C772" s="44" t="inlineStr">
        <is>
          <t>D/A08.01</t>
        </is>
      </c>
      <c r="D772" s="59" t="inlineStr">
        <is>
          <t>Exclusion</t>
        </is>
      </c>
      <c r="E772" s="46" t="inlineStr">
        <is>
          <t>Restroom elevation D on A08.01. Accessories hung on that face (blocking) and the extent of FRP, cement board and water-resistant board.</t>
        </is>
      </c>
      <c r="F772" s="46" t="inlineStr">
        <is>
          <t>excluded.BLOCKING</t>
        </is>
      </c>
      <c r="G772" s="46" t="inlineStr">
        <is>
          <t>Contraste: la face interior del wall oeste BAJO (#63) SI lleva 25.33 LF de blocking, porque ahi estan los accesorios de los banos 113 y 114 de D/A08.01.</t>
        </is>
      </c>
    </row>
    <row r="773" ht="25.5" customHeight="1" s="36">
      <c r="A773" s="59" t="n"/>
      <c r="B773" s="58" t="n">
        <v>3</v>
      </c>
      <c r="C773" s="44" t="inlineStr">
        <is>
          <t>2/A08.11</t>
        </is>
      </c>
      <c r="D773" s="59" t="inlineStr">
        <is>
          <t>Exclusion</t>
        </is>
      </c>
      <c r="E773" s="46" t="inlineStr">
        <is>
          <t>"DETAIL - BOLLARD". The bollard, Div 05 metals: not ours.</t>
        </is>
      </c>
      <c r="F773" s="46" t="inlineStr">
        <is>
          <t>excluded.BOLLARD_DIV05_METALES</t>
        </is>
      </c>
      <c r="G773" s="46" t="inlineStr">
        <is>
          <t>"SURFACE MOUNTED 4" STEEL BOLLARD W/ HDPE SLEEVE AND GREY BASE PLATE" (6/A08.11) y 2/A08.11 DETAIL - BOLLARD: es structural steel / metales misceláneos, no metal stud framing.</t>
        </is>
      </c>
    </row>
    <row r="774" ht="33" customHeight="1" s="36">
      <c r="A774" s="59" t="n"/>
      <c r="B774" s="58" t="n">
        <v>4</v>
      </c>
      <c r="C774" s="44" t="inlineStr">
        <is>
          <t>3/A08.11</t>
        </is>
      </c>
      <c r="D774" s="59" t="inlineStr">
        <is>
          <t>Exclusion</t>
        </is>
      </c>
      <c r="E774" s="46" t="inlineStr">
        <is>
          <t>"ATM PLINTH FRAMING PLAN" at 3/4"=1'-0". The ATM plinth, Div 06.</t>
        </is>
      </c>
      <c r="F774" s="46" t="inlineStr">
        <is>
          <t>excluded.PLINTO_DEL_ATM_DIV06</t>
        </is>
      </c>
      <c r="G774" s="46" t="inlineStr">
        <is>
          <t>El plinto del ATM drive-up es GC BUILT pero es CARPINTERIA, no metal frame: 6/A08.11 lo rotula "(2) LAYERS 3/4" FRT PLYWOOD PLINTH" y 3/A08.11 ATM PLINTH FRAMING PLAN lo arma con "2X4 FRT PERIMETER FRAMING", "4X4 FRT FRAMING" y "FRT PLYWOOD ON FRAMING".</t>
        </is>
      </c>
    </row>
    <row r="775" ht="25.5" customHeight="1" s="36">
      <c r="A775" s="59" t="n"/>
      <c r="B775" s="58" t="n">
        <v>5</v>
      </c>
      <c r="C775" s="44" t="inlineStr">
        <is>
          <t>4/A08.11</t>
        </is>
      </c>
      <c r="D775" s="59" t="inlineStr">
        <is>
          <t>Opening</t>
        </is>
      </c>
      <c r="E775" s="46" t="inlineStr">
        <is>
          <t>ATM detail on A08.11: EQ dimension of the niche, for the sill.</t>
        </is>
      </c>
      <c r="F775" s="46" t="inlineStr">
        <is>
          <t>openings[0].sill</t>
        </is>
      </c>
      <c r="G775" s="46" t="inlineStr">
        <is>
          <t>4/A08.11: el ATM drive-up apoya en el GC BUILT PLINTH, o sea que el hueco tiene sill y lleva sill</t>
        </is>
      </c>
    </row>
    <row r="776" ht="25.5" customHeight="1" s="36">
      <c r="A776" s="59" t="n"/>
      <c r="B776" s="58" t="n">
        <v>6</v>
      </c>
      <c r="C776" s="44" t="inlineStr">
        <is>
          <t>5/A08.11</t>
        </is>
      </c>
      <c r="D776" s="59" t="inlineStr">
        <is>
          <t>Quantity</t>
        </is>
      </c>
      <c r="E776" s="46" t="inlineStr">
        <is>
          <t>"ATM ELEVATION" at 3/4"=1'-0". Height of the ATM niche: source of the header.</t>
        </is>
      </c>
      <c r="F776" s="46" t="inlineStr">
        <is>
          <t>HEADER, openings[0].head</t>
        </is>
      </c>
      <c r="G776" s="46" t="inlineStr">
        <is>
          <t>del ATM drive-up 2'-2 1/8" (5/A08.11).</t>
        </is>
      </c>
    </row>
    <row r="777" ht="43.5" customHeight="1" s="36">
      <c r="A777" s="59" t="n"/>
      <c r="B777" s="58" t="n">
        <v>7</v>
      </c>
      <c r="C777" s="44" t="inlineStr">
        <is>
          <t>6/A08.11</t>
        </is>
      </c>
      <c r="D777" s="59" t="inlineStr">
        <is>
          <t>Dimension</t>
        </is>
      </c>
      <c r="E777" s="46" t="inlineStr">
        <is>
          <t>Walk-up ATM detail on A08.11: length of the niche, box beam, sistered 2 1/2" studs and the 5/8" FRT plywood in the niche.</t>
        </is>
      </c>
      <c r="F777" s="46" t="inlineStr">
        <is>
          <t>BOX_BEAM_DE_STUD SOBRE EL ATM, FURRING EN EL NICHO DEL ATM, PLYWOOD_5-8_FRT EN EL NICHO DEL ATM, SILL_TRACK, STUD_2-1-2_SISTERED AL ATM, excluded.ATM_SURROUND_DIV11, excluded.BOLLARD_DIV05_METALES, excluded.PLINTO_DEL_ATM_DIV06, length</t>
        </is>
      </c>
      <c r="G777"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778" ht="43.5" customHeight="1" s="36">
      <c r="A778" s="59" t="n"/>
      <c r="B778" s="58" t="n">
        <v>8</v>
      </c>
      <c r="C778" s="44" t="inlineStr">
        <is>
          <t>7/A08.11</t>
        </is>
      </c>
      <c r="D778" s="59" t="inlineStr">
        <is>
          <t>Exclusion</t>
        </is>
      </c>
      <c r="E778" s="46" t="inlineStr">
        <is>
          <t>"ATM ROOM PLAN" at 1/2"=1'-0". The faces of the ATM room.</t>
        </is>
      </c>
      <c r="F778" s="46" t="inlineStr">
        <is>
          <t>excluded.BLOCKING</t>
        </is>
      </c>
      <c r="G778" s="46"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79" ht="43.5" customHeight="1" s="36">
      <c r="A779" s="59" t="n"/>
      <c r="B779" s="58" t="n">
        <v>9</v>
      </c>
      <c r="C779" s="44" t="inlineStr">
        <is>
          <t>8/A08.11</t>
        </is>
      </c>
      <c r="D779" s="59" t="inlineStr">
        <is>
          <t>Exclusion</t>
        </is>
      </c>
      <c r="E779" s="46" t="inlineStr">
        <is>
          <t>"ATM ROOM SOUTH ELEVATION". What hangs on that face of the ATM room.</t>
        </is>
      </c>
      <c r="F779" s="46" t="inlineStr">
        <is>
          <t>excluded.BLOCKING</t>
        </is>
      </c>
      <c r="G779" s="46"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80" ht="43.5" customHeight="1" s="36">
      <c r="A780" s="59" t="n"/>
      <c r="B780" s="58" t="n">
        <v>10</v>
      </c>
      <c r="C780" s="44" t="inlineStr">
        <is>
          <t>9/A08.11</t>
        </is>
      </c>
      <c r="D780" s="59" t="inlineStr">
        <is>
          <t>Exclusion</t>
        </is>
      </c>
      <c r="E780" s="46" t="inlineStr">
        <is>
          <t>"ATM ROOM WEST ELEVATION". That face of the ATM room and the Div 06 plinth.</t>
        </is>
      </c>
      <c r="F780" s="46" t="inlineStr">
        <is>
          <t>excluded.BLOCKING</t>
        </is>
      </c>
      <c r="G780" s="46"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81" ht="43.5" customHeight="1" s="36">
      <c r="A781" s="59" t="n"/>
      <c r="B781" s="58" t="n">
        <v>11</v>
      </c>
      <c r="C781" s="44" t="inlineStr">
        <is>
          <t>A/A09.21</t>
        </is>
      </c>
      <c r="D781" s="59" t="inlineStr">
        <is>
          <t>Quantity</t>
        </is>
      </c>
      <c r="E781" s="46" t="inlineStr">
        <is>
          <t>Exterior wall section A. Build-up by layer and height of each layer: 5/8" FRT plywood sheathing over 2 1/2" polyiso, CFMF cavity and interior board.</t>
        </is>
      </c>
      <c r="F781" s="46" t="inlineStr">
        <is>
          <t>BOARD, SHEATHING_5-8_FRT_PLYWOOD_2-1-2_POLYISO</t>
        </is>
      </c>
      <c r="G78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2" ht="43.5" customHeight="1" s="36">
      <c r="A782" s="59" t="n"/>
      <c r="B782" s="58" t="n">
        <v>12</v>
      </c>
      <c r="C782" s="44" t="inlineStr">
        <is>
          <t>B/A09.21</t>
        </is>
      </c>
      <c r="D782" s="59" t="inlineStr">
        <is>
          <t>Quantity</t>
        </is>
      </c>
      <c r="E782" s="46" t="inlineStr">
        <is>
          <t>Exterior wall section B. Interior board height in that run.</t>
        </is>
      </c>
      <c r="F782" s="46" t="inlineStr">
        <is>
          <t>BOARD</t>
        </is>
      </c>
      <c r="G78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3" ht="43.5" customHeight="1" s="36">
      <c r="A783" s="59" t="n"/>
      <c r="B783" s="58" t="n">
        <v>13</v>
      </c>
      <c r="C783" s="44" t="inlineStr">
        <is>
          <t>C/A09.21</t>
        </is>
      </c>
      <c r="D783" s="59" t="inlineStr">
        <is>
          <t>Quantity</t>
        </is>
      </c>
      <c r="E783" s="46" t="inlineStr">
        <is>
          <t>Exterior wall section C. Layer build-up of that run.</t>
        </is>
      </c>
      <c r="F783" s="46" t="inlineStr">
        <is>
          <t>BOARD, SHEATHING_5-8_FRT_PLYWOOD_2-1-2_POLYISO</t>
        </is>
      </c>
      <c r="G783"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4" ht="43.5" customHeight="1" s="36">
      <c r="A784" s="59" t="n"/>
      <c r="B784" s="58" t="n">
        <v>14</v>
      </c>
      <c r="C784" s="44" t="inlineStr">
        <is>
          <t>D/A09.22</t>
        </is>
      </c>
      <c r="D784" s="59" t="inlineStr">
        <is>
          <t>Quantity</t>
        </is>
      </c>
      <c r="E784" s="46" t="inlineStr">
        <is>
          <t>Exterior wall section D. Layer build-up, board height and the blocking of that run.</t>
        </is>
      </c>
      <c r="F784" s="46" t="inlineStr">
        <is>
          <t>BOARD, SHEATHING_5-8_FRT_PLYWOOD_2-1-2_POLYISO</t>
        </is>
      </c>
      <c r="G78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5" ht="43.5" customHeight="1" s="36">
      <c r="A785" s="59" t="n"/>
      <c r="B785" s="58" t="n">
        <v>15</v>
      </c>
      <c r="C785" s="44" t="inlineStr">
        <is>
          <t>E/A09.22</t>
        </is>
      </c>
      <c r="D785" s="59" t="inlineStr">
        <is>
          <t>Quantity</t>
        </is>
      </c>
      <c r="E785" s="46" t="inlineStr">
        <is>
          <t>Exterior wall section E. Board height of that run and the stucco finish, which is not ours.</t>
        </is>
      </c>
      <c r="F785" s="46" t="inlineStr">
        <is>
          <t>BOARD, excluded.PLASTER_PT-3_DIV09_24</t>
        </is>
      </c>
      <c r="G785"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6" ht="43.5" customHeight="1" s="36">
      <c r="A786" s="59" t="n"/>
      <c r="B786" s="58" t="n">
        <v>16</v>
      </c>
      <c r="C786" s="44" t="inlineStr">
        <is>
          <t>F/A09.22</t>
        </is>
      </c>
      <c r="D786" s="59" t="inlineStr">
        <is>
          <t>Quantity</t>
        </is>
      </c>
      <c r="E786" s="46" t="inlineStr">
        <is>
          <t>Exterior wall section F. Board and stud height of that run.</t>
        </is>
      </c>
      <c r="F786" s="46" t="inlineStr">
        <is>
          <t>BOARD</t>
        </is>
      </c>
      <c r="G786"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7" ht="25.5" customHeight="1" s="36">
      <c r="A787" s="59" t="n"/>
      <c r="B787" s="58" t="n">
        <v>17</v>
      </c>
      <c r="C787" s="44" t="inlineStr">
        <is>
          <t>H/A09.23</t>
        </is>
      </c>
      <c r="D787" s="59" t="inlineStr">
        <is>
          <t>Quantity</t>
        </is>
      </c>
      <c r="E787" s="46" t="inlineStr">
        <is>
          <t>Exterior wall section H. The one that gives the full build-up: "5/8" FRT PLYWOOD BONDED TO 2 1/2" POLYISO INSULATION", CFMF cavity and the height of each layer.</t>
        </is>
      </c>
      <c r="F787" s="46" t="inlineStr">
        <is>
          <t>BOARD, SHEATHING_5-8_FRT_PLYWOOD_2-1-2_POLYISO, excluded.INSULATION, scope[0].chain[0]</t>
        </is>
      </c>
      <c r="G787" s="46" t="inlineStr">
        <is>
          <t>Label TEXTUAL de H/A09.23: "5/8" GYP.</t>
        </is>
      </c>
    </row>
    <row r="788" ht="43.5" customHeight="1" s="36">
      <c r="A788" s="59" t="n"/>
      <c r="B788" s="58" t="n">
        <v>18</v>
      </c>
      <c r="C788" s="44" t="inlineStr">
        <is>
          <t>J/A09.23</t>
        </is>
      </c>
      <c r="D788" s="59" t="inlineStr">
        <is>
          <t>Quantity</t>
        </is>
      </c>
      <c r="E788" s="46" t="inlineStr">
        <is>
          <t>Exterior wall section J. Board height of that run and its blocking.</t>
        </is>
      </c>
      <c r="F788" s="46" t="inlineStr">
        <is>
          <t>BOARD, STUD</t>
        </is>
      </c>
      <c r="G788"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9" ht="25.5" customHeight="1" s="36">
      <c r="A789" s="59" t="n"/>
      <c r="B789" s="58" t="n">
        <v>19</v>
      </c>
      <c r="C789" s="44" t="inlineStr">
        <is>
          <t>1/A09.25</t>
        </is>
      </c>
      <c r="D789" s="59" t="inlineStr">
        <is>
          <t>Quantity</t>
        </is>
      </c>
      <c r="E789" s="46" t="inlineStr">
        <is>
          <t>"DETAIL @ STOREFRONT PIER" at 1 1/2"=1'-0". The pier between storefront bays: source of the 3/4" FRT plywood and the jamb return board.</t>
        </is>
      </c>
      <c r="F789" s="46" t="inlineStr">
        <is>
          <t>JAMB_RETURN_BOARD, PLYWOOD_3-4_FRT</t>
        </is>
      </c>
      <c r="G789" s="46" t="inlineStr">
        <is>
          <t>1/A09.25 y 2/A09.25 lo cierran en planta con "5/8" GYPSUM BOARD" doblando hacia el marco de aluminio</t>
        </is>
      </c>
    </row>
    <row r="790" ht="25.5" customHeight="1" s="36">
      <c r="A790" s="59" t="n"/>
      <c r="B790" s="58" t="n">
        <v>20</v>
      </c>
      <c r="C790" s="44" t="inlineStr">
        <is>
          <t>2/A09.25</t>
        </is>
      </c>
      <c r="D790" s="59" t="inlineStr">
        <is>
          <t>Quantity</t>
        </is>
      </c>
      <c r="E790" s="46" t="inlineStr">
        <is>
          <t>"DETAIL @ STOREFRONT PIER". The second pier, with its own width.</t>
        </is>
      </c>
      <c r="F790" s="46" t="inlineStr">
        <is>
          <t>JAMB_RETURN_BOARD, PLYWOOD_3-4_FRT</t>
        </is>
      </c>
      <c r="G790" s="46" t="inlineStr">
        <is>
          <t>1/A09.25 y 2/A09.25 lo cierran en planta con "5/8" GYPSUM BOARD" doblando hacia el marco de aluminio</t>
        </is>
      </c>
    </row>
    <row r="791" ht="25.5" customHeight="1" s="36">
      <c r="A791" s="59" t="n"/>
      <c r="B791" s="58" t="n">
        <v>21</v>
      </c>
      <c r="C791" s="44" t="inlineStr">
        <is>
          <t>3/A09.25</t>
        </is>
      </c>
      <c r="D791" s="59" t="inlineStr">
        <is>
          <t>Quantity</t>
        </is>
      </c>
      <c r="E791" s="46" t="inlineStr">
        <is>
          <t>"DETAIL @ WINDOW JAMB". Window jamb: plywood and return board.</t>
        </is>
      </c>
      <c r="F791" s="46" t="inlineStr">
        <is>
          <t>PLYWOOD_3-4_FRT</t>
        </is>
      </c>
      <c r="G791" s="46" t="inlineStr">
        <is>
          <t>6'-6""), y 1/A09.25 DETAIL @ STOREFRONT PIER mas 2/A09.25 y 3/A09.25 DETAIL @ WINDOW JAMB en las jambs</t>
        </is>
      </c>
    </row>
    <row r="792" ht="25.5" customHeight="1" s="36">
      <c r="A792" s="59" t="n"/>
      <c r="B792" s="58" t="n">
        <v>22</v>
      </c>
      <c r="C792" s="44" t="inlineStr">
        <is>
          <t>2/S3.20</t>
        </is>
      </c>
      <c r="D792" s="59" t="inlineStr">
        <is>
          <t>Quantity</t>
        </is>
      </c>
      <c r="E792" s="46" t="inlineStr">
        <is>
          <t>"TYP. PERIMETER GRADE BEAM". The grade beam the exterior bottom track starts on.</t>
        </is>
      </c>
      <c r="F792" s="46" t="inlineStr">
        <is>
          <t>TRACK_BOTTOM</t>
        </is>
      </c>
      <c r="G792" s="46" t="inlineStr">
        <is>
          <t>Lo que recibe ese anchorage es la viga perimetral de cimentacion: 2/S3.20 TYP.</t>
        </is>
      </c>
    </row>
    <row r="793" ht="25.5" customHeight="1" s="36">
      <c r="A793" s="59" t="n"/>
      <c r="B793" s="58" t="n">
        <v>23</v>
      </c>
      <c r="C793" s="44" t="inlineStr">
        <is>
          <t>8/S3.20</t>
        </is>
      </c>
      <c r="D793" s="59" t="inlineStr">
        <is>
          <t>Quantity</t>
        </is>
      </c>
      <c r="E793" s="46" t="inlineStr">
        <is>
          <t>"TYP. INTERIOR GRADE BEAM". The interior grade beam the bottom track starts on.</t>
        </is>
      </c>
      <c r="F793" s="46" t="inlineStr">
        <is>
          <t>TRACK_BOTTOM</t>
        </is>
      </c>
      <c r="G793" s="46" t="inlineStr">
        <is>
          <t>Contraste: 3, 5, 6, 7 y 8/S3.20 son la misma familia de viga y NINGUNO lleva esa nota; por eso solo este se cita y los otros van declarados con motivo.</t>
        </is>
      </c>
    </row>
    <row r="794" ht="25.5" customHeight="1" s="36">
      <c r="A794" s="59" t="n"/>
      <c r="B794" s="58" t="n">
        <v>24</v>
      </c>
      <c r="C794" s="44" t="inlineStr">
        <is>
          <t>6/S5.10</t>
        </is>
      </c>
      <c r="D794" s="59" t="inlineStr">
        <is>
          <t>Dimension</t>
        </is>
      </c>
      <c r="E794" s="46" t="inlineStr">
        <is>
          <t>"SECTION AT PERIMETER" at 3/4"=1'-0". Closure of the exterior wall against the roof edge: source of the stud height and the top track of that run.</t>
        </is>
      </c>
      <c r="F794" s="46" t="inlineStr">
        <is>
          <t>BRACING, STUD, TRACK_TOP, stud_height</t>
        </is>
      </c>
      <c r="G794" s="46" t="inlineStr">
        <is>
          <t>(bottom of deck) = top of steel del perimetro, donde 6/S5.10 y 10/S5.10 SECTION AT PERIMETER rematan el LT.</t>
        </is>
      </c>
    </row>
    <row r="795" ht="25.5" customHeight="1" s="36">
      <c r="A795" s="59" t="n"/>
      <c r="B795" s="58" t="n">
        <v>25</v>
      </c>
      <c r="C795" s="44" t="inlineStr">
        <is>
          <t>10/S5.10</t>
        </is>
      </c>
      <c r="D795" s="59" t="inlineStr">
        <is>
          <t>Dimension</t>
        </is>
      </c>
      <c r="E795" s="46" t="inlineStr">
        <is>
          <t>Perimeter section on S5.10. The other perimeter closure, with its own height.</t>
        </is>
      </c>
      <c r="F795" s="46" t="inlineStr">
        <is>
          <t>BRACING, STUD, TRACK_TOP, stud_height</t>
        </is>
      </c>
      <c r="G795" s="46" t="inlineStr">
        <is>
          <t>(bottom of deck) = top of steel del perimetro, donde 6/S5.10 y 10/S5.10 SECTION AT PERIMETER rematan el LT.</t>
        </is>
      </c>
    </row>
    <row r="796" ht="33" customHeight="1" s="36">
      <c r="A796" s="59" t="n"/>
      <c r="B796" s="58" t="n">
        <v>26</v>
      </c>
      <c r="C796" s="44" t="inlineStr">
        <is>
          <t>11/S5.10</t>
        </is>
      </c>
      <c r="D796" s="59" t="inlineStr">
        <is>
          <t>Quantity</t>
        </is>
      </c>
      <c r="E796" s="46" t="inlineStr">
        <is>
          <t>Section on S5.10. Stud height, track and fastener of that perimeter run.</t>
        </is>
      </c>
      <c r="F796" s="46" t="inlineStr">
        <is>
          <t>STUD</t>
        </is>
      </c>
      <c r="G796" s="46" t="inlineStr">
        <is>
          <t>TO ACCOMMODATE VERTICAL MOVEMENT OF PERIMETER BEAM +/- 1/2"", y de ahi arriba el parapet es OTRO wall, el infill de 11/S5.10, con otro perfil (600S162-54, 54 mil) y track propio arriba y abajo.</t>
        </is>
      </c>
    </row>
    <row r="797" ht="25.5" customHeight="1" s="36">
      <c r="A797" s="59" t="n"/>
      <c r="B797" s="58" t="n">
        <v>27</v>
      </c>
      <c r="C797" s="44" t="inlineStr">
        <is>
          <t>7/S5.11</t>
        </is>
      </c>
      <c r="D797" s="59" t="inlineStr">
        <is>
          <t>Quantity</t>
        </is>
      </c>
      <c r="E797" s="46" t="inlineStr">
        <is>
          <t>"ROOF SECTION" at 3/4"=1'-0". Deck height in that run and the top track.</t>
        </is>
      </c>
      <c r="F797" s="46" t="inlineStr">
        <is>
          <t>TRACK_TOP</t>
        </is>
      </c>
      <c r="G797" s="46" t="inlineStr">
        <is>
          <t>Los dos detalles dibujan la misma condicion en el perimetro y los dos la rotulan igual; 7/S5.11 ROOF SECTION manda a 6/S5.10 para la misma.</t>
        </is>
      </c>
    </row>
    <row r="798" ht="43.5" customHeight="1" s="36">
      <c r="A798" s="59" t="n"/>
      <c r="B798" s="58" t="n">
        <v>28</v>
      </c>
      <c r="C798" s="44" t="inlineStr">
        <is>
          <t>A09.01</t>
        </is>
      </c>
      <c r="D798" s="59" t="inlineStr">
        <is>
          <t>Exclusion</t>
        </is>
      </c>
      <c r="E798" s="46" t="inlineStr">
        <is>
          <t>Exterior Elevations: "SOUTH ELEVATION" and "WEST ELEVATION" at 1/4"=1'-0". Extent of each exterior material and the material legend, verbatim "CJ CONTROL JOINT; PAINT TO MATCH STUCCO FINISH COLOR" - that joint is the STUCCO joint, not gypsum.</t>
        </is>
      </c>
      <c r="F798" s="46" t="inlineStr">
        <is>
          <t>excluded.CONTROL_JOINT, excluded.FIBER_CEMENT_PANEL_DIV07, excluded.PLASTER_PT-3_DIV09_24, excluded.STOREFRONT_DIV08</t>
        </is>
      </c>
      <c r="G79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799" ht="25.5" customHeight="1" s="36">
      <c r="A799" s="59" t="n"/>
      <c r="B799" s="58" t="n">
        <v>29</v>
      </c>
      <c r="C799" s="44" t="inlineStr">
        <is>
          <t>A09.02</t>
        </is>
      </c>
      <c r="D799" s="59" t="inlineStr">
        <is>
          <t>Exclusion</t>
        </is>
      </c>
      <c r="E799" s="46" t="inlineStr">
        <is>
          <t>Exterior Elevations: "EAST ELEVATION" and "NORTH ELEVATION". Extent of the metal panel and of the AWB, both Div 07.</t>
        </is>
      </c>
      <c r="F799" s="46" t="inlineStr">
        <is>
          <t>excluded.PANEL_METALICO_DIV07</t>
        </is>
      </c>
      <c r="G799" s="46" t="inlineStr">
        <is>
          <t>FORMED METAL WALL PANEL EPS-1 / EPS-3 / EPS-5 y el ACM COPING: los define la leyenda de A09.02 como ALUMINUM COMPOSITE METAL PANEL (B.O.D.</t>
        </is>
      </c>
    </row>
    <row r="800" ht="33" customHeight="1" s="36">
      <c r="A800" s="59" t="n"/>
      <c r="B800" s="58" t="n">
        <v>30</v>
      </c>
      <c r="C800" s="44" t="inlineStr">
        <is>
          <t>A12.01</t>
        </is>
      </c>
      <c r="D800" s="59" t="inlineStr">
        <is>
          <t>Exclusion</t>
        </is>
      </c>
      <c r="E800" s="46" t="inlineStr">
        <is>
          <t>Partition Types, the whole sheet. Cited as a sheet when the finding is the ABSENCE across the sheet (e.g. that no type labels a gypsum control joint).</t>
        </is>
      </c>
      <c r="F800" s="46" t="inlineStr">
        <is>
          <t>excluded.CONTROL_JOINT</t>
        </is>
      </c>
      <c r="G800" s="46" t="inlineStr">
        <is>
          <t>El set no rotula ni detalla ninguna junta de control de gypsum board, ni en A12.01 ni en los detalles de A09.27/A09.33, y no hay seccion de especificaciones 09 29 00 en el bid set.</t>
        </is>
      </c>
    </row>
    <row r="801" ht="43.5" customHeight="1" s="36">
      <c r="A801" s="59" t="n"/>
      <c r="B801" s="58" t="n">
        <v>31</v>
      </c>
      <c r="C801" s="44" t="inlineStr">
        <is>
          <t>1/A09.26</t>
        </is>
      </c>
      <c r="D801" s="59" t="inlineStr">
        <is>
          <t>Quantity</t>
        </is>
      </c>
      <c r="E801" s="46" t="inlineStr">
        <is>
          <t>"SECTION DETAIL @ ENTRANCE DOOR". Jamb and head of the entrance door.</t>
        </is>
      </c>
      <c r="F801" s="46" t="inlineStr">
        <is>
          <t>PLYWOOD_3-4_FRT</t>
        </is>
      </c>
      <c r="G801" s="46" t="inlineStr">
        <is>
          <t>Perimetro: storefront 6.50 LF de header + 2 x 8.500 ft de jamb = 23.50 LF (sin umbral: 6/A09.26 SECTION DETAIL @ STOREFRONT BASE y 1/A09.26 SECTION DETAIL @ ENTRANCE DOOR: el storefront arranca directo sobre la slab con "OFFSET THRESHOLD SET IN A FULL BED OF SEALANT" y "BACKER ROD, SEALANT &amp; SHIM", sin sill) ; windows…</t>
        </is>
      </c>
    </row>
    <row r="802" ht="25.5" customHeight="1" s="36">
      <c r="A802" s="59" t="n"/>
      <c r="B802" s="58" t="n">
        <v>32</v>
      </c>
      <c r="C802" s="44" t="inlineStr">
        <is>
          <t>2/A09.26</t>
        </is>
      </c>
      <c r="D802" s="59" t="inlineStr">
        <is>
          <t>Quantity</t>
        </is>
      </c>
      <c r="E802" s="46" t="inlineStr">
        <is>
          <t>"SECTION DETAIL @ STOREFRONT HEAD". The storefront head and its box beam.</t>
        </is>
      </c>
      <c r="F802" s="46" t="inlineStr">
        <is>
          <t>BOX_BEAM, JAMB_RETURN_BOARD, PLYWOOD_3-4_FRT</t>
        </is>
      </c>
      <c r="G802" s="46" t="inlineStr">
        <is>
          <t>PACK W/ BATT INSULATION"; 2/A09.26 SECTION DETAIL @ STOREFRONT HEAD dibuja la misma condicion y la rotula "STEEL HEADER FRAMING.</t>
        </is>
      </c>
    </row>
    <row r="803" ht="25.5" customHeight="1" s="36">
      <c r="A803" s="59" t="n"/>
      <c r="B803" s="58" t="n">
        <v>33</v>
      </c>
      <c r="C803" s="44" t="inlineStr">
        <is>
          <t>4/A09.26</t>
        </is>
      </c>
      <c r="D803" s="59" t="inlineStr">
        <is>
          <t>Quantity</t>
        </is>
      </c>
      <c r="E803" s="46" t="inlineStr">
        <is>
          <t>"SECTION DETAIL @ PARAPET" at 1 1/2"=1'-0". The parapet: glass-mat sheathing, sealant and closure blocking.</t>
        </is>
      </c>
      <c r="F803" s="46" t="inlineStr">
        <is>
          <t>SEALANT, SHEATHING_5-8_GLASS_MAT</t>
        </is>
      </c>
      <c r="G803" s="46" t="inlineStr">
        <is>
          <t>4/A09.26 SECTION DETAIL @ PARAPET rotula "SEALANT" en el closure de arriba.</t>
        </is>
      </c>
    </row>
    <row r="804" ht="43.5" customHeight="1" s="36">
      <c r="A804" s="59" t="n"/>
      <c r="B804" s="58" t="n">
        <v>34</v>
      </c>
      <c r="C804" s="44" t="inlineStr">
        <is>
          <t>5/A09.26</t>
        </is>
      </c>
      <c r="D804" s="59" t="inlineStr">
        <is>
          <t>Quantity</t>
        </is>
      </c>
      <c r="E804" s="46" t="inlineStr">
        <is>
          <t>"SECTION DETAIL @ ACM BASE". Base of the ACM: sheathing and sealant.</t>
        </is>
      </c>
      <c r="F804" s="46" t="inlineStr">
        <is>
          <t>SEALANT, SHEATHING_5-8_GLASS_MAT, excluded.PLASTER_PT-3_DIV09_24</t>
        </is>
      </c>
      <c r="G804"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05" ht="43.5" customHeight="1" s="36">
      <c r="A805" s="59" t="n"/>
      <c r="B805" s="58" t="n">
        <v>35</v>
      </c>
      <c r="C805" s="44" t="inlineStr">
        <is>
          <t>6/A09.26</t>
        </is>
      </c>
      <c r="D805" s="59" t="inlineStr">
        <is>
          <t>Quantity</t>
        </is>
      </c>
      <c r="E805" s="46" t="inlineStr">
        <is>
          <t>"SECTION DETAIL @ STOREFRONT BASE". Base of the storefront and its plywood.</t>
        </is>
      </c>
      <c r="F805" s="46" t="inlineStr">
        <is>
          <t>PLYWOOD_3-4_FRT</t>
        </is>
      </c>
      <c r="G805" s="46" t="inlineStr">
        <is>
          <t>Perimetro: storefront 6.50 LF de header + 2 x 8.500 ft de jamb = 23.50 LF (sin umbral: 6/A09.26 SECTION DETAIL @ STOREFRONT BASE y 1/A09.26 SECTION DETAIL @ ENTRANCE DOOR: el storefront arranca directo sobre la slab con "OFFSET THRESHOLD SET IN A FULL BED OF SEALANT" y "BACKER ROD, SEALANT &amp; SHIM", sin sill) ; windows…</t>
        </is>
      </c>
    </row>
    <row r="806" ht="43.5" customHeight="1" s="36">
      <c r="A806" s="59" t="n"/>
      <c r="B806" s="58" t="n">
        <v>36</v>
      </c>
      <c r="C806" s="44" t="inlineStr">
        <is>
          <t>7/A09.26</t>
        </is>
      </c>
      <c r="D806" s="59" t="inlineStr">
        <is>
          <t>Quantity</t>
        </is>
      </c>
      <c r="E806" s="46" t="inlineStr">
        <is>
          <t>"SECTION DETAIL @ SIDE CANOPY". Build-up of the side canopy.</t>
        </is>
      </c>
      <c r="F806" s="46" t="inlineStr">
        <is>
          <t>SHEATHING_5-8_GLASS_MAT</t>
        </is>
      </c>
      <c r="G806"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07" ht="43.5" customHeight="1" s="36">
      <c r="A807" s="59" t="n"/>
      <c r="B807" s="58" t="n">
        <v>37</v>
      </c>
      <c r="C807" s="44" t="inlineStr">
        <is>
          <t>9/A09.27</t>
        </is>
      </c>
      <c r="D807" s="59" t="inlineStr">
        <is>
          <t>Quantity</t>
        </is>
      </c>
      <c r="E807" s="46" t="inlineStr">
        <is>
          <t>"SECTION DETAIL @ METAL PANEL BASE". Base of the metal panel: glass-mat sheathing and sealant.</t>
        </is>
      </c>
      <c r="F807" s="46" t="inlineStr">
        <is>
          <t>SEALANT, SHEATHING_5-8_GLASS_MAT</t>
        </is>
      </c>
      <c r="G807"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08" ht="25.5" customHeight="1" s="36">
      <c r="A808" s="59" t="n"/>
      <c r="B808" s="58" t="n">
        <v>38</v>
      </c>
      <c r="C808" s="44" t="inlineStr">
        <is>
          <t>10/A09.27</t>
        </is>
      </c>
      <c r="D808" s="59" t="inlineStr">
        <is>
          <t>Quantity</t>
        </is>
      </c>
      <c r="E808" s="46" t="inlineStr">
        <is>
          <t>"SECTION DETAIL @ STOREFRONT SILL". The storefront sill and its plywood.</t>
        </is>
      </c>
      <c r="F808" s="46" t="inlineStr">
        <is>
          <t>PLYWOOD_3-4_FRT</t>
        </is>
      </c>
      <c r="G808" s="46" t="inlineStr">
        <is>
          <t>"3/4" FRT PLYWOOD" rotulado en los CINCO detalles que cortan el marco del opening: 11/A09.27 y 2/A09.26 en el header, 10/A09.27 en el sill ("T/STUD ELEV.</t>
        </is>
      </c>
    </row>
    <row r="809" ht="25.5" customHeight="1" s="36">
      <c r="A809" s="59" t="n"/>
      <c r="B809" s="58" t="n">
        <v>39</v>
      </c>
      <c r="C809" s="44" t="inlineStr">
        <is>
          <t>11/A09.27</t>
        </is>
      </c>
      <c r="D809" s="59" t="inlineStr">
        <is>
          <t>Quantity</t>
        </is>
      </c>
      <c r="E809" s="46" t="inlineStr">
        <is>
          <t>"SECTION DETAIL @ STOREFRONT HEAD". The head: 3/4" FRT plywood, jamb return board and the box beam, which is not ours.</t>
        </is>
      </c>
      <c r="F809" s="46" t="inlineStr">
        <is>
          <t>BOX_BEAM, JAMB_RETURN_BOARD, PLYWOOD_3-4_FRT</t>
        </is>
      </c>
      <c r="G809" s="46" t="inlineStr">
        <is>
          <t>NO es un header de 4 studs: 11/A09.27 SECTION DETAIL @ STOREFRONT HEAD, rotulo TEXTUAL "METAL STUD BOX BEAM OR STEEL FRAMING AS REQUIRED.</t>
        </is>
      </c>
    </row>
    <row r="810" ht="43.5" customHeight="1" s="36">
      <c r="A810" s="59" t="n"/>
      <c r="B810" s="58" t="n">
        <v>40</v>
      </c>
      <c r="C810" s="44" t="inlineStr">
        <is>
          <t>6/A09.31</t>
        </is>
      </c>
      <c r="D810" s="59" t="inlineStr">
        <is>
          <t>Exclusion</t>
        </is>
      </c>
      <c r="E810" s="46" t="inlineStr">
        <is>
          <t>"DETAIL AT NARROW CHANNEL SCREED" at 12"=1'-0". The stucco screed, Div 09 24 00: proves the finish of that run is not ours.</t>
        </is>
      </c>
      <c r="F810" s="46" t="inlineStr">
        <is>
          <t>excluded.PLASTER_PT-3_DIV09_24</t>
        </is>
      </c>
      <c r="G810"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11" ht="33" customHeight="1" s="36">
      <c r="A811" s="59" t="n"/>
      <c r="B811" s="58" t="n">
        <v>41</v>
      </c>
      <c r="C811" s="44" t="inlineStr">
        <is>
          <t>7/S5.20</t>
        </is>
      </c>
      <c r="D811" s="59" t="inlineStr">
        <is>
          <t>Quantity</t>
        </is>
      </c>
      <c r="E811" s="46" t="inlineStr">
        <is>
          <t>"METAL STUDS SCHEDULES". The profile: web, flange, lip, mils, gauge and the APPLICATION column with the spacing ("INTERIOR WALLS @ 16" O.C."), plus the SILL TRACK ANCHORAGE and the FASTENER SCHEDULE.</t>
        </is>
      </c>
      <c r="F811" s="46" t="inlineStr">
        <is>
          <t>BRACING, FURRING EN EL NICHO DEL ATM, STUD, STUD_2-1-2_SISTERED AL ATM, TRACK_BOTTOM, excluded.CLIPS, scope[0].chain[1]</t>
        </is>
      </c>
      <c r="G811" s="46" t="inlineStr">
        <is>
          <t>7/S5.20 BRIDGING AND BRACING @ 48" O.C.</t>
        </is>
      </c>
    </row>
    <row r="812" ht="33" customHeight="1" s="36">
      <c r="A812" s="59" t="n"/>
      <c r="B812" s="58" t="n">
        <v>42</v>
      </c>
      <c r="C812" s="44" t="inlineStr">
        <is>
          <t>A09.33</t>
        </is>
      </c>
      <c r="D812" s="59" t="inlineStr">
        <is>
          <t>Exclusion</t>
        </is>
      </c>
      <c r="E812" s="46" t="inlineStr">
        <is>
          <t>Ceiling Details, the sheet. Cited as a sheet for a finding by ABSENCE: its details label corner bead, casing bead and shadow molding one by one and NONE labels a control joint, so the omission is not a labeling oversight.</t>
        </is>
      </c>
      <c r="F812" s="46" t="inlineStr">
        <is>
          <t>excluded.CONTROL_JOINT</t>
        </is>
      </c>
      <c r="G812" s="46" t="inlineStr">
        <is>
          <t>El set no rotula ni detalla ninguna junta de control de gypsum board, ni en A12.01 ni en los detalles de A09.27/A09.33, y no hay seccion de especificaciones 09 29 00 en el bid set.</t>
        </is>
      </c>
    </row>
    <row r="813" ht="33" customHeight="1" s="36">
      <c r="A813" s="44" t="inlineStr">
        <is>
          <t>EXT-6CFMF #60</t>
        </is>
      </c>
      <c r="B813" s="58" t="n">
        <v>1</v>
      </c>
      <c r="C813" s="44" t="inlineStr">
        <is>
          <t>A02.01</t>
        </is>
      </c>
      <c r="D813" s="59" t="inlineStr">
        <is>
          <t>Dimension</t>
        </is>
      </c>
      <c r="E813" s="46" t="inlineStr">
        <is>
          <t>Construction Plan. Entry sheet for partitions and openings: vector geometry of every wall face at 1/4"=1'-0", the leader of every partition tag, the Construction Plan Legend (new vs. existing) and the Construction Plan Notes.</t>
        </is>
      </c>
      <c r="F813" s="46" t="inlineStr">
        <is>
          <t>excluded.STOREFRONT_DIV08, length</t>
        </is>
      </c>
      <c r="G813" s="46" t="inlineStr">
        <is>
          <t>longitud de WALL SOLIDO de esta fachada, medida sobre el EJE del wall en A02.01 y clasificada por lineweight con tools/perimetro.py (face de wall lw&gt;=1.1 y banda de 17.40 pt = 11.60"; storefront = banda de 1.44 pt = 0.96" con 2" mullions cada ~4'-4").</t>
        </is>
      </c>
    </row>
    <row r="814" ht="43.5" customHeight="1" s="36">
      <c r="A814" s="59" t="n"/>
      <c r="B814" s="58" t="n">
        <v>2</v>
      </c>
      <c r="C814" s="44" t="inlineStr">
        <is>
          <t>6/A08.11</t>
        </is>
      </c>
      <c r="D814" s="59" t="inlineStr">
        <is>
          <t>Dimension</t>
        </is>
      </c>
      <c r="E814" s="46" t="inlineStr">
        <is>
          <t>Walk-up ATM detail on A08.11: length of the niche, box beam, sistered 2 1/2" studs and the 5/8" FRT plywood in the niche.</t>
        </is>
      </c>
      <c r="F814" s="46" t="inlineStr">
        <is>
          <t>length</t>
        </is>
      </c>
      <c r="G814"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815" ht="43.5" customHeight="1" s="36">
      <c r="A815" s="59" t="n"/>
      <c r="B815" s="58" t="n">
        <v>3</v>
      </c>
      <c r="C815" s="44" t="inlineStr">
        <is>
          <t>A08.01</t>
        </is>
      </c>
      <c r="D815" s="59" t="inlineStr">
        <is>
          <t>Exclusion</t>
        </is>
      </c>
      <c r="E815" s="46" t="inlineStr">
        <is>
          <t>Enlarged Restroom Floor Plan and Finish Plan (1 and 2/A08.01) at 1/2"=1'-0". The restroom faces: extent of FRP and of tile, and the sheet note on blocking.</t>
        </is>
      </c>
      <c r="F815" s="46" t="inlineStr">
        <is>
          <t>excluded.BLOCKING</t>
        </is>
      </c>
      <c r="G815" s="46"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816" ht="25.5" customHeight="1" s="36">
      <c r="A816" s="59" t="n"/>
      <c r="B816" s="58" t="n">
        <v>4</v>
      </c>
      <c r="C816" s="44" t="inlineStr">
        <is>
          <t>S2.20</t>
        </is>
      </c>
      <c r="D816" s="59" t="inlineStr">
        <is>
          <t>Dimension</t>
        </is>
      </c>
      <c r="E816" s="46" t="inlineStr">
        <is>
          <t>"ROOF FRAMING PLAN". Source of the STUD HEIGHT: every B.O.D. callout on the sheet and the slope of the bay between grids B and A (1/4" per foot).</t>
        </is>
      </c>
      <c r="F816" s="46" t="inlineStr">
        <is>
          <t>STUD, TRACK_TOP, face[0].board_height, stud_height</t>
        </is>
      </c>
      <c r="G816" s="46" t="inlineStr">
        <is>
          <t>S2.20: toda la fachada norte esta al norte del eje B -&gt; B.O.D.</t>
        </is>
      </c>
    </row>
    <row r="817" ht="43.5" customHeight="1" s="36">
      <c r="A817" s="59" t="n"/>
      <c r="B817" s="58" t="n">
        <v>5</v>
      </c>
      <c r="C817" s="44" t="inlineStr">
        <is>
          <t>A/A09.21</t>
        </is>
      </c>
      <c r="D817" s="59" t="inlineStr">
        <is>
          <t>Quantity</t>
        </is>
      </c>
      <c r="E817" s="46" t="inlineStr">
        <is>
          <t>Exterior wall section A. Build-up by layer and height of each layer: 5/8" FRT plywood sheathing over 2 1/2" polyiso, CFMF cavity and interior board.</t>
        </is>
      </c>
      <c r="F817" s="46" t="inlineStr">
        <is>
          <t>BOARD, SHEATHING_5-8_FRT_PLYWOOD_2-1-2_POLYISO</t>
        </is>
      </c>
      <c r="G817"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18" ht="43.5" customHeight="1" s="36">
      <c r="A818" s="59" t="n"/>
      <c r="B818" s="58" t="n">
        <v>6</v>
      </c>
      <c r="C818" s="44" t="inlineStr">
        <is>
          <t>B/A09.21</t>
        </is>
      </c>
      <c r="D818" s="59" t="inlineStr">
        <is>
          <t>Quantity</t>
        </is>
      </c>
      <c r="E818" s="46" t="inlineStr">
        <is>
          <t>Exterior wall section B. Interior board height in that run.</t>
        </is>
      </c>
      <c r="F818" s="46" t="inlineStr">
        <is>
          <t>BOARD</t>
        </is>
      </c>
      <c r="G818"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19" ht="43.5" customHeight="1" s="36">
      <c r="A819" s="59" t="n"/>
      <c r="B819" s="58" t="n">
        <v>7</v>
      </c>
      <c r="C819" s="44" t="inlineStr">
        <is>
          <t>C/A09.21</t>
        </is>
      </c>
      <c r="D819" s="59" t="inlineStr">
        <is>
          <t>Quantity</t>
        </is>
      </c>
      <c r="E819" s="46" t="inlineStr">
        <is>
          <t>Exterior wall section C. Layer build-up of that run.</t>
        </is>
      </c>
      <c r="F819" s="46" t="inlineStr">
        <is>
          <t>BOARD, SHEATHING_5-8_FRT_PLYWOOD_2-1-2_POLYISO</t>
        </is>
      </c>
      <c r="G819"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0" ht="43.5" customHeight="1" s="36">
      <c r="A820" s="59" t="n"/>
      <c r="B820" s="58" t="n">
        <v>8</v>
      </c>
      <c r="C820" s="44" t="inlineStr">
        <is>
          <t>D/A09.22</t>
        </is>
      </c>
      <c r="D820" s="59" t="inlineStr">
        <is>
          <t>Quantity</t>
        </is>
      </c>
      <c r="E820" s="46" t="inlineStr">
        <is>
          <t>Exterior wall section D. Layer build-up, board height and the blocking of that run.</t>
        </is>
      </c>
      <c r="F820" s="46" t="inlineStr">
        <is>
          <t>BOARD, SHEATHING_5-8_FRT_PLYWOOD_2-1-2_POLYISO</t>
        </is>
      </c>
      <c r="G820"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1" ht="43.5" customHeight="1" s="36">
      <c r="A821" s="59" t="n"/>
      <c r="B821" s="58" t="n">
        <v>9</v>
      </c>
      <c r="C821" s="44" t="inlineStr">
        <is>
          <t>E/A09.22</t>
        </is>
      </c>
      <c r="D821" s="59" t="inlineStr">
        <is>
          <t>Quantity</t>
        </is>
      </c>
      <c r="E821" s="46" t="inlineStr">
        <is>
          <t>Exterior wall section E. Board height of that run and the stucco finish, which is not ours.</t>
        </is>
      </c>
      <c r="F821" s="46" t="inlineStr">
        <is>
          <t>BOARD, excluded.PLASTER_PT-3_DIV09_24</t>
        </is>
      </c>
      <c r="G82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2" ht="43.5" customHeight="1" s="36">
      <c r="A822" s="59" t="n"/>
      <c r="B822" s="58" t="n">
        <v>10</v>
      </c>
      <c r="C822" s="44" t="inlineStr">
        <is>
          <t>F/A09.22</t>
        </is>
      </c>
      <c r="D822" s="59" t="inlineStr">
        <is>
          <t>Quantity</t>
        </is>
      </c>
      <c r="E822" s="46" t="inlineStr">
        <is>
          <t>Exterior wall section F. Board and stud height of that run.</t>
        </is>
      </c>
      <c r="F822" s="46" t="inlineStr">
        <is>
          <t>BOARD</t>
        </is>
      </c>
      <c r="G82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3" ht="25.5" customHeight="1" s="36">
      <c r="A823" s="59" t="n"/>
      <c r="B823" s="58" t="n">
        <v>11</v>
      </c>
      <c r="C823" s="44" t="inlineStr">
        <is>
          <t>H/A09.23</t>
        </is>
      </c>
      <c r="D823" s="59" t="inlineStr">
        <is>
          <t>Quantity</t>
        </is>
      </c>
      <c r="E823" s="46" t="inlineStr">
        <is>
          <t>Exterior wall section H. The one that gives the full build-up: "5/8" FRT PLYWOOD BONDED TO 2 1/2" POLYISO INSULATION", CFMF cavity and the height of each layer.</t>
        </is>
      </c>
      <c r="F823" s="46" t="inlineStr">
        <is>
          <t>BOARD, SHEATHING_5-8_FRT_PLYWOOD_2-1-2_POLYISO, excluded.INSULATION, scope[0].chain[0]</t>
        </is>
      </c>
      <c r="G823" s="46" t="inlineStr">
        <is>
          <t>Label TEXTUAL de H/A09.23: "5/8" GYP.</t>
        </is>
      </c>
    </row>
    <row r="824" ht="43.5" customHeight="1" s="36">
      <c r="A824" s="59" t="n"/>
      <c r="B824" s="58" t="n">
        <v>12</v>
      </c>
      <c r="C824" s="44" t="inlineStr">
        <is>
          <t>J/A09.23</t>
        </is>
      </c>
      <c r="D824" s="59" t="inlineStr">
        <is>
          <t>Quantity</t>
        </is>
      </c>
      <c r="E824" s="46" t="inlineStr">
        <is>
          <t>Exterior wall section J. Board height of that run and its blocking.</t>
        </is>
      </c>
      <c r="F824" s="46" t="inlineStr">
        <is>
          <t>BOARD</t>
        </is>
      </c>
      <c r="G82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5" ht="25.5" customHeight="1" s="36">
      <c r="A825" s="59" t="n"/>
      <c r="B825" s="58" t="n">
        <v>13</v>
      </c>
      <c r="C825" s="44" t="inlineStr">
        <is>
          <t>1/A09.25</t>
        </is>
      </c>
      <c r="D825" s="59" t="inlineStr">
        <is>
          <t>Quantity</t>
        </is>
      </c>
      <c r="E825" s="46" t="inlineStr">
        <is>
          <t>"DETAIL @ STOREFRONT PIER" at 1 1/2"=1'-0". The pier between storefront bays: source of the 3/4" FRT plywood and the jamb return board.</t>
        </is>
      </c>
      <c r="F825" s="46" t="inlineStr">
        <is>
          <t>JAMB_RETURN_BOARD, PLYWOOD_3-4_FRT</t>
        </is>
      </c>
      <c r="G825" s="46" t="inlineStr">
        <is>
          <t>1/A09.25 y 2/A09.25 lo cierran en planta con "5/8" GYPSUM BOARD" doblando hacia el marco de aluminio</t>
        </is>
      </c>
    </row>
    <row r="826" ht="25.5" customHeight="1" s="36">
      <c r="A826" s="59" t="n"/>
      <c r="B826" s="58" t="n">
        <v>14</v>
      </c>
      <c r="C826" s="44" t="inlineStr">
        <is>
          <t>2/A09.25</t>
        </is>
      </c>
      <c r="D826" s="59" t="inlineStr">
        <is>
          <t>Quantity</t>
        </is>
      </c>
      <c r="E826" s="46" t="inlineStr">
        <is>
          <t>"DETAIL @ STOREFRONT PIER". The second pier, with its own width.</t>
        </is>
      </c>
      <c r="F826" s="46" t="inlineStr">
        <is>
          <t>JAMB_RETURN_BOARD, PLYWOOD_3-4_FRT</t>
        </is>
      </c>
      <c r="G826" s="46" t="inlineStr">
        <is>
          <t>1/A09.25 y 2/A09.25 lo cierran en planta con "5/8" GYPSUM BOARD" doblando hacia el marco de aluminio</t>
        </is>
      </c>
    </row>
    <row r="827" ht="25.5" customHeight="1" s="36">
      <c r="A827" s="59" t="n"/>
      <c r="B827" s="58" t="n">
        <v>15</v>
      </c>
      <c r="C827" s="44" t="inlineStr">
        <is>
          <t>3/A09.25</t>
        </is>
      </c>
      <c r="D827" s="59" t="inlineStr">
        <is>
          <t>Quantity</t>
        </is>
      </c>
      <c r="E827" s="46" t="inlineStr">
        <is>
          <t>"DETAIL @ WINDOW JAMB". Window jamb: plywood and return board.</t>
        </is>
      </c>
      <c r="F827" s="46" t="inlineStr">
        <is>
          <t>PLYWOOD_3-4_FRT</t>
        </is>
      </c>
      <c r="G827" s="46" t="inlineStr">
        <is>
          <t>6'-6""), y 1/A09.25 DETAIL @ STOREFRONT PIER mas 2/A09.25 y 3/A09.25 DETAIL @ WINDOW JAMB en las jambs</t>
        </is>
      </c>
    </row>
    <row r="828" ht="33" customHeight="1" s="36">
      <c r="A828" s="59" t="n"/>
      <c r="B828" s="58" t="n">
        <v>16</v>
      </c>
      <c r="C828" s="44" t="inlineStr">
        <is>
          <t>4/A11.01</t>
        </is>
      </c>
      <c r="D828" s="59" t="inlineStr">
        <is>
          <t>Exclusion</t>
        </is>
      </c>
      <c r="E828" s="46" t="inlineStr">
        <is>
          <t>"OFFICE 2 - NORTH". What hangs on that face and at what height.</t>
        </is>
      </c>
      <c r="F828" s="46" t="inlineStr">
        <is>
          <t>excluded.BLOCKING</t>
        </is>
      </c>
      <c r="G828" s="46" t="inlineStr">
        <is>
          <t>8'-0" x 2'-0"), pintura P-15 y base B-11 -- el ARTWORK 4'-0"x4'-0" va en la wall NORTE (3/A11.04, 7/A11.04, 9/A11.04, 16/A11.04, 4/A11.01, 10/A11.03) y el WC-18 con su casework en la wall SUR.</t>
        </is>
      </c>
    </row>
    <row r="829" ht="33" customHeight="1" s="36">
      <c r="A829" s="59" t="n"/>
      <c r="B829" s="58" t="n">
        <v>17</v>
      </c>
      <c r="C829" s="44" t="inlineStr">
        <is>
          <t>10/A11.03</t>
        </is>
      </c>
      <c r="D829" s="59" t="inlineStr">
        <is>
          <t>Exclusion</t>
        </is>
      </c>
      <c r="E829" s="46" t="inlineStr">
        <is>
          <t>"OFFICE 6 - NORTH". What hangs on that face.</t>
        </is>
      </c>
      <c r="F829" s="46" t="inlineStr">
        <is>
          <t>excluded.BLOCKING</t>
        </is>
      </c>
      <c r="G829" s="46" t="inlineStr">
        <is>
          <t>8'-0" x 2'-0"), pintura P-15 y base B-11 -- el ARTWORK 4'-0"x4'-0" va en la wall NORTE (3/A11.04, 7/A11.04, 9/A11.04, 16/A11.04, 4/A11.01, 10/A11.03) y el WC-18 con su casework en la wall SUR.</t>
        </is>
      </c>
    </row>
    <row r="830" ht="33" customHeight="1" s="36">
      <c r="A830" s="59" t="n"/>
      <c r="B830" s="58" t="n">
        <v>18</v>
      </c>
      <c r="C830" s="44" t="inlineStr">
        <is>
          <t>3/A11.04</t>
        </is>
      </c>
      <c r="D830" s="59" t="inlineStr">
        <is>
          <t>Exclusion</t>
        </is>
      </c>
      <c r="E830" s="46" t="inlineStr">
        <is>
          <t>"OFFICE 1 - NORTH". What hangs on that face.</t>
        </is>
      </c>
      <c r="F830" s="46" t="inlineStr">
        <is>
          <t>excluded.BLOCKING</t>
        </is>
      </c>
      <c r="G830" s="46" t="inlineStr">
        <is>
          <t>8'-0" x 2'-0"), pintura P-15 y base B-11 -- el ARTWORK 4'-0"x4'-0" va en la wall NORTE (3/A11.04, 7/A11.04, 9/A11.04, 16/A11.04, 4/A11.01, 10/A11.03) y el WC-18 con su casework en la wall SUR.</t>
        </is>
      </c>
    </row>
    <row r="831" ht="33" customHeight="1" s="36">
      <c r="A831" s="59" t="n"/>
      <c r="B831" s="58" t="n">
        <v>19</v>
      </c>
      <c r="C831" s="44" t="inlineStr">
        <is>
          <t>7/A11.04</t>
        </is>
      </c>
      <c r="D831" s="59" t="inlineStr">
        <is>
          <t>Exclusion</t>
        </is>
      </c>
      <c r="E831" s="46" t="inlineStr">
        <is>
          <t>"OFFICE 3 - NORTH". What hangs on that face.</t>
        </is>
      </c>
      <c r="F831" s="46" t="inlineStr">
        <is>
          <t>excluded.BLOCKING</t>
        </is>
      </c>
      <c r="G831" s="46" t="inlineStr">
        <is>
          <t>8'-0" x 2'-0"), pintura P-15 y base B-11 -- el ARTWORK 4'-0"x4'-0" va en la wall NORTE (3/A11.04, 7/A11.04, 9/A11.04, 16/A11.04, 4/A11.01, 10/A11.03) y el WC-18 con su casework en la wall SUR.</t>
        </is>
      </c>
    </row>
    <row r="832" ht="33" customHeight="1" s="36">
      <c r="A832" s="59" t="n"/>
      <c r="B832" s="58" t="n">
        <v>20</v>
      </c>
      <c r="C832" s="44" t="inlineStr">
        <is>
          <t>9/A11.04</t>
        </is>
      </c>
      <c r="D832" s="59" t="inlineStr">
        <is>
          <t>Exclusion</t>
        </is>
      </c>
      <c r="E832" s="46" t="inlineStr">
        <is>
          <t>"OFFICE 4 - NORTH". What hangs on that face.</t>
        </is>
      </c>
      <c r="F832" s="46" t="inlineStr">
        <is>
          <t>excluded.BLOCKING</t>
        </is>
      </c>
      <c r="G832" s="46" t="inlineStr">
        <is>
          <t>8'-0" x 2'-0"), pintura P-15 y base B-11 -- el ARTWORK 4'-0"x4'-0" va en la wall NORTE (3/A11.04, 7/A11.04, 9/A11.04, 16/A11.04, 4/A11.01, 10/A11.03) y el WC-18 con su casework en la wall SUR.</t>
        </is>
      </c>
    </row>
    <row r="833" ht="33" customHeight="1" s="36">
      <c r="A833" s="59" t="n"/>
      <c r="B833" s="58" t="n">
        <v>21</v>
      </c>
      <c r="C833" s="44" t="inlineStr">
        <is>
          <t>16/A11.04</t>
        </is>
      </c>
      <c r="D833" s="59" t="inlineStr">
        <is>
          <t>Exclusion</t>
        </is>
      </c>
      <c r="E833" s="46" t="inlineStr">
        <is>
          <t>Interior elevation on A11.04. What hangs on that face.</t>
        </is>
      </c>
      <c r="F833" s="46" t="inlineStr">
        <is>
          <t>excluded.BLOCKING</t>
        </is>
      </c>
      <c r="G833" s="46" t="inlineStr">
        <is>
          <t>8'-0" x 2'-0"), pintura P-15 y base B-11 -- el ARTWORK 4'-0"x4'-0" va en la wall NORTE (3/A11.04, 7/A11.04, 9/A11.04, 16/A11.04, 4/A11.01, 10/A11.03) y el WC-18 con su casework en la wall SUR.</t>
        </is>
      </c>
    </row>
    <row r="834" ht="25.5" customHeight="1" s="36">
      <c r="A834" s="59" t="n"/>
      <c r="B834" s="58" t="n">
        <v>22</v>
      </c>
      <c r="C834" s="44" t="inlineStr">
        <is>
          <t>2/S3.20</t>
        </is>
      </c>
      <c r="D834" s="59" t="inlineStr">
        <is>
          <t>Quantity</t>
        </is>
      </c>
      <c r="E834" s="46" t="inlineStr">
        <is>
          <t>"TYP. PERIMETER GRADE BEAM". The grade beam the exterior bottom track starts on.</t>
        </is>
      </c>
      <c r="F834" s="46" t="inlineStr">
        <is>
          <t>TRACK_BOTTOM</t>
        </is>
      </c>
      <c r="G834" s="46" t="inlineStr">
        <is>
          <t>Lo que recibe ese anchorage es la viga perimetral de cimentacion: 2/S3.20 TYP.</t>
        </is>
      </c>
    </row>
    <row r="835" ht="25.5" customHeight="1" s="36">
      <c r="A835" s="59" t="n"/>
      <c r="B835" s="58" t="n">
        <v>23</v>
      </c>
      <c r="C835" s="44" t="inlineStr">
        <is>
          <t>8/S3.20</t>
        </is>
      </c>
      <c r="D835" s="59" t="inlineStr">
        <is>
          <t>Quantity</t>
        </is>
      </c>
      <c r="E835" s="46" t="inlineStr">
        <is>
          <t>"TYP. INTERIOR GRADE BEAM". The interior grade beam the bottom track starts on.</t>
        </is>
      </c>
      <c r="F835" s="46" t="inlineStr">
        <is>
          <t>TRACK_BOTTOM</t>
        </is>
      </c>
      <c r="G835" s="46" t="inlineStr">
        <is>
          <t>Contraste: 3, 5, 6, 7 y 8/S3.20 son la misma familia de viga y NINGUNO lleva esa nota; por eso solo este se cita y los otros van declarados con motivo.</t>
        </is>
      </c>
    </row>
    <row r="836" ht="25.5" customHeight="1" s="36">
      <c r="A836" s="59" t="n"/>
      <c r="B836" s="58" t="n">
        <v>24</v>
      </c>
      <c r="C836" s="44" t="inlineStr">
        <is>
          <t>6/S5.10</t>
        </is>
      </c>
      <c r="D836" s="59" t="inlineStr">
        <is>
          <t>Dimension</t>
        </is>
      </c>
      <c r="E836" s="46" t="inlineStr">
        <is>
          <t>"SECTION AT PERIMETER" at 3/4"=1'-0". Closure of the exterior wall against the roof edge: source of the stud height and the top track of that run.</t>
        </is>
      </c>
      <c r="F836" s="46" t="inlineStr">
        <is>
          <t>BRACING, STUD, TRACK_TOP, stud_height</t>
        </is>
      </c>
      <c r="G836" s="46" t="inlineStr">
        <is>
          <t>(bottom of deck) = top of steel del perimetro, donde 6/S5.10 y 10/S5.10 SECTION AT PERIMETER rematan el LT.</t>
        </is>
      </c>
    </row>
    <row r="837" ht="25.5" customHeight="1" s="36">
      <c r="A837" s="59" t="n"/>
      <c r="B837" s="58" t="n">
        <v>25</v>
      </c>
      <c r="C837" s="44" t="inlineStr">
        <is>
          <t>10/S5.10</t>
        </is>
      </c>
      <c r="D837" s="59" t="inlineStr">
        <is>
          <t>Dimension</t>
        </is>
      </c>
      <c r="E837" s="46" t="inlineStr">
        <is>
          <t>Perimeter section on S5.10. The other perimeter closure, with its own height.</t>
        </is>
      </c>
      <c r="F837" s="46" t="inlineStr">
        <is>
          <t>BRACING, STUD, TRACK_TOP, stud_height</t>
        </is>
      </c>
      <c r="G837" s="46" t="inlineStr">
        <is>
          <t>(bottom of deck) = top of steel del perimetro, donde 6/S5.10 y 10/S5.10 SECTION AT PERIMETER rematan el LT.</t>
        </is>
      </c>
    </row>
    <row r="838" ht="33" customHeight="1" s="36">
      <c r="A838" s="59" t="n"/>
      <c r="B838" s="58" t="n">
        <v>26</v>
      </c>
      <c r="C838" s="44" t="inlineStr">
        <is>
          <t>11/S5.10</t>
        </is>
      </c>
      <c r="D838" s="59" t="inlineStr">
        <is>
          <t>Quantity</t>
        </is>
      </c>
      <c r="E838" s="46" t="inlineStr">
        <is>
          <t>Section on S5.10. Stud height, track and fastener of that perimeter run.</t>
        </is>
      </c>
      <c r="F838" s="46" t="inlineStr">
        <is>
          <t>STUD</t>
        </is>
      </c>
      <c r="G838" s="46" t="inlineStr">
        <is>
          <t>TO ACCOMMODATE VERTICAL MOVEMENT OF PERIMETER BEAM +/- 1/2"", y de ahi arriba el parapet es OTRO wall, el infill de 11/S5.10, con otro perfil (600S162-54, 54 mil) y track propio arriba y abajo.</t>
        </is>
      </c>
    </row>
    <row r="839" ht="25.5" customHeight="1" s="36">
      <c r="A839" s="59" t="n"/>
      <c r="B839" s="58" t="n">
        <v>27</v>
      </c>
      <c r="C839" s="44" t="inlineStr">
        <is>
          <t>7/S5.11</t>
        </is>
      </c>
      <c r="D839" s="59" t="inlineStr">
        <is>
          <t>Quantity</t>
        </is>
      </c>
      <c r="E839" s="46" t="inlineStr">
        <is>
          <t>"ROOF SECTION" at 3/4"=1'-0". Deck height in that run and the top track.</t>
        </is>
      </c>
      <c r="F839" s="46" t="inlineStr">
        <is>
          <t>TRACK_TOP</t>
        </is>
      </c>
      <c r="G839" s="46" t="inlineStr">
        <is>
          <t>Los dos detalles dibujan la misma condicion en el perimetro y los dos la rotulan igual; 7/S5.11 ROOF SECTION manda a 6/S5.10 para la misma.</t>
        </is>
      </c>
    </row>
    <row r="840" ht="43.5" customHeight="1" s="36">
      <c r="A840" s="59" t="n"/>
      <c r="B840" s="58" t="n">
        <v>28</v>
      </c>
      <c r="C840" s="44" t="inlineStr">
        <is>
          <t>A09.01</t>
        </is>
      </c>
      <c r="D840" s="59" t="inlineStr">
        <is>
          <t>Exclusion</t>
        </is>
      </c>
      <c r="E840" s="46" t="inlineStr">
        <is>
          <t>Exterior Elevations: "SOUTH ELEVATION" and "WEST ELEVATION" at 1/4"=1'-0". Extent of each exterior material and the material legend, verbatim "CJ CONTROL JOINT; PAINT TO MATCH STUCCO FINISH COLOR" - that joint is the STUCCO joint, not gypsum.</t>
        </is>
      </c>
      <c r="F840" s="46" t="inlineStr">
        <is>
          <t>excluded.CONTROL_JOINT, excluded.PLASTER_PT-3_DIV09_24, excluded.STOREFRONT_DIV08</t>
        </is>
      </c>
      <c r="G84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41" ht="25.5" customHeight="1" s="36">
      <c r="A841" s="59" t="n"/>
      <c r="B841" s="58" t="n">
        <v>29</v>
      </c>
      <c r="C841" s="44" t="inlineStr">
        <is>
          <t>A09.02</t>
        </is>
      </c>
      <c r="D841" s="59" t="inlineStr">
        <is>
          <t>Exclusion</t>
        </is>
      </c>
      <c r="E841" s="46" t="inlineStr">
        <is>
          <t>Exterior Elevations: "EAST ELEVATION" and "NORTH ELEVATION". Extent of the metal panel and of the AWB, both Div 07.</t>
        </is>
      </c>
      <c r="F841" s="46" t="inlineStr">
        <is>
          <t>excluded.PANEL_METALICO_DIV07</t>
        </is>
      </c>
      <c r="G841" s="46" t="inlineStr">
        <is>
          <t>FORMED METAL WALL PANEL EPS-1 / EPS-3 / EPS-5 y el ACM COPING: los define la leyenda de A09.02 como ALUMINUM COMPOSITE METAL PANEL (B.O.D.</t>
        </is>
      </c>
    </row>
    <row r="842" ht="33" customHeight="1" s="36">
      <c r="A842" s="59" t="n"/>
      <c r="B842" s="58" t="n">
        <v>30</v>
      </c>
      <c r="C842" s="44" t="inlineStr">
        <is>
          <t>A12.01</t>
        </is>
      </c>
      <c r="D842" s="59" t="inlineStr">
        <is>
          <t>Exclusion</t>
        </is>
      </c>
      <c r="E842" s="46" t="inlineStr">
        <is>
          <t>Partition Types, the whole sheet. Cited as a sheet when the finding is the ABSENCE across the sheet (e.g. that no type labels a gypsum control joint).</t>
        </is>
      </c>
      <c r="F842" s="46" t="inlineStr">
        <is>
          <t>excluded.CONTROL_JOINT</t>
        </is>
      </c>
      <c r="G842" s="46" t="inlineStr">
        <is>
          <t>El set no rotula ni detalla ninguna junta de control de gypsum board, ni en A12.01 ni en los detalles de A09.27/A09.33, y no hay seccion de especificaciones 09 29 00 en el bid set.</t>
        </is>
      </c>
    </row>
    <row r="843" ht="43.5" customHeight="1" s="36">
      <c r="A843" s="59" t="n"/>
      <c r="B843" s="58" t="n">
        <v>31</v>
      </c>
      <c r="C843" s="44" t="inlineStr">
        <is>
          <t>1/A09.26</t>
        </is>
      </c>
      <c r="D843" s="59" t="inlineStr">
        <is>
          <t>Quantity</t>
        </is>
      </c>
      <c r="E843" s="46" t="inlineStr">
        <is>
          <t>"SECTION DETAIL @ ENTRANCE DOOR". Jamb and head of the entrance door.</t>
        </is>
      </c>
      <c r="F843" s="46" t="inlineStr">
        <is>
          <t>PLYWOOD_3-4_FRT</t>
        </is>
      </c>
      <c r="G843" s="46" t="inlineStr">
        <is>
          <t>Perimetro: storefront 41.64 LF de header + 2 x 8.500 ft de jamb = 58.64 LF (sin umbral: 6/A09.26 SECTION DETAIL @ STOREFRONT BASE y 1/A09.26 SECTION DETAIL @ ENTRANCE DOOR: el storefront arranca directo sobre la slab con "OFFSET THRESHOLD SET IN A FULL BED OF SEALANT" y "BACKER ROD, SEALANT &amp; SHIM", sin sill) ; window…</t>
        </is>
      </c>
    </row>
    <row r="844" ht="25.5" customHeight="1" s="36">
      <c r="A844" s="59" t="n"/>
      <c r="B844" s="58" t="n">
        <v>32</v>
      </c>
      <c r="C844" s="44" t="inlineStr">
        <is>
          <t>2/A09.26</t>
        </is>
      </c>
      <c r="D844" s="59" t="inlineStr">
        <is>
          <t>Quantity</t>
        </is>
      </c>
      <c r="E844" s="46" t="inlineStr">
        <is>
          <t>"SECTION DETAIL @ STOREFRONT HEAD". The storefront head and its box beam.</t>
        </is>
      </c>
      <c r="F844" s="46" t="inlineStr">
        <is>
          <t>BOX_BEAM, JAMB_RETURN_BOARD, PLYWOOD_3-4_FRT</t>
        </is>
      </c>
      <c r="G844" s="46" t="inlineStr">
        <is>
          <t>PACK W/ BATT INSULATION"; 2/A09.26 SECTION DETAIL @ STOREFRONT HEAD dibuja la misma condicion y la rotula "STEEL HEADER FRAMING.</t>
        </is>
      </c>
    </row>
    <row r="845" ht="25.5" customHeight="1" s="36">
      <c r="A845" s="59" t="n"/>
      <c r="B845" s="58" t="n">
        <v>33</v>
      </c>
      <c r="C845" s="44" t="inlineStr">
        <is>
          <t>4/A09.26</t>
        </is>
      </c>
      <c r="D845" s="59" t="inlineStr">
        <is>
          <t>Quantity</t>
        </is>
      </c>
      <c r="E845" s="46" t="inlineStr">
        <is>
          <t>"SECTION DETAIL @ PARAPET" at 1 1/2"=1'-0". The parapet: glass-mat sheathing, sealant and closure blocking.</t>
        </is>
      </c>
      <c r="F845" s="46" t="inlineStr">
        <is>
          <t>SEALANT, SHEATHING_5-8_GLASS_MAT</t>
        </is>
      </c>
      <c r="G845" s="46" t="inlineStr">
        <is>
          <t>4/A09.26 SECTION DETAIL @ PARAPET rotula "SEALANT" en el closure de arriba.</t>
        </is>
      </c>
    </row>
    <row r="846" ht="43.5" customHeight="1" s="36">
      <c r="A846" s="59" t="n"/>
      <c r="B846" s="58" t="n">
        <v>34</v>
      </c>
      <c r="C846" s="44" t="inlineStr">
        <is>
          <t>5/A09.26</t>
        </is>
      </c>
      <c r="D846" s="59" t="inlineStr">
        <is>
          <t>Quantity</t>
        </is>
      </c>
      <c r="E846" s="46" t="inlineStr">
        <is>
          <t>"SECTION DETAIL @ ACM BASE". Base of the ACM: sheathing and sealant.</t>
        </is>
      </c>
      <c r="F846" s="46" t="inlineStr">
        <is>
          <t>SEALANT, SHEATHING_5-8_GLASS_MAT, excluded.PLASTER_PT-3_DIV09_24</t>
        </is>
      </c>
      <c r="G846"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47" ht="43.5" customHeight="1" s="36">
      <c r="A847" s="59" t="n"/>
      <c r="B847" s="58" t="n">
        <v>35</v>
      </c>
      <c r="C847" s="44" t="inlineStr">
        <is>
          <t>6/A09.26</t>
        </is>
      </c>
      <c r="D847" s="59" t="inlineStr">
        <is>
          <t>Quantity</t>
        </is>
      </c>
      <c r="E847" s="46" t="inlineStr">
        <is>
          <t>"SECTION DETAIL @ STOREFRONT BASE". Base of the storefront and its plywood.</t>
        </is>
      </c>
      <c r="F847" s="46" t="inlineStr">
        <is>
          <t>PLYWOOD_3-4_FRT</t>
        </is>
      </c>
      <c r="G847" s="46" t="inlineStr">
        <is>
          <t>Perimetro: storefront 41.64 LF de header + 2 x 8.500 ft de jamb = 58.64 LF (sin umbral: 6/A09.26 SECTION DETAIL @ STOREFRONT BASE y 1/A09.26 SECTION DETAIL @ ENTRANCE DOOR: el storefront arranca directo sobre la slab con "OFFSET THRESHOLD SET IN A FULL BED OF SEALANT" y "BACKER ROD, SEALANT &amp; SHIM", sin sill) ; window…</t>
        </is>
      </c>
    </row>
    <row r="848" ht="43.5" customHeight="1" s="36">
      <c r="A848" s="59" t="n"/>
      <c r="B848" s="58" t="n">
        <v>36</v>
      </c>
      <c r="C848" s="44" t="inlineStr">
        <is>
          <t>7/A09.26</t>
        </is>
      </c>
      <c r="D848" s="59" t="inlineStr">
        <is>
          <t>Quantity</t>
        </is>
      </c>
      <c r="E848" s="46" t="inlineStr">
        <is>
          <t>"SECTION DETAIL @ SIDE CANOPY". Build-up of the side canopy.</t>
        </is>
      </c>
      <c r="F848" s="46" t="inlineStr">
        <is>
          <t>SHEATHING_5-8_GLASS_MAT</t>
        </is>
      </c>
      <c r="G848"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49" ht="43.5" customHeight="1" s="36">
      <c r="A849" s="59" t="n"/>
      <c r="B849" s="58" t="n">
        <v>37</v>
      </c>
      <c r="C849" s="44" t="inlineStr">
        <is>
          <t>9/A09.27</t>
        </is>
      </c>
      <c r="D849" s="59" t="inlineStr">
        <is>
          <t>Quantity</t>
        </is>
      </c>
      <c r="E849" s="46" t="inlineStr">
        <is>
          <t>"SECTION DETAIL @ METAL PANEL BASE". Base of the metal panel: glass-mat sheathing and sealant.</t>
        </is>
      </c>
      <c r="F849" s="46" t="inlineStr">
        <is>
          <t>SEALANT, SHEATHING_5-8_GLASS_MAT</t>
        </is>
      </c>
      <c r="G849"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50" ht="25.5" customHeight="1" s="36">
      <c r="A850" s="59" t="n"/>
      <c r="B850" s="58" t="n">
        <v>38</v>
      </c>
      <c r="C850" s="44" t="inlineStr">
        <is>
          <t>10/A09.27</t>
        </is>
      </c>
      <c r="D850" s="59" t="inlineStr">
        <is>
          <t>Quantity</t>
        </is>
      </c>
      <c r="E850" s="46" t="inlineStr">
        <is>
          <t>"SECTION DETAIL @ STOREFRONT SILL". The storefront sill and its plywood.</t>
        </is>
      </c>
      <c r="F850" s="46" t="inlineStr">
        <is>
          <t>PLYWOOD_3-4_FRT</t>
        </is>
      </c>
      <c r="G850" s="46" t="inlineStr">
        <is>
          <t>"3/4" FRT PLYWOOD" rotulado en los CINCO detalles que cortan el marco del opening: 11/A09.27 y 2/A09.26 en el header, 10/A09.27 en el sill ("T/STUD ELEV.</t>
        </is>
      </c>
    </row>
    <row r="851" ht="25.5" customHeight="1" s="36">
      <c r="A851" s="59" t="n"/>
      <c r="B851" s="58" t="n">
        <v>39</v>
      </c>
      <c r="C851" s="44" t="inlineStr">
        <is>
          <t>11/A09.27</t>
        </is>
      </c>
      <c r="D851" s="59" t="inlineStr">
        <is>
          <t>Quantity</t>
        </is>
      </c>
      <c r="E851" s="46" t="inlineStr">
        <is>
          <t>"SECTION DETAIL @ STOREFRONT HEAD". The head: 3/4" FRT plywood, jamb return board and the box beam, which is not ours.</t>
        </is>
      </c>
      <c r="F851" s="46" t="inlineStr">
        <is>
          <t>BOX_BEAM, JAMB_RETURN_BOARD, PLYWOOD_3-4_FRT</t>
        </is>
      </c>
      <c r="G851" s="46" t="inlineStr">
        <is>
          <t>NO es un header de 4 studs: 11/A09.27 SECTION DETAIL @ STOREFRONT HEAD, rotulo TEXTUAL "METAL STUD BOX BEAM OR STEEL FRAMING AS REQUIRED.</t>
        </is>
      </c>
    </row>
    <row r="852" ht="43.5" customHeight="1" s="36">
      <c r="A852" s="59" t="n"/>
      <c r="B852" s="58" t="n">
        <v>40</v>
      </c>
      <c r="C852" s="44" t="inlineStr">
        <is>
          <t>6/A09.31</t>
        </is>
      </c>
      <c r="D852" s="59" t="inlineStr">
        <is>
          <t>Exclusion</t>
        </is>
      </c>
      <c r="E852" s="46" t="inlineStr">
        <is>
          <t>"DETAIL AT NARROW CHANNEL SCREED" at 12"=1'-0". The stucco screed, Div 09 24 00: proves the finish of that run is not ours.</t>
        </is>
      </c>
      <c r="F852" s="46" t="inlineStr">
        <is>
          <t>excluded.PLASTER_PT-3_DIV09_24</t>
        </is>
      </c>
      <c r="G852"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53" ht="33" customHeight="1" s="36">
      <c r="A853" s="59" t="n"/>
      <c r="B853" s="58" t="n">
        <v>41</v>
      </c>
      <c r="C853" s="44" t="inlineStr">
        <is>
          <t>7/S5.20</t>
        </is>
      </c>
      <c r="D853" s="59" t="inlineStr">
        <is>
          <t>Quantity</t>
        </is>
      </c>
      <c r="E853" s="46" t="inlineStr">
        <is>
          <t>"METAL STUDS SCHEDULES". The profile: web, flange, lip, mils, gauge and the APPLICATION column with the spacing ("INTERIOR WALLS @ 16" O.C."), plus the SILL TRACK ANCHORAGE and the FASTENER SCHEDULE.</t>
        </is>
      </c>
      <c r="F853" s="46" t="inlineStr">
        <is>
          <t>BRACING, STUD, TRACK_BOTTOM, excluded.CLIPS, scope[0].chain[1]</t>
        </is>
      </c>
      <c r="G853" s="46" t="inlineStr">
        <is>
          <t>7/S5.20 BRIDGING AND BRACING @ 48" O.C.</t>
        </is>
      </c>
    </row>
    <row r="854" ht="25.5" customHeight="1" s="36">
      <c r="A854" s="59" t="n"/>
      <c r="B854" s="58" t="n">
        <v>42</v>
      </c>
      <c r="C854" s="44" t="inlineStr">
        <is>
          <t>A00.30</t>
        </is>
      </c>
      <c r="D854" s="59" t="inlineStr">
        <is>
          <t>Exclusion</t>
        </is>
      </c>
      <c r="E854" s="46" t="inlineStr">
        <is>
          <t>Door Schedule. Leaf width and height of every door and the frame type: source of the header, the board deduction and the reference to 10 and 11/A12.02.</t>
        </is>
      </c>
      <c r="F854" s="46" t="inlineStr">
        <is>
          <t>excluded.HEADER</t>
        </is>
      </c>
      <c r="G854" s="46" t="inlineStr">
        <is>
          <t>Sin aberturas en este tramo: se recorrio el Door Schedule de A00.30 y el Window/Storefront Schedule, y ninguna door ni window cae dentro del run de este eje.</t>
        </is>
      </c>
    </row>
    <row r="855" ht="33" customHeight="1" s="36">
      <c r="A855" s="59" t="n"/>
      <c r="B855" s="58" t="n">
        <v>43</v>
      </c>
      <c r="C855" s="44" t="inlineStr">
        <is>
          <t>A09.33</t>
        </is>
      </c>
      <c r="D855" s="59" t="inlineStr">
        <is>
          <t>Exclusion</t>
        </is>
      </c>
      <c r="E855" s="46" t="inlineStr">
        <is>
          <t>Ceiling Details, the sheet. Cited as a sheet for a finding by ABSENCE: its details label corner bead, casing bead and shadow molding one by one and NONE labels a control joint, so the omission is not a labeling oversight.</t>
        </is>
      </c>
      <c r="F855" s="46" t="inlineStr">
        <is>
          <t>excluded.CONTROL_JOINT</t>
        </is>
      </c>
      <c r="G855" s="46" t="inlineStr">
        <is>
          <t>El set no rotula ni detalla ninguna junta de control de gypsum board, ni en A12.01 ni en los detalles de A09.27/A09.33, y no hay seccion de especificaciones 09 29 00 en el bid set.</t>
        </is>
      </c>
    </row>
    <row r="856" ht="33" customHeight="1" s="36">
      <c r="A856" s="44" t="inlineStr">
        <is>
          <t>EXT-6CFMF #64</t>
        </is>
      </c>
      <c r="B856" s="58" t="n">
        <v>1</v>
      </c>
      <c r="C856" s="44" t="inlineStr">
        <is>
          <t>A02.01</t>
        </is>
      </c>
      <c r="D856" s="59" t="inlineStr">
        <is>
          <t>Dimension</t>
        </is>
      </c>
      <c r="E856" s="46" t="inlineStr">
        <is>
          <t>Construction Plan. Entry sheet for partitions and openings: vector geometry of every wall face at 1/4"=1'-0", the leader of every partition tag, the Construction Plan Legend (new vs. existing) and the Construction Plan Notes.</t>
        </is>
      </c>
      <c r="F856" s="46" t="inlineStr">
        <is>
          <t>excluded.STOREFRONT_DIV08, length</t>
        </is>
      </c>
      <c r="G856" s="46" t="inlineStr">
        <is>
          <t>longitud de WALL SOLIDO de esta fachada, medida sobre el EJE del wall en A02.01 y clasificada por lineweight con tools/perimetro.py (face de wall lw&gt;=1.1 y banda de 17.40 pt = 11.60"; storefront = banda de 1.44 pt = 0.96" con 2" mullions cada ~4'-4").</t>
        </is>
      </c>
    </row>
    <row r="857" ht="43.5" customHeight="1" s="36">
      <c r="A857" s="59" t="n"/>
      <c r="B857" s="58" t="n">
        <v>2</v>
      </c>
      <c r="C857" s="44" t="inlineStr">
        <is>
          <t>6/A08.11</t>
        </is>
      </c>
      <c r="D857" s="59" t="inlineStr">
        <is>
          <t>Dimension</t>
        </is>
      </c>
      <c r="E857" s="46" t="inlineStr">
        <is>
          <t>Walk-up ATM detail on A08.11: length of the niche, box beam, sistered 2 1/2" studs and the 5/8" FRT plywood in the niche.</t>
        </is>
      </c>
      <c r="F857" s="46" t="inlineStr">
        <is>
          <t>length</t>
        </is>
      </c>
      <c r="G857"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858" ht="43.5" customHeight="1" s="36">
      <c r="A858" s="59" t="n"/>
      <c r="B858" s="58" t="n">
        <v>3</v>
      </c>
      <c r="C858" s="44" t="inlineStr">
        <is>
          <t>A08.01</t>
        </is>
      </c>
      <c r="D858" s="59" t="inlineStr">
        <is>
          <t>Exclusion</t>
        </is>
      </c>
      <c r="E858" s="46" t="inlineStr">
        <is>
          <t>Enlarged Restroom Floor Plan and Finish Plan (1 and 2/A08.01) at 1/2"=1'-0". The restroom faces: extent of FRP and of tile, and the sheet note on blocking.</t>
        </is>
      </c>
      <c r="F858" s="46" t="inlineStr">
        <is>
          <t>excluded.BLOCKING</t>
        </is>
      </c>
      <c r="G858" s="46"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859" ht="43.5" customHeight="1" s="36">
      <c r="A859" s="59" t="n"/>
      <c r="B859" s="58" t="n">
        <v>4</v>
      </c>
      <c r="C859" s="44" t="inlineStr">
        <is>
          <t>A/A09.21</t>
        </is>
      </c>
      <c r="D859" s="59" t="inlineStr">
        <is>
          <t>Quantity</t>
        </is>
      </c>
      <c r="E859" s="46" t="inlineStr">
        <is>
          <t>Exterior wall section A. Build-up by layer and height of each layer: 5/8" FRT plywood sheathing over 2 1/2" polyiso, CFMF cavity and interior board.</t>
        </is>
      </c>
      <c r="F859" s="46" t="inlineStr">
        <is>
          <t>BOARD, SHEATHING_5-8_FRT_PLYWOOD_2-1-2_POLYISO</t>
        </is>
      </c>
      <c r="G859"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0" ht="43.5" customHeight="1" s="36">
      <c r="A860" s="59" t="n"/>
      <c r="B860" s="58" t="n">
        <v>5</v>
      </c>
      <c r="C860" s="44" t="inlineStr">
        <is>
          <t>B/A09.21</t>
        </is>
      </c>
      <c r="D860" s="59" t="inlineStr">
        <is>
          <t>Quantity</t>
        </is>
      </c>
      <c r="E860" s="46" t="inlineStr">
        <is>
          <t>Exterior wall section B. Interior board height in that run.</t>
        </is>
      </c>
      <c r="F860" s="46" t="inlineStr">
        <is>
          <t>BOARD</t>
        </is>
      </c>
      <c r="G860"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1" ht="43.5" customHeight="1" s="36">
      <c r="A861" s="59" t="n"/>
      <c r="B861" s="58" t="n">
        <v>6</v>
      </c>
      <c r="C861" s="44" t="inlineStr">
        <is>
          <t>C/A09.21</t>
        </is>
      </c>
      <c r="D861" s="59" t="inlineStr">
        <is>
          <t>Quantity</t>
        </is>
      </c>
      <c r="E861" s="46" t="inlineStr">
        <is>
          <t>Exterior wall section C. Layer build-up of that run.</t>
        </is>
      </c>
      <c r="F861" s="46" t="inlineStr">
        <is>
          <t>BOARD, SHEATHING_5-8_FRT_PLYWOOD_2-1-2_POLYISO</t>
        </is>
      </c>
      <c r="G86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2" ht="43.5" customHeight="1" s="36">
      <c r="A862" s="59" t="n"/>
      <c r="B862" s="58" t="n">
        <v>7</v>
      </c>
      <c r="C862" s="44" t="inlineStr">
        <is>
          <t>D/A09.22</t>
        </is>
      </c>
      <c r="D862" s="59" t="inlineStr">
        <is>
          <t>Quantity</t>
        </is>
      </c>
      <c r="E862" s="46" t="inlineStr">
        <is>
          <t>Exterior wall section D. Layer build-up, board height and the blocking of that run.</t>
        </is>
      </c>
      <c r="F862" s="46" t="inlineStr">
        <is>
          <t>BOARD, SHEATHING_5-8_FRT_PLYWOOD_2-1-2_POLYISO</t>
        </is>
      </c>
      <c r="G86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3" ht="43.5" customHeight="1" s="36">
      <c r="A863" s="59" t="n"/>
      <c r="B863" s="58" t="n">
        <v>8</v>
      </c>
      <c r="C863" s="44" t="inlineStr">
        <is>
          <t>E/A09.22</t>
        </is>
      </c>
      <c r="D863" s="59" t="inlineStr">
        <is>
          <t>Quantity</t>
        </is>
      </c>
      <c r="E863" s="46" t="inlineStr">
        <is>
          <t>Exterior wall section E. Board height of that run and the stucco finish, which is not ours.</t>
        </is>
      </c>
      <c r="F863" s="46" t="inlineStr">
        <is>
          <t>BOARD, excluded.PLASTER_PT-3_DIV09_24</t>
        </is>
      </c>
      <c r="G863"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4" ht="43.5" customHeight="1" s="36">
      <c r="A864" s="59" t="n"/>
      <c r="B864" s="58" t="n">
        <v>9</v>
      </c>
      <c r="C864" s="44" t="inlineStr">
        <is>
          <t>F/A09.22</t>
        </is>
      </c>
      <c r="D864" s="59" t="inlineStr">
        <is>
          <t>Quantity</t>
        </is>
      </c>
      <c r="E864" s="46" t="inlineStr">
        <is>
          <t>Exterior wall section F. Board and stud height of that run.</t>
        </is>
      </c>
      <c r="F864" s="46" t="inlineStr">
        <is>
          <t>BOARD</t>
        </is>
      </c>
      <c r="G86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5" ht="25.5" customHeight="1" s="36">
      <c r="A865" s="59" t="n"/>
      <c r="B865" s="58" t="n">
        <v>10</v>
      </c>
      <c r="C865" s="44" t="inlineStr">
        <is>
          <t>H/A09.23</t>
        </is>
      </c>
      <c r="D865" s="59" t="inlineStr">
        <is>
          <t>Quantity</t>
        </is>
      </c>
      <c r="E865" s="46" t="inlineStr">
        <is>
          <t>Exterior wall section H. The one that gives the full build-up: "5/8" FRT PLYWOOD BONDED TO 2 1/2" POLYISO INSULATION", CFMF cavity and the height of each layer.</t>
        </is>
      </c>
      <c r="F865" s="46" t="inlineStr">
        <is>
          <t>BOARD, SHEATHING_5-8_FRT_PLYWOOD_2-1-2_POLYISO, excluded.INSULATION, scope[0].chain[0]</t>
        </is>
      </c>
      <c r="G865" s="46" t="inlineStr">
        <is>
          <t>Label TEXTUAL de H/A09.23: "5/8" GYP.</t>
        </is>
      </c>
    </row>
    <row r="866" ht="43.5" customHeight="1" s="36">
      <c r="A866" s="59" t="n"/>
      <c r="B866" s="58" t="n">
        <v>11</v>
      </c>
      <c r="C866" s="44" t="inlineStr">
        <is>
          <t>J/A09.23</t>
        </is>
      </c>
      <c r="D866" s="59" t="inlineStr">
        <is>
          <t>Quantity</t>
        </is>
      </c>
      <c r="E866" s="46" t="inlineStr">
        <is>
          <t>Exterior wall section J. Board height of that run and its blocking.</t>
        </is>
      </c>
      <c r="F866" s="46" t="inlineStr">
        <is>
          <t>BOARD, STUD</t>
        </is>
      </c>
      <c r="G866"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7" ht="33" customHeight="1" s="36">
      <c r="A867" s="59" t="n"/>
      <c r="B867" s="58" t="n">
        <v>12</v>
      </c>
      <c r="C867" s="44" t="inlineStr">
        <is>
          <t>4/A11.01</t>
        </is>
      </c>
      <c r="D867" s="59" t="inlineStr">
        <is>
          <t>Exclusion</t>
        </is>
      </c>
      <c r="E867" s="46" t="inlineStr">
        <is>
          <t>"OFFICE 2 - NORTH". What hangs on that face and at what height.</t>
        </is>
      </c>
      <c r="F867" s="46" t="inlineStr">
        <is>
          <t>excluded.BLOCKING</t>
        </is>
      </c>
      <c r="G867" s="46" t="inlineStr">
        <is>
          <t>8'-0" x 2'-0"), pintura P-15 y base B-11 -- el ARTWORK 4'-0"x4'-0" va en la wall NORTE (3/A11.04, 7/A11.04, 9/A11.04, 16/A11.04, 4/A11.01, 10/A11.03) y el WC-18 con su casework en la wall SUR.</t>
        </is>
      </c>
    </row>
    <row r="868" ht="33" customHeight="1" s="36">
      <c r="A868" s="59" t="n"/>
      <c r="B868" s="58" t="n">
        <v>13</v>
      </c>
      <c r="C868" s="44" t="inlineStr">
        <is>
          <t>10/A11.03</t>
        </is>
      </c>
      <c r="D868" s="59" t="inlineStr">
        <is>
          <t>Exclusion</t>
        </is>
      </c>
      <c r="E868" s="46" t="inlineStr">
        <is>
          <t>"OFFICE 6 - NORTH". What hangs on that face.</t>
        </is>
      </c>
      <c r="F868" s="46" t="inlineStr">
        <is>
          <t>excluded.BLOCKING</t>
        </is>
      </c>
      <c r="G868" s="46" t="inlineStr">
        <is>
          <t>8'-0" x 2'-0"), pintura P-15 y base B-11 -- el ARTWORK 4'-0"x4'-0" va en la wall NORTE (3/A11.04, 7/A11.04, 9/A11.04, 16/A11.04, 4/A11.01, 10/A11.03) y el WC-18 con su casework en la wall SUR.</t>
        </is>
      </c>
    </row>
    <row r="869" ht="33" customHeight="1" s="36">
      <c r="A869" s="59" t="n"/>
      <c r="B869" s="58" t="n">
        <v>14</v>
      </c>
      <c r="C869" s="44" t="inlineStr">
        <is>
          <t>3/A11.04</t>
        </is>
      </c>
      <c r="D869" s="59" t="inlineStr">
        <is>
          <t>Exclusion</t>
        </is>
      </c>
      <c r="E869" s="46" t="inlineStr">
        <is>
          <t>"OFFICE 1 - NORTH". What hangs on that face.</t>
        </is>
      </c>
      <c r="F869" s="46" t="inlineStr">
        <is>
          <t>excluded.BLOCKING</t>
        </is>
      </c>
      <c r="G869" s="46" t="inlineStr">
        <is>
          <t>8'-0" x 2'-0"), pintura P-15 y base B-11 -- el ARTWORK 4'-0"x4'-0" va en la wall NORTE (3/A11.04, 7/A11.04, 9/A11.04, 16/A11.04, 4/A11.01, 10/A11.03) y el WC-18 con su casework en la wall SUR.</t>
        </is>
      </c>
    </row>
    <row r="870" ht="33" customHeight="1" s="36">
      <c r="A870" s="59" t="n"/>
      <c r="B870" s="58" t="n">
        <v>15</v>
      </c>
      <c r="C870" s="44" t="inlineStr">
        <is>
          <t>7/A11.04</t>
        </is>
      </c>
      <c r="D870" s="59" t="inlineStr">
        <is>
          <t>Exclusion</t>
        </is>
      </c>
      <c r="E870" s="46" t="inlineStr">
        <is>
          <t>"OFFICE 3 - NORTH". What hangs on that face.</t>
        </is>
      </c>
      <c r="F870" s="46" t="inlineStr">
        <is>
          <t>excluded.BLOCKING</t>
        </is>
      </c>
      <c r="G870" s="46" t="inlineStr">
        <is>
          <t>8'-0" x 2'-0"), pintura P-15 y base B-11 -- el ARTWORK 4'-0"x4'-0" va en la wall NORTE (3/A11.04, 7/A11.04, 9/A11.04, 16/A11.04, 4/A11.01, 10/A11.03) y el WC-18 con su casework en la wall SUR.</t>
        </is>
      </c>
    </row>
    <row r="871" ht="33" customHeight="1" s="36">
      <c r="A871" s="59" t="n"/>
      <c r="B871" s="58" t="n">
        <v>16</v>
      </c>
      <c r="C871" s="44" t="inlineStr">
        <is>
          <t>9/A11.04</t>
        </is>
      </c>
      <c r="D871" s="59" t="inlineStr">
        <is>
          <t>Exclusion</t>
        </is>
      </c>
      <c r="E871" s="46" t="inlineStr">
        <is>
          <t>"OFFICE 4 - NORTH". What hangs on that face.</t>
        </is>
      </c>
      <c r="F871" s="46" t="inlineStr">
        <is>
          <t>excluded.BLOCKING</t>
        </is>
      </c>
      <c r="G871" s="46" t="inlineStr">
        <is>
          <t>8'-0" x 2'-0"), pintura P-15 y base B-11 -- el ARTWORK 4'-0"x4'-0" va en la wall NORTE (3/A11.04, 7/A11.04, 9/A11.04, 16/A11.04, 4/A11.01, 10/A11.03) y el WC-18 con su casework en la wall SUR.</t>
        </is>
      </c>
    </row>
    <row r="872" ht="33" customHeight="1" s="36">
      <c r="A872" s="59" t="n"/>
      <c r="B872" s="58" t="n">
        <v>17</v>
      </c>
      <c r="C872" s="44" t="inlineStr">
        <is>
          <t>16/A11.04</t>
        </is>
      </c>
      <c r="D872" s="59" t="inlineStr">
        <is>
          <t>Exclusion</t>
        </is>
      </c>
      <c r="E872" s="46" t="inlineStr">
        <is>
          <t>Interior elevation on A11.04. What hangs on that face.</t>
        </is>
      </c>
      <c r="F872" s="46" t="inlineStr">
        <is>
          <t>excluded.BLOCKING</t>
        </is>
      </c>
      <c r="G872" s="46" t="inlineStr">
        <is>
          <t>8'-0" x 2'-0"), pintura P-15 y base B-11 -- el ARTWORK 4'-0"x4'-0" va en la wall NORTE (3/A11.04, 7/A11.04, 9/A11.04, 16/A11.04, 4/A11.01, 10/A11.03) y el WC-18 con su casework en la wall SUR.</t>
        </is>
      </c>
    </row>
    <row r="873" ht="25.5" customHeight="1" s="36">
      <c r="A873" s="59" t="n"/>
      <c r="B873" s="58" t="n">
        <v>18</v>
      </c>
      <c r="C873" s="44" t="inlineStr">
        <is>
          <t>2/S3.20</t>
        </is>
      </c>
      <c r="D873" s="59" t="inlineStr">
        <is>
          <t>Quantity</t>
        </is>
      </c>
      <c r="E873" s="46" t="inlineStr">
        <is>
          <t>"TYP. PERIMETER GRADE BEAM". The grade beam the exterior bottom track starts on.</t>
        </is>
      </c>
      <c r="F873" s="46" t="inlineStr">
        <is>
          <t>TRACK_BOTTOM</t>
        </is>
      </c>
      <c r="G873" s="46" t="inlineStr">
        <is>
          <t>Lo que recibe ese anchorage es la viga perimetral de cimentacion: 2/S3.20 TYP.</t>
        </is>
      </c>
    </row>
    <row r="874" ht="25.5" customHeight="1" s="36">
      <c r="A874" s="59" t="n"/>
      <c r="B874" s="58" t="n">
        <v>19</v>
      </c>
      <c r="C874" s="44" t="inlineStr">
        <is>
          <t>8/S3.20</t>
        </is>
      </c>
      <c r="D874" s="59" t="inlineStr">
        <is>
          <t>Quantity</t>
        </is>
      </c>
      <c r="E874" s="46" t="inlineStr">
        <is>
          <t>"TYP. INTERIOR GRADE BEAM". The interior grade beam the bottom track starts on.</t>
        </is>
      </c>
      <c r="F874" s="46" t="inlineStr">
        <is>
          <t>TRACK_BOTTOM</t>
        </is>
      </c>
      <c r="G874" s="46" t="inlineStr">
        <is>
          <t>Contraste: 3, 5, 6, 7 y 8/S3.20 son la misma familia de viga y NINGUNO lleva esa nota; por eso solo este se cita y los otros van declarados con motivo.</t>
        </is>
      </c>
    </row>
    <row r="875" ht="25.5" customHeight="1" s="36">
      <c r="A875" s="59" t="n"/>
      <c r="B875" s="58" t="n">
        <v>20</v>
      </c>
      <c r="C875" s="44" t="inlineStr">
        <is>
          <t>6/S5.10</t>
        </is>
      </c>
      <c r="D875" s="59" t="inlineStr">
        <is>
          <t>Dimension</t>
        </is>
      </c>
      <c r="E875" s="46" t="inlineStr">
        <is>
          <t>"SECTION AT PERIMETER" at 3/4"=1'-0". Closure of the exterior wall against the roof edge: source of the stud height and the top track of that run.</t>
        </is>
      </c>
      <c r="F875" s="46" t="inlineStr">
        <is>
          <t>BRACING, STUD, TRACK_TOP, stud_height</t>
        </is>
      </c>
      <c r="G875" s="46" t="inlineStr">
        <is>
          <t>(bottom of deck) = top of steel del perimetro, donde 6/S5.10 y 10/S5.10 SECTION AT PERIMETER rematan el LT.</t>
        </is>
      </c>
    </row>
    <row r="876" ht="25.5" customHeight="1" s="36">
      <c r="A876" s="59" t="n"/>
      <c r="B876" s="58" t="n">
        <v>21</v>
      </c>
      <c r="C876" s="44" t="inlineStr">
        <is>
          <t>10/S5.10</t>
        </is>
      </c>
      <c r="D876" s="59" t="inlineStr">
        <is>
          <t>Dimension</t>
        </is>
      </c>
      <c r="E876" s="46" t="inlineStr">
        <is>
          <t>Perimeter section on S5.10. The other perimeter closure, with its own height.</t>
        </is>
      </c>
      <c r="F876" s="46" t="inlineStr">
        <is>
          <t>BRACING, STUD, TRACK_TOP, stud_height</t>
        </is>
      </c>
      <c r="G876" s="46" t="inlineStr">
        <is>
          <t>(bottom of deck) = top of steel del perimetro, donde 6/S5.10 y 10/S5.10 SECTION AT PERIMETER rematan el LT.</t>
        </is>
      </c>
    </row>
    <row r="877" ht="33" customHeight="1" s="36">
      <c r="A877" s="59" t="n"/>
      <c r="B877" s="58" t="n">
        <v>22</v>
      </c>
      <c r="C877" s="44" t="inlineStr">
        <is>
          <t>11/S5.10</t>
        </is>
      </c>
      <c r="D877" s="59" t="inlineStr">
        <is>
          <t>Quantity</t>
        </is>
      </c>
      <c r="E877" s="46" t="inlineStr">
        <is>
          <t>Section on S5.10. Stud height, track and fastener of that perimeter run.</t>
        </is>
      </c>
      <c r="F877" s="46" t="inlineStr">
        <is>
          <t>STUD</t>
        </is>
      </c>
      <c r="G877" s="46" t="inlineStr">
        <is>
          <t>TO ACCOMMODATE VERTICAL MOVEMENT OF PERIMETER BEAM +/- 1/2"", y de ahi arriba el parapet es OTRO wall, el infill de 11/S5.10, con otro perfil (600S162-54, 54 mil) y track propio arriba y abajo.</t>
        </is>
      </c>
    </row>
    <row r="878" ht="25.5" customHeight="1" s="36">
      <c r="A878" s="59" t="n"/>
      <c r="B878" s="58" t="n">
        <v>23</v>
      </c>
      <c r="C878" s="44" t="inlineStr">
        <is>
          <t>7/S5.11</t>
        </is>
      </c>
      <c r="D878" s="59" t="inlineStr">
        <is>
          <t>Quantity</t>
        </is>
      </c>
      <c r="E878" s="46" t="inlineStr">
        <is>
          <t>"ROOF SECTION" at 3/4"=1'-0". Deck height in that run and the top track.</t>
        </is>
      </c>
      <c r="F878" s="46" t="inlineStr">
        <is>
          <t>TRACK_TOP</t>
        </is>
      </c>
      <c r="G878" s="46" t="inlineStr">
        <is>
          <t>Los dos detalles dibujan la misma condicion en el perimetro y los dos la rotulan igual; 7/S5.11 ROOF SECTION manda a 6/S5.10 para la misma.</t>
        </is>
      </c>
    </row>
    <row r="879" ht="43.5" customHeight="1" s="36">
      <c r="A879" s="59" t="n"/>
      <c r="B879" s="58" t="n">
        <v>24</v>
      </c>
      <c r="C879" s="44" t="inlineStr">
        <is>
          <t>A09.01</t>
        </is>
      </c>
      <c r="D879" s="59" t="inlineStr">
        <is>
          <t>Exclusion</t>
        </is>
      </c>
      <c r="E879" s="46" t="inlineStr">
        <is>
          <t>Exterior Elevations: "SOUTH ELEVATION" and "WEST ELEVATION" at 1/4"=1'-0". Extent of each exterior material and the material legend, verbatim "CJ CONTROL JOINT; PAINT TO MATCH STUCCO FINISH COLOR" - that joint is the STUCCO joint, not gypsum.</t>
        </is>
      </c>
      <c r="F879" s="46" t="inlineStr">
        <is>
          <t>excluded.CONTROL_JOINT, excluded.PLASTER_PT-3_DIV09_24, excluded.STOREFRONT_DIV08</t>
        </is>
      </c>
      <c r="G87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80" ht="25.5" customHeight="1" s="36">
      <c r="A880" s="59" t="n"/>
      <c r="B880" s="58" t="n">
        <v>25</v>
      </c>
      <c r="C880" s="44" t="inlineStr">
        <is>
          <t>A09.02</t>
        </is>
      </c>
      <c r="D880" s="59" t="inlineStr">
        <is>
          <t>Exclusion</t>
        </is>
      </c>
      <c r="E880" s="46" t="inlineStr">
        <is>
          <t>Exterior Elevations: "EAST ELEVATION" and "NORTH ELEVATION". Extent of the metal panel and of the AWB, both Div 07.</t>
        </is>
      </c>
      <c r="F880" s="46" t="inlineStr">
        <is>
          <t>excluded.PANEL_METALICO_DIV07</t>
        </is>
      </c>
      <c r="G880" s="46" t="inlineStr">
        <is>
          <t>FORMED METAL WALL PANEL EPS-1 / EPS-3 / EPS-5 y el ACM COPING: los define la leyenda de A09.02 como ALUMINUM COMPOSITE METAL PANEL (B.O.D.</t>
        </is>
      </c>
    </row>
    <row r="881" ht="33" customHeight="1" s="36">
      <c r="A881" s="59" t="n"/>
      <c r="B881" s="58" t="n">
        <v>26</v>
      </c>
      <c r="C881" s="44" t="inlineStr">
        <is>
          <t>A12.01</t>
        </is>
      </c>
      <c r="D881" s="59" t="inlineStr">
        <is>
          <t>Exclusion</t>
        </is>
      </c>
      <c r="E881" s="46" t="inlineStr">
        <is>
          <t>Partition Types, the whole sheet. Cited as a sheet when the finding is the ABSENCE across the sheet (e.g. that no type labels a gypsum control joint).</t>
        </is>
      </c>
      <c r="F881" s="46" t="inlineStr">
        <is>
          <t>excluded.CONTROL_JOINT</t>
        </is>
      </c>
      <c r="G881" s="46" t="inlineStr">
        <is>
          <t>El set no rotula ni detalla ninguna junta de control de gypsum board, ni en A12.01 ni en los detalles de A09.27/A09.33, y no hay seccion de especificaciones 09 29 00 en el bid set.</t>
        </is>
      </c>
    </row>
    <row r="882" ht="25.5" customHeight="1" s="36">
      <c r="A882" s="59" t="n"/>
      <c r="B882" s="58" t="n">
        <v>27</v>
      </c>
      <c r="C882" s="44" t="inlineStr">
        <is>
          <t>2/A09.26</t>
        </is>
      </c>
      <c r="D882" s="59" t="inlineStr">
        <is>
          <t>Exclusion</t>
        </is>
      </c>
      <c r="E882" s="46" t="inlineStr">
        <is>
          <t>"SECTION DETAIL @ STOREFRONT HEAD". The storefront head and its box beam.</t>
        </is>
      </c>
      <c r="F882" s="46" t="inlineStr">
        <is>
          <t>excluded.BOX_BEAM</t>
        </is>
      </c>
      <c r="G882" s="46" t="inlineStr">
        <is>
          <t>Esta fachada no tiene storefront (0.00 LF): el box beam de 11/A09.27 y 2/A09.26 solo existe sobre un opening de storefront.</t>
        </is>
      </c>
    </row>
    <row r="883" ht="25.5" customHeight="1" s="36">
      <c r="A883" s="59" t="n"/>
      <c r="B883" s="58" t="n">
        <v>28</v>
      </c>
      <c r="C883" s="44" t="inlineStr">
        <is>
          <t>4/A09.26</t>
        </is>
      </c>
      <c r="D883" s="59" t="inlineStr">
        <is>
          <t>Quantity</t>
        </is>
      </c>
      <c r="E883" s="46" t="inlineStr">
        <is>
          <t>"SECTION DETAIL @ PARAPET" at 1 1/2"=1'-0". The parapet: glass-mat sheathing, sealant and closure blocking.</t>
        </is>
      </c>
      <c r="F883" s="46" t="inlineStr">
        <is>
          <t>SEALANT, SHEATHING_5-8_GLASS_MAT</t>
        </is>
      </c>
      <c r="G883" s="46" t="inlineStr">
        <is>
          <t>4/A09.26 SECTION DETAIL @ PARAPET rotula "SEALANT" en el closure de arriba.</t>
        </is>
      </c>
    </row>
    <row r="884" ht="43.5" customHeight="1" s="36">
      <c r="A884" s="59" t="n"/>
      <c r="B884" s="58" t="n">
        <v>29</v>
      </c>
      <c r="C884" s="44" t="inlineStr">
        <is>
          <t>5/A09.26</t>
        </is>
      </c>
      <c r="D884" s="59" t="inlineStr">
        <is>
          <t>Quantity</t>
        </is>
      </c>
      <c r="E884" s="46" t="inlineStr">
        <is>
          <t>"SECTION DETAIL @ ACM BASE". Base of the ACM: sheathing and sealant.</t>
        </is>
      </c>
      <c r="F884" s="46" t="inlineStr">
        <is>
          <t>SEALANT, SHEATHING_5-8_GLASS_MAT, excluded.PLASTER_PT-3_DIV09_24</t>
        </is>
      </c>
      <c r="G884"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85" ht="43.5" customHeight="1" s="36">
      <c r="A885" s="59" t="n"/>
      <c r="B885" s="58" t="n">
        <v>30</v>
      </c>
      <c r="C885" s="44" t="inlineStr">
        <is>
          <t>7/A09.26</t>
        </is>
      </c>
      <c r="D885" s="59" t="inlineStr">
        <is>
          <t>Quantity</t>
        </is>
      </c>
      <c r="E885" s="46" t="inlineStr">
        <is>
          <t>"SECTION DETAIL @ SIDE CANOPY". Build-up of the side canopy.</t>
        </is>
      </c>
      <c r="F885" s="46" t="inlineStr">
        <is>
          <t>SHEATHING_5-8_GLASS_MAT</t>
        </is>
      </c>
      <c r="G885"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86" ht="43.5" customHeight="1" s="36">
      <c r="A886" s="59" t="n"/>
      <c r="B886" s="58" t="n">
        <v>31</v>
      </c>
      <c r="C886" s="44" t="inlineStr">
        <is>
          <t>9/A09.27</t>
        </is>
      </c>
      <c r="D886" s="59" t="inlineStr">
        <is>
          <t>Quantity</t>
        </is>
      </c>
      <c r="E886" s="46" t="inlineStr">
        <is>
          <t>"SECTION DETAIL @ METAL PANEL BASE". Base of the metal panel: glass-mat sheathing and sealant.</t>
        </is>
      </c>
      <c r="F886" s="46" t="inlineStr">
        <is>
          <t>SEALANT, SHEATHING_5-8_GLASS_MAT</t>
        </is>
      </c>
      <c r="G886"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87" ht="25.5" customHeight="1" s="36">
      <c r="A887" s="59" t="n"/>
      <c r="B887" s="58" t="n">
        <v>32</v>
      </c>
      <c r="C887" s="44" t="inlineStr">
        <is>
          <t>11/A09.27</t>
        </is>
      </c>
      <c r="D887" s="59" t="inlineStr">
        <is>
          <t>Exclusion</t>
        </is>
      </c>
      <c r="E887" s="46" t="inlineStr">
        <is>
          <t>"SECTION DETAIL @ STOREFRONT HEAD". The head: 3/4" FRT plywood, jamb return board and the box beam, which is not ours.</t>
        </is>
      </c>
      <c r="F887" s="46" t="inlineStr">
        <is>
          <t>excluded.BOX_BEAM</t>
        </is>
      </c>
      <c r="G887" s="46" t="inlineStr">
        <is>
          <t>Esta fachada no tiene storefront (0.00 LF): el box beam de 11/A09.27 y 2/A09.26 solo existe sobre un opening de storefront.</t>
        </is>
      </c>
    </row>
    <row r="888" ht="43.5" customHeight="1" s="36">
      <c r="A888" s="59" t="n"/>
      <c r="B888" s="58" t="n">
        <v>33</v>
      </c>
      <c r="C888" s="44" t="inlineStr">
        <is>
          <t>6/A09.31</t>
        </is>
      </c>
      <c r="D888" s="59" t="inlineStr">
        <is>
          <t>Exclusion</t>
        </is>
      </c>
      <c r="E888" s="46" t="inlineStr">
        <is>
          <t>"DETAIL AT NARROW CHANNEL SCREED" at 12"=1'-0". The stucco screed, Div 09 24 00: proves the finish of that run is not ours.</t>
        </is>
      </c>
      <c r="F888" s="46" t="inlineStr">
        <is>
          <t>excluded.PLASTER_PT-3_DIV09_24</t>
        </is>
      </c>
      <c r="G888"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89" ht="33" customHeight="1" s="36">
      <c r="A889" s="59" t="n"/>
      <c r="B889" s="58" t="n">
        <v>34</v>
      </c>
      <c r="C889" s="44" t="inlineStr">
        <is>
          <t>7/S5.20</t>
        </is>
      </c>
      <c r="D889" s="59" t="inlineStr">
        <is>
          <t>Quantity</t>
        </is>
      </c>
      <c r="E889" s="46" t="inlineStr">
        <is>
          <t>"METAL STUDS SCHEDULES". The profile: web, flange, lip, mils, gauge and the APPLICATION column with the spacing ("INTERIOR WALLS @ 16" O.C."), plus the SILL TRACK ANCHORAGE and the FASTENER SCHEDULE.</t>
        </is>
      </c>
      <c r="F889" s="46" t="inlineStr">
        <is>
          <t>BRACING, STUD, TRACK_BOTTOM, excluded.CLIPS, scope[0].chain[1]</t>
        </is>
      </c>
      <c r="G889" s="46" t="inlineStr">
        <is>
          <t>7/S5.20 BRIDGING AND BRACING @ 48" O.C.</t>
        </is>
      </c>
    </row>
    <row r="890" ht="25.5" customHeight="1" s="36">
      <c r="A890" s="59" t="n"/>
      <c r="B890" s="58" t="n">
        <v>35</v>
      </c>
      <c r="C890" s="44" t="inlineStr">
        <is>
          <t>A00.30</t>
        </is>
      </c>
      <c r="D890" s="59" t="inlineStr">
        <is>
          <t>Exclusion</t>
        </is>
      </c>
      <c r="E890" s="46" t="inlineStr">
        <is>
          <t>Door Schedule. Leaf width and height of every door and the frame type: source of the header, the board deduction and the reference to 10 and 11/A12.02.</t>
        </is>
      </c>
      <c r="F890" s="46" t="inlineStr">
        <is>
          <t>excluded.HEADER</t>
        </is>
      </c>
      <c r="G890" s="46" t="inlineStr">
        <is>
          <t>Sin aberturas en este tramo: se recorrio el Door Schedule de A00.30 y el Window/Storefront Schedule, y ninguna door ni window cae dentro del run de este eje.</t>
        </is>
      </c>
    </row>
    <row r="891" ht="33" customHeight="1" s="36">
      <c r="A891" s="59" t="n"/>
      <c r="B891" s="58" t="n">
        <v>36</v>
      </c>
      <c r="C891" s="44" t="inlineStr">
        <is>
          <t>A09.33</t>
        </is>
      </c>
      <c r="D891" s="59" t="inlineStr">
        <is>
          <t>Exclusion</t>
        </is>
      </c>
      <c r="E891" s="46" t="inlineStr">
        <is>
          <t>Ceiling Details, the sheet. Cited as a sheet for a finding by ABSENCE: its details label corner bead, casing bead and shadow molding one by one and NONE labels a control joint, so the omission is not a labeling oversight.</t>
        </is>
      </c>
      <c r="F891" s="46" t="inlineStr">
        <is>
          <t>excluded.CONTROL_JOINT</t>
        </is>
      </c>
      <c r="G891" s="46" t="inlineStr">
        <is>
          <t>El set no rotula ni detalla ninguna junta de control de gypsum board, ni en A12.01 ni en los detalles de A09.27/A09.33, y no hay seccion de especificaciones 09 29 00 en el bid set.</t>
        </is>
      </c>
    </row>
    <row r="892" ht="33" customHeight="1" s="36">
      <c r="A892" s="44" t="inlineStr">
        <is>
          <t>EXT-PARAPET #161</t>
        </is>
      </c>
      <c r="B892" s="58" t="n">
        <v>1</v>
      </c>
      <c r="C892" s="44" t="inlineStr">
        <is>
          <t>A02.01</t>
        </is>
      </c>
      <c r="D892" s="59" t="inlineStr">
        <is>
          <t>Dimension</t>
        </is>
      </c>
      <c r="E892" s="46" t="inlineStr">
        <is>
          <t>Construction Plan. Entry sheet for partitions and openings: vector geometry of every wall face at 1/4"=1'-0", the leader of every partition tag, the Construction Plan Legend (new vs. existing) and the Construction Plan Notes.</t>
        </is>
      </c>
      <c r="F892" s="46" t="inlineStr">
        <is>
          <t>excluded.STOREFRONT_DIV08, length</t>
        </is>
      </c>
      <c r="G892" s="46" t="inlineStr">
        <is>
          <t>La longitud se midio una sola vez, en A02.01 con tools/perimetro.py, y NO se vuelve a medir aqui.</t>
        </is>
      </c>
    </row>
    <row r="893" ht="43.5" customHeight="1" s="36">
      <c r="A893" s="59" t="n"/>
      <c r="B893" s="58" t="n">
        <v>2</v>
      </c>
      <c r="C893" s="44" t="inlineStr">
        <is>
          <t>A/A09.21</t>
        </is>
      </c>
      <c r="D893" s="59" t="inlineStr">
        <is>
          <t>Quantity</t>
        </is>
      </c>
      <c r="E893" s="46" t="inlineStr">
        <is>
          <t>Exterior wall section A. Build-up by layer and height of each layer: 5/8" FRT plywood sheathing over 2 1/2" polyiso, CFMF cavity and interior board.</t>
        </is>
      </c>
      <c r="F893" s="46" t="inlineStr">
        <is>
          <t>BLOCKING, BOARD, SHEATHING_5-8_FRT_PLYWOOD_2-1-2_POLYISO</t>
        </is>
      </c>
      <c r="G893"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4" ht="43.5" customHeight="1" s="36">
      <c r="A894" s="59" t="n"/>
      <c r="B894" s="58" t="n">
        <v>3</v>
      </c>
      <c r="C894" s="44" t="inlineStr">
        <is>
          <t>C/A09.21</t>
        </is>
      </c>
      <c r="D894" s="59" t="inlineStr">
        <is>
          <t>Quantity</t>
        </is>
      </c>
      <c r="E894" s="46" t="inlineStr">
        <is>
          <t>Exterior wall section C. Layer build-up of that run.</t>
        </is>
      </c>
      <c r="F894" s="46" t="inlineStr">
        <is>
          <t>BLOCKING, BOARD, SHEATHING_5-8_FRT_PLYWOOD_2-1-2_POLYISO</t>
        </is>
      </c>
      <c r="G894"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5" ht="43.5" customHeight="1" s="36">
      <c r="A895" s="59" t="n"/>
      <c r="B895" s="58" t="n">
        <v>4</v>
      </c>
      <c r="C895" s="44" t="inlineStr">
        <is>
          <t>D/A09.22</t>
        </is>
      </c>
      <c r="D895" s="59" t="inlineStr">
        <is>
          <t>Quantity</t>
        </is>
      </c>
      <c r="E895" s="46" t="inlineStr">
        <is>
          <t>Exterior wall section D. Layer build-up, board height and the blocking of that run.</t>
        </is>
      </c>
      <c r="F895" s="46" t="inlineStr">
        <is>
          <t>BLOCKING, BOARD, SHEATHING_5-8_FRT_PLYWOOD_2-1-2_POLYISO</t>
        </is>
      </c>
      <c r="G895"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6" ht="25.5" customHeight="1" s="36">
      <c r="A896" s="59" t="n"/>
      <c r="B896" s="58" t="n">
        <v>5</v>
      </c>
      <c r="C896" s="44" t="inlineStr">
        <is>
          <t>H/A09.23</t>
        </is>
      </c>
      <c r="D896" s="59" t="inlineStr">
        <is>
          <t>Quantity</t>
        </is>
      </c>
      <c r="E896" s="46" t="inlineStr">
        <is>
          <t>Exterior wall section H. The one that gives the full build-up: "5/8" FRT PLYWOOD BONDED TO 2 1/2" POLYISO INSULATION", CFMF cavity and the height of each layer.</t>
        </is>
      </c>
      <c r="F896" s="46" t="inlineStr">
        <is>
          <t>BOARD, SHEATHING_5-8_FRT_PLYWOOD_2-1-2_POLYISO, excluded.INSULATION</t>
        </is>
      </c>
      <c r="G896" s="46" t="inlineStr">
        <is>
          <t>Label TEXTUAL de H/A09.23, repetido en J/A09.23, en A/A09.21 y C/A09.21 y en D/A09.22: las cinco secciones del parapet la rotulan igual.</t>
        </is>
      </c>
    </row>
    <row r="897" ht="43.5" customHeight="1" s="36">
      <c r="A897" s="59" t="n"/>
      <c r="B897" s="58" t="n">
        <v>6</v>
      </c>
      <c r="C897" s="44" t="inlineStr">
        <is>
          <t>J/A09.23</t>
        </is>
      </c>
      <c r="D897" s="59" t="inlineStr">
        <is>
          <t>Quantity</t>
        </is>
      </c>
      <c r="E897" s="46" t="inlineStr">
        <is>
          <t>Exterior wall section J. Board height of that run and its blocking.</t>
        </is>
      </c>
      <c r="F897" s="46" t="inlineStr">
        <is>
          <t>BLOCKING, BOARD, SHEATHING_5-8_FRT_PLYWOOD_2-1-2_POLYISO</t>
        </is>
      </c>
      <c r="G897"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8" ht="25.5" customHeight="1" s="36">
      <c r="A898" s="59" t="n"/>
      <c r="B898" s="58" t="n">
        <v>7</v>
      </c>
      <c r="C898" s="44" t="inlineStr">
        <is>
          <t>6/S5.10</t>
        </is>
      </c>
      <c r="D898" s="59" t="inlineStr">
        <is>
          <t>Dimension</t>
        </is>
      </c>
      <c r="E898" s="46" t="inlineStr">
        <is>
          <t>"SECTION AT PERIMETER" at 3/4"=1'-0". Closure of the exterior wall against the roof edge: source of the stud height and the top track of that run.</t>
        </is>
      </c>
      <c r="F898" s="46" t="inlineStr">
        <is>
          <t>STUD, TRACK_TOP, excluded.BRACING, excluded.HSS_POSTS_DIV05_12, face[0].board_height, scope[0].chain[1], scope[0].chain[2], stud_height</t>
        </is>
      </c>
      <c r="G898" s="46" t="inlineStr">
        <is>
          <t>(bottom of deck) = top of steel del perimetro, donde 6/S5.10 y 10/S5.10 SECTION AT PERIMETER rematan el LT.</t>
        </is>
      </c>
    </row>
    <row r="899" ht="25.5" customHeight="1" s="36">
      <c r="A899" s="59" t="n"/>
      <c r="B899" s="58" t="n">
        <v>8</v>
      </c>
      <c r="C899" s="44" t="inlineStr">
        <is>
          <t>10/S5.10</t>
        </is>
      </c>
      <c r="D899" s="59" t="inlineStr">
        <is>
          <t>Dimension</t>
        </is>
      </c>
      <c r="E899" s="46" t="inlineStr">
        <is>
          <t>Perimeter section on S5.10. The other perimeter closure, with its own height.</t>
        </is>
      </c>
      <c r="F899" s="46" t="inlineStr">
        <is>
          <t>STUD, TRACK_TOP, excluded.BRACING, face[0].board_height, scope[0].chain[1], stud_height</t>
        </is>
      </c>
      <c r="G899" s="46" t="inlineStr">
        <is>
          <t>(bottom of deck) = top of steel del perimetro, donde 6/S5.10 y 10/S5.10 SECTION AT PERIMETER rematan el LT.</t>
        </is>
      </c>
    </row>
    <row r="900" ht="25.5" customHeight="1" s="36">
      <c r="A900" s="59" t="n"/>
      <c r="B900" s="58" t="n">
        <v>9</v>
      </c>
      <c r="C900" s="44" t="inlineStr">
        <is>
          <t>11/S5.10</t>
        </is>
      </c>
      <c r="D900" s="59" t="inlineStr">
        <is>
          <t>Dimension</t>
        </is>
      </c>
      <c r="E900" s="46" t="inlineStr">
        <is>
          <t>Section on S5.10. Stud height, track and fastener of that perimeter run.</t>
        </is>
      </c>
      <c r="F900" s="46" t="inlineStr">
        <is>
          <t>FASTENER_PWR_DRIVEN, SEALANT, STUD, TRACK_BOTTOM, TRACK_TOP, excluded.HSS_POSTS_DIV05_12, scope[0].chain[0], scope[0].chain[1], stud_height</t>
        </is>
      </c>
      <c r="G900" s="46" t="inlineStr">
        <is>
          <t>11/S5.10 PARAPET INFILL FRAMING, rotulo TEXTUAL: "PARAPET WALL INFILL FRAMING TO BE 600S162-54 @ 16" W/ 600T125-54 TOP &amp; BOT." y "ONE STUD EA.</t>
        </is>
      </c>
    </row>
    <row r="901" ht="25.5" customHeight="1" s="36">
      <c r="A901" s="59" t="n"/>
      <c r="B901" s="58" t="n">
        <v>10</v>
      </c>
      <c r="C901" s="44" t="inlineStr">
        <is>
          <t>7/S5.11</t>
        </is>
      </c>
      <c r="D901" s="59" t="inlineStr">
        <is>
          <t>Dimension</t>
        </is>
      </c>
      <c r="E901" s="46" t="inlineStr">
        <is>
          <t>"ROOF SECTION" at 3/4"=1'-0". Deck height in that run and the top track.</t>
        </is>
      </c>
      <c r="F901" s="46" t="inlineStr">
        <is>
          <t>STUD, scope[0].chain[2], stud_height</t>
        </is>
      </c>
      <c r="G901" s="46" t="inlineStr">
        <is>
          <t>7/S5.11 ROOF SECTION repite la condicion y manda "REF.</t>
        </is>
      </c>
    </row>
    <row r="902" ht="43.5" customHeight="1" s="36">
      <c r="A902" s="59" t="n"/>
      <c r="B902" s="58" t="n">
        <v>11</v>
      </c>
      <c r="C902" s="44" t="inlineStr">
        <is>
          <t>A09.01</t>
        </is>
      </c>
      <c r="D902" s="59" t="inlineStr">
        <is>
          <t>Exclusion</t>
        </is>
      </c>
      <c r="E902" s="46" t="inlineStr">
        <is>
          <t>Exterior Elevations: "SOUTH ELEVATION" and "WEST ELEVATION" at 1/4"=1'-0". Extent of each exterior material and the material legend, verbatim "CJ CONTROL JOINT; PAINT TO MATCH STUCCO FINISH COLOR" - that joint is the STUCCO joint, not gypsum.</t>
        </is>
      </c>
      <c r="F902" s="46" t="inlineStr">
        <is>
          <t>excluded.CONTROL_JOINT, excluded.STOREFRONT_DIV08</t>
        </is>
      </c>
      <c r="G90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03" ht="25.5" customHeight="1" s="36">
      <c r="A903" s="59" t="n"/>
      <c r="B903" s="58" t="n">
        <v>12</v>
      </c>
      <c r="C903" s="44" t="inlineStr">
        <is>
          <t>A09.02</t>
        </is>
      </c>
      <c r="D903" s="59" t="inlineStr">
        <is>
          <t>Exclusion</t>
        </is>
      </c>
      <c r="E903" s="46" t="inlineStr">
        <is>
          <t>Exterior Elevations: "EAST ELEVATION" and "NORTH ELEVATION". Extent of the metal panel and of the AWB, both Div 07.</t>
        </is>
      </c>
      <c r="F903" s="46" t="inlineStr">
        <is>
          <t>excluded.PANEL_METALICO_DIV07</t>
        </is>
      </c>
      <c r="G903" s="46" t="inlineStr">
        <is>
          <t>FORMED METAL WALL PANEL EPS-1 / EPS-3 / EPS-5 y el ACM COPING: los define la leyenda de A09.02 como ALUMINUM COMPOSITE METAL PANEL (B.O.D.</t>
        </is>
      </c>
    </row>
    <row r="904" ht="33" customHeight="1" s="36">
      <c r="A904" s="59" t="n"/>
      <c r="B904" s="58" t="n">
        <v>13</v>
      </c>
      <c r="C904" s="44" t="inlineStr">
        <is>
          <t>A12.01</t>
        </is>
      </c>
      <c r="D904" s="59" t="inlineStr">
        <is>
          <t>Exclusion</t>
        </is>
      </c>
      <c r="E904" s="46" t="inlineStr">
        <is>
          <t>Partition Types, the whole sheet. Cited as a sheet when the finding is the ABSENCE across the sheet (e.g. that no type labels a gypsum control joint).</t>
        </is>
      </c>
      <c r="F904" s="46" t="inlineStr">
        <is>
          <t>excluded.CONTROL_JOINT</t>
        </is>
      </c>
      <c r="G904" s="46" t="inlineStr">
        <is>
          <t>El set no rotula ni detalla ninguna junta de control de gypsum board, ni en A12.01 ni en los detalles de A09.27/A09.33, y no hay seccion de especificaciones 09 29 00 en el bid set.</t>
        </is>
      </c>
    </row>
    <row r="905" ht="25.5" customHeight="1" s="36">
      <c r="A905" s="59" t="n"/>
      <c r="B905" s="58" t="n">
        <v>14</v>
      </c>
      <c r="C905" s="44" t="inlineStr">
        <is>
          <t>4/A09.26</t>
        </is>
      </c>
      <c r="D905" s="59" t="inlineStr">
        <is>
          <t>Quantity</t>
        </is>
      </c>
      <c r="E905" s="46" t="inlineStr">
        <is>
          <t>"SECTION DETAIL @ PARAPET" at 1 1/2"=1'-0". The parapet: glass-mat sheathing, sealant and closure blocking.</t>
        </is>
      </c>
      <c r="F905" s="46" t="inlineStr">
        <is>
          <t>BLOCKING, BOARD, SEALANT</t>
        </is>
      </c>
      <c r="G905" s="46" t="inlineStr">
        <is>
          <t>Label TEXTUAL de 4/A09.26 SECTION DETAIL @ PARAPET: "3/4" F.R.T.</t>
        </is>
      </c>
    </row>
    <row r="906" ht="33" customHeight="1" s="36">
      <c r="A906" s="59" t="n"/>
      <c r="B906" s="58" t="n">
        <v>15</v>
      </c>
      <c r="C906" s="44" t="inlineStr">
        <is>
          <t>7/S5.20</t>
        </is>
      </c>
      <c r="D906" s="59" t="inlineStr">
        <is>
          <t>Quantity</t>
        </is>
      </c>
      <c r="E906" s="46" t="inlineStr">
        <is>
          <t>"METAL STUDS SCHEDULES". The profile: web, flange, lip, mils, gauge and the APPLICATION column with the spacing ("INTERIOR WALLS @ 16" O.C."), plus the SILL TRACK ANCHORAGE and the FASTENER SCHEDULE.</t>
        </is>
      </c>
      <c r="F906" s="46" t="inlineStr">
        <is>
          <t>TRACK_BOTTOM, excluded.BRACING, excluded.CLIPS</t>
        </is>
      </c>
      <c r="G906" s="46" t="inlineStr">
        <is>
          <t>MAX." -- el anchorage aqui es PAF to steel, no el HILTI KWIK BOLT a concreto del bottom track del wall de abajo (7/S5.20).</t>
        </is>
      </c>
    </row>
    <row r="907" ht="25.5" customHeight="1" s="36">
      <c r="A907" s="59" t="n"/>
      <c r="B907" s="58" t="n">
        <v>16</v>
      </c>
      <c r="C907" s="44" t="inlineStr">
        <is>
          <t>A00.30</t>
        </is>
      </c>
      <c r="D907" s="59" t="inlineStr">
        <is>
          <t>Exclusion</t>
        </is>
      </c>
      <c r="E907" s="46" t="inlineStr">
        <is>
          <t>Door Schedule. Leaf width and height of every door and the frame type: source of the header, the board deduction and the reference to 10 and 11/A12.02.</t>
        </is>
      </c>
      <c r="F907" s="46" t="inlineStr">
        <is>
          <t>excluded.HEADER</t>
        </is>
      </c>
      <c r="G907" s="46" t="inlineStr">
        <is>
          <t>Se recorrieron A00.30 Door Schedule y el Window/Storefront Schedule y ninguna abertura del set esta por encima del B.O.D.</t>
        </is>
      </c>
    </row>
    <row r="908" ht="33" customHeight="1" s="36">
      <c r="A908" s="59" t="n"/>
      <c r="B908" s="58" t="n">
        <v>17</v>
      </c>
      <c r="C908" s="44" t="inlineStr">
        <is>
          <t>A09.27</t>
        </is>
      </c>
      <c r="D908" s="59" t="inlineStr">
        <is>
          <t>Exclusion</t>
        </is>
      </c>
      <c r="E908" s="46" t="inlineStr">
        <is>
          <t>Gypsum Section Details, the sheet. Cited as a sheet when the finding is that NO detail on it labels a gypsum control joint.</t>
        </is>
      </c>
      <c r="F908" s="46" t="inlineStr">
        <is>
          <t>excluded.CONTROL_JOINT</t>
        </is>
      </c>
      <c r="G908" s="46" t="inlineStr">
        <is>
          <t>El set no rotula ni detalla ninguna junta de control de gypsum board, ni en A12.01 ni en los detalles de A09.27/A09.33, y no hay seccion de especificaciones 09 29 00 en el bid set.</t>
        </is>
      </c>
    </row>
    <row r="909" ht="33" customHeight="1" s="36">
      <c r="A909" s="59" t="n"/>
      <c r="B909" s="58" t="n">
        <v>18</v>
      </c>
      <c r="C909" s="44" t="inlineStr">
        <is>
          <t>A09.33</t>
        </is>
      </c>
      <c r="D909" s="59" t="inlineStr">
        <is>
          <t>Exclusion</t>
        </is>
      </c>
      <c r="E909" s="46" t="inlineStr">
        <is>
          <t>Ceiling Details, the sheet. Cited as a sheet for a finding by ABSENCE: its details label corner bead, casing bead and shadow molding one by one and NONE labels a control joint, so the omission is not a labeling oversight.</t>
        </is>
      </c>
      <c r="F909" s="46" t="inlineStr">
        <is>
          <t>excluded.CONTROL_JOINT</t>
        </is>
      </c>
      <c r="G909" s="46" t="inlineStr">
        <is>
          <t>El set no rotula ni detalla ninguna junta de control de gypsum board, ni en A12.01 ni en los detalles de A09.27/A09.33, y no hay seccion de especificaciones 09 29 00 en el bid set.</t>
        </is>
      </c>
    </row>
    <row r="910" ht="33" customHeight="1" s="36">
      <c r="A910" s="44" t="inlineStr">
        <is>
          <t>EXT-PARAPET #162</t>
        </is>
      </c>
      <c r="B910" s="58" t="n">
        <v>1</v>
      </c>
      <c r="C910" s="44" t="inlineStr">
        <is>
          <t>A02.01</t>
        </is>
      </c>
      <c r="D910" s="59" t="inlineStr">
        <is>
          <t>Dimension</t>
        </is>
      </c>
      <c r="E910" s="46" t="inlineStr">
        <is>
          <t>Construction Plan. Entry sheet for partitions and openings: vector geometry of every wall face at 1/4"=1'-0", the leader of every partition tag, the Construction Plan Legend (new vs. existing) and the Construction Plan Notes.</t>
        </is>
      </c>
      <c r="F910" s="46" t="inlineStr">
        <is>
          <t>excluded.STOREFRONT_DIV08, length</t>
        </is>
      </c>
      <c r="G910" s="46" t="inlineStr">
        <is>
          <t>La longitud se midio una sola vez, en A02.01 con tools/perimetro.py, y NO se vuelve a medir aqui.</t>
        </is>
      </c>
    </row>
    <row r="911" ht="25.5" customHeight="1" s="36">
      <c r="A911" s="59" t="n"/>
      <c r="B911" s="58" t="n">
        <v>2</v>
      </c>
      <c r="C911" s="44" t="inlineStr">
        <is>
          <t>S2.20</t>
        </is>
      </c>
      <c r="D911" s="59" t="inlineStr">
        <is>
          <t>Dimension</t>
        </is>
      </c>
      <c r="E911" s="46" t="inlineStr">
        <is>
          <t>"ROOF FRAMING PLAN". Source of the STUD HEIGHT: every B.O.D. callout on the sheet and the slope of the bay between grids B and A (1/4" per foot).</t>
        </is>
      </c>
      <c r="F911" s="46" t="inlineStr">
        <is>
          <t>face[0].board_height, stud_height</t>
        </is>
      </c>
      <c r="G911" s="46" t="inlineStr">
        <is>
          <t>Height de ESTE tramo: S2.20: el eje A es el extremo bajo de la pendiente -&gt; B.O.D.</t>
        </is>
      </c>
    </row>
    <row r="912" ht="43.5" customHeight="1" s="36">
      <c r="A912" s="59" t="n"/>
      <c r="B912" s="58" t="n">
        <v>3</v>
      </c>
      <c r="C912" s="44" t="inlineStr">
        <is>
          <t>A/A09.21</t>
        </is>
      </c>
      <c r="D912" s="59" t="inlineStr">
        <is>
          <t>Quantity</t>
        </is>
      </c>
      <c r="E912" s="46" t="inlineStr">
        <is>
          <t>Exterior wall section A. Build-up by layer and height of each layer: 5/8" FRT plywood sheathing over 2 1/2" polyiso, CFMF cavity and interior board.</t>
        </is>
      </c>
      <c r="F912" s="46" t="inlineStr">
        <is>
          <t>BLOCKING, BOARD, SHEATHING_5-8_FRT_PLYWOOD_2-1-2_POLYISO</t>
        </is>
      </c>
      <c r="G912"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3" ht="43.5" customHeight="1" s="36">
      <c r="A913" s="59" t="n"/>
      <c r="B913" s="58" t="n">
        <v>4</v>
      </c>
      <c r="C913" s="44" t="inlineStr">
        <is>
          <t>C/A09.21</t>
        </is>
      </c>
      <c r="D913" s="59" t="inlineStr">
        <is>
          <t>Quantity</t>
        </is>
      </c>
      <c r="E913" s="46" t="inlineStr">
        <is>
          <t>Exterior wall section C. Layer build-up of that run.</t>
        </is>
      </c>
      <c r="F913" s="46" t="inlineStr">
        <is>
          <t>BLOCKING, BOARD, SHEATHING_5-8_FRT_PLYWOOD_2-1-2_POLYISO</t>
        </is>
      </c>
      <c r="G913"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4" ht="43.5" customHeight="1" s="36">
      <c r="A914" s="59" t="n"/>
      <c r="B914" s="58" t="n">
        <v>5</v>
      </c>
      <c r="C914" s="44" t="inlineStr">
        <is>
          <t>D/A09.22</t>
        </is>
      </c>
      <c r="D914" s="59" t="inlineStr">
        <is>
          <t>Quantity</t>
        </is>
      </c>
      <c r="E914" s="46" t="inlineStr">
        <is>
          <t>Exterior wall section D. Layer build-up, board height and the blocking of that run.</t>
        </is>
      </c>
      <c r="F914" s="46" t="inlineStr">
        <is>
          <t>BLOCKING, BOARD, SHEATHING_5-8_FRT_PLYWOOD_2-1-2_POLYISO</t>
        </is>
      </c>
      <c r="G914"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5" ht="25.5" customHeight="1" s="36">
      <c r="A915" s="59" t="n"/>
      <c r="B915" s="58" t="n">
        <v>6</v>
      </c>
      <c r="C915" s="44" t="inlineStr">
        <is>
          <t>H/A09.23</t>
        </is>
      </c>
      <c r="D915" s="59" t="inlineStr">
        <is>
          <t>Quantity</t>
        </is>
      </c>
      <c r="E915" s="46" t="inlineStr">
        <is>
          <t>Exterior wall section H. The one that gives the full build-up: "5/8" FRT PLYWOOD BONDED TO 2 1/2" POLYISO INSULATION", CFMF cavity and the height of each layer.</t>
        </is>
      </c>
      <c r="F915" s="46" t="inlineStr">
        <is>
          <t>BOARD, SHEATHING_5-8_FRT_PLYWOOD_2-1-2_POLYISO, excluded.INSULATION</t>
        </is>
      </c>
      <c r="G915" s="46" t="inlineStr">
        <is>
          <t>Label TEXTUAL de H/A09.23, repetido en J/A09.23, en A/A09.21 y C/A09.21 y en D/A09.22: las cinco secciones del parapet la rotulan igual.</t>
        </is>
      </c>
    </row>
    <row r="916" ht="43.5" customHeight="1" s="36">
      <c r="A916" s="59" t="n"/>
      <c r="B916" s="58" t="n">
        <v>7</v>
      </c>
      <c r="C916" s="44" t="inlineStr">
        <is>
          <t>J/A09.23</t>
        </is>
      </c>
      <c r="D916" s="59" t="inlineStr">
        <is>
          <t>Quantity</t>
        </is>
      </c>
      <c r="E916" s="46" t="inlineStr">
        <is>
          <t>Exterior wall section J. Board height of that run and its blocking.</t>
        </is>
      </c>
      <c r="F916" s="46" t="inlineStr">
        <is>
          <t>BLOCKING, BOARD, SHEATHING_5-8_FRT_PLYWOOD_2-1-2_POLYISO</t>
        </is>
      </c>
      <c r="G916"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7" ht="25.5" customHeight="1" s="36">
      <c r="A917" s="59" t="n"/>
      <c r="B917" s="58" t="n">
        <v>8</v>
      </c>
      <c r="C917" s="44" t="inlineStr">
        <is>
          <t>6/S5.10</t>
        </is>
      </c>
      <c r="D917" s="59" t="inlineStr">
        <is>
          <t>Dimension</t>
        </is>
      </c>
      <c r="E917" s="46" t="inlineStr">
        <is>
          <t>"SECTION AT PERIMETER" at 3/4"=1'-0". Closure of the exterior wall against the roof edge: source of the stud height and the top track of that run.</t>
        </is>
      </c>
      <c r="F917" s="46" t="inlineStr">
        <is>
          <t>STUD, TRACK_TOP, excluded.HSS_POSTS_DIV05_12, face[0].board_height, scope[0].chain[1], scope[0].chain[2], stud_height</t>
        </is>
      </c>
      <c r="G917" s="46" t="inlineStr">
        <is>
          <t>(bottom of deck) = top of steel del perimetro, donde 6/S5.10 y 10/S5.10 SECTION AT PERIMETER rematan el LT.</t>
        </is>
      </c>
    </row>
    <row r="918" ht="25.5" customHeight="1" s="36">
      <c r="A918" s="59" t="n"/>
      <c r="B918" s="58" t="n">
        <v>9</v>
      </c>
      <c r="C918" s="44" t="inlineStr">
        <is>
          <t>10/S5.10</t>
        </is>
      </c>
      <c r="D918" s="59" t="inlineStr">
        <is>
          <t>Dimension</t>
        </is>
      </c>
      <c r="E918" s="46" t="inlineStr">
        <is>
          <t>Perimeter section on S5.10. The other perimeter closure, with its own height.</t>
        </is>
      </c>
      <c r="F918" s="46" t="inlineStr">
        <is>
          <t>STUD, TRACK_TOP, face[0].board_height, scope[0].chain[1], stud_height</t>
        </is>
      </c>
      <c r="G918" s="46" t="inlineStr">
        <is>
          <t>(bottom of deck) = top of steel del perimetro, donde 6/S5.10 y 10/S5.10 SECTION AT PERIMETER rematan el LT.</t>
        </is>
      </c>
    </row>
    <row r="919" ht="25.5" customHeight="1" s="36">
      <c r="A919" s="59" t="n"/>
      <c r="B919" s="58" t="n">
        <v>10</v>
      </c>
      <c r="C919" s="44" t="inlineStr">
        <is>
          <t>11/S5.10</t>
        </is>
      </c>
      <c r="D919" s="59" t="inlineStr">
        <is>
          <t>Dimension</t>
        </is>
      </c>
      <c r="E919" s="46" t="inlineStr">
        <is>
          <t>Section on S5.10. Stud height, track and fastener of that perimeter run.</t>
        </is>
      </c>
      <c r="F919" s="46" t="inlineStr">
        <is>
          <t>BRACING, FASTENER_PWR_DRIVEN, SEALANT, STUD, TRACK_BOTTOM, TRACK_TOP, excluded.HSS_POSTS_DIV05_12, scope[0].chain[0], scope[0].chain[1], stud_height</t>
        </is>
      </c>
      <c r="G919" s="46" t="inlineStr">
        <is>
          <t>11/S5.10 PARAPET INFILL FRAMING, rotulo TEXTUAL: "PARAPET WALL INFILL FRAMING TO BE 600S162-54 @ 16" W/ 600T125-54 TOP &amp; BOT." y "ONE STUD EA.</t>
        </is>
      </c>
    </row>
    <row r="920" ht="25.5" customHeight="1" s="36">
      <c r="A920" s="59" t="n"/>
      <c r="B920" s="58" t="n">
        <v>11</v>
      </c>
      <c r="C920" s="44" t="inlineStr">
        <is>
          <t>7/S5.11</t>
        </is>
      </c>
      <c r="D920" s="59" t="inlineStr">
        <is>
          <t>Dimension</t>
        </is>
      </c>
      <c r="E920" s="46" t="inlineStr">
        <is>
          <t>"ROOF SECTION" at 3/4"=1'-0". Deck height in that run and the top track.</t>
        </is>
      </c>
      <c r="F920" s="46" t="inlineStr">
        <is>
          <t>STUD, scope[0].chain[2], stud_height</t>
        </is>
      </c>
      <c r="G920" s="46" t="inlineStr">
        <is>
          <t>7/S5.11 ROOF SECTION repite la condicion y manda "REF.</t>
        </is>
      </c>
    </row>
    <row r="921" ht="43.5" customHeight="1" s="36">
      <c r="A921" s="59" t="n"/>
      <c r="B921" s="58" t="n">
        <v>12</v>
      </c>
      <c r="C921" s="44" t="inlineStr">
        <is>
          <t>A09.01</t>
        </is>
      </c>
      <c r="D921" s="59" t="inlineStr">
        <is>
          <t>Exclusion</t>
        </is>
      </c>
      <c r="E921" s="46" t="inlineStr">
        <is>
          <t>Exterior Elevations: "SOUTH ELEVATION" and "WEST ELEVATION" at 1/4"=1'-0". Extent of each exterior material and the material legend, verbatim "CJ CONTROL JOINT; PAINT TO MATCH STUCCO FINISH COLOR" - that joint is the STUCCO joint, not gypsum.</t>
        </is>
      </c>
      <c r="F921" s="46" t="inlineStr">
        <is>
          <t>excluded.CONTROL_JOINT, excluded.STOREFRONT_DIV08</t>
        </is>
      </c>
      <c r="G92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22" ht="25.5" customHeight="1" s="36">
      <c r="A922" s="59" t="n"/>
      <c r="B922" s="58" t="n">
        <v>13</v>
      </c>
      <c r="C922" s="44" t="inlineStr">
        <is>
          <t>A09.02</t>
        </is>
      </c>
      <c r="D922" s="59" t="inlineStr">
        <is>
          <t>Exclusion</t>
        </is>
      </c>
      <c r="E922" s="46" t="inlineStr">
        <is>
          <t>Exterior Elevations: "EAST ELEVATION" and "NORTH ELEVATION". Extent of the metal panel and of the AWB, both Div 07.</t>
        </is>
      </c>
      <c r="F922" s="46" t="inlineStr">
        <is>
          <t>excluded.PANEL_METALICO_DIV07</t>
        </is>
      </c>
      <c r="G922" s="46" t="inlineStr">
        <is>
          <t>FORMED METAL WALL PANEL EPS-1 / EPS-3 / EPS-5 y el ACM COPING: los define la leyenda de A09.02 como ALUMINUM COMPOSITE METAL PANEL (B.O.D.</t>
        </is>
      </c>
    </row>
    <row r="923" ht="33" customHeight="1" s="36">
      <c r="A923" s="59" t="n"/>
      <c r="B923" s="58" t="n">
        <v>14</v>
      </c>
      <c r="C923" s="44" t="inlineStr">
        <is>
          <t>A12.01</t>
        </is>
      </c>
      <c r="D923" s="59" t="inlineStr">
        <is>
          <t>Exclusion</t>
        </is>
      </c>
      <c r="E923" s="46" t="inlineStr">
        <is>
          <t>Partition Types, the whole sheet. Cited as a sheet when the finding is the ABSENCE across the sheet (e.g. that no type labels a gypsum control joint).</t>
        </is>
      </c>
      <c r="F923" s="46" t="inlineStr">
        <is>
          <t>excluded.CONTROL_JOINT</t>
        </is>
      </c>
      <c r="G923" s="46" t="inlineStr">
        <is>
          <t>El set no rotula ni detalla ninguna junta de control de gypsum board, ni en A12.01 ni en los detalles de A09.27/A09.33, y no hay seccion de especificaciones 09 29 00 en el bid set.</t>
        </is>
      </c>
    </row>
    <row r="924" ht="25.5" customHeight="1" s="36">
      <c r="A924" s="59" t="n"/>
      <c r="B924" s="58" t="n">
        <v>15</v>
      </c>
      <c r="C924" s="44" t="inlineStr">
        <is>
          <t>4/A09.26</t>
        </is>
      </c>
      <c r="D924" s="59" t="inlineStr">
        <is>
          <t>Quantity</t>
        </is>
      </c>
      <c r="E924" s="46" t="inlineStr">
        <is>
          <t>"SECTION DETAIL @ PARAPET" at 1 1/2"=1'-0". The parapet: glass-mat sheathing, sealant and closure blocking.</t>
        </is>
      </c>
      <c r="F924" s="46" t="inlineStr">
        <is>
          <t>BLOCKING, BOARD, SEALANT</t>
        </is>
      </c>
      <c r="G924" s="46" t="inlineStr">
        <is>
          <t>Label TEXTUAL de 4/A09.26 SECTION DETAIL @ PARAPET: "3/4" F.R.T.</t>
        </is>
      </c>
    </row>
    <row r="925" ht="33" customHeight="1" s="36">
      <c r="A925" s="59" t="n"/>
      <c r="B925" s="58" t="n">
        <v>16</v>
      </c>
      <c r="C925" s="44" t="inlineStr">
        <is>
          <t>7/S5.20</t>
        </is>
      </c>
      <c r="D925" s="59" t="inlineStr">
        <is>
          <t>Quantity</t>
        </is>
      </c>
      <c r="E925" s="46" t="inlineStr">
        <is>
          <t>"METAL STUDS SCHEDULES". The profile: web, flange, lip, mils, gauge and the APPLICATION column with the spacing ("INTERIOR WALLS @ 16" O.C."), plus the SILL TRACK ANCHORAGE and the FASTENER SCHEDULE.</t>
        </is>
      </c>
      <c r="F925" s="46" t="inlineStr">
        <is>
          <t>BRACING, TRACK_BOTTOM, excluded.CLIPS</t>
        </is>
      </c>
      <c r="G925" s="46" t="inlineStr">
        <is>
          <t>7/S5.20 BRIDGING AND BRACING @ 48" O.C., medido sobre la height de ESTE wall (del B.O.D.</t>
        </is>
      </c>
    </row>
    <row r="926" ht="25.5" customHeight="1" s="36">
      <c r="A926" s="59" t="n"/>
      <c r="B926" s="58" t="n">
        <v>17</v>
      </c>
      <c r="C926" s="44" t="inlineStr">
        <is>
          <t>A00.30</t>
        </is>
      </c>
      <c r="D926" s="59" t="inlineStr">
        <is>
          <t>Exclusion</t>
        </is>
      </c>
      <c r="E926" s="46" t="inlineStr">
        <is>
          <t>Door Schedule. Leaf width and height of every door and the frame type: source of the header, the board deduction and the reference to 10 and 11/A12.02.</t>
        </is>
      </c>
      <c r="F926" s="46" t="inlineStr">
        <is>
          <t>excluded.HEADER</t>
        </is>
      </c>
      <c r="G926" s="46" t="inlineStr">
        <is>
          <t>Se recorrieron A00.30 Door Schedule y el Window/Storefront Schedule y ninguna abertura del set esta por encima del B.O.D.</t>
        </is>
      </c>
    </row>
    <row r="927" ht="33" customHeight="1" s="36">
      <c r="A927" s="59" t="n"/>
      <c r="B927" s="58" t="n">
        <v>18</v>
      </c>
      <c r="C927" s="44" t="inlineStr">
        <is>
          <t>A09.27</t>
        </is>
      </c>
      <c r="D927" s="59" t="inlineStr">
        <is>
          <t>Exclusion</t>
        </is>
      </c>
      <c r="E927" s="46" t="inlineStr">
        <is>
          <t>Gypsum Section Details, the sheet. Cited as a sheet when the finding is that NO detail on it labels a gypsum control joint.</t>
        </is>
      </c>
      <c r="F927" s="46" t="inlineStr">
        <is>
          <t>excluded.CONTROL_JOINT</t>
        </is>
      </c>
      <c r="G927" s="46" t="inlineStr">
        <is>
          <t>El set no rotula ni detalla ninguna junta de control de gypsum board, ni en A12.01 ni en los detalles de A09.27/A09.33, y no hay seccion de especificaciones 09 29 00 en el bid set.</t>
        </is>
      </c>
    </row>
    <row r="928" ht="33" customHeight="1" s="36">
      <c r="A928" s="59" t="n"/>
      <c r="B928" s="58" t="n">
        <v>19</v>
      </c>
      <c r="C928" s="44" t="inlineStr">
        <is>
          <t>A09.33</t>
        </is>
      </c>
      <c r="D928" s="59" t="inlineStr">
        <is>
          <t>Exclusion</t>
        </is>
      </c>
      <c r="E928" s="46" t="inlineStr">
        <is>
          <t>Ceiling Details, the sheet. Cited as a sheet for a finding by ABSENCE: its details label corner bead, casing bead and shadow molding one by one and NONE labels a control joint, so the omission is not a labeling oversight.</t>
        </is>
      </c>
      <c r="F928" s="46" t="inlineStr">
        <is>
          <t>excluded.CONTROL_JOINT</t>
        </is>
      </c>
      <c r="G928" s="46" t="inlineStr">
        <is>
          <t>El set no rotula ni detalla ninguna junta de control de gypsum board, ni en A12.01 ni en los detalles de A09.27/A09.33, y no hay seccion de especificaciones 09 29 00 en el bid set.</t>
        </is>
      </c>
    </row>
    <row r="929" ht="33" customHeight="1" s="36">
      <c r="A929" s="44" t="inlineStr">
        <is>
          <t>EXT-PARAPET #163</t>
        </is>
      </c>
      <c r="B929" s="58" t="n">
        <v>1</v>
      </c>
      <c r="C929" s="44" t="inlineStr">
        <is>
          <t>A02.01</t>
        </is>
      </c>
      <c r="D929" s="59" t="inlineStr">
        <is>
          <t>Dimension</t>
        </is>
      </c>
      <c r="E929" s="46" t="inlineStr">
        <is>
          <t>Construction Plan. Entry sheet for partitions and openings: vector geometry of every wall face at 1/4"=1'-0", the leader of every partition tag, the Construction Plan Legend (new vs. existing) and the Construction Plan Notes.</t>
        </is>
      </c>
      <c r="F929" s="46" t="inlineStr">
        <is>
          <t>excluded.STOREFRONT_DIV08, length</t>
        </is>
      </c>
      <c r="G929" s="46" t="inlineStr">
        <is>
          <t>La longitud se midio una sola vez, en A02.01 con tools/perimetro.py, y NO se vuelve a medir aqui.</t>
        </is>
      </c>
    </row>
    <row r="930" ht="43.5" customHeight="1" s="36">
      <c r="A930" s="59" t="n"/>
      <c r="B930" s="58" t="n">
        <v>2</v>
      </c>
      <c r="C930" s="44" t="inlineStr">
        <is>
          <t>A/A09.21</t>
        </is>
      </c>
      <c r="D930" s="59" t="inlineStr">
        <is>
          <t>Quantity</t>
        </is>
      </c>
      <c r="E930" s="46" t="inlineStr">
        <is>
          <t>Exterior wall section A. Build-up by layer and height of each layer: 5/8" FRT plywood sheathing over 2 1/2" polyiso, CFMF cavity and interior board.</t>
        </is>
      </c>
      <c r="F930" s="46" t="inlineStr">
        <is>
          <t>BLOCKING, BOARD, SHEATHING_5-8_FRT_PLYWOOD_2-1-2_POLYISO</t>
        </is>
      </c>
      <c r="G930"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1" ht="43.5" customHeight="1" s="36">
      <c r="A931" s="59" t="n"/>
      <c r="B931" s="58" t="n">
        <v>3</v>
      </c>
      <c r="C931" s="44" t="inlineStr">
        <is>
          <t>C/A09.21</t>
        </is>
      </c>
      <c r="D931" s="59" t="inlineStr">
        <is>
          <t>Quantity</t>
        </is>
      </c>
      <c r="E931" s="46" t="inlineStr">
        <is>
          <t>Exterior wall section C. Layer build-up of that run.</t>
        </is>
      </c>
      <c r="F931" s="46" t="inlineStr">
        <is>
          <t>BLOCKING, BOARD, SHEATHING_5-8_FRT_PLYWOOD_2-1-2_POLYISO</t>
        </is>
      </c>
      <c r="G931"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2" ht="43.5" customHeight="1" s="36">
      <c r="A932" s="59" t="n"/>
      <c r="B932" s="58" t="n">
        <v>4</v>
      </c>
      <c r="C932" s="44" t="inlineStr">
        <is>
          <t>D/A09.22</t>
        </is>
      </c>
      <c r="D932" s="59" t="inlineStr">
        <is>
          <t>Quantity</t>
        </is>
      </c>
      <c r="E932" s="46" t="inlineStr">
        <is>
          <t>Exterior wall section D. Layer build-up, board height and the blocking of that run.</t>
        </is>
      </c>
      <c r="F932" s="46" t="inlineStr">
        <is>
          <t>BLOCKING, BOARD, SHEATHING_5-8_FRT_PLYWOOD_2-1-2_POLYISO</t>
        </is>
      </c>
      <c r="G932"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3" ht="25.5" customHeight="1" s="36">
      <c r="A933" s="59" t="n"/>
      <c r="B933" s="58" t="n">
        <v>5</v>
      </c>
      <c r="C933" s="44" t="inlineStr">
        <is>
          <t>H/A09.23</t>
        </is>
      </c>
      <c r="D933" s="59" t="inlineStr">
        <is>
          <t>Dimension</t>
        </is>
      </c>
      <c r="E933" s="46" t="inlineStr">
        <is>
          <t>Exterior wall section H. The one that gives the full build-up: "5/8" FRT PLYWOOD BONDED TO 2 1/2" POLYISO INSULATION", CFMF cavity and the height of each layer.</t>
        </is>
      </c>
      <c r="F933" s="46" t="inlineStr">
        <is>
          <t>BOARD, SHEATHING_5-8_FRT_PLYWOOD_2-1-2_POLYISO, excluded.INSULATION, stud_height</t>
        </is>
      </c>
      <c r="G933" s="46" t="inlineStr">
        <is>
          <t>El tope sale de H/A09.23 rotula T.O.</t>
        </is>
      </c>
    </row>
    <row r="934" ht="43.5" customHeight="1" s="36">
      <c r="A934" s="59" t="n"/>
      <c r="B934" s="58" t="n">
        <v>6</v>
      </c>
      <c r="C934" s="44" t="inlineStr">
        <is>
          <t>J/A09.23</t>
        </is>
      </c>
      <c r="D934" s="59" t="inlineStr">
        <is>
          <t>Quantity</t>
        </is>
      </c>
      <c r="E934" s="46" t="inlineStr">
        <is>
          <t>Exterior wall section J. Board height of that run and its blocking.</t>
        </is>
      </c>
      <c r="F934" s="46" t="inlineStr">
        <is>
          <t>BLOCKING, BOARD, SHEATHING_5-8_FRT_PLYWOOD_2-1-2_POLYISO</t>
        </is>
      </c>
      <c r="G934"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5" ht="25.5" customHeight="1" s="36">
      <c r="A935" s="59" t="n"/>
      <c r="B935" s="58" t="n">
        <v>7</v>
      </c>
      <c r="C935" s="44" t="inlineStr">
        <is>
          <t>6/S5.10</t>
        </is>
      </c>
      <c r="D935" s="59" t="inlineStr">
        <is>
          <t>Dimension</t>
        </is>
      </c>
      <c r="E935" s="46" t="inlineStr">
        <is>
          <t>"SECTION AT PERIMETER" at 3/4"=1'-0". Closure of the exterior wall against the roof edge: source of the stud height and the top track of that run.</t>
        </is>
      </c>
      <c r="F935" s="46" t="inlineStr">
        <is>
          <t>STUD, TRACK_TOP, excluded.BRACING, excluded.HSS_POSTS_DIV05_12, face[0].board_height, scope[0].chain[1], scope[0].chain[2], stud_height</t>
        </is>
      </c>
      <c r="G935" s="46" t="inlineStr">
        <is>
          <t>(bottom of deck) = top of steel del perimetro, donde 6/S5.10 y 10/S5.10 SECTION AT PERIMETER rematan el LT.</t>
        </is>
      </c>
    </row>
    <row r="936" ht="25.5" customHeight="1" s="36">
      <c r="A936" s="59" t="n"/>
      <c r="B936" s="58" t="n">
        <v>8</v>
      </c>
      <c r="C936" s="44" t="inlineStr">
        <is>
          <t>10/S5.10</t>
        </is>
      </c>
      <c r="D936" s="59" t="inlineStr">
        <is>
          <t>Dimension</t>
        </is>
      </c>
      <c r="E936" s="46" t="inlineStr">
        <is>
          <t>Perimeter section on S5.10. The other perimeter closure, with its own height.</t>
        </is>
      </c>
      <c r="F936" s="46" t="inlineStr">
        <is>
          <t>STUD, TRACK_TOP, excluded.BRACING, face[0].board_height, scope[0].chain[1], stud_height</t>
        </is>
      </c>
      <c r="G936" s="46" t="inlineStr">
        <is>
          <t>(bottom of deck) = top of steel del perimetro, donde 6/S5.10 y 10/S5.10 SECTION AT PERIMETER rematan el LT.</t>
        </is>
      </c>
    </row>
    <row r="937" ht="25.5" customHeight="1" s="36">
      <c r="A937" s="59" t="n"/>
      <c r="B937" s="58" t="n">
        <v>9</v>
      </c>
      <c r="C937" s="44" t="inlineStr">
        <is>
          <t>11/S5.10</t>
        </is>
      </c>
      <c r="D937" s="59" t="inlineStr">
        <is>
          <t>Dimension</t>
        </is>
      </c>
      <c r="E937" s="46" t="inlineStr">
        <is>
          <t>Section on S5.10. Stud height, track and fastener of that perimeter run.</t>
        </is>
      </c>
      <c r="F937" s="46" t="inlineStr">
        <is>
          <t>FASTENER_PWR_DRIVEN, SEALANT, STUD, TRACK_BOTTOM, TRACK_TOP, excluded.HSS_POSTS_DIV05_12, scope[0].chain[0], scope[0].chain[1], stud_height</t>
        </is>
      </c>
      <c r="G937" s="46" t="inlineStr">
        <is>
          <t>11/S5.10 PARAPET INFILL FRAMING, rotulo TEXTUAL: "PARAPET WALL INFILL FRAMING TO BE 600S162-54 @ 16" W/ 600T125-54 TOP &amp; BOT." y "ONE STUD EA.</t>
        </is>
      </c>
    </row>
    <row r="938" ht="25.5" customHeight="1" s="36">
      <c r="A938" s="59" t="n"/>
      <c r="B938" s="58" t="n">
        <v>10</v>
      </c>
      <c r="C938" s="44" t="inlineStr">
        <is>
          <t>7/S5.11</t>
        </is>
      </c>
      <c r="D938" s="59" t="inlineStr">
        <is>
          <t>Dimension</t>
        </is>
      </c>
      <c r="E938" s="46" t="inlineStr">
        <is>
          <t>"ROOF SECTION" at 3/4"=1'-0". Deck height in that run and the top track.</t>
        </is>
      </c>
      <c r="F938" s="46" t="inlineStr">
        <is>
          <t>STUD, scope[0].chain[2], stud_height</t>
        </is>
      </c>
      <c r="G938" s="46" t="inlineStr">
        <is>
          <t>7/S5.11 ROOF SECTION repite la condicion y manda "REF.</t>
        </is>
      </c>
    </row>
    <row r="939" ht="43.5" customHeight="1" s="36">
      <c r="A939" s="59" t="n"/>
      <c r="B939" s="58" t="n">
        <v>11</v>
      </c>
      <c r="C939" s="44" t="inlineStr">
        <is>
          <t>A09.01</t>
        </is>
      </c>
      <c r="D939" s="59" t="inlineStr">
        <is>
          <t>Exclusion</t>
        </is>
      </c>
      <c r="E939" s="46" t="inlineStr">
        <is>
          <t>Exterior Elevations: "SOUTH ELEVATION" and "WEST ELEVATION" at 1/4"=1'-0". Extent of each exterior material and the material legend, verbatim "CJ CONTROL JOINT; PAINT TO MATCH STUCCO FINISH COLOR" - that joint is the STUCCO joint, not gypsum.</t>
        </is>
      </c>
      <c r="F939" s="46" t="inlineStr">
        <is>
          <t>excluded.CONTROL_JOINT, excluded.STOREFRONT_DIV08</t>
        </is>
      </c>
      <c r="G93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40" ht="25.5" customHeight="1" s="36">
      <c r="A940" s="59" t="n"/>
      <c r="B940" s="58" t="n">
        <v>12</v>
      </c>
      <c r="C940" s="44" t="inlineStr">
        <is>
          <t>A09.02</t>
        </is>
      </c>
      <c r="D940" s="59" t="inlineStr">
        <is>
          <t>Exclusion</t>
        </is>
      </c>
      <c r="E940" s="46" t="inlineStr">
        <is>
          <t>Exterior Elevations: "EAST ELEVATION" and "NORTH ELEVATION". Extent of the metal panel and of the AWB, both Div 07.</t>
        </is>
      </c>
      <c r="F940" s="46" t="inlineStr">
        <is>
          <t>excluded.PANEL_METALICO_DIV07</t>
        </is>
      </c>
      <c r="G940" s="46" t="inlineStr">
        <is>
          <t>FORMED METAL WALL PANEL EPS-1 / EPS-3 / EPS-5 y el ACM COPING: los define la leyenda de A09.02 como ALUMINUM COMPOSITE METAL PANEL (B.O.D.</t>
        </is>
      </c>
    </row>
    <row r="941" ht="33" customHeight="1" s="36">
      <c r="A941" s="59" t="n"/>
      <c r="B941" s="58" t="n">
        <v>13</v>
      </c>
      <c r="C941" s="44" t="inlineStr">
        <is>
          <t>A12.01</t>
        </is>
      </c>
      <c r="D941" s="59" t="inlineStr">
        <is>
          <t>Exclusion</t>
        </is>
      </c>
      <c r="E941" s="46" t="inlineStr">
        <is>
          <t>Partition Types, the whole sheet. Cited as a sheet when the finding is the ABSENCE across the sheet (e.g. that no type labels a gypsum control joint).</t>
        </is>
      </c>
      <c r="F941" s="46" t="inlineStr">
        <is>
          <t>excluded.CONTROL_JOINT</t>
        </is>
      </c>
      <c r="G941" s="46" t="inlineStr">
        <is>
          <t>El set no rotula ni detalla ninguna junta de control de gypsum board, ni en A12.01 ni en los detalles de A09.27/A09.33, y no hay seccion de especificaciones 09 29 00 en el bid set.</t>
        </is>
      </c>
    </row>
    <row r="942" ht="25.5" customHeight="1" s="36">
      <c r="A942" s="59" t="n"/>
      <c r="B942" s="58" t="n">
        <v>14</v>
      </c>
      <c r="C942" s="44" t="inlineStr">
        <is>
          <t>4/A09.26</t>
        </is>
      </c>
      <c r="D942" s="59" t="inlineStr">
        <is>
          <t>Quantity</t>
        </is>
      </c>
      <c r="E942" s="46" t="inlineStr">
        <is>
          <t>"SECTION DETAIL @ PARAPET" at 1 1/2"=1'-0". The parapet: glass-mat sheathing, sealant and closure blocking.</t>
        </is>
      </c>
      <c r="F942" s="46" t="inlineStr">
        <is>
          <t>BLOCKING, BOARD, SEALANT</t>
        </is>
      </c>
      <c r="G942" s="46" t="inlineStr">
        <is>
          <t>Label TEXTUAL de 4/A09.26 SECTION DETAIL @ PARAPET: "3/4" F.R.T.</t>
        </is>
      </c>
    </row>
    <row r="943" ht="33" customHeight="1" s="36">
      <c r="A943" s="59" t="n"/>
      <c r="B943" s="58" t="n">
        <v>15</v>
      </c>
      <c r="C943" s="44" t="inlineStr">
        <is>
          <t>7/S5.20</t>
        </is>
      </c>
      <c r="D943" s="59" t="inlineStr">
        <is>
          <t>Quantity</t>
        </is>
      </c>
      <c r="E943" s="46" t="inlineStr">
        <is>
          <t>"METAL STUDS SCHEDULES". The profile: web, flange, lip, mils, gauge and the APPLICATION column with the spacing ("INTERIOR WALLS @ 16" O.C."), plus the SILL TRACK ANCHORAGE and the FASTENER SCHEDULE.</t>
        </is>
      </c>
      <c r="F943" s="46" t="inlineStr">
        <is>
          <t>TRACK_BOTTOM, excluded.BRACING, excluded.CLIPS</t>
        </is>
      </c>
      <c r="G943" s="46" t="inlineStr">
        <is>
          <t>MAX." -- el anchorage aqui es PAF to steel, no el HILTI KWIK BOLT a concreto del bottom track del wall de abajo (7/S5.20).</t>
        </is>
      </c>
    </row>
    <row r="944" ht="25.5" customHeight="1" s="36">
      <c r="A944" s="59" t="n"/>
      <c r="B944" s="58" t="n">
        <v>16</v>
      </c>
      <c r="C944" s="44" t="inlineStr">
        <is>
          <t>A00.30</t>
        </is>
      </c>
      <c r="D944" s="59" t="inlineStr">
        <is>
          <t>Exclusion</t>
        </is>
      </c>
      <c r="E944" s="46" t="inlineStr">
        <is>
          <t>Door Schedule. Leaf width and height of every door and the frame type: source of the header, the board deduction and the reference to 10 and 11/A12.02.</t>
        </is>
      </c>
      <c r="F944" s="46" t="inlineStr">
        <is>
          <t>excluded.HEADER</t>
        </is>
      </c>
      <c r="G944" s="46" t="inlineStr">
        <is>
          <t>Se recorrieron A00.30 Door Schedule y el Window/Storefront Schedule y ninguna abertura del set esta por encima del B.O.D.</t>
        </is>
      </c>
    </row>
    <row r="945" ht="33" customHeight="1" s="36">
      <c r="A945" s="59" t="n"/>
      <c r="B945" s="58" t="n">
        <v>17</v>
      </c>
      <c r="C945" s="44" t="inlineStr">
        <is>
          <t>A09.27</t>
        </is>
      </c>
      <c r="D945" s="59" t="inlineStr">
        <is>
          <t>Exclusion</t>
        </is>
      </c>
      <c r="E945" s="46" t="inlineStr">
        <is>
          <t>Gypsum Section Details, the sheet. Cited as a sheet when the finding is that NO detail on it labels a gypsum control joint.</t>
        </is>
      </c>
      <c r="F945" s="46" t="inlineStr">
        <is>
          <t>excluded.CONTROL_JOINT</t>
        </is>
      </c>
      <c r="G945" s="46" t="inlineStr">
        <is>
          <t>El set no rotula ni detalla ninguna junta de control de gypsum board, ni en A12.01 ni en los detalles de A09.27/A09.33, y no hay seccion de especificaciones 09 29 00 en el bid set.</t>
        </is>
      </c>
    </row>
    <row r="946" ht="33" customHeight="1" s="36">
      <c r="A946" s="59" t="n"/>
      <c r="B946" s="58" t="n">
        <v>18</v>
      </c>
      <c r="C946" s="44" t="inlineStr">
        <is>
          <t>A09.33</t>
        </is>
      </c>
      <c r="D946" s="59" t="inlineStr">
        <is>
          <t>Exclusion</t>
        </is>
      </c>
      <c r="E946" s="46" t="inlineStr">
        <is>
          <t>Ceiling Details, the sheet. Cited as a sheet for a finding by ABSENCE: its details label corner bead, casing bead and shadow molding one by one and NONE labels a control joint, so the omission is not a labeling oversight.</t>
        </is>
      </c>
      <c r="F946" s="46" t="inlineStr">
        <is>
          <t>excluded.CONTROL_JOINT</t>
        </is>
      </c>
      <c r="G946" s="46" t="inlineStr">
        <is>
          <t>El set no rotula ni detalla ninguna junta de control de gypsum board, ni en A12.01 ni en los detalles de A09.27/A09.33, y no hay seccion de especificaciones 09 29 00 en el bid set.</t>
        </is>
      </c>
    </row>
    <row r="947" ht="33" customHeight="1" s="36">
      <c r="A947" s="44" t="inlineStr">
        <is>
          <t>EXT-PARAPET #165</t>
        </is>
      </c>
      <c r="B947" s="58" t="n">
        <v>1</v>
      </c>
      <c r="C947" s="44" t="inlineStr">
        <is>
          <t>A02.01</t>
        </is>
      </c>
      <c r="D947" s="59" t="inlineStr">
        <is>
          <t>Dimension</t>
        </is>
      </c>
      <c r="E947" s="46" t="inlineStr">
        <is>
          <t>Construction Plan. Entry sheet for partitions and openings: vector geometry of every wall face at 1/4"=1'-0", the leader of every partition tag, the Construction Plan Legend (new vs. existing) and the Construction Plan Notes.</t>
        </is>
      </c>
      <c r="F947" s="46" t="inlineStr">
        <is>
          <t>excluded.STOREFRONT_DIV08, length</t>
        </is>
      </c>
      <c r="G947" s="46" t="inlineStr">
        <is>
          <t>La longitud se midio una sola vez, en A02.01 con tools/perimetro.py, y NO se vuelve a medir aqui.</t>
        </is>
      </c>
    </row>
    <row r="948" ht="43.5" customHeight="1" s="36">
      <c r="A948" s="59" t="n"/>
      <c r="B948" s="58" t="n">
        <v>2</v>
      </c>
      <c r="C948" s="44" t="inlineStr">
        <is>
          <t>A/A09.21</t>
        </is>
      </c>
      <c r="D948" s="59" t="inlineStr">
        <is>
          <t>Quantity</t>
        </is>
      </c>
      <c r="E948" s="46" t="inlineStr">
        <is>
          <t>Exterior wall section A. Build-up by layer and height of each layer: 5/8" FRT plywood sheathing over 2 1/2" polyiso, CFMF cavity and interior board.</t>
        </is>
      </c>
      <c r="F948" s="46" t="inlineStr">
        <is>
          <t>BLOCKING, BOARD, SHEATHING_5-8_FRT_PLYWOOD_2-1-2_POLYISO</t>
        </is>
      </c>
      <c r="G948"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49" ht="43.5" customHeight="1" s="36">
      <c r="A949" s="59" t="n"/>
      <c r="B949" s="58" t="n">
        <v>3</v>
      </c>
      <c r="C949" s="44" t="inlineStr">
        <is>
          <t>C/A09.21</t>
        </is>
      </c>
      <c r="D949" s="59" t="inlineStr">
        <is>
          <t>Quantity</t>
        </is>
      </c>
      <c r="E949" s="46" t="inlineStr">
        <is>
          <t>Exterior wall section C. Layer build-up of that run.</t>
        </is>
      </c>
      <c r="F949" s="46" t="inlineStr">
        <is>
          <t>BLOCKING, BOARD, SHEATHING_5-8_FRT_PLYWOOD_2-1-2_POLYISO</t>
        </is>
      </c>
      <c r="G949"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50" ht="43.5" customHeight="1" s="36">
      <c r="A950" s="59" t="n"/>
      <c r="B950" s="58" t="n">
        <v>4</v>
      </c>
      <c r="C950" s="44" t="inlineStr">
        <is>
          <t>D/A09.22</t>
        </is>
      </c>
      <c r="D950" s="59" t="inlineStr">
        <is>
          <t>Quantity</t>
        </is>
      </c>
      <c r="E950" s="46" t="inlineStr">
        <is>
          <t>Exterior wall section D. Layer build-up, board height and the blocking of that run.</t>
        </is>
      </c>
      <c r="F950" s="46" t="inlineStr">
        <is>
          <t>BLOCKING, BOARD, SHEATHING_5-8_FRT_PLYWOOD_2-1-2_POLYISO</t>
        </is>
      </c>
      <c r="G950"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51" ht="25.5" customHeight="1" s="36">
      <c r="A951" s="59" t="n"/>
      <c r="B951" s="58" t="n">
        <v>5</v>
      </c>
      <c r="C951" s="44" t="inlineStr">
        <is>
          <t>H/A09.23</t>
        </is>
      </c>
      <c r="D951" s="59" t="inlineStr">
        <is>
          <t>Quantity</t>
        </is>
      </c>
      <c r="E951" s="46" t="inlineStr">
        <is>
          <t>Exterior wall section H. The one that gives the full build-up: "5/8" FRT PLYWOOD BONDED TO 2 1/2" POLYISO INSULATION", CFMF cavity and the height of each layer.</t>
        </is>
      </c>
      <c r="F951" s="46" t="inlineStr">
        <is>
          <t>BOARD, SHEATHING_5-8_FRT_PLYWOOD_2-1-2_POLYISO, excluded.INSULATION</t>
        </is>
      </c>
      <c r="G951" s="46" t="inlineStr">
        <is>
          <t>Label TEXTUAL de H/A09.23, repetido en J/A09.23, en A/A09.21 y C/A09.21 y en D/A09.22: las cinco secciones del parapet la rotulan igual.</t>
        </is>
      </c>
    </row>
    <row r="952" ht="25.5" customHeight="1" s="36">
      <c r="A952" s="59" t="n"/>
      <c r="B952" s="58" t="n">
        <v>6</v>
      </c>
      <c r="C952" s="44" t="inlineStr">
        <is>
          <t>J/A09.23</t>
        </is>
      </c>
      <c r="D952" s="59" t="inlineStr">
        <is>
          <t>Dimension</t>
        </is>
      </c>
      <c r="E952" s="46" t="inlineStr">
        <is>
          <t>Exterior wall section J. Board height of that run and its blocking.</t>
        </is>
      </c>
      <c r="F952" s="46" t="inlineStr">
        <is>
          <t>BLOCKING, BOARD, SHEATHING_5-8_FRT_PLYWOOD_2-1-2_POLYISO, stud_height</t>
        </is>
      </c>
      <c r="G952" s="46" t="inlineStr">
        <is>
          <t>El tope sale de J/A09.23, datum impreso T.O.</t>
        </is>
      </c>
    </row>
    <row r="953" ht="25.5" customHeight="1" s="36">
      <c r="A953" s="59" t="n"/>
      <c r="B953" s="58" t="n">
        <v>7</v>
      </c>
      <c r="C953" s="44" t="inlineStr">
        <is>
          <t>6/S5.10</t>
        </is>
      </c>
      <c r="D953" s="59" t="inlineStr">
        <is>
          <t>Dimension</t>
        </is>
      </c>
      <c r="E953" s="46" t="inlineStr">
        <is>
          <t>"SECTION AT PERIMETER" at 3/4"=1'-0". Closure of the exterior wall against the roof edge: source of the stud height and the top track of that run.</t>
        </is>
      </c>
      <c r="F953" s="46" t="inlineStr">
        <is>
          <t>STUD, TRACK_TOP, excluded.HSS_POSTS_DIV05_12, face[0].board_height, scope[0].chain[1], scope[0].chain[2], stud_height</t>
        </is>
      </c>
      <c r="G953" s="46" t="inlineStr">
        <is>
          <t>(bottom of deck) = top of steel del perimetro, donde 6/S5.10 y 10/S5.10 SECTION AT PERIMETER rematan el LT.</t>
        </is>
      </c>
    </row>
    <row r="954" ht="25.5" customHeight="1" s="36">
      <c r="A954" s="59" t="n"/>
      <c r="B954" s="58" t="n">
        <v>8</v>
      </c>
      <c r="C954" s="44" t="inlineStr">
        <is>
          <t>10/S5.10</t>
        </is>
      </c>
      <c r="D954" s="59" t="inlineStr">
        <is>
          <t>Dimension</t>
        </is>
      </c>
      <c r="E954" s="46" t="inlineStr">
        <is>
          <t>Perimeter section on S5.10. The other perimeter closure, with its own height.</t>
        </is>
      </c>
      <c r="F954" s="46" t="inlineStr">
        <is>
          <t>STUD, TRACK_TOP, face[0].board_height, scope[0].chain[1], stud_height</t>
        </is>
      </c>
      <c r="G954" s="46" t="inlineStr">
        <is>
          <t>(bottom of deck) = top of steel del perimetro, donde 6/S5.10 y 10/S5.10 SECTION AT PERIMETER rematan el LT.</t>
        </is>
      </c>
    </row>
    <row r="955" ht="25.5" customHeight="1" s="36">
      <c r="A955" s="59" t="n"/>
      <c r="B955" s="58" t="n">
        <v>9</v>
      </c>
      <c r="C955" s="44" t="inlineStr">
        <is>
          <t>11/S5.10</t>
        </is>
      </c>
      <c r="D955" s="59" t="inlineStr">
        <is>
          <t>Dimension</t>
        </is>
      </c>
      <c r="E955" s="46" t="inlineStr">
        <is>
          <t>Section on S5.10. Stud height, track and fastener of that perimeter run.</t>
        </is>
      </c>
      <c r="F955" s="46" t="inlineStr">
        <is>
          <t>BRACING, FASTENER_PWR_DRIVEN, SEALANT, STUD, TRACK_BOTTOM, TRACK_TOP, excluded.HSS_POSTS_DIV05_12, scope[0].chain[0], scope[0].chain[1], stud_height</t>
        </is>
      </c>
      <c r="G955" s="46" t="inlineStr">
        <is>
          <t>11/S5.10 PARAPET INFILL FRAMING, rotulo TEXTUAL: "PARAPET WALL INFILL FRAMING TO BE 600S162-54 @ 16" W/ 600T125-54 TOP &amp; BOT." y "ONE STUD EA.</t>
        </is>
      </c>
    </row>
    <row r="956" ht="25.5" customHeight="1" s="36">
      <c r="A956" s="59" t="n"/>
      <c r="B956" s="58" t="n">
        <v>10</v>
      </c>
      <c r="C956" s="44" t="inlineStr">
        <is>
          <t>7/S5.11</t>
        </is>
      </c>
      <c r="D956" s="59" t="inlineStr">
        <is>
          <t>Dimension</t>
        </is>
      </c>
      <c r="E956" s="46" t="inlineStr">
        <is>
          <t>"ROOF SECTION" at 3/4"=1'-0". Deck height in that run and the top track.</t>
        </is>
      </c>
      <c r="F956" s="46" t="inlineStr">
        <is>
          <t>STUD, scope[0].chain[2], stud_height</t>
        </is>
      </c>
      <c r="G956" s="46" t="inlineStr">
        <is>
          <t>7/S5.11 ROOF SECTION repite la condicion y manda "REF.</t>
        </is>
      </c>
    </row>
    <row r="957" ht="43.5" customHeight="1" s="36">
      <c r="A957" s="59" t="n"/>
      <c r="B957" s="58" t="n">
        <v>11</v>
      </c>
      <c r="C957" s="44" t="inlineStr">
        <is>
          <t>A09.01</t>
        </is>
      </c>
      <c r="D957" s="59" t="inlineStr">
        <is>
          <t>Exclusion</t>
        </is>
      </c>
      <c r="E957" s="46" t="inlineStr">
        <is>
          <t>Exterior Elevations: "SOUTH ELEVATION" and "WEST ELEVATION" at 1/4"=1'-0". Extent of each exterior material and the material legend, verbatim "CJ CONTROL JOINT; PAINT TO MATCH STUCCO FINISH COLOR" - that joint is the STUCCO joint, not gypsum.</t>
        </is>
      </c>
      <c r="F957" s="46" t="inlineStr">
        <is>
          <t>excluded.CONTROL_JOINT, excluded.STOREFRONT_DIV08</t>
        </is>
      </c>
      <c r="G95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58" ht="25.5" customHeight="1" s="36">
      <c r="A958" s="59" t="n"/>
      <c r="B958" s="58" t="n">
        <v>12</v>
      </c>
      <c r="C958" s="44" t="inlineStr">
        <is>
          <t>A09.02</t>
        </is>
      </c>
      <c r="D958" s="59" t="inlineStr">
        <is>
          <t>Exclusion</t>
        </is>
      </c>
      <c r="E958" s="46" t="inlineStr">
        <is>
          <t>Exterior Elevations: "EAST ELEVATION" and "NORTH ELEVATION". Extent of the metal panel and of the AWB, both Div 07.</t>
        </is>
      </c>
      <c r="F958" s="46" t="inlineStr">
        <is>
          <t>excluded.PANEL_METALICO_DIV07</t>
        </is>
      </c>
      <c r="G958" s="46" t="inlineStr">
        <is>
          <t>FORMED METAL WALL PANEL EPS-1 / EPS-3 / EPS-5 y el ACM COPING: los define la leyenda de A09.02 como ALUMINUM COMPOSITE METAL PANEL (B.O.D.</t>
        </is>
      </c>
    </row>
    <row r="959" ht="33" customHeight="1" s="36">
      <c r="A959" s="59" t="n"/>
      <c r="B959" s="58" t="n">
        <v>13</v>
      </c>
      <c r="C959" s="44" t="inlineStr">
        <is>
          <t>A12.01</t>
        </is>
      </c>
      <c r="D959" s="59" t="inlineStr">
        <is>
          <t>Exclusion</t>
        </is>
      </c>
      <c r="E959" s="46" t="inlineStr">
        <is>
          <t>Partition Types, the whole sheet. Cited as a sheet when the finding is the ABSENCE across the sheet (e.g. that no type labels a gypsum control joint).</t>
        </is>
      </c>
      <c r="F959" s="46" t="inlineStr">
        <is>
          <t>excluded.CONTROL_JOINT</t>
        </is>
      </c>
      <c r="G959" s="46" t="inlineStr">
        <is>
          <t>El set no rotula ni detalla ninguna junta de control de gypsum board, ni en A12.01 ni en los detalles de A09.27/A09.33, y no hay seccion de especificaciones 09 29 00 en el bid set.</t>
        </is>
      </c>
    </row>
    <row r="960" ht="25.5" customHeight="1" s="36">
      <c r="A960" s="59" t="n"/>
      <c r="B960" s="58" t="n">
        <v>14</v>
      </c>
      <c r="C960" s="44" t="inlineStr">
        <is>
          <t>4/A09.26</t>
        </is>
      </c>
      <c r="D960" s="59" t="inlineStr">
        <is>
          <t>Quantity</t>
        </is>
      </c>
      <c r="E960" s="46" t="inlineStr">
        <is>
          <t>"SECTION DETAIL @ PARAPET" at 1 1/2"=1'-0". The parapet: glass-mat sheathing, sealant and closure blocking.</t>
        </is>
      </c>
      <c r="F960" s="46" t="inlineStr">
        <is>
          <t>BLOCKING, BOARD, SEALANT</t>
        </is>
      </c>
      <c r="G960" s="46" t="inlineStr">
        <is>
          <t>Label TEXTUAL de 4/A09.26 SECTION DETAIL @ PARAPET: "3/4" F.R.T.</t>
        </is>
      </c>
    </row>
    <row r="961" ht="33" customHeight="1" s="36">
      <c r="A961" s="59" t="n"/>
      <c r="B961" s="58" t="n">
        <v>15</v>
      </c>
      <c r="C961" s="44" t="inlineStr">
        <is>
          <t>7/S5.20</t>
        </is>
      </c>
      <c r="D961" s="59" t="inlineStr">
        <is>
          <t>Quantity</t>
        </is>
      </c>
      <c r="E961" s="46" t="inlineStr">
        <is>
          <t>"METAL STUDS SCHEDULES". The profile: web, flange, lip, mils, gauge and the APPLICATION column with the spacing ("INTERIOR WALLS @ 16" O.C."), plus the SILL TRACK ANCHORAGE and the FASTENER SCHEDULE.</t>
        </is>
      </c>
      <c r="F961" s="46" t="inlineStr">
        <is>
          <t>BRACING, TRACK_BOTTOM, excluded.CLIPS</t>
        </is>
      </c>
      <c r="G961" s="46" t="inlineStr">
        <is>
          <t>7/S5.20 BRIDGING AND BRACING @ 48" O.C., medido sobre la height de ESTE wall (del B.O.D.</t>
        </is>
      </c>
    </row>
    <row r="962" ht="25.5" customHeight="1" s="36">
      <c r="A962" s="59" t="n"/>
      <c r="B962" s="58" t="n">
        <v>16</v>
      </c>
      <c r="C962" s="44" t="inlineStr">
        <is>
          <t>A00.30</t>
        </is>
      </c>
      <c r="D962" s="59" t="inlineStr">
        <is>
          <t>Exclusion</t>
        </is>
      </c>
      <c r="E962" s="46" t="inlineStr">
        <is>
          <t>Door Schedule. Leaf width and height of every door and the frame type: source of the header, the board deduction and the reference to 10 and 11/A12.02.</t>
        </is>
      </c>
      <c r="F962" s="46" t="inlineStr">
        <is>
          <t>excluded.HEADER</t>
        </is>
      </c>
      <c r="G962" s="46" t="inlineStr">
        <is>
          <t>Se recorrieron A00.30 Door Schedule y el Window/Storefront Schedule y ninguna abertura del set esta por encima del B.O.D.</t>
        </is>
      </c>
    </row>
    <row r="963" ht="33" customHeight="1" s="36">
      <c r="A963" s="59" t="n"/>
      <c r="B963" s="58" t="n">
        <v>17</v>
      </c>
      <c r="C963" s="44" t="inlineStr">
        <is>
          <t>A09.27</t>
        </is>
      </c>
      <c r="D963" s="59" t="inlineStr">
        <is>
          <t>Exclusion</t>
        </is>
      </c>
      <c r="E963" s="46" t="inlineStr">
        <is>
          <t>Gypsum Section Details, the sheet. Cited as a sheet when the finding is that NO detail on it labels a gypsum control joint.</t>
        </is>
      </c>
      <c r="F963" s="46" t="inlineStr">
        <is>
          <t>excluded.CONTROL_JOINT</t>
        </is>
      </c>
      <c r="G963" s="46" t="inlineStr">
        <is>
          <t>El set no rotula ni detalla ninguna junta de control de gypsum board, ni en A12.01 ni en los detalles de A09.27/A09.33, y no hay seccion de especificaciones 09 29 00 en el bid set.</t>
        </is>
      </c>
    </row>
    <row r="964" ht="33" customHeight="1" s="36">
      <c r="A964" s="59" t="n"/>
      <c r="B964" s="58" t="n">
        <v>18</v>
      </c>
      <c r="C964" s="44" t="inlineStr">
        <is>
          <t>A09.33</t>
        </is>
      </c>
      <c r="D964" s="59" t="inlineStr">
        <is>
          <t>Exclusion</t>
        </is>
      </c>
      <c r="E964" s="46" t="inlineStr">
        <is>
          <t>Ceiling Details, the sheet. Cited as a sheet for a finding by ABSENCE: its details label corner bead, casing bead and shadow molding one by one and NONE labels a control joint, so the omission is not a labeling oversight.</t>
        </is>
      </c>
      <c r="F964" s="46" t="inlineStr">
        <is>
          <t>excluded.CONTROL_JOINT</t>
        </is>
      </c>
      <c r="G964" s="46" t="inlineStr">
        <is>
          <t>El set no rotula ni detalla ninguna junta de control de gypsum board, ni en A12.01 ni en los detalles de A09.27/A09.33, y no hay seccion de especificaciones 09 29 00 en el bid set.</t>
        </is>
      </c>
    </row>
    <row r="965" ht="33" customHeight="1" s="36">
      <c r="A965" s="44" t="inlineStr">
        <is>
          <t>EXT-PARAPET #160</t>
        </is>
      </c>
      <c r="B965" s="58" t="n">
        <v>1</v>
      </c>
      <c r="C965" s="44" t="inlineStr">
        <is>
          <t>A02.01</t>
        </is>
      </c>
      <c r="D965" s="59" t="inlineStr">
        <is>
          <t>Dimension</t>
        </is>
      </c>
      <c r="E965" s="46" t="inlineStr">
        <is>
          <t>Construction Plan. Entry sheet for partitions and openings: vector geometry of every wall face at 1/4"=1'-0", the leader of every partition tag, the Construction Plan Legend (new vs. existing) and the Construction Plan Notes.</t>
        </is>
      </c>
      <c r="F965" s="46" t="inlineStr">
        <is>
          <t>excluded.STOREFRONT_DIV08, length</t>
        </is>
      </c>
      <c r="G965" s="46" t="inlineStr">
        <is>
          <t>La longitud se midio una sola vez, en A02.01 con tools/perimetro.py, y NO se vuelve a medir aqui.</t>
        </is>
      </c>
    </row>
    <row r="966" ht="25.5" customHeight="1" s="36">
      <c r="A966" s="59" t="n"/>
      <c r="B966" s="58" t="n">
        <v>2</v>
      </c>
      <c r="C966" s="44" t="inlineStr">
        <is>
          <t>S2.20</t>
        </is>
      </c>
      <c r="D966" s="59" t="inlineStr">
        <is>
          <t>Dimension</t>
        </is>
      </c>
      <c r="E966" s="46" t="inlineStr">
        <is>
          <t>"ROOF FRAMING PLAN". Source of the STUD HEIGHT: every B.O.D. callout on the sheet and the slope of the bay between grids B and A (1/4" per foot).</t>
        </is>
      </c>
      <c r="F966" s="46" t="inlineStr">
        <is>
          <t>face[0].board_height, stud_height</t>
        </is>
      </c>
      <c r="G966" s="46" t="inlineStr">
        <is>
          <t>Height de ESTE tramo: S2.20: toda la fachada norte esta al norte del eje B -&gt; B.O.D.</t>
        </is>
      </c>
    </row>
    <row r="967" ht="43.5" customHeight="1" s="36">
      <c r="A967" s="59" t="n"/>
      <c r="B967" s="58" t="n">
        <v>3</v>
      </c>
      <c r="C967" s="44" t="inlineStr">
        <is>
          <t>A/A09.21</t>
        </is>
      </c>
      <c r="D967" s="59" t="inlineStr">
        <is>
          <t>Quantity</t>
        </is>
      </c>
      <c r="E967" s="46" t="inlineStr">
        <is>
          <t>Exterior wall section A. Build-up by layer and height of each layer: 5/8" FRT plywood sheathing over 2 1/2" polyiso, CFMF cavity and interior board.</t>
        </is>
      </c>
      <c r="F967" s="46" t="inlineStr">
        <is>
          <t>BLOCKING, BOARD, SHEATHING_5-8_FRT_PLYWOOD_2-1-2_POLYISO</t>
        </is>
      </c>
      <c r="G967"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68" ht="43.5" customHeight="1" s="36">
      <c r="A968" s="59" t="n"/>
      <c r="B968" s="58" t="n">
        <v>4</v>
      </c>
      <c r="C968" s="44" t="inlineStr">
        <is>
          <t>C/A09.21</t>
        </is>
      </c>
      <c r="D968" s="59" t="inlineStr">
        <is>
          <t>Quantity</t>
        </is>
      </c>
      <c r="E968" s="46" t="inlineStr">
        <is>
          <t>Exterior wall section C. Layer build-up of that run.</t>
        </is>
      </c>
      <c r="F968" s="46" t="inlineStr">
        <is>
          <t>BLOCKING, BOARD, SHEATHING_5-8_FRT_PLYWOOD_2-1-2_POLYISO</t>
        </is>
      </c>
      <c r="G968"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69" ht="43.5" customHeight="1" s="36">
      <c r="A969" s="59" t="n"/>
      <c r="B969" s="58" t="n">
        <v>5</v>
      </c>
      <c r="C969" s="44" t="inlineStr">
        <is>
          <t>D/A09.22</t>
        </is>
      </c>
      <c r="D969" s="59" t="inlineStr">
        <is>
          <t>Quantity</t>
        </is>
      </c>
      <c r="E969" s="46" t="inlineStr">
        <is>
          <t>Exterior wall section D. Layer build-up, board height and the blocking of that run.</t>
        </is>
      </c>
      <c r="F969" s="46" t="inlineStr">
        <is>
          <t>BLOCKING, BOARD, SHEATHING_5-8_FRT_PLYWOOD_2-1-2_POLYISO</t>
        </is>
      </c>
      <c r="G969"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70" ht="25.5" customHeight="1" s="36">
      <c r="A970" s="59" t="n"/>
      <c r="B970" s="58" t="n">
        <v>6</v>
      </c>
      <c r="C970" s="44" t="inlineStr">
        <is>
          <t>H/A09.23</t>
        </is>
      </c>
      <c r="D970" s="59" t="inlineStr">
        <is>
          <t>Quantity</t>
        </is>
      </c>
      <c r="E970" s="46" t="inlineStr">
        <is>
          <t>Exterior wall section H. The one that gives the full build-up: "5/8" FRT PLYWOOD BONDED TO 2 1/2" POLYISO INSULATION", CFMF cavity and the height of each layer.</t>
        </is>
      </c>
      <c r="F970" s="46" t="inlineStr">
        <is>
          <t>BOARD, SHEATHING_5-8_FRT_PLYWOOD_2-1-2_POLYISO, excluded.INSULATION</t>
        </is>
      </c>
      <c r="G970" s="46" t="inlineStr">
        <is>
          <t>Label TEXTUAL de H/A09.23, repetido en J/A09.23, en A/A09.21 y C/A09.21 y en D/A09.22: las cinco secciones del parapet la rotulan igual.</t>
        </is>
      </c>
    </row>
    <row r="971" ht="43.5" customHeight="1" s="36">
      <c r="A971" s="59" t="n"/>
      <c r="B971" s="58" t="n">
        <v>7</v>
      </c>
      <c r="C971" s="44" t="inlineStr">
        <is>
          <t>J/A09.23</t>
        </is>
      </c>
      <c r="D971" s="59" t="inlineStr">
        <is>
          <t>Quantity</t>
        </is>
      </c>
      <c r="E971" s="46" t="inlineStr">
        <is>
          <t>Exterior wall section J. Board height of that run and its blocking.</t>
        </is>
      </c>
      <c r="F971" s="46" t="inlineStr">
        <is>
          <t>BLOCKING, BOARD, SHEATHING_5-8_FRT_PLYWOOD_2-1-2_POLYISO</t>
        </is>
      </c>
      <c r="G971"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72" ht="25.5" customHeight="1" s="36">
      <c r="A972" s="59" t="n"/>
      <c r="B972" s="58" t="n">
        <v>8</v>
      </c>
      <c r="C972" s="44" t="inlineStr">
        <is>
          <t>6/S5.10</t>
        </is>
      </c>
      <c r="D972" s="59" t="inlineStr">
        <is>
          <t>Dimension</t>
        </is>
      </c>
      <c r="E972" s="46" t="inlineStr">
        <is>
          <t>"SECTION AT PERIMETER" at 3/4"=1'-0". Closure of the exterior wall against the roof edge: source of the stud height and the top track of that run.</t>
        </is>
      </c>
      <c r="F972" s="46" t="inlineStr">
        <is>
          <t>STUD, TRACK_TOP, excluded.BRACING, excluded.HSS_POSTS_DIV05_12, face[0].board_height, scope[0].chain[1], scope[0].chain[2], stud_height</t>
        </is>
      </c>
      <c r="G972" s="46" t="inlineStr">
        <is>
          <t>(bottom of deck) = top of steel del perimetro, donde 6/S5.10 y 10/S5.10 SECTION AT PERIMETER rematan el LT.</t>
        </is>
      </c>
    </row>
    <row r="973" ht="25.5" customHeight="1" s="36">
      <c r="A973" s="59" t="n"/>
      <c r="B973" s="58" t="n">
        <v>9</v>
      </c>
      <c r="C973" s="44" t="inlineStr">
        <is>
          <t>10/S5.10</t>
        </is>
      </c>
      <c r="D973" s="59" t="inlineStr">
        <is>
          <t>Dimension</t>
        </is>
      </c>
      <c r="E973" s="46" t="inlineStr">
        <is>
          <t>Perimeter section on S5.10. The other perimeter closure, with its own height.</t>
        </is>
      </c>
      <c r="F973" s="46" t="inlineStr">
        <is>
          <t>STUD, TRACK_TOP, excluded.BRACING, face[0].board_height, scope[0].chain[1], stud_height</t>
        </is>
      </c>
      <c r="G973" s="46" t="inlineStr">
        <is>
          <t>(bottom of deck) = top of steel del perimetro, donde 6/S5.10 y 10/S5.10 SECTION AT PERIMETER rematan el LT.</t>
        </is>
      </c>
    </row>
    <row r="974" ht="25.5" customHeight="1" s="36">
      <c r="A974" s="59" t="n"/>
      <c r="B974" s="58" t="n">
        <v>10</v>
      </c>
      <c r="C974" s="44" t="inlineStr">
        <is>
          <t>11/S5.10</t>
        </is>
      </c>
      <c r="D974" s="59" t="inlineStr">
        <is>
          <t>Dimension</t>
        </is>
      </c>
      <c r="E974" s="46" t="inlineStr">
        <is>
          <t>Section on S5.10. Stud height, track and fastener of that perimeter run.</t>
        </is>
      </c>
      <c r="F974" s="46" t="inlineStr">
        <is>
          <t>FASTENER_PWR_DRIVEN, SEALANT, STUD, TRACK_BOTTOM, TRACK_TOP, excluded.HSS_POSTS_DIV05_12, scope[0].chain[0], scope[0].chain[1], stud_height</t>
        </is>
      </c>
      <c r="G974" s="46" t="inlineStr">
        <is>
          <t>11/S5.10 PARAPET INFILL FRAMING, rotulo TEXTUAL: "PARAPET WALL INFILL FRAMING TO BE 600S162-54 @ 16" W/ 600T125-54 TOP &amp; BOT." y "ONE STUD EA.</t>
        </is>
      </c>
    </row>
    <row r="975" ht="25.5" customHeight="1" s="36">
      <c r="A975" s="59" t="n"/>
      <c r="B975" s="58" t="n">
        <v>11</v>
      </c>
      <c r="C975" s="44" t="inlineStr">
        <is>
          <t>7/S5.11</t>
        </is>
      </c>
      <c r="D975" s="59" t="inlineStr">
        <is>
          <t>Dimension</t>
        </is>
      </c>
      <c r="E975" s="46" t="inlineStr">
        <is>
          <t>"ROOF SECTION" at 3/4"=1'-0". Deck height in that run and the top track.</t>
        </is>
      </c>
      <c r="F975" s="46" t="inlineStr">
        <is>
          <t>STUD, scope[0].chain[2], stud_height</t>
        </is>
      </c>
      <c r="G975" s="46" t="inlineStr">
        <is>
          <t>7/S5.11 ROOF SECTION repite la condicion y manda "REF.</t>
        </is>
      </c>
    </row>
    <row r="976" ht="43.5" customHeight="1" s="36">
      <c r="A976" s="59" t="n"/>
      <c r="B976" s="58" t="n">
        <v>12</v>
      </c>
      <c r="C976" s="44" t="inlineStr">
        <is>
          <t>A09.01</t>
        </is>
      </c>
      <c r="D976" s="59" t="inlineStr">
        <is>
          <t>Exclusion</t>
        </is>
      </c>
      <c r="E976" s="46" t="inlineStr">
        <is>
          <t>Exterior Elevations: "SOUTH ELEVATION" and "WEST ELEVATION" at 1/4"=1'-0". Extent of each exterior material and the material legend, verbatim "CJ CONTROL JOINT; PAINT TO MATCH STUCCO FINISH COLOR" - that joint is the STUCCO joint, not gypsum.</t>
        </is>
      </c>
      <c r="F976" s="46" t="inlineStr">
        <is>
          <t>excluded.CONTROL_JOINT, excluded.STOREFRONT_DIV08</t>
        </is>
      </c>
      <c r="G976"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77" ht="25.5" customHeight="1" s="36">
      <c r="A977" s="59" t="n"/>
      <c r="B977" s="58" t="n">
        <v>13</v>
      </c>
      <c r="C977" s="44" t="inlineStr">
        <is>
          <t>A09.02</t>
        </is>
      </c>
      <c r="D977" s="59" t="inlineStr">
        <is>
          <t>Exclusion</t>
        </is>
      </c>
      <c r="E977" s="46" t="inlineStr">
        <is>
          <t>Exterior Elevations: "EAST ELEVATION" and "NORTH ELEVATION". Extent of the metal panel and of the AWB, both Div 07.</t>
        </is>
      </c>
      <c r="F977" s="46" t="inlineStr">
        <is>
          <t>excluded.PANEL_METALICO_DIV07</t>
        </is>
      </c>
      <c r="G977" s="46" t="inlineStr">
        <is>
          <t>FORMED METAL WALL PANEL EPS-1 / EPS-3 / EPS-5 y el ACM COPING: los define la leyenda de A09.02 como ALUMINUM COMPOSITE METAL PANEL (B.O.D.</t>
        </is>
      </c>
    </row>
    <row r="978" ht="33" customHeight="1" s="36">
      <c r="A978" s="59" t="n"/>
      <c r="B978" s="58" t="n">
        <v>14</v>
      </c>
      <c r="C978" s="44" t="inlineStr">
        <is>
          <t>A12.01</t>
        </is>
      </c>
      <c r="D978" s="59" t="inlineStr">
        <is>
          <t>Exclusion</t>
        </is>
      </c>
      <c r="E978" s="46" t="inlineStr">
        <is>
          <t>Partition Types, the whole sheet. Cited as a sheet when the finding is the ABSENCE across the sheet (e.g. that no type labels a gypsum control joint).</t>
        </is>
      </c>
      <c r="F978" s="46" t="inlineStr">
        <is>
          <t>excluded.CONTROL_JOINT</t>
        </is>
      </c>
      <c r="G978" s="46" t="inlineStr">
        <is>
          <t>El set no rotula ni detalla ninguna junta de control de gypsum board, ni en A12.01 ni en los detalles de A09.27/A09.33, y no hay seccion de especificaciones 09 29 00 en el bid set.</t>
        </is>
      </c>
    </row>
    <row r="979" ht="25.5" customHeight="1" s="36">
      <c r="A979" s="59" t="n"/>
      <c r="B979" s="58" t="n">
        <v>15</v>
      </c>
      <c r="C979" s="44" t="inlineStr">
        <is>
          <t>4/A09.26</t>
        </is>
      </c>
      <c r="D979" s="59" t="inlineStr">
        <is>
          <t>Quantity</t>
        </is>
      </c>
      <c r="E979" s="46" t="inlineStr">
        <is>
          <t>"SECTION DETAIL @ PARAPET" at 1 1/2"=1'-0". The parapet: glass-mat sheathing, sealant and closure blocking.</t>
        </is>
      </c>
      <c r="F979" s="46" t="inlineStr">
        <is>
          <t>BLOCKING, BOARD, SEALANT</t>
        </is>
      </c>
      <c r="G979" s="46" t="inlineStr">
        <is>
          <t>Label TEXTUAL de 4/A09.26 SECTION DETAIL @ PARAPET: "3/4" F.R.T.</t>
        </is>
      </c>
    </row>
    <row r="980" ht="33" customHeight="1" s="36">
      <c r="A980" s="59" t="n"/>
      <c r="B980" s="58" t="n">
        <v>16</v>
      </c>
      <c r="C980" s="44" t="inlineStr">
        <is>
          <t>7/S5.20</t>
        </is>
      </c>
      <c r="D980" s="59" t="inlineStr">
        <is>
          <t>Quantity</t>
        </is>
      </c>
      <c r="E980" s="46" t="inlineStr">
        <is>
          <t>"METAL STUDS SCHEDULES". The profile: web, flange, lip, mils, gauge and the APPLICATION column with the spacing ("INTERIOR WALLS @ 16" O.C."), plus the SILL TRACK ANCHORAGE and the FASTENER SCHEDULE.</t>
        </is>
      </c>
      <c r="F980" s="46" t="inlineStr">
        <is>
          <t>TRACK_BOTTOM, excluded.BRACING, excluded.CLIPS</t>
        </is>
      </c>
      <c r="G980" s="46" t="inlineStr">
        <is>
          <t>MAX." -- el anchorage aqui es PAF to steel, no el HILTI KWIK BOLT a concreto del bottom track del wall de abajo (7/S5.20).</t>
        </is>
      </c>
    </row>
    <row r="981" ht="25.5" customHeight="1" s="36">
      <c r="A981" s="59" t="n"/>
      <c r="B981" s="58" t="n">
        <v>17</v>
      </c>
      <c r="C981" s="44" t="inlineStr">
        <is>
          <t>A00.30</t>
        </is>
      </c>
      <c r="D981" s="59" t="inlineStr">
        <is>
          <t>Exclusion</t>
        </is>
      </c>
      <c r="E981" s="46" t="inlineStr">
        <is>
          <t>Door Schedule. Leaf width and height of every door and the frame type: source of the header, the board deduction and the reference to 10 and 11/A12.02.</t>
        </is>
      </c>
      <c r="F981" s="46" t="inlineStr">
        <is>
          <t>excluded.HEADER</t>
        </is>
      </c>
      <c r="G981" s="46" t="inlineStr">
        <is>
          <t>Se recorrieron A00.30 Door Schedule y el Window/Storefront Schedule y ninguna abertura del set esta por encima del B.O.D.</t>
        </is>
      </c>
    </row>
    <row r="982" ht="33" customHeight="1" s="36">
      <c r="A982" s="59" t="n"/>
      <c r="B982" s="58" t="n">
        <v>18</v>
      </c>
      <c r="C982" s="44" t="inlineStr">
        <is>
          <t>A09.27</t>
        </is>
      </c>
      <c r="D982" s="59" t="inlineStr">
        <is>
          <t>Exclusion</t>
        </is>
      </c>
      <c r="E982" s="46" t="inlineStr">
        <is>
          <t>Gypsum Section Details, the sheet. Cited as a sheet when the finding is that NO detail on it labels a gypsum control joint.</t>
        </is>
      </c>
      <c r="F982" s="46" t="inlineStr">
        <is>
          <t>excluded.CONTROL_JOINT</t>
        </is>
      </c>
      <c r="G982" s="46" t="inlineStr">
        <is>
          <t>El set no rotula ni detalla ninguna junta de control de gypsum board, ni en A12.01 ni en los detalles de A09.27/A09.33, y no hay seccion de especificaciones 09 29 00 en el bid set.</t>
        </is>
      </c>
    </row>
    <row r="983" ht="33" customHeight="1" s="36">
      <c r="A983" s="59" t="n"/>
      <c r="B983" s="58" t="n">
        <v>19</v>
      </c>
      <c r="C983" s="44" t="inlineStr">
        <is>
          <t>A09.33</t>
        </is>
      </c>
      <c r="D983" s="59" t="inlineStr">
        <is>
          <t>Exclusion</t>
        </is>
      </c>
      <c r="E983" s="46" t="inlineStr">
        <is>
          <t>Ceiling Details, the sheet. Cited as a sheet for a finding by ABSENCE: its details label corner bead, casing bead and shadow molding one by one and NONE labels a control joint, so the omission is not a labeling oversight.</t>
        </is>
      </c>
      <c r="F983" s="46" t="inlineStr">
        <is>
          <t>excluded.CONTROL_JOINT</t>
        </is>
      </c>
      <c r="G983" s="46" t="inlineStr">
        <is>
          <t>El set no rotula ni detalla ninguna junta de control de gypsum board, ni en A12.01 ni en los detalles de A09.27/A09.33, y no hay seccion de especificaciones 09 29 00 en el bid set.</t>
        </is>
      </c>
    </row>
    <row r="984" ht="33" customHeight="1" s="36">
      <c r="A984" s="44" t="inlineStr">
        <is>
          <t>EXT-PARAPET #164</t>
        </is>
      </c>
      <c r="B984" s="58" t="n">
        <v>1</v>
      </c>
      <c r="C984" s="44" t="inlineStr">
        <is>
          <t>A02.01</t>
        </is>
      </c>
      <c r="D984" s="59" t="inlineStr">
        <is>
          <t>Dimension</t>
        </is>
      </c>
      <c r="E984" s="46" t="inlineStr">
        <is>
          <t>Construction Plan. Entry sheet for partitions and openings: vector geometry of every wall face at 1/4"=1'-0", the leader of every partition tag, the Construction Plan Legend (new vs. existing) and the Construction Plan Notes.</t>
        </is>
      </c>
      <c r="F984" s="46" t="inlineStr">
        <is>
          <t>excluded.STOREFRONT_DIV08, length</t>
        </is>
      </c>
      <c r="G984" s="46" t="inlineStr">
        <is>
          <t>La longitud se midio una sola vez, en A02.01 con tools/perimetro.py, y NO se vuelve a medir aqui.</t>
        </is>
      </c>
    </row>
    <row r="985" ht="43.5" customHeight="1" s="36">
      <c r="A985" s="59" t="n"/>
      <c r="B985" s="58" t="n">
        <v>2</v>
      </c>
      <c r="C985" s="44" t="inlineStr">
        <is>
          <t>A/A09.21</t>
        </is>
      </c>
      <c r="D985" s="59" t="inlineStr">
        <is>
          <t>Quantity</t>
        </is>
      </c>
      <c r="E985" s="46" t="inlineStr">
        <is>
          <t>Exterior wall section A. Build-up by layer and height of each layer: 5/8" FRT plywood sheathing over 2 1/2" polyiso, CFMF cavity and interior board.</t>
        </is>
      </c>
      <c r="F985" s="46" t="inlineStr">
        <is>
          <t>BLOCKING, BOARD, SHEATHING_5-8_FRT_PLYWOOD_2-1-2_POLYISO</t>
        </is>
      </c>
      <c r="G985"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6" ht="43.5" customHeight="1" s="36">
      <c r="A986" s="59" t="n"/>
      <c r="B986" s="58" t="n">
        <v>3</v>
      </c>
      <c r="C986" s="44" t="inlineStr">
        <is>
          <t>C/A09.21</t>
        </is>
      </c>
      <c r="D986" s="59" t="inlineStr">
        <is>
          <t>Quantity</t>
        </is>
      </c>
      <c r="E986" s="46" t="inlineStr">
        <is>
          <t>Exterior wall section C. Layer build-up of that run.</t>
        </is>
      </c>
      <c r="F986" s="46" t="inlineStr">
        <is>
          <t>BLOCKING, BOARD, SHEATHING_5-8_FRT_PLYWOOD_2-1-2_POLYISO</t>
        </is>
      </c>
      <c r="G986"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7" ht="43.5" customHeight="1" s="36">
      <c r="A987" s="59" t="n"/>
      <c r="B987" s="58" t="n">
        <v>4</v>
      </c>
      <c r="C987" s="44" t="inlineStr">
        <is>
          <t>D/A09.22</t>
        </is>
      </c>
      <c r="D987" s="59" t="inlineStr">
        <is>
          <t>Quantity</t>
        </is>
      </c>
      <c r="E987" s="46" t="inlineStr">
        <is>
          <t>Exterior wall section D. Layer build-up, board height and the blocking of that run.</t>
        </is>
      </c>
      <c r="F987" s="46" t="inlineStr">
        <is>
          <t>BLOCKING, BOARD, SHEATHING_5-8_FRT_PLYWOOD_2-1-2_POLYISO</t>
        </is>
      </c>
      <c r="G987"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8" ht="25.5" customHeight="1" s="36">
      <c r="A988" s="59" t="n"/>
      <c r="B988" s="58" t="n">
        <v>5</v>
      </c>
      <c r="C988" s="44" t="inlineStr">
        <is>
          <t>H/A09.23</t>
        </is>
      </c>
      <c r="D988" s="59" t="inlineStr">
        <is>
          <t>Quantity</t>
        </is>
      </c>
      <c r="E988" s="46" t="inlineStr">
        <is>
          <t>Exterior wall section H. The one that gives the full build-up: "5/8" FRT PLYWOOD BONDED TO 2 1/2" POLYISO INSULATION", CFMF cavity and the height of each layer.</t>
        </is>
      </c>
      <c r="F988" s="46" t="inlineStr">
        <is>
          <t>BOARD, SHEATHING_5-8_FRT_PLYWOOD_2-1-2_POLYISO, excluded.INSULATION</t>
        </is>
      </c>
      <c r="G988" s="46" t="inlineStr">
        <is>
          <t>Label TEXTUAL de H/A09.23, repetido en J/A09.23, en A/A09.21 y C/A09.21 y en D/A09.22: las cinco secciones del parapet la rotulan igual.</t>
        </is>
      </c>
    </row>
    <row r="989" ht="25.5" customHeight="1" s="36">
      <c r="A989" s="59" t="n"/>
      <c r="B989" s="58" t="n">
        <v>6</v>
      </c>
      <c r="C989" s="44" t="inlineStr">
        <is>
          <t>J/A09.23</t>
        </is>
      </c>
      <c r="D989" s="59" t="inlineStr">
        <is>
          <t>Dimension</t>
        </is>
      </c>
      <c r="E989" s="46" t="inlineStr">
        <is>
          <t>Exterior wall section J. Board height of that run and its blocking.</t>
        </is>
      </c>
      <c r="F989" s="46" t="inlineStr">
        <is>
          <t>BLOCKING, BOARD, SHEATHING_5-8_FRT_PLYWOOD_2-1-2_POLYISO, stud_height</t>
        </is>
      </c>
      <c r="G989" s="46" t="inlineStr">
        <is>
          <t>El tope sale de J/A09.23, datum impreso T.O.</t>
        </is>
      </c>
    </row>
    <row r="990" ht="25.5" customHeight="1" s="36">
      <c r="A990" s="59" t="n"/>
      <c r="B990" s="58" t="n">
        <v>7</v>
      </c>
      <c r="C990" s="44" t="inlineStr">
        <is>
          <t>6/S5.10</t>
        </is>
      </c>
      <c r="D990" s="59" t="inlineStr">
        <is>
          <t>Dimension</t>
        </is>
      </c>
      <c r="E990" s="46" t="inlineStr">
        <is>
          <t>"SECTION AT PERIMETER" at 3/4"=1'-0". Closure of the exterior wall against the roof edge: source of the stud height and the top track of that run.</t>
        </is>
      </c>
      <c r="F990" s="46" t="inlineStr">
        <is>
          <t>STUD, TRACK_TOP, excluded.HSS_POSTS_DIV05_12, face[0].board_height, scope[0].chain[1], scope[0].chain[2], stud_height</t>
        </is>
      </c>
      <c r="G990" s="46" t="inlineStr">
        <is>
          <t>(bottom of deck) = top of steel del perimetro, donde 6/S5.10 y 10/S5.10 SECTION AT PERIMETER rematan el LT.</t>
        </is>
      </c>
    </row>
    <row r="991" ht="25.5" customHeight="1" s="36">
      <c r="A991" s="59" t="n"/>
      <c r="B991" s="58" t="n">
        <v>8</v>
      </c>
      <c r="C991" s="44" t="inlineStr">
        <is>
          <t>10/S5.10</t>
        </is>
      </c>
      <c r="D991" s="59" t="inlineStr">
        <is>
          <t>Dimension</t>
        </is>
      </c>
      <c r="E991" s="46" t="inlineStr">
        <is>
          <t>Perimeter section on S5.10. The other perimeter closure, with its own height.</t>
        </is>
      </c>
      <c r="F991" s="46" t="inlineStr">
        <is>
          <t>STUD, TRACK_TOP, face[0].board_height, scope[0].chain[1], stud_height</t>
        </is>
      </c>
      <c r="G991" s="46" t="inlineStr">
        <is>
          <t>(bottom of deck) = top of steel del perimetro, donde 6/S5.10 y 10/S5.10 SECTION AT PERIMETER rematan el LT.</t>
        </is>
      </c>
    </row>
    <row r="992" ht="25.5" customHeight="1" s="36">
      <c r="A992" s="59" t="n"/>
      <c r="B992" s="58" t="n">
        <v>9</v>
      </c>
      <c r="C992" s="44" t="inlineStr">
        <is>
          <t>11/S5.10</t>
        </is>
      </c>
      <c r="D992" s="59" t="inlineStr">
        <is>
          <t>Dimension</t>
        </is>
      </c>
      <c r="E992" s="46" t="inlineStr">
        <is>
          <t>Section on S5.10. Stud height, track and fastener of that perimeter run.</t>
        </is>
      </c>
      <c r="F992" s="46" t="inlineStr">
        <is>
          <t>BRACING, FASTENER_PWR_DRIVEN, SEALANT, STUD, TRACK_BOTTOM, TRACK_TOP, excluded.HSS_POSTS_DIV05_12, scope[0].chain[0], scope[0].chain[1], stud_height</t>
        </is>
      </c>
      <c r="G992" s="46" t="inlineStr">
        <is>
          <t>11/S5.10 PARAPET INFILL FRAMING, rotulo TEXTUAL: "PARAPET WALL INFILL FRAMING TO BE 600S162-54 @ 16" W/ 600T125-54 TOP &amp; BOT." y "ONE STUD EA.</t>
        </is>
      </c>
    </row>
    <row r="993" ht="25.5" customHeight="1" s="36">
      <c r="A993" s="59" t="n"/>
      <c r="B993" s="58" t="n">
        <v>10</v>
      </c>
      <c r="C993" s="44" t="inlineStr">
        <is>
          <t>7/S5.11</t>
        </is>
      </c>
      <c r="D993" s="59" t="inlineStr">
        <is>
          <t>Dimension</t>
        </is>
      </c>
      <c r="E993" s="46" t="inlineStr">
        <is>
          <t>"ROOF SECTION" at 3/4"=1'-0". Deck height in that run and the top track.</t>
        </is>
      </c>
      <c r="F993" s="46" t="inlineStr">
        <is>
          <t>STUD, scope[0].chain[2], stud_height</t>
        </is>
      </c>
      <c r="G993" s="46" t="inlineStr">
        <is>
          <t>7/S5.11 ROOF SECTION repite la condicion y manda "REF.</t>
        </is>
      </c>
    </row>
    <row r="994" ht="43.5" customHeight="1" s="36">
      <c r="A994" s="59" t="n"/>
      <c r="B994" s="58" t="n">
        <v>11</v>
      </c>
      <c r="C994" s="44" t="inlineStr">
        <is>
          <t>A09.01</t>
        </is>
      </c>
      <c r="D994" s="59" t="inlineStr">
        <is>
          <t>Exclusion</t>
        </is>
      </c>
      <c r="E994" s="46" t="inlineStr">
        <is>
          <t>Exterior Elevations: "SOUTH ELEVATION" and "WEST ELEVATION" at 1/4"=1'-0". Extent of each exterior material and the material legend, verbatim "CJ CONTROL JOINT; PAINT TO MATCH STUCCO FINISH COLOR" - that joint is the STUCCO joint, not gypsum.</t>
        </is>
      </c>
      <c r="F994" s="46" t="inlineStr">
        <is>
          <t>excluded.CONTROL_JOINT, excluded.STOREFRONT_DIV08</t>
        </is>
      </c>
      <c r="G99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95" ht="25.5" customHeight="1" s="36">
      <c r="A995" s="59" t="n"/>
      <c r="B995" s="58" t="n">
        <v>12</v>
      </c>
      <c r="C995" s="44" t="inlineStr">
        <is>
          <t>A09.02</t>
        </is>
      </c>
      <c r="D995" s="59" t="inlineStr">
        <is>
          <t>Exclusion</t>
        </is>
      </c>
      <c r="E995" s="46" t="inlineStr">
        <is>
          <t>Exterior Elevations: "EAST ELEVATION" and "NORTH ELEVATION". Extent of the metal panel and of the AWB, both Div 07.</t>
        </is>
      </c>
      <c r="F995" s="46" t="inlineStr">
        <is>
          <t>excluded.PANEL_METALICO_DIV07</t>
        </is>
      </c>
      <c r="G995" s="46" t="inlineStr">
        <is>
          <t>FORMED METAL WALL PANEL EPS-1 / EPS-3 / EPS-5 y el ACM COPING: los define la leyenda de A09.02 como ALUMINUM COMPOSITE METAL PANEL (B.O.D.</t>
        </is>
      </c>
    </row>
    <row r="996" ht="33" customHeight="1" s="36">
      <c r="A996" s="59" t="n"/>
      <c r="B996" s="58" t="n">
        <v>13</v>
      </c>
      <c r="C996" s="44" t="inlineStr">
        <is>
          <t>A12.01</t>
        </is>
      </c>
      <c r="D996" s="59" t="inlineStr">
        <is>
          <t>Exclusion</t>
        </is>
      </c>
      <c r="E996" s="46" t="inlineStr">
        <is>
          <t>Partition Types, the whole sheet. Cited as a sheet when the finding is the ABSENCE across the sheet (e.g. that no type labels a gypsum control joint).</t>
        </is>
      </c>
      <c r="F996" s="46" t="inlineStr">
        <is>
          <t>excluded.CONTROL_JOINT</t>
        </is>
      </c>
      <c r="G996" s="46" t="inlineStr">
        <is>
          <t>El set no rotula ni detalla ninguna junta de control de gypsum board, ni en A12.01 ni en los detalles de A09.27/A09.33, y no hay seccion de especificaciones 09 29 00 en el bid set.</t>
        </is>
      </c>
    </row>
    <row r="997" ht="25.5" customHeight="1" s="36">
      <c r="A997" s="59" t="n"/>
      <c r="B997" s="58" t="n">
        <v>14</v>
      </c>
      <c r="C997" s="44" t="inlineStr">
        <is>
          <t>4/A09.26</t>
        </is>
      </c>
      <c r="D997" s="59" t="inlineStr">
        <is>
          <t>Quantity</t>
        </is>
      </c>
      <c r="E997" s="46" t="inlineStr">
        <is>
          <t>"SECTION DETAIL @ PARAPET" at 1 1/2"=1'-0". The parapet: glass-mat sheathing, sealant and closure blocking.</t>
        </is>
      </c>
      <c r="F997" s="46" t="inlineStr">
        <is>
          <t>BLOCKING, BOARD, SEALANT</t>
        </is>
      </c>
      <c r="G997" s="46" t="inlineStr">
        <is>
          <t>Label TEXTUAL de 4/A09.26 SECTION DETAIL @ PARAPET: "3/4" F.R.T.</t>
        </is>
      </c>
    </row>
    <row r="998" ht="33" customHeight="1" s="36">
      <c r="A998" s="59" t="n"/>
      <c r="B998" s="58" t="n">
        <v>15</v>
      </c>
      <c r="C998" s="44" t="inlineStr">
        <is>
          <t>7/S5.20</t>
        </is>
      </c>
      <c r="D998" s="59" t="inlineStr">
        <is>
          <t>Quantity</t>
        </is>
      </c>
      <c r="E998" s="46" t="inlineStr">
        <is>
          <t>"METAL STUDS SCHEDULES". The profile: web, flange, lip, mils, gauge and the APPLICATION column with the spacing ("INTERIOR WALLS @ 16" O.C."), plus the SILL TRACK ANCHORAGE and the FASTENER SCHEDULE.</t>
        </is>
      </c>
      <c r="F998" s="46" t="inlineStr">
        <is>
          <t>BRACING, TRACK_BOTTOM, excluded.CLIPS</t>
        </is>
      </c>
      <c r="G998" s="46" t="inlineStr">
        <is>
          <t>7/S5.20 BRIDGING AND BRACING @ 48" O.C., medido sobre la height de ESTE wall (del B.O.D.</t>
        </is>
      </c>
    </row>
    <row r="999" ht="25.5" customHeight="1" s="36">
      <c r="A999" s="59" t="n"/>
      <c r="B999" s="58" t="n">
        <v>16</v>
      </c>
      <c r="C999" s="44" t="inlineStr">
        <is>
          <t>A00.30</t>
        </is>
      </c>
      <c r="D999" s="59" t="inlineStr">
        <is>
          <t>Exclusion</t>
        </is>
      </c>
      <c r="E999" s="46" t="inlineStr">
        <is>
          <t>Door Schedule. Leaf width and height of every door and the frame type: source of the header, the board deduction and the reference to 10 and 11/A12.02.</t>
        </is>
      </c>
      <c r="F999" s="46" t="inlineStr">
        <is>
          <t>excluded.HEADER</t>
        </is>
      </c>
      <c r="G999" s="46" t="inlineStr">
        <is>
          <t>Se recorrieron A00.30 Door Schedule y el Window/Storefront Schedule y ninguna abertura del set esta por encima del B.O.D.</t>
        </is>
      </c>
    </row>
    <row r="1000" ht="33" customHeight="1" s="36">
      <c r="A1000" s="59" t="n"/>
      <c r="B1000" s="58" t="n">
        <v>17</v>
      </c>
      <c r="C1000" s="44" t="inlineStr">
        <is>
          <t>A09.27</t>
        </is>
      </c>
      <c r="D1000" s="59" t="inlineStr">
        <is>
          <t>Exclusion</t>
        </is>
      </c>
      <c r="E1000" s="46" t="inlineStr">
        <is>
          <t>Gypsum Section Details, the sheet. Cited as a sheet when the finding is that NO detail on it labels a gypsum control joint.</t>
        </is>
      </c>
      <c r="F1000" s="46" t="inlineStr">
        <is>
          <t>excluded.CONTROL_JOINT</t>
        </is>
      </c>
      <c r="G1000" s="46" t="inlineStr">
        <is>
          <t>El set no rotula ni detalla ninguna junta de control de gypsum board, ni en A12.01 ni en los detalles de A09.27/A09.33, y no hay seccion de especificaciones 09 29 00 en el bid set.</t>
        </is>
      </c>
    </row>
    <row r="1001" ht="33" customHeight="1" s="36">
      <c r="A1001" s="59" t="n"/>
      <c r="B1001" s="58" t="n">
        <v>18</v>
      </c>
      <c r="C1001" s="44" t="inlineStr">
        <is>
          <t>A09.33</t>
        </is>
      </c>
      <c r="D1001" s="59" t="inlineStr">
        <is>
          <t>Exclusion</t>
        </is>
      </c>
      <c r="E1001" s="46" t="inlineStr">
        <is>
          <t>Ceiling Details, the sheet. Cited as a sheet for a finding by ABSENCE: its details label corner bead, casing bead and shadow molding one by one and NONE labels a control joint, so the omission is not a labeling oversight.</t>
        </is>
      </c>
      <c r="F1001" s="46" t="inlineStr">
        <is>
          <t>excluded.CONTROL_JOINT</t>
        </is>
      </c>
      <c r="G1001" s="46" t="inlineStr">
        <is>
          <t>El set no rotula ni detalla ninguna junta de control de gypsum board, ni en A12.01 ni en los detalles de A09.27/A09.33, y no hay seccion de especificaciones 09 29 00 en el bid set.</t>
        </is>
      </c>
    </row>
    <row r="1002" ht="33" customHeight="1" s="36">
      <c r="A1002" s="44" t="inlineStr">
        <is>
          <t>F #40</t>
        </is>
      </c>
      <c r="B1002" s="58" t="n">
        <v>1</v>
      </c>
      <c r="C1002" s="44" t="inlineStr">
        <is>
          <t>A02.01</t>
        </is>
      </c>
      <c r="D1002" s="59" t="inlineStr">
        <is>
          <t>Dimension</t>
        </is>
      </c>
      <c r="E1002" s="46" t="inlineStr">
        <is>
          <t>Construction Plan. Entry sheet for partitions and openings: vector geometry of every wall face at 1/4"=1'-0", the leader of every partition tag, the Construction Plan Legend (new vs. existing) and the Construction Plan Notes.</t>
        </is>
      </c>
      <c r="F1002" s="46" t="inlineStr">
        <is>
          <t>BLOCKING, excluded.PATCH, length, scope[0].chain[0], scope[2].chain[1]</t>
        </is>
      </c>
      <c r="G1002" s="46" t="inlineStr">
        <is>
          <t>La dimension impresa 15'-7 3/4" de A02.01 es HORIZONTAL (linea de dimension horizontal en y=729, de x 845.65 a x 1127.30 = 281.65 pt = 15.647 ft).</t>
        </is>
      </c>
    </row>
    <row r="1003" ht="25.5" customHeight="1" s="36">
      <c r="A1003" s="59" t="n"/>
      <c r="B1003" s="58" t="n">
        <v>2</v>
      </c>
      <c r="C1003" s="44" t="inlineStr">
        <is>
          <t>1/A08.11</t>
        </is>
      </c>
      <c r="D1003" s="59" t="inlineStr">
        <is>
          <t>Opening</t>
        </is>
      </c>
      <c r="E1003" s="46" t="inlineStr">
        <is>
          <t>ATM detail on A08.11: the 2'-3" rough opening of the niche, printed dimension.</t>
        </is>
      </c>
      <c r="F1003" s="46" t="inlineStr">
        <is>
          <t>excluded.ATM_SURROUND_DIV11, openings[0].head, openings[0].sill, scope[2].chain[0]</t>
        </is>
      </c>
      <c r="G1003" s="46" t="inlineStr">
        <is>
          <t>1/A08.11 NHA 7800TC (CEN1) WU ATM ELEVATION: 2'-8 1/4" R.O.</t>
        </is>
      </c>
    </row>
    <row r="1004" ht="33" customHeight="1" s="36">
      <c r="A1004" s="59" t="n"/>
      <c r="B1004" s="58" t="n">
        <v>3</v>
      </c>
      <c r="C1004" s="44" t="inlineStr">
        <is>
          <t>5/A08.11</t>
        </is>
      </c>
      <c r="D1004" s="59" t="inlineStr">
        <is>
          <t>Quantity</t>
        </is>
      </c>
      <c r="E1004" s="46" t="inlineStr">
        <is>
          <t>"ATM ELEVATION" at 3/4"=1'-0". Height of the ATM niche: source of the header.</t>
        </is>
      </c>
      <c r="F1004" s="46" t="inlineStr">
        <is>
          <t>SILL_TRACK</t>
        </is>
      </c>
      <c r="G1004" s="46" t="inlineStr">
        <is>
          <t>The opening and its height come from 5/A08.11 ATM ELEVATION; the frame comes from 9/S5.20, which draws the opening down to the floor and therefore shows no sill piece: here there IS one, derived by applying the same head-track rule at the lower edge.</t>
        </is>
      </c>
    </row>
    <row r="1005" ht="43.5" customHeight="1" s="36">
      <c r="A1005" s="59" t="n"/>
      <c r="B1005" s="58" t="n">
        <v>4</v>
      </c>
      <c r="C1005" s="44" t="inlineStr">
        <is>
          <t>9/A08.11</t>
        </is>
      </c>
      <c r="D1005" s="59" t="inlineStr">
        <is>
          <t>Exclusion</t>
        </is>
      </c>
      <c r="E1005" s="46" t="inlineStr">
        <is>
          <t>"ATM ROOM WEST ELEVATION". That face of the ATM room and the Div 06 plinth.</t>
        </is>
      </c>
      <c r="F1005" s="46" t="inlineStr">
        <is>
          <t>excluded.PLINTH_DEL_ATM_DIV06</t>
        </is>
      </c>
      <c r="G1005" s="46" t="inlineStr">
        <is>
          <t>El plinto del ATM walk-up es GC BUILT pero es CARPINTERIA, no metal frame: 9/A08.11 NHA 9T (CEN-1) ATM PLINTH FRAMING PLAN lo arma con "2X4 FRT PERIMETER FRAMING", "4X4 FRT FRAMING" y "FRT PLYWOOD ON FRAMING", con "PAINT PLINTH WHITE" y "ATM DEPLOYMENT RIGGERS TO LOCATE PLINTH ON FINISH FLOOR AND DRILL ANCHOR BOLT HOL…</t>
        </is>
      </c>
    </row>
    <row r="1006" ht="33" customHeight="1" s="36">
      <c r="A1006" s="59" t="n"/>
      <c r="B1006" s="58" t="n">
        <v>5</v>
      </c>
      <c r="C1006" s="44" t="inlineStr">
        <is>
          <t>A04.01</t>
        </is>
      </c>
      <c r="D1006" s="59" t="inlineStr">
        <is>
          <t>Dimension</t>
        </is>
      </c>
      <c r="E1006" s="46" t="inlineStr">
        <is>
          <t>Reflected Ceiling Plan. Entry sheet for ceilings, soffits and canopy; on walls it gives the BOARD HEIGHT: each room ceiling tag with its printed A.F.F. dimension, plus the ceiling key notes.</t>
        </is>
      </c>
      <c r="F1006" s="46" t="inlineStr">
        <is>
          <t>BLOCKING, face[1].board_height, scope[1].chain[1]</t>
        </is>
      </c>
      <c r="G1006" s="46" t="inlineStr">
        <is>
          <t>cielo ACT-5 a 8'-6" (A04.01 tag del ATM ROOM 102) mas los 6" que rotula 12/A12.01 entre el tope del board y el cielo = 9.000 ft.</t>
        </is>
      </c>
    </row>
    <row r="1007" ht="25.5" customHeight="1" s="36">
      <c r="A1007" s="59" t="n"/>
      <c r="B1007" s="58" t="n">
        <v>6</v>
      </c>
      <c r="C1007" s="44" t="inlineStr">
        <is>
          <t>S2.20</t>
        </is>
      </c>
      <c r="D1007" s="59" t="inlineStr">
        <is>
          <t>Dimension</t>
        </is>
      </c>
      <c r="E1007" s="46" t="inlineStr">
        <is>
          <t>"ROOF FRAMING PLAN". Source of the STUD HEIGHT: every B.O.D. callout on the sheet and the slope of the bay between grids B and A (1/4" per foot).</t>
        </is>
      </c>
      <c r="F1007" s="46" t="inlineStr">
        <is>
          <t>face[0].board_height, stud_height</t>
        </is>
      </c>
      <c r="G1007" s="46" t="inlineStr">
        <is>
          <t>15'-4 1/2" of S2.20 minus the datum T/SLAB 0'-0": 15.375 - 0 = 15.375 ft.</t>
        </is>
      </c>
    </row>
    <row r="1008" ht="25.5" customHeight="1" s="36">
      <c r="A1008" s="59" t="n"/>
      <c r="B1008" s="58" t="n">
        <v>7</v>
      </c>
      <c r="C1008" s="44" t="inlineStr">
        <is>
          <t>12/A12.01</t>
        </is>
      </c>
      <c r="D1008" s="59" t="inlineStr">
        <is>
          <t>Dimension</t>
        </is>
      </c>
      <c r="E1008" s="46" t="inlineStr">
        <is>
          <t>"PARTITION TYPE F". Stud and board of type F.</t>
        </is>
      </c>
      <c r="F1008" s="46" t="inlineStr">
        <is>
          <t>BLOCKING, BOARD, BRACING, HEADER, PLYWOOD_3-4_FRT, SEALANT, STUD, TRACK_BOTTOM, TRACK_TOP, excluded.INSULATION, face[0].board_height, face[1].board_height, scope[0].chain[1], scope[1].chain[0]</t>
        </is>
      </c>
      <c r="G1008" s="46" t="inlineStr">
        <is>
          <t>12/A12.01 "3/4" FRT PLYWOOD ON PUBLIC SIDE OF PARTITION, EXTEND TO DECK ABOVE" gives the RULE (board runs to the underside of structure above); it does NOT print the number.</t>
        </is>
      </c>
    </row>
    <row r="1009" ht="43.5" customHeight="1" s="36">
      <c r="A1009" s="59" t="n"/>
      <c r="B1009" s="58" t="n">
        <v>8</v>
      </c>
      <c r="C1009" s="44" t="inlineStr">
        <is>
          <t>A09.01</t>
        </is>
      </c>
      <c r="D1009" s="59" t="inlineStr">
        <is>
          <t>Exclusion</t>
        </is>
      </c>
      <c r="E1009" s="46" t="inlineStr">
        <is>
          <t>Exterior Elevations: "SOUTH ELEVATION" and "WEST ELEVATION" at 1/4"=1'-0". Extent of each exterior material and the material legend, verbatim "CJ CONTROL JOINT; PAINT TO MATCH STUCCO FINISH COLOR" - that joint is the STUCCO joint, not gypsum.</t>
        </is>
      </c>
      <c r="F1009" s="46" t="inlineStr">
        <is>
          <t>excluded.CONTROL_JOINT</t>
        </is>
      </c>
      <c r="G100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10" ht="25.5" customHeight="1" s="36">
      <c r="A1010" s="59" t="n"/>
      <c r="B1010" s="58" t="n">
        <v>9</v>
      </c>
      <c r="C1010" s="44" t="inlineStr">
        <is>
          <t>8/A12.06</t>
        </is>
      </c>
      <c r="D1010" s="59" t="inlineStr">
        <is>
          <t>Quantity</t>
        </is>
      </c>
      <c r="E1010" s="46" t="inlineStr">
        <is>
          <t>"MW18 PLAN" at 3/4"=1'-0". Plan of MW18, the unit that bears against the ATM room face: fixes where the blocking run goes.</t>
        </is>
      </c>
      <c r="F1010" s="46" t="inlineStr">
        <is>
          <t>BLOCKING</t>
        </is>
      </c>
      <c r="G1010" s="46" t="inlineStr">
        <is>
          <t>The casework is MW18: 8/A12.06 MW18 PLAN y 9/A12.06 MW18 ELEV, los dos a 3/4 in = 1 ft.</t>
        </is>
      </c>
    </row>
    <row r="1011" ht="25.5" customHeight="1" s="36">
      <c r="A1011" s="59" t="n"/>
      <c r="B1011" s="58" t="n">
        <v>10</v>
      </c>
      <c r="C1011" s="44" t="inlineStr">
        <is>
          <t>9/A12.06</t>
        </is>
      </c>
      <c r="D1011" s="59" t="inlineStr">
        <is>
          <t>Quantity</t>
        </is>
      </c>
      <c r="E1011" s="46" t="inlineStr">
        <is>
          <t>"MW18 ELEV" at 3/4"=1'-0". Elevation of MW18: fixes the height of the blocking run.</t>
        </is>
      </c>
      <c r="F1011" s="46" t="inlineStr">
        <is>
          <t>BLOCKING</t>
        </is>
      </c>
      <c r="G1011" s="46" t="inlineStr">
        <is>
          <t>The casework is MW18: 8/A12.06 MW18 PLAN y 9/A12.06 MW18 ELEV, los dos a 3/4 in = 1 ft.</t>
        </is>
      </c>
    </row>
    <row r="1012" ht="33" customHeight="1" s="36">
      <c r="A1012" s="59" t="n"/>
      <c r="B1012" s="58" t="n">
        <v>11</v>
      </c>
      <c r="C1012" s="44" t="inlineStr">
        <is>
          <t>1/S5.20</t>
        </is>
      </c>
      <c r="D1012" s="59" t="inlineStr">
        <is>
          <t>Quantity</t>
        </is>
      </c>
      <c r="E1012" s="46" t="inlineStr">
        <is>
          <t>"TYPICAL WALL FRAMING DETAILS". Holds sub-details A through F; sub-detail F "BRIDGING AND BRACING - CONTINUOUS BRIDGING" is the bracing one: 1 1/2" C.R. CHANNEL welded to every stud. (Bracing is NOT in 5/S5.20, which is TYPICAL WALL FRAMING CONNX.)</t>
        </is>
      </c>
      <c r="F1012" s="46" t="inlineStr">
        <is>
          <t>BRACING</t>
        </is>
      </c>
      <c r="G1012" s="46" t="inlineStr">
        <is>
          <t>12/A12.01 rotula "BRACE AS REQUIRED (TYP.)" y 1/S5.20 sub-detalle F sets the spacing en 48" O.C.</t>
        </is>
      </c>
    </row>
    <row r="1013" ht="33" customHeight="1" s="36">
      <c r="A1013" s="59" t="n"/>
      <c r="B1013" s="58" t="n">
        <v>12</v>
      </c>
      <c r="C1013" s="44" t="inlineStr">
        <is>
          <t>4/S5.20</t>
        </is>
      </c>
      <c r="D1013" s="59" t="inlineStr">
        <is>
          <t>Quantity</t>
        </is>
      </c>
      <c r="E1013" s="46" t="inlineStr">
        <is>
          <t>"TYPICAL BLOCKING DETAIL". STUD BLOCKING 362CR22 and CLIP ANGLE 362CR22, with the boxed verbatim note "PROVIDE BLOCKING AT THE EDGE OF GYPBOARD." - source of the blocking at EVERY free edge of board.</t>
        </is>
      </c>
      <c r="F1013" s="46" t="inlineStr">
        <is>
          <t>BLOCKING</t>
        </is>
      </c>
      <c r="G1013" s="46" t="inlineStr">
        <is>
          <t>4/S5.20 TYPICAL BLOCKING DETAIL, boxed note, textual: "PROVIDE BLOCKING AT THE EDGE OF GYPBOARD", with STUD BLOCKING 362CR22 (TYP.) and CLIP ANGLE 362CR22 (TYP.) &amp; BLOCKING W/ SCREWS (TYP.).</t>
        </is>
      </c>
    </row>
    <row r="1014" ht="33" customHeight="1" s="36">
      <c r="A1014" s="59" t="n"/>
      <c r="B1014" s="58" t="n">
        <v>13</v>
      </c>
      <c r="C1014" s="44" t="inlineStr">
        <is>
          <t>7/S5.20</t>
        </is>
      </c>
      <c r="D1014" s="59" t="inlineStr">
        <is>
          <t>Exclusion</t>
        </is>
      </c>
      <c r="E1014" s="46" t="inlineStr">
        <is>
          <t>"METAL STUDS SCHEDULES". The profile: web, flange, lip, mils, gauge and the APPLICATION column with the spacing ("INTERIOR WALLS @ 16" O.C."), plus the SILL TRACK ANCHORAGE and the FASTENER SCHEDULE.</t>
        </is>
      </c>
      <c r="F1014" s="46" t="inlineStr">
        <is>
          <t>excluded.CLIPS</t>
        </is>
      </c>
      <c r="G1014" s="46" t="inlineStr">
        <is>
          <t>El TYPICAL STUD FASTENER SCHEDULE de 7/S5.20 resuelve la conexion del bracing con screw (DIAGONAL BRACING TO STUD: 1/2" #8 TEKS LOW, 1 @ EACH STUD) y no lista ningun clip de bridging.</t>
        </is>
      </c>
    </row>
    <row r="1015" ht="33" customHeight="1" s="36">
      <c r="A1015" s="59" t="n"/>
      <c r="B1015" s="58" t="n">
        <v>14</v>
      </c>
      <c r="C1015" s="44" t="inlineStr">
        <is>
          <t>9/S5.20</t>
        </is>
      </c>
      <c r="D1015" s="59" t="inlineStr">
        <is>
          <t>Quantity</t>
        </is>
      </c>
      <c r="E1015" s="46" t="inlineStr">
        <is>
          <t>"OPNG IN NON-LOAD-BRG WALLS". The opening frame: DBL JAMB STUD (2 per jamb) and HEAD TRACK with the condition "DOUBLE TRACK @ OPNG &gt; 4'-0"".</t>
        </is>
      </c>
      <c r="F1015" s="46" t="inlineStr">
        <is>
          <t>HEADER, SILL_TRACK</t>
        </is>
      </c>
      <c r="G1015" s="46" t="inlineStr">
        <is>
          <t>9/S5.20 OPNG IN NON-LOAD-BRG WALLS rotula HEAD TRACK y DBL JAMB STUD; the stud and the spacing are those of 12/A12.01 PARTITION TYPE F, which labels TEXTUAL 3 5/8" METAL STUDS AT 16" O.C.</t>
        </is>
      </c>
    </row>
    <row r="1016" ht="25.5" customHeight="1" s="36">
      <c r="A1016" s="59" t="n"/>
      <c r="B1016" s="58" t="n">
        <v>15</v>
      </c>
      <c r="C1016" s="44" t="inlineStr">
        <is>
          <t>A00.01</t>
        </is>
      </c>
      <c r="D1016" s="59" t="inlineStr">
        <is>
          <t>Exclusion</t>
        </is>
      </c>
      <c r="E1016" s="46" t="inlineStr">
        <is>
          <t>Cover sheet and Drawing Index. Proof by ABSENCE: the index lists no interior Demolition Plan, which is why there is no patch-and-repair line item.</t>
        </is>
      </c>
      <c r="F1016" s="46" t="inlineStr">
        <is>
          <t>excluded.PATCH</t>
        </is>
      </c>
      <c r="G1016" s="46" t="inlineStr">
        <is>
          <t>Obra ground-up: el Drawing Index de A00.01 no trae Demolition Plan interior y la Construction Plan Legend de A02.01 rotula esta banda como NEW PARTITION.</t>
        </is>
      </c>
    </row>
    <row r="1017" ht="33" customHeight="1" s="36">
      <c r="A1017" s="59" t="n"/>
      <c r="B1017" s="58" t="n">
        <v>16</v>
      </c>
      <c r="C1017" s="44" t="inlineStr">
        <is>
          <t>A09.27</t>
        </is>
      </c>
      <c r="D1017" s="59" t="inlineStr">
        <is>
          <t>Exclusion</t>
        </is>
      </c>
      <c r="E1017" s="46" t="inlineStr">
        <is>
          <t>Gypsum Section Details, the sheet. Cited as a sheet when the finding is that NO detail on it labels a gypsum control joint.</t>
        </is>
      </c>
      <c r="F1017" s="46" t="inlineStr">
        <is>
          <t>excluded.CONTROL_JOINT</t>
        </is>
      </c>
      <c r="G1017" s="46" t="inlineStr">
        <is>
          <t>El set no rotula ni detalla ninguna junta de control de gypsum board, ni en A12.01 ni en los detalles de A09.27/A09.33, y no hay seccion de especificaciones 09 29 00 en el bid set.</t>
        </is>
      </c>
    </row>
    <row r="1018" ht="33" customHeight="1" s="36">
      <c r="A1018" s="59" t="n"/>
      <c r="B1018" s="58" t="n">
        <v>17</v>
      </c>
      <c r="C1018" s="44" t="inlineStr">
        <is>
          <t>A09.33</t>
        </is>
      </c>
      <c r="D1018" s="59" t="inlineStr">
        <is>
          <t>Exclusion</t>
        </is>
      </c>
      <c r="E1018" s="46" t="inlineStr">
        <is>
          <t>Ceiling Details, the sheet. Cited as a sheet for a finding by ABSENCE: its details label corner bead, casing bead and shadow molding one by one and NONE labels a control joint, so the omission is not a labeling oversight.</t>
        </is>
      </c>
      <c r="F1018" s="46" t="inlineStr">
        <is>
          <t>excluded.CONTROL_JOINT</t>
        </is>
      </c>
      <c r="G1018" s="46" t="inlineStr">
        <is>
          <t>El set no rotula ni detalla ninguna junta de control de gypsum board, ni en A12.01 ni en los detalles de A09.27/A09.33, y no hay seccion de especificaciones 09 29 00 en el bid set.</t>
        </is>
      </c>
    </row>
    <row r="1019" ht="33" customHeight="1" s="36">
      <c r="A1019" s="44" t="inlineStr">
        <is>
          <t>G #45</t>
        </is>
      </c>
      <c r="B1019" s="58" t="n">
        <v>1</v>
      </c>
      <c r="C1019" s="44" t="inlineStr">
        <is>
          <t>A02.01</t>
        </is>
      </c>
      <c r="D1019" s="59" t="inlineStr">
        <is>
          <t>Dimension</t>
        </is>
      </c>
      <c r="E1019" s="46" t="inlineStr">
        <is>
          <t>Construction Plan. Entry sheet for partitions and openings: vector geometry of every wall face at 1/4"=1'-0", the leader of every partition tag, the Construction Plan Legend (new vs. existing) and the Construction Plan Notes.</t>
        </is>
      </c>
      <c r="F1019" s="46" t="inlineStr">
        <is>
          <t>BLOCKING, excluded.BLOCKING_OTRAS_CARAS, excluded.HEADER, length.source, scope[0].chain[1], scope[1].chain[0]</t>
        </is>
      </c>
      <c r="G1019" s="46" t="inlineStr">
        <is>
          <t>A02.01 printed dimension 11'-9 1/4" over the wall</t>
        </is>
      </c>
    </row>
    <row r="1020" ht="33" customHeight="1" s="36">
      <c r="A1020" s="59" t="n"/>
      <c r="B1020" s="58" t="n">
        <v>2</v>
      </c>
      <c r="C1020" s="44" t="inlineStr">
        <is>
          <t>A04.01</t>
        </is>
      </c>
      <c r="D1020" s="59" t="inlineStr">
        <is>
          <t>Quantity</t>
        </is>
      </c>
      <c r="E1020" s="46" t="inlineStr">
        <is>
          <t>Reflected Ceiling Plan. Entry sheet for ceilings, soffits and canopy; on walls it gives the BOARD HEIGHT: each room ceiling tag with its printed A.F.F. dimension, plus the ceiling key notes.</t>
        </is>
      </c>
      <c r="F1020" s="46" t="inlineStr">
        <is>
          <t>NIVEL5</t>
        </is>
      </c>
      <c r="G1020" s="46" t="inlineStr">
        <is>
          <t>Cielo de oficina 9'-0" (A04.01 ACT-4).</t>
        </is>
      </c>
    </row>
    <row r="1021" ht="25.5" customHeight="1" s="36">
      <c r="A1021" s="59" t="n"/>
      <c r="B1021" s="58" t="n">
        <v>3</v>
      </c>
      <c r="C1021" s="44" t="inlineStr">
        <is>
          <t>S2.20</t>
        </is>
      </c>
      <c r="D1021" s="59" t="inlineStr">
        <is>
          <t>Dimension</t>
        </is>
      </c>
      <c r="E1021" s="46" t="inlineStr">
        <is>
          <t>"ROOF FRAMING PLAN". Source of the STUD HEIGHT: every B.O.D. callout on the sheet and the slope of the bay between grids B and A (1/4" per foot).</t>
        </is>
      </c>
      <c r="F1021" s="46" t="inlineStr">
        <is>
          <t>face[0].board_height, face[1].board_height, scope[2].chain[1], stud_height</t>
        </is>
      </c>
      <c r="G1021" s="46" t="inlineStr">
        <is>
          <t>15'-4 1/2" of S2.20 minus the datum T/SLAB 0'-0": 15.375 - 0 = 15.375 ft.</t>
        </is>
      </c>
    </row>
    <row r="1022" ht="25.5" customHeight="1" s="36">
      <c r="A1022" s="59" t="n"/>
      <c r="B1022" s="58" t="n">
        <v>4</v>
      </c>
      <c r="C1022" s="44" t="inlineStr">
        <is>
          <t>6/A11.01</t>
        </is>
      </c>
      <c r="D1022" s="59" t="inlineStr">
        <is>
          <t>Quantity</t>
        </is>
      </c>
      <c r="E1022" s="46" t="inlineStr">
        <is>
          <t>"OFFICE 2 - SOUTH" (verified at 600 dpi). What hangs on that face.</t>
        </is>
      </c>
      <c r="F1022" s="46" t="inlineStr">
        <is>
          <t>NIVEL5</t>
        </is>
      </c>
      <c r="G1022" s="46" t="inlineStr">
        <is>
          <t>Fuente del tag: 6/A11.01 OFFICE 2 - SOUTH, tag WC-18</t>
        </is>
      </c>
    </row>
    <row r="1023" ht="25.5" customHeight="1" s="36">
      <c r="A1023" s="59" t="n"/>
      <c r="B1023" s="58" t="n">
        <v>5</v>
      </c>
      <c r="C1023" s="44" t="inlineStr">
        <is>
          <t>7/A11.04</t>
        </is>
      </c>
      <c r="D1023" s="59" t="inlineStr">
        <is>
          <t>Quantity</t>
        </is>
      </c>
      <c r="E1023" s="46" t="inlineStr">
        <is>
          <t>"OFFICE 3 - NORTH". What hangs on that face.</t>
        </is>
      </c>
      <c r="F1023" s="46" t="inlineStr">
        <is>
          <t>BLOCKING, scope[0].chain[0]</t>
        </is>
      </c>
      <c r="G1023" s="46" t="inlineStr">
        <is>
          <t>ARTWORK dashed de 4'-0" x 4'-0" con el borde inferior a 3'-0" A.F.F., centrado EQ/4'-0"/EQ en esta face (7/A11.04 OFFICE 3 - NORTH).</t>
        </is>
      </c>
    </row>
    <row r="1024" ht="25.5" customHeight="1" s="36">
      <c r="A1024" s="59" t="n"/>
      <c r="B1024" s="58" t="n">
        <v>6</v>
      </c>
      <c r="C1024" s="44" t="inlineStr">
        <is>
          <t>5/A12.01</t>
        </is>
      </c>
      <c r="D1024" s="59" t="inlineStr">
        <is>
          <t>Dimension</t>
        </is>
      </c>
      <c r="E1024" s="46" t="inlineStr">
        <is>
          <t>"PARTITION G" (officefront). Stud and board of type G.</t>
        </is>
      </c>
      <c r="F1024" s="46" t="inlineStr">
        <is>
          <t>BOARD, SEALANT, STUD, TRACK_BOTTOM, TRACK_TOP, excluded.INSULATION, face[0].board_height, face[1].board_height, scope[1].afirmacion, scope[1].chain[1], scope[2].chain[0]</t>
        </is>
      </c>
      <c r="G1024" s="46" t="inlineStr">
        <is>
          <t>5/A12.01 PARTITION G gives the RULE (board runs to the underside of structure above); it does NOT print the number.</t>
        </is>
      </c>
    </row>
    <row r="1025" ht="33" customHeight="1" s="36">
      <c r="A1025" s="59" t="n"/>
      <c r="B1025" s="58" t="n">
        <v>7</v>
      </c>
      <c r="C1025" s="44" t="inlineStr">
        <is>
          <t>1/S5.20</t>
        </is>
      </c>
      <c r="D1025" s="59" t="inlineStr">
        <is>
          <t>Quantity</t>
        </is>
      </c>
      <c r="E1025" s="46" t="inlineStr">
        <is>
          <t>"TYPICAL WALL FRAMING DETAILS". Holds sub-details A through F; sub-detail F "BRIDGING AND BRACING - CONTINUOUS BRIDGING" is the bracing one: 1 1/2" C.R. CHANNEL welded to every stud. (Bracing is NOT in 5/S5.20, which is TYPICAL WALL FRAMING CONNX.)</t>
        </is>
      </c>
      <c r="F1025" s="46" t="inlineStr">
        <is>
          <t>BRACING, excluded.CLIPS</t>
        </is>
      </c>
      <c r="G1025" s="46" t="inlineStr">
        <is>
          <t>1/S5.20 sub-detalle F "BRIDGING AND BRACING - CONTINUOUS BRIDGING" sets the 1 1/2" C.R.</t>
        </is>
      </c>
    </row>
    <row r="1026" ht="33" customHeight="1" s="36">
      <c r="A1026" s="59" t="n"/>
      <c r="B1026" s="58" t="n">
        <v>8</v>
      </c>
      <c r="C1026" s="44" t="inlineStr">
        <is>
          <t>7/S5.20</t>
        </is>
      </c>
      <c r="D1026" s="59" t="inlineStr">
        <is>
          <t>Quantity</t>
        </is>
      </c>
      <c r="E1026" s="46" t="inlineStr">
        <is>
          <t>"METAL STUDS SCHEDULES". The profile: web, flange, lip, mils, gauge and the APPLICATION column with the spacing ("INTERIOR WALLS @ 16" O.C."), plus the SILL TRACK ANCHORAGE and the FASTENER SCHEDULE.</t>
        </is>
      </c>
      <c r="F1026" s="46" t="inlineStr">
        <is>
          <t>BRACING, STUD</t>
        </is>
      </c>
      <c r="G1026" s="46" t="inlineStr">
        <is>
          <t>CHANNEL welded to every stud; the spacing comes from 7/S5.20.</t>
        </is>
      </c>
    </row>
    <row r="1027" ht="25.5" customHeight="1" s="36">
      <c r="A1027" s="59" t="n"/>
      <c r="B1027" s="58" t="n">
        <v>9</v>
      </c>
      <c r="C1027" s="44" t="inlineStr">
        <is>
          <t>9/S5.20</t>
        </is>
      </c>
      <c r="D1027" s="59" t="inlineStr">
        <is>
          <t>Quantity</t>
        </is>
      </c>
      <c r="E1027" s="46" t="inlineStr">
        <is>
          <t>"OPNG IN NON-LOAD-BRG WALLS". The opening frame: DBL JAMB STUD (2 per jamb) and HEAD TRACK with the condition "DOUBLE TRACK @ OPNG &gt; 4'-0"".</t>
        </is>
      </c>
      <c r="F1027" s="46" t="inlineStr">
        <is>
          <t>STUD, TRACK_BOTTOM, TRACK_TOP</t>
        </is>
      </c>
      <c r="G1027" s="46" t="inlineStr">
        <is>
          <t>sale de 7/S5.20 METAL STUD PROPERTIES, columna APPLICATION "INTERIOR WALLS @ 16" O.C."; the jamb studs of the opening are called for by 9/S5.20 con "DBL JAMB STUD".</t>
        </is>
      </c>
    </row>
    <row r="1028" ht="43.5" customHeight="1" s="36">
      <c r="A1028" s="59" t="n"/>
      <c r="B1028" s="58" t="n">
        <v>10</v>
      </c>
      <c r="C1028" s="44" t="inlineStr">
        <is>
          <t>A09.01</t>
        </is>
      </c>
      <c r="D1028" s="59" t="inlineStr">
        <is>
          <t>Exclusion</t>
        </is>
      </c>
      <c r="E1028" s="46" t="inlineStr">
        <is>
          <t>Exterior Elevations: "SOUTH ELEVATION" and "WEST ELEVATION" at 1/4"=1'-0". Extent of each exterior material and the material legend, verbatim "CJ CONTROL JOINT; PAINT TO MATCH STUCCO FINISH COLOR" - that joint is the STUCCO joint, not gypsum.</t>
        </is>
      </c>
      <c r="F1028" s="46" t="inlineStr">
        <is>
          <t>excluded.CONTROL_JOINT</t>
        </is>
      </c>
      <c r="G102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29" ht="25.5" customHeight="1" s="36">
      <c r="A1029" s="59" t="n"/>
      <c r="B1029" s="58" t="n">
        <v>11</v>
      </c>
      <c r="C1029" s="44" t="inlineStr">
        <is>
          <t>A00.01</t>
        </is>
      </c>
      <c r="D1029" s="59" t="inlineStr">
        <is>
          <t>Exclusion</t>
        </is>
      </c>
      <c r="E1029" s="46" t="inlineStr">
        <is>
          <t>Cover sheet and Drawing Index. Proof by ABSENCE: the index lists no interior Demolition Plan, which is why there is no patch-and-repair line item.</t>
        </is>
      </c>
      <c r="F1029" s="46" t="inlineStr">
        <is>
          <t>excluded.PATCH</t>
        </is>
      </c>
      <c r="G1029" s="46" t="inlineStr">
        <is>
          <t>Obra ground-up: el Drawing Index de A00.01 no trae Demolition Plan interior, asi que no hay superficie existente que parchear en estos walls.</t>
        </is>
      </c>
    </row>
    <row r="1030" ht="33" customHeight="1" s="36">
      <c r="A1030" s="59" t="n"/>
      <c r="B1030" s="58" t="n">
        <v>12</v>
      </c>
      <c r="C1030" s="44" t="inlineStr">
        <is>
          <t>A09.27</t>
        </is>
      </c>
      <c r="D1030" s="59" t="inlineStr">
        <is>
          <t>Exclusion</t>
        </is>
      </c>
      <c r="E1030" s="46" t="inlineStr">
        <is>
          <t>Gypsum Section Details, the sheet. Cited as a sheet when the finding is that NO detail on it labels a gypsum control joint.</t>
        </is>
      </c>
      <c r="F1030" s="46" t="inlineStr">
        <is>
          <t>excluded.CONTROL_JOINT</t>
        </is>
      </c>
      <c r="G1030" s="46" t="inlineStr">
        <is>
          <t>El set no rotula ni detalla ninguna junta de control de gypsum board, ni en A12.01 ni en los detalles de A09.27/A09.33, y no hay seccion de especificaciones 09 29 00 en el bid set.</t>
        </is>
      </c>
    </row>
    <row r="1031" ht="33" customHeight="1" s="36">
      <c r="A1031" s="59" t="n"/>
      <c r="B1031" s="58" t="n">
        <v>13</v>
      </c>
      <c r="C1031" s="44" t="inlineStr">
        <is>
          <t>A09.33</t>
        </is>
      </c>
      <c r="D1031" s="59" t="inlineStr">
        <is>
          <t>Exclusion</t>
        </is>
      </c>
      <c r="E1031" s="46" t="inlineStr">
        <is>
          <t>Ceiling Details, the sheet. Cited as a sheet for a finding by ABSENCE: its details label corner bead, casing bead and shadow molding one by one and NONE labels a control joint, so the omission is not a labeling oversight.</t>
        </is>
      </c>
      <c r="F1031" s="46" t="inlineStr">
        <is>
          <t>excluded.CONTROL_JOINT</t>
        </is>
      </c>
      <c r="G1031" s="46" t="inlineStr">
        <is>
          <t>El set no rotula ni detalla ninguna junta de control de gypsum board, ni en A12.01 ni en los detalles de A09.27/A09.33, y no hay seccion de especificaciones 09 29 00 en el bid set.</t>
        </is>
      </c>
    </row>
    <row r="1032" ht="33" customHeight="1" s="36">
      <c r="A1032" s="44" t="inlineStr">
        <is>
          <t>G #46</t>
        </is>
      </c>
      <c r="B1032" s="58" t="n">
        <v>1</v>
      </c>
      <c r="C1032" s="44" t="inlineStr">
        <is>
          <t>A02.01</t>
        </is>
      </c>
      <c r="D1032" s="59" t="inlineStr">
        <is>
          <t>Dimension</t>
        </is>
      </c>
      <c r="E1032" s="46" t="inlineStr">
        <is>
          <t>Construction Plan. Entry sheet for partitions and openings: vector geometry of every wall face at 1/4"=1'-0", the leader of every partition tag, the Construction Plan Legend (new vs. existing) and the Construction Plan Notes.</t>
        </is>
      </c>
      <c r="F1032" s="46" t="inlineStr">
        <is>
          <t>BLOCKING, excluded.BLOCKING_OTRAS_CARAS, excluded.HEADER, length.source, scope[1].chain[1], scope[2].chain[0]</t>
        </is>
      </c>
      <c r="G1032" s="46" t="inlineStr">
        <is>
          <t>A02.01 printed dimension 11'-9 1/4" over the wall</t>
        </is>
      </c>
    </row>
    <row r="1033" ht="33" customHeight="1" s="36">
      <c r="A1033" s="59" t="n"/>
      <c r="B1033" s="58" t="n">
        <v>2</v>
      </c>
      <c r="C1033" s="44" t="inlineStr">
        <is>
          <t>A04.01</t>
        </is>
      </c>
      <c r="D1033" s="59" t="inlineStr">
        <is>
          <t>Quantity</t>
        </is>
      </c>
      <c r="E1033" s="46" t="inlineStr">
        <is>
          <t>Reflected Ceiling Plan. Entry sheet for ceilings, soffits and canopy; on walls it gives the BOARD HEIGHT: each room ceiling tag with its printed A.F.F. dimension, plus the ceiling key notes.</t>
        </is>
      </c>
      <c r="F1033" s="46" t="inlineStr">
        <is>
          <t>NIVEL5</t>
        </is>
      </c>
      <c r="G1033" s="46" t="inlineStr">
        <is>
          <t>Cielo de oficina 9'-0" (A04.01 ACT-4).</t>
        </is>
      </c>
    </row>
    <row r="1034" ht="25.5" customHeight="1" s="36">
      <c r="A1034" s="59" t="n"/>
      <c r="B1034" s="58" t="n">
        <v>3</v>
      </c>
      <c r="C1034" s="44" t="inlineStr">
        <is>
          <t>S2.20</t>
        </is>
      </c>
      <c r="D1034" s="59" t="inlineStr">
        <is>
          <t>Dimension</t>
        </is>
      </c>
      <c r="E1034" s="46" t="inlineStr">
        <is>
          <t>"ROOF FRAMING PLAN". Source of the STUD HEIGHT: every B.O.D. callout on the sheet and the slope of the bay between grids B and A (1/4" per foot).</t>
        </is>
      </c>
      <c r="F1034" s="46" t="inlineStr">
        <is>
          <t>face[0].board_height, face[1].board_height, scope[3].chain[1], stud_height</t>
        </is>
      </c>
      <c r="G1034" s="46" t="inlineStr">
        <is>
          <t>15'-4 1/2" of S2.20 minus the datum T/SLAB 0'-0": 15.375 - 0 = 15.375 ft.</t>
        </is>
      </c>
    </row>
    <row r="1035" ht="25.5" customHeight="1" s="36">
      <c r="A1035" s="59" t="n"/>
      <c r="B1035" s="58" t="n">
        <v>4</v>
      </c>
      <c r="C1035" s="44" t="inlineStr">
        <is>
          <t>5/A11.04</t>
        </is>
      </c>
      <c r="D1035" s="59" t="inlineStr">
        <is>
          <t>Quantity</t>
        </is>
      </c>
      <c r="E1035" s="46" t="inlineStr">
        <is>
          <t>"OFFICE 3 - SOUTH". What hangs on that face.</t>
        </is>
      </c>
      <c r="F1035" s="46" t="inlineStr">
        <is>
          <t>NIVEL5</t>
        </is>
      </c>
      <c r="G1035" s="46" t="inlineStr">
        <is>
          <t>Fuente del tag: 5/A11.04 OFFICE 3 - SOUTH, tag WC-18</t>
        </is>
      </c>
    </row>
    <row r="1036" ht="25.5" customHeight="1" s="36">
      <c r="A1036" s="59" t="n"/>
      <c r="B1036" s="58" t="n">
        <v>5</v>
      </c>
      <c r="C1036" s="44" t="inlineStr">
        <is>
          <t>9/A11.04</t>
        </is>
      </c>
      <c r="D1036" s="59" t="inlineStr">
        <is>
          <t>Quantity</t>
        </is>
      </c>
      <c r="E1036" s="46" t="inlineStr">
        <is>
          <t>"OFFICE 4 - NORTH". What hangs on that face.</t>
        </is>
      </c>
      <c r="F1036" s="46" t="inlineStr">
        <is>
          <t>BLOCKING, scope[1].chain[0]</t>
        </is>
      </c>
      <c r="G1036" s="46" t="inlineStr">
        <is>
          <t>ARTWORK dashed de 4'-0" x 4'-0" con el borde inferior a 3'-0" A.F.F., centrado EQ/4'-0"/EQ en esta face (9/A11.04 OFFICE 4 - NORTH).</t>
        </is>
      </c>
    </row>
    <row r="1037" ht="25.5" customHeight="1" s="36">
      <c r="A1037" s="59" t="n"/>
      <c r="B1037" s="58" t="n">
        <v>6</v>
      </c>
      <c r="C1037" s="44" t="inlineStr">
        <is>
          <t>5/A12.01</t>
        </is>
      </c>
      <c r="D1037" s="59" t="inlineStr">
        <is>
          <t>Dimension</t>
        </is>
      </c>
      <c r="E1037" s="46" t="inlineStr">
        <is>
          <t>"PARTITION G" (officefront). Stud and board of type G.</t>
        </is>
      </c>
      <c r="F1037" s="46" t="inlineStr">
        <is>
          <t>BOARD, SEALANT, STUD, TRACK_BOTTOM, TRACK_TOP, excluded.INSULATION, face[0].board_height, face[1].board_height, scope[2].afirmacion, scope[2].chain[1], scope[3].chain[0]</t>
        </is>
      </c>
      <c r="G1037" s="46" t="inlineStr">
        <is>
          <t>5/A12.01 PARTITION G gives the RULE (board runs to the underside of structure above); it does NOT print the number.</t>
        </is>
      </c>
    </row>
    <row r="1038" ht="33" customHeight="1" s="36">
      <c r="A1038" s="59" t="n"/>
      <c r="B1038" s="58" t="n">
        <v>7</v>
      </c>
      <c r="C1038" s="44" t="inlineStr">
        <is>
          <t>1/S5.20</t>
        </is>
      </c>
      <c r="D1038" s="59" t="inlineStr">
        <is>
          <t>Quantity</t>
        </is>
      </c>
      <c r="E1038" s="46" t="inlineStr">
        <is>
          <t>"TYPICAL WALL FRAMING DETAILS". Holds sub-details A through F; sub-detail F "BRIDGING AND BRACING - CONTINUOUS BRIDGING" is the bracing one: 1 1/2" C.R. CHANNEL welded to every stud. (Bracing is NOT in 5/S5.20, which is TYPICAL WALL FRAMING CONNX.)</t>
        </is>
      </c>
      <c r="F1038" s="46" t="inlineStr">
        <is>
          <t>BRACING, excluded.CLIPS</t>
        </is>
      </c>
      <c r="G1038" s="46" t="inlineStr">
        <is>
          <t>1/S5.20 sub-detalle F "BRIDGING AND BRACING - CONTINUOUS BRIDGING" sets the 1 1/2" C.R.</t>
        </is>
      </c>
    </row>
    <row r="1039" ht="25.5" customHeight="1" s="36">
      <c r="A1039" s="59" t="n"/>
      <c r="B1039" s="58" t="n">
        <v>8</v>
      </c>
      <c r="C1039" s="44" t="inlineStr">
        <is>
          <t>6/S5.20</t>
        </is>
      </c>
      <c r="D1039" s="59" t="inlineStr">
        <is>
          <t>Quantity</t>
        </is>
      </c>
      <c r="E1039" s="46" t="inlineStr">
        <is>
          <t>"PENETRATION THRU STUDS". How the stud is reinforced where a duct passes through.</t>
        </is>
      </c>
      <c r="F1039" s="46" t="inlineStr">
        <is>
          <t>ABERTURA_MEP_HEAD_SILL, scope[0].chain[1]</t>
        </is>
      </c>
      <c r="G1039" s="46" t="inlineStr">
        <is>
          <t>6/S5.20 PENETRATION THRU STUDS limits the web hole.</t>
        </is>
      </c>
    </row>
    <row r="1040" ht="33" customHeight="1" s="36">
      <c r="A1040" s="59" t="n"/>
      <c r="B1040" s="58" t="n">
        <v>9</v>
      </c>
      <c r="C1040" s="44" t="inlineStr">
        <is>
          <t>7/S5.20</t>
        </is>
      </c>
      <c r="D1040" s="59" t="inlineStr">
        <is>
          <t>Quantity</t>
        </is>
      </c>
      <c r="E1040" s="46" t="inlineStr">
        <is>
          <t>"METAL STUDS SCHEDULES". The profile: web, flange, lip, mils, gauge and the APPLICATION column with the spacing ("INTERIOR WALLS @ 16" O.C."), plus the SILL TRACK ANCHORAGE and the FASTENER SCHEDULE.</t>
        </is>
      </c>
      <c r="F1040" s="46" t="inlineStr">
        <is>
          <t>BRACING, STUD</t>
        </is>
      </c>
      <c r="G1040" s="46" t="inlineStr">
        <is>
          <t>CHANNEL welded to every stud; the spacing comes from 7/S5.20.</t>
        </is>
      </c>
    </row>
    <row r="1041" ht="33" customHeight="1" s="36">
      <c r="A1041" s="59" t="n"/>
      <c r="B1041" s="58" t="n">
        <v>10</v>
      </c>
      <c r="C1041" s="44" t="inlineStr">
        <is>
          <t>9/S5.20</t>
        </is>
      </c>
      <c r="D1041" s="59" t="inlineStr">
        <is>
          <t>Quantity</t>
        </is>
      </c>
      <c r="E1041" s="46" t="inlineStr">
        <is>
          <t>"OPNG IN NON-LOAD-BRG WALLS". The opening frame: DBL JAMB STUD (2 per jamb) and HEAD TRACK with the condition "DOUBLE TRACK @ OPNG &gt; 4'-0"".</t>
        </is>
      </c>
      <c r="F1041" s="46" t="inlineStr">
        <is>
          <t>ABERTURA_MEP_HEAD_SILL, STUD, TRACK_BOTTOM, TRACK_TOP</t>
        </is>
      </c>
      <c r="G1041" s="46" t="inlineStr">
        <is>
          <t>9/S5.20 OPNG IN NON-LOAD-BRG WALLS rotula "HEAD TRACK (DOUBLE TRACK @ OPNG &gt; 4 ft)" y "DBL JAMB STUD"; that detail draws the opening down to the floor, so the SILL piece is derived by applying the same rule at the lower edge.</t>
        </is>
      </c>
    </row>
    <row r="1042" ht="43.5" customHeight="1" s="36">
      <c r="A1042" s="59" t="n"/>
      <c r="B1042" s="58" t="n">
        <v>11</v>
      </c>
      <c r="C1042" s="44" t="inlineStr">
        <is>
          <t>A09.01</t>
        </is>
      </c>
      <c r="D1042" s="59" t="inlineStr">
        <is>
          <t>Exclusion</t>
        </is>
      </c>
      <c r="E1042" s="46" t="inlineStr">
        <is>
          <t>Exterior Elevations: "SOUTH ELEVATION" and "WEST ELEVATION" at 1/4"=1'-0". Extent of each exterior material and the material legend, verbatim "CJ CONTROL JOINT; PAINT TO MATCH STUCCO FINISH COLOR" - that joint is the STUCCO joint, not gypsum.</t>
        </is>
      </c>
      <c r="F1042" s="46" t="inlineStr">
        <is>
          <t>excluded.CONTROL_JOINT</t>
        </is>
      </c>
      <c r="G104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43" ht="25.5" customHeight="1" s="36">
      <c r="A1043" s="59" t="n"/>
      <c r="B1043" s="58" t="n">
        <v>12</v>
      </c>
      <c r="C1043" s="44" t="inlineStr">
        <is>
          <t>A00.01</t>
        </is>
      </c>
      <c r="D1043" s="59" t="inlineStr">
        <is>
          <t>Exclusion</t>
        </is>
      </c>
      <c r="E1043" s="46" t="inlineStr">
        <is>
          <t>Cover sheet and Drawing Index. Proof by ABSENCE: the index lists no interior Demolition Plan, which is why there is no patch-and-repair line item.</t>
        </is>
      </c>
      <c r="F1043" s="46" t="inlineStr">
        <is>
          <t>excluded.PATCH</t>
        </is>
      </c>
      <c r="G1043" s="46" t="inlineStr">
        <is>
          <t>Obra ground-up: el Drawing Index de A00.01 no trae Demolition Plan interior, asi que no hay superficie existente que parchear en estos walls.</t>
        </is>
      </c>
    </row>
    <row r="1044" ht="33" customHeight="1" s="36">
      <c r="A1044" s="59" t="n"/>
      <c r="B1044" s="58" t="n">
        <v>13</v>
      </c>
      <c r="C1044" s="44" t="inlineStr">
        <is>
          <t>A09.27</t>
        </is>
      </c>
      <c r="D1044" s="59" t="inlineStr">
        <is>
          <t>Exclusion</t>
        </is>
      </c>
      <c r="E1044" s="46" t="inlineStr">
        <is>
          <t>Gypsum Section Details, the sheet. Cited as a sheet when the finding is that NO detail on it labels a gypsum control joint.</t>
        </is>
      </c>
      <c r="F1044" s="46" t="inlineStr">
        <is>
          <t>excluded.CONTROL_JOINT</t>
        </is>
      </c>
      <c r="G1044" s="46" t="inlineStr">
        <is>
          <t>El set no rotula ni detalla ninguna junta de control de gypsum board, ni en A12.01 ni en los detalles de A09.27/A09.33, y no hay seccion de especificaciones 09 29 00 en el bid set.</t>
        </is>
      </c>
    </row>
    <row r="1045" ht="33" customHeight="1" s="36">
      <c r="A1045" s="59" t="n"/>
      <c r="B1045" s="58" t="n">
        <v>14</v>
      </c>
      <c r="C1045" s="44" t="inlineStr">
        <is>
          <t>A09.33</t>
        </is>
      </c>
      <c r="D1045" s="59" t="inlineStr">
        <is>
          <t>Exclusion</t>
        </is>
      </c>
      <c r="E1045" s="46" t="inlineStr">
        <is>
          <t>Ceiling Details, the sheet. Cited as a sheet for a finding by ABSENCE: its details label corner bead, casing bead and shadow molding one by one and NONE labels a control joint, so the omission is not a labeling oversight.</t>
        </is>
      </c>
      <c r="F1045" s="46" t="inlineStr">
        <is>
          <t>excluded.CONTROL_JOINT</t>
        </is>
      </c>
      <c r="G1045" s="46" t="inlineStr">
        <is>
          <t>El set no rotula ni detalla ninguna junta de control de gypsum board, ni en A12.01 ni en los detalles de A09.27/A09.33, y no hay seccion de especificaciones 09 29 00 en el bid set.</t>
        </is>
      </c>
    </row>
    <row r="1046" ht="25.5" customHeight="1" s="36">
      <c r="A1046" s="59" t="n"/>
      <c r="B1046" s="58" t="n">
        <v>15</v>
      </c>
      <c r="C1046" s="44" t="inlineStr">
        <is>
          <t>M01.01</t>
        </is>
      </c>
      <c r="D1046" s="59" t="inlineStr">
        <is>
          <t>Scope</t>
        </is>
      </c>
      <c r="E1046" s="46" t="inlineStr">
        <is>
          <t>Mechanical Floor Plan at 1/4"=1'-0". Swept across the WHOLE band of each wall, opening included, to locate and measure every duct penetration.</t>
        </is>
      </c>
      <c r="F1046" s="46" t="inlineStr">
        <is>
          <t>scope[0].chain[0]</t>
        </is>
      </c>
      <c r="G1046" s="46" t="inlineStr">
        <is>
          <t>M01.01 pareja de lineas paralelas que sobresale por fuera de las dos faces</t>
        </is>
      </c>
    </row>
    <row r="1047" ht="33" customHeight="1" s="36">
      <c r="A1047" s="44" t="inlineStr">
        <is>
          <t>G #48</t>
        </is>
      </c>
      <c r="B1047" s="58" t="n">
        <v>1</v>
      </c>
      <c r="C1047" s="44" t="inlineStr">
        <is>
          <t>A02.01</t>
        </is>
      </c>
      <c r="D1047" s="59" t="inlineStr">
        <is>
          <t>Dimension</t>
        </is>
      </c>
      <c r="E1047" s="46" t="inlineStr">
        <is>
          <t>Construction Plan. Entry sheet for partitions and openings: vector geometry of every wall face at 1/4"=1'-0", the leader of every partition tag, the Construction Plan Legend (new vs. existing) and the Construction Plan Notes.</t>
        </is>
      </c>
      <c r="F1047" s="46" t="inlineStr">
        <is>
          <t>BLOCKING, excluded.BLOCKING_OTRAS_CARAS, excluded.HEADER, length.source, scope[1].chain[1], scope[2].chain[0]</t>
        </is>
      </c>
      <c r="G1047" s="46" t="inlineStr">
        <is>
          <t>A02.01 printed dimension 11'-7 1/2" of the room</t>
        </is>
      </c>
    </row>
    <row r="1048" ht="25.5" customHeight="1" s="36">
      <c r="A1048" s="59" t="n"/>
      <c r="B1048" s="58" t="n">
        <v>2</v>
      </c>
      <c r="C1048" s="44" t="inlineStr">
        <is>
          <t>S2.20</t>
        </is>
      </c>
      <c r="D1048" s="59" t="inlineStr">
        <is>
          <t>Dimension</t>
        </is>
      </c>
      <c r="E1048" s="46" t="inlineStr">
        <is>
          <t>"ROOF FRAMING PLAN". Source of the STUD HEIGHT: every B.O.D. callout on the sheet and the slope of the bay between grids B and A (1/4" per foot).</t>
        </is>
      </c>
      <c r="F1048" s="46" t="inlineStr">
        <is>
          <t>face[0].board_height, face[1].board_height, scope[3].chain[1], stud_height</t>
        </is>
      </c>
      <c r="G1048" s="46" t="inlineStr">
        <is>
          <t>15'-4 1/2" of S2.20 minus the datum T/SLAB 0'-0": 15.375 - 0 = 15.375 ft.</t>
        </is>
      </c>
    </row>
    <row r="1049" ht="25.5" customHeight="1" s="36">
      <c r="A1049" s="59" t="n"/>
      <c r="B1049" s="58" t="n">
        <v>3</v>
      </c>
      <c r="C1049" s="44" t="inlineStr">
        <is>
          <t>16/A11.04</t>
        </is>
      </c>
      <c r="D1049" s="59" t="inlineStr">
        <is>
          <t>Quantity</t>
        </is>
      </c>
      <c r="E1049" s="46" t="inlineStr">
        <is>
          <t>Interior elevation on A11.04. What hangs on that face.</t>
        </is>
      </c>
      <c r="F1049" s="46" t="inlineStr">
        <is>
          <t>BLOCKING, scope[1].chain[0]</t>
        </is>
      </c>
      <c r="G1049" s="46" t="inlineStr">
        <is>
          <t>ARTWORK dashed de 4'-0" x 4'-0" con el borde inferior a 3'-0" A.F.F., centrado EQ/4'-0"/EQ en esta face (16/A11.04 OFFICE 5 - NORTH).</t>
        </is>
      </c>
    </row>
    <row r="1050" ht="25.5" customHeight="1" s="36">
      <c r="A1050" s="59" t="n"/>
      <c r="B1050" s="58" t="n">
        <v>4</v>
      </c>
      <c r="C1050" s="44" t="inlineStr">
        <is>
          <t>5/A12.01</t>
        </is>
      </c>
      <c r="D1050" s="59" t="inlineStr">
        <is>
          <t>Dimension</t>
        </is>
      </c>
      <c r="E1050" s="46" t="inlineStr">
        <is>
          <t>"PARTITION G" (officefront). Stud and board of type G.</t>
        </is>
      </c>
      <c r="F1050" s="46" t="inlineStr">
        <is>
          <t>BOARD, SEALANT, STUD, TRACK_BOTTOM, TRACK_TOP, excluded.INSULATION, face[0].board_height, face[1].board_height, scope[2].afirmacion, scope[2].chain[1], scope[3].chain[0]</t>
        </is>
      </c>
      <c r="G1050" s="46" t="inlineStr">
        <is>
          <t>5/A12.01 PARTITION G gives the RULE (board runs to the underside of structure above); it does NOT print the number.</t>
        </is>
      </c>
    </row>
    <row r="1051" ht="33" customHeight="1" s="36">
      <c r="A1051" s="59" t="n"/>
      <c r="B1051" s="58" t="n">
        <v>5</v>
      </c>
      <c r="C1051" s="44" t="inlineStr">
        <is>
          <t>1/S5.20</t>
        </is>
      </c>
      <c r="D1051" s="59" t="inlineStr">
        <is>
          <t>Quantity</t>
        </is>
      </c>
      <c r="E1051" s="46" t="inlineStr">
        <is>
          <t>"TYPICAL WALL FRAMING DETAILS". Holds sub-details A through F; sub-detail F "BRIDGING AND BRACING - CONTINUOUS BRIDGING" is the bracing one: 1 1/2" C.R. CHANNEL welded to every stud. (Bracing is NOT in 5/S5.20, which is TYPICAL WALL FRAMING CONNX.)</t>
        </is>
      </c>
      <c r="F1051" s="46" t="inlineStr">
        <is>
          <t>BRACING, excluded.CLIPS</t>
        </is>
      </c>
      <c r="G1051" s="46" t="inlineStr">
        <is>
          <t>1/S5.20 sub-detalle F "BRIDGING AND BRACING - CONTINUOUS BRIDGING" sets the 1 1/2" C.R.</t>
        </is>
      </c>
    </row>
    <row r="1052" ht="25.5" customHeight="1" s="36">
      <c r="A1052" s="59" t="n"/>
      <c r="B1052" s="58" t="n">
        <v>6</v>
      </c>
      <c r="C1052" s="44" t="inlineStr">
        <is>
          <t>6/S5.20</t>
        </is>
      </c>
      <c r="D1052" s="59" t="inlineStr">
        <is>
          <t>Quantity</t>
        </is>
      </c>
      <c r="E1052" s="46" t="inlineStr">
        <is>
          <t>"PENETRATION THRU STUDS". How the stud is reinforced where a duct passes through.</t>
        </is>
      </c>
      <c r="F1052" s="46" t="inlineStr">
        <is>
          <t>ABERTURA_MEP_HEAD_SILL, scope[0].chain[1]</t>
        </is>
      </c>
      <c r="G1052" s="46" t="inlineStr">
        <is>
          <t>6/S5.20 PENETRATION THRU STUDS limits the web hole.</t>
        </is>
      </c>
    </row>
    <row r="1053" ht="33" customHeight="1" s="36">
      <c r="A1053" s="59" t="n"/>
      <c r="B1053" s="58" t="n">
        <v>7</v>
      </c>
      <c r="C1053" s="44" t="inlineStr">
        <is>
          <t>7/S5.20</t>
        </is>
      </c>
      <c r="D1053" s="59" t="inlineStr">
        <is>
          <t>Quantity</t>
        </is>
      </c>
      <c r="E1053" s="46" t="inlineStr">
        <is>
          <t>"METAL STUDS SCHEDULES". The profile: web, flange, lip, mils, gauge and the APPLICATION column with the spacing ("INTERIOR WALLS @ 16" O.C."), plus the SILL TRACK ANCHORAGE and the FASTENER SCHEDULE.</t>
        </is>
      </c>
      <c r="F1053" s="46" t="inlineStr">
        <is>
          <t>BRACING, STUD</t>
        </is>
      </c>
      <c r="G1053" s="46" t="inlineStr">
        <is>
          <t>CHANNEL welded to every stud; the spacing comes from 7/S5.20.</t>
        </is>
      </c>
    </row>
    <row r="1054" ht="33" customHeight="1" s="36">
      <c r="A1054" s="59" t="n"/>
      <c r="B1054" s="58" t="n">
        <v>8</v>
      </c>
      <c r="C1054" s="44" t="inlineStr">
        <is>
          <t>9/S5.20</t>
        </is>
      </c>
      <c r="D1054" s="59" t="inlineStr">
        <is>
          <t>Quantity</t>
        </is>
      </c>
      <c r="E1054" s="46" t="inlineStr">
        <is>
          <t>"OPNG IN NON-LOAD-BRG WALLS". The opening frame: DBL JAMB STUD (2 per jamb) and HEAD TRACK with the condition "DOUBLE TRACK @ OPNG &gt; 4'-0"".</t>
        </is>
      </c>
      <c r="F1054" s="46" t="inlineStr">
        <is>
          <t>ABERTURA_MEP_HEAD_SILL, STUD, TRACK_BOTTOM, TRACK_TOP</t>
        </is>
      </c>
      <c r="G1054" s="46" t="inlineStr">
        <is>
          <t>9/S5.20 OPNG IN NON-LOAD-BRG WALLS rotula "HEAD TRACK (DOUBLE TRACK @ OPNG &gt; 4 ft)" y "DBL JAMB STUD"; that detail draws the opening down to the floor, so the SILL piece is derived by applying the same rule at the lower edge.</t>
        </is>
      </c>
    </row>
    <row r="1055" ht="43.5" customHeight="1" s="36">
      <c r="A1055" s="59" t="n"/>
      <c r="B1055" s="58" t="n">
        <v>9</v>
      </c>
      <c r="C1055" s="44" t="inlineStr">
        <is>
          <t>A09.01</t>
        </is>
      </c>
      <c r="D1055" s="59" t="inlineStr">
        <is>
          <t>Exclusion</t>
        </is>
      </c>
      <c r="E1055" s="46" t="inlineStr">
        <is>
          <t>Exterior Elevations: "SOUTH ELEVATION" and "WEST ELEVATION" at 1/4"=1'-0". Extent of each exterior material and the material legend, verbatim "CJ CONTROL JOINT; PAINT TO MATCH STUCCO FINISH COLOR" - that joint is the STUCCO joint, not gypsum.</t>
        </is>
      </c>
      <c r="F1055" s="46" t="inlineStr">
        <is>
          <t>excluded.CONTROL_JOINT</t>
        </is>
      </c>
      <c r="G105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56" ht="25.5" customHeight="1" s="36">
      <c r="A1056" s="59" t="n"/>
      <c r="B1056" s="58" t="n">
        <v>10</v>
      </c>
      <c r="C1056" s="44" t="inlineStr">
        <is>
          <t>A00.01</t>
        </is>
      </c>
      <c r="D1056" s="59" t="inlineStr">
        <is>
          <t>Exclusion</t>
        </is>
      </c>
      <c r="E1056" s="46" t="inlineStr">
        <is>
          <t>Cover sheet and Drawing Index. Proof by ABSENCE: the index lists no interior Demolition Plan, which is why there is no patch-and-repair line item.</t>
        </is>
      </c>
      <c r="F1056" s="46" t="inlineStr">
        <is>
          <t>excluded.PATCH</t>
        </is>
      </c>
      <c r="G1056" s="46" t="inlineStr">
        <is>
          <t>Obra ground-up: el Drawing Index de A00.01 no trae Demolition Plan interior, asi que no hay superficie existente que parchear en estos walls.</t>
        </is>
      </c>
    </row>
    <row r="1057" ht="33" customHeight="1" s="36">
      <c r="A1057" s="59" t="n"/>
      <c r="B1057" s="58" t="n">
        <v>11</v>
      </c>
      <c r="C1057" s="44" t="inlineStr">
        <is>
          <t>A09.27</t>
        </is>
      </c>
      <c r="D1057" s="59" t="inlineStr">
        <is>
          <t>Exclusion</t>
        </is>
      </c>
      <c r="E1057" s="46" t="inlineStr">
        <is>
          <t>Gypsum Section Details, the sheet. Cited as a sheet when the finding is that NO detail on it labels a gypsum control joint.</t>
        </is>
      </c>
      <c r="F1057" s="46" t="inlineStr">
        <is>
          <t>excluded.CONTROL_JOINT</t>
        </is>
      </c>
      <c r="G1057" s="46" t="inlineStr">
        <is>
          <t>El set no rotula ni detalla ninguna junta de control de gypsum board, ni en A12.01 ni en los detalles de A09.27/A09.33, y no hay seccion de especificaciones 09 29 00 en el bid set.</t>
        </is>
      </c>
    </row>
    <row r="1058" ht="33" customHeight="1" s="36">
      <c r="A1058" s="59" t="n"/>
      <c r="B1058" s="58" t="n">
        <v>12</v>
      </c>
      <c r="C1058" s="44" t="inlineStr">
        <is>
          <t>A09.33</t>
        </is>
      </c>
      <c r="D1058" s="59" t="inlineStr">
        <is>
          <t>Exclusion</t>
        </is>
      </c>
      <c r="E1058" s="46" t="inlineStr">
        <is>
          <t>Ceiling Details, the sheet. Cited as a sheet for a finding by ABSENCE: its details label corner bead, casing bead and shadow molding one by one and NONE labels a control joint, so the omission is not a labeling oversight.</t>
        </is>
      </c>
      <c r="F1058" s="46" t="inlineStr">
        <is>
          <t>excluded.CONTROL_JOINT</t>
        </is>
      </c>
      <c r="G1058" s="46" t="inlineStr">
        <is>
          <t>El set no rotula ni detalla ninguna junta de control de gypsum board, ni en A12.01 ni en los detalles de A09.27/A09.33, y no hay seccion de especificaciones 09 29 00 en el bid set.</t>
        </is>
      </c>
    </row>
    <row r="1059" ht="25.5" customHeight="1" s="36">
      <c r="A1059" s="59" t="n"/>
      <c r="B1059" s="58" t="n">
        <v>13</v>
      </c>
      <c r="C1059" s="44" t="inlineStr">
        <is>
          <t>M01.01</t>
        </is>
      </c>
      <c r="D1059" s="59" t="inlineStr">
        <is>
          <t>Scope</t>
        </is>
      </c>
      <c r="E1059" s="46" t="inlineStr">
        <is>
          <t>Mechanical Floor Plan at 1/4"=1'-0". Swept across the WHOLE band of each wall, opening included, to locate and measure every duct penetration.</t>
        </is>
      </c>
      <c r="F1059" s="46" t="inlineStr">
        <is>
          <t>scope[0].chain[0]</t>
        </is>
      </c>
      <c r="G1059" s="46" t="inlineStr">
        <is>
          <t>M01.01 pareja de lineas paralelas que sobresale por fuera de las dos faces</t>
        </is>
      </c>
    </row>
    <row r="1060" ht="33" customHeight="1" s="36">
      <c r="A1060" s="44" t="inlineStr">
        <is>
          <t>G #49</t>
        </is>
      </c>
      <c r="B1060" s="58" t="n">
        <v>1</v>
      </c>
      <c r="C1060" s="44" t="inlineStr">
        <is>
          <t>A02.01</t>
        </is>
      </c>
      <c r="D1060" s="59" t="inlineStr">
        <is>
          <t>Dimension</t>
        </is>
      </c>
      <c r="E1060" s="46" t="inlineStr">
        <is>
          <t>Construction Plan. Entry sheet for partitions and openings: vector geometry of every wall face at 1/4"=1'-0", the leader of every partition tag, the Construction Plan Legend (new vs. existing) and the Construction Plan Notes.</t>
        </is>
      </c>
      <c r="F1060" s="46" t="inlineStr">
        <is>
          <t>excluded.BLOCKING, excluded.HEADER, length.source, scope[1].chain[0]</t>
        </is>
      </c>
      <c r="G1060" s="46" t="inlineStr">
        <is>
          <t>A02.01 printed dimension 11'-7 1/2" of the room</t>
        </is>
      </c>
    </row>
    <row r="1061" ht="33" customHeight="1" s="36">
      <c r="A1061" s="59" t="n"/>
      <c r="B1061" s="58" t="n">
        <v>2</v>
      </c>
      <c r="C1061" s="44" t="inlineStr">
        <is>
          <t>A04.01</t>
        </is>
      </c>
      <c r="D1061" s="59" t="inlineStr">
        <is>
          <t>Quantity</t>
        </is>
      </c>
      <c r="E1061" s="46" t="inlineStr">
        <is>
          <t>Reflected Ceiling Plan. Entry sheet for ceilings, soffits and canopy; on walls it gives the BOARD HEIGHT: each room ceiling tag with its printed A.F.F. dimension, plus the ceiling key notes.</t>
        </is>
      </c>
      <c r="F1061" s="46" t="inlineStr">
        <is>
          <t>NIVEL5</t>
        </is>
      </c>
      <c r="G1061" s="46" t="inlineStr">
        <is>
          <t>Cielo de oficina 9'-0" (A04.01 ACT-4).</t>
        </is>
      </c>
    </row>
    <row r="1062" ht="25.5" customHeight="1" s="36">
      <c r="A1062" s="59" t="n"/>
      <c r="B1062" s="58" t="n">
        <v>3</v>
      </c>
      <c r="C1062" s="44" t="inlineStr">
        <is>
          <t>S2.20</t>
        </is>
      </c>
      <c r="D1062" s="59" t="inlineStr">
        <is>
          <t>Dimension</t>
        </is>
      </c>
      <c r="E1062" s="46" t="inlineStr">
        <is>
          <t>"ROOF FRAMING PLAN". Source of the STUD HEIGHT: every B.O.D. callout on the sheet and the slope of the bay between grids B and A (1/4" per foot).</t>
        </is>
      </c>
      <c r="F1062" s="46" t="inlineStr">
        <is>
          <t>face[0].board_height, face[1].board_height, scope[2].chain[1], stud_height</t>
        </is>
      </c>
      <c r="G1062" s="46" t="inlineStr">
        <is>
          <t>15'-4 1/2" of S2.20 minus the datum T/SLAB 0'-0": 15.375 - 0 = 15.375 ft.</t>
        </is>
      </c>
    </row>
    <row r="1063" ht="25.5" customHeight="1" s="36">
      <c r="A1063" s="59" t="n"/>
      <c r="B1063" s="58" t="n">
        <v>4</v>
      </c>
      <c r="C1063" s="44" t="inlineStr">
        <is>
          <t>10/A11.03</t>
        </is>
      </c>
      <c r="D1063" s="59" t="inlineStr">
        <is>
          <t>Quantity</t>
        </is>
      </c>
      <c r="E1063" s="46" t="inlineStr">
        <is>
          <t>"OFFICE 6 - NORTH". What hangs on that face.</t>
        </is>
      </c>
      <c r="F1063" s="46" t="inlineStr">
        <is>
          <t>NIVEL5</t>
        </is>
      </c>
      <c r="G1063" s="46" t="inlineStr">
        <is>
          <t>Fuente del tag: 10/A11.03 OFFICE 6 - NORTH, tag WC-18</t>
        </is>
      </c>
    </row>
    <row r="1064" ht="33" customHeight="1" s="36">
      <c r="A1064" s="59" t="n"/>
      <c r="B1064" s="58" t="n">
        <v>5</v>
      </c>
      <c r="C1064" s="44" t="inlineStr">
        <is>
          <t>14/A11.04</t>
        </is>
      </c>
      <c r="D1064" s="59" t="inlineStr">
        <is>
          <t>Quantity</t>
        </is>
      </c>
      <c r="E1064" s="46" t="inlineStr">
        <is>
          <t>Interior elevation on A11.04. Finish of that face (level 5).</t>
        </is>
      </c>
      <c r="F1064" s="46" t="inlineStr">
        <is>
          <t>NIVEL5</t>
        </is>
      </c>
      <c r="G1064" s="46" t="inlineStr">
        <is>
          <t>14/A11.04 OFFICE 5 - SOUTH dibuja el MISMO hatch de wallcovering (mismos anchos de pano 4-0 / 4-0 / 3-7 1/2 y mismas juntas) que las otras cuatro elevaciones donde SI esta el tag WC-18, pero no repite el tag</t>
        </is>
      </c>
    </row>
    <row r="1065" ht="25.5" customHeight="1" s="36">
      <c r="A1065" s="59" t="n"/>
      <c r="B1065" s="58" t="n">
        <v>6</v>
      </c>
      <c r="C1065" s="44" t="inlineStr">
        <is>
          <t>5/A12.01</t>
        </is>
      </c>
      <c r="D1065" s="59" t="inlineStr">
        <is>
          <t>Dimension</t>
        </is>
      </c>
      <c r="E1065" s="46" t="inlineStr">
        <is>
          <t>"PARTITION G" (officefront). Stud and board of type G.</t>
        </is>
      </c>
      <c r="F1065" s="46" t="inlineStr">
        <is>
          <t>BOARD, SEALANT, STUD, TRACK_BOTTOM, TRACK_TOP, excluded.INSULATION, face[0].board_height, face[1].board_height, scope[1].afirmacion, scope[1].chain[1], scope[2].chain[0]</t>
        </is>
      </c>
      <c r="G1065" s="46" t="inlineStr">
        <is>
          <t>5/A12.01 PARTITION G gives the RULE (board runs to the underside of structure above); it does NOT print the number.</t>
        </is>
      </c>
    </row>
    <row r="1066" ht="33" customHeight="1" s="36">
      <c r="A1066" s="59" t="n"/>
      <c r="B1066" s="58" t="n">
        <v>7</v>
      </c>
      <c r="C1066" s="44" t="inlineStr">
        <is>
          <t>1/S5.20</t>
        </is>
      </c>
      <c r="D1066" s="59" t="inlineStr">
        <is>
          <t>Quantity</t>
        </is>
      </c>
      <c r="E1066" s="46" t="inlineStr">
        <is>
          <t>"TYPICAL WALL FRAMING DETAILS". Holds sub-details A through F; sub-detail F "BRIDGING AND BRACING - CONTINUOUS BRIDGING" is the bracing one: 1 1/2" C.R. CHANNEL welded to every stud. (Bracing is NOT in 5/S5.20, which is TYPICAL WALL FRAMING CONNX.)</t>
        </is>
      </c>
      <c r="F1066" s="46" t="inlineStr">
        <is>
          <t>BRACING, excluded.CLIPS</t>
        </is>
      </c>
      <c r="G1066" s="46" t="inlineStr">
        <is>
          <t>1/S5.20 sub-detalle F "BRIDGING AND BRACING - CONTINUOUS BRIDGING" sets the 1 1/2" C.R.</t>
        </is>
      </c>
    </row>
    <row r="1067" ht="25.5" customHeight="1" s="36">
      <c r="A1067" s="59" t="n"/>
      <c r="B1067" s="58" t="n">
        <v>8</v>
      </c>
      <c r="C1067" s="44" t="inlineStr">
        <is>
          <t>6/S5.20</t>
        </is>
      </c>
      <c r="D1067" s="59" t="inlineStr">
        <is>
          <t>Quantity</t>
        </is>
      </c>
      <c r="E1067" s="46" t="inlineStr">
        <is>
          <t>"PENETRATION THRU STUDS". How the stud is reinforced where a duct passes through.</t>
        </is>
      </c>
      <c r="F1067" s="46" t="inlineStr">
        <is>
          <t>ABERTURA_MEP_HEAD_SILL, scope[0].chain[1]</t>
        </is>
      </c>
      <c r="G1067" s="46" t="inlineStr">
        <is>
          <t>6/S5.20 PENETRATION THRU STUDS limits the web hole.</t>
        </is>
      </c>
    </row>
    <row r="1068" ht="33" customHeight="1" s="36">
      <c r="A1068" s="59" t="n"/>
      <c r="B1068" s="58" t="n">
        <v>9</v>
      </c>
      <c r="C1068" s="44" t="inlineStr">
        <is>
          <t>7/S5.20</t>
        </is>
      </c>
      <c r="D1068" s="59" t="inlineStr">
        <is>
          <t>Quantity</t>
        </is>
      </c>
      <c r="E1068" s="46" t="inlineStr">
        <is>
          <t>"METAL STUDS SCHEDULES". The profile: web, flange, lip, mils, gauge and the APPLICATION column with the spacing ("INTERIOR WALLS @ 16" O.C."), plus the SILL TRACK ANCHORAGE and the FASTENER SCHEDULE.</t>
        </is>
      </c>
      <c r="F1068" s="46" t="inlineStr">
        <is>
          <t>BRACING, STUD</t>
        </is>
      </c>
      <c r="G1068" s="46" t="inlineStr">
        <is>
          <t>CHANNEL welded to every stud; the spacing comes from 7/S5.20.</t>
        </is>
      </c>
    </row>
    <row r="1069" ht="33" customHeight="1" s="36">
      <c r="A1069" s="59" t="n"/>
      <c r="B1069" s="58" t="n">
        <v>10</v>
      </c>
      <c r="C1069" s="44" t="inlineStr">
        <is>
          <t>9/S5.20</t>
        </is>
      </c>
      <c r="D1069" s="59" t="inlineStr">
        <is>
          <t>Quantity</t>
        </is>
      </c>
      <c r="E1069" s="46" t="inlineStr">
        <is>
          <t>"OPNG IN NON-LOAD-BRG WALLS". The opening frame: DBL JAMB STUD (2 per jamb) and HEAD TRACK with the condition "DOUBLE TRACK @ OPNG &gt; 4'-0"".</t>
        </is>
      </c>
      <c r="F1069" s="46" t="inlineStr">
        <is>
          <t>ABERTURA_MEP_HEAD_SILL, STUD, TRACK_BOTTOM, TRACK_TOP</t>
        </is>
      </c>
      <c r="G1069" s="46" t="inlineStr">
        <is>
          <t>9/S5.20 OPNG IN NON-LOAD-BRG WALLS rotula "HEAD TRACK (DOUBLE TRACK @ OPNG &gt; 4 ft)" y "DBL JAMB STUD"; that detail draws the opening down to the floor, so the SILL piece is derived by applying the same rule at the lower edge.</t>
        </is>
      </c>
    </row>
    <row r="1070" ht="43.5" customHeight="1" s="36">
      <c r="A1070" s="59" t="n"/>
      <c r="B1070" s="58" t="n">
        <v>11</v>
      </c>
      <c r="C1070" s="44" t="inlineStr">
        <is>
          <t>A09.01</t>
        </is>
      </c>
      <c r="D1070" s="59" t="inlineStr">
        <is>
          <t>Exclusion</t>
        </is>
      </c>
      <c r="E1070" s="46" t="inlineStr">
        <is>
          <t>Exterior Elevations: "SOUTH ELEVATION" and "WEST ELEVATION" at 1/4"=1'-0". Extent of each exterior material and the material legend, verbatim "CJ CONTROL JOINT; PAINT TO MATCH STUCCO FINISH COLOR" - that joint is the STUCCO joint, not gypsum.</t>
        </is>
      </c>
      <c r="F1070" s="46" t="inlineStr">
        <is>
          <t>excluded.CONTROL_JOINT</t>
        </is>
      </c>
      <c r="G107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71" ht="25.5" customHeight="1" s="36">
      <c r="A1071" s="59" t="n"/>
      <c r="B1071" s="58" t="n">
        <v>12</v>
      </c>
      <c r="C1071" s="44" t="inlineStr">
        <is>
          <t>A00.01</t>
        </is>
      </c>
      <c r="D1071" s="59" t="inlineStr">
        <is>
          <t>Exclusion</t>
        </is>
      </c>
      <c r="E1071" s="46" t="inlineStr">
        <is>
          <t>Cover sheet and Drawing Index. Proof by ABSENCE: the index lists no interior Demolition Plan, which is why there is no patch-and-repair line item.</t>
        </is>
      </c>
      <c r="F1071" s="46" t="inlineStr">
        <is>
          <t>excluded.PATCH</t>
        </is>
      </c>
      <c r="G1071" s="46" t="inlineStr">
        <is>
          <t>Obra ground-up: el Drawing Index de A00.01 no trae Demolition Plan interior, asi que no hay superficie existente que parchear en estos walls.</t>
        </is>
      </c>
    </row>
    <row r="1072" ht="33" customHeight="1" s="36">
      <c r="A1072" s="59" t="n"/>
      <c r="B1072" s="58" t="n">
        <v>13</v>
      </c>
      <c r="C1072" s="44" t="inlineStr">
        <is>
          <t>A09.27</t>
        </is>
      </c>
      <c r="D1072" s="59" t="inlineStr">
        <is>
          <t>Exclusion</t>
        </is>
      </c>
      <c r="E1072" s="46" t="inlineStr">
        <is>
          <t>Gypsum Section Details, the sheet. Cited as a sheet when the finding is that NO detail on it labels a gypsum control joint.</t>
        </is>
      </c>
      <c r="F1072" s="46" t="inlineStr">
        <is>
          <t>excluded.CONTROL_JOINT</t>
        </is>
      </c>
      <c r="G1072" s="46" t="inlineStr">
        <is>
          <t>El set no rotula ni detalla ninguna junta de control de gypsum board, ni en A12.01 ni en los detalles de A09.27/A09.33, y no hay seccion de especificaciones 09 29 00 en el bid set.</t>
        </is>
      </c>
    </row>
    <row r="1073" ht="33" customHeight="1" s="36">
      <c r="A1073" s="59" t="n"/>
      <c r="B1073" s="58" t="n">
        <v>14</v>
      </c>
      <c r="C1073" s="44" t="inlineStr">
        <is>
          <t>A09.33</t>
        </is>
      </c>
      <c r="D1073" s="59" t="inlineStr">
        <is>
          <t>Exclusion</t>
        </is>
      </c>
      <c r="E1073" s="46" t="inlineStr">
        <is>
          <t>Ceiling Details, the sheet. Cited as a sheet for a finding by ABSENCE: its details label corner bead, casing bead and shadow molding one by one and NONE labels a control joint, so the omission is not a labeling oversight.</t>
        </is>
      </c>
      <c r="F1073" s="46" t="inlineStr">
        <is>
          <t>excluded.CONTROL_JOINT</t>
        </is>
      </c>
      <c r="G1073" s="46" t="inlineStr">
        <is>
          <t>El set no rotula ni detalla ninguna junta de control de gypsum board, ni en A12.01 ni en los detalles de A09.27/A09.33, y no hay seccion de especificaciones 09 29 00 en el bid set.</t>
        </is>
      </c>
    </row>
    <row r="1074" ht="25.5" customHeight="1" s="36">
      <c r="A1074" s="59" t="n"/>
      <c r="B1074" s="58" t="n">
        <v>15</v>
      </c>
      <c r="C1074" s="44" t="inlineStr">
        <is>
          <t>M01.01</t>
        </is>
      </c>
      <c r="D1074" s="59" t="inlineStr">
        <is>
          <t>Scope</t>
        </is>
      </c>
      <c r="E1074" s="46" t="inlineStr">
        <is>
          <t>Mechanical Floor Plan at 1/4"=1'-0". Swept across the WHOLE band of each wall, opening included, to locate and measure every duct penetration.</t>
        </is>
      </c>
      <c r="F1074" s="46" t="inlineStr">
        <is>
          <t>scope[0].chain[0]</t>
        </is>
      </c>
      <c r="G1074" s="46" t="inlineStr">
        <is>
          <t>M01.01 pareja de lineas paralelas que sobresale por fuera de las dos faces</t>
        </is>
      </c>
    </row>
    <row r="1075" ht="33" customHeight="1" s="36">
      <c r="A1075" s="44" t="inlineStr">
        <is>
          <t>G #52</t>
        </is>
      </c>
      <c r="B1075" s="58" t="n">
        <v>1</v>
      </c>
      <c r="C1075" s="44" t="inlineStr">
        <is>
          <t>A02.01</t>
        </is>
      </c>
      <c r="D1075" s="59" t="inlineStr">
        <is>
          <t>Dimension</t>
        </is>
      </c>
      <c r="E1075" s="46" t="inlineStr">
        <is>
          <t>Construction Plan. Entry sheet for partitions and openings: vector geometry of every wall face at 1/4"=1'-0", the leader of every partition tag, the Construction Plan Legend (new vs. existing) and the Construction Plan Notes.</t>
        </is>
      </c>
      <c r="F1075" s="46" t="inlineStr">
        <is>
          <t>length.source, scope[0].chain[0], scope[1].chain[0]</t>
        </is>
      </c>
      <c r="G1075" s="46" t="inlineStr">
        <is>
          <t>A02.01 printed dimension 11'-7 1/2" of the room</t>
        </is>
      </c>
    </row>
    <row r="1076" ht="25.5" customHeight="1" s="36">
      <c r="A1076" s="59" t="n"/>
      <c r="B1076" s="58" t="n">
        <v>2</v>
      </c>
      <c r="C1076" s="44" t="inlineStr">
        <is>
          <t>1/A08.01</t>
        </is>
      </c>
      <c r="D1076" s="59" t="inlineStr">
        <is>
          <t>Scope</t>
        </is>
      </c>
      <c r="E1076" s="46" t="inlineStr">
        <is>
          <t>"ENLARGED RESTROOM FLOOR PLAN" at 1/2"=1'-0". The restroom faces and which water-resistant board each one carries.</t>
        </is>
      </c>
      <c r="F1076" s="46" t="inlineStr">
        <is>
          <t>excluded.BOARD RESISTENTE A LA HUMEDAD, scope[2].chain[0]</t>
        </is>
      </c>
      <c r="G1076" s="46" t="inlineStr">
        <is>
          <t>1/A08.01 ENLARGED RESTROOM FLOOR PLAN, tag TA-16 with its leader to the 11'-7 1/2" wall</t>
        </is>
      </c>
    </row>
    <row r="1077" ht="33" customHeight="1" s="36">
      <c r="A1077" s="59" t="n"/>
      <c r="B1077" s="58" t="n">
        <v>3</v>
      </c>
      <c r="C1077" s="44" t="inlineStr">
        <is>
          <t>8/A08.01</t>
        </is>
      </c>
      <c r="D1077" s="59" t="inlineStr">
        <is>
          <t>Quantity</t>
        </is>
      </c>
      <c r="E1077" s="46" t="inlineStr">
        <is>
          <t>"INSIDE CORNER TILE DETAIL". The tile inside corner and its substrate.</t>
        </is>
      </c>
      <c r="F1077" s="46" t="inlineStr">
        <is>
          <t>FRP WC-3</t>
        </is>
      </c>
      <c r="G1077" s="46" t="inlineStr">
        <is>
          <t>El detalle 8/A08.01 RESTROOM FRP/TILE DETAIL lo confirma por el ORDEN de sus layers, de arriba abajo: PVC EDGE TRIM MOLDING / FRP PANEL / ADHESIVE / PVC EDGE TRIM MOLDING / CLEAR SEALANT / CERAMIC TILE COVE BASE / CERAMIC TILE FLOOR TILE.</t>
        </is>
      </c>
    </row>
    <row r="1078" ht="25.5" customHeight="1" s="36">
      <c r="A1078" s="59" t="n"/>
      <c r="B1078" s="58" t="n">
        <v>4</v>
      </c>
      <c r="C1078" s="44" t="inlineStr">
        <is>
          <t>C/A08.01</t>
        </is>
      </c>
      <c r="D1078" s="59" t="inlineStr">
        <is>
          <t>Quantity</t>
        </is>
      </c>
      <c r="E1078" s="46" t="inlineStr">
        <is>
          <t>Restroom elevation C on A08.01. Extent of FRP WC-3 and the blocking for the accessories on that face.</t>
        </is>
      </c>
      <c r="F1078" s="46" t="inlineStr">
        <is>
          <t>BLOCKING, CEMENT BOARD, FRP WC-3, scope[1].chain[1]</t>
        </is>
      </c>
      <c r="G1078" s="46" t="inlineStr">
        <is>
          <t>TA-16 baby changing station KB208, surface mounted: width medido en C/A08.01 x 1329.24 a 1431.24 = 102.00 pt / 36 = 2.833 ft = 2 ft 10 in, 2 runs = 5.67 LF.</t>
        </is>
      </c>
    </row>
    <row r="1079" ht="33" customHeight="1" s="36">
      <c r="A1079" s="59" t="n"/>
      <c r="B1079" s="58" t="n">
        <v>5</v>
      </c>
      <c r="C1079" s="44" t="inlineStr">
        <is>
          <t>A04.01</t>
        </is>
      </c>
      <c r="D1079" s="59" t="inlineStr">
        <is>
          <t>Exclusion</t>
        </is>
      </c>
      <c r="E1079" s="46" t="inlineStr">
        <is>
          <t>Reflected Ceiling Plan. Entry sheet for ceilings, soffits and canopy; on walls it gives the BOARD HEIGHT: each room ceiling tag with its printed A.F.F. dimension, plus the ceiling key notes.</t>
        </is>
      </c>
      <c r="F1079" s="46" t="inlineStr">
        <is>
          <t>excluded.INSULATION</t>
        </is>
      </c>
      <c r="G1079" s="46" t="inlineStr">
        <is>
          <t>Aqui el plano la pide DOS veces: el schedule de A12.01 pone INSULATION YES en la fila G, y el key note 11 del RCP A04.01 dice INSTALL SOUND BATT INSULATION ABOVE CEILING justo en Women's Restroom 114 y Men's Restroom 113.</t>
        </is>
      </c>
    </row>
    <row r="1080" ht="25.5" customHeight="1" s="36">
      <c r="A1080" s="59" t="n"/>
      <c r="B1080" s="58" t="n">
        <v>6</v>
      </c>
      <c r="C1080" s="44" t="inlineStr">
        <is>
          <t>S2.20</t>
        </is>
      </c>
      <c r="D1080" s="59" t="inlineStr">
        <is>
          <t>Dimension</t>
        </is>
      </c>
      <c r="E1080" s="46" t="inlineStr">
        <is>
          <t>"ROOF FRAMING PLAN". Source of the STUD HEIGHT: every B.O.D. callout on the sheet and the slope of the bay between grids B and A (1/4" per foot).</t>
        </is>
      </c>
      <c r="F1080" s="46" t="inlineStr">
        <is>
          <t>face[0].board_height, face[1].board_height, stud_height</t>
        </is>
      </c>
      <c r="G1080" s="46" t="inlineStr">
        <is>
          <t>15'-4 1/2" of S2.20 minus the datum T/SLAB 0'-0": 15.375 - 0 = 15.375 ft.</t>
        </is>
      </c>
    </row>
    <row r="1081" ht="25.5" customHeight="1" s="36">
      <c r="A1081" s="59" t="n"/>
      <c r="B1081" s="58" t="n">
        <v>7</v>
      </c>
      <c r="C1081" s="44" t="inlineStr">
        <is>
          <t>8/A11.03</t>
        </is>
      </c>
      <c r="D1081" s="59" t="inlineStr">
        <is>
          <t>Quantity</t>
        </is>
      </c>
      <c r="E1081" s="46" t="inlineStr">
        <is>
          <t>"OFFICE 6 - SOUTH". The artwork on that face and its height: blocking.</t>
        </is>
      </c>
      <c r="F1081" s="46" t="inlineStr">
        <is>
          <t>BLOCKING</t>
        </is>
      </c>
      <c r="G1081" s="46" t="inlineStr">
        <is>
          <t>en la face de oficina (8/A11.03 OFFICE 6 - SOUTH), 1 run = 4.00 LF.</t>
        </is>
      </c>
    </row>
    <row r="1082" ht="25.5" customHeight="1" s="36">
      <c r="A1082" s="59" t="n"/>
      <c r="B1082" s="58" t="n">
        <v>8</v>
      </c>
      <c r="C1082" s="44" t="inlineStr">
        <is>
          <t>5/A12.01</t>
        </is>
      </c>
      <c r="D1082" s="59" t="inlineStr">
        <is>
          <t>Dimension</t>
        </is>
      </c>
      <c r="E1082" s="46" t="inlineStr">
        <is>
          <t>"PARTITION G" (officefront). Stud and board of type G.</t>
        </is>
      </c>
      <c r="F1082" s="46" t="inlineStr">
        <is>
          <t>BOARD, SEALANT, STUD, TRACK_BOTTOM, TRACK_TOP, face[0].board_height, face[1].board_height, scope[0].afirmacion, scope[0].chain[1]</t>
        </is>
      </c>
      <c r="G1082" s="46" t="inlineStr">
        <is>
          <t>5/A12.01 PARTITION G gives the RULE (board runs to the underside of structure above); it does NOT print the number.</t>
        </is>
      </c>
    </row>
    <row r="1083" ht="33" customHeight="1" s="36">
      <c r="A1083" s="59" t="n"/>
      <c r="B1083" s="58" t="n">
        <v>9</v>
      </c>
      <c r="C1083" s="44" t="inlineStr">
        <is>
          <t>1/S5.20</t>
        </is>
      </c>
      <c r="D1083" s="59" t="inlineStr">
        <is>
          <t>Quantity</t>
        </is>
      </c>
      <c r="E1083" s="46" t="inlineStr">
        <is>
          <t>"TYPICAL WALL FRAMING DETAILS". Holds sub-details A through F; sub-detail F "BRIDGING AND BRACING - CONTINUOUS BRIDGING" is the bracing one: 1 1/2" C.R. CHANNEL welded to every stud. (Bracing is NOT in 5/S5.20, which is TYPICAL WALL FRAMING CONNX.)</t>
        </is>
      </c>
      <c r="F1083" s="46" t="inlineStr">
        <is>
          <t>BRACING, excluded.CLIPS</t>
        </is>
      </c>
      <c r="G1083" s="46" t="inlineStr">
        <is>
          <t>1/S5.20 sub-detalle F "BRIDGING AND BRACING - CONTINUOUS BRIDGING" sets the 1 1/2" C.R.</t>
        </is>
      </c>
    </row>
    <row r="1084" ht="25.5" customHeight="1" s="36">
      <c r="A1084" s="59" t="n"/>
      <c r="B1084" s="58" t="n">
        <v>10</v>
      </c>
      <c r="C1084" s="44" t="inlineStr">
        <is>
          <t>6/S5.20</t>
        </is>
      </c>
      <c r="D1084" s="59" t="inlineStr">
        <is>
          <t>Quantity</t>
        </is>
      </c>
      <c r="E1084" s="46" t="inlineStr">
        <is>
          <t>"PENETRATION THRU STUDS". How the stud is reinforced where a duct passes through.</t>
        </is>
      </c>
      <c r="F1084" s="46" t="inlineStr">
        <is>
          <t>ABERTURA_MEP_HEAD_SILL</t>
        </is>
      </c>
      <c r="G1084" s="46" t="inlineStr">
        <is>
          <t>6/S5.20 PENETRATION THRU STUDS limits the web hole.</t>
        </is>
      </c>
    </row>
    <row r="1085" ht="33" customHeight="1" s="36">
      <c r="A1085" s="59" t="n"/>
      <c r="B1085" s="58" t="n">
        <v>11</v>
      </c>
      <c r="C1085" s="44" t="inlineStr">
        <is>
          <t>7/S5.20</t>
        </is>
      </c>
      <c r="D1085" s="59" t="inlineStr">
        <is>
          <t>Quantity</t>
        </is>
      </c>
      <c r="E1085" s="46" t="inlineStr">
        <is>
          <t>"METAL STUDS SCHEDULES". The profile: web, flange, lip, mils, gauge and the APPLICATION column with the spacing ("INTERIOR WALLS @ 16" O.C."), plus the SILL TRACK ANCHORAGE and the FASTENER SCHEDULE.</t>
        </is>
      </c>
      <c r="F1085" s="46" t="inlineStr">
        <is>
          <t>BRACING, STUD</t>
        </is>
      </c>
      <c r="G1085" s="46" t="inlineStr">
        <is>
          <t>CHANNEL welded to every stud; the spacing comes from 7/S5.20.</t>
        </is>
      </c>
    </row>
    <row r="1086" ht="33" customHeight="1" s="36">
      <c r="A1086" s="59" t="n"/>
      <c r="B1086" s="58" t="n">
        <v>12</v>
      </c>
      <c r="C1086" s="44" t="inlineStr">
        <is>
          <t>9/S5.20</t>
        </is>
      </c>
      <c r="D1086" s="59" t="inlineStr">
        <is>
          <t>Quantity</t>
        </is>
      </c>
      <c r="E1086" s="46" t="inlineStr">
        <is>
          <t>"OPNG IN NON-LOAD-BRG WALLS". The opening frame: DBL JAMB STUD (2 per jamb) and HEAD TRACK with the condition "DOUBLE TRACK @ OPNG &gt; 4'-0"".</t>
        </is>
      </c>
      <c r="F1086" s="46" t="inlineStr">
        <is>
          <t>ABERTURA_MEP_HEAD_SILL, STUD, TRACK_BOTTOM, TRACK_TOP</t>
        </is>
      </c>
      <c r="G1086" s="46" t="inlineStr">
        <is>
          <t>9/S5.20 OPNG IN NON-LOAD-BRG WALLS rotula "HEAD TRACK (DOUBLE TRACK @ OPNG &gt; 4 ft)" y "DBL JAMB STUD"; that detail draws the opening down to the floor, so the SILL piece is derived by applying the same rule at the lower edge.</t>
        </is>
      </c>
    </row>
    <row r="1087" ht="43.5" customHeight="1" s="36">
      <c r="A1087" s="59" t="n"/>
      <c r="B1087" s="58" t="n">
        <v>13</v>
      </c>
      <c r="C1087" s="44" t="inlineStr">
        <is>
          <t>A09.01</t>
        </is>
      </c>
      <c r="D1087" s="59" t="inlineStr">
        <is>
          <t>Exclusion</t>
        </is>
      </c>
      <c r="E1087" s="46" t="inlineStr">
        <is>
          <t>Exterior Elevations: "SOUTH ELEVATION" and "WEST ELEVATION" at 1/4"=1'-0". Extent of each exterior material and the material legend, verbatim "CJ CONTROL JOINT; PAINT TO MATCH STUCCO FINISH COLOR" - that joint is the STUCCO joint, not gypsum.</t>
        </is>
      </c>
      <c r="F1087" s="46" t="inlineStr">
        <is>
          <t>excluded.CONTROL_JOINT</t>
        </is>
      </c>
      <c r="G108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88" ht="25.5" customHeight="1" s="36">
      <c r="A1088" s="59" t="n"/>
      <c r="B1088" s="58" t="n">
        <v>14</v>
      </c>
      <c r="C1088" s="44" t="inlineStr">
        <is>
          <t>A00.01</t>
        </is>
      </c>
      <c r="D1088" s="59" t="inlineStr">
        <is>
          <t>Exclusion</t>
        </is>
      </c>
      <c r="E1088" s="46" t="inlineStr">
        <is>
          <t>Cover sheet and Drawing Index. Proof by ABSENCE: the index lists no interior Demolition Plan, which is why there is no patch-and-repair line item.</t>
        </is>
      </c>
      <c r="F1088" s="46" t="inlineStr">
        <is>
          <t>excluded.PATCH</t>
        </is>
      </c>
      <c r="G1088" s="46" t="inlineStr">
        <is>
          <t>Obra ground-up: el Drawing Index de A00.01 no trae Demolition Plan interior, no hay superficie existente que parchear.</t>
        </is>
      </c>
    </row>
    <row r="1089" ht="33" customHeight="1" s="36">
      <c r="A1089" s="59" t="n"/>
      <c r="B1089" s="58" t="n">
        <v>15</v>
      </c>
      <c r="C1089" s="44" t="inlineStr">
        <is>
          <t>A09.27</t>
        </is>
      </c>
      <c r="D1089" s="59" t="inlineStr">
        <is>
          <t>Exclusion</t>
        </is>
      </c>
      <c r="E1089" s="46" t="inlineStr">
        <is>
          <t>Gypsum Section Details, the sheet. Cited as a sheet when the finding is that NO detail on it labels a gypsum control joint.</t>
        </is>
      </c>
      <c r="F1089" s="46" t="inlineStr">
        <is>
          <t>excluded.CONTROL_JOINT</t>
        </is>
      </c>
      <c r="G1089" s="46" t="inlineStr">
        <is>
          <t>El set no rotula ni detalla ninguna junta de control de gypsum board, ni en A12.01 ni en los detalles de A09.27/A09.33, y no hay seccion de especificaciones 09 29 00 en el bid set.</t>
        </is>
      </c>
    </row>
    <row r="1090" ht="33" customHeight="1" s="36">
      <c r="A1090" s="59" t="n"/>
      <c r="B1090" s="58" t="n">
        <v>16</v>
      </c>
      <c r="C1090" s="44" t="inlineStr">
        <is>
          <t>A09.33</t>
        </is>
      </c>
      <c r="D1090" s="59" t="inlineStr">
        <is>
          <t>Exclusion</t>
        </is>
      </c>
      <c r="E1090" s="46" t="inlineStr">
        <is>
          <t>Ceiling Details, the sheet. Cited as a sheet for a finding by ABSENCE: its details label corner bead, casing bead and shadow molding one by one and NONE labels a control joint, so the omission is not a labeling oversight.</t>
        </is>
      </c>
      <c r="F1090" s="46" t="inlineStr">
        <is>
          <t>excluded.CONTROL_JOINT</t>
        </is>
      </c>
      <c r="G1090" s="46" t="inlineStr">
        <is>
          <t>El set no rotula ni detalla ninguna junta de control de gypsum board, ni en A12.01 ni en los detalles de A09.27/A09.33, y no hay seccion de especificaciones 09 29 00 en el bid set.</t>
        </is>
      </c>
    </row>
    <row r="1091" ht="25.5" customHeight="1" s="36">
      <c r="A1091" s="59" t="n"/>
      <c r="B1091" s="58" t="n">
        <v>17</v>
      </c>
      <c r="C1091" s="44" t="inlineStr">
        <is>
          <t>M01.01</t>
        </is>
      </c>
      <c r="D1091" s="59" t="inlineStr">
        <is>
          <t>Quantity</t>
        </is>
      </c>
      <c r="E1091" s="46" t="inlineStr">
        <is>
          <t>Mechanical Floor Plan at 1/4"=1'-0". Swept across the WHOLE band of each wall, opening included, to locate and measure every duct penetration.</t>
        </is>
      </c>
      <c r="F1091" s="46" t="inlineStr">
        <is>
          <t>ABERTURA_MEP_HEAD_SILL</t>
        </is>
      </c>
      <c r="G1091" s="46" t="inlineStr">
        <is>
          <t>2 aberturas (ducto 8x10 y ducto 12x10 de M01.01) x 2 rows x 2 piezas x 1.50 LF.</t>
        </is>
      </c>
    </row>
    <row r="1092" ht="33" customHeight="1" s="36">
      <c r="A1092" s="44" t="inlineStr">
        <is>
          <t>G #47</t>
        </is>
      </c>
      <c r="B1092" s="58" t="n">
        <v>1</v>
      </c>
      <c r="C1092" s="44" t="inlineStr">
        <is>
          <t>A02.01</t>
        </is>
      </c>
      <c r="D1092" s="59" t="inlineStr">
        <is>
          <t>Scope</t>
        </is>
      </c>
      <c r="E1092" s="46" t="inlineStr">
        <is>
          <t>Construction Plan. Entry sheet for partitions and openings: vector geometry of every wall face at 1/4"=1'-0", the leader of every partition tag, the Construction Plan Legend (new vs. existing) and the Construction Plan Notes.</t>
        </is>
      </c>
      <c r="F1092" s="46" t="inlineStr">
        <is>
          <t>excluded.BLOCKING, excluded.HEADER, scope[1].chain[0]</t>
        </is>
      </c>
      <c r="G1092" s="46" t="inlineStr">
        <is>
          <t>A02.01 tag G con su leader aterrizando en esta banda de 6.16 in</t>
        </is>
      </c>
    </row>
    <row r="1093" ht="33" customHeight="1" s="36">
      <c r="A1093" s="59" t="n"/>
      <c r="B1093" s="58" t="n">
        <v>2</v>
      </c>
      <c r="C1093" s="44" t="inlineStr">
        <is>
          <t>A04.01</t>
        </is>
      </c>
      <c r="D1093" s="59" t="inlineStr">
        <is>
          <t>Quantity</t>
        </is>
      </c>
      <c r="E1093" s="46" t="inlineStr">
        <is>
          <t>Reflected Ceiling Plan. Entry sheet for ceilings, soffits and canopy; on walls it gives the BOARD HEIGHT: each room ceiling tag with its printed A.F.F. dimension, plus the ceiling key notes.</t>
        </is>
      </c>
      <c r="F1093" s="46" t="inlineStr">
        <is>
          <t>NIVEL5</t>
        </is>
      </c>
      <c r="G1093" s="46" t="inlineStr">
        <is>
          <t>Cielo de oficina 9'-0" (A04.01 ACT-4).</t>
        </is>
      </c>
    </row>
    <row r="1094" ht="25.5" customHeight="1" s="36">
      <c r="A1094" s="59" t="n"/>
      <c r="B1094" s="58" t="n">
        <v>3</v>
      </c>
      <c r="C1094" s="44" t="inlineStr">
        <is>
          <t>S2.20</t>
        </is>
      </c>
      <c r="D1094" s="59" t="inlineStr">
        <is>
          <t>Dimension</t>
        </is>
      </c>
      <c r="E1094" s="46" t="inlineStr">
        <is>
          <t>"ROOF FRAMING PLAN". Source of the STUD HEIGHT: every B.O.D. callout on the sheet and the slope of the bay between grids B and A (1/4" per foot).</t>
        </is>
      </c>
      <c r="F1094" s="46" t="inlineStr">
        <is>
          <t>face[0].board_height, face[1].board_height, scope[2].chain[1], stud_height</t>
        </is>
      </c>
      <c r="G1094" s="46" t="inlineStr">
        <is>
          <t>15'-4 1/2" of S2.20 minus the datum T/SLAB 0'-0": 15.375 - 0 = 15.375 ft.</t>
        </is>
      </c>
    </row>
    <row r="1095" ht="25.5" customHeight="1" s="36">
      <c r="A1095" s="59" t="n"/>
      <c r="B1095" s="58" t="n">
        <v>4</v>
      </c>
      <c r="C1095" s="44" t="inlineStr">
        <is>
          <t>11/A11.04</t>
        </is>
      </c>
      <c r="D1095" s="59" t="inlineStr">
        <is>
          <t>Quantity</t>
        </is>
      </c>
      <c r="E1095" s="46" t="inlineStr">
        <is>
          <t>Interior elevation on A11.04. Finish of that face (level 5).</t>
        </is>
      </c>
      <c r="F1095" s="46" t="inlineStr">
        <is>
          <t>NIVEL5</t>
        </is>
      </c>
      <c r="G1095" s="46" t="inlineStr">
        <is>
          <t>Fuente del tag: 11/A11.04 OFFICE 4 - SOUTH, tag WC-18</t>
        </is>
      </c>
    </row>
    <row r="1096" ht="25.5" customHeight="1" s="36">
      <c r="A1096" s="59" t="n"/>
      <c r="B1096" s="58" t="n">
        <v>5</v>
      </c>
      <c r="C1096" s="44" t="inlineStr">
        <is>
          <t>5/A12.01</t>
        </is>
      </c>
      <c r="D1096" s="59" t="inlineStr">
        <is>
          <t>Dimension</t>
        </is>
      </c>
      <c r="E1096" s="46" t="inlineStr">
        <is>
          <t>"PARTITION G" (officefront). Stud and board of type G.</t>
        </is>
      </c>
      <c r="F1096" s="46" t="inlineStr">
        <is>
          <t>BOARD, SEALANT, STUD, TRACK_BOTTOM, TRACK_TOP, excluded.INSULATION, face[0].board_height, face[1].board_height, scope[1].afirmacion, scope[1].chain[1], scope[2].chain[0]</t>
        </is>
      </c>
      <c r="G1096" s="46" t="inlineStr">
        <is>
          <t>5/A12.01 PARTITION G gives the RULE (board runs to the underside of structure above); it does NOT print the number.</t>
        </is>
      </c>
    </row>
    <row r="1097" ht="33" customHeight="1" s="36">
      <c r="A1097" s="59" t="n"/>
      <c r="B1097" s="58" t="n">
        <v>6</v>
      </c>
      <c r="C1097" s="44" t="inlineStr">
        <is>
          <t>1/S5.20</t>
        </is>
      </c>
      <c r="D1097" s="59" t="inlineStr">
        <is>
          <t>Quantity</t>
        </is>
      </c>
      <c r="E1097" s="46" t="inlineStr">
        <is>
          <t>"TYPICAL WALL FRAMING DETAILS". Holds sub-details A through F; sub-detail F "BRIDGING AND BRACING - CONTINUOUS BRIDGING" is the bracing one: 1 1/2" C.R. CHANNEL welded to every stud. (Bracing is NOT in 5/S5.20, which is TYPICAL WALL FRAMING CONNX.)</t>
        </is>
      </c>
      <c r="F1097" s="46" t="inlineStr">
        <is>
          <t>BRACING, excluded.CLIPS</t>
        </is>
      </c>
      <c r="G1097" s="46" t="inlineStr">
        <is>
          <t>1/S5.20 sub-detalle F "BRIDGING AND BRACING - CONTINUOUS BRIDGING" sets the 1 1/2" C.R.</t>
        </is>
      </c>
    </row>
    <row r="1098" ht="25.5" customHeight="1" s="36">
      <c r="A1098" s="59" t="n"/>
      <c r="B1098" s="58" t="n">
        <v>7</v>
      </c>
      <c r="C1098" s="44" t="inlineStr">
        <is>
          <t>6/S5.20</t>
        </is>
      </c>
      <c r="D1098" s="59" t="inlineStr">
        <is>
          <t>Quantity</t>
        </is>
      </c>
      <c r="E1098" s="46" t="inlineStr">
        <is>
          <t>"PENETRATION THRU STUDS". How the stud is reinforced where a duct passes through.</t>
        </is>
      </c>
      <c r="F1098" s="46" t="inlineStr">
        <is>
          <t>ABERTURA_MEP_HEAD_SILL, scope[0].chain[1]</t>
        </is>
      </c>
      <c r="G1098" s="46" t="inlineStr">
        <is>
          <t>6/S5.20 PENETRATION THRU STUDS limits the web hole.</t>
        </is>
      </c>
    </row>
    <row r="1099" ht="33" customHeight="1" s="36">
      <c r="A1099" s="59" t="n"/>
      <c r="B1099" s="58" t="n">
        <v>8</v>
      </c>
      <c r="C1099" s="44" t="inlineStr">
        <is>
          <t>7/S5.20</t>
        </is>
      </c>
      <c r="D1099" s="59" t="inlineStr">
        <is>
          <t>Quantity</t>
        </is>
      </c>
      <c r="E1099" s="46" t="inlineStr">
        <is>
          <t>"METAL STUDS SCHEDULES". The profile: web, flange, lip, mils, gauge and the APPLICATION column with the spacing ("INTERIOR WALLS @ 16" O.C."), plus the SILL TRACK ANCHORAGE and the FASTENER SCHEDULE.</t>
        </is>
      </c>
      <c r="F1099" s="46" t="inlineStr">
        <is>
          <t>BRACING, STUD</t>
        </is>
      </c>
      <c r="G1099" s="46" t="inlineStr">
        <is>
          <t>CHANNEL welded to every stud; the spacing comes from 7/S5.20.</t>
        </is>
      </c>
    </row>
    <row r="1100" ht="33" customHeight="1" s="36">
      <c r="A1100" s="59" t="n"/>
      <c r="B1100" s="58" t="n">
        <v>9</v>
      </c>
      <c r="C1100" s="44" t="inlineStr">
        <is>
          <t>9/S5.20</t>
        </is>
      </c>
      <c r="D1100" s="59" t="inlineStr">
        <is>
          <t>Quantity</t>
        </is>
      </c>
      <c r="E1100" s="46" t="inlineStr">
        <is>
          <t>"OPNG IN NON-LOAD-BRG WALLS". The opening frame: DBL JAMB STUD (2 per jamb) and HEAD TRACK with the condition "DOUBLE TRACK @ OPNG &gt; 4'-0"".</t>
        </is>
      </c>
      <c r="F1100" s="46" t="inlineStr">
        <is>
          <t>ABERTURA_MEP_HEAD_SILL, STUD, TRACK_BOTTOM, TRACK_TOP</t>
        </is>
      </c>
      <c r="G1100" s="46" t="inlineStr">
        <is>
          <t>9/S5.20 OPNG IN NON-LOAD-BRG WALLS rotula "HEAD TRACK (DOUBLE TRACK @ OPNG &gt; 4 ft)" y "DBL JAMB STUD"; that detail draws the opening down to the floor, so the SILL piece is derived by applying the same rule at the lower edge.</t>
        </is>
      </c>
    </row>
    <row r="1101" ht="43.5" customHeight="1" s="36">
      <c r="A1101" s="59" t="n"/>
      <c r="B1101" s="58" t="n">
        <v>10</v>
      </c>
      <c r="C1101" s="44" t="inlineStr">
        <is>
          <t>A09.01</t>
        </is>
      </c>
      <c r="D1101" s="59" t="inlineStr">
        <is>
          <t>Exclusion</t>
        </is>
      </c>
      <c r="E1101" s="46" t="inlineStr">
        <is>
          <t>Exterior Elevations: "SOUTH ELEVATION" and "WEST ELEVATION" at 1/4"=1'-0". Extent of each exterior material and the material legend, verbatim "CJ CONTROL JOINT; PAINT TO MATCH STUCCO FINISH COLOR" - that joint is the STUCCO joint, not gypsum.</t>
        </is>
      </c>
      <c r="F1101" s="46" t="inlineStr">
        <is>
          <t>excluded.CONTROL_JOINT</t>
        </is>
      </c>
      <c r="G110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02" ht="25.5" customHeight="1" s="36">
      <c r="A1102" s="59" t="n"/>
      <c r="B1102" s="58" t="n">
        <v>11</v>
      </c>
      <c r="C1102" s="44" t="inlineStr">
        <is>
          <t>A00.01</t>
        </is>
      </c>
      <c r="D1102" s="59" t="inlineStr">
        <is>
          <t>Exclusion</t>
        </is>
      </c>
      <c r="E1102" s="46" t="inlineStr">
        <is>
          <t>Cover sheet and Drawing Index. Proof by ABSENCE: the index lists no interior Demolition Plan, which is why there is no patch-and-repair line item.</t>
        </is>
      </c>
      <c r="F1102" s="46" t="inlineStr">
        <is>
          <t>excluded.PATCH</t>
        </is>
      </c>
      <c r="G1102" s="46" t="inlineStr">
        <is>
          <t>Obra ground-up: el Drawing Index de A00.01 no trae Demolition Plan interior, asi que no hay superficie existente que parchear en estos walls.</t>
        </is>
      </c>
    </row>
    <row r="1103" ht="33" customHeight="1" s="36">
      <c r="A1103" s="59" t="n"/>
      <c r="B1103" s="58" t="n">
        <v>12</v>
      </c>
      <c r="C1103" s="44" t="inlineStr">
        <is>
          <t>A09.27</t>
        </is>
      </c>
      <c r="D1103" s="59" t="inlineStr">
        <is>
          <t>Exclusion</t>
        </is>
      </c>
      <c r="E1103" s="46" t="inlineStr">
        <is>
          <t>Gypsum Section Details, the sheet. Cited as a sheet when the finding is that NO detail on it labels a gypsum control joint.</t>
        </is>
      </c>
      <c r="F1103" s="46" t="inlineStr">
        <is>
          <t>excluded.CONTROL_JOINT</t>
        </is>
      </c>
      <c r="G1103" s="46" t="inlineStr">
        <is>
          <t>El set no rotula ni detalla ninguna junta de control de gypsum board, ni en A12.01 ni en los detalles de A09.27/A09.33, y no hay seccion de especificaciones 09 29 00 en el bid set.</t>
        </is>
      </c>
    </row>
    <row r="1104" ht="33" customHeight="1" s="36">
      <c r="A1104" s="59" t="n"/>
      <c r="B1104" s="58" t="n">
        <v>13</v>
      </c>
      <c r="C1104" s="44" t="inlineStr">
        <is>
          <t>A09.33</t>
        </is>
      </c>
      <c r="D1104" s="59" t="inlineStr">
        <is>
          <t>Exclusion</t>
        </is>
      </c>
      <c r="E1104" s="46" t="inlineStr">
        <is>
          <t>Ceiling Details, the sheet. Cited as a sheet for a finding by ABSENCE: its details label corner bead, casing bead and shadow molding one by one and NONE labels a control joint, so the omission is not a labeling oversight.</t>
        </is>
      </c>
      <c r="F1104" s="46" t="inlineStr">
        <is>
          <t>excluded.CONTROL_JOINT</t>
        </is>
      </c>
      <c r="G1104" s="46" t="inlineStr">
        <is>
          <t>El set no rotula ni detalla ninguna junta de control de gypsum board, ni en A12.01 ni en los detalles de A09.27/A09.33, y no hay seccion de especificaciones 09 29 00 en el bid set.</t>
        </is>
      </c>
    </row>
    <row r="1105" ht="25.5" customHeight="1" s="36">
      <c r="A1105" s="59" t="n"/>
      <c r="B1105" s="58" t="n">
        <v>14</v>
      </c>
      <c r="C1105" s="44" t="inlineStr">
        <is>
          <t>M01.01</t>
        </is>
      </c>
      <c r="D1105" s="59" t="inlineStr">
        <is>
          <t>Scope</t>
        </is>
      </c>
      <c r="E1105" s="46" t="inlineStr">
        <is>
          <t>Mechanical Floor Plan at 1/4"=1'-0". Swept across the WHOLE band of each wall, opening included, to locate and measure every duct penetration.</t>
        </is>
      </c>
      <c r="F1105" s="46" t="inlineStr">
        <is>
          <t>scope[0].chain[0]</t>
        </is>
      </c>
      <c r="G1105" s="46" t="inlineStr">
        <is>
          <t>M01.01 pareja de lineas paralelas que sobresale por fuera de las dos faces</t>
        </is>
      </c>
    </row>
    <row r="1106" ht="33" customHeight="1" s="36">
      <c r="A1106" s="44" t="inlineStr">
        <is>
          <t>G #42</t>
        </is>
      </c>
      <c r="B1106" s="58" t="n">
        <v>1</v>
      </c>
      <c r="C1106" s="44" t="inlineStr">
        <is>
          <t>A02.01</t>
        </is>
      </c>
      <c r="D1106" s="59" t="inlineStr">
        <is>
          <t>Scope</t>
        </is>
      </c>
      <c r="E1106" s="46" t="inlineStr">
        <is>
          <t>Construction Plan. Entry sheet for partitions and openings: vector geometry of every wall face at 1/4"=1'-0", the leader of every partition tag, the Construction Plan Legend (new vs. existing) and the Construction Plan Notes.</t>
        </is>
      </c>
      <c r="F1106" s="46" t="inlineStr">
        <is>
          <t>excluded.BLOCKING, excluded.HEADER, scope[0].chain[0]</t>
        </is>
      </c>
      <c r="G1106" s="46" t="inlineStr">
        <is>
          <t>A02.01 tag G con su leader aterrizando en esta banda de 6.16 in</t>
        </is>
      </c>
    </row>
    <row r="1107" ht="25.5" customHeight="1" s="36">
      <c r="A1107" s="59" t="n"/>
      <c r="B1107" s="58" t="n">
        <v>2</v>
      </c>
      <c r="C1107" s="44" t="inlineStr">
        <is>
          <t>S2.20</t>
        </is>
      </c>
      <c r="D1107" s="59" t="inlineStr">
        <is>
          <t>Dimension</t>
        </is>
      </c>
      <c r="E1107" s="46" t="inlineStr">
        <is>
          <t>"ROOF FRAMING PLAN". Source of the STUD HEIGHT: every B.O.D. callout on the sheet and the slope of the bay between grids B and A (1/4" per foot).</t>
        </is>
      </c>
      <c r="F1107" s="46" t="inlineStr">
        <is>
          <t>face[0].board_height, face[1].board_height, scope[1].chain[1], stud_height</t>
        </is>
      </c>
      <c r="G1107" s="46" t="inlineStr">
        <is>
          <t>15'-4 1/2" of S2.20 minus the datum T/SLAB 0'-0": 15.375 - 0 = 15.375 ft.</t>
        </is>
      </c>
    </row>
    <row r="1108" ht="25.5" customHeight="1" s="36">
      <c r="A1108" s="59" t="n"/>
      <c r="B1108" s="58" t="n">
        <v>3</v>
      </c>
      <c r="C1108" s="44" t="inlineStr">
        <is>
          <t>5/A12.01</t>
        </is>
      </c>
      <c r="D1108" s="59" t="inlineStr">
        <is>
          <t>Dimension</t>
        </is>
      </c>
      <c r="E1108" s="46" t="inlineStr">
        <is>
          <t>"PARTITION G" (officefront). Stud and board of type G.</t>
        </is>
      </c>
      <c r="F1108" s="46" t="inlineStr">
        <is>
          <t>BOARD, SEALANT, STUD, TRACK_BOTTOM, TRACK_TOP, excluded.INSULATION, face[0].board_height, face[1].board_height, scope[0].afirmacion, scope[0].chain[1], scope[1].chain[0]</t>
        </is>
      </c>
      <c r="G1108" s="46" t="inlineStr">
        <is>
          <t>5/A12.01 PARTITION G gives the RULE (board runs to the underside of structure above); it does NOT print the number.</t>
        </is>
      </c>
    </row>
    <row r="1109" ht="33" customHeight="1" s="36">
      <c r="A1109" s="59" t="n"/>
      <c r="B1109" s="58" t="n">
        <v>4</v>
      </c>
      <c r="C1109" s="44" t="inlineStr">
        <is>
          <t>1/S5.20</t>
        </is>
      </c>
      <c r="D1109" s="59" t="inlineStr">
        <is>
          <t>Quantity</t>
        </is>
      </c>
      <c r="E1109" s="46" t="inlineStr">
        <is>
          <t>"TYPICAL WALL FRAMING DETAILS". Holds sub-details A through F; sub-detail F "BRIDGING AND BRACING - CONTINUOUS BRIDGING" is the bracing one: 1 1/2" C.R. CHANNEL welded to every stud. (Bracing is NOT in 5/S5.20, which is TYPICAL WALL FRAMING CONNX.)</t>
        </is>
      </c>
      <c r="F1109" s="46" t="inlineStr">
        <is>
          <t>BRACING, excluded.CLIPS</t>
        </is>
      </c>
      <c r="G1109" s="46" t="inlineStr">
        <is>
          <t>1/S5.20 sub-detalle F "BRIDGING AND BRACING - CONTINUOUS BRIDGING" sets the 1 1/2" C.R.</t>
        </is>
      </c>
    </row>
    <row r="1110" ht="33" customHeight="1" s="36">
      <c r="A1110" s="59" t="n"/>
      <c r="B1110" s="58" t="n">
        <v>5</v>
      </c>
      <c r="C1110" s="44" t="inlineStr">
        <is>
          <t>7/S5.20</t>
        </is>
      </c>
      <c r="D1110" s="59" t="inlineStr">
        <is>
          <t>Quantity</t>
        </is>
      </c>
      <c r="E1110" s="46" t="inlineStr">
        <is>
          <t>"METAL STUDS SCHEDULES". The profile: web, flange, lip, mils, gauge and the APPLICATION column with the spacing ("INTERIOR WALLS @ 16" O.C."), plus the SILL TRACK ANCHORAGE and the FASTENER SCHEDULE.</t>
        </is>
      </c>
      <c r="F1110" s="46" t="inlineStr">
        <is>
          <t>BRACING, STUD</t>
        </is>
      </c>
      <c r="G1110" s="46" t="inlineStr">
        <is>
          <t>CHANNEL welded to every stud; the spacing comes from 7/S5.20.</t>
        </is>
      </c>
    </row>
    <row r="1111" ht="25.5" customHeight="1" s="36">
      <c r="A1111" s="59" t="n"/>
      <c r="B1111" s="58" t="n">
        <v>6</v>
      </c>
      <c r="C1111" s="44" t="inlineStr">
        <is>
          <t>9/S5.20</t>
        </is>
      </c>
      <c r="D1111" s="59" t="inlineStr">
        <is>
          <t>Quantity</t>
        </is>
      </c>
      <c r="E1111" s="46" t="inlineStr">
        <is>
          <t>"OPNG IN NON-LOAD-BRG WALLS". The opening frame: DBL JAMB STUD (2 per jamb) and HEAD TRACK with the condition "DOUBLE TRACK @ OPNG &gt; 4'-0"".</t>
        </is>
      </c>
      <c r="F1111" s="46" t="inlineStr">
        <is>
          <t>STUD, TRACK_BOTTOM, TRACK_TOP</t>
        </is>
      </c>
      <c r="G1111" s="46" t="inlineStr">
        <is>
          <t>sale de 7/S5.20 METAL STUD PROPERTIES, columna APPLICATION "INTERIOR WALLS @ 16" O.C."; the jamb studs of the opening are called for by 9/S5.20 con "DBL JAMB STUD".</t>
        </is>
      </c>
    </row>
    <row r="1112" ht="43.5" customHeight="1" s="36">
      <c r="A1112" s="59" t="n"/>
      <c r="B1112" s="58" t="n">
        <v>7</v>
      </c>
      <c r="C1112" s="44" t="inlineStr">
        <is>
          <t>A09.01</t>
        </is>
      </c>
      <c r="D1112" s="59" t="inlineStr">
        <is>
          <t>Exclusion</t>
        </is>
      </c>
      <c r="E1112" s="46" t="inlineStr">
        <is>
          <t>Exterior Elevations: "SOUTH ELEVATION" and "WEST ELEVATION" at 1/4"=1'-0". Extent of each exterior material and the material legend, verbatim "CJ CONTROL JOINT; PAINT TO MATCH STUCCO FINISH COLOR" - that joint is the STUCCO joint, not gypsum.</t>
        </is>
      </c>
      <c r="F1112" s="46" t="inlineStr">
        <is>
          <t>excluded.CONTROL_JOINT</t>
        </is>
      </c>
      <c r="G111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13" ht="25.5" customHeight="1" s="36">
      <c r="A1113" s="59" t="n"/>
      <c r="B1113" s="58" t="n">
        <v>8</v>
      </c>
      <c r="C1113" s="44" t="inlineStr">
        <is>
          <t>A00.01</t>
        </is>
      </c>
      <c r="D1113" s="59" t="inlineStr">
        <is>
          <t>Exclusion</t>
        </is>
      </c>
      <c r="E1113" s="46" t="inlineStr">
        <is>
          <t>Cover sheet and Drawing Index. Proof by ABSENCE: the index lists no interior Demolition Plan, which is why there is no patch-and-repair line item.</t>
        </is>
      </c>
      <c r="F1113" s="46" t="inlineStr">
        <is>
          <t>excluded.PATCH</t>
        </is>
      </c>
      <c r="G1113" s="46" t="inlineStr">
        <is>
          <t>Obra ground-up: el Drawing Index de A00.01 no trae Demolition Plan interior, asi que no hay superficie existente que parchear en estos walls.</t>
        </is>
      </c>
    </row>
    <row r="1114" ht="33" customHeight="1" s="36">
      <c r="A1114" s="59" t="n"/>
      <c r="B1114" s="58" t="n">
        <v>9</v>
      </c>
      <c r="C1114" s="44" t="inlineStr">
        <is>
          <t>A09.27</t>
        </is>
      </c>
      <c r="D1114" s="59" t="inlineStr">
        <is>
          <t>Exclusion</t>
        </is>
      </c>
      <c r="E1114" s="46" t="inlineStr">
        <is>
          <t>Gypsum Section Details, the sheet. Cited as a sheet when the finding is that NO detail on it labels a gypsum control joint.</t>
        </is>
      </c>
      <c r="F1114" s="46" t="inlineStr">
        <is>
          <t>excluded.CONTROL_JOINT</t>
        </is>
      </c>
      <c r="G1114" s="46" t="inlineStr">
        <is>
          <t>El set no rotula ni detalla ninguna junta de control de gypsum board, ni en A12.01 ni en los detalles de A09.27/A09.33, y no hay seccion de especificaciones 09 29 00 en el bid set.</t>
        </is>
      </c>
    </row>
    <row r="1115" ht="33" customHeight="1" s="36">
      <c r="A1115" s="59" t="n"/>
      <c r="B1115" s="58" t="n">
        <v>10</v>
      </c>
      <c r="C1115" s="44" t="inlineStr">
        <is>
          <t>A09.33</t>
        </is>
      </c>
      <c r="D1115" s="59" t="inlineStr">
        <is>
          <t>Exclusion</t>
        </is>
      </c>
      <c r="E1115" s="46" t="inlineStr">
        <is>
          <t>Ceiling Details, the sheet. Cited as a sheet for a finding by ABSENCE: its details label corner bead, casing bead and shadow molding one by one and NONE labels a control joint, so the omission is not a labeling oversight.</t>
        </is>
      </c>
      <c r="F1115" s="46" t="inlineStr">
        <is>
          <t>excluded.CONTROL_JOINT</t>
        </is>
      </c>
      <c r="G1115" s="46" t="inlineStr">
        <is>
          <t>El set no rotula ni detalla ninguna junta de control de gypsum board, ni en A12.01 ni en los detalles de A09.27/A09.33, y no hay seccion de especificaciones 09 29 00 en el bid set.</t>
        </is>
      </c>
    </row>
    <row r="1116" ht="33" customHeight="1" s="36">
      <c r="A1116" s="44" t="inlineStr">
        <is>
          <t>G #43</t>
        </is>
      </c>
      <c r="B1116" s="58" t="n">
        <v>1</v>
      </c>
      <c r="C1116" s="44" t="inlineStr">
        <is>
          <t>A02.01</t>
        </is>
      </c>
      <c r="D1116" s="59" t="inlineStr">
        <is>
          <t>Scope</t>
        </is>
      </c>
      <c r="E1116" s="46" t="inlineStr">
        <is>
          <t>Construction Plan. Entry sheet for partitions and openings: vector geometry of every wall face at 1/4"=1'-0", the leader of every partition tag, the Construction Plan Legend (new vs. existing) and the Construction Plan Notes.</t>
        </is>
      </c>
      <c r="F1116" s="46" t="inlineStr">
        <is>
          <t>excluded.BLOCKING, excluded.HEADER, scope[1].chain[0]</t>
        </is>
      </c>
      <c r="G1116" s="46" t="inlineStr">
        <is>
          <t>A02.01 tag G con su leader aterrizando en esta banda de 6.16 in</t>
        </is>
      </c>
    </row>
    <row r="1117" ht="25.5" customHeight="1" s="36">
      <c r="A1117" s="59" t="n"/>
      <c r="B1117" s="58" t="n">
        <v>2</v>
      </c>
      <c r="C1117" s="44" t="inlineStr">
        <is>
          <t>S2.20</t>
        </is>
      </c>
      <c r="D1117" s="59" t="inlineStr">
        <is>
          <t>Dimension</t>
        </is>
      </c>
      <c r="E1117" s="46" t="inlineStr">
        <is>
          <t>"ROOF FRAMING PLAN". Source of the STUD HEIGHT: every B.O.D. callout on the sheet and the slope of the bay between grids B and A (1/4" per foot).</t>
        </is>
      </c>
      <c r="F1117" s="46" t="inlineStr">
        <is>
          <t>face[0].board_height, face[1].board_height, scope[2].chain[1], stud_height</t>
        </is>
      </c>
      <c r="G1117" s="46" t="inlineStr">
        <is>
          <t>15'-4 1/2" of S2.20 minus the datum T/SLAB 0'-0": 15.375 - 0 = 15.375 ft.</t>
        </is>
      </c>
    </row>
    <row r="1118" ht="25.5" customHeight="1" s="36">
      <c r="A1118" s="59" t="n"/>
      <c r="B1118" s="58" t="n">
        <v>3</v>
      </c>
      <c r="C1118" s="44" t="inlineStr">
        <is>
          <t>5/A12.01</t>
        </is>
      </c>
      <c r="D1118" s="59" t="inlineStr">
        <is>
          <t>Dimension</t>
        </is>
      </c>
      <c r="E1118" s="46" t="inlineStr">
        <is>
          <t>"PARTITION G" (officefront). Stud and board of type G.</t>
        </is>
      </c>
      <c r="F1118" s="46" t="inlineStr">
        <is>
          <t>BOARD, SEALANT, STUD, TRACK_BOTTOM, TRACK_TOP, excluded.INSULATION, face[0].board_height, face[1].board_height, scope[1].afirmacion, scope[1].chain[1], scope[2].chain[0]</t>
        </is>
      </c>
      <c r="G1118" s="46" t="inlineStr">
        <is>
          <t>5/A12.01 PARTITION G gives the RULE (board runs to the underside of structure above); it does NOT print the number.</t>
        </is>
      </c>
    </row>
    <row r="1119" ht="33" customHeight="1" s="36">
      <c r="A1119" s="59" t="n"/>
      <c r="B1119" s="58" t="n">
        <v>4</v>
      </c>
      <c r="C1119" s="44" t="inlineStr">
        <is>
          <t>1/S5.20</t>
        </is>
      </c>
      <c r="D1119" s="59" t="inlineStr">
        <is>
          <t>Quantity</t>
        </is>
      </c>
      <c r="E1119" s="46" t="inlineStr">
        <is>
          <t>"TYPICAL WALL FRAMING DETAILS". Holds sub-details A through F; sub-detail F "BRIDGING AND BRACING - CONTINUOUS BRIDGING" is the bracing one: 1 1/2" C.R. CHANNEL welded to every stud. (Bracing is NOT in 5/S5.20, which is TYPICAL WALL FRAMING CONNX.)</t>
        </is>
      </c>
      <c r="F1119" s="46" t="inlineStr">
        <is>
          <t>BRACING, excluded.CLIPS</t>
        </is>
      </c>
      <c r="G1119" s="46" t="inlineStr">
        <is>
          <t>1/S5.20 sub-detalle F "BRIDGING AND BRACING - CONTINUOUS BRIDGING" sets the 1 1/2" C.R.</t>
        </is>
      </c>
    </row>
    <row r="1120" ht="25.5" customHeight="1" s="36">
      <c r="A1120" s="59" t="n"/>
      <c r="B1120" s="58" t="n">
        <v>5</v>
      </c>
      <c r="C1120" s="44" t="inlineStr">
        <is>
          <t>6/S5.20</t>
        </is>
      </c>
      <c r="D1120" s="59" t="inlineStr">
        <is>
          <t>Quantity</t>
        </is>
      </c>
      <c r="E1120" s="46" t="inlineStr">
        <is>
          <t>"PENETRATION THRU STUDS". How the stud is reinforced where a duct passes through.</t>
        </is>
      </c>
      <c r="F1120" s="46" t="inlineStr">
        <is>
          <t>ABERTURA_MEP_HEAD_SILL, scope[0].chain[1]</t>
        </is>
      </c>
      <c r="G1120" s="46" t="inlineStr">
        <is>
          <t>6/S5.20 PENETRATION THRU STUDS limits the web hole.</t>
        </is>
      </c>
    </row>
    <row r="1121" ht="33" customHeight="1" s="36">
      <c r="A1121" s="59" t="n"/>
      <c r="B1121" s="58" t="n">
        <v>6</v>
      </c>
      <c r="C1121" s="44" t="inlineStr">
        <is>
          <t>7/S5.20</t>
        </is>
      </c>
      <c r="D1121" s="59" t="inlineStr">
        <is>
          <t>Quantity</t>
        </is>
      </c>
      <c r="E1121" s="46" t="inlineStr">
        <is>
          <t>"METAL STUDS SCHEDULES". The profile: web, flange, lip, mils, gauge and the APPLICATION column with the spacing ("INTERIOR WALLS @ 16" O.C."), plus the SILL TRACK ANCHORAGE and the FASTENER SCHEDULE.</t>
        </is>
      </c>
      <c r="F1121" s="46" t="inlineStr">
        <is>
          <t>BRACING, STUD</t>
        </is>
      </c>
      <c r="G1121" s="46" t="inlineStr">
        <is>
          <t>CHANNEL welded to every stud; the spacing comes from 7/S5.20.</t>
        </is>
      </c>
    </row>
    <row r="1122" ht="33" customHeight="1" s="36">
      <c r="A1122" s="59" t="n"/>
      <c r="B1122" s="58" t="n">
        <v>7</v>
      </c>
      <c r="C1122" s="44" t="inlineStr">
        <is>
          <t>9/S5.20</t>
        </is>
      </c>
      <c r="D1122" s="59" t="inlineStr">
        <is>
          <t>Quantity</t>
        </is>
      </c>
      <c r="E1122" s="46" t="inlineStr">
        <is>
          <t>"OPNG IN NON-LOAD-BRG WALLS". The opening frame: DBL JAMB STUD (2 per jamb) and HEAD TRACK with the condition "DOUBLE TRACK @ OPNG &gt; 4'-0"".</t>
        </is>
      </c>
      <c r="F1122" s="46" t="inlineStr">
        <is>
          <t>ABERTURA_MEP_HEAD_SILL, STUD, TRACK_BOTTOM, TRACK_TOP</t>
        </is>
      </c>
      <c r="G1122" s="46" t="inlineStr">
        <is>
          <t>9/S5.20 OPNG IN NON-LOAD-BRG WALLS rotula "HEAD TRACK (DOUBLE TRACK @ OPNG &gt; 4 ft)" y "DBL JAMB STUD"; that detail draws the opening down to the floor, so the SILL piece is derived by applying the same rule at the lower edge.</t>
        </is>
      </c>
    </row>
    <row r="1123" ht="43.5" customHeight="1" s="36">
      <c r="A1123" s="59" t="n"/>
      <c r="B1123" s="58" t="n">
        <v>8</v>
      </c>
      <c r="C1123" s="44" t="inlineStr">
        <is>
          <t>A09.01</t>
        </is>
      </c>
      <c r="D1123" s="59" t="inlineStr">
        <is>
          <t>Exclusion</t>
        </is>
      </c>
      <c r="E1123" s="46" t="inlineStr">
        <is>
          <t>Exterior Elevations: "SOUTH ELEVATION" and "WEST ELEVATION" at 1/4"=1'-0". Extent of each exterior material and the material legend, verbatim "CJ CONTROL JOINT; PAINT TO MATCH STUCCO FINISH COLOR" - that joint is the STUCCO joint, not gypsum.</t>
        </is>
      </c>
      <c r="F1123" s="46" t="inlineStr">
        <is>
          <t>excluded.CONTROL_JOINT</t>
        </is>
      </c>
      <c r="G1123"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24" ht="25.5" customHeight="1" s="36">
      <c r="A1124" s="59" t="n"/>
      <c r="B1124" s="58" t="n">
        <v>9</v>
      </c>
      <c r="C1124" s="44" t="inlineStr">
        <is>
          <t>A00.01</t>
        </is>
      </c>
      <c r="D1124" s="59" t="inlineStr">
        <is>
          <t>Exclusion</t>
        </is>
      </c>
      <c r="E1124" s="46" t="inlineStr">
        <is>
          <t>Cover sheet and Drawing Index. Proof by ABSENCE: the index lists no interior Demolition Plan, which is why there is no patch-and-repair line item.</t>
        </is>
      </c>
      <c r="F1124" s="46" t="inlineStr">
        <is>
          <t>excluded.PATCH</t>
        </is>
      </c>
      <c r="G1124" s="46" t="inlineStr">
        <is>
          <t>Obra ground-up: el Drawing Index de A00.01 no trae Demolition Plan interior, asi que no hay superficie existente que parchear en estos walls.</t>
        </is>
      </c>
    </row>
    <row r="1125" ht="33" customHeight="1" s="36">
      <c r="A1125" s="59" t="n"/>
      <c r="B1125" s="58" t="n">
        <v>10</v>
      </c>
      <c r="C1125" s="44" t="inlineStr">
        <is>
          <t>A09.27</t>
        </is>
      </c>
      <c r="D1125" s="59" t="inlineStr">
        <is>
          <t>Exclusion</t>
        </is>
      </c>
      <c r="E1125" s="46" t="inlineStr">
        <is>
          <t>Gypsum Section Details, the sheet. Cited as a sheet when the finding is that NO detail on it labels a gypsum control joint.</t>
        </is>
      </c>
      <c r="F1125" s="46" t="inlineStr">
        <is>
          <t>excluded.CONTROL_JOINT</t>
        </is>
      </c>
      <c r="G1125" s="46" t="inlineStr">
        <is>
          <t>El set no rotula ni detalla ninguna junta de control de gypsum board, ni en A12.01 ni en los detalles de A09.27/A09.33, y no hay seccion de especificaciones 09 29 00 en el bid set.</t>
        </is>
      </c>
    </row>
    <row r="1126" ht="33" customHeight="1" s="36">
      <c r="A1126" s="59" t="n"/>
      <c r="B1126" s="58" t="n">
        <v>11</v>
      </c>
      <c r="C1126" s="44" t="inlineStr">
        <is>
          <t>A09.33</t>
        </is>
      </c>
      <c r="D1126" s="59" t="inlineStr">
        <is>
          <t>Exclusion</t>
        </is>
      </c>
      <c r="E1126" s="46" t="inlineStr">
        <is>
          <t>Ceiling Details, the sheet. Cited as a sheet for a finding by ABSENCE: its details label corner bead, casing bead and shadow molding one by one and NONE labels a control joint, so the omission is not a labeling oversight.</t>
        </is>
      </c>
      <c r="F1126" s="46" t="inlineStr">
        <is>
          <t>excluded.CONTROL_JOINT</t>
        </is>
      </c>
      <c r="G1126" s="46" t="inlineStr">
        <is>
          <t>El set no rotula ni detalla ninguna junta de control de gypsum board, ni en A12.01 ni en los detalles de A09.27/A09.33, y no hay seccion de especificaciones 09 29 00 en el bid set.</t>
        </is>
      </c>
    </row>
    <row r="1127" ht="25.5" customHeight="1" s="36">
      <c r="A1127" s="59" t="n"/>
      <c r="B1127" s="58" t="n">
        <v>12</v>
      </c>
      <c r="C1127" s="44" t="inlineStr">
        <is>
          <t>M01.01</t>
        </is>
      </c>
      <c r="D1127" s="59" t="inlineStr">
        <is>
          <t>Scope</t>
        </is>
      </c>
      <c r="E1127" s="46" t="inlineStr">
        <is>
          <t>Mechanical Floor Plan at 1/4"=1'-0". Swept across the WHOLE band of each wall, opening included, to locate and measure every duct penetration.</t>
        </is>
      </c>
      <c r="F1127" s="46" t="inlineStr">
        <is>
          <t>scope[0].chain[0]</t>
        </is>
      </c>
      <c r="G1127" s="46" t="inlineStr">
        <is>
          <t>M01.01 pareja de lineas paralelas que sobresale por fuera de las dos faces</t>
        </is>
      </c>
    </row>
    <row r="1128" ht="33" customHeight="1" s="36">
      <c r="A1128" s="44" t="inlineStr">
        <is>
          <t>G #44</t>
        </is>
      </c>
      <c r="B1128" s="58" t="n">
        <v>1</v>
      </c>
      <c r="C1128" s="44" t="inlineStr">
        <is>
          <t>A02.01</t>
        </is>
      </c>
      <c r="D1128" s="59" t="inlineStr">
        <is>
          <t>Scope</t>
        </is>
      </c>
      <c r="E1128" s="46" t="inlineStr">
        <is>
          <t>Construction Plan. Entry sheet for partitions and openings: vector geometry of every wall face at 1/4"=1'-0", the leader of every partition tag, the Construction Plan Legend (new vs. existing) and the Construction Plan Notes.</t>
        </is>
      </c>
      <c r="F1128" s="46" t="inlineStr">
        <is>
          <t>excluded.BLOCKING, excluded.HEADER, scope[0].chain[0]</t>
        </is>
      </c>
      <c r="G1128" s="46" t="inlineStr">
        <is>
          <t>A02.01 tag G con su leader aterrizando en esta banda de 6.16 in</t>
        </is>
      </c>
    </row>
    <row r="1129" ht="25.5" customHeight="1" s="36">
      <c r="A1129" s="59" t="n"/>
      <c r="B1129" s="58" t="n">
        <v>2</v>
      </c>
      <c r="C1129" s="44" t="inlineStr">
        <is>
          <t>S2.20</t>
        </is>
      </c>
      <c r="D1129" s="59" t="inlineStr">
        <is>
          <t>Dimension</t>
        </is>
      </c>
      <c r="E1129" s="46" t="inlineStr">
        <is>
          <t>"ROOF FRAMING PLAN". Source of the STUD HEIGHT: every B.O.D. callout on the sheet and the slope of the bay between grids B and A (1/4" per foot).</t>
        </is>
      </c>
      <c r="F1129" s="46" t="inlineStr">
        <is>
          <t>face[0].board_height, face[1].board_height, scope[1].chain[1], stud_height</t>
        </is>
      </c>
      <c r="G1129" s="46" t="inlineStr">
        <is>
          <t>15'-4 1/2" of S2.20 minus the datum T/SLAB 0'-0": 15.375 - 0 = 15.375 ft.</t>
        </is>
      </c>
    </row>
    <row r="1130" ht="25.5" customHeight="1" s="36">
      <c r="A1130" s="59" t="n"/>
      <c r="B1130" s="58" t="n">
        <v>3</v>
      </c>
      <c r="C1130" s="44" t="inlineStr">
        <is>
          <t>5/A12.01</t>
        </is>
      </c>
      <c r="D1130" s="59" t="inlineStr">
        <is>
          <t>Dimension</t>
        </is>
      </c>
      <c r="E1130" s="46" t="inlineStr">
        <is>
          <t>"PARTITION G" (officefront). Stud and board of type G.</t>
        </is>
      </c>
      <c r="F1130" s="46" t="inlineStr">
        <is>
          <t>BOARD, SEALANT, STUD, TRACK_BOTTOM, TRACK_TOP, excluded.INSULATION, face[0].board_height, face[1].board_height, scope[0].afirmacion, scope[0].chain[1], scope[1].chain[0]</t>
        </is>
      </c>
      <c r="G1130" s="46" t="inlineStr">
        <is>
          <t>5/A12.01 PARTITION G gives the RULE (board runs to the underside of structure above); it does NOT print the number.</t>
        </is>
      </c>
    </row>
    <row r="1131" ht="33" customHeight="1" s="36">
      <c r="A1131" s="59" t="n"/>
      <c r="B1131" s="58" t="n">
        <v>4</v>
      </c>
      <c r="C1131" s="44" t="inlineStr">
        <is>
          <t>1/S5.20</t>
        </is>
      </c>
      <c r="D1131" s="59" t="inlineStr">
        <is>
          <t>Quantity</t>
        </is>
      </c>
      <c r="E1131" s="46" t="inlineStr">
        <is>
          <t>"TYPICAL WALL FRAMING DETAILS". Holds sub-details A through F; sub-detail F "BRIDGING AND BRACING - CONTINUOUS BRIDGING" is the bracing one: 1 1/2" C.R. CHANNEL welded to every stud. (Bracing is NOT in 5/S5.20, which is TYPICAL WALL FRAMING CONNX.)</t>
        </is>
      </c>
      <c r="F1131" s="46" t="inlineStr">
        <is>
          <t>BRACING, excluded.CLIPS</t>
        </is>
      </c>
      <c r="G1131" s="46" t="inlineStr">
        <is>
          <t>1/S5.20 sub-detalle F "BRIDGING AND BRACING - CONTINUOUS BRIDGING" sets the 1 1/2" C.R.</t>
        </is>
      </c>
    </row>
    <row r="1132" ht="33" customHeight="1" s="36">
      <c r="A1132" s="59" t="n"/>
      <c r="B1132" s="58" t="n">
        <v>5</v>
      </c>
      <c r="C1132" s="44" t="inlineStr">
        <is>
          <t>7/S5.20</t>
        </is>
      </c>
      <c r="D1132" s="59" t="inlineStr">
        <is>
          <t>Quantity</t>
        </is>
      </c>
      <c r="E1132" s="46" t="inlineStr">
        <is>
          <t>"METAL STUDS SCHEDULES". The profile: web, flange, lip, mils, gauge and the APPLICATION column with the spacing ("INTERIOR WALLS @ 16" O.C."), plus the SILL TRACK ANCHORAGE and the FASTENER SCHEDULE.</t>
        </is>
      </c>
      <c r="F1132" s="46" t="inlineStr">
        <is>
          <t>BRACING, STUD</t>
        </is>
      </c>
      <c r="G1132" s="46" t="inlineStr">
        <is>
          <t>CHANNEL welded to every stud; the spacing comes from 7/S5.20.</t>
        </is>
      </c>
    </row>
    <row r="1133" ht="25.5" customHeight="1" s="36">
      <c r="A1133" s="59" t="n"/>
      <c r="B1133" s="58" t="n">
        <v>6</v>
      </c>
      <c r="C1133" s="44" t="inlineStr">
        <is>
          <t>9/S5.20</t>
        </is>
      </c>
      <c r="D1133" s="59" t="inlineStr">
        <is>
          <t>Quantity</t>
        </is>
      </c>
      <c r="E1133" s="46" t="inlineStr">
        <is>
          <t>"OPNG IN NON-LOAD-BRG WALLS". The opening frame: DBL JAMB STUD (2 per jamb) and HEAD TRACK with the condition "DOUBLE TRACK @ OPNG &gt; 4'-0"".</t>
        </is>
      </c>
      <c r="F1133" s="46" t="inlineStr">
        <is>
          <t>STUD, TRACK_BOTTOM, TRACK_TOP</t>
        </is>
      </c>
      <c r="G1133" s="46" t="inlineStr">
        <is>
          <t>sale de 7/S5.20 METAL STUD PROPERTIES, columna APPLICATION "INTERIOR WALLS @ 16" O.C."; the jamb studs of the opening are called for by 9/S5.20 con "DBL JAMB STUD".</t>
        </is>
      </c>
    </row>
    <row r="1134" ht="43.5" customHeight="1" s="36">
      <c r="A1134" s="59" t="n"/>
      <c r="B1134" s="58" t="n">
        <v>7</v>
      </c>
      <c r="C1134" s="44" t="inlineStr">
        <is>
          <t>A09.01</t>
        </is>
      </c>
      <c r="D1134" s="59" t="inlineStr">
        <is>
          <t>Exclusion</t>
        </is>
      </c>
      <c r="E1134" s="46" t="inlineStr">
        <is>
          <t>Exterior Elevations: "SOUTH ELEVATION" and "WEST ELEVATION" at 1/4"=1'-0". Extent of each exterior material and the material legend, verbatim "CJ CONTROL JOINT; PAINT TO MATCH STUCCO FINISH COLOR" - that joint is the STUCCO joint, not gypsum.</t>
        </is>
      </c>
      <c r="F1134" s="46" t="inlineStr">
        <is>
          <t>excluded.CONTROL_JOINT</t>
        </is>
      </c>
      <c r="G113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35" ht="25.5" customHeight="1" s="36">
      <c r="A1135" s="59" t="n"/>
      <c r="B1135" s="58" t="n">
        <v>8</v>
      </c>
      <c r="C1135" s="44" t="inlineStr">
        <is>
          <t>A00.01</t>
        </is>
      </c>
      <c r="D1135" s="59" t="inlineStr">
        <is>
          <t>Exclusion</t>
        </is>
      </c>
      <c r="E1135" s="46" t="inlineStr">
        <is>
          <t>Cover sheet and Drawing Index. Proof by ABSENCE: the index lists no interior Demolition Plan, which is why there is no patch-and-repair line item.</t>
        </is>
      </c>
      <c r="F1135" s="46" t="inlineStr">
        <is>
          <t>excluded.PATCH</t>
        </is>
      </c>
      <c r="G1135" s="46" t="inlineStr">
        <is>
          <t>Obra ground-up: el Drawing Index de A00.01 no trae Demolition Plan interior, asi que no hay superficie existente que parchear en estos walls.</t>
        </is>
      </c>
    </row>
    <row r="1136" ht="33" customHeight="1" s="36">
      <c r="A1136" s="59" t="n"/>
      <c r="B1136" s="58" t="n">
        <v>9</v>
      </c>
      <c r="C1136" s="44" t="inlineStr">
        <is>
          <t>A09.27</t>
        </is>
      </c>
      <c r="D1136" s="59" t="inlineStr">
        <is>
          <t>Exclusion</t>
        </is>
      </c>
      <c r="E1136" s="46" t="inlineStr">
        <is>
          <t>Gypsum Section Details, the sheet. Cited as a sheet when the finding is that NO detail on it labels a gypsum control joint.</t>
        </is>
      </c>
      <c r="F1136" s="46" t="inlineStr">
        <is>
          <t>excluded.CONTROL_JOINT</t>
        </is>
      </c>
      <c r="G1136" s="46" t="inlineStr">
        <is>
          <t>El set no rotula ni detalla ninguna junta de control de gypsum board, ni en A12.01 ni en los detalles de A09.27/A09.33, y no hay seccion de especificaciones 09 29 00 en el bid set.</t>
        </is>
      </c>
    </row>
    <row r="1137" ht="33" customHeight="1" s="36">
      <c r="A1137" s="59" t="n"/>
      <c r="B1137" s="58" t="n">
        <v>10</v>
      </c>
      <c r="C1137" s="44" t="inlineStr">
        <is>
          <t>A09.33</t>
        </is>
      </c>
      <c r="D1137" s="59" t="inlineStr">
        <is>
          <t>Exclusion</t>
        </is>
      </c>
      <c r="E1137" s="46" t="inlineStr">
        <is>
          <t>Ceiling Details, the sheet. Cited as a sheet for a finding by ABSENCE: its details label corner bead, casing bead and shadow molding one by one and NONE labels a control joint, so the omission is not a labeling oversight.</t>
        </is>
      </c>
      <c r="F1137" s="46" t="inlineStr">
        <is>
          <t>excluded.CONTROL_JOINT</t>
        </is>
      </c>
      <c r="G1137" s="46" t="inlineStr">
        <is>
          <t>El set no rotula ni detalla ninguna junta de control de gypsum board, ni en A12.01 ni en los detalles de A09.27/A09.33, y no hay seccion de especificaciones 09 29 00 en el bid set.</t>
        </is>
      </c>
    </row>
    <row r="1138" ht="33" customHeight="1" s="36">
      <c r="A1138" s="44" t="inlineStr">
        <is>
          <t>G #41</t>
        </is>
      </c>
      <c r="B1138" s="58" t="n">
        <v>1</v>
      </c>
      <c r="C1138" s="44" t="inlineStr">
        <is>
          <t>A02.01</t>
        </is>
      </c>
      <c r="D1138" s="59" t="inlineStr">
        <is>
          <t>Scope</t>
        </is>
      </c>
      <c r="E1138" s="46" t="inlineStr">
        <is>
          <t>Construction Plan. Entry sheet for partitions and openings: vector geometry of every wall face at 1/4"=1'-0", the leader of every partition tag, the Construction Plan Legend (new vs. existing) and the Construction Plan Notes.</t>
        </is>
      </c>
      <c r="F1138" s="46" t="inlineStr">
        <is>
          <t>excluded.BLOCKING, excluded.HEADER, scope[0].chain[0]</t>
        </is>
      </c>
      <c r="G1138" s="46" t="inlineStr">
        <is>
          <t>A02.01 tag G con su leader aterrizando en esta banda de 6.16 in</t>
        </is>
      </c>
    </row>
    <row r="1139" ht="25.5" customHeight="1" s="36">
      <c r="A1139" s="59" t="n"/>
      <c r="B1139" s="58" t="n">
        <v>2</v>
      </c>
      <c r="C1139" s="44" t="inlineStr">
        <is>
          <t>S2.20</t>
        </is>
      </c>
      <c r="D1139" s="59" t="inlineStr">
        <is>
          <t>Dimension</t>
        </is>
      </c>
      <c r="E1139" s="46" t="inlineStr">
        <is>
          <t>"ROOF FRAMING PLAN". Source of the STUD HEIGHT: every B.O.D. callout on the sheet and the slope of the bay between grids B and A (1/4" per foot).</t>
        </is>
      </c>
      <c r="F1139" s="46" t="inlineStr">
        <is>
          <t>face[0].board_height, face[1].board_height, scope[1].chain[1], stud_height</t>
        </is>
      </c>
      <c r="G1139" s="46" t="inlineStr">
        <is>
          <t>15'-4 1/2" of S2.20 minus the datum T/SLAB 0'-0": 15.375 - 0 = 15.375 ft.</t>
        </is>
      </c>
    </row>
    <row r="1140" ht="25.5" customHeight="1" s="36">
      <c r="A1140" s="59" t="n"/>
      <c r="B1140" s="58" t="n">
        <v>3</v>
      </c>
      <c r="C1140" s="44" t="inlineStr">
        <is>
          <t>5/A12.01</t>
        </is>
      </c>
      <c r="D1140" s="59" t="inlineStr">
        <is>
          <t>Dimension</t>
        </is>
      </c>
      <c r="E1140" s="46" t="inlineStr">
        <is>
          <t>"PARTITION G" (officefront). Stud and board of type G.</t>
        </is>
      </c>
      <c r="F1140" s="46" t="inlineStr">
        <is>
          <t>BOARD, SEALANT, STUD, TRACK_BOTTOM, TRACK_TOP, excluded.INSULATION, face[0].board_height, face[1].board_height, scope[0].afirmacion, scope[0].chain[1], scope[1].chain[0]</t>
        </is>
      </c>
      <c r="G1140" s="46" t="inlineStr">
        <is>
          <t>5/A12.01 PARTITION G gives the RULE (board runs to the underside of structure above); it does NOT print the number.</t>
        </is>
      </c>
    </row>
    <row r="1141" ht="33" customHeight="1" s="36">
      <c r="A1141" s="59" t="n"/>
      <c r="B1141" s="58" t="n">
        <v>4</v>
      </c>
      <c r="C1141" s="44" t="inlineStr">
        <is>
          <t>1/S5.20</t>
        </is>
      </c>
      <c r="D1141" s="59" t="inlineStr">
        <is>
          <t>Quantity</t>
        </is>
      </c>
      <c r="E1141" s="46" t="inlineStr">
        <is>
          <t>"TYPICAL WALL FRAMING DETAILS". Holds sub-details A through F; sub-detail F "BRIDGING AND BRACING - CONTINUOUS BRIDGING" is the bracing one: 1 1/2" C.R. CHANNEL welded to every stud. (Bracing is NOT in 5/S5.20, which is TYPICAL WALL FRAMING CONNX.)</t>
        </is>
      </c>
      <c r="F1141" s="46" t="inlineStr">
        <is>
          <t>BRACING, excluded.CLIPS</t>
        </is>
      </c>
      <c r="G1141" s="46" t="inlineStr">
        <is>
          <t>1/S5.20 sub-detalle F "BRIDGING AND BRACING - CONTINUOUS BRIDGING" sets the 1 1/2" C.R.</t>
        </is>
      </c>
    </row>
    <row r="1142" ht="33" customHeight="1" s="36">
      <c r="A1142" s="59" t="n"/>
      <c r="B1142" s="58" t="n">
        <v>5</v>
      </c>
      <c r="C1142" s="44" t="inlineStr">
        <is>
          <t>7/S5.20</t>
        </is>
      </c>
      <c r="D1142" s="59" t="inlineStr">
        <is>
          <t>Quantity</t>
        </is>
      </c>
      <c r="E1142" s="46" t="inlineStr">
        <is>
          <t>"METAL STUDS SCHEDULES". The profile: web, flange, lip, mils, gauge and the APPLICATION column with the spacing ("INTERIOR WALLS @ 16" O.C."), plus the SILL TRACK ANCHORAGE and the FASTENER SCHEDULE.</t>
        </is>
      </c>
      <c r="F1142" s="46" t="inlineStr">
        <is>
          <t>BRACING, STUD</t>
        </is>
      </c>
      <c r="G1142" s="46" t="inlineStr">
        <is>
          <t>CHANNEL welded to every stud; the spacing comes from 7/S5.20.</t>
        </is>
      </c>
    </row>
    <row r="1143" ht="25.5" customHeight="1" s="36">
      <c r="A1143" s="59" t="n"/>
      <c r="B1143" s="58" t="n">
        <v>6</v>
      </c>
      <c r="C1143" s="44" t="inlineStr">
        <is>
          <t>9/S5.20</t>
        </is>
      </c>
      <c r="D1143" s="59" t="inlineStr">
        <is>
          <t>Quantity</t>
        </is>
      </c>
      <c r="E1143" s="46" t="inlineStr">
        <is>
          <t>"OPNG IN NON-LOAD-BRG WALLS". The opening frame: DBL JAMB STUD (2 per jamb) and HEAD TRACK with the condition "DOUBLE TRACK @ OPNG &gt; 4'-0"".</t>
        </is>
      </c>
      <c r="F1143" s="46" t="inlineStr">
        <is>
          <t>STUD, TRACK_BOTTOM, TRACK_TOP</t>
        </is>
      </c>
      <c r="G1143" s="46" t="inlineStr">
        <is>
          <t>sale de 7/S5.20 METAL STUD PROPERTIES, columna APPLICATION "INTERIOR WALLS @ 16" O.C."; the jamb studs of the opening are called for by 9/S5.20 con "DBL JAMB STUD".</t>
        </is>
      </c>
    </row>
    <row r="1144" ht="43.5" customHeight="1" s="36">
      <c r="A1144" s="59" t="n"/>
      <c r="B1144" s="58" t="n">
        <v>7</v>
      </c>
      <c r="C1144" s="44" t="inlineStr">
        <is>
          <t>A09.01</t>
        </is>
      </c>
      <c r="D1144" s="59" t="inlineStr">
        <is>
          <t>Exclusion</t>
        </is>
      </c>
      <c r="E1144" s="46" t="inlineStr">
        <is>
          <t>Exterior Elevations: "SOUTH ELEVATION" and "WEST ELEVATION" at 1/4"=1'-0". Extent of each exterior material and the material legend, verbatim "CJ CONTROL JOINT; PAINT TO MATCH STUCCO FINISH COLOR" - that joint is the STUCCO joint, not gypsum.</t>
        </is>
      </c>
      <c r="F1144" s="46" t="inlineStr">
        <is>
          <t>excluded.CONTROL_JOINT</t>
        </is>
      </c>
      <c r="G114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45" ht="25.5" customHeight="1" s="36">
      <c r="A1145" s="59" t="n"/>
      <c r="B1145" s="58" t="n">
        <v>8</v>
      </c>
      <c r="C1145" s="44" t="inlineStr">
        <is>
          <t>A00.01</t>
        </is>
      </c>
      <c r="D1145" s="59" t="inlineStr">
        <is>
          <t>Exclusion</t>
        </is>
      </c>
      <c r="E1145" s="46" t="inlineStr">
        <is>
          <t>Cover sheet and Drawing Index. Proof by ABSENCE: the index lists no interior Demolition Plan, which is why there is no patch-and-repair line item.</t>
        </is>
      </c>
      <c r="F1145" s="46" t="inlineStr">
        <is>
          <t>excluded.PATCH</t>
        </is>
      </c>
      <c r="G1145" s="46" t="inlineStr">
        <is>
          <t>Obra ground-up: el Drawing Index de A00.01 no trae Demolition Plan interior, asi que no hay superficie existente que parchear en estos walls.</t>
        </is>
      </c>
    </row>
    <row r="1146" ht="33" customHeight="1" s="36">
      <c r="A1146" s="59" t="n"/>
      <c r="B1146" s="58" t="n">
        <v>9</v>
      </c>
      <c r="C1146" s="44" t="inlineStr">
        <is>
          <t>A09.27</t>
        </is>
      </c>
      <c r="D1146" s="59" t="inlineStr">
        <is>
          <t>Exclusion</t>
        </is>
      </c>
      <c r="E1146" s="46" t="inlineStr">
        <is>
          <t>Gypsum Section Details, the sheet. Cited as a sheet when the finding is that NO detail on it labels a gypsum control joint.</t>
        </is>
      </c>
      <c r="F1146" s="46" t="inlineStr">
        <is>
          <t>excluded.CONTROL_JOINT</t>
        </is>
      </c>
      <c r="G1146" s="46" t="inlineStr">
        <is>
          <t>El set no rotula ni detalla ninguna junta de control de gypsum board, ni en A12.01 ni en los detalles de A09.27/A09.33, y no hay seccion de especificaciones 09 29 00 en el bid set.</t>
        </is>
      </c>
    </row>
    <row r="1147" ht="33" customHeight="1" s="36">
      <c r="A1147" s="59" t="n"/>
      <c r="B1147" s="58" t="n">
        <v>10</v>
      </c>
      <c r="C1147" s="44" t="inlineStr">
        <is>
          <t>A09.33</t>
        </is>
      </c>
      <c r="D1147" s="59" t="inlineStr">
        <is>
          <t>Exclusion</t>
        </is>
      </c>
      <c r="E1147" s="46" t="inlineStr">
        <is>
          <t>Ceiling Details, the sheet. Cited as a sheet for a finding by ABSENCE: its details label corner bead, casing bead and shadow molding one by one and NONE labels a control joint, so the omission is not a labeling oversight.</t>
        </is>
      </c>
      <c r="F1147" s="46" t="inlineStr">
        <is>
          <t>excluded.CONTROL_JOINT</t>
        </is>
      </c>
      <c r="G1147" s="46" t="inlineStr">
        <is>
          <t>El set no rotula ni detalla ninguna junta de control de gypsum board, ni en A12.01 ni en los detalles de A09.27/A09.33, y no hay seccion de especificaciones 09 29 00 en el bid set.</t>
        </is>
      </c>
    </row>
    <row r="1148" ht="33" customHeight="1" s="36">
      <c r="A1148" s="44" t="inlineStr">
        <is>
          <t>G1 #50</t>
        </is>
      </c>
      <c r="B1148" s="58" t="n">
        <v>1</v>
      </c>
      <c r="C1148" s="44" t="inlineStr">
        <is>
          <t>A02.01</t>
        </is>
      </c>
      <c r="D1148" s="59" t="inlineStr">
        <is>
          <t>Dimension</t>
        </is>
      </c>
      <c r="E1148" s="46" t="inlineStr">
        <is>
          <t>Construction Plan. Entry sheet for partitions and openings: vector geometry of every wall face at 1/4"=1'-0", the leader of every partition tag, the Construction Plan Legend (new vs. existing) and the Construction Plan Notes.</t>
        </is>
      </c>
      <c r="F1148" s="46" t="inlineStr">
        <is>
          <t>BLOCKING, excluded.BLOCKING_RESTO_DE_CARAS, excluded.HEADER, excluded.PATCH, length.source, scope[1].chain[1], scope[2].chain[0]</t>
        </is>
      </c>
      <c r="G1148" s="46" t="inlineStr">
        <is>
          <t>A02.01 printed dimension 11'-9 1/4" on the dimension line y=375.84, with its two 45-degree ticks verified at x=1631.28 and x=1843.08 (211.80 pt / 18 = 11.767 ft measured against 11.771 printed)</t>
        </is>
      </c>
    </row>
    <row r="1149" ht="25.5" customHeight="1" s="36">
      <c r="A1149" s="59" t="n"/>
      <c r="B1149" s="58" t="n">
        <v>2</v>
      </c>
      <c r="C1149" s="44" t="inlineStr">
        <is>
          <t>S2.20</t>
        </is>
      </c>
      <c r="D1149" s="59" t="inlineStr">
        <is>
          <t>Dimension</t>
        </is>
      </c>
      <c r="E1149" s="46" t="inlineStr">
        <is>
          <t>"ROOF FRAMING PLAN". Source of the STUD HEIGHT: every B.O.D. callout on the sheet and the slope of the bay between grids B and A (1/4" per foot).</t>
        </is>
      </c>
      <c r="F1149" s="46" t="inlineStr">
        <is>
          <t>face[0].board_height, face[1].board_height, scope[3].chain[1], stud_height</t>
        </is>
      </c>
      <c r="G1149" s="46" t="inlineStr">
        <is>
          <t>15'-4 1/2" of S2.20 minus the datum T/SLAB 0'-0": 15.375 - 0 = 15.375 ft.</t>
        </is>
      </c>
    </row>
    <row r="1150" ht="25.5" customHeight="1" s="36">
      <c r="A1150" s="59" t="n"/>
      <c r="B1150" s="58" t="n">
        <v>3</v>
      </c>
      <c r="C1150" s="44" t="inlineStr">
        <is>
          <t>4/A11.01</t>
        </is>
      </c>
      <c r="D1150" s="59" t="inlineStr">
        <is>
          <t>Quantity</t>
        </is>
      </c>
      <c r="E1150" s="46" t="inlineStr">
        <is>
          <t>"OFFICE 2 - NORTH". What hangs on that face and at what height.</t>
        </is>
      </c>
      <c r="F1150" s="46" t="inlineStr">
        <is>
          <t>BLOCKING, scope[1].chain[0]</t>
        </is>
      </c>
      <c r="G1150" s="46" t="inlineStr">
        <is>
          <t>ARTWORK de 4'-0" x 4'-0" con su borde inferior a 3'-0" A.F.F., centrado EQ/4'-0"/EQ en esta face (4/A11.01 OFFICE 2 - NORTH).</t>
        </is>
      </c>
    </row>
    <row r="1151" ht="43.5" customHeight="1" s="36">
      <c r="A1151" s="59" t="n"/>
      <c r="B1151" s="58" t="n">
        <v>4</v>
      </c>
      <c r="C1151" s="44" t="inlineStr">
        <is>
          <t>6/A11.03</t>
        </is>
      </c>
      <c r="D1151" s="59" t="inlineStr">
        <is>
          <t>Exclusion</t>
        </is>
      </c>
      <c r="E1151" s="46" t="inlineStr">
        <is>
          <t>"OFFICE 6 - EAST". What hangs on that face.</t>
        </is>
      </c>
      <c r="F1151" s="46" t="inlineStr">
        <is>
          <t>excluded.BLOCKING_RESTO_DE_CARAS</t>
        </is>
      </c>
      <c r="G1151"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52" ht="43.5" customHeight="1" s="36">
      <c r="A1152" s="59" t="n"/>
      <c r="B1152" s="58" t="n">
        <v>5</v>
      </c>
      <c r="C1152" s="44" t="inlineStr">
        <is>
          <t>15/A11.04</t>
        </is>
      </c>
      <c r="D1152" s="59" t="inlineStr">
        <is>
          <t>Exclusion</t>
        </is>
      </c>
      <c r="E1152" s="46" t="inlineStr">
        <is>
          <t>Interior elevation on A11.04. What hangs on that face.</t>
        </is>
      </c>
      <c r="F1152" s="46" t="inlineStr">
        <is>
          <t>excluded.BLOCKING_RESTO_DE_CARAS</t>
        </is>
      </c>
      <c r="G1152"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53" ht="33" customHeight="1" s="36">
      <c r="A1153" s="59" t="n"/>
      <c r="B1153" s="58" t="n">
        <v>6</v>
      </c>
      <c r="C1153" s="44" t="inlineStr">
        <is>
          <t>5/A12.01</t>
        </is>
      </c>
      <c r="D1153" s="59" t="inlineStr">
        <is>
          <t>Dimension</t>
        </is>
      </c>
      <c r="E1153" s="46" t="inlineStr">
        <is>
          <t>"PARTITION G" (officefront). Stud and board of type G.</t>
        </is>
      </c>
      <c r="F1153" s="46" t="inlineStr">
        <is>
          <t>BOARD, SEALANT, TRACK_BOTTOM, TRACK_TOP, excluded.INSULATION, face[0].board_height, face[1].board_height, scope[2].chain[1], scope[3].chain[0]</t>
        </is>
      </c>
      <c r="G1153" s="46" t="inlineStr">
        <is>
          <t>5/A12.01 PARTITION G, fila G1 del schedule: stud 1 5/8 / board 5/8 / wall thickness 8 gives the RULE (board runs to the underside of structure above); it does NOT print the number.</t>
        </is>
      </c>
    </row>
    <row r="1154" ht="25.5" customHeight="1" s="36">
      <c r="A1154" s="59" t="n"/>
      <c r="B1154" s="58" t="n">
        <v>7</v>
      </c>
      <c r="C1154" s="44" t="inlineStr">
        <is>
          <t>6/S5.20</t>
        </is>
      </c>
      <c r="D1154" s="59" t="inlineStr">
        <is>
          <t>Scope</t>
        </is>
      </c>
      <c r="E1154" s="46" t="inlineStr">
        <is>
          <t>"PENETRATION THRU STUDS". How the stud is reinforced where a duct passes through.</t>
        </is>
      </c>
      <c r="F1154" s="46" t="inlineStr">
        <is>
          <t>scope[0].chain[1]</t>
        </is>
      </c>
      <c r="G1154" s="46" t="inlineStr">
        <is>
          <t>6/S5.20 PENETRATION THRU STUDS limita el agujero en el alma y prohibe cortar las alas</t>
        </is>
      </c>
    </row>
    <row r="1155" ht="33" customHeight="1" s="36">
      <c r="A1155" s="59" t="n"/>
      <c r="B1155" s="58" t="n">
        <v>8</v>
      </c>
      <c r="C1155" s="44" t="inlineStr">
        <is>
          <t>7/S5.20</t>
        </is>
      </c>
      <c r="D1155" s="59" t="inlineStr">
        <is>
          <t>Quantity</t>
        </is>
      </c>
      <c r="E1155" s="46" t="inlineStr">
        <is>
          <t>"METAL STUDS SCHEDULES". The profile: web, flange, lip, mils, gauge and the APPLICATION column with the spacing ("INTERIOR WALLS @ 16" O.C."), plus the SILL TRACK ANCHORAGE and the FASTENER SCHEDULE.</t>
        </is>
      </c>
      <c r="F1155" s="46" t="inlineStr">
        <is>
          <t>BRACING, STUD, excluded.CLIPS</t>
        </is>
      </c>
      <c r="G1155" s="46" t="inlineStr">
        <is>
          <t>Espaciamiento de 7/S5.20 BRIDGING AND BRACING @ 48" O.C.</t>
        </is>
      </c>
    </row>
    <row r="1156" ht="25.5" customHeight="1" s="36">
      <c r="A1156" s="59" t="n"/>
      <c r="B1156" s="58" t="n">
        <v>9</v>
      </c>
      <c r="C1156" s="44" t="inlineStr">
        <is>
          <t>9/S5.20</t>
        </is>
      </c>
      <c r="D1156" s="59" t="inlineStr">
        <is>
          <t>Quantity</t>
        </is>
      </c>
      <c r="E1156" s="46" t="inlineStr">
        <is>
          <t>"OPNG IN NON-LOAD-BRG WALLS". The opening frame: DBL JAMB STUD (2 per jamb) and HEAD TRACK with the condition "DOUBLE TRACK @ OPNG &gt; 4'-0"".</t>
        </is>
      </c>
      <c r="F1156" s="46" t="inlineStr">
        <is>
          <t>ABERTURA_MEP_HEAD_SILL, TRACK_BOTTOM</t>
        </is>
      </c>
      <c r="G1156" s="46" t="inlineStr">
        <is>
          <t>9/S5.20 OPNG IN NON-LOAD-BRG WALLS, NTS, labels "HEAD TRACK (DOUBLE TRACK @ OPNG &gt; 4'-0")" y "DBL JAMB STUD".</t>
        </is>
      </c>
    </row>
    <row r="1157" ht="43.5" customHeight="1" s="36">
      <c r="A1157" s="59" t="n"/>
      <c r="B1157" s="58" t="n">
        <v>10</v>
      </c>
      <c r="C1157" s="44" t="inlineStr">
        <is>
          <t>A09.01</t>
        </is>
      </c>
      <c r="D1157" s="59" t="inlineStr">
        <is>
          <t>Exclusion</t>
        </is>
      </c>
      <c r="E1157" s="46" t="inlineStr">
        <is>
          <t>Exterior Elevations: "SOUTH ELEVATION" and "WEST ELEVATION" at 1/4"=1'-0". Extent of each exterior material and the material legend, verbatim "CJ CONTROL JOINT; PAINT TO MATCH STUCCO FINISH COLOR" - that joint is the STUCCO joint, not gypsum.</t>
        </is>
      </c>
      <c r="F1157" s="46" t="inlineStr">
        <is>
          <t>excluded.CONTROL_JOINT</t>
        </is>
      </c>
      <c r="G115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58" ht="33" customHeight="1" s="36">
      <c r="A1158" s="59" t="n"/>
      <c r="B1158" s="58" t="n">
        <v>11</v>
      </c>
      <c r="C1158" s="44" t="inlineStr">
        <is>
          <t>A00.01</t>
        </is>
      </c>
      <c r="D1158" s="59" t="inlineStr">
        <is>
          <t>Exclusion</t>
        </is>
      </c>
      <c r="E1158" s="46" t="inlineStr">
        <is>
          <t>Cover sheet and Drawing Index. Proof by ABSENCE: the index lists no interior Demolition Plan, which is why there is no patch-and-repair line item.</t>
        </is>
      </c>
      <c r="F1158" s="46" t="inlineStr">
        <is>
          <t>excluded.PATCH</t>
        </is>
      </c>
      <c r="G1158" s="46" t="inlineStr">
        <is>
          <t>El Drawing Index de A00.01 no trae Demolition Plan interior y la Construction Plan Legend de A02.01 rotula estas bandas como NEW PARTITION (SEE SCHEDULE), no como existente: no hay superficie previa que parchear en ningun wall G1.</t>
        </is>
      </c>
    </row>
    <row r="1159" ht="33" customHeight="1" s="36">
      <c r="A1159" s="59" t="n"/>
      <c r="B1159" s="58" t="n">
        <v>12</v>
      </c>
      <c r="C1159" s="44" t="inlineStr">
        <is>
          <t>A09.27</t>
        </is>
      </c>
      <c r="D1159" s="59" t="inlineStr">
        <is>
          <t>Exclusion</t>
        </is>
      </c>
      <c r="E1159" s="46" t="inlineStr">
        <is>
          <t>Gypsum Section Details, the sheet. Cited as a sheet when the finding is that NO detail on it labels a gypsum control joint.</t>
        </is>
      </c>
      <c r="F1159" s="46" t="inlineStr">
        <is>
          <t>excluded.CONTROL_JOINT</t>
        </is>
      </c>
      <c r="G1159" s="46" t="inlineStr">
        <is>
          <t>El set no rotula ni detalla ninguna junta de control de gypsum board, ni en A12.01 ni en los detalles de A09.27/A09.33, y no hay seccion de especificaciones 09 29 00 en el bid set.</t>
        </is>
      </c>
    </row>
    <row r="1160" ht="33" customHeight="1" s="36">
      <c r="A1160" s="59" t="n"/>
      <c r="B1160" s="58" t="n">
        <v>13</v>
      </c>
      <c r="C1160" s="44" t="inlineStr">
        <is>
          <t>A09.33</t>
        </is>
      </c>
      <c r="D1160" s="59" t="inlineStr">
        <is>
          <t>Exclusion</t>
        </is>
      </c>
      <c r="E1160" s="46" t="inlineStr">
        <is>
          <t>Ceiling Details, the sheet. Cited as a sheet for a finding by ABSENCE: its details label corner bead, casing bead and shadow molding one by one and NONE labels a control joint, so the omission is not a labeling oversight.</t>
        </is>
      </c>
      <c r="F1160" s="46" t="inlineStr">
        <is>
          <t>excluded.CONTROL_JOINT</t>
        </is>
      </c>
      <c r="G1160" s="46" t="inlineStr">
        <is>
          <t>El set no rotula ni detalla ninguna junta de control de gypsum board, ni en A12.01 ni en los detalles de A09.27/A09.33, y no hay seccion de especificaciones 09 29 00 en el bid set.</t>
        </is>
      </c>
    </row>
    <row r="1161" ht="33" customHeight="1" s="36">
      <c r="A1161" s="59" t="n"/>
      <c r="B1161" s="58" t="n">
        <v>14</v>
      </c>
      <c r="C1161" s="44" t="inlineStr">
        <is>
          <t>M01.01</t>
        </is>
      </c>
      <c r="D1161" s="59" t="inlineStr">
        <is>
          <t>Quantity</t>
        </is>
      </c>
      <c r="E1161" s="46" t="inlineStr">
        <is>
          <t>Mechanical Floor Plan at 1/4"=1'-0". Swept across the WHOLE band of each wall, opening included, to locate and measure every duct penetration.</t>
        </is>
      </c>
      <c r="F1161" s="46" t="inlineStr">
        <is>
          <t>ABERTURA_MEP_HEAD_SILL, scope[0].chain[0]</t>
        </is>
      </c>
      <c r="G1161" s="46" t="inlineStr">
        <is>
          <t>Cruces detectados por geometria registrada: M01.01 par de lineas en x 1822.80 y 1834.80 (12.00 pt = 8.00" de ducto) y P01.01 par en x 1639.53 y 1643.09 (3.56 pt = 2.37" de tubo), ambos sobresaliendo por fuera de las dos faces</t>
        </is>
      </c>
    </row>
    <row r="1162" ht="33" customHeight="1" s="36">
      <c r="A1162" s="59" t="n"/>
      <c r="B1162" s="58" t="n">
        <v>15</v>
      </c>
      <c r="C1162" s="44" t="inlineStr">
        <is>
          <t>P01.01</t>
        </is>
      </c>
      <c r="D1162" s="59" t="inlineStr">
        <is>
          <t>Quantity</t>
        </is>
      </c>
      <c r="E1162" s="46" t="inlineStr">
        <is>
          <t>"PLUMBING PLAN SANITARY" at 1/4"=1'-0". Crossed against every wall: on new construction the MEP goes in before the board, hence no patch.</t>
        </is>
      </c>
      <c r="F1162" s="46" t="inlineStr">
        <is>
          <t>ABERTURA_MEP_HEAD_SILL</t>
        </is>
      </c>
      <c r="G1162" s="46" t="inlineStr">
        <is>
          <t>Cruces detectados por geometria registrada: M01.01 par de lineas en x 1822.80 y 1834.80 (12.00 pt = 8.00" de ducto) y P01.01 par en x 1639.53 y 1643.09 (3.56 pt = 2.37" de tubo), ambos sobresaliendo por fuera de las dos faces</t>
        </is>
      </c>
    </row>
    <row r="1163" ht="33" customHeight="1" s="36">
      <c r="A1163" s="44" t="inlineStr">
        <is>
          <t>G1 #51</t>
        </is>
      </c>
      <c r="B1163" s="58" t="n">
        <v>1</v>
      </c>
      <c r="C1163" s="44" t="inlineStr">
        <is>
          <t>A02.01</t>
        </is>
      </c>
      <c r="D1163" s="59" t="inlineStr">
        <is>
          <t>Scope</t>
        </is>
      </c>
      <c r="E1163" s="46" t="inlineStr">
        <is>
          <t>Construction Plan. Entry sheet for partitions and openings: vector geometry of every wall face at 1/4"=1'-0", the leader of every partition tag, the Construction Plan Legend (new vs. existing) and the Construction Plan Notes.</t>
        </is>
      </c>
      <c r="F1163" s="46" t="inlineStr">
        <is>
          <t>excluded.BLOCKING, excluded.HEADER, excluded.PATCH, scope[0].chain[0]</t>
        </is>
      </c>
      <c r="G1163" s="46" t="inlineStr">
        <is>
          <t>A02.01 tag G1 con su leader aterrizando en esta alineacion (walls 50 y 51)</t>
        </is>
      </c>
    </row>
    <row r="1164" ht="25.5" customHeight="1" s="36">
      <c r="A1164" s="59" t="n"/>
      <c r="B1164" s="58" t="n">
        <v>2</v>
      </c>
      <c r="C1164" s="44" t="inlineStr">
        <is>
          <t>S2.20</t>
        </is>
      </c>
      <c r="D1164" s="59" t="inlineStr">
        <is>
          <t>Dimension</t>
        </is>
      </c>
      <c r="E1164" s="46" t="inlineStr">
        <is>
          <t>"ROOF FRAMING PLAN". Source of the STUD HEIGHT: every B.O.D. callout on the sheet and the slope of the bay between grids B and A (1/4" per foot).</t>
        </is>
      </c>
      <c r="F1164" s="46" t="inlineStr">
        <is>
          <t>face[0].board_height, face[1].board_height, scope[1].chain[1], stud_height</t>
        </is>
      </c>
      <c r="G1164" s="46" t="inlineStr">
        <is>
          <t>15'-4 1/2" of S2.20 minus the datum T/SLAB 0'-0": 15.375 - 0 = 15.375 ft.</t>
        </is>
      </c>
    </row>
    <row r="1165" ht="43.5" customHeight="1" s="36">
      <c r="A1165" s="59" t="n"/>
      <c r="B1165" s="58" t="n">
        <v>3</v>
      </c>
      <c r="C1165" s="44" t="inlineStr">
        <is>
          <t>6/A11.03</t>
        </is>
      </c>
      <c r="D1165" s="59" t="inlineStr">
        <is>
          <t>Exclusion</t>
        </is>
      </c>
      <c r="E1165" s="46" t="inlineStr">
        <is>
          <t>"OFFICE 6 - EAST". What hangs on that face.</t>
        </is>
      </c>
      <c r="F1165" s="46" t="inlineStr">
        <is>
          <t>excluded.BLOCKING</t>
        </is>
      </c>
      <c r="G1165"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66" ht="43.5" customHeight="1" s="36">
      <c r="A1166" s="59" t="n"/>
      <c r="B1166" s="58" t="n">
        <v>4</v>
      </c>
      <c r="C1166" s="44" t="inlineStr">
        <is>
          <t>15/A11.04</t>
        </is>
      </c>
      <c r="D1166" s="59" t="inlineStr">
        <is>
          <t>Exclusion</t>
        </is>
      </c>
      <c r="E1166" s="46" t="inlineStr">
        <is>
          <t>Interior elevation on A11.04. What hangs on that face.</t>
        </is>
      </c>
      <c r="F1166" s="46" t="inlineStr">
        <is>
          <t>excluded.BLOCKING</t>
        </is>
      </c>
      <c r="G1166"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67" ht="33" customHeight="1" s="36">
      <c r="A1167" s="59" t="n"/>
      <c r="B1167" s="58" t="n">
        <v>5</v>
      </c>
      <c r="C1167" s="44" t="inlineStr">
        <is>
          <t>5/A12.01</t>
        </is>
      </c>
      <c r="D1167" s="59" t="inlineStr">
        <is>
          <t>Dimension</t>
        </is>
      </c>
      <c r="E1167" s="46" t="inlineStr">
        <is>
          <t>"PARTITION G" (officefront). Stud and board of type G.</t>
        </is>
      </c>
      <c r="F1167" s="46" t="inlineStr">
        <is>
          <t>BOARD, SEALANT, TRACK_BOTTOM, TRACK_TOP, excluded.INSULATION, face[0].board_height, face[1].board_height, scope[0].chain[1], scope[1].chain[0]</t>
        </is>
      </c>
      <c r="G1167" s="46" t="inlineStr">
        <is>
          <t>5/A12.01 PARTITION G, fila G1 del schedule: stud 1 5/8 / board 5/8 / wall thickness 8 gives the RULE (board runs to the underside of structure above); it does NOT print the number.</t>
        </is>
      </c>
    </row>
    <row r="1168" ht="33" customHeight="1" s="36">
      <c r="A1168" s="59" t="n"/>
      <c r="B1168" s="58" t="n">
        <v>6</v>
      </c>
      <c r="C1168" s="44" t="inlineStr">
        <is>
          <t>7/S5.20</t>
        </is>
      </c>
      <c r="D1168" s="59" t="inlineStr">
        <is>
          <t>Quantity</t>
        </is>
      </c>
      <c r="E1168" s="46" t="inlineStr">
        <is>
          <t>"METAL STUDS SCHEDULES". The profile: web, flange, lip, mils, gauge and the APPLICATION column with the spacing ("INTERIOR WALLS @ 16" O.C."), plus the SILL TRACK ANCHORAGE and the FASTENER SCHEDULE.</t>
        </is>
      </c>
      <c r="F1168" s="46" t="inlineStr">
        <is>
          <t>BRACING, STUD, excluded.CLIPS</t>
        </is>
      </c>
      <c r="G1168" s="46" t="inlineStr">
        <is>
          <t>Espaciamiento de 7/S5.20 BRIDGING AND BRACING @ 48" O.C.</t>
        </is>
      </c>
    </row>
    <row r="1169" ht="33" customHeight="1" s="36">
      <c r="A1169" s="59" t="n"/>
      <c r="B1169" s="58" t="n">
        <v>7</v>
      </c>
      <c r="C1169" s="44" t="inlineStr">
        <is>
          <t>9/S5.20</t>
        </is>
      </c>
      <c r="D1169" s="59" t="inlineStr">
        <is>
          <t>Quantity</t>
        </is>
      </c>
      <c r="E1169" s="46" t="inlineStr">
        <is>
          <t>"OPNG IN NON-LOAD-BRG WALLS". The opening frame: DBL JAMB STUD (2 per jamb) and HEAD TRACK with the condition "DOUBLE TRACK @ OPNG &gt; 4'-0"".</t>
        </is>
      </c>
      <c r="F1169" s="46" t="inlineStr">
        <is>
          <t>TRACK_BOTTOM</t>
        </is>
      </c>
      <c r="G1169" s="46" t="inlineStr">
        <is>
          <t>5/A12.01 PARTITION G labels "METAL STUD TRACK" con su leader en el arranque, contra lo que el mismo detalle rotula "TOP OF STRUCTURAL SLAB"; 9/S5.20 OPNG IN NON-LOAD-BRG WALLS confirms it with "BOTTOM TRACK".</t>
        </is>
      </c>
    </row>
    <row r="1170" ht="43.5" customHeight="1" s="36">
      <c r="A1170" s="59" t="n"/>
      <c r="B1170" s="58" t="n">
        <v>8</v>
      </c>
      <c r="C1170" s="44" t="inlineStr">
        <is>
          <t>A09.01</t>
        </is>
      </c>
      <c r="D1170" s="59" t="inlineStr">
        <is>
          <t>Exclusion</t>
        </is>
      </c>
      <c r="E1170" s="46" t="inlineStr">
        <is>
          <t>Exterior Elevations: "SOUTH ELEVATION" and "WEST ELEVATION" at 1/4"=1'-0". Extent of each exterior material and the material legend, verbatim "CJ CONTROL JOINT; PAINT TO MATCH STUCCO FINISH COLOR" - that joint is the STUCCO joint, not gypsum.</t>
        </is>
      </c>
      <c r="F1170" s="46" t="inlineStr">
        <is>
          <t>excluded.CONTROL_JOINT</t>
        </is>
      </c>
      <c r="G117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71" ht="33" customHeight="1" s="36">
      <c r="A1171" s="59" t="n"/>
      <c r="B1171" s="58" t="n">
        <v>9</v>
      </c>
      <c r="C1171" s="44" t="inlineStr">
        <is>
          <t>A00.01</t>
        </is>
      </c>
      <c r="D1171" s="59" t="inlineStr">
        <is>
          <t>Exclusion</t>
        </is>
      </c>
      <c r="E1171" s="46" t="inlineStr">
        <is>
          <t>Cover sheet and Drawing Index. Proof by ABSENCE: the index lists no interior Demolition Plan, which is why there is no patch-and-repair line item.</t>
        </is>
      </c>
      <c r="F1171" s="46" t="inlineStr">
        <is>
          <t>excluded.PATCH</t>
        </is>
      </c>
      <c r="G1171" s="46" t="inlineStr">
        <is>
          <t>El Drawing Index de A00.01 no trae Demolition Plan interior y la Construction Plan Legend de A02.01 rotula estas bandas como NEW PARTITION (SEE SCHEDULE), no como existente: no hay superficie previa que parchear en ningun wall G1.</t>
        </is>
      </c>
    </row>
    <row r="1172" ht="33" customHeight="1" s="36">
      <c r="A1172" s="59" t="n"/>
      <c r="B1172" s="58" t="n">
        <v>10</v>
      </c>
      <c r="C1172" s="44" t="inlineStr">
        <is>
          <t>A09.27</t>
        </is>
      </c>
      <c r="D1172" s="59" t="inlineStr">
        <is>
          <t>Exclusion</t>
        </is>
      </c>
      <c r="E1172" s="46" t="inlineStr">
        <is>
          <t>Gypsum Section Details, the sheet. Cited as a sheet when the finding is that NO detail on it labels a gypsum control joint.</t>
        </is>
      </c>
      <c r="F1172" s="46" t="inlineStr">
        <is>
          <t>excluded.CONTROL_JOINT</t>
        </is>
      </c>
      <c r="G1172" s="46" t="inlineStr">
        <is>
          <t>El set no rotula ni detalla ninguna junta de control de gypsum board, ni en A12.01 ni en los detalles de A09.27/A09.33, y no hay seccion de especificaciones 09 29 00 en el bid set.</t>
        </is>
      </c>
    </row>
    <row r="1173" ht="33" customHeight="1" s="36">
      <c r="A1173" s="59" t="n"/>
      <c r="B1173" s="58" t="n">
        <v>11</v>
      </c>
      <c r="C1173" s="44" t="inlineStr">
        <is>
          <t>A09.33</t>
        </is>
      </c>
      <c r="D1173" s="59" t="inlineStr">
        <is>
          <t>Exclusion</t>
        </is>
      </c>
      <c r="E1173" s="46" t="inlineStr">
        <is>
          <t>Ceiling Details, the sheet. Cited as a sheet for a finding by ABSENCE: its details label corner bead, casing bead and shadow molding one by one and NONE labels a control joint, so the omission is not a labeling oversight.</t>
        </is>
      </c>
      <c r="F1173" s="46" t="inlineStr">
        <is>
          <t>excluded.CONTROL_JOINT</t>
        </is>
      </c>
      <c r="G1173" s="46" t="inlineStr">
        <is>
          <t>El set no rotula ni detalla ninguna junta de control de gypsum board, ni en A12.01 ni en los detalles de A09.27/A09.33, y no hay seccion de especificaciones 09 29 00 en el bid set.</t>
        </is>
      </c>
    </row>
    <row r="1174" ht="33" customHeight="1" s="36">
      <c r="A1174" s="44" t="inlineStr">
        <is>
          <t>G1 #53</t>
        </is>
      </c>
      <c r="B1174" s="58" t="n">
        <v>1</v>
      </c>
      <c r="C1174" s="44" t="inlineStr">
        <is>
          <t>A02.01</t>
        </is>
      </c>
      <c r="D1174" s="59" t="inlineStr">
        <is>
          <t>Scope</t>
        </is>
      </c>
      <c r="E1174" s="46" t="inlineStr">
        <is>
          <t>Construction Plan. Entry sheet for partitions and openings: vector geometry of every wall face at 1/4"=1'-0", the leader of every partition tag, the Construction Plan Legend (new vs. existing) and the Construction Plan Notes.</t>
        </is>
      </c>
      <c r="F1174" s="46" t="inlineStr">
        <is>
          <t>excluded.BLOCKING, excluded.HEADER, excluded.PATCH, scope[0].chain[0]</t>
        </is>
      </c>
      <c r="G1174" s="46" t="inlineStr">
        <is>
          <t>A02.01 tag G1 con su leader aterrizando en esta alineacion (walls 50 y 51)</t>
        </is>
      </c>
    </row>
    <row r="1175" ht="25.5" customHeight="1" s="36">
      <c r="A1175" s="59" t="n"/>
      <c r="B1175" s="58" t="n">
        <v>2</v>
      </c>
      <c r="C1175" s="44" t="inlineStr">
        <is>
          <t>S2.20</t>
        </is>
      </c>
      <c r="D1175" s="59" t="inlineStr">
        <is>
          <t>Dimension</t>
        </is>
      </c>
      <c r="E1175" s="46" t="inlineStr">
        <is>
          <t>"ROOF FRAMING PLAN". Source of the STUD HEIGHT: every B.O.D. callout on the sheet and the slope of the bay between grids B and A (1/4" per foot).</t>
        </is>
      </c>
      <c r="F1175" s="46" t="inlineStr">
        <is>
          <t>face[0].board_height, face[1].board_height, scope[1].chain[1], stud_height</t>
        </is>
      </c>
      <c r="G1175" s="46" t="inlineStr">
        <is>
          <t>15'-4 1/2" of S2.20 minus the datum T/SLAB 0'-0": 15.375 - 0 = 15.375 ft.</t>
        </is>
      </c>
    </row>
    <row r="1176" ht="43.5" customHeight="1" s="36">
      <c r="A1176" s="59" t="n"/>
      <c r="B1176" s="58" t="n">
        <v>3</v>
      </c>
      <c r="C1176" s="44" t="inlineStr">
        <is>
          <t>6/A11.03</t>
        </is>
      </c>
      <c r="D1176" s="59" t="inlineStr">
        <is>
          <t>Exclusion</t>
        </is>
      </c>
      <c r="E1176" s="46" t="inlineStr">
        <is>
          <t>"OFFICE 6 - EAST". What hangs on that face.</t>
        </is>
      </c>
      <c r="F1176" s="46" t="inlineStr">
        <is>
          <t>excluded.BLOCKING</t>
        </is>
      </c>
      <c r="G1176"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77" ht="43.5" customHeight="1" s="36">
      <c r="A1177" s="59" t="n"/>
      <c r="B1177" s="58" t="n">
        <v>4</v>
      </c>
      <c r="C1177" s="44" t="inlineStr">
        <is>
          <t>15/A11.04</t>
        </is>
      </c>
      <c r="D1177" s="59" t="inlineStr">
        <is>
          <t>Exclusion</t>
        </is>
      </c>
      <c r="E1177" s="46" t="inlineStr">
        <is>
          <t>Interior elevation on A11.04. What hangs on that face.</t>
        </is>
      </c>
      <c r="F1177" s="46" t="inlineStr">
        <is>
          <t>excluded.BLOCKING</t>
        </is>
      </c>
      <c r="G1177"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78" ht="33" customHeight="1" s="36">
      <c r="A1178" s="59" t="n"/>
      <c r="B1178" s="58" t="n">
        <v>5</v>
      </c>
      <c r="C1178" s="44" t="inlineStr">
        <is>
          <t>5/A12.01</t>
        </is>
      </c>
      <c r="D1178" s="59" t="inlineStr">
        <is>
          <t>Dimension</t>
        </is>
      </c>
      <c r="E1178" s="46" t="inlineStr">
        <is>
          <t>"PARTITION G" (officefront). Stud and board of type G.</t>
        </is>
      </c>
      <c r="F1178" s="46" t="inlineStr">
        <is>
          <t>BOARD, SEALANT, TRACK_BOTTOM, TRACK_TOP, excluded.INSULATION, face[0].board_height, face[1].board_height, scope[0].chain[1], scope[1].chain[0]</t>
        </is>
      </c>
      <c r="G1178" s="46" t="inlineStr">
        <is>
          <t>5/A12.01 PARTITION G, fila G1 del schedule: stud 1 5/8 / board 5/8 / wall thickness 8 gives the RULE (board runs to the underside of structure above); it does NOT print the number.</t>
        </is>
      </c>
    </row>
    <row r="1179" ht="33" customHeight="1" s="36">
      <c r="A1179" s="59" t="n"/>
      <c r="B1179" s="58" t="n">
        <v>6</v>
      </c>
      <c r="C1179" s="44" t="inlineStr">
        <is>
          <t>7/S5.20</t>
        </is>
      </c>
      <c r="D1179" s="59" t="inlineStr">
        <is>
          <t>Quantity</t>
        </is>
      </c>
      <c r="E1179" s="46" t="inlineStr">
        <is>
          <t>"METAL STUDS SCHEDULES". The profile: web, flange, lip, mils, gauge and the APPLICATION column with the spacing ("INTERIOR WALLS @ 16" O.C."), plus the SILL TRACK ANCHORAGE and the FASTENER SCHEDULE.</t>
        </is>
      </c>
      <c r="F1179" s="46" t="inlineStr">
        <is>
          <t>BRACING, STUD, excluded.CLIPS</t>
        </is>
      </c>
      <c r="G1179" s="46" t="inlineStr">
        <is>
          <t>Espaciamiento de 7/S5.20 BRIDGING AND BRACING @ 48" O.C.</t>
        </is>
      </c>
    </row>
    <row r="1180" ht="33" customHeight="1" s="36">
      <c r="A1180" s="59" t="n"/>
      <c r="B1180" s="58" t="n">
        <v>7</v>
      </c>
      <c r="C1180" s="44" t="inlineStr">
        <is>
          <t>9/S5.20</t>
        </is>
      </c>
      <c r="D1180" s="59" t="inlineStr">
        <is>
          <t>Quantity</t>
        </is>
      </c>
      <c r="E1180" s="46" t="inlineStr">
        <is>
          <t>"OPNG IN NON-LOAD-BRG WALLS". The opening frame: DBL JAMB STUD (2 per jamb) and HEAD TRACK with the condition "DOUBLE TRACK @ OPNG &gt; 4'-0"".</t>
        </is>
      </c>
      <c r="F1180" s="46" t="inlineStr">
        <is>
          <t>TRACK_BOTTOM</t>
        </is>
      </c>
      <c r="G1180" s="46" t="inlineStr">
        <is>
          <t>5/A12.01 PARTITION G labels "METAL STUD TRACK" con su leader en el arranque, contra lo que el mismo detalle rotula "TOP OF STRUCTURAL SLAB"; 9/S5.20 OPNG IN NON-LOAD-BRG WALLS confirms it with "BOTTOM TRACK".</t>
        </is>
      </c>
    </row>
    <row r="1181" ht="43.5" customHeight="1" s="36">
      <c r="A1181" s="59" t="n"/>
      <c r="B1181" s="58" t="n">
        <v>8</v>
      </c>
      <c r="C1181" s="44" t="inlineStr">
        <is>
          <t>A09.01</t>
        </is>
      </c>
      <c r="D1181" s="59" t="inlineStr">
        <is>
          <t>Exclusion</t>
        </is>
      </c>
      <c r="E1181" s="46" t="inlineStr">
        <is>
          <t>Exterior Elevations: "SOUTH ELEVATION" and "WEST ELEVATION" at 1/4"=1'-0". Extent of each exterior material and the material legend, verbatim "CJ CONTROL JOINT; PAINT TO MATCH STUCCO FINISH COLOR" - that joint is the STUCCO joint, not gypsum.</t>
        </is>
      </c>
      <c r="F1181" s="46" t="inlineStr">
        <is>
          <t>excluded.CONTROL_JOINT</t>
        </is>
      </c>
      <c r="G118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82" ht="33" customHeight="1" s="36">
      <c r="A1182" s="59" t="n"/>
      <c r="B1182" s="58" t="n">
        <v>9</v>
      </c>
      <c r="C1182" s="44" t="inlineStr">
        <is>
          <t>A00.01</t>
        </is>
      </c>
      <c r="D1182" s="59" t="inlineStr">
        <is>
          <t>Exclusion</t>
        </is>
      </c>
      <c r="E1182" s="46" t="inlineStr">
        <is>
          <t>Cover sheet and Drawing Index. Proof by ABSENCE: the index lists no interior Demolition Plan, which is why there is no patch-and-repair line item.</t>
        </is>
      </c>
      <c r="F1182" s="46" t="inlineStr">
        <is>
          <t>excluded.PATCH</t>
        </is>
      </c>
      <c r="G1182" s="46" t="inlineStr">
        <is>
          <t>El Drawing Index de A00.01 no trae Demolition Plan interior y la Construction Plan Legend de A02.01 rotula estas bandas como NEW PARTITION (SEE SCHEDULE), no como existente: no hay superficie previa que parchear en ningun wall G1.</t>
        </is>
      </c>
    </row>
    <row r="1183" ht="33" customHeight="1" s="36">
      <c r="A1183" s="59" t="n"/>
      <c r="B1183" s="58" t="n">
        <v>10</v>
      </c>
      <c r="C1183" s="44" t="inlineStr">
        <is>
          <t>A09.27</t>
        </is>
      </c>
      <c r="D1183" s="59" t="inlineStr">
        <is>
          <t>Exclusion</t>
        </is>
      </c>
      <c r="E1183" s="46" t="inlineStr">
        <is>
          <t>Gypsum Section Details, the sheet. Cited as a sheet when the finding is that NO detail on it labels a gypsum control joint.</t>
        </is>
      </c>
      <c r="F1183" s="46" t="inlineStr">
        <is>
          <t>excluded.CONTROL_JOINT</t>
        </is>
      </c>
      <c r="G1183" s="46" t="inlineStr">
        <is>
          <t>El set no rotula ni detalla ninguna junta de control de gypsum board, ni en A12.01 ni en los detalles de A09.27/A09.33, y no hay seccion de especificaciones 09 29 00 en el bid set.</t>
        </is>
      </c>
    </row>
    <row r="1184" ht="33" customHeight="1" s="36">
      <c r="A1184" s="59" t="n"/>
      <c r="B1184" s="58" t="n">
        <v>11</v>
      </c>
      <c r="C1184" s="44" t="inlineStr">
        <is>
          <t>A09.33</t>
        </is>
      </c>
      <c r="D1184" s="59" t="inlineStr">
        <is>
          <t>Exclusion</t>
        </is>
      </c>
      <c r="E1184" s="46" t="inlineStr">
        <is>
          <t>Ceiling Details, the sheet. Cited as a sheet for a finding by ABSENCE: its details label corner bead, casing bead and shadow molding one by one and NONE labels a control joint, so the omission is not a labeling oversight.</t>
        </is>
      </c>
      <c r="F1184" s="46" t="inlineStr">
        <is>
          <t>excluded.CONTROL_JOINT</t>
        </is>
      </c>
      <c r="G1184" s="46" t="inlineStr">
        <is>
          <t>El set no rotula ni detalla ninguna junta de control de gypsum board, ni en A12.01 ni en los detalles de A09.27/A09.33, y no hay seccion de especificaciones 09 29 00 en el bid set.</t>
        </is>
      </c>
    </row>
    <row r="1185" ht="33" customHeight="1" s="36">
      <c r="A1185" s="44" t="inlineStr">
        <is>
          <t>CEILING GWB CIELO-70</t>
        </is>
      </c>
      <c r="B1185" s="58" t="n">
        <v>1</v>
      </c>
      <c r="C1185" s="44" t="inlineStr">
        <is>
          <t>A04.01</t>
        </is>
      </c>
      <c r="D1185" s="59" t="inlineStr">
        <is>
          <t>Dimension</t>
        </is>
      </c>
      <c r="E1185" s="46" t="inlineStr">
        <is>
          <t>Reflected Ceiling Plan. Entry sheet for ceilings, soffits and canopy; on walls it gives the BOARD HEIGHT: each room ceiling tag with its printed A.F.F. dimension, plus the ceiling key notes.</t>
        </is>
      </c>
      <c r="F1185" s="46" t="inlineStr">
        <is>
          <t>ACCESS_PANEL.source, BOARD, acabado.source, excluded.BLOCKING, excluded.CORNER_BEAD, excluded.INSULATION, excluded.PERIMETER_ANGLE, excluded.SEALANT, height_aff.source</t>
        </is>
      </c>
      <c r="G1185" s="46" t="inlineStr">
        <is>
          <t>A04.01 tag "GB / 10'-0"" dentro del cuarto</t>
        </is>
      </c>
    </row>
    <row r="1186" ht="33" customHeight="1" s="36">
      <c r="A1186" s="59" t="n"/>
      <c r="B1186" s="58" t="n">
        <v>2</v>
      </c>
      <c r="C1186" s="44" t="inlineStr">
        <is>
          <t>A02.01</t>
        </is>
      </c>
      <c r="D1186" s="59" t="inlineStr">
        <is>
          <t>Quantity</t>
        </is>
      </c>
      <c r="E1186" s="46" t="inlineStr">
        <is>
          <t>Construction Plan. Entry sheet for partitions and openings: vector geometry of every wall face at 1/4"=1'-0", the leader of every partition tag, the Construction Plan Legend (new vs. existing) and the Construction Plan Notes.</t>
        </is>
      </c>
      <c r="F1186" s="46" t="inlineStr">
        <is>
          <t>BOARD</t>
        </is>
      </c>
      <c r="G1186" s="46" t="inlineStr">
        <is>
          <t>Las cuatro aristas existen dibujadas en A04.01 con lineweight de borde de zona de cielo; la division con el 24 HR VESTIBULE 101 es el wall de A02.01 en y=461.52/462.36</t>
        </is>
      </c>
    </row>
    <row r="1187" ht="25.5" customHeight="1" s="36">
      <c r="A1187" s="59" t="n"/>
      <c r="B1187" s="58" t="n">
        <v>3</v>
      </c>
      <c r="C1187" s="44" t="inlineStr">
        <is>
          <t>S2.20</t>
        </is>
      </c>
      <c r="D1187" s="59" t="inlineStr">
        <is>
          <t>Quantity</t>
        </is>
      </c>
      <c r="E1187" s="46" t="inlineStr">
        <is>
          <t>"ROOF FRAMING PLAN". Source of the STUD HEIGHT: every B.O.D. callout on the sheet and the slope of the bay between grids B and A (1/4" per foot).</t>
        </is>
      </c>
      <c r="F1187" s="46" t="inlineStr">
        <is>
          <t>HANGER_WIRE</t>
        </is>
      </c>
      <c r="G1187" s="46" t="inlineStr">
        <is>
          <t>deck 15.375 (S2.20, al norte del eje B, NO SLOPE) menos la height del cielo 10.000.</t>
        </is>
      </c>
    </row>
    <row r="1188" ht="25.5" customHeight="1" s="36">
      <c r="A1188" s="59" t="n"/>
      <c r="B1188" s="58" t="n">
        <v>4</v>
      </c>
      <c r="C1188" s="44" t="inlineStr">
        <is>
          <t>A12.01</t>
        </is>
      </c>
      <c r="D1188" s="59" t="inlineStr">
        <is>
          <t>Exclusion</t>
        </is>
      </c>
      <c r="E1188" s="46" t="inlineStr">
        <is>
          <t>Partition Types, the whole sheet. Cited as a sheet when the finding is the ABSENCE across the sheet (e.g. that no type labels a gypsum control joint).</t>
        </is>
      </c>
      <c r="F1188" s="46" t="inlineStr">
        <is>
          <t>excluded.SEALANT</t>
        </is>
      </c>
      <c r="G1188" s="46" t="inlineStr">
        <is>
          <t>Se reviso la hoja de Partition Types A12.01 (los detalles de wall si traen CONT.</t>
        </is>
      </c>
    </row>
    <row r="1189" ht="99" customHeight="1" s="36">
      <c r="A1189" s="59" t="n"/>
      <c r="B1189" s="58" t="n">
        <v>5</v>
      </c>
      <c r="C1189" s="44" t="inlineStr">
        <is>
          <t>3/A09.33</t>
        </is>
      </c>
      <c r="D1189" s="59" t="inlineStr">
        <is>
          <t>Exclusion</t>
        </is>
      </c>
      <c r="E1189" s="46"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189" s="46" t="inlineStr">
        <is>
          <t>excluded.BRACING_SISMICO</t>
        </is>
      </c>
      <c r="G1189" s="46" t="inlineStr">
        <is>
          <t>The NOTE on 3/A09.33 LIGHT FIXTURE INSTALLATION reads, textual: "LATERAL BRACING FOR SUSPENDED CEILING MUST BE PROVIDED PER UBC REQUIREMENTS WHERE LOADS ARE LESS THAN 5# PER FOOT &amp; NOT SUPPORTING INTERIOR PARTITIONS.</t>
        </is>
      </c>
    </row>
    <row r="1190" ht="87.75" customHeight="1" s="36">
      <c r="A1190" s="59" t="n"/>
      <c r="B1190" s="58" t="n">
        <v>6</v>
      </c>
      <c r="C1190" s="44" t="inlineStr">
        <is>
          <t>7/A09.33</t>
        </is>
      </c>
      <c r="D1190" s="59" t="inlineStr">
        <is>
          <t>Exclusion</t>
        </is>
      </c>
      <c r="E1190" s="46"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190" s="46" t="inlineStr">
        <is>
          <t>excluded.CORNER_BEAD, excluded.PERIMETER_ANGLE, excluded.SHADOW_MOLDING</t>
        </is>
      </c>
      <c r="G1190" s="46" t="inlineStr">
        <is>
          <t>7/A09.33 TYPICAL CEILING TRANSITION DETAIL -- the detail that governs a change of ceiling height -- was opened: it labels "CORNER BEAD - TYPICAL" twice, and both times on the VERTICAL face of a step between two ceilings at different heights.</t>
        </is>
      </c>
    </row>
    <row r="1191" ht="25.5" customHeight="1" s="36">
      <c r="A1191" s="59" t="n"/>
      <c r="B1191" s="58" t="n">
        <v>7</v>
      </c>
      <c r="C1191" s="44" t="inlineStr">
        <is>
          <t>10/A09.33</t>
        </is>
      </c>
      <c r="D1191" s="59" t="inlineStr">
        <is>
          <t>Exclusion</t>
        </is>
      </c>
      <c r="E1191" s="46" t="inlineStr">
        <is>
          <t>"CEILING DETAIL @ CSR SOFFIT" at 3"=1'-0". The CSR soffit: corner bead, FRTW blocking, ceiling trim and how the board closes.</t>
        </is>
      </c>
      <c r="F1191" s="46" t="inlineStr">
        <is>
          <t>excluded.CORNER_BEAD, excluded.PERIMETER_ANGLE</t>
        </is>
      </c>
      <c r="G1191" s="46" t="inlineStr">
        <is>
          <t>The contrast that confirms it: SOFFIT-80 DOES carry 30.85 LF of corner bead, because 10/A09.33 labels "CONT.</t>
        </is>
      </c>
    </row>
    <row r="1192" ht="33" customHeight="1" s="36">
      <c r="A1192" s="44" t="inlineStr">
        <is>
          <t>CEILING GWB CIELO-71</t>
        </is>
      </c>
      <c r="B1192" s="58" t="n">
        <v>1</v>
      </c>
      <c r="C1192" s="44" t="inlineStr">
        <is>
          <t>A04.01</t>
        </is>
      </c>
      <c r="D1192" s="59" t="inlineStr">
        <is>
          <t>Dimension</t>
        </is>
      </c>
      <c r="E1192" s="46" t="inlineStr">
        <is>
          <t>Reflected Ceiling Plan. Entry sheet for ceilings, soffits and canopy; on walls it gives the BOARD HEIGHT: each room ceiling tag with its printed A.F.F. dimension, plus the ceiling key notes.</t>
        </is>
      </c>
      <c r="F1192" s="46" t="inlineStr">
        <is>
          <t>acabado.source, excluded.ACCESS_PANEL, excluded.BLOCKING, excluded.CORNER_BEAD, excluded.INSULATION, excluded.PERIMETER_ANGLE, excluded.SEALANT, height_aff.source</t>
        </is>
      </c>
      <c r="G1192" s="46" t="inlineStr">
        <is>
          <t>A04.01 tag "GB / 10'-0"" dentro del cuarto</t>
        </is>
      </c>
    </row>
    <row r="1193" ht="25.5" customHeight="1" s="36">
      <c r="A1193" s="59" t="n"/>
      <c r="B1193" s="58" t="n">
        <v>2</v>
      </c>
      <c r="C1193" s="44" t="inlineStr">
        <is>
          <t>S2.20</t>
        </is>
      </c>
      <c r="D1193" s="59" t="inlineStr">
        <is>
          <t>Quantity</t>
        </is>
      </c>
      <c r="E1193" s="46" t="inlineStr">
        <is>
          <t>"ROOF FRAMING PLAN". Source of the STUD HEIGHT: every B.O.D. callout on the sheet and the slope of the bay between grids B and A (1/4" per foot).</t>
        </is>
      </c>
      <c r="F1193" s="46" t="inlineStr">
        <is>
          <t>HANGER_WIRE</t>
        </is>
      </c>
      <c r="G1193" s="46" t="inlineStr">
        <is>
          <t>deck 15.375 (S2.20, al norte del eje B, NO SLOPE) menos la height del cielo 10.000.</t>
        </is>
      </c>
    </row>
    <row r="1194" ht="25.5" customHeight="1" s="36">
      <c r="A1194" s="59" t="n"/>
      <c r="B1194" s="58" t="n">
        <v>3</v>
      </c>
      <c r="C1194" s="44" t="inlineStr">
        <is>
          <t>A12.01</t>
        </is>
      </c>
      <c r="D1194" s="59" t="inlineStr">
        <is>
          <t>Exclusion</t>
        </is>
      </c>
      <c r="E1194" s="46" t="inlineStr">
        <is>
          <t>Partition Types, the whole sheet. Cited as a sheet when the finding is the ABSENCE across the sheet (e.g. that no type labels a gypsum control joint).</t>
        </is>
      </c>
      <c r="F1194" s="46" t="inlineStr">
        <is>
          <t>excluded.SEALANT</t>
        </is>
      </c>
      <c r="G1194" s="46" t="inlineStr">
        <is>
          <t>Se reviso la hoja de Partition Types A12.01 (los detalles de wall si traen CONT.</t>
        </is>
      </c>
    </row>
    <row r="1195" ht="99" customHeight="1" s="36">
      <c r="A1195" s="59" t="n"/>
      <c r="B1195" s="58" t="n">
        <v>4</v>
      </c>
      <c r="C1195" s="44" t="inlineStr">
        <is>
          <t>3/A09.33</t>
        </is>
      </c>
      <c r="D1195" s="59" t="inlineStr">
        <is>
          <t>Exclusion</t>
        </is>
      </c>
      <c r="E1195" s="46"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195" s="46" t="inlineStr">
        <is>
          <t>excluded.BRACING_SISMICO</t>
        </is>
      </c>
      <c r="G1195" s="46" t="inlineStr">
        <is>
          <t>The NOTE on 3/A09.33 LIGHT FIXTURE INSTALLATION reads, textual: "LATERAL BRACING FOR SUSPENDED CEILING MUST BE PROVIDED PER UBC REQUIREMENTS WHERE LOADS ARE LESS THAN 5# PER FOOT &amp; NOT SUPPORTING INTERIOR PARTITIONS.</t>
        </is>
      </c>
    </row>
    <row r="1196" ht="87.75" customHeight="1" s="36">
      <c r="A1196" s="59" t="n"/>
      <c r="B1196" s="58" t="n">
        <v>5</v>
      </c>
      <c r="C1196" s="44" t="inlineStr">
        <is>
          <t>7/A09.33</t>
        </is>
      </c>
      <c r="D1196" s="59" t="inlineStr">
        <is>
          <t>Exclusion</t>
        </is>
      </c>
      <c r="E1196" s="46"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196" s="46" t="inlineStr">
        <is>
          <t>excluded.CORNER_BEAD, excluded.PERIMETER_ANGLE, excluded.SHADOW_MOLDING</t>
        </is>
      </c>
      <c r="G1196" s="46" t="inlineStr">
        <is>
          <t>7/A09.33 TYPICAL CEILING TRANSITION DETAIL -- the detail that governs a change of ceiling height -- was opened: it labels "CORNER BEAD - TYPICAL" twice, and both times on the VERTICAL face of a step between two ceilings at different heights.</t>
        </is>
      </c>
    </row>
    <row r="1197" ht="25.5" customHeight="1" s="36">
      <c r="A1197" s="59" t="n"/>
      <c r="B1197" s="58" t="n">
        <v>6</v>
      </c>
      <c r="C1197" s="44" t="inlineStr">
        <is>
          <t>10/A09.33</t>
        </is>
      </c>
      <c r="D1197" s="59" t="inlineStr">
        <is>
          <t>Exclusion</t>
        </is>
      </c>
      <c r="E1197" s="46" t="inlineStr">
        <is>
          <t>"CEILING DETAIL @ CSR SOFFIT" at 3"=1'-0". The CSR soffit: corner bead, FRTW blocking, ceiling trim and how the board closes.</t>
        </is>
      </c>
      <c r="F1197" s="46" t="inlineStr">
        <is>
          <t>excluded.CORNER_BEAD, excluded.PERIMETER_ANGLE</t>
        </is>
      </c>
      <c r="G1197" s="46" t="inlineStr">
        <is>
          <t>The contrast that confirms it: SOFFIT-80 DOES carry 30.85 LF of corner bead, because 10/A09.33 labels "CONT.</t>
        </is>
      </c>
    </row>
    <row r="1198" ht="33" customHeight="1" s="36">
      <c r="A1198" s="44" t="inlineStr">
        <is>
          <t>CEILING GWB CIELO-72</t>
        </is>
      </c>
      <c r="B1198" s="58" t="n">
        <v>1</v>
      </c>
      <c r="C1198" s="44" t="inlineStr">
        <is>
          <t>A04.01</t>
        </is>
      </c>
      <c r="D1198" s="59" t="inlineStr">
        <is>
          <t>Dimension</t>
        </is>
      </c>
      <c r="E1198" s="46" t="inlineStr">
        <is>
          <t>Reflected Ceiling Plan. Entry sheet for ceilings, soffits and canopy; on walls it gives the BOARD HEIGHT: each room ceiling tag with its printed A.F.F. dimension, plus the ceiling key notes.</t>
        </is>
      </c>
      <c r="F1198" s="46" t="inlineStr">
        <is>
          <t>BOARD, acabado.source, excluded.ACCESS_PANEL, excluded.BLOCKING, excluded.CORNER_BEAD, excluded.INSULATION, excluded.PERIMETER_ANGLE, excluded.SEALANT, height_aff.source</t>
        </is>
      </c>
      <c r="G1198" s="46" t="inlineStr">
        <is>
          <t>A04.01 tag "GB / 11'-0"" dentro de WAITING 104</t>
        </is>
      </c>
    </row>
    <row r="1199" ht="25.5" customHeight="1" s="36">
      <c r="A1199" s="59" t="n"/>
      <c r="B1199" s="58" t="n">
        <v>2</v>
      </c>
      <c r="C1199" s="44" t="inlineStr">
        <is>
          <t>S2.20</t>
        </is>
      </c>
      <c r="D1199" s="59" t="inlineStr">
        <is>
          <t>Quantity</t>
        </is>
      </c>
      <c r="E1199" s="46" t="inlineStr">
        <is>
          <t>"ROOF FRAMING PLAN". Source of the STUD HEIGHT: every B.O.D. callout on the sheet and the slope of the bay between grids B and A (1/4" per foot).</t>
        </is>
      </c>
      <c r="F1199" s="46" t="inlineStr">
        <is>
          <t>HANGER_WIRE</t>
        </is>
      </c>
      <c r="G1199" s="46" t="inlineStr">
        <is>
          <t>deck 15.375 (S2.20, al norte del eje B, NO SLOPE) menos la height del cielo 11.000.</t>
        </is>
      </c>
    </row>
    <row r="1200" ht="25.5" customHeight="1" s="36">
      <c r="A1200" s="59" t="n"/>
      <c r="B1200" s="58" t="n">
        <v>3</v>
      </c>
      <c r="C1200" s="44" t="inlineStr">
        <is>
          <t>A12.01</t>
        </is>
      </c>
      <c r="D1200" s="59" t="inlineStr">
        <is>
          <t>Exclusion</t>
        </is>
      </c>
      <c r="E1200" s="46" t="inlineStr">
        <is>
          <t>Partition Types, the whole sheet. Cited as a sheet when the finding is the ABSENCE across the sheet (e.g. that no type labels a gypsum control joint).</t>
        </is>
      </c>
      <c r="F1200" s="46" t="inlineStr">
        <is>
          <t>excluded.SEALANT</t>
        </is>
      </c>
      <c r="G1200" s="46" t="inlineStr">
        <is>
          <t>Se reviso la hoja de Partition Types A12.01 (los detalles de wall si traen CONT.</t>
        </is>
      </c>
    </row>
    <row r="1201" ht="99" customHeight="1" s="36">
      <c r="A1201" s="59" t="n"/>
      <c r="B1201" s="58" t="n">
        <v>4</v>
      </c>
      <c r="C1201" s="44" t="inlineStr">
        <is>
          <t>3/A09.33</t>
        </is>
      </c>
      <c r="D1201" s="59" t="inlineStr">
        <is>
          <t>Exclusion</t>
        </is>
      </c>
      <c r="E1201" s="46"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01" s="46" t="inlineStr">
        <is>
          <t>excluded.BRACING_SISMICO</t>
        </is>
      </c>
      <c r="G1201" s="46" t="inlineStr">
        <is>
          <t>The NOTE on 3/A09.33 LIGHT FIXTURE INSTALLATION reads, textual: "LATERAL BRACING FOR SUSPENDED CEILING MUST BE PROVIDED PER UBC REQUIREMENTS WHERE LOADS ARE LESS THAN 5# PER FOOT &amp; NOT SUPPORTING INTERIOR PARTITIONS.</t>
        </is>
      </c>
    </row>
    <row r="1202" ht="87.75" customHeight="1" s="36">
      <c r="A1202" s="59" t="n"/>
      <c r="B1202" s="58" t="n">
        <v>5</v>
      </c>
      <c r="C1202" s="44" t="inlineStr">
        <is>
          <t>7/A09.33</t>
        </is>
      </c>
      <c r="D1202" s="59" t="inlineStr">
        <is>
          <t>Exclusion</t>
        </is>
      </c>
      <c r="E1202" s="46"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02" s="46" t="inlineStr">
        <is>
          <t>excluded.CORNER_BEAD, excluded.PERIMETER_ANGLE, excluded.SHADOW_MOLDING</t>
        </is>
      </c>
      <c r="G1202" s="46" t="inlineStr">
        <is>
          <t>7/A09.33 TYPICAL CEILING TRANSITION DETAIL -- the detail that governs a change of ceiling height -- was opened: it labels "CORNER BEAD - TYPICAL" twice, and both times on the VERTICAL face of a step between two ceilings at different heights.</t>
        </is>
      </c>
    </row>
    <row r="1203" ht="25.5" customHeight="1" s="36">
      <c r="A1203" s="59" t="n"/>
      <c r="B1203" s="58" t="n">
        <v>6</v>
      </c>
      <c r="C1203" s="44" t="inlineStr">
        <is>
          <t>10/A09.33</t>
        </is>
      </c>
      <c r="D1203" s="59" t="inlineStr">
        <is>
          <t>Exclusion</t>
        </is>
      </c>
      <c r="E1203" s="46" t="inlineStr">
        <is>
          <t>"CEILING DETAIL @ CSR SOFFIT" at 3"=1'-0". The CSR soffit: corner bead, FRTW blocking, ceiling trim and how the board closes.</t>
        </is>
      </c>
      <c r="F1203" s="46" t="inlineStr">
        <is>
          <t>excluded.CORNER_BEAD, excluded.PERIMETER_ANGLE</t>
        </is>
      </c>
      <c r="G1203" s="46" t="inlineStr">
        <is>
          <t>The contrast that confirms it: SOFFIT-80 DOES carry 30.85 LF of corner bead, because 10/A09.33 labels "CONT.</t>
        </is>
      </c>
    </row>
    <row r="1204" ht="33" customHeight="1" s="36">
      <c r="A1204" s="44" t="inlineStr">
        <is>
          <t>CEILING GWB CIELO-73</t>
        </is>
      </c>
      <c r="B1204" s="58" t="n">
        <v>1</v>
      </c>
      <c r="C1204" s="44" t="inlineStr">
        <is>
          <t>A04.01</t>
        </is>
      </c>
      <c r="D1204" s="59" t="inlineStr">
        <is>
          <t>Dimension</t>
        </is>
      </c>
      <c r="E1204" s="46" t="inlineStr">
        <is>
          <t>Reflected Ceiling Plan. Entry sheet for ceilings, soffits and canopy; on walls it gives the BOARD HEIGHT: each room ceiling tag with its printed A.F.F. dimension, plus the ceiling key notes.</t>
        </is>
      </c>
      <c r="F1204" s="46" t="inlineStr">
        <is>
          <t>acabado.source, excluded.ACCESS_PANEL, excluded.BLOCKING, excluded.CORNER_BEAD, excluded.INSULATION, excluded.PERIMETER_ANGLE, excluded.SEALANT, height_aff.source</t>
        </is>
      </c>
      <c r="G1204" s="46" t="inlineStr">
        <is>
          <t>A04.01 tag "GB / 8'-6"" dentro del cuarto</t>
        </is>
      </c>
    </row>
    <row r="1205" ht="33" customHeight="1" s="36">
      <c r="A1205" s="59" t="n"/>
      <c r="B1205" s="58" t="n">
        <v>2</v>
      </c>
      <c r="C1205" s="44" t="inlineStr">
        <is>
          <t>A02.01</t>
        </is>
      </c>
      <c r="D1205" s="59" t="inlineStr">
        <is>
          <t>Quantity</t>
        </is>
      </c>
      <c r="E1205" s="46" t="inlineStr">
        <is>
          <t>Construction Plan. Entry sheet for partitions and openings: vector geometry of every wall face at 1/4"=1'-0", the leader of every partition tag, the Construction Plan Legend (new vs. existing) and the Construction Plan Notes.</t>
        </is>
      </c>
      <c r="F1205" s="46" t="inlineStr">
        <is>
          <t>BOARD</t>
        </is>
      </c>
      <c r="G1205" s="46" t="inlineStr">
        <is>
          <t>El quiebre esta dibujado en A02.01: H en y=1335.96 de x 1099.68 a 1133.88 y V en x=1099.68 de y 1335.96 a 1409.28</t>
        </is>
      </c>
    </row>
    <row r="1206" ht="25.5" customHeight="1" s="36">
      <c r="A1206" s="59" t="n"/>
      <c r="B1206" s="58" t="n">
        <v>3</v>
      </c>
      <c r="C1206" s="44" t="inlineStr">
        <is>
          <t>S2.20</t>
        </is>
      </c>
      <c r="D1206" s="59" t="inlineStr">
        <is>
          <t>Quantity</t>
        </is>
      </c>
      <c r="E1206" s="46" t="inlineStr">
        <is>
          <t>"ROOF FRAMING PLAN". Source of the STUD HEIGHT: every B.O.D. callout on the sheet and the slope of the bay between grids B and A (1/4" per foot).</t>
        </is>
      </c>
      <c r="F1206" s="46" t="inlineStr">
        <is>
          <t>HANGER_WIRE</t>
        </is>
      </c>
      <c r="G1206" s="46" t="inlineStr">
        <is>
          <t>deck 15.375 (S2.20, al norte del eje B, NO SLOPE) menos la height del cielo 8.500.</t>
        </is>
      </c>
    </row>
    <row r="1207" ht="25.5" customHeight="1" s="36">
      <c r="A1207" s="59" t="n"/>
      <c r="B1207" s="58" t="n">
        <v>4</v>
      </c>
      <c r="C1207" s="44" t="inlineStr">
        <is>
          <t>A12.01</t>
        </is>
      </c>
      <c r="D1207" s="59" t="inlineStr">
        <is>
          <t>Exclusion</t>
        </is>
      </c>
      <c r="E1207" s="46" t="inlineStr">
        <is>
          <t>Partition Types, the whole sheet. Cited as a sheet when the finding is the ABSENCE across the sheet (e.g. that no type labels a gypsum control joint).</t>
        </is>
      </c>
      <c r="F1207" s="46" t="inlineStr">
        <is>
          <t>excluded.SEALANT</t>
        </is>
      </c>
      <c r="G1207" s="46" t="inlineStr">
        <is>
          <t>Se reviso la hoja de Partition Types A12.01 (los detalles de wall si traen CONT.</t>
        </is>
      </c>
    </row>
    <row r="1208" ht="99" customHeight="1" s="36">
      <c r="A1208" s="59" t="n"/>
      <c r="B1208" s="58" t="n">
        <v>5</v>
      </c>
      <c r="C1208" s="44" t="inlineStr">
        <is>
          <t>3/A09.33</t>
        </is>
      </c>
      <c r="D1208" s="59" t="inlineStr">
        <is>
          <t>Exclusion</t>
        </is>
      </c>
      <c r="E1208" s="46"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08" s="46" t="inlineStr">
        <is>
          <t>excluded.BRACING_SISMICO</t>
        </is>
      </c>
      <c r="G1208" s="46" t="inlineStr">
        <is>
          <t>The NOTE on 3/A09.33 LIGHT FIXTURE INSTALLATION reads, textual: "LATERAL BRACING FOR SUSPENDED CEILING MUST BE PROVIDED PER UBC REQUIREMENTS WHERE LOADS ARE LESS THAN 5# PER FOOT &amp; NOT SUPPORTING INTERIOR PARTITIONS.</t>
        </is>
      </c>
    </row>
    <row r="1209" ht="87.75" customHeight="1" s="36">
      <c r="A1209" s="59" t="n"/>
      <c r="B1209" s="58" t="n">
        <v>6</v>
      </c>
      <c r="C1209" s="44" t="inlineStr">
        <is>
          <t>7/A09.33</t>
        </is>
      </c>
      <c r="D1209" s="59" t="inlineStr">
        <is>
          <t>Exclusion</t>
        </is>
      </c>
      <c r="E1209" s="46"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09" s="46" t="inlineStr">
        <is>
          <t>excluded.CORNER_BEAD, excluded.PERIMETER_ANGLE, excluded.SHADOW_MOLDING</t>
        </is>
      </c>
      <c r="G1209" s="46" t="inlineStr">
        <is>
          <t>7/A09.33 TYPICAL CEILING TRANSITION DETAIL -- the detail that governs a change of ceiling height -- was opened: it labels "CORNER BEAD - TYPICAL" twice, and both times on the VERTICAL face of a step between two ceilings at different heights.</t>
        </is>
      </c>
    </row>
    <row r="1210" ht="25.5" customHeight="1" s="36">
      <c r="A1210" s="59" t="n"/>
      <c r="B1210" s="58" t="n">
        <v>7</v>
      </c>
      <c r="C1210" s="44" t="inlineStr">
        <is>
          <t>10/A09.33</t>
        </is>
      </c>
      <c r="D1210" s="59" t="inlineStr">
        <is>
          <t>Exclusion</t>
        </is>
      </c>
      <c r="E1210" s="46" t="inlineStr">
        <is>
          <t>"CEILING DETAIL @ CSR SOFFIT" at 3"=1'-0". The CSR soffit: corner bead, FRTW blocking, ceiling trim and how the board closes.</t>
        </is>
      </c>
      <c r="F1210" s="46" t="inlineStr">
        <is>
          <t>excluded.CORNER_BEAD, excluded.PERIMETER_ANGLE</t>
        </is>
      </c>
      <c r="G1210" s="46" t="inlineStr">
        <is>
          <t>The contrast that confirms it: SOFFIT-80 DOES carry 30.85 LF of corner bead, because 10/A09.33 labels "CONT.</t>
        </is>
      </c>
    </row>
    <row r="1211" ht="33" customHeight="1" s="36">
      <c r="A1211" s="44" t="inlineStr">
        <is>
          <t>CEILING GWB CIELO-74</t>
        </is>
      </c>
      <c r="B1211" s="58" t="n">
        <v>1</v>
      </c>
      <c r="C1211" s="44" t="inlineStr">
        <is>
          <t>A04.01</t>
        </is>
      </c>
      <c r="D1211" s="59" t="inlineStr">
        <is>
          <t>Dimension</t>
        </is>
      </c>
      <c r="E1211" s="46" t="inlineStr">
        <is>
          <t>Reflected Ceiling Plan. Entry sheet for ceilings, soffits and canopy; on walls it gives the BOARD HEIGHT: each room ceiling tag with its printed A.F.F. dimension, plus the ceiling key notes.</t>
        </is>
      </c>
      <c r="F1211" s="46" t="inlineStr">
        <is>
          <t>acabado.source, excluded.ACCESS_PANEL, excluded.BLOCKING, excluded.CORNER_BEAD, excluded.INSULATION, excluded.PERIMETER_ANGLE, excluded.SEALANT, height_aff.source</t>
        </is>
      </c>
      <c r="G1211" s="46" t="inlineStr">
        <is>
          <t>A04.01 tag "GB / 8'-6"" dentro del cuarto</t>
        </is>
      </c>
    </row>
    <row r="1212" ht="25.5" customHeight="1" s="36">
      <c r="A1212" s="59" t="n"/>
      <c r="B1212" s="58" t="n">
        <v>2</v>
      </c>
      <c r="C1212" s="44" t="inlineStr">
        <is>
          <t>S2.20</t>
        </is>
      </c>
      <c r="D1212" s="59" t="inlineStr">
        <is>
          <t>Quantity</t>
        </is>
      </c>
      <c r="E1212" s="46" t="inlineStr">
        <is>
          <t>"ROOF FRAMING PLAN". Source of the STUD HEIGHT: every B.O.D. callout on the sheet and the slope of the bay between grids B and A (1/4" per foot).</t>
        </is>
      </c>
      <c r="F1212" s="46" t="inlineStr">
        <is>
          <t>HANGER_WIRE</t>
        </is>
      </c>
      <c r="G1212" s="46" t="inlineStr">
        <is>
          <t>deck 15.375 (S2.20, al norte del eje B, NO SLOPE) menos la height del cielo 8.500.</t>
        </is>
      </c>
    </row>
    <row r="1213" ht="25.5" customHeight="1" s="36">
      <c r="A1213" s="59" t="n"/>
      <c r="B1213" s="58" t="n">
        <v>3</v>
      </c>
      <c r="C1213" s="44" t="inlineStr">
        <is>
          <t>A12.01</t>
        </is>
      </c>
      <c r="D1213" s="59" t="inlineStr">
        <is>
          <t>Exclusion</t>
        </is>
      </c>
      <c r="E1213" s="46" t="inlineStr">
        <is>
          <t>Partition Types, the whole sheet. Cited as a sheet when the finding is the ABSENCE across the sheet (e.g. that no type labels a gypsum control joint).</t>
        </is>
      </c>
      <c r="F1213" s="46" t="inlineStr">
        <is>
          <t>excluded.SEALANT</t>
        </is>
      </c>
      <c r="G1213" s="46" t="inlineStr">
        <is>
          <t>Se reviso la hoja de Partition Types A12.01 (los detalles de wall si traen CONT.</t>
        </is>
      </c>
    </row>
    <row r="1214" ht="99" customHeight="1" s="36">
      <c r="A1214" s="59" t="n"/>
      <c r="B1214" s="58" t="n">
        <v>4</v>
      </c>
      <c r="C1214" s="44" t="inlineStr">
        <is>
          <t>3/A09.33</t>
        </is>
      </c>
      <c r="D1214" s="59" t="inlineStr">
        <is>
          <t>Exclusion</t>
        </is>
      </c>
      <c r="E1214" s="46"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14" s="46" t="inlineStr">
        <is>
          <t>excluded.BRACING_SISMICO</t>
        </is>
      </c>
      <c r="G1214" s="46" t="inlineStr">
        <is>
          <t>The NOTE on 3/A09.33 LIGHT FIXTURE INSTALLATION reads, textual: "LATERAL BRACING FOR SUSPENDED CEILING MUST BE PROVIDED PER UBC REQUIREMENTS WHERE LOADS ARE LESS THAN 5# PER FOOT &amp; NOT SUPPORTING INTERIOR PARTITIONS.</t>
        </is>
      </c>
    </row>
    <row r="1215" ht="87.75" customHeight="1" s="36">
      <c r="A1215" s="59" t="n"/>
      <c r="B1215" s="58" t="n">
        <v>5</v>
      </c>
      <c r="C1215" s="44" t="inlineStr">
        <is>
          <t>7/A09.33</t>
        </is>
      </c>
      <c r="D1215" s="59" t="inlineStr">
        <is>
          <t>Exclusion</t>
        </is>
      </c>
      <c r="E1215" s="46"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15" s="46" t="inlineStr">
        <is>
          <t>excluded.CORNER_BEAD, excluded.PERIMETER_ANGLE, excluded.SHADOW_MOLDING</t>
        </is>
      </c>
      <c r="G1215" s="46" t="inlineStr">
        <is>
          <t>7/A09.33 TYPICAL CEILING TRANSITION DETAIL -- the detail that governs a change of ceiling height -- was opened: it labels "CORNER BEAD - TYPICAL" twice, and both times on the VERTICAL face of a step between two ceilings at different heights.</t>
        </is>
      </c>
    </row>
    <row r="1216" ht="25.5" customHeight="1" s="36">
      <c r="A1216" s="59" t="n"/>
      <c r="B1216" s="58" t="n">
        <v>6</v>
      </c>
      <c r="C1216" s="44" t="inlineStr">
        <is>
          <t>10/A09.33</t>
        </is>
      </c>
      <c r="D1216" s="59" t="inlineStr">
        <is>
          <t>Exclusion</t>
        </is>
      </c>
      <c r="E1216" s="46" t="inlineStr">
        <is>
          <t>"CEILING DETAIL @ CSR SOFFIT" at 3"=1'-0". The CSR soffit: corner bead, FRTW blocking, ceiling trim and how the board closes.</t>
        </is>
      </c>
      <c r="F1216" s="46" t="inlineStr">
        <is>
          <t>excluded.CORNER_BEAD, excluded.PERIMETER_ANGLE</t>
        </is>
      </c>
      <c r="G1216" s="46" t="inlineStr">
        <is>
          <t>The contrast that confirms it: SOFFIT-80 DOES carry 30.85 LF of corner bead, because 10/A09.33 labels "CONT.</t>
        </is>
      </c>
    </row>
    <row r="1217" ht="33" customHeight="1" s="36">
      <c r="A1217" s="44" t="inlineStr">
        <is>
          <t>SOFFIT SOFFIT-80</t>
        </is>
      </c>
      <c r="B1217" s="58" t="n">
        <v>1</v>
      </c>
      <c r="C1217" s="44" t="inlineStr">
        <is>
          <t>A04.01</t>
        </is>
      </c>
      <c r="D1217" s="59" t="inlineStr">
        <is>
          <t>Dimension</t>
        </is>
      </c>
      <c r="E1217" s="46" t="inlineStr">
        <is>
          <t>Reflected Ceiling Plan. Entry sheet for ceilings, soffits and canopy; on walls it gives the BOARD HEIGHT: each room ceiling tag with its printed A.F.F. dimension, plus the ceiling key notes.</t>
        </is>
      </c>
      <c r="F1217" s="46" t="inlineStr">
        <is>
          <t>BOARD, excluded.INSULATION, height_aff.source</t>
        </is>
      </c>
      <c r="G1217" s="46" t="inlineStr">
        <is>
          <t>A04.01 tag "GB / 8'-0"" sobre la franja</t>
        </is>
      </c>
    </row>
    <row r="1218" ht="33" customHeight="1" s="36">
      <c r="A1218" s="59" t="n"/>
      <c r="B1218" s="58" t="n">
        <v>2</v>
      </c>
      <c r="C1218" s="44" t="inlineStr">
        <is>
          <t>9/A12.01</t>
        </is>
      </c>
      <c r="D1218" s="59" t="inlineStr">
        <is>
          <t>Exclusion</t>
        </is>
      </c>
      <c r="E1218" s="46" t="inlineStr">
        <is>
          <t>Bulkhead detail on A12.01. Bulkhead framing: stud, board and closure.</t>
        </is>
      </c>
      <c r="F1218" s="46" t="inlineStr">
        <is>
          <t>excluded.SHADOW_MOLDING</t>
        </is>
      </c>
      <c r="G1218" s="46" t="inlineStr">
        <is>
          <t>No dibuja shadow molding ni lo nombra, a diferencia de los detalles 8 y 9/A12.01 del bulkhead del office front, que SI lo traen rotulado -- ese contraste es lo que confirma que aqui no va.</t>
        </is>
      </c>
    </row>
    <row r="1219" ht="25.5" customHeight="1" s="36">
      <c r="A1219" s="59" t="n"/>
      <c r="B1219" s="58" t="n">
        <v>3</v>
      </c>
      <c r="C1219" s="44" t="inlineStr">
        <is>
          <t>10/A09.33</t>
        </is>
      </c>
      <c r="D1219" s="59" t="inlineStr">
        <is>
          <t>Quantity</t>
        </is>
      </c>
      <c r="E1219" s="46" t="inlineStr">
        <is>
          <t>"CEILING DETAIL @ CSR SOFFIT" at 3"=1'-0". The CSR soffit: corner bead, FRTW blocking, ceiling trim and how the board closes.</t>
        </is>
      </c>
      <c r="F1219" s="46" t="inlineStr">
        <is>
          <t>BLOCKING, CORNER_BEAD, TRIM_CEILING, detail, excluded.BOARD, excluded.SHADOW_MOLDING</t>
        </is>
      </c>
      <c r="G1219" s="46" t="inlineStr">
        <is>
          <t>10/A09.33 CEILING DETAIL @ CSR SOFFIT, 3" = 1'-0": label textual "PROVIDE FRTW BLOCKING FOR FUTURE".</t>
        </is>
      </c>
    </row>
    <row r="1220" ht="43.5" customHeight="1" s="36">
      <c r="A1220" s="44" t="inlineStr">
        <is>
          <t>CANOPY CANOPY-81</t>
        </is>
      </c>
      <c r="B1220" s="58" t="n">
        <v>1</v>
      </c>
      <c r="C1220" s="44" t="inlineStr">
        <is>
          <t>A04.01</t>
        </is>
      </c>
      <c r="D1220" s="59" t="inlineStr">
        <is>
          <t>Quantity</t>
        </is>
      </c>
      <c r="E1220" s="46" t="inlineStr">
        <is>
          <t>Reflected Ceiling Plan. Entry sheet for ceilings, soffits and canopy; on walls it gives the BOARD HEIGHT: each room ceiling tag with its printed A.F.F. dimension, plus the ceiling key notes.</t>
        </is>
      </c>
      <c r="F1220" s="46" t="inlineStr">
        <is>
          <t>STUD_3-5-8</t>
        </is>
      </c>
      <c r="G1220" s="46"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(face interior de la fascia) -&gt; 824.46…</t>
        </is>
      </c>
    </row>
    <row r="1221" ht="43.5" customHeight="1" s="36">
      <c r="A1221" s="59" t="n"/>
      <c r="B1221" s="58" t="n">
        <v>2</v>
      </c>
      <c r="C1221" s="44" t="inlineStr">
        <is>
          <t>A02.01</t>
        </is>
      </c>
      <c r="D1221" s="59" t="inlineStr">
        <is>
          <t>Quantity</t>
        </is>
      </c>
      <c r="E1221" s="46" t="inlineStr">
        <is>
          <t>Construction Plan. Entry sheet for partitions and openings: vector geometry of every wall face at 1/4"=1'-0", the leader of every partition tag, the Construction Plan Legend (new vs. existing) and the Construction Plan Notes.</t>
        </is>
      </c>
      <c r="F1221" s="46" t="inlineStr">
        <is>
          <t>STUD_3-5-8</t>
        </is>
      </c>
      <c r="G1221" s="46"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(face interior de la fascia) -&gt; 824.46…</t>
        </is>
      </c>
    </row>
    <row r="1222" ht="33" customHeight="1" s="36">
      <c r="A1222" s="59" t="n"/>
      <c r="B1222" s="58" t="n">
        <v>3</v>
      </c>
      <c r="C1222" s="44" t="inlineStr">
        <is>
          <t>D/A09.22</t>
        </is>
      </c>
      <c r="D1222" s="59" t="inlineStr">
        <is>
          <t>Note</t>
        </is>
      </c>
      <c r="E1222" s="46" t="inlineStr">
        <is>
          <t>Exterior wall section D. Layer build-up, board height and the blocking of that run.</t>
        </is>
      </c>
      <c r="F1222" s="46" t="inlineStr">
        <is>
          <t>detail</t>
        </is>
      </c>
      <c r="G1222" s="46" t="inlineStr">
        <is>
          <t>FLASHING W/ DRIP OVER ROOF MEMBRANE", "BACKER ROD &amp; SEALANT W/ WEEP" y "LINEAR LIGHT FIXTURE - SEE ELEC." ; 7/A09.26 SECTION DETAIL @ SIDE CANOPY, la burbuja que D/A09.22 y F/A09.22 ponen sobre la marquesina lateral.</t>
        </is>
      </c>
    </row>
    <row r="1223" ht="33" customHeight="1" s="36">
      <c r="A1223" s="59" t="n"/>
      <c r="B1223" s="58" t="n">
        <v>4</v>
      </c>
      <c r="C1223" s="44" t="inlineStr">
        <is>
          <t>F/A09.22</t>
        </is>
      </c>
      <c r="D1223" s="59" t="inlineStr">
        <is>
          <t>Note</t>
        </is>
      </c>
      <c r="E1223" s="46" t="inlineStr">
        <is>
          <t>Exterior wall section F. Board and stud height of that run.</t>
        </is>
      </c>
      <c r="F1223" s="46" t="inlineStr">
        <is>
          <t>detail</t>
        </is>
      </c>
      <c r="G1223" s="46" t="inlineStr">
        <is>
          <t>FLASHING W/ DRIP OVER ROOF MEMBRANE", "BACKER ROD &amp; SEALANT W/ WEEP" y "LINEAR LIGHT FIXTURE - SEE ELEC." ; 7/A09.26 SECTION DETAIL @ SIDE CANOPY, la burbuja que D/A09.22 y F/A09.22 ponen sobre la marquesina lateral.</t>
        </is>
      </c>
    </row>
    <row r="1224" ht="33" customHeight="1" s="36">
      <c r="A1224" s="59" t="n"/>
      <c r="B1224" s="58" t="n">
        <v>5</v>
      </c>
      <c r="C1224" s="44" t="inlineStr">
        <is>
          <t>A09.01</t>
        </is>
      </c>
      <c r="D1224" s="59" t="inlineStr">
        <is>
          <t>Exclusion</t>
        </is>
      </c>
      <c r="E1224" s="46" t="inlineStr">
        <is>
          <t>Exterior Elevations: "SOUTH ELEVATION" and "WEST ELEVATION" at 1/4"=1'-0". Extent of each exterior material and the material legend, verbatim "CJ CONTROL JOINT; PAINT TO MATCH STUCCO FINISH COLOR" - that joint is the STUCCO joint, not gypsum.</t>
        </is>
      </c>
      <c r="F1224" s="46" t="inlineStr">
        <is>
          <t>excluded.PLASTER_PT-4, excluded.VENT_SA-4</t>
        </is>
      </c>
      <c r="G1224" s="46" t="inlineStr">
        <is>
          <t>El "5/8" PORTLAND CEMENT PLASTER SYSTEM (PT-4) ON (2) LAYERS GRADE 'D' BUILDING PAPER" lo pone el plasterer, no el drywaller: es Div 09 24 00, sistema de estuco con su propia lath y su propio screed (los SA-2 y SA-4 de la leyenda de A09.01/A09.02).</t>
        </is>
      </c>
    </row>
    <row r="1225" ht="33" customHeight="1" s="36">
      <c r="A1225" s="59" t="n"/>
      <c r="B1225" s="58" t="n">
        <v>6</v>
      </c>
      <c r="C1225" s="44" t="inlineStr">
        <is>
          <t>A09.02</t>
        </is>
      </c>
      <c r="D1225" s="59" t="inlineStr">
        <is>
          <t>Exclusion</t>
        </is>
      </c>
      <c r="E1225" s="46" t="inlineStr">
        <is>
          <t>Exterior Elevations: "EAST ELEVATION" and "NORTH ELEVATION". Extent of the metal panel and of the AWB, both Div 07.</t>
        </is>
      </c>
      <c r="F1225" s="46" t="inlineStr">
        <is>
          <t>excluded.PANEL_Y_AWB_Div07</t>
        </is>
      </c>
      <c r="G1225" s="46" t="inlineStr">
        <is>
          <t>El hat channel viene CON el sistema de panel (la leyenda de A09.02 lo define como FORMED METAL WALL PANEL SYSTEM - PURE &amp; FREEFORM), o sea que lo monta el panel sub junto con su panel; no es framing nuestro.</t>
        </is>
      </c>
    </row>
    <row r="1226" ht="43.5" customHeight="1" s="36">
      <c r="A1226" s="59" t="n"/>
      <c r="B1226" s="58" t="n">
        <v>7</v>
      </c>
      <c r="C1226" s="44" t="inlineStr">
        <is>
          <t>A09.21</t>
        </is>
      </c>
      <c r="D1226" s="59" t="inlineStr">
        <is>
          <t>Note</t>
        </is>
      </c>
      <c r="E1226" s="46" t="inlineStr">
        <is>
          <t>Wall Sections, the sheet. Cited as a sheet when the finding is the set of sections.</t>
        </is>
      </c>
      <c r="F1226" s="46" t="inlineStr">
        <is>
          <t>detail</t>
        </is>
      </c>
      <c r="G1226"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27" ht="43.5" customHeight="1" s="36">
      <c r="A1227" s="59" t="n"/>
      <c r="B1227" s="58" t="n">
        <v>8</v>
      </c>
      <c r="C1227" s="44" t="inlineStr">
        <is>
          <t>3/A09.26</t>
        </is>
      </c>
      <c r="D1227" s="59" t="inlineStr">
        <is>
          <t>Note</t>
        </is>
      </c>
      <c r="E1227" s="46" t="inlineStr">
        <is>
          <t>"SECTION DETAIL @ ENTRANCE CANOPY". Build-up of the entrance canopy.</t>
        </is>
      </c>
      <c r="F1227" s="46" t="inlineStr">
        <is>
          <t>detail</t>
        </is>
      </c>
      <c r="G1227"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28" ht="33" customHeight="1" s="36">
      <c r="A1228" s="59" t="n"/>
      <c r="B1228" s="58" t="n">
        <v>9</v>
      </c>
      <c r="C1228" s="44" t="inlineStr">
        <is>
          <t>7/A09.26</t>
        </is>
      </c>
      <c r="D1228" s="59" t="inlineStr">
        <is>
          <t>Note</t>
        </is>
      </c>
      <c r="E1228" s="46" t="inlineStr">
        <is>
          <t>"SECTION DETAIL @ SIDE CANOPY". Build-up of the side canopy.</t>
        </is>
      </c>
      <c r="F1228" s="46" t="inlineStr">
        <is>
          <t>detail</t>
        </is>
      </c>
      <c r="G1228" s="46" t="inlineStr">
        <is>
          <t>FLASHING W/ DRIP OVER ROOF MEMBRANE", "BACKER ROD &amp; SEALANT W/ WEEP" y "LINEAR LIGHT FIXTURE - SEE ELEC." ; 7/A09.26 SECTION DETAIL @ SIDE CANOPY, la burbuja que D/A09.22 y F/A09.22 ponen sobre la marquesina lateral.</t>
        </is>
      </c>
    </row>
    <row r="1229" ht="33" customHeight="1" s="36">
      <c r="A1229" s="59" t="n"/>
      <c r="B1229" s="58" t="n">
        <v>10</v>
      </c>
      <c r="C1229" s="44" t="inlineStr">
        <is>
          <t>15/A09.27</t>
        </is>
      </c>
      <c r="D1229" s="59" t="inlineStr">
        <is>
          <t>Exclusion</t>
        </is>
      </c>
      <c r="E1229" s="46" t="inlineStr">
        <is>
          <t>Section detail on A09.27 of the drive-up canopy: build-up and datums of the soffit.</t>
        </is>
      </c>
      <c r="F1229" s="46" t="inlineStr">
        <is>
          <t>detail, excluded.INSULATION, excluded.PANEL_Y_AWB_Div07</t>
        </is>
      </c>
      <c r="G1229" s="46" t="inlineStr">
        <is>
          <t>Localizada y citada: 15/A09.27 rotula SPRAY FOAM INSULATION en la cavidad del wall del edificio y el sistema de sheathing lleva POLYISO pegado al plywood (ese si se cuantifica, porque viene pegado al board que instalamos).</t>
        </is>
      </c>
    </row>
    <row r="1230" ht="25.5" customHeight="1" s="36">
      <c r="A1230" s="59" t="n"/>
      <c r="B1230" s="58" t="n">
        <v>11</v>
      </c>
      <c r="C1230" s="44" t="inlineStr">
        <is>
          <t>16/A09.27</t>
        </is>
      </c>
      <c r="D1230" s="59" t="inlineStr">
        <is>
          <t>Quantity</t>
        </is>
      </c>
      <c r="E1230" s="46" t="inlineStr">
        <is>
          <t>Section detail on A09.27 of the drive-up canopy fascia: build-up, datums, and the structural steel and light fixture that are not ours.</t>
        </is>
      </c>
      <c r="F1230" s="46" t="inlineStr">
        <is>
          <t>SHEATHING_5-8_FRT_PLYWOOD, detail, excluded.ACERO_ESTRUCTURAL, excluded.BLOCKING, excluded.LUMINARIA</t>
        </is>
      </c>
      <c r="G1230" s="46" t="inlineStr">
        <is>
          <t>16/A09.27 SECTION DETAIL @ DRIVE UP CANOPY: label textual "5/8" EXT.</t>
        </is>
      </c>
    </row>
    <row r="1231" ht="25.5" customHeight="1" s="36">
      <c r="A1231" s="59" t="n"/>
      <c r="B1231" s="58" t="n">
        <v>12</v>
      </c>
      <c r="C1231" s="44" t="inlineStr">
        <is>
          <t>10/A09.33</t>
        </is>
      </c>
      <c r="D1231" s="59" t="inlineStr">
        <is>
          <t>Exclusion</t>
        </is>
      </c>
      <c r="E1231" s="46" t="inlineStr">
        <is>
          <t>"CEILING DETAIL @ CSR SOFFIT" at 3"=1'-0". The CSR soffit: corner bead, FRTW blocking, ceiling trim and how the board closes.</t>
        </is>
      </c>
      <c r="F1231" s="46" t="inlineStr">
        <is>
          <t>excluded.BLOCKING</t>
        </is>
      </c>
      <c r="G1231" s="46" t="inlineStr">
        <is>
          <t>Contraste: el detalle 10/A09.33 del soffit CSR SI rotula "PROVIDE FRTW BLOCKING FOR FUTURE", y por eso ahi si se cuantifico.</t>
        </is>
      </c>
    </row>
    <row r="1232" ht="33" customHeight="1" s="36">
      <c r="A1232" s="59" t="n"/>
      <c r="B1232" s="58" t="n">
        <v>13</v>
      </c>
      <c r="C1232" s="44" t="inlineStr">
        <is>
          <t>7/S5.20</t>
        </is>
      </c>
      <c r="D1232" s="59" t="inlineStr">
        <is>
          <t>Quantity</t>
        </is>
      </c>
      <c r="E1232" s="46" t="inlineStr">
        <is>
          <t>"METAL STUDS SCHEDULES". The profile: web, flange, lip, mils, gauge and the APPLICATION column with the spacing ("INTERIOR WALLS @ 16" O.C."), plus the SILL TRACK ANCHORAGE and the FASTENER SCHEDULE.</t>
        </is>
      </c>
      <c r="F1232" s="46" t="inlineStr">
        <is>
          <t>BRACING, FASTENER_TEKS, STUD_3-5-8, excluded.CLIPS</t>
        </is>
      </c>
      <c r="G1232" s="46" t="inlineStr">
        <is>
          <t>7/S5.20 nota F BRIDGING AND BRACING: "1 1/2" C.R.</t>
        </is>
      </c>
    </row>
    <row r="1233" ht="43.5" customHeight="1" s="36">
      <c r="A1233" s="44" t="inlineStr">
        <is>
          <t>CANOPY CANOPY-82</t>
        </is>
      </c>
      <c r="B1233" s="58" t="n">
        <v>1</v>
      </c>
      <c r="C1233" s="44" t="inlineStr">
        <is>
          <t>A04.01</t>
        </is>
      </c>
      <c r="D1233" s="59" t="inlineStr">
        <is>
          <t>Quantity</t>
        </is>
      </c>
      <c r="E1233" s="46" t="inlineStr">
        <is>
          <t>Reflected Ceiling Plan. Entry sheet for ceilings, soffits and canopy; on walls it gives the BOARD HEIGHT: each room ceiling tag with its printed A.F.F. dimension, plus the ceiling key notes.</t>
        </is>
      </c>
      <c r="F1233" s="46" t="inlineStr">
        <is>
          <t>STUD_3-5-8</t>
        </is>
      </c>
      <c r="G1233" s="46"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516.84 -&gt; 894.48 (face exterior del wall, eje…</t>
        </is>
      </c>
    </row>
    <row r="1234" ht="43.5" customHeight="1" s="36">
      <c r="A1234" s="59" t="n"/>
      <c r="B1234" s="58" t="n">
        <v>2</v>
      </c>
      <c r="C1234" s="44" t="inlineStr">
        <is>
          <t>A02.01</t>
        </is>
      </c>
      <c r="D1234" s="59" t="inlineStr">
        <is>
          <t>Quantity</t>
        </is>
      </c>
      <c r="E1234" s="46" t="inlineStr">
        <is>
          <t>Construction Plan. Entry sheet for partitions and openings: vector geometry of every wall face at 1/4"=1'-0", the leader of every partition tag, the Construction Plan Legend (new vs. existing) and the Construction Plan Notes.</t>
        </is>
      </c>
      <c r="F1234" s="46" t="inlineStr">
        <is>
          <t>STUD_3-5-8</t>
        </is>
      </c>
      <c r="G1234" s="46"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516.84 -&gt; 894.48 (face exterior del wall, eje…</t>
        </is>
      </c>
    </row>
    <row r="1235" ht="33" customHeight="1" s="36">
      <c r="A1235" s="59" t="n"/>
      <c r="B1235" s="58" t="n">
        <v>3</v>
      </c>
      <c r="C1235" s="44" t="inlineStr">
        <is>
          <t>D/A09.22</t>
        </is>
      </c>
      <c r="D1235" s="59" t="inlineStr">
        <is>
          <t>Note</t>
        </is>
      </c>
      <c r="E1235" s="46" t="inlineStr">
        <is>
          <t>Exterior wall section D. Layer build-up, board height and the blocking of that run.</t>
        </is>
      </c>
      <c r="F1235" s="46" t="inlineStr">
        <is>
          <t>detail</t>
        </is>
      </c>
      <c r="G1235" s="46" t="inlineStr">
        <is>
          <t>FLASHING W/ DRIP OVER ROOF MEMBRANE", "BACKER ROD &amp; SEALANT W/ WEEP" y "LINEAR LIGHT FIXTURE - SEE ELEC." ; 7/A09.26 SECTION DETAIL @ SIDE CANOPY, la burbuja que D/A09.22 y F/A09.22 ponen sobre la marquesina lateral.</t>
        </is>
      </c>
    </row>
    <row r="1236" ht="33" customHeight="1" s="36">
      <c r="A1236" s="59" t="n"/>
      <c r="B1236" s="58" t="n">
        <v>4</v>
      </c>
      <c r="C1236" s="44" t="inlineStr">
        <is>
          <t>F/A09.22</t>
        </is>
      </c>
      <c r="D1236" s="59" t="inlineStr">
        <is>
          <t>Note</t>
        </is>
      </c>
      <c r="E1236" s="46" t="inlineStr">
        <is>
          <t>Exterior wall section F. Board and stud height of that run.</t>
        </is>
      </c>
      <c r="F1236" s="46" t="inlineStr">
        <is>
          <t>detail</t>
        </is>
      </c>
      <c r="G1236" s="46" t="inlineStr">
        <is>
          <t>FLASHING W/ DRIP OVER ROOF MEMBRANE", "BACKER ROD &amp; SEALANT W/ WEEP" y "LINEAR LIGHT FIXTURE - SEE ELEC." ; 7/A09.26 SECTION DETAIL @ SIDE CANOPY, la burbuja que D/A09.22 y F/A09.22 ponen sobre la marquesina lateral.</t>
        </is>
      </c>
    </row>
    <row r="1237" ht="33" customHeight="1" s="36">
      <c r="A1237" s="59" t="n"/>
      <c r="B1237" s="58" t="n">
        <v>5</v>
      </c>
      <c r="C1237" s="44" t="inlineStr">
        <is>
          <t>A09.01</t>
        </is>
      </c>
      <c r="D1237" s="59" t="inlineStr">
        <is>
          <t>Exclusion</t>
        </is>
      </c>
      <c r="E1237" s="46" t="inlineStr">
        <is>
          <t>Exterior Elevations: "SOUTH ELEVATION" and "WEST ELEVATION" at 1/4"=1'-0". Extent of each exterior material and the material legend, verbatim "CJ CONTROL JOINT; PAINT TO MATCH STUCCO FINISH COLOR" - that joint is the STUCCO joint, not gypsum.</t>
        </is>
      </c>
      <c r="F1237" s="46" t="inlineStr">
        <is>
          <t>excluded.PLASTER_PT-4, excluded.VENT_SA-4</t>
        </is>
      </c>
      <c r="G1237" s="46" t="inlineStr">
        <is>
          <t>El "5/8" PORTLAND CEMENT PLASTER SYSTEM (PT-4) ON (2) LAYERS GRADE 'D' BUILDING PAPER" lo pone el plasterer, no el drywaller: es Div 09 24 00, sistema de estuco con su propia lath y su propio screed (los SA-2 y SA-4 de la leyenda de A09.01/A09.02).</t>
        </is>
      </c>
    </row>
    <row r="1238" ht="33" customHeight="1" s="36">
      <c r="A1238" s="59" t="n"/>
      <c r="B1238" s="58" t="n">
        <v>6</v>
      </c>
      <c r="C1238" s="44" t="inlineStr">
        <is>
          <t>A09.02</t>
        </is>
      </c>
      <c r="D1238" s="59" t="inlineStr">
        <is>
          <t>Exclusion</t>
        </is>
      </c>
      <c r="E1238" s="46" t="inlineStr">
        <is>
          <t>Exterior Elevations: "EAST ELEVATION" and "NORTH ELEVATION". Extent of the metal panel and of the AWB, both Div 07.</t>
        </is>
      </c>
      <c r="F1238" s="46" t="inlineStr">
        <is>
          <t>excluded.PANEL_Y_AWB_Div07</t>
        </is>
      </c>
      <c r="G1238" s="46" t="inlineStr">
        <is>
          <t>El hat channel viene CON el sistema de panel (la leyenda de A09.02 lo define como FORMED METAL WALL PANEL SYSTEM - PURE &amp; FREEFORM), o sea que lo monta el panel sub junto con su panel; no es framing nuestro.</t>
        </is>
      </c>
    </row>
    <row r="1239" ht="43.5" customHeight="1" s="36">
      <c r="A1239" s="59" t="n"/>
      <c r="B1239" s="58" t="n">
        <v>7</v>
      </c>
      <c r="C1239" s="44" t="inlineStr">
        <is>
          <t>A09.21</t>
        </is>
      </c>
      <c r="D1239" s="59" t="inlineStr">
        <is>
          <t>Note</t>
        </is>
      </c>
      <c r="E1239" s="46" t="inlineStr">
        <is>
          <t>Wall Sections, the sheet. Cited as a sheet when the finding is the set of sections.</t>
        </is>
      </c>
      <c r="F1239" s="46" t="inlineStr">
        <is>
          <t>detail</t>
        </is>
      </c>
      <c r="G1239"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40" ht="43.5" customHeight="1" s="36">
      <c r="A1240" s="59" t="n"/>
      <c r="B1240" s="58" t="n">
        <v>8</v>
      </c>
      <c r="C1240" s="44" t="inlineStr">
        <is>
          <t>3/A09.26</t>
        </is>
      </c>
      <c r="D1240" s="59" t="inlineStr">
        <is>
          <t>Note</t>
        </is>
      </c>
      <c r="E1240" s="46" t="inlineStr">
        <is>
          <t>"SECTION DETAIL @ ENTRANCE CANOPY". Build-up of the entrance canopy.</t>
        </is>
      </c>
      <c r="F1240" s="46" t="inlineStr">
        <is>
          <t>detail</t>
        </is>
      </c>
      <c r="G1240"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41" ht="33" customHeight="1" s="36">
      <c r="A1241" s="59" t="n"/>
      <c r="B1241" s="58" t="n">
        <v>9</v>
      </c>
      <c r="C1241" s="44" t="inlineStr">
        <is>
          <t>7/A09.26</t>
        </is>
      </c>
      <c r="D1241" s="59" t="inlineStr">
        <is>
          <t>Note</t>
        </is>
      </c>
      <c r="E1241" s="46" t="inlineStr">
        <is>
          <t>"SECTION DETAIL @ SIDE CANOPY". Build-up of the side canopy.</t>
        </is>
      </c>
      <c r="F1241" s="46" t="inlineStr">
        <is>
          <t>detail</t>
        </is>
      </c>
      <c r="G1241" s="46" t="inlineStr">
        <is>
          <t>FLASHING W/ DRIP OVER ROOF MEMBRANE", "BACKER ROD &amp; SEALANT W/ WEEP" y "LINEAR LIGHT FIXTURE - SEE ELEC." ; 7/A09.26 SECTION DETAIL @ SIDE CANOPY, la burbuja que D/A09.22 y F/A09.22 ponen sobre la marquesina lateral.</t>
        </is>
      </c>
    </row>
    <row r="1242" ht="33" customHeight="1" s="36">
      <c r="A1242" s="59" t="n"/>
      <c r="B1242" s="58" t="n">
        <v>10</v>
      </c>
      <c r="C1242" s="44" t="inlineStr">
        <is>
          <t>15/A09.27</t>
        </is>
      </c>
      <c r="D1242" s="59" t="inlineStr">
        <is>
          <t>Exclusion</t>
        </is>
      </c>
      <c r="E1242" s="46" t="inlineStr">
        <is>
          <t>Section detail on A09.27 of the drive-up canopy: build-up and datums of the soffit.</t>
        </is>
      </c>
      <c r="F1242" s="46" t="inlineStr">
        <is>
          <t>detail, excluded.INSULATION, excluded.PANEL_Y_AWB_Div07</t>
        </is>
      </c>
      <c r="G1242" s="46" t="inlineStr">
        <is>
          <t>Localizada y citada: 15/A09.27 rotula SPRAY FOAM INSULATION en la cavidad del wall del edificio y el sistema de sheathing lleva POLYISO pegado al plywood (ese si se cuantifica, porque viene pegado al board que instalamos).</t>
        </is>
      </c>
    </row>
    <row r="1243" ht="25.5" customHeight="1" s="36">
      <c r="A1243" s="59" t="n"/>
      <c r="B1243" s="58" t="n">
        <v>11</v>
      </c>
      <c r="C1243" s="44" t="inlineStr">
        <is>
          <t>16/A09.27</t>
        </is>
      </c>
      <c r="D1243" s="59" t="inlineStr">
        <is>
          <t>Quantity</t>
        </is>
      </c>
      <c r="E1243" s="46" t="inlineStr">
        <is>
          <t>Section detail on A09.27 of the drive-up canopy fascia: build-up, datums, and the structural steel and light fixture that are not ours.</t>
        </is>
      </c>
      <c r="F1243" s="46" t="inlineStr">
        <is>
          <t>SHEATHING_5-8_FRT_PLYWOOD, detail, excluded.ACERO_ESTRUCTURAL, excluded.BLOCKING, excluded.LUMINARIA</t>
        </is>
      </c>
      <c r="G1243" s="46" t="inlineStr">
        <is>
          <t>16/A09.27 SECTION DETAIL @ DRIVE UP CANOPY: label textual "5/8" EXT.</t>
        </is>
      </c>
    </row>
    <row r="1244" ht="25.5" customHeight="1" s="36">
      <c r="A1244" s="59" t="n"/>
      <c r="B1244" s="58" t="n">
        <v>12</v>
      </c>
      <c r="C1244" s="44" t="inlineStr">
        <is>
          <t>10/A09.33</t>
        </is>
      </c>
      <c r="D1244" s="59" t="inlineStr">
        <is>
          <t>Exclusion</t>
        </is>
      </c>
      <c r="E1244" s="46" t="inlineStr">
        <is>
          <t>"CEILING DETAIL @ CSR SOFFIT" at 3"=1'-0". The CSR soffit: corner bead, FRTW blocking, ceiling trim and how the board closes.</t>
        </is>
      </c>
      <c r="F1244" s="46" t="inlineStr">
        <is>
          <t>excluded.BLOCKING</t>
        </is>
      </c>
      <c r="G1244" s="46" t="inlineStr">
        <is>
          <t>Contraste: el detalle 10/A09.33 del soffit CSR SI rotula "PROVIDE FRTW BLOCKING FOR FUTURE", y por eso ahi si se cuantifico.</t>
        </is>
      </c>
    </row>
    <row r="1245" ht="33" customHeight="1" s="36">
      <c r="A1245" s="59" t="n"/>
      <c r="B1245" s="58" t="n">
        <v>13</v>
      </c>
      <c r="C1245" s="44" t="inlineStr">
        <is>
          <t>7/S5.20</t>
        </is>
      </c>
      <c r="D1245" s="59" t="inlineStr">
        <is>
          <t>Quantity</t>
        </is>
      </c>
      <c r="E1245" s="46" t="inlineStr">
        <is>
          <t>"METAL STUDS SCHEDULES". The profile: web, flange, lip, mils, gauge and the APPLICATION column with the spacing ("INTERIOR WALLS @ 16" O.C."), plus the SILL TRACK ANCHORAGE and the FASTENER SCHEDULE.</t>
        </is>
      </c>
      <c r="F1245" s="46" t="inlineStr">
        <is>
          <t>BRACING, FASTENER_TEKS, STUD_3-5-8, excluded.CLIPS</t>
        </is>
      </c>
      <c r="G1245" s="46" t="inlineStr">
        <is>
          <t>7/S5.20 nota F BRIDGING AND BRACING: "1 1/2" C.R.</t>
        </is>
      </c>
    </row>
    <row r="1246" ht="43.5" customHeight="1" s="36">
      <c r="A1246" s="44" t="inlineStr">
        <is>
          <t>CANOPY CANOPY-83</t>
        </is>
      </c>
      <c r="B1246" s="58" t="n">
        <v>1</v>
      </c>
      <c r="C1246" s="44" t="inlineStr">
        <is>
          <t>A04.01</t>
        </is>
      </c>
      <c r="D1246" s="59" t="inlineStr">
        <is>
          <t>Quantity</t>
        </is>
      </c>
      <c r="E1246" s="46" t="inlineStr">
        <is>
          <t>Reflected Ceiling Plan. Entry sheet for ceilings, soffits and canopy; on walls it gives the BOARD HEIGHT: each room ceiling tag with its printed A.F.F. dimension, plus the ceiling key notes.</t>
        </is>
      </c>
      <c r="F1246" s="46" t="inlineStr">
        <is>
          <t>STUD_3-5-8</t>
        </is>
      </c>
      <c r="G1246" s="46" t="inlineStr">
        <is>
          <t>Geometry taken from A04.01 (verified 7-oct-2026: the two canopy fascia lines, x 516.84 and x 1904.88, exist in the vector geometry of A04.01 and NOT in that of A02.01; both sheets share the same coordinate space, so the LINE is what identifies the sheet, not the number): y 247.92 -&gt; 320.04 (face exterior del wall nort…</t>
        </is>
      </c>
    </row>
    <row r="1247" ht="43.5" customHeight="1" s="36">
      <c r="A1247" s="59" t="n"/>
      <c r="B1247" s="58" t="n">
        <v>2</v>
      </c>
      <c r="C1247" s="44" t="inlineStr">
        <is>
          <t>A02.01</t>
        </is>
      </c>
      <c r="D1247" s="59" t="inlineStr">
        <is>
          <t>Quantity</t>
        </is>
      </c>
      <c r="E1247" s="46" t="inlineStr">
        <is>
          <t>Construction Plan. Entry sheet for partitions and openings: vector geometry of every wall face at 1/4"=1'-0", the leader of every partition tag, the Construction Plan Legend (new vs. existing) and the Construction Plan Notes.</t>
        </is>
      </c>
      <c r="F1247" s="46" t="inlineStr">
        <is>
          <t>STUD_3-5-8</t>
        </is>
      </c>
      <c r="G1247" s="46" t="inlineStr">
        <is>
          <t>Geometry taken from A04.01 (verified 7-oct-2026: the two canopy fascia lines, x 516.84 and x 1904.88, exist in the vector geometry of A04.01 and NOT in that of A02.01; both sheets share the same coordinate space, so the LINE is what identifies the sheet, not the number): y 247.92 -&gt; 320.04 (face exterior del wall nort…</t>
        </is>
      </c>
    </row>
    <row r="1248" ht="33" customHeight="1" s="36">
      <c r="A1248" s="59" t="n"/>
      <c r="B1248" s="58" t="n">
        <v>3</v>
      </c>
      <c r="C1248" s="44" t="inlineStr">
        <is>
          <t>D/A09.22</t>
        </is>
      </c>
      <c r="D1248" s="59" t="inlineStr">
        <is>
          <t>Note</t>
        </is>
      </c>
      <c r="E1248" s="46" t="inlineStr">
        <is>
          <t>Exterior wall section D. Layer build-up, board height and the blocking of that run.</t>
        </is>
      </c>
      <c r="F1248" s="46" t="inlineStr">
        <is>
          <t>detail</t>
        </is>
      </c>
      <c r="G1248" s="46" t="inlineStr">
        <is>
          <t>FLASHING W/ DRIP OVER ROOF MEMBRANE", "BACKER ROD &amp; SEALANT W/ WEEP" y "LINEAR LIGHT FIXTURE - SEE ELEC." ; 7/A09.26 SECTION DETAIL @ SIDE CANOPY, la burbuja que D/A09.22 y F/A09.22 ponen sobre la marquesina lateral.</t>
        </is>
      </c>
    </row>
    <row r="1249" ht="33" customHeight="1" s="36">
      <c r="A1249" s="59" t="n"/>
      <c r="B1249" s="58" t="n">
        <v>4</v>
      </c>
      <c r="C1249" s="44" t="inlineStr">
        <is>
          <t>F/A09.22</t>
        </is>
      </c>
      <c r="D1249" s="59" t="inlineStr">
        <is>
          <t>Note</t>
        </is>
      </c>
      <c r="E1249" s="46" t="inlineStr">
        <is>
          <t>Exterior wall section F. Board and stud height of that run.</t>
        </is>
      </c>
      <c r="F1249" s="46" t="inlineStr">
        <is>
          <t>detail</t>
        </is>
      </c>
      <c r="G1249" s="46" t="inlineStr">
        <is>
          <t>FLASHING W/ DRIP OVER ROOF MEMBRANE", "BACKER ROD &amp; SEALANT W/ WEEP" y "LINEAR LIGHT FIXTURE - SEE ELEC." ; 7/A09.26 SECTION DETAIL @ SIDE CANOPY, la burbuja que D/A09.22 y F/A09.22 ponen sobre la marquesina lateral.</t>
        </is>
      </c>
    </row>
    <row r="1250" ht="33" customHeight="1" s="36">
      <c r="A1250" s="59" t="n"/>
      <c r="B1250" s="58" t="n">
        <v>5</v>
      </c>
      <c r="C1250" s="44" t="inlineStr">
        <is>
          <t>A09.01</t>
        </is>
      </c>
      <c r="D1250" s="59" t="inlineStr">
        <is>
          <t>Exclusion</t>
        </is>
      </c>
      <c r="E1250" s="46" t="inlineStr">
        <is>
          <t>Exterior Elevations: "SOUTH ELEVATION" and "WEST ELEVATION" at 1/4"=1'-0". Extent of each exterior material and the material legend, verbatim "CJ CONTROL JOINT; PAINT TO MATCH STUCCO FINISH COLOR" - that joint is the STUCCO joint, not gypsum.</t>
        </is>
      </c>
      <c r="F1250" s="46" t="inlineStr">
        <is>
          <t>excluded.PLASTER_PT-4, excluded.VENT_SA-4</t>
        </is>
      </c>
      <c r="G1250" s="46" t="inlineStr">
        <is>
          <t>El "5/8" PORTLAND CEMENT PLASTER SYSTEM (PT-4) ON (2) LAYERS GRADE 'D' BUILDING PAPER" lo pone el plasterer, no el drywaller: es Div 09 24 00, sistema de estuco con su propia lath y su propio screed (los SA-2 y SA-4 de la leyenda de A09.01/A09.02).</t>
        </is>
      </c>
    </row>
    <row r="1251" ht="33" customHeight="1" s="36">
      <c r="A1251" s="59" t="n"/>
      <c r="B1251" s="58" t="n">
        <v>6</v>
      </c>
      <c r="C1251" s="44" t="inlineStr">
        <is>
          <t>A09.02</t>
        </is>
      </c>
      <c r="D1251" s="59" t="inlineStr">
        <is>
          <t>Exclusion</t>
        </is>
      </c>
      <c r="E1251" s="46" t="inlineStr">
        <is>
          <t>Exterior Elevations: "EAST ELEVATION" and "NORTH ELEVATION". Extent of the metal panel and of the AWB, both Div 07.</t>
        </is>
      </c>
      <c r="F1251" s="46" t="inlineStr">
        <is>
          <t>excluded.PANEL_Y_AWB_Div07</t>
        </is>
      </c>
      <c r="G1251" s="46" t="inlineStr">
        <is>
          <t>El hat channel viene CON el sistema de panel (la leyenda de A09.02 lo define como FORMED METAL WALL PANEL SYSTEM - PURE &amp; FREEFORM), o sea que lo monta el panel sub junto con su panel; no es framing nuestro.</t>
        </is>
      </c>
    </row>
    <row r="1252" ht="43.5" customHeight="1" s="36">
      <c r="A1252" s="59" t="n"/>
      <c r="B1252" s="58" t="n">
        <v>7</v>
      </c>
      <c r="C1252" s="44" t="inlineStr">
        <is>
          <t>A09.21</t>
        </is>
      </c>
      <c r="D1252" s="59" t="inlineStr">
        <is>
          <t>Note</t>
        </is>
      </c>
      <c r="E1252" s="46" t="inlineStr">
        <is>
          <t>Wall Sections, the sheet. Cited as a sheet when the finding is the set of sections.</t>
        </is>
      </c>
      <c r="F1252" s="46" t="inlineStr">
        <is>
          <t>detail</t>
        </is>
      </c>
      <c r="G1252"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53" ht="43.5" customHeight="1" s="36">
      <c r="A1253" s="59" t="n"/>
      <c r="B1253" s="58" t="n">
        <v>8</v>
      </c>
      <c r="C1253" s="44" t="inlineStr">
        <is>
          <t>3/A09.26</t>
        </is>
      </c>
      <c r="D1253" s="59" t="inlineStr">
        <is>
          <t>Note</t>
        </is>
      </c>
      <c r="E1253" s="46" t="inlineStr">
        <is>
          <t>"SECTION DETAIL @ ENTRANCE CANOPY". Build-up of the entrance canopy.</t>
        </is>
      </c>
      <c r="F1253" s="46" t="inlineStr">
        <is>
          <t>detail</t>
        </is>
      </c>
      <c r="G1253"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54" ht="33" customHeight="1" s="36">
      <c r="A1254" s="59" t="n"/>
      <c r="B1254" s="58" t="n">
        <v>9</v>
      </c>
      <c r="C1254" s="44" t="inlineStr">
        <is>
          <t>7/A09.26</t>
        </is>
      </c>
      <c r="D1254" s="59" t="inlineStr">
        <is>
          <t>Note</t>
        </is>
      </c>
      <c r="E1254" s="46" t="inlineStr">
        <is>
          <t>"SECTION DETAIL @ SIDE CANOPY". Build-up of the side canopy.</t>
        </is>
      </c>
      <c r="F1254" s="46" t="inlineStr">
        <is>
          <t>detail</t>
        </is>
      </c>
      <c r="G1254" s="46" t="inlineStr">
        <is>
          <t>FLASHING W/ DRIP OVER ROOF MEMBRANE", "BACKER ROD &amp; SEALANT W/ WEEP" y "LINEAR LIGHT FIXTURE - SEE ELEC." ; 7/A09.26 SECTION DETAIL @ SIDE CANOPY, la burbuja que D/A09.22 y F/A09.22 ponen sobre la marquesina lateral.</t>
        </is>
      </c>
    </row>
    <row r="1255" ht="33" customHeight="1" s="36">
      <c r="A1255" s="59" t="n"/>
      <c r="B1255" s="58" t="n">
        <v>10</v>
      </c>
      <c r="C1255" s="44" t="inlineStr">
        <is>
          <t>15/A09.27</t>
        </is>
      </c>
      <c r="D1255" s="59" t="inlineStr">
        <is>
          <t>Exclusion</t>
        </is>
      </c>
      <c r="E1255" s="46" t="inlineStr">
        <is>
          <t>Section detail on A09.27 of the drive-up canopy: build-up and datums of the soffit.</t>
        </is>
      </c>
      <c r="F1255" s="46" t="inlineStr">
        <is>
          <t>detail, excluded.INSULATION, excluded.PANEL_Y_AWB_Div07</t>
        </is>
      </c>
      <c r="G1255" s="46" t="inlineStr">
        <is>
          <t>Localizada y citada: 15/A09.27 rotula SPRAY FOAM INSULATION en la cavidad del wall del edificio y el sistema de sheathing lleva POLYISO pegado al plywood (ese si se cuantifica, porque viene pegado al board que instalamos).</t>
        </is>
      </c>
    </row>
    <row r="1256" ht="25.5" customHeight="1" s="36">
      <c r="A1256" s="59" t="n"/>
      <c r="B1256" s="58" t="n">
        <v>11</v>
      </c>
      <c r="C1256" s="44" t="inlineStr">
        <is>
          <t>16/A09.27</t>
        </is>
      </c>
      <c r="D1256" s="59" t="inlineStr">
        <is>
          <t>Quantity</t>
        </is>
      </c>
      <c r="E1256" s="46" t="inlineStr">
        <is>
          <t>Section detail on A09.27 of the drive-up canopy fascia: build-up, datums, and the structural steel and light fixture that are not ours.</t>
        </is>
      </c>
      <c r="F1256" s="46" t="inlineStr">
        <is>
          <t>SHEATHING_5-8_FRT_PLYWOOD, detail, excluded.ACERO_ESTRUCTURAL, excluded.BLOCKING, excluded.LUMINARIA</t>
        </is>
      </c>
      <c r="G1256" s="46" t="inlineStr">
        <is>
          <t>16/A09.27 SECTION DETAIL @ DRIVE UP CANOPY: label textual "5/8" EXT.</t>
        </is>
      </c>
    </row>
    <row r="1257" ht="25.5" customHeight="1" s="36">
      <c r="A1257" s="59" t="n"/>
      <c r="B1257" s="58" t="n">
        <v>12</v>
      </c>
      <c r="C1257" s="44" t="inlineStr">
        <is>
          <t>10/A09.33</t>
        </is>
      </c>
      <c r="D1257" s="59" t="inlineStr">
        <is>
          <t>Exclusion</t>
        </is>
      </c>
      <c r="E1257" s="46" t="inlineStr">
        <is>
          <t>"CEILING DETAIL @ CSR SOFFIT" at 3"=1'-0". The CSR soffit: corner bead, FRTW blocking, ceiling trim and how the board closes.</t>
        </is>
      </c>
      <c r="F1257" s="46" t="inlineStr">
        <is>
          <t>excluded.BLOCKING</t>
        </is>
      </c>
      <c r="G1257" s="46" t="inlineStr">
        <is>
          <t>Contraste: el detalle 10/A09.33 del soffit CSR SI rotula "PROVIDE FRTW BLOCKING FOR FUTURE", y por eso ahi si se cuantifico.</t>
        </is>
      </c>
    </row>
    <row r="1258" ht="33" customHeight="1" s="36">
      <c r="A1258" s="59" t="n"/>
      <c r="B1258" s="58" t="n">
        <v>13</v>
      </c>
      <c r="C1258" s="44" t="inlineStr">
        <is>
          <t>7/S5.20</t>
        </is>
      </c>
      <c r="D1258" s="59" t="inlineStr">
        <is>
          <t>Quantity</t>
        </is>
      </c>
      <c r="E1258" s="46" t="inlineStr">
        <is>
          <t>"METAL STUDS SCHEDULES". The profile: web, flange, lip, mils, gauge and the APPLICATION column with the spacing ("INTERIOR WALLS @ 16" O.C."), plus the SILL TRACK ANCHORAGE and the FASTENER SCHEDULE.</t>
        </is>
      </c>
      <c r="F1258" s="46" t="inlineStr">
        <is>
          <t>BRACING, FASTENER_TEKS, STUD_3-5-8, excluded.CLIPS</t>
        </is>
      </c>
      <c r="G1258" s="46" t="inlineStr">
        <is>
          <t>7/S5.20 nota F BRIDGING AND BRACING: "1 1/2" C.R.</t>
        </is>
      </c>
    </row>
    <row r="1259" ht="43.5" customHeight="1" s="36">
      <c r="A1259" s="44" t="inlineStr">
        <is>
          <t>CANOPY CANOPY-84</t>
        </is>
      </c>
      <c r="B1259" s="58" t="n">
        <v>1</v>
      </c>
      <c r="C1259" s="44" t="inlineStr">
        <is>
          <t>A04.01</t>
        </is>
      </c>
      <c r="D1259" s="59" t="inlineStr">
        <is>
          <t>Quantity</t>
        </is>
      </c>
      <c r="E1259" s="46" t="inlineStr">
        <is>
          <t>Reflected Ceiling Plan. Entry sheet for ceilings, soffits and canopy; on walls it gives the BOARD HEIGHT: each room ceiling tag with its printed A.F.F. dimension, plus the ceiling key notes.</t>
        </is>
      </c>
      <c r="F1259" s="46" t="inlineStr">
        <is>
          <t>STUD_3-5-8</t>
        </is>
      </c>
      <c r="G1259" s="46" t="inlineStr">
        <is>
          <t>Geometry taken from A04.01 (verified 7-oct-2026: the two canopy fascia lines, x 516.84 and x 1904.88, exist in the vector geometry of A04.01 and NOT in that of A02.01; both sheets share the same coordinate space, so the LINE is what identifies the sheet, not the number): x 1860.48 (face exterior del wall este, eje 8 x…</t>
        </is>
      </c>
    </row>
    <row r="1260" ht="43.5" customHeight="1" s="36">
      <c r="A1260" s="59" t="n"/>
      <c r="B1260" s="58" t="n">
        <v>2</v>
      </c>
      <c r="C1260" s="44" t="inlineStr">
        <is>
          <t>A02.01</t>
        </is>
      </c>
      <c r="D1260" s="59" t="inlineStr">
        <is>
          <t>Quantity</t>
        </is>
      </c>
      <c r="E1260" s="46" t="inlineStr">
        <is>
          <t>Construction Plan. Entry sheet for partitions and openings: vector geometry of every wall face at 1/4"=1'-0", the leader of every partition tag, the Construction Plan Legend (new vs. existing) and the Construction Plan Notes.</t>
        </is>
      </c>
      <c r="F1260" s="46" t="inlineStr">
        <is>
          <t>STUD_3-5-8</t>
        </is>
      </c>
      <c r="G1260" s="46" t="inlineStr">
        <is>
          <t>Geometry taken from A04.01 (verified 7-oct-2026: the two canopy fascia lines, x 516.84 and x 1904.88, exist in the vector geometry of A04.01 and NOT in that of A02.01; both sheets share the same coordinate space, so the LINE is what identifies the sheet, not the number): x 1860.48 (face exterior del wall este, eje 8 x…</t>
        </is>
      </c>
    </row>
    <row r="1261" ht="33" customHeight="1" s="36">
      <c r="A1261" s="59" t="n"/>
      <c r="B1261" s="58" t="n">
        <v>3</v>
      </c>
      <c r="C1261" s="44" t="inlineStr">
        <is>
          <t>D/A09.22</t>
        </is>
      </c>
      <c r="D1261" s="59" t="inlineStr">
        <is>
          <t>Note</t>
        </is>
      </c>
      <c r="E1261" s="46" t="inlineStr">
        <is>
          <t>Exterior wall section D. Layer build-up, board height and the blocking of that run.</t>
        </is>
      </c>
      <c r="F1261" s="46" t="inlineStr">
        <is>
          <t>detail</t>
        </is>
      </c>
      <c r="G1261" s="46" t="inlineStr">
        <is>
          <t>FLASHING W/ DRIP OVER ROOF MEMBRANE", "BACKER ROD &amp; SEALANT W/ WEEP" y "LINEAR LIGHT FIXTURE - SEE ELEC." ; 7/A09.26 SECTION DETAIL @ SIDE CANOPY, la burbuja que D/A09.22 y F/A09.22 ponen sobre la marquesina lateral.</t>
        </is>
      </c>
    </row>
    <row r="1262" ht="33" customHeight="1" s="36">
      <c r="A1262" s="59" t="n"/>
      <c r="B1262" s="58" t="n">
        <v>4</v>
      </c>
      <c r="C1262" s="44" t="inlineStr">
        <is>
          <t>F/A09.22</t>
        </is>
      </c>
      <c r="D1262" s="59" t="inlineStr">
        <is>
          <t>Note</t>
        </is>
      </c>
      <c r="E1262" s="46" t="inlineStr">
        <is>
          <t>Exterior wall section F. Board and stud height of that run.</t>
        </is>
      </c>
      <c r="F1262" s="46" t="inlineStr">
        <is>
          <t>detail</t>
        </is>
      </c>
      <c r="G1262" s="46" t="inlineStr">
        <is>
          <t>FLASHING W/ DRIP OVER ROOF MEMBRANE", "BACKER ROD &amp; SEALANT W/ WEEP" y "LINEAR LIGHT FIXTURE - SEE ELEC." ; 7/A09.26 SECTION DETAIL @ SIDE CANOPY, la burbuja que D/A09.22 y F/A09.22 ponen sobre la marquesina lateral.</t>
        </is>
      </c>
    </row>
    <row r="1263" ht="33" customHeight="1" s="36">
      <c r="A1263" s="59" t="n"/>
      <c r="B1263" s="58" t="n">
        <v>5</v>
      </c>
      <c r="C1263" s="44" t="inlineStr">
        <is>
          <t>A09.01</t>
        </is>
      </c>
      <c r="D1263" s="59" t="inlineStr">
        <is>
          <t>Exclusion</t>
        </is>
      </c>
      <c r="E1263" s="46" t="inlineStr">
        <is>
          <t>Exterior Elevations: "SOUTH ELEVATION" and "WEST ELEVATION" at 1/4"=1'-0". Extent of each exterior material and the material legend, verbatim "CJ CONTROL JOINT; PAINT TO MATCH STUCCO FINISH COLOR" - that joint is the STUCCO joint, not gypsum.</t>
        </is>
      </c>
      <c r="F1263" s="46" t="inlineStr">
        <is>
          <t>excluded.PLASTER_PT-4, excluded.VENT_SA-4</t>
        </is>
      </c>
      <c r="G1263" s="46" t="inlineStr">
        <is>
          <t>El "5/8" PORTLAND CEMENT PLASTER SYSTEM (PT-4) ON (2) LAYERS GRADE 'D' BUILDING PAPER" lo pone el plasterer, no el drywaller: es Div 09 24 00, sistema de estuco con su propia lath y su propio screed (los SA-2 y SA-4 de la leyenda de A09.01/A09.02).</t>
        </is>
      </c>
    </row>
    <row r="1264" ht="33" customHeight="1" s="36">
      <c r="A1264" s="59" t="n"/>
      <c r="B1264" s="58" t="n">
        <v>6</v>
      </c>
      <c r="C1264" s="44" t="inlineStr">
        <is>
          <t>A09.02</t>
        </is>
      </c>
      <c r="D1264" s="59" t="inlineStr">
        <is>
          <t>Exclusion</t>
        </is>
      </c>
      <c r="E1264" s="46" t="inlineStr">
        <is>
          <t>Exterior Elevations: "EAST ELEVATION" and "NORTH ELEVATION". Extent of the metal panel and of the AWB, both Div 07.</t>
        </is>
      </c>
      <c r="F1264" s="46" t="inlineStr">
        <is>
          <t>excluded.PANEL_Y_AWB_Div07</t>
        </is>
      </c>
      <c r="G1264" s="46" t="inlineStr">
        <is>
          <t>El hat channel viene CON el sistema de panel (la leyenda de A09.02 lo define como FORMED METAL WALL PANEL SYSTEM - PURE &amp; FREEFORM), o sea que lo monta el panel sub junto con su panel; no es framing nuestro.</t>
        </is>
      </c>
    </row>
    <row r="1265" ht="43.5" customHeight="1" s="36">
      <c r="A1265" s="59" t="n"/>
      <c r="B1265" s="58" t="n">
        <v>7</v>
      </c>
      <c r="C1265" s="44" t="inlineStr">
        <is>
          <t>A09.21</t>
        </is>
      </c>
      <c r="D1265" s="59" t="inlineStr">
        <is>
          <t>Note</t>
        </is>
      </c>
      <c r="E1265" s="46" t="inlineStr">
        <is>
          <t>Wall Sections, the sheet. Cited as a sheet when the finding is the set of sections.</t>
        </is>
      </c>
      <c r="F1265" s="46" t="inlineStr">
        <is>
          <t>detail</t>
        </is>
      </c>
      <c r="G1265"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66" ht="43.5" customHeight="1" s="36">
      <c r="A1266" s="59" t="n"/>
      <c r="B1266" s="58" t="n">
        <v>8</v>
      </c>
      <c r="C1266" s="44" t="inlineStr">
        <is>
          <t>3/A09.26</t>
        </is>
      </c>
      <c r="D1266" s="59" t="inlineStr">
        <is>
          <t>Note</t>
        </is>
      </c>
      <c r="E1266" s="46" t="inlineStr">
        <is>
          <t>"SECTION DETAIL @ ENTRANCE CANOPY". Build-up of the entrance canopy.</t>
        </is>
      </c>
      <c r="F1266" s="46" t="inlineStr">
        <is>
          <t>detail</t>
        </is>
      </c>
      <c r="G1266"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67" ht="33" customHeight="1" s="36">
      <c r="A1267" s="59" t="n"/>
      <c r="B1267" s="58" t="n">
        <v>9</v>
      </c>
      <c r="C1267" s="44" t="inlineStr">
        <is>
          <t>7/A09.26</t>
        </is>
      </c>
      <c r="D1267" s="59" t="inlineStr">
        <is>
          <t>Note</t>
        </is>
      </c>
      <c r="E1267" s="46" t="inlineStr">
        <is>
          <t>"SECTION DETAIL @ SIDE CANOPY". Build-up of the side canopy.</t>
        </is>
      </c>
      <c r="F1267" s="46" t="inlineStr">
        <is>
          <t>detail</t>
        </is>
      </c>
      <c r="G1267" s="46" t="inlineStr">
        <is>
          <t>FLASHING W/ DRIP OVER ROOF MEMBRANE", "BACKER ROD &amp; SEALANT W/ WEEP" y "LINEAR LIGHT FIXTURE - SEE ELEC." ; 7/A09.26 SECTION DETAIL @ SIDE CANOPY, la burbuja que D/A09.22 y F/A09.22 ponen sobre la marquesina lateral.</t>
        </is>
      </c>
    </row>
    <row r="1268" ht="33" customHeight="1" s="36">
      <c r="A1268" s="59" t="n"/>
      <c r="B1268" s="58" t="n">
        <v>10</v>
      </c>
      <c r="C1268" s="44" t="inlineStr">
        <is>
          <t>15/A09.27</t>
        </is>
      </c>
      <c r="D1268" s="59" t="inlineStr">
        <is>
          <t>Exclusion</t>
        </is>
      </c>
      <c r="E1268" s="46" t="inlineStr">
        <is>
          <t>Section detail on A09.27 of the drive-up canopy: build-up and datums of the soffit.</t>
        </is>
      </c>
      <c r="F1268" s="46" t="inlineStr">
        <is>
          <t>detail, excluded.INSULATION, excluded.PANEL_Y_AWB_Div07</t>
        </is>
      </c>
      <c r="G1268" s="46" t="inlineStr">
        <is>
          <t>Localizada y citada: 15/A09.27 rotula SPRAY FOAM INSULATION en la cavidad del wall del edificio y el sistema de sheathing lleva POLYISO pegado al plywood (ese si se cuantifica, porque viene pegado al board que instalamos).</t>
        </is>
      </c>
    </row>
    <row r="1269" ht="25.5" customHeight="1" s="36">
      <c r="A1269" s="59" t="n"/>
      <c r="B1269" s="58" t="n">
        <v>11</v>
      </c>
      <c r="C1269" s="44" t="inlineStr">
        <is>
          <t>16/A09.27</t>
        </is>
      </c>
      <c r="D1269" s="59" t="inlineStr">
        <is>
          <t>Quantity</t>
        </is>
      </c>
      <c r="E1269" s="46" t="inlineStr">
        <is>
          <t>Section detail on A09.27 of the drive-up canopy fascia: build-up, datums, and the structural steel and light fixture that are not ours.</t>
        </is>
      </c>
      <c r="F1269" s="46" t="inlineStr">
        <is>
          <t>SHEATHING_5-8_FRT_PLYWOOD, detail, excluded.ACERO_ESTRUCTURAL, excluded.BLOCKING, excluded.LUMINARIA</t>
        </is>
      </c>
      <c r="G1269" s="46" t="inlineStr">
        <is>
          <t>16/A09.27 SECTION DETAIL @ DRIVE UP CANOPY: label textual "5/8" EXT.</t>
        </is>
      </c>
    </row>
    <row r="1270" ht="25.5" customHeight="1" s="36">
      <c r="A1270" s="59" t="n"/>
      <c r="B1270" s="58" t="n">
        <v>12</v>
      </c>
      <c r="C1270" s="44" t="inlineStr">
        <is>
          <t>10/A09.33</t>
        </is>
      </c>
      <c r="D1270" s="59" t="inlineStr">
        <is>
          <t>Exclusion</t>
        </is>
      </c>
      <c r="E1270" s="46" t="inlineStr">
        <is>
          <t>"CEILING DETAIL @ CSR SOFFIT" at 3"=1'-0". The CSR soffit: corner bead, FRTW blocking, ceiling trim and how the board closes.</t>
        </is>
      </c>
      <c r="F1270" s="46" t="inlineStr">
        <is>
          <t>excluded.BLOCKING</t>
        </is>
      </c>
      <c r="G1270" s="46" t="inlineStr">
        <is>
          <t>Contraste: el detalle 10/A09.33 del soffit CSR SI rotula "PROVIDE FRTW BLOCKING FOR FUTURE", y por eso ahi si se cuantifico.</t>
        </is>
      </c>
    </row>
    <row r="1271" ht="33" customHeight="1" s="36">
      <c r="A1271" s="59" t="n"/>
      <c r="B1271" s="58" t="n">
        <v>13</v>
      </c>
      <c r="C1271" s="44" t="inlineStr">
        <is>
          <t>7/S5.20</t>
        </is>
      </c>
      <c r="D1271" s="59" t="inlineStr">
        <is>
          <t>Quantity</t>
        </is>
      </c>
      <c r="E1271" s="46" t="inlineStr">
        <is>
          <t>"METAL STUDS SCHEDULES". The profile: web, flange, lip, mils, gauge and the APPLICATION column with the spacing ("INTERIOR WALLS @ 16" O.C."), plus the SILL TRACK ANCHORAGE and the FASTENER SCHEDULE.</t>
        </is>
      </c>
      <c r="F1271" s="46" t="inlineStr">
        <is>
          <t>BRACING, FASTENER_TEKS, STUD_3-5-8, excluded.CLIPS</t>
        </is>
      </c>
      <c r="G1271" s="46" t="inlineStr">
        <is>
          <t>7/S5.20 nota F BRIDGING AND BRACING: "1 1/2" C.R.</t>
        </is>
      </c>
    </row>
    <row r="1272" ht="43.5" customHeight="1" s="36">
      <c r="A1272" s="44" t="inlineStr">
        <is>
          <t>CANOPY CANOPY-85</t>
        </is>
      </c>
      <c r="B1272" s="58" t="n">
        <v>1</v>
      </c>
      <c r="C1272" s="44" t="inlineStr">
        <is>
          <t>A04.01</t>
        </is>
      </c>
      <c r="D1272" s="59" t="inlineStr">
        <is>
          <t>Quantity</t>
        </is>
      </c>
      <c r="E1272" s="46" t="inlineStr">
        <is>
          <t>Reflected Ceiling Plan. Entry sheet for ceilings, soffits and canopy; on walls it gives the BOARD HEIGHT: each room ceiling tag with its printed A.F.F. dimension, plus the ceiling key notes.</t>
        </is>
      </c>
      <c r="F1272" s="46" t="inlineStr">
        <is>
          <t>STUD_3-5-8</t>
        </is>
      </c>
      <c r="G1272" s="46" t="inlineStr">
        <is>
          <t>Free perimeter measured on A04.01 (verified 7-oct-2026: the two canopy fascia lines, x 516.84 and x 1904.88, exist in the vector geometry of A04.01 and NOT in that of A02.01; both sheets share the same coordinate space, so the LINE is what identifies the sheet, not the number) = oeste (y 247.92 -&gt; 1246.44) 55.47 LF +…</t>
        </is>
      </c>
    </row>
    <row r="1273" ht="43.5" customHeight="1" s="36">
      <c r="A1273" s="59" t="n"/>
      <c r="B1273" s="58" t="n">
        <v>2</v>
      </c>
      <c r="C1273" s="44" t="inlineStr">
        <is>
          <t>A02.01</t>
        </is>
      </c>
      <c r="D1273" s="59" t="inlineStr">
        <is>
          <t>Quantity</t>
        </is>
      </c>
      <c r="E1273" s="46" t="inlineStr">
        <is>
          <t>Construction Plan. Entry sheet for partitions and openings: vector geometry of every wall face at 1/4"=1'-0", the leader of every partition tag, the Construction Plan Legend (new vs. existing) and the Construction Plan Notes.</t>
        </is>
      </c>
      <c r="F1273" s="46" t="inlineStr">
        <is>
          <t>STUD_3-5-8</t>
        </is>
      </c>
      <c r="G1273" s="46" t="inlineStr">
        <is>
          <t>Free perimeter measured on A04.01 (verified 7-oct-2026: the two canopy fascia lines, x 516.84 and x 1904.88, exist in the vector geometry of A04.01 and NOT in that of A02.01; both sheets share the same coordinate space, so the LINE is what identifies the sheet, not the number) = oeste (y 247.92 -&gt; 1246.44) 55.47 LF +…</t>
        </is>
      </c>
    </row>
    <row r="1274" ht="25.5" customHeight="1" s="36">
      <c r="A1274" s="59" t="n"/>
      <c r="B1274" s="58" t="n">
        <v>3</v>
      </c>
      <c r="C1274" s="44" t="inlineStr">
        <is>
          <t>1/A09.01</t>
        </is>
      </c>
      <c r="D1274" s="59" t="inlineStr">
        <is>
          <t>Note</t>
        </is>
      </c>
      <c r="E1274" s="46" t="inlineStr">
        <is>
          <t>"SOUTH ELEVATION". Extent and datums of that elevation.</t>
        </is>
      </c>
      <c r="F1274" s="46" t="inlineStr">
        <is>
          <t>resolved</t>
        </is>
      </c>
      <c r="G1274" s="46" t="inlineStr">
        <is>
          <t>1/A09.01 (titulada "SOUTH ELEVATION", que lleva los ejes 8 a 1 de izquierda a derecha y por lo tanto dibuja la fachada NORTE) muestra la marquesina corriendo la fachada completa.</t>
        </is>
      </c>
    </row>
    <row r="1275" ht="33" customHeight="1" s="36">
      <c r="A1275" s="59" t="n"/>
      <c r="B1275" s="58" t="n">
        <v>4</v>
      </c>
      <c r="C1275" s="44" t="inlineStr">
        <is>
          <t>2/A09.02</t>
        </is>
      </c>
      <c r="D1275" s="59" t="inlineStr">
        <is>
          <t>Note</t>
        </is>
      </c>
      <c r="E1275" s="46" t="inlineStr">
        <is>
          <t>"NORTH ELEVATION". Extent of the metal panel on that side.</t>
        </is>
      </c>
      <c r="F1275" s="46" t="inlineStr">
        <is>
          <t>resolved</t>
        </is>
      </c>
      <c r="G1275" s="46" t="inlineStr">
        <is>
          <t>2/A09.02 (titulada "NORTH ELEVATION", ejes 1 a 8, o sea la fachada SUR) la muestra SOLO entre los ejes 1 y 3, y de ahi al este la fachada sube derecho al parapet con la door EXPT-1, sin banda de canopy.</t>
        </is>
      </c>
    </row>
    <row r="1276" ht="33" customHeight="1" s="36">
      <c r="A1276" s="59" t="n"/>
      <c r="B1276" s="58" t="n">
        <v>5</v>
      </c>
      <c r="C1276" s="44" t="inlineStr">
        <is>
          <t>D/A09.22</t>
        </is>
      </c>
      <c r="D1276" s="59" t="inlineStr">
        <is>
          <t>Note</t>
        </is>
      </c>
      <c r="E1276" s="46" t="inlineStr">
        <is>
          <t>Exterior wall section D. Layer build-up, board height and the blocking of that run.</t>
        </is>
      </c>
      <c r="F1276" s="46" t="inlineStr">
        <is>
          <t>detail</t>
        </is>
      </c>
      <c r="G1276" s="46" t="inlineStr">
        <is>
          <t>FLASHING W/ DRIP OVER ROOF MEMBRANE", "BACKER ROD &amp; SEALANT W/ WEEP" y "LINEAR LIGHT FIXTURE - SEE ELEC." ; 7/A09.26 SECTION DETAIL @ SIDE CANOPY, la burbuja que D/A09.22 y F/A09.22 ponen sobre la marquesina lateral.</t>
        </is>
      </c>
    </row>
    <row r="1277" ht="33" customHeight="1" s="36">
      <c r="A1277" s="59" t="n"/>
      <c r="B1277" s="58" t="n">
        <v>6</v>
      </c>
      <c r="C1277" s="44" t="inlineStr">
        <is>
          <t>F/A09.22</t>
        </is>
      </c>
      <c r="D1277" s="59" t="inlineStr">
        <is>
          <t>Note</t>
        </is>
      </c>
      <c r="E1277" s="46" t="inlineStr">
        <is>
          <t>Exterior wall section F. Board and stud height of that run.</t>
        </is>
      </c>
      <c r="F1277" s="46" t="inlineStr">
        <is>
          <t>detail</t>
        </is>
      </c>
      <c r="G1277" s="46" t="inlineStr">
        <is>
          <t>FLASHING W/ DRIP OVER ROOF MEMBRANE", "BACKER ROD &amp; SEALANT W/ WEEP" y "LINEAR LIGHT FIXTURE - SEE ELEC." ; 7/A09.26 SECTION DETAIL @ SIDE CANOPY, la burbuja que D/A09.22 y F/A09.22 ponen sobre la marquesina lateral.</t>
        </is>
      </c>
    </row>
    <row r="1278" ht="43.5" customHeight="1" s="36">
      <c r="A1278" s="59" t="n"/>
      <c r="B1278" s="58" t="n">
        <v>7</v>
      </c>
      <c r="C1278" s="44" t="inlineStr">
        <is>
          <t>A09.21</t>
        </is>
      </c>
      <c r="D1278" s="59" t="inlineStr">
        <is>
          <t>Note</t>
        </is>
      </c>
      <c r="E1278" s="46" t="inlineStr">
        <is>
          <t>Wall Sections, the sheet. Cited as a sheet when the finding is the set of sections.</t>
        </is>
      </c>
      <c r="F1278" s="46" t="inlineStr">
        <is>
          <t>detail</t>
        </is>
      </c>
      <c r="G1278"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79" ht="43.5" customHeight="1" s="36">
      <c r="A1279" s="59" t="n"/>
      <c r="B1279" s="58" t="n">
        <v>8</v>
      </c>
      <c r="C1279" s="44" t="inlineStr">
        <is>
          <t>3/A09.26</t>
        </is>
      </c>
      <c r="D1279" s="59" t="inlineStr">
        <is>
          <t>Note</t>
        </is>
      </c>
      <c r="E1279" s="46" t="inlineStr">
        <is>
          <t>"SECTION DETAIL @ ENTRANCE CANOPY". Build-up of the entrance canopy.</t>
        </is>
      </c>
      <c r="F1279" s="46" t="inlineStr">
        <is>
          <t>detail</t>
        </is>
      </c>
      <c r="G1279"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80" ht="33" customHeight="1" s="36">
      <c r="A1280" s="59" t="n"/>
      <c r="B1280" s="58" t="n">
        <v>9</v>
      </c>
      <c r="C1280" s="44" t="inlineStr">
        <is>
          <t>7/A09.26</t>
        </is>
      </c>
      <c r="D1280" s="59" t="inlineStr">
        <is>
          <t>Note</t>
        </is>
      </c>
      <c r="E1280" s="46" t="inlineStr">
        <is>
          <t>"SECTION DETAIL @ SIDE CANOPY". Build-up of the side canopy.</t>
        </is>
      </c>
      <c r="F1280" s="46" t="inlineStr">
        <is>
          <t>detail</t>
        </is>
      </c>
      <c r="G1280" s="46" t="inlineStr">
        <is>
          <t>FLASHING W/ DRIP OVER ROOF MEMBRANE", "BACKER ROD &amp; SEALANT W/ WEEP" y "LINEAR LIGHT FIXTURE - SEE ELEC." ; 7/A09.26 SECTION DETAIL @ SIDE CANOPY, la burbuja que D/A09.22 y F/A09.22 ponen sobre la marquesina lateral.</t>
        </is>
      </c>
    </row>
    <row r="1281" ht="33" customHeight="1" s="36">
      <c r="A1281" s="59" t="n"/>
      <c r="B1281" s="58" t="n">
        <v>10</v>
      </c>
      <c r="C1281" s="44" t="inlineStr">
        <is>
          <t>15/A09.27</t>
        </is>
      </c>
      <c r="D1281" s="59" t="inlineStr">
        <is>
          <t>Quantity</t>
        </is>
      </c>
      <c r="E1281" s="46" t="inlineStr">
        <is>
          <t>Section detail on A09.27 of the drive-up canopy: build-up and datums of the soffit.</t>
        </is>
      </c>
      <c r="F1281" s="46" t="inlineStr">
        <is>
          <t>SHEATHING_5-8_FRT_PLYWOOD, detail, excluded.INSULATION, excluded.PANEL_Y_AWB_Div07</t>
        </is>
      </c>
      <c r="G1281" s="46" t="inlineStr">
        <is>
          <t>GRADE FRT PLYWOOD SHEATHING" y 15/A09.27 lo rotula "5/8" FRT PLYWOOD BONDED TO POLYISO INSULATION" para la misma fascia: se cotiza el board bonded (el mas completo de los dos) y la diferencia va en Clarifications</t>
        </is>
      </c>
    </row>
    <row r="1282" ht="25.5" customHeight="1" s="36">
      <c r="A1282" s="59" t="n"/>
      <c r="B1282" s="58" t="n">
        <v>11</v>
      </c>
      <c r="C1282" s="44" t="inlineStr">
        <is>
          <t>16/A09.27</t>
        </is>
      </c>
      <c r="D1282" s="59" t="inlineStr">
        <is>
          <t>Quantity</t>
        </is>
      </c>
      <c r="E1282" s="46" t="inlineStr">
        <is>
          <t>Section detail on A09.27 of the drive-up canopy fascia: build-up, datums, and the structural steel and light fixture that are not ours.</t>
        </is>
      </c>
      <c r="F1282" s="46" t="inlineStr">
        <is>
          <t>SHEATHING_5-8_FRT_PLYWOOD, STUD_3-5-8, detail, excluded.ACERO_ESTRUCTURAL, excluded.BLOCKING, excluded.LUMINARIA</t>
        </is>
      </c>
      <c r="G1282" s="46" t="inlineStr">
        <is>
          <t>16/A09.27 rotula "5/8" EXT.</t>
        </is>
      </c>
    </row>
    <row r="1283" ht="33" customHeight="1" s="36">
      <c r="A1283" s="59" t="n"/>
      <c r="B1283" s="58" t="n">
        <v>12</v>
      </c>
      <c r="C1283" s="44" t="inlineStr">
        <is>
          <t>7/S5.20</t>
        </is>
      </c>
      <c r="D1283" s="59" t="inlineStr">
        <is>
          <t>Quantity</t>
        </is>
      </c>
      <c r="E1283" s="46" t="inlineStr">
        <is>
          <t>"METAL STUDS SCHEDULES". The profile: web, flange, lip, mils, gauge and the APPLICATION column with the spacing ("INTERIOR WALLS @ 16" O.C."), plus the SILL TRACK ANCHORAGE and the FASTENER SCHEDULE.</t>
        </is>
      </c>
      <c r="F1283" s="46" t="inlineStr">
        <is>
          <t>FASTENER_TEKS, excluded.BRACING, excluded.CLIPS</t>
        </is>
      </c>
      <c r="G1283" s="46" t="inlineStr">
        <is>
          <t>7/S5.20: "STUD TO BOTTOM PLATE (TRACK) | 3/4" #8 TEKS LOW PROFILE PAN HEAD | 1 @ EACH FLANGE"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D10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8" min="1" max="1"/>
    <col width="56" customWidth="1" style="38" min="2" max="2"/>
    <col width="12" customWidth="1" style="38" min="3" max="3"/>
    <col width="14" customWidth="1" style="38" min="4" max="4"/>
  </cols>
  <sheetData>
    <row r="1" ht="15.75" customHeight="1" s="36">
      <c r="A1" s="41" t="inlineStr">
        <is>
          <t>EVERY SHEET OF THE BID SET - read from the DRAWING INDEX of A00.00 and from the title block of each page</t>
        </is>
      </c>
    </row>
    <row r="2" ht="15" customHeight="1" s="36">
      <c r="A2" s="42" t="inlineStr">
        <is>
          <t>94 PDF pages = 92 sheets in the index + 2 extra copies of A02.02. State CONFIRMADO means a title block was read on that page; DERIVADO means it was assigned by position (civil and landscape sheets, whose consultant title block has another format).</t>
        </is>
      </c>
    </row>
    <row r="4" ht="33.75" customHeight="1" s="36">
      <c r="A4" s="54" t="inlineStr">
        <is>
          <t>Sheet</t>
        </is>
      </c>
      <c r="B4" s="54" t="inlineStr">
        <is>
          <t>Title</t>
        </is>
      </c>
      <c r="C4" s="54" t="inlineStr">
        <is>
          <t>PDF page</t>
        </is>
      </c>
      <c r="D4" s="54" t="inlineStr">
        <is>
          <t>State</t>
        </is>
      </c>
    </row>
    <row r="5" ht="15" customHeight="1" s="36">
      <c r="A5" s="44" t="inlineStr">
        <is>
          <t>A00.00</t>
        </is>
      </c>
      <c r="B5" s="46" t="inlineStr">
        <is>
          <t>DRAWING INDEX, LOCATION MAP &amp; PROJECT INFORMATION</t>
        </is>
      </c>
      <c r="C5" s="59" t="inlineStr">
        <is>
          <t>2</t>
        </is>
      </c>
      <c r="D5" s="59" t="inlineStr">
        <is>
          <t>[CONFIRMADO]</t>
        </is>
      </c>
    </row>
    <row r="6" ht="15" customHeight="1" s="36">
      <c r="A6" s="44" t="inlineStr">
        <is>
          <t>C1.0</t>
        </is>
      </c>
      <c r="B6" s="46" t="inlineStr">
        <is>
          <t>COVER SHEET</t>
        </is>
      </c>
      <c r="C6" s="59" t="inlineStr">
        <is>
          <t>1</t>
        </is>
      </c>
      <c r="D6" s="59" t="inlineStr">
        <is>
          <t>[DERIVADO]</t>
        </is>
      </c>
    </row>
    <row r="7" ht="15" customHeight="1" s="36">
      <c r="A7" s="44" t="inlineStr">
        <is>
          <t>C1.1</t>
        </is>
      </c>
      <c r="B7" s="46" t="inlineStr">
        <is>
          <t>GENERAL NOTES</t>
        </is>
      </c>
      <c r="C7" s="59" t="inlineStr">
        <is>
          <t>3</t>
        </is>
      </c>
      <c r="D7" s="59" t="inlineStr">
        <is>
          <t>[DERIVADO]</t>
        </is>
      </c>
    </row>
    <row r="8" ht="15" customHeight="1" s="36">
      <c r="A8" s="44" t="inlineStr">
        <is>
          <t>C1.2</t>
        </is>
      </c>
      <c r="B8" s="46" t="inlineStr">
        <is>
          <t>ALTA LAND TITLE</t>
        </is>
      </c>
      <c r="C8" s="59" t="inlineStr">
        <is>
          <t>4</t>
        </is>
      </c>
      <c r="D8" s="59" t="inlineStr">
        <is>
          <t>[DERIVADO]</t>
        </is>
      </c>
    </row>
    <row r="9" ht="15" customHeight="1" s="36">
      <c r="A9" s="44" t="inlineStr">
        <is>
          <t>C1.3</t>
        </is>
      </c>
      <c r="B9" s="46" t="inlineStr">
        <is>
          <t>ALTA LAND TITLE</t>
        </is>
      </c>
      <c r="C9" s="59" t="inlineStr">
        <is>
          <t>5</t>
        </is>
      </c>
      <c r="D9" s="59" t="inlineStr">
        <is>
          <t>[DERIVADO]</t>
        </is>
      </c>
    </row>
    <row r="10" ht="15" customHeight="1" s="36">
      <c r="A10" s="44" t="inlineStr">
        <is>
          <t>C1.4</t>
        </is>
      </c>
      <c r="B10" s="46" t="inlineStr">
        <is>
          <t>ALTA LAND TITLE</t>
        </is>
      </c>
      <c r="C10" s="59" t="inlineStr">
        <is>
          <t>6</t>
        </is>
      </c>
      <c r="D10" s="59" t="inlineStr">
        <is>
          <t>[DERIVADO]</t>
        </is>
      </c>
    </row>
    <row r="11" ht="15" customHeight="1" s="36">
      <c r="A11" s="44" t="inlineStr">
        <is>
          <t>C2.0</t>
        </is>
      </c>
      <c r="B11" s="46" t="inlineStr">
        <is>
          <t>DEMOLITION AND EROSION CONTROL PLAN</t>
        </is>
      </c>
      <c r="C11" s="59" t="inlineStr">
        <is>
          <t>7</t>
        </is>
      </c>
      <c r="D11" s="59" t="inlineStr">
        <is>
          <t>[DERIVADO]</t>
        </is>
      </c>
    </row>
    <row r="12" ht="15" customHeight="1" s="36">
      <c r="A12" s="44" t="inlineStr">
        <is>
          <t>C3.0</t>
        </is>
      </c>
      <c r="B12" s="46" t="inlineStr">
        <is>
          <t>SITE PLAN</t>
        </is>
      </c>
      <c r="C12" s="59" t="inlineStr">
        <is>
          <t>8</t>
        </is>
      </c>
      <c r="D12" s="59" t="inlineStr">
        <is>
          <t>[DERIVADO]</t>
        </is>
      </c>
    </row>
    <row r="13" ht="15" customHeight="1" s="36">
      <c r="A13" s="44" t="inlineStr">
        <is>
          <t>C4.0</t>
        </is>
      </c>
      <c r="B13" s="46" t="inlineStr">
        <is>
          <t>GRADING PLAN</t>
        </is>
      </c>
      <c r="C13" s="59" t="inlineStr">
        <is>
          <t>9</t>
        </is>
      </c>
      <c r="D13" s="59" t="inlineStr">
        <is>
          <t>[DERIVADO]</t>
        </is>
      </c>
    </row>
    <row r="14" ht="15" customHeight="1" s="36">
      <c r="A14" s="44" t="inlineStr">
        <is>
          <t>C5.0</t>
        </is>
      </c>
      <c r="B14" s="46" t="inlineStr">
        <is>
          <t>DRAINAGE PLAN</t>
        </is>
      </c>
      <c r="C14" s="59" t="inlineStr">
        <is>
          <t>10</t>
        </is>
      </c>
      <c r="D14" s="59" t="inlineStr">
        <is>
          <t>[DERIVADO]</t>
        </is>
      </c>
    </row>
    <row r="15" ht="15" customHeight="1" s="36">
      <c r="A15" s="44" t="inlineStr">
        <is>
          <t>C5.1</t>
        </is>
      </c>
      <c r="B15" s="46" t="inlineStr">
        <is>
          <t>DRAINAGE PROFILE</t>
        </is>
      </c>
      <c r="C15" s="59" t="inlineStr">
        <is>
          <t>11</t>
        </is>
      </c>
      <c r="D15" s="59" t="inlineStr">
        <is>
          <t>[DERIVADO]</t>
        </is>
      </c>
    </row>
    <row r="16" ht="15" customHeight="1" s="36">
      <c r="A16" s="44" t="inlineStr">
        <is>
          <t>C6.0</t>
        </is>
      </c>
      <c r="B16" s="46" t="inlineStr">
        <is>
          <t>UTILITY PLAN</t>
        </is>
      </c>
      <c r="C16" s="59" t="inlineStr">
        <is>
          <t>12</t>
        </is>
      </c>
      <c r="D16" s="59" t="inlineStr">
        <is>
          <t>[DERIVADO]</t>
        </is>
      </c>
    </row>
    <row r="17" ht="15" customHeight="1" s="36">
      <c r="A17" s="44" t="inlineStr">
        <is>
          <t>C7.0</t>
        </is>
      </c>
      <c r="B17" s="46" t="inlineStr">
        <is>
          <t>EROSION CONTROL DETAILS</t>
        </is>
      </c>
      <c r="C17" s="59" t="inlineStr">
        <is>
          <t>13</t>
        </is>
      </c>
      <c r="D17" s="59" t="inlineStr">
        <is>
          <t>[DERIVADO]</t>
        </is>
      </c>
    </row>
    <row r="18" ht="15" customHeight="1" s="36">
      <c r="A18" s="44" t="inlineStr">
        <is>
          <t>C7.1</t>
        </is>
      </c>
      <c r="B18" s="46" t="inlineStr">
        <is>
          <t>WATER DETAILS</t>
        </is>
      </c>
      <c r="C18" s="59" t="inlineStr">
        <is>
          <t>14</t>
        </is>
      </c>
      <c r="D18" s="59" t="inlineStr">
        <is>
          <t>[DERIVADO]</t>
        </is>
      </c>
    </row>
    <row r="19" ht="15" customHeight="1" s="36">
      <c r="A19" s="44" t="inlineStr">
        <is>
          <t>C7.2</t>
        </is>
      </c>
      <c r="B19" s="46" t="inlineStr">
        <is>
          <t>SANITARY SEWER DETAILS</t>
        </is>
      </c>
      <c r="C19" s="59" t="inlineStr">
        <is>
          <t>15</t>
        </is>
      </c>
      <c r="D19" s="59" t="inlineStr">
        <is>
          <t>[DERIVADO]</t>
        </is>
      </c>
    </row>
    <row r="20" ht="15" customHeight="1" s="36">
      <c r="A20" s="44" t="inlineStr">
        <is>
          <t>C7.3</t>
        </is>
      </c>
      <c r="B20" s="46" t="inlineStr">
        <is>
          <t>DRAINAGE DETAILS</t>
        </is>
      </c>
      <c r="C20" s="59" t="inlineStr">
        <is>
          <t>16</t>
        </is>
      </c>
      <c r="D20" s="59" t="inlineStr">
        <is>
          <t>[DERIVADO]</t>
        </is>
      </c>
    </row>
    <row r="21" ht="15" customHeight="1" s="36">
      <c r="A21" s="44" t="inlineStr">
        <is>
          <t>C7.4</t>
        </is>
      </c>
      <c r="B21" s="46" t="inlineStr">
        <is>
          <t>PAVING DETAILS</t>
        </is>
      </c>
      <c r="C21" s="59" t="inlineStr">
        <is>
          <t>17</t>
        </is>
      </c>
      <c r="D21" s="59" t="inlineStr">
        <is>
          <t>[DERIVADO]</t>
        </is>
      </c>
    </row>
    <row r="22" ht="15" customHeight="1" s="36">
      <c r="A22" s="44" t="inlineStr">
        <is>
          <t>L1.0</t>
        </is>
      </c>
      <c r="B22" s="46" t="inlineStr">
        <is>
          <t>LANDSCAPE PLAN</t>
        </is>
      </c>
      <c r="C22" s="59" t="inlineStr">
        <is>
          <t>18</t>
        </is>
      </c>
      <c r="D22" s="59" t="inlineStr">
        <is>
          <t>[DERIVADO]</t>
        </is>
      </c>
    </row>
    <row r="23" ht="15" customHeight="1" s="36">
      <c r="A23" s="44" t="inlineStr">
        <is>
          <t>L1.1</t>
        </is>
      </c>
      <c r="B23" s="46" t="inlineStr">
        <is>
          <t>LANDSCAPE DETAILS</t>
        </is>
      </c>
      <c r="C23" s="59" t="inlineStr">
        <is>
          <t>19</t>
        </is>
      </c>
      <c r="D23" s="59" t="inlineStr">
        <is>
          <t>[DERIVADO]</t>
        </is>
      </c>
    </row>
    <row r="24" ht="15" customHeight="1" s="36">
      <c r="A24" s="44" t="inlineStr">
        <is>
          <t>A00.30</t>
        </is>
      </c>
      <c r="B24" s="46" t="inlineStr">
        <is>
          <t>DOOR, HARDWARE &amp; MILLWORK SCHEDULES</t>
        </is>
      </c>
      <c r="C24" s="59" t="inlineStr">
        <is>
          <t>20</t>
        </is>
      </c>
      <c r="D24" s="59" t="inlineStr">
        <is>
          <t>[CONFIRMADO]</t>
        </is>
      </c>
    </row>
    <row r="25" ht="15" customHeight="1" s="36">
      <c r="A25" s="44" t="inlineStr">
        <is>
          <t>A00.40</t>
        </is>
      </c>
      <c r="B25" s="46" t="inlineStr">
        <is>
          <t>EQUIPMENT &amp; FINISH LEGENDS</t>
        </is>
      </c>
      <c r="C25" s="59" t="inlineStr">
        <is>
          <t>21</t>
        </is>
      </c>
      <c r="D25" s="59" t="inlineStr">
        <is>
          <t>[CONFIRMADO]</t>
        </is>
      </c>
    </row>
    <row r="26" ht="15" customHeight="1" s="36">
      <c r="A26" s="44" t="inlineStr">
        <is>
          <t>A00.41</t>
        </is>
      </c>
      <c r="B26" s="46" t="inlineStr">
        <is>
          <t>ACCESSIBILITY DETAILS</t>
        </is>
      </c>
      <c r="C26" s="59" t="inlineStr">
        <is>
          <t>22</t>
        </is>
      </c>
      <c r="D26" s="59" t="inlineStr">
        <is>
          <t>[CONFIRMADO]</t>
        </is>
      </c>
    </row>
    <row r="27" ht="15" customHeight="1" s="36">
      <c r="A27" s="44" t="inlineStr">
        <is>
          <t>A00.60</t>
        </is>
      </c>
      <c r="B27" s="46" t="inlineStr">
        <is>
          <t>ARCHITECTURAL SITE PLAN</t>
        </is>
      </c>
      <c r="C27" s="59" t="inlineStr">
        <is>
          <t>23</t>
        </is>
      </c>
      <c r="D27" s="59" t="inlineStr">
        <is>
          <t>[CONFIRMADO]</t>
        </is>
      </c>
    </row>
    <row r="28" ht="15" customHeight="1" s="36">
      <c r="A28" s="44" t="inlineStr">
        <is>
          <t>A02.01</t>
        </is>
      </c>
      <c r="B28" s="46" t="inlineStr">
        <is>
          <t>CONSTRUCTION PLAN</t>
        </is>
      </c>
      <c r="C28" s="59" t="inlineStr">
        <is>
          <t>24</t>
        </is>
      </c>
      <c r="D28" s="59" t="inlineStr">
        <is>
          <t>[CONFIRMADO]</t>
        </is>
      </c>
    </row>
    <row r="29" ht="15" customHeight="1" s="36">
      <c r="A29" s="44" t="inlineStr">
        <is>
          <t>A02.02</t>
        </is>
      </c>
      <c r="B29" s="46" t="inlineStr">
        <is>
          <t>ROOF PLAN</t>
        </is>
      </c>
      <c r="C29" s="59" t="inlineStr">
        <is>
          <t>25, 26, 27</t>
        </is>
      </c>
      <c r="D29" s="59" t="inlineStr">
        <is>
          <t>[CONFIRMADO]</t>
        </is>
      </c>
    </row>
    <row r="30" ht="15" customHeight="1" s="36">
      <c r="A30" s="44" t="inlineStr">
        <is>
          <t>A03.01</t>
        </is>
      </c>
      <c r="B30" s="46" t="inlineStr">
        <is>
          <t>POWER &amp; COMMUNICATION PLAN</t>
        </is>
      </c>
      <c r="C30" s="59" t="inlineStr">
        <is>
          <t>28</t>
        </is>
      </c>
      <c r="D30" s="59" t="inlineStr">
        <is>
          <t>[CONFIRMADO]</t>
        </is>
      </c>
    </row>
    <row r="31" ht="15" customHeight="1" s="36">
      <c r="A31" s="44" t="inlineStr">
        <is>
          <t>A04.01</t>
        </is>
      </c>
      <c r="B31" s="46" t="inlineStr">
        <is>
          <t>REFLECTED CEILING PLAN</t>
        </is>
      </c>
      <c r="C31" s="59" t="inlineStr">
        <is>
          <t>29</t>
        </is>
      </c>
      <c r="D31" s="59" t="inlineStr">
        <is>
          <t>[CONFIRMADO]</t>
        </is>
      </c>
    </row>
    <row r="32" ht="15" customHeight="1" s="36">
      <c r="A32" s="44" t="inlineStr">
        <is>
          <t>A05.01</t>
        </is>
      </c>
      <c r="B32" s="46" t="inlineStr">
        <is>
          <t>FINISH PLAN</t>
        </is>
      </c>
      <c r="C32" s="59" t="inlineStr">
        <is>
          <t>30</t>
        </is>
      </c>
      <c r="D32" s="59" t="inlineStr">
        <is>
          <t>[CONFIRMADO]</t>
        </is>
      </c>
    </row>
    <row r="33" ht="15" customHeight="1" s="36">
      <c r="A33" s="44" t="inlineStr">
        <is>
          <t>A06.01</t>
        </is>
      </c>
      <c r="B33" s="46" t="inlineStr">
        <is>
          <t>FURNITURE PLAN</t>
        </is>
      </c>
      <c r="C33" s="59" t="inlineStr">
        <is>
          <t>31</t>
        </is>
      </c>
      <c r="D33" s="59" t="inlineStr">
        <is>
          <t>[CONFIRMADO]</t>
        </is>
      </c>
    </row>
    <row r="34" ht="15" customHeight="1" s="36">
      <c r="A34" s="44" t="inlineStr">
        <is>
          <t>A08.01</t>
        </is>
      </c>
      <c r="B34" s="46" t="inlineStr">
        <is>
          <t>ENLARGED RESTROOM PLANS AND ELEVATIONS</t>
        </is>
      </c>
      <c r="C34" s="59" t="inlineStr">
        <is>
          <t>32</t>
        </is>
      </c>
      <c r="D34" s="59" t="inlineStr">
        <is>
          <t>[CONFIRMADO]</t>
        </is>
      </c>
    </row>
    <row r="35" ht="15" customHeight="1" s="36">
      <c r="A35" s="44" t="inlineStr">
        <is>
          <t>A08.11</t>
        </is>
      </c>
      <c r="B35" s="46" t="inlineStr">
        <is>
          <t>ATM DETAILS</t>
        </is>
      </c>
      <c r="C35" s="59" t="inlineStr">
        <is>
          <t>33</t>
        </is>
      </c>
      <c r="D35" s="59" t="inlineStr">
        <is>
          <t>[CONFIRMADO]</t>
        </is>
      </c>
    </row>
    <row r="36" ht="15" customHeight="1" s="36">
      <c r="A36" s="44" t="inlineStr">
        <is>
          <t>A08.21</t>
        </is>
      </c>
      <c r="B36" s="46" t="inlineStr">
        <is>
          <t>COILING GRILLE DETAILS</t>
        </is>
      </c>
      <c r="C36" s="59" t="inlineStr">
        <is>
          <t>34</t>
        </is>
      </c>
      <c r="D36" s="59" t="inlineStr">
        <is>
          <t>[CONFIRMADO]</t>
        </is>
      </c>
    </row>
    <row r="37" ht="15" customHeight="1" s="36">
      <c r="A37" s="44" t="inlineStr">
        <is>
          <t>A09.01</t>
        </is>
      </c>
      <c r="B37" s="46" t="inlineStr">
        <is>
          <t>EXTERIOR ELEVATIONS</t>
        </is>
      </c>
      <c r="C37" s="59" t="inlineStr">
        <is>
          <t>35</t>
        </is>
      </c>
      <c r="D37" s="59" t="inlineStr">
        <is>
          <t>[CONFIRMADO]</t>
        </is>
      </c>
    </row>
    <row r="38" ht="15" customHeight="1" s="36">
      <c r="A38" s="44" t="inlineStr">
        <is>
          <t>A09.02</t>
        </is>
      </c>
      <c r="B38" s="46" t="inlineStr">
        <is>
          <t>EXTERIOR ELEVATIONS</t>
        </is>
      </c>
      <c r="C38" s="59" t="inlineStr">
        <is>
          <t>36</t>
        </is>
      </c>
      <c r="D38" s="59" t="inlineStr">
        <is>
          <t>[CONFIRMADO]</t>
        </is>
      </c>
    </row>
    <row r="39" ht="15" customHeight="1" s="36">
      <c r="A39" s="44" t="inlineStr">
        <is>
          <t>A09.21</t>
        </is>
      </c>
      <c r="B39" s="46" t="inlineStr">
        <is>
          <t>WALL SECTIONS</t>
        </is>
      </c>
      <c r="C39" s="59" t="inlineStr">
        <is>
          <t>37</t>
        </is>
      </c>
      <c r="D39" s="59" t="inlineStr">
        <is>
          <t>[CONFIRMADO]</t>
        </is>
      </c>
    </row>
    <row r="40" ht="15" customHeight="1" s="36">
      <c r="A40" s="44" t="inlineStr">
        <is>
          <t>A09.22</t>
        </is>
      </c>
      <c r="B40" s="46" t="inlineStr">
        <is>
          <t>WALL SECTIONS</t>
        </is>
      </c>
      <c r="C40" s="59" t="inlineStr">
        <is>
          <t>38</t>
        </is>
      </c>
      <c r="D40" s="59" t="inlineStr">
        <is>
          <t>[CONFIRMADO]</t>
        </is>
      </c>
    </row>
    <row r="41" ht="15" customHeight="1" s="36">
      <c r="A41" s="44" t="inlineStr">
        <is>
          <t>A09.23</t>
        </is>
      </c>
      <c r="B41" s="46" t="inlineStr">
        <is>
          <t>WALL SECTIONS</t>
        </is>
      </c>
      <c r="C41" s="59" t="inlineStr">
        <is>
          <t>39</t>
        </is>
      </c>
      <c r="D41" s="59" t="inlineStr">
        <is>
          <t>[CONFIRMADO]</t>
        </is>
      </c>
    </row>
    <row r="42" ht="15" customHeight="1" s="36">
      <c r="A42" s="44" t="inlineStr">
        <is>
          <t>A09.25</t>
        </is>
      </c>
      <c r="B42" s="46" t="inlineStr">
        <is>
          <t>PLAN DETAILS</t>
        </is>
      </c>
      <c r="C42" s="59" t="inlineStr">
        <is>
          <t>40</t>
        </is>
      </c>
      <c r="D42" s="59" t="inlineStr">
        <is>
          <t>[CONFIRMADO]</t>
        </is>
      </c>
    </row>
    <row r="43" ht="15" customHeight="1" s="36">
      <c r="A43" s="44" t="inlineStr">
        <is>
          <t>A09.26</t>
        </is>
      </c>
      <c r="B43" s="46" t="inlineStr">
        <is>
          <t>SECTION DETAILS</t>
        </is>
      </c>
      <c r="C43" s="59" t="inlineStr">
        <is>
          <t>41</t>
        </is>
      </c>
      <c r="D43" s="59" t="inlineStr">
        <is>
          <t>[CONFIRMADO]</t>
        </is>
      </c>
    </row>
    <row r="44" ht="15" customHeight="1" s="36">
      <c r="A44" s="44" t="inlineStr">
        <is>
          <t>A09.27</t>
        </is>
      </c>
      <c r="B44" s="46" t="inlineStr">
        <is>
          <t>SECTION DETAILS</t>
        </is>
      </c>
      <c r="C44" s="59" t="inlineStr">
        <is>
          <t>42</t>
        </is>
      </c>
      <c r="D44" s="59" t="inlineStr">
        <is>
          <t>[CONFIRMADO]</t>
        </is>
      </c>
    </row>
    <row r="45" ht="15" customHeight="1" s="36">
      <c r="A45" s="44" t="inlineStr">
        <is>
          <t>A09.30</t>
        </is>
      </c>
      <c r="B45" s="46" t="inlineStr">
        <is>
          <t>EXTERIOR DETAILS</t>
        </is>
      </c>
      <c r="C45" s="59" t="inlineStr">
        <is>
          <t>43</t>
        </is>
      </c>
      <c r="D45" s="59" t="inlineStr">
        <is>
          <t>[CONFIRMADO]</t>
        </is>
      </c>
    </row>
    <row r="46" ht="15" customHeight="1" s="36">
      <c r="A46" s="44" t="inlineStr">
        <is>
          <t>A09.31</t>
        </is>
      </c>
      <c r="B46" s="46" t="inlineStr">
        <is>
          <t>EXTERIOR TRANSITION DETAILS</t>
        </is>
      </c>
      <c r="C46" s="59" t="inlineStr">
        <is>
          <t>44</t>
        </is>
      </c>
      <c r="D46" s="59" t="inlineStr">
        <is>
          <t>[CONFIRMADO]</t>
        </is>
      </c>
    </row>
    <row r="47" ht="15" customHeight="1" s="36">
      <c r="A47" s="44" t="inlineStr">
        <is>
          <t>A09.33</t>
        </is>
      </c>
      <c r="B47" s="46" t="inlineStr">
        <is>
          <t>TYPICAL CEILING DETAILS</t>
        </is>
      </c>
      <c r="C47" s="59" t="inlineStr">
        <is>
          <t>45</t>
        </is>
      </c>
      <c r="D47" s="59" t="inlineStr">
        <is>
          <t>[CONFIRMADO]</t>
        </is>
      </c>
    </row>
    <row r="48" ht="15" customHeight="1" s="36">
      <c r="A48" s="44" t="inlineStr">
        <is>
          <t>A11.01</t>
        </is>
      </c>
      <c r="B48" s="46" t="inlineStr">
        <is>
          <t>INTERIOR ELEVATIONS</t>
        </is>
      </c>
      <c r="C48" s="59" t="inlineStr">
        <is>
          <t>46</t>
        </is>
      </c>
      <c r="D48" s="59" t="inlineStr">
        <is>
          <t>[CONFIRMADO]</t>
        </is>
      </c>
    </row>
    <row r="49" ht="15" customHeight="1" s="36">
      <c r="A49" s="44" t="inlineStr">
        <is>
          <t>A11.02</t>
        </is>
      </c>
      <c r="B49" s="46" t="inlineStr">
        <is>
          <t>INTERIOR ELEVATIONS</t>
        </is>
      </c>
      <c r="C49" s="59" t="inlineStr">
        <is>
          <t>47</t>
        </is>
      </c>
      <c r="D49" s="59" t="inlineStr">
        <is>
          <t>[CONFIRMADO]</t>
        </is>
      </c>
    </row>
    <row r="50" ht="15" customHeight="1" s="36">
      <c r="A50" s="44" t="inlineStr">
        <is>
          <t>A11.03</t>
        </is>
      </c>
      <c r="B50" s="46" t="inlineStr">
        <is>
          <t>INTERIOR ELEVATIONS</t>
        </is>
      </c>
      <c r="C50" s="59" t="inlineStr">
        <is>
          <t>48</t>
        </is>
      </c>
      <c r="D50" s="59" t="inlineStr">
        <is>
          <t>[CONFIRMADO]</t>
        </is>
      </c>
    </row>
    <row r="51" ht="15" customHeight="1" s="36">
      <c r="A51" s="44" t="inlineStr">
        <is>
          <t>A11.04</t>
        </is>
      </c>
      <c r="B51" s="46" t="inlineStr">
        <is>
          <t>INTERIOR ELEVATIONS</t>
        </is>
      </c>
      <c r="C51" s="59" t="inlineStr">
        <is>
          <t>49</t>
        </is>
      </c>
      <c r="D51" s="59" t="inlineStr">
        <is>
          <t>[CONFIRMADO]</t>
        </is>
      </c>
    </row>
    <row r="52" ht="15" customHeight="1" s="36">
      <c r="A52" s="44" t="inlineStr">
        <is>
          <t>A12.01</t>
        </is>
      </c>
      <c r="B52" s="46" t="inlineStr">
        <is>
          <t>PARTITION TYPES AND DETAILS</t>
        </is>
      </c>
      <c r="C52" s="59" t="inlineStr">
        <is>
          <t>50</t>
        </is>
      </c>
      <c r="D52" s="59" t="inlineStr">
        <is>
          <t>[CONFIRMADO]</t>
        </is>
      </c>
    </row>
    <row r="53" ht="15" customHeight="1" s="36">
      <c r="A53" s="44" t="inlineStr">
        <is>
          <t>A12.02</t>
        </is>
      </c>
      <c r="B53" s="46" t="inlineStr">
        <is>
          <t>DETAILS</t>
        </is>
      </c>
      <c r="C53" s="59" t="inlineStr">
        <is>
          <t>51</t>
        </is>
      </c>
      <c r="D53" s="59" t="inlineStr">
        <is>
          <t>[CONFIRMADO]</t>
        </is>
      </c>
    </row>
    <row r="54" ht="15" customHeight="1" s="36">
      <c r="A54" s="44" t="inlineStr">
        <is>
          <t>A12.03</t>
        </is>
      </c>
      <c r="B54" s="46" t="inlineStr">
        <is>
          <t>MILLWORK DETAILS - MW01</t>
        </is>
      </c>
      <c r="C54" s="59" t="inlineStr">
        <is>
          <t>52</t>
        </is>
      </c>
      <c r="D54" s="59" t="inlineStr">
        <is>
          <t>[CONFIRMADO]</t>
        </is>
      </c>
    </row>
    <row r="55" ht="15" customHeight="1" s="36">
      <c r="A55" s="44" t="inlineStr">
        <is>
          <t>A12.04</t>
        </is>
      </c>
      <c r="B55" s="46" t="inlineStr">
        <is>
          <t>MILLWORK DETAILS - MW05, MW06 &amp; MW08</t>
        </is>
      </c>
      <c r="C55" s="59" t="inlineStr">
        <is>
          <t>53</t>
        </is>
      </c>
      <c r="D55" s="59" t="inlineStr">
        <is>
          <t>[CONFIRMADO]</t>
        </is>
      </c>
    </row>
    <row r="56" ht="15" customHeight="1" s="36">
      <c r="A56" s="44" t="inlineStr">
        <is>
          <t>A12.05</t>
        </is>
      </c>
      <c r="B56" s="46" t="inlineStr">
        <is>
          <t>MILLWORK DETAILS - MW07,MW11 &amp; MW12</t>
        </is>
      </c>
      <c r="C56" s="59" t="inlineStr">
        <is>
          <t>54</t>
        </is>
      </c>
      <c r="D56" s="59" t="inlineStr">
        <is>
          <t>[CONFIRMADO]</t>
        </is>
      </c>
    </row>
    <row r="57" ht="15" customHeight="1" s="36">
      <c r="A57" s="44" t="inlineStr">
        <is>
          <t>A12.06</t>
        </is>
      </c>
      <c r="B57" s="46" t="inlineStr">
        <is>
          <t>MILLWORK DETAILS - MW13 &amp; MW21</t>
        </is>
      </c>
      <c r="C57" s="59" t="inlineStr">
        <is>
          <t>55</t>
        </is>
      </c>
      <c r="D57" s="59" t="inlineStr">
        <is>
          <t>[CONFIRMADO]</t>
        </is>
      </c>
    </row>
    <row r="58" ht="15" customHeight="1" s="36">
      <c r="A58" s="44" t="inlineStr">
        <is>
          <t>A12.08</t>
        </is>
      </c>
      <c r="B58" s="46" t="inlineStr">
        <is>
          <t>CSR LINE</t>
        </is>
      </c>
      <c r="C58" s="59" t="inlineStr">
        <is>
          <t>56</t>
        </is>
      </c>
      <c r="D58" s="59" t="inlineStr">
        <is>
          <t>[CONFIRMADO]</t>
        </is>
      </c>
    </row>
    <row r="59" ht="15" customHeight="1" s="36">
      <c r="A59" s="44" t="inlineStr">
        <is>
          <t>A12.10</t>
        </is>
      </c>
      <c r="B59" s="46" t="inlineStr">
        <is>
          <t>24 HR VESTIBULE DETAILS</t>
        </is>
      </c>
      <c r="C59" s="59" t="inlineStr">
        <is>
          <t>57</t>
        </is>
      </c>
      <c r="D59" s="59" t="inlineStr">
        <is>
          <t>[CONFIRMADO]</t>
        </is>
      </c>
    </row>
    <row r="60" ht="15" customHeight="1" s="36">
      <c r="A60" s="44" t="inlineStr">
        <is>
          <t>A12.11</t>
        </is>
      </c>
      <c r="B60" s="46" t="inlineStr">
        <is>
          <t>DOOR AL-2C HARDWARE</t>
        </is>
      </c>
      <c r="C60" s="59" t="inlineStr">
        <is>
          <t>58</t>
        </is>
      </c>
      <c r="D60" s="59" t="inlineStr">
        <is>
          <t>[CONFIRMADO]</t>
        </is>
      </c>
    </row>
    <row r="61" ht="15" customHeight="1" s="36">
      <c r="A61" s="44" t="inlineStr">
        <is>
          <t>S1.10</t>
        </is>
      </c>
      <c r="B61" s="46" t="inlineStr">
        <is>
          <t>STRUCTURAL INFORMATION</t>
        </is>
      </c>
      <c r="C61" s="59" t="inlineStr">
        <is>
          <t>59</t>
        </is>
      </c>
      <c r="D61" s="59" t="inlineStr">
        <is>
          <t>[CONFIRMADO]</t>
        </is>
      </c>
    </row>
    <row r="62" ht="15" customHeight="1" s="36">
      <c r="A62" s="44" t="inlineStr">
        <is>
          <t>S1.11</t>
        </is>
      </c>
      <c r="B62" s="46" t="inlineStr">
        <is>
          <t>STRUCTURAL INFORMATION</t>
        </is>
      </c>
      <c r="C62" s="59" t="inlineStr">
        <is>
          <t>60</t>
        </is>
      </c>
      <c r="D62" s="59" t="inlineStr">
        <is>
          <t>[CONFIRMADO]</t>
        </is>
      </c>
    </row>
    <row r="63" ht="15" customHeight="1" s="36">
      <c r="A63" s="44" t="inlineStr">
        <is>
          <t>S1.14</t>
        </is>
      </c>
      <c r="B63" s="46" t="inlineStr">
        <is>
          <t>LOAD MAPS</t>
        </is>
      </c>
      <c r="C63" s="59" t="inlineStr">
        <is>
          <t>61</t>
        </is>
      </c>
      <c r="D63" s="59" t="inlineStr">
        <is>
          <t>[CONFIRMADO]</t>
        </is>
      </c>
    </row>
    <row r="64" ht="15" customHeight="1" s="36">
      <c r="A64" s="44" t="inlineStr">
        <is>
          <t>S2.10</t>
        </is>
      </c>
      <c r="B64" s="46" t="inlineStr">
        <is>
          <t>FOUNDATION PLAN</t>
        </is>
      </c>
      <c r="C64" s="59" t="inlineStr">
        <is>
          <t>62</t>
        </is>
      </c>
      <c r="D64" s="59" t="inlineStr">
        <is>
          <t>[CONFIRMADO]</t>
        </is>
      </c>
    </row>
    <row r="65" ht="15" customHeight="1" s="36">
      <c r="A65" s="44" t="inlineStr">
        <is>
          <t>S2.20</t>
        </is>
      </c>
      <c r="B65" s="46" t="inlineStr">
        <is>
          <t>ROOF FRAMING PLAN</t>
        </is>
      </c>
      <c r="C65" s="59" t="inlineStr">
        <is>
          <t>63</t>
        </is>
      </c>
      <c r="D65" s="59" t="inlineStr">
        <is>
          <t>[CONFIRMADO]</t>
        </is>
      </c>
    </row>
    <row r="66" ht="15" customHeight="1" s="36">
      <c r="A66" s="44" t="inlineStr">
        <is>
          <t>S3.10</t>
        </is>
      </c>
      <c r="B66" s="46" t="inlineStr">
        <is>
          <t>TYPICAL CONCRETE DETAILS</t>
        </is>
      </c>
      <c r="C66" s="59" t="inlineStr">
        <is>
          <t>64</t>
        </is>
      </c>
      <c r="D66" s="59" t="inlineStr">
        <is>
          <t>[CONFIRMADO]</t>
        </is>
      </c>
    </row>
    <row r="67" ht="15" customHeight="1" s="36">
      <c r="A67" s="44" t="inlineStr">
        <is>
          <t>S3.20</t>
        </is>
      </c>
      <c r="B67" s="46" t="inlineStr">
        <is>
          <t>TYPICAL FOUNDATION DETAILS</t>
        </is>
      </c>
      <c r="C67" s="59" t="inlineStr">
        <is>
          <t>65</t>
        </is>
      </c>
      <c r="D67" s="59" t="inlineStr">
        <is>
          <t>[CONFIRMADO]</t>
        </is>
      </c>
    </row>
    <row r="68" ht="15" customHeight="1" s="36">
      <c r="A68" s="44" t="inlineStr">
        <is>
          <t>S3.21</t>
        </is>
      </c>
      <c r="B68" s="46" t="inlineStr">
        <is>
          <t>TYPICAL SITE DETAILS</t>
        </is>
      </c>
      <c r="C68" s="59" t="inlineStr">
        <is>
          <t>66</t>
        </is>
      </c>
      <c r="D68" s="59" t="inlineStr">
        <is>
          <t>[CONFIRMADO]</t>
        </is>
      </c>
    </row>
    <row r="69" ht="15" customHeight="1" s="36">
      <c r="A69" s="44" t="inlineStr">
        <is>
          <t>S5.10</t>
        </is>
      </c>
      <c r="B69" s="46" t="inlineStr">
        <is>
          <t>TYPICAL STEEL DETAILS</t>
        </is>
      </c>
      <c r="C69" s="59" t="inlineStr">
        <is>
          <t>67</t>
        </is>
      </c>
      <c r="D69" s="59" t="inlineStr">
        <is>
          <t>[CONFIRMADO]</t>
        </is>
      </c>
    </row>
    <row r="70" ht="15" customHeight="1" s="36">
      <c r="A70" s="44" t="inlineStr">
        <is>
          <t>S5.11</t>
        </is>
      </c>
      <c r="B70" s="46" t="inlineStr">
        <is>
          <t>TYPICAL STEEL DETAILS</t>
        </is>
      </c>
      <c r="C70" s="59" t="inlineStr">
        <is>
          <t>68</t>
        </is>
      </c>
      <c r="D70" s="59" t="inlineStr">
        <is>
          <t>[CONFIRMADO]</t>
        </is>
      </c>
    </row>
    <row r="71" ht="15" customHeight="1" s="36">
      <c r="A71" s="44" t="inlineStr">
        <is>
          <t>S5.20</t>
        </is>
      </c>
      <c r="B71" s="46" t="inlineStr">
        <is>
          <t>COLD FORM STEEL FRAMING DETAILS Description:</t>
        </is>
      </c>
      <c r="C71" s="59" t="inlineStr">
        <is>
          <t>69</t>
        </is>
      </c>
      <c r="D71" s="59" t="inlineStr">
        <is>
          <t>[CONFIRMADO]</t>
        </is>
      </c>
    </row>
    <row r="72" ht="15" customHeight="1" s="36">
      <c r="A72" s="44" t="inlineStr">
        <is>
          <t>S5.30</t>
        </is>
      </c>
      <c r="B72" s="46" t="inlineStr">
        <is>
          <t>BRACED FRAME DETAILS IF</t>
        </is>
      </c>
      <c r="C72" s="59" t="inlineStr">
        <is>
          <t>70</t>
        </is>
      </c>
      <c r="D72" s="59" t="inlineStr">
        <is>
          <t>[CONFIRMADO]</t>
        </is>
      </c>
    </row>
    <row r="73" ht="15" customHeight="1" s="36">
      <c r="A73" s="44" t="inlineStr">
        <is>
          <t>M00.01</t>
        </is>
      </c>
      <c r="B73" s="46" t="inlineStr">
        <is>
          <t>MECHANICAL GENERAL IF</t>
        </is>
      </c>
      <c r="C73" s="59" t="inlineStr">
        <is>
          <t>71</t>
        </is>
      </c>
      <c r="D73" s="59" t="inlineStr">
        <is>
          <t>[CONFIRMADO]</t>
        </is>
      </c>
    </row>
    <row r="74" ht="15" customHeight="1" s="36">
      <c r="A74" s="44" t="inlineStr">
        <is>
          <t>M00.02</t>
        </is>
      </c>
      <c r="B74" s="46" t="inlineStr">
        <is>
          <t>MECHANICAL DETAILS IF</t>
        </is>
      </c>
      <c r="C74" s="59" t="inlineStr">
        <is>
          <t>72</t>
        </is>
      </c>
      <c r="D74" s="59" t="inlineStr">
        <is>
          <t>[CONFIRMADO]</t>
        </is>
      </c>
    </row>
    <row r="75" ht="15" customHeight="1" s="36">
      <c r="A75" s="44" t="inlineStr">
        <is>
          <t>M00.03</t>
        </is>
      </c>
      <c r="B75" s="46" t="inlineStr">
        <is>
          <t>MECHANICAL SCHEDULES IF</t>
        </is>
      </c>
      <c r="C75" s="59" t="inlineStr">
        <is>
          <t>73</t>
        </is>
      </c>
      <c r="D75" s="59" t="inlineStr">
        <is>
          <t>[CONFIRMADO]</t>
        </is>
      </c>
    </row>
    <row r="76" ht="15" customHeight="1" s="36">
      <c r="A76" s="44" t="inlineStr">
        <is>
          <t>M00.04</t>
        </is>
      </c>
      <c r="B76" s="46" t="inlineStr">
        <is>
          <t>MECHANICAL LOAD CALCULATIONS Review</t>
        </is>
      </c>
      <c r="C76" s="59" t="inlineStr">
        <is>
          <t>74</t>
        </is>
      </c>
      <c r="D76" s="59" t="inlineStr">
        <is>
          <t>[CONFIRMADO]</t>
        </is>
      </c>
    </row>
    <row r="77" ht="15" customHeight="1" s="36">
      <c r="A77" s="44" t="inlineStr">
        <is>
          <t>M00.05</t>
        </is>
      </c>
      <c r="B77" s="46" t="inlineStr">
        <is>
          <t>MECHANICAL LOAD CALCULATIONS IF</t>
        </is>
      </c>
      <c r="C77" s="59" t="inlineStr">
        <is>
          <t>75</t>
        </is>
      </c>
      <c r="D77" s="59" t="inlineStr">
        <is>
          <t>[CONFIRMADO]</t>
        </is>
      </c>
    </row>
    <row r="78" ht="15" customHeight="1" s="36">
      <c r="A78" s="44" t="inlineStr">
        <is>
          <t>M01.01</t>
        </is>
      </c>
      <c r="B78" s="46" t="inlineStr">
        <is>
          <t>MECHANICAL NEW WORK PLAN IF</t>
        </is>
      </c>
      <c r="C78" s="59" t="inlineStr">
        <is>
          <t>76</t>
        </is>
      </c>
      <c r="D78" s="59" t="inlineStr">
        <is>
          <t>[CONFIRMADO]</t>
        </is>
      </c>
    </row>
    <row r="79" ht="15" customHeight="1" s="36">
      <c r="A79" s="44" t="inlineStr">
        <is>
          <t>M01.02</t>
        </is>
      </c>
      <c r="B79" s="46" t="inlineStr">
        <is>
          <t>MECHANICAL ZONING PLAN IF</t>
        </is>
      </c>
      <c r="C79" s="59" t="inlineStr">
        <is>
          <t>77</t>
        </is>
      </c>
      <c r="D79" s="59" t="inlineStr">
        <is>
          <t>[CONFIRMADO]</t>
        </is>
      </c>
    </row>
    <row r="80" ht="15" customHeight="1" s="36">
      <c r="A80" s="44" t="inlineStr">
        <is>
          <t>M02.01</t>
        </is>
      </c>
      <c r="B80" s="46" t="inlineStr">
        <is>
          <t>MECHANICAL ROOF PLAN</t>
        </is>
      </c>
      <c r="C80" s="59" t="inlineStr">
        <is>
          <t>78</t>
        </is>
      </c>
      <c r="D80" s="59" t="inlineStr">
        <is>
          <t>[CONFIRMADO]</t>
        </is>
      </c>
    </row>
    <row r="81" ht="15" customHeight="1" s="36">
      <c r="A81" s="44" t="inlineStr">
        <is>
          <t>M03.01</t>
        </is>
      </c>
      <c r="B81" s="46" t="inlineStr">
        <is>
          <t>MECHANICAL CONTROLS</t>
        </is>
      </c>
      <c r="C81" s="59" t="inlineStr">
        <is>
          <t>79</t>
        </is>
      </c>
      <c r="D81" s="59" t="inlineStr">
        <is>
          <t>[CONFIRMADO]</t>
        </is>
      </c>
    </row>
    <row r="82" ht="15" customHeight="1" s="36">
      <c r="A82" s="44" t="inlineStr">
        <is>
          <t>E00.01</t>
        </is>
      </c>
      <c r="B82" s="46" t="inlineStr">
        <is>
          <t>ELECTRICAL GENERAL</t>
        </is>
      </c>
      <c r="C82" s="59" t="inlineStr">
        <is>
          <t>80</t>
        </is>
      </c>
      <c r="D82" s="59" t="inlineStr">
        <is>
          <t>[CONFIRMADO]</t>
        </is>
      </c>
    </row>
    <row r="83" ht="15" customHeight="1" s="36">
      <c r="A83" s="44" t="inlineStr">
        <is>
          <t>E01.01</t>
        </is>
      </c>
      <c r="B83" s="46" t="inlineStr">
        <is>
          <t>SITE PLAN - ELECTRICAL</t>
        </is>
      </c>
      <c r="C83" s="59" t="inlineStr">
        <is>
          <t>81</t>
        </is>
      </c>
      <c r="D83" s="59" t="inlineStr">
        <is>
          <t>[CONFIRMADO]</t>
        </is>
      </c>
    </row>
    <row r="84" ht="15" customHeight="1" s="36">
      <c r="A84" s="44" t="inlineStr">
        <is>
          <t>E02.01</t>
        </is>
      </c>
      <c r="B84" s="46" t="inlineStr">
        <is>
          <t>FLOOR PLAN - LIGHTING</t>
        </is>
      </c>
      <c r="C84" s="59" t="inlineStr">
        <is>
          <t>82</t>
        </is>
      </c>
      <c r="D84" s="59" t="inlineStr">
        <is>
          <t>[CONFIRMADO]</t>
        </is>
      </c>
    </row>
    <row r="85" ht="15" customHeight="1" s="36">
      <c r="A85" s="44" t="inlineStr">
        <is>
          <t>E02.02</t>
        </is>
      </c>
      <c r="B85" s="46" t="inlineStr">
        <is>
          <t>FLOOR PLAN - ELECTRICAL</t>
        </is>
      </c>
      <c r="C85" s="59" t="inlineStr">
        <is>
          <t>83</t>
        </is>
      </c>
      <c r="D85" s="59" t="inlineStr">
        <is>
          <t>[CONFIRMADO]</t>
        </is>
      </c>
    </row>
    <row r="86" ht="15" customHeight="1" s="36">
      <c r="A86" s="44" t="inlineStr">
        <is>
          <t>E02.03</t>
        </is>
      </c>
      <c r="B86" s="46" t="inlineStr">
        <is>
          <t>FLOOR PLAN - FIRE ALARM</t>
        </is>
      </c>
      <c r="C86" s="59" t="inlineStr">
        <is>
          <t>84</t>
        </is>
      </c>
      <c r="D86" s="59" t="inlineStr">
        <is>
          <t>[CONFIRMADO]</t>
        </is>
      </c>
    </row>
    <row r="87" ht="15" customHeight="1" s="36">
      <c r="A87" s="44" t="inlineStr">
        <is>
          <t>E02.04</t>
        </is>
      </c>
      <c r="B87" s="46" t="inlineStr">
        <is>
          <t>FLOOR PLAN - MECH. EQUIPMENT</t>
        </is>
      </c>
      <c r="C87" s="59" t="inlineStr">
        <is>
          <t>85</t>
        </is>
      </c>
      <c r="D87" s="59" t="inlineStr">
        <is>
          <t>[CONFIRMADO]</t>
        </is>
      </c>
    </row>
    <row r="88" ht="15" customHeight="1" s="36">
      <c r="A88" s="44" t="inlineStr">
        <is>
          <t>E02.05</t>
        </is>
      </c>
      <c r="B88" s="46" t="inlineStr">
        <is>
          <t>FLOOR PLAN - PHOTOMETRIC</t>
        </is>
      </c>
      <c r="C88" s="59" t="inlineStr">
        <is>
          <t>86</t>
        </is>
      </c>
      <c r="D88" s="59" t="inlineStr">
        <is>
          <t>[CONFIRMADO]</t>
        </is>
      </c>
    </row>
    <row r="89" ht="15" customHeight="1" s="36">
      <c r="A89" s="44" t="inlineStr">
        <is>
          <t>E03.01</t>
        </is>
      </c>
      <c r="B89" s="46" t="inlineStr">
        <is>
          <t>ROOF PLAN - MECH. EQUIPMENT</t>
        </is>
      </c>
      <c r="C89" s="59" t="inlineStr">
        <is>
          <t>87</t>
        </is>
      </c>
      <c r="D89" s="59" t="inlineStr">
        <is>
          <t>[CONFIRMADO]</t>
        </is>
      </c>
    </row>
    <row r="90" ht="15" customHeight="1" s="36">
      <c r="A90" s="44" t="inlineStr">
        <is>
          <t>E04.01</t>
        </is>
      </c>
      <c r="B90" s="46" t="inlineStr">
        <is>
          <t>ELECTRICAL RISER DIAGRAM AND SCHEDULES</t>
        </is>
      </c>
      <c r="C90" s="59" t="inlineStr">
        <is>
          <t>88</t>
        </is>
      </c>
      <c r="D90" s="59" t="inlineStr">
        <is>
          <t>[CONFIRMADO]</t>
        </is>
      </c>
    </row>
    <row r="91" ht="15" customHeight="1" s="36">
      <c r="A91" s="44" t="inlineStr">
        <is>
          <t>E04.02</t>
        </is>
      </c>
      <c r="B91" s="46" t="inlineStr">
        <is>
          <t>ELECTRICAL DETAILS</t>
        </is>
      </c>
      <c r="C91" s="59" t="inlineStr">
        <is>
          <t>89</t>
        </is>
      </c>
      <c r="D91" s="59" t="inlineStr">
        <is>
          <t>[CONFIRMADO]</t>
        </is>
      </c>
    </row>
    <row r="92" ht="15" customHeight="1" s="36">
      <c r="A92" s="44" t="inlineStr">
        <is>
          <t>P00.01</t>
        </is>
      </c>
      <c r="B92" s="46" t="inlineStr">
        <is>
          <t>PLUMBING GENERAL</t>
        </is>
      </c>
      <c r="C92" s="59" t="inlineStr">
        <is>
          <t>90</t>
        </is>
      </c>
      <c r="D92" s="59" t="inlineStr">
        <is>
          <t>[CONFIRMADO]</t>
        </is>
      </c>
    </row>
    <row r="93" ht="15" customHeight="1" s="36">
      <c r="A93" s="44" t="inlineStr">
        <is>
          <t>P01.01</t>
        </is>
      </c>
      <c r="B93" s="46" t="inlineStr">
        <is>
          <t>PLUMBING FLOOR PLAN - SANITARY</t>
        </is>
      </c>
      <c r="C93" s="59" t="inlineStr">
        <is>
          <t>91</t>
        </is>
      </c>
      <c r="D93" s="59" t="inlineStr">
        <is>
          <t>[CONFIRMADO]</t>
        </is>
      </c>
    </row>
    <row r="94" ht="15" customHeight="1" s="36">
      <c r="A94" s="44" t="inlineStr">
        <is>
          <t>P01.02</t>
        </is>
      </c>
      <c r="B94" s="46" t="inlineStr">
        <is>
          <t>PLUMBING FLOOR PLAN - SUPPLY</t>
        </is>
      </c>
      <c r="C94" s="59" t="inlineStr">
        <is>
          <t>92</t>
        </is>
      </c>
      <c r="D94" s="59" t="inlineStr">
        <is>
          <t>[CONFIRMADO]</t>
        </is>
      </c>
    </row>
    <row r="95" ht="15" customHeight="1" s="36">
      <c r="A95" s="44" t="inlineStr">
        <is>
          <t>P02.01</t>
        </is>
      </c>
      <c r="B95" s="46" t="inlineStr">
        <is>
          <t>PLUMBING ROOF PLAN</t>
        </is>
      </c>
      <c r="C95" s="59" t="inlineStr">
        <is>
          <t>93</t>
        </is>
      </c>
      <c r="D95" s="59" t="inlineStr">
        <is>
          <t>[CONFIRMADO]</t>
        </is>
      </c>
    </row>
    <row r="96" ht="15" customHeight="1" s="36">
      <c r="A96" s="44" t="inlineStr">
        <is>
          <t>P03.01</t>
        </is>
      </c>
      <c r="B96" s="46" t="inlineStr">
        <is>
          <t>PLUMBING RISER DIAGRAMS</t>
        </is>
      </c>
      <c r="C96" s="59" t="inlineStr">
        <is>
          <t>94</t>
        </is>
      </c>
      <c r="D96" s="59" t="inlineStr">
        <is>
          <t>[CONFIRMADO]</t>
        </is>
      </c>
    </row>
    <row r="98" ht="15" customHeight="1" s="36">
      <c r="A98" s="44" t="inlineStr">
        <is>
          <t>Revision log of A00.00</t>
        </is>
      </c>
    </row>
    <row r="99" ht="23.25" customHeight="1" s="36">
      <c r="A99" s="46" t="inlineStr">
        <is>
          <t>IF Schematic Design Final</t>
        </is>
      </c>
      <c r="C99" s="59" t="inlineStr">
        <is>
          <t>09/29/2023</t>
        </is>
      </c>
    </row>
    <row r="100" ht="23.25" customHeight="1" s="36">
      <c r="A100" s="46" t="inlineStr">
        <is>
          <t>IF COE Package</t>
        </is>
      </c>
      <c r="C100" s="59" t="inlineStr">
        <is>
          <t>11/09/2023</t>
        </is>
      </c>
    </row>
    <row r="101" ht="34.5" customHeight="1" s="36">
      <c r="A101" s="46" t="inlineStr">
        <is>
          <t>IF Design Development 90%</t>
        </is>
      </c>
      <c r="C101" s="59" t="inlineStr">
        <is>
          <t>07/19/2024</t>
        </is>
      </c>
    </row>
    <row r="102" ht="34.5" customHeight="1" s="36">
      <c r="A102" s="46" t="inlineStr">
        <is>
          <t>IF Design Development Final</t>
        </is>
      </c>
      <c r="C102" s="59" t="inlineStr">
        <is>
          <t>08/19/2024</t>
        </is>
      </c>
    </row>
    <row r="103" ht="34.5" customHeight="1" s="36">
      <c r="A103" s="46" t="inlineStr">
        <is>
          <t>IF Construction Document</t>
        </is>
      </c>
      <c r="C103" s="59" t="inlineStr">
        <is>
          <t>09/20/2024</t>
        </is>
      </c>
    </row>
    <row r="104" ht="45.75" customHeight="1" s="36">
      <c r="A104" s="46" t="inlineStr">
        <is>
          <t>IF Construction Document Final</t>
        </is>
      </c>
      <c r="C104" s="59" t="inlineStr">
        <is>
          <t>12/05/2024</t>
        </is>
      </c>
    </row>
    <row r="105" ht="15" customHeight="1" s="36">
      <c r="A105" s="46" t="inlineStr">
        <is>
          <t>IF CD 90</t>
        </is>
      </c>
      <c r="C105" s="59" t="inlineStr">
        <is>
          <t>08/15/2025</t>
        </is>
      </c>
    </row>
    <row r="106" ht="15" customHeight="1" s="36">
      <c r="A106" s="46" t="inlineStr">
        <is>
          <t>IF Permit</t>
        </is>
      </c>
      <c r="C106" s="59" t="inlineStr">
        <is>
          <t>08/26/2025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L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8" min="1" max="1"/>
    <col width="22" customWidth="1" style="38" min="2" max="2"/>
    <col width="11" customWidth="1" style="38" min="3" max="3"/>
    <col width="16" customWidth="1" style="38" min="4" max="4"/>
    <col width="7" customWidth="1" style="38" min="5" max="6"/>
    <col width="10" customWidth="1" style="38" min="7" max="7"/>
    <col width="24" customWidth="1" style="38" min="8" max="8"/>
    <col width="14" customWidth="1" style="38" min="9" max="9"/>
    <col width="16" customWidth="1" style="38" min="10" max="10"/>
    <col width="60" customWidth="1" style="38" min="11" max="12"/>
  </cols>
  <sheetData>
    <row r="1" ht="15.75" customHeight="1" s="36">
      <c r="A1" s="41" t="inlineStr">
        <is>
          <t>PARTITION TYPES - composition, source and sealed state</t>
        </is>
      </c>
    </row>
    <row r="3" ht="33.75" customHeight="1" s="36">
      <c r="A3" s="54" t="inlineStr">
        <is>
          <t>Tag</t>
        </is>
      </c>
      <c r="B3" s="54" t="inlineStr">
        <is>
          <t>Walls</t>
        </is>
      </c>
      <c r="C3" s="54" t="inlineStr">
        <is>
          <t>Stud size</t>
        </is>
      </c>
      <c r="D3" s="54" t="inlineStr">
        <is>
          <t>Designation</t>
        </is>
      </c>
      <c r="E3" s="54" t="inlineStr">
        <is>
          <t>O.C.</t>
        </is>
      </c>
      <c r="F3" s="54" t="inlineStr">
        <is>
          <t>Rows</t>
        </is>
      </c>
      <c r="G3" s="54" t="inlineStr">
        <is>
          <t>Brace O.C.</t>
        </is>
      </c>
      <c r="H3" s="54" t="inlineStr">
        <is>
          <t>Board by face</t>
        </is>
      </c>
      <c r="I3" s="54" t="inlineStr">
        <is>
          <t>Stud height ft</t>
        </is>
      </c>
      <c r="J3" s="54" t="inlineStr">
        <is>
          <t>State of the height</t>
        </is>
      </c>
      <c r="K3" s="54" t="inlineStr">
        <is>
          <t>Source of the stud profile</t>
        </is>
      </c>
      <c r="L3" s="54" t="inlineStr">
        <is>
          <t>Insulation</t>
        </is>
      </c>
    </row>
    <row r="4" ht="79.5" customHeight="1" s="36">
      <c r="A4" s="44" t="inlineStr">
        <is>
          <t>A1</t>
        </is>
      </c>
      <c r="B4" s="59" t="inlineStr">
        <is>
          <t>#1, #2, #3, #4, #5, #6, #7, #8, #9</t>
        </is>
      </c>
      <c r="C4" s="59" t="inlineStr">
        <is>
          <t>3-5/8"</t>
        </is>
      </c>
      <c r="D4" s="59" t="inlineStr">
        <is>
          <t>362S137-33</t>
        </is>
      </c>
      <c r="E4" s="59" t="n">
        <v>16</v>
      </c>
      <c r="F4" s="59" t="inlineStr">
        <is>
          <t>1</t>
        </is>
      </c>
      <c r="G4" s="59" t="inlineStr">
        <is>
          <t>48</t>
        </is>
      </c>
      <c r="H4" s="46" t="inlineStr">
        <is>
          <t>5/8 GYP x1 (walls #1, #2, #3, #4, #5, #6, #7, #8, #9)</t>
        </is>
      </c>
      <c r="I4" s="46" t="inlineStr">
        <is>
          <t>15.375 ft on #1, #2, #3, #4 | 12.971 ft on #5 | 12.927 ft on #6 | 12.963 ft on #7 | 12.890 ft on #8 | 12.775 ft on #9</t>
        </is>
      </c>
      <c r="J4" s="46" t="inlineStr">
        <is>
          <t>[DERIVADO] | [DERIVADO] | [DERIVADO] | [DERIVADO] | [DERIVADO] | [DERIVADO]</t>
        </is>
      </c>
      <c r="K4" s="46" t="inlineStr">
        <is>
          <t>7/S5.20 METAL STUD PROPERTIES, fila 3 5/8", APPLICATION "INTERIOR WALLS @ 16" O.C."</t>
        </is>
      </c>
      <c r="L4" s="46" t="inlineStr">
        <is>
          <t>Fuera de alcance por instruccion de Rodolfo del 19-sep-2026: 'por ahora no hacemos insulation'. El plano SI la pide -el schedule de 3/A12.01 dice INSULATION YES</t>
        </is>
      </c>
    </row>
    <row r="5" ht="45.75" customHeight="1" s="36">
      <c r="A5" s="44" t="inlineStr">
        <is>
          <t>A1K</t>
        </is>
      </c>
      <c r="B5" s="59" t="inlineStr">
        <is>
          <t>#11, #12, #13</t>
        </is>
      </c>
      <c r="C5" s="59" t="inlineStr">
        <is>
          <t>3-5/8"</t>
        </is>
      </c>
      <c r="D5" s="59" t="inlineStr">
        <is>
          <t>362S137-68</t>
        </is>
      </c>
      <c r="E5" s="59" t="n">
        <v>24</v>
      </c>
      <c r="F5" s="59" t="inlineStr">
        <is>
          <t>1</t>
        </is>
      </c>
      <c r="G5" s="59" t="inlineStr">
        <is>
          <t>48</t>
        </is>
      </c>
      <c r="H5" s="46" t="inlineStr">
        <is>
          <t>5/8 GYP 1 layer x1 (walls #11, #12, #13)</t>
        </is>
      </c>
      <c r="I5" s="46" t="inlineStr">
        <is>
          <t>15.375 ft on #11 | 12.933 ft on #12 | 12.921 ft on #13</t>
        </is>
      </c>
      <c r="J5" s="46" t="inlineStr">
        <is>
          <t>[DERIVADO] | [DERIVADO] | [DERIVADO]</t>
        </is>
      </c>
      <c r="K5" s="46" t="inlineStr">
        <is>
          <t>4/A12.01 fila A1K: "14 GA. METAL STUDS @ 24" O.C. MAX" (balistico; mas grueso que el 33 mil del schedule)</t>
        </is>
      </c>
      <c r="L5" s="46" t="inlineStr">
        <is>
          <t>Excluida por instruccion de alcance del usuario. El plano SI la pide: la fila A1K del schedule de 4/A12.01 pone INSULATION YES y el detalle dibuja la cavidad. D</t>
        </is>
      </c>
    </row>
    <row r="6" ht="57" customHeight="1" s="36">
      <c r="A6" s="44" t="inlineStr">
        <is>
          <t>A5</t>
        </is>
      </c>
      <c r="B6" s="59" t="inlineStr">
        <is>
          <t>#14, #15, #16, #17</t>
        </is>
      </c>
      <c r="C6" s="59" t="inlineStr">
        <is>
          <t>6"</t>
        </is>
      </c>
      <c r="D6" s="59" t="inlineStr">
        <is>
          <t>600S137-33</t>
        </is>
      </c>
      <c r="E6" s="59" t="n">
        <v>16</v>
      </c>
      <c r="F6" s="59" t="inlineStr">
        <is>
          <t>1</t>
        </is>
      </c>
      <c r="G6" s="59" t="inlineStr">
        <is>
          <t>48</t>
        </is>
      </c>
      <c r="H6" s="46" t="inlineStr">
        <is>
          <t>5/8 GYP x1 (walls #14, #15, #16, #17)</t>
        </is>
      </c>
      <c r="I6" s="46" t="inlineStr">
        <is>
          <t>15.375 ft on #14, #15 | 13.052 ft on #16 | 12.927 ft on #17</t>
        </is>
      </c>
      <c r="J6" s="46" t="inlineStr">
        <is>
          <t>[DERIVADO] | [DERIVADO] | [DERIVADO]</t>
        </is>
      </c>
      <c r="K6" s="46" t="inlineStr">
        <is>
          <t>A12.01 PARTITION SCHEDULE, fila "A5 | 6" | -- | -- | 5/8" | 7 1/4" | YES": stud de 6" y WALL THICKNESS 7 1/4" = 6 + 5/8 + 5/8. El thickness medido en planta (10.92 pt = 7.28") lo confirma</t>
        </is>
      </c>
      <c r="L6" s="46" t="inlineStr">
        <is>
          <t>Out of scope by Rodolfo's instruction of 19-sep-2026. The drawings DO call for it: the A5 row of the A12.01 schedule reads INSULATION YES and 3/A12.01 PARTITION</t>
        </is>
      </c>
    </row>
    <row r="7" ht="90.75" customHeight="1" s="36">
      <c r="A7" s="44" t="inlineStr">
        <is>
          <t>B</t>
        </is>
      </c>
      <c r="B7" s="59" t="inlineStr">
        <is>
          <t>#18, #19, #20, #21, #22, #23</t>
        </is>
      </c>
      <c r="C7" s="59" t="inlineStr">
        <is>
          <t>3-5/8"</t>
        </is>
      </c>
      <c r="D7" s="59" t="inlineStr">
        <is>
          <t>362S137-33</t>
        </is>
      </c>
      <c r="E7" s="59" t="n">
        <v>16</v>
      </c>
      <c r="F7" s="59" t="inlineStr">
        <is>
          <t>1</t>
        </is>
      </c>
      <c r="G7" s="59" t="inlineStr">
        <is>
          <t>48</t>
        </is>
      </c>
      <c r="H7" s="46" t="inlineStr">
        <is>
          <t>5/8 GYP x1 (walls #18, #19, #20, #21, #22, #23)</t>
        </is>
      </c>
      <c r="I7" s="46" t="inlineStr">
        <is>
          <t>12.827 ft on #18 | 12.743 ft on #19 | 12.748 ft on #20 | 12.666 ft on #21 | 12.698 ft on #22 | 12.831 ft on #23</t>
        </is>
      </c>
      <c r="J7" s="46" t="inlineStr">
        <is>
          <t>[DERIVADO] | [DERIVADO] | [DERIVADO] | [DERIVADO] | [DERIVADO] | [DERIVADO]</t>
        </is>
      </c>
      <c r="K7" s="46" t="inlineStr">
        <is>
          <t>A12.01 PARTITION SCHEDULE, fila "B | 3 5/8" | -- | -- | 5/8" | 4 7/8" | YES" = 3 5/8 + 5/8 + 5/8</t>
        </is>
      </c>
      <c r="L7" s="46" t="inlineStr">
        <is>
          <t>Out of scope by Rodolfo's instruction of 19-sep-2026. The drawings DO ask for it: the B row of the A12.01 schedule reads INSULATION YES and 1/A12.01 PARTITION T</t>
        </is>
      </c>
    </row>
    <row r="8" ht="34.5" customHeight="1" s="36">
      <c r="A8" s="44" t="inlineStr">
        <is>
          <t>B2</t>
        </is>
      </c>
      <c r="B8" s="59" t="inlineStr">
        <is>
          <t>#25, #26, #27, #28</t>
        </is>
      </c>
      <c r="C8" s="59" t="inlineStr">
        <is>
          <t>6"</t>
        </is>
      </c>
      <c r="D8" s="59" t="inlineStr">
        <is>
          <t>600S137-33</t>
        </is>
      </c>
      <c r="E8" s="59" t="n">
        <v>16</v>
      </c>
      <c r="F8" s="59" t="inlineStr">
        <is>
          <t>1</t>
        </is>
      </c>
      <c r="G8" s="59" t="inlineStr">
        <is>
          <t>48</t>
        </is>
      </c>
      <c r="H8" s="46" t="inlineStr">
        <is>
          <t>5/8 GYP x1 (walls #25, #26, #27, #28)</t>
        </is>
      </c>
      <c r="I8" s="46" t="inlineStr">
        <is>
          <t>15.375 ft on #25 | 13.052 ft on #26, #27, #28</t>
        </is>
      </c>
      <c r="J8" s="46" t="inlineStr">
        <is>
          <t>[DERIVADO] | [DERIVADO]</t>
        </is>
      </c>
      <c r="K8" s="46" t="inlineStr">
        <is>
          <t>A12.01 PARTITION SCHEDULE, fila "B2 | 6" | -- | -- | 5/8" | 7 1/4" | YES". El propio cierre nombra 600S137-33 y 600T125-33, y el thickness medido (10.80 pt = 7.20") cuadra con 7 1/4"</t>
        </is>
      </c>
      <c r="L8" s="46" t="inlineStr">
        <is>
          <t>Fuera de alcance por instruccion de Rodolfo del 19-sep-2026: 'por ahora no hacemos insulation'. 1/A12.01 marca INSULATION: YES para B2 y dibuja BATT INSULATION,</t>
        </is>
      </c>
    </row>
    <row r="9" ht="34.5" customHeight="1" s="36">
      <c r="A9" s="44" t="inlineStr">
        <is>
          <t>B2K</t>
        </is>
      </c>
      <c r="B9" s="59" t="inlineStr">
        <is>
          <t>#31</t>
        </is>
      </c>
      <c r="C9" s="59" t="inlineStr">
        <is>
          <t>6"</t>
        </is>
      </c>
      <c r="D9" s="59" t="inlineStr">
        <is>
          <t>600S137-68</t>
        </is>
      </c>
      <c r="E9" s="59" t="n">
        <v>24</v>
      </c>
      <c r="F9" s="59" t="inlineStr">
        <is>
          <t>1</t>
        </is>
      </c>
      <c r="G9" s="59" t="inlineStr">
        <is>
          <t>48</t>
        </is>
      </c>
      <c r="H9" s="46" t="inlineStr">
        <is>
          <t>5/8 GYP x1 (walls #31)</t>
        </is>
      </c>
      <c r="I9" s="46" t="inlineStr">
        <is>
          <t>15.375 ft on #31</t>
        </is>
      </c>
      <c r="J9" s="46" t="inlineStr">
        <is>
          <t>[DERIVADO]</t>
        </is>
      </c>
      <c r="K9" s="46" t="inlineStr">
        <is>
          <t>4/A12.01: "14 GA. METAL STUDS @ 24" O.C. MAX"; alma y ala de la fila de 6" de S5.20, calibre 68 mil</t>
        </is>
      </c>
      <c r="L9" s="46" t="inlineStr">
        <is>
          <t xml:space="preserve">Out of scope by Rodolfo's instruction of 19-sep-2026. The drawings DO call for it: the A5K row of 4/A12.01 PARTITION TYPE A1K &amp; A5K, from which B2K is derived, </t>
        </is>
      </c>
    </row>
    <row r="10" ht="34.5" customHeight="1" s="36">
      <c r="A10" s="44" t="inlineStr">
        <is>
          <t>BULKHEAD-G</t>
        </is>
      </c>
      <c r="B10" s="59" t="inlineStr">
        <is>
          <t>#54, #55</t>
        </is>
      </c>
      <c r="C10" s="59" t="inlineStr">
        <is>
          <t>1-5/8"</t>
        </is>
      </c>
      <c r="D10" s="59" t="inlineStr">
        <is>
          <t>162S-family</t>
        </is>
      </c>
      <c r="E10" s="59" t="n">
        <v>16</v>
      </c>
      <c r="F10" s="59" t="inlineStr">
        <is>
          <t>2</t>
        </is>
      </c>
      <c r="G10" s="59" t="inlineStr">
        <is>
          <t>48</t>
        </is>
      </c>
      <c r="H10" s="46" t="inlineStr">
        <is>
          <t>5/8 GYP x2 layers x2 (walls #54, #55)</t>
        </is>
      </c>
      <c r="I10" s="46" t="inlineStr">
        <is>
          <t>7.333 ft on #54, #55</t>
        </is>
      </c>
      <c r="J10" s="46" t="inlineStr">
        <is>
          <t>[DERIVADO]</t>
        </is>
      </c>
      <c r="K10" s="46" t="inlineStr">
        <is>
          <t>8 y 9/A12.01 BULKHEAD del office front: stud 1 5/8" (familia G), doble row</t>
        </is>
      </c>
      <c r="L10" s="46" t="inlineStr">
        <is>
          <t xml:space="preserve">Excluida por instruccion de alcance del usuario. El detalle 9/A12.01 SI dibuja la cavidad con el SOUNDGUARD ISOLATOR BY MARINOWARE entre las dos rows y la fila </t>
        </is>
      </c>
    </row>
    <row r="11" ht="68.25" customHeight="1" s="36">
      <c r="A11" s="44" t="inlineStr">
        <is>
          <t>C1</t>
        </is>
      </c>
      <c r="B11" s="59" t="inlineStr">
        <is>
          <t>#32, #33, #34, #35, #36, #37, #38, #39</t>
        </is>
      </c>
      <c r="C11" s="59" t="inlineStr">
        <is>
          <t>3-5/8"</t>
        </is>
      </c>
      <c r="D11" s="59" t="inlineStr">
        <is>
          <t>362S137-33</t>
        </is>
      </c>
      <c r="E11" s="59" t="n">
        <v>16</v>
      </c>
      <c r="F11" s="59" t="inlineStr">
        <is>
          <t>1</t>
        </is>
      </c>
      <c r="G11" s="59" t="inlineStr">
        <is>
          <t>48</t>
        </is>
      </c>
      <c r="H11" s="46" t="inlineStr">
        <is>
          <t>5/8 GYP x1 (walls #32, #33, #34, #35, #36, #37, #38, #39)</t>
        </is>
      </c>
      <c r="I11" s="46" t="inlineStr">
        <is>
          <t>10.000 ft on #32, #33 | 11.500 ft on #34, #35, #36 | 9.000 ft on #37, #38, #39</t>
        </is>
      </c>
      <c r="J11" s="46" t="inlineStr">
        <is>
          <t>[DERIVADO] | [DERIVADO] | [DERIVADO]</t>
        </is>
      </c>
      <c r="K11" s="46" t="inlineStr">
        <is>
          <t>7/S5.20 METAL STUD PROPERTIES, fila 3 5/8"</t>
        </is>
      </c>
      <c r="L11" s="46" t="inlineStr">
        <is>
          <t>Out of scope by Rodolfo's instruction of 19-sep-2026, and 6/A12.01 PARTITION TYPE C1 does not draw it either: C1 is furring against the structure, with no cavit</t>
        </is>
      </c>
    </row>
    <row r="12" ht="34.5" customHeight="1" s="36">
      <c r="A12" s="44" t="inlineStr">
        <is>
          <t>CANOPY-COL</t>
        </is>
      </c>
      <c r="B12" s="59" t="inlineStr">
        <is>
          <t>#66, #67, #68, #69</t>
        </is>
      </c>
      <c r="C12" s="59" t="inlineStr">
        <is>
          <t>3-5/8"</t>
        </is>
      </c>
      <c r="D12" s="59" t="inlineStr">
        <is>
          <t>362S137-33</t>
        </is>
      </c>
      <c r="E12" s="59" t="n">
        <v>16</v>
      </c>
      <c r="F12" s="59" t="inlineStr">
        <is>
          <t>1</t>
        </is>
      </c>
      <c r="G12" s="59" t="inlineStr">
        <is>
          <t>48</t>
        </is>
      </c>
      <c r="H12" s="46" t="inlineStr">
        <is>
          <t>5/8 EXTERIOR GRADE FRT PLYWOOD x1 (walls #66, #67, #68, #69)</t>
        </is>
      </c>
      <c r="I12" s="46" t="inlineStr">
        <is>
          <t>10.500 ft on #66, #67, #68, #69</t>
        </is>
      </c>
      <c r="J12" s="46" t="inlineStr">
        <is>
          <t>[DERIVADO]</t>
        </is>
      </c>
      <c r="K12" s="46" t="inlineStr">
        <is>
          <t>5/A09.25 DETAIL @ CANOPY COLUMN: "STUCCO SYSTEM (PT-03) ON 5/8" EXTERIOR GRADE FRT PLYWOOD ON 3-5/8" METAL FRAMING"</t>
        </is>
      </c>
      <c r="L12" s="46" t="inlineStr">
        <is>
          <t>EXCLUDED por instruccion de alcance del usuario (no insulation en este bid). 5/A09.25 no rotula insulation dentro del furring de la columna; el "SPRAY FOAM INSU</t>
        </is>
      </c>
    </row>
    <row r="13" ht="68.25" customHeight="1" s="36">
      <c r="A13" s="44" t="inlineStr">
        <is>
          <t>EXT-6CFMF</t>
        </is>
      </c>
      <c r="B13" s="59" t="inlineStr">
        <is>
          <t>#60, #61, #62, #63, #64, #65</t>
        </is>
      </c>
      <c r="C13" s="59" t="inlineStr">
        <is>
          <t>6"</t>
        </is>
      </c>
      <c r="D13" s="59" t="inlineStr">
        <is>
          <t>600S137-33</t>
        </is>
      </c>
      <c r="E13" s="59" t="n">
        <v>16</v>
      </c>
      <c r="F13" s="59" t="inlineStr">
        <is>
          <t>1</t>
        </is>
      </c>
      <c r="G13" s="59" t="inlineStr">
        <is>
          <t>48</t>
        </is>
      </c>
      <c r="H13" s="46" t="inlineStr">
        <is>
          <t>5/8 GYP x1 (walls #60, #61, #62, #63, #64, #65)</t>
        </is>
      </c>
      <c r="I13" s="46" t="inlineStr">
        <is>
          <t>15.375 ft on #60, #64, #65 | 14.520 ft on #61 | 12.531 ft on #62 | 13.990 ft on #63</t>
        </is>
      </c>
      <c r="J13" s="46" t="inlineStr">
        <is>
          <t>[DERIVADO] | [DERIVADO] | [DERIVADO] | [DERIVADO]</t>
        </is>
      </c>
      <c r="K13" s="46" t="inlineStr">
        <is>
          <t>7/S5.20 fila 6", APPLICATION "EXTERIOR WALLS @ 16" O.C."; H/A09.23 rotula "6" CFMF"</t>
        </is>
      </c>
      <c r="L13" s="46" t="inlineStr">
        <is>
          <t>Excluida por instruccion de alcance del usuario. El plano SI la pide: H/A09.23 rotula SPRAY FOAM INSULATION en la cavidad del 6" CFMF y MIN. 6" RIGID INSULATION</t>
        </is>
      </c>
    </row>
    <row r="14" ht="79.5" customHeight="1" s="36">
      <c r="A14" s="44" t="inlineStr">
        <is>
          <t>EXT-PARAPET</t>
        </is>
      </c>
      <c r="B14" s="59" t="inlineStr">
        <is>
          <t>#160, #161, #162, #163, #164, #165</t>
        </is>
      </c>
      <c r="C14" s="59" t="inlineStr">
        <is>
          <t>6" 54mil</t>
        </is>
      </c>
      <c r="D14" s="59" t="inlineStr">
        <is>
          <t>600S162-54</t>
        </is>
      </c>
      <c r="E14" s="59" t="n">
        <v>16</v>
      </c>
      <c r="F14" s="59" t="inlineStr">
        <is>
          <t>1</t>
        </is>
      </c>
      <c r="G14" s="59" t="inlineStr">
        <is>
          <t>48</t>
        </is>
      </c>
      <c r="H14" s="46" t="inlineStr">
        <is>
          <t>5/8 EXTERIOR GYPSUM SHEATHING x1 (walls #160, #161, #162, #163, #164, #165)</t>
        </is>
      </c>
      <c r="I14" s="46" t="inlineStr">
        <is>
          <t>2.042 ft on #160 | 2.897 ft on #161 | 4.886 ft on #162 | 3.427 ft on #163 | 4.292 ft on #164, #165</t>
        </is>
      </c>
      <c r="J14" s="46" t="inlineStr">
        <is>
          <t>[DERIVADO] | [DERIVADO] | [DERIVADO] | [DERIVADO] | [DERIVADO]</t>
        </is>
      </c>
      <c r="K14" s="46" t="inlineStr">
        <is>
          <t>11/S5.10 PARAPET INFILL FRAMING: "PARAPET WALL INFILL FRAMING TO BE 600S162-54 @ 16" W/ 600T125-54 TOP &amp; BOT." -- 54 mil, NO los 33 mil del wall de abajo</t>
        </is>
      </c>
      <c r="L14" s="46" t="inlineStr">
        <is>
          <t>Excluida por instruccion de alcance del usuario. El plano SI la pide: H/A09.23 rotula SPRAY FOAM INSULATION en la cavidad del 6" CFMF y MIN. 6" RIGID INSULATION</t>
        </is>
      </c>
    </row>
    <row r="15" ht="34.5" customHeight="1" s="36">
      <c r="A15" s="44" t="inlineStr">
        <is>
          <t>F</t>
        </is>
      </c>
      <c r="B15" s="59" t="inlineStr">
        <is>
          <t>#40</t>
        </is>
      </c>
      <c r="C15" s="59" t="inlineStr">
        <is>
          <t>3-5/8"</t>
        </is>
      </c>
      <c r="D15" s="59" t="inlineStr">
        <is>
          <t>362S137-33</t>
        </is>
      </c>
      <c r="E15" s="59" t="n">
        <v>16</v>
      </c>
      <c r="F15" s="59" t="inlineStr">
        <is>
          <t>1</t>
        </is>
      </c>
      <c r="G15" s="59" t="inlineStr">
        <is>
          <t>48</t>
        </is>
      </c>
      <c r="H15" s="46" t="inlineStr">
        <is>
          <t>5/8 GYP + 3/4 FRT PLYWOOD x1 (walls #40) | 5/8 GYP x1 (walls #40)</t>
        </is>
      </c>
      <c r="I15" s="46" t="inlineStr">
        <is>
          <t>15.375 ft on #40</t>
        </is>
      </c>
      <c r="J15" s="46" t="inlineStr">
        <is>
          <t>[DERIVADO]</t>
        </is>
      </c>
      <c r="K15" s="46" t="inlineStr">
        <is>
          <t>12/A12.01 PARTITION TYPE F, rotulado TEXTUALMENTE 3 5/8" @ 16" O.C.</t>
        </is>
      </c>
      <c r="L15" s="46" t="inlineStr">
        <is>
          <t>Excluida por instruccion de alcance del usuario. El detalle 12/A12.01 SI la dibuja y la rotula BATT INSULATION dentro de la cavidad. Delta declarado en Clarific</t>
        </is>
      </c>
    </row>
    <row r="16" ht="57" customHeight="1" s="36">
      <c r="A16" s="44" t="inlineStr">
        <is>
          <t>G</t>
        </is>
      </c>
      <c r="B16" s="59" t="inlineStr">
        <is>
          <t>#41, #42, #43, #44, #45, #46, #47, #48, #49, #52</t>
        </is>
      </c>
      <c r="C16" s="59" t="inlineStr">
        <is>
          <t>1-5/8"</t>
        </is>
      </c>
      <c r="D16" s="59" t="inlineStr">
        <is>
          <t>162S-family</t>
        </is>
      </c>
      <c r="E16" s="59" t="n">
        <v>16</v>
      </c>
      <c r="F16" s="59" t="inlineStr">
        <is>
          <t>2</t>
        </is>
      </c>
      <c r="G16" s="59" t="inlineStr">
        <is>
          <t>48</t>
        </is>
      </c>
      <c r="H16" s="46" t="inlineStr">
        <is>
          <t>5/8 GYP x2 layers x2 (walls #41, #42, #43, #44, #45, #46, #47, #48, #49, #52)</t>
        </is>
      </c>
      <c r="I16" s="46" t="inlineStr">
        <is>
          <t>15.375 ft on #41, #42, #43, #44, #45, #46, #47, #48, #49, #52</t>
        </is>
      </c>
      <c r="J16" s="46" t="inlineStr">
        <is>
          <t>[DERIVADO]</t>
        </is>
      </c>
      <c r="K16" s="46" t="inlineStr">
        <is>
          <t>5/A12.01 PARTITION G: stud 1 5/8" en DOBLE ROW; 16" O.C. de 7/S5.20</t>
        </is>
      </c>
      <c r="L16" s="46" t="inlineStr">
        <is>
          <t>Excluida por instruccion de alcance del usuario. El plano SI la pide: el schedule de A12.01 pone INSULATION YES en la fila G y el detalle 5/A12.01 la dibuja rot | Excluida por instruccion de alcance. Aqui el plano la pide DOS veces: el schedule de A12.01 pone INSULATION YES en la fila G, y el key note 11 del RCP A04.01 di</t>
        </is>
      </c>
    </row>
    <row r="17" ht="34.5" customHeight="1" s="36">
      <c r="A17" s="44" t="inlineStr">
        <is>
          <t>G1</t>
        </is>
      </c>
      <c r="B17" s="59" t="inlineStr">
        <is>
          <t>#50, #51, #53</t>
        </is>
      </c>
      <c r="C17" s="59" t="inlineStr">
        <is>
          <t>1-5/8"</t>
        </is>
      </c>
      <c r="D17" s="59" t="inlineStr">
        <is>
          <t>162S-family</t>
        </is>
      </c>
      <c r="E17" s="59" t="n">
        <v>16</v>
      </c>
      <c r="F17" s="59" t="inlineStr">
        <is>
          <t>2</t>
        </is>
      </c>
      <c r="G17" s="59" t="inlineStr">
        <is>
          <t>48</t>
        </is>
      </c>
      <c r="H17" s="46" t="inlineStr">
        <is>
          <t>5/8 GYP x2 layers x2 (walls #50, #51, #53)</t>
        </is>
      </c>
      <c r="I17" s="46" t="inlineStr">
        <is>
          <t>15.375 ft on #50, #51, #53</t>
        </is>
      </c>
      <c r="J17" s="46" t="inlineStr">
        <is>
          <t>[DERIVADO]</t>
        </is>
      </c>
      <c r="K17" s="46" t="inlineStr">
        <is>
          <t>5/A12.01 fila G1: stud 1 5/8", doble row</t>
        </is>
      </c>
      <c r="L17" s="46" t="inlineStr">
        <is>
          <t>Excluida por instruccion de alcance del usuario (NO INSULATION). El plano SI la pide: la fila G1 del schedule de A12.01 pone INSULATION YES y el detalle 5/A12.0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7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8" min="1" max="1"/>
    <col width="6" customWidth="1" style="38" min="2" max="2"/>
    <col width="8" customWidth="1" style="38" min="3" max="3"/>
    <col width="74" customWidth="1" style="38" min="4" max="4"/>
    <col width="11" customWidth="1" style="38" min="5" max="5"/>
    <col width="15" customWidth="1" style="38" min="6" max="6"/>
    <col width="46" customWidth="1" style="38" min="7" max="7"/>
  </cols>
  <sheetData>
    <row r="1" ht="15.75" customHeight="1" s="36">
      <c r="A1" s="41" t="inlineStr">
        <is>
          <t>NUMBERED LOCATION LIST PER TAG - the official wall numbering fixed 13-sep-2026</t>
        </is>
      </c>
    </row>
    <row r="2" ht="15" customHeight="1" s="36">
      <c r="A2" s="42" t="inlineStr">
        <is>
          <t>What Rodolfo explicitly confirmed is a SEPARATE fact from what was quantified, and it was never written to a file. The confirmation column says what is recorded; where nothing is recorded it says PENDIENTE rather than claiming a confirmation.</t>
        </is>
      </c>
    </row>
    <row r="4" ht="33.75" customHeight="1" s="36">
      <c r="A4" s="54" t="inlineStr">
        <is>
          <t>Tag</t>
        </is>
      </c>
      <c r="B4" s="54" t="inlineStr">
        <is>
          <t>#</t>
        </is>
      </c>
      <c r="C4" s="54" t="inlineStr">
        <is>
          <t>Wall</t>
        </is>
      </c>
      <c r="D4" s="54" t="inlineStr">
        <is>
          <t>Location as sealed</t>
        </is>
      </c>
      <c r="E4" s="54" t="inlineStr">
        <is>
          <t>LF</t>
        </is>
      </c>
      <c r="F4" s="54" t="inlineStr">
        <is>
          <t>State of the LF</t>
        </is>
      </c>
      <c r="G4" s="54" t="inlineStr">
        <is>
          <t>Confirmed by Rodolfo</t>
        </is>
      </c>
    </row>
    <row r="5" ht="15" customHeight="1" s="36">
      <c r="A5" s="44" t="inlineStr">
        <is>
          <t>A1</t>
        </is>
      </c>
      <c r="B5" s="59" t="n">
        <v>1</v>
      </c>
      <c r="C5" s="59" t="inlineStr">
        <is>
          <t>#1</t>
        </is>
      </c>
      <c r="D5" s="46" t="inlineStr">
        <is>
          <t>Central Zone 103 / Calling Cubes 122 - north wall of Calling Cubes</t>
        </is>
      </c>
      <c r="E5" s="48" t="n">
        <v>16.42</v>
      </c>
      <c r="F5" s="59" t="inlineStr">
        <is>
          <t>[DERIVADO]</t>
        </is>
      </c>
      <c r="G5" s="46" t="inlineStr">
        <is>
          <t>[PENDIENTE] see Handoff - Open Items</t>
        </is>
      </c>
    </row>
    <row r="6" ht="15" customHeight="1" s="36">
      <c r="A6" s="44" t="inlineStr">
        <is>
          <t>A1</t>
        </is>
      </c>
      <c r="B6" s="59" t="n">
        <v>2</v>
      </c>
      <c r="C6" s="59" t="inlineStr">
        <is>
          <t>#2</t>
        </is>
      </c>
      <c r="D6" s="46" t="inlineStr">
        <is>
          <t>MW01 niche / Calling Cubes 122 - back of the printer cabinet</t>
        </is>
      </c>
      <c r="E6" s="48" t="n">
        <v>3.13</v>
      </c>
      <c r="F6" s="59" t="inlineStr">
        <is>
          <t>[CONFIRMADO]</t>
        </is>
      </c>
      <c r="G6" s="46" t="inlineStr">
        <is>
          <t>[PENDIENTE] see Handoff - Open Items</t>
        </is>
      </c>
    </row>
    <row r="7" ht="15" customHeight="1" s="36">
      <c r="A7" s="44" t="inlineStr">
        <is>
          <t>A1</t>
        </is>
      </c>
      <c r="B7" s="59" t="n">
        <v>3</v>
      </c>
      <c r="C7" s="59" t="inlineStr">
        <is>
          <t>#3</t>
        </is>
      </c>
      <c r="D7" s="46" t="inlineStr">
        <is>
          <t>MW01 niche / Calling Cubes 122 - south close of the niche</t>
        </is>
      </c>
      <c r="E7" s="48" t="n">
        <v>2.63</v>
      </c>
      <c r="F7" s="59" t="inlineStr">
        <is>
          <t>[CONFIRMADO]</t>
        </is>
      </c>
      <c r="G7" s="46" t="inlineStr">
        <is>
          <t>[PENDIENTE] see Handoff - Open Items</t>
        </is>
      </c>
    </row>
    <row r="8" ht="15" customHeight="1" s="36">
      <c r="A8" s="44" t="inlineStr">
        <is>
          <t>A1</t>
        </is>
      </c>
      <c r="B8" s="59" t="n">
        <v>4</v>
      </c>
      <c r="C8" s="59" t="inlineStr">
        <is>
          <t>#4</t>
        </is>
      </c>
      <c r="D8" s="46" t="inlineStr">
        <is>
          <t>Corridor 111 - jambs of door 111, entry from Central Zone</t>
        </is>
      </c>
      <c r="E8" s="48" t="n">
        <v>5</v>
      </c>
      <c r="F8" s="59" t="inlineStr">
        <is>
          <t>[CONFIRMADO]</t>
        </is>
      </c>
      <c r="G8" s="46" t="inlineStr">
        <is>
          <t>[PENDIENTE] see Handoff - Open Items</t>
        </is>
      </c>
    </row>
    <row r="9" ht="15" customHeight="1" s="36">
      <c r="A9" s="44" t="inlineStr">
        <is>
          <t>A1</t>
        </is>
      </c>
      <c r="B9" s="59" t="n">
        <v>5</v>
      </c>
      <c r="C9" s="59" t="inlineStr">
        <is>
          <t>#5</t>
        </is>
      </c>
      <c r="D9" s="46" t="inlineStr">
        <is>
          <t>Calling Cubes 122 / Break Room 118 - carries MW21 on the south face</t>
        </is>
      </c>
      <c r="E9" s="48" t="n">
        <v>15.23</v>
      </c>
      <c r="F9" s="59" t="inlineStr">
        <is>
          <t>[DERIVADO]</t>
        </is>
      </c>
      <c r="G9" s="46" t="inlineStr">
        <is>
          <t>[PENDIENTE] see Handoff - Open Items</t>
        </is>
      </c>
    </row>
    <row r="10" ht="15" customHeight="1" s="36">
      <c r="A10" s="44" t="inlineStr">
        <is>
          <t>A1</t>
        </is>
      </c>
      <c r="B10" s="59" t="n">
        <v>6</v>
      </c>
      <c r="C10" s="59" t="inlineStr">
        <is>
          <t>#6</t>
        </is>
      </c>
      <c r="D10" s="46" t="inlineStr">
        <is>
          <t>Break Room 118 / Future FCAM - carries door 118A</t>
        </is>
      </c>
      <c r="E10" s="48" t="n">
        <v>5.5</v>
      </c>
      <c r="F10" s="59" t="inlineStr">
        <is>
          <t>[CONFIRMADO]</t>
        </is>
      </c>
      <c r="G10" s="46" t="inlineStr">
        <is>
          <t>[PENDIENTE] see Handoff - Open Items</t>
        </is>
      </c>
    </row>
    <row r="11" ht="15" customHeight="1" s="36">
      <c r="A11" s="44" t="inlineStr">
        <is>
          <t>A1</t>
        </is>
      </c>
      <c r="B11" s="59" t="n">
        <v>7</v>
      </c>
      <c r="C11" s="59" t="inlineStr">
        <is>
          <t>#7</t>
        </is>
      </c>
      <c r="D11" s="46" t="inlineStr">
        <is>
          <t>Break Room 118 / Cash Window 116 - vertical return between walls A1-5 and A1-6</t>
        </is>
      </c>
      <c r="E11" s="48" t="n">
        <v>1.73</v>
      </c>
      <c r="F11" s="59" t="inlineStr">
        <is>
          <t>[DERIVADO]</t>
        </is>
      </c>
      <c r="G11" s="46" t="inlineStr">
        <is>
          <t>[PENDIENTE] see Handoff - Open Items</t>
        </is>
      </c>
    </row>
    <row r="12" ht="23.25" customHeight="1" s="36">
      <c r="A12" s="44" t="inlineStr">
        <is>
          <t>A1</t>
        </is>
      </c>
      <c r="B12" s="59" t="n">
        <v>8</v>
      </c>
      <c r="C12" s="59" t="inlineStr">
        <is>
          <t>#8</t>
        </is>
      </c>
      <c r="D12" s="46" t="inlineStr">
        <is>
          <t>Corridor 111 / Break Room 118 + Electrical 120 + NER 121 - the long wall (tags #8 and #10)</t>
        </is>
      </c>
      <c r="E12" s="48" t="n">
        <v>17.06</v>
      </c>
      <c r="F12" s="59" t="inlineStr">
        <is>
          <t>[DERIVADO]</t>
        </is>
      </c>
      <c r="G12" s="46" t="inlineStr">
        <is>
          <t>[PENDIENTE] see Handoff - Open Items</t>
        </is>
      </c>
    </row>
    <row r="13" ht="23.25" customHeight="1" s="36">
      <c r="A13" s="44" t="inlineStr">
        <is>
          <t>A1</t>
        </is>
      </c>
      <c r="B13" s="59" t="n">
        <v>9</v>
      </c>
      <c r="C13" s="59" t="inlineStr">
        <is>
          <t>#9</t>
        </is>
      </c>
      <c r="D13" s="46" t="inlineStr">
        <is>
          <t>Cash Window 116 / Work Room 119 - north wall of the Work Room, carries MW12 and door 119</t>
        </is>
      </c>
      <c r="E13" s="48" t="n">
        <v>11.667</v>
      </c>
      <c r="F13" s="59" t="inlineStr">
        <is>
          <t>[DERIVADO]</t>
        </is>
      </c>
      <c r="G13" s="46" t="inlineStr">
        <is>
          <t>[PENDIENTE] see Handoff - Open Items</t>
        </is>
      </c>
    </row>
    <row r="14" ht="15" customHeight="1" s="36">
      <c r="A14" s="44" t="inlineStr">
        <is>
          <t>A1K</t>
        </is>
      </c>
      <c r="B14" s="59" t="n">
        <v>1</v>
      </c>
      <c r="C14" s="59" t="inlineStr">
        <is>
          <t>#11</t>
        </is>
      </c>
      <c r="D14" s="46" t="inlineStr">
        <is>
          <t>NORTH head of Cash Window 116 / CSR line (banda y 1120.68/1128.48)</t>
        </is>
      </c>
      <c r="E14" s="48" t="n">
        <v>3.417</v>
      </c>
      <c r="F14" s="59" t="inlineStr">
        <is>
          <t>[CONFIRMADO]</t>
        </is>
      </c>
      <c r="G14" s="46" t="inlineStr">
        <is>
          <t>[PENDIENTE] see Handoff - Open Items</t>
        </is>
      </c>
    </row>
    <row r="15" ht="15" customHeight="1" s="36">
      <c r="A15" s="44" t="inlineStr">
        <is>
          <t>A1K</t>
        </is>
      </c>
      <c r="B15" s="59" t="n">
        <v>2</v>
      </c>
      <c r="C15" s="59" t="inlineStr">
        <is>
          <t>#12</t>
        </is>
      </c>
      <c r="D15" s="46" t="inlineStr">
        <is>
          <t>SOUTH head of Cash Window 116 (banda y 1344.72/1352.64)</t>
        </is>
      </c>
      <c r="E15" s="48" t="n">
        <v>3.413</v>
      </c>
      <c r="F15" s="59" t="inlineStr">
        <is>
          <t>[DERIVADO]</t>
        </is>
      </c>
      <c r="G15" s="46" t="inlineStr">
        <is>
          <t>[PENDIENTE] see Handoff - Open Items</t>
        </is>
      </c>
    </row>
    <row r="16" ht="15" customHeight="1" s="36">
      <c r="A16" s="44" t="inlineStr">
        <is>
          <t>A1K</t>
        </is>
      </c>
      <c r="B16" s="59" t="n">
        <v>3</v>
      </c>
      <c r="C16" s="59" t="inlineStr">
        <is>
          <t>#13</t>
        </is>
      </c>
      <c r="D16" s="46" t="inlineStr">
        <is>
          <t>Southwest return at Cash Window 116 (banda y 1355.28/1363.08)</t>
        </is>
      </c>
      <c r="E16" s="48" t="n">
        <v>1.16</v>
      </c>
      <c r="F16" s="59" t="inlineStr">
        <is>
          <t>[DERIVADO]</t>
        </is>
      </c>
      <c r="G16" s="46" t="inlineStr">
        <is>
          <t>[PENDIENTE] see Handoff - Open Items</t>
        </is>
      </c>
    </row>
    <row r="17" ht="15" customHeight="1" s="36">
      <c r="A17" s="44" t="inlineStr">
        <is>
          <t>A5</t>
        </is>
      </c>
      <c r="B17" s="59" t="n">
        <v>1</v>
      </c>
      <c r="C17" s="59" t="inlineStr">
        <is>
          <t>#14</t>
        </is>
      </c>
      <c r="D17" s="46" t="inlineStr">
        <is>
          <t>Calling Cubes 122 / Office 4 CB 108</t>
        </is>
      </c>
      <c r="E17" s="48" t="n">
        <v>19</v>
      </c>
      <c r="F17" s="59" t="inlineStr">
        <is>
          <t>[CONFIRMADO]</t>
        </is>
      </c>
      <c r="G17" s="46" t="inlineStr">
        <is>
          <t>[PENDIENTE] see Handoff - Open Items</t>
        </is>
      </c>
    </row>
    <row r="18" ht="15" customHeight="1" s="36">
      <c r="A18" s="44" t="inlineStr">
        <is>
          <t>A5</t>
        </is>
      </c>
      <c r="B18" s="59" t="n">
        <v>2</v>
      </c>
      <c r="C18" s="59" t="inlineStr">
        <is>
          <t>#15</t>
        </is>
      </c>
      <c r="D18" s="46" t="inlineStr">
        <is>
          <t>Calling Cubes 122 / Corridor 111</t>
        </is>
      </c>
      <c r="E18" s="48" t="n">
        <v>11</v>
      </c>
      <c r="F18" s="59" t="inlineStr">
        <is>
          <t>[DERIVADO]</t>
        </is>
      </c>
      <c r="G18" s="46" t="inlineStr">
        <is>
          <t>[PENDIENTE] see Handoff - Open Items</t>
        </is>
      </c>
    </row>
    <row r="19" ht="15" customHeight="1" s="36">
      <c r="A19" s="44" t="inlineStr">
        <is>
          <t>A5</t>
        </is>
      </c>
      <c r="B19" s="59" t="n">
        <v>3</v>
      </c>
      <c r="C19" s="59" t="inlineStr">
        <is>
          <t>#16</t>
        </is>
      </c>
      <c r="D19" s="46" t="inlineStr">
        <is>
          <t>Corridor 111 / Calling Cubes 122</t>
        </is>
      </c>
      <c r="E19" s="48" t="n">
        <v>5.41</v>
      </c>
      <c r="F19" s="59" t="inlineStr">
        <is>
          <t>[DERIVADO]</t>
        </is>
      </c>
      <c r="G19" s="46" t="inlineStr">
        <is>
          <t>[PENDIENTE] see Handoff - Open Items</t>
        </is>
      </c>
    </row>
    <row r="20" ht="15" customHeight="1" s="36">
      <c r="A20" s="44" t="inlineStr">
        <is>
          <t>A5</t>
        </is>
      </c>
      <c r="B20" s="59" t="n">
        <v>4</v>
      </c>
      <c r="C20" s="59" t="inlineStr">
        <is>
          <t>#17</t>
        </is>
      </c>
      <c r="D20" s="46" t="inlineStr">
        <is>
          <t>Break Room 118 / Cash Window 116</t>
        </is>
      </c>
      <c r="E20" s="48" t="n">
        <v>3.71</v>
      </c>
      <c r="F20" s="59" t="inlineStr">
        <is>
          <t>[DERIVADO]</t>
        </is>
      </c>
      <c r="G20" s="46" t="inlineStr">
        <is>
          <t>[PENDIENTE] see Handoff - Open Items</t>
        </is>
      </c>
    </row>
    <row r="21" ht="15" customHeight="1" s="36">
      <c r="A21" s="44" t="inlineStr">
        <is>
          <t>B</t>
        </is>
      </c>
      <c r="B21" s="59" t="n">
        <v>1</v>
      </c>
      <c r="C21" s="59" t="inlineStr">
        <is>
          <t>#18</t>
        </is>
      </c>
      <c r="D21" s="46" t="inlineStr">
        <is>
          <t>Electrical 120 / Break Room 118 (north wall of Electrical)</t>
        </is>
      </c>
      <c r="E21" s="48" t="n">
        <v>9.99</v>
      </c>
      <c r="F21" s="59" t="inlineStr">
        <is>
          <t>[DERIVADO]</t>
        </is>
      </c>
      <c r="G21" s="46" t="inlineStr">
        <is>
          <t>[PENDIENTE] see Handoff - Open Items</t>
        </is>
      </c>
    </row>
    <row r="22" ht="15" customHeight="1" s="36">
      <c r="A22" s="44" t="inlineStr">
        <is>
          <t>B</t>
        </is>
      </c>
      <c r="B22" s="59" t="n">
        <v>2</v>
      </c>
      <c r="C22" s="59" t="inlineStr">
        <is>
          <t>#19</t>
        </is>
      </c>
      <c r="D22" s="46" t="inlineStr">
        <is>
          <t>Janitor Closet 112 / Storage 117 (also carries tag #20, same wall)</t>
        </is>
      </c>
      <c r="E22" s="48" t="n">
        <v>3.5</v>
      </c>
      <c r="F22" s="59" t="inlineStr">
        <is>
          <t>[DERIVADO]</t>
        </is>
      </c>
      <c r="G22" s="46" t="inlineStr">
        <is>
          <t>[PENDIENTE] see Handoff - Open Items</t>
        </is>
      </c>
    </row>
    <row r="23" ht="15" customHeight="1" s="36">
      <c r="A23" s="44" t="inlineStr">
        <is>
          <t>B</t>
        </is>
      </c>
      <c r="B23" s="59" t="n">
        <v>3</v>
      </c>
      <c r="C23" s="59" t="inlineStr">
        <is>
          <t>#20</t>
        </is>
      </c>
      <c r="D23" s="46" t="inlineStr">
        <is>
          <t>Janitor Closet 112 / Storage 117 (horizontal wall, with door 112)</t>
        </is>
      </c>
      <c r="E23" s="48" t="n">
        <v>11.83</v>
      </c>
      <c r="F23" s="59" t="inlineStr">
        <is>
          <t>[DERIVADO]</t>
        </is>
      </c>
      <c r="G23" s="46" t="inlineStr">
        <is>
          <t>[PENDIENTE] see Handoff - Open Items</t>
        </is>
      </c>
    </row>
    <row r="24" ht="15" customHeight="1" s="36">
      <c r="A24" s="44" t="inlineStr">
        <is>
          <t>B</t>
        </is>
      </c>
      <c r="B24" s="59" t="n">
        <v>4</v>
      </c>
      <c r="C24" s="59" t="inlineStr">
        <is>
          <t>#21</t>
        </is>
      </c>
      <c r="D24" s="46" t="inlineStr">
        <is>
          <t>Janitor Closet 112 + Storage 117 / Wellness 115</t>
        </is>
      </c>
      <c r="E24" s="48" t="n">
        <v>11.73</v>
      </c>
      <c r="F24" s="59" t="inlineStr">
        <is>
          <t>[DERIVADO]</t>
        </is>
      </c>
      <c r="G24" s="46" t="inlineStr">
        <is>
          <t>[PENDIENTE] see Handoff - Open Items</t>
        </is>
      </c>
    </row>
    <row r="25" ht="15" customHeight="1" s="36">
      <c r="A25" s="44" t="inlineStr">
        <is>
          <t>B</t>
        </is>
      </c>
      <c r="B25" s="59" t="n">
        <v>5</v>
      </c>
      <c r="C25" s="59" t="inlineStr">
        <is>
          <t>#22</t>
        </is>
      </c>
      <c r="D25" s="46" t="inlineStr">
        <is>
          <t>Electrical 120 / NER 121 (south wall of Electrical)</t>
        </is>
      </c>
      <c r="E25" s="48" t="n">
        <v>9.58</v>
      </c>
      <c r="F25" s="59" t="inlineStr">
        <is>
          <t>[DERIVADO]</t>
        </is>
      </c>
      <c r="G25" s="46" t="inlineStr">
        <is>
          <t>[PENDIENTE] see Handoff - Open Items</t>
        </is>
      </c>
    </row>
    <row r="26" ht="15" customHeight="1" s="36">
      <c r="A26" s="44" t="inlineStr">
        <is>
          <t>B</t>
        </is>
      </c>
      <c r="B26" s="59" t="n">
        <v>6</v>
      </c>
      <c r="C26" s="59" t="inlineStr">
        <is>
          <t>#23</t>
        </is>
      </c>
      <c r="D26" s="46" t="inlineStr">
        <is>
          <t>Electrical 120 + NER 121 / Break Room 118 (east wall)</t>
        </is>
      </c>
      <c r="E26" s="48" t="n">
        <v>14.15</v>
      </c>
      <c r="F26" s="59" t="inlineStr">
        <is>
          <t>[DERIVADO]</t>
        </is>
      </c>
      <c r="G26" s="46" t="inlineStr">
        <is>
          <t>[PENDIENTE] see Handoff - Open Items</t>
        </is>
      </c>
    </row>
    <row r="27" ht="15" customHeight="1" s="36">
      <c r="A27" s="44" t="inlineStr">
        <is>
          <t>B2</t>
        </is>
      </c>
      <c r="B27" s="59" t="n">
        <v>1</v>
      </c>
      <c r="C27" s="59" t="inlineStr">
        <is>
          <t>#25</t>
        </is>
      </c>
      <c r="D27" s="46" t="inlineStr">
        <is>
          <t>ATM Room 102 / Central Zone 103 (wall de la door 102)</t>
        </is>
      </c>
      <c r="E27" s="48" t="n">
        <v>5.667</v>
      </c>
      <c r="F27" s="59" t="inlineStr">
        <is>
          <t>[CONFIRMADO]</t>
        </is>
      </c>
      <c r="G27" s="46" t="inlineStr">
        <is>
          <t>[PENDIENTE] see Handoff - Open Items</t>
        </is>
      </c>
    </row>
    <row r="28" ht="15" customHeight="1" s="36">
      <c r="A28" s="44" t="inlineStr">
        <is>
          <t>B2</t>
        </is>
      </c>
      <c r="B28" s="59" t="n">
        <v>2</v>
      </c>
      <c r="C28" s="59" t="inlineStr">
        <is>
          <t>#26</t>
        </is>
      </c>
      <c r="D28" s="46" t="inlineStr">
        <is>
          <t>Women's Restroom 114 / Corridor 111 (jamb sur de la door 114)</t>
        </is>
      </c>
      <c r="E28" s="48" t="n">
        <v>1.82</v>
      </c>
      <c r="F28" s="59" t="inlineStr">
        <is>
          <t>[DERIVADO]</t>
        </is>
      </c>
      <c r="G28" s="46" t="inlineStr">
        <is>
          <t>[PENDIENTE] see Handoff - Open Items</t>
        </is>
      </c>
    </row>
    <row r="29" ht="23.25" customHeight="1" s="36">
      <c r="A29" s="44" t="inlineStr">
        <is>
          <t>B2</t>
        </is>
      </c>
      <c r="B29" s="59" t="n">
        <v>3</v>
      </c>
      <c r="C29" s="59" t="inlineStr">
        <is>
          <t>#27</t>
        </is>
      </c>
      <c r="D29" s="46" t="inlineStr">
        <is>
          <t>Corridor 111 / Men's Restroom 113 + Storage 117 + Wellness 115 (lleva tambien el tag #29, mismo wall)</t>
        </is>
      </c>
      <c r="E29" s="48" t="n">
        <v>15.787</v>
      </c>
      <c r="F29" s="59" t="inlineStr">
        <is>
          <t>[DERIVADO]</t>
        </is>
      </c>
      <c r="G29" s="46" t="inlineStr">
        <is>
          <t>[PENDIENTE] see Handoff - Open Items</t>
        </is>
      </c>
    </row>
    <row r="30" ht="23.25" customHeight="1" s="36">
      <c r="A30" s="44" t="inlineStr">
        <is>
          <t>B2</t>
        </is>
      </c>
      <c r="B30" s="59" t="n">
        <v>4</v>
      </c>
      <c r="C30" s="59" t="inlineStr">
        <is>
          <t>#28</t>
        </is>
      </c>
      <c r="D30" s="46" t="inlineStr">
        <is>
          <t>Break Room 118 / Cash Window 116 + Work Room 119 (lleva tambien el tag #30, mismo wall)</t>
        </is>
      </c>
      <c r="E30" s="48" t="n">
        <v>11.74</v>
      </c>
      <c r="F30" s="59" t="inlineStr">
        <is>
          <t>[DERIVADO]</t>
        </is>
      </c>
      <c r="G30" s="46" t="inlineStr">
        <is>
          <t>[PENDIENTE] see Handoff - Open Items</t>
        </is>
      </c>
    </row>
    <row r="31" ht="15" customHeight="1" s="36">
      <c r="A31" s="44" t="inlineStr">
        <is>
          <t>B2K</t>
        </is>
      </c>
      <c r="B31" s="59" t="n">
        <v>1</v>
      </c>
      <c r="C31" s="59" t="inlineStr">
        <is>
          <t>#31</t>
        </is>
      </c>
      <c r="D31" s="46" t="inlineStr">
        <is>
          <t>Office 4 CB 108 (customer side) / Cash Window 116 (teller side)</t>
        </is>
      </c>
      <c r="E31" s="48" t="n">
        <v>1.26</v>
      </c>
      <c r="F31" s="59" t="inlineStr">
        <is>
          <t>[DERIVADO]</t>
        </is>
      </c>
      <c r="G31" s="46" t="inlineStr">
        <is>
          <t>[PENDIENTE] see Handoff - Open Items</t>
        </is>
      </c>
    </row>
    <row r="32" ht="15" customHeight="1" s="36">
      <c r="A32" s="44" t="inlineStr">
        <is>
          <t>BULKHEAD-G</t>
        </is>
      </c>
      <c r="B32" s="59" t="n">
        <v>1</v>
      </c>
      <c r="C32" s="59" t="inlineStr">
        <is>
          <t>#54</t>
        </is>
      </c>
      <c r="D32" s="46" t="inlineStr">
        <is>
          <t>Over the 4 office fronts at Offices 105, 106, 107 and 108 (alineacion x 1622.04/1631.28)</t>
        </is>
      </c>
      <c r="E32" s="48" t="n">
        <v>30</v>
      </c>
      <c r="F32" s="59" t="inlineStr">
        <is>
          <t>[DERIVADO]</t>
        </is>
      </c>
      <c r="G32" s="46" t="inlineStr">
        <is>
          <t>[PENDIENTE] see Handoff - Open Items</t>
        </is>
      </c>
    </row>
    <row r="33" ht="15" customHeight="1" s="36">
      <c r="A33" s="44" t="inlineStr">
        <is>
          <t>BULKHEAD-G</t>
        </is>
      </c>
      <c r="B33" s="59" t="n">
        <v>2</v>
      </c>
      <c r="C33" s="59" t="inlineStr">
        <is>
          <t>#55</t>
        </is>
      </c>
      <c r="D33" s="46" t="inlineStr">
        <is>
          <t>Over the 2 office fronts at Offices 109 and 110 (alineacion x 1121.16/1133.88)</t>
        </is>
      </c>
      <c r="E33" s="48" t="n">
        <v>15</v>
      </c>
      <c r="F33" s="59" t="inlineStr">
        <is>
          <t>[DERIVADO]</t>
        </is>
      </c>
      <c r="G33" s="46" t="inlineStr">
        <is>
          <t>[PENDIENTE] see Handoff - Open Items</t>
        </is>
      </c>
    </row>
    <row r="34" ht="23.25" customHeight="1" s="36">
      <c r="A34" s="44" t="inlineStr">
        <is>
          <t>C1</t>
        </is>
      </c>
      <c r="B34" s="59" t="n">
        <v>1</v>
      </c>
      <c r="C34" s="59" t="inlineStr">
        <is>
          <t>#32</t>
        </is>
      </c>
      <c r="D34" s="46" t="inlineStr">
        <is>
          <t>Entry pilaster of Vestibule 100, next to door 100A; it carries the push button (PB) and the card reader (CR)</t>
        </is>
      </c>
      <c r="E34" s="48" t="n">
        <v>4.56</v>
      </c>
      <c r="F34" s="59" t="inlineStr">
        <is>
          <t>[DERIVADO]</t>
        </is>
      </c>
      <c r="G34" s="46" t="inlineStr">
        <is>
          <t>[PENDIENTE] see Handoff - Open Items</t>
        </is>
      </c>
    </row>
    <row r="35" ht="15" customHeight="1" s="36">
      <c r="A35" s="44" t="inlineStr">
        <is>
          <t>C1</t>
        </is>
      </c>
      <c r="B35" s="59" t="n">
        <v>2</v>
      </c>
      <c r="C35" s="59" t="inlineStr">
        <is>
          <t>#33</t>
        </is>
      </c>
      <c r="D35" s="46" t="inlineStr">
        <is>
          <t>Pilaster at the northwest corner of Vestibule 100</t>
        </is>
      </c>
      <c r="E35" s="48" t="n">
        <v>3.58</v>
      </c>
      <c r="F35" s="59" t="inlineStr">
        <is>
          <t>[DERIVADO]</t>
        </is>
      </c>
      <c r="G35" s="46" t="inlineStr">
        <is>
          <t>[PENDIENTE] see Handoff - Open Items</t>
        </is>
      </c>
    </row>
    <row r="36" ht="23.25" customHeight="1" s="36">
      <c r="A36" s="44" t="inlineStr">
        <is>
          <t>C1</t>
        </is>
      </c>
      <c r="B36" s="59" t="n">
        <v>3</v>
      </c>
      <c r="C36" s="59" t="inlineStr">
        <is>
          <t>#34</t>
        </is>
      </c>
      <c r="D36" s="46" t="inlineStr">
        <is>
          <t>Steel column enclosure between 24 HR Vestibule 101 and Central Zone 103; the column is drawn inside the box</t>
        </is>
      </c>
      <c r="E36" s="48" t="n">
        <v>3.33</v>
      </c>
      <c r="F36" s="59" t="inlineStr">
        <is>
          <t>[DERIVADO]</t>
        </is>
      </c>
      <c r="G36" s="46" t="inlineStr">
        <is>
          <t>[PENDIENTE] see Handoff - Open Items</t>
        </is>
      </c>
    </row>
    <row r="37" ht="23.25" customHeight="1" s="36">
      <c r="A37" s="44" t="inlineStr">
        <is>
          <t>C1</t>
        </is>
      </c>
      <c r="B37" s="59" t="n">
        <v>4</v>
      </c>
      <c r="C37" s="59" t="inlineStr">
        <is>
          <t>#35</t>
        </is>
      </c>
      <c r="D37" s="46" t="inlineStr">
        <is>
          <t>Steel column enclosure at the south end of the sloped ATM wall, between ATM Room 102 and Central Zone 103</t>
        </is>
      </c>
      <c r="E37" s="48" t="n">
        <v>2.52</v>
      </c>
      <c r="F37" s="59" t="inlineStr">
        <is>
          <t>[DERIVADO]</t>
        </is>
      </c>
      <c r="G37" s="46" t="inlineStr">
        <is>
          <t>[PENDIENTE] see Handoff - Open Items</t>
        </is>
      </c>
    </row>
    <row r="38" ht="15" customHeight="1" s="36">
      <c r="A38" s="44" t="inlineStr">
        <is>
          <t>C1</t>
        </is>
      </c>
      <c r="B38" s="59" t="n">
        <v>5</v>
      </c>
      <c r="C38" s="59" t="inlineStr">
        <is>
          <t>#36</t>
        </is>
      </c>
      <c r="D38" s="46" t="inlineStr">
        <is>
          <t>North wall of Calling Cubes 122, face towards Central Zone 103</t>
        </is>
      </c>
      <c r="E38" s="48" t="n">
        <v>11.333</v>
      </c>
      <c r="F38" s="59" t="inlineStr">
        <is>
          <t>[DERIVADO]</t>
        </is>
      </c>
      <c r="G38" s="46" t="inlineStr">
        <is>
          <t>[PENDIENTE] see Handoff - Open Items</t>
        </is>
      </c>
    </row>
    <row r="39" ht="15" customHeight="1" s="36">
      <c r="A39" s="44" t="inlineStr">
        <is>
          <t>C1</t>
        </is>
      </c>
      <c r="B39" s="59" t="n">
        <v>6</v>
      </c>
      <c r="C39" s="59" t="inlineStr">
        <is>
          <t>#37</t>
        </is>
      </c>
      <c r="D39" s="46" t="inlineStr">
        <is>
          <t>North face of the plumbing chase between restrooms 113 and 114</t>
        </is>
      </c>
      <c r="E39" s="48" t="n">
        <v>5.6</v>
      </c>
      <c r="F39" s="59" t="inlineStr">
        <is>
          <t>[DERIVADO]</t>
        </is>
      </c>
      <c r="G39" s="46" t="inlineStr">
        <is>
          <t>[PENDIENTE] see Handoff - Open Items</t>
        </is>
      </c>
    </row>
    <row r="40" ht="15" customHeight="1" s="36">
      <c r="A40" s="44" t="inlineStr">
        <is>
          <t>C1</t>
        </is>
      </c>
      <c r="B40" s="59" t="n">
        <v>7</v>
      </c>
      <c r="C40" s="59" t="inlineStr">
        <is>
          <t>#38</t>
        </is>
      </c>
      <c r="D40" s="46" t="inlineStr">
        <is>
          <t>Future FCAM, south face of the A1K wall that closes Cash Window 116</t>
        </is>
      </c>
      <c r="E40" s="48" t="n">
        <v>3.39</v>
      </c>
      <c r="F40" s="59" t="inlineStr">
        <is>
          <t>[DERIVADO]</t>
        </is>
      </c>
      <c r="G40" s="46" t="inlineStr">
        <is>
          <t>[PENDIENTE] see Handoff - Open Items</t>
        </is>
      </c>
    </row>
    <row r="41" ht="15" customHeight="1" s="36">
      <c r="A41" s="44" t="inlineStr">
        <is>
          <t>C1</t>
        </is>
      </c>
      <c r="B41" s="59" t="n">
        <v>8</v>
      </c>
      <c r="C41" s="59" t="inlineStr">
        <is>
          <t>#39</t>
        </is>
      </c>
      <c r="D41" s="46" t="inlineStr">
        <is>
          <t>South face of the plumbing chase between restrooms 113 and 114</t>
        </is>
      </c>
      <c r="E41" s="48" t="n">
        <v>5.6</v>
      </c>
      <c r="F41" s="59" t="inlineStr">
        <is>
          <t>[DERIVADO]</t>
        </is>
      </c>
      <c r="G41" s="46" t="inlineStr">
        <is>
          <t>[PENDIENTE] see Handoff - Open Items</t>
        </is>
      </c>
    </row>
    <row r="42" ht="15" customHeight="1" s="36">
      <c r="A42" s="44" t="inlineStr">
        <is>
          <t>CANOPY-COL</t>
        </is>
      </c>
      <c r="B42" s="59" t="n">
        <v>1</v>
      </c>
      <c r="C42" s="59" t="inlineStr">
        <is>
          <t>#66</t>
        </is>
      </c>
      <c r="D42" s="46" t="inlineStr">
        <is>
          <t>CANOPY COLUMN 1 (drive-through island, northmost -- A02.01 y=283.8)</t>
        </is>
      </c>
      <c r="E42" s="48" t="n">
        <v>5.668</v>
      </c>
      <c r="F42" s="59" t="inlineStr">
        <is>
          <t>[DERIVADO]</t>
        </is>
      </c>
      <c r="G42" s="46" t="inlineStr">
        <is>
          <t>[PENDIENTE] see Handoff - Open Items</t>
        </is>
      </c>
    </row>
    <row r="43" ht="15" customHeight="1" s="36">
      <c r="A43" s="44" t="inlineStr">
        <is>
          <t>CANOPY-COL</t>
        </is>
      </c>
      <c r="B43" s="59" t="n">
        <v>2</v>
      </c>
      <c r="C43" s="59" t="inlineStr">
        <is>
          <t>#67</t>
        </is>
      </c>
      <c r="D43" s="46" t="inlineStr">
        <is>
          <t>CANOPY COLUMN 2 (drive-through island -- A02.01 y=564.2)</t>
        </is>
      </c>
      <c r="E43" s="48" t="n">
        <v>5.668</v>
      </c>
      <c r="F43" s="59" t="inlineStr">
        <is>
          <t>[DERIVADO]</t>
        </is>
      </c>
      <c r="G43" s="46" t="inlineStr">
        <is>
          <t>[PENDIENTE] see Handoff - Open Items</t>
        </is>
      </c>
    </row>
    <row r="44" ht="15" customHeight="1" s="36">
      <c r="A44" s="44" t="inlineStr">
        <is>
          <t>CANOPY-COL</t>
        </is>
      </c>
      <c r="B44" s="59" t="n">
        <v>3</v>
      </c>
      <c r="C44" s="59" t="inlineStr">
        <is>
          <t>#68</t>
        </is>
      </c>
      <c r="D44" s="46" t="inlineStr">
        <is>
          <t>CANOPY COLUMN 3 (drive-through island -- A02.01 y=849.2)</t>
        </is>
      </c>
      <c r="E44" s="48" t="n">
        <v>5.668</v>
      </c>
      <c r="F44" s="59" t="inlineStr">
        <is>
          <t>[DERIVADO]</t>
        </is>
      </c>
      <c r="G44" s="46" t="inlineStr">
        <is>
          <t>[PENDIENTE] see Handoff - Open Items</t>
        </is>
      </c>
    </row>
    <row r="45" ht="15" customHeight="1" s="36">
      <c r="A45" s="44" t="inlineStr">
        <is>
          <t>CANOPY-COL</t>
        </is>
      </c>
      <c r="B45" s="59" t="n">
        <v>4</v>
      </c>
      <c r="C45" s="59" t="inlineStr">
        <is>
          <t>#69</t>
        </is>
      </c>
      <c r="D45" s="46" t="inlineStr">
        <is>
          <t>CANOPY COLUMN 4 (drive-through island, southmost -- A02.01 y=1125.0)</t>
        </is>
      </c>
      <c r="E45" s="48" t="n">
        <v>5.668</v>
      </c>
      <c r="F45" s="59" t="inlineStr">
        <is>
          <t>[DERIVADO]</t>
        </is>
      </c>
      <c r="G45" s="46" t="inlineStr">
        <is>
          <t>[PENDIENTE] see Handoff - Open Items</t>
        </is>
      </c>
    </row>
    <row r="46" ht="15" customHeight="1" s="36">
      <c r="A46" s="44" t="inlineStr">
        <is>
          <t>EXT-6CFMF</t>
        </is>
      </c>
      <c r="B46" s="59" t="n">
        <v>1</v>
      </c>
      <c r="C46" s="59" t="inlineStr">
        <is>
          <t>#60</t>
        </is>
      </c>
      <c r="D46" s="46" t="inlineStr">
        <is>
          <t>NORTH facade (grid F, y=328.74) -- entrance side</t>
        </is>
      </c>
      <c r="E46" s="48" t="n">
        <v>14.95</v>
      </c>
      <c r="F46" s="59" t="inlineStr">
        <is>
          <t>[DERIVADO]</t>
        </is>
      </c>
      <c r="G46" s="46" t="inlineStr">
        <is>
          <t>[PENDIENTE] see Handoff - Open Items</t>
        </is>
      </c>
    </row>
    <row r="47" ht="15" customHeight="1" s="36">
      <c r="A47" s="44" t="inlineStr">
        <is>
          <t>EXT-6CFMF</t>
        </is>
      </c>
      <c r="B47" s="59" t="n">
        <v>2</v>
      </c>
      <c r="C47" s="59" t="inlineStr">
        <is>
          <t>#61</t>
        </is>
      </c>
      <c r="D47" s="46" t="inlineStr">
        <is>
          <t>EAST facade (grid 8, x=1851.78) -- the 4 offices 105-108</t>
        </is>
      </c>
      <c r="E47" s="48" t="n">
        <v>76.3</v>
      </c>
      <c r="F47" s="59" t="inlineStr">
        <is>
          <t>[DERIVADO]</t>
        </is>
      </c>
      <c r="G47" s="46" t="inlineStr">
        <is>
          <t>[PENDIENTE] see Handoff - Open Items</t>
        </is>
      </c>
    </row>
    <row r="48" ht="15" customHeight="1" s="36">
      <c r="A48" s="44" t="inlineStr">
        <is>
          <t>EXT-6CFMF</t>
        </is>
      </c>
      <c r="B48" s="59" t="n">
        <v>3</v>
      </c>
      <c r="C48" s="59" t="inlineStr">
        <is>
          <t>#62</t>
        </is>
      </c>
      <c r="D48" s="46" t="inlineStr">
        <is>
          <t>SOUTH facade (grid A, y=1702.14) -- service side, egress door 123</t>
        </is>
      </c>
      <c r="E48" s="48" t="n">
        <v>52.7</v>
      </c>
      <c r="F48" s="59" t="inlineStr">
        <is>
          <t>[DERIVADO]</t>
        </is>
      </c>
      <c r="G48" s="46" t="inlineStr">
        <is>
          <t>[PENDIENTE] see Handoff - Open Items</t>
        </is>
      </c>
    </row>
    <row r="49" ht="15" customHeight="1" s="36">
      <c r="A49" s="44" t="inlineStr">
        <is>
          <t>EXT-6CFMF</t>
        </is>
      </c>
      <c r="B49" s="59" t="n">
        <v>4</v>
      </c>
      <c r="C49" s="59" t="inlineStr">
        <is>
          <t>#63</t>
        </is>
      </c>
      <c r="D49" s="46" t="inlineStr">
        <is>
          <t>WEST LOW facade (grid 3, x=903.18) -- offices 109-110 and restrooms</t>
        </is>
      </c>
      <c r="E49" s="48" t="n">
        <v>47.92</v>
      </c>
      <c r="F49" s="59" t="inlineStr">
        <is>
          <t>[DERIVADO]</t>
        </is>
      </c>
      <c r="G49" s="46" t="inlineStr">
        <is>
          <t>[PENDIENTE] see Handoff - Open Items</t>
        </is>
      </c>
    </row>
    <row r="50" ht="15" customHeight="1" s="36">
      <c r="A50" s="44" t="inlineStr">
        <is>
          <t>EXT-6CFMF</t>
        </is>
      </c>
      <c r="B50" s="59" t="n">
        <v>5</v>
      </c>
      <c r="C50" s="59" t="inlineStr">
        <is>
          <t>#64</t>
        </is>
      </c>
      <c r="D50" s="46" t="inlineStr">
        <is>
          <t>West perimeter jog (y=839.58, grid 2 to grid 3)</t>
        </is>
      </c>
      <c r="E50" s="48" t="n">
        <v>3.89</v>
      </c>
      <c r="F50" s="59" t="inlineStr">
        <is>
          <t>[DERIVADO]</t>
        </is>
      </c>
      <c r="G50" s="46" t="inlineStr">
        <is>
          <t>[PENDIENTE] see Handoff - Open Items</t>
        </is>
      </c>
    </row>
    <row r="51" ht="15" customHeight="1" s="36">
      <c r="A51" s="44" t="inlineStr">
        <is>
          <t>EXT-6CFMF</t>
        </is>
      </c>
      <c r="B51" s="59" t="n">
        <v>6</v>
      </c>
      <c r="C51" s="59" t="inlineStr">
        <is>
          <t>#65</t>
        </is>
      </c>
      <c r="D51" s="46" t="inlineStr">
        <is>
          <t>WEST HIGH facade (grid 2, x=833.16) -- 24 hr vestibule and drive-up ATM</t>
        </is>
      </c>
      <c r="E51" s="48" t="n">
        <v>21.88</v>
      </c>
      <c r="F51" s="59" t="inlineStr">
        <is>
          <t>[DERIVADO]</t>
        </is>
      </c>
      <c r="G51" s="46" t="inlineStr">
        <is>
          <t>[PENDIENTE] see Handoff - Open Items</t>
        </is>
      </c>
    </row>
    <row r="52" ht="23.25" customHeight="1" s="36">
      <c r="A52" s="44" t="inlineStr">
        <is>
          <t>EXT-PARAPET</t>
        </is>
      </c>
      <c r="B52" s="59" t="n">
        <v>1</v>
      </c>
      <c r="C52" s="59" t="inlineStr">
        <is>
          <t>#160</t>
        </is>
      </c>
      <c r="D52" s="46" t="inlineStr">
        <is>
          <t>NORTH facade (grid F, y=328.74) -- entrance side -- PARAPET INFILL, from B.O.D. up to T/ STUD</t>
        </is>
      </c>
      <c r="E52" s="48" t="n">
        <v>14.95</v>
      </c>
      <c r="F52" s="59" t="inlineStr">
        <is>
          <t>[DERIVADO]</t>
        </is>
      </c>
      <c r="G52" s="46" t="inlineStr">
        <is>
          <t>[PENDIENTE] see Handoff - Open Items</t>
        </is>
      </c>
    </row>
    <row r="53" ht="23.25" customHeight="1" s="36">
      <c r="A53" s="44" t="inlineStr">
        <is>
          <t>EXT-PARAPET</t>
        </is>
      </c>
      <c r="B53" s="59" t="n">
        <v>2</v>
      </c>
      <c r="C53" s="59" t="inlineStr">
        <is>
          <t>#161</t>
        </is>
      </c>
      <c r="D53" s="46" t="inlineStr">
        <is>
          <t>EAST facade (grid 8, x=1851.78) -- the 4 offices 105-108 -- PARAPET INFILL, from B.O.D. up to T/ STUD</t>
        </is>
      </c>
      <c r="E53" s="48" t="n">
        <v>76.3</v>
      </c>
      <c r="F53" s="59" t="inlineStr">
        <is>
          <t>[DERIVADO]</t>
        </is>
      </c>
      <c r="G53" s="46" t="inlineStr">
        <is>
          <t>[PENDIENTE] see Handoff - Open Items</t>
        </is>
      </c>
    </row>
    <row r="54" ht="23.25" customHeight="1" s="36">
      <c r="A54" s="44" t="inlineStr">
        <is>
          <t>EXT-PARAPET</t>
        </is>
      </c>
      <c r="B54" s="59" t="n">
        <v>3</v>
      </c>
      <c r="C54" s="59" t="inlineStr">
        <is>
          <t>#162</t>
        </is>
      </c>
      <c r="D54" s="46" t="inlineStr">
        <is>
          <t>SOUTH facade (grid A, y=1702.14) -- service side, egress door 123 -- PARAPET INFILL, from B.O.D. up to T/ STUD</t>
        </is>
      </c>
      <c r="E54" s="48" t="n">
        <v>52.7</v>
      </c>
      <c r="F54" s="59" t="inlineStr">
        <is>
          <t>[DERIVADO]</t>
        </is>
      </c>
      <c r="G54" s="46" t="inlineStr">
        <is>
          <t>[PENDIENTE] see Handoff - Open Items</t>
        </is>
      </c>
    </row>
    <row r="55" ht="23.25" customHeight="1" s="36">
      <c r="A55" s="44" t="inlineStr">
        <is>
          <t>EXT-PARAPET</t>
        </is>
      </c>
      <c r="B55" s="59" t="n">
        <v>4</v>
      </c>
      <c r="C55" s="59" t="inlineStr">
        <is>
          <t>#163</t>
        </is>
      </c>
      <c r="D55" s="46" t="inlineStr">
        <is>
          <t>WEST LOW facade (grid 3, x=903.18) -- offices 109-110 and restrooms -- PARAPET INFILL, from B.O.D. up to T/ STUD</t>
        </is>
      </c>
      <c r="E55" s="48" t="n">
        <v>47.92</v>
      </c>
      <c r="F55" s="59" t="inlineStr">
        <is>
          <t>[DERIVADO]</t>
        </is>
      </c>
      <c r="G55" s="46" t="inlineStr">
        <is>
          <t>[PENDIENTE] see Handoff - Open Items</t>
        </is>
      </c>
    </row>
    <row r="56" ht="23.25" customHeight="1" s="36">
      <c r="A56" s="44" t="inlineStr">
        <is>
          <t>EXT-PARAPET</t>
        </is>
      </c>
      <c r="B56" s="59" t="n">
        <v>5</v>
      </c>
      <c r="C56" s="59" t="inlineStr">
        <is>
          <t>#164</t>
        </is>
      </c>
      <c r="D56" s="46" t="inlineStr">
        <is>
          <t>West perimeter jog (y=839.58, grid 2 to grid 3) -- PARAPET INFILL, from B.O.D. up to T/ STUD</t>
        </is>
      </c>
      <c r="E56" s="48" t="n">
        <v>3.89</v>
      </c>
      <c r="F56" s="59" t="inlineStr">
        <is>
          <t>[DERIVADO]</t>
        </is>
      </c>
      <c r="G56" s="46" t="inlineStr">
        <is>
          <t>[PENDIENTE] see Handoff - Open Items</t>
        </is>
      </c>
    </row>
    <row r="57" ht="23.25" customHeight="1" s="36">
      <c r="A57" s="44" t="inlineStr">
        <is>
          <t>EXT-PARAPET</t>
        </is>
      </c>
      <c r="B57" s="59" t="n">
        <v>6</v>
      </c>
      <c r="C57" s="59" t="inlineStr">
        <is>
          <t>#165</t>
        </is>
      </c>
      <c r="D57" s="46" t="inlineStr">
        <is>
          <t>WEST HIGH facade (grid 2, x=833.16) -- 24 hr vestibule and drive-up ATM -- PARAPET INFILL, from B.O.D. up to T/ STUD</t>
        </is>
      </c>
      <c r="E57" s="48" t="n">
        <v>21.88</v>
      </c>
      <c r="F57" s="59" t="inlineStr">
        <is>
          <t>[DERIVADO]</t>
        </is>
      </c>
      <c r="G57" s="46" t="inlineStr">
        <is>
          <t>[PENDIENTE] see Handoff - Open Items</t>
        </is>
      </c>
    </row>
    <row r="58" ht="15" customHeight="1" s="36">
      <c r="A58" s="44" t="inlineStr">
        <is>
          <t>F</t>
        </is>
      </c>
      <c r="B58" s="59" t="n">
        <v>1</v>
      </c>
      <c r="C58" s="59" t="inlineStr">
        <is>
          <t>#40</t>
        </is>
      </c>
      <c r="D58" s="46" t="inlineStr">
        <is>
          <t>Wall inclinado 60 grados entre 24 HR VESTIBULE 101 (ATM LOBBY) y ATM ROOM 102</t>
        </is>
      </c>
      <c r="E58" s="48" t="n">
        <v>17.762</v>
      </c>
      <c r="F58" s="59" t="inlineStr">
        <is>
          <t>[DERIVADO]</t>
        </is>
      </c>
      <c r="G58" s="46" t="inlineStr">
        <is>
          <t>[PENDIENTE] see Handoff - Open Items</t>
        </is>
      </c>
    </row>
    <row r="59" ht="15" customHeight="1" s="36">
      <c r="A59" s="44" t="inlineStr">
        <is>
          <t>G</t>
        </is>
      </c>
      <c r="B59" s="59" t="n">
        <v>1</v>
      </c>
      <c r="C59" s="59" t="inlineStr">
        <is>
          <t>#41</t>
        </is>
      </c>
      <c r="D59" s="46" t="inlineStr">
        <is>
          <t>North return at the Office 1 ME 105 office front (UNTAGGED)</t>
        </is>
      </c>
      <c r="E59" s="48" t="n">
        <v>2.42</v>
      </c>
      <c r="F59" s="59" t="inlineStr">
        <is>
          <t>[DERIVADO]</t>
        </is>
      </c>
      <c r="G59" s="46" t="inlineStr">
        <is>
          <t>[PENDIENTE] see Handoff - Open Items</t>
        </is>
      </c>
    </row>
    <row r="60" ht="15" customHeight="1" s="36">
      <c r="A60" s="44" t="inlineStr">
        <is>
          <t>G</t>
        </is>
      </c>
      <c r="B60" s="59" t="n">
        <v>2</v>
      </c>
      <c r="C60" s="59" t="inlineStr">
        <is>
          <t>#42</t>
        </is>
      </c>
      <c r="D60" s="46" t="inlineStr">
        <is>
          <t>Return between the office fronts at 105 y 106</t>
        </is>
      </c>
      <c r="E60" s="48" t="n">
        <v>3.47</v>
      </c>
      <c r="F60" s="59" t="inlineStr">
        <is>
          <t>[DERIVADO]</t>
        </is>
      </c>
      <c r="G60" s="46" t="inlineStr">
        <is>
          <t>[PENDIENTE] see Handoff - Open Items</t>
        </is>
      </c>
    </row>
    <row r="61" ht="15" customHeight="1" s="36">
      <c r="A61" s="44" t="inlineStr">
        <is>
          <t>G</t>
        </is>
      </c>
      <c r="B61" s="59" t="n">
        <v>3</v>
      </c>
      <c r="C61" s="59" t="inlineStr">
        <is>
          <t>#43</t>
        </is>
      </c>
      <c r="D61" s="46" t="inlineStr">
        <is>
          <t>Return between the office fronts at 106 y 107</t>
        </is>
      </c>
      <c r="E61" s="48" t="n">
        <v>3.25</v>
      </c>
      <c r="F61" s="59" t="inlineStr">
        <is>
          <t>[DERIVADO]</t>
        </is>
      </c>
      <c r="G61" s="46" t="inlineStr">
        <is>
          <t>[PENDIENTE] see Handoff - Open Items</t>
        </is>
      </c>
    </row>
    <row r="62" ht="15" customHeight="1" s="36">
      <c r="A62" s="44" t="inlineStr">
        <is>
          <t>G</t>
        </is>
      </c>
      <c r="B62" s="59" t="n">
        <v>4</v>
      </c>
      <c r="C62" s="59" t="inlineStr">
        <is>
          <t>#44</t>
        </is>
      </c>
      <c r="D62" s="46" t="inlineStr">
        <is>
          <t>Return between the office fronts at 107 y 108</t>
        </is>
      </c>
      <c r="E62" s="48" t="n">
        <v>3.25</v>
      </c>
      <c r="F62" s="59" t="inlineStr">
        <is>
          <t>[DERIVADO]</t>
        </is>
      </c>
      <c r="G62" s="46" t="inlineStr">
        <is>
          <t>[PENDIENTE] see Handoff - Open Items</t>
        </is>
      </c>
    </row>
    <row r="63" ht="15" customHeight="1" s="36">
      <c r="A63" s="44" t="inlineStr">
        <is>
          <t>G</t>
        </is>
      </c>
      <c r="B63" s="59" t="n">
        <v>5</v>
      </c>
      <c r="C63" s="59" t="inlineStr">
        <is>
          <t>#45</t>
        </is>
      </c>
      <c r="D63" s="46" t="inlineStr">
        <is>
          <t>Office 2 CL 106 / Office 3 SB 107</t>
        </is>
      </c>
      <c r="E63" s="48" t="n">
        <v>11.77</v>
      </c>
      <c r="F63" s="59" t="inlineStr">
        <is>
          <t>[CONFIRMADO]</t>
        </is>
      </c>
      <c r="G63" s="46" t="inlineStr">
        <is>
          <t>[PENDIENTE] see Handoff - Open Items</t>
        </is>
      </c>
    </row>
    <row r="64" ht="15" customHeight="1" s="36">
      <c r="A64" s="44" t="inlineStr">
        <is>
          <t>G</t>
        </is>
      </c>
      <c r="B64" s="59" t="n">
        <v>6</v>
      </c>
      <c r="C64" s="59" t="inlineStr">
        <is>
          <t>#46</t>
        </is>
      </c>
      <c r="D64" s="46" t="inlineStr">
        <is>
          <t>Office 3 SB 107 / Office 4 CB 108</t>
        </is>
      </c>
      <c r="E64" s="48" t="n">
        <v>11.77</v>
      </c>
      <c r="F64" s="59" t="inlineStr">
        <is>
          <t>[CONFIRMADO]</t>
        </is>
      </c>
      <c r="G64" s="46" t="inlineStr">
        <is>
          <t>[PENDIENTE] see Handoff - Open Items</t>
        </is>
      </c>
    </row>
    <row r="65" ht="15" customHeight="1" s="36">
      <c r="A65" s="44" t="inlineStr">
        <is>
          <t>G</t>
        </is>
      </c>
      <c r="B65" s="59" t="n">
        <v>7</v>
      </c>
      <c r="C65" s="59" t="inlineStr">
        <is>
          <t>#47</t>
        </is>
      </c>
      <c r="D65" s="46" t="inlineStr">
        <is>
          <t>Office 4 CB 108 / teller line</t>
        </is>
      </c>
      <c r="E65" s="48" t="n">
        <v>10.07</v>
      </c>
      <c r="F65" s="59" t="inlineStr">
        <is>
          <t>[DERIVADO]</t>
        </is>
      </c>
      <c r="G65" s="46" t="inlineStr">
        <is>
          <t>[PENDIENTE] see Handoff - Open Items</t>
        </is>
      </c>
    </row>
    <row r="66" ht="15" customHeight="1" s="36">
      <c r="A66" s="44" t="inlineStr">
        <is>
          <t>G</t>
        </is>
      </c>
      <c r="B66" s="59" t="n">
        <v>8</v>
      </c>
      <c r="C66" s="59" t="inlineStr">
        <is>
          <t>#48</t>
        </is>
      </c>
      <c r="D66" s="46" t="inlineStr">
        <is>
          <t>ATM Room 102 / Office 5 CB 109</t>
        </is>
      </c>
      <c r="E66" s="48" t="n">
        <v>11.625</v>
      </c>
      <c r="F66" s="59" t="inlineStr">
        <is>
          <t>[CONFIRMADO]</t>
        </is>
      </c>
      <c r="G66" s="46" t="inlineStr">
        <is>
          <t>[PENDIENTE] see Handoff - Open Items</t>
        </is>
      </c>
    </row>
    <row r="67" ht="15" customHeight="1" s="36">
      <c r="A67" s="44" t="inlineStr">
        <is>
          <t>G</t>
        </is>
      </c>
      <c r="B67" s="59" t="n">
        <v>9</v>
      </c>
      <c r="C67" s="59" t="inlineStr">
        <is>
          <t>#49</t>
        </is>
      </c>
      <c r="D67" s="46" t="inlineStr">
        <is>
          <t>Office 5 CB 109 / Office 6 CB 110</t>
        </is>
      </c>
      <c r="E67" s="48" t="n">
        <v>11.625</v>
      </c>
      <c r="F67" s="59" t="inlineStr">
        <is>
          <t>[CONFIRMADO]</t>
        </is>
      </c>
      <c r="G67" s="46" t="inlineStr">
        <is>
          <t>[PENDIENTE] see Handoff - Open Items</t>
        </is>
      </c>
    </row>
    <row r="68" ht="15" customHeight="1" s="36">
      <c r="A68" s="44" t="inlineStr">
        <is>
          <t>G</t>
        </is>
      </c>
      <c r="B68" s="59" t="n">
        <v>10</v>
      </c>
      <c r="C68" s="59" t="inlineStr">
        <is>
          <t>#52</t>
        </is>
      </c>
      <c r="D68" s="46" t="inlineStr">
        <is>
          <t>Office 6 CB 110 / Women's Restroom 114 (SIN TAG, numero nuevo)</t>
        </is>
      </c>
      <c r="E68" s="48" t="n">
        <v>11.625</v>
      </c>
      <c r="F68" s="59" t="inlineStr">
        <is>
          <t>[CONFIRMADO]</t>
        </is>
      </c>
      <c r="G68" s="46" t="inlineStr">
        <is>
          <t>[PENDIENTE] see Handoff - Open Items</t>
        </is>
      </c>
    </row>
    <row r="69" ht="15" customHeight="1" s="36">
      <c r="A69" s="44" t="inlineStr">
        <is>
          <t>G1</t>
        </is>
      </c>
      <c r="B69" s="59" t="n">
        <v>1</v>
      </c>
      <c r="C69" s="59" t="inlineStr">
        <is>
          <t>#50</t>
        </is>
      </c>
      <c r="D69" s="46" t="inlineStr">
        <is>
          <t>Office 1 ME 105 / Office 2 CL 106 (right block)</t>
        </is>
      </c>
      <c r="E69" s="48" t="n">
        <v>11.77</v>
      </c>
      <c r="F69" s="59" t="inlineStr">
        <is>
          <t>[CONFIRMADO]</t>
        </is>
      </c>
      <c r="G69" s="46" t="inlineStr">
        <is>
          <t>[PENDIENTE] see Handoff - Open Items</t>
        </is>
      </c>
    </row>
    <row r="70" ht="15" customHeight="1" s="36">
      <c r="A70" s="44" t="inlineStr">
        <is>
          <t>G1</t>
        </is>
      </c>
      <c r="B70" s="59" t="n">
        <v>2</v>
      </c>
      <c r="C70" s="59" t="inlineStr">
        <is>
          <t>#51</t>
        </is>
      </c>
      <c r="D70" s="46" t="inlineStr">
        <is>
          <t>South return at the Office 5 CB 109 office front (left block)</t>
        </is>
      </c>
      <c r="E70" s="48" t="n">
        <v>2.67</v>
      </c>
      <c r="F70" s="59" t="inlineStr">
        <is>
          <t>[DERIVADO]</t>
        </is>
      </c>
      <c r="G70" s="46" t="inlineStr">
        <is>
          <t>[PENDIENTE] see Handoff - Open Items</t>
        </is>
      </c>
    </row>
    <row r="71" ht="15" customHeight="1" s="36">
      <c r="A71" s="44" t="inlineStr">
        <is>
          <t>G1</t>
        </is>
      </c>
      <c r="B71" s="59" t="n">
        <v>3</v>
      </c>
      <c r="C71" s="59" t="inlineStr">
        <is>
          <t>#53</t>
        </is>
      </c>
      <c r="D71" s="46" t="inlineStr">
        <is>
          <t>South return at the Office 6 CB 110 office front, UNTAGGED (left block)</t>
        </is>
      </c>
      <c r="E71" s="48" t="n">
        <v>2.67</v>
      </c>
      <c r="F71" s="59" t="inlineStr">
        <is>
          <t>[DERIVADO]</t>
        </is>
      </c>
      <c r="G71" s="46" t="inlineStr">
        <is>
          <t>[PENDIENTE] see Handoff - Open Items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8" min="1" max="1"/>
    <col width="14" customWidth="1" style="38" min="2" max="2"/>
    <col width="110" customWidth="1" style="38" min="3" max="3"/>
    <col width="96" customWidth="1" style="38" min="4" max="4"/>
  </cols>
  <sheetData>
    <row r="1" ht="15.75" customHeight="1" s="36">
      <c r="A1" s="41" t="inlineStr">
        <is>
          <t>WHAT IS STILL MISSING - sealed pendings, traceability backlog and orphan closures</t>
        </is>
      </c>
    </row>
    <row r="3" ht="15" customHeight="1" s="36">
      <c r="A3" s="44" t="inlineStr">
        <is>
          <t>A. Sealed closures with NO generator (orphans)</t>
        </is>
      </c>
    </row>
    <row r="4" ht="33.75" customHeight="1" s="36">
      <c r="A4" s="54" t="inlineStr">
        <is>
          <t>Block</t>
        </is>
      </c>
      <c r="B4" s="54" t="inlineStr">
        <is>
          <t>Walls</t>
        </is>
      </c>
      <c r="C4" s="54" t="inlineStr">
        <is>
          <t>What is missing</t>
        </is>
      </c>
    </row>
    <row r="6" ht="15" customHeight="1" s="36">
      <c r="A6" s="44" t="inlineStr">
        <is>
          <t>B. [CONFIRMADO] fields that cite no printed dimension (ratchet 0, only goes down)</t>
        </is>
      </c>
    </row>
    <row r="7" ht="33.75" customHeight="1" s="36">
      <c r="A7" s="54" t="inlineStr">
        <is>
          <t>Element</t>
        </is>
      </c>
      <c r="B7" s="54" t="inlineStr">
        <is>
          <t>Field</t>
        </is>
      </c>
      <c r="C7" s="54" t="inlineStr">
        <is>
          <t>Sealed value</t>
        </is>
      </c>
      <c r="D7" s="54" t="inlineStr">
        <is>
          <t>Text that cites no dimension</t>
        </is>
      </c>
    </row>
    <row r="9" ht="15" customHeight="1" s="36">
      <c r="A9" s="44" t="inlineStr">
        <is>
          <t>C. The same datum carrying two state tags</t>
        </is>
      </c>
    </row>
    <row r="10" ht="33.75" customHeight="1" s="36">
      <c r="A10" s="54" t="inlineStr">
        <is>
          <t>Field</t>
        </is>
      </c>
      <c r="B10" s="54" t="inlineStr">
        <is>
          <t>Value</t>
        </is>
      </c>
      <c r="C10" s="54" t="inlineStr">
        <is>
          <t>Sheet cited</t>
        </is>
      </c>
      <c r="D10" s="54" t="inlineStr">
        <is>
          <t>States and how many walls carry each</t>
        </is>
      </c>
    </row>
    <row r="12" ht="15" customHeight="1" s="36">
      <c r="A12" s="44" t="inlineStr">
        <is>
          <t>D. What Rodolfo confirmed, and what is only verified by code</t>
        </is>
      </c>
    </row>
    <row r="13" ht="33.75" customHeight="1" s="36">
      <c r="A13" s="54" t="inlineStr">
        <is>
          <t>Subject</t>
        </is>
      </c>
      <c r="B13" s="54" t="inlineStr">
        <is>
          <t>State</t>
        </is>
      </c>
      <c r="C13" s="54" t="inlineStr">
        <is>
          <t>What is recorded, and where</t>
        </is>
      </c>
    </row>
    <row r="14" ht="34.5" customHeight="1" s="36">
      <c r="A14" s="44" t="inlineStr">
        <is>
          <t>numeracion</t>
        </is>
      </c>
      <c r="B14" s="59" t="inlineStr">
        <is>
          <t>[CONFIRMADO]</t>
        </is>
      </c>
      <c r="C14" s="46" t="inlineStr">
        <is>
          <t>Rodolfo fijo la numeracion oficial de walls el 13-sep-2026: A1 #1-10 / A1K #11-13 / A5 #14-17 / B #18-24 / B2 #25-30 / B2K #31 / C1 #32-39 / F #40 / G #41-49 / G1 #50-51, agrupada por tag, y ANULO la numeracion por longitud descendente y el plano BOA_48_muros_numerados.png. Consta en el registro del proyecto.</t>
        </is>
      </c>
    </row>
    <row r="15" ht="15" customHeight="1" s="36">
      <c r="A15" s="44" t="inlineStr">
        <is>
          <t>soffits_19_69</t>
        </is>
      </c>
      <c r="B15" s="59" t="inlineStr">
        <is>
          <t>[CONFIRMADO]</t>
        </is>
      </c>
      <c r="C15" s="46" t="inlineStr">
        <is>
          <t>El 15-sep-2026 ordeno AGREGAR los 19.69 LF de ceiling transition que faltaban contra su take-off manual (247.85 contra 228.16 LF).</t>
        </is>
      </c>
    </row>
    <row r="16" ht="23.25" customHeight="1" s="36">
      <c r="A16" s="44" t="inlineStr">
        <is>
          <t>este_suma_tramos</t>
        </is>
      </c>
      <c r="B16" s="59" t="inlineStr">
        <is>
          <t>[CONFIRMADO]</t>
        </is>
      </c>
      <c r="C16" s="46" t="inlineStr">
        <is>
          <t>El usuario DETECTO el error del eje ESTE: el 72'-8 1/4" se habia armado sumando tramos de una dimension string con ticks DOBLES, que mide cuartos face to face y no incluye el thickness de los 6 walls perpendiculares.</t>
        </is>
      </c>
    </row>
    <row r="17" ht="68.25" customHeight="1" s="36">
      <c r="A17" s="44" t="inlineStr">
        <is>
          <t>barrido_por_tag</t>
        </is>
      </c>
      <c r="B17" s="59" t="inlineStr">
        <is>
          <t>[PENDIENTE]</t>
        </is>
      </c>
      <c r="C17" s="46" t="inlineStr">
        <is>
          <t>La regla del 12-sep-2026 exige parar al cerrar el barrido de cada tag y esperar confirmacion explicita de que la lista de ubicaciones esta completa. El registro del proyecto deja el barrido de A02.01 como "EN CURSO, pendiente de confirmacion del usuario" y su proximo paso escrito es exactamente "mostrar al usuario la lista numerada de ubicaciones por tag y esperar su confirmacion explicita". NO consta en ningun archivo que esa confirmacion se haya dado tag por tag. Lo que SI consta es el barrido verificado por codigo (los 51 tags de A02.01 extraidos del texto del PDF, con su imagen circulada) y la compuerta de planos marcados, que comprueba que el LF rotulado en el plano de cada tipo coincide con el cierre sellado. Son dos cosas distintas y el handoff no las puede presentar como una.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38" min="1" max="1"/>
    <col width="80" customWidth="1" style="38" min="2" max="2"/>
    <col width="60" customWidth="1" style="38" min="3" max="3"/>
  </cols>
  <sheetData>
    <row r="1" ht="15.75" customHeight="1" s="36">
      <c r="A1" s="41" t="inlineStr">
        <is>
          <t>ASSUMPTIONS AND DECISIONS RODOLFO APPROVED - each with what approved it</t>
        </is>
      </c>
    </row>
    <row r="3" ht="33.75" customHeight="1" s="36">
      <c r="A3" s="54" t="inlineStr">
        <is>
          <t>Decision</t>
        </is>
      </c>
      <c r="B3" s="54" t="inlineStr">
        <is>
          <t>What it means in the numbers</t>
        </is>
      </c>
      <c r="C3" s="54" t="inlineStr">
        <is>
          <t>What approved it</t>
        </is>
      </c>
    </row>
    <row r="4" ht="34.5" customHeight="1" s="36">
      <c r="A4" s="81" t="inlineStr">
        <is>
          <t>No insulation</t>
        </is>
      </c>
      <c r="B4" s="46" t="inlineStr">
        <is>
          <t>Located and cited everywhere it occurs and EXCLUDED with the motive written in every closure. The drawings DO call for it (the A1K row of 4/A12.01 reads INSULATION YES and the detail draws the cavity); the delta is declared in Clarifications and in Pending Items #22.</t>
        </is>
      </c>
      <c r="C4" s="46" t="inlineStr">
        <is>
          <t>Standing scope order from Rodolfo: no insulation, no cabinets, no light fixtures.</t>
        </is>
      </c>
    </row>
    <row r="5" ht="15" customHeight="1" s="36">
      <c r="A5" s="81" t="inlineStr">
        <is>
          <t>No cabinets, no light fixtures</t>
        </is>
      </c>
      <c r="B5" s="46" t="inlineStr">
        <is>
          <t>Same treatment: located, cited, EXCLUDED with motive.</t>
        </is>
      </c>
      <c r="C5" s="46" t="inlineStr">
        <is>
          <t>Same standing scope order.</t>
        </is>
      </c>
    </row>
    <row r="6" ht="23.25" customHeight="1" s="36">
      <c r="A6" s="81" t="inlineStr">
        <is>
          <t>Waste 15% metal / 6% board</t>
        </is>
      </c>
      <c r="B6" s="46" t="inlineStr">
        <is>
          <t>Applied on NET, by type, each type separately, and shown in its own NET / WASTE / PURCHASE columns, never buried in a takeoff figure.</t>
        </is>
      </c>
      <c r="C6" s="46" t="inlineStr">
        <is>
          <t>Standing order from Rodolfo.</t>
        </is>
      </c>
    </row>
    <row r="7" ht="34.5" customHeight="1" s="36">
      <c r="A7" s="81" t="inlineStr">
        <is>
          <t>Storefront and officefront are Division 08</t>
        </is>
      </c>
      <c r="B7" s="46" t="inlineStr">
        <is>
          <t>The DFC-1A officefront of offices 105-110 is bought and installed through the bank vendor (note N of the Door Schedule, A00.30) and the aluminium storefront AF-2 with GL-2 glazing is Division 08. Only the bulkhead above the officefront and its framing are ours.</t>
        </is>
      </c>
      <c r="C7" s="46" t="inlineStr">
        <is>
          <t>Confirmed as scope by Rodolfo; the drawing note is quoted in Clarifications.</t>
        </is>
      </c>
    </row>
    <row r="8" ht="34.5" customHeight="1" s="36">
      <c r="A8" s="81" t="inlineStr">
        <is>
          <t>South zone deck height taken at the HIGH end</t>
        </is>
      </c>
      <c r="B8" s="46" t="inlineStr">
        <is>
          <t>In the sloped bay the B.O.D. runs from 13'-0 5/8" to 12'-6 3/8". The quote uses the high end of each wall, interpolated at the y of that wall by bod_s(y), because studs are cut to the highest condition of the zone. Total variation of the zone is 6 1/4".</t>
        </is>
      </c>
      <c r="C8" s="46" t="inlineStr">
        <is>
          <t>Criterion adopted and recorded 2026-09-15; it moves under 1% of the board SF.</t>
        </is>
      </c>
    </row>
    <row r="9" ht="45.75" customHeight="1" s="36">
      <c r="A9" s="81" t="inlineStr">
        <is>
          <t>Track-to-slab fastener spacing at 12" O.C.</t>
        </is>
      </c>
      <c r="B9" s="46" t="inlineStr">
        <is>
          <t>Three values live in the set: 12" O.C. (SILL TRACK ANCHORAGE of 7/S5.20, interior walls), 16" O.C. (FASTENER SCHEDULE next to 3/S5.20) and 2'-0" O.C. (the box of 4/A12.01, which governs its own type). The tightest, 12" O.C., is quoted and the difference goes to Clarifications and to Pending Items #4.</t>
        </is>
      </c>
      <c r="C9" s="46" t="inlineStr">
        <is>
          <t>Criterion adopted; it is an open RFI, priced on the safe side meanwhile.</t>
        </is>
      </c>
    </row>
    <row r="10" ht="15" customHeight="1" s="36">
      <c r="A10" s="81" t="inlineStr">
        <is>
          <t>Cementitious backer board under any tile</t>
        </is>
      </c>
      <c r="B10" s="46" t="inlineStr">
        <is>
          <t>Trade judgement that prevails over what the drawing shows, with the difference noted.</t>
        </is>
      </c>
      <c r="C10" s="46" t="inlineStr">
        <is>
          <t>Standing order from Rodolfo.</t>
        </is>
      </c>
    </row>
    <row r="11" ht="34.5" customHeight="1" s="36">
      <c r="A11" s="81" t="inlineStr">
        <is>
          <t>Accesorios always include trims, taping, drywall screws, framing screws and track pins</t>
        </is>
      </c>
      <c r="B11" s="46" t="inlineStr">
        <is>
          <t>No line item is left out of the accessory group.</t>
        </is>
      </c>
      <c r="C11" s="46" t="inlineStr">
        <is>
          <t>Standing order from Rodolfo.</t>
        </is>
      </c>
    </row>
    <row r="12" ht="34.5" customHeight="1" s="36">
      <c r="A12" s="81" t="inlineStr">
        <is>
          <t>Everything in English</t>
        </is>
      </c>
      <c r="B12" s="46" t="inlineStr">
        <is>
          <t>Material, tool, component, process and abbreviation names of the drywall and metal frame trades are written in English in every deliverable and in every response, enforced by verif_idioma.py and verif_respuesta.py.</t>
        </is>
      </c>
      <c r="C12" s="46" t="inlineStr">
        <is>
          <t>Permanent inviolable instruction from Rodolfo, 7-oct-2026, quoted in full in adenda v39.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2026-10-11T03:35:36Z</dcterms:created>
  <dcterms:modified xmlns:dcterms="http://purl.org/dc/terms/" xmlns:xsi="http://www.w3.org/2001/XMLSchema-instance" xsi:type="dcterms:W3CDTF">2026-10-21T09:41:22Z</dcterms:modified>
  <cp:revision>0</cp:revision>
</cp:coreProperties>
</file>