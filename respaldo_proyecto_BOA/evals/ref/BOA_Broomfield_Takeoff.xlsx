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 sheetId="1" state="visible" r:id="rId3"/>
    <sheet name="Partition Takeoff" sheetId="2" state="visible" r:id="rId4"/>
    <sheet name="Board by Face" sheetId="3" state="visible" r:id="rId5"/>
    <sheet name="Ceilings &amp; Soffits" sheetId="4" state="visible" r:id="rId6"/>
    <sheet name="Other Scope" sheetId="5" state="visible" r:id="rId7"/>
    <sheet name="Material Summary" sheetId="6" state="visible" r:id="rId8"/>
    <sheet name="Clarifications" sheetId="7" state="visible" r:id="rId9"/>
    <sheet name="Pending Items" sheetId="8" state="visible" r:id="rId10"/>
    <sheet name="Sheet Index" sheetId="9" state="visible" r:id="rId11"/>
    <sheet name="Detail log" sheetId="10" state="visible" r:id="rId12"/>
    <sheet name="Handoff - Bid Set" sheetId="11" state="visible" r:id="rId13"/>
    <sheet name="Handoff - Types" sheetId="12" state="visible" r:id="rId14"/>
    <sheet name="Handoff - Locations" sheetId="13" state="visible" r:id="rId15"/>
    <sheet name="Handoff - Open Items" sheetId="14" state="visible" r:id="rId16"/>
    <sheet name="Handoff - Approved"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<sst xmlns="http://schemas.openxmlformats.org/spreadsheetml/2006/main" count="9073" uniqueCount="2322">
  <si>
    <t xml:space="preserve">BANK OF AMERICA - BROOMFIELD, CO   |   METAL FRAMING &amp; DRYWALL TAKEOFF</t>
  </si>
  <si>
    <t xml:space="preserve">Permit / Bid Set, 95 sheets. Every quantity below is driven by a live formula. Edit ONLY the yellow cells: the whole workbook recalculates.</t>
  </si>
  <si>
    <t xml:space="preserve">PARAMETER</t>
  </si>
  <si>
    <t xml:space="preserve">VALUE</t>
  </si>
  <si>
    <t xml:space="preserve">NOTE / SOURCE</t>
  </si>
  <si>
    <t xml:space="preserve">Waste - ALL METAL, any type</t>
  </si>
  <si>
    <t xml:space="preserve">Estimator standing rule, 11-Oct-2026: 15% on everything that is metal, whatever type it is - stud, track, channel, clip, hanger wire, metal trim. No type-by-type exceptions.</t>
  </si>
  <si>
    <t xml:space="preserve">Waste - EVERYTHING THAT IS NOT METAL</t>
  </si>
  <si>
    <t xml:space="preserve">Estimator standing rule, 11-Oct-2026: everything that is not metal takes the SAME figure as drywall / gypsum board, 6%. That covers board of every type, plywood, FRP, substrates, FRT wood blocking and non-metal trim. This cell is the single source of the 6%; nothing else carries its own copy.</t>
  </si>
  <si>
    <t xml:space="preserve">Board sheet width (ft)</t>
  </si>
  <si>
    <t xml:space="preserve">Sheet size is a PARAMETER, never fixed at 4x8 - buy the size that wastes least.</t>
  </si>
  <si>
    <t xml:space="preserve">Board sheet length (ft)</t>
  </si>
  <si>
    <t xml:space="preserve">Change it and every piece count below re-rounds up.</t>
  </si>
  <si>
    <t xml:space="preserve">SF per board sheet</t>
  </si>
  <si>
    <t xml:space="preserve">Width x length.</t>
  </si>
  <si>
    <t xml:space="preserve">Stud stock length (ft)</t>
  </si>
  <si>
    <t xml:space="preserve">Stud is bought in sticks; pieces are converted to sticks in Material Summary.</t>
  </si>
  <si>
    <t xml:space="preserve">Track stock length (ft)</t>
  </si>
  <si>
    <t xml:space="preserve">Track is bought in 10 ft runs unless the supplier says otherwise.</t>
  </si>
  <si>
    <t xml:space="preserve">Floor plan scale (pt/ft)</t>
  </si>
  <si>
    <t xml:space="preserve">A02.01 at 1/4"=1'-0" -&gt; 18.0 pt/ft, 1.5 pt per real inch. Every length came from vector geometry at this scale.</t>
  </si>
  <si>
    <t xml:space="preserve">B.O. Deck north of grid B (ft)</t>
  </si>
  <si>
    <t xml:space="preserve">S2.20: T/STEEL 15'-4 1/2", NO SLOPE north of grid B.</t>
  </si>
  <si>
    <t xml:space="preserve">T.O. Parapet 1 (ft)</t>
  </si>
  <si>
    <t xml:space="preserve">Exterior elevations A09.01 / A09.02 datum T.O. PARAPET 1 = 17'-9".</t>
  </si>
  <si>
    <t xml:space="preserve">Sealant coverage (LF per tube)</t>
  </si>
  <si>
    <t xml:space="preserve">Acoustical sealant yield per tube - set your supplier's figure.</t>
  </si>
  <si>
    <t xml:space="preserve">C.R. channel stock length (ft)</t>
  </si>
  <si>
    <t xml:space="preserve">1-1/2" cold-rolled channel ships in 16 ft and 20 ft - NOT in 10 ft track lengths.</t>
  </si>
  <si>
    <t xml:space="preserve">Hat / furring channel stock (ft)</t>
  </si>
  <si>
    <t xml:space="preserve">7/8" hat furring channel ships in 12 ft.</t>
  </si>
  <si>
    <t xml:space="preserve">Trim stick length (ft)</t>
  </si>
  <si>
    <t xml:space="preserve">Corner bead, casing bead and shadow molding ship in 8 ft and 10 ft sticks - NOT in 20 ft stud lengths.</t>
  </si>
  <si>
    <t xml:space="preserve">Wood blocking waste - SUPERSEDED, do not use</t>
  </si>
  <si>
    <t xml:space="preserve">SUPERSEDED 11-Oct-2026. This used to be its own parameter, left at 0 because FRT wood blocking was neither metal nor board and the old 15%/6% rule had no row for it. The rule now covers it: everything that is not metal takes the same figure as board, so wood blocking reads the 'EVERYTHING THAT IS NOT METAL' cell above like every other non-metal material. The cell is left empty on purpose - two cells meaning the same 6% is a second source of truth, which is how the figures drift apart.</t>
  </si>
  <si>
    <t xml:space="preserve">Drywall screws per SF of board</t>
  </si>
  <si>
    <t xml:space="preserve">YIELD, not a drawing quantity. GA-216: field 12" O.C., perimeter 8" O.C. over framing at 16" O.C. Set your own figure.</t>
  </si>
  <si>
    <t xml:space="preserve">Framing screws per stud piece</t>
  </si>
  <si>
    <t xml:space="preserve">YIELD: 2 per stud-to-track connection at each end. Clips and bracing are counted separately.</t>
  </si>
  <si>
    <t xml:space="preserve">Power-driven pin spacing (ft)</t>
  </si>
  <si>
    <t xml:space="preserve">YIELD: 4/A12.01 calls POWER DRIVEN FASTENERS @ 2'-0" O.C. alternating sides on the bottom track.</t>
  </si>
  <si>
    <t xml:space="preserve">Joint compound (lb per SF)</t>
  </si>
  <si>
    <t xml:space="preserve">YIELD: 72 lb per 1,000 SF, typical level 4 finish. Set your supplier's figure.</t>
  </si>
  <si>
    <t xml:space="preserve">Joint tape (LF per SF)</t>
  </si>
  <si>
    <t xml:space="preserve">YIELD: 370 LF per 1,000 SF.</t>
  </si>
  <si>
    <t xml:space="preserve">LEGEND</t>
  </si>
  <si>
    <t xml:space="preserve">Blue text on yellow fill = input you may edit</t>
  </si>
  <si>
    <t xml:space="preserve">Black text = live formula, do not overwrite</t>
  </si>
  <si>
    <t xml:space="preserve">Green text = pulled from another sheet</t>
  </si>
  <si>
    <t xml:space="preserve">EXAMPLE ROW (format reference, not part of the takeoff)</t>
  </si>
  <si>
    <t xml:space="preserve">A1  #1  |  Corridor 111 / Break Room 118  |  L 16.42 LF  |  H 15.375 FT  |  Layers 2  |  3-5/8" 362S137-33 MST @ 16" O.C., 33 mil  |  1 layer 5/8" gyp per face</t>
  </si>
  <si>
    <t xml:space="preserve">ORGANIZED PARTITION TAKEOFF ESTIMATOR - BANK OF AMERICA, BROOMFIELD CO</t>
  </si>
  <si>
    <t xml:space="preserve">Grouped by partition type, longest first inside each type. Stud columns are in LF of MATERIAL (pieces x height) and never mix two stud sizes. Quantities are NET - waste lives in its own cells on Material Summary.</t>
  </si>
  <si>
    <t xml:space="preserve">Partition / Scope</t>
  </si>
  <si>
    <t xml:space="preserve">Wall #</t>
  </si>
  <si>
    <t xml:space="preserve">Length (LF)</t>
  </si>
  <si>
    <t xml:space="preserve">Height (FT)</t>
  </si>
  <si>
    <t xml:space="preserve">Layers</t>
  </si>
  <si>
    <t xml:space="preserve">Stud Size</t>
  </si>
  <si>
    <t xml:space="preserve">Stud (pcs)</t>
  </si>
  <si>
    <t xml:space="preserve">6" Metal Stud (LF)</t>
  </si>
  <si>
    <t xml:space="preserve">3-5/8" Metal Stud (LF)</t>
  </si>
  <si>
    <t xml:space="preserve">1-5/8" Metal Stud (LF)</t>
  </si>
  <si>
    <t xml:space="preserve">5/8" Gyp Board (SF)</t>
  </si>
  <si>
    <t xml:space="preserve">FRP-1 (SF)</t>
  </si>
  <si>
    <t xml:space="preserve">FRP-2 (SF)</t>
  </si>
  <si>
    <t xml:space="preserve">Durock / Cement Bd (SF)</t>
  </si>
  <si>
    <t xml:space="preserve">Demolition (SF)</t>
  </si>
  <si>
    <t xml:space="preserve">Labor (Hrs)</t>
  </si>
  <si>
    <t xml:space="preserve">Bottom Track (LF)</t>
  </si>
  <si>
    <t xml:space="preserve">Top / Deflection Track (LF)</t>
  </si>
  <si>
    <t xml:space="preserve">Bracing (LF)</t>
  </si>
  <si>
    <t xml:space="preserve">Clips (pcs)</t>
  </si>
  <si>
    <t xml:space="preserve">Blocking (LF)</t>
  </si>
  <si>
    <t xml:space="preserve">Insulation (SF)</t>
  </si>
  <si>
    <t xml:space="preserve">Ext. Gypsum Sheathing, deck to parapet (SF)</t>
  </si>
  <si>
    <t xml:space="preserve">Ext. Sheathing FRT+Polyiso (SF)</t>
  </si>
  <si>
    <t xml:space="preserve">Ballistic Panel 3/8" UL752 (SF)</t>
  </si>
  <si>
    <t xml:space="preserve">3/8" Gyp Board (SF)</t>
  </si>
  <si>
    <t xml:space="preserve">FRT Plywood Substrate (SF)</t>
  </si>
  <si>
    <t xml:space="preserve">Level 5 Finish (SF)</t>
  </si>
  <si>
    <t xml:space="preserve">Trim - corner/casing/shadow (LF)</t>
  </si>
  <si>
    <t xml:space="preserve">Extra Framing - sistered, furring, MEP (LF)</t>
  </si>
  <si>
    <t xml:space="preserve">Fasteners (pcs)</t>
  </si>
  <si>
    <t xml:space="preserve">Sealant (LF)</t>
  </si>
  <si>
    <t xml:space="preserve">Header / Box Beam (LF)</t>
  </si>
  <si>
    <t xml:space="preserve">Sill Track (LF)</t>
  </si>
  <si>
    <t xml:space="preserve">Openings</t>
  </si>
  <si>
    <t xml:space="preserve">Status</t>
  </si>
  <si>
    <t xml:space="preserve">Source / Seal</t>
  </si>
  <si>
    <t xml:space="preserve">Stud (LF of material)</t>
  </si>
  <si>
    <t xml:space="preserve">Addl Head Track &gt;4'-0" opening (LF)</t>
  </si>
  <si>
    <t xml:space="preserve">Ext. Glass Mat Sheathing at stud face (SF)</t>
  </si>
  <si>
    <t xml:space="preserve">Gypsum Board Jamb Return (SF)</t>
  </si>
  <si>
    <t xml:space="preserve">Detail sequence  (plan → section → detail → schedule)</t>
  </si>
  <si>
    <t xml:space="preserve">TYPE A1</t>
  </si>
  <si>
    <t xml:space="preserve">A1  #8  -  Corridor 111 / Break Room 118 + Electrical 120 + NER 121 - the long wall (tags #8 and #10).  Stud 3-5/8" 362S137-33 MST @ 16" O.C.; bracing 1-1/2" C.R. channel @ 48" O.C.  Corridor 111: 1 layer(s) 5/8 GYP @ 9.000 FT | Break Room 118: 1 layer(s) 5/8 GYP @ 9.000 FT | Electrical 120: 1 layer(s) 5/8 GYP @ 12.820 FT | NER 121: 1 layer(s) 5/8 GYP @ 12.690 FT  (1 instance)</t>
  </si>
  <si>
    <t xml:space="preserve">3-5/8"</t>
  </si>
  <si>
    <t xml:space="preserve">door 118B 3.33 x 7.00</t>
  </si>
  <si>
    <t xml:space="preserve">CLOSED</t>
  </si>
  <si>
    <t xml:space="preserve">seal f6f3ebf997a3f559</t>
  </si>
  <si>
    <t xml:space="preserve">A02.01 → A04.01 → S2.20 → 2/A11.03 → 3/A11.03 → 4/A11.03 → 5/A11.03 → 7/A11.03 → 1/A12.01 → 3/A12.01 → 4/A12.01 → A09.01 → 10/A12.02 → 11/A12.02 → 1/S5.20 → 2/S5.20 → 4/S5.20 → 7/S5.20 → 9/S5.20 → A00.01 → A00.30 → A09.27 → A09.33 → E02.01 → M01.01 → P01.01 → P01.02</t>
  </si>
  <si>
    <t xml:space="preserve">A1  #1  -  Central Zone 103 / Calling Cubes 122 - north wall of Calling Cubes.  Stud 3-5/8" 362S137-33 MST @ 16" O.C.; bracing 1-1/2" C.R. channel @ 48" O.C.  Central Zone 103: 1 layer(s) 5/8 GYP @ 12.000 FT | Calling Cubes 122: 1 layer(s) 5/8 GYP @ 9.000 FT  (1 instance)</t>
  </si>
  <si>
    <t xml:space="preserve">none</t>
  </si>
  <si>
    <t xml:space="preserve">seal 0b6d1dcbcf676ced</t>
  </si>
  <si>
    <t xml:space="preserve">A02.01 → A04.01 → S2.20 → 1/A12.01 → 3/A12.01 → 4/A12.01 → A09.01 → 10/A12.02 → 11/A12.02 → 1/S5.20 → 4/S5.20 → 7/S5.20 → A00.01 → A00.30 → A09.27 → A09.33 → E02.01 → M01.01 → P01.01 → P01.02</t>
  </si>
  <si>
    <t xml:space="preserve">A1  #5  -  Calling Cubes 122 / Break Room 118 - carries MW21 on the south face.  Stud 3-5/8" 362S137-33 MST @ 16" O.C.; bracing 1-1/2" C.R. channel @ 48" O.C.  Calling Cubes 122: 1 layer(s) 5/8 GYP @ 9.000 FT | Break Room 118: 1 layer(s) 5/8 GYP @ 9.000 FT  (1 instance)</t>
  </si>
  <si>
    <t xml:space="preserve">seal b142fb73ec3b93d8</t>
  </si>
  <si>
    <t xml:space="preserve">A02.01 → A04.01 → S2.20 → 1/A12.01 → 3/A12.01 → 4/A12.01 → A09.01 → 10/A12.02 → 11/A12.02 → 1/S5.20 → 4/S5.20 → 7/S5.20 → A00.01 → A00.30 → A09.27 → A09.33 → A12.04 → A12.06 → E02.01 → M01.01 → P01.01 → P01.02</t>
  </si>
  <si>
    <t xml:space="preserve">A1  #9  -  Cash Window 116 / Work Room 119 - north wall of the Work Room, carries MW12 and door 119.  Stud 3-5/8" 362S137-33 MST @ 16" O.C.; bracing 1-1/2" C.R. channel @ 48" O.C.  Cash Window 116: 1 layer(s) 5/8 GYP @ 9.500 FT | Work Room 119: 1 layer(s) 5/8 GYP @ 9.000 FT  (1 instance)</t>
  </si>
  <si>
    <t xml:space="preserve">door 119 3.33 x 7.00 + framed opening 8" duct M01.01 (solid run) 1.00 x 1.00 + framed opening 8" duct M01.01 (over the 119 header) 1.00 x 1.00</t>
  </si>
  <si>
    <t xml:space="preserve">seal 5ae93fd71c06450b</t>
  </si>
  <si>
    <t xml:space="preserve">A02.01 → A04.01 → S2.20 → 1/A12.01 → 3/A12.01 → 4/A12.01 → A09.01 → 10/A12.02 → 11/A12.02 → 1/S5.20 → 2/S5.20 → 4/S5.20 → 6/S5.20 → 7/S5.20 → 9/S5.20 → A00.01 → A00.30 → A09.27 → A09.33 → A12.05 → E02.01 → M01.01 → P01.01 → P01.02</t>
  </si>
  <si>
    <t xml:space="preserve">A1  #6  -  Break Room 118 / Future FCAM - carries door 118A.  Stud 3-5/8" 362S137-33 MST @ 16" O.C.; bracing 1-1/2" C.R. channel @ 48" O.C.  Cash Window 116: 1 layer(s) 5/8 GYP @ 9.500 FT | Break Room 118: 1 layer(s) 5/8 GYP @ 9.000 FT  (1 instance)</t>
  </si>
  <si>
    <t xml:space="preserve">door 118A 3.33 x 8.00</t>
  </si>
  <si>
    <t xml:space="preserve">seal 330ea163b4a7954b</t>
  </si>
  <si>
    <t xml:space="preserve">A02.01 → A04.01 → S2.20 → 1/A12.01 → 3/A12.01 → 4/A12.01 → A09.01 → 10/A12.02 → 11/A12.02 → 1/S5.20 → 2/S5.20 → 4/S5.20 → 7/S5.20 → 9/S5.20 → A00.01 → A00.30 → A09.27 → A09.33 → E02.01 → M01.01 → P01.01 → P01.02</t>
  </si>
  <si>
    <t xml:space="preserve">A1  #4  -  Corridor 111 - jambs of door 111, entry from Central Zone.  Stud 3-5/8" 362S137-33 MST @ 16" O.C.; bracing 1-1/2" C.R. channel @ 48" O.C.  Corridor 111: 1 layer(s) 5/8 GYP @ 9.000 FT | Corridor 111 (face 2): 1 layer(s) 5/8 GYP @ 9.000 FT  (1 instance)</t>
  </si>
  <si>
    <t xml:space="preserve">door 111 3.33 x 8.00</t>
  </si>
  <si>
    <t xml:space="preserve">seal bad128ab97504e87</t>
  </si>
  <si>
    <t xml:space="preserve">A1  #2  -  MW01 niche / Calling Cubes 122 - back of the printer cabinet.  Stud 3-5/8" 362S137-33 MST @ 16" O.C.; bracing 1-1/2" C.R. channel @ 48" O.C.  Calling Cubes 122: 1 layer(s) 5/8 GYP @ 9.000 FT | MW01 niche: 1 layer(s) 5/8 GYP @ 9.000 FT  (1 instance)</t>
  </si>
  <si>
    <t xml:space="preserve">seal f9459712ac3d5e8f</t>
  </si>
  <si>
    <t xml:space="preserve">A02.01 → A04.01 → S2.20 → 1/A12.01 → 3/A12.01 → 4/A12.01 → A09.01 → 10/A12.02 → 11/A12.02 → 1/S5.20 → 4/S5.20 → 7/S5.20 → A00.01 → A00.30 → A09.27 → A09.33 → A12.03 → A12.04 → A12.05 → E02.01 → M01.01 → P01.01 → P01.02</t>
  </si>
  <si>
    <t xml:space="preserve">A1  #3  -  MW01 niche / Calling Cubes 122 - south close of the niche.  Stud 3-5/8" 362S137-33 MST @ 16" O.C.; bracing 1-1/2" C.R. channel @ 48" O.C.  Calling Cubes 122: 1 layer(s) 5/8 GYP @ 9.000 FT | MW01 niche: 1 layer(s) 5/8 GYP @ 9.000 FT  (1 instance)</t>
  </si>
  <si>
    <t xml:space="preserve">seal de2d6c733839b704</t>
  </si>
  <si>
    <t xml:space="preserve">A02.01 → A04.01 → S2.20 → 1/A12.01 → 3/A12.01 → 4/A12.01 → A09.01 → 10/A12.02 → 11/A12.02 → 7/A12.04 → 1/S5.20 → 4/S5.20 → 7/S5.20 → A00.01 → A00.30 → A09.27 → A09.33 → E02.01 → M01.01 → P01.01 → P01.02</t>
  </si>
  <si>
    <t xml:space="preserve">A1  #7  -  Break Room 118 / Cash Window 116 - vertical return between walls A1-5 and A1-6.  Stud 3-5/8" 362S137-33 MST @ 16" O.C.; bracing 1-1/2" C.R. channel @ 48" O.C.  Break Room 118: 1 layer(s) 5/8 GYP @ 9.000 FT | Cash Window 116: 1 layer(s) 5/8 GYP @ 9.500 FT  (1 instance)</t>
  </si>
  <si>
    <t xml:space="preserve">seal 59b6ae489514c65f</t>
  </si>
  <si>
    <t xml:space="preserve">TYPE A1K</t>
  </si>
  <si>
    <t xml:space="preserve">A1K  #11  -  NORTH head of Cash Window 116 / CSR line (banda y 1120.68/1128.48).  Stud 3-5/8" 362S137-68 MST @ 24" O.C.; bracing 1-1/2" C.R. channel @ 48" O.C.  Lado norte (linea de teller, contra el wall G-47): 1 layer(s) 5/8 GYP 1 layer @ 15.375 FT | Cash Window 116: 1 layer(s) 5/8 GYP 1 layer @ 15.375 FT  (1 instance)</t>
  </si>
  <si>
    <t xml:space="preserve">seal 55ac0f1c5756bccf</t>
  </si>
  <si>
    <t xml:space="preserve">A02.01 → S2.20 → 4/A12.01 → 1/S5.20 → 7/S5.20 → A09.01 → A00.01 → A09.27 → A09.33</t>
  </si>
  <si>
    <t xml:space="preserve">A1K  #12  -  SOUTH head of Cash Window 116 (banda y 1344.72/1352.64).  Stud 3-5/8" 362S137-68 MST @ 24" O.C.; bracing 1-1/2" C.R. channel @ 48" O.C.  Cash Window 116: 1 layer(s) 5/8 GYP 1 layer @ 12.933 FT | Lado sur (zona del FUTURE FCAM): 1 layer(s) 5/8 GYP 1 layer @ 12.933 FT  (1 instance)</t>
  </si>
  <si>
    <t xml:space="preserve">seal 7fa175fb06948b14</t>
  </si>
  <si>
    <t xml:space="preserve">A1K  #13  -  Southwest return at Cash Window 116 (banda y 1355.28/1363.08).  Stud 3-5/8" 362S137-68 MST @ 24" O.C.; bracing 1-1/2" C.R. channel @ 48" O.C.  Lado norte: 1 layer(s) 5/8 GYP 1 layer @ 12.921 FT | Lado sur (zona del FUTURE FCAM): 1 layer(s) 5/8 GYP 1 layer @ 12.921 FT  (1 instance)</t>
  </si>
  <si>
    <t xml:space="preserve">seal e3169842073623f7</t>
  </si>
  <si>
    <t xml:space="preserve">TYPE A5</t>
  </si>
  <si>
    <t xml:space="preserve">A5  #14  -  Calling Cubes 122 / Office 4 CB 108.  Stud 6" 600S137-33 MST @ 16" O.C.; bracing 1-1/2" C.R. channel @ 48" O.C.  Calling Cubes 122: 1 layer(s) 5/8 GYP @ 9.000 FT | Office 4 CB 108: 1 layer(s) 5/8 GYP @ 9.500 FT  (1 instance)</t>
  </si>
  <si>
    <t xml:space="preserve">6"</t>
  </si>
  <si>
    <t xml:space="preserve">seal 95c67946c0f7261d</t>
  </si>
  <si>
    <t xml:space="preserve">A02.01 → A04.01 → 3/A12.01 → 1/S5.20 → 4/S5.20 → 7/S5.20 → A09.01 → A00.30 → A09.27 → A09.33</t>
  </si>
  <si>
    <t xml:space="preserve">A5  #15  -  Calling Cubes 122 / Corridor 111.  Stud 6" 600S137-33 MST @ 16" O.C.; bracing 1-1/2" C.R. channel @ 48" O.C.  Calling Cubes 122: 1 layer(s) 5/8 GYP @ 9.000 FT | Corridor 111: 1 layer(s) 5/8 GYP @ 9.000 FT  (1 instance)</t>
  </si>
  <si>
    <t xml:space="preserve">seal 4742d9e4779e1bab</t>
  </si>
  <si>
    <t xml:space="preserve">A02.01 → A04.01 → S2.20 → 3/A12.01 → 1/S5.20 → 4/S5.20 → 7/S5.20 → A09.01 → A00.30 → A09.27 → A09.33 → A12.05</t>
  </si>
  <si>
    <t xml:space="preserve">A5  #16  -  Corridor 111 / Calling Cubes 122.  Stud 6" 600S137-33 MST @ 16" O.C.; bracing 1-1/2" C.R. channel @ 48" O.C.  Corridor 111: 1 layer(s) 5/8 GYP @ 9.000 FT | Calling Cubes 122: 1 layer(s) 5/8 GYP @ 9.000 FT  (1 instance)</t>
  </si>
  <si>
    <t xml:space="preserve">door 122 3.33 x 7.00</t>
  </si>
  <si>
    <t xml:space="preserve">seal 33f26d5ec19f564f</t>
  </si>
  <si>
    <t xml:space="preserve">A02.01 → A04.01 → 3/A12.01 → A09.01 → 10/A12.02 → 1/S5.20 → 4/S5.20 → 7/S5.20 → 9/S5.20 → A00.30 → A09.27 → A09.33</t>
  </si>
  <si>
    <t xml:space="preserve">A5  #17  -  Break Room 118 / Cash Window 116.  Stud 6" 600S137-33 MST @ 16" O.C.; bracing 1-1/2" C.R. channel @ 48" O.C.  Break Room 118: 1 layer(s) 5/8 GYP @ 9.000 FT | Cash Window 116: 1 layer(s) 5/8 GYP @ 9.500 FT  (1 instance)</t>
  </si>
  <si>
    <t xml:space="preserve">seal e3797658ed2d6b14</t>
  </si>
  <si>
    <t xml:space="preserve">A02.01 → A04.01 → S2.20 → 3/A12.01 → 1/S5.20 → 4/S5.20 → 7/S5.20 → A09.01 → A00.30 → A09.27 → A09.33</t>
  </si>
  <si>
    <t xml:space="preserve">TYPE B</t>
  </si>
  <si>
    <t xml:space="preserve">B  #23  -  Electrical 120 + NER 121 / Break Room 118 (east wall).  Stud 3-5/8" 362S137-33 MST @ 16" O.C.; bracing 1-1/2" C.R. channel @ 48" O.C.  Electrical 120: 1 layer(s) 5/8 GYP @ 12.831 FT | NER 121: 1 layer(s) 5/8 GYP @ 12.831 FT | Break Room 118: 1 layer(s) 5/8 GYP @ 12.831 FT  (1 instance)</t>
  </si>
  <si>
    <t xml:space="preserve">door 120 3.33 x 7.00 + door 121 3.33 x 7.00</t>
  </si>
  <si>
    <t xml:space="preserve">seal 94fc9636f6965f50</t>
  </si>
  <si>
    <t xml:space="preserve">A02.01 → S2.20 → 1/A12.01 → A09.01 → 10/A12.02 → 11/A12.02 → 1/S5.20 → 4/S5.20 → 7/S5.20 → 9/S5.20 → A00.30 → A09.27 → A09.33</t>
  </si>
  <si>
    <t xml:space="preserve">B  #20  -  Janitor Closet 112 / Storage 117 (horizontal wall, with door 112).  Stud 3-5/8" 362S137-33 MST @ 16" O.C.; bracing 1-1/2" C.R. channel @ 48" O.C.  Janitor Closet 112: 1 layer(s) 5/8 GYP @ 12.748 FT | Storage 117: 1 layer(s) 5/8 GYP @ 12.748 FT  (1 instance)</t>
  </si>
  <si>
    <t xml:space="preserve">door 112 3.00 x 7.00</t>
  </si>
  <si>
    <t xml:space="preserve">seal cf6621bf33cfc512</t>
  </si>
  <si>
    <t xml:space="preserve">B  #21  -  Janitor Closet 112 + Storage 117 / Wellness 115.  Stud 3-5/8" 362S137-33 MST @ 16" O.C.; bracing 1-1/2" C.R. channel @ 48" O.C.  Wellness 115: 1 layer(s) 5/8 GYP @ 12.666 FT | Janitor Closet 112: 1 layer(s) 5/8 GYP @ 12.666 FT | Storage 117: 1 layer(s) 5/8 GYP @ 12.666 FT  (1 instance)</t>
  </si>
  <si>
    <t xml:space="preserve">seal 97c412d53363891c</t>
  </si>
  <si>
    <t xml:space="preserve">A02.01 → S2.20 → 1/A12.01 → 1/S5.20 → 4/S5.20 → 7/S5.20 → A09.01 → A00.30 → A09.27 → A09.33</t>
  </si>
  <si>
    <t xml:space="preserve">B  #18  -  Electrical 120 / Break Room 118 (north wall of Electrical).  Stud 3-5/8" 362S137-33 MST @ 16" O.C.; bracing 1-1/2" C.R. channel @ 48" O.C.  Break Room 118: 1 layer(s) 5/8 GYP @ 12.827 FT | Electrical 120: 1 layer(s) 5/8 GYP @ 12.827 FT  (1 instance)</t>
  </si>
  <si>
    <t xml:space="preserve">seal 22cceb27f4d24f0a</t>
  </si>
  <si>
    <t xml:space="preserve">A02.01 → S2.20 → 2/A11.03 → 3/A11.03 → 4/A11.03 → 1/A12.01 → 1/S5.20 → 4/S5.20 → 7/S5.20 → A09.01 → A00.30 → A09.27 → A09.33</t>
  </si>
  <si>
    <t xml:space="preserve">B  #22  -  Electrical 120 / NER 121 (south wall of Electrical).  Stud 3-5/8" 362S137-33 MST @ 16" O.C.; bracing 1-1/2" C.R. channel @ 48" O.C.  Electrical 120: 1 layer(s) 5/8 GYP @ 12.698 FT | NER 121: 1 layer(s) 5/8 GYP @ 12.698 FT  (1 instance)</t>
  </si>
  <si>
    <t xml:space="preserve">seal 1f8b6511c9a47902</t>
  </si>
  <si>
    <t xml:space="preserve">B  #19  -  Janitor Closet 112 / Storage 117 (also carries tag #20, same wall).  Stud 3-5/8" 362S137-33 MST @ 16" O.C.; bracing 1-1/2" C.R. channel @ 48" O.C.  Janitor Closet 112: 1 layer(s) 5/8 GYP @ 12.743 FT | Storage 117: 1 layer(s) 5/8 GYP @ 12.743 FT  (1 instance)</t>
  </si>
  <si>
    <t xml:space="preserve">seal 3fed9fd55804aca5</t>
  </si>
  <si>
    <t xml:space="preserve">A02.01 → S2.20 → 1/A12.01 → 1/S5.20 → 4/S5.20 → 6/S5.20 → 7/S5.20 → A09.01 → A00.30 → A09.27 → A09.33 → M01.01</t>
  </si>
  <si>
    <t xml:space="preserve">TYPE B2</t>
  </si>
  <si>
    <t xml:space="preserve">B2  #27  -  Corridor 111 / Men's Restroom 113 + Storage 117 + Wellness 115 (lleva tambien el tag #29, mismo wall).  Stud 6" 600S137-33 MST @ 16" O.C.; bracing 1-1/2" C.R. channel @ 48" O.C.  Men's Restroom 113: 1 layer(s) 5/8 GYP @ 13.052 FT | Storage 117: 1 layer(s) 5/8 GYP @ 13.052 FT | Wellness 115: 1 layer(s) 5/8 GYP @ 13.052 FT | Corridor 111: 1 layer(s) 5/8 GYP @ 13.052 FT  (1 instance)</t>
  </si>
  <si>
    <t xml:space="preserve">door 113 3.33 x 7.00 + door 117 3.33 x 7.00 + door 115 3.33 x 7.00</t>
  </si>
  <si>
    <t xml:space="preserve">seal 7730432fa7356abd</t>
  </si>
  <si>
    <t xml:space="preserve">A02.01 → B/A08.01 → S2.20 → 1/A12.01 → 3/A12.01 → A09.01 → 9/A00.41 → 10/A12.02 → 11/A12.02 → 1/S5.20 → 4/S5.20 → 6/S5.20 → 7/S5.20 → 9/S5.20 → A00.30 → A09.27 → A09.33 → E02.01 → M01.01 → P01.01 → P01.02</t>
  </si>
  <si>
    <t xml:space="preserve">B2  #28  -  Break Room 118 / Cash Window 116 + Work Room 119 (lleva tambien el tag #30, mismo wall).  Stud 6" 600S137-33 MST @ 16" O.C.; bracing 1-1/2" C.R. channel @ 48" O.C.  Break Room 118: 1 layer(s) 5/8 GYP @ 13.052 FT | Cash Window 116: 1 layer(s) 5/8 GYP @ 13.052 FT | Work Room 119: 1 layer(s) 5/8 GYP @ 13.052 FT  (1 instance)</t>
  </si>
  <si>
    <t xml:space="preserve">seal 038efd60d5bbdd8f</t>
  </si>
  <si>
    <t xml:space="preserve">A02.01 → S2.20 → 1/A12.01 → 3/A12.01 → A09.01 → 7/A12.04 → 10/A12.04 → 11/A12.04 → 9/A12.05 → 1/S5.20 → 7/S5.20 → 9/S5.20 → A00.30 → A09.27 → A09.33 → A12.06 → E02.01 → M01.01 → P01.01 → P01.02</t>
  </si>
  <si>
    <t xml:space="preserve">B2  #25  -  ATM Room 102 / Central Zone 103 (wall de la door 102).  Stud 6" 600S137-33 MST @ 16" O.C.; bracing 1-1/2" C.R. channel @ 48" O.C.  ATM Room 102: 1 layer(s) 5/8 GYP @ 15.375 FT | Central Zone 103: 1 layer(s) 5/8 GYP @ 15.375 FT  (1 instance)</t>
  </si>
  <si>
    <t xml:space="preserve">door 102 3.83 x 8.00</t>
  </si>
  <si>
    <t xml:space="preserve">seal dc201c1d1b0c9138</t>
  </si>
  <si>
    <t xml:space="preserve">A02.01 → S2.20 → 1/A12.01 → 3/A12.01 → A09.01 → 10/A12.02 → 11/A12.02 → 1/S5.20 → 7/S5.20 → 9/S5.20 → A00.30 → A09.27 → A09.33 → E02.01 → M01.01 → P01.01 → P01.02</t>
  </si>
  <si>
    <t xml:space="preserve">B2  #26  -  Women's Restroom 114 / Corridor 111 (jamb sur de la door 114).  Stud 6" 600S137-33 MST @ 16" O.C.; bracing 1-1/2" C.R. channel @ 48" O.C.  Women's Restroom 114: 1 layer(s) 5/8 GYP @ 13.052 FT | Corridor 111: 1 layer(s) 5/8 GYP @ 13.052 FT  (1 instance)</t>
  </si>
  <si>
    <t xml:space="preserve">seal 87cfa9ebe94dc6bf</t>
  </si>
  <si>
    <t xml:space="preserve">A02.01 → 2/A08.01 → B/A08.01 → S2.20 → 1/A12.01 → 3/A12.01 → 1/S5.20 → 4/S5.20 → 7/S5.20 → 9/S5.20 → A09.01 → A00.30 → A09.27 → A09.33</t>
  </si>
  <si>
    <t xml:space="preserve">TYPE B2K</t>
  </si>
  <si>
    <t xml:space="preserve">B2K  #31  -  Office 4 CB 108 (customer side) / Cash Window 116 (teller side).  Stud 6" 600S137-68 MST @ 24" O.C.; bracing 1-1/2" C.R. channel @ 48" O.C.  Office 4 CB 108: 1 layer(s) 5/8 GYP @ 15.375 FT | Cash Window 116: 1 layer(s) 5/8 GYP @ 15.375 FT  (1 instance)</t>
  </si>
  <si>
    <t xml:space="preserve">seal f0416b251e71edd3</t>
  </si>
  <si>
    <t xml:space="preserve">A02.01 → S2.20 → 4/A12.01 → 1/S5.20 → 4/S5.20 → 5/S5.20 → 7/S5.20 → A09.01 → A00.30 → A09.27 → A09.33 → E02.01 → M01.01 → P01.01 → P01.02</t>
  </si>
  <si>
    <t xml:space="preserve">TYPE BULKHEAD-G</t>
  </si>
  <si>
    <t xml:space="preserve">BULKHEAD-G  #54  -  Over the 4 office fronts at Offices 105, 106, 107 and 108 (alineacion x 1622.04/1631.28).  Stud 1-5/8" 162S-family MST @ 16" O.C. DOUBLE ROW (2 rows of stud); bracing 1-1/2" C.R. channel @ 48" O.C.  Lado oficina (105-108): 2 layer(s) 5/8 GYP x2 layers @ 7.333 FT | Central Zone 103: 2 layer(s) 5/8 GYP x2 layers @ 7.333 FT  (1 instance)</t>
  </si>
  <si>
    <t xml:space="preserve">1-5/8"</t>
  </si>
  <si>
    <t xml:space="preserve">seal 778c08f5074a3f2b</t>
  </si>
  <si>
    <t xml:space="preserve">A02.01 → S2.20 → 7/A11.01 → 9/A12.01 → 1/S5.20 → 7/S5.20 → A09.01 → A00.01 → A09.27 → A09.33</t>
  </si>
  <si>
    <t xml:space="preserve">BULKHEAD-G  #55  -  Over the 2 office fronts at Offices 109 and 110 (alineacion x 1121.16/1133.88).  Stud 1-5/8" 162S-family MST @ 16" O.C. DOUBLE ROW (2 rows of stud); bracing 1-1/2" C.R. channel @ 48" O.C.  Lado oficina (109-110): 2 layer(s) 5/8 GYP x2 layers @ 7.333 FT | Area abierta al este (Waiting 104): 2 layer(s) 5/8 GYP x2 layers @ 7.333 FT  (1 instance)</t>
  </si>
  <si>
    <t xml:space="preserve">seal c904037bf9ccbc5c</t>
  </si>
  <si>
    <t xml:space="preserve">TYPE C1</t>
  </si>
  <si>
    <t xml:space="preserve">C1  #36  -  North wall of Calling Cubes 122, face towards Central Zone 103.  Stud 3-5/8" 362S137-33 MST @ 16" O.C.; bracing 1-1/2" C.R. channel @ 48" O.C.  Central Zone 103: 1 layer(s) 5/8 GYP @ 11.500 FT  (1 instance)</t>
  </si>
  <si>
    <t xml:space="preserve">seal ee061539aa99e04a</t>
  </si>
  <si>
    <t xml:space="preserve">A02.01 → A04.01 → 2/A12.01 → 3/A12.01 → 6/A12.01 → 12/A12.01 → A09.01 → 9/A12.02 → 13/A12.02 → 1/S5.20 → 4/S5.20 → 7/S5.20 → A00.30 → A09.27 → A09.33</t>
  </si>
  <si>
    <t xml:space="preserve">C1  #37  -  North face of the plumbing chase between restrooms 113 and 114.  Stud 3-5/8" 362S137-33 MST @ 16" O.C.; bracing 1-1/2" C.R. channel @ 48" O.C.  Women's Restroom 114: 1 layer(s) 5/8 GYP @ 9.000 FT  (1 instance)</t>
  </si>
  <si>
    <t xml:space="preserve">seal 8f93a0dfc5e6f9be</t>
  </si>
  <si>
    <t xml:space="preserve">A02.01 → A04.01 → A08.01 → 2/A12.01 → 3/A12.01 → 6/A12.01 → 12/A12.01 → 1/S5.20 → 4/S5.20 → 7/S5.20 → 8/S5.20 → A09.01 → A00.30 → A09.27 → A09.33</t>
  </si>
  <si>
    <t xml:space="preserve">C1  #39  -  South face of the plumbing chase between restrooms 113 and 114.  Stud 3-5/8" 362S137-33 MST @ 16" O.C.; bracing 1-1/2" C.R. channel @ 48" O.C.  Men's Restroom 113: 1 layer(s) 5/8 GYP @ 9.000 FT  (1 instance)</t>
  </si>
  <si>
    <t xml:space="preserve">seal 05f3cbbb46afc9d5</t>
  </si>
  <si>
    <t xml:space="preserve">C1  #32  -  Entry pilaster of Vestibule 100, next to door 100A; it carries the push button (PB) and the card reader (CR).  Stud 3-5/8" 362S137-33 MST @ 16" O.C.; bracing 1-1/2" C.R. channel @ 48" O.C.  Vestibule 100: 1 layer(s) 5/8 GYP @ 10.000 FT  (1 instance)</t>
  </si>
  <si>
    <t xml:space="preserve">seal 18f719ea04d85cfd</t>
  </si>
  <si>
    <t xml:space="preserve">A02.01 → A04.01 → 2/A12.01 → 3/A12.01 → 6/A12.01 → 12/A12.01 → 1/S5.20 → 4/S5.20 → 7/S5.20 → A09.01 → A00.30 → A09.27 → A09.33</t>
  </si>
  <si>
    <t xml:space="preserve">C1  #33  -  Pilaster at the northwest corner of Vestibule 100.  Stud 3-5/8" 362S137-33 MST @ 16" O.C.; bracing 1-1/2" C.R. channel @ 48" O.C.  Vestibule 100: 1 layer(s) 5/8 GYP @ 10.000 FT  (1 instance)</t>
  </si>
  <si>
    <t xml:space="preserve">seal 99e04a76facc8aa6</t>
  </si>
  <si>
    <t xml:space="preserve">C1  #38  -  Future FCAM, south face of the A1K wall that closes Cash Window 116.  Stud 3-5/8" 362S137-33 MST @ 16" O.C.; bracing 1-1/2" C.R. channel @ 48" O.C.  Cash Window 116: 1 layer(s) 5/8 GYP @ 9.000 FT  (1 instance)</t>
  </si>
  <si>
    <t xml:space="preserve">seal ca69ddeec498e65b</t>
  </si>
  <si>
    <t xml:space="preserve">C1  #34  -  Steel column enclosure between 24 HR Vestibule 101 and Central Zone 103; the column is drawn inside the box.  Stud 3-5/8" 362S137-33 MST @ 16" O.C.; bracing 1-1/2" C.R. channel @ 48" O.C.  Central Zone 103: 1 layer(s) 5/8 GYP @ 11.500 FT  (1 instance)</t>
  </si>
  <si>
    <t xml:space="preserve">seal 8fb0489490dc755f</t>
  </si>
  <si>
    <t xml:space="preserve">C1  #35  -  Steel column enclosure at the south end of the sloped ATM wall, between ATM Room 102 and Central Zone 103.  Stud 3-5/8" 362S137-33 MST @ 16" O.C.; bracing 1-1/2" C.R. channel @ 48" O.C.  Central Zone 103: 1 layer(s) 5/8 GYP @ 11.500 FT  (1 instance)</t>
  </si>
  <si>
    <t xml:space="preserve">seal 3b9e6e7a71481bbb</t>
  </si>
  <si>
    <t xml:space="preserve">TYPE CANOPY-COL</t>
  </si>
  <si>
    <t xml:space="preserve">CANOPY-COL  #66  -  CANOPY COLUMN 1 (drive-through island, northmost -- A02.01 y=283.8).  Stud 3-5/8" 362S137-33 MST @ 16" O.C.; bracing 1-1/2" C.R. channel @ 48" O.C.  Exterior (4 faces of the wrap): 1 layer(s) 5/8 EXTERIOR GRADE FRT PLYWOOD @ 10.500 FT  (1 instance)</t>
  </si>
  <si>
    <t xml:space="preserve">seal 159cfafc30d95d57</t>
  </si>
  <si>
    <t xml:space="preserve">A02.01 → D/A08.01 → 6/A08.11 → S2.10 → A/A09.21 → D/A09.22 → F/A09.22 → H/A09.23 → 2/A09.25 → 5/A09.25 → 9/S3.20 → 6/S5.10 → 10/S5.10 → A09.01 → A12.01 → 5/A09.26 → 9/A09.27 → 6/A09.31 → 7/S5.20 → A00.30 → A09.33</t>
  </si>
  <si>
    <t xml:space="preserve">CANOPY-COL  #67  -  CANOPY COLUMN 2 (drive-through island -- A02.01 y=564.2).  Stud 3-5/8" 362S137-33 MST @ 16" O.C.; bracing 1-1/2" C.R. channel @ 48" O.C.  Exterior (4 faces of the wrap): 1 layer(s) 5/8 EXTERIOR GRADE FRT PLYWOOD @ 10.500 FT  (1 instance)</t>
  </si>
  <si>
    <t xml:space="preserve">seal 83d00f2c2952a67c</t>
  </si>
  <si>
    <t xml:space="preserve">CANOPY-COL  #68  -  CANOPY COLUMN 3 (drive-through island -- A02.01 y=849.2).  Stud 3-5/8" 362S137-33 MST @ 16" O.C.; bracing 1-1/2" C.R. channel @ 48" O.C.  Exterior (4 faces of the wrap): 1 layer(s) 5/8 EXTERIOR GRADE FRT PLYWOOD @ 10.500 FT  (1 instance)</t>
  </si>
  <si>
    <t xml:space="preserve">seal 871fd9270d16311a</t>
  </si>
  <si>
    <t xml:space="preserve">CANOPY-COL  #69  -  CANOPY COLUMN 4 (drive-through island, southmost -- A02.01 y=1125.0).  Stud 3-5/8" 362S137-33 MST @ 16" O.C.; bracing 1-1/2" C.R. channel @ 48" O.C.  Exterior (4 faces of the wrap): 1 layer(s) 5/8 EXTERIOR GRADE FRT PLYWOOD @ 10.500 FT  (1 instance)</t>
  </si>
  <si>
    <t xml:space="preserve">seal a46b2f79804210e6</t>
  </si>
  <si>
    <t xml:space="preserve">TYPE EXT-6CFMF</t>
  </si>
  <si>
    <t xml:space="preserve">EXT-6CFMF  #61  -  EAST facade (grid 8, x=1851.78) -- the 4 offices 105-108.  Stud 6" 600S137-33 MST @ 16" O.C.; bracing 1-1/2" C.R. channel @ 48" O.C.  Interior: 1 layer(s) 5/8 GYP @ 14.520 FT  (1 instance)</t>
  </si>
  <si>
    <t xml:space="preserve">window window GL-2 #1 (R.O. 8'-0" x 2'-0") 8.00 x 2.00 + window window GL-2 #2 (R.O. 8'-0" x 2'-0") 8.00 x 2.00 + window window GL-2 #3 (R.O. 8'-0" x 2'-0") 8.00 x 2.00 + window window GL-2 #4 (R.O. 8'-0" x 2'-0") 8.00 x 2.00</t>
  </si>
  <si>
    <t xml:space="preserve">seal a3203de09a3a9d2f</t>
  </si>
  <si>
    <t xml:space="preserve">A02.01 → 5/A08.11 → 6/A08.11 → A08.01 → 2/A09.01 → 1/A09.02 → A/A09.21 → B/A09.21 → C/A09.21 → D/A09.22 → E/A09.22 → F/A09.22 → H/A09.23 → J/A09.23 → 1/A09.25 → 2/A09.25 → 3/A09.25 → 4/A11.01 → 10/A11.03 → 3/A11.04 → 7/A11.04 → 9/A11.04 → 16/A11.04 → 2/S3.20 → 8/S3.20 → 6/S5.10 → 10/S5.10 → 11/S5.10 → 7/S5.11 → A12.01 → 1/A09.26 → 2/A09.26 → 4/A09.26 → 5/A09.26 → 6/A09.26 → 7/A09.26 → 9/A09.27 → 10/A09.27 → 11/A09.27 → 6/A09.31 → 7/S5.20 → A09.33</t>
  </si>
  <si>
    <t xml:space="preserve">EXT-6CFMF  #62  -  SOUTH facade (grid A, y=1702.14) -- service side, egress door 123.  Stud 6" 600S137-33 MST @ 16" O.C.; bracing 1-1/2" C.R. channel @ 48" O.C.  Interior: 1 layer(s) 5/8 GYP @ 12.531 FT  (1 instance)</t>
  </si>
  <si>
    <t xml:space="preserve">door door 123 de egreso 3.33 x 7.00</t>
  </si>
  <si>
    <t xml:space="preserve">seal 3eacd1caf553f123</t>
  </si>
  <si>
    <t xml:space="preserve">A02.01 → 5/A08.11 → 6/A08.11 → A08.01 → S2.20 → A/A09.21 → B/A09.21 → C/A09.21 → D/A09.22 → E/A09.22 → F/A09.22 → H/A09.23 → J/A09.23 → 4/A11.01 → 10/A11.03 → 3/A11.04 → 7/A11.04 → 9/A11.04 → 16/A11.04 → 2/S3.20 → 8/S3.20 → 6/S5.10 → 10/S5.10 → 11/S5.10 → 7/S5.11 → A09.01 → A09.02 → A12.01 → 2/A09.26 → 4/A09.26 → 5/A09.26 → 7/A09.26 → 9/A09.27 → 11/A09.27 → 6/A09.31 → 7/S5.20 → A00.30 → A09.33</t>
  </si>
  <si>
    <t xml:space="preserve">EXT-6CFMF  #63  -  WEST LOW facade (grid 3, x=903.18) -- offices 109-110 and restrooms.  Stud 6" 600S137-33 MST @ 16" O.C.; bracing 1-1/2" C.R. channel @ 48" O.C.  Interior: 1 layer(s) 5/8 GYP @ 13.990 FT  (1 instance)</t>
  </si>
  <si>
    <t xml:space="preserve">window window GL-2 #1 (R.O. 8'-0" x 2'-0") 8.00 x 2.00 + window window GL-2 #2 (R.O. 8'-0" x 2'-0") 8.00 x 2.00</t>
  </si>
  <si>
    <t xml:space="preserve">seal 689bc85d12113496</t>
  </si>
  <si>
    <t xml:space="preserve">A02.01 → C/A08.01 → D/A08.01 → 5/A08.11 → 6/A08.11 → 2/A09.01 → 1/A09.02 → A/A09.21 → B/A09.21 → C/A09.21 → D/A09.22 → E/A09.22 → F/A09.22 → H/A09.23 → J/A09.23 → 1/A09.25 → 2/A09.25 → 3/A09.25 → 2/S3.20 → 8/S3.20 → 6/S5.10 → 10/S5.10 → 11/S5.10 → 7/S5.11 → A12.01 → 1/A09.26 → 2/A09.26 → 4/A09.26 → 5/A09.26 → 6/A09.26 → 7/A09.26 → 9/A09.27 → 10/A09.27 → 11/A09.27 → 6/A09.31 → 7/S5.20 → A00.21 → A09.33</t>
  </si>
  <si>
    <t xml:space="preserve">EXT-6CFMF  #65  -  WEST HIGH facade (grid 2, x=833.16) -- 24 hr vestibule and drive-up ATM.  Stud 6" 600S137-33 MST @ 16" O.C.; bracing 1-1/2" C.R. channel @ 48" O.C.  Interior: 1 layer(s) 5/8 GYP @ 15.375 FT  (1 instance)</t>
  </si>
  <si>
    <t xml:space="preserve">framed opening R.O. del ATM drive-up NHA 9D 2.18 x 2.60</t>
  </si>
  <si>
    <t xml:space="preserve">seal aded4bb735f151bd</t>
  </si>
  <si>
    <t xml:space="preserve">A02.01 → D/A08.01 → 2/A08.11 → 3/A08.11 → 4/A08.11 → 5/A08.11 → 6/A08.11 → 7/A08.11 → 8/A08.11 → 9/A08.11 → A/A09.21 → B/A09.21 → C/A09.21 → D/A09.22 → E/A09.22 → F/A09.22 → H/A09.23 → J/A09.23 → 1/A09.25 → 2/A09.25 → 3/A09.25 → 2/S3.20 → 8/S3.20 → 6/S5.10 → 10/S5.10 → 11/S5.10 → 7/S5.11 → A09.01 → A09.02 → A12.01 → 1/A09.26 → 2/A09.26 → 4/A09.26 → 5/A09.26 → 6/A09.26 → 7/A09.26 → 9/A09.27 → 10/A09.27 → 11/A09.27 → 6/A09.31 → 7/S5.20 → A09.33</t>
  </si>
  <si>
    <t xml:space="preserve">EXT-6CFMF  #60  -  NORTH facade (grid F, y=328.74) -- entrance side.  Stud 6" 600S137-33 MST @ 16" O.C.; bracing 1-1/2" C.R. channel @ 48" O.C.  Interior: 1 layer(s) 5/8 GYP @ 15.375 FT  (1 instance)</t>
  </si>
  <si>
    <t xml:space="preserve">seal 99b40ea2d02d7ef9</t>
  </si>
  <si>
    <t xml:space="preserve">A02.01 → 6/A08.11 → A08.01 → S2.20 → A/A09.21 → B/A09.21 → C/A09.21 → D/A09.22 → E/A09.22 → F/A09.22 → H/A09.23 → J/A09.23 → 1/A09.25 → 2/A09.25 → 3/A09.25 → 4/A11.01 → 10/A11.03 → 3/A11.04 → 7/A11.04 → 9/A11.04 → 16/A11.04 → 2/S3.20 → 8/S3.20 → 6/S5.10 → 10/S5.10 → 11/S5.10 → 7/S5.11 → A09.01 → A09.02 → A12.01 → 1/A09.26 → 2/A09.26 → 4/A09.26 → 5/A09.26 → 6/A09.26 → 7/A09.26 → 9/A09.27 → 10/A09.27 → 11/A09.27 → 6/A09.31 → 7/S5.20 → A00.30 → A09.33</t>
  </si>
  <si>
    <t xml:space="preserve">EXT-6CFMF  #64  -  West perimeter jog (y=839.58, grid 2 to grid 3).  Stud 6" 600S137-33 MST @ 16" O.C.; bracing 1-1/2" C.R. channel @ 48" O.C.  Interior: 1 layer(s) 5/8 GYP @ 15.375 FT  (1 instance)</t>
  </si>
  <si>
    <t xml:space="preserve">seal 1a04cf242764cf6c</t>
  </si>
  <si>
    <t xml:space="preserve">A02.01 → 6/A08.11 → A08.01 → A/A09.21 → B/A09.21 → C/A09.21 → D/A09.22 → E/A09.22 → F/A09.22 → H/A09.23 → J/A09.23 → 4/A11.01 → 10/A11.03 → 3/A11.04 → 7/A11.04 → 9/A11.04 → 16/A11.04 → 2/S3.20 → 8/S3.20 → 6/S5.10 → 10/S5.10 → 11/S5.10 → 7/S5.11 → A09.01 → A09.02 → A12.01 → 2/A09.26 → 4/A09.26 → 5/A09.26 → 7/A09.26 → 9/A09.27 → 11/A09.27 → 6/A09.31 → 7/S5.20 → A00.30 → A09.33</t>
  </si>
  <si>
    <t xml:space="preserve">TYPE EXT-PARAPET</t>
  </si>
  <si>
    <t xml:space="preserve">EXT-PARAPET  #161  -  EAST facade (grid 8, x=1851.78) -- the 4 offices 105-108 -- PARAPET INFILL, from B.O.D. up to T/ STUD.  Stud 6" 54mil 600S162-54 MST @ 16" O.C.; bracing 1-1/2" C.R. channel @ 48" O.C.    (1 instance)</t>
  </si>
  <si>
    <t xml:space="preserve">6" 54mil</t>
  </si>
  <si>
    <t xml:space="preserve">seal ef38ead4712e6278</t>
  </si>
  <si>
    <t xml:space="preserve">A02.01 → A/A09.21 → C/A09.21 → D/A09.22 → H/A09.23 → J/A09.23 → 6/S5.10 → 10/S5.10 → 11/S5.10 → 7/S5.11 → A09.01 → A09.02 → A12.01 → 4/A09.26 → 7/S5.20 → A00.30 → A09.27 → A09.33</t>
  </si>
  <si>
    <t xml:space="preserve">EXT-PARAPET  #162  -  SOUTH facade (grid A, y=1702.14) -- service side, egress door 123 -- PARAPET INFILL, from B.O.D. up to T/ STUD.  Stud 6" 54mil 600S162-54 MST @ 16" O.C.; bracing 1-1/2" C.R. channel @ 48" O.C.    (1 instance)</t>
  </si>
  <si>
    <t xml:space="preserve">seal 13d7c711fa03fb8f</t>
  </si>
  <si>
    <t xml:space="preserve">A02.01 → S2.20 → A/A09.21 → C/A09.21 → D/A09.22 → H/A09.23 → J/A09.23 → 6/S5.10 → 10/S5.10 → 11/S5.10 → 7/S5.11 → A09.01 → A09.02 → A12.01 → 4/A09.26 → 7/S5.20 → A00.30 → A09.27 → A09.33</t>
  </si>
  <si>
    <t xml:space="preserve">EXT-PARAPET  #163  -  WEST LOW facade (grid 3, x=903.18) -- offices 109-110 and restrooms -- PARAPET INFILL, from B.O.D. up to T/ STUD.  Stud 6" 54mil 600S162-54 MST @ 16" O.C.; bracing 1-1/2" C.R. channel @ 48" O.C.    (1 instance)</t>
  </si>
  <si>
    <t xml:space="preserve">seal d0130a7cdbf4c776</t>
  </si>
  <si>
    <t xml:space="preserve">EXT-PARAPET  #165  -  WEST HIGH facade (grid 2, x=833.16) -- 24 hr vestibule and drive-up ATM -- PARAPET INFILL, from B.O.D. up to T/ STUD.  Stud 6" 54mil 600S162-54 MST @ 16" O.C.; bracing 1-1/2" C.R. channel @ 48" O.C.    (1 instance)</t>
  </si>
  <si>
    <t xml:space="preserve">seal bb5588df624beb73</t>
  </si>
  <si>
    <t xml:space="preserve">EXT-PARAPET  #160  -  NORTH facade (grid F, y=328.74) -- entrance side -- PARAPET INFILL, from B.O.D. up to T/ STUD.  Stud 6" 54mil 600S162-54 MST @ 16" O.C.; bracing 1-1/2" C.R. channel @ 48" O.C.    (1 instance)</t>
  </si>
  <si>
    <t xml:space="preserve">seal a01717e19c2cd100</t>
  </si>
  <si>
    <t xml:space="preserve">EXT-PARAPET  #164  -  West perimeter jog (y=839.58, grid 2 to grid 3) -- PARAPET INFILL, from B.O.D. up to T/ STUD.  Stud 6" 54mil 600S162-54 MST @ 16" O.C.; bracing 1-1/2" C.R. channel @ 48" O.C.    (1 instance)</t>
  </si>
  <si>
    <t xml:space="preserve">seal 9c62204d0618ecf0</t>
  </si>
  <si>
    <t xml:space="preserve">TYPE F</t>
  </si>
  <si>
    <t xml:space="preserve">F  #40  -  Wall inclinado 60 grados entre 24 HR VESTIBULE 101 (ATM LOBBY) y ATM ROOM 102.  Stud 3-5/8" 362S137-33 MST @ 16" O.C.; bracing 1-1/2" C.R. channel @ 48" O.C.  24 HR VESTIBULE 101 (ATM LOBBY, lado publico): 1 layer(s) 5/8 GYP + 3/4 FRT PLYWOOD @ 15.375 FT | ATM ROOM 102: 1 layer(s) 5/8 GYP @ 9.000 FT  (1 instance)</t>
  </si>
  <si>
    <t xml:space="preserve">framed opening R.O. del ATM NHA 7800TC TTW WU (walk-up) 2.25 x 2.69</t>
  </si>
  <si>
    <t xml:space="preserve">seal c822135c48c91fbe</t>
  </si>
  <si>
    <t xml:space="preserve">A02.01 → 1/A08.11 → 5/A08.11 → 9/A08.11 → A04.01 → S2.20 → 12/A12.01 → A09.01 → 8/A12.06 → 9/A12.06 → 1/S5.20 → 4/S5.20 → 7/S5.20 → 9/S5.20 → A00.01 → A09.27 → A09.33</t>
  </si>
  <si>
    <t xml:space="preserve">TYPE G</t>
  </si>
  <si>
    <t xml:space="preserve">G  #45  -  Office 2 CL 106 / Office 3 SB 107.  Stud 1-5/8" 162S-family MST @ 16" O.C. DOUBLE ROW (2 rows of stud); bracing 1-1/2" C.R. channel @ 48" O.C.  Office 2 CL 106: 2 layer(s) 5/8 GYP x2 layers @ 15.375 FT | Office 3 SB 107: 2 layer(s) 5/8 GYP x2 layers @ 15.375 FT  (1 instance)</t>
  </si>
  <si>
    <t xml:space="preserve">seal c6e057cc76414ea0</t>
  </si>
  <si>
    <t xml:space="preserve">A02.01 → A04.01 → S2.20 → 6/A11.01 → 7/A11.04 → 5/A12.01 → 1/S5.20 → 7/S5.20 → 9/S5.20 → A09.01 → A00.01 → A09.27 → A09.33</t>
  </si>
  <si>
    <t xml:space="preserve">G  #46  -  Office 3 SB 107 / Office 4 CB 108.  Stud 1-5/8" 162S-family MST @ 16" O.C. DOUBLE ROW (2 rows of stud); bracing 1-1/2" C.R. channel @ 48" O.C.  Office 3 SB 107: 2 layer(s) 5/8 GYP x2 layers @ 15.375 FT | Office 4 CB 108: 2 layer(s) 5/8 GYP x2 layers @ 15.375 FT  (1 instance)</t>
  </si>
  <si>
    <t xml:space="preserve">seal a9d240d10ad50f93</t>
  </si>
  <si>
    <t xml:space="preserve">A02.01 → A04.01 → S2.20 → 5/A11.04 → 9/A11.04 → 5/A12.01 → 1/S5.20 → 6/S5.20 → 7/S5.20 → 9/S5.20 → A09.01 → A00.01 → A09.27 → A09.33 → M01.01</t>
  </si>
  <si>
    <t xml:space="preserve">G  #48  -  ATM Room 102 / Office 5 CB 109.  Stud 1-5/8" 162S-family MST @ 16" O.C. DOUBLE ROW (2 rows of stud); bracing 1-1/2" C.R. channel @ 48" O.C.  ATM Room 102: 2 layer(s) 5/8 GYP x2 layers @ 15.375 FT | Office 5 CB 109: 2 layer(s) 5/8 GYP x2 layers @ 15.375 FT  (1 instance)</t>
  </si>
  <si>
    <t xml:space="preserve">seal a11bf7bf2f4fd70a</t>
  </si>
  <si>
    <t xml:space="preserve">A02.01 → S2.20 → 16/A11.04 → 5/A12.01 → 1/S5.20 → 6/S5.20 → 7/S5.20 → 9/S5.20 → A09.01 → A00.01 → A09.27 → A09.33 → M01.01</t>
  </si>
  <si>
    <t xml:space="preserve">G  #49  -  Office 5 CB 109 / Office 6 CB 110.  Stud 1-5/8" 162S-family MST @ 16" O.C. DOUBLE ROW (2 rows of stud); bracing 1-1/2" C.R. channel @ 48" O.C.  Office 5 CB 109: 2 layer(s) 5/8 GYP x2 layers @ 15.375 FT | Office 6 CB 110: 2 layer(s) 5/8 GYP x2 layers @ 15.375 FT  (1 instance)</t>
  </si>
  <si>
    <t xml:space="preserve">seal f0693cf5177c3cea</t>
  </si>
  <si>
    <t xml:space="preserve">A02.01 → A04.01 → S2.20 → 10/A11.03 → 14/A11.04 → 5/A12.01 → 1/S5.20 → 6/S5.20 → 7/S5.20 → 9/S5.20 → A09.01 → A00.01 → A09.27 → A09.33 → M01.01</t>
  </si>
  <si>
    <t xml:space="preserve">G  #52  -  Office 6 CB 110 / Women's Restroom 114 (SIN TAG, numero nuevo).  Stud 1-5/8" 162S-family MST @ 16" O.C. DOUBLE ROW (2 rows of stud); bracing 1-1/2" C.R. channel @ 48" O.C.  Office 6 CB 110: 2 layer(s) 5/8 GYP x2 layers @ 15.375 FT | Womens Restroom 114: 2 layer(s) 5/8 GYP x2 layers @ 15.375 FT  (1 instance)</t>
  </si>
  <si>
    <t xml:space="preserve">seal 43721dd850e9c63f</t>
  </si>
  <si>
    <t xml:space="preserve">A02.01 → 1/A08.01 → 8/A08.01 → C/A08.01 → A04.01 → S2.20 → 8/A11.03 → 5/A12.01 → 1/S5.20 → 6/S5.20 → 7/S5.20 → 9/S5.20 → A09.01 → A00.01 → A09.27 → A09.33 → M01.01</t>
  </si>
  <si>
    <t xml:space="preserve">G  #47  -  Office 4 CB 108 / teller line.  Stud 1-5/8" 162S-family MST @ 16" O.C. DOUBLE ROW (2 rows of stud); bracing 1-1/2" C.R. channel @ 48" O.C.  Office 4 CB 108: 2 layer(s) 5/8 GYP x2 layers @ 15.375 FT | Linea de teller: 2 layer(s) 5/8 GYP x2 layers @ 15.375 FT  (1 instance)</t>
  </si>
  <si>
    <t xml:space="preserve">seal ae0af120fa3e5465</t>
  </si>
  <si>
    <t xml:space="preserve">A02.01 → A04.01 → S2.20 → 11/A11.04 → 5/A12.01 → 1/S5.20 → 6/S5.20 → 7/S5.20 → 9/S5.20 → A09.01 → A00.01 → A09.27 → A09.33 → M01.01</t>
  </si>
  <si>
    <t xml:space="preserve">G  #42  -  Return between the office fronts at 105 y 106.  Stud 1-5/8" 162S-family MST @ 16" O.C. DOUBLE ROW (2 rows of stud); bracing 1-1/2" C.R. channel @ 48" O.C.  Central Zone 103: 2 layer(s) 5/8 GYP x2 layers @ 15.375 FT | Offices 105-106: 2 layer(s) 5/8 GYP x2 layers @ 15.375 FT  (1 instance)</t>
  </si>
  <si>
    <t xml:space="preserve">seal 64b6347a21c26f79</t>
  </si>
  <si>
    <t xml:space="preserve">A02.01 → S2.20 → 5/A12.01 → 1/S5.20 → 7/S5.20 → 9/S5.20 → A09.01 → A00.01 → A09.27 → A09.33</t>
  </si>
  <si>
    <t xml:space="preserve">G  #43  -  Return between the office fronts at 106 y 107.  Stud 1-5/8" 162S-family MST @ 16" O.C. DOUBLE ROW (2 rows of stud); bracing 1-1/2" C.R. channel @ 48" O.C.  Central Zone 103: 2 layer(s) 5/8 GYP x2 layers @ 15.375 FT | Offices 106-107: 2 layer(s) 5/8 GYP x2 layers @ 15.375 FT  (1 instance)</t>
  </si>
  <si>
    <t xml:space="preserve">seal 2ff2b63919825b92</t>
  </si>
  <si>
    <t xml:space="preserve">A02.01 → S2.20 → 5/A12.01 → 1/S5.20 → 6/S5.20 → 7/S5.20 → 9/S5.20 → A09.01 → A00.01 → A09.27 → A09.33 → M01.01</t>
  </si>
  <si>
    <t xml:space="preserve">G  #44  -  Return between the office fronts at 107 y 108.  Stud 1-5/8" 162S-family MST @ 16" O.C. DOUBLE ROW (2 rows of stud); bracing 1-1/2" C.R. channel @ 48" O.C.  Central Zone 103: 2 layer(s) 5/8 GYP x2 layers @ 15.375 FT | Offices 107-108: 2 layer(s) 5/8 GYP x2 layers @ 15.375 FT  (1 instance)</t>
  </si>
  <si>
    <t xml:space="preserve">seal 2a5975f6c813bee9</t>
  </si>
  <si>
    <t xml:space="preserve">G  #41  -  North return at the Office 1 ME 105 office front (UNTAGGED).  Stud 1-5/8" 162S-family MST @ 16" O.C. DOUBLE ROW (2 rows of stud); bracing 1-1/2" C.R. channel @ 48" O.C.  Central Zone 103: 2 layer(s) 5/8 GYP x2 layers @ 15.375 FT | Office 1 ME 105: 2 layer(s) 5/8 GYP x2 layers @ 15.375 FT  (1 instance)</t>
  </si>
  <si>
    <t xml:space="preserve">seal 240a328ab2dda3de</t>
  </si>
  <si>
    <t xml:space="preserve">TYPE G1</t>
  </si>
  <si>
    <t xml:space="preserve">G1  #50  -  Office 1 ME 105 / Office 2 CL 106 (right block).  Stud 1-5/8" 162S-family MST @ 16" O.C. DOUBLE ROW (2 rows of stud); bracing 1-1/2" C.R. channel @ 48" O.C.  Office 1 ME 105: 2 layer(s) 5/8 GYP x2 layers @ 15.375 FT | Office 2 CL 106: 2 layer(s) 5/8 GYP x2 layers @ 15.375 FT  (1 instance)</t>
  </si>
  <si>
    <t xml:space="preserve">seal bc794c614f269517</t>
  </si>
  <si>
    <t xml:space="preserve">A02.01 → S2.20 → 4/A11.01 → 6/A11.03 → 15/A11.04 → 5/A12.01 → 6/S5.20 → 7/S5.20 → 9/S5.20 → A09.01 → A00.01 → A09.27 → A09.33 → M01.01 → P01.01</t>
  </si>
  <si>
    <t xml:space="preserve">G1  #51  -  South return at the Office 5 CB 109 office front (left block).  Stud 1-5/8" 162S-family MST @ 16" O.C. DOUBLE ROW (2 rows of stud); bracing 1-1/2" C.R. channel @ 48" O.C.  Office 5 CB 109: 2 layer(s) 5/8 GYP x2 layers @ 15.375 FT | Area abierta al este del office front (Waiting 104): 2 layer(s) 5/8 GYP x2 layers @ 15.375 FT  (1 instance)</t>
  </si>
  <si>
    <t xml:space="preserve">seal 5f1c942218aa57cf</t>
  </si>
  <si>
    <t xml:space="preserve">A02.01 → S2.20 → 6/A11.03 → 15/A11.04 → 5/A12.01 → 7/S5.20 → 9/S5.20 → A09.01 → A00.01 → A09.27 → A09.33</t>
  </si>
  <si>
    <t xml:space="preserve">G1  #53  -  South return at the Office 6 CB 110 office front, UNTAGGED (left block).  Stud 1-5/8" 162S-family MST @ 16" O.C. DOUBLE ROW (2 rows of stud); bracing 1-1/2" C.R. channel @ 48" O.C.  Office 6 CB 110: 2 layer(s) 5/8 GYP x2 layers @ 15.375 FT | Area abierta al este del office front (Waiting 104): 2 layer(s) 5/8 GYP x2 layers @ 15.375 FT  (1 instance)</t>
  </si>
  <si>
    <t xml:space="preserve">seal 4fd0e58727f7b139</t>
  </si>
  <si>
    <t xml:space="preserve">TOTAL - PARTITIONS</t>
  </si>
  <si>
    <t xml:space="preserve">BOARD BY FACE - one row per face, because the two faces of a wall rarely share a height</t>
  </si>
  <si>
    <t xml:space="preserve">Board (SF) = Length x Height x Layers - Openings deducted.  Every row reproduces the sealed closure for that face; the closure's own wording is in SOURCE.</t>
  </si>
  <si>
    <t xml:space="preserve">Type</t>
  </si>
  <si>
    <t xml:space="preserve">Face (room)</t>
  </si>
  <si>
    <t xml:space="preserve">Board type</t>
  </si>
  <si>
    <t xml:space="preserve">Openings deducted (SF)</t>
  </si>
  <si>
    <t xml:space="preserve">Board (SF)</t>
  </si>
  <si>
    <t xml:space="preserve">SOURCE - closure wording</t>
  </si>
  <si>
    <t xml:space="preserve">A1</t>
  </si>
  <si>
    <t xml:space="preserve">Corridor 111</t>
  </si>
  <si>
    <t xml:space="preserve">5/8 GYP</t>
  </si>
  <si>
    <t xml:space="preserve">face oeste completa, Corridor 111: 17.06 x 9.00 = 153.54 SF. La door 118B NO se deduce porque su opening cae FUERA de este tramo (entre y=1326.36 y y=1386.36, en el quiebre contra el wall A5 #16); solo se carga aqui su header y sus jamb studs. Height: A04.01 da el tag ACT-4 con dimension impresa 8'-6" en CORRIDOR 111 y 3/A12.01 pone el edge of board 6" por encima del scheduled ceiling = 9.00 ft. Una layer de 5/8" gypsum board por face, fila A1 del schedule de 3/A12.01.</t>
  </si>
  <si>
    <t xml:space="preserve">Break Room 118</t>
  </si>
  <si>
    <t xml:space="preserve">face este, zona Break Room 118: 2.91 x 9.00 = 26.22 SF. CORREGIDO 5-oct-2026: la face este se mide FACE TO FACE, no de eje a eje. El board de esta face arranca en el extremo norte del wall (y=1386.36) y MUERE en la face norte del primer wall tipo B (y=1438.80): 52.44 pt / 18 = 2.913 ft. Medir hasta el EJE del wall B (y=1442.46) metia 0.204 ft de board que no existe, porque ahi esta el nucleo del wall B; y ademas el cierre de B #18 YA arranca en x=1241.76, la face este de este wall, asi que contar hasta el eje duplicaba. Cielo ACT-5 con dimension impresa 8'-6" en A04.01 + los 6" de 3/A12.01 = 9.00 ft</t>
  </si>
  <si>
    <t xml:space="preserve">Electrical 120</t>
  </si>
  <si>
    <t xml:space="preserve">face este, zona Electrical 120: 5.83 x 12.82 = 74.78 SF. CORREGIDO 5-oct-2026: face to face entre los dos walls tipo B, y=1446.12 a y=1551.12 = 105.00 pt / 18 = 5.833 ft, que es EXACTAMENTE la dimension impresa 5'-10" de A02.01 (cadena en x=1277.76, ticks localizados descontando el sobretiro de punta de flecha de 6.72 pt, simetrico en los dos extremos). A04.01 le pone a ELECTRICAL 120 los key notes 1 y 10; el 1 es textual 'OPEN TO STRUCTURE ABOVE' y no hay tag ACT ni dimension de cielo: el board sube al DECK. B.O.D. interpolado en el extremo ALTO de la zona (y=1446.12 de A02.01 = y=1429.40 de S2.20) = 13.052 - (200.10/454.6) x 0.521 = 12.82 ft. Una layer de 5/8" gypsum board, fila A1 del schedule de 3/A12.01, que ademas manda el stud a UNDERSIDE OF STRUCTURE con continuous slip track.</t>
  </si>
  <si>
    <t xml:space="preserve">NER 121</t>
  </si>
  <si>
    <t xml:space="preserve">face este, zona NER 121: 7.50 x 12.69 = 95.17 SF. CORREGIDO 5-oct-2026: face to face de la face sur del segundo wall B (y=1558.44) al extremo sur (y=1693.44) = 135.00 pt / 18 = 7.500 ft, que es EXACTAMENTE la dimension impresa 7'-6" de A02.01, misma cadena x=1277.76. A04.01 le pone a NER 121 los mismos key notes 1 y 10: OPEN TO STRUCTURE ABOVE, board al DECK. B.O.D. interpolado en el extremo ALTO de la zona (y=1558.44 de A02.01 = y=1541.72 de S2.20) = 13.052 - (312.42/454.6) x 0.521 = 12.69 ft. Una layer de 5/8" gypsum board, fila A1 del schedule de 3/A12.01.</t>
  </si>
  <si>
    <t xml:space="preserve">Central Zone 103</t>
  </si>
  <si>
    <t xml:space="preserve">16.42 LF x 12.00 ft x 1 layer = 197.04 SF = 197.04 SF. 5/8" gypsum board, una layer por face segun la fila A1 de 3/A12.01.</t>
  </si>
  <si>
    <t xml:space="preserve">Calling Cubes 122</t>
  </si>
  <si>
    <t xml:space="preserve">16.42 LF x 9.00 ft x 1 layer = 147.78 SF = 147.78 SF. 5/8" gypsum board, una layer por face segun la fila A1 de 3/A12.01.</t>
  </si>
  <si>
    <t xml:space="preserve">15.23 LF x 9.00 ft x 1 layer = 137.07 SF = 137.07 SF. 5/8" gypsum board, una layer por face segun la fila A1 de 3/A12.01.</t>
  </si>
  <si>
    <t xml:space="preserve">Cash Window 116</t>
  </si>
  <si>
    <t xml:space="preserve">11.67 LF x 9.50 ft x 1 layer = 110.84 SF; menos la abertura 119 de 3.333 x 7.00 = 23.33 SF = 87.51 SF. 5/8" gypsum board, una layer por face segun la fila A1 de 3/A12.01.</t>
  </si>
  <si>
    <t xml:space="preserve">Work Room 119</t>
  </si>
  <si>
    <t xml:space="preserve">11.67 LF x 9.00 ft x 1 layer = 105.00 SF; menos la abertura 119 de 3.333 x 7.00 = 23.33 SF = 81.67 SF. 5/8" gypsum board, una layer por face segun la fila A1 de 3/A12.01.</t>
  </si>
  <si>
    <t xml:space="preserve">5.50 LF x 9.50 ft x 1 layer = 52.25 SF; menos la abertura 118A de 3.333 x 8.00 = 26.66 SF = 25.59 SF. 5/8" gypsum board, una layer por face segun la fila A1 de 3/A12.01.</t>
  </si>
  <si>
    <t xml:space="preserve">5.50 LF x 9.00 ft x 1 layer = 49.50 SF; menos la abertura 118A de 3.333 x 8.00 = 26.66 SF = 22.84 SF. 5/8" gypsum board, una layer por face segun la fila A1 de 3/A12.01.</t>
  </si>
  <si>
    <t xml:space="preserve">5.00 LF x 9.00 ft x 1 layer = 45.00 SF; menos la abertura 111 de 3.333 x 8.00 = 26.66 SF = 18.34 SF. 5/8" gypsum board, una layer por face segun la fila A1 de 3/A12.01.</t>
  </si>
  <si>
    <t xml:space="preserve">Corridor 111 (face 2)</t>
  </si>
  <si>
    <t xml:space="preserve">3.13 LF x 9.00 ft x 1 layer = 28.17 SF = 28.17 SF. 5/8" gypsum board, una layer por face segun la fila A1 de 3/A12.01.</t>
  </si>
  <si>
    <t xml:space="preserve">MW01 niche</t>
  </si>
  <si>
    <t xml:space="preserve">2.63 LF x 9.00 ft x 1 layer = 23.67 SF = 23.67 SF. 5/8" gypsum board, una layer por face segun la fila A1 de 3/A12.01.</t>
  </si>
  <si>
    <t xml:space="preserve">1.73 LF x 9.00 ft x 1 layer = 15.57 SF = 15.57 SF. 5/8" gypsum board, una layer por face segun la fila A1 de 3/A12.01.</t>
  </si>
  <si>
    <t xml:space="preserve">1.73 LF x 9.50 ft x 1 layer = 16.43 SF = 16.43 SF. 5/8" gypsum board, una layer por face segun la fila A1 de 3/A12.01.</t>
  </si>
  <si>
    <t xml:space="preserve">A1K</t>
  </si>
  <si>
    <t xml:space="preserve">Lado norte (linea de teller, contra el wall G-47)</t>
  </si>
  <si>
    <t xml:space="preserve">5/8 GYP 1 layer</t>
  </si>
  <si>
    <t xml:space="preserve">face balistica: 4/A12.01 PARTITION TYPE A1K &amp; A5K labels 5/8" GYP. BD. OVER FIBERGLASS PANEL. La layer de 5/8" gyp corre TODA la height (verificado en el recorte a 1400 dpi del detalle: por encima de 8'-0" la layer moteada de 5/8" sigue), 3.417 LF x 15.375 ft</t>
  </si>
  <si>
    <t xml:space="preserve">face NO balistica: 5/8" gyp de piso a deck, 3.417 LF x 15.375 ft. 4/A12.01 PARTITION TYPE A1K &amp; A5K labels 5/8" GYP. BD. in the bullet for that face.</t>
  </si>
  <si>
    <t xml:space="preserve">face NO balistica: 5/8" gyp de piso a deck, 3.413 LF x 12.933 ft. 4/A12.01 PARTITION TYPE A1K &amp; A5K labels 5/8" GYP. BD. in the bullet for that face.</t>
  </si>
  <si>
    <t xml:space="preserve">Lado sur (zona del FUTURE FCAM)</t>
  </si>
  <si>
    <t xml:space="preserve">face balistica: 4/A12.01 PARTITION TYPE A1K &amp; A5K labels 5/8" GYP. BD. OVER FIBERGLASS PANEL. La layer de 5/8" gyp corre TODA la height (verificado en el recorte a 1400 dpi del detalle: por encima de 8'-0" la layer moteada de 5/8" sigue), 3.413 LF x 12.933 ft</t>
  </si>
  <si>
    <t xml:space="preserve">Lado norte</t>
  </si>
  <si>
    <t xml:space="preserve">face NO balistica: 5/8" gyp de piso a deck, 1.160 LF x 12.921 ft. 4/A12.01 PARTITION TYPE A1K &amp; A5K labels 5/8" GYP. BD. in the bullet for that face.</t>
  </si>
  <si>
    <t xml:space="preserve">face balistica: 4/A12.01 PARTITION TYPE A1K &amp; A5K labels 5/8" GYP. BD. OVER FIBERGLASS PANEL. La layer de 5/8" gyp corre TODA la height (verificado en el recorte a 1400 dpi del detalle: por encima de 8'-0" la layer moteada de 5/8" sigue), 1.160 LF x 12.921 ft</t>
  </si>
  <si>
    <t xml:space="preserve">A5</t>
  </si>
  <si>
    <t xml:space="preserve">3/A12.01 PARTITION TYPE A1 &amp; A5: one layer of 5/8" GYP. BD. on this face, dying 6" above the scheduled ceiling. 19.00 LF x 9.00 ft x 1 layer</t>
  </si>
  <si>
    <t xml:space="preserve">Office 4 CB 108</t>
  </si>
  <si>
    <t xml:space="preserve">3/A12.01 PARTITION TYPE A1 &amp; A5: one layer of 5/8" GYP. BD. on this face, dying 6" above the scheduled ceiling. 19.00 LF x 9.50 ft x 1 layer</t>
  </si>
  <si>
    <t xml:space="preserve">3/A12.01 PARTITION TYPE A1 &amp; A5: one layer of 5/8" GYP. BD. on this face, dying 6" above the scheduled ceiling. 11.00 LF x 9.00 ft x 1 layer</t>
  </si>
  <si>
    <t xml:space="preserve">3/A12.01 PARTITION TYPE A1 &amp; A5: one layer of 5/8" GYP. BD. on this face, dying 6" above the scheduled ceiling. 5.41 LF x 9.00 ft x 1 layer = 48.69, less the opening 3.33 x 7.00 = 23.31 -&gt; 25.38</t>
  </si>
  <si>
    <t xml:space="preserve">3/A12.01 PARTITION TYPE A1 &amp; A5: one layer of 5/8" GYP. BD. on this face, dying 6" above the scheduled ceiling. 3.71 LF x 9.00 ft x 1 layer</t>
  </si>
  <si>
    <t xml:space="preserve">3/A12.01 PARTITION TYPE A1 &amp; A5: one layer of 5/8" GYP. BD. on this face, dying 6" above the scheduled ceiling. 3.71 LF x 9.50 ft x 1 layer</t>
  </si>
  <si>
    <t xml:space="preserve">B</t>
  </si>
  <si>
    <t xml:space="preserve">1/A12.01 PARTITION TYPE B &amp; B2: one layer of 5/8" GYP. BD. to the underside of structure. 6.44 LF x 12.831 ft x 1 layer = 82.63, less 1 opening(s) 23.31 = 59.32</t>
  </si>
  <si>
    <t xml:space="preserve">1/A12.01 PARTITION TYPE B &amp; B2: one layer of 5/8" GYP. BD. to the underside of structure. 7.70 LF x 12.831 ft x 1 layer = 98.80, less 1 opening(s) 23.31 = 75.49</t>
  </si>
  <si>
    <t xml:space="preserve">1/A12.01 PARTITION TYPE B &amp; B2: one layer of 5/8" GYP. BD. to the underside of structure. 14.15 LF x 12.831 ft x 1 layer = 181.56, less 2 opening(s) 46.62 = 134.94</t>
  </si>
  <si>
    <t xml:space="preserve">Janitor Closet 112</t>
  </si>
  <si>
    <t xml:space="preserve">1/A12.01 PARTITION TYPE B &amp; B2: one layer of 5/8" GYP. BD. to the underside of structure. 11.83 LF x 12.748 ft x 1 layer = 150.81, less 1 opening(s) 21.00 = 129.81</t>
  </si>
  <si>
    <t xml:space="preserve">Storage 117</t>
  </si>
  <si>
    <t xml:space="preserve">Wellness 115</t>
  </si>
  <si>
    <t xml:space="preserve">1/A12.01 PARTITION TYPE B &amp; B2: one layer of 5/8" GYP. BD. to the underside of structure. 11.73 LF x 12.666 ft x 1 layer = 148.57</t>
  </si>
  <si>
    <t xml:space="preserve">1/A12.01 PARTITION TYPE B &amp; B2: one layer of 5/8" GYP. BD. to the underside of structure. 8.70 LF x 12.666 ft x 1 layer = 110.19</t>
  </si>
  <si>
    <t xml:space="preserve">1/A12.01 PARTITION TYPE B &amp; B2: one layer of 5/8" GYP. BD. to the underside of structure. 3.03 LF x 12.666 ft x 1 layer = 38.38</t>
  </si>
  <si>
    <t xml:space="preserve">1/A12.01 PARTITION TYPE B &amp; B2: one layer of 5/8" GYP. BD. to the underside of structure. 9.99 LF x 12.827 ft x 1 layer = 128.14</t>
  </si>
  <si>
    <t xml:space="preserve">1/A12.01 PARTITION TYPE B &amp; B2: one layer of 5/8" GYP. BD. to the underside of structure. 9.58 LF x 12.698 ft x 1 layer = 121.65</t>
  </si>
  <si>
    <t xml:space="preserve">1/A12.01 PARTITION TYPE B &amp; B2: one layer of 5/8" GYP. BD. to the underside of structure. 3.50 LF x 12.743 ft x 1 layer = 44.60</t>
  </si>
  <si>
    <t xml:space="preserve">B2</t>
  </si>
  <si>
    <t xml:space="preserve">Men's Restroom 113</t>
  </si>
  <si>
    <t xml:space="preserve">tramo y 1409.28-1508.52 = 5.513 ft (el wall A1 de 4 7/8" que separa 113 de 117 entra en 1508.52). 5.513 x 13.052 = 71.96 SF, menos la door 113 (3.333 x 7.00 = 23.33) = 48.63 SF. 1/A12.01 PARTITION TYPE B, B2 labels GYPSUM BOARD, METAL STUDS, BATT INSULATION and METAL STUD TRACK; its schedule gives B2 6 in stud / 5/8 in board / 7 1/4 in wall thickness.</t>
  </si>
  <si>
    <t xml:space="preserve">tramo y 1508.52-1582.50 (eje del wall B #21, faces 1578.84/1586.16) = 4.110 ft. 4.110 x 13.052 = 53.64 SF, menos la door 117 (23.33) = 30.31 SF. 1/A12.01 PARTITION TYPE B, B2 labels GYPSUM BOARD, METAL STUDS, BATT INSULATION and METAL STUD TRACK; its schedule gives B2 6 in stud / 5/8 in board / 7 1/4 in wall thickness.</t>
  </si>
  <si>
    <t xml:space="preserve">tramo y 1582.50-1693.44 = 6.163 ft. 6.163 x 13.052 = 80.44 SF, menos la door 115 (23.33) = 57.11 SF. 1/A12.01 PARTITION TYPE B, B2 labels GYPSUM BOARD, METAL STUDS, BATT INSULATION and METAL STUD TRACK; its schedule gives B2 6 in stud / 5/8 in board / 7 1/4 in wall thickness.</t>
  </si>
  <si>
    <t xml:space="preserve">face continua: 15.787 x 13.052 = 206.05 SF, menos las 3 doors (3 x 23.33 = 70.00) = 136.05 SF. Control: 48.63 + 30.31 + 57.11 = 136.05, la suma de las tres faces del oeste. 1/A12.01 PARTITION TYPE B, B2 labels GYPSUM BOARD, METAL STUDS, BATT INSULATION and METAL STUD TRACK; its schedule gives B2 6 in stud / 5/8 in board / 7 1/4 in wall thickness.</t>
  </si>
  <si>
    <t xml:space="preserve">face continua oeste: 11.74 x 13.052 = 153.23 SF, sin abertura dentro del tramo. 1/A12.01 PARTITION TYPE B, B2 labels GYPSUM BOARD, METAL STUDS, BATT INSULATION and METAL STUD TRACK; its schedule gives B2 6 in stud / 5/8 in board / 7 1/4 in wall thickness.</t>
  </si>
  <si>
    <t xml:space="preserve">face este, tramo y 1482.12-1488.12 = 0.333 ft (al norte del wall A1 que llega por el este): 0.333 x 13.052 = 4.35 SF. 1/A12.01 PARTITION TYPE B, B2 labels GYPSUM BOARD and its schedule gives B2 6 in stud / 5/8 in board / 7 1/4 in wall thickness</t>
  </si>
  <si>
    <t xml:space="preserve">face este, tramo y 1495.44-1693.44 = 11.00 ft (dimension impresa 11'-0" en x=1887.24): 11.00 x 13.052 = 143.57 SF. El tramo 1488.12-1495.44 (4 7/8") no lleva board de este wall: ahi muere el wall A1 perpendicular. 1/A12.01 PARTITION TYPE B, B2 labels GYPSUM BOARD, METAL STUDS, BATT INSULATION and METAL STUD TRACK; its schedule gives B2 6 in stud / 5/8 in board / 7 1/4 in wall thickness.</t>
  </si>
  <si>
    <t xml:space="preserve">ATM Room 102</t>
  </si>
  <si>
    <t xml:space="preserve">5.667 x 15.375 = 87.13 SF bruto, menos la door 102 (3.833 x 8.00 = 30.66) = 56.47 SF, 1 layer de 5/8" hasta underside of structure. 1/A12.01 PARTITION TYPE B, B2 labels GYPSUM BOARD, METAL STUDS, BATT INSULATION and METAL STUD TRACK; its schedule gives B2 6 in stud / 5/8 in board / 7 1/4 in wall thickness.</t>
  </si>
  <si>
    <t xml:space="preserve">misma operacion que la face ATM Room 102: 87.13 - 30.66 = 56.47 SF. 1/A12.01 PARTITION TYPE B, B2 labels GYPSUM BOARD, METAL STUDS, BATT INSULATION and METAL STUD TRACK; its schedule gives B2 6 in stud / 5/8 in board / 7 1/4 in wall thickness.</t>
  </si>
  <si>
    <t xml:space="preserve">Women's Restroom 114</t>
  </si>
  <si>
    <t xml:space="preserve">1.82 x 13.052 = 23.75 SF, 1 layer de 5/8", sin abertura dentro del tramo. 1/A12.01 PARTITION TYPE B, B2 labels GYPSUM BOARD, METAL STUDS and BATT INSULATION</t>
  </si>
  <si>
    <t xml:space="preserve">1.82 x 13.052 = 23.75 SF. 1/A12.01 PARTITION TYPE B, B2 labels GYPSUM BOARD and its schedule gives B2 6 in stud / 5/8 in board / 7 1/4 in wall thickness</t>
  </si>
  <si>
    <t xml:space="preserve">B2K</t>
  </si>
  <si>
    <t xml:space="preserve">1.26 LF x 15.375 ft high x 1 layer of 5/8" GYP. BD. (4/A12.01 PARTITION TYPE A1K &amp; A5K). No opening to deduct.</t>
  </si>
  <si>
    <t xml:space="preserve">BULKHEAD-G</t>
  </si>
  <si>
    <t xml:space="preserve">Lado oficina (105-108)</t>
  </si>
  <si>
    <t xml:space="preserve">5/8 GYP x2 layers</t>
  </si>
  <si>
    <t xml:space="preserve">30.00 LF x 7.333 ft x 2 layers. 9/A12.01 OFFICE BULKHEAD DETAIL @ GLASS PANEL labels: "2 LAYERS 5/8" GYPSUM WALL BOARD TO EXTEND TO UNDERSIDE OF DECK"</t>
  </si>
  <si>
    <t xml:space="preserve">Lado oficina (109-110)</t>
  </si>
  <si>
    <t xml:space="preserve">15.00 LF x 7.333 ft x 2 layers. 9/A12.01 OFFICE BULKHEAD DETAIL @ GLASS PANEL labels: "2 LAYERS 5/8" GYPSUM WALL BOARD TO EXTEND TO UNDERSIDE OF DECK"</t>
  </si>
  <si>
    <t xml:space="preserve">Area abierta al este (Waiting 104)</t>
  </si>
  <si>
    <t xml:space="preserve">C1</t>
  </si>
  <si>
    <t xml:space="preserve">ONE face only: 6/A12.01 PARTITION TYPE C1 draws the 5/8" gypsum board on the furring side alone. 11.33 x 11.50 = 130.33 SF. No opening to deduct.</t>
  </si>
  <si>
    <t xml:space="preserve">ONE face only: 6/A12.01 PARTITION TYPE C1 draws the 5/8" gypsum board on the furring side alone. 5.60 x 9.00 = 50.40 SF. No opening to deduct.</t>
  </si>
  <si>
    <t xml:space="preserve">Vestibule 100</t>
  </si>
  <si>
    <t xml:space="preserve">ONE face only: 6/A12.01 PARTITION TYPE C1 draws the 5/8" gypsum board on the furring side alone. 4.56 x 10.00 = 45.60 SF. No opening to deduct.</t>
  </si>
  <si>
    <t xml:space="preserve">ONE face only: 6/A12.01 PARTITION TYPE C1 draws the 5/8" gypsum board on the furring side alone. 3.58 x 10.00 = 35.80 SF. No opening to deduct.</t>
  </si>
  <si>
    <t xml:space="preserve">ONE face only: 6/A12.01 PARTITION TYPE C1 draws the 5/8" gypsum board on the furring side alone. 3.39 x 9.00 = 30.51 SF. No opening to deduct.</t>
  </si>
  <si>
    <t xml:space="preserve">ONE face only: 6/A12.01 PARTITION TYPE C1 draws the 5/8" gypsum board on the furring side alone. 3.33 x 11.50 = 38.30 SF. No opening to deduct.</t>
  </si>
  <si>
    <t xml:space="preserve">ONE face only: 6/A12.01 PARTITION TYPE C1 draws the 5/8" gypsum board on the furring side alone. 2.52 x 11.50 = 28.98 SF. No opening to deduct.</t>
  </si>
  <si>
    <t xml:space="preserve">CANOPY-COL</t>
  </si>
  <si>
    <t xml:space="preserve">Exterior (4 faces of the wrap)</t>
  </si>
  <si>
    <t xml:space="preserve">5/8 EXTERIOR GRADE FRT PLYWOOD</t>
  </si>
  <si>
    <t xml:space="preserve">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</si>
  <si>
    <t xml:space="preserve">EXT-6CFMF</t>
  </si>
  <si>
    <t xml:space="preserve">Interior</t>
  </si>
  <si>
    <t xml:space="preserve">face interior, de la slab al DECK (no al parapet): 76.30 LF x 14.520 ft = 1107.88 SF, menos las aberturas 64.00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</si>
  <si>
    <t xml:space="preserve">face interior, de la slab al DECK (no al parapet): 52.70 LF x 12.531 ft = 660.38 SF, menos las aberturas 23.31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</si>
  <si>
    <t xml:space="preserve">face interior, de la slab al DECK (no al parapet): 47.92 LF x 13.990 ft = 670.40 SF, menos las aberturas 32.00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</si>
  <si>
    <t xml:space="preserve">face interior, de la slab al DECK (no al parapet): 21.88 LF x 15.375 ft = 336.40 SF, menos las aberturas 5.67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</si>
  <si>
    <t xml:space="preserve">face interior, de la slab al DECK (no al parapet): 14.95 LF x 15.375 ft = 229.86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</si>
  <si>
    <t xml:space="preserve">face interior, de la slab al DECK (no al parapet): 3.89 LF x 15.375 ft = 59.81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</si>
  <si>
    <t xml:space="preserve">F</t>
  </si>
  <si>
    <t xml:space="preserve">24 HR VESTIBULE 101 (ATM LOBBY, lado publico)</t>
  </si>
  <si>
    <t xml:space="preserve">5/8 GYP + 3/4 FRT PLYWOOD</t>
  </si>
  <si>
    <t xml:space="preserve">17.458 LF x 15.375 ft (a deck) = 268.42 SF, menos la abertura 2.25 x 2.69 = 6.05 SF. 12/A12.01 PARTITION TYPE F labels 5/8" GYPSUM WALLBOARD and 3 5/8" METAL STUDS AT 16" O.C. SPAN BETWEEN STUD TRACKS AT FLOOR AND DECK ABOVE.</t>
  </si>
  <si>
    <t xml:space="preserve">ATM ROOM 102</t>
  </si>
  <si>
    <t xml:space="preserve">18.067 LF x 9.000 ft (cielo ACT-5 8'-6" + los 6" del detalle) = 162.60 SF, menos la abertura 6.05 SF. 12/A12.01 PARTITION TYPE F labels CEILING AS SCHEDULED on this side. ESTA FACE NO SUBE AL DECK: tomarla a 15.375 habria inflado el board de esta face un 71%</t>
  </si>
  <si>
    <t xml:space="preserve">G</t>
  </si>
  <si>
    <t xml:space="preserve">Office 2 CL 106</t>
  </si>
  <si>
    <t xml:space="preserve">11.770 LF x 15.375 ft de alto x 2 layers por face (5/A12.01)</t>
  </si>
  <si>
    <t xml:space="preserve">Office 3 SB 107</t>
  </si>
  <si>
    <t xml:space="preserve">11.625 LF x 15.375 ft de alto x 2 layers por face (5/A12.01)</t>
  </si>
  <si>
    <t xml:space="preserve">Office 5 CB 109</t>
  </si>
  <si>
    <t xml:space="preserve">Office 6 CB 110</t>
  </si>
  <si>
    <t xml:space="preserve">11.625 LF x 15.375 ft x 2 layers (5/A12.01)</t>
  </si>
  <si>
    <t xml:space="preserve">Womens Restroom 114</t>
  </si>
  <si>
    <t xml:space="preserve">10.070 LF x 15.375 ft de alto x 2 layers por face (5/A12.01)</t>
  </si>
  <si>
    <t xml:space="preserve">Linea de teller</t>
  </si>
  <si>
    <t xml:space="preserve">3.470 LF x 15.375 ft de alto x 2 layers por face (5/A12.01)</t>
  </si>
  <si>
    <t xml:space="preserve">Offices 105-106</t>
  </si>
  <si>
    <t xml:space="preserve">3.250 LF x 15.375 ft de alto x 2 layers por face (5/A12.01)</t>
  </si>
  <si>
    <t xml:space="preserve">Offices 106-107</t>
  </si>
  <si>
    <t xml:space="preserve">Offices 107-108</t>
  </si>
  <si>
    <t xml:space="preserve">2.420 LF x 15.375 ft de alto x 2 layers por face (5/A12.01)</t>
  </si>
  <si>
    <t xml:space="preserve">Office 1 ME 105</t>
  </si>
  <si>
    <t xml:space="preserve">G1</t>
  </si>
  <si>
    <t xml:space="preserve">11.770 LF x 15.375 ft de alto (a underside of structure, 5/A12.01) x 2 layers de 5/8" por face</t>
  </si>
  <si>
    <t xml:space="preserve">2.670 LF x 15.375 ft de alto (a underside of structure, 5/A12.01) x 2 layers de 5/8" por face</t>
  </si>
  <si>
    <t xml:space="preserve">Area abierta al este del office front (Waiting 104)</t>
  </si>
  <si>
    <t xml:space="preserve">TOTAL BOARD (SF)</t>
  </si>
  <si>
    <t xml:space="preserve">GYPSUM CEILINGS, SOFFITS AND DRIVE-UP CANOPY - separate tables, never mixed with partitions</t>
  </si>
  <si>
    <t xml:space="preserve">A soffit is BUILT: its labor and its material do not look like a flat ceiling's. ACT and open-to-deck areas are excluded and named on Clarifications.</t>
  </si>
  <si>
    <t xml:space="preserve">Group</t>
  </si>
  <si>
    <t xml:space="preserve">ID</t>
  </si>
  <si>
    <t xml:space="preserve">Element</t>
  </si>
  <si>
    <t xml:space="preserve">Height A.F.F. (FT)</t>
  </si>
  <si>
    <t xml:space="preserve">Area (SF)</t>
  </si>
  <si>
    <t xml:space="preserve">Furring Channel (LF)</t>
  </si>
  <si>
    <t xml:space="preserve">Carrying Channel (LF)</t>
  </si>
  <si>
    <t xml:space="preserve">Hanger Wire (LF)</t>
  </si>
  <si>
    <t xml:space="preserve">3-5/8" Stud (LF)</t>
  </si>
  <si>
    <t xml:space="preserve">3-5/8" Stud (pcs)</t>
  </si>
  <si>
    <t xml:space="preserve">Track (LF)</t>
  </si>
  <si>
    <t xml:space="preserve">Sheathing FRT Ply (SF)</t>
  </si>
  <si>
    <t xml:space="preserve">Corner Bead / Ceiling Trim (LF)</t>
  </si>
  <si>
    <t xml:space="preserve">Access Panel (pcs)</t>
  </si>
  <si>
    <t xml:space="preserve">Seal</t>
  </si>
  <si>
    <t xml:space="preserve">Detail sequence  (RCP → section → detail → schedule)</t>
  </si>
  <si>
    <t xml:space="preserve">CEILING GWB</t>
  </si>
  <si>
    <t xml:space="preserve">CIELO-70</t>
  </si>
  <si>
    <t xml:space="preserve">VESTIBULE 100</t>
  </si>
  <si>
    <t xml:space="preserve">5bd1ec5d0fcc167b</t>
  </si>
  <si>
    <t xml:space="preserve">A04.01 → A02.01 → S2.20 → A12.01 → 3/A09.33 → 7/A09.33 → 10/A09.33</t>
  </si>
  <si>
    <t xml:space="preserve">CIELO-71</t>
  </si>
  <si>
    <t xml:space="preserve">24 HR VESTIBULE 101</t>
  </si>
  <si>
    <t xml:space="preserve">0d32abc5f7c5bddf</t>
  </si>
  <si>
    <t xml:space="preserve">A04.01 → S2.20 → A12.01 → 3/A09.33 → 7/A09.33 → 10/A09.33</t>
  </si>
  <si>
    <t xml:space="preserve">CIELO-72</t>
  </si>
  <si>
    <t xml:space="preserve">WAITING 104</t>
  </si>
  <si>
    <t xml:space="preserve">11d7860858a6b528</t>
  </si>
  <si>
    <t xml:space="preserve">CIELO-73</t>
  </si>
  <si>
    <t xml:space="preserve">WOMEN'S RESTROOM 114</t>
  </si>
  <si>
    <t xml:space="preserve">ef1501f9315bda5a</t>
  </si>
  <si>
    <t xml:space="preserve">CIELO-74</t>
  </si>
  <si>
    <t xml:space="preserve">MEN'S RESTROOM 113</t>
  </si>
  <si>
    <t xml:space="preserve">c795cff7ebb6a001</t>
  </si>
  <si>
    <t xml:space="preserve">SOFFIT</t>
  </si>
  <si>
    <t xml:space="preserve">SOFFIT-80</t>
  </si>
  <si>
    <t xml:space="preserve">190433897dc8f674</t>
  </si>
  <si>
    <t xml:space="preserve">A04.01 → 9/A12.01 → 10/A09.33</t>
  </si>
  <si>
    <t xml:space="preserve">CANOPY</t>
  </si>
  <si>
    <t xml:space="preserve">CANOPY-81</t>
  </si>
  <si>
    <t xml:space="preserve">fef35eab36b7ebbd</t>
  </si>
  <si>
    <t xml:space="preserve">A04.01 → A02.01 → D/A09.22 → F/A09.22 → A09.01 → A09.02 → A09.21 → 3/A09.26 → 7/A09.26 → 15/A09.27 → 16/A09.27 → 10/A09.33 → 7/S5.20</t>
  </si>
  <si>
    <t xml:space="preserve">CANOPY-82</t>
  </si>
  <si>
    <t xml:space="preserve">37191aedb28a90bb</t>
  </si>
  <si>
    <t xml:space="preserve">CANOPY-83</t>
  </si>
  <si>
    <t xml:space="preserve">ecd9ed69f3bcb5e6</t>
  </si>
  <si>
    <t xml:space="preserve">CANOPY-84</t>
  </si>
  <si>
    <t xml:space="preserve">82e1ba339408e9f8</t>
  </si>
  <si>
    <t xml:space="preserve">CANOPY-85</t>
  </si>
  <si>
    <t xml:space="preserve">6337f0fad40bbc4c</t>
  </si>
  <si>
    <t xml:space="preserve">A04.01 → A02.01 → 1/A09.01 → 2/A09.02 → D/A09.22 → F/A09.22 → A09.21 → 3/A09.26 → 7/A09.26 → 15/A09.27 → 16/A09.27 → 7/S5.20</t>
  </si>
  <si>
    <t xml:space="preserve">TOTAL</t>
  </si>
  <si>
    <t xml:space="preserve">SCOPE THAT IS NOT A PARTITION - MEP penetrations, recessed fixture openings, misc</t>
  </si>
  <si>
    <t xml:space="preserve">Ground-up job: there is no Demolition Plan, so an MEP penetration is a FRAMED OPENING, not a patch. Every penetration was measured on its own - the 1/4-sheet threshold is never cumulative.</t>
  </si>
  <si>
    <t xml:space="preserve">Description</t>
  </si>
  <si>
    <t xml:space="preserve">Line item</t>
  </si>
  <si>
    <t xml:space="preserve">Qty</t>
  </si>
  <si>
    <t xml:space="preserve">Unit</t>
  </si>
  <si>
    <t xml:space="preserve">MEP PENETRATIONS</t>
  </si>
  <si>
    <t xml:space="preserve">MEP</t>
  </si>
  <si>
    <t xml:space="preserve">DEDUCCION_BOARD_MEP</t>
  </si>
  <si>
    <t xml:space="preserve">SF</t>
  </si>
  <si>
    <t xml:space="preserve">2ee850c5da7659b2</t>
  </si>
  <si>
    <t xml:space="preserve">FRAMED_OPENING_MEP</t>
  </si>
  <si>
    <t xml:space="preserve">LF</t>
  </si>
  <si>
    <t xml:space="preserve">REFUERZO_STUD_MEP</t>
  </si>
  <si>
    <t xml:space="preserve">pcs</t>
  </si>
  <si>
    <t xml:space="preserve">RECESSED FIXTURE OPENINGS</t>
  </si>
  <si>
    <t xml:space="preserve">HUECOS</t>
  </si>
  <si>
    <t xml:space="preserve">FRAMED_OPENING_DIFUSOR</t>
  </si>
  <si>
    <t xml:space="preserve">7d8caa7409375969</t>
  </si>
  <si>
    <t xml:space="preserve">FRAMED_OPENING_RANURA</t>
  </si>
  <si>
    <t xml:space="preserve">GYPSUM_EDGE_TRIM</t>
  </si>
  <si>
    <t xml:space="preserve">RETORNO_BOARD_RANURA</t>
  </si>
  <si>
    <t xml:space="preserve">PENDING</t>
  </si>
  <si>
    <t xml:space="preserve">no cuantificado - ver Pending Items</t>
  </si>
  <si>
    <t xml:space="preserve">MISC SCOPE</t>
  </si>
  <si>
    <t xml:space="preserve">LADDER-90</t>
  </si>
  <si>
    <t xml:space="preserve">JANITOR CLOSET 112 (el marcador del key note 9 de A04.01 cae dentro del cuarto, en pt 960, 1541)</t>
  </si>
  <si>
    <t xml:space="preserve">BLOCKING_2X_FRT</t>
  </si>
  <si>
    <t xml:space="preserve">288a5526f7319968</t>
  </si>
  <si>
    <t xml:space="preserve">WR-92</t>
  </si>
  <si>
    <t xml:space="preserve">BOARD_REGULAR_A_RESTAR</t>
  </si>
  <si>
    <t xml:space="preserve">289e8bf1446af7d4</t>
  </si>
  <si>
    <t xml:space="preserve">BOARD_WR</t>
  </si>
  <si>
    <t xml:space="preserve">PURLIN-97</t>
  </si>
  <si>
    <t xml:space="preserve">Every wall running EAST-WEST that goes up to the deck: 21 walls, 189.08 LF de top track.</t>
  </si>
  <si>
    <t xml:space="preserve">PURLIN_1X1X1_16GA</t>
  </si>
  <si>
    <t xml:space="preserve">3c1e4b6e392a0e8b</t>
  </si>
  <si>
    <t xml:space="preserve">WET AREAS</t>
  </si>
  <si>
    <t xml:space="preserve">HUMEDA-93</t>
  </si>
  <si>
    <t xml:space="preserve">JANITOR CLOSET 112, corner. El marcador del key note 6 del FINISH PLAN cae dentro del cuarto (pt 965.4, 1534.0) y su linea guia apunta al oeste, a pt x=913.7, que es la face interior del wall exterior oeste (x=911.88): el mop sink va en la esquina contra esa face.</t>
  </si>
  <si>
    <t xml:space="preserve">PVC INSIDE CORNER TRIM MOLDING</t>
  </si>
  <si>
    <t xml:space="preserve">dbf3f948b58f6fc7</t>
  </si>
  <si>
    <t xml:space="preserve">CLEAR SEALANT</t>
  </si>
  <si>
    <t xml:space="preserve">FRP WC-3</t>
  </si>
  <si>
    <t xml:space="preserve">PVC EDGE TRIM MOLDING</t>
  </si>
  <si>
    <t xml:space="preserve">HUMEDA-94</t>
  </si>
  <si>
    <t xml:space="preserve">INSIDE face of the west exterior wall (#63) at the restroom runs 113 y 114 -- la wall de los inodoros</t>
  </si>
  <si>
    <t xml:space="preserve">f075a0d59055f329</t>
  </si>
  <si>
    <t xml:space="preserve">MILLWORK BLOCKING</t>
  </si>
  <si>
    <t xml:space="preserve">MWBLK-MW11</t>
  </si>
  <si>
    <t xml:space="preserve">CASH WINDOW 116</t>
  </si>
  <si>
    <t xml:space="preserve">BLOCKING</t>
  </si>
  <si>
    <t xml:space="preserve">c919275b7d9ef7ac</t>
  </si>
  <si>
    <t xml:space="preserve">MWBLK-MW06A-2</t>
  </si>
  <si>
    <t xml:space="preserve">JANITOR CLOSET 112 (east side)</t>
  </si>
  <si>
    <t xml:space="preserve">7558a389c353d1a6</t>
  </si>
  <si>
    <t xml:space="preserve">MATERIAL SUMMARY - NET / WASTE / PURCHASE, and purchase converted to real selling units</t>
  </si>
  <si>
    <t xml:space="preserve">Waste lives HERE, in its own column, never inside a takeoff quantity. Percentages and sheet/stick sizes come from Inputs - change them there.</t>
  </si>
  <si>
    <t xml:space="preserve">Material</t>
  </si>
  <si>
    <t xml:space="preserve">Net</t>
  </si>
  <si>
    <t xml:space="preserve">Waste %</t>
  </si>
  <si>
    <t xml:space="preserve">Waste</t>
  </si>
  <si>
    <t xml:space="preserve">Purchase</t>
  </si>
  <si>
    <t xml:space="preserve">Selling unit</t>
  </si>
  <si>
    <t xml:space="preserve">Pieces to buy</t>
  </si>
  <si>
    <t xml:space="preserve">Where it comes from</t>
  </si>
  <si>
    <t xml:space="preserve">METAL FRAMING</t>
  </si>
  <si>
    <t xml:space="preserve">6" metal stud 600S137-33 / -68 (LF of material)</t>
  </si>
  <si>
    <t xml:space="preserve">Partition Takeoff "6" Metal Stud (LF)". A12.01 PARTITION SCHEDULE gives A5 and B2 a 6" stud with 7-1/4" wall thickness; the exterior walls and B2K are 6" too</t>
  </si>
  <si>
    <t xml:space="preserve">6" parapet infill stud 600S162-54 @ 16" O.C. (LF of material)</t>
  </si>
  <si>
    <t xml:space="preserve">Separate line from the 33 mil stud: 11/S5.10 PARAPET INFILL FRAMING calls the parapet "600S162-54 @ 16" W/ 600T125-54 TOP &amp; BOT." - 54 mil and a 1-5/8" flange, a different product and a different price from the 600S137-33 of the wall below. The wall below stops at the deflection track on the perimeter beam (6/S5.10 and 10/S5.10)</t>
  </si>
  <si>
    <t xml:space="preserve">3-5/8" metal stud 362S137-33 / -68 (LF of material)</t>
  </si>
  <si>
    <t xml:space="preserve">Partition Takeoff 3-5/8" column + Ceilings &amp; Soffits 3-5/8" column (drive-up canopy)</t>
  </si>
  <si>
    <t xml:space="preserve">1-5/8" metal stud (LF of material)</t>
  </si>
  <si>
    <t xml:space="preserve">Partition Takeoff "1-5/8" Metal Stud (LF)" - types G, G1 and the office-front bulkhead, double row</t>
  </si>
  <si>
    <t xml:space="preserve">Bottom track 6"</t>
  </si>
  <si>
    <t xml:space="preserve">Track follows the stud of its wall. SUMIFS over the Stud Size column of Partition Takeoff</t>
  </si>
  <si>
    <t xml:space="preserve">Bottom track 3-5/8"</t>
  </si>
  <si>
    <t xml:space="preserve">Partition Takeoff</t>
  </si>
  <si>
    <t xml:space="preserve">Parapet bottom track 600T125-54 (PAF to steel beam)</t>
  </si>
  <si>
    <t xml:space="preserve">11/S5.10: "600T125-54 TOP &amp; BOT." with "PAFs SPACED AT 12" O.C. MAX." into the steel beam - not the Hilti anchor into concrete that the wall below uses</t>
  </si>
  <si>
    <t xml:space="preserve">Parapet top track 600T125-54</t>
  </si>
  <si>
    <t xml:space="preserve">11/S5.10: "600T125-54 TOP &amp; BOT.". No deflection track here - the deflection track is the one below, against the beam that moves</t>
  </si>
  <si>
    <t xml:space="preserve">Bottom track 1-5/8"</t>
  </si>
  <si>
    <t xml:space="preserve">Top / deflection track 6"</t>
  </si>
  <si>
    <t xml:space="preserve">Separate row from bottom track - never combined. Control: bottom + top = 2 runs per row of stud</t>
  </si>
  <si>
    <t xml:space="preserve">Top / deflection track 3-5/8"</t>
  </si>
  <si>
    <t xml:space="preserve">Top / deflection track 1-5/8"</t>
  </si>
  <si>
    <t xml:space="preserve">Track, ceilings / soffits / canopy</t>
  </si>
  <si>
    <t xml:space="preserve">Ceilings &amp; Soffits. On a soffit the track sits at the two ENDS of each stud and on the two side edges</t>
  </si>
  <si>
    <t xml:space="preserve">Bracing 1-1/2" C.R. channel @ 48" O.C.</t>
  </si>
  <si>
    <t xml:space="preserve">7/S5.20 note F: "BRIDGING AND BRACING: 1 1/2" C.R. CHANNEL @ 48" O.C." with CONTINUOUS BRIDGING</t>
  </si>
  <si>
    <t xml:space="preserve">Additional head track at openings over 4'-0" wide</t>
  </si>
  <si>
    <t xml:space="preserve">2/S5.20 HEAD TRACK @ NON LOAD BRG: "ADD FULL LENGTH ADDL HEAD TRACK @ OPNG &gt;4'-0"". A SECOND head track on every opening wider than 4 ft - the six 8'-0" GL-2 windows on walls 61 and 63. No door reaches 4 ft, so none of them carries it</t>
  </si>
  <si>
    <t xml:space="preserve">Header / metal stud box beam</t>
  </si>
  <si>
    <t xml:space="preserve">Each opening with ITS OWN R.O. width + 1.333 ft bearing (8" each side). Includes the ATM metal stud box beam</t>
  </si>
  <si>
    <t xml:space="preserve">Sill track</t>
  </si>
  <si>
    <t xml:space="preserve">Only openings WITH a sill: windows (B/GLAZING 6'-6"), the drive-up ATM, and the framed duct opening on wall 9. Doors carry header only</t>
  </si>
  <si>
    <t xml:space="preserve">Framed openings - MEP, light slots and diffusers</t>
  </si>
  <si>
    <t xml:space="preserve">Other Scope. Ground-up job, so an MEP penetration is a framed opening, not a patch. Excludes the penetrations already inside walls 43, 46, 47, 48, 49, 50 and 52</t>
  </si>
  <si>
    <t xml:space="preserve">Stud reinforcement at MEP penetrations</t>
  </si>
  <si>
    <t xml:space="preserve">each</t>
  </si>
  <si>
    <t xml:space="preserve">Other Scope. One per stud the duct crosses. 6/S5.20 WEB PENETRATION limits the web hole and forbids cutting the flanges</t>
  </si>
  <si>
    <t xml:space="preserve">3-5/8" stud, CSR soffit (pieces - length pending)</t>
  </si>
  <si>
    <t xml:space="preserve">10/A09.33 CSR soffit: 26 pieces at 16" O.C. BOTH ways. A09.33 labels the soffit framing "3 5/8" METAL STUD FRAMING AND TRACK @ 16" O.C." - size CONFIRMED, individual length PENDING. See Pending Items</t>
  </si>
  <si>
    <t xml:space="preserve">Purlin 1x1x1 16 ga, top track to deck</t>
  </si>
  <si>
    <t xml:space="preserve">A09.33, top-track-to-deck detail: "1X1X1 16GA PURLIN, ACROSS MIN. (2) FLUTES" - needed wherever the deck flute runs PARALLEL to the track, because there is no valley to fasten into. 185.61 LF of top track on walls that run east-west and go to deck, at 0.75 LF of purlin per LF of track. The detail itself says VIF FLUTE DIRECTION, so the flute direction is DERIVED from the joist direction on S2.20 and declared on Clarifications. Exterior walls and the inclined wall 40 are not included - see Pending</t>
  </si>
  <si>
    <t xml:space="preserve">Furring channel (ceilings)</t>
  </si>
  <si>
    <t xml:space="preserve">Ceilings &amp; Soffits</t>
  </si>
  <si>
    <t xml:space="preserve">Carrying channel (ceilings)</t>
  </si>
  <si>
    <t xml:space="preserve">Hanger wire</t>
  </si>
  <si>
    <t xml:space="preserve">continuous coil</t>
  </si>
  <si>
    <t xml:space="preserve">Length = B.O. Deck minus that zone's ceiling height. Bought as a continuous coil by gauge, never pre-cut</t>
  </si>
  <si>
    <t xml:space="preserve">Extra framing - sistered stud and furring at the ATM recess</t>
  </si>
  <si>
    <t xml:space="preserve">6/A08.11: 2-1/2" stud sistered to the 6" stud, and the furring under the fiber cement panel</t>
  </si>
  <si>
    <t xml:space="preserve">BOARD AND SUBSTRATE</t>
  </si>
  <si>
    <t xml:space="preserve">5/8" gypsum board, regular</t>
  </si>
  <si>
    <t xml:space="preserve">Partition Takeoff (fed face by face from Board by Face) + gypsum ceilings and the CSR soffit, MINUS the area that A08.01 sheet note F turns moisture-resistant</t>
  </si>
  <si>
    <t xml:space="preserve">5/8" gypsum board, MOISTURE RESISTANT</t>
  </si>
  <si>
    <t xml:space="preserve">A08.01 sheet note F: "USE MOISTURE RESISTANT GYPSUM BOARD BEHIND TOILET AND LAVATORY". TWO fixtures on TWO different walls: the LAVATORY side is the chase (walls 37 and 39, 100.80 SF) and the TOILET side is the inside face of the west exterior wall in both restrooms (112.94 SF). Reclassification, not new board - the same area comes out of the regular gypsum line</t>
  </si>
  <si>
    <t xml:space="preserve">5/8" EXTERIOR gypsum sheathing (deck to top of parapet)</t>
  </si>
  <si>
    <t xml:space="preserve">H/A09.23, textual: "5/8" EXTERIOR GYPSUM SHEATHING". It is the INSIDE face of the parapet and it does not exist below the deck - a different material from the interior board, priced on its own line</t>
  </si>
  <si>
    <t xml:space="preserve">Restrooms 113 / 114 up to 4'-6" (5'-0" to top of FRP minus the 6" cove base), plus the mop sink FRP of Janitor Closet 112 - that one is PENDING on width</t>
  </si>
  <si>
    <t xml:space="preserve">Cement board (substrate under the FRP cove base band)</t>
  </si>
  <si>
    <t xml:space="preserve">Carried under the 6" cove base band only - see Clarifications for exactly where</t>
  </si>
  <si>
    <t xml:space="preserve">Exterior sheathing 5/8" FRT plywood bonded to 2-1/2" polyiso</t>
  </si>
  <si>
    <t xml:space="preserve">H/A09.23, textual: "SHEATHING/INSULATION SYSTEM: 5/8" FRT PLYWOOD BONDED TO 2 1/2" POLYISO INSULATION"</t>
  </si>
  <si>
    <t xml:space="preserve">5/8" glass mat sheathing (exterior face of the stud)</t>
  </si>
  <si>
    <t xml:space="preserve">Found 3-Oct-2026 by following the detail chain. The 1"=1'-0" wall sections do not label this layer, but every detail they point to does: 5/A09.26 SECTION DETAIL @ ACM BASE and 9/A09.27 SECTION DETAIL @ METAL PANEL BASE label "5/8" GLASS MAT SHEATHING" with the arrow on the OUTSIDE face of the 6" metal stud, and 7/A09.26 repeats it at mid height ("SPRAY FOAM INSULATION ON 5/8" GLASS-MAT SHEATHING"). All 95 sheets were swept for "GLASS MAT" / "GLASS-MAT": it appears only on A09.26 and A09.27 and never above the deck, so it is carried slab to B.O.D. and does not continue up the parapet</t>
  </si>
  <si>
    <t xml:space="preserve">Gypsum board jamb return at openings</t>
  </si>
  <si>
    <t xml:space="preserve">11/A09.27 and 2/A09.26 SECTION DETAIL @ STOREFRONT HEAD, textual: "GYPSUM BOARD JAMB RETURN BEYOND"; 1/A09.25 and 2/A09.25 close it in plan with "5/8" GYPSUM BOARD" turning into the aluminum frame. The return WIDTH is not dimensioned on any of the four details - the 6" stud depth is used. See Clarifications</t>
  </si>
  <si>
    <t xml:space="preserve">Ballistic panel 3/8" UL752</t>
  </si>
  <si>
    <t xml:space="preserve">Types A1K and B2K - 4/A12.01, bullet-resistant assembly</t>
  </si>
  <si>
    <t xml:space="preserve">3/8" gypsum board</t>
  </si>
  <si>
    <t xml:space="preserve">A1K / B2K: 3/8" gyp above the ballistic panel, 4/A12.01</t>
  </si>
  <si>
    <t xml:space="preserve">FRT plywood substrate</t>
  </si>
  <si>
    <t xml:space="preserve">Type F 3/4" FRT plywood (12/A12.01), backboards, and the 5/8" FRT plywood in the ATM recess</t>
  </si>
  <si>
    <t xml:space="preserve">Level 5 finish</t>
  </si>
  <si>
    <t xml:space="preserve">Where the Finish Schedule calls for it. Board only - the coating is Div 09 90 00</t>
  </si>
  <si>
    <t xml:space="preserve">5/8" FRT plywood sheathing (canopy and soffits)</t>
  </si>
  <si>
    <t xml:space="preserve">15 and 16/A09.27: "5/8" EXT. GRADE FRT PLYWOOD SHEATHING ON 3 5/8" METAL STUD FRAMING"</t>
  </si>
  <si>
    <t xml:space="preserve">TRIM AND ACCESSORIES</t>
  </si>
  <si>
    <t xml:space="preserve">METAL trim - corner bead, casing bead, shadow molding, gypsum edge trim</t>
  </si>
  <si>
    <t xml:space="preserve">Partition Takeoff trim column + Ceilings &amp; Soffits corner bead + the gypsum edge trim of the recessed light slots. CARRIES 15% WASTE because it is METAL trim cut to length, the same as track - not a box item.</t>
  </si>
  <si>
    <t xml:space="preserve">PVC trim - edge trim molding and inside corner molding at the FRP</t>
  </si>
  <si>
    <t xml:space="preserve">SPLIT OUT 11-Oct-2026. These two were riding inside the metal trim line and taking 15%. They are PVC, not metal - 3/A08.01 RESTROOM FRP/TILE DETAIL and 5 and 7/A08.01 label them "PVC EDGE TRIM MOLDING" and "PVC INSIDE CORNER TRIM MOLDING" - so under the standing rule they take the same percentage as the board, 6%. Today the difference is pennies (4.00 LF carried, the mop sink run still PENDING), but mixing two waste classes in one row is how the error grows silently the day the PENDING figure comes in.</t>
  </si>
  <si>
    <t xml:space="preserve">Power-driven fasteners and duct sleeves</t>
  </si>
  <si>
    <t xml:space="preserve">4/A12.01: "POWER DRIVEN FASTENERS @ 2'-0" O.C. ALTERNATING SIDES AND WITHIN 3" OF EACH END OF TRACK"</t>
  </si>
  <si>
    <t xml:space="preserve">Blocking FRT / 2X FRT wood</t>
  </si>
  <si>
    <t xml:space="preserve">Accessory by accessory, each one its own length + 8" bearing each side (A08.01 sheet note E), plus the roof-hatch ladder blocking of 3/A09.30, plus the MILLWORK BLOCKING block of Other Scope: MW11 (13.50 LF) and the second MW06A (8.22 LF), the two that the wall-by-wall sweep could not pick up</t>
  </si>
  <si>
    <t xml:space="preserve">Acoustical sealant</t>
  </si>
  <si>
    <t xml:space="preserve">tube</t>
  </si>
  <si>
    <t xml:space="preserve">Partition Takeoff. Converted to tubes at the coverage set on Inputs. WASTE 11-Oct-2026: carried at 6%. It is a LENGTH measured off the plan, run by run, not a yield figure, and the standing rule says everything that is not metal takes the same percentage as the board. Before today it carried none, which is why it was the only plan-measured material in the book buying exactly its net.</t>
  </si>
  <si>
    <t xml:space="preserve">Access panel 2'x2'</t>
  </si>
  <si>
    <t xml:space="preserve">A04.01 key note 4: "2' X 2' LOCKING ACCESS PANEL. KEYED TO MATCH MAIN ENTRY" - marker only in Vestibule 100</t>
  </si>
  <si>
    <t xml:space="preserve">TAPING, FASTENERS AND INSTALLATION ACCESSORIES</t>
  </si>
  <si>
    <t xml:space="preserve">Drywall screws 1-1/4" bugle head</t>
  </si>
  <si>
    <t xml:space="preserve">RENDIMIENTO, no viene del plano: screws por SF de board, celda B20 de Inputs. Por defecto 1.2/SF, que es lo que da GA-216 con campo a 12" O.C. y perimetro a 8" sobre framing a 16" O.C. Aplica al board interior (regular + W.R. + 3/8")</t>
  </si>
  <si>
    <t xml:space="preserve">Framing screws, pan head self-drilling</t>
  </si>
  <si>
    <t xml:space="preserve">RENDIMIENTO: screws por pieza de stud, celda B21 de Inputs. Por defecto 4 = 2 por union stud-track en cada extremo</t>
  </si>
  <si>
    <t xml:space="preserve">Power-driven fasteners, slab pins for the bottom track</t>
  </si>
  <si>
    <t xml:space="preserve">RENDIMIENTO: espaciamiento de los pines, celda B22 de Inputs. Por defecto 2 ft, que es lo que pide 4/A12.01: "POWER DRIVEN FASTENERS @ 2'-0" O.C. ALTERNATING SIDES". Solo el bottom track; el top va atornillado a la estructura</t>
  </si>
  <si>
    <t xml:space="preserve">Joint compound, all purpose</t>
  </si>
  <si>
    <t xml:space="preserve">lb</t>
  </si>
  <si>
    <t xml:space="preserve">RENDIMIENTO: libras por SF de board, celda B23 de Inputs. Por defecto 0.072 = 72 lb por cada 1,000 SF, el consumo tipico de un acabado nivel 4</t>
  </si>
  <si>
    <t xml:space="preserve">Joint tape, paper</t>
  </si>
  <si>
    <t xml:space="preserve">RENDIMIENTO: LF de tape por SF de board, celda B24 de Inputs. Por defecto 0.37 = 370 LF por cada 1,000 SF</t>
  </si>
  <si>
    <t xml:space="preserve">Every figure above is a formula. Nothing on this sheet is typed in.</t>
  </si>
  <si>
    <t xml:space="preserve">The five accessory lines are YIELDS, not drawing quantities: they are marked DERIVED, each one names the yield it used, and the yield lives in a yellow Inputs cell so you can set your own.</t>
  </si>
  <si>
    <t xml:space="preserve">CLARIFICATIONS &amp; EXCLUSIONS - part of the bid, never omitted</t>
  </si>
  <si>
    <t xml:space="preserve">#</t>
  </si>
  <si>
    <t xml:space="preserve">Subject</t>
  </si>
  <si>
    <t xml:space="preserve">Statement</t>
  </si>
  <si>
    <t xml:space="preserve">A. SCOPE OF THIS PROPOSAL</t>
  </si>
  <si>
    <t xml:space="preserve">Divisions included</t>
  </si>
  <si>
    <t xml:space="preserve">CSI Division 05 40 00 Cold-Formed Metal Framing and Division 09 20 00 / 09 29 00 Gypsum Board Assemblies only. Metal framing, gypsum board and the substrates the drywall trade installs.</t>
  </si>
  <si>
    <t xml:space="preserve">New construction</t>
  </si>
  <si>
    <t xml:space="preserve">Ground-up building: the set has NO Demolition Plan. Every partition, ceiling and soffit priced here is new work. No patch-and-repair allowance is carried, and none is needed.</t>
  </si>
  <si>
    <t xml:space="preserve">Quantities are net</t>
  </si>
  <si>
    <t xml:space="preserve">All takeoff quantities are NET. Waste is shown separately on Material Summary at 15% on metal and 6% on board, applied by type, and is NOT buried inside any takeoff figure.</t>
  </si>
  <si>
    <t xml:space="preserve">Board sheet size</t>
  </si>
  <si>
    <t xml:space="preserve">Purchase quantities convert at the sheet size set on the Inputs tab (currently 4 ft x 12 ft). Change it there and every piece count re-rounds up automatically.</t>
  </si>
  <si>
    <t xml:space="preserve">B. WHAT IS EXCLUDED, AND WHY</t>
  </si>
  <si>
    <t xml:space="preserve">Insulation - EXCLUDED by instruction</t>
  </si>
  <si>
    <t xml:space="preserve">Excluded at the estimator's instruction, not because the drawings omit it. The set DOES call for it: H/A09.23 labels "SPRAY FOAM INSULATION" in the 6" CFMF cavity and "MIN. 6" RIGID INSULATION ABOVE ROOF DECK", and A04.01 key note 11 reads "INSTALL SOUND BATT INSULATION ABOVE CEILING". Add on request. NOTE: the 2-1/2" polyiso IS carried, because H/A09.23 specifies it as "5/8" FRT PLYWOOD BONDED TO 2 1/2" POLYISO INSULATION" - it arrives bonded to the sheathing we install and cannot be separated from it.</t>
  </si>
  <si>
    <t xml:space="preserve">Aluminum storefront - Div 08, 48.14 LF</t>
  </si>
  <si>
    <t xml:space="preserve">ALUMINUM STOREFRONT SYSTEM AF-2 with GL-2 glazing and the entrance doors are Division 08 43 13. A02.01 note E and the A09.01 legend confirm it. Its length is measured and declared here (41.64 LF north + 6.50 LF west) so the reviewer can see it was not overlooked - but no material is carried for it.</t>
  </si>
  <si>
    <t xml:space="preserve">Office front DFC-1A - Div 08</t>
  </si>
  <si>
    <t xml:space="preserve">A02.01 note E, textual: "ALLSTEEL OFFICE FRONT SYSTEM: DFC-1A ASPECT. ORDERED BY GC. FURNISHED AND INSTALLED BY BANK VENDOR." Excluded. The gypsum bulkhead ABOVE it (walls 54 and 55) IS carried, because that is framing and board.</t>
  </si>
  <si>
    <t xml:space="preserve">Metal wall panel and coping - Div 07</t>
  </si>
  <si>
    <t xml:space="preserve">FORMED METAL WALL PANEL EPS-1 / EPS-3 / EPS-5, the 7/8" hat channel that comes with that system, the continuous vapor-permeable AWB and the ACM coping are Division 07 42 13 / 07 27 00. Our work stops at the sheathing.</t>
  </si>
  <si>
    <t xml:space="preserve">Portland cement plaster on the canopy - Div 09 24 00</t>
  </si>
  <si>
    <t xml:space="preserve">"5/8" PORTLAND CEMENT PLASTER SYSTEM (PT-4) ON (2) LAYERS GRADE 'D' BUILDING PAPER" (15 and 16/A09.27) is the plasterer's, with its own lath and its SA-2 / SA-4 screeds. We carry the 3-5/8" metal stud framing and the 5/8" FRT plywood sheathing underneath it.</t>
  </si>
  <si>
    <t xml:space="preserve">Acoustical ceiling tile and grid - Div 09 51 00</t>
  </si>
  <si>
    <t xml:space="preserve">ACT-4 / ACT-5 suspended tile and grid are excluded. Only GYPSUM ceilings are carried: 5 of them, 958.94 SF. Areas marked "OPEN TO STRUCTURE ABOVE" (A04.01 key note 1) carry no ceiling at all.</t>
  </si>
  <si>
    <t xml:space="preserve">ATM surrounds, plinths and bollards</t>
  </si>
  <si>
    <t xml:space="preserve">The ATM SURROUND comes with the equipment - the ATM EQUIPMENT PURCHASE ORDER FORM on A08.11 assigns surround "FRAME-R-SUR-54-SINGLE-STD-NG_3.0" to the drive-up unit. The plinths are FRT wood carpentry (Div 06): "(2) LAYERS 3/4" FRT PLYWOOD PLINTH", "2X4 FRT PERIMETER FRAMING", "4X4 FRT FRAMING". The bollards are miscellaneous metals. All excluded. What IS carried is the metal stud box beam over the opening, the 2-1/2" studs sistered to the 6" studs, and the FRT plywood and furring in the recess.</t>
  </si>
  <si>
    <t xml:space="preserve">Fiber cement panel at the drive-up ATM - Div 07</t>
  </si>
  <si>
    <t xml:space="preserve">6/A08.11 reads "FIBER CEMENT PANEL ON FURRING ON 5/8" FRT PLYWOOD". The panel is a facade product and is not in the A09.01 / A09.02 exterior material legend alongside the finishes others are already pricing - it is carried with the rainscreen. The substrate under it (furring and 5/8" FRT plywood) IS ours and IS quantified.</t>
  </si>
  <si>
    <t xml:space="preserve">Bridging clips</t>
  </si>
  <si>
    <t xml:space="preserve">No clips are carried. 7/S5.20 TYPICAL STUD FASTENER SCHEDULE resolves bracing with screws ("DIAGONAL BRACING TO STUD: 1/2" #8 TEKS LOW, 1 @ EACH STUD") and lists no bridging clip; sub-detail 1/S5.20 sub-detalle F of S5.20 calls WELD at each stud crossing. Welding is priced in the labor. If the field requires clips instead, they are a priced alternate.</t>
  </si>
  <si>
    <t xml:space="preserve">Openings - how they are treated in this takeoff</t>
  </si>
  <si>
    <t xml:space="preserve">BOARD is NET: every door, window and equipment rough opening is deducted, face by face, at its R.O. width x height x the faces and layers of that wall. 673.54 SF are deducted across the 23 openings of 14 walls, and each deduction is written in the wall it belongs to, never as a lump sum. METAL is NOT deducted: the stud run is continuous over and under an opening, and on top of the field studs each opening ADDS 2 studs per jamb plus cripples above and below a window (a door gets no cripples - it has no sill). Two openings deduct ZERO board on purpose and the reason is in their closure: door 118B falls in the jog BETWEEN walls 8 and 16, where neither wall has board to deduct, and the 8" duct sleeve on wall 9 is 1.00 SF - a cut, not a removed sheet. Storefront and office-front openings are not deducted either, because those runs carry no board at all (Div 08).</t>
  </si>
  <si>
    <t xml:space="preserve">Taping, fasteners and installation accessories - INCLUDED, by YIELD</t>
  </si>
  <si>
    <t xml:space="preserve">Drywall screws, framing screws, power-driven pins, joint compound and joint tape ARE carried. None of them is a drawing quantity - the drawings do not count screws - so each one is DERIVED from a stated yield, and every yield sits in its own yellow Inputs cell so you can set your own: 1.2 drywall screws per SF of board (GA-216 field 12" O.C., perimeter 8" O.C. over framing at 16" O.C.), 4 framing screws per stud piece (2 per stud-to-track connection at each end), power-driven pins at 2'-0" O.C. on the bottom track only - the figure 4/A12.01 calls out - 0.072 lb of joint compound per SF and 0.37 LF of tape per SF (72 lb and 370 LF per 1,000 SF, typical level 4). Corner bead, casing bead, shadow molding and gypsum edge trim are quantified from the details and carried on the Trim line, not by yield. Change any yield on Inputs and the purchase figure re-rounds.</t>
  </si>
  <si>
    <t xml:space="preserve">Purlin at the top track - INCLUDED, flute direction V.I.F.</t>
  </si>
  <si>
    <t xml:space="preserve">A09.33 details the top track fastening to the steel deck and rules, textual: "STL TRACK, CL TO BE BETWEEN ATTACHED FLUTES, NO EXCEPTION" and "1X1X1 16GA PURLIN, ACROSS MIN. (2) FLUTES". Where the deck flute runs PARALLEL to the track there is no valley to fasten into, so a 16 ga purlin spanning at least two flutes is required and the fastener goes through it. 139.21 LF are carried, from the 185.61 LF of top track on walls that run east-west and go to deck. Flute direction is DERIVED: Type B deck spans between joists, and the joists on S2.20 run north-south, so the flutes run east-west. The detail itself says "ALTERNATE CEILING DETAIL, VIF FLUTE DIRECTION", so this is verified in the field before ordering; if the flutes run the other way the purlin moves to the north-south walls (131.43 LF of track) and the figure changes. Exterior walls and the inclined wall 40 are NOT included and are named on Pending Items.</t>
  </si>
  <si>
    <t xml:space="preserve">Doors, frames and hardware</t>
  </si>
  <si>
    <t xml:space="preserve">Division 08. Door jamb anchors arrive attached to the frame and are not the drywaller's. Door openings ARE framed here: header, jamb studs and cripples.</t>
  </si>
  <si>
    <t xml:space="preserve">Painting and wall covering</t>
  </si>
  <si>
    <t xml:space="preserve">Division 09 90 00. Level-5 finish where the Finish Schedule calls for it IS carried as a board line item; the coating itself is not.</t>
  </si>
  <si>
    <t xml:space="preserve">Wet areas - every room with a plumbing fixture, and what board it gets</t>
  </si>
  <si>
    <t xml:space="preserve">Four rooms in this building have a plumbing fixture and each one was checked against THREE sources: the toilet-room sheet notes (what board type is required), the Finish Plan and its key notes (what wall finish each room gets), and the plumbing drawings (where the water actually is). RESTROOMS 113 and 114: FRP WC-3 to 4'-6", ceramic cove base, and moisture-resistant gypsum board behind BOTH fixtures - the lavatory side is the chase and the toilet side is the inside face of the west exterior wall, 213.74 SF of W.R. in total. JANITOR CLOSET 112: FRP from floor to 4'-0" on both walls at the mop sink corner, per Finish Plan key note 6 and 5/A08.01 - height confirmed, width pending the fixture size. BREAK ROOM 118: has a break sink but the drawings call for no wet-wall finish - see Pending Items. The W.R. board is a RECLASSIFICATION, not new board: the same area comes out of the regular gypsum line, and it changes the price because each board type carries its own waste.</t>
  </si>
  <si>
    <t xml:space="preserve">C. CONDITIONS AND ASSUMPTIONS THAT AFFECT THE PRICE</t>
  </si>
  <si>
    <t xml:space="preserve">Stud height to underside of structure</t>
  </si>
  <si>
    <t xml:space="preserve">Interior partitions run to the deck at 15'-4 1/2" north of grid B (S2.20, T/STEEL, NO SLOPE). South of grid B the deck slopes 1/4" per foot from 13'-0 5/8" down to 12'-6 3/8"; walls in that zone are priced at the interpolated height stated on each row. Exterior studs run from slab to T.O. PARAPET 1 at 17'-9".</t>
  </si>
  <si>
    <t xml:space="preserve">Gypsum board height differs from stud height on the exterior wall</t>
  </si>
  <si>
    <t xml:space="preserve">H/A09.23 reads "5/8" GYP. BOARD @ PERIMETER EXTERIOR WALL TO DECK" - the interior face stops at the deck, not the parapet. The strip from deck to top of parapet is "5/8" EXTERIOR GYPSUM SHEATHING" and is carried on its own line. Pricing both to the parapet would have overstated the interior board.</t>
  </si>
  <si>
    <t xml:space="preserve">Cementitious backer - where it IS and where it is NOT carried</t>
  </si>
  <si>
    <t xml:space="preserve">Cement board is carried ONLY under the 6" cove-base band at the bottom of the FRP walls (14.46 SF, which is 0.50 ft of the 5.00 ft FRP height). It is NOT carried behind the full height of the FRP: the wall types draw the FRP directly on gypsum board and no detail calls for a backer behind it. Trade practice would put a cementitious backer behind the whole wet area; if the owner wants that, it is roughly 130 SF more and is offered as a priced alternate rather than assumed. Stated plainly here so the scope is not read either way by accident.</t>
  </si>
  <si>
    <t xml:space="preserve">Ceiling perimeter sealant - RFI</t>
  </si>
  <si>
    <t xml:space="preserve">A04.01 does not label perimeter sealant at gypsum ceilings and no ceiling detail draws it. None is carried. Confirm before award.</t>
  </si>
  <si>
    <t xml:space="preserve">Exterior elevation titles are swapped - RFI</t>
  </si>
  <si>
    <t xml:space="preserve">The titles of 1/A09.01 and 2/A09.02 are crossed. The grid bubble order proves it: the sheet titled "SOUTH ELEVATION" runs grids 8 to 1 left to right, which is the NORTH facade, and it carries the entrance storefront that sits at the top of the plan; the one titled "NORTH ELEVATION" runs 1 to 8 and carries egress door EXPT-1, which is at the bottom of the plan. Quantities here follow the GRIDS, not the titles. Confirm before award.</t>
  </si>
  <si>
    <t xml:space="preserve">Drive-up canopy fascia does not run over the building</t>
  </si>
  <si>
    <t xml:space="preserve">2/A09.02 (the real SOUTH facade) shows the canopy only between grids 1 and 3; from grid 3 east the wall runs straight up to the parapet. The 56.13 LF of fascia that a plan-only reading would have carried over the building footprint DOES NOT EXIST and is not billed. Geometry confirms it independently: the edge-weight line at that location stops at grid 3 and the line that continues is a lighter paving edge.</t>
  </si>
  <si>
    <t xml:space="preserve">Wall type F, ATM lobby side</t>
  </si>
  <si>
    <t xml:space="preserve">The ATM ROOM 102 face of the inclined wall stops at 9'-0" (ACT-5 at 8'-6" plus 6"), not at the deck. Carrying it to 15.375 ft would have inflated that face's board by 71%.</t>
  </si>
  <si>
    <t xml:space="preserve">Face-by-face board</t>
  </si>
  <si>
    <t xml:space="preserve">Board is quantified FACE BY FACE, not "both sides". Where one side of a wall faces several rooms at different ceiling heights, each room is its own row on the Board by Face tab with its own length and height. The room name on each row is what defines the side.</t>
  </si>
  <si>
    <t xml:space="preserve">Field verification</t>
  </si>
  <si>
    <t xml:space="preserve">All dimensions were taken from the vector geometry of the PDF at the sheet's own printed scale and cross-checked against the printed dimension strings. Where a printed dimension exists it governs. Final dimensions to be verified in the field before fabrication.</t>
  </si>
  <si>
    <t xml:space="preserve">Ceiling transition at gypsum-to-ACT edges - NOT CARRIED, see Pending</t>
  </si>
  <si>
    <t xml:space="preserve">7/A09.33 TYPICAL CEILING TRANSITION DETAIL (3"=1'-0") draws a 6" gypsum transition wherever a gypsum ceiling meets a scheduled ceiling at a different height: "3 5/8" METAL STUD KICKER AT 48" O.C. ATTACH TO STRUCTURE ABOVE", "5/8" GYPSUM BOARD", "CORNER BEAD - TYPICAL" both sides and "SHADOW MOLDING AS SPECIFIED". The five gypsum ceilings have 167.68 LF of perimeter in total. How much of that perimeter dies against a wall or storefront (no transition) versus against an ACT ceiling at another height (transition) is NOT carried in this price and has to be confirmed edge by edge on A04.01. Per LF it would add 1.00 SF of board (6" on two faces), one kicker every 4 ft, two runs of corner bead and one run of shadow molding.</t>
  </si>
  <si>
    <t xml:space="preserve">D. WHAT IS INCLUDED THAT IS EASY TO MISS</t>
  </si>
  <si>
    <t xml:space="preserve">Restroom scope on the exterior wall</t>
  </si>
  <si>
    <t xml:space="preserve">The inside face of the west exterior wall is the toilet wall of restrooms 113 and 114. It carries 25.33 LF of FRT blocking (A08.01 sheet note E, accessory by accessory), 66.44 SF of FRP WC-3 and its cement board. Restroom 113 does NOT get the TA-9 sanitary napkin disposal: the A08.01 TOILET ACCESSORY LEGEND gives it LOCATION "WOMEN" only.</t>
  </si>
  <si>
    <t xml:space="preserve">Blocking for everything that hangs</t>
  </si>
  <si>
    <t xml:space="preserve">Blocking is carried accessory by accessory - each one its own length plus 8" of bearing each side - for grab bars, dispensers, artwork, millwork, the roof-hatch ladder and the media monitor. Surface-mounted blocking and blocking inside the partition are distinguished.</t>
  </si>
  <si>
    <t xml:space="preserve">MEP penetrations framed, not patched</t>
  </si>
  <si>
    <t xml:space="preserve">26 penetrations were located by registering the M, E and P backgrounds onto the architectural plan and verifying the registration against the 30-degree ATM wall. All are under a quarter sheet, but the building is new, so each is carried as a FRAMED OPENING with its head, sill and stud reinforcement - never as a patch.</t>
  </si>
  <si>
    <t xml:space="preserve">Openings for recessed fixtures</t>
  </si>
  <si>
    <t xml:space="preserve">The continuous light slots and the diffusers get framed openings and gypsum edge trim, quantified from the RCP fixture layout itself rather than from a generic allowance.</t>
  </si>
  <si>
    <t xml:space="preserve">Canopy soffit and fascia framing</t>
  </si>
  <si>
    <t xml:space="preserve">The drive-up canopy carries 1,768.38 SF of 5/8" FRT plywood sheathing on 3-5/8" metal stud framing at 16" O.C., plus its track and bridging. On a soffit the track sits at the two ENDS of each stud and along the two side edges - it is reported that way, and the check is that the two add up to the full perimeter.</t>
  </si>
  <si>
    <t xml:space="preserve">PENDING ITEMS - what is missing, why, and who to ask</t>
  </si>
  <si>
    <t xml:space="preserve">Nothing on this list was invented to close a gap. Where the drawings do not resolve a quantity, the quantity is not carried and it is named here.</t>
  </si>
  <si>
    <t xml:space="preserve">Item</t>
  </si>
  <si>
    <t xml:space="preserve">Area</t>
  </si>
  <si>
    <t xml:space="preserve">What exactly is missing, and why</t>
  </si>
  <si>
    <t xml:space="preserve">Ask</t>
  </si>
  <si>
    <t xml:space="preserve">Impact</t>
  </si>
  <si>
    <t xml:space="preserve">Size of the second duct crossing wall A1 #9</t>
  </si>
  <si>
    <t xml:space="preserve">Partitions</t>
  </si>
  <si>
    <t xml:space="preserve">M01.01 crosses wall A1 #9 TWICE, not once. The first duct is labelled 8" dia. and lands in the solid part of the wall. The second lands at A02.01 x 1801.57-1813.57, inside the 3'-4" R.O. of door 119, so in the building it passes above the header through the cripple studs. It is drawn 8" wide in plan, but its printed size is not legible on the sheet: the 10"x12" label belongs to the horizontal main above it, not to this branch. Both are carried as framed openings at 1.00 LF of header and 1.00 LF of sill track each, per 6/S5.20 (an 8" duct will not pass through the web of a 3 5/8" stud and the flanges may not be cut). If the second one is bigger than 8", its framed opening grows.</t>
  </si>
  <si>
    <t xml:space="preserve">Mechanical engineer - confirm the size of the branch duct over door 119</t>
  </si>
  <si>
    <t xml:space="preserve">The framed opening of one duct</t>
  </si>
  <si>
    <t xml:space="preserve">"@ LOW ROOF" on S2.20, north of grid B</t>
  </si>
  <si>
    <t xml:space="preserve">S2.20 carries FOUR B.O.D. callouts and only one of them is north of grid B: "B.O.D. EL. 15'-4 1/2"" with "NO SLOPE" in its own box right under it. Every wall north of grid B is carried at 15.375 ft on that callout, cross-checked against H/A09.23 "T/ STEEL 15'-4 1/2"". What is NOT settled: the words "@ LOW ROOF" sit south of the W16x31/W16x26 beam line, in the same band as walls A1 #1 to #4, and they carry no elevation of their own. They read as the tail of the "STL SUPPORT, REF. 3/S5.11" callout rather than as a roof zone, but the sheet does not prove it either way, and there is no second B.O.D. in that band to compare against. If there really is a lower roof there, every stud and every bracing row in that band changes.</t>
  </si>
  <si>
    <t xml:space="preserve">Structural engineer - confirm the deck elevation in the band between the W16x31 beam and grid B</t>
  </si>
  <si>
    <t xml:space="preserve">Stud length and bracing rows on every wall north of grid B</t>
  </si>
  <si>
    <t xml:space="preserve">W14x22 roof beam sits directly over wall A1 #8 on grid 5</t>
  </si>
  <si>
    <t xml:space="preserve">S2.20 ROOF FRAMING PLAN draws a W14x22 beam on grid 5 whose centerline (x=1472.64) is 0.13" from the centerline of wall A1 #8 (x=1472.44) once the two sheets are registered on their own grid bubbles (dx +234.34 pt over 8 columns, dy -16.72 pt over 9 rows, both sheets at 18.00 pt/ft). 3/A12.01 sends the stud to UNDERSIDE OF STRUCTURE with a continuous slip track, and along this wall line the underside of structure is the bottom flange of that beam, 13 3/4" below the bottom of deck. The take-off carries the stud to B.O.D. (12.89 ft at the high end), which is the LONGER and therefore safe number, and matches the architect wording in 12/A12.01 ("SPAN BETWEEN STUD TRACKS AT FLOOR AND DECK ABOVE"). If the slip track lands on the beam soffit instead, the stud drops to about 11.75 ft and the bracing goes from 3 rows to 2. Nothing is changed without the decision - the delta is named here.</t>
  </si>
  <si>
    <t xml:space="preserve">Architect / GC - confirm whether the head of wall lands on the beam or on the deck</t>
  </si>
  <si>
    <t xml:space="preserve">Stud 1.15 ft per piece on 21 pieces, plus 1 bracing row (17.06 LF)</t>
  </si>
  <si>
    <t xml:space="preserve">Track-to-slab fastener spacing: two different numbers in the set</t>
  </si>
  <si>
    <t xml:space="preserve">The SILL TRACK ANCHORAGE table of 7/S5.20 gives INTERIOR WALLS "HILTI DNI 32 P8 @ 12" O.C."; the FASTENER SCHEDULE next to 3/S5.20 WALL CONNECTION AT SLAB gives LEVEL 1-3 "16" O.C." with "ATTACH TRACK TO SLAB W/ (1) 0.157" dia. P.A.F. W/ 1 1/4" MIN. EMBED. LOCATED AT CENTER OF TRACK. REF. SCHEDULE FOR SPACING". Both read on track to slab. The take-off prices the TIGHTER of the two (12" O.C.) so the bid is not short; the difference is roughly a third of the pin count on every interior wall.</t>
  </si>
  <si>
    <t xml:space="preserve">Structural engineer - confirm which schedule governs interior partitions</t>
  </si>
  <si>
    <t xml:space="preserve">About 1/3 of the powder actuated pins on every interior wall</t>
  </si>
  <si>
    <t xml:space="preserve">Blocking at the edge of gypboard - CLOSED 10-Oct-2026</t>
  </si>
  <si>
    <t xml:space="preserve">CLOSED, no longer pending. 4/S5.20 TYPICAL BLOCKING DETAIL carries a boxed note, textual: "PROVIDE BLOCKING AT THE EDGE OF GYPBOARD.", with STUD BLOCKING 362CR22 (TYP.) and CLIP ANGLE 362CR22 (TYP.) &amp; BLOCKING W/ SCREWS (TYP.). When this item was written the note had been applied to wall A1 #8 only. The full sweep was run on 10-Oct-2026 against every closed face: it found 96 LF missing - 78.24 LF on the four A5 walls (which had been EXCLUDED in error when their closer was written, with the board at 9.00/9.50 ft against studs of 12.9-15.4 ft) and 17.76 LF on wall F #40. Both were added and the sweep now comes out at zero across all 67 walls.</t>
  </si>
  <si>
    <t xml:space="preserve">Closed - no action needed</t>
  </si>
  <si>
    <t xml:space="preserve">Was 96 LF of 362CR22; already carried</t>
  </si>
  <si>
    <t xml:space="preserve">The five GWB ceilings cite no detail - CLOSED 10-Oct-2026</t>
  </si>
  <si>
    <t xml:space="preserve">Ceilings</t>
  </si>
  <si>
    <t xml:space="preserve">CLOSED, no longer pending. CIELO-70 through CIELO-74 used to stop at A04.01 and cite not one detail. The A09.33 TYPICAL CEILING DETAILS sheet was opened on 10-Oct-2026, eight of its nine details for the first time, and the chain now closes: 7/A09.33 TYPICAL CEILING TRANSITION DETAIL governs a change of ceiling height and proves the NEGATIVE here - A04.01 gives each of the five rooms a single height tag, so none steps, so none carries the kicker, the vertical face or the corner bead it draws; and 3/A09.33 LIGHT FIXTURE INSTALLATION carries the seismic bracing note, excluded with its alternate calculated at 267.99 LF of 12 gauge wire because the anchorage it mandates ("SECURED TO THE MAIN RUNNER INTERSECTION") does not exist in a gypsum ceiling. Four line items that were neither quantified NOR excluded - CORNER_BEAD, PERIMETER_ANGLE, SHADOW_MOLDING and the seismic bracing - now carry a verified motive.</t>
  </si>
  <si>
    <t xml:space="preserve">Edge condition of the 5 rooms, resolved</t>
  </si>
  <si>
    <t xml:space="preserve">Storefront pier framing at the 24 HR vestibule</t>
  </si>
  <si>
    <t xml:space="preserve">A12.10 24 HR VESTIBULE PLAN puts one bubble on each end pier of the vestibule storefront wall: 1/A09.25 DETAIL @ STOREFRONT PIER on the west one and 2/A09.25 DETAIL @ WINDOW JAMB on the east one. Both details are plan cuts and both label framing that IS ours: "6" CFMF", "3 5/8" METAL STUD", "5/8" GYPSUM BOARD" and "3/4" FRT PLYWOOD" at the jambs. What is NOT resolvable is the SIZE of the box. The printed strings on 1/A09.25 (3", 1'-9", 1'-0", 4") run from the grid lines F and G and from the face of the storefront, not from the four faces of the pier, and they do not close on the drawn outline: the outline measures about 2'-6 1/2" by 2'-0" on the sheet geometry while the strings would give 2'-0" and 1'-3". Rather than pick one reading, nothing is carried for the pier BOX. What IS carried, and is not affected, is the 3/4" FRT plywood and the gypsum board jamb return around every opening, which come from the head and sill details. Two piers at about 10 LF of perimeter each by 8'-6" would be roughly 170 SF of board and about 20 studs - that is the size of the question, not an estimate.</t>
  </si>
  <si>
    <t xml:space="preserve">Architect - dimension the pier box on 1/A09.25 and 2/A09.25</t>
  </si>
  <si>
    <t xml:space="preserve">Two piers: about 170 SF of board and 20 studs</t>
  </si>
  <si>
    <t xml:space="preserve">Width of the plywood backing and the jamb return</t>
  </si>
  <si>
    <t xml:space="preserve">Five details cut the frame of the openings and all five label the material - 11/A09.27 and 2/A09.26 at the head ("3/4" FRT PLYWOOD", "GYPSUM BOARD JAMB RETURN BEYOND"), 10/A09.27 at the sill, 1/A09.25 and 2 and 3/A09.25 at the jambs - but NONE of them dimensions how wide the strip is. The 6" stud depth it backs is used, which is what the details draw. If the real return is deeper the quantity scales directly with it.</t>
  </si>
  <si>
    <t xml:space="preserve">Architect, or field decision at shop drawings</t>
  </si>
  <si>
    <t xml:space="preserve">Scales directly with the width</t>
  </si>
  <si>
    <t xml:space="preserve">Purlin at exterior walls and the inclined wall</t>
  </si>
  <si>
    <t xml:space="preserve">The 139.21 LF of purlin carried cover the interior walls that run east-west and go to deck. The six exterior walls and the inclined wall 40 have no straight orientation in the band table, so whether their top track runs parallel to the flute is a field condition - the detail itself says VIF FLUTE DIRECTION. Not estimated. If all of them turned out to need it, at the same 0.75 LF per LF it would be about 180 LF more.</t>
  </si>
  <si>
    <t xml:space="preserve">Field verification before ordering</t>
  </si>
  <si>
    <t xml:space="preserve">Up to about 180 LF of purlin</t>
  </si>
  <si>
    <t xml:space="preserve">Ceiling transition perimeter</t>
  </si>
  <si>
    <t xml:space="preserve">How much of the 167.68 LF of gypsum-ceiling perimeter meets an ACT ceiling at a different height, and therefore takes the 6" transition of 7/A09.33 (kicker @ 48" O.C., board both faces, 2 corner beads, shadow molding). A mechanical wall test was run and it does NOT resolve the restroom edges, so no number is carried rather than a guessed one.</t>
  </si>
  <si>
    <t xml:space="preserve">Architect / A04.01 edge by edge</t>
  </si>
  <si>
    <t xml:space="preserve">Affects price</t>
  </si>
  <si>
    <t xml:space="preserve">CSR soffit stud length</t>
  </si>
  <si>
    <t xml:space="preserve">Soffits</t>
  </si>
  <si>
    <t xml:space="preserve">The CSR soffit carries 26 pieces of 3-5/8" stud (size confirmed on A09.33: "3 5/8" METAL STUD FRAMING AND TRACK @ 16" O.C."), but 10/A09.33 does not dimension the soffit drop, so the LF of each piece is not derivable. Pieces are carried; length is not.</t>
  </si>
  <si>
    <t xml:space="preserve">Architect - soffit drop dimension</t>
  </si>
  <si>
    <t xml:space="preserve">Minor</t>
  </si>
  <si>
    <t xml:space="preserve">Walls 51 and 53 may be short</t>
  </si>
  <si>
    <t xml:space="preserve">On the left office-front band (x 1121.16 / 1133.88) the face at x=1133.88 runs continuous 981.00 to 1044.12 (3.507 ft) and 1179.12 to 1236.36 (3.180 ft), while both closures took 2.667 ft. Those may be the junctions with walls 4 and 26, or 0.84 + 0.51 ft of uncounted wall. Needs a zoom of A02.01 at x 1115-1140 / y 975-1240 to see where each type dies.</t>
  </si>
  <si>
    <t xml:space="preserve">Re-measure on A02.01</t>
  </si>
  <si>
    <t xml:space="preserve">Up to 1.35 LF of wall</t>
  </si>
  <si>
    <t xml:space="preserve">Height convention south of grid B - RESOLVED 29-Sep-2026</t>
  </si>
  <si>
    <t xml:space="preserve">CLOSED, no longer pending. Two conventions were living in the same takeoff: 4 walls interpolated the deck slope to their own high point and 13 took the flat 13.052 of grid B, which is the high point of the ZONE, not of the wall. S2.20 settles which reading is right: it carries three B.O.D. elevations - 15'-4 1/2" with NO SLOPE on the high roof, 13'-0 5/8" at the north edge of the low roof and 12'-6 3/8" at its south edge - and between those last two it draws an arrow labelled SLOPE with detail 5/S5.10. The NO SLOPE belongs to the high roof and the canopy, not to the low one. So the deck DOES fall, and every wall is now quoted at ITS OWN high end: h = 13.052 - (y-1246)/(1700.5-1246) x 0.521, using the north end of a wall that runs north-south and the centreline of one that runs east-west. The rule was validated against the four walls that already interpolated, to the thousandth. 13 walls corrected: -28.97 LF of stud and -48.34 SF of board. Wall 16 was already right (its low segment starts at grid B) and the text of its closure, which claimed the deck was level and the slope was in the tapered insulation, was corrected.</t>
  </si>
  <si>
    <t xml:space="preserve">Stud -28.97 LF, board -48.34 SF</t>
  </si>
  <si>
    <t xml:space="preserve">Return board at the light slots</t>
  </si>
  <si>
    <t xml:space="preserve">RETORNO_BOARD_RANURA is quantified as PENDING in the sealed closure of the recessed fixture openings: the depth of each slot pocket is not dimensioned on the RCP, so the board that lines the return cannot be derived. The framing of the slot (112.00 LF) and its gypsum edge trim (122.67 LF) ARE carried. It shows as PENDING on Other Scope, never as zero.</t>
  </si>
  <si>
    <t xml:space="preserve">Architect - slot pocket depth</t>
  </si>
  <si>
    <t xml:space="preserve">Minor, but it is board that will be installed</t>
  </si>
  <si>
    <t xml:space="preserve">Wood blocking waste factor - CLOSED 11-Oct-2026</t>
  </si>
  <si>
    <t xml:space="preserve">All</t>
  </si>
  <si>
    <t xml:space="preserve">CLOSED, no longer pending. The figure used to sit at 0 because FRT wood blocking is neither metal nor board and the old standing rule (15% metal / 6% board, by type) had no row for it. Rodolfo extended the rule on 11-Oct-2026: EVERYTHING that is metal takes 15% whatever type it is, and EVERYTHING that is not metal takes the same figure as drywall / gypsum board, 6%. So wood blocking now reads the same Inputs cell as the board, and the separate parameter was retired rather than set to 0.06 - two cells meaning the same 6% is a second source of truth.</t>
  </si>
  <si>
    <t xml:space="preserve">6% on 748.00 LF of FRT blocking = 44.88 LF</t>
  </si>
  <si>
    <t xml:space="preserve">Pieces without a length never become purchase</t>
  </si>
  <si>
    <t xml:space="preserve">Two line items are carried in PIECES and have no length, so they never convert into LF of stud to buy: the 26 pieces of the CSR soffit framing and the 18 stud reinforcements at the MEP penetrations. The pieces are correct and installed; what is missing is the length of each one. They are listed on Material Summary in pcs so they are visible, not folded into a LF figure that would be invented.</t>
  </si>
  <si>
    <t xml:space="preserve">Architect - soffit drop; field - reinforcement length</t>
  </si>
  <si>
    <t xml:space="preserve">Under 100 LF of stud</t>
  </si>
  <si>
    <t xml:space="preserve">Mop sink FRP width</t>
  </si>
  <si>
    <t xml:space="preserve">Wet areas</t>
  </si>
  <si>
    <t xml:space="preserve">Finish Plan key note 6 reads "FRP FROM FLOOR TO 4'-0" AFF, WIDTH TO MATCH WIDTH OF MOP SINK AT BOTH SIDES", and 5/A08.01 draws the sink in a CORNER with FRP on both walls. The HEIGHT is printed and confirmed; the WIDTH is tied to the fixture and the mop sink is not dimensioned on A02.01, A08.01 or the Plumbing Fixture Schedule. Not invented. For pricing: a 24" service sink gives 2 x 2.00 x 4.00 = 16.00 SF, a 28" one gives 18.67 SF.</t>
  </si>
  <si>
    <t xml:space="preserve">Plumbing - mop sink model and size</t>
  </si>
  <si>
    <t xml:space="preserve">Under 20 SF of FRP plus its trim</t>
  </si>
  <si>
    <t xml:space="preserve">Break Room sink has no wet-wall finish called out</t>
  </si>
  <si>
    <t xml:space="preserve">P01.01 keyed note 1 proves there is a BREAK SINK in Break Room 118, but the Finish Plan gives 118 only P-15, VCT-2 and B-12 - no FRP, no tile, no W.R. note. The contrast is what says it is not a labelling slip: the same Finish Plan DOES give the Janitor Closet mop sink its key note 6, and A08.01 DOES carry note F for the restrooms. The drawings do not ask for it here. Trade practice puts W.R. board behind a sink: RFI raised, offered as an alternate. Cannot be quantified without the sink millwork size.</t>
  </si>
  <si>
    <t xml:space="preserve">Architect - RFI</t>
  </si>
  <si>
    <t xml:space="preserve">Affects price if added</t>
  </si>
  <si>
    <t xml:space="preserve">Cementitious backer behind FRP - the drawings are now conclusive</t>
  </si>
  <si>
    <t xml:space="preserve">3/A08.01 RESTROOM FRP/TILE DETAIL was opened on 10-Oct-2026, at 6"=1'-0". It draws the FRP PANEL set on ADHESIVE DIRECTLY to the gypsum board, with PVC EDGE TRIM MOLDING top and bottom and CLEAR SEALANT, and NO substrate behind it - the same as 4 and 5/A08.01 at the mop sink. So the question is settled on the drawings: the set does not ask for a backer behind FRP anywhere. It stays OUT, and the alternate stands at the same area as the FRP for whoever wants it. What the trade rule DOES govern is the CERAMIC TILE COVE BASE, and that one is already carried: tile on a wall gets a cementitious backer even where the drawings do not draw it, so the 6" band under the cove base is quantified on walls 26, 27, 52 and the west exterior, with the difference against the drawings written into Clarifications.</t>
  </si>
  <si>
    <t xml:space="preserve">Estimator decision - alternate only</t>
  </si>
  <si>
    <t xml:space="preserve">Same area as the mop sink FRP, if added</t>
  </si>
  <si>
    <t xml:space="preserve">Ceiling perimeter sealant</t>
  </si>
  <si>
    <t xml:space="preserve">A04.01 does not label perimeter sealant at gypsum ceilings and no ceiling detail draws it. Not carried.</t>
  </si>
  <si>
    <t xml:space="preserve">Exterior elevation titles swapped</t>
  </si>
  <si>
    <t xml:space="preserve">Exterior</t>
  </si>
  <si>
    <t xml:space="preserve">1/A09.01 and 2/A09.02 carry crossed titles - proven by the grid bubble order and by the content. Quantities follow the grids. Needs a written confirmation before award.</t>
  </si>
  <si>
    <t xml:space="preserve">No price impact, but it must be on the record</t>
  </si>
  <si>
    <t xml:space="preserve">Insulation</t>
  </si>
  <si>
    <t xml:space="preserve">Located and cited everywhere it occurs (spray foam in the 6" CFMF cavity, sound batt above the restroom ceilings, rigid above the roof deck) and EXCLUDED at the estimator's instruction. Add on request - the delta is declared.</t>
  </si>
  <si>
    <t xml:space="preserve">Estimator decision</t>
  </si>
  <si>
    <t xml:space="preserve">Not carried: 7/S5.20 resolves bracing with screws and with WELD at each stud crossing, and lists no bridging clip. If the field wants clips, they are a priced alternate.</t>
  </si>
  <si>
    <t xml:space="preserve">Estimator / field</t>
  </si>
  <si>
    <t xml:space="preserve">Alternate</t>
  </si>
  <si>
    <t xml:space="preserve">CSR soffit vertical face</t>
  </si>
  <si>
    <t xml:space="preserve">Excluded: 10/A09.33 draws the soffit dying into a SCHEDULED PARTITION with continuous corner bead, with no free vertical face, and walls A1K 11 and 12 sit at exactly the same x range. If a free face appears in the field it is 30.85 SF, declared as an alternate.</t>
  </si>
  <si>
    <t xml:space="preserve">Alternate 30.85 SF</t>
  </si>
  <si>
    <t xml:space="preserve">SHEET INDEX - where every number came from</t>
  </si>
  <si>
    <t xml:space="preserve">Sheet</t>
  </si>
  <si>
    <t xml:space="preserve">Title</t>
  </si>
  <si>
    <t xml:space="preserve">PDF page</t>
  </si>
  <si>
    <t xml:space="preserve">What was taken from it</t>
  </si>
  <si>
    <t xml:space="preserve">A00.30</t>
  </si>
  <si>
    <t xml:space="preserve">Door Schedule</t>
  </si>
  <si>
    <t xml:space="preserve">Door leaf widths and heights used for header and board deduction</t>
  </si>
  <si>
    <t xml:space="preserve">A02.01</t>
  </si>
  <si>
    <t xml:space="preserve">Construction Plan</t>
  </si>
  <si>
    <t xml:space="preserve">Every wall length and every opening clear, by vector geometry at 1/4"=1'-0"</t>
  </si>
  <si>
    <t xml:space="preserve">A04.01</t>
  </si>
  <si>
    <t xml:space="preserve">Reflected Ceiling Plan</t>
  </si>
  <si>
    <t xml:space="preserve">Gypsum vs ACT ceilings, heights, key notes, fixture layout for hanger wire</t>
  </si>
  <si>
    <t xml:space="preserve">A08.01</t>
  </si>
  <si>
    <t xml:space="preserve">Enlarged Restroom Plans &amp; Elevations</t>
  </si>
  <si>
    <t xml:space="preserve">Toilet accessories, sheet note E on blocking, FRP extent</t>
  </si>
  <si>
    <t xml:space="preserve">A08.11</t>
  </si>
  <si>
    <t xml:space="preserve">ATM Details</t>
  </si>
  <si>
    <t xml:space="preserve">Drive-up and walk-up ATM R.O., box beam, sistered studs, plinth and surround</t>
  </si>
  <si>
    <t xml:space="preserve">A09.01</t>
  </si>
  <si>
    <t xml:space="preserve">Exterior Elevations (west + north)</t>
  </si>
  <si>
    <t xml:space="preserve">Canopy extent and datums; grid order proves the title swap</t>
  </si>
  <si>
    <t xml:space="preserve">A09.02</t>
  </si>
  <si>
    <t xml:space="preserve">Exterior Elevations (south + east)</t>
  </si>
  <si>
    <t xml:space="preserve">Canopy extent, EXPT-1 door, exterior material legend</t>
  </si>
  <si>
    <t xml:space="preserve">A09.23</t>
  </si>
  <si>
    <t xml:space="preserve">Wall Sections</t>
  </si>
  <si>
    <t xml:space="preserve">H/A09.23: full exterior wall build-up and each layer's height</t>
  </si>
  <si>
    <t xml:space="preserve">A09.25</t>
  </si>
  <si>
    <t xml:space="preserve">Plan Details</t>
  </si>
  <si>
    <t xml:space="preserve">Exterior wall plan details, corner and jamb conditions</t>
  </si>
  <si>
    <t xml:space="preserve">A09.27</t>
  </si>
  <si>
    <t xml:space="preserve">Gypsum Section Details</t>
  </si>
  <si>
    <t xml:space="preserve">15 and 16/A09.27: drive-up canopy soffit and fascia build-up and datums</t>
  </si>
  <si>
    <t xml:space="preserve">A09.30</t>
  </si>
  <si>
    <t xml:space="preserve">Roof Details</t>
  </si>
  <si>
    <t xml:space="preserve">Roof hatch and ladder</t>
  </si>
  <si>
    <t xml:space="preserve">A09.33</t>
  </si>
  <si>
    <t xml:space="preserve">Ceiling Details</t>
  </si>
  <si>
    <t xml:space="preserve">10/A09.33: CSR soffit, corner bead, FRTW blocking, ceiling trim</t>
  </si>
  <si>
    <t xml:space="preserve">A11.01-04</t>
  </si>
  <si>
    <t xml:space="preserve">Interior Elevations</t>
  </si>
  <si>
    <t xml:space="preserve">What hangs on each face - artwork, millwork, media monitor - for blocking</t>
  </si>
  <si>
    <t xml:space="preserve">A12.01</t>
  </si>
  <si>
    <t xml:space="preserve">Partition Types</t>
  </si>
  <si>
    <t xml:space="preserve">Every partition type: stud size, layers per face, wall thickness, bulkhead details</t>
  </si>
  <si>
    <t xml:space="preserve">S2.20</t>
  </si>
  <si>
    <t xml:space="preserve">Roof Framing Plan</t>
  </si>
  <si>
    <t xml:space="preserve">B.O. Deck by zone: 15'-4 1/2" north of grid B, sloping 1/4"/ft south of it</t>
  </si>
  <si>
    <t xml:space="preserve">S5.20</t>
  </si>
  <si>
    <t xml:space="preserve">CFMF Schedules and Details</t>
  </si>
  <si>
    <t xml:space="preserve">7/S5.20: stud properties, spacing by application, bracing, fastener schedule</t>
  </si>
  <si>
    <t xml:space="preserve">M01.01</t>
  </si>
  <si>
    <t xml:space="preserve">Mechanical Plan</t>
  </si>
  <si>
    <t xml:space="preserve">Duct penetrations crossed against every wall and ceiling</t>
  </si>
  <si>
    <t xml:space="preserve">E01.01 / E02.01</t>
  </si>
  <si>
    <t xml:space="preserve">Electrical Plans</t>
  </si>
  <si>
    <t xml:space="preserve">Electrical penetrations and recessed fixture locations</t>
  </si>
  <si>
    <t xml:space="preserve">P01.01 / P01.02</t>
  </si>
  <si>
    <t xml:space="preserve">Plumbing Plans</t>
  </si>
  <si>
    <t xml:space="preserve">Plumbing penetrations crossed against every wall</t>
  </si>
  <si>
    <t xml:space="preserve">DETAIL LOG - why the chain goes to each sheet, and what came out of it</t>
  </si>
  <si>
    <t xml:space="preserve">One row per link of the Detail sequence shown on the Partition Takeoff and Ceilings &amp; Soffits tabs, in the order the sheets were read. "What was taken from it" is quoted from the sealed closure, not retyped.</t>
  </si>
  <si>
    <t xml:space="preserve">Step</t>
  </si>
  <si>
    <t xml:space="preserve">Sheet / detail</t>
  </si>
  <si>
    <t xml:space="preserve">Used for</t>
  </si>
  <si>
    <t xml:space="preserve">What this detail is, and why the chain goes there</t>
  </si>
  <si>
    <t xml:space="preserve">Cited in</t>
  </si>
  <si>
    <t xml:space="preserve">A1 #8</t>
  </si>
  <si>
    <t xml:space="preserve">Dimension</t>
  </si>
  <si>
    <t xml:space="preserve">Construction Plan. Entry sheet for partitions and openings: vector geometry of every wall face at 1/4"=1'-0", the leader of every partition tag, the Construction Plan Legend (new vs. existing) and the Construction Plan Notes.</t>
  </si>
  <si>
    <t xml:space="preserve">BOARD, HEADER, SUSTRATO_PLYWOOD, face[2].board_height, face[3].board_height, length, scope[0].chain[0], scope[1].chain[0], scope[1].chain[1]</t>
  </si>
  <si>
    <t xml:space="preserve">CORREGIDO 5-oct-2026: face to face entre los dos walls tipo B, y=1446.12 a y=1551.12 = 105.00 pt / 18 = 5.833 ft, que es EXACTAMENTE la dimension impresa 5'-10" de A02.01 (cadena en x=1277.76, ticks localizados descontando el sobretiro de punta de flecha de 6.72 pt, simetrico en los dos extremos).</t>
  </si>
  <si>
    <t xml:space="preserve">Reflected Ceiling Plan. Entry sheet for ceilings, soffits and canopy; on walls it gives the BOARD HEIGHT: each room ceiling tag with its printed A.F.F. dimension, plus the ceiling key notes.</t>
  </si>
  <si>
    <t xml:space="preserve">BOARD, face[0].board_height, face[1].board_height, face[2].board_height, face[3].board_height</t>
  </si>
  <si>
    <t xml:space="preserve">A04.01: tag ACT-4 con dimension impresa 8'-6" junto al room tag CORRIDOR 111, mas los 6" de 3/A12.01 = 9.00 ft</t>
  </si>
  <si>
    <t xml:space="preserve">"ROOF FRAMING PLAN". Source of the STUD HEIGHT: every B.O.D. callout on the sheet and the slope of the bay between grids B and A (1/4" per foot).</t>
  </si>
  <si>
    <t xml:space="preserve">BOARD, face[2].board_height, face[3].board_height, stud_height</t>
  </si>
  <si>
    <t xml:space="preserve">interpolado en el extremo ALTO de la zona (y=1446.12 de A02.01 = y=1429.40 de S2.20) = 13.052 - (200.10/454.6) x 0.521 = 12.82 ft.</t>
  </si>
  <si>
    <t xml:space="preserve">2/A11.03</t>
  </si>
  <si>
    <t xml:space="preserve">Quantity</t>
  </si>
  <si>
    <t xml:space="preserve">"ELECTRICAL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</si>
  <si>
    <t xml:space="preserve">SUSTRATO_PLYWOOD</t>
  </si>
  <si>
    <t xml:space="preserve">CORREGIDO 6-oct-2026: antes se citaban tambien 2/A11.03, 4/A11.03 y 7/A11.03.</t>
  </si>
  <si>
    <t xml:space="preserve">3/A11.03</t>
  </si>
  <si>
    <t xml:space="preserve">"ELECTRICAL ELEVATION 2", measured width 5.833 ft. Panel backing board.</t>
  </si>
  <si>
    <t xml:space="preserve">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</si>
  <si>
    <t xml:space="preserve">4/A11.03</t>
  </si>
  <si>
    <t xml:space="preserve">"ELECTRICAL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</si>
  <si>
    <t xml:space="preserve">5/A11.03</t>
  </si>
  <si>
    <t xml:space="preserve">"NER ELEVATION", measured width 7.500 ft. THIS is the plywood one: dimension chain 8'-0" + 6" puts the panel from 6" A.F.F. to 8'-6" A.F.F.</t>
  </si>
  <si>
    <t xml:space="preserve">7/A11.03</t>
  </si>
  <si>
    <t xml:space="preserve">Ruled out</t>
  </si>
  <si>
    <t xml:space="preserve">"NER ELEVATION" (TECH 1 / TECH 2 rack). Draws NO plywood: verified, and that is why it is NOT the source of the substrate.</t>
  </si>
  <si>
    <t xml:space="preserve">1/A12.01</t>
  </si>
  <si>
    <t xml:space="preserve">"PARTITION TYPE B, B2". Stud, layers per face, wall thickness and sealant of types B and B2. On a B wall it is the source; on an A1 wall it enters as a CONTRAST (B does label sealant top AND bottom, A1 only at the bottom).</t>
  </si>
  <si>
    <t xml:space="preserve">SEALANT</t>
  </si>
  <si>
    <t xml:space="preserve">Contraste que prueba que no es omision mia: 1/A12.01 (B y B2) SI rotula sealant arriba Y abajo.</t>
  </si>
  <si>
    <t xml:space="preserve">3/A12.01</t>
  </si>
  <si>
    <t xml:space="preserve">"PARTITION TYPE A1 &amp; A5". 3 5/8" stud, layers per face, WALL THICKNESS 4 7/8", slip track at the top, acoustic sealant at the slab and the 6" of board above the scheduled ceiling.</t>
  </si>
  <si>
    <t xml:space="preserve">BOARD, SEALANT, STUD, TRACK_BOTTOM, TRACK_TOP, excluded.INSULATION, face[0].board_height, face[1].board_height, face[2].board_height, face[3].board_height, scope[0].chain[1], stud_height</t>
  </si>
  <si>
    <t xml:space="preserve">4/A12.01</t>
  </si>
  <si>
    <t xml:space="preserve">"PARTITION TYPE A1K &amp; A5K". The K types. On an A1 wall it enters as a CONTRAST: detail 4 calls for 14 GA @ 24" O.C. MAX in its own note and detail 3 does not, so on the A1 the 7/S5.20 schedule governs.</t>
  </si>
  <si>
    <t xml:space="preserve">STUD</t>
  </si>
  <si>
    <t xml:space="preserve">El detalle 3/A12.01 no trae nota de construccion propia que lo contradiga (a diferencia de 4/A12.01, que para los walls K pide 14 GA @ 24" O.C.</t>
  </si>
  <si>
    <t xml:space="preserve">Exclusion</t>
  </si>
  <si>
    <t xml:space="preserve">Exterior Elevations: "SOUTH ELEVATION" and "WEST ELEVATION" at 1/4"=1'-0". Extent of each exterior material and the material legend, verbatim "CJ CONTROL JOINT; PAINT TO MATCH STUCCO FINISH COLOR" - that joint is the STUCCO joint, not gypsum.</t>
  </si>
  <si>
    <t xml:space="preserve">excluded.CONTROL_JOINT</t>
  </si>
  <si>
    <t xml:space="preserve">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</si>
  <si>
    <t xml:space="preserve">10/A12.02</t>
  </si>
  <si>
    <t xml:space="preserve">"HEAD @ HOLLOW METAL FRAME" at 3"=1'-0". Head of the hollow metal frame: labels SCHEDULED PARTITION, METAL STUD, METAL CLIP, HOLLOW METAL FRAME and 1/2" of board lap per face inside the frame throat.</t>
  </si>
  <si>
    <t xml:space="preserve">HEADER, excluded.CLIPS, openings[0].head</t>
  </si>
  <si>
    <t xml:space="preserve">Door 118B del Door Schedule de A00.30, hoja 3'-0", hollow metal frame, HEAD 10/A12.02 y JAMB 11/A12.02, columna SILL vacia.</t>
  </si>
  <si>
    <t xml:space="preserve">11/A12.02</t>
  </si>
  <si>
    <t xml:space="preserve">"JAMB @ HOLLOW METAL FRAME" at 3"=1'-0". Jamb of the same frame: it calls METAL ANCHOR the piece detail 10 calls METAL CLIP, so the piece is frame anchorage (Div 08), not a clip of ours.</t>
  </si>
  <si>
    <t xml:space="preserve">HEADER, excluded.CLIPS</t>
  </si>
  <si>
    <t xml:space="preserve">1/S5.20</t>
  </si>
  <si>
    <t xml:space="preserve">"TYPICAL WALL FRAMING DETAILS". Holds sub-details A through F; sub-detail F "BRIDGING AND BRACING - CONTINUOUS BRIDGING" is the bracing one: 1 1/2" C.R. CHANNEL welded to every stud. (Bracing is NOT in 5/S5.20, which is TYPICAL WALL FRAMING CONNX.)</t>
  </si>
  <si>
    <t xml:space="preserve">BRACING, excluded.CLIPS</t>
  </si>
  <si>
    <t xml:space="preserve">por el punchout del alma, soldado a cada stud (1/S5.20 sub-detalle F de S5.20).</t>
  </si>
  <si>
    <t xml:space="preserve">2/S5.20</t>
  </si>
  <si>
    <t xml:space="preserve">"HEAD TRACK @ NON LOAD BRG". The head track and the verbatim condition "ADD FULL LENGTH ADDL HEAD TRACK @ OPNG &gt;4'-0"": an opening of 4'-0" or less takes a SINGLE track.</t>
  </si>
  <si>
    <t xml:space="preserve">HEADER</t>
  </si>
  <si>
    <t xml:space="preserve">9/S5.20 OPNG IN NON-LOAD-BRG WALLS rotula 'HEAD TRACK (DOUBLE TRACK @ OPNG &gt; 4'-0")' y 2/S5.20 HEAD TRACK @ NON LOAD BRG repite la condicional 'ADD FULL LENGTH ADDL HEAD TRACK @ OPNG &gt;4'-0"'.</t>
  </si>
  <si>
    <t xml:space="preserve">4/S5.20</t>
  </si>
  <si>
    <t xml:space="preserve">"TYPICAL BLOCKING DETAIL". STUD BLOCKING 362CR22 and CLIP ANGLE 362CR22, with the boxed verbatim note "PROVIDE BLOCKING AT THE EDGE OF GYPBOARD." - source of the blocking at EVERY free edge of board.</t>
  </si>
  <si>
    <t xml:space="preserve">BOARD FREE EDGE: 4/S5.20 TYPICAL BLOCKING DETAIL carries a boxed note, TEXTUAL: 'PROVIDE BLOCKING AT THE EDGE OF GYPBOARD.', with STUD BLOCKING 362CR22 (TYP.) and CLIP ANGLE 362CR22 (TYP.) &amp; BLOCKING W/ SCREWS (TYP.).</t>
  </si>
  <si>
    <t xml:space="preserve">7/S5.20</t>
  </si>
  <si>
    <t xml:space="preserve">"METAL STUDS SCHEDULES". The profile: web, flange, lip, mils, gauge and the APPLICATION column with the spacing ("INTERIOR WALLS @ 16" O.C."), plus the SILL TRACK ANCHORAGE and the FASTENER SCHEDULE.</t>
  </si>
  <si>
    <t xml:space="preserve">STUD, TRACK_BOTTOM</t>
  </si>
  <si>
    <t xml:space="preserve">7/S5.20 METAL STUDS SCHEDULES, renglon 362S137-33: alma 3 5/8", ala 1 3/8", lip 3/8", 33 mil = 20 ga, APPLICATION 'INTERIOR WALLS @ 16" O.C.'.</t>
  </si>
  <si>
    <t xml:space="preserve">9/S5.20</t>
  </si>
  <si>
    <t xml:space="preserve">"OPNG IN NON-LOAD-BRG WALLS". The opening frame: DBL JAMB STUD (2 per jamb) and HEAD TRACK with the condition "DOUBLE TRACK @ OPNG &gt; 4'-0"".</t>
  </si>
  <si>
    <t xml:space="preserve">A00.01</t>
  </si>
  <si>
    <t xml:space="preserve">Scope</t>
  </si>
  <si>
    <t xml:space="preserve">Cover sheet and Drawing Index. Proof by ABSENCE: the index lists no interior Demolition Plan, which is why there is no patch-and-repair line item.</t>
  </si>
  <si>
    <t xml:space="preserve">excluded.PATCH, scope[1].chain[0]</t>
  </si>
  <si>
    <t xml:space="preserve">A02.01 Construction Plan Legend: la grafia de dos lineas limpias es NEW PARTITION (SEE SCHEDULE); no hay Demolition Plan interior en el Drawing Index de A00.01</t>
  </si>
  <si>
    <t xml:space="preserve">Door Schedule. Leaf width and height of every door and the frame type: source of the header, the board deduction and the reference to 10 and 11/A12.02.</t>
  </si>
  <si>
    <t xml:space="preserve">BLOCKING, HEADER</t>
  </si>
  <si>
    <t xml:space="preserve">PLUS what hangs on the wall: WALL STOP: el Door Schedule de A00.30 le da a la door 118B el HARDWARE GROUP 11, que incluye WALL STOP, y la sheet note D de A00.30 dice textual 'PROVIDE BLOCKING AT EACH WALL STOP'; el plano no ubica el tope, asi que 2'-0" de FRTW.</t>
  </si>
  <si>
    <t xml:space="preserve">Gypsum Section Details, the sheet. Cited as a sheet when the finding is that NO detail on it labels a gypsum control joint.</t>
  </si>
  <si>
    <t xml:space="preserve">El set no rotula ni detalla ninguna junta de control de gypsum board, ni en A12.01 ni en los detalles de A09.27/A09.33, y no hay seccion de especificaciones 09 29 00 en el bid set.</t>
  </si>
  <si>
    <t xml:space="preserve">Ceiling Details, the sheet. Cited as a sheet for a finding by ABSENCE: its details label corner bead, casing bead and shadow molding one by one and NONE labels a control joint, so the omission is not a labeling oversight.</t>
  </si>
  <si>
    <t xml:space="preserve">E02.01</t>
  </si>
  <si>
    <t xml:space="preserve">"FLOOR PLAN - LIGHTING" at 1/4"=1'-0". Light fixtures and their framing: crossed against every wall and ceiling to locate penetrations and openings.</t>
  </si>
  <si>
    <t xml:space="preserve">excluded.PATCH</t>
  </si>
  <si>
    <t xml:space="preserve">Ademas el cruce MEP corrido contra M01.01, P01.01, P01.02 y E02.01 no encuentra ninguna penetracion por debajo de la height de board: en obra nueva el MEP se instala ANTES del board.</t>
  </si>
  <si>
    <t xml:space="preserve">Mechanical Floor Plan at 1/4"=1'-0". Swept across the WHOLE band of each wall, opening included, to locate and measure every duct penetration.</t>
  </si>
  <si>
    <t xml:space="preserve">P01.01</t>
  </si>
  <si>
    <t xml:space="preserve">"PLUMBING PLAN SANITARY" at 1/4"=1'-0". Crossed against every wall: on new construction the MEP goes in before the board, hence no patch.</t>
  </si>
  <si>
    <t xml:space="preserve">P01.02</t>
  </si>
  <si>
    <t xml:space="preserve">"PLUMBING PLAN SUPPLY" at 1/4"=1'-0". The same cross-check for the supply piping.</t>
  </si>
  <si>
    <t xml:space="preserve">A1 #1</t>
  </si>
  <si>
    <t xml:space="preserve">BLOCKING, excluded.HEADER, length, scope[0].chain[0], scope[1].chain[0], scope[1].chain[1]</t>
  </si>
  <si>
    <t xml:space="preserve">A02.01 geometria vectorial: faces lw1.20 en y=967.44 y y=974.76, separacion 7.32 pt = 4.88" contra los 4 7/8" del schedule de 3/A12.01.</t>
  </si>
  <si>
    <t xml:space="preserve">face[0].board_height, face[1].board_height</t>
  </si>
  <si>
    <t xml:space="preserve">A04.01: tag ACT-4 con dimension impresa 11'-6" junto al room tag CENTRAL ZONE 103, mas los 6" sobre el scheduled ceiling de 3/A12.01 = 12.00 ft</t>
  </si>
  <si>
    <t xml:space="preserve">stud_height</t>
  </si>
  <si>
    <t xml:space="preserve">S2.20: al norte del eje B el B.O.D.</t>
  </si>
  <si>
    <t xml:space="preserve">BOARD, SEALANT, STUD, TRACK_BOTTOM, TRACK_TOP, excluded.INSULATION, face[0].board_height, face[1].board_height, length, scope[0].chain[1], stud_height</t>
  </si>
  <si>
    <t xml:space="preserve">excluded.CLIPS</t>
  </si>
  <si>
    <t xml:space="preserve">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</si>
  <si>
    <t xml:space="preserve">BLOCKING, excluded.HEADER</t>
  </si>
  <si>
    <t xml:space="preserve">Sobre la face sur, Calling Cubes 122, el Millwork Schedule de A00.30 no pone ningun tag MW y el Fixture Plan no aterriza ningun accesorio.</t>
  </si>
  <si>
    <t xml:space="preserve">A1 #5</t>
  </si>
  <si>
    <t xml:space="preserve">BLOCKING, excluded.HEADER, length, scope[0].chain[0], scope[1].chain[0], scope[1].chain[1], stud_height</t>
  </si>
  <si>
    <t xml:space="preserve">A02.01 geometria vectorial: faces lw1.20 en y=1316.76 y y=1324.08, separacion 7.32 pt = 4.88".</t>
  </si>
  <si>
    <t xml:space="preserve">A04.01: tag ACT-5 con dimension impresa 8'-6", mas los 6" de 3/A12.01 = 9.00 ft</t>
  </si>
  <si>
    <t xml:space="preserve">S2.20: el wall esta en la bahia EN PENDIENTE.</t>
  </si>
  <si>
    <t xml:space="preserve">BOARD, SEALANT, STUD, TRACK_BOTTOM, TRACK_TOP, excluded.INSULATION, face[0].board_height, face[1].board_height, scope[0].chain[1], stud_height</t>
  </si>
  <si>
    <t xml:space="preserve">BLOCKING, excluded.HEADER, length</t>
  </si>
  <si>
    <t xml:space="preserve">El Door Schedule de A00.30 no lista ninguna door en este wall; las doors 122 y 118B que se ven al oeste estan en la banda perpendicular x=1234.44/1245.24 (thickness 7.20" = tipo A5), no en esta.</t>
  </si>
  <si>
    <t xml:space="preserve">A12.04</t>
  </si>
  <si>
    <t xml:space="preserve">Millwork details MW05, MW06, MW08. Our scope here is the blocking.</t>
  </si>
  <si>
    <t xml:space="preserve">Sheet note D de A12.04/A12.05 lo obliga.</t>
  </si>
  <si>
    <t xml:space="preserve">A12.06</t>
  </si>
  <si>
    <t xml:space="preserve">Millwork details MW13, MW21, MW18. Our scope here is the blocking.</t>
  </si>
  <si>
    <t xml:space="preserve">PLUS what hangs on the wall: Millwork Schedule de A00.30: MW21 BREAKROOM COUNTER, 'OPEN COUNTER W/ SUPPORTS', DEPTH 2'-0", detalles 5 y 6 de A12.06.</t>
  </si>
  <si>
    <t xml:space="preserve">A1 #9</t>
  </si>
  <si>
    <t xml:space="preserve">BLOCKING, HEADER, length, scope[0].chain[0], scope[1].chain[0], scope[1].chain[1], stud_height</t>
  </si>
  <si>
    <t xml:space="preserve">A02.01 geometria vectorial: faces lw1.20 en y=1488.12 y y=1495.44, separacion 7.32 pt = 4.88".</t>
  </si>
  <si>
    <t xml:space="preserve">A04.01: tag ACT-4 con dimension impresa 9'-0" junto al room tag CASH WINDOW 116 -el area FUTURE FCAM esta dentro de ese mismo cuarto-, mas los 6" de 3/A12.01 = 9.50 ft</t>
  </si>
  <si>
    <t xml:space="preserve">(a) DOOR 119, 3.33 LF: Door Schedule de A00.30, FROM CASH WINDOW, tipo A, hoja 3'-0" x 7'-0" x 1 3/4" WOOD, hollow metal frame, HEAD 10/A12.02 y JAMB 11/A12.02, columna SILL vacia, HARDWARE GROUP 12.</t>
  </si>
  <si>
    <t xml:space="preserve">Head track SENCILLO: 9/S5.20 OPNG IN NON-LOAD-BRG WALLS pone el doble solo @ OPNG &gt; 4'-0" y 2/S5.20 repite la condicional.</t>
  </si>
  <si>
    <t xml:space="preserve">6/S5.20</t>
  </si>
  <si>
    <t xml:space="preserve">"PENETRATION THRU STUDS". How the stud is reinforced where a duct passes through.</t>
  </si>
  <si>
    <t xml:space="preserve">HEADER, SILL_TRACK, openings[1].head, openings[1].sill, openings[2].head, openings[2].sill</t>
  </si>
  <si>
    <t xml:space="preserve">6/S5.20 limita el agujero del alma a 3 1/2" de diametro en stud de 6" y PROHIBE cortar las alas, asi que un ducto de 8" no pasa por el alma de un stud de 3 5/8": exige hueco framing.</t>
  </si>
  <si>
    <t xml:space="preserve">(a) WALL STOP de la door 119, 2.00 LF: el Door Schedule de A00.30 le da el HARDWARE GROUP 12, que incluye '1 EA WALL STOP WS407CCV 630 IVE', y la sheet note D de A00.30 dice textual 'PROVIDE BLOCKING AT EACH WALL STOP'; el plano no ubica el tope, asi que 2'-0" de FRTW.</t>
  </si>
  <si>
    <t xml:space="preserve">A12.05</t>
  </si>
  <si>
    <t xml:space="preserve">Millwork details MW07, MW11, MW12. Our scope here is the blocking.</t>
  </si>
  <si>
    <t xml:space="preserve">(b) MILLWORK MW12, 20.94 LF: Millwork Schedule de A00.30: MW12 TELLER WORKROOM, 'COUNTER OPEN BELOW AND 1'-3" DEEP OPEN UPPER CABINET', DEPTH 2'-0", detalles de A12.05.</t>
  </si>
  <si>
    <t xml:space="preserve">HEADER, excluded.PATCH, openings[1].ref, openings[2].ref</t>
  </si>
  <si>
    <t xml:space="preserve">M01.01 cruza este wall DOS veces, no una (hallado el 6-oct-2026 con el mapeo de ejes A02.01 -&gt; M01.01: dx +571.91 pt en 7 columnas, dy -21.84 pt en 6 renglones).</t>
  </si>
  <si>
    <t xml:space="preserve">A1 #6</t>
  </si>
  <si>
    <t xml:space="preserve">HEADER, length.source, scope[0].chain[0], scope[1].chain[0], scope[1].chain[1], stud_height</t>
  </si>
  <si>
    <t xml:space="preserve">A02.01: dimension impresa 5'-6" = 5.500 ft, con sus DOS ticks de 45 grados localizados en x=1522.9 y x=1622.2 -- que son exactamente los dos extremos de este wall, asi que la dimension es de ESTE tramo y no de uno vecino.</t>
  </si>
  <si>
    <t xml:space="preserve">Door 118A del Door Schedule de A00.30, hoja 3'-0", hollow metal frame, HEAD 10/A12.02 y JAMB 11/A12.02, columna SILL vacia.</t>
  </si>
  <si>
    <t xml:space="preserve">PLUS what hangs on the wall: Door Schedule de A00.30: la door 118A lleva HARDWARE GROUP 11B, que incluye WALL STOP.</t>
  </si>
  <si>
    <t xml:space="preserve">A1 #4</t>
  </si>
  <si>
    <t xml:space="preserve">HEADER, length.source, scope[0].chain[0], scope[1].chain[0], scope[1].chain[1]</t>
  </si>
  <si>
    <t xml:space="preserve">A02.01 printed dimension 5'-0" = 5.000 ft, with its TWO 45-degree ticks located at x=1133.9 and x=1223.9: those are exactly the two ends of this wall, so the dimension belongs to THIS run and not to a neighbouring one (two other dimension lines run alongside, the 7'-6" CLEAR FINISHED OPENING of the office front and th…</t>
  </si>
  <si>
    <t xml:space="preserve">BOARD, SEALANT, STUD, TRACK_BOTTOM, TRACK_TOP, excluded.INSULATION, face[0].board_height, face[1].board_height, length.source, scope[0].chain[1], stud_height</t>
  </si>
  <si>
    <t xml:space="preserve">Door 111 del Door Schedule de A00.30, hoja 3'-0", hollow metal frame, HEAD 10/A12.02 y JAMB 11/A12.02, columna SILL vacia.</t>
  </si>
  <si>
    <t xml:space="preserve">BLOCKING, HEADER, length.source</t>
  </si>
  <si>
    <t xml:space="preserve">of door 111 (3'-0" leaf from the A00.30 Door Schedule plus 2" of frame per jamb): bridged by the end-cap rule.</t>
  </si>
  <si>
    <t xml:space="preserve">A1 #2</t>
  </si>
  <si>
    <t xml:space="preserve">BLOCKING, excluded.HEADER, length.source, scope[0].chain[0], scope[1].chain[0], scope[1].chain[1]</t>
  </si>
  <si>
    <t xml:space="preserve">A02.01: dimension impresa 3'-1 1/2" con ticks en los dos extremos de la banda (y=974.76 y y=1031.04), medida FACE OF FINISH TO FACE OF FINISH segun la nota D de la hoja.</t>
  </si>
  <si>
    <t xml:space="preserve">PLUS what hangs on the wall: Millwork Schedule de A00.30: MW01 PRINTER CABINET, detalle A12.03.</t>
  </si>
  <si>
    <t xml:space="preserve">A12.03</t>
  </si>
  <si>
    <t xml:space="preserve">Millwork details MW01 (printer cabinet). Our scope here is the blocking.</t>
  </si>
  <si>
    <t xml:space="preserve">Sheet note D de A12.04 y A12.05, textual: 'PROVIDE FRTW BLOCKING AT ALL MILLWORK VERTICAL SURFACE CLEATS AND MOUNTING LOCATIONS'.</t>
  </si>
  <si>
    <t xml:space="preserve">A1 #3</t>
  </si>
  <si>
    <t xml:space="preserve">A02.01: dimension impresa 2'-7 1/2" con ticks en x=1223.88 y x=1271.16, medida FACE OF FINISH TO FACE OF FINISH segun la nota D.</t>
  </si>
  <si>
    <t xml:space="preserve">7/A12.04</t>
  </si>
  <si>
    <t xml:space="preserve">Shelf detail on A12.04 for MW06. The shelf support is blocking.</t>
  </si>
  <si>
    <t xml:space="preserve">El Millwork Schedule de A00.30 no da cleat lateral y 7/A12.04 pide blocking adicional solo donde la unidad se monta al wall.</t>
  </si>
  <si>
    <t xml:space="preserve">A1 #7</t>
  </si>
  <si>
    <t xml:space="preserve">A02.01 geometria vectorial: faces lw1.20 en x=1522.92 y x=1530.24, separacion 7.32 pt = 4.88".</t>
  </si>
  <si>
    <t xml:space="preserve">A04.01: tag ACT-5 con dimension impresa 8'-6" junto al room tag BREAK ROOM 118, mas los 6" de 3/A12.01 = 9.00 ft</t>
  </si>
  <si>
    <t xml:space="preserve">A02.01 no dibuja nada encima: ningun tag MW del Millwork Schedule de A00.30, ningun key note de blocking (ni el 5 de lockers ni el 7 del monitor) y ningun accesorio del Fixture Plan.</t>
  </si>
  <si>
    <t xml:space="preserve">A1K #11</t>
  </si>
  <si>
    <t xml:space="preserve">excluded.BLOCKING, length.source, scope[0].chain[0], scope[0].chain[1]</t>
  </si>
  <si>
    <t xml:space="preserve">A02.01 dimension impresa 3'-5" en la linea de dimension y=1169.64, con ticks de 45 grados verificados en x=1653.96 (face este del B2K) y x=1715.40 (extremo este del wall).</t>
  </si>
  <si>
    <t xml:space="preserve">face[0].board_height, face[1].board_height, scope[1].chain[1], stud_height</t>
  </si>
  <si>
    <t xml:space="preserve">S2.20 B.O.D.</t>
  </si>
  <si>
    <t xml:space="preserve">BOARD, BOARD_3-8, BRACING, CASING_BEAD, FASTENER_PWR_DRIVEN, PANEL_BALISTICO_3-8_UL752, SEALANT, STUD, TRACK_BOTTOM, TRACK_TOP, excluded.INSULATION, scope[0].chain[1], scope[1].chain[0]</t>
  </si>
  <si>
    <t xml:space="preserve">4/A12.01 PARTITION TYPE A1K &amp; A5K labels 5/8" GYP.</t>
  </si>
  <si>
    <t xml:space="preserve">BRACING</t>
  </si>
  <si>
    <t xml:space="preserve">1/S5.20 sub-detalle F "BRIDGING AND BRACING - CONTINUOUS BRIDGING" sets the 1 1/2" C.R.</t>
  </si>
  <si>
    <t xml:space="preserve">STUD, excluded.CLIPS</t>
  </si>
  <si>
    <t xml:space="preserve">MAX" de 4/A12.01 -- es mas grueso que el 33 mil de 7/S5.20 porque es wall balistico).</t>
  </si>
  <si>
    <t xml:space="preserve">Obra ground-up: sin Demolition Plan interior en el Drawing Index de A00.01 y la Construction Plan Legend rotula estas bandas como NEW PARTITION WITH KEVLAR REINFORCEMENT, o sea construccion nueva.</t>
  </si>
  <si>
    <t xml:space="preserve">A1K #12</t>
  </si>
  <si>
    <t xml:space="preserve">excluded.BLOCKING, scope[0].chain[0], scope[0].chain[1]</t>
  </si>
  <si>
    <t xml:space="preserve">A02.01 tag A1K con su leader aterrizando dentro de esta banda, y la banda con HATCH diagonal a 45 grados entre faces</t>
  </si>
  <si>
    <t xml:space="preserve">S2.20: del eje B (y=1246, 13'-0 5/8") al eje A (y=1700.5, 12'-6 3/8") con pendiente de 1/4" por pie.</t>
  </si>
  <si>
    <t xml:space="preserve">A1K #13</t>
  </si>
  <si>
    <t xml:space="preserve">S2.20 misma zona en pendiente: y=1359.2 -&gt; 13.052 - (1359.2-1246)/18 x 0.25/12 = 12.921 ft, menos el datum T/SLAB 0'-0" de la misma hoja: 12.921 - 0 = 12.921 ft.</t>
  </si>
  <si>
    <t xml:space="preserve">A5 #14</t>
  </si>
  <si>
    <t xml:space="preserve">excluded.HEADER, excluded.PATCH, length.source, stud_height</t>
  </si>
  <si>
    <t xml:space="preserve">A02.01 printed dimension 19'-0", with its ticks at y=974.8 and y=1316.8, which are the two ends of this wall.</t>
  </si>
  <si>
    <t xml:space="preserve">A04.01 ACT-5 at 8'-6" in Calling Cubes 122, plus the 6" that 3/A12.01 PARTITION TYPE A1 &amp; A5 labels between the top of the board and the scheduled ceiling: 8.500 + 0.500 = 9.000 ft.</t>
  </si>
  <si>
    <t xml:space="preserve">BLOCKING, BOARD, SEALANT, TRACK_BOTTOM, TRACK_TOP, excluded.INSULATION, face[0].board_height, face[1].board_height</t>
  </si>
  <si>
    <t xml:space="preserve">(1/S5.20 sub-detail F "BRIDGING AND BRACING - CONTINUOUS BRIDGING", welded to each stud; the spacing comes from 7/S5.20).</t>
  </si>
  <si>
    <t xml:space="preserve">4/S5.20 TYPICAL BLOCKING DETAIL, boxed note, textual: "PROVIDE BLOCKING AT THE EDGE OF GYPBOARD", with STUD BLOCKING 362CR22 (TYP.) and CLIP ANGLE 362CR22 (TYP.) &amp; BLOCKING W/ SCREWS (TYP.).</t>
  </si>
  <si>
    <t xml:space="preserve">BRACING, STUD, TRACK_BOTTOM, TRACK_TOP, excluded.CLIPS</t>
  </si>
  <si>
    <t xml:space="preserve">excluded.HEADER</t>
  </si>
  <si>
    <t xml:space="preserve">Run with no opening: the full run was walked by vector geometry on A02.01 and neither an end cap nor a jamb appears inside it, and the Door Schedule of A00.30 places no door on this band.</t>
  </si>
  <si>
    <t xml:space="preserve">A5 #15</t>
  </si>
  <si>
    <t xml:space="preserve">excluded.HEADER, excluded.PATCH, length, stud_height</t>
  </si>
  <si>
    <t xml:space="preserve">A02.01 vector geometry: faces lw 1.20 at x=1223.88 and x=1234.80 (measured thickness 10.92 pt = 7.28" against the 7 1/4" of the schedule of 3/A12.01 PARTITION TYPE A1 &amp; A5); run y=1031.0 to 1229.0 = 198.00 pt / 18 = 11.000 ft.</t>
  </si>
  <si>
    <t xml:space="preserve">S2.20 prints the ELEVATION B.O.D.</t>
  </si>
  <si>
    <t xml:space="preserve">BLOCKING, BOARD, SEALANT, TRACK_BOTTOM, TRACK_TOP, excluded.INSULATION, face[0].board_height, face[1].board_height, length</t>
  </si>
  <si>
    <t xml:space="preserve">A12.05 MILLWORK DETAILS - MW07 and the Millwork Schedule of A00.30 locate it; 4/S5.20 TYPICAL BLOCKING DETAIL defines the piece.</t>
  </si>
  <si>
    <t xml:space="preserve">A5 #16</t>
  </si>
  <si>
    <t xml:space="preserve">HEADER, excluded.PATCH, length, stud_height</t>
  </si>
  <si>
    <t xml:space="preserve">A02.01 vector geometry: the face pair is x=1234.44 / x=1245.24, 10.80 pt apart = 7.20" against the 7 1/4" of the schedule of 3/A12.01 PARTITION TYPE A1 &amp; A5.</t>
  </si>
  <si>
    <t xml:space="preserve">A04.01 ACT-4 at 8'-6" in Corridor 111, plus the 6" that 3/A12.01 PARTITION TYPE A1 &amp; A5 labels between the top of the board and the scheduled ceiling: 8.500 + 0.500 = 9.000 ft.</t>
  </si>
  <si>
    <t xml:space="preserve">HEADER, openings[0].head</t>
  </si>
  <si>
    <t xml:space="preserve">Head per 10/A12.02.</t>
  </si>
  <si>
    <t xml:space="preserve">HEADER, STUD</t>
  </si>
  <si>
    <t xml:space="preserve">Single HEAD TRACK: 9/S5.20 asks for the double only @ OPNG &gt; 4'-0" and this one is under it.</t>
  </si>
  <si>
    <t xml:space="preserve">Opening framing width of door 122, 3.33 ft measured end cap to end cap on A02.01 (the leaf is 3'-0" x 7'-0" per the Door Schedule of A00.30, so the R.O.</t>
  </si>
  <si>
    <t xml:space="preserve">A5 #17</t>
  </si>
  <si>
    <t xml:space="preserve">excluded.HEADER, excluded.PATCH, length</t>
  </si>
  <si>
    <t xml:space="preserve">A02.01 vector geometry: run y=1355.3 to 1422.1; face pair x=1622.16 / x=1633.08, measured thickness 7.28" against the 7 1/4" of the schedule of 3/A12.01 PARTITION TYPE A1 &amp; A5.</t>
  </si>
  <si>
    <t xml:space="preserve">A04.01 ACT-5 at 8'-6" in Break Room 118, plus the 6" that 3/A12.01 PARTITION TYPE A1 &amp; A5 labels between the top of the board and the scheduled ceiling: 8.500 + 0.500 = 9.000 ft.</t>
  </si>
  <si>
    <t xml:space="preserve">S2.20: the wall is in the SLOPED bay, south of grid B.</t>
  </si>
  <si>
    <t xml:space="preserve">B #23</t>
  </si>
  <si>
    <t xml:space="preserve">excluded.BLOCKING, excluded.PATCH, length, stud_height</t>
  </si>
  <si>
    <t xml:space="preserve">A02.01 vector geometry: faces lw&gt;=1.1 at x=1414.20 and x=1421.52 (thickness 7.32 pt = 4.880"); 3 drawn stretches bridged into one run of 14.15 ft.</t>
  </si>
  <si>
    <t xml:space="preserve">S2.20: the wall is in the SLOPED bay between grid B and grid A.</t>
  </si>
  <si>
    <t xml:space="preserve">BOARD, SEALANT, TRACK_BOTTOM, TRACK_TOP, excluded.INSULATION, face[0].board_height, face[1].board_height, face[2].board_height</t>
  </si>
  <si>
    <t xml:space="preserve">1/A12.01 PARTITION TYPE B &amp; B2: stud AND board run from the slab to the UNDERSIDE OF STRUCTURE on both faces, so the board height equals the stud height, 12.831 ft.</t>
  </si>
  <si>
    <t xml:space="preserve">HEADER, openings[0].head, openings[1].head</t>
  </si>
  <si>
    <t xml:space="preserve">Head per 10/A12.02 HEAD @ HOLLOW METAL FRAME, jamb per 11/A12.02, no sill (a door carries a header and NO sill).</t>
  </si>
  <si>
    <t xml:space="preserve">(1/S5.20 sub-detail F "BRIDGING AND BRACING - CONTINUOUS BRIDGING", welded to each stud; spacing from 7/S5.20).</t>
  </si>
  <si>
    <t xml:space="preserve">excluded.BLOCKING</t>
  </si>
  <si>
    <t xml:space="preserve">The free edge rule of 4/S5.20 adds none either: the board of this type runs to the top track, which is itself the support of its edge.</t>
  </si>
  <si>
    <t xml:space="preserve">BRACING, HEADER, STUD, TRACK_BOTTOM, TRACK_TOP, excluded.CLIPS</t>
  </si>
  <si>
    <t xml:space="preserve">SINGLE head track: the HEADER SCHEDULE of 7/S5.20 for non-load-bearing interior gives single track 18 ga at 3'-4", and 9/S5.20 asks for the double only @ OPNG &gt; 4'-0".</t>
  </si>
  <si>
    <t xml:space="preserve">HEADER, excluded.BLOCKING</t>
  </si>
  <si>
    <t xml:space="preserve">door 120, 3.33 LF of framed opening (leaf 3'-0" x 7'-0" per the Door Schedule of A00.30); door 121, 3.33 LF of framed opening (leaf 3'-0" x 7'-0" per the Door Schedule of A00.30).</t>
  </si>
  <si>
    <t xml:space="preserve">B #20</t>
  </si>
  <si>
    <t xml:space="preserve">A02.01 vector geometry: faces at y=1507.68 and y=1515.00, 7.32 pt apart = 4.88" against the 4 7/8" of the B row of the schedule (self-check (a) OK).</t>
  </si>
  <si>
    <t xml:space="preserve">BOARD, SEALANT, TRACK_BOTTOM, TRACK_TOP, excluded.INSULATION, face[0].board_height, face[1].board_height</t>
  </si>
  <si>
    <t xml:space="preserve">1/A12.01 PARTITION TYPE B &amp; B2: stud AND board run from the slab to the UNDERSIDE OF STRUCTURE on both faces, so the board height equals the stud height, 12.748 ft.</t>
  </si>
  <si>
    <t xml:space="preserve">door 112, 3.00 LF of framed opening (leaf 3'-0" x 7'-0" per the Door Schedule of A00.30).</t>
  </si>
  <si>
    <t xml:space="preserve">B #21</t>
  </si>
  <si>
    <t xml:space="preserve">excluded.BLOCKING, excluded.HEADER, excluded.PATCH, length, stud_height</t>
  </si>
  <si>
    <t xml:space="preserve">A02.01 vector geometry: faces lw&gt;=1.1 at y=1578.84 and y=1586.16 (thickness 7.32 pt = 4.880"); run x=911.88 to x=1123.08 = 211.20 pt / 18 = 11.733 ft.</t>
  </si>
  <si>
    <t xml:space="preserve">1/A12.01 PARTITION TYPE B &amp; B2: stud AND board run from the slab to the UNDERSIDE OF STRUCTURE on both faces, so the board height equals the stud height, 12.666 ft.</t>
  </si>
  <si>
    <t xml:space="preserve">excluded.BLOCKING, excluded.HEADER</t>
  </si>
  <si>
    <t xml:space="preserve">Key notes 5, 6 and 7 of A02.01, the Fixture Plan and the Millwork Schedule of A00.30 were reviewed: no fixture, millwork or accessory lands on this run.</t>
  </si>
  <si>
    <t xml:space="preserve">B #18</t>
  </si>
  <si>
    <t xml:space="preserve">A02.01 vector geometry: faces lw&gt;=1.1 at y=1438.80 and y=1446.12 (thickness 7.32 pt = 4.880" against the 4 7/8" of 1/A12.01 PARTITION TYPE B &amp; B2); run x=1241.76 to x=1421.52 = 179.76 pt / 18 = 9.987 ft.</t>
  </si>
  <si>
    <t xml:space="preserve">PLYWOOD_FRT</t>
  </si>
  <si>
    <t xml:space="preserve">2/A11.03 ELECTRICAL ELEVATION, 1/2"=1'-0", labels "3/4" FRT PLYWOOD" with a leader to the hatched field and prints its 8.00 ft height.</t>
  </si>
  <si>
    <t xml:space="preserve">Width 9.540 ft MEASURED on that elevation box (343.44 pt / 36), which is what assigns this elevation to THIS wall and not to the other one of the room: the three ELECTRICAL ELEVATIONS of A11.03 measure 9.540 (2/A11.03), 5.833 (3/A11.03) and 9.517 ft (4/A11.03), and the bubbles do NOT run left to right.</t>
  </si>
  <si>
    <t xml:space="preserve">BOARD, SEALANT, TRACK_BOTTOM, TRACK_TOP, excluded.INSULATION, face[0].board_height, face[1].board_height, length</t>
  </si>
  <si>
    <t xml:space="preserve">1/A12.01 PARTITION TYPE B &amp; B2: stud AND board run from the slab to the UNDERSIDE OF STRUCTURE on both faces, so the board height equals the stud height, 12.827 ft.</t>
  </si>
  <si>
    <t xml:space="preserve">B #22</t>
  </si>
  <si>
    <t xml:space="preserve">A02.01 vector geometry: faces lw&gt;=1.1 at y=1551.12 and y=1558.44 (thickness 7.32 pt = 4.880"); run x=1241.76 to x=1414.20 = 172.44 pt / 18 = 9.580 ft.</t>
  </si>
  <si>
    <t xml:space="preserve">Width 9.520 ft MEASURED on that elevation box (342.72 pt / 36), which is what assigns this elevation to THIS wall and not to the other one of the room: the three ELECTRICAL ELEVATIONS of A11.03 measure 9.540 (2/A11.03), 5.833 (3/A11.03) and 9.517 ft (4/A11.03), and the bubbles do NOT run left to right.</t>
  </si>
  <si>
    <t xml:space="preserve">4/A11.03 ELECTRICAL ELEVATION, 1/2"=1'-0", labels "3/4" FRT PLYWOOD" with a leader to the hatched field and prints its 8.00 ft height.</t>
  </si>
  <si>
    <t xml:space="preserve">1/A12.01 PARTITION TYPE B &amp; B2: stud AND board run from the slab to the UNDERSIDE OF STRUCTURE on both faces, so the board height equals the stud height, 12.698 ft.</t>
  </si>
  <si>
    <t xml:space="preserve">B #19</t>
  </si>
  <si>
    <t xml:space="preserve">A02.01 vector geometry: faces lw&gt;=1.1 at x=1064.88 and x=1072.20 (thickness 7.32 pt = 4.880"); run y=1515.84 to y=1578.84 = 63.00 pt / 18 = 3.500 ft.</t>
  </si>
  <si>
    <t xml:space="preserve">1/A12.01 PARTITION TYPE B &amp; B2: stud AND board run from the slab to the UNDERSIDE OF STRUCTURE on both faces, so the board height equals the stud height, 12.743 ft.</t>
  </si>
  <si>
    <t xml:space="preserve">A00.30 Millwork Schedule locates them and 4/S5.20 TYPICAL BLOCKING DETAIL defines the piece.</t>
  </si>
  <si>
    <t xml:space="preserve">OPENING_DUCT</t>
  </si>
  <si>
    <t xml:space="preserve">It does carry header and sill blocking because 6/S5.20 PENETRATION THRU STUDS forbids cutting the flanges.</t>
  </si>
  <si>
    <t xml:space="preserve">1 framed opening for duct S-1B 8"x8" (195 CFM) crossing this wall on M01.01.</t>
  </si>
  <si>
    <t xml:space="preserve">B2 #27</t>
  </si>
  <si>
    <t xml:space="preserve">excluded.PATCH, length, scope[1].chain[0], scope[1].chain[1]</t>
  </si>
  <si>
    <t xml:space="preserve">geometria vectorial A02.01 entre dos puntos que SI estan acotados: y=1409.28 es tick de la linea de dimension x=1153.92 (ultimo tramo 1386.84-&gt;1409.28 = 1'-3") y y=1693.44 es tick de las lineas x=869.76, x=1277.76 y x=1887.24 (face del wall exterior sur).</t>
  </si>
  <si>
    <t xml:space="preserve">B/A08.01</t>
  </si>
  <si>
    <t xml:space="preserve">Restroom elevation B on A08.01. Extent of FRP on that face.</t>
  </si>
  <si>
    <t xml:space="preserve">FRP</t>
  </si>
  <si>
    <t xml:space="preserve">B/A08.01 rotula 5'-0" TO TOP OF FRP.</t>
  </si>
  <si>
    <t xml:space="preserve">S2.20: zona entre eje B y eje A, B.O.D.</t>
  </si>
  <si>
    <t xml:space="preserve">BOARD, CEMENT_BOARD, SEALANT, STUD, TRACK_BOTTOM, TRACK_TOP, excluded.INSULATION, face[0].board_height, face[1].board_height, face[2].board_height, face[3].board_height</t>
  </si>
  <si>
    <t xml:space="preserve">1/A12.01 PARTITION TYPE B, B2: el board sube a la UNDERSIDE OF STRUCTURE en las DOS faces, con CONT ACOUS SEALANT arriba y abajo.</t>
  </si>
  <si>
    <t xml:space="preserve">face[0].board_height, face[1].board_height, face[2].board_height, face[3].board_height</t>
  </si>
  <si>
    <t xml:space="preserve">No hay dimension de 6" sobre ceiling como en 3/A12.01 (A1 &amp; A5).</t>
  </si>
  <si>
    <t xml:space="preserve">9/A00.41</t>
  </si>
  <si>
    <t xml:space="preserve">NOT a citation of mine: it is the drawing's own verbatim reference. Construction Key Note 1 on A02.01 reads "TACTILE EXIT SIGNAGE. SEE 9/A00.41". It enters the chain because the scope text transcribes it.</t>
  </si>
  <si>
    <t xml:space="preserve">scope[1].chain[1]</t>
  </si>
  <si>
    <t xml:space="preserve">SEE 9/A00.41' — leader a y=1668.36.</t>
  </si>
  <si>
    <t xml:space="preserve">Opening</t>
  </si>
  <si>
    <t xml:space="preserve">openings[0].head, openings[1].head, openings[2].head</t>
  </si>
  <si>
    <t xml:space="preserve">10/A12.02 (JAMB 11/A12.02; columna SILL = '--' en A00.30)</t>
  </si>
  <si>
    <t xml:space="preserve">1/S5.20 sub-detalle F BRIDGING AND BRACING - CONTINUOUS BRIDGING sets the 1 1/2 in C.R.</t>
  </si>
  <si>
    <t xml:space="preserve">The piece is defined by 4/S5.20 TYPICAL BLOCKING DETAIL, which labels STUD BLOCKING 362CR22 and CLIP ANGLE: 362CR22 &amp; BLOCKING W/ SCREWS.</t>
  </si>
  <si>
    <t xml:space="preserve">Cada uno lleva blocking de header y sill del hueco porque 6/S5.20 limita la penetracion del alma y prohibe cortar las alas.</t>
  </si>
  <si>
    <t xml:space="preserve">Metal Stud Schedule de 7/S5.20 METAL STUDS SCHEDULES: solo hay dos renglones de stud, 362S137-33 (3 5/8", APPLICATION INTERIOR WALLS @ 16" O.C.) y 600S137-33 (6", APPLICATION EXTERIOR WALLS @ 16" O.C.).</t>
  </si>
  <si>
    <t xml:space="preserve">The opening frame comes from 9/S5.20 OPNG IN NON-LOAD-BRG WALLS, que rotula HEAD TRACK (DOUBLE TRACK @ OPNG &gt; 4 ft) y DBL JAMB STUD.</t>
  </si>
  <si>
    <t xml:space="preserve">BLOCKING, HEADER, openings[0].head, openings[1].head, openings[2].head, scope[0].chain[2]</t>
  </si>
  <si>
    <t xml:space="preserve">3 wall stops x 2'-0": door 113 HDW 08, door 117 HDW 10 y door 115 HDW 16; los tres grupos de A00.30 listan '1 EA WALL STOP WS407CCV 630 IVE'.</t>
  </si>
  <si>
    <t xml:space="preserve">scope[0].chain[0]</t>
  </si>
  <si>
    <t xml:space="preserve">Cruce MEP verificado por geometria vectorial con el registro de hojas derivado del FONDO ARQUITECTONICO (no de las burbujas de eje): M01.01 +571.92/-21.84, P01.01 -808.69/+1030.43, P01.02 -808.63/+1030.44, E02.01 +716.40/-141.36.</t>
  </si>
  <si>
    <t xml:space="preserve">OPENING_DUCT, scope[0].afirmacion, scope[0].chain[0], scope[0].chain[1]</t>
  </si>
  <si>
    <t xml:space="preserve">3 ductos de M01.01 cruzan esta banda, todos de 12.00 pt = 8.00" de width en planta: (a) 8"x8" S-1B 195 CFM en y 1530.36-1542.36, sobre el head de la door 117; (b) ducto de 8" en y 1610.04-1622.04, sobre wall solido; (c) 8" diam.</t>
  </si>
  <si>
    <t xml:space="preserve">B2 #28</t>
  </si>
  <si>
    <t xml:space="preserve">BLOCKING, excluded.PATCH, length, scope[0].chain[2]</t>
  </si>
  <si>
    <t xml:space="preserve">geometria vectorial A02.01: faces x=1622.16 y x=1633.08, thickness 10.92 pt = 7.28" contra 7 1/4" del schedule.</t>
  </si>
  <si>
    <t xml:space="preserve">BOARD, SEALANT, STUD, TRACK_BOTTOM, TRACK_TOP, excluded.INSULATION, face[0].board_height, face[1].board_height, face[2].board_height</t>
  </si>
  <si>
    <t xml:space="preserve">face[0].board_height, face[1].board_height, face[2].board_height</t>
  </si>
  <si>
    <t xml:space="preserve">scope[0].chain[1]</t>
  </si>
  <si>
    <t xml:space="preserve">11/A12.04 SECTION @ SHELVING OVERHEAD, textual: 'PROVIDE ADDITIONAL BLOCKING IN PARTITION AND MOUNT SHELVING UNIT TO STUDS AND BLOCKING ONLY'; y 7/A12.04 SECTION @ ADJ.</t>
  </si>
  <si>
    <t xml:space="preserve">10/A12.04</t>
  </si>
  <si>
    <t xml:space="preserve">"MW08 ELEVATION". Height and width of MW08: blocking band.</t>
  </si>
  <si>
    <t xml:space="preserve">BLOCKING, scope[0].chain[2]</t>
  </si>
  <si>
    <t xml:space="preserve">(a) 1 wall stop de la door 116 (HDW 11, '1 EA WALL STOP WS407CCV') x 2'-0" = 2.00; (b) MW08 contra la face Break Room 118: run de base cabinets de 7'-7" (cadena de 10/A12.04 MW08 ELEVATION 1'-4" + 2'-5" + 3'-0" + 10" = 91"; la planta de A02.01 da y 1506.00-1642.44 = 136.44 pt = 7.583 ft, mismo numero) x 1 run de rail…</t>
  </si>
  <si>
    <t xml:space="preserve">11/A12.04</t>
  </si>
  <si>
    <t xml:space="preserve">"SECTION @ SHELVING OVERHEAD" at 1 1/2"=1'-0". The section that proves the shelf hangs off the wall and needs blocking inside the partition.</t>
  </si>
  <si>
    <t xml:space="preserve">9/A12.05</t>
  </si>
  <si>
    <t xml:space="preserve">"MW12 PLAN". Length of MW12 in plan: blocking band.</t>
  </si>
  <si>
    <t xml:space="preserve">door 116 (3'-0" x 7'-0", A00.30, FROM ROOM BREAK ROOM), R.O.</t>
  </si>
  <si>
    <t xml:space="preserve">A12.04, A12.05 y A12.06 sheet note D, textual e identica en las tres: 'PROVIDE FRTW BLOCKING AT ALL MILLWORK VERTICAL SURFACE CLEATS AND MOUNTING LOCATIONS'</t>
  </si>
  <si>
    <t xml:space="preserve">scope[1].chain[0], scope[1].chain[1]</t>
  </si>
  <si>
    <t xml:space="preserve">B2 #25</t>
  </si>
  <si>
    <t xml:space="preserve">excluded.BLOCKING, excluded.PATCH, length.source, scope[0].chain[0], scope[0].chain[1], scope[1].chain[1]</t>
  </si>
  <si>
    <t xml:space="preserve">A02.01, dimension impresa 5'-8" en la linea de dimension vertical x=1169.76, ticks en y=728.88 y y=830.76; la misma linea encadena 1'-0" arriba (710.88-&gt;728.88)</t>
  </si>
  <si>
    <t xml:space="preserve">S2.20: la zona al norte del eje B lleva B.O.D.</t>
  </si>
  <si>
    <t xml:space="preserve">BOARD, SEALANT, STUD, TRACK_TOP, excluded.INSULATION, face[0].board_height, face[1].board_height</t>
  </si>
  <si>
    <t xml:space="preserve">HEAD 10/A12.02 segun A00.30</t>
  </si>
  <si>
    <t xml:space="preserve">openings[0].head</t>
  </si>
  <si>
    <t xml:space="preserve">10/A12.02 (JAMB 11/A12.02; columna SILL = '--')</t>
  </si>
  <si>
    <t xml:space="preserve">(1/S5.20 sub-detalle F).</t>
  </si>
  <si>
    <t xml:space="preserve">Perfil: Metal Stud Schedule de 7/S5.20 METAL STUDS SCHEDULES: solo hay dos renglones de stud, 362S137-33 (3 5/8", APPLICATION INTERIOR WALLS @ 16" O.C.) y 600S137-33 (6", APPLICATION EXTERIOR WALLS @ 16" O.C.).</t>
  </si>
  <si>
    <t xml:space="preserve">campo = floor(5.667 ft x12 / 16") + 1 = 5; mas 4 jamb studs de la door 102 (9/S5.20 DBL JAMB STUD) = 9 pz.</t>
  </si>
  <si>
    <t xml:space="preserve">HEADER, excluded.BLOCKING, scope[0].chain[2]</t>
  </si>
  <si>
    <t xml:space="preserve">B2 #26</t>
  </si>
  <si>
    <t xml:space="preserve">excluded.PATCH, length, scope[0].chain[2], scope[1].chain[1]</t>
  </si>
  <si>
    <t xml:space="preserve">geometria vectorial A02.01: faces en x=1123.08 (lw 0.60) y x=1133.88 (lw 1.20), thickness 10.80 pt = 7.20" contra 7 1/4" del schedule; run y=1303.20 (end cap en 1299.48-1303.20) a y=1335.96 (quiebre a un wall A1 de 4 7/8") = 32.76 pt / 18 = 1.82 ft</t>
  </si>
  <si>
    <t xml:space="preserve">2/A08.01</t>
  </si>
  <si>
    <t xml:space="preserve">"ENLARGED RESTROOM FINISH PLAN". The finish of each restroom face.</t>
  </si>
  <si>
    <t xml:space="preserve">2/A08.01 ENLARGED RESTROOM FINISH PLAN (girada 180 grados respecto de A02.01, verificado con tres rasgos: doors, bebederos y inodoros): en la wall de la door solo caen el key note 3 (restroom signage provided by B&amp;N and installed by GC) y el key note 6 (outside cove base corner tile).</t>
  </si>
  <si>
    <t xml:space="preserve">CEMENT_BOARD, FRP, scope[0].chain[1], scope[1].chain[2]</t>
  </si>
  <si>
    <t xml:space="preserve">La banda sale de B/A08.01 RESTROOM ELEVATION B; A08.01 no lo dibuja, la diferencia queda anotada en Clarifications</t>
  </si>
  <si>
    <t xml:space="preserve">BOARD, CEMENT_BOARD, SEALANT, STUD, TRACK_BOTTOM, TRACK_TOP, excluded.INSULATION, face[0].board_height, face[1].board_height</t>
  </si>
  <si>
    <t xml:space="preserve">The frame comes from 9/S5.20 OPNG IN NON-LOAD-BRG WALLS, que rotula HEAD TRACK y DBL JAMB STUD</t>
  </si>
  <si>
    <t xml:space="preserve">08 de A00.30 lista '1 EA WALL STOP WS407CCV 630 IVE'.</t>
  </si>
  <si>
    <t xml:space="preserve">B2K #31</t>
  </si>
  <si>
    <t xml:space="preserve">excluded.BLOCKING, excluded.HEADER, excluded.PATCH, length, scope[0].chain[1], scope[0].chain[2], scope[1].chain[1], scope[2].chain[1], stud_height</t>
  </si>
  <si>
    <t xml:space="preserve">A02.01 vector geometry: the two faces are at y=1106.52 and y=1118.04 (lw 1.20), a measured thickness of 11.52 pt = 7.68" against the 7 5/8" derived for this type.</t>
  </si>
  <si>
    <t xml:space="preserve">face[0].board_height, face[1].board_height, stud_height</t>
  </si>
  <si>
    <t xml:space="preserve">elevation of S2.20 minus the T/SLAB datum; 4/A12.01 PARTITION TYPE A1K &amp; A5K gives the RULE (to underside of structure), not the number.</t>
  </si>
  <si>
    <t xml:space="preserve">BOARD, BOARD_3_8, FIBERGLASS_UL752, SEALANT, STUD, TRACK_BOTTOM, TRACK_TOP, TRIM_CASING, excluded.INSULATION, face[0].board_height, face[1].board_height, scope[0].chain[0], scope[0].chain[1], scope[1].chain[0]</t>
  </si>
  <si>
    <t xml:space="preserve">4/A12.01 PARTITION TYPE A1K &amp; A5K: board runs to the UNDERSIDE OF STRUCTURE ABOVE with CONTINUOUS SLIP TRACK and CONTINUOUS ACOUSTICAL SEALANT top and bottom, so board height = stud height.</t>
  </si>
  <si>
    <t xml:space="preserve">1/S5.20 sub-detail F "BRIDGING AND BRACING - CONTINUOUS BRIDGING" sets the 1 1/2" C.R.</t>
  </si>
  <si>
    <t xml:space="preserve">And the free edge rule of 4/S5.20 does not apply either: both faces run to the top track, which is itself the support of the board edge, so there is no free edge of gypboard here.</t>
  </si>
  <si>
    <t xml:space="preserve">5/S5.20</t>
  </si>
  <si>
    <t xml:space="preserve">"TYPICAL WALL FRAMING CONNX", NTS. OPENED 10-oct-2026, the first of the unswept details to be read. Three sub-details: WALL INTERSECTION FRAMING, INTERIOR CORNER FRAMING and EXTERIOR CORNER FRAMING. What it settles: at an intersection the TWO extra studs go in the THROUGH wall, and the wall that dies against it screws to them with 3/4"-#10 PAN HEAD TEK SCREW @ 24" O.C. (TYP.) without carrying a stud of its own for that end. It governs the interior partitions because the corner and intersection sub-details of 1/S5.20 are labelled LOAD-BEARING WALL and ours are non-load-bearing. It is the source of the rule in adenda v43 and of verif_studs_adicionales.</t>
  </si>
  <si>
    <t xml:space="preserve">5/S5.20 WALL INTERSECTION FRAMING only puts the two extra studs in the THROUGH wall, so an end that dies against another partition takes none -- this one is a free end, and it does.</t>
  </si>
  <si>
    <t xml:space="preserve">CHANNEL welded to every stud; the spacing comes from 7/S5.20.</t>
  </si>
  <si>
    <t xml:space="preserve">The 1.26 ft run where both faces coexist (x=1631.28 to x=1653.96 on A02.01) is continuous: no gap and no intermediate jamb in the geometry, and the Door Schedule of A00.30 places no door on this band.</t>
  </si>
  <si>
    <t xml:space="preserve">scope[2].chain[0], scope[2].chain[1]</t>
  </si>
  <si>
    <t xml:space="preserve">Crossing verified geometrically with the register derived from the architectural background: M01.01 +571.92/-21.84, P01.01 -808.69/+1030.43, P01.02 -808.63/+1030.44, E02.01 +716.40/-141.36.</t>
  </si>
  <si>
    <t xml:space="preserve">BULKHEAD-G #54</t>
  </si>
  <si>
    <t xml:space="preserve">length, scope[0].chain[1]</t>
  </si>
  <si>
    <t xml:space="preserve">A02.01 dimension impresa "7'-6" HOLD CLEAR FINISHED OPENING" en cada opening, verificada en planta: cada opening mide 135.00 pt / 18 = 7.500 ft clavado.</t>
  </si>
  <si>
    <t xml:space="preserve">15.375 ft (S2.20, NO SLOPE) menos el tope del office front 8.042 ft (7/A11.01 "8'-0 1/2" HOLD.</t>
  </si>
  <si>
    <t xml:space="preserve">7/A11.01</t>
  </si>
  <si>
    <t xml:space="preserve">"CENTRAL ZONE - EAST". What hangs on that face and its finish height.</t>
  </si>
  <si>
    <t xml:space="preserve">face[0].board_height, face[1].board_height, scope[1].chain[0], stud_height</t>
  </si>
  <si>
    <t xml:space="preserve">9/A12.01</t>
  </si>
  <si>
    <t xml:space="preserve">Bulkhead detail on A12.01. Bulkhead framing: stud, board and closure.</t>
  </si>
  <si>
    <t xml:space="preserve">BLOCKING, BOARD, BOX_BEAM, BRACING, CORNER_BEAD, SEALANT, SHADOW_MOLDING, TRACK_BOTTOM, TRACK_TOP, excluded.HEADER, excluded.INSULATION, scope[0].chain[0]</t>
  </si>
  <si>
    <t xml:space="preserve">Medido en 9/A12.01 y 462.72-&gt;476.16 = 13.44 pt = 0.747" = 3/4" exacto</t>
  </si>
  <si>
    <t xml:space="preserve">El espaciamiento sale de 1/S5.20 sub-detalle F BRIDGING AND BRACING - CONTINUOUS BRIDGING; el stud del bulkhead es el de 9/A12.01 OFFICE BULKHEAD DETAIL @ GLASS PANEL.</t>
  </si>
  <si>
    <t xml:space="preserve">de 7/S5.20 columna APPLICATION "INTERIOR WALLS @ 16" O.C.".</t>
  </si>
  <si>
    <t xml:space="preserve">Obra ground-up: el Drawing Index de A00.01 no trae Demolition Plan interior, asi que no hay superficie existente que parchear sobre estos office fronts.</t>
  </si>
  <si>
    <t xml:space="preserve">BULKHEAD-G #55</t>
  </si>
  <si>
    <t xml:space="preserve">C1 #36</t>
  </si>
  <si>
    <t xml:space="preserve">BLOCKING, excluded.PATCH, length</t>
  </si>
  <si>
    <t xml:space="preserve">A02.01, printed dimension 10'-0" with its tick marks landing on the two ends of the C1 box (the thin rectangle that carries the C1 tag and key note 7, north of Calling Cubes 122), PLUS the printed dimension 8" that A02.01 puts on the return at the east end of that same box.</t>
  </si>
  <si>
    <t xml:space="preserve">face[0].board_height, stud_height</t>
  </si>
  <si>
    <t xml:space="preserve">A04.01: ceiling of Central Zone 103, printed dimension on the RCP; the board of the furring runs to it.</t>
  </si>
  <si>
    <t xml:space="preserve">2/A12.01</t>
  </si>
  <si>
    <t xml:space="preserve">"PARTITION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</si>
  <si>
    <t xml:space="preserve">excluded.BOARD</t>
  </si>
  <si>
    <t xml:space="preserve">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</si>
  <si>
    <t xml:space="preserve">6/A12.01</t>
  </si>
  <si>
    <t xml:space="preserve">"PARTITION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</si>
  <si>
    <t xml:space="preserve">BOARD, TRACK_TOP, excluded.BOARD, excluded.HEADER, excluded.INSULATION, excluded.SEALANT, length, stud_height</t>
  </si>
  <si>
    <t xml:space="preserve">Backing detail: 6/A12.01 PARTITION TYPE C1.</t>
  </si>
  <si>
    <t xml:space="preserve">12/A12.01</t>
  </si>
  <si>
    <t xml:space="preserve">"PARTITION TYPE F". Stud and board of type F.</t>
  </si>
  <si>
    <t xml:space="preserve">9/A12.02</t>
  </si>
  <si>
    <t xml:space="preserve">"ELECTRICAL CABLES. CHIEF LSTU FIXED WALL DISPLAY SAMSUNG". The mount of the 85" display: it is what the blocking has to carry, and it is by others. Cited together with 13/A12.02 for the monitor blocking.</t>
  </si>
  <si>
    <t xml:space="preserve">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</si>
  <si>
    <t xml:space="preserve">13/A12.02</t>
  </si>
  <si>
    <t xml:space="preserve">"ENLARGED ELEVATION @ 85" MONITOR - MEDIA" at 1/2"=1'-0". It draws the 85" display and its height on the wall, which is what locates the 3/4" FRT plywood blocking that key note 7 of A02.01 asks for. NOTE: there is no detail 7 on A12.02 -- the sheet runs 1 to 6 and 9 to 16. A citation "7/A12.02" is key note 7 of A02.01 confused with a detail number, and the citation gate caught it on 10-oct-2026.</t>
  </si>
  <si>
    <t xml:space="preserve">(1/S5.20 sub-detail F).</t>
  </si>
  <si>
    <t xml:space="preserve">4/S5.20 defines the piece.</t>
  </si>
  <si>
    <t xml:space="preserve">STUD, TRACK_BOTTOM, excluded.CLIPS</t>
  </si>
  <si>
    <t xml:space="preserve">Stud 362S137-33 from the 3 5/8" row of 7/S5.20, APPLICATION "INTERIOR WALLS @ 16" O.C.".</t>
  </si>
  <si>
    <t xml:space="preserve">Furring with no opening: 6/A12.01 PARTITION TYPE C1 draws a continuous run of stud against the structure and the Door Schedule of A00.30 places no door on it.</t>
  </si>
  <si>
    <t xml:space="preserve">C1 #37</t>
  </si>
  <si>
    <t xml:space="preserve">STUD, excluded.PATCH, length</t>
  </si>
  <si>
    <t xml:space="preserve">A02.01 vector geometry: faces y=1356.36 and y=1362.72 (6.36 pt apart = 4.24", the furring of 6/A12.01 PARTITION TYPE C1); continuous stretch where BOTH faces exist, x=911.88 to x=1012.68 = 100.80 pt / 18 = 5.600 ft.</t>
  </si>
  <si>
    <t xml:space="preserve">A04.01: ceiling of Women's Restroom 114, printed dimension on the RCP; the board of the furring runs to it.</t>
  </si>
  <si>
    <t xml:space="preserve">Enlarged Restroom Floor Plan and Finish Plan (1 and 2/A08.01) at 1/2"=1'-0". The restroom faces: extent of FRP and of tile, and the sheet note on blocking.</t>
  </si>
  <si>
    <t xml:space="preserve">Sheet note E of A08.01, textual: "CONTRACTOR TO PROVIDE FRT BLOCKING IN WALLS FOR ALL TOILET ROOM ACCESSORIES AND FIXTURES." Face of Women's Restroom 114 with its water closet.</t>
  </si>
  <si>
    <t xml:space="preserve">BRACING, STUD, excluded.CLIPS</t>
  </si>
  <si>
    <t xml:space="preserve">1 horizontal run of FRTW the length of the furring = 5.60 LF; 4/S5.20 defines the piece.</t>
  </si>
  <si>
    <t xml:space="preserve">8/S5.20</t>
  </si>
  <si>
    <t xml:space="preserve">"MECH.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</si>
  <si>
    <t xml:space="preserve">Required by 8/S5.20 MECH.</t>
  </si>
  <si>
    <t xml:space="preserve">C1 #39</t>
  </si>
  <si>
    <t xml:space="preserve">A02.01 vector geometry: faces y=1382.16 and y=1388.52 (6.36 pt = 4.24"), same stretch x=911.88 to x=1012.68 = 5.600 ft.</t>
  </si>
  <si>
    <t xml:space="preserve">A04.01: ceiling of Men's Restroom 113, printed dimension on the RCP; the board of the furring runs to it.</t>
  </si>
  <si>
    <t xml:space="preserve">Same sheet note E of A08.01.</t>
  </si>
  <si>
    <t xml:space="preserve">BOARD, TRACK_TOP, excluded.BOARD, excluded.HEADER, excluded.INSULATION, excluded.SEALANT, stud_height</t>
  </si>
  <si>
    <t xml:space="preserve">6/A12.01 PARTITION TYPE C1 does not dimension how high the furring goes, so it is taken to the ceiling of the room it faces, the printed dimension of the RCP: 9.000 ft.</t>
  </si>
  <si>
    <t xml:space="preserve">C1 #32</t>
  </si>
  <si>
    <t xml:space="preserve">A02.01: the C1 tag does not land on a running wall but inside a CLOSED BOX of wall lineweight.</t>
  </si>
  <si>
    <t xml:space="preserve">A04.01: ceiling of Vestibule 100, printed dimension on the RCP.</t>
  </si>
  <si>
    <t xml:space="preserve">BOARD, TRACK_TOP, TRIM_CASING, excluded.BOARD, excluded.HEADER, excluded.INSULATION, excluded.SEALANT, length</t>
  </si>
  <si>
    <t xml:space="preserve">Each of the four sides of the box was checked for a parallel face 6.36 pt inwards (= 4.24", the furring of 6/A12.01 PARTITION TYPE C1): only the EXPOSED sides have it, the ones dying against another wall do not.</t>
  </si>
  <si>
    <t xml:space="preserve">Sheet general note C of A02.01, textual: "CONTRACTOR SHALL PROVIDE BLOCKING FOR ALL EQUIPMENT AND ACCESSORIES MOUNTED ON WALLS." A02.01 shows the push button and the card reader mounted on this pilaster, and 4/S5.20 TYPICAL BLOCKING DETAIL defines the piece: 1 horizontal run of 4.00 LF at the mounting height.</t>
  </si>
  <si>
    <t xml:space="preserve">C1 #33</t>
  </si>
  <si>
    <t xml:space="preserve">excluded.BLOCKING, excluded.PATCH, length</t>
  </si>
  <si>
    <t xml:space="preserve">4/S5.20 adds none either, because the board of the enclosure dies into the ceiling and leaves no free edge.</t>
  </si>
  <si>
    <t xml:space="preserve">C1 #38</t>
  </si>
  <si>
    <t xml:space="preserve">A02.01 vector geometry: faces y=1356.72 and y=1363.08 (6.36 pt = 4.24").</t>
  </si>
  <si>
    <t xml:space="preserve">A04.01: ceiling of Cash Window 116, printed dimension on the RCP; the board of the furring runs to it.</t>
  </si>
  <si>
    <t xml:space="preserve">4/S5.20 adds none either: the board dies into the ceiling and leaves no free edge.</t>
  </si>
  <si>
    <t xml:space="preserve">Key notes 5, 6 and 7 of A02.01, the Fixture Plan and the Millwork Schedule of A00.30 were reviewed: nothing is mounted on this stretch of furring.</t>
  </si>
  <si>
    <t xml:space="preserve">C1 #34</t>
  </si>
  <si>
    <t xml:space="preserve">A04.01: ceiling of Central Zone 103, printed dimension on the RCP.</t>
  </si>
  <si>
    <t xml:space="preserve">C1 #35</t>
  </si>
  <si>
    <t xml:space="preserve">CANOPY-COL #66</t>
  </si>
  <si>
    <t xml:space="preserve">Note</t>
  </si>
  <si>
    <t xml:space="preserve">location</t>
  </si>
  <si>
    <t xml:space="preserve">CANOPY COLUMN 1 (drive-through island, northmost -- A02.01 y=283.8)</t>
  </si>
  <si>
    <t xml:space="preserve">D/A08.01</t>
  </si>
  <si>
    <t xml:space="preserve">Restroom elevation D on A08.01. Accessories hung on that face (blocking) and the extent of FRP, cement board and water-resistant board.</t>
  </si>
  <si>
    <t xml:space="preserve">Contraste: los walls de los banos 113 y 114, donde D/A08.01 SI cuelga accesorios y por eso SI llevan blocking.</t>
  </si>
  <si>
    <t xml:space="preserve">6/A08.11</t>
  </si>
  <si>
    <t xml:space="preserve">Walk-up ATM detail on A08.11: length of the niche, box beam, sistered 2 1/2" studs and the 5/8" FRT plywood in the niche.</t>
  </si>
  <si>
    <t xml:space="preserve">excluded.BOLLARD_DIV05_METALES</t>
  </si>
  <si>
    <t xml:space="preserve">Mismo criterio que el "SURFACE MOUNTED 4" STEEL BOLLARD" de 6/A08.11 en el ATM.</t>
  </si>
  <si>
    <t xml:space="preserve">S2.10</t>
  </si>
  <si>
    <t xml:space="preserve">"FOUNDATION PLAN". Slab level where the bottom track lands against the steel column.</t>
  </si>
  <si>
    <t xml:space="preserve">TRACK_BOTTOM, excluded.COLUMNA_DE_ACERO_DIV05_12, scope[0].chain[2]</t>
  </si>
  <si>
    <t xml:space="preserve">Arranque sobre el pedestal de la zapata: 9/S3.20 CANOPY FOUNDATION DETAIL, la burbuja que S2.10 pone en la zapata de estas columnas.</t>
  </si>
  <si>
    <t xml:space="preserve">A/A09.21</t>
  </si>
  <si>
    <t xml:space="preserve">Exterior wall section A. Build-up by layer and height of each layer: 5/8" FRT plywood sheathing over 2 1/2" polyiso, CFMF cavity and interior board.</t>
  </si>
  <si>
    <t xml:space="preserve">TRACK_TOP, face[0].board_height, stud_height</t>
  </si>
  <si>
    <t xml:space="preserve">B/ CANOPY = 10'-6", a PRINTED datum repeated on FOUR independent sections: A/A09.21 SECTION A @ ENTRANCE DOOR, F/A09.22 SECTION F, D/A09.22 SECTION D and H/A09.23.</t>
  </si>
  <si>
    <t xml:space="preserve">D/A09.22</t>
  </si>
  <si>
    <t xml:space="preserve">Exterior wall section D. Layer build-up, board height and the blocking of that run.</t>
  </si>
  <si>
    <t xml:space="preserve">F/A09.22</t>
  </si>
  <si>
    <t xml:space="preserve">Exterior wall section F. Board and stud height of that run.</t>
  </si>
  <si>
    <t xml:space="preserve">H/A09.23</t>
  </si>
  <si>
    <t xml:space="preserve">Exterior wall section H. The one that gives the full build-up: "5/8" FRT PLYWOOD BONDED TO 2 1/2" POLYISO INSULATION", CFMF cavity and the height of each layer.</t>
  </si>
  <si>
    <t xml:space="preserve">2/A09.25</t>
  </si>
  <si>
    <t xml:space="preserve">"DETAIL @ STOREFRONT PIER". The second pier, with its own width.</t>
  </si>
  <si>
    <t xml:space="preserve">excluded.INSULATION</t>
  </si>
  <si>
    <t xml:space="preserve">5/A09.25 no rotula insulation dentro del furring de la columna; el "SPRAY FOAM INSULATION @ JAMBS" que si aparece en 1 y 2/A09.25 es de las jambs del storefront, no de esta columna.</t>
  </si>
  <si>
    <t xml:space="preserve">5/A09.25</t>
  </si>
  <si>
    <t xml:space="preserve">"DETAIL @ CANOPY COLUMN" at 1 1/2"=1'-0". The canopy column furring.</t>
  </si>
  <si>
    <t xml:space="preserve">BOARD, BRACING, SEALANT, STUD, excluded.BLOCKING, excluded.BOLLARD_DIV05_METALES, excluded.COLUMNA_DE_ACERO_DIV05_12, excluded.HEADER, excluded.INSULATION, excluded.PATCH, excluded.PLASTER_PT-03_DIV09_24, excluded.PLOMERIA_DIV22, length, scope[0].chain[0]</t>
  </si>
  <si>
    <t xml:space="preserve">5/A09.25 acota el furring face to face de stud con dos dimensions impresas en la misma linea: "1'-2 1/2" FOS" + "2 1/2" FOS" = 1'-5" = 1.417 ft.</t>
  </si>
  <si>
    <t xml:space="preserve">9/S3.20</t>
  </si>
  <si>
    <t xml:space="preserve">"CANOPY FOUNDATION DETAIL". Base of the canopy column: the steel column is Div 05 12, not ours.</t>
  </si>
  <si>
    <t xml:space="preserve">6/S5.10</t>
  </si>
  <si>
    <t xml:space="preserve">"SECTION AT PERIMETER" at 3/4"=1'-0". Closure of the exterior wall against the roof edge: source of the stud height and the top track of that run.</t>
  </si>
  <si>
    <t xml:space="preserve">TRACK_TOP</t>
  </si>
  <si>
    <t xml:space="preserve">Aqui NO va deflection track: el deflection track del proyecto es el del perimetro del edificio contra la viga de techo (6/S5.10 y 10/S5.10), y esta columna no recibe esa viga.</t>
  </si>
  <si>
    <t xml:space="preserve">10/S5.10</t>
  </si>
  <si>
    <t xml:space="preserve">Perimeter section on S5.10. The other perimeter closure, with its own height.</t>
  </si>
  <si>
    <t xml:space="preserve">Partition Types, the whole sheet. Cited as a sheet when the finding is the ABSENCE across the sheet (e.g. that no type labels a gypsum control joint).</t>
  </si>
  <si>
    <t xml:space="preserve">5/A09.26</t>
  </si>
  <si>
    <t xml:space="preserve">"SECTION DETAIL @ ACM BASE". Base of the ACM: sheathing and sealant.</t>
  </si>
  <si>
    <t xml:space="preserve">5/A09.25 dibuja el furring apoyado en los dos extremos; el sello de arranque es el mismo criterio del "SEALANT AT BASE OF GYPSUM" que rotulan 5/A09.26 y 9/A09.27 en el pie de los walls exteriores.</t>
  </si>
  <si>
    <t xml:space="preserve">9/A09.27</t>
  </si>
  <si>
    <t xml:space="preserve">"SECTION DETAIL @ METAL PANEL BASE". Base of the metal panel: glass-mat sheathing and sealant.</t>
  </si>
  <si>
    <t xml:space="preserve">6/A09.31</t>
  </si>
  <si>
    <t xml:space="preserve">"DETAIL AT NARROW CHANNEL SCREED" at 12"=1'-0". The stucco screed, Div 09 24 00: proves the finish of that run is not ours.</t>
  </si>
  <si>
    <t xml:space="preserve">excluded.PLASTER_PT-03_DIV09_24, scope[0].chain[1]</t>
  </si>
  <si>
    <t xml:space="preserve">6/A09.31 DETAIL AT NARROW CHANNEL SCREED TRANSITION: el sistema de estuco viene con su "SELF-FURRING METAL LATH" y su "NARROW CHANNEL SCREED (SA-2)", o sea con su propio instalador</t>
  </si>
  <si>
    <t xml:space="preserve">BRACING, TRACK_BOTTOM, excluded.CLIPS</t>
  </si>
  <si>
    <t xml:space="preserve">7/S5.20 BRIDGING AND BRACING @ 48" O.C.</t>
  </si>
  <si>
    <t xml:space="preserve">El furring de la columna no tiene aberturas: 5/A09.25 no dibuja door, window ni panel de acceso, y el Door Schedule de A00.30 no lista ninguna abertura en la isla del drive-through.</t>
  </si>
  <si>
    <t xml:space="preserve">CANOPY-COL #67</t>
  </si>
  <si>
    <t xml:space="preserve">CANOPY COLUMN 2 (drive-through island -- A02.01 y=564.2)</t>
  </si>
  <si>
    <t xml:space="preserve">CANOPY-COL #68</t>
  </si>
  <si>
    <t xml:space="preserve">CANOPY COLUMN 3 (drive-through island -- A02.01 y=849.2)</t>
  </si>
  <si>
    <t xml:space="preserve">CANOPY-COL #69</t>
  </si>
  <si>
    <t xml:space="preserve">CANOPY COLUMN 4 (drive-through island, southmost -- A02.01 y=1125.0)</t>
  </si>
  <si>
    <t xml:space="preserve">EXT-6CFMF #61</t>
  </si>
  <si>
    <t xml:space="preserve">excluded.STOREFRONT_DIV08, length, scope[1].chain[1]</t>
  </si>
  <si>
    <t xml:space="preserve">longitud de WALL SOLIDO de esta fachada, medida sobre el EJE del wall en A02.01 y clasificada por lineweight con tools/perimetro.py (face de wall lw&gt;=1.1 y banda de 17.40 pt = 11.60"; storefront = banda de 1.44 pt = 0.96" con 2" mullions cada ~4'-4").</t>
  </si>
  <si>
    <t xml:space="preserve">5/A08.11</t>
  </si>
  <si>
    <t xml:space="preserve">"ATM ELEVATION" at 3/4"=1'-0". Height of the ATM niche: source of the header.</t>
  </si>
  <si>
    <t xml:space="preserve">del ATM drive-up 2'-2 1/8" (5/A08.11).</t>
  </si>
  <si>
    <t xml:space="preserve">SILL_TRACK, length</t>
  </si>
  <si>
    <t xml:space="preserve">CORRECCION 28-sep en la fachada OESTE ALTA: el nicho del ATM drive-up (5.17 ft, y 738.36 a 831.48) estaba clasificado como storefront y NO lo es -- en A02.01 se dibuja como wall GRUESO y achurado con el sleeve del ATM perforado, y 6/A08.11 lo arma con 6" CFMF mas 2 1/2" de stud sistered.</t>
  </si>
  <si>
    <t xml:space="preserve">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</si>
  <si>
    <t xml:space="preserve">2/A09.01</t>
  </si>
  <si>
    <t xml:space="preserve">"WEST ELEVATION". Extent and datums of that elevation and the openings on it.</t>
  </si>
  <si>
    <t xml:space="preserve">openings[0].head, openings[0].sill, openings[1].head, openings[1].sill, openings[2].head, openings[2].sill, openings[3].head, openings[3].sill, scope[1].chain[0]</t>
  </si>
  <si>
    <t xml:space="preserve">H/A09.23 datum T/ GLAZING 8'-6" y 2/A09.01 T/ GLAZING</t>
  </si>
  <si>
    <t xml:space="preserve">1/A09.02</t>
  </si>
  <si>
    <t xml:space="preserve">"EAST ELEVATION". Extent of the metal panel on that side.</t>
  </si>
  <si>
    <t xml:space="preserve">scope[1].chain[0]</t>
  </si>
  <si>
    <t xml:space="preserve">2/A09.01 y 1/A09.02: datums "B/ GLAZING 6'-6"" y "T/ GLAZING 8'-6""</t>
  </si>
  <si>
    <t xml:space="preserve">BOARD, SHEATHING_5-8_FRT_PLYWOOD_2-1-2_POLYISO</t>
  </si>
  <si>
    <t xml:space="preserve">BOARD @ PERIMETER EXTERIOR WALL TO DECK", repetido IGUAL en las OCHO secciones de wall que tiene el set y que se abrieron una por una: A/A09.21 SECTION A @ ENTRANCE DOOR, B/A09.21 SECTION B @ ENTRANCE, C/A09.21 SECTION C, D/A09.22 SECTION D, E/A09.22 SECTION E, F/A09.22 SECTION F, H/A09.23 y J/A09.23.</t>
  </si>
  <si>
    <t xml:space="preserve">B/A09.21</t>
  </si>
  <si>
    <t xml:space="preserve">Exterior wall section B. Interior board height in that run.</t>
  </si>
  <si>
    <t xml:space="preserve">BOARD</t>
  </si>
  <si>
    <t xml:space="preserve">C/A09.21</t>
  </si>
  <si>
    <t xml:space="preserve">Exterior wall section C. Layer build-up of that run.</t>
  </si>
  <si>
    <t xml:space="preserve">E/A09.22</t>
  </si>
  <si>
    <t xml:space="preserve">Exterior wall section E. Board height of that run and the stucco finish, which is not ours.</t>
  </si>
  <si>
    <t xml:space="preserve">BOARD, excluded.PLASTER_PT-3_DIV09_24</t>
  </si>
  <si>
    <t xml:space="preserve">BOARD, SHEATHING_5-8_FRT_PLYWOOD_2-1-2_POLYISO, excluded.INSULATION, openings[0].head, openings[0].sill, openings[1].head, openings[1].sill, openings[2].head, openings[2].sill, openings[3].head, openings[3].sill, scope[0].chain[0]</t>
  </si>
  <si>
    <t xml:space="preserve">Label TEXTUAL de H/A09.23: "5/8" GYP.</t>
  </si>
  <si>
    <t xml:space="preserve">J/A09.23</t>
  </si>
  <si>
    <t xml:space="preserve">Exterior wall section J. Board height of that run and its blocking.</t>
  </si>
  <si>
    <t xml:space="preserve">1/A09.25</t>
  </si>
  <si>
    <t xml:space="preserve">"DETAIL @ STOREFRONT PIER" at 1 1/2"=1'-0". The pier between storefront bays: source of the 3/4" FRT plywood and the jamb return board.</t>
  </si>
  <si>
    <t xml:space="preserve">JAMB_RETURN_BOARD, PLYWOOD_3-4_FRT</t>
  </si>
  <si>
    <t xml:space="preserve">1/A09.25 y 2/A09.25 lo cierran en planta con "5/8" GYPSUM BOARD" doblando hacia el marco de aluminio</t>
  </si>
  <si>
    <t xml:space="preserve">3/A09.25</t>
  </si>
  <si>
    <t xml:space="preserve">"DETAIL @ WINDOW JAMB". Window jamb: plywood and return board.</t>
  </si>
  <si>
    <t xml:space="preserve">PLYWOOD_3-4_FRT</t>
  </si>
  <si>
    <t xml:space="preserve">6'-6""), y 1/A09.25 DETAIL @ STOREFRONT PIER mas 2/A09.25 y 3/A09.25 DETAIL @ WINDOW JAMB en las jambs</t>
  </si>
  <si>
    <t xml:space="preserve">4/A11.01</t>
  </si>
  <si>
    <t xml:space="preserve">"OFFICE 2 - NORTH". What hangs on that face and at what height.</t>
  </si>
  <si>
    <t xml:space="preserve">8'-0" x 2'-0"), pintura P-15 y base B-11 -- el ARTWORK 4'-0"x4'-0" va en la wall NORTE (3/A11.04, 7/A11.04, 9/A11.04, 16/A11.04, 4/A11.01, 10/A11.03) y el WC-18 con su casework en la wall SUR.</t>
  </si>
  <si>
    <t xml:space="preserve">10/A11.03</t>
  </si>
  <si>
    <t xml:space="preserve">"OFFICE 6 - NORTH". What hangs on that face.</t>
  </si>
  <si>
    <t xml:space="preserve">3/A11.04</t>
  </si>
  <si>
    <t xml:space="preserve">"OFFICE 1 - NORTH". What hangs on that face.</t>
  </si>
  <si>
    <t xml:space="preserve">7/A11.04</t>
  </si>
  <si>
    <t xml:space="preserve">"OFFICE 3 - NORTH". What hangs on that face.</t>
  </si>
  <si>
    <t xml:space="preserve">9/A11.04</t>
  </si>
  <si>
    <t xml:space="preserve">"OFFICE 4 - NORTH". What hangs on that face.</t>
  </si>
  <si>
    <t xml:space="preserve">16/A11.04</t>
  </si>
  <si>
    <t xml:space="preserve">Interior elevation on A11.04. What hangs on that face.</t>
  </si>
  <si>
    <t xml:space="preserve">2/S3.20</t>
  </si>
  <si>
    <t xml:space="preserve">"TYP. PERIMETER GRADE BEAM". The grade beam the exterior bottom track starts on.</t>
  </si>
  <si>
    <t xml:space="preserve">TRACK_BOTTOM</t>
  </si>
  <si>
    <t xml:space="preserve">Lo que recibe ese anchorage es la viga perimetral de cimentacion: 2/S3.20 TYP.</t>
  </si>
  <si>
    <t xml:space="preserve">8/S3.20</t>
  </si>
  <si>
    <t xml:space="preserve">"TYP. INTERIOR GRADE BEAM". The interior grade beam the bottom track starts on.</t>
  </si>
  <si>
    <t xml:space="preserve">Contraste: 3, 5, 6, 7 y 8/S3.20 son la misma familia de viga y NINGUNO lleva esa nota; por eso solo este se cita y los otros van declarados con motivo.</t>
  </si>
  <si>
    <t xml:space="preserve">BRACING, STUD, TRACK_TOP, stud_height</t>
  </si>
  <si>
    <t xml:space="preserve">(bottom of deck) = top of steel del perimetro, donde 6/S5.10 y 10/S5.10 SECTION AT PERIMETER rematan el LT.</t>
  </si>
  <si>
    <t xml:space="preserve">11/S5.10</t>
  </si>
  <si>
    <t xml:space="preserve">Section on S5.10. Stud height, track and fastener of that perimeter run.</t>
  </si>
  <si>
    <t xml:space="preserve">TO ACCOMMODATE VERTICAL MOVEMENT OF PERIMETER BEAM +/- 1/2"", y de ahi arriba el parapet es OTRO wall, el infill de 11/S5.10, con otro perfil (600S162-54, 54 mil) y track propio arriba y abajo.</t>
  </si>
  <si>
    <t xml:space="preserve">7/S5.11</t>
  </si>
  <si>
    <t xml:space="preserve">"ROOF SECTION" at 3/4"=1'-0". Deck height in that run and the top track.</t>
  </si>
  <si>
    <t xml:space="preserve">Los dos detalles dibujan la misma condicion en el perimetro y los dos la rotulan igual; 7/S5.11 ROOF SECTION manda a 6/S5.10 para la misma.</t>
  </si>
  <si>
    <t xml:space="preserve">1/A09.26</t>
  </si>
  <si>
    <t xml:space="preserve">"SECTION DETAIL @ ENTRANCE DOOR". Jamb and head of the entrance door.</t>
  </si>
  <si>
    <t xml:space="preserve">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</si>
  <si>
    <t xml:space="preserve">2/A09.26</t>
  </si>
  <si>
    <t xml:space="preserve">"SECTION DETAIL @ STOREFRONT HEAD". The storefront head and its box beam.</t>
  </si>
  <si>
    <t xml:space="preserve">JAMB_RETURN_BOARD, PLYWOOD_3-4_FRT, excluded.BOX_BEAM</t>
  </si>
  <si>
    <t xml:space="preserve">"GYPSUM BOARD JAMB RETURN BEYOND", rotulo TEXTUAL de 11/A09.27 y de 2/A09.26.</t>
  </si>
  <si>
    <t xml:space="preserve">4/A09.26</t>
  </si>
  <si>
    <t xml:space="preserve">"SECTION DETAIL @ PARAPET" at 1 1/2"=1'-0". The parapet: glass-mat sheathing, sealant and closure blocking.</t>
  </si>
  <si>
    <t xml:space="preserve">SEALANT, SHEATHING_5-8_GLASS_MAT</t>
  </si>
  <si>
    <t xml:space="preserve">4/A09.26 SECTION DETAIL @ PARAPET rotula "SEALANT" en el closure de arriba.</t>
  </si>
  <si>
    <t xml:space="preserve">SEALANT, SHEATHING_5-8_GLASS_MAT, excluded.PLASTER_PT-3_DIV09_24</t>
  </si>
  <si>
    <t xml:space="preserve">El arranque lo rotulan los dos detalles de base que el plano senala para este wall: 5/A09.26 SECTION DETAIL @ ACM BASE y 9/A09.27 SECTION DETAIL @ METAL PANEL BASE, los dos con el label TEXTUAL "SEALANT AT BASE OF GYPSUM" en el pie de la face interior, mas "PREFINISHED 18 GA.</t>
  </si>
  <si>
    <t xml:space="preserve">6/A09.26</t>
  </si>
  <si>
    <t xml:space="preserve">"SECTION DETAIL @ STOREFRONT BASE". Base of the storefront and its plywood.</t>
  </si>
  <si>
    <t xml:space="preserve">7/A09.26</t>
  </si>
  <si>
    <t xml:space="preserve">"SECTION DETAIL @ SIDE CANOPY". Build-up of the side canopy.</t>
  </si>
  <si>
    <t xml:space="preserve">SHEATHING_5-8_GLASS_MAT</t>
  </si>
  <si>
    <t xml:space="preserve">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</si>
  <si>
    <t xml:space="preserve">10/A09.27</t>
  </si>
  <si>
    <t xml:space="preserve">"SECTION DETAIL @ STOREFRONT SILL". The storefront sill and its plywood.</t>
  </si>
  <si>
    <t xml:space="preserve">"3/4" FRT PLYWOOD" rotulado en los CINCO detalles que cortan el marco del opening: 11/A09.27 y 2/A09.26 en el header, 10/A09.27 en el sill ("T/STUD ELEV.</t>
  </si>
  <si>
    <t xml:space="preserve">11/A09.27</t>
  </si>
  <si>
    <t xml:space="preserve">"SECTION DETAIL @ STOREFRONT HEAD". The head: 3/4" FRT plywood, jamb return board and the box beam, which is not ours.</t>
  </si>
  <si>
    <t xml:space="preserve">excluded.PLASTER_PT-3_DIV09_24</t>
  </si>
  <si>
    <t xml:space="preserve">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</si>
  <si>
    <t xml:space="preserve">BRACING, STUD, TRACK_BOTTOM, excluded.CLIPS, scope[0].chain[1]</t>
  </si>
  <si>
    <t xml:space="preserve">EXT-6CFMF #62</t>
  </si>
  <si>
    <t xml:space="preserve">excluded.STOREFRONT_DIV08, length</t>
  </si>
  <si>
    <t xml:space="preserve">length</t>
  </si>
  <si>
    <t xml:space="preserve">STUD, TRACK_TOP, face[0].board_height, stud_height</t>
  </si>
  <si>
    <t xml:space="preserve">S2.20: el eje A es el extremo bajo de la pendiente -&gt; B.O.D.</t>
  </si>
  <si>
    <t xml:space="preserve">BOARD, SHEATHING_5-8_FRT_PLYWOOD_2-1-2_POLYISO, excluded.INSULATION, scope[0].chain[0]</t>
  </si>
  <si>
    <t xml:space="preserve">excluded.CONTROL_JOINT, excluded.PLASTER_PT-3_DIV09_24, excluded.STOREFRONT_DIV08</t>
  </si>
  <si>
    <t xml:space="preserve">Exterior Elevations: "EAST ELEVATION" and "NORTH ELEVATION". Extent of the metal panel and of the AWB, both Div 07.</t>
  </si>
  <si>
    <t xml:space="preserve">excluded.PANEL_METALICO_DIV07</t>
  </si>
  <si>
    <t xml:space="preserve">FORMED METAL WALL PANEL EPS-1 / EPS-3 / EPS-5 y el ACM COPING: los define la leyenda de A09.02 como ALUMINUM COMPOSITE METAL PANEL (B.O.D.</t>
  </si>
  <si>
    <t xml:space="preserve">excluded.BOX_BEAM</t>
  </si>
  <si>
    <t xml:space="preserve">Esta fachada no tiene storefront (0.00 LF): el box beam de 11/A09.27 y 2/A09.26 solo existe sobre un opening de storefront.</t>
  </si>
  <si>
    <t xml:space="preserve">A00.30 Door Schedule, puerta de egreso</t>
  </si>
  <si>
    <t xml:space="preserve">EXT-6CFMF #63</t>
  </si>
  <si>
    <t xml:space="preserve">C/A08.01</t>
  </si>
  <si>
    <t xml:space="preserve">Restroom elevation C on A08.01. Extent of FRP WC-3 and the blocking for the accessories on that face.</t>
  </si>
  <si>
    <t xml:space="preserve">La banda es la misma ya medida por geometria en C/A08.01 para el wall 52: del tope del cove base (6") al tope del FRP (5'-6" A.F.F.) = 5.000 ft exactos.</t>
  </si>
  <si>
    <t xml:space="preserve">BLOCKING, CEMENT BOARD, FRP WC-3</t>
  </si>
  <si>
    <t xml:space="preserve">FRT blocking de los accesorios que D/A08.01 pone en ESTA face, accesorio por accesorio, cada uno su length mas 8" de apoyo a cada lado.</t>
  </si>
  <si>
    <t xml:space="preserve">openings[0].head, openings[0].sill, openings[1].head, openings[1].sill, scope[1].chain[0]</t>
  </si>
  <si>
    <t xml:space="preserve">BOARD, SHEATHING_5-8_FRT_PLYWOOD_2-1-2_POLYISO, STUD, excluded.INSULATION, openings[0].head, openings[0].sill, openings[1].head, openings[1].sill, scope[0].chain[0]</t>
  </si>
  <si>
    <t xml:space="preserve">A00.21</t>
  </si>
  <si>
    <t xml:space="preserve">Specification sheet. Opened for the substrate material (cement board).</t>
  </si>
  <si>
    <t xml:space="preserve">CEMENT BOARD</t>
  </si>
  <si>
    <t xml:space="preserve">El cove base CT-12C lo da D/A08.01 RESTROOM ELEVATION D, que dibuja la pieza y la rotula, y el Room Finish Schedule de A00.21 la confirma en la columna BASE de los cuartos 113 y 114; ninguna de las dos fuentes dibuja el sustrato detras, y esa diferencia con el plano queda anotada en Clarifications.</t>
  </si>
  <si>
    <t xml:space="preserve">EXT-6CFMF #65</t>
  </si>
  <si>
    <t xml:space="preserve">Contraste: la face interior del wall oeste BAJO (#63) SI lleva 25.33 LF de blocking, porque ahi estan los accesorios de los banos 113 y 114 de D/A08.01.</t>
  </si>
  <si>
    <t xml:space="preserve">2/A08.11</t>
  </si>
  <si>
    <t xml:space="preserve">"DETAIL - BOLLARD". The bollard, Div 05 metals: not ours.</t>
  </si>
  <si>
    <t xml:space="preserve">"SURFACE MOUNTED 4" STEEL BOLLARD W/ HDPE SLEEVE AND GREY BASE PLATE" (6/A08.11) y 2/A08.11 DETAIL - BOLLARD: es structural steel / metales misceláneos, no metal stud framing.</t>
  </si>
  <si>
    <t xml:space="preserve">3/A08.11</t>
  </si>
  <si>
    <t xml:space="preserve">"ATM PLINTH FRAMING PLAN" at 3/4"=1'-0". The ATM plinth, Div 06.</t>
  </si>
  <si>
    <t xml:space="preserve">excluded.PLINTO_DEL_ATM_DIV06</t>
  </si>
  <si>
    <t xml:space="preserve">El plinto del ATM drive-up es GC BUILT pero es CARPINTERIA, no metal frame: 6/A08.11 lo rotula "(2) LAYERS 3/4" FRT PLYWOOD PLINTH" y 3/A08.11 ATM PLINTH FRAMING PLAN lo arma con "2X4 FRT PERIMETER FRAMING", "4X4 FRT FRAMING" y "FRT PLYWOOD ON FRAMING".</t>
  </si>
  <si>
    <t xml:space="preserve">4/A08.11</t>
  </si>
  <si>
    <t xml:space="preserve">ATM detail on A08.11: EQ dimension of the niche, for the sill.</t>
  </si>
  <si>
    <t xml:space="preserve">openings[0].sill</t>
  </si>
  <si>
    <t xml:space="preserve">4/A08.11: el ATM drive-up apoya en el GC BUILT PLINTH, o sea que el hueco tiene sill y lleva sill</t>
  </si>
  <si>
    <t xml:space="preserve">BOX_BEAM_DE_STUD SOBRE EL ATM, FURRING EN EL NICHO DEL ATM, PLYWOOD_5-8_FRT EN EL NICHO DEL ATM, SILL_TRACK, STUD_2-1-2_SISTERED AL ATM, excluded.ATM_SURROUND_DIV11, excluded.BOLLARD_DIV05_METALES, excluded.PLINTO_DEL_ATM_DIV06, length</t>
  </si>
  <si>
    <t xml:space="preserve">7/A08.11</t>
  </si>
  <si>
    <t xml:space="preserve">"ATM ROOM PLAN" at 1/2"=1'-0". The faces of the ATM room.</t>
  </si>
  <si>
    <t xml:space="preserve">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</si>
  <si>
    <t xml:space="preserve">8/A08.11</t>
  </si>
  <si>
    <t xml:space="preserve">"ATM ROOM SOUTH ELEVATION". What hangs on that face of the ATM room.</t>
  </si>
  <si>
    <t xml:space="preserve">9/A08.11</t>
  </si>
  <si>
    <t xml:space="preserve">"ATM ROOM WEST ELEVATION". That face of the ATM room and the Div 06 plinth.</t>
  </si>
  <si>
    <t xml:space="preserve">BOARD, STUD</t>
  </si>
  <si>
    <t xml:space="preserve">excluded.CONTROL_JOINT, excluded.FIBER_CEMENT_PANEL_DIV07, excluded.PLASTER_PT-3_DIV09_24, excluded.STOREFRONT_DIV08</t>
  </si>
  <si>
    <t xml:space="preserve">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</si>
  <si>
    <t xml:space="preserve">BOX_BEAM, JAMB_RETURN_BOARD, PLYWOOD_3-4_FRT</t>
  </si>
  <si>
    <t xml:space="preserve">PACK W/ BATT INSULATION"; 2/A09.26 SECTION DETAIL @ STOREFRONT HEAD dibuja la misma condicion y la rotula "STEEL HEADER FRAMING.</t>
  </si>
  <si>
    <t xml:space="preserve">NO es un header de 4 studs: 11/A09.27 SECTION DETAIL @ STOREFRONT HEAD, rotulo TEXTUAL "METAL STUD BOX BEAM OR STEEL FRAMING AS REQUIRED.</t>
  </si>
  <si>
    <t xml:space="preserve">BRACING, FURRING EN EL NICHO DEL ATM, STUD, STUD_2-1-2_SISTERED AL ATM, TRACK_BOTTOM, excluded.CLIPS, scope[0].chain[1]</t>
  </si>
  <si>
    <t xml:space="preserve">EXT-6CFMF #60</t>
  </si>
  <si>
    <t xml:space="preserve">S2.20: toda la fachada norte esta al norte del eje B -&gt; B.O.D.</t>
  </si>
  <si>
    <t xml:space="preserve">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</si>
  <si>
    <t xml:space="preserve">Sin aberturas en este tramo: se recorrio el Door Schedule de A00.30 y el Window/Storefront Schedule, y ninguna door ni window cae dentro del run de este eje.</t>
  </si>
  <si>
    <t xml:space="preserve">EXT-6CFMF #64</t>
  </si>
  <si>
    <t xml:space="preserve">EXT-PARAPET #161</t>
  </si>
  <si>
    <t xml:space="preserve">La longitud se midio una sola vez, en A02.01 con tools/perimetro.py, y NO se vuelve a medir aqui.</t>
  </si>
  <si>
    <t xml:space="preserve">BLOCKING, BOARD, SHEATHING_5-8_FRT_PLYWOOD_2-1-2_POLYISO</t>
  </si>
  <si>
    <t xml:space="preserve">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</si>
  <si>
    <t xml:space="preserve">BOARD, SHEATHING_5-8_FRT_PLYWOOD_2-1-2_POLYISO, excluded.INSULATION</t>
  </si>
  <si>
    <t xml:space="preserve">Label TEXTUAL de H/A09.23, repetido en J/A09.23, en A/A09.21 y C/A09.21 y en D/A09.22: las cinco secciones del parapet la rotulan igual.</t>
  </si>
  <si>
    <t xml:space="preserve">STUD, TRACK_TOP, excluded.BRACING, excluded.HSS_POSTS_DIV05_12, face[0].board_height, scope[0].chain[1], scope[0].chain[2], stud_height</t>
  </si>
  <si>
    <t xml:space="preserve">STUD, TRACK_TOP, excluded.BRACING, face[0].board_height, scope[0].chain[1], stud_height</t>
  </si>
  <si>
    <t xml:space="preserve">FASTENER_PWR_DRIVEN, SEALANT, STUD, TRACK_BOTTOM, TRACK_TOP, excluded.HSS_POSTS_DIV05_12, scope[0].chain[0], scope[0].chain[1], stud_height</t>
  </si>
  <si>
    <t xml:space="preserve">11/S5.10 PARAPET INFILL FRAMING, rotulo TEXTUAL: "PARAPET WALL INFILL FRAMING TO BE 600S162-54 @ 16" W/ 600T125-54 TOP &amp; BOT." y "ONE STUD EA.</t>
  </si>
  <si>
    <t xml:space="preserve">STUD, scope[0].chain[2], stud_height</t>
  </si>
  <si>
    <t xml:space="preserve">7/S5.11 ROOF SECTION repite la condicion y manda "REF.</t>
  </si>
  <si>
    <t xml:space="preserve">excluded.CONTROL_JOINT, excluded.STOREFRONT_DIV08</t>
  </si>
  <si>
    <t xml:space="preserve">BLOCKING, BOARD, SEALANT</t>
  </si>
  <si>
    <t xml:space="preserve">Label TEXTUAL de 4/A09.26 SECTION DETAIL @ PARAPET: "3/4" F.R.T.</t>
  </si>
  <si>
    <t xml:space="preserve">TRACK_BOTTOM, excluded.BRACING, excluded.CLIPS</t>
  </si>
  <si>
    <t xml:space="preserve">MAX." -- el anchorage aqui es PAF to steel, no el HILTI KWIK BOLT a concreto del bottom track del wall de abajo (7/S5.20).</t>
  </si>
  <si>
    <t xml:space="preserve">Se recorrieron A00.30 Door Schedule y el Window/Storefront Schedule y ninguna abertura del set esta por encima del B.O.D.</t>
  </si>
  <si>
    <t xml:space="preserve">EXT-PARAPET #162</t>
  </si>
  <si>
    <t xml:space="preserve">Height de ESTE tramo: S2.20: el eje A es el extremo bajo de la pendiente -&gt; B.O.D.</t>
  </si>
  <si>
    <t xml:space="preserve">STUD, TRACK_TOP, excluded.HSS_POSTS_DIV05_12, face[0].board_height, scope[0].chain[1], scope[0].chain[2], stud_height</t>
  </si>
  <si>
    <t xml:space="preserve">STUD, TRACK_TOP, face[0].board_height, scope[0].chain[1], stud_height</t>
  </si>
  <si>
    <t xml:space="preserve">BRACING, FASTENER_PWR_DRIVEN, SEALANT, STUD, TRACK_BOTTOM, TRACK_TOP, excluded.HSS_POSTS_DIV05_12, scope[0].chain[0], scope[0].chain[1], stud_height</t>
  </si>
  <si>
    <t xml:space="preserve">7/S5.20 BRIDGING AND BRACING @ 48" O.C., medido sobre la height de ESTE wall (del B.O.D.</t>
  </si>
  <si>
    <t xml:space="preserve">EXT-PARAPET #163</t>
  </si>
  <si>
    <t xml:space="preserve">BOARD, SHEATHING_5-8_FRT_PLYWOOD_2-1-2_POLYISO, excluded.INSULATION, stud_height</t>
  </si>
  <si>
    <t xml:space="preserve">El tope sale de H/A09.23 rotula T.O.</t>
  </si>
  <si>
    <t xml:space="preserve">EXT-PARAPET #165</t>
  </si>
  <si>
    <t xml:space="preserve">BLOCKING, BOARD, SHEATHING_5-8_FRT_PLYWOOD_2-1-2_POLYISO, stud_height</t>
  </si>
  <si>
    <t xml:space="preserve">El tope sale de J/A09.23, datum impreso T.O.</t>
  </si>
  <si>
    <t xml:space="preserve">EXT-PARAPET #160</t>
  </si>
  <si>
    <t xml:space="preserve">Height de ESTE tramo: S2.20: toda la fachada norte esta al norte del eje B -&gt; B.O.D.</t>
  </si>
  <si>
    <t xml:space="preserve">EXT-PARAPET #164</t>
  </si>
  <si>
    <t xml:space="preserve">F #40</t>
  </si>
  <si>
    <t xml:space="preserve">BLOCKING, excluded.PATCH, length, scope[0].chain[0], scope[2].chain[1]</t>
  </si>
  <si>
    <t xml:space="preserve">La dimension impresa 15'-7 3/4" de A02.01 es HORIZONTAL (linea de dimension horizontal en y=729, de x 845.65 a x 1127.30 = 281.65 pt = 15.647 ft).</t>
  </si>
  <si>
    <t xml:space="preserve">1/A08.11</t>
  </si>
  <si>
    <t xml:space="preserve">ATM detail on A08.11: the 2'-3" rough opening of the niche, printed dimension.</t>
  </si>
  <si>
    <t xml:space="preserve">excluded.ATM_SURROUND_DIV11, openings[0].head, openings[0].sill, scope[2].chain[0]</t>
  </si>
  <si>
    <t xml:space="preserve">1/A08.11 NHA 7800TC (CEN1) WU ATM ELEVATION: 2'-8 1/4" R.O.</t>
  </si>
  <si>
    <t xml:space="preserve">SILL_TRACK</t>
  </si>
  <si>
    <t xml:space="preserve">The opening and its height come from 5/A08.11 ATM ELEVATION; the frame comes from 9/S5.20, which draws the opening down to the floor and therefore shows no sill piece: here there IS one, derived by applying the same head-track rule at the lower edge.</t>
  </si>
  <si>
    <t xml:space="preserve">excluded.PLINTH_DEL_ATM_DIV06</t>
  </si>
  <si>
    <t xml:space="preserve">El plinto del ATM walk-up es GC BUILT pero es CARPINTERIA, no metal frame: 9/A08.11 NHA 9T (CEN-1) ATM PLINTH FRAMING PLAN lo arma con "2X4 FRT PERIMETER FRAMING", "4X4 FRT FRAMING" y "FRT PLYWOOD ON FRAMING", con "PAINT PLINTH WHITE" y "ATM DEPLOYMENT RIGGERS TO LOCATE PLINTH ON FINISH FLOOR AND DRILL ANCHOR BOLT HOL…</t>
  </si>
  <si>
    <t xml:space="preserve">BLOCKING, face[1].board_height, scope[1].chain[1]</t>
  </si>
  <si>
    <t xml:space="preserve">cielo ACT-5 a 8'-6" (A04.01 tag del ATM ROOM 102) mas los 6" que rotula 12/A12.01 entre el tope del board y el cielo = 9.000 ft.</t>
  </si>
  <si>
    <t xml:space="preserve">15'-4 1/2" of S2.20 minus the datum T/SLAB 0'-0": 15.375 - 0 = 15.375 ft.</t>
  </si>
  <si>
    <t xml:space="preserve">BLOCKING, BOARD, BRACING, HEADER, PLYWOOD_3-4_FRT, SEALANT, STUD, TRACK_BOTTOM, TRACK_TOP, excluded.INSULATION, face[0].board_height, face[1].board_height, scope[0].chain[1], scope[1].chain[0]</t>
  </si>
  <si>
    <t xml:space="preserve">12/A12.01 "3/4" FRT PLYWOOD ON PUBLIC SIDE OF PARTITION, EXTEND TO DECK ABOVE" gives the RULE (board runs to the underside of structure above); it does NOT print the number.</t>
  </si>
  <si>
    <t xml:space="preserve">8/A12.06</t>
  </si>
  <si>
    <t xml:space="preserve">"MW18 PLAN" at 3/4"=1'-0". Plan of MW18, the unit that bears against the ATM room face: fixes where the blocking run goes.</t>
  </si>
  <si>
    <t xml:space="preserve">The casework is MW18: 8/A12.06 MW18 PLAN y 9/A12.06 MW18 ELEV, los dos a 3/4 in = 1 ft.</t>
  </si>
  <si>
    <t xml:space="preserve">9/A12.06</t>
  </si>
  <si>
    <t xml:space="preserve">"MW18 ELEV" at 3/4"=1'-0". Elevation of MW18: fixes the height of the blocking run.</t>
  </si>
  <si>
    <t xml:space="preserve">12/A12.01 rotula "BRACE AS REQUIRED (TYP.)" y 1/S5.20 sub-detalle F sets the spacing en 48" O.C.</t>
  </si>
  <si>
    <t xml:space="preserve">El TYPICAL STUD FASTENER SCHEDULE de 7/S5.20 resuelve la conexion del bracing con screw (DIAGONAL BRACING TO STUD: 1/2" #8 TEKS LOW, 1 @ EACH STUD) y no lista ningun clip de bridging.</t>
  </si>
  <si>
    <t xml:space="preserve">HEADER, SILL_TRACK</t>
  </si>
  <si>
    <t xml:space="preserve">9/S5.20 OPNG IN NON-LOAD-BRG WALLS rotula HEAD TRACK y DBL JAMB STUD; the stud and the spacing are those of 12/A12.01 PARTITION TYPE F, which labels TEXTUAL 3 5/8" METAL STUDS AT 16" O.C.</t>
  </si>
  <si>
    <t xml:space="preserve">Obra ground-up: el Drawing Index de A00.01 no trae Demolition Plan interior y la Construction Plan Legend de A02.01 rotula esta banda como NEW PARTITION.</t>
  </si>
  <si>
    <t xml:space="preserve">G #45</t>
  </si>
  <si>
    <t xml:space="preserve">BLOCKING, excluded.BLOCKING_OTRAS_CARAS, excluded.HEADER, length.source, scope[0].chain[1], scope[1].chain[0]</t>
  </si>
  <si>
    <t xml:space="preserve">A02.01 printed dimension 11'-9 1/4" over the wall</t>
  </si>
  <si>
    <t xml:space="preserve">NIVEL5</t>
  </si>
  <si>
    <t xml:space="preserve">Cielo de oficina 9'-0" (A04.01 ACT-4).</t>
  </si>
  <si>
    <t xml:space="preserve">face[0].board_height, face[1].board_height, scope[2].chain[1], stud_height</t>
  </si>
  <si>
    <t xml:space="preserve">6/A11.01</t>
  </si>
  <si>
    <t xml:space="preserve">"OFFICE 2 - SOUTH" (verified at 600 dpi). What hangs on that face.</t>
  </si>
  <si>
    <t xml:space="preserve">Fuente del tag: 6/A11.01 OFFICE 2 - SOUTH, tag WC-18</t>
  </si>
  <si>
    <t xml:space="preserve">BLOCKING, scope[0].chain[0]</t>
  </si>
  <si>
    <t xml:space="preserve">ARTWORK dashed de 4'-0" x 4'-0" con el borde inferior a 3'-0" A.F.F., centrado EQ/4'-0"/EQ en esta face (7/A11.04 OFFICE 3 - NORTH).</t>
  </si>
  <si>
    <t xml:space="preserve">5/A12.01</t>
  </si>
  <si>
    <t xml:space="preserve">"PARTITION G" (officefront). Stud and board of type G.</t>
  </si>
  <si>
    <t xml:space="preserve">BOARD, SEALANT, STUD, TRACK_BOTTOM, TRACK_TOP, excluded.INSULATION, face[0].board_height, face[1].board_height, scope[1].afirmacion, scope[1].chain[1], scope[2].chain[0]</t>
  </si>
  <si>
    <t xml:space="preserve">5/A12.01 PARTITION G gives the RULE (board runs to the underside of structure above); it does NOT print the number.</t>
  </si>
  <si>
    <t xml:space="preserve">BRACING, STUD</t>
  </si>
  <si>
    <t xml:space="preserve">STUD, TRACK_BOTTOM, TRACK_TOP</t>
  </si>
  <si>
    <t xml:space="preserve">sale de 7/S5.20 METAL STUD PROPERTIES, columna APPLICATION "INTERIOR WALLS @ 16" O.C."; the jamb studs of the opening are called for by 9/S5.20 con "DBL JAMB STUD".</t>
  </si>
  <si>
    <t xml:space="preserve">Obra ground-up: el Drawing Index de A00.01 no trae Demolition Plan interior, asi que no hay superficie existente que parchear en estos walls.</t>
  </si>
  <si>
    <t xml:space="preserve">G #46</t>
  </si>
  <si>
    <t xml:space="preserve">BLOCKING, excluded.BLOCKING_OTRAS_CARAS, excluded.HEADER, length.source, scope[1].chain[1], scope[2].chain[0]</t>
  </si>
  <si>
    <t xml:space="preserve">face[0].board_height, face[1].board_height, scope[3].chain[1], stud_height</t>
  </si>
  <si>
    <t xml:space="preserve">5/A11.04</t>
  </si>
  <si>
    <t xml:space="preserve">"OFFICE 3 - SOUTH". What hangs on that face.</t>
  </si>
  <si>
    <t xml:space="preserve">Fuente del tag: 5/A11.04 OFFICE 3 - SOUTH, tag WC-18</t>
  </si>
  <si>
    <t xml:space="preserve">BLOCKING, scope[1].chain[0]</t>
  </si>
  <si>
    <t xml:space="preserve">ARTWORK dashed de 4'-0" x 4'-0" con el borde inferior a 3'-0" A.F.F., centrado EQ/4'-0"/EQ en esta face (9/A11.04 OFFICE 4 - NORTH).</t>
  </si>
  <si>
    <t xml:space="preserve">BOARD, SEALANT, STUD, TRACK_BOTTOM, TRACK_TOP, excluded.INSULATION, face[0].board_height, face[1].board_height, scope[2].afirmacion, scope[2].chain[1], scope[3].chain[0]</t>
  </si>
  <si>
    <t xml:space="preserve">ABERTURA_MEP_HEAD_SILL, scope[0].chain[1]</t>
  </si>
  <si>
    <t xml:space="preserve">6/S5.20 PENETRATION THRU STUDS limits the web hole.</t>
  </si>
  <si>
    <t xml:space="preserve">ABERTURA_MEP_HEAD_SILL, STUD, TRACK_BOTTOM, TRACK_TOP</t>
  </si>
  <si>
    <t xml:space="preserve">9/S5.20 OPNG IN NON-LOAD-BRG WALLS rotula "HEAD TRACK (DOUBLE TRACK @ OPNG &gt; 4 ft)" y "DBL JAMB STUD"; that detail draws the opening down to the floor, so the SILL piece is derived by applying the same rule at the lower edge.</t>
  </si>
  <si>
    <t xml:space="preserve">M01.01 pareja de lineas paralelas que sobresale por fuera de las dos faces</t>
  </si>
  <si>
    <t xml:space="preserve">G #48</t>
  </si>
  <si>
    <t xml:space="preserve">A02.01 printed dimension 11'-7 1/2" of the room</t>
  </si>
  <si>
    <t xml:space="preserve">ARTWORK dashed de 4'-0" x 4'-0" con el borde inferior a 3'-0" A.F.F., centrado EQ/4'-0"/EQ en esta face (16/A11.04 OFFICE 5 - NORTH).</t>
  </si>
  <si>
    <t xml:space="preserve">G #49</t>
  </si>
  <si>
    <t xml:space="preserve">excluded.BLOCKING, excluded.HEADER, length.source, scope[1].chain[0]</t>
  </si>
  <si>
    <t xml:space="preserve">Fuente del tag: 10/A11.03 OFFICE 6 - NORTH, tag WC-18</t>
  </si>
  <si>
    <t xml:space="preserve">14/A11.04</t>
  </si>
  <si>
    <t xml:space="preserve">Interior elevation on A11.04. Finish of that face (level 5).</t>
  </si>
  <si>
    <t xml:space="preserve">14/A11.04 OFFICE 5 - SOUTH dibuja el MISMO hatch de wallcovering (mismos anchos de pano 4-0 / 4-0 / 3-7 1/2 y mismas juntas) que las otras cuatro elevaciones donde SI esta el tag WC-18, pero no repite el tag</t>
  </si>
  <si>
    <t xml:space="preserve">G #52</t>
  </si>
  <si>
    <t xml:space="preserve">length.source, scope[0].chain[0], scope[1].chain[0]</t>
  </si>
  <si>
    <t xml:space="preserve">1/A08.01</t>
  </si>
  <si>
    <t xml:space="preserve">"ENLARGED RESTROOM FLOOR PLAN" at 1/2"=1'-0". The restroom faces and which water-resistant board each one carries.</t>
  </si>
  <si>
    <t xml:space="preserve">excluded.BOARD RESISTENTE A LA HUMEDAD, scope[2].chain[0]</t>
  </si>
  <si>
    <t xml:space="preserve">1/A08.01 ENLARGED RESTROOM FLOOR PLAN, tag TA-16 with its leader to the 11'-7 1/2" wall</t>
  </si>
  <si>
    <t xml:space="preserve">8/A08.01</t>
  </si>
  <si>
    <t xml:space="preserve">"INSIDE CORNER TILE DETAIL". The tile inside corner and its substrate.</t>
  </si>
  <si>
    <t xml:space="preserve">El detalle 8/A08.01 RESTROOM FRP/TILE DETAIL lo confirma por el ORDEN de sus layers, de arriba abajo: PVC EDGE TRIM MOLDING / FRP PANEL / ADHESIVE / PVC EDGE TRIM MOLDING / CLEAR SEALANT / CERAMIC TILE COVE BASE / CERAMIC TILE FLOOR TILE.</t>
  </si>
  <si>
    <t xml:space="preserve">BLOCKING, CEMENT BOARD, FRP WC-3, scope[1].chain[1]</t>
  </si>
  <si>
    <t xml:space="preserve">TA-16 baby changing station KB208, surface mounted: width medido en C/A08.01 x 1329.24 a 1431.24 = 102.00 pt / 36 = 2.833 ft = 2 ft 10 in, 2 runs = 5.67 LF.</t>
  </si>
  <si>
    <t xml:space="preserve">Aqui el plano la pide DOS veces: el schedule de A12.01 pone INSULATION YES en la fila G, y el key note 11 del RCP A04.01 dice INSTALL SOUND BATT INSULATION ABOVE CEILING justo en Women's Restroom 114 y Men's Restroom 113.</t>
  </si>
  <si>
    <t xml:space="preserve">8/A11.03</t>
  </si>
  <si>
    <t xml:space="preserve">"OFFICE 6 - SOUTH". The artwork on that face and its height: blocking.</t>
  </si>
  <si>
    <t xml:space="preserve">en la face de oficina (8/A11.03 OFFICE 6 - SOUTH), 1 run = 4.00 LF.</t>
  </si>
  <si>
    <t xml:space="preserve">BOARD, SEALANT, STUD, TRACK_BOTTOM, TRACK_TOP, face[0].board_height, face[1].board_height, scope[0].afirmacion, scope[0].chain[1]</t>
  </si>
  <si>
    <t xml:space="preserve">ABERTURA_MEP_HEAD_SILL</t>
  </si>
  <si>
    <t xml:space="preserve">Obra ground-up: el Drawing Index de A00.01 no trae Demolition Plan interior, no hay superficie existente que parchear.</t>
  </si>
  <si>
    <t xml:space="preserve">2 aberturas (ducto 8x10 y ducto 12x10 de M01.01) x 2 rows x 2 piezas x 1.50 LF.</t>
  </si>
  <si>
    <t xml:space="preserve">G #47</t>
  </si>
  <si>
    <t xml:space="preserve">excluded.BLOCKING, excluded.HEADER, scope[1].chain[0]</t>
  </si>
  <si>
    <t xml:space="preserve">A02.01 tag G con su leader aterrizando en esta banda de 6.16 in</t>
  </si>
  <si>
    <t xml:space="preserve">11/A11.04</t>
  </si>
  <si>
    <t xml:space="preserve">Fuente del tag: 11/A11.04 OFFICE 4 - SOUTH, tag WC-18</t>
  </si>
  <si>
    <t xml:space="preserve">G #42</t>
  </si>
  <si>
    <t xml:space="preserve">excluded.BLOCKING, excluded.HEADER, scope[0].chain[0]</t>
  </si>
  <si>
    <t xml:space="preserve">BOARD, SEALANT, STUD, TRACK_BOTTOM, TRACK_TOP, excluded.INSULATION, face[0].board_height, face[1].board_height, scope[0].afirmacion, scope[0].chain[1], scope[1].chain[0]</t>
  </si>
  <si>
    <t xml:space="preserve">G #43</t>
  </si>
  <si>
    <t xml:space="preserve">G #44</t>
  </si>
  <si>
    <t xml:space="preserve">G #41</t>
  </si>
  <si>
    <t xml:space="preserve">G1 #50</t>
  </si>
  <si>
    <t xml:space="preserve">BLOCKING, excluded.BLOCKING_RESTO_DE_CARAS, excluded.HEADER, excluded.PATCH, length.source, scope[1].chain[1], scope[2].chain[0]</t>
  </si>
  <si>
    <t xml:space="preserve">A02.01 printed dimension 11'-9 1/4" on the dimension line y=375.84, with its two 45-degree ticks verified at x=1631.28 and x=1843.08 (211.80 pt / 18 = 11.767 ft measured against 11.771 printed)</t>
  </si>
  <si>
    <t xml:space="preserve">ARTWORK de 4'-0" x 4'-0" con su borde inferior a 3'-0" A.F.F., centrado EQ/4'-0"/EQ en esta face (4/A11.01 OFFICE 2 - NORTH).</t>
  </si>
  <si>
    <t xml:space="preserve">6/A11.03</t>
  </si>
  <si>
    <t xml:space="preserve">"OFFICE 6 - EAST". What hangs on that face.</t>
  </si>
  <si>
    <t xml:space="preserve">excluded.BLOCKING_RESTO_DE_CARAS</t>
  </si>
  <si>
    <t xml:space="preserve">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</si>
  <si>
    <t xml:space="preserve">15/A11.04</t>
  </si>
  <si>
    <t xml:space="preserve">BOARD, SEALANT, TRACK_BOTTOM, TRACK_TOP, excluded.INSULATION, face[0].board_height, face[1].board_height, scope[2].chain[1], scope[3].chain[0]</t>
  </si>
  <si>
    <t xml:space="preserve">5/A12.01 PARTITION G, fila G1 del schedule: stud 1 5/8 / board 5/8 / wall thickness 8 gives the RULE (board runs to the underside of structure above); it does NOT print the number.</t>
  </si>
  <si>
    <t xml:space="preserve">6/S5.20 PENETRATION THRU STUDS limita el agujero en el alma y prohibe cortar las alas</t>
  </si>
  <si>
    <t xml:space="preserve">Espaciamiento de 7/S5.20 BRIDGING AND BRACING @ 48" O.C.</t>
  </si>
  <si>
    <t xml:space="preserve">ABERTURA_MEP_HEAD_SILL, TRACK_BOTTOM</t>
  </si>
  <si>
    <t xml:space="preserve">9/S5.20 OPNG IN NON-LOAD-BRG WALLS, NTS, labels "HEAD TRACK (DOUBLE TRACK @ OPNG &gt; 4'-0")" y "DBL JAMB STUD".</t>
  </si>
  <si>
    <t xml:space="preserve">El Drawing Index de A00.01 no trae Demolition Plan interior y la Construction Plan Legend de A02.01 rotula estas bandas como NEW PARTITION (SEE SCHEDULE), no como existente: no hay superficie previa que parchear en ningun wall G1.</t>
  </si>
  <si>
    <t xml:space="preserve">ABERTURA_MEP_HEAD_SILL, scope[0].chain[0]</t>
  </si>
  <si>
    <t xml:space="preserve">Cruces detectados por geometria registrada: M01.01 par de lineas en x 1822.80 y 1834.80 (12.00 pt = 8.00" de ducto) y P01.01 par en x 1639.53 y 1643.09 (3.56 pt = 2.37" de tubo), ambos sobresaliendo por fuera de las dos faces</t>
  </si>
  <si>
    <t xml:space="preserve">G1 #51</t>
  </si>
  <si>
    <t xml:space="preserve">excluded.BLOCKING, excluded.HEADER, excluded.PATCH, scope[0].chain[0]</t>
  </si>
  <si>
    <t xml:space="preserve">A02.01 tag G1 con su leader aterrizando en esta alineacion (walls 50 y 51)</t>
  </si>
  <si>
    <t xml:space="preserve">BOARD, SEALANT, TRACK_BOTTOM, TRACK_TOP, excluded.INSULATION, face[0].board_height, face[1].board_height, scope[0].chain[1], scope[1].chain[0]</t>
  </si>
  <si>
    <t xml:space="preserve">5/A12.01 PARTITION G labels "METAL STUD TRACK" con su leader en el arranque, contra lo que el mismo detalle rotula "TOP OF STRUCTURAL SLAB"; 9/S5.20 OPNG IN NON-LOAD-BRG WALLS confirms it with "BOTTOM TRACK".</t>
  </si>
  <si>
    <t xml:space="preserve">G1 #53</t>
  </si>
  <si>
    <t xml:space="preserve">CEILING GWB CIELO-70</t>
  </si>
  <si>
    <t xml:space="preserve">ACCESS_PANEL.source, BOARD, acabado.source, excluded.BLOCKING, excluded.CORNER_BEAD, excluded.INSULATION, excluded.PERIMETER_ANGLE, excluded.SEALANT, height_aff.source</t>
  </si>
  <si>
    <t xml:space="preserve">A04.01 tag "GB / 10'-0"" dentro del cuarto</t>
  </si>
  <si>
    <t xml:space="preserve">Las cuatro aristas existen dibujadas en A04.01 con lineweight de borde de zona de cielo; la division con el 24 HR VESTIBULE 101 es el wall de A02.01 en y=461.52/462.36</t>
  </si>
  <si>
    <t xml:space="preserve">HANGER_WIRE</t>
  </si>
  <si>
    <t xml:space="preserve">deck 15.375 (S2.20, al norte del eje B, NO SLOPE) menos la height del cielo 10.000.</t>
  </si>
  <si>
    <t xml:space="preserve">excluded.SEALANT</t>
  </si>
  <si>
    <t xml:space="preserve">Se reviso la hoja de Partition Types A12.01 (los detalles de wall si traen CONT.</t>
  </si>
  <si>
    <t xml:space="preserve">3/A09.33</t>
  </si>
  <si>
    <t xml:space="preserve">"LIGHT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</si>
  <si>
    <t xml:space="preserve">excluded.BRACING_SISMICO</t>
  </si>
  <si>
    <t xml:space="preserve">The NOTE on 3/A09.33 LIGHT FIXTURE INSTALLATION reads, textual: "LATERAL BRACING FOR SUSPENDED CEILING MUST BE PROVIDED PER UBC REQUIREMENTS WHERE LOADS ARE LESS THAN 5# PER FOOT &amp; NOT SUPPORTING INTERIOR PARTITIONS.</t>
  </si>
  <si>
    <t xml:space="preserve">7/A09.33</t>
  </si>
  <si>
    <t xml:space="preserve">"TYPICAL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</si>
  <si>
    <t xml:space="preserve">excluded.CORNER_BEAD, excluded.PERIMETER_ANGLE, excluded.SHADOW_MOLDING</t>
  </si>
  <si>
    <t xml:space="preserve">7/A09.33 TYPICAL CEILING TRANSITION DETAIL -- the detail that governs a change of ceiling height -- was opened: it labels "CORNER BEAD - TYPICAL" twice, and both times on the VERTICAL face of a step between two ceilings at different heights.</t>
  </si>
  <si>
    <t xml:space="preserve">10/A09.33</t>
  </si>
  <si>
    <t xml:space="preserve">"CEILING DETAIL @ CSR SOFFIT" at 3"=1'-0". The CSR soffit: corner bead, FRTW blocking, ceiling trim and how the board closes.</t>
  </si>
  <si>
    <t xml:space="preserve">excluded.CORNER_BEAD, excluded.PERIMETER_ANGLE</t>
  </si>
  <si>
    <t xml:space="preserve">The contrast that confirms it: SOFFIT-80 DOES carry 30.85 LF of corner bead, because 10/A09.33 labels "CONT.</t>
  </si>
  <si>
    <t xml:space="preserve">CEILING GWB CIELO-71</t>
  </si>
  <si>
    <t xml:space="preserve">acabado.source, excluded.ACCESS_PANEL, excluded.BLOCKING, excluded.CORNER_BEAD, excluded.INSULATION, excluded.PERIMETER_ANGLE, excluded.SEALANT, height_aff.source</t>
  </si>
  <si>
    <t xml:space="preserve">CEILING GWB CIELO-72</t>
  </si>
  <si>
    <t xml:space="preserve">BOARD, acabado.source, excluded.ACCESS_PANEL, excluded.BLOCKING, excluded.CORNER_BEAD, excluded.INSULATION, excluded.PERIMETER_ANGLE, excluded.SEALANT, height_aff.source</t>
  </si>
  <si>
    <t xml:space="preserve">A04.01 tag "GB / 11'-0"" dentro de WAITING 104</t>
  </si>
  <si>
    <t xml:space="preserve">deck 15.375 (S2.20, al norte del eje B, NO SLOPE) menos la height del cielo 11.000.</t>
  </si>
  <si>
    <t xml:space="preserve">CEILING GWB CIELO-73</t>
  </si>
  <si>
    <t xml:space="preserve">A04.01 tag "GB / 8'-6"" dentro del cuarto</t>
  </si>
  <si>
    <t xml:space="preserve">El quiebre esta dibujado en A02.01: H en y=1335.96 de x 1099.68 a 1133.88 y V en x=1099.68 de y 1335.96 a 1409.28</t>
  </si>
  <si>
    <t xml:space="preserve">deck 15.375 (S2.20, al norte del eje B, NO SLOPE) menos la height del cielo 8.500.</t>
  </si>
  <si>
    <t xml:space="preserve">CEILING GWB CIELO-74</t>
  </si>
  <si>
    <t xml:space="preserve">SOFFIT SOFFIT-80</t>
  </si>
  <si>
    <t xml:space="preserve">BOARD, excluded.INSULATION, height_aff.source</t>
  </si>
  <si>
    <t xml:space="preserve">A04.01 tag "GB / 8'-0"" sobre la franja</t>
  </si>
  <si>
    <t xml:space="preserve">excluded.SHADOW_MOLDING</t>
  </si>
  <si>
    <t xml:space="preserve">No dibuja shadow molding ni lo nombra, a diferencia de los detalles 8 y 9/A12.01 del bulkhead del office front, que SI lo traen rotulado -- ese contraste es lo que confirma que aqui no va.</t>
  </si>
  <si>
    <t xml:space="preserve">BLOCKING, CORNER_BEAD, TRIM_CEILING, detail, excluded.BOARD, excluded.SHADOW_MOLDING</t>
  </si>
  <si>
    <t xml:space="preserve">10/A09.33 CEILING DETAIL @ CSR SOFFIT, 3" = 1'-0": label textual "PROVIDE FRTW BLOCKING FOR FUTURE".</t>
  </si>
  <si>
    <t xml:space="preserve">CANOPY CANOPY-81</t>
  </si>
  <si>
    <t xml:space="preserve">STUD_3-5-8</t>
  </si>
  <si>
    <t xml:space="preserve">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</si>
  <si>
    <t xml:space="preserve">detail</t>
  </si>
  <si>
    <t xml:space="preserve">FLASHING W/ DRIP OVER ROOF MEMBRANE", "BACKER ROD &amp; SEALANT W/ WEEP" y "LINEAR LIGHT FIXTURE - SEE ELEC." ; 7/A09.26 SECTION DETAIL @ SIDE CANOPY, la burbuja que D/A09.22 y F/A09.22 ponen sobre la marquesina lateral.</t>
  </si>
  <si>
    <t xml:space="preserve">excluded.PLASTER_PT-4, excluded.VENT_SA-4</t>
  </si>
  <si>
    <t xml:space="preserve">El "5/8" PORTLAND CEMENT PLASTER SYSTEM (PT-4) ON (2) LAYERS GRADE 'D' BUILDING PAPER" lo pone el plasterer, no el drywaller: es Div 09 24 00, sistema de estuco con su propia lath y su propio screed (los SA-2 y SA-4 de la leyenda de A09.01/A09.02).</t>
  </si>
  <si>
    <t xml:space="preserve">excluded.PANEL_Y_AWB_Div07</t>
  </si>
  <si>
    <t xml:space="preserve">El hat channel viene CON el sistema de panel (la leyenda de A09.02 lo define como FORMED METAL WALL PANEL SYSTEM - PURE &amp; FREEFORM), o sea que lo monta el panel sub junto con su panel; no es framing nuestro.</t>
  </si>
  <si>
    <t xml:space="preserve">A09.21</t>
  </si>
  <si>
    <t xml:space="preserve">Wall Sections, the sheet. Cited as a sheet when the finding is the set of sections.</t>
  </si>
  <si>
    <t xml:space="preserve">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</si>
  <si>
    <t xml:space="preserve">3/A09.26</t>
  </si>
  <si>
    <t xml:space="preserve">"SECTION DETAIL @ ENTRANCE CANOPY". Build-up of the entrance canopy.</t>
  </si>
  <si>
    <t xml:space="preserve">15/A09.27</t>
  </si>
  <si>
    <t xml:space="preserve">Section detail on A09.27 of the drive-up canopy: build-up and datums of the soffit.</t>
  </si>
  <si>
    <t xml:space="preserve">detail, excluded.INSULATION, excluded.PANEL_Y_AWB_Div07</t>
  </si>
  <si>
    <t xml:space="preserve">Localizada y citada: 15/A09.27 rotula SPRAY FOAM INSULATION en la cavidad del wall del edificio y el sistema de sheathing lleva POLYISO pegado al plywood (ese si se cuantifica, porque viene pegado al board que instalamos).</t>
  </si>
  <si>
    <t xml:space="preserve">16/A09.27</t>
  </si>
  <si>
    <t xml:space="preserve">Section detail on A09.27 of the drive-up canopy fascia: build-up, datums, and the structural steel and light fixture that are not ours.</t>
  </si>
  <si>
    <t xml:space="preserve">SHEATHING_5-8_FRT_PLYWOOD, detail, excluded.ACERO_ESTRUCTURAL, excluded.BLOCKING, excluded.LUMINARIA</t>
  </si>
  <si>
    <t xml:space="preserve">16/A09.27 SECTION DETAIL @ DRIVE UP CANOPY: label textual "5/8" EXT.</t>
  </si>
  <si>
    <t xml:space="preserve">Contraste: el detalle 10/A09.33 del soffit CSR SI rotula "PROVIDE FRTW BLOCKING FOR FUTURE", y por eso ahi si se cuantifico.</t>
  </si>
  <si>
    <t xml:space="preserve">BRACING, FASTENER_TEKS, STUD_3-5-8, excluded.CLIPS</t>
  </si>
  <si>
    <t xml:space="preserve">7/S5.20 nota F BRIDGING AND BRACING: "1 1/2" C.R.</t>
  </si>
  <si>
    <t xml:space="preserve">CANOPY CANOPY-82</t>
  </si>
  <si>
    <t xml:space="preserve">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</si>
  <si>
    <t xml:space="preserve">CANOPY CANOPY-83</t>
  </si>
  <si>
    <t xml:space="preserve">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</si>
  <si>
    <t xml:space="preserve">CANOPY CANOPY-84</t>
  </si>
  <si>
    <t xml:space="preserve">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</si>
  <si>
    <t xml:space="preserve">CANOPY CANOPY-85</t>
  </si>
  <si>
    <t xml:space="preserve">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</si>
  <si>
    <t xml:space="preserve">1/A09.01</t>
  </si>
  <si>
    <t xml:space="preserve">"SOUTH ELEVATION". Extent and datums of that elevation.</t>
  </si>
  <si>
    <t xml:space="preserve">resolved</t>
  </si>
  <si>
    <t xml:space="preserve">1/A09.01 (titulada "SOUTH ELEVATION", que lleva los ejes 8 a 1 de izquierda a derecha y por lo tanto dibuja la fachada NORTE) muestra la marquesina corriendo la fachada completa.</t>
  </si>
  <si>
    <t xml:space="preserve">2/A09.02</t>
  </si>
  <si>
    <t xml:space="preserve">"NORTH ELEVATION". Extent of the metal panel on that side.</t>
  </si>
  <si>
    <t xml:space="preserve">2/A09.02 (titulada "NORTH ELEVATION", ejes 1 a 8, o sea la fachada SUR) la muestra SOLO entre los ejes 1 y 3, y de ahi al este la fachada sube derecho al parapet con la door EXPT-1, sin banda de canopy.</t>
  </si>
  <si>
    <t xml:space="preserve">SHEATHING_5-8_FRT_PLYWOOD, detail, excluded.INSULATION, excluded.PANEL_Y_AWB_Div07</t>
  </si>
  <si>
    <t xml:space="preserve">GRADE FRT PLYWOOD SHEATHING" y 15/A09.27 lo rotula "5/8" FRT PLYWOOD BONDED TO POLYISO INSULATION" para la misma fascia: se cotiza el board bonded (el mas completo de los dos) y la diferencia va en Clarifications</t>
  </si>
  <si>
    <t xml:space="preserve">SHEATHING_5-8_FRT_PLYWOOD, STUD_3-5-8, detail, excluded.ACERO_ESTRUCTURAL, excluded.BLOCKING, excluded.LUMINARIA</t>
  </si>
  <si>
    <t xml:space="preserve">16/A09.27 rotula "5/8" EXT.</t>
  </si>
  <si>
    <t xml:space="preserve">FASTENER_TEKS, excluded.BRACING, excluded.CLIPS</t>
  </si>
  <si>
    <t xml:space="preserve">7/S5.20: "STUD TO BOTTOM PLATE (TRACK) | 3/4" #8 TEKS LOW PROFILE PAN HEAD | 1 @ EACH FLANGE"</t>
  </si>
  <si>
    <t xml:space="preserve">EVERY SHEET OF THE BID SET - read from the DRAWING INDEX of A00.00 and from the title block of each page</t>
  </si>
  <si>
    <t xml:space="preserve">94 PDF pages = 92 sheets in the index + 2 extra copies of A02.02. State CONFIRMADO means a title block was read on that page; DERIVADO means it was assigned by position (civil and landscape sheets, whose consultant title block has another format).</t>
  </si>
  <si>
    <t xml:space="preserve">State</t>
  </si>
  <si>
    <t xml:space="preserve">A00.00</t>
  </si>
  <si>
    <t xml:space="preserve">DRAWING INDEX, LOCATION MAP &amp; PROJECT INFORMATION</t>
  </si>
  <si>
    <t xml:space="preserve">2</t>
  </si>
  <si>
    <t xml:space="preserve">[CONFIRMADO]</t>
  </si>
  <si>
    <t xml:space="preserve">C1.0</t>
  </si>
  <si>
    <t xml:space="preserve">COVER SHEET</t>
  </si>
  <si>
    <t xml:space="preserve">1</t>
  </si>
  <si>
    <t xml:space="preserve">[DERIVADO]</t>
  </si>
  <si>
    <t xml:space="preserve">C1.1</t>
  </si>
  <si>
    <t xml:space="preserve">GENERAL NOTES</t>
  </si>
  <si>
    <t xml:space="preserve">3</t>
  </si>
  <si>
    <t xml:space="preserve">C1.2</t>
  </si>
  <si>
    <t xml:space="preserve">ALTA LAND TITLE</t>
  </si>
  <si>
    <t xml:space="preserve">4</t>
  </si>
  <si>
    <t xml:space="preserve">C1.3</t>
  </si>
  <si>
    <t xml:space="preserve">5</t>
  </si>
  <si>
    <t xml:space="preserve">C1.4</t>
  </si>
  <si>
    <t xml:space="preserve">6</t>
  </si>
  <si>
    <t xml:space="preserve">C2.0</t>
  </si>
  <si>
    <t xml:space="preserve">DEMOLITION AND EROSION CONTROL PLAN</t>
  </si>
  <si>
    <t xml:space="preserve">7</t>
  </si>
  <si>
    <t xml:space="preserve">C3.0</t>
  </si>
  <si>
    <t xml:space="preserve">SITE PLAN</t>
  </si>
  <si>
    <t xml:space="preserve">8</t>
  </si>
  <si>
    <t xml:space="preserve">C4.0</t>
  </si>
  <si>
    <t xml:space="preserve">GRADING PLAN</t>
  </si>
  <si>
    <t xml:space="preserve">9</t>
  </si>
  <si>
    <t xml:space="preserve">C5.0</t>
  </si>
  <si>
    <t xml:space="preserve">DRAINAGE PLAN</t>
  </si>
  <si>
    <t xml:space="preserve">10</t>
  </si>
  <si>
    <t xml:space="preserve">C5.1</t>
  </si>
  <si>
    <t xml:space="preserve">DRAINAGE PROFILE</t>
  </si>
  <si>
    <t xml:space="preserve">11</t>
  </si>
  <si>
    <t xml:space="preserve">C6.0</t>
  </si>
  <si>
    <t xml:space="preserve">UTILITY PLAN</t>
  </si>
  <si>
    <t xml:space="preserve">12</t>
  </si>
  <si>
    <t xml:space="preserve">C7.0</t>
  </si>
  <si>
    <t xml:space="preserve">EROSION CONTROL DETAILS</t>
  </si>
  <si>
    <t xml:space="preserve">13</t>
  </si>
  <si>
    <t xml:space="preserve">C7.1</t>
  </si>
  <si>
    <t xml:space="preserve">WATER DETAILS</t>
  </si>
  <si>
    <t xml:space="preserve">14</t>
  </si>
  <si>
    <t xml:space="preserve">C7.2</t>
  </si>
  <si>
    <t xml:space="preserve">SANITARY SEWER DETAILS</t>
  </si>
  <si>
    <t xml:space="preserve">15</t>
  </si>
  <si>
    <t xml:space="preserve">C7.3</t>
  </si>
  <si>
    <t xml:space="preserve">DRAINAGE DETAILS</t>
  </si>
  <si>
    <t xml:space="preserve">16</t>
  </si>
  <si>
    <t xml:space="preserve">C7.4</t>
  </si>
  <si>
    <t xml:space="preserve">PAVING DETAILS</t>
  </si>
  <si>
    <t xml:space="preserve">17</t>
  </si>
  <si>
    <t xml:space="preserve">L1.0</t>
  </si>
  <si>
    <t xml:space="preserve">LANDSCAPE PLAN</t>
  </si>
  <si>
    <t xml:space="preserve">18</t>
  </si>
  <si>
    <t xml:space="preserve">L1.1</t>
  </si>
  <si>
    <t xml:space="preserve">LANDSCAPE DETAILS</t>
  </si>
  <si>
    <t xml:space="preserve">19</t>
  </si>
  <si>
    <t xml:space="preserve">DOOR, HARDWARE &amp; MILLWORK SCHEDULES</t>
  </si>
  <si>
    <t xml:space="preserve">20</t>
  </si>
  <si>
    <t xml:space="preserve">A00.40</t>
  </si>
  <si>
    <t xml:space="preserve">EQUIPMENT &amp; FINISH LEGENDS</t>
  </si>
  <si>
    <t xml:space="preserve">21</t>
  </si>
  <si>
    <t xml:space="preserve">A00.41</t>
  </si>
  <si>
    <t xml:space="preserve">ACCESSIBILITY DETAILS</t>
  </si>
  <si>
    <t xml:space="preserve">22</t>
  </si>
  <si>
    <t xml:space="preserve">A00.60</t>
  </si>
  <si>
    <t xml:space="preserve">ARCHITECTURAL SITE PLAN</t>
  </si>
  <si>
    <t xml:space="preserve">23</t>
  </si>
  <si>
    <t xml:space="preserve">CONSTRUCTION PLAN</t>
  </si>
  <si>
    <t xml:space="preserve">24</t>
  </si>
  <si>
    <t xml:space="preserve">A02.02</t>
  </si>
  <si>
    <t xml:space="preserve">ROOF PLAN</t>
  </si>
  <si>
    <t xml:space="preserve">25, 26, 27</t>
  </si>
  <si>
    <t xml:space="preserve">A03.01</t>
  </si>
  <si>
    <t xml:space="preserve">POWER &amp; COMMUNICATION PLAN</t>
  </si>
  <si>
    <t xml:space="preserve">28</t>
  </si>
  <si>
    <t xml:space="preserve">REFLECTED CEILING PLAN</t>
  </si>
  <si>
    <t xml:space="preserve">29</t>
  </si>
  <si>
    <t xml:space="preserve">A05.01</t>
  </si>
  <si>
    <t xml:space="preserve">FINISH PLAN</t>
  </si>
  <si>
    <t xml:space="preserve">30</t>
  </si>
  <si>
    <t xml:space="preserve">A06.01</t>
  </si>
  <si>
    <t xml:space="preserve">FURNITURE PLAN</t>
  </si>
  <si>
    <t xml:space="preserve">31</t>
  </si>
  <si>
    <t xml:space="preserve">ENLARGED RESTROOM PLANS AND ELEVATIONS</t>
  </si>
  <si>
    <t xml:space="preserve">32</t>
  </si>
  <si>
    <t xml:space="preserve">ATM DETAILS</t>
  </si>
  <si>
    <t xml:space="preserve">33</t>
  </si>
  <si>
    <t xml:space="preserve">A08.21</t>
  </si>
  <si>
    <t xml:space="preserve">COILING GRILLE DETAILS</t>
  </si>
  <si>
    <t xml:space="preserve">34</t>
  </si>
  <si>
    <t xml:space="preserve">EXTERIOR ELEVATIONS</t>
  </si>
  <si>
    <t xml:space="preserve">35</t>
  </si>
  <si>
    <t xml:space="preserve">36</t>
  </si>
  <si>
    <t xml:space="preserve">WALL SECTIONS</t>
  </si>
  <si>
    <t xml:space="preserve">37</t>
  </si>
  <si>
    <t xml:space="preserve">A09.22</t>
  </si>
  <si>
    <t xml:space="preserve">38</t>
  </si>
  <si>
    <t xml:space="preserve">39</t>
  </si>
  <si>
    <t xml:space="preserve">PLAN DETAILS</t>
  </si>
  <si>
    <t xml:space="preserve">40</t>
  </si>
  <si>
    <t xml:space="preserve">A09.26</t>
  </si>
  <si>
    <t xml:space="preserve">SECTION DETAILS</t>
  </si>
  <si>
    <t xml:space="preserve">41</t>
  </si>
  <si>
    <t xml:space="preserve">42</t>
  </si>
  <si>
    <t xml:space="preserve">EXTERIOR DETAILS</t>
  </si>
  <si>
    <t xml:space="preserve">43</t>
  </si>
  <si>
    <t xml:space="preserve">A09.31</t>
  </si>
  <si>
    <t xml:space="preserve">EXTERIOR TRANSITION DETAILS</t>
  </si>
  <si>
    <t xml:space="preserve">44</t>
  </si>
  <si>
    <t xml:space="preserve">TYPICAL CEILING DETAILS</t>
  </si>
  <si>
    <t xml:space="preserve">45</t>
  </si>
  <si>
    <t xml:space="preserve">A11.01</t>
  </si>
  <si>
    <t xml:space="preserve">INTERIOR ELEVATIONS</t>
  </si>
  <si>
    <t xml:space="preserve">46</t>
  </si>
  <si>
    <t xml:space="preserve">A11.02</t>
  </si>
  <si>
    <t xml:space="preserve">47</t>
  </si>
  <si>
    <t xml:space="preserve">A11.03</t>
  </si>
  <si>
    <t xml:space="preserve">48</t>
  </si>
  <si>
    <t xml:space="preserve">A11.04</t>
  </si>
  <si>
    <t xml:space="preserve">49</t>
  </si>
  <si>
    <t xml:space="preserve">PARTITION TYPES AND DETAILS</t>
  </si>
  <si>
    <t xml:space="preserve">50</t>
  </si>
  <si>
    <t xml:space="preserve">A12.02</t>
  </si>
  <si>
    <t xml:space="preserve">DETAILS</t>
  </si>
  <si>
    <t xml:space="preserve">51</t>
  </si>
  <si>
    <t xml:space="preserve">MILLWORK DETAILS - MW01</t>
  </si>
  <si>
    <t xml:space="preserve">52</t>
  </si>
  <si>
    <t xml:space="preserve">MILLWORK DETAILS - MW05, MW06 &amp; MW08</t>
  </si>
  <si>
    <t xml:space="preserve">53</t>
  </si>
  <si>
    <t xml:space="preserve">MILLWORK DETAILS - MW07,MW11 &amp; MW12</t>
  </si>
  <si>
    <t xml:space="preserve">54</t>
  </si>
  <si>
    <t xml:space="preserve">MILLWORK DETAILS - MW13 &amp; MW21</t>
  </si>
  <si>
    <t xml:space="preserve">55</t>
  </si>
  <si>
    <t xml:space="preserve">A12.08</t>
  </si>
  <si>
    <t xml:space="preserve">CSR LINE</t>
  </si>
  <si>
    <t xml:space="preserve">56</t>
  </si>
  <si>
    <t xml:space="preserve">A12.10</t>
  </si>
  <si>
    <t xml:space="preserve">24 HR VESTIBULE DETAILS</t>
  </si>
  <si>
    <t xml:space="preserve">57</t>
  </si>
  <si>
    <t xml:space="preserve">A12.11</t>
  </si>
  <si>
    <t xml:space="preserve">DOOR AL-2C HARDWARE</t>
  </si>
  <si>
    <t xml:space="preserve">58</t>
  </si>
  <si>
    <t xml:space="preserve">S1.10</t>
  </si>
  <si>
    <t xml:space="preserve">STRUCTURAL INFORMATION</t>
  </si>
  <si>
    <t xml:space="preserve">59</t>
  </si>
  <si>
    <t xml:space="preserve">S1.11</t>
  </si>
  <si>
    <t xml:space="preserve">60</t>
  </si>
  <si>
    <t xml:space="preserve">S1.14</t>
  </si>
  <si>
    <t xml:space="preserve">LOAD MAPS</t>
  </si>
  <si>
    <t xml:space="preserve">61</t>
  </si>
  <si>
    <t xml:space="preserve">FOUNDATION PLAN</t>
  </si>
  <si>
    <t xml:space="preserve">62</t>
  </si>
  <si>
    <t xml:space="preserve">ROOF FRAMING PLAN</t>
  </si>
  <si>
    <t xml:space="preserve">63</t>
  </si>
  <si>
    <t xml:space="preserve">S3.10</t>
  </si>
  <si>
    <t xml:space="preserve">TYPICAL CONCRETE DETAILS</t>
  </si>
  <si>
    <t xml:space="preserve">64</t>
  </si>
  <si>
    <t xml:space="preserve">S3.20</t>
  </si>
  <si>
    <t xml:space="preserve">TYPICAL FOUNDATION DETAILS</t>
  </si>
  <si>
    <t xml:space="preserve">65</t>
  </si>
  <si>
    <t xml:space="preserve">S3.21</t>
  </si>
  <si>
    <t xml:space="preserve">TYPICAL SITE DETAILS</t>
  </si>
  <si>
    <t xml:space="preserve">66</t>
  </si>
  <si>
    <t xml:space="preserve">S5.10</t>
  </si>
  <si>
    <t xml:space="preserve">TYPICAL STEEL DETAILS</t>
  </si>
  <si>
    <t xml:space="preserve">67</t>
  </si>
  <si>
    <t xml:space="preserve">S5.11</t>
  </si>
  <si>
    <t xml:space="preserve">68</t>
  </si>
  <si>
    <t xml:space="preserve">COLD FORM STEEL FRAMING DETAILS Description:</t>
  </si>
  <si>
    <t xml:space="preserve">69</t>
  </si>
  <si>
    <t xml:space="preserve">S5.30</t>
  </si>
  <si>
    <t xml:space="preserve">BRACED FRAME DETAILS IF</t>
  </si>
  <si>
    <t xml:space="preserve">70</t>
  </si>
  <si>
    <t xml:space="preserve">M00.01</t>
  </si>
  <si>
    <t xml:space="preserve">MECHANICAL GENERAL IF</t>
  </si>
  <si>
    <t xml:space="preserve">71</t>
  </si>
  <si>
    <t xml:space="preserve">M00.02</t>
  </si>
  <si>
    <t xml:space="preserve">MECHANICAL DETAILS IF</t>
  </si>
  <si>
    <t xml:space="preserve">72</t>
  </si>
  <si>
    <t xml:space="preserve">M00.03</t>
  </si>
  <si>
    <t xml:space="preserve">MECHANICAL SCHEDULES IF</t>
  </si>
  <si>
    <t xml:space="preserve">73</t>
  </si>
  <si>
    <t xml:space="preserve">M00.04</t>
  </si>
  <si>
    <t xml:space="preserve">MECHANICAL LOAD CALCULATIONS Review</t>
  </si>
  <si>
    <t xml:space="preserve">74</t>
  </si>
  <si>
    <t xml:space="preserve">M00.05</t>
  </si>
  <si>
    <t xml:space="preserve">MECHANICAL LOAD CALCULATIONS IF</t>
  </si>
  <si>
    <t xml:space="preserve">75</t>
  </si>
  <si>
    <t xml:space="preserve">MECHANICAL NEW WORK PLAN IF</t>
  </si>
  <si>
    <t xml:space="preserve">76</t>
  </si>
  <si>
    <t xml:space="preserve">M01.02</t>
  </si>
  <si>
    <t xml:space="preserve">MECHANICAL ZONING PLAN IF</t>
  </si>
  <si>
    <t xml:space="preserve">77</t>
  </si>
  <si>
    <t xml:space="preserve">M02.01</t>
  </si>
  <si>
    <t xml:space="preserve">MECHANICAL ROOF PLAN</t>
  </si>
  <si>
    <t xml:space="preserve">78</t>
  </si>
  <si>
    <t xml:space="preserve">M03.01</t>
  </si>
  <si>
    <t xml:space="preserve">MECHANICAL CONTROLS</t>
  </si>
  <si>
    <t xml:space="preserve">79</t>
  </si>
  <si>
    <t xml:space="preserve">E00.01</t>
  </si>
  <si>
    <t xml:space="preserve">ELECTRICAL GENERAL</t>
  </si>
  <si>
    <t xml:space="preserve">80</t>
  </si>
  <si>
    <t xml:space="preserve">E01.01</t>
  </si>
  <si>
    <t xml:space="preserve">SITE PLAN - ELECTRICAL</t>
  </si>
  <si>
    <t xml:space="preserve">81</t>
  </si>
  <si>
    <t xml:space="preserve">FLOOR PLAN - LIGHTING</t>
  </si>
  <si>
    <t xml:space="preserve">82</t>
  </si>
  <si>
    <t xml:space="preserve">E02.02</t>
  </si>
  <si>
    <t xml:space="preserve">FLOOR PLAN - ELECTRICAL</t>
  </si>
  <si>
    <t xml:space="preserve">83</t>
  </si>
  <si>
    <t xml:space="preserve">E02.03</t>
  </si>
  <si>
    <t xml:space="preserve">FLOOR PLAN - FIRE ALARM</t>
  </si>
  <si>
    <t xml:space="preserve">84</t>
  </si>
  <si>
    <t xml:space="preserve">E02.04</t>
  </si>
  <si>
    <t xml:space="preserve">FLOOR PLAN - MECH. EQUIPMENT</t>
  </si>
  <si>
    <t xml:space="preserve">85</t>
  </si>
  <si>
    <t xml:space="preserve">E02.05</t>
  </si>
  <si>
    <t xml:space="preserve">FLOOR PLAN - PHOTOMETRIC</t>
  </si>
  <si>
    <t xml:space="preserve">86</t>
  </si>
  <si>
    <t xml:space="preserve">E03.01</t>
  </si>
  <si>
    <t xml:space="preserve">ROOF PLAN - MECH. EQUIPMENT</t>
  </si>
  <si>
    <t xml:space="preserve">87</t>
  </si>
  <si>
    <t xml:space="preserve">E04.01</t>
  </si>
  <si>
    <t xml:space="preserve">ELECTRICAL RISER DIAGRAM AND SCHEDULES</t>
  </si>
  <si>
    <t xml:space="preserve">88</t>
  </si>
  <si>
    <t xml:space="preserve">E04.02</t>
  </si>
  <si>
    <t xml:space="preserve">ELECTRICAL DETAILS</t>
  </si>
  <si>
    <t xml:space="preserve">89</t>
  </si>
  <si>
    <t xml:space="preserve">P00.01</t>
  </si>
  <si>
    <t xml:space="preserve">PLUMBING GENERAL</t>
  </si>
  <si>
    <t xml:space="preserve">90</t>
  </si>
  <si>
    <t xml:space="preserve">PLUMBING FLOOR PLAN - SANITARY</t>
  </si>
  <si>
    <t xml:space="preserve">91</t>
  </si>
  <si>
    <t xml:space="preserve">PLUMBING FLOOR PLAN - SUPPLY</t>
  </si>
  <si>
    <t xml:space="preserve">92</t>
  </si>
  <si>
    <t xml:space="preserve">P02.01</t>
  </si>
  <si>
    <t xml:space="preserve">PLUMBING ROOF PLAN</t>
  </si>
  <si>
    <t xml:space="preserve">93</t>
  </si>
  <si>
    <t xml:space="preserve">P03.01</t>
  </si>
  <si>
    <t xml:space="preserve">PLUMBING RISER DIAGRAMS</t>
  </si>
  <si>
    <t xml:space="preserve">94</t>
  </si>
  <si>
    <t xml:space="preserve">Revision log of A00.00</t>
  </si>
  <si>
    <t xml:space="preserve">IF Schematic Design Final</t>
  </si>
  <si>
    <t xml:space="preserve">09/29/2023</t>
  </si>
  <si>
    <t xml:space="preserve">IF COE Package</t>
  </si>
  <si>
    <t xml:space="preserve">11/09/2023</t>
  </si>
  <si>
    <t xml:space="preserve">IF Design Development 90%</t>
  </si>
  <si>
    <t xml:space="preserve">07/19/2024</t>
  </si>
  <si>
    <t xml:space="preserve">IF Design Development Final</t>
  </si>
  <si>
    <t xml:space="preserve">08/19/2024</t>
  </si>
  <si>
    <t xml:space="preserve">IF Construction Document</t>
  </si>
  <si>
    <t xml:space="preserve">09/20/2024</t>
  </si>
  <si>
    <t xml:space="preserve">IF Construction Document Final</t>
  </si>
  <si>
    <t xml:space="preserve">12/05/2024</t>
  </si>
  <si>
    <t xml:space="preserve">IF CD 90</t>
  </si>
  <si>
    <t xml:space="preserve">08/15/2025</t>
  </si>
  <si>
    <t xml:space="preserve">IF Permit</t>
  </si>
  <si>
    <t xml:space="preserve">08/26/2025</t>
  </si>
  <si>
    <t xml:space="preserve">PARTITION TYPES - composition, source and sealed state</t>
  </si>
  <si>
    <t xml:space="preserve">Tag</t>
  </si>
  <si>
    <t xml:space="preserve">Walls</t>
  </si>
  <si>
    <t xml:space="preserve">Stud size</t>
  </si>
  <si>
    <t xml:space="preserve">Designation</t>
  </si>
  <si>
    <t xml:space="preserve">O.C.</t>
  </si>
  <si>
    <t xml:space="preserve">Rows</t>
  </si>
  <si>
    <t xml:space="preserve">Brace O.C.</t>
  </si>
  <si>
    <t xml:space="preserve">Board by face</t>
  </si>
  <si>
    <t xml:space="preserve">Stud height ft</t>
  </si>
  <si>
    <t xml:space="preserve">State of the height</t>
  </si>
  <si>
    <t xml:space="preserve">Source of the stud profile</t>
  </si>
  <si>
    <t xml:space="preserve">#1, #2, #3, #4, #5, #6, #7, #8, #9</t>
  </si>
  <si>
    <t xml:space="preserve">362S137-33</t>
  </si>
  <si>
    <t xml:space="preserve">5/8 GYP x1 (walls #1, #2, #3, #4, #5, #6, #7, #8, #9)</t>
  </si>
  <si>
    <t xml:space="preserve">15.375 ft on #1, #2, #3, #4 | 12.971 ft on #5 | 12.927 ft on #6 | 12.963 ft on #7 | 12.890 ft on #8 | 12.775 ft on #9</t>
  </si>
  <si>
    <t xml:space="preserve">[DERIVADO] | [DERIVADO] | [DERIVADO] | [DERIVADO] | [DERIVADO] | [DERIVADO]</t>
  </si>
  <si>
    <t xml:space="preserve">7/S5.20 METAL STUD PROPERTIES, fila 3 5/8", APPLICATION "INTERIOR WALLS @ 16" O.C."</t>
  </si>
  <si>
    <t xml:space="preserve">Fuera de alcance por instruccion de Rodolfo del 19-sep-2026: 'por ahora no hacemos insulation'. El plano SI la pide -el schedule de 3/A12.01 dice INSULATION YES</t>
  </si>
  <si>
    <t xml:space="preserve">#11, #12, #13</t>
  </si>
  <si>
    <t xml:space="preserve">362S137-68</t>
  </si>
  <si>
    <t xml:space="preserve">5/8 GYP 1 layer x1 (walls #11, #12, #13)</t>
  </si>
  <si>
    <t xml:space="preserve">15.375 ft on #11 | 12.933 ft on #12 | 12.921 ft on #13</t>
  </si>
  <si>
    <t xml:space="preserve">[DERIVADO] | [DERIVADO] | [DERIVADO]</t>
  </si>
  <si>
    <t xml:space="preserve">4/A12.01 fila A1K: "14 GA. METAL STUDS @ 24" O.C. MAX" (balistico; mas grueso que el 33 mil del schedule)</t>
  </si>
  <si>
    <t xml:space="preserve">Excluida por instruccion de alcance del usuario. El plano SI la pide: la fila A1K del schedule de 4/A12.01 pone INSULATION YES y el detalle dibuja la cavidad. D</t>
  </si>
  <si>
    <t xml:space="preserve">#14, #15, #16, #17</t>
  </si>
  <si>
    <t xml:space="preserve">600S137-33</t>
  </si>
  <si>
    <t xml:space="preserve">5/8 GYP x1 (walls #14, #15, #16, #17)</t>
  </si>
  <si>
    <t xml:space="preserve">15.375 ft on #14, #15 | 13.052 ft on #16 | 12.927 ft on #17</t>
  </si>
  <si>
    <t xml:space="preserve">A12.01 PARTITION SCHEDULE, fila "A5 | 6" | -- | -- | 5/8" | 7 1/4" | YES": stud de 6" y WALL THICKNESS 7 1/4" = 6 + 5/8 + 5/8. El thickness medido en planta (10.92 pt = 7.28") lo confirma</t>
  </si>
  <si>
    <t xml:space="preserve">Out of scope by Rodolfo's instruction of 19-sep-2026. The drawings DO call for it: the A5 row of the A12.01 schedule reads INSULATION YES and 3/A12.01 PARTITION</t>
  </si>
  <si>
    <t xml:space="preserve">#18, #19, #20, #21, #22, #23</t>
  </si>
  <si>
    <t xml:space="preserve">5/8 GYP x1 (walls #18, #19, #20, #21, #22, #23)</t>
  </si>
  <si>
    <t xml:space="preserve">12.827 ft on #18 | 12.743 ft on #19 | 12.748 ft on #20 | 12.666 ft on #21 | 12.698 ft on #22 | 12.831 ft on #23</t>
  </si>
  <si>
    <t xml:space="preserve">A12.01 PARTITION SCHEDULE, fila "B | 3 5/8" | -- | -- | 5/8" | 4 7/8" | YES" = 3 5/8 + 5/8 + 5/8</t>
  </si>
  <si>
    <t xml:space="preserve">Out of scope by Rodolfo's instruction of 19-sep-2026. The drawings DO ask for it: the B row of the A12.01 schedule reads INSULATION YES and 1/A12.01 PARTITION T</t>
  </si>
  <si>
    <t xml:space="preserve">#25, #26, #27, #28</t>
  </si>
  <si>
    <t xml:space="preserve">5/8 GYP x1 (walls #25, #26, #27, #28)</t>
  </si>
  <si>
    <t xml:space="preserve">15.375 ft on #25 | 13.052 ft on #26, #27, #28</t>
  </si>
  <si>
    <t xml:space="preserve">[DERIVADO] | [DERIVADO]</t>
  </si>
  <si>
    <t xml:space="preserve">A12.01 PARTITION SCHEDULE, fila "B2 | 6" | -- | -- | 5/8" | 7 1/4" | YES". El propio cierre nombra 600S137-33 y 600T125-33, y el thickness medido (10.80 pt = 7.20") cuadra con 7 1/4"</t>
  </si>
  <si>
    <t xml:space="preserve">Fuera de alcance por instruccion de Rodolfo del 19-sep-2026: 'por ahora no hacemos insulation'. 1/A12.01 marca INSULATION: YES para B2 y dibuja BATT INSULATION,</t>
  </si>
  <si>
    <t xml:space="preserve">#31</t>
  </si>
  <si>
    <t xml:space="preserve">600S137-68</t>
  </si>
  <si>
    <t xml:space="preserve">5/8 GYP x1 (walls #31)</t>
  </si>
  <si>
    <t xml:space="preserve">15.375 ft on #31</t>
  </si>
  <si>
    <t xml:space="preserve">4/A12.01: "14 GA. METAL STUDS @ 24" O.C. MAX"; alma y ala de la fila de 6" de S5.20, calibre 68 mil</t>
  </si>
  <si>
    <t xml:space="preserve">Out of scope by Rodolfo's instruction of 19-sep-2026. The drawings DO call for it: the A5K row of 4/A12.01 PARTITION TYPE A1K &amp; A5K, from which B2K is derived, </t>
  </si>
  <si>
    <t xml:space="preserve">#54, #55</t>
  </si>
  <si>
    <t xml:space="preserve">162S-family</t>
  </si>
  <si>
    <t xml:space="preserve">5/8 GYP x2 layers x2 (walls #54, #55)</t>
  </si>
  <si>
    <t xml:space="preserve">7.333 ft on #54, #55</t>
  </si>
  <si>
    <t xml:space="preserve">8 y 9/A12.01 BULKHEAD del office front: stud 1 5/8" (familia G), doble row</t>
  </si>
  <si>
    <t xml:space="preserve">Excluida por instruccion de alcance del usuario. El detalle 9/A12.01 SI dibuja la cavidad con el SOUNDGUARD ISOLATOR BY MARINOWARE entre las dos rows y la fila </t>
  </si>
  <si>
    <t xml:space="preserve">#32, #33, #34, #35, #36, #37, #38, #39</t>
  </si>
  <si>
    <t xml:space="preserve">5/8 GYP x1 (walls #32, #33, #34, #35, #36, #37, #38, #39)</t>
  </si>
  <si>
    <t xml:space="preserve">10.000 ft on #32, #33 | 11.500 ft on #34, #35, #36 | 9.000 ft on #37, #38, #39</t>
  </si>
  <si>
    <t xml:space="preserve">7/S5.20 METAL STUD PROPERTIES, fila 3 5/8"</t>
  </si>
  <si>
    <t xml:space="preserve">Out of scope by Rodolfo's instruction of 19-sep-2026, and 6/A12.01 PARTITION TYPE C1 does not draw it either: C1 is furring against the structure, with no cavit</t>
  </si>
  <si>
    <t xml:space="preserve">#66, #67, #68, #69</t>
  </si>
  <si>
    <t xml:space="preserve">5/8 EXTERIOR GRADE FRT PLYWOOD x1 (walls #66, #67, #68, #69)</t>
  </si>
  <si>
    <t xml:space="preserve">10.500 ft on #66, #67, #68, #69</t>
  </si>
  <si>
    <t xml:space="preserve">5/A09.25 DETAIL @ CANOPY COLUMN: "STUCCO SYSTEM (PT-03) ON 5/8" EXTERIOR GRADE FRT PLYWOOD ON 3-5/8" METAL FRAMING"</t>
  </si>
  <si>
    <t xml:space="preserve">EXCLUDED por instruccion de alcance del usuario (no insulation en este bid). 5/A09.25 no rotula insulation dentro del furring de la columna; el "SPRAY FOAM INSU</t>
  </si>
  <si>
    <t xml:space="preserve">#60, #61, #62, #63, #64, #65</t>
  </si>
  <si>
    <t xml:space="preserve">5/8 GYP x1 (walls #60, #61, #62, #63, #64, #65)</t>
  </si>
  <si>
    <t xml:space="preserve">15.375 ft on #60, #64, #65 | 14.520 ft on #61 | 12.531 ft on #62 | 13.990 ft on #63</t>
  </si>
  <si>
    <t xml:space="preserve">[DERIVADO] | [DERIVADO] | [DERIVADO] | [DERIVADO]</t>
  </si>
  <si>
    <t xml:space="preserve">7/S5.20 fila 6", APPLICATION "EXTERIOR WALLS @ 16" O.C."; H/A09.23 rotula "6" CFMF"</t>
  </si>
  <si>
    <t xml:space="preserve">Excluida por instruccion de alcance del usuario. El plano SI la pide: H/A09.23 rotula SPRAY FOAM INSULATION en la cavidad del 6" CFMF y MIN. 6" RIGID INSULATION</t>
  </si>
  <si>
    <t xml:space="preserve">EXT-PARAPET</t>
  </si>
  <si>
    <t xml:space="preserve">#160, #161, #162, #163, #164, #165</t>
  </si>
  <si>
    <t xml:space="preserve">600S162-54</t>
  </si>
  <si>
    <t xml:space="preserve">5/8 EXTERIOR GYPSUM SHEATHING x1 (walls #160, #161, #162, #163, #164, #165)</t>
  </si>
  <si>
    <t xml:space="preserve">2.042 ft on #160 | 2.897 ft on #161 | 4.886 ft on #162 | 3.427 ft on #163 | 4.292 ft on #164, #165</t>
  </si>
  <si>
    <t xml:space="preserve">[DERIVADO] | [DERIVADO] | [DERIVADO] | [DERIVADO] | [DERIVADO]</t>
  </si>
  <si>
    <t xml:space="preserve">11/S5.10 PARAPET INFILL FRAMING: "PARAPET WALL INFILL FRAMING TO BE 600S162-54 @ 16" W/ 600T125-54 TOP &amp; BOT." -- 54 mil, NO los 33 mil del wall de abajo</t>
  </si>
  <si>
    <t xml:space="preserve">#40</t>
  </si>
  <si>
    <t xml:space="preserve">5/8 GYP + 3/4 FRT PLYWOOD x1 (walls #40) | 5/8 GYP x1 (walls #40)</t>
  </si>
  <si>
    <t xml:space="preserve">15.375 ft on #40</t>
  </si>
  <si>
    <t xml:space="preserve">12/A12.01 PARTITION TYPE F, rotulado TEXTUALMENTE 3 5/8" @ 16" O.C.</t>
  </si>
  <si>
    <t xml:space="preserve">Excluida por instruccion de alcance del usuario. El detalle 12/A12.01 SI la dibuja y la rotula BATT INSULATION dentro de la cavidad. Delta declarado en Clarific</t>
  </si>
  <si>
    <t xml:space="preserve">#41, #42, #43, #44, #45, #46, #47, #48, #49, #52</t>
  </si>
  <si>
    <t xml:space="preserve">5/8 GYP x2 layers x2 (walls #41, #42, #43, #44, #45, #46, #47, #48, #49, #52)</t>
  </si>
  <si>
    <t xml:space="preserve">15.375 ft on #41, #42, #43, #44, #45, #46, #47, #48, #49, #52</t>
  </si>
  <si>
    <t xml:space="preserve">5/A12.01 PARTITION G: stud 1 5/8" en DOBLE ROW; 16" O.C. de 7/S5.20</t>
  </si>
  <si>
    <t xml:space="preserve">Excluida por instruccion de alcance del usuario. El plano SI la pide: el schedule de A12.01 pone INSULATION YES en la fila G y el detalle 5/A12.01 la dibuja rot | Excluida por instruccion de alcance. Aqui el plano la pide DOS veces: el schedule de A12.01 pone INSULATION YES en la fila G, y el key note 11 del RCP A04.01 di</t>
  </si>
  <si>
    <t xml:space="preserve">#50, #51, #53</t>
  </si>
  <si>
    <t xml:space="preserve">5/8 GYP x2 layers x2 (walls #50, #51, #53)</t>
  </si>
  <si>
    <t xml:space="preserve">15.375 ft on #50, #51, #53</t>
  </si>
  <si>
    <t xml:space="preserve">5/A12.01 fila G1: stud 1 5/8", doble row</t>
  </si>
  <si>
    <t xml:space="preserve">Excluida por instruccion de alcance del usuario (NO INSULATION). El plano SI la pide: la fila G1 del schedule de A12.01 pone INSULATION YES y el detalle 5/A12.0</t>
  </si>
  <si>
    <t xml:space="preserve">NUMBERED LOCATION LIST PER TAG - the official wall numbering fixed 13-sep-2026</t>
  </si>
  <si>
    <t xml:space="preserve">What Rodolfo explicitly confirmed is a SEPARATE fact from what was quantified, and it was never written to a file. The confirmation column says what is recorded; where nothing is recorded it says PENDIENTE rather than claiming a confirmation.</t>
  </si>
  <si>
    <t xml:space="preserve">Wall</t>
  </si>
  <si>
    <t xml:space="preserve">Location as sealed</t>
  </si>
  <si>
    <t xml:space="preserve">State of the LF</t>
  </si>
  <si>
    <t xml:space="preserve">Confirmed by Rodolfo</t>
  </si>
  <si>
    <t xml:space="preserve">#1</t>
  </si>
  <si>
    <t xml:space="preserve">Central Zone 103 / Calling Cubes 122 - north wall of Calling Cubes</t>
  </si>
  <si>
    <t xml:space="preserve">[PENDIENTE] see Handoff - Open Items</t>
  </si>
  <si>
    <t xml:space="preserve">#2</t>
  </si>
  <si>
    <t xml:space="preserve">MW01 niche / Calling Cubes 122 - back of the printer cabinet</t>
  </si>
  <si>
    <t xml:space="preserve">#3</t>
  </si>
  <si>
    <t xml:space="preserve">MW01 niche / Calling Cubes 122 - south close of the niche</t>
  </si>
  <si>
    <t xml:space="preserve">#4</t>
  </si>
  <si>
    <t xml:space="preserve">Corridor 111 - jambs of door 111, entry from Central Zone</t>
  </si>
  <si>
    <t xml:space="preserve">#5</t>
  </si>
  <si>
    <t xml:space="preserve">Calling Cubes 122 / Break Room 118 - carries MW21 on the south face</t>
  </si>
  <si>
    <t xml:space="preserve">#6</t>
  </si>
  <si>
    <t xml:space="preserve">Break Room 118 / Future FCAM - carries door 118A</t>
  </si>
  <si>
    <t xml:space="preserve">#7</t>
  </si>
  <si>
    <t xml:space="preserve">Break Room 118 / Cash Window 116 - vertical return between walls A1-5 and A1-6</t>
  </si>
  <si>
    <t xml:space="preserve">#8</t>
  </si>
  <si>
    <t xml:space="preserve">Corridor 111 / Break Room 118 + Electrical 120 + NER 121 - the long wall (tags #8 and #10)</t>
  </si>
  <si>
    <t xml:space="preserve">#9</t>
  </si>
  <si>
    <t xml:space="preserve">Cash Window 116 / Work Room 119 - north wall of the Work Room, carries MW12 and door 119</t>
  </si>
  <si>
    <t xml:space="preserve">#11</t>
  </si>
  <si>
    <t xml:space="preserve">NORTH head of Cash Window 116 / CSR line (banda y 1120.68/1128.48)</t>
  </si>
  <si>
    <t xml:space="preserve">#12</t>
  </si>
  <si>
    <t xml:space="preserve">SOUTH head of Cash Window 116 (banda y 1344.72/1352.64)</t>
  </si>
  <si>
    <t xml:space="preserve">#13</t>
  </si>
  <si>
    <t xml:space="preserve">Southwest return at Cash Window 116 (banda y 1355.28/1363.08)</t>
  </si>
  <si>
    <t xml:space="preserve">#14</t>
  </si>
  <si>
    <t xml:space="preserve">Calling Cubes 122 / Office 4 CB 108</t>
  </si>
  <si>
    <t xml:space="preserve">#15</t>
  </si>
  <si>
    <t xml:space="preserve">Calling Cubes 122 / Corridor 111</t>
  </si>
  <si>
    <t xml:space="preserve">#16</t>
  </si>
  <si>
    <t xml:space="preserve">Corridor 111 / Calling Cubes 122</t>
  </si>
  <si>
    <t xml:space="preserve">#17</t>
  </si>
  <si>
    <t xml:space="preserve">Break Room 118 / Cash Window 116</t>
  </si>
  <si>
    <t xml:space="preserve">#18</t>
  </si>
  <si>
    <t xml:space="preserve">Electrical 120 / Break Room 118 (north wall of Electrical)</t>
  </si>
  <si>
    <t xml:space="preserve">#19</t>
  </si>
  <si>
    <t xml:space="preserve">Janitor Closet 112 / Storage 117 (also carries tag #20, same wall)</t>
  </si>
  <si>
    <t xml:space="preserve">#20</t>
  </si>
  <si>
    <t xml:space="preserve">Janitor Closet 112 / Storage 117 (horizontal wall, with door 112)</t>
  </si>
  <si>
    <t xml:space="preserve">#21</t>
  </si>
  <si>
    <t xml:space="preserve">Janitor Closet 112 + Storage 117 / Wellness 115</t>
  </si>
  <si>
    <t xml:space="preserve">#22</t>
  </si>
  <si>
    <t xml:space="preserve">Electrical 120 / NER 121 (south wall of Electrical)</t>
  </si>
  <si>
    <t xml:space="preserve">#23</t>
  </si>
  <si>
    <t xml:space="preserve">Electrical 120 + NER 121 / Break Room 118 (east wall)</t>
  </si>
  <si>
    <t xml:space="preserve">#25</t>
  </si>
  <si>
    <t xml:space="preserve">ATM Room 102 / Central Zone 103 (wall de la door 102)</t>
  </si>
  <si>
    <t xml:space="preserve">#26</t>
  </si>
  <si>
    <t xml:space="preserve">Women's Restroom 114 / Corridor 111 (jamb sur de la door 114)</t>
  </si>
  <si>
    <t xml:space="preserve">#27</t>
  </si>
  <si>
    <t xml:space="preserve">Corridor 111 / Men's Restroom 113 + Storage 117 + Wellness 115 (lleva tambien el tag #29, mismo wall)</t>
  </si>
  <si>
    <t xml:space="preserve">#28</t>
  </si>
  <si>
    <t xml:space="preserve">Break Room 118 / Cash Window 116 + Work Room 119 (lleva tambien el tag #30, mismo wall)</t>
  </si>
  <si>
    <t xml:space="preserve">Office 4 CB 108 (customer side) / Cash Window 116 (teller side)</t>
  </si>
  <si>
    <t xml:space="preserve">#54</t>
  </si>
  <si>
    <t xml:space="preserve">Over the 4 office fronts at Offices 105, 106, 107 and 108 (alineacion x 1622.04/1631.28)</t>
  </si>
  <si>
    <t xml:space="preserve">#55</t>
  </si>
  <si>
    <t xml:space="preserve">Over the 2 office fronts at Offices 109 and 110 (alineacion x 1121.16/1133.88)</t>
  </si>
  <si>
    <t xml:space="preserve">#32</t>
  </si>
  <si>
    <t xml:space="preserve">Entry pilaster of Vestibule 100, next to door 100A; it carries the push button (PB) and the card reader (CR)</t>
  </si>
  <si>
    <t xml:space="preserve">#33</t>
  </si>
  <si>
    <t xml:space="preserve">Pilaster at the northwest corner of Vestibule 100</t>
  </si>
  <si>
    <t xml:space="preserve">#34</t>
  </si>
  <si>
    <t xml:space="preserve">Steel column enclosure between 24 HR Vestibule 101 and Central Zone 103; the column is drawn inside the box</t>
  </si>
  <si>
    <t xml:space="preserve">#35</t>
  </si>
  <si>
    <t xml:space="preserve">Steel column enclosure at the south end of the sloped ATM wall, between ATM Room 102 and Central Zone 103</t>
  </si>
  <si>
    <t xml:space="preserve">#36</t>
  </si>
  <si>
    <t xml:space="preserve">North wall of Calling Cubes 122, face towards Central Zone 103</t>
  </si>
  <si>
    <t xml:space="preserve">#37</t>
  </si>
  <si>
    <t xml:space="preserve">North face of the plumbing chase between restrooms 113 and 114</t>
  </si>
  <si>
    <t xml:space="preserve">#38</t>
  </si>
  <si>
    <t xml:space="preserve">Future FCAM, south face of the A1K wall that closes Cash Window 116</t>
  </si>
  <si>
    <t xml:space="preserve">#39</t>
  </si>
  <si>
    <t xml:space="preserve">South face of the plumbing chase between restrooms 113 and 114</t>
  </si>
  <si>
    <t xml:space="preserve">#66</t>
  </si>
  <si>
    <t xml:space="preserve">#67</t>
  </si>
  <si>
    <t xml:space="preserve">#68</t>
  </si>
  <si>
    <t xml:space="preserve">#69</t>
  </si>
  <si>
    <t xml:space="preserve">#60</t>
  </si>
  <si>
    <t xml:space="preserve">NORTH facade (grid F, y=328.74) -- entrance side</t>
  </si>
  <si>
    <t xml:space="preserve">#61</t>
  </si>
  <si>
    <t xml:space="preserve">EAST facade (grid 8, x=1851.78) -- the 4 offices 105-108</t>
  </si>
  <si>
    <t xml:space="preserve">#62</t>
  </si>
  <si>
    <t xml:space="preserve">SOUTH facade (grid A, y=1702.14) -- service side, egress door 123</t>
  </si>
  <si>
    <t xml:space="preserve">#63</t>
  </si>
  <si>
    <t xml:space="preserve">WEST LOW facade (grid 3, x=903.18) -- offices 109-110 and restrooms</t>
  </si>
  <si>
    <t xml:space="preserve">#64</t>
  </si>
  <si>
    <t xml:space="preserve">West perimeter jog (y=839.58, grid 2 to grid 3)</t>
  </si>
  <si>
    <t xml:space="preserve">#65</t>
  </si>
  <si>
    <t xml:space="preserve">WEST HIGH facade (grid 2, x=833.16) -- 24 hr vestibule and drive-up ATM</t>
  </si>
  <si>
    <t xml:space="preserve">#160</t>
  </si>
  <si>
    <t xml:space="preserve">NORTH facade (grid F, y=328.74) -- entrance side -- PARAPET INFILL, from B.O.D. up to T/ STUD</t>
  </si>
  <si>
    <t xml:space="preserve">#161</t>
  </si>
  <si>
    <t xml:space="preserve">EAST facade (grid 8, x=1851.78) -- the 4 offices 105-108 -- PARAPET INFILL, from B.O.D. up to T/ STUD</t>
  </si>
  <si>
    <t xml:space="preserve">#162</t>
  </si>
  <si>
    <t xml:space="preserve">SOUTH facade (grid A, y=1702.14) -- service side, egress door 123 -- PARAPET INFILL, from B.O.D. up to T/ STUD</t>
  </si>
  <si>
    <t xml:space="preserve">#163</t>
  </si>
  <si>
    <t xml:space="preserve">WEST LOW facade (grid 3, x=903.18) -- offices 109-110 and restrooms -- PARAPET INFILL, from B.O.D. up to T/ STUD</t>
  </si>
  <si>
    <t xml:space="preserve">#164</t>
  </si>
  <si>
    <t xml:space="preserve">West perimeter jog (y=839.58, grid 2 to grid 3) -- PARAPET INFILL, from B.O.D. up to T/ STUD</t>
  </si>
  <si>
    <t xml:space="preserve">#165</t>
  </si>
  <si>
    <t xml:space="preserve">WEST HIGH facade (grid 2, x=833.16) -- 24 hr vestibule and drive-up ATM -- PARAPET INFILL, from B.O.D. up to T/ STUD</t>
  </si>
  <si>
    <t xml:space="preserve">Wall inclinado 60 grados entre 24 HR VESTIBULE 101 (ATM LOBBY) y ATM ROOM 102</t>
  </si>
  <si>
    <t xml:space="preserve">#41</t>
  </si>
  <si>
    <t xml:space="preserve">North return at the Office 1 ME 105 office front (UNTAGGED)</t>
  </si>
  <si>
    <t xml:space="preserve">#42</t>
  </si>
  <si>
    <t xml:space="preserve">Return between the office fronts at 105 y 106</t>
  </si>
  <si>
    <t xml:space="preserve">#43</t>
  </si>
  <si>
    <t xml:space="preserve">Return between the office fronts at 106 y 107</t>
  </si>
  <si>
    <t xml:space="preserve">#44</t>
  </si>
  <si>
    <t xml:space="preserve">Return between the office fronts at 107 y 108</t>
  </si>
  <si>
    <t xml:space="preserve">#45</t>
  </si>
  <si>
    <t xml:space="preserve">Office 2 CL 106 / Office 3 SB 107</t>
  </si>
  <si>
    <t xml:space="preserve">#46</t>
  </si>
  <si>
    <t xml:space="preserve">Office 3 SB 107 / Office 4 CB 108</t>
  </si>
  <si>
    <t xml:space="preserve">#47</t>
  </si>
  <si>
    <t xml:space="preserve">Office 4 CB 108 / teller line</t>
  </si>
  <si>
    <t xml:space="preserve">#48</t>
  </si>
  <si>
    <t xml:space="preserve">ATM Room 102 / Office 5 CB 109</t>
  </si>
  <si>
    <t xml:space="preserve">#49</t>
  </si>
  <si>
    <t xml:space="preserve">Office 5 CB 109 / Office 6 CB 110</t>
  </si>
  <si>
    <t xml:space="preserve">#52</t>
  </si>
  <si>
    <t xml:space="preserve">Office 6 CB 110 / Women's Restroom 114 (SIN TAG, numero nuevo)</t>
  </si>
  <si>
    <t xml:space="preserve">#50</t>
  </si>
  <si>
    <t xml:space="preserve">Office 1 ME 105 / Office 2 CL 106 (right block)</t>
  </si>
  <si>
    <t xml:space="preserve">#51</t>
  </si>
  <si>
    <t xml:space="preserve">South return at the Office 5 CB 109 office front (left block)</t>
  </si>
  <si>
    <t xml:space="preserve">#53</t>
  </si>
  <si>
    <t xml:space="preserve">South return at the Office 6 CB 110 office front, UNTAGGED (left block)</t>
  </si>
  <si>
    <t xml:space="preserve">WHAT IS STILL MISSING - sealed pendings, traceability backlog and orphan closures</t>
  </si>
  <si>
    <t xml:space="preserve">A. Sealed closures with NO generator (orphans)</t>
  </si>
  <si>
    <t xml:space="preserve">Block</t>
  </si>
  <si>
    <t xml:space="preserve">What is missing</t>
  </si>
  <si>
    <t xml:space="preserve">B. [CONFIRMADO] fields that cite no printed dimension (ratchet 0, only goes down)</t>
  </si>
  <si>
    <t xml:space="preserve">Field</t>
  </si>
  <si>
    <t xml:space="preserve">Sealed value</t>
  </si>
  <si>
    <t xml:space="preserve">Text that cites no dimension</t>
  </si>
  <si>
    <t xml:space="preserve">C. The same datum carrying two state tags</t>
  </si>
  <si>
    <t xml:space="preserve">Value</t>
  </si>
  <si>
    <t xml:space="preserve">Sheet cited</t>
  </si>
  <si>
    <t xml:space="preserve">States and how many walls carry each</t>
  </si>
  <si>
    <t xml:space="preserve">D. What Rodolfo confirmed, and what is only verified by code</t>
  </si>
  <si>
    <t xml:space="preserve">What is recorded, and where</t>
  </si>
  <si>
    <t xml:space="preserve">numeracion</t>
  </si>
  <si>
    <t xml:space="preserve">Rodolfo fijo la numeracion oficial de walls el 13-sep-2026: A1 #1-10 / A1K #11-13 / A5 #14-17 / B #18-24 / B2 #25-30 / B2K #31 / C1 #32-39 / F #40 / G #41-49 / G1 #50-51, agrupada por tag, y ANULO la numeracion por longitud descendente y el plano BOA_48_muros_numerados.png. Consta en el registro del proyecto.</t>
  </si>
  <si>
    <t xml:space="preserve">soffits_19_69</t>
  </si>
  <si>
    <t xml:space="preserve">El 15-sep-2026 ordeno AGREGAR los 19.69 LF de ceiling transition que faltaban contra su take-off manual (247.85 contra 228.16 LF).</t>
  </si>
  <si>
    <t xml:space="preserve">este_suma_tramos</t>
  </si>
  <si>
    <t xml:space="preserve">El usuario DETECTO el error del eje ESTE: el 72'-8 1/4" se habia armado sumando tramos de una dimension string con ticks DOBLES, que mide cuartos face to face y no incluye el thickness de los 6 walls perpendiculares.</t>
  </si>
  <si>
    <t xml:space="preserve">barrido_por_tag</t>
  </si>
  <si>
    <t xml:space="preserve">[PENDIENTE]</t>
  </si>
  <si>
    <t xml:space="preserve">La regla del 12-sep-2026 exige parar al cerrar el barrido de cada tag y esperar confirmacion explicita de que la lista de ubicaciones esta completa. El registro del proyecto deja el barrido de A02.01 como "EN CURSO, pendiente de confirmacion del usuario" y su proximo paso escrito es exactamente "mostrar al usuario la lista numerada de ubicaciones por tag y esperar su confirmacion explicita". NO consta en ningun archivo que esa confirmacion se haya dado tag por tag. Lo que SI consta es el barrido verificado por codigo (los 51 tags de A02.01 extraidos del texto del PDF, con su imagen circulada) y la compuerta de planos marcados, que comprueba que el LF rotulado en el plano de cada tipo coincide con el cierre sellado. Son dos cosas distintas y el handoff no las puede presentar como una.</t>
  </si>
  <si>
    <t xml:space="preserve">ASSUMPTIONS AND DECISIONS RODOLFO APPROVED - each with what approved it</t>
  </si>
  <si>
    <t xml:space="preserve">Decision</t>
  </si>
  <si>
    <t xml:space="preserve">What it means in the numbers</t>
  </si>
  <si>
    <t xml:space="preserve">What approved it</t>
  </si>
  <si>
    <t xml:space="preserve">No insulation</t>
  </si>
  <si>
    <t xml:space="preserve">Located and cited everywhere it occurs and EXCLUDED with the motive written in every closure. The drawings DO call for it (the A1K row of 4/A12.01 reads INSULATION YES and the detail draws the cavity); the delta is declared in Clarifications and in Pending Items #22.</t>
  </si>
  <si>
    <t xml:space="preserve">Standing scope order from Rodolfo: no insulation, no cabinets, no light fixtures.</t>
  </si>
  <si>
    <t xml:space="preserve">No cabinets, no light fixtures</t>
  </si>
  <si>
    <t xml:space="preserve">Same treatment: located, cited, EXCLUDED with motive.</t>
  </si>
  <si>
    <t xml:space="preserve">Same standing scope order.</t>
  </si>
  <si>
    <t xml:space="preserve">Waste 15% metal / 6% board</t>
  </si>
  <si>
    <t xml:space="preserve">Applied on NET, by type, each type separately, and shown in its own NET / WASTE / PURCHASE columns, never buried in a takeoff figure.</t>
  </si>
  <si>
    <t xml:space="preserve">Standing order from Rodolfo.</t>
  </si>
  <si>
    <t xml:space="preserve">Storefront and officefront are Division 08</t>
  </si>
  <si>
    <t xml:space="preserve">The DFC-1A officefront of offices 105-110 is bought and installed through the bank vendor (note N of the Door Schedule, A00.30) and the aluminium storefront AF-2 with GL-2 glazing is Division 08. Only the bulkhead above the officefront and its framing are ours.</t>
  </si>
  <si>
    <t xml:space="preserve">Confirmed as scope by Rodolfo; the drawing note is quoted in Clarifications.</t>
  </si>
  <si>
    <t xml:space="preserve">South zone deck height taken at the HIGH end</t>
  </si>
  <si>
    <t xml:space="preserve">In the sloped bay the B.O.D. runs from 13'-0 5/8" to 12'-6 3/8". The quote uses the high end of each wall, interpolated at the y of that wall by bod_s(y), because studs are cut to the highest condition of the zone. Total variation of the zone is 6 1/4".</t>
  </si>
  <si>
    <t xml:space="preserve">Criterion adopted and recorded 2026-09-15; it moves under 1% of the board SF.</t>
  </si>
  <si>
    <t xml:space="preserve">Track-to-slab fastener spacing at 12" O.C.</t>
  </si>
  <si>
    <t xml:space="preserve">Three values live in the set: 12" O.C. (SILL TRACK ANCHORAGE of 7/S5.20, interior walls), 16" O.C. (FASTENER SCHEDULE next to 3/S5.20) and 2'-0" O.C. (the box of 4/A12.01, which governs its own type). The tightest, 12" O.C., is quoted and the difference goes to Clarifications and to Pending Items #4.</t>
  </si>
  <si>
    <t xml:space="preserve">Criterion adopted; it is an open RFI, priced on the safe side meanwhile.</t>
  </si>
  <si>
    <t xml:space="preserve">Cementitious backer board under any tile</t>
  </si>
  <si>
    <t xml:space="preserve">Trade judgement that prevails over what the drawing shows, with the difference noted.</t>
  </si>
  <si>
    <t xml:space="preserve">Accesorios always include trims, taping, drywall screws, framing screws and track pins</t>
  </si>
  <si>
    <t xml:space="preserve">No line item is left out of the accessory group.</t>
  </si>
  <si>
    <t xml:space="preserve">Everything in English</t>
  </si>
  <si>
    <t xml:space="preserve">Material, tool, component, process and abbreviation names of the drywall and metal frame trades are written in English in every deliverable and in every response, enforced by verif_idioma.py and verif_respuesta.py.</t>
  </si>
  <si>
    <t xml:space="preserve">Permanent inviolable instruction from Rodolfo, 7-oct-2026, quoted in full in adenda v39.</t>
  </si>
</sst>
</file>

<file path=xl/styles.xml><?xml version="1.0" encoding="utf-8"?>
<styleSheet xmlns="http://schemas.openxmlformats.org/spreadsheetml/2006/main">
  <numFmts count="4">
    <numFmt numFmtId="164" formatCode="General"/>
    <numFmt numFmtId="165" formatCode="0.0%"/>
    <numFmt numFmtId="166" formatCode="#,##0.00"/>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55555"/>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10"/>
      <name val="Arial"/>
      <family val="0"/>
      <charset val="1"/>
    </font>
    <font>
      <sz val="10"/>
      <color rgb="FF008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EDEDED"/>
        <bgColor rgb="FFD9E1F2"/>
      </patternFill>
    </fill>
    <fill>
      <patternFill patternType="solid">
        <fgColor rgb="FFD9E1F2"/>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76"/>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23.85" hidden="false" customHeight="false" outlineLevel="0" collapsed="false">
      <c r="A5" s="4" t="s">
        <v>5</v>
      </c>
      <c r="B5" s="5" t="n">
        <v>0.15</v>
      </c>
      <c r="C5" s="6" t="s">
        <v>6</v>
      </c>
    </row>
    <row r="6" customFormat="false" ht="46.25" hidden="false" customHeight="false" outlineLevel="0" collapsed="false">
      <c r="A6" s="4" t="s">
        <v>7</v>
      </c>
      <c r="B6" s="5" t="n">
        <v>0.06</v>
      </c>
      <c r="C6" s="6" t="s">
        <v>8</v>
      </c>
    </row>
    <row r="7" customFormat="false" ht="15" hidden="false" customHeight="false" outlineLevel="0" collapsed="false">
      <c r="A7" s="4" t="s">
        <v>9</v>
      </c>
      <c r="B7" s="7" t="n">
        <v>4</v>
      </c>
      <c r="C7" s="6" t="s">
        <v>10</v>
      </c>
    </row>
    <row r="8" customFormat="false" ht="15" hidden="false" customHeight="false" outlineLevel="0" collapsed="false">
      <c r="A8" s="4" t="s">
        <v>11</v>
      </c>
      <c r="B8" s="7" t="n">
        <v>12</v>
      </c>
      <c r="C8" s="6" t="s">
        <v>12</v>
      </c>
    </row>
    <row r="9" customFormat="false" ht="15" hidden="false" customHeight="false" outlineLevel="0" collapsed="false">
      <c r="A9" s="4" t="s">
        <v>13</v>
      </c>
      <c r="B9" s="8" t="n">
        <f aca="false">B7*B8</f>
        <v>48</v>
      </c>
      <c r="C9" s="6" t="s">
        <v>14</v>
      </c>
    </row>
    <row r="10" customFormat="false" ht="15" hidden="false" customHeight="false" outlineLevel="0" collapsed="false">
      <c r="A10" s="4" t="s">
        <v>15</v>
      </c>
      <c r="B10" s="7" t="n">
        <v>20</v>
      </c>
      <c r="C10" s="6" t="s">
        <v>16</v>
      </c>
    </row>
    <row r="11" customFormat="false" ht="15" hidden="false" customHeight="false" outlineLevel="0" collapsed="false">
      <c r="A11" s="4" t="s">
        <v>17</v>
      </c>
      <c r="B11" s="7" t="n">
        <v>10</v>
      </c>
      <c r="C11" s="6" t="s">
        <v>18</v>
      </c>
    </row>
    <row r="12" customFormat="false" ht="23.85" hidden="false" customHeight="false" outlineLevel="0" collapsed="false">
      <c r="A12" s="4" t="s">
        <v>19</v>
      </c>
      <c r="B12" s="7" t="n">
        <v>18</v>
      </c>
      <c r="C12" s="6" t="s">
        <v>20</v>
      </c>
    </row>
    <row r="13" customFormat="false" ht="15" hidden="false" customHeight="false" outlineLevel="0" collapsed="false">
      <c r="A13" s="4" t="s">
        <v>21</v>
      </c>
      <c r="B13" s="7" t="n">
        <v>15.375</v>
      </c>
      <c r="C13" s="6" t="s">
        <v>22</v>
      </c>
    </row>
    <row r="14" customFormat="false" ht="15" hidden="false" customHeight="false" outlineLevel="0" collapsed="false">
      <c r="A14" s="4" t="s">
        <v>23</v>
      </c>
      <c r="B14" s="7" t="n">
        <v>17.75</v>
      </c>
      <c r="C14" s="6" t="s">
        <v>24</v>
      </c>
    </row>
    <row r="15" customFormat="false" ht="15" hidden="false" customHeight="false" outlineLevel="0" collapsed="false">
      <c r="A15" s="4" t="s">
        <v>25</v>
      </c>
      <c r="B15" s="7" t="n">
        <v>25</v>
      </c>
      <c r="C15" s="6" t="s">
        <v>26</v>
      </c>
    </row>
    <row r="16" customFormat="false" ht="15" hidden="false" customHeight="false" outlineLevel="0" collapsed="false">
      <c r="A16" s="4" t="s">
        <v>27</v>
      </c>
      <c r="B16" s="7" t="n">
        <v>16</v>
      </c>
      <c r="C16" s="6" t="s">
        <v>28</v>
      </c>
    </row>
    <row r="17" customFormat="false" ht="15" hidden="false" customHeight="false" outlineLevel="0" collapsed="false">
      <c r="A17" s="4" t="s">
        <v>29</v>
      </c>
      <c r="B17" s="7" t="n">
        <v>12</v>
      </c>
      <c r="C17" s="6" t="s">
        <v>30</v>
      </c>
    </row>
    <row r="18" customFormat="false" ht="23.85" hidden="false" customHeight="false" outlineLevel="0" collapsed="false">
      <c r="A18" s="4" t="s">
        <v>31</v>
      </c>
      <c r="B18" s="7" t="n">
        <v>10</v>
      </c>
      <c r="C18" s="6" t="s">
        <v>32</v>
      </c>
    </row>
    <row r="19" customFormat="false" ht="68.65" hidden="false" customHeight="false" outlineLevel="0" collapsed="false">
      <c r="A19" s="4" t="s">
        <v>33</v>
      </c>
      <c r="B19" s="9"/>
      <c r="C19" s="6" t="s">
        <v>34</v>
      </c>
    </row>
    <row r="20" customFormat="false" ht="23.85" hidden="false" customHeight="false" outlineLevel="0" collapsed="false">
      <c r="A20" s="4" t="s">
        <v>35</v>
      </c>
      <c r="B20" s="7" t="n">
        <v>1.2</v>
      </c>
      <c r="C20" s="6" t="s">
        <v>36</v>
      </c>
    </row>
    <row r="21" customFormat="false" ht="15" hidden="false" customHeight="false" outlineLevel="0" collapsed="false">
      <c r="A21" s="4" t="s">
        <v>37</v>
      </c>
      <c r="B21" s="7" t="n">
        <v>4</v>
      </c>
      <c r="C21" s="6" t="s">
        <v>38</v>
      </c>
    </row>
    <row r="22" customFormat="false" ht="23.85" hidden="false" customHeight="false" outlineLevel="0" collapsed="false">
      <c r="A22" s="4" t="s">
        <v>39</v>
      </c>
      <c r="B22" s="7" t="n">
        <v>2</v>
      </c>
      <c r="C22" s="6" t="s">
        <v>40</v>
      </c>
    </row>
    <row r="23" customFormat="false" ht="15" hidden="false" customHeight="false" outlineLevel="0" collapsed="false">
      <c r="A23" s="4" t="s">
        <v>41</v>
      </c>
      <c r="B23" s="7" t="n">
        <v>0.072</v>
      </c>
      <c r="C23" s="6" t="s">
        <v>42</v>
      </c>
    </row>
    <row r="24" customFormat="false" ht="15" hidden="false" customHeight="false" outlineLevel="0" collapsed="false">
      <c r="A24" s="4" t="s">
        <v>43</v>
      </c>
      <c r="B24" s="7" t="n">
        <v>0.37</v>
      </c>
      <c r="C24" s="6" t="s">
        <v>44</v>
      </c>
    </row>
    <row r="26" customFormat="false" ht="15" hidden="false" customHeight="false" outlineLevel="0" collapsed="false">
      <c r="A26" s="10" t="s">
        <v>45</v>
      </c>
    </row>
    <row r="27" customFormat="false" ht="15" hidden="false" customHeight="false" outlineLevel="0" collapsed="false">
      <c r="A27" s="11" t="s">
        <v>46</v>
      </c>
    </row>
    <row r="28" customFormat="false" ht="15" hidden="false" customHeight="false" outlineLevel="0" collapsed="false">
      <c r="A28" s="12" t="s">
        <v>47</v>
      </c>
    </row>
    <row r="29" customFormat="false" ht="15" hidden="false" customHeight="false" outlineLevel="0" collapsed="false">
      <c r="A29" s="13" t="s">
        <v>48</v>
      </c>
    </row>
    <row r="31" customFormat="false" ht="15" hidden="false" customHeight="false" outlineLevel="0" collapsed="false">
      <c r="A31" s="10" t="s">
        <v>49</v>
      </c>
    </row>
    <row r="32" customFormat="false" ht="15" hidden="false" customHeight="false" outlineLevel="0" collapsed="false">
      <c r="A32" s="2"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7"/>
    <col collapsed="false" customWidth="true" hidden="false" outlineLevel="0" max="4" min="3" style="0" width="11"/>
    <col collapsed="false" customWidth="true" hidden="false" outlineLevel="0" max="5" min="5" style="0" width="7"/>
    <col collapsed="false" customWidth="true" hidden="false" outlineLevel="0" max="6" min="6" style="0" width="10"/>
    <col collapsed="false" customWidth="true" hidden="false" outlineLevel="0" max="7" min="7" style="0" width="9"/>
    <col collapsed="false" customWidth="true" hidden="false" outlineLevel="0" max="8" min="8" style="0" width="12"/>
    <col collapsed="false" customWidth="true" hidden="false" outlineLevel="0" max="10" min="9" style="0" width="13"/>
    <col collapsed="false" customWidth="true" hidden="false" outlineLevel="0" max="11" min="11" style="0" width="12"/>
    <col collapsed="false" customWidth="true" hidden="false" outlineLevel="0" max="13" min="12" style="0" width="10"/>
    <col collapsed="false" customWidth="true" hidden="false" outlineLevel="0" max="14" min="14" style="0" width="12"/>
    <col collapsed="false" customWidth="true" hidden="false" outlineLevel="0" max="15" min="15" style="0" width="11"/>
    <col collapsed="false" customWidth="true" hidden="false" outlineLevel="0" max="16" min="16" style="0" width="10"/>
    <col collapsed="false" customWidth="true" hidden="false" outlineLevel="0" max="17" min="17" style="0" width="12"/>
    <col collapsed="false" customWidth="true" hidden="false" outlineLevel="0" max="18" min="18" style="0" width="14"/>
    <col collapsed="false" customWidth="true" hidden="false" outlineLevel="0" max="19" min="19" style="0" width="11"/>
    <col collapsed="false" customWidth="true" hidden="false" outlineLevel="0" max="20" min="20" style="0" width="9"/>
    <col collapsed="false" customWidth="true" hidden="false" outlineLevel="0" max="22" min="21" style="0" width="11"/>
    <col collapsed="false" customWidth="true" hidden="false" outlineLevel="0" max="23" min="23" style="0" width="15"/>
    <col collapsed="false" customWidth="true" hidden="false" outlineLevel="0" max="25" min="24" style="0" width="14"/>
    <col collapsed="false" customWidth="true" hidden="false" outlineLevel="0" max="26" min="26" style="0" width="12"/>
    <col collapsed="false" customWidth="true" hidden="false" outlineLevel="0" max="27" min="27" style="0" width="13"/>
    <col collapsed="false" customWidth="true" hidden="false" outlineLevel="0" max="28" min="28" style="0" width="12"/>
    <col collapsed="false" customWidth="true" hidden="false" outlineLevel="0" max="29" min="29" style="0" width="14"/>
    <col collapsed="false" customWidth="true" hidden="false" outlineLevel="0" max="30" min="30" style="0" width="15"/>
    <col collapsed="false" customWidth="true" hidden="false" outlineLevel="0" max="32" min="31" style="0" width="11"/>
    <col collapsed="false" customWidth="true" hidden="false" outlineLevel="0" max="33" min="33" style="0" width="13"/>
    <col collapsed="false" customWidth="true" hidden="false" outlineLevel="0" max="34" min="34" style="0" width="11"/>
    <col collapsed="false" customWidth="true" hidden="false" outlineLevel="0" max="35" min="35" style="0" width="26"/>
    <col collapsed="false" customWidth="true" hidden="false" outlineLevel="0" max="36" min="36" style="0" width="10"/>
    <col collapsed="false" customWidth="true" hidden="false" outlineLevel="0" max="37" min="37" style="0" width="46"/>
    <col collapsed="false" customWidth="true" hidden="false" outlineLevel="0" max="38" min="38" style="0" width="14"/>
    <col collapsed="false" customWidth="true" hidden="false" outlineLevel="0" max="40" min="39" style="0" width="16"/>
    <col collapsed="false" customWidth="true" hidden="false" outlineLevel="0" max="41" min="41" style="0" width="15"/>
    <col collapsed="false" customWidth="true" hidden="false" outlineLevel="0" max="42" min="42" style="0" width="78"/>
  </cols>
  <sheetData>
    <row r="1" customFormat="false" ht="16.15" hidden="false" customHeight="false" outlineLevel="0" collapsed="false">
      <c r="A1" s="1" t="s">
        <v>51</v>
      </c>
    </row>
    <row r="2" customFormat="false" ht="15" hidden="false" customHeight="false" outlineLevel="0" collapsed="false">
      <c r="A2" s="2" t="s">
        <v>52</v>
      </c>
    </row>
    <row r="4" customFormat="false" ht="33.75" hidden="false" customHeight="true" outlineLevel="0" collapsed="false">
      <c r="A4" s="14" t="s">
        <v>53</v>
      </c>
      <c r="B4" s="14" t="s">
        <v>54</v>
      </c>
      <c r="C4" s="14" t="s">
        <v>55</v>
      </c>
      <c r="D4" s="14" t="s">
        <v>56</v>
      </c>
      <c r="E4" s="14" t="s">
        <v>57</v>
      </c>
      <c r="F4" s="14" t="s">
        <v>58</v>
      </c>
      <c r="G4" s="14" t="s">
        <v>59</v>
      </c>
      <c r="H4" s="14" t="s">
        <v>60</v>
      </c>
      <c r="I4" s="14" t="s">
        <v>61</v>
      </c>
      <c r="J4" s="14" t="s">
        <v>62</v>
      </c>
      <c r="K4" s="14" t="s">
        <v>63</v>
      </c>
      <c r="L4" s="14" t="s">
        <v>64</v>
      </c>
      <c r="M4" s="14" t="s">
        <v>65</v>
      </c>
      <c r="N4" s="14" t="s">
        <v>66</v>
      </c>
      <c r="O4" s="14" t="s">
        <v>67</v>
      </c>
      <c r="P4" s="14" t="s">
        <v>68</v>
      </c>
      <c r="Q4" s="14" t="s">
        <v>69</v>
      </c>
      <c r="R4" s="14" t="s">
        <v>70</v>
      </c>
      <c r="S4" s="14" t="s">
        <v>71</v>
      </c>
      <c r="T4" s="14" t="s">
        <v>72</v>
      </c>
      <c r="U4" s="14" t="s">
        <v>73</v>
      </c>
      <c r="V4" s="14" t="s">
        <v>74</v>
      </c>
      <c r="W4" s="14" t="s">
        <v>75</v>
      </c>
      <c r="X4" s="14" t="s">
        <v>76</v>
      </c>
      <c r="Y4" s="14" t="s">
        <v>77</v>
      </c>
      <c r="Z4" s="14" t="s">
        <v>78</v>
      </c>
      <c r="AA4" s="14" t="s">
        <v>79</v>
      </c>
      <c r="AB4" s="14" t="s">
        <v>80</v>
      </c>
      <c r="AC4" s="14" t="s">
        <v>81</v>
      </c>
      <c r="AD4" s="14" t="s">
        <v>82</v>
      </c>
      <c r="AE4" s="14" t="s">
        <v>83</v>
      </c>
      <c r="AF4" s="14" t="s">
        <v>84</v>
      </c>
      <c r="AG4" s="14" t="s">
        <v>85</v>
      </c>
      <c r="AH4" s="14" t="s">
        <v>86</v>
      </c>
      <c r="AI4" s="14" t="s">
        <v>87</v>
      </c>
      <c r="AJ4" s="14" t="s">
        <v>88</v>
      </c>
      <c r="AK4" s="14" t="s">
        <v>89</v>
      </c>
      <c r="AL4" s="14" t="s">
        <v>90</v>
      </c>
      <c r="AM4" s="14" t="s">
        <v>91</v>
      </c>
      <c r="AN4" s="14" t="s">
        <v>92</v>
      </c>
      <c r="AO4" s="14" t="s">
        <v>93</v>
      </c>
      <c r="AP4" s="14" t="s">
        <v>94</v>
      </c>
    </row>
    <row r="5" customFormat="false" ht="15" hidden="false" customHeight="false" outlineLevel="0" collapsed="false">
      <c r="A5" s="15" t="s">
        <v>95</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row>
    <row r="6" customFormat="false" ht="57.45" hidden="false" customHeight="false" outlineLevel="0" collapsed="false">
      <c r="A6" s="6" t="s">
        <v>96</v>
      </c>
      <c r="B6" s="17" t="n">
        <v>8</v>
      </c>
      <c r="C6" s="7" t="n">
        <v>17.06</v>
      </c>
      <c r="D6" s="7" t="n">
        <v>12.89</v>
      </c>
      <c r="E6" s="18" t="n">
        <v>1.95</v>
      </c>
      <c r="F6" s="19" t="s">
        <v>97</v>
      </c>
      <c r="G6" s="20" t="n">
        <v>21</v>
      </c>
      <c r="H6" s="8" t="n">
        <f aca="false">IF($F6="6""",$AL6,0)</f>
        <v>0</v>
      </c>
      <c r="I6" s="8" t="n">
        <f aca="false">IF($F6="3-5/8""",$AL6,0)</f>
        <v>270.69</v>
      </c>
      <c r="J6" s="8" t="n">
        <f aca="false">IF($F6="1-5/8""",$AL6,0)</f>
        <v>0</v>
      </c>
      <c r="K6" s="21" t="n">
        <f aca="false">SUMIFS('Board by Face'!$I$5:$I$115,'Board by Face'!$A$5:$A$115,$B6)</f>
        <v>349.6456</v>
      </c>
      <c r="L6" s="8"/>
      <c r="M6" s="8"/>
      <c r="N6" s="8"/>
      <c r="O6" s="8"/>
      <c r="P6" s="8"/>
      <c r="Q6" s="8" t="n">
        <v>17.06</v>
      </c>
      <c r="R6" s="8" t="n">
        <v>17.06</v>
      </c>
      <c r="S6" s="8" t="n">
        <v>51.18</v>
      </c>
      <c r="T6" s="18"/>
      <c r="U6" s="8" t="n">
        <v>21.97</v>
      </c>
      <c r="V6" s="8"/>
      <c r="W6" s="8"/>
      <c r="X6" s="8"/>
      <c r="Y6" s="8"/>
      <c r="Z6" s="8"/>
      <c r="AA6" s="8" t="n">
        <v>106.66</v>
      </c>
      <c r="AB6" s="8"/>
      <c r="AC6" s="8"/>
      <c r="AD6" s="8"/>
      <c r="AE6" s="18"/>
      <c r="AF6" s="8" t="n">
        <v>34.12</v>
      </c>
      <c r="AG6" s="8" t="n">
        <v>3.33</v>
      </c>
      <c r="AH6" s="8"/>
      <c r="AI6" s="22" t="s">
        <v>98</v>
      </c>
      <c r="AJ6" s="4" t="s">
        <v>99</v>
      </c>
      <c r="AK6" s="22" t="s">
        <v>100</v>
      </c>
      <c r="AL6" s="7" t="n">
        <v>270.69</v>
      </c>
      <c r="AM6" s="8"/>
      <c r="AN6" s="8"/>
      <c r="AO6" s="8"/>
      <c r="AP6" s="22" t="s">
        <v>101</v>
      </c>
    </row>
    <row r="7" customFormat="false" ht="46.25" hidden="false" customHeight="false" outlineLevel="0" collapsed="false">
      <c r="A7" s="6" t="s">
        <v>102</v>
      </c>
      <c r="B7" s="17" t="n">
        <v>1</v>
      </c>
      <c r="C7" s="7" t="n">
        <v>16.42</v>
      </c>
      <c r="D7" s="7" t="n">
        <v>15.375</v>
      </c>
      <c r="E7" s="18" t="n">
        <v>2</v>
      </c>
      <c r="F7" s="19" t="s">
        <v>97</v>
      </c>
      <c r="G7" s="20" t="n">
        <v>16</v>
      </c>
      <c r="H7" s="8" t="n">
        <f aca="false">IF($F7="6""",$AL7,0)</f>
        <v>0</v>
      </c>
      <c r="I7" s="8" t="n">
        <f aca="false">IF($F7="3-5/8""",$AL7,0)</f>
        <v>246</v>
      </c>
      <c r="J7" s="8" t="n">
        <f aca="false">IF($F7="1-5/8""",$AL7,0)</f>
        <v>0</v>
      </c>
      <c r="K7" s="21" t="n">
        <f aca="false">SUMIFS('Board by Face'!$I$5:$I$115,'Board by Face'!$A$5:$A$115,$B7)</f>
        <v>344.82</v>
      </c>
      <c r="L7" s="8"/>
      <c r="M7" s="8"/>
      <c r="N7" s="8"/>
      <c r="O7" s="8"/>
      <c r="P7" s="8"/>
      <c r="Q7" s="8" t="n">
        <v>16.42</v>
      </c>
      <c r="R7" s="8" t="n">
        <v>16.42</v>
      </c>
      <c r="S7" s="8" t="n">
        <v>49.26</v>
      </c>
      <c r="T7" s="18"/>
      <c r="U7" s="8" t="n">
        <v>32.84</v>
      </c>
      <c r="V7" s="8"/>
      <c r="W7" s="8"/>
      <c r="X7" s="8"/>
      <c r="Y7" s="8"/>
      <c r="Z7" s="8"/>
      <c r="AA7" s="8"/>
      <c r="AB7" s="8"/>
      <c r="AC7" s="8"/>
      <c r="AD7" s="8"/>
      <c r="AE7" s="18"/>
      <c r="AF7" s="8" t="n">
        <v>32.84</v>
      </c>
      <c r="AG7" s="8"/>
      <c r="AH7" s="8"/>
      <c r="AI7" s="22" t="s">
        <v>103</v>
      </c>
      <c r="AJ7" s="4" t="s">
        <v>99</v>
      </c>
      <c r="AK7" s="22" t="s">
        <v>104</v>
      </c>
      <c r="AL7" s="7" t="n">
        <v>246</v>
      </c>
      <c r="AM7" s="8"/>
      <c r="AN7" s="8"/>
      <c r="AO7" s="8"/>
      <c r="AP7" s="22" t="s">
        <v>105</v>
      </c>
    </row>
    <row r="8" customFormat="false" ht="46.25" hidden="false" customHeight="false" outlineLevel="0" collapsed="false">
      <c r="A8" s="6" t="s">
        <v>106</v>
      </c>
      <c r="B8" s="17" t="n">
        <v>5</v>
      </c>
      <c r="C8" s="7" t="n">
        <v>15.23</v>
      </c>
      <c r="D8" s="7" t="n">
        <v>12.971</v>
      </c>
      <c r="E8" s="18" t="n">
        <v>2</v>
      </c>
      <c r="F8" s="19" t="s">
        <v>97</v>
      </c>
      <c r="G8" s="20" t="n">
        <v>14</v>
      </c>
      <c r="H8" s="8" t="n">
        <f aca="false">IF($F8="6""",$AL8,0)</f>
        <v>0</v>
      </c>
      <c r="I8" s="8" t="n">
        <f aca="false">IF($F8="3-5/8""",$AL8,0)</f>
        <v>181.59</v>
      </c>
      <c r="J8" s="8" t="n">
        <f aca="false">IF($F8="1-5/8""",$AL8,0)</f>
        <v>0</v>
      </c>
      <c r="K8" s="21" t="n">
        <f aca="false">SUMIFS('Board by Face'!$I$5:$I$115,'Board by Face'!$A$5:$A$115,$B8)</f>
        <v>274.14</v>
      </c>
      <c r="L8" s="8"/>
      <c r="M8" s="8"/>
      <c r="N8" s="8"/>
      <c r="O8" s="8"/>
      <c r="P8" s="8"/>
      <c r="Q8" s="8" t="n">
        <v>15.23</v>
      </c>
      <c r="R8" s="8" t="n">
        <v>15.23</v>
      </c>
      <c r="S8" s="8" t="n">
        <v>45.69</v>
      </c>
      <c r="T8" s="18"/>
      <c r="U8" s="8" t="n">
        <v>40.46</v>
      </c>
      <c r="V8" s="8"/>
      <c r="W8" s="8"/>
      <c r="X8" s="8"/>
      <c r="Y8" s="8"/>
      <c r="Z8" s="8"/>
      <c r="AA8" s="8"/>
      <c r="AB8" s="8"/>
      <c r="AC8" s="8"/>
      <c r="AD8" s="8"/>
      <c r="AE8" s="18"/>
      <c r="AF8" s="8" t="n">
        <v>30.46</v>
      </c>
      <c r="AG8" s="8"/>
      <c r="AH8" s="8"/>
      <c r="AI8" s="22" t="s">
        <v>103</v>
      </c>
      <c r="AJ8" s="4" t="s">
        <v>99</v>
      </c>
      <c r="AK8" s="22" t="s">
        <v>107</v>
      </c>
      <c r="AL8" s="7" t="n">
        <v>181.59</v>
      </c>
      <c r="AM8" s="8"/>
      <c r="AN8" s="8"/>
      <c r="AO8" s="8"/>
      <c r="AP8" s="22" t="s">
        <v>108</v>
      </c>
    </row>
    <row r="9" customFormat="false" ht="53.7" hidden="false" customHeight="false" outlineLevel="0" collapsed="false">
      <c r="A9" s="6" t="s">
        <v>109</v>
      </c>
      <c r="B9" s="17" t="n">
        <v>9</v>
      </c>
      <c r="C9" s="7" t="n">
        <v>11.667</v>
      </c>
      <c r="D9" s="7" t="n">
        <v>12.775</v>
      </c>
      <c r="E9" s="18" t="n">
        <v>2</v>
      </c>
      <c r="F9" s="19" t="s">
        <v>97</v>
      </c>
      <c r="G9" s="20" t="n">
        <v>23</v>
      </c>
      <c r="H9" s="8" t="n">
        <f aca="false">IF($F9="6""",$AL9,0)</f>
        <v>0</v>
      </c>
      <c r="I9" s="8" t="n">
        <f aca="false">IF($F9="3-5/8""",$AL9,0)</f>
        <v>293.82</v>
      </c>
      <c r="J9" s="8" t="n">
        <f aca="false">IF($F9="1-5/8""",$AL9,0)</f>
        <v>0</v>
      </c>
      <c r="K9" s="21" t="n">
        <f aca="false">SUMIFS('Board by Face'!$I$5:$I$115,'Board by Face'!$A$5:$A$115,$B9)</f>
        <v>169.235</v>
      </c>
      <c r="L9" s="8"/>
      <c r="M9" s="8"/>
      <c r="N9" s="8"/>
      <c r="O9" s="8"/>
      <c r="P9" s="8"/>
      <c r="Q9" s="8" t="n">
        <v>11.667</v>
      </c>
      <c r="R9" s="8" t="n">
        <v>11.667</v>
      </c>
      <c r="S9" s="8" t="n">
        <v>35</v>
      </c>
      <c r="T9" s="18"/>
      <c r="U9" s="8" t="n">
        <v>46.27</v>
      </c>
      <c r="V9" s="8"/>
      <c r="W9" s="8"/>
      <c r="X9" s="8"/>
      <c r="Y9" s="8"/>
      <c r="Z9" s="8"/>
      <c r="AA9" s="8"/>
      <c r="AB9" s="8"/>
      <c r="AC9" s="8"/>
      <c r="AD9" s="8"/>
      <c r="AE9" s="18"/>
      <c r="AF9" s="8" t="n">
        <v>23.33</v>
      </c>
      <c r="AG9" s="8" t="n">
        <v>5.33</v>
      </c>
      <c r="AH9" s="8" t="n">
        <v>2</v>
      </c>
      <c r="AI9" s="22" t="s">
        <v>110</v>
      </c>
      <c r="AJ9" s="4" t="s">
        <v>99</v>
      </c>
      <c r="AK9" s="22" t="s">
        <v>111</v>
      </c>
      <c r="AL9" s="7" t="n">
        <v>293.82</v>
      </c>
      <c r="AM9" s="8"/>
      <c r="AN9" s="8"/>
      <c r="AO9" s="8"/>
      <c r="AP9" s="22" t="s">
        <v>112</v>
      </c>
    </row>
    <row r="10" customFormat="false" ht="46.25" hidden="false" customHeight="false" outlineLevel="0" collapsed="false">
      <c r="A10" s="6" t="s">
        <v>113</v>
      </c>
      <c r="B10" s="17" t="n">
        <v>6</v>
      </c>
      <c r="C10" s="7" t="n">
        <v>5.5</v>
      </c>
      <c r="D10" s="7" t="n">
        <v>12.927</v>
      </c>
      <c r="E10" s="18" t="n">
        <v>2</v>
      </c>
      <c r="F10" s="19" t="s">
        <v>97</v>
      </c>
      <c r="G10" s="20" t="n">
        <v>11</v>
      </c>
      <c r="H10" s="8" t="n">
        <f aca="false">IF($F10="6""",$AL10,0)</f>
        <v>0</v>
      </c>
      <c r="I10" s="8" t="n">
        <f aca="false">IF($F10="3-5/8""",$AL10,0)</f>
        <v>142.2</v>
      </c>
      <c r="J10" s="8" t="n">
        <f aca="false">IF($F10="1-5/8""",$AL10,0)</f>
        <v>0</v>
      </c>
      <c r="K10" s="21" t="n">
        <f aca="false">SUMIFS('Board by Face'!$I$5:$I$115,'Board by Face'!$A$5:$A$115,$B10)</f>
        <v>48.43</v>
      </c>
      <c r="L10" s="8"/>
      <c r="M10" s="8"/>
      <c r="N10" s="8"/>
      <c r="O10" s="8"/>
      <c r="P10" s="8"/>
      <c r="Q10" s="8" t="n">
        <v>5.5</v>
      </c>
      <c r="R10" s="8" t="n">
        <v>5.5</v>
      </c>
      <c r="S10" s="8" t="n">
        <v>16.5</v>
      </c>
      <c r="T10" s="18"/>
      <c r="U10" s="8" t="n">
        <v>13</v>
      </c>
      <c r="V10" s="8"/>
      <c r="W10" s="8"/>
      <c r="X10" s="8"/>
      <c r="Y10" s="8"/>
      <c r="Z10" s="8"/>
      <c r="AA10" s="8"/>
      <c r="AB10" s="8"/>
      <c r="AC10" s="8"/>
      <c r="AD10" s="8"/>
      <c r="AE10" s="18"/>
      <c r="AF10" s="8" t="n">
        <v>11</v>
      </c>
      <c r="AG10" s="8" t="n">
        <v>3.33</v>
      </c>
      <c r="AH10" s="8"/>
      <c r="AI10" s="22" t="s">
        <v>114</v>
      </c>
      <c r="AJ10" s="4" t="s">
        <v>99</v>
      </c>
      <c r="AK10" s="22" t="s">
        <v>115</v>
      </c>
      <c r="AL10" s="7" t="n">
        <v>142.2</v>
      </c>
      <c r="AM10" s="8"/>
      <c r="AN10" s="8"/>
      <c r="AO10" s="8"/>
      <c r="AP10" s="22" t="s">
        <v>116</v>
      </c>
    </row>
    <row r="11" customFormat="false" ht="46.25" hidden="false" customHeight="false" outlineLevel="0" collapsed="false">
      <c r="A11" s="6" t="s">
        <v>117</v>
      </c>
      <c r="B11" s="17" t="n">
        <v>4</v>
      </c>
      <c r="C11" s="7" t="n">
        <v>5</v>
      </c>
      <c r="D11" s="7" t="n">
        <v>15.375</v>
      </c>
      <c r="E11" s="18" t="n">
        <v>2</v>
      </c>
      <c r="F11" s="19" t="s">
        <v>97</v>
      </c>
      <c r="G11" s="20" t="n">
        <v>10</v>
      </c>
      <c r="H11" s="8" t="n">
        <f aca="false">IF($F11="6""",$AL11,0)</f>
        <v>0</v>
      </c>
      <c r="I11" s="8" t="n">
        <f aca="false">IF($F11="3-5/8""",$AL11,0)</f>
        <v>153.75</v>
      </c>
      <c r="J11" s="8" t="n">
        <f aca="false">IF($F11="1-5/8""",$AL11,0)</f>
        <v>0</v>
      </c>
      <c r="K11" s="21" t="n">
        <f aca="false">SUMIFS('Board by Face'!$I$5:$I$115,'Board by Face'!$A$5:$A$115,$B11)</f>
        <v>36.68</v>
      </c>
      <c r="L11" s="8"/>
      <c r="M11" s="8"/>
      <c r="N11" s="8"/>
      <c r="O11" s="8"/>
      <c r="P11" s="8"/>
      <c r="Q11" s="8" t="n">
        <v>5</v>
      </c>
      <c r="R11" s="8" t="n">
        <v>5</v>
      </c>
      <c r="S11" s="8" t="n">
        <v>15</v>
      </c>
      <c r="T11" s="18"/>
      <c r="U11" s="8" t="n">
        <v>12</v>
      </c>
      <c r="V11" s="8"/>
      <c r="W11" s="8"/>
      <c r="X11" s="8"/>
      <c r="Y11" s="8"/>
      <c r="Z11" s="8"/>
      <c r="AA11" s="8"/>
      <c r="AB11" s="8"/>
      <c r="AC11" s="8"/>
      <c r="AD11" s="8"/>
      <c r="AE11" s="18"/>
      <c r="AF11" s="8" t="n">
        <v>10</v>
      </c>
      <c r="AG11" s="8" t="n">
        <v>3.33</v>
      </c>
      <c r="AH11" s="8"/>
      <c r="AI11" s="22" t="s">
        <v>118</v>
      </c>
      <c r="AJ11" s="4" t="s">
        <v>99</v>
      </c>
      <c r="AK11" s="22" t="s">
        <v>119</v>
      </c>
      <c r="AL11" s="7" t="n">
        <v>153.75</v>
      </c>
      <c r="AM11" s="8"/>
      <c r="AN11" s="8"/>
      <c r="AO11" s="8"/>
      <c r="AP11" s="22" t="s">
        <v>116</v>
      </c>
    </row>
    <row r="12" customFormat="false" ht="46.25" hidden="false" customHeight="false" outlineLevel="0" collapsed="false">
      <c r="A12" s="6" t="s">
        <v>120</v>
      </c>
      <c r="B12" s="17" t="n">
        <v>2</v>
      </c>
      <c r="C12" s="7" t="n">
        <v>3.13</v>
      </c>
      <c r="D12" s="7" t="n">
        <v>15.375</v>
      </c>
      <c r="E12" s="18" t="n">
        <v>2</v>
      </c>
      <c r="F12" s="19" t="s">
        <v>97</v>
      </c>
      <c r="G12" s="20" t="n">
        <v>5</v>
      </c>
      <c r="H12" s="8" t="n">
        <f aca="false">IF($F12="6""",$AL12,0)</f>
        <v>0</v>
      </c>
      <c r="I12" s="8" t="n">
        <f aca="false">IF($F12="3-5/8""",$AL12,0)</f>
        <v>76.88</v>
      </c>
      <c r="J12" s="8" t="n">
        <f aca="false">IF($F12="1-5/8""",$AL12,0)</f>
        <v>0</v>
      </c>
      <c r="K12" s="21" t="n">
        <f aca="false">SUMIFS('Board by Face'!$I$5:$I$115,'Board by Face'!$A$5:$A$115,$B12)</f>
        <v>56.34</v>
      </c>
      <c r="L12" s="8"/>
      <c r="M12" s="8"/>
      <c r="N12" s="8"/>
      <c r="O12" s="8"/>
      <c r="P12" s="8"/>
      <c r="Q12" s="8" t="n">
        <v>3.13</v>
      </c>
      <c r="R12" s="8" t="n">
        <v>3.13</v>
      </c>
      <c r="S12" s="8" t="n">
        <v>9.39</v>
      </c>
      <c r="T12" s="18"/>
      <c r="U12" s="8" t="n">
        <v>12.52</v>
      </c>
      <c r="V12" s="8"/>
      <c r="W12" s="8"/>
      <c r="X12" s="8"/>
      <c r="Y12" s="8"/>
      <c r="Z12" s="8"/>
      <c r="AA12" s="8"/>
      <c r="AB12" s="8"/>
      <c r="AC12" s="8"/>
      <c r="AD12" s="8"/>
      <c r="AE12" s="18"/>
      <c r="AF12" s="8" t="n">
        <v>6.26</v>
      </c>
      <c r="AG12" s="8"/>
      <c r="AH12" s="8"/>
      <c r="AI12" s="22" t="s">
        <v>103</v>
      </c>
      <c r="AJ12" s="4" t="s">
        <v>99</v>
      </c>
      <c r="AK12" s="22" t="s">
        <v>121</v>
      </c>
      <c r="AL12" s="7" t="n">
        <v>76.88</v>
      </c>
      <c r="AM12" s="8"/>
      <c r="AN12" s="8"/>
      <c r="AO12" s="8"/>
      <c r="AP12" s="22" t="s">
        <v>122</v>
      </c>
    </row>
    <row r="13" customFormat="false" ht="46.25" hidden="false" customHeight="false" outlineLevel="0" collapsed="false">
      <c r="A13" s="6" t="s">
        <v>123</v>
      </c>
      <c r="B13" s="17" t="n">
        <v>3</v>
      </c>
      <c r="C13" s="7" t="n">
        <v>2.63</v>
      </c>
      <c r="D13" s="7" t="n">
        <v>15.375</v>
      </c>
      <c r="E13" s="18" t="n">
        <v>2</v>
      </c>
      <c r="F13" s="19" t="s">
        <v>97</v>
      </c>
      <c r="G13" s="20" t="n">
        <v>4</v>
      </c>
      <c r="H13" s="8" t="n">
        <f aca="false">IF($F13="6""",$AL13,0)</f>
        <v>0</v>
      </c>
      <c r="I13" s="8" t="n">
        <f aca="false">IF($F13="3-5/8""",$AL13,0)</f>
        <v>61.5</v>
      </c>
      <c r="J13" s="8" t="n">
        <f aca="false">IF($F13="1-5/8""",$AL13,0)</f>
        <v>0</v>
      </c>
      <c r="K13" s="21" t="n">
        <f aca="false">SUMIFS('Board by Face'!$I$5:$I$115,'Board by Face'!$A$5:$A$115,$B13)</f>
        <v>47.34</v>
      </c>
      <c r="L13" s="8"/>
      <c r="M13" s="8"/>
      <c r="N13" s="8"/>
      <c r="O13" s="8"/>
      <c r="P13" s="8"/>
      <c r="Q13" s="8" t="n">
        <v>2.63</v>
      </c>
      <c r="R13" s="8" t="n">
        <v>2.63</v>
      </c>
      <c r="S13" s="8" t="n">
        <v>7.89</v>
      </c>
      <c r="T13" s="18"/>
      <c r="U13" s="8" t="n">
        <v>5.26</v>
      </c>
      <c r="V13" s="8"/>
      <c r="W13" s="8"/>
      <c r="X13" s="8"/>
      <c r="Y13" s="8"/>
      <c r="Z13" s="8"/>
      <c r="AA13" s="8"/>
      <c r="AB13" s="8"/>
      <c r="AC13" s="8"/>
      <c r="AD13" s="8"/>
      <c r="AE13" s="18"/>
      <c r="AF13" s="8" t="n">
        <v>5.26</v>
      </c>
      <c r="AG13" s="8"/>
      <c r="AH13" s="8"/>
      <c r="AI13" s="22" t="s">
        <v>103</v>
      </c>
      <c r="AJ13" s="4" t="s">
        <v>99</v>
      </c>
      <c r="AK13" s="22" t="s">
        <v>124</v>
      </c>
      <c r="AL13" s="7" t="n">
        <v>61.5</v>
      </c>
      <c r="AM13" s="8"/>
      <c r="AN13" s="8"/>
      <c r="AO13" s="8"/>
      <c r="AP13" s="22" t="s">
        <v>125</v>
      </c>
    </row>
    <row r="14" customFormat="false" ht="46.25" hidden="false" customHeight="false" outlineLevel="0" collapsed="false">
      <c r="A14" s="6" t="s">
        <v>126</v>
      </c>
      <c r="B14" s="17" t="n">
        <v>7</v>
      </c>
      <c r="C14" s="7" t="n">
        <v>1.73</v>
      </c>
      <c r="D14" s="7" t="n">
        <v>12.963</v>
      </c>
      <c r="E14" s="18" t="n">
        <v>2</v>
      </c>
      <c r="F14" s="19" t="s">
        <v>97</v>
      </c>
      <c r="G14" s="20" t="n">
        <v>4</v>
      </c>
      <c r="H14" s="8" t="n">
        <f aca="false">IF($F14="6""",$AL14,0)</f>
        <v>0</v>
      </c>
      <c r="I14" s="8" t="n">
        <f aca="false">IF($F14="3-5/8""",$AL14,0)</f>
        <v>51.85</v>
      </c>
      <c r="J14" s="8" t="n">
        <f aca="false">IF($F14="1-5/8""",$AL14,0)</f>
        <v>0</v>
      </c>
      <c r="K14" s="21" t="n">
        <f aca="false">SUMIFS('Board by Face'!$I$5:$I$115,'Board by Face'!$A$5:$A$115,$B14)</f>
        <v>32.005</v>
      </c>
      <c r="L14" s="8"/>
      <c r="M14" s="8"/>
      <c r="N14" s="8"/>
      <c r="O14" s="8"/>
      <c r="P14" s="8"/>
      <c r="Q14" s="8" t="n">
        <v>1.73</v>
      </c>
      <c r="R14" s="8" t="n">
        <v>1.73</v>
      </c>
      <c r="S14" s="8" t="n">
        <v>5.19</v>
      </c>
      <c r="T14" s="18"/>
      <c r="U14" s="8" t="n">
        <v>3.46</v>
      </c>
      <c r="V14" s="8"/>
      <c r="W14" s="8"/>
      <c r="X14" s="8"/>
      <c r="Y14" s="8"/>
      <c r="Z14" s="8"/>
      <c r="AA14" s="8"/>
      <c r="AB14" s="8"/>
      <c r="AC14" s="8"/>
      <c r="AD14" s="8"/>
      <c r="AE14" s="18"/>
      <c r="AF14" s="8" t="n">
        <v>3.46</v>
      </c>
      <c r="AG14" s="8"/>
      <c r="AH14" s="8"/>
      <c r="AI14" s="22" t="s">
        <v>103</v>
      </c>
      <c r="AJ14" s="4" t="s">
        <v>99</v>
      </c>
      <c r="AK14" s="22" t="s">
        <v>127</v>
      </c>
      <c r="AL14" s="7" t="n">
        <v>51.85</v>
      </c>
      <c r="AM14" s="8"/>
      <c r="AN14" s="8"/>
      <c r="AO14" s="8"/>
      <c r="AP14" s="22" t="s">
        <v>105</v>
      </c>
    </row>
    <row r="15" customFormat="false" ht="15" hidden="false" customHeight="false" outlineLevel="0" collapsed="false">
      <c r="A15" s="15" t="s">
        <v>128</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row>
    <row r="16" customFormat="false" ht="57.45" hidden="false" customHeight="false" outlineLevel="0" collapsed="false">
      <c r="A16" s="6" t="s">
        <v>129</v>
      </c>
      <c r="B16" s="17" t="n">
        <v>11</v>
      </c>
      <c r="C16" s="7" t="n">
        <v>3.417</v>
      </c>
      <c r="D16" s="7" t="n">
        <v>15.375</v>
      </c>
      <c r="E16" s="18" t="n">
        <v>2</v>
      </c>
      <c r="F16" s="19" t="s">
        <v>97</v>
      </c>
      <c r="G16" s="20" t="n">
        <v>4</v>
      </c>
      <c r="H16" s="8" t="n">
        <f aca="false">IF($F16="6""",$AL16,0)</f>
        <v>0</v>
      </c>
      <c r="I16" s="8" t="n">
        <f aca="false">IF($F16="3-5/8""",$AL16,0)</f>
        <v>61.5</v>
      </c>
      <c r="J16" s="8" t="n">
        <f aca="false">IF($F16="1-5/8""",$AL16,0)</f>
        <v>0</v>
      </c>
      <c r="K16" s="21" t="n">
        <f aca="false">SUMIFS('Board by Face'!$I$5:$I$115,'Board by Face'!$A$5:$A$115,$B16)</f>
        <v>105.07275</v>
      </c>
      <c r="L16" s="8"/>
      <c r="M16" s="8"/>
      <c r="N16" s="8"/>
      <c r="O16" s="8"/>
      <c r="P16" s="8"/>
      <c r="Q16" s="8" t="n">
        <v>3.42</v>
      </c>
      <c r="R16" s="8" t="n">
        <v>3.42</v>
      </c>
      <c r="S16" s="8" t="n">
        <v>10.25</v>
      </c>
      <c r="T16" s="18"/>
      <c r="U16" s="8"/>
      <c r="V16" s="8"/>
      <c r="W16" s="8"/>
      <c r="X16" s="8"/>
      <c r="Y16" s="8" t="n">
        <v>27.34</v>
      </c>
      <c r="Z16" s="8" t="n">
        <v>25.2</v>
      </c>
      <c r="AA16" s="8"/>
      <c r="AB16" s="8"/>
      <c r="AC16" s="8" t="n">
        <v>6.83</v>
      </c>
      <c r="AD16" s="8"/>
      <c r="AE16" s="18" t="n">
        <v>6</v>
      </c>
      <c r="AF16" s="8" t="n">
        <v>13.67</v>
      </c>
      <c r="AG16" s="8"/>
      <c r="AH16" s="8"/>
      <c r="AI16" s="22" t="s">
        <v>103</v>
      </c>
      <c r="AJ16" s="4" t="s">
        <v>99</v>
      </c>
      <c r="AK16" s="22" t="s">
        <v>130</v>
      </c>
      <c r="AL16" s="7" t="n">
        <v>61.5</v>
      </c>
      <c r="AM16" s="8"/>
      <c r="AN16" s="8"/>
      <c r="AO16" s="8"/>
      <c r="AP16" s="22" t="s">
        <v>131</v>
      </c>
    </row>
    <row r="17" customFormat="false" ht="57.45" hidden="false" customHeight="false" outlineLevel="0" collapsed="false">
      <c r="A17" s="6" t="s">
        <v>132</v>
      </c>
      <c r="B17" s="17" t="n">
        <v>12</v>
      </c>
      <c r="C17" s="7" t="n">
        <v>3.413</v>
      </c>
      <c r="D17" s="7" t="n">
        <v>12.933</v>
      </c>
      <c r="E17" s="18" t="n">
        <v>2</v>
      </c>
      <c r="F17" s="19" t="s">
        <v>97</v>
      </c>
      <c r="G17" s="20" t="n">
        <v>4</v>
      </c>
      <c r="H17" s="8" t="n">
        <f aca="false">IF($F17="6""",$AL17,0)</f>
        <v>0</v>
      </c>
      <c r="I17" s="8" t="n">
        <f aca="false">IF($F17="3-5/8""",$AL17,0)</f>
        <v>51.73</v>
      </c>
      <c r="J17" s="8" t="n">
        <f aca="false">IF($F17="1-5/8""",$AL17,0)</f>
        <v>0</v>
      </c>
      <c r="K17" s="21" t="n">
        <f aca="false">SUMIFS('Board by Face'!$I$5:$I$115,'Board by Face'!$A$5:$A$115,$B17)</f>
        <v>88.280658</v>
      </c>
      <c r="L17" s="8"/>
      <c r="M17" s="8"/>
      <c r="N17" s="8"/>
      <c r="O17" s="8"/>
      <c r="P17" s="8"/>
      <c r="Q17" s="8" t="n">
        <v>3.41</v>
      </c>
      <c r="R17" s="8" t="n">
        <v>3.41</v>
      </c>
      <c r="S17" s="8" t="n">
        <v>10.24</v>
      </c>
      <c r="T17" s="18"/>
      <c r="U17" s="8"/>
      <c r="V17" s="8"/>
      <c r="W17" s="8"/>
      <c r="X17" s="8"/>
      <c r="Y17" s="8" t="n">
        <v>27.3</v>
      </c>
      <c r="Z17" s="8" t="n">
        <v>16.84</v>
      </c>
      <c r="AA17" s="8"/>
      <c r="AB17" s="8"/>
      <c r="AC17" s="8" t="n">
        <v>6.83</v>
      </c>
      <c r="AD17" s="8"/>
      <c r="AE17" s="18" t="n">
        <v>6</v>
      </c>
      <c r="AF17" s="8" t="n">
        <v>13.65</v>
      </c>
      <c r="AG17" s="8"/>
      <c r="AH17" s="8"/>
      <c r="AI17" s="22" t="s">
        <v>103</v>
      </c>
      <c r="AJ17" s="4" t="s">
        <v>99</v>
      </c>
      <c r="AK17" s="22" t="s">
        <v>133</v>
      </c>
      <c r="AL17" s="7" t="n">
        <v>51.73</v>
      </c>
      <c r="AM17" s="8"/>
      <c r="AN17" s="8"/>
      <c r="AO17" s="8"/>
      <c r="AP17" s="22" t="s">
        <v>131</v>
      </c>
    </row>
    <row r="18" customFormat="false" ht="57.45" hidden="false" customHeight="false" outlineLevel="0" collapsed="false">
      <c r="A18" s="6" t="s">
        <v>134</v>
      </c>
      <c r="B18" s="17" t="n">
        <v>13</v>
      </c>
      <c r="C18" s="7" t="n">
        <v>1.16</v>
      </c>
      <c r="D18" s="7" t="n">
        <v>12.921</v>
      </c>
      <c r="E18" s="18" t="n">
        <v>2</v>
      </c>
      <c r="F18" s="19" t="s">
        <v>97</v>
      </c>
      <c r="G18" s="20" t="n">
        <v>3</v>
      </c>
      <c r="H18" s="8" t="n">
        <f aca="false">IF($F18="6""",$AL18,0)</f>
        <v>0</v>
      </c>
      <c r="I18" s="8" t="n">
        <f aca="false">IF($F18="3-5/8""",$AL18,0)</f>
        <v>38.76</v>
      </c>
      <c r="J18" s="8" t="n">
        <f aca="false">IF($F18="1-5/8""",$AL18,0)</f>
        <v>0</v>
      </c>
      <c r="K18" s="21" t="n">
        <f aca="false">SUMIFS('Board by Face'!$I$5:$I$115,'Board by Face'!$A$5:$A$115,$B18)</f>
        <v>29.97672</v>
      </c>
      <c r="L18" s="8"/>
      <c r="M18" s="8"/>
      <c r="N18" s="8"/>
      <c r="O18" s="8"/>
      <c r="P18" s="8"/>
      <c r="Q18" s="8" t="n">
        <v>1.16</v>
      </c>
      <c r="R18" s="8" t="n">
        <v>1.16</v>
      </c>
      <c r="S18" s="8" t="n">
        <v>3.48</v>
      </c>
      <c r="T18" s="18"/>
      <c r="U18" s="8"/>
      <c r="V18" s="8"/>
      <c r="W18" s="8"/>
      <c r="X18" s="8"/>
      <c r="Y18" s="8" t="n">
        <v>9.28</v>
      </c>
      <c r="Z18" s="8" t="n">
        <v>5.71</v>
      </c>
      <c r="AA18" s="8"/>
      <c r="AB18" s="8"/>
      <c r="AC18" s="8" t="n">
        <v>2.32</v>
      </c>
      <c r="AD18" s="8"/>
      <c r="AE18" s="18" t="n">
        <v>4</v>
      </c>
      <c r="AF18" s="8" t="n">
        <v>4.64</v>
      </c>
      <c r="AG18" s="8"/>
      <c r="AH18" s="8"/>
      <c r="AI18" s="22" t="s">
        <v>103</v>
      </c>
      <c r="AJ18" s="4" t="s">
        <v>99</v>
      </c>
      <c r="AK18" s="22" t="s">
        <v>135</v>
      </c>
      <c r="AL18" s="7" t="n">
        <v>38.76</v>
      </c>
      <c r="AM18" s="8"/>
      <c r="AN18" s="8"/>
      <c r="AO18" s="8"/>
      <c r="AP18" s="22" t="s">
        <v>131</v>
      </c>
    </row>
    <row r="19" customFormat="false" ht="15" hidden="false" customHeight="false" outlineLevel="0" collapsed="false">
      <c r="A19" s="15" t="s">
        <v>136</v>
      </c>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row>
    <row r="20" customFormat="false" ht="46.25" hidden="false" customHeight="false" outlineLevel="0" collapsed="false">
      <c r="A20" s="6" t="s">
        <v>137</v>
      </c>
      <c r="B20" s="17" t="n">
        <v>14</v>
      </c>
      <c r="C20" s="7" t="n">
        <v>19</v>
      </c>
      <c r="D20" s="7" t="n">
        <v>15.375</v>
      </c>
      <c r="E20" s="18" t="n">
        <v>2</v>
      </c>
      <c r="F20" s="19" t="s">
        <v>138</v>
      </c>
      <c r="G20" s="20" t="n">
        <v>15</v>
      </c>
      <c r="H20" s="8" t="n">
        <f aca="false">IF($F20="6""",$AL20,0)</f>
        <v>223.66</v>
      </c>
      <c r="I20" s="8" t="n">
        <f aca="false">IF($F20="3-5/8""",$AL20,0)</f>
        <v>0</v>
      </c>
      <c r="J20" s="8" t="n">
        <f aca="false">IF($F20="1-5/8""",$AL20,0)</f>
        <v>0</v>
      </c>
      <c r="K20" s="21" t="n">
        <f aca="false">SUMIFS('Board by Face'!$I$5:$I$115,'Board by Face'!$A$5:$A$115,$B20)</f>
        <v>351.5</v>
      </c>
      <c r="L20" s="8"/>
      <c r="M20" s="8"/>
      <c r="N20" s="8"/>
      <c r="O20" s="8"/>
      <c r="P20" s="8"/>
      <c r="Q20" s="8" t="n">
        <v>19</v>
      </c>
      <c r="R20" s="8" t="n">
        <v>19</v>
      </c>
      <c r="S20" s="8" t="n">
        <v>57</v>
      </c>
      <c r="T20" s="18"/>
      <c r="U20" s="8" t="n">
        <v>38</v>
      </c>
      <c r="V20" s="8"/>
      <c r="W20" s="8"/>
      <c r="X20" s="8"/>
      <c r="Y20" s="8"/>
      <c r="Z20" s="8"/>
      <c r="AA20" s="8"/>
      <c r="AB20" s="8"/>
      <c r="AC20" s="8"/>
      <c r="AD20" s="8"/>
      <c r="AE20" s="18"/>
      <c r="AF20" s="8" t="n">
        <v>38</v>
      </c>
      <c r="AG20" s="8"/>
      <c r="AH20" s="8"/>
      <c r="AI20" s="22" t="s">
        <v>103</v>
      </c>
      <c r="AJ20" s="4" t="s">
        <v>99</v>
      </c>
      <c r="AK20" s="22" t="s">
        <v>139</v>
      </c>
      <c r="AL20" s="7" t="n">
        <v>223.66</v>
      </c>
      <c r="AM20" s="8"/>
      <c r="AN20" s="8"/>
      <c r="AO20" s="8"/>
      <c r="AP20" s="22" t="s">
        <v>140</v>
      </c>
    </row>
    <row r="21" customFormat="false" ht="46.25" hidden="false" customHeight="false" outlineLevel="0" collapsed="false">
      <c r="A21" s="6" t="s">
        <v>141</v>
      </c>
      <c r="B21" s="17" t="n">
        <v>15</v>
      </c>
      <c r="C21" s="7" t="n">
        <v>11</v>
      </c>
      <c r="D21" s="7" t="n">
        <v>15.375</v>
      </c>
      <c r="E21" s="18" t="n">
        <v>2</v>
      </c>
      <c r="F21" s="19" t="s">
        <v>138</v>
      </c>
      <c r="G21" s="20" t="n">
        <v>9</v>
      </c>
      <c r="H21" s="8" t="n">
        <f aca="false">IF($F21="6""",$AL21,0)</f>
        <v>138.38</v>
      </c>
      <c r="I21" s="8" t="n">
        <f aca="false">IF($F21="3-5/8""",$AL21,0)</f>
        <v>0</v>
      </c>
      <c r="J21" s="8" t="n">
        <f aca="false">IF($F21="1-5/8""",$AL21,0)</f>
        <v>0</v>
      </c>
      <c r="K21" s="21" t="n">
        <f aca="false">SUMIFS('Board by Face'!$I$5:$I$115,'Board by Face'!$A$5:$A$115,$B21)</f>
        <v>198</v>
      </c>
      <c r="L21" s="8"/>
      <c r="M21" s="8"/>
      <c r="N21" s="8"/>
      <c r="O21" s="8"/>
      <c r="P21" s="8"/>
      <c r="Q21" s="8" t="n">
        <v>11</v>
      </c>
      <c r="R21" s="8" t="n">
        <v>11</v>
      </c>
      <c r="S21" s="8" t="n">
        <v>33</v>
      </c>
      <c r="T21" s="18"/>
      <c r="U21" s="8" t="n">
        <v>41.88</v>
      </c>
      <c r="V21" s="8"/>
      <c r="W21" s="8"/>
      <c r="X21" s="8"/>
      <c r="Y21" s="8"/>
      <c r="Z21" s="8"/>
      <c r="AA21" s="8"/>
      <c r="AB21" s="8"/>
      <c r="AC21" s="8"/>
      <c r="AD21" s="8"/>
      <c r="AE21" s="18"/>
      <c r="AF21" s="8" t="n">
        <v>22</v>
      </c>
      <c r="AG21" s="8"/>
      <c r="AH21" s="8"/>
      <c r="AI21" s="22" t="s">
        <v>103</v>
      </c>
      <c r="AJ21" s="4" t="s">
        <v>99</v>
      </c>
      <c r="AK21" s="22" t="s">
        <v>142</v>
      </c>
      <c r="AL21" s="7" t="n">
        <v>138.38</v>
      </c>
      <c r="AM21" s="8"/>
      <c r="AN21" s="8"/>
      <c r="AO21" s="8"/>
      <c r="AP21" s="22" t="s">
        <v>143</v>
      </c>
    </row>
    <row r="22" customFormat="false" ht="35.05" hidden="false" customHeight="false" outlineLevel="0" collapsed="false">
      <c r="A22" s="6" t="s">
        <v>144</v>
      </c>
      <c r="B22" s="17" t="n">
        <v>16</v>
      </c>
      <c r="C22" s="7" t="n">
        <v>5.41</v>
      </c>
      <c r="D22" s="7" t="n">
        <v>13.052</v>
      </c>
      <c r="E22" s="18" t="n">
        <v>2</v>
      </c>
      <c r="F22" s="19" t="s">
        <v>138</v>
      </c>
      <c r="G22" s="20" t="n">
        <v>9</v>
      </c>
      <c r="H22" s="8" t="n">
        <f aca="false">IF($F22="6""",$AL22,0)</f>
        <v>119.79</v>
      </c>
      <c r="I22" s="8" t="n">
        <f aca="false">IF($F22="3-5/8""",$AL22,0)</f>
        <v>0</v>
      </c>
      <c r="J22" s="8" t="n">
        <f aca="false">IF($F22="1-5/8""",$AL22,0)</f>
        <v>0</v>
      </c>
      <c r="K22" s="21" t="n">
        <f aca="false">SUMIFS('Board by Face'!$I$5:$I$115,'Board by Face'!$A$5:$A$115,$B22)</f>
        <v>50.76</v>
      </c>
      <c r="L22" s="8"/>
      <c r="M22" s="8"/>
      <c r="N22" s="8"/>
      <c r="O22" s="8"/>
      <c r="P22" s="8"/>
      <c r="Q22" s="8" t="n">
        <v>5.41</v>
      </c>
      <c r="R22" s="8" t="n">
        <v>5.41</v>
      </c>
      <c r="S22" s="8" t="n">
        <v>16.23</v>
      </c>
      <c r="T22" s="18"/>
      <c r="U22" s="8" t="n">
        <v>10.82</v>
      </c>
      <c r="V22" s="8"/>
      <c r="W22" s="8"/>
      <c r="X22" s="8"/>
      <c r="Y22" s="8"/>
      <c r="Z22" s="8"/>
      <c r="AA22" s="8"/>
      <c r="AB22" s="8"/>
      <c r="AC22" s="8"/>
      <c r="AD22" s="8"/>
      <c r="AE22" s="18"/>
      <c r="AF22" s="8" t="n">
        <v>10.82</v>
      </c>
      <c r="AG22" s="8" t="n">
        <v>3.33</v>
      </c>
      <c r="AH22" s="8"/>
      <c r="AI22" s="22" t="s">
        <v>145</v>
      </c>
      <c r="AJ22" s="4" t="s">
        <v>99</v>
      </c>
      <c r="AK22" s="22" t="s">
        <v>146</v>
      </c>
      <c r="AL22" s="7" t="n">
        <v>119.79</v>
      </c>
      <c r="AM22" s="8"/>
      <c r="AN22" s="8"/>
      <c r="AO22" s="8"/>
      <c r="AP22" s="22" t="s">
        <v>147</v>
      </c>
    </row>
    <row r="23" customFormat="false" ht="46.25" hidden="false" customHeight="false" outlineLevel="0" collapsed="false">
      <c r="A23" s="6" t="s">
        <v>148</v>
      </c>
      <c r="B23" s="17" t="n">
        <v>17</v>
      </c>
      <c r="C23" s="7" t="n">
        <v>3.71</v>
      </c>
      <c r="D23" s="7" t="n">
        <v>12.927</v>
      </c>
      <c r="E23" s="18" t="n">
        <v>2</v>
      </c>
      <c r="F23" s="19" t="s">
        <v>138</v>
      </c>
      <c r="G23" s="20" t="n">
        <v>3</v>
      </c>
      <c r="H23" s="8" t="n">
        <f aca="false">IF($F23="6""",$AL23,0)</f>
        <v>38.78</v>
      </c>
      <c r="I23" s="8" t="n">
        <f aca="false">IF($F23="3-5/8""",$AL23,0)</f>
        <v>0</v>
      </c>
      <c r="J23" s="8" t="n">
        <f aca="false">IF($F23="1-5/8""",$AL23,0)</f>
        <v>0</v>
      </c>
      <c r="K23" s="21" t="n">
        <f aca="false">SUMIFS('Board by Face'!$I$5:$I$115,'Board by Face'!$A$5:$A$115,$B23)</f>
        <v>68.635</v>
      </c>
      <c r="L23" s="8"/>
      <c r="M23" s="8"/>
      <c r="N23" s="8"/>
      <c r="O23" s="8"/>
      <c r="P23" s="8"/>
      <c r="Q23" s="8" t="n">
        <v>3.71</v>
      </c>
      <c r="R23" s="8" t="n">
        <v>3.71</v>
      </c>
      <c r="S23" s="8" t="n">
        <v>11.13</v>
      </c>
      <c r="T23" s="18"/>
      <c r="U23" s="8" t="n">
        <v>7.42</v>
      </c>
      <c r="V23" s="8"/>
      <c r="W23" s="8"/>
      <c r="X23" s="8"/>
      <c r="Y23" s="8"/>
      <c r="Z23" s="8"/>
      <c r="AA23" s="8"/>
      <c r="AB23" s="8"/>
      <c r="AC23" s="8"/>
      <c r="AD23" s="8"/>
      <c r="AE23" s="18"/>
      <c r="AF23" s="8" t="n">
        <v>7.42</v>
      </c>
      <c r="AG23" s="8"/>
      <c r="AH23" s="8"/>
      <c r="AI23" s="22" t="s">
        <v>103</v>
      </c>
      <c r="AJ23" s="4" t="s">
        <v>99</v>
      </c>
      <c r="AK23" s="22" t="s">
        <v>149</v>
      </c>
      <c r="AL23" s="7" t="n">
        <v>38.78</v>
      </c>
      <c r="AM23" s="8"/>
      <c r="AN23" s="8"/>
      <c r="AO23" s="8"/>
      <c r="AP23" s="22" t="s">
        <v>150</v>
      </c>
    </row>
    <row r="24" customFormat="false" ht="15" hidden="false" customHeight="false" outlineLevel="0" collapsed="false">
      <c r="A24" s="15" t="s">
        <v>151</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row>
    <row r="25" customFormat="false" ht="46.25" hidden="false" customHeight="false" outlineLevel="0" collapsed="false">
      <c r="A25" s="6" t="s">
        <v>152</v>
      </c>
      <c r="B25" s="17" t="n">
        <v>23</v>
      </c>
      <c r="C25" s="7" t="n">
        <v>14.15</v>
      </c>
      <c r="D25" s="7" t="n">
        <v>12.831</v>
      </c>
      <c r="E25" s="18" t="n">
        <v>2</v>
      </c>
      <c r="F25" s="19" t="s">
        <v>97</v>
      </c>
      <c r="G25" s="20" t="n">
        <v>19</v>
      </c>
      <c r="H25" s="8" t="n">
        <f aca="false">IF($F25="6""",$AL25,0)</f>
        <v>0</v>
      </c>
      <c r="I25" s="8" t="n">
        <f aca="false">IF($F25="3-5/8""",$AL25,0)</f>
        <v>243.79</v>
      </c>
      <c r="J25" s="8" t="n">
        <f aca="false">IF($F25="1-5/8""",$AL25,0)</f>
        <v>0</v>
      </c>
      <c r="K25" s="21" t="n">
        <f aca="false">SUMIFS('Board by Face'!$I$5:$I$115,'Board by Face'!$A$5:$A$115,$B25)</f>
        <v>269.74899</v>
      </c>
      <c r="L25" s="8"/>
      <c r="M25" s="8"/>
      <c r="N25" s="8"/>
      <c r="O25" s="8"/>
      <c r="P25" s="8"/>
      <c r="Q25" s="8" t="n">
        <v>14.15</v>
      </c>
      <c r="R25" s="8" t="n">
        <v>14.15</v>
      </c>
      <c r="S25" s="8" t="n">
        <v>42.45</v>
      </c>
      <c r="T25" s="18"/>
      <c r="U25" s="8"/>
      <c r="V25" s="8"/>
      <c r="W25" s="8"/>
      <c r="X25" s="8"/>
      <c r="Y25" s="8"/>
      <c r="Z25" s="8"/>
      <c r="AA25" s="8"/>
      <c r="AB25" s="8"/>
      <c r="AC25" s="8"/>
      <c r="AD25" s="8"/>
      <c r="AE25" s="18"/>
      <c r="AF25" s="8" t="n">
        <v>56.6</v>
      </c>
      <c r="AG25" s="8" t="n">
        <v>6.66</v>
      </c>
      <c r="AH25" s="8"/>
      <c r="AI25" s="22" t="s">
        <v>153</v>
      </c>
      <c r="AJ25" s="4" t="s">
        <v>99</v>
      </c>
      <c r="AK25" s="22" t="s">
        <v>154</v>
      </c>
      <c r="AL25" s="7" t="n">
        <v>243.79</v>
      </c>
      <c r="AM25" s="8"/>
      <c r="AN25" s="8"/>
      <c r="AO25" s="8"/>
      <c r="AP25" s="22" t="s">
        <v>155</v>
      </c>
    </row>
    <row r="26" customFormat="false" ht="46.25" hidden="false" customHeight="false" outlineLevel="0" collapsed="false">
      <c r="A26" s="6" t="s">
        <v>156</v>
      </c>
      <c r="B26" s="17" t="n">
        <v>20</v>
      </c>
      <c r="C26" s="7" t="n">
        <v>11.83</v>
      </c>
      <c r="D26" s="7" t="n">
        <v>12.748</v>
      </c>
      <c r="E26" s="18" t="n">
        <v>2</v>
      </c>
      <c r="F26" s="19" t="s">
        <v>97</v>
      </c>
      <c r="G26" s="20" t="n">
        <v>13</v>
      </c>
      <c r="H26" s="8" t="n">
        <f aca="false">IF($F26="6""",$AL26,0)</f>
        <v>0</v>
      </c>
      <c r="I26" s="8" t="n">
        <f aca="false">IF($F26="3-5/8""",$AL26,0)</f>
        <v>165.72</v>
      </c>
      <c r="J26" s="8" t="n">
        <f aca="false">IF($F26="1-5/8""",$AL26,0)</f>
        <v>0</v>
      </c>
      <c r="K26" s="21" t="n">
        <f aca="false">SUMIFS('Board by Face'!$I$5:$I$115,'Board by Face'!$A$5:$A$115,$B26)</f>
        <v>259.61768</v>
      </c>
      <c r="L26" s="8"/>
      <c r="M26" s="8"/>
      <c r="N26" s="8"/>
      <c r="O26" s="8"/>
      <c r="P26" s="8"/>
      <c r="Q26" s="8" t="n">
        <v>11.83</v>
      </c>
      <c r="R26" s="8" t="n">
        <v>11.83</v>
      </c>
      <c r="S26" s="8" t="n">
        <v>35.49</v>
      </c>
      <c r="T26" s="18"/>
      <c r="U26" s="8"/>
      <c r="V26" s="8"/>
      <c r="W26" s="8"/>
      <c r="X26" s="8"/>
      <c r="Y26" s="8"/>
      <c r="Z26" s="8"/>
      <c r="AA26" s="8"/>
      <c r="AB26" s="8"/>
      <c r="AC26" s="8"/>
      <c r="AD26" s="8"/>
      <c r="AE26" s="18"/>
      <c r="AF26" s="8" t="n">
        <v>47.32</v>
      </c>
      <c r="AG26" s="8" t="n">
        <v>3</v>
      </c>
      <c r="AH26" s="8"/>
      <c r="AI26" s="22" t="s">
        <v>157</v>
      </c>
      <c r="AJ26" s="4" t="s">
        <v>99</v>
      </c>
      <c r="AK26" s="22" t="s">
        <v>158</v>
      </c>
      <c r="AL26" s="7" t="n">
        <v>165.72</v>
      </c>
      <c r="AM26" s="8"/>
      <c r="AN26" s="8"/>
      <c r="AO26" s="8"/>
      <c r="AP26" s="22" t="s">
        <v>155</v>
      </c>
    </row>
    <row r="27" customFormat="false" ht="57.45" hidden="false" customHeight="false" outlineLevel="0" collapsed="false">
      <c r="A27" s="6" t="s">
        <v>159</v>
      </c>
      <c r="B27" s="17" t="n">
        <v>21</v>
      </c>
      <c r="C27" s="7" t="n">
        <v>11.73</v>
      </c>
      <c r="D27" s="7" t="n">
        <v>12.666</v>
      </c>
      <c r="E27" s="18" t="n">
        <v>2</v>
      </c>
      <c r="F27" s="19" t="s">
        <v>97</v>
      </c>
      <c r="G27" s="20" t="n">
        <v>9</v>
      </c>
      <c r="H27" s="8" t="n">
        <f aca="false">IF($F27="6""",$AL27,0)</f>
        <v>0</v>
      </c>
      <c r="I27" s="8" t="n">
        <f aca="false">IF($F27="3-5/8""",$AL27,0)</f>
        <v>113.99</v>
      </c>
      <c r="J27" s="8" t="n">
        <f aca="false">IF($F27="1-5/8""",$AL27,0)</f>
        <v>0</v>
      </c>
      <c r="K27" s="21" t="n">
        <f aca="false">SUMIFS('Board by Face'!$I$5:$I$115,'Board by Face'!$A$5:$A$115,$B27)</f>
        <v>297.14436</v>
      </c>
      <c r="L27" s="8"/>
      <c r="M27" s="8"/>
      <c r="N27" s="8"/>
      <c r="O27" s="8"/>
      <c r="P27" s="8"/>
      <c r="Q27" s="8" t="n">
        <v>11.73</v>
      </c>
      <c r="R27" s="8" t="n">
        <v>11.73</v>
      </c>
      <c r="S27" s="8" t="n">
        <v>35.19</v>
      </c>
      <c r="T27" s="18"/>
      <c r="U27" s="8"/>
      <c r="V27" s="8"/>
      <c r="W27" s="8"/>
      <c r="X27" s="8"/>
      <c r="Y27" s="8"/>
      <c r="Z27" s="8"/>
      <c r="AA27" s="8"/>
      <c r="AB27" s="8"/>
      <c r="AC27" s="8"/>
      <c r="AD27" s="8"/>
      <c r="AE27" s="18"/>
      <c r="AF27" s="8" t="n">
        <v>46.92</v>
      </c>
      <c r="AG27" s="8"/>
      <c r="AH27" s="8"/>
      <c r="AI27" s="22" t="s">
        <v>103</v>
      </c>
      <c r="AJ27" s="4" t="s">
        <v>99</v>
      </c>
      <c r="AK27" s="22" t="s">
        <v>160</v>
      </c>
      <c r="AL27" s="7" t="n">
        <v>113.99</v>
      </c>
      <c r="AM27" s="8"/>
      <c r="AN27" s="8"/>
      <c r="AO27" s="8"/>
      <c r="AP27" s="22" t="s">
        <v>161</v>
      </c>
    </row>
    <row r="28" customFormat="false" ht="46.25" hidden="false" customHeight="false" outlineLevel="0" collapsed="false">
      <c r="A28" s="6" t="s">
        <v>162</v>
      </c>
      <c r="B28" s="17" t="n">
        <v>18</v>
      </c>
      <c r="C28" s="7" t="n">
        <v>9.99</v>
      </c>
      <c r="D28" s="7" t="n">
        <v>12.827</v>
      </c>
      <c r="E28" s="18" t="n">
        <v>2</v>
      </c>
      <c r="F28" s="19" t="s">
        <v>97</v>
      </c>
      <c r="G28" s="20" t="n">
        <v>8</v>
      </c>
      <c r="H28" s="8" t="n">
        <f aca="false">IF($F28="6""",$AL28,0)</f>
        <v>0</v>
      </c>
      <c r="I28" s="8" t="n">
        <f aca="false">IF($F28="3-5/8""",$AL28,0)</f>
        <v>102.62</v>
      </c>
      <c r="J28" s="8" t="n">
        <f aca="false">IF($F28="1-5/8""",$AL28,0)</f>
        <v>0</v>
      </c>
      <c r="K28" s="21" t="n">
        <f aca="false">SUMIFS('Board by Face'!$I$5:$I$115,'Board by Face'!$A$5:$A$115,$B28)</f>
        <v>256.28346</v>
      </c>
      <c r="L28" s="8"/>
      <c r="M28" s="8"/>
      <c r="N28" s="8"/>
      <c r="O28" s="8"/>
      <c r="P28" s="8"/>
      <c r="Q28" s="8" t="n">
        <v>9.99</v>
      </c>
      <c r="R28" s="8" t="n">
        <v>9.99</v>
      </c>
      <c r="S28" s="8" t="n">
        <v>29.97</v>
      </c>
      <c r="T28" s="18"/>
      <c r="U28" s="8"/>
      <c r="V28" s="8"/>
      <c r="W28" s="8"/>
      <c r="X28" s="8"/>
      <c r="Y28" s="8"/>
      <c r="Z28" s="8"/>
      <c r="AA28" s="8" t="n">
        <v>76.32</v>
      </c>
      <c r="AB28" s="8"/>
      <c r="AC28" s="8"/>
      <c r="AD28" s="8"/>
      <c r="AE28" s="18"/>
      <c r="AF28" s="8" t="n">
        <v>39.96</v>
      </c>
      <c r="AG28" s="8"/>
      <c r="AH28" s="8"/>
      <c r="AI28" s="22" t="s">
        <v>103</v>
      </c>
      <c r="AJ28" s="4" t="s">
        <v>99</v>
      </c>
      <c r="AK28" s="22" t="s">
        <v>163</v>
      </c>
      <c r="AL28" s="7" t="n">
        <v>102.62</v>
      </c>
      <c r="AM28" s="8"/>
      <c r="AN28" s="8"/>
      <c r="AO28" s="8"/>
      <c r="AP28" s="22" t="s">
        <v>164</v>
      </c>
    </row>
    <row r="29" customFormat="false" ht="46.25" hidden="false" customHeight="false" outlineLevel="0" collapsed="false">
      <c r="A29" s="6" t="s">
        <v>165</v>
      </c>
      <c r="B29" s="17" t="n">
        <v>22</v>
      </c>
      <c r="C29" s="7" t="n">
        <v>9.58</v>
      </c>
      <c r="D29" s="7" t="n">
        <v>12.698</v>
      </c>
      <c r="E29" s="18" t="n">
        <v>2</v>
      </c>
      <c r="F29" s="19" t="s">
        <v>97</v>
      </c>
      <c r="G29" s="20" t="n">
        <v>8</v>
      </c>
      <c r="H29" s="8" t="n">
        <f aca="false">IF($F29="6""",$AL29,0)</f>
        <v>0</v>
      </c>
      <c r="I29" s="8" t="n">
        <f aca="false">IF($F29="3-5/8""",$AL29,0)</f>
        <v>101.58</v>
      </c>
      <c r="J29" s="8" t="n">
        <f aca="false">IF($F29="1-5/8""",$AL29,0)</f>
        <v>0</v>
      </c>
      <c r="K29" s="21" t="n">
        <f aca="false">SUMIFS('Board by Face'!$I$5:$I$115,'Board by Face'!$A$5:$A$115,$B29)</f>
        <v>243.29368</v>
      </c>
      <c r="L29" s="8"/>
      <c r="M29" s="8"/>
      <c r="N29" s="8"/>
      <c r="O29" s="8"/>
      <c r="P29" s="8"/>
      <c r="Q29" s="8" t="n">
        <v>9.58</v>
      </c>
      <c r="R29" s="8" t="n">
        <v>9.58</v>
      </c>
      <c r="S29" s="8" t="n">
        <v>28.74</v>
      </c>
      <c r="T29" s="18"/>
      <c r="U29" s="8"/>
      <c r="V29" s="8"/>
      <c r="W29" s="8"/>
      <c r="X29" s="8"/>
      <c r="Y29" s="8"/>
      <c r="Z29" s="8"/>
      <c r="AA29" s="8" t="n">
        <v>76.16</v>
      </c>
      <c r="AB29" s="8"/>
      <c r="AC29" s="8"/>
      <c r="AD29" s="8"/>
      <c r="AE29" s="18"/>
      <c r="AF29" s="8" t="n">
        <v>38.32</v>
      </c>
      <c r="AG29" s="8"/>
      <c r="AH29" s="8"/>
      <c r="AI29" s="22" t="s">
        <v>103</v>
      </c>
      <c r="AJ29" s="4" t="s">
        <v>99</v>
      </c>
      <c r="AK29" s="22" t="s">
        <v>166</v>
      </c>
      <c r="AL29" s="7" t="n">
        <v>101.58</v>
      </c>
      <c r="AM29" s="8"/>
      <c r="AN29" s="8"/>
      <c r="AO29" s="8"/>
      <c r="AP29" s="22" t="s">
        <v>164</v>
      </c>
    </row>
    <row r="30" customFormat="false" ht="46.25" hidden="false" customHeight="false" outlineLevel="0" collapsed="false">
      <c r="A30" s="6" t="s">
        <v>167</v>
      </c>
      <c r="B30" s="17" t="n">
        <v>19</v>
      </c>
      <c r="C30" s="7" t="n">
        <v>3.5</v>
      </c>
      <c r="D30" s="7" t="n">
        <v>12.743</v>
      </c>
      <c r="E30" s="18" t="n">
        <v>2</v>
      </c>
      <c r="F30" s="19" t="s">
        <v>97</v>
      </c>
      <c r="G30" s="20" t="n">
        <v>3</v>
      </c>
      <c r="H30" s="8" t="n">
        <f aca="false">IF($F30="6""",$AL30,0)</f>
        <v>0</v>
      </c>
      <c r="I30" s="8" t="n">
        <f aca="false">IF($F30="3-5/8""",$AL30,0)</f>
        <v>38.23</v>
      </c>
      <c r="J30" s="8" t="n">
        <f aca="false">IF($F30="1-5/8""",$AL30,0)</f>
        <v>0</v>
      </c>
      <c r="K30" s="21" t="n">
        <f aca="false">SUMIFS('Board by Face'!$I$5:$I$115,'Board by Face'!$A$5:$A$115,$B30)</f>
        <v>89.201</v>
      </c>
      <c r="L30" s="8"/>
      <c r="M30" s="8"/>
      <c r="N30" s="8"/>
      <c r="O30" s="8"/>
      <c r="P30" s="8"/>
      <c r="Q30" s="8" t="n">
        <v>3.5</v>
      </c>
      <c r="R30" s="8" t="n">
        <v>3.5</v>
      </c>
      <c r="S30" s="8" t="n">
        <v>10.5</v>
      </c>
      <c r="T30" s="18"/>
      <c r="U30" s="8" t="n">
        <v>29.22</v>
      </c>
      <c r="V30" s="8"/>
      <c r="W30" s="8"/>
      <c r="X30" s="8"/>
      <c r="Y30" s="8"/>
      <c r="Z30" s="8"/>
      <c r="AA30" s="8"/>
      <c r="AB30" s="8"/>
      <c r="AC30" s="8"/>
      <c r="AD30" s="8"/>
      <c r="AE30" s="18" t="n">
        <v>1</v>
      </c>
      <c r="AF30" s="8" t="n">
        <v>14</v>
      </c>
      <c r="AG30" s="8"/>
      <c r="AH30" s="8"/>
      <c r="AI30" s="22" t="s">
        <v>103</v>
      </c>
      <c r="AJ30" s="4" t="s">
        <v>99</v>
      </c>
      <c r="AK30" s="22" t="s">
        <v>168</v>
      </c>
      <c r="AL30" s="7" t="n">
        <v>38.23</v>
      </c>
      <c r="AM30" s="8"/>
      <c r="AN30" s="8"/>
      <c r="AO30" s="8"/>
      <c r="AP30" s="22" t="s">
        <v>169</v>
      </c>
    </row>
    <row r="31" customFormat="false" ht="15" hidden="false" customHeight="false" outlineLevel="0" collapsed="false">
      <c r="A31" s="15" t="s">
        <v>170</v>
      </c>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row>
    <row r="32" customFormat="false" ht="68.65" hidden="false" customHeight="false" outlineLevel="0" collapsed="false">
      <c r="A32" s="6" t="s">
        <v>171</v>
      </c>
      <c r="B32" s="17" t="n">
        <v>27</v>
      </c>
      <c r="C32" s="7" t="n">
        <v>15.787</v>
      </c>
      <c r="D32" s="7" t="n">
        <v>13.052</v>
      </c>
      <c r="E32" s="18" t="n">
        <v>2</v>
      </c>
      <c r="F32" s="19" t="s">
        <v>138</v>
      </c>
      <c r="G32" s="20" t="n">
        <v>24</v>
      </c>
      <c r="H32" s="8" t="n">
        <f aca="false">IF($F32="6""",$AL32,0)</f>
        <v>313.25</v>
      </c>
      <c r="I32" s="8" t="n">
        <f aca="false">IF($F32="3-5/8""",$AL32,0)</f>
        <v>0</v>
      </c>
      <c r="J32" s="8" t="n">
        <f aca="false">IF($F32="1-5/8""",$AL32,0)</f>
        <v>0</v>
      </c>
      <c r="K32" s="21" t="n">
        <f aca="false">SUMIFS('Board by Face'!$I$5:$I$115,'Board by Face'!$A$5:$A$115,$B32)</f>
        <v>272.110796</v>
      </c>
      <c r="L32" s="8" t="n">
        <v>10.9</v>
      </c>
      <c r="M32" s="8"/>
      <c r="N32" s="8" t="n">
        <v>1.09</v>
      </c>
      <c r="O32" s="8"/>
      <c r="P32" s="8"/>
      <c r="Q32" s="8" t="n">
        <v>15.79</v>
      </c>
      <c r="R32" s="8" t="n">
        <v>15.79</v>
      </c>
      <c r="S32" s="8" t="n">
        <v>47.36</v>
      </c>
      <c r="T32" s="18"/>
      <c r="U32" s="8" t="n">
        <v>6</v>
      </c>
      <c r="V32" s="8"/>
      <c r="W32" s="8"/>
      <c r="X32" s="8"/>
      <c r="Y32" s="8"/>
      <c r="Z32" s="8"/>
      <c r="AA32" s="8"/>
      <c r="AB32" s="8"/>
      <c r="AC32" s="8"/>
      <c r="AD32" s="8"/>
      <c r="AE32" s="18" t="n">
        <v>3</v>
      </c>
      <c r="AF32" s="8" t="n">
        <v>63.15</v>
      </c>
      <c r="AG32" s="8" t="n">
        <v>10</v>
      </c>
      <c r="AH32" s="8"/>
      <c r="AI32" s="22" t="s">
        <v>172</v>
      </c>
      <c r="AJ32" s="4" t="s">
        <v>99</v>
      </c>
      <c r="AK32" s="22" t="s">
        <v>173</v>
      </c>
      <c r="AL32" s="7" t="n">
        <v>313.25</v>
      </c>
      <c r="AM32" s="8"/>
      <c r="AN32" s="8"/>
      <c r="AO32" s="8"/>
      <c r="AP32" s="22" t="s">
        <v>174</v>
      </c>
    </row>
    <row r="33" customFormat="false" ht="57.45" hidden="false" customHeight="false" outlineLevel="0" collapsed="false">
      <c r="A33" s="6" t="s">
        <v>175</v>
      </c>
      <c r="B33" s="17" t="n">
        <v>28</v>
      </c>
      <c r="C33" s="7" t="n">
        <v>11.74</v>
      </c>
      <c r="D33" s="7" t="n">
        <v>13.052</v>
      </c>
      <c r="E33" s="18" t="n">
        <v>1.97</v>
      </c>
      <c r="F33" s="19" t="s">
        <v>138</v>
      </c>
      <c r="G33" s="20" t="n">
        <v>13</v>
      </c>
      <c r="H33" s="8" t="n">
        <f aca="false">IF($F33="6""",$AL33,0)</f>
        <v>169.68</v>
      </c>
      <c r="I33" s="8" t="n">
        <f aca="false">IF($F33="3-5/8""",$AL33,0)</f>
        <v>0</v>
      </c>
      <c r="J33" s="8" t="n">
        <f aca="false">IF($F33="1-5/8""",$AL33,0)</f>
        <v>0</v>
      </c>
      <c r="K33" s="21" t="n">
        <f aca="false">SUMIFS('Board by Face'!$I$5:$I$115,'Board by Face'!$A$5:$A$115,$B33)</f>
        <v>301.148796</v>
      </c>
      <c r="L33" s="8"/>
      <c r="M33" s="8"/>
      <c r="N33" s="8"/>
      <c r="O33" s="8"/>
      <c r="P33" s="8"/>
      <c r="Q33" s="8" t="n">
        <v>11.74</v>
      </c>
      <c r="R33" s="8" t="n">
        <v>11.74</v>
      </c>
      <c r="S33" s="8" t="n">
        <v>35.22</v>
      </c>
      <c r="T33" s="18"/>
      <c r="U33" s="8" t="n">
        <v>24.9</v>
      </c>
      <c r="V33" s="8"/>
      <c r="W33" s="8"/>
      <c r="X33" s="8"/>
      <c r="Y33" s="8"/>
      <c r="Z33" s="8"/>
      <c r="AA33" s="8"/>
      <c r="AB33" s="8"/>
      <c r="AC33" s="8"/>
      <c r="AD33" s="8"/>
      <c r="AE33" s="18"/>
      <c r="AF33" s="8" t="n">
        <v>46.96</v>
      </c>
      <c r="AG33" s="8" t="n">
        <v>3.33</v>
      </c>
      <c r="AH33" s="8"/>
      <c r="AI33" s="22" t="s">
        <v>103</v>
      </c>
      <c r="AJ33" s="4" t="s">
        <v>99</v>
      </c>
      <c r="AK33" s="22" t="s">
        <v>176</v>
      </c>
      <c r="AL33" s="7" t="n">
        <v>169.68</v>
      </c>
      <c r="AM33" s="8"/>
      <c r="AN33" s="8"/>
      <c r="AO33" s="8"/>
      <c r="AP33" s="22" t="s">
        <v>177</v>
      </c>
    </row>
    <row r="34" customFormat="false" ht="46.25" hidden="false" customHeight="false" outlineLevel="0" collapsed="false">
      <c r="A34" s="6" t="s">
        <v>178</v>
      </c>
      <c r="B34" s="17" t="n">
        <v>25</v>
      </c>
      <c r="C34" s="7" t="n">
        <v>5.667</v>
      </c>
      <c r="D34" s="7" t="n">
        <v>15.375</v>
      </c>
      <c r="E34" s="18" t="n">
        <v>2</v>
      </c>
      <c r="F34" s="19" t="s">
        <v>138</v>
      </c>
      <c r="G34" s="20" t="n">
        <v>9</v>
      </c>
      <c r="H34" s="8" t="n">
        <f aca="false">IF($F34="6""",$AL34,0)</f>
        <v>138.38</v>
      </c>
      <c r="I34" s="8" t="n">
        <f aca="false">IF($F34="3-5/8""",$AL34,0)</f>
        <v>0</v>
      </c>
      <c r="J34" s="8" t="n">
        <f aca="false">IF($F34="1-5/8""",$AL34,0)</f>
        <v>0</v>
      </c>
      <c r="K34" s="21" t="n">
        <f aca="false">SUMIFS('Board by Face'!$I$5:$I$115,'Board by Face'!$A$5:$A$115,$B34)</f>
        <v>112.94025</v>
      </c>
      <c r="L34" s="8"/>
      <c r="M34" s="8"/>
      <c r="N34" s="8"/>
      <c r="O34" s="8"/>
      <c r="P34" s="8"/>
      <c r="Q34" s="8" t="n">
        <v>5.67</v>
      </c>
      <c r="R34" s="8" t="n">
        <v>5.67</v>
      </c>
      <c r="S34" s="8" t="n">
        <v>17</v>
      </c>
      <c r="T34" s="18"/>
      <c r="U34" s="8"/>
      <c r="V34" s="8"/>
      <c r="W34" s="8"/>
      <c r="X34" s="8"/>
      <c r="Y34" s="8"/>
      <c r="Z34" s="8"/>
      <c r="AA34" s="8"/>
      <c r="AB34" s="8"/>
      <c r="AC34" s="8"/>
      <c r="AD34" s="8"/>
      <c r="AE34" s="18"/>
      <c r="AF34" s="8" t="n">
        <v>22.67</v>
      </c>
      <c r="AG34" s="8" t="n">
        <v>3.83</v>
      </c>
      <c r="AH34" s="8"/>
      <c r="AI34" s="22" t="s">
        <v>179</v>
      </c>
      <c r="AJ34" s="4" t="s">
        <v>99</v>
      </c>
      <c r="AK34" s="22" t="s">
        <v>180</v>
      </c>
      <c r="AL34" s="7" t="n">
        <v>138.38</v>
      </c>
      <c r="AM34" s="8"/>
      <c r="AN34" s="8"/>
      <c r="AO34" s="8"/>
      <c r="AP34" s="22" t="s">
        <v>181</v>
      </c>
    </row>
    <row r="35" customFormat="false" ht="46.25" hidden="false" customHeight="false" outlineLevel="0" collapsed="false">
      <c r="A35" s="6" t="s">
        <v>182</v>
      </c>
      <c r="B35" s="17" t="n">
        <v>26</v>
      </c>
      <c r="C35" s="7" t="n">
        <v>1.82</v>
      </c>
      <c r="D35" s="7" t="n">
        <v>13.052</v>
      </c>
      <c r="E35" s="18" t="n">
        <v>2</v>
      </c>
      <c r="F35" s="19" t="s">
        <v>138</v>
      </c>
      <c r="G35" s="20" t="n">
        <v>6</v>
      </c>
      <c r="H35" s="8" t="n">
        <f aca="false">IF($F35="6""",$AL35,0)</f>
        <v>78.31</v>
      </c>
      <c r="I35" s="8" t="n">
        <f aca="false">IF($F35="3-5/8""",$AL35,0)</f>
        <v>0</v>
      </c>
      <c r="J35" s="8" t="n">
        <f aca="false">IF($F35="1-5/8""",$AL35,0)</f>
        <v>0</v>
      </c>
      <c r="K35" s="21" t="n">
        <f aca="false">SUMIFS('Board by Face'!$I$5:$I$115,'Board by Face'!$A$5:$A$115,$B35)</f>
        <v>47.50928</v>
      </c>
      <c r="L35" s="8" t="n">
        <v>9.1</v>
      </c>
      <c r="M35" s="8"/>
      <c r="N35" s="8" t="n">
        <v>0.91</v>
      </c>
      <c r="O35" s="8"/>
      <c r="P35" s="8"/>
      <c r="Q35" s="8" t="n">
        <v>1.82</v>
      </c>
      <c r="R35" s="8" t="n">
        <v>1.82</v>
      </c>
      <c r="S35" s="8" t="n">
        <v>5.46</v>
      </c>
      <c r="T35" s="18"/>
      <c r="U35" s="8" t="n">
        <v>2</v>
      </c>
      <c r="V35" s="8"/>
      <c r="W35" s="8"/>
      <c r="X35" s="8"/>
      <c r="Y35" s="8"/>
      <c r="Z35" s="8"/>
      <c r="AA35" s="8"/>
      <c r="AB35" s="8"/>
      <c r="AC35" s="8"/>
      <c r="AD35" s="8"/>
      <c r="AE35" s="18"/>
      <c r="AF35" s="8" t="n">
        <v>7.28</v>
      </c>
      <c r="AG35" s="8" t="n">
        <v>3.33</v>
      </c>
      <c r="AH35" s="8"/>
      <c r="AI35" s="22" t="s">
        <v>103</v>
      </c>
      <c r="AJ35" s="4" t="s">
        <v>99</v>
      </c>
      <c r="AK35" s="22" t="s">
        <v>183</v>
      </c>
      <c r="AL35" s="7" t="n">
        <v>78.31</v>
      </c>
      <c r="AM35" s="8"/>
      <c r="AN35" s="8"/>
      <c r="AO35" s="8"/>
      <c r="AP35" s="22" t="s">
        <v>184</v>
      </c>
    </row>
    <row r="36" customFormat="false" ht="15" hidden="false" customHeight="false" outlineLevel="0" collapsed="false">
      <c r="A36" s="15" t="s">
        <v>185</v>
      </c>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row>
    <row r="37" customFormat="false" ht="46.25" hidden="false" customHeight="false" outlineLevel="0" collapsed="false">
      <c r="A37" s="6" t="s">
        <v>186</v>
      </c>
      <c r="B37" s="17" t="n">
        <v>31</v>
      </c>
      <c r="C37" s="7" t="n">
        <v>1.26</v>
      </c>
      <c r="D37" s="7" t="n">
        <v>15.375</v>
      </c>
      <c r="E37" s="18" t="n">
        <v>2</v>
      </c>
      <c r="F37" s="19" t="s">
        <v>138</v>
      </c>
      <c r="G37" s="20" t="n">
        <v>2</v>
      </c>
      <c r="H37" s="8" t="n">
        <f aca="false">IF($F37="6""",$AL37,0)</f>
        <v>30.75</v>
      </c>
      <c r="I37" s="8" t="n">
        <f aca="false">IF($F37="3-5/8""",$AL37,0)</f>
        <v>0</v>
      </c>
      <c r="J37" s="8" t="n">
        <f aca="false">IF($F37="1-5/8""",$AL37,0)</f>
        <v>0</v>
      </c>
      <c r="K37" s="21" t="n">
        <f aca="false">SUMIFS('Board by Face'!$I$5:$I$115,'Board by Face'!$A$5:$A$115,$B37)</f>
        <v>38.745</v>
      </c>
      <c r="L37" s="8"/>
      <c r="M37" s="8"/>
      <c r="N37" s="8"/>
      <c r="O37" s="8"/>
      <c r="P37" s="8"/>
      <c r="Q37" s="8" t="n">
        <v>1.26</v>
      </c>
      <c r="R37" s="8" t="n">
        <v>1.26</v>
      </c>
      <c r="S37" s="8" t="n">
        <v>3.78</v>
      </c>
      <c r="T37" s="18"/>
      <c r="U37" s="8"/>
      <c r="V37" s="8"/>
      <c r="W37" s="8"/>
      <c r="X37" s="8"/>
      <c r="Y37" s="8" t="n">
        <v>10.08</v>
      </c>
      <c r="Z37" s="8" t="n">
        <v>9.29</v>
      </c>
      <c r="AA37" s="8"/>
      <c r="AB37" s="8"/>
      <c r="AC37" s="8" t="n">
        <v>1.26</v>
      </c>
      <c r="AD37" s="8"/>
      <c r="AE37" s="18"/>
      <c r="AF37" s="8" t="n">
        <v>5.04</v>
      </c>
      <c r="AG37" s="8"/>
      <c r="AH37" s="8"/>
      <c r="AI37" s="22" t="s">
        <v>103</v>
      </c>
      <c r="AJ37" s="4" t="s">
        <v>99</v>
      </c>
      <c r="AK37" s="22" t="s">
        <v>187</v>
      </c>
      <c r="AL37" s="7" t="n">
        <v>30.75</v>
      </c>
      <c r="AM37" s="8"/>
      <c r="AN37" s="8"/>
      <c r="AO37" s="8"/>
      <c r="AP37" s="22" t="s">
        <v>188</v>
      </c>
    </row>
    <row r="38" customFormat="false" ht="15" hidden="false" customHeight="false" outlineLevel="0" collapsed="false">
      <c r="A38" s="15" t="s">
        <v>189</v>
      </c>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row>
    <row r="39" customFormat="false" ht="57.45" hidden="false" customHeight="false" outlineLevel="0" collapsed="false">
      <c r="A39" s="6" t="s">
        <v>190</v>
      </c>
      <c r="B39" s="17" t="n">
        <v>54</v>
      </c>
      <c r="C39" s="7" t="n">
        <v>30</v>
      </c>
      <c r="D39" s="7" t="n">
        <v>7.333</v>
      </c>
      <c r="E39" s="18" t="n">
        <v>4</v>
      </c>
      <c r="F39" s="19" t="s">
        <v>191</v>
      </c>
      <c r="G39" s="20" t="n">
        <v>64</v>
      </c>
      <c r="H39" s="8" t="n">
        <f aca="false">IF($F39="6""",$AL39,0)</f>
        <v>0</v>
      </c>
      <c r="I39" s="8" t="n">
        <f aca="false">IF($F39="3-5/8""",$AL39,0)</f>
        <v>0</v>
      </c>
      <c r="J39" s="8" t="n">
        <f aca="false">IF($F39="1-5/8""",$AL39,0)</f>
        <v>469.31</v>
      </c>
      <c r="K39" s="21" t="n">
        <f aca="false">SUMIFS('Board by Face'!$I$5:$I$115,'Board by Face'!$A$5:$A$115,$B39)</f>
        <v>879.96</v>
      </c>
      <c r="L39" s="8"/>
      <c r="M39" s="8"/>
      <c r="N39" s="8"/>
      <c r="O39" s="8"/>
      <c r="P39" s="8"/>
      <c r="Q39" s="8" t="n">
        <v>60</v>
      </c>
      <c r="R39" s="8" t="n">
        <v>60</v>
      </c>
      <c r="S39" s="8" t="n">
        <v>60</v>
      </c>
      <c r="T39" s="18"/>
      <c r="U39" s="8" t="n">
        <v>30</v>
      </c>
      <c r="V39" s="8"/>
      <c r="W39" s="8"/>
      <c r="X39" s="8"/>
      <c r="Y39" s="8"/>
      <c r="Z39" s="8"/>
      <c r="AA39" s="8"/>
      <c r="AB39" s="8"/>
      <c r="AC39" s="8" t="n">
        <v>120</v>
      </c>
      <c r="AD39" s="8"/>
      <c r="AE39" s="18"/>
      <c r="AF39" s="8" t="n">
        <v>120</v>
      </c>
      <c r="AG39" s="8" t="n">
        <v>30</v>
      </c>
      <c r="AH39" s="8"/>
      <c r="AI39" s="22" t="s">
        <v>103</v>
      </c>
      <c r="AJ39" s="4" t="s">
        <v>99</v>
      </c>
      <c r="AK39" s="22" t="s">
        <v>192</v>
      </c>
      <c r="AL39" s="7" t="n">
        <v>469.31</v>
      </c>
      <c r="AM39" s="8"/>
      <c r="AN39" s="8"/>
      <c r="AO39" s="8"/>
      <c r="AP39" s="22" t="s">
        <v>193</v>
      </c>
    </row>
    <row r="40" customFormat="false" ht="57.45" hidden="false" customHeight="false" outlineLevel="0" collapsed="false">
      <c r="A40" s="6" t="s">
        <v>194</v>
      </c>
      <c r="B40" s="17" t="n">
        <v>55</v>
      </c>
      <c r="C40" s="7" t="n">
        <v>15</v>
      </c>
      <c r="D40" s="7" t="n">
        <v>7.333</v>
      </c>
      <c r="E40" s="18" t="n">
        <v>4</v>
      </c>
      <c r="F40" s="19" t="s">
        <v>191</v>
      </c>
      <c r="G40" s="20" t="n">
        <v>32</v>
      </c>
      <c r="H40" s="8" t="n">
        <f aca="false">IF($F40="6""",$AL40,0)</f>
        <v>0</v>
      </c>
      <c r="I40" s="8" t="n">
        <f aca="false">IF($F40="3-5/8""",$AL40,0)</f>
        <v>0</v>
      </c>
      <c r="J40" s="8" t="n">
        <f aca="false">IF($F40="1-5/8""",$AL40,0)</f>
        <v>234.66</v>
      </c>
      <c r="K40" s="21" t="n">
        <f aca="false">SUMIFS('Board by Face'!$I$5:$I$115,'Board by Face'!$A$5:$A$115,$B40)</f>
        <v>439.98</v>
      </c>
      <c r="L40" s="8"/>
      <c r="M40" s="8"/>
      <c r="N40" s="8"/>
      <c r="O40" s="8"/>
      <c r="P40" s="8"/>
      <c r="Q40" s="8" t="n">
        <v>30</v>
      </c>
      <c r="R40" s="8" t="n">
        <v>30</v>
      </c>
      <c r="S40" s="8" t="n">
        <v>30</v>
      </c>
      <c r="T40" s="18"/>
      <c r="U40" s="8" t="n">
        <v>15</v>
      </c>
      <c r="V40" s="8"/>
      <c r="W40" s="8"/>
      <c r="X40" s="8"/>
      <c r="Y40" s="8"/>
      <c r="Z40" s="8"/>
      <c r="AA40" s="8"/>
      <c r="AB40" s="8"/>
      <c r="AC40" s="8" t="n">
        <v>60</v>
      </c>
      <c r="AD40" s="8"/>
      <c r="AE40" s="18"/>
      <c r="AF40" s="8" t="n">
        <v>60</v>
      </c>
      <c r="AG40" s="8" t="n">
        <v>15</v>
      </c>
      <c r="AH40" s="8"/>
      <c r="AI40" s="22" t="s">
        <v>103</v>
      </c>
      <c r="AJ40" s="4" t="s">
        <v>99</v>
      </c>
      <c r="AK40" s="22" t="s">
        <v>195</v>
      </c>
      <c r="AL40" s="7" t="n">
        <v>234.66</v>
      </c>
      <c r="AM40" s="8"/>
      <c r="AN40" s="8"/>
      <c r="AO40" s="8"/>
      <c r="AP40" s="22" t="s">
        <v>193</v>
      </c>
    </row>
    <row r="41" customFormat="false" ht="15" hidden="false" customHeight="false" outlineLevel="0" collapsed="false">
      <c r="A41" s="15" t="s">
        <v>196</v>
      </c>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row>
    <row r="42" customFormat="false" ht="35.05" hidden="false" customHeight="false" outlineLevel="0" collapsed="false">
      <c r="A42" s="6" t="s">
        <v>197</v>
      </c>
      <c r="B42" s="17" t="n">
        <v>36</v>
      </c>
      <c r="C42" s="7" t="n">
        <v>11.333</v>
      </c>
      <c r="D42" s="7" t="n">
        <v>11.5</v>
      </c>
      <c r="E42" s="18" t="n">
        <v>1</v>
      </c>
      <c r="F42" s="19" t="s">
        <v>97</v>
      </c>
      <c r="G42" s="20" t="n">
        <v>10</v>
      </c>
      <c r="H42" s="8" t="n">
        <f aca="false">IF($F42="6""",$AL42,0)</f>
        <v>0</v>
      </c>
      <c r="I42" s="8" t="n">
        <f aca="false">IF($F42="3-5/8""",$AL42,0)</f>
        <v>115</v>
      </c>
      <c r="J42" s="8" t="n">
        <f aca="false">IF($F42="1-5/8""",$AL42,0)</f>
        <v>0</v>
      </c>
      <c r="K42" s="21" t="n">
        <f aca="false">SUMIFS('Board by Face'!$I$5:$I$115,'Board by Face'!$A$5:$A$115,$B42)</f>
        <v>130.295</v>
      </c>
      <c r="L42" s="8"/>
      <c r="M42" s="8"/>
      <c r="N42" s="8"/>
      <c r="O42" s="8"/>
      <c r="P42" s="8"/>
      <c r="Q42" s="8" t="n">
        <v>11.333</v>
      </c>
      <c r="R42" s="8" t="n">
        <v>11.333</v>
      </c>
      <c r="S42" s="8" t="n">
        <v>22.67</v>
      </c>
      <c r="T42" s="18"/>
      <c r="U42" s="8" t="n">
        <v>10</v>
      </c>
      <c r="V42" s="8"/>
      <c r="W42" s="8"/>
      <c r="X42" s="8"/>
      <c r="Y42" s="8"/>
      <c r="Z42" s="8"/>
      <c r="AA42" s="8"/>
      <c r="AB42" s="8"/>
      <c r="AC42" s="8"/>
      <c r="AD42" s="8"/>
      <c r="AE42" s="18"/>
      <c r="AF42" s="8"/>
      <c r="AG42" s="8"/>
      <c r="AH42" s="8"/>
      <c r="AI42" s="22" t="s">
        <v>103</v>
      </c>
      <c r="AJ42" s="4" t="s">
        <v>99</v>
      </c>
      <c r="AK42" s="22" t="s">
        <v>198</v>
      </c>
      <c r="AL42" s="7" t="n">
        <v>115</v>
      </c>
      <c r="AM42" s="8"/>
      <c r="AN42" s="8"/>
      <c r="AO42" s="8"/>
      <c r="AP42" s="22" t="s">
        <v>199</v>
      </c>
    </row>
    <row r="43" customFormat="false" ht="35.05" hidden="false" customHeight="false" outlineLevel="0" collapsed="false">
      <c r="A43" s="6" t="s">
        <v>200</v>
      </c>
      <c r="B43" s="17" t="n">
        <v>37</v>
      </c>
      <c r="C43" s="7" t="n">
        <v>5.6</v>
      </c>
      <c r="D43" s="7" t="n">
        <v>9</v>
      </c>
      <c r="E43" s="18" t="n">
        <v>1</v>
      </c>
      <c r="F43" s="19" t="s">
        <v>97</v>
      </c>
      <c r="G43" s="20" t="n">
        <v>8</v>
      </c>
      <c r="H43" s="8" t="n">
        <f aca="false">IF($F43="6""",$AL43,0)</f>
        <v>0</v>
      </c>
      <c r="I43" s="8" t="n">
        <f aca="false">IF($F43="3-5/8""",$AL43,0)</f>
        <v>72</v>
      </c>
      <c r="J43" s="8" t="n">
        <f aca="false">IF($F43="1-5/8""",$AL43,0)</f>
        <v>0</v>
      </c>
      <c r="K43" s="21" t="n">
        <f aca="false">SUMIFS('Board by Face'!$I$5:$I$115,'Board by Face'!$A$5:$A$115,$B43)</f>
        <v>50.4</v>
      </c>
      <c r="L43" s="8"/>
      <c r="M43" s="8"/>
      <c r="N43" s="8"/>
      <c r="O43" s="8"/>
      <c r="P43" s="8"/>
      <c r="Q43" s="8" t="n">
        <v>5.6</v>
      </c>
      <c r="R43" s="8" t="n">
        <v>5.6</v>
      </c>
      <c r="S43" s="8" t="n">
        <v>11.2</v>
      </c>
      <c r="T43" s="18"/>
      <c r="U43" s="8" t="n">
        <v>5.6</v>
      </c>
      <c r="V43" s="8"/>
      <c r="W43" s="8"/>
      <c r="X43" s="8"/>
      <c r="Y43" s="8"/>
      <c r="Z43" s="8"/>
      <c r="AA43" s="8"/>
      <c r="AB43" s="8"/>
      <c r="AC43" s="8"/>
      <c r="AD43" s="8"/>
      <c r="AE43" s="18"/>
      <c r="AF43" s="8"/>
      <c r="AG43" s="8"/>
      <c r="AH43" s="8"/>
      <c r="AI43" s="22" t="s">
        <v>103</v>
      </c>
      <c r="AJ43" s="4" t="s">
        <v>99</v>
      </c>
      <c r="AK43" s="22" t="s">
        <v>201</v>
      </c>
      <c r="AL43" s="7" t="n">
        <v>72</v>
      </c>
      <c r="AM43" s="8"/>
      <c r="AN43" s="8"/>
      <c r="AO43" s="8"/>
      <c r="AP43" s="22" t="s">
        <v>202</v>
      </c>
    </row>
    <row r="44" customFormat="false" ht="35.05" hidden="false" customHeight="false" outlineLevel="0" collapsed="false">
      <c r="A44" s="6" t="s">
        <v>203</v>
      </c>
      <c r="B44" s="17" t="n">
        <v>39</v>
      </c>
      <c r="C44" s="7" t="n">
        <v>5.6</v>
      </c>
      <c r="D44" s="7" t="n">
        <v>9</v>
      </c>
      <c r="E44" s="18" t="n">
        <v>1</v>
      </c>
      <c r="F44" s="19" t="s">
        <v>97</v>
      </c>
      <c r="G44" s="20" t="n">
        <v>8</v>
      </c>
      <c r="H44" s="8" t="n">
        <f aca="false">IF($F44="6""",$AL44,0)</f>
        <v>0</v>
      </c>
      <c r="I44" s="8" t="n">
        <f aca="false">IF($F44="3-5/8""",$AL44,0)</f>
        <v>72</v>
      </c>
      <c r="J44" s="8" t="n">
        <f aca="false">IF($F44="1-5/8""",$AL44,0)</f>
        <v>0</v>
      </c>
      <c r="K44" s="21" t="n">
        <f aca="false">SUMIFS('Board by Face'!$I$5:$I$115,'Board by Face'!$A$5:$A$115,$B44)</f>
        <v>50.4</v>
      </c>
      <c r="L44" s="8"/>
      <c r="M44" s="8"/>
      <c r="N44" s="8"/>
      <c r="O44" s="8"/>
      <c r="P44" s="8"/>
      <c r="Q44" s="8" t="n">
        <v>5.6</v>
      </c>
      <c r="R44" s="8" t="n">
        <v>5.6</v>
      </c>
      <c r="S44" s="8" t="n">
        <v>11.2</v>
      </c>
      <c r="T44" s="18"/>
      <c r="U44" s="8" t="n">
        <v>5.6</v>
      </c>
      <c r="V44" s="8"/>
      <c r="W44" s="8"/>
      <c r="X44" s="8"/>
      <c r="Y44" s="8"/>
      <c r="Z44" s="8"/>
      <c r="AA44" s="8"/>
      <c r="AB44" s="8"/>
      <c r="AC44" s="8"/>
      <c r="AD44" s="8"/>
      <c r="AE44" s="18"/>
      <c r="AF44" s="8"/>
      <c r="AG44" s="8"/>
      <c r="AH44" s="8"/>
      <c r="AI44" s="22" t="s">
        <v>103</v>
      </c>
      <c r="AJ44" s="4" t="s">
        <v>99</v>
      </c>
      <c r="AK44" s="22" t="s">
        <v>204</v>
      </c>
      <c r="AL44" s="7" t="n">
        <v>72</v>
      </c>
      <c r="AM44" s="8"/>
      <c r="AN44" s="8"/>
      <c r="AO44" s="8"/>
      <c r="AP44" s="22" t="s">
        <v>202</v>
      </c>
    </row>
    <row r="45" customFormat="false" ht="46.25" hidden="false" customHeight="false" outlineLevel="0" collapsed="false">
      <c r="A45" s="6" t="s">
        <v>205</v>
      </c>
      <c r="B45" s="17" t="n">
        <v>32</v>
      </c>
      <c r="C45" s="7" t="n">
        <v>4.56</v>
      </c>
      <c r="D45" s="7" t="n">
        <v>10</v>
      </c>
      <c r="E45" s="18" t="n">
        <v>1</v>
      </c>
      <c r="F45" s="19" t="s">
        <v>97</v>
      </c>
      <c r="G45" s="20" t="n">
        <v>5</v>
      </c>
      <c r="H45" s="8" t="n">
        <f aca="false">IF($F45="6""",$AL45,0)</f>
        <v>0</v>
      </c>
      <c r="I45" s="8" t="n">
        <f aca="false">IF($F45="3-5/8""",$AL45,0)</f>
        <v>50</v>
      </c>
      <c r="J45" s="8" t="n">
        <f aca="false">IF($F45="1-5/8""",$AL45,0)</f>
        <v>0</v>
      </c>
      <c r="K45" s="21" t="n">
        <f aca="false">SUMIFS('Board by Face'!$I$5:$I$115,'Board by Face'!$A$5:$A$115,$B45)</f>
        <v>45.6</v>
      </c>
      <c r="L45" s="8"/>
      <c r="M45" s="8"/>
      <c r="N45" s="8"/>
      <c r="O45" s="8"/>
      <c r="P45" s="8"/>
      <c r="Q45" s="8" t="n">
        <v>4.56</v>
      </c>
      <c r="R45" s="8" t="n">
        <v>4.56</v>
      </c>
      <c r="S45" s="8" t="n">
        <v>9.12</v>
      </c>
      <c r="T45" s="18"/>
      <c r="U45" s="8" t="n">
        <v>4</v>
      </c>
      <c r="V45" s="8"/>
      <c r="W45" s="8"/>
      <c r="X45" s="8"/>
      <c r="Y45" s="8"/>
      <c r="Z45" s="8"/>
      <c r="AA45" s="8"/>
      <c r="AB45" s="8"/>
      <c r="AC45" s="8" t="n">
        <v>30</v>
      </c>
      <c r="AD45" s="8"/>
      <c r="AE45" s="18"/>
      <c r="AF45" s="8"/>
      <c r="AG45" s="8"/>
      <c r="AH45" s="8"/>
      <c r="AI45" s="22" t="s">
        <v>103</v>
      </c>
      <c r="AJ45" s="4" t="s">
        <v>99</v>
      </c>
      <c r="AK45" s="22" t="s">
        <v>206</v>
      </c>
      <c r="AL45" s="7" t="n">
        <v>50</v>
      </c>
      <c r="AM45" s="8"/>
      <c r="AN45" s="8"/>
      <c r="AO45" s="8"/>
      <c r="AP45" s="22" t="s">
        <v>207</v>
      </c>
    </row>
    <row r="46" customFormat="false" ht="35.05" hidden="false" customHeight="false" outlineLevel="0" collapsed="false">
      <c r="A46" s="6" t="s">
        <v>208</v>
      </c>
      <c r="B46" s="17" t="n">
        <v>33</v>
      </c>
      <c r="C46" s="7" t="n">
        <v>3.58</v>
      </c>
      <c r="D46" s="7" t="n">
        <v>10</v>
      </c>
      <c r="E46" s="18" t="n">
        <v>1</v>
      </c>
      <c r="F46" s="19" t="s">
        <v>97</v>
      </c>
      <c r="G46" s="20" t="n">
        <v>5</v>
      </c>
      <c r="H46" s="8" t="n">
        <f aca="false">IF($F46="6""",$AL46,0)</f>
        <v>0</v>
      </c>
      <c r="I46" s="8" t="n">
        <f aca="false">IF($F46="3-5/8""",$AL46,0)</f>
        <v>50</v>
      </c>
      <c r="J46" s="8" t="n">
        <f aca="false">IF($F46="1-5/8""",$AL46,0)</f>
        <v>0</v>
      </c>
      <c r="K46" s="21" t="n">
        <f aca="false">SUMIFS('Board by Face'!$I$5:$I$115,'Board by Face'!$A$5:$A$115,$B46)</f>
        <v>35.8</v>
      </c>
      <c r="L46" s="8"/>
      <c r="M46" s="8"/>
      <c r="N46" s="8"/>
      <c r="O46" s="8"/>
      <c r="P46" s="8"/>
      <c r="Q46" s="8" t="n">
        <v>3.58</v>
      </c>
      <c r="R46" s="8" t="n">
        <v>3.58</v>
      </c>
      <c r="S46" s="8" t="n">
        <v>7.16</v>
      </c>
      <c r="T46" s="18"/>
      <c r="U46" s="8"/>
      <c r="V46" s="8"/>
      <c r="W46" s="8"/>
      <c r="X46" s="8"/>
      <c r="Y46" s="8"/>
      <c r="Z46" s="8"/>
      <c r="AA46" s="8"/>
      <c r="AB46" s="8"/>
      <c r="AC46" s="8" t="n">
        <v>30</v>
      </c>
      <c r="AD46" s="8"/>
      <c r="AE46" s="18"/>
      <c r="AF46" s="8"/>
      <c r="AG46" s="8"/>
      <c r="AH46" s="8"/>
      <c r="AI46" s="22" t="s">
        <v>103</v>
      </c>
      <c r="AJ46" s="4" t="s">
        <v>99</v>
      </c>
      <c r="AK46" s="22" t="s">
        <v>209</v>
      </c>
      <c r="AL46" s="7" t="n">
        <v>50</v>
      </c>
      <c r="AM46" s="8"/>
      <c r="AN46" s="8"/>
      <c r="AO46" s="8"/>
      <c r="AP46" s="22" t="s">
        <v>207</v>
      </c>
    </row>
    <row r="47" customFormat="false" ht="35.05" hidden="false" customHeight="false" outlineLevel="0" collapsed="false">
      <c r="A47" s="6" t="s">
        <v>210</v>
      </c>
      <c r="B47" s="17" t="n">
        <v>38</v>
      </c>
      <c r="C47" s="7" t="n">
        <v>3.39</v>
      </c>
      <c r="D47" s="7" t="n">
        <v>9</v>
      </c>
      <c r="E47" s="18" t="n">
        <v>1</v>
      </c>
      <c r="F47" s="19" t="s">
        <v>97</v>
      </c>
      <c r="G47" s="20" t="n">
        <v>4</v>
      </c>
      <c r="H47" s="8" t="n">
        <f aca="false">IF($F47="6""",$AL47,0)</f>
        <v>0</v>
      </c>
      <c r="I47" s="8" t="n">
        <f aca="false">IF($F47="3-5/8""",$AL47,0)</f>
        <v>36</v>
      </c>
      <c r="J47" s="8" t="n">
        <f aca="false">IF($F47="1-5/8""",$AL47,0)</f>
        <v>0</v>
      </c>
      <c r="K47" s="21" t="n">
        <f aca="false">SUMIFS('Board by Face'!$I$5:$I$115,'Board by Face'!$A$5:$A$115,$B47)</f>
        <v>30.51</v>
      </c>
      <c r="L47" s="8"/>
      <c r="M47" s="8"/>
      <c r="N47" s="8"/>
      <c r="O47" s="8"/>
      <c r="P47" s="8"/>
      <c r="Q47" s="8" t="n">
        <v>3.39</v>
      </c>
      <c r="R47" s="8" t="n">
        <v>3.39</v>
      </c>
      <c r="S47" s="8" t="n">
        <v>6.78</v>
      </c>
      <c r="T47" s="18"/>
      <c r="U47" s="8"/>
      <c r="V47" s="8"/>
      <c r="W47" s="8"/>
      <c r="X47" s="8"/>
      <c r="Y47" s="8"/>
      <c r="Z47" s="8"/>
      <c r="AA47" s="8"/>
      <c r="AB47" s="8"/>
      <c r="AC47" s="8"/>
      <c r="AD47" s="8"/>
      <c r="AE47" s="18"/>
      <c r="AF47" s="8"/>
      <c r="AG47" s="8"/>
      <c r="AH47" s="8"/>
      <c r="AI47" s="22" t="s">
        <v>103</v>
      </c>
      <c r="AJ47" s="4" t="s">
        <v>99</v>
      </c>
      <c r="AK47" s="22" t="s">
        <v>211</v>
      </c>
      <c r="AL47" s="7" t="n">
        <v>36</v>
      </c>
      <c r="AM47" s="8"/>
      <c r="AN47" s="8"/>
      <c r="AO47" s="8"/>
      <c r="AP47" s="22" t="s">
        <v>207</v>
      </c>
    </row>
    <row r="48" customFormat="false" ht="46.25" hidden="false" customHeight="false" outlineLevel="0" collapsed="false">
      <c r="A48" s="6" t="s">
        <v>212</v>
      </c>
      <c r="B48" s="17" t="n">
        <v>34</v>
      </c>
      <c r="C48" s="7" t="n">
        <v>3.33</v>
      </c>
      <c r="D48" s="7" t="n">
        <v>11.5</v>
      </c>
      <c r="E48" s="18" t="n">
        <v>1</v>
      </c>
      <c r="F48" s="19" t="s">
        <v>97</v>
      </c>
      <c r="G48" s="20" t="n">
        <v>4</v>
      </c>
      <c r="H48" s="8" t="n">
        <f aca="false">IF($F48="6""",$AL48,0)</f>
        <v>0</v>
      </c>
      <c r="I48" s="8" t="n">
        <f aca="false">IF($F48="3-5/8""",$AL48,0)</f>
        <v>46</v>
      </c>
      <c r="J48" s="8" t="n">
        <f aca="false">IF($F48="1-5/8""",$AL48,0)</f>
        <v>0</v>
      </c>
      <c r="K48" s="21" t="n">
        <f aca="false">SUMIFS('Board by Face'!$I$5:$I$115,'Board by Face'!$A$5:$A$115,$B48)</f>
        <v>38.295</v>
      </c>
      <c r="L48" s="8"/>
      <c r="M48" s="8"/>
      <c r="N48" s="8"/>
      <c r="O48" s="8"/>
      <c r="P48" s="8"/>
      <c r="Q48" s="8" t="n">
        <v>3.33</v>
      </c>
      <c r="R48" s="8" t="n">
        <v>3.33</v>
      </c>
      <c r="S48" s="8" t="n">
        <v>6.66</v>
      </c>
      <c r="T48" s="18"/>
      <c r="U48" s="8"/>
      <c r="V48" s="8"/>
      <c r="W48" s="8"/>
      <c r="X48" s="8"/>
      <c r="Y48" s="8"/>
      <c r="Z48" s="8"/>
      <c r="AA48" s="8"/>
      <c r="AB48" s="8"/>
      <c r="AC48" s="8" t="n">
        <v>46</v>
      </c>
      <c r="AD48" s="8"/>
      <c r="AE48" s="18"/>
      <c r="AF48" s="8"/>
      <c r="AG48" s="8"/>
      <c r="AH48" s="8"/>
      <c r="AI48" s="22" t="s">
        <v>103</v>
      </c>
      <c r="AJ48" s="4" t="s">
        <v>99</v>
      </c>
      <c r="AK48" s="22" t="s">
        <v>213</v>
      </c>
      <c r="AL48" s="7" t="n">
        <v>46</v>
      </c>
      <c r="AM48" s="8"/>
      <c r="AN48" s="8"/>
      <c r="AO48" s="8"/>
      <c r="AP48" s="22" t="s">
        <v>207</v>
      </c>
    </row>
    <row r="49" customFormat="false" ht="46.25" hidden="false" customHeight="false" outlineLevel="0" collapsed="false">
      <c r="A49" s="6" t="s">
        <v>214</v>
      </c>
      <c r="B49" s="17" t="n">
        <v>35</v>
      </c>
      <c r="C49" s="7" t="n">
        <v>2.52</v>
      </c>
      <c r="D49" s="7" t="n">
        <v>11.5</v>
      </c>
      <c r="E49" s="18" t="n">
        <v>1</v>
      </c>
      <c r="F49" s="19" t="s">
        <v>97</v>
      </c>
      <c r="G49" s="20" t="n">
        <v>4</v>
      </c>
      <c r="H49" s="8" t="n">
        <f aca="false">IF($F49="6""",$AL49,0)</f>
        <v>0</v>
      </c>
      <c r="I49" s="8" t="n">
        <f aca="false">IF($F49="3-5/8""",$AL49,0)</f>
        <v>46</v>
      </c>
      <c r="J49" s="8" t="n">
        <f aca="false">IF($F49="1-5/8""",$AL49,0)</f>
        <v>0</v>
      </c>
      <c r="K49" s="21" t="n">
        <f aca="false">SUMIFS('Board by Face'!$I$5:$I$115,'Board by Face'!$A$5:$A$115,$B49)</f>
        <v>28.98</v>
      </c>
      <c r="L49" s="8"/>
      <c r="M49" s="8"/>
      <c r="N49" s="8"/>
      <c r="O49" s="8"/>
      <c r="P49" s="8"/>
      <c r="Q49" s="8" t="n">
        <v>2.52</v>
      </c>
      <c r="R49" s="8" t="n">
        <v>2.52</v>
      </c>
      <c r="S49" s="8" t="n">
        <v>5.04</v>
      </c>
      <c r="T49" s="18"/>
      <c r="U49" s="8"/>
      <c r="V49" s="8"/>
      <c r="W49" s="8"/>
      <c r="X49" s="8"/>
      <c r="Y49" s="8"/>
      <c r="Z49" s="8"/>
      <c r="AA49" s="8"/>
      <c r="AB49" s="8"/>
      <c r="AC49" s="8" t="n">
        <v>46</v>
      </c>
      <c r="AD49" s="8"/>
      <c r="AE49" s="18"/>
      <c r="AF49" s="8"/>
      <c r="AG49" s="8"/>
      <c r="AH49" s="8"/>
      <c r="AI49" s="22" t="s">
        <v>103</v>
      </c>
      <c r="AJ49" s="4" t="s">
        <v>99</v>
      </c>
      <c r="AK49" s="22" t="s">
        <v>215</v>
      </c>
      <c r="AL49" s="7" t="n">
        <v>46</v>
      </c>
      <c r="AM49" s="8"/>
      <c r="AN49" s="8"/>
      <c r="AO49" s="8"/>
      <c r="AP49" s="22" t="s">
        <v>207</v>
      </c>
    </row>
    <row r="50" customFormat="false" ht="15" hidden="false" customHeight="false" outlineLevel="0" collapsed="false">
      <c r="A50" s="15" t="s">
        <v>216</v>
      </c>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row>
    <row r="51" customFormat="false" ht="46.25" hidden="false" customHeight="false" outlineLevel="0" collapsed="false">
      <c r="A51" s="6" t="s">
        <v>217</v>
      </c>
      <c r="B51" s="17" t="n">
        <v>66</v>
      </c>
      <c r="C51" s="7" t="n">
        <v>5.668</v>
      </c>
      <c r="D51" s="7" t="n">
        <v>10.5</v>
      </c>
      <c r="E51" s="18" t="n">
        <v>1.07</v>
      </c>
      <c r="F51" s="19" t="s">
        <v>97</v>
      </c>
      <c r="G51" s="20" t="n">
        <v>8</v>
      </c>
      <c r="H51" s="8" t="n">
        <f aca="false">IF($F51="6""",$AL51,0)</f>
        <v>0</v>
      </c>
      <c r="I51" s="8" t="n">
        <f aca="false">IF($F51="3-5/8""",$AL51,0)</f>
        <v>84</v>
      </c>
      <c r="J51" s="8" t="n">
        <f aca="false">IF($F51="1-5/8""",$AL51,0)</f>
        <v>0</v>
      </c>
      <c r="K51" s="21" t="n">
        <f aca="false">SUMIFS('Board by Face'!$I$5:$I$115,'Board by Face'!$A$5:$A$115,$B51)</f>
        <v>63.882</v>
      </c>
      <c r="L51" s="8"/>
      <c r="M51" s="8"/>
      <c r="N51" s="8"/>
      <c r="O51" s="8"/>
      <c r="P51" s="8"/>
      <c r="Q51" s="8" t="n">
        <v>5.668</v>
      </c>
      <c r="R51" s="8" t="n">
        <v>5.668</v>
      </c>
      <c r="S51" s="8" t="n">
        <v>11.34</v>
      </c>
      <c r="T51" s="18"/>
      <c r="U51" s="8"/>
      <c r="V51" s="8"/>
      <c r="W51" s="8"/>
      <c r="X51" s="8"/>
      <c r="Y51" s="8"/>
      <c r="Z51" s="8"/>
      <c r="AA51" s="8"/>
      <c r="AB51" s="8"/>
      <c r="AC51" s="8"/>
      <c r="AD51" s="8"/>
      <c r="AE51" s="18"/>
      <c r="AF51" s="8" t="n">
        <v>12.17</v>
      </c>
      <c r="AG51" s="8"/>
      <c r="AH51" s="8"/>
      <c r="AI51" s="22" t="s">
        <v>103</v>
      </c>
      <c r="AJ51" s="4" t="s">
        <v>99</v>
      </c>
      <c r="AK51" s="22" t="s">
        <v>218</v>
      </c>
      <c r="AL51" s="7" t="n">
        <v>84</v>
      </c>
      <c r="AM51" s="8"/>
      <c r="AN51" s="8"/>
      <c r="AO51" s="8"/>
      <c r="AP51" s="22" t="s">
        <v>219</v>
      </c>
    </row>
    <row r="52" customFormat="false" ht="46.25" hidden="false" customHeight="false" outlineLevel="0" collapsed="false">
      <c r="A52" s="6" t="s">
        <v>220</v>
      </c>
      <c r="B52" s="17" t="n">
        <v>67</v>
      </c>
      <c r="C52" s="7" t="n">
        <v>5.668</v>
      </c>
      <c r="D52" s="7" t="n">
        <v>10.5</v>
      </c>
      <c r="E52" s="18" t="n">
        <v>1.07</v>
      </c>
      <c r="F52" s="19" t="s">
        <v>97</v>
      </c>
      <c r="G52" s="20" t="n">
        <v>8</v>
      </c>
      <c r="H52" s="8" t="n">
        <f aca="false">IF($F52="6""",$AL52,0)</f>
        <v>0</v>
      </c>
      <c r="I52" s="8" t="n">
        <f aca="false">IF($F52="3-5/8""",$AL52,0)</f>
        <v>84</v>
      </c>
      <c r="J52" s="8" t="n">
        <f aca="false">IF($F52="1-5/8""",$AL52,0)</f>
        <v>0</v>
      </c>
      <c r="K52" s="21" t="n">
        <f aca="false">SUMIFS('Board by Face'!$I$5:$I$115,'Board by Face'!$A$5:$A$115,$B52)</f>
        <v>63.882</v>
      </c>
      <c r="L52" s="8"/>
      <c r="M52" s="8"/>
      <c r="N52" s="8"/>
      <c r="O52" s="8"/>
      <c r="P52" s="8"/>
      <c r="Q52" s="8" t="n">
        <v>5.668</v>
      </c>
      <c r="R52" s="8" t="n">
        <v>5.668</v>
      </c>
      <c r="S52" s="8" t="n">
        <v>11.34</v>
      </c>
      <c r="T52" s="18"/>
      <c r="U52" s="8"/>
      <c r="V52" s="8"/>
      <c r="W52" s="8"/>
      <c r="X52" s="8"/>
      <c r="Y52" s="8"/>
      <c r="Z52" s="8"/>
      <c r="AA52" s="8"/>
      <c r="AB52" s="8"/>
      <c r="AC52" s="8"/>
      <c r="AD52" s="8"/>
      <c r="AE52" s="18"/>
      <c r="AF52" s="8" t="n">
        <v>12.17</v>
      </c>
      <c r="AG52" s="8"/>
      <c r="AH52" s="8"/>
      <c r="AI52" s="22" t="s">
        <v>103</v>
      </c>
      <c r="AJ52" s="4" t="s">
        <v>99</v>
      </c>
      <c r="AK52" s="22" t="s">
        <v>221</v>
      </c>
      <c r="AL52" s="7" t="n">
        <v>84</v>
      </c>
      <c r="AM52" s="8"/>
      <c r="AN52" s="8"/>
      <c r="AO52" s="8"/>
      <c r="AP52" s="22" t="s">
        <v>219</v>
      </c>
    </row>
    <row r="53" customFormat="false" ht="46.25" hidden="false" customHeight="false" outlineLevel="0" collapsed="false">
      <c r="A53" s="6" t="s">
        <v>222</v>
      </c>
      <c r="B53" s="17" t="n">
        <v>68</v>
      </c>
      <c r="C53" s="7" t="n">
        <v>5.668</v>
      </c>
      <c r="D53" s="7" t="n">
        <v>10.5</v>
      </c>
      <c r="E53" s="18" t="n">
        <v>1.07</v>
      </c>
      <c r="F53" s="19" t="s">
        <v>97</v>
      </c>
      <c r="G53" s="20" t="n">
        <v>8</v>
      </c>
      <c r="H53" s="8" t="n">
        <f aca="false">IF($F53="6""",$AL53,0)</f>
        <v>0</v>
      </c>
      <c r="I53" s="8" t="n">
        <f aca="false">IF($F53="3-5/8""",$AL53,0)</f>
        <v>84</v>
      </c>
      <c r="J53" s="8" t="n">
        <f aca="false">IF($F53="1-5/8""",$AL53,0)</f>
        <v>0</v>
      </c>
      <c r="K53" s="21" t="n">
        <f aca="false">SUMIFS('Board by Face'!$I$5:$I$115,'Board by Face'!$A$5:$A$115,$B53)</f>
        <v>63.882</v>
      </c>
      <c r="L53" s="8"/>
      <c r="M53" s="8"/>
      <c r="N53" s="8"/>
      <c r="O53" s="8"/>
      <c r="P53" s="8"/>
      <c r="Q53" s="8" t="n">
        <v>5.668</v>
      </c>
      <c r="R53" s="8" t="n">
        <v>5.668</v>
      </c>
      <c r="S53" s="8" t="n">
        <v>11.34</v>
      </c>
      <c r="T53" s="18"/>
      <c r="U53" s="8"/>
      <c r="V53" s="8"/>
      <c r="W53" s="8"/>
      <c r="X53" s="8"/>
      <c r="Y53" s="8"/>
      <c r="Z53" s="8"/>
      <c r="AA53" s="8"/>
      <c r="AB53" s="8"/>
      <c r="AC53" s="8"/>
      <c r="AD53" s="8"/>
      <c r="AE53" s="18"/>
      <c r="AF53" s="8" t="n">
        <v>12.17</v>
      </c>
      <c r="AG53" s="8"/>
      <c r="AH53" s="8"/>
      <c r="AI53" s="22" t="s">
        <v>103</v>
      </c>
      <c r="AJ53" s="4" t="s">
        <v>99</v>
      </c>
      <c r="AK53" s="22" t="s">
        <v>223</v>
      </c>
      <c r="AL53" s="7" t="n">
        <v>84</v>
      </c>
      <c r="AM53" s="8"/>
      <c r="AN53" s="8"/>
      <c r="AO53" s="8"/>
      <c r="AP53" s="22" t="s">
        <v>219</v>
      </c>
    </row>
    <row r="54" customFormat="false" ht="46.25" hidden="false" customHeight="false" outlineLevel="0" collapsed="false">
      <c r="A54" s="6" t="s">
        <v>224</v>
      </c>
      <c r="B54" s="17" t="n">
        <v>69</v>
      </c>
      <c r="C54" s="7" t="n">
        <v>5.668</v>
      </c>
      <c r="D54" s="7" t="n">
        <v>10.5</v>
      </c>
      <c r="E54" s="18" t="n">
        <v>1.07</v>
      </c>
      <c r="F54" s="19" t="s">
        <v>97</v>
      </c>
      <c r="G54" s="20" t="n">
        <v>8</v>
      </c>
      <c r="H54" s="8" t="n">
        <f aca="false">IF($F54="6""",$AL54,0)</f>
        <v>0</v>
      </c>
      <c r="I54" s="8" t="n">
        <f aca="false">IF($F54="3-5/8""",$AL54,0)</f>
        <v>84</v>
      </c>
      <c r="J54" s="8" t="n">
        <f aca="false">IF($F54="1-5/8""",$AL54,0)</f>
        <v>0</v>
      </c>
      <c r="K54" s="21" t="n">
        <f aca="false">SUMIFS('Board by Face'!$I$5:$I$115,'Board by Face'!$A$5:$A$115,$B54)</f>
        <v>63.882</v>
      </c>
      <c r="L54" s="8"/>
      <c r="M54" s="8"/>
      <c r="N54" s="8"/>
      <c r="O54" s="8"/>
      <c r="P54" s="8"/>
      <c r="Q54" s="8" t="n">
        <v>5.668</v>
      </c>
      <c r="R54" s="8" t="n">
        <v>5.668</v>
      </c>
      <c r="S54" s="8" t="n">
        <v>11.34</v>
      </c>
      <c r="T54" s="18"/>
      <c r="U54" s="8"/>
      <c r="V54" s="8"/>
      <c r="W54" s="8"/>
      <c r="X54" s="8"/>
      <c r="Y54" s="8"/>
      <c r="Z54" s="8"/>
      <c r="AA54" s="8"/>
      <c r="AB54" s="8"/>
      <c r="AC54" s="8"/>
      <c r="AD54" s="8"/>
      <c r="AE54" s="18"/>
      <c r="AF54" s="8" t="n">
        <v>12.17</v>
      </c>
      <c r="AG54" s="8"/>
      <c r="AH54" s="8"/>
      <c r="AI54" s="22" t="s">
        <v>103</v>
      </c>
      <c r="AJ54" s="4" t="s">
        <v>99</v>
      </c>
      <c r="AK54" s="22" t="s">
        <v>225</v>
      </c>
      <c r="AL54" s="7" t="n">
        <v>84</v>
      </c>
      <c r="AM54" s="8"/>
      <c r="AN54" s="8"/>
      <c r="AO54" s="8"/>
      <c r="AP54" s="22" t="s">
        <v>219</v>
      </c>
    </row>
    <row r="55" customFormat="false" ht="15" hidden="false" customHeight="false" outlineLevel="0" collapsed="false">
      <c r="A55" s="15" t="s">
        <v>226</v>
      </c>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row>
    <row r="56" customFormat="false" ht="74.6" hidden="false" customHeight="false" outlineLevel="0" collapsed="false">
      <c r="A56" s="6" t="s">
        <v>227</v>
      </c>
      <c r="B56" s="17" t="n">
        <v>61</v>
      </c>
      <c r="C56" s="7" t="n">
        <v>76.3</v>
      </c>
      <c r="D56" s="7" t="n">
        <v>14.52</v>
      </c>
      <c r="E56" s="18" t="n">
        <v>1</v>
      </c>
      <c r="F56" s="19" t="s">
        <v>138</v>
      </c>
      <c r="G56" s="20" t="n">
        <v>132</v>
      </c>
      <c r="H56" s="8" t="n">
        <f aca="false">IF($F56="6""",$AL56,0)</f>
        <v>1916.64</v>
      </c>
      <c r="I56" s="8" t="n">
        <f aca="false">IF($F56="3-5/8""",$AL56,0)</f>
        <v>0</v>
      </c>
      <c r="J56" s="8" t="n">
        <f aca="false">IF($F56="1-5/8""",$AL56,0)</f>
        <v>0</v>
      </c>
      <c r="K56" s="21" t="n">
        <f aca="false">SUMIFS('Board by Face'!$I$5:$I$115,'Board by Face'!$A$5:$A$115,$B56)</f>
        <v>1043.876</v>
      </c>
      <c r="L56" s="8"/>
      <c r="M56" s="8"/>
      <c r="N56" s="8"/>
      <c r="O56" s="8"/>
      <c r="P56" s="8"/>
      <c r="Q56" s="8" t="n">
        <v>76.3</v>
      </c>
      <c r="R56" s="8" t="n">
        <v>76.3</v>
      </c>
      <c r="S56" s="8" t="n">
        <v>228.9</v>
      </c>
      <c r="T56" s="18"/>
      <c r="U56" s="8"/>
      <c r="V56" s="8"/>
      <c r="W56" s="8"/>
      <c r="X56" s="8" t="n">
        <v>1043.88</v>
      </c>
      <c r="Y56" s="8"/>
      <c r="Z56" s="8"/>
      <c r="AA56" s="8" t="n">
        <v>40</v>
      </c>
      <c r="AB56" s="8"/>
      <c r="AC56" s="8"/>
      <c r="AD56" s="8"/>
      <c r="AE56" s="18"/>
      <c r="AF56" s="8" t="n">
        <v>305.2</v>
      </c>
      <c r="AG56" s="8" t="n">
        <v>37.33</v>
      </c>
      <c r="AH56" s="8" t="n">
        <v>37.33</v>
      </c>
      <c r="AI56" s="22" t="s">
        <v>228</v>
      </c>
      <c r="AJ56" s="4" t="s">
        <v>99</v>
      </c>
      <c r="AK56" s="22" t="s">
        <v>229</v>
      </c>
      <c r="AL56" s="7" t="n">
        <v>1916.64</v>
      </c>
      <c r="AM56" s="8"/>
      <c r="AN56" s="8" t="n">
        <v>1043.88</v>
      </c>
      <c r="AO56" s="8" t="n">
        <v>40</v>
      </c>
      <c r="AP56" s="22" t="s">
        <v>230</v>
      </c>
    </row>
    <row r="57" customFormat="false" ht="53.7" hidden="false" customHeight="false" outlineLevel="0" collapsed="false">
      <c r="A57" s="6" t="s">
        <v>231</v>
      </c>
      <c r="B57" s="17" t="n">
        <v>62</v>
      </c>
      <c r="C57" s="7" t="n">
        <v>52.7</v>
      </c>
      <c r="D57" s="7" t="n">
        <v>12.531</v>
      </c>
      <c r="E57" s="18" t="n">
        <v>1</v>
      </c>
      <c r="F57" s="19" t="s">
        <v>138</v>
      </c>
      <c r="G57" s="20" t="n">
        <v>46</v>
      </c>
      <c r="H57" s="8" t="n">
        <f aca="false">IF($F57="6""",$AL57,0)</f>
        <v>576.43</v>
      </c>
      <c r="I57" s="8" t="n">
        <f aca="false">IF($F57="3-5/8""",$AL57,0)</f>
        <v>0</v>
      </c>
      <c r="J57" s="8" t="n">
        <f aca="false">IF($F57="1-5/8""",$AL57,0)</f>
        <v>0</v>
      </c>
      <c r="K57" s="21" t="n">
        <f aca="false">SUMIFS('Board by Face'!$I$5:$I$115,'Board by Face'!$A$5:$A$115,$B57)</f>
        <v>637.0737</v>
      </c>
      <c r="L57" s="8"/>
      <c r="M57" s="8"/>
      <c r="N57" s="8"/>
      <c r="O57" s="8"/>
      <c r="P57" s="8"/>
      <c r="Q57" s="8" t="n">
        <v>52.7</v>
      </c>
      <c r="R57" s="8" t="n">
        <v>52.7</v>
      </c>
      <c r="S57" s="8" t="n">
        <v>158.1</v>
      </c>
      <c r="T57" s="18"/>
      <c r="U57" s="8"/>
      <c r="V57" s="8"/>
      <c r="W57" s="8"/>
      <c r="X57" s="8" t="n">
        <v>637.07</v>
      </c>
      <c r="Y57" s="8"/>
      <c r="Z57" s="8"/>
      <c r="AA57" s="8"/>
      <c r="AB57" s="8"/>
      <c r="AC57" s="8"/>
      <c r="AD57" s="8"/>
      <c r="AE57" s="18"/>
      <c r="AF57" s="8" t="n">
        <v>210.8</v>
      </c>
      <c r="AG57" s="8" t="n">
        <v>4.66</v>
      </c>
      <c r="AH57" s="8"/>
      <c r="AI57" s="22" t="s">
        <v>232</v>
      </c>
      <c r="AJ57" s="4" t="s">
        <v>99</v>
      </c>
      <c r="AK57" s="22" t="s">
        <v>233</v>
      </c>
      <c r="AL57" s="7" t="n">
        <v>576.43</v>
      </c>
      <c r="AM57" s="8"/>
      <c r="AN57" s="8" t="n">
        <v>637.07</v>
      </c>
      <c r="AO57" s="8"/>
      <c r="AP57" s="22" t="s">
        <v>234</v>
      </c>
    </row>
    <row r="58" customFormat="false" ht="53.7" hidden="false" customHeight="false" outlineLevel="0" collapsed="false">
      <c r="A58" s="6" t="s">
        <v>235</v>
      </c>
      <c r="B58" s="17" t="n">
        <v>63</v>
      </c>
      <c r="C58" s="7" t="n">
        <v>47.92</v>
      </c>
      <c r="D58" s="7" t="n">
        <v>13.99</v>
      </c>
      <c r="E58" s="18" t="n">
        <v>1</v>
      </c>
      <c r="F58" s="19" t="s">
        <v>138</v>
      </c>
      <c r="G58" s="20" t="n">
        <v>74</v>
      </c>
      <c r="H58" s="8" t="n">
        <f aca="false">IF($F58="6""",$AL58,0)</f>
        <v>1035.26</v>
      </c>
      <c r="I58" s="8" t="n">
        <f aca="false">IF($F58="3-5/8""",$AL58,0)</f>
        <v>0</v>
      </c>
      <c r="J58" s="8" t="n">
        <f aca="false">IF($F58="1-5/8""",$AL58,0)</f>
        <v>0</v>
      </c>
      <c r="K58" s="21" t="n">
        <f aca="false">SUMIFS('Board by Face'!$I$5:$I$115,'Board by Face'!$A$5:$A$115,$B58)</f>
        <v>638.4008</v>
      </c>
      <c r="L58" s="8" t="n">
        <v>59.79</v>
      </c>
      <c r="M58" s="8"/>
      <c r="N58" s="8" t="n">
        <v>6.64</v>
      </c>
      <c r="O58" s="8"/>
      <c r="P58" s="8"/>
      <c r="Q58" s="8" t="n">
        <v>47.92</v>
      </c>
      <c r="R58" s="8" t="n">
        <v>47.92</v>
      </c>
      <c r="S58" s="8" t="n">
        <v>143.76</v>
      </c>
      <c r="T58" s="18"/>
      <c r="U58" s="8" t="n">
        <v>25.33</v>
      </c>
      <c r="V58" s="8"/>
      <c r="W58" s="8"/>
      <c r="X58" s="8" t="n">
        <v>638.4</v>
      </c>
      <c r="Y58" s="8"/>
      <c r="Z58" s="8"/>
      <c r="AA58" s="8" t="n">
        <v>20</v>
      </c>
      <c r="AB58" s="8"/>
      <c r="AC58" s="8"/>
      <c r="AD58" s="8"/>
      <c r="AE58" s="18"/>
      <c r="AF58" s="8" t="n">
        <v>191.68</v>
      </c>
      <c r="AG58" s="8" t="n">
        <v>18.67</v>
      </c>
      <c r="AH58" s="8" t="n">
        <v>18.67</v>
      </c>
      <c r="AI58" s="22" t="s">
        <v>236</v>
      </c>
      <c r="AJ58" s="4" t="s">
        <v>99</v>
      </c>
      <c r="AK58" s="22" t="s">
        <v>237</v>
      </c>
      <c r="AL58" s="7" t="n">
        <v>1035.26</v>
      </c>
      <c r="AM58" s="8"/>
      <c r="AN58" s="8" t="n">
        <v>638.4</v>
      </c>
      <c r="AO58" s="8" t="n">
        <v>20</v>
      </c>
      <c r="AP58" s="22" t="s">
        <v>238</v>
      </c>
    </row>
    <row r="59" customFormat="false" ht="64.15" hidden="false" customHeight="false" outlineLevel="0" collapsed="false">
      <c r="A59" s="6" t="s">
        <v>239</v>
      </c>
      <c r="B59" s="17" t="n">
        <v>65</v>
      </c>
      <c r="C59" s="7" t="n">
        <v>21.88</v>
      </c>
      <c r="D59" s="7" t="n">
        <v>15.375</v>
      </c>
      <c r="E59" s="18" t="n">
        <v>1</v>
      </c>
      <c r="F59" s="19" t="s">
        <v>138</v>
      </c>
      <c r="G59" s="20" t="n">
        <v>27</v>
      </c>
      <c r="H59" s="8" t="n">
        <f aca="false">IF($F59="6""",$AL59,0)</f>
        <v>415.12</v>
      </c>
      <c r="I59" s="8" t="n">
        <f aca="false">IF($F59="3-5/8""",$AL59,0)</f>
        <v>0</v>
      </c>
      <c r="J59" s="8" t="n">
        <f aca="false">IF($F59="1-5/8""",$AL59,0)</f>
        <v>0</v>
      </c>
      <c r="K59" s="21" t="n">
        <f aca="false">SUMIFS('Board by Face'!$I$5:$I$115,'Board by Face'!$A$5:$A$115,$B59)</f>
        <v>330.735</v>
      </c>
      <c r="L59" s="8"/>
      <c r="M59" s="8"/>
      <c r="N59" s="8"/>
      <c r="O59" s="8"/>
      <c r="P59" s="8"/>
      <c r="Q59" s="8" t="n">
        <v>21.88</v>
      </c>
      <c r="R59" s="8" t="n">
        <v>21.88</v>
      </c>
      <c r="S59" s="8" t="n">
        <v>65.64</v>
      </c>
      <c r="T59" s="18"/>
      <c r="U59" s="8"/>
      <c r="V59" s="8"/>
      <c r="W59" s="8"/>
      <c r="X59" s="8" t="n">
        <v>305.37</v>
      </c>
      <c r="Y59" s="8"/>
      <c r="Z59" s="8"/>
      <c r="AA59" s="8" t="n">
        <v>37.12</v>
      </c>
      <c r="AB59" s="8"/>
      <c r="AC59" s="8"/>
      <c r="AD59" s="8" t="n">
        <v>49.87</v>
      </c>
      <c r="AE59" s="18"/>
      <c r="AF59" s="8" t="n">
        <v>87.52</v>
      </c>
      <c r="AG59" s="8" t="n">
        <v>20.85</v>
      </c>
      <c r="AH59" s="8" t="n">
        <v>3.51</v>
      </c>
      <c r="AI59" s="22" t="s">
        <v>240</v>
      </c>
      <c r="AJ59" s="4" t="s">
        <v>99</v>
      </c>
      <c r="AK59" s="22" t="s">
        <v>241</v>
      </c>
      <c r="AL59" s="7" t="n">
        <v>415.12</v>
      </c>
      <c r="AM59" s="8"/>
      <c r="AN59" s="8" t="n">
        <v>330.74</v>
      </c>
      <c r="AO59" s="8" t="n">
        <v>11.75</v>
      </c>
      <c r="AP59" s="22" t="s">
        <v>242</v>
      </c>
    </row>
    <row r="60" customFormat="false" ht="64.15" hidden="false" customHeight="false" outlineLevel="0" collapsed="false">
      <c r="A60" s="6" t="s">
        <v>243</v>
      </c>
      <c r="B60" s="17" t="n">
        <v>60</v>
      </c>
      <c r="C60" s="7" t="n">
        <v>14.95</v>
      </c>
      <c r="D60" s="7" t="n">
        <v>15.375</v>
      </c>
      <c r="E60" s="18" t="n">
        <v>1</v>
      </c>
      <c r="F60" s="19" t="s">
        <v>138</v>
      </c>
      <c r="G60" s="20" t="n">
        <v>14</v>
      </c>
      <c r="H60" s="8" t="n">
        <f aca="false">IF($F60="6""",$AL60,0)</f>
        <v>215.25</v>
      </c>
      <c r="I60" s="8" t="n">
        <f aca="false">IF($F60="3-5/8""",$AL60,0)</f>
        <v>0</v>
      </c>
      <c r="J60" s="8" t="n">
        <f aca="false">IF($F60="1-5/8""",$AL60,0)</f>
        <v>0</v>
      </c>
      <c r="K60" s="21" t="n">
        <f aca="false">SUMIFS('Board by Face'!$I$5:$I$115,'Board by Face'!$A$5:$A$115,$B60)</f>
        <v>229.85625</v>
      </c>
      <c r="L60" s="8"/>
      <c r="M60" s="8"/>
      <c r="N60" s="8"/>
      <c r="O60" s="8"/>
      <c r="P60" s="8"/>
      <c r="Q60" s="8" t="n">
        <v>14.95</v>
      </c>
      <c r="R60" s="8" t="n">
        <v>14.95</v>
      </c>
      <c r="S60" s="8" t="n">
        <v>44.85</v>
      </c>
      <c r="T60" s="18"/>
      <c r="U60" s="8"/>
      <c r="V60" s="8"/>
      <c r="W60" s="8"/>
      <c r="X60" s="8" t="n">
        <v>229.86</v>
      </c>
      <c r="Y60" s="8"/>
      <c r="Z60" s="8"/>
      <c r="AA60" s="8" t="n">
        <v>29.32</v>
      </c>
      <c r="AB60" s="8"/>
      <c r="AC60" s="8"/>
      <c r="AD60" s="8"/>
      <c r="AE60" s="18"/>
      <c r="AF60" s="8" t="n">
        <v>59.8</v>
      </c>
      <c r="AG60" s="8" t="n">
        <v>42.97</v>
      </c>
      <c r="AH60" s="8"/>
      <c r="AI60" s="22" t="s">
        <v>103</v>
      </c>
      <c r="AJ60" s="4" t="s">
        <v>99</v>
      </c>
      <c r="AK60" s="22" t="s">
        <v>244</v>
      </c>
      <c r="AL60" s="7" t="n">
        <v>215.25</v>
      </c>
      <c r="AM60" s="8"/>
      <c r="AN60" s="8" t="n">
        <v>229.86</v>
      </c>
      <c r="AO60" s="8" t="n">
        <v>29.32</v>
      </c>
      <c r="AP60" s="22" t="s">
        <v>245</v>
      </c>
    </row>
    <row r="61" customFormat="false" ht="53.7" hidden="false" customHeight="false" outlineLevel="0" collapsed="false">
      <c r="A61" s="6" t="s">
        <v>246</v>
      </c>
      <c r="B61" s="17" t="n">
        <v>64</v>
      </c>
      <c r="C61" s="7" t="n">
        <v>3.89</v>
      </c>
      <c r="D61" s="7" t="n">
        <v>15.375</v>
      </c>
      <c r="E61" s="18" t="n">
        <v>1</v>
      </c>
      <c r="F61" s="19" t="s">
        <v>138</v>
      </c>
      <c r="G61" s="20" t="n">
        <v>5</v>
      </c>
      <c r="H61" s="8" t="n">
        <f aca="false">IF($F61="6""",$AL61,0)</f>
        <v>76.88</v>
      </c>
      <c r="I61" s="8" t="n">
        <f aca="false">IF($F61="3-5/8""",$AL61,0)</f>
        <v>0</v>
      </c>
      <c r="J61" s="8" t="n">
        <f aca="false">IF($F61="1-5/8""",$AL61,0)</f>
        <v>0</v>
      </c>
      <c r="K61" s="21" t="n">
        <f aca="false">SUMIFS('Board by Face'!$I$5:$I$115,'Board by Face'!$A$5:$A$115,$B61)</f>
        <v>59.80875</v>
      </c>
      <c r="L61" s="8"/>
      <c r="M61" s="8"/>
      <c r="N61" s="8"/>
      <c r="O61" s="8"/>
      <c r="P61" s="8"/>
      <c r="Q61" s="8" t="n">
        <v>3.89</v>
      </c>
      <c r="R61" s="8" t="n">
        <v>3.89</v>
      </c>
      <c r="S61" s="8" t="n">
        <v>11.67</v>
      </c>
      <c r="T61" s="18"/>
      <c r="U61" s="8"/>
      <c r="V61" s="8"/>
      <c r="W61" s="8"/>
      <c r="X61" s="8" t="n">
        <v>59.81</v>
      </c>
      <c r="Y61" s="8"/>
      <c r="Z61" s="8"/>
      <c r="AA61" s="8"/>
      <c r="AB61" s="8"/>
      <c r="AC61" s="8"/>
      <c r="AD61" s="8"/>
      <c r="AE61" s="18"/>
      <c r="AF61" s="8" t="n">
        <v>15.56</v>
      </c>
      <c r="AG61" s="8"/>
      <c r="AH61" s="8"/>
      <c r="AI61" s="22" t="s">
        <v>103</v>
      </c>
      <c r="AJ61" s="4" t="s">
        <v>99</v>
      </c>
      <c r="AK61" s="22" t="s">
        <v>247</v>
      </c>
      <c r="AL61" s="7" t="n">
        <v>76.88</v>
      </c>
      <c r="AM61" s="8"/>
      <c r="AN61" s="8" t="n">
        <v>59.81</v>
      </c>
      <c r="AO61" s="8"/>
      <c r="AP61" s="22" t="s">
        <v>248</v>
      </c>
    </row>
    <row r="62" customFormat="false" ht="15" hidden="false" customHeight="false" outlineLevel="0" collapsed="false">
      <c r="A62" s="15" t="s">
        <v>249</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row>
    <row r="63" customFormat="false" ht="35.05" hidden="false" customHeight="false" outlineLevel="0" collapsed="false">
      <c r="A63" s="6" t="s">
        <v>250</v>
      </c>
      <c r="B63" s="17" t="n">
        <v>161</v>
      </c>
      <c r="C63" s="7" t="n">
        <v>76.3</v>
      </c>
      <c r="D63" s="7" t="n">
        <v>2.897</v>
      </c>
      <c r="E63" s="18" t="n">
        <v>0</v>
      </c>
      <c r="F63" s="19" t="s">
        <v>251</v>
      </c>
      <c r="G63" s="20" t="n">
        <v>92</v>
      </c>
      <c r="H63" s="8" t="n">
        <f aca="false">IF($F63="6""",$AL63,0)</f>
        <v>0</v>
      </c>
      <c r="I63" s="8" t="n">
        <f aca="false">IF($F63="3-5/8""",$AL63,0)</f>
        <v>0</v>
      </c>
      <c r="J63" s="8" t="n">
        <f aca="false">IF($F63="1-5/8""",$AL63,0)</f>
        <v>0</v>
      </c>
      <c r="K63" s="21" t="n">
        <f aca="false">SUMIFS('Board by Face'!$I$5:$I$115,'Board by Face'!$A$5:$A$115,$B63)</f>
        <v>0</v>
      </c>
      <c r="L63" s="8"/>
      <c r="M63" s="8"/>
      <c r="N63" s="8"/>
      <c r="O63" s="8"/>
      <c r="P63" s="8"/>
      <c r="Q63" s="8" t="n">
        <v>76.3</v>
      </c>
      <c r="R63" s="8" t="n">
        <v>76.3</v>
      </c>
      <c r="S63" s="8" t="n">
        <v>0</v>
      </c>
      <c r="T63" s="18"/>
      <c r="U63" s="8" t="n">
        <v>76.3</v>
      </c>
      <c r="V63" s="8"/>
      <c r="W63" s="8" t="n">
        <v>221.04</v>
      </c>
      <c r="X63" s="8" t="n">
        <v>221.04</v>
      </c>
      <c r="Y63" s="8"/>
      <c r="Z63" s="8"/>
      <c r="AA63" s="8"/>
      <c r="AB63" s="8"/>
      <c r="AC63" s="8"/>
      <c r="AD63" s="8"/>
      <c r="AE63" s="18" t="n">
        <v>77</v>
      </c>
      <c r="AF63" s="8" t="n">
        <v>152.6</v>
      </c>
      <c r="AG63" s="8"/>
      <c r="AH63" s="8"/>
      <c r="AI63" s="22" t="s">
        <v>103</v>
      </c>
      <c r="AJ63" s="4" t="s">
        <v>99</v>
      </c>
      <c r="AK63" s="22" t="s">
        <v>252</v>
      </c>
      <c r="AL63" s="7" t="n">
        <v>266.52</v>
      </c>
      <c r="AM63" s="8"/>
      <c r="AN63" s="8"/>
      <c r="AO63" s="8"/>
      <c r="AP63" s="22" t="s">
        <v>253</v>
      </c>
    </row>
    <row r="64" customFormat="false" ht="46.25" hidden="false" customHeight="false" outlineLevel="0" collapsed="false">
      <c r="A64" s="6" t="s">
        <v>254</v>
      </c>
      <c r="B64" s="17" t="n">
        <v>162</v>
      </c>
      <c r="C64" s="7" t="n">
        <v>52.7</v>
      </c>
      <c r="D64" s="7" t="n">
        <v>4.886</v>
      </c>
      <c r="E64" s="18" t="n">
        <v>0</v>
      </c>
      <c r="F64" s="19" t="s">
        <v>251</v>
      </c>
      <c r="G64" s="20" t="n">
        <v>64</v>
      </c>
      <c r="H64" s="8" t="n">
        <f aca="false">IF($F64="6""",$AL64,0)</f>
        <v>0</v>
      </c>
      <c r="I64" s="8" t="n">
        <f aca="false">IF($F64="3-5/8""",$AL64,0)</f>
        <v>0</v>
      </c>
      <c r="J64" s="8" t="n">
        <f aca="false">IF($F64="1-5/8""",$AL64,0)</f>
        <v>0</v>
      </c>
      <c r="K64" s="21" t="n">
        <f aca="false">SUMIFS('Board by Face'!$I$5:$I$115,'Board by Face'!$A$5:$A$115,$B64)</f>
        <v>0</v>
      </c>
      <c r="L64" s="8"/>
      <c r="M64" s="8"/>
      <c r="N64" s="8"/>
      <c r="O64" s="8"/>
      <c r="P64" s="8"/>
      <c r="Q64" s="8" t="n">
        <v>52.7</v>
      </c>
      <c r="R64" s="8" t="n">
        <v>52.7</v>
      </c>
      <c r="S64" s="8" t="n">
        <v>52.7</v>
      </c>
      <c r="T64" s="18"/>
      <c r="U64" s="8" t="n">
        <v>52.7</v>
      </c>
      <c r="V64" s="8"/>
      <c r="W64" s="8" t="n">
        <v>257.49</v>
      </c>
      <c r="X64" s="8" t="n">
        <v>257.49</v>
      </c>
      <c r="Y64" s="8"/>
      <c r="Z64" s="8"/>
      <c r="AA64" s="8"/>
      <c r="AB64" s="8"/>
      <c r="AC64" s="8"/>
      <c r="AD64" s="8"/>
      <c r="AE64" s="18" t="n">
        <v>53</v>
      </c>
      <c r="AF64" s="8" t="n">
        <v>105.4</v>
      </c>
      <c r="AG64" s="8"/>
      <c r="AH64" s="8"/>
      <c r="AI64" s="22" t="s">
        <v>103</v>
      </c>
      <c r="AJ64" s="4" t="s">
        <v>99</v>
      </c>
      <c r="AK64" s="22" t="s">
        <v>255</v>
      </c>
      <c r="AL64" s="7" t="n">
        <v>312.7</v>
      </c>
      <c r="AM64" s="8"/>
      <c r="AN64" s="8"/>
      <c r="AO64" s="8"/>
      <c r="AP64" s="22" t="s">
        <v>256</v>
      </c>
    </row>
    <row r="65" customFormat="false" ht="46.25" hidden="false" customHeight="false" outlineLevel="0" collapsed="false">
      <c r="A65" s="6" t="s">
        <v>257</v>
      </c>
      <c r="B65" s="17" t="n">
        <v>163</v>
      </c>
      <c r="C65" s="7" t="n">
        <v>47.92</v>
      </c>
      <c r="D65" s="7" t="n">
        <v>3.427</v>
      </c>
      <c r="E65" s="18" t="n">
        <v>0</v>
      </c>
      <c r="F65" s="19" t="s">
        <v>251</v>
      </c>
      <c r="G65" s="20" t="n">
        <v>58</v>
      </c>
      <c r="H65" s="8" t="n">
        <f aca="false">IF($F65="6""",$AL65,0)</f>
        <v>0</v>
      </c>
      <c r="I65" s="8" t="n">
        <f aca="false">IF($F65="3-5/8""",$AL65,0)</f>
        <v>0</v>
      </c>
      <c r="J65" s="8" t="n">
        <f aca="false">IF($F65="1-5/8""",$AL65,0)</f>
        <v>0</v>
      </c>
      <c r="K65" s="21" t="n">
        <f aca="false">SUMIFS('Board by Face'!$I$5:$I$115,'Board by Face'!$A$5:$A$115,$B65)</f>
        <v>0</v>
      </c>
      <c r="L65" s="8"/>
      <c r="M65" s="8"/>
      <c r="N65" s="8"/>
      <c r="O65" s="8"/>
      <c r="P65" s="8"/>
      <c r="Q65" s="8" t="n">
        <v>47.92</v>
      </c>
      <c r="R65" s="8" t="n">
        <v>47.92</v>
      </c>
      <c r="S65" s="8" t="n">
        <v>0</v>
      </c>
      <c r="T65" s="18"/>
      <c r="U65" s="8" t="n">
        <v>47.92</v>
      </c>
      <c r="V65" s="8"/>
      <c r="W65" s="8" t="n">
        <v>164.22</v>
      </c>
      <c r="X65" s="8" t="n">
        <v>164.22</v>
      </c>
      <c r="Y65" s="8"/>
      <c r="Z65" s="8"/>
      <c r="AA65" s="8"/>
      <c r="AB65" s="8"/>
      <c r="AC65" s="8"/>
      <c r="AD65" s="8"/>
      <c r="AE65" s="18" t="n">
        <v>48</v>
      </c>
      <c r="AF65" s="8" t="n">
        <v>95.84</v>
      </c>
      <c r="AG65" s="8"/>
      <c r="AH65" s="8"/>
      <c r="AI65" s="22" t="s">
        <v>103</v>
      </c>
      <c r="AJ65" s="4" t="s">
        <v>99</v>
      </c>
      <c r="AK65" s="22" t="s">
        <v>258</v>
      </c>
      <c r="AL65" s="7" t="n">
        <v>198.77</v>
      </c>
      <c r="AM65" s="8"/>
      <c r="AN65" s="8"/>
      <c r="AO65" s="8"/>
      <c r="AP65" s="22" t="s">
        <v>253</v>
      </c>
    </row>
    <row r="66" customFormat="false" ht="46.25" hidden="false" customHeight="false" outlineLevel="0" collapsed="false">
      <c r="A66" s="6" t="s">
        <v>259</v>
      </c>
      <c r="B66" s="17" t="n">
        <v>165</v>
      </c>
      <c r="C66" s="7" t="n">
        <v>21.88</v>
      </c>
      <c r="D66" s="7" t="n">
        <v>4.292</v>
      </c>
      <c r="E66" s="18" t="n">
        <v>0</v>
      </c>
      <c r="F66" s="19" t="s">
        <v>251</v>
      </c>
      <c r="G66" s="20" t="n">
        <v>29</v>
      </c>
      <c r="H66" s="8" t="n">
        <f aca="false">IF($F66="6""",$AL66,0)</f>
        <v>0</v>
      </c>
      <c r="I66" s="8" t="n">
        <f aca="false">IF($F66="3-5/8""",$AL66,0)</f>
        <v>0</v>
      </c>
      <c r="J66" s="8" t="n">
        <f aca="false">IF($F66="1-5/8""",$AL66,0)</f>
        <v>0</v>
      </c>
      <c r="K66" s="21" t="n">
        <f aca="false">SUMIFS('Board by Face'!$I$5:$I$115,'Board by Face'!$A$5:$A$115,$B66)</f>
        <v>0</v>
      </c>
      <c r="L66" s="8"/>
      <c r="M66" s="8"/>
      <c r="N66" s="8"/>
      <c r="O66" s="8"/>
      <c r="P66" s="8"/>
      <c r="Q66" s="8" t="n">
        <v>21.88</v>
      </c>
      <c r="R66" s="8" t="n">
        <v>21.88</v>
      </c>
      <c r="S66" s="8" t="n">
        <v>21.88</v>
      </c>
      <c r="T66" s="18"/>
      <c r="U66" s="8" t="n">
        <v>21.88</v>
      </c>
      <c r="V66" s="8"/>
      <c r="W66" s="8" t="n">
        <v>93.91</v>
      </c>
      <c r="X66" s="8" t="n">
        <v>93.91</v>
      </c>
      <c r="Y66" s="8"/>
      <c r="Z66" s="8"/>
      <c r="AA66" s="8"/>
      <c r="AB66" s="8"/>
      <c r="AC66" s="8"/>
      <c r="AD66" s="8"/>
      <c r="AE66" s="18" t="n">
        <v>22</v>
      </c>
      <c r="AF66" s="8" t="n">
        <v>43.76</v>
      </c>
      <c r="AG66" s="8"/>
      <c r="AH66" s="8"/>
      <c r="AI66" s="22" t="s">
        <v>103</v>
      </c>
      <c r="AJ66" s="4" t="s">
        <v>99</v>
      </c>
      <c r="AK66" s="22" t="s">
        <v>260</v>
      </c>
      <c r="AL66" s="7" t="n">
        <v>124.47</v>
      </c>
      <c r="AM66" s="8"/>
      <c r="AN66" s="8"/>
      <c r="AO66" s="8"/>
      <c r="AP66" s="22" t="s">
        <v>253</v>
      </c>
    </row>
    <row r="67" customFormat="false" ht="35.05" hidden="false" customHeight="false" outlineLevel="0" collapsed="false">
      <c r="A67" s="6" t="s">
        <v>261</v>
      </c>
      <c r="B67" s="17" t="n">
        <v>160</v>
      </c>
      <c r="C67" s="7" t="n">
        <v>14.95</v>
      </c>
      <c r="D67" s="7" t="n">
        <v>2.042</v>
      </c>
      <c r="E67" s="18" t="n">
        <v>0</v>
      </c>
      <c r="F67" s="19" t="s">
        <v>251</v>
      </c>
      <c r="G67" s="20" t="n">
        <v>20</v>
      </c>
      <c r="H67" s="8" t="n">
        <f aca="false">IF($F67="6""",$AL67,0)</f>
        <v>0</v>
      </c>
      <c r="I67" s="8" t="n">
        <f aca="false">IF($F67="3-5/8""",$AL67,0)</f>
        <v>0</v>
      </c>
      <c r="J67" s="8" t="n">
        <f aca="false">IF($F67="1-5/8""",$AL67,0)</f>
        <v>0</v>
      </c>
      <c r="K67" s="21" t="n">
        <f aca="false">SUMIFS('Board by Face'!$I$5:$I$115,'Board by Face'!$A$5:$A$115,$B67)</f>
        <v>0</v>
      </c>
      <c r="L67" s="8"/>
      <c r="M67" s="8"/>
      <c r="N67" s="8"/>
      <c r="O67" s="8"/>
      <c r="P67" s="8"/>
      <c r="Q67" s="8" t="n">
        <v>14.95</v>
      </c>
      <c r="R67" s="8" t="n">
        <v>14.95</v>
      </c>
      <c r="S67" s="8" t="n">
        <v>0</v>
      </c>
      <c r="T67" s="18"/>
      <c r="U67" s="8" t="n">
        <v>14.95</v>
      </c>
      <c r="V67" s="8"/>
      <c r="W67" s="8" t="n">
        <v>30.53</v>
      </c>
      <c r="X67" s="8" t="n">
        <v>30.53</v>
      </c>
      <c r="Y67" s="8"/>
      <c r="Z67" s="8"/>
      <c r="AA67" s="8"/>
      <c r="AB67" s="8"/>
      <c r="AC67" s="8"/>
      <c r="AD67" s="8"/>
      <c r="AE67" s="18" t="n">
        <v>15</v>
      </c>
      <c r="AF67" s="8" t="n">
        <v>29.9</v>
      </c>
      <c r="AG67" s="8"/>
      <c r="AH67" s="8"/>
      <c r="AI67" s="22" t="s">
        <v>103</v>
      </c>
      <c r="AJ67" s="4" t="s">
        <v>99</v>
      </c>
      <c r="AK67" s="22" t="s">
        <v>262</v>
      </c>
      <c r="AL67" s="7" t="n">
        <v>40.84</v>
      </c>
      <c r="AM67" s="8"/>
      <c r="AN67" s="8"/>
      <c r="AO67" s="8"/>
      <c r="AP67" s="22" t="s">
        <v>256</v>
      </c>
    </row>
    <row r="68" customFormat="false" ht="35.05" hidden="false" customHeight="false" outlineLevel="0" collapsed="false">
      <c r="A68" s="6" t="s">
        <v>263</v>
      </c>
      <c r="B68" s="17" t="n">
        <v>164</v>
      </c>
      <c r="C68" s="7" t="n">
        <v>3.89</v>
      </c>
      <c r="D68" s="7" t="n">
        <v>4.292</v>
      </c>
      <c r="E68" s="18" t="n">
        <v>0</v>
      </c>
      <c r="F68" s="19" t="s">
        <v>251</v>
      </c>
      <c r="G68" s="20" t="n">
        <v>7</v>
      </c>
      <c r="H68" s="8" t="n">
        <f aca="false">IF($F68="6""",$AL68,0)</f>
        <v>0</v>
      </c>
      <c r="I68" s="8" t="n">
        <f aca="false">IF($F68="3-5/8""",$AL68,0)</f>
        <v>0</v>
      </c>
      <c r="J68" s="8" t="n">
        <f aca="false">IF($F68="1-5/8""",$AL68,0)</f>
        <v>0</v>
      </c>
      <c r="K68" s="21" t="n">
        <f aca="false">SUMIFS('Board by Face'!$I$5:$I$115,'Board by Face'!$A$5:$A$115,$B68)</f>
        <v>0</v>
      </c>
      <c r="L68" s="8"/>
      <c r="M68" s="8"/>
      <c r="N68" s="8"/>
      <c r="O68" s="8"/>
      <c r="P68" s="8"/>
      <c r="Q68" s="8" t="n">
        <v>3.89</v>
      </c>
      <c r="R68" s="8" t="n">
        <v>3.89</v>
      </c>
      <c r="S68" s="8" t="n">
        <v>3.89</v>
      </c>
      <c r="T68" s="18"/>
      <c r="U68" s="8" t="n">
        <v>3.89</v>
      </c>
      <c r="V68" s="8"/>
      <c r="W68" s="8" t="n">
        <v>16.7</v>
      </c>
      <c r="X68" s="8" t="n">
        <v>16.7</v>
      </c>
      <c r="Y68" s="8"/>
      <c r="Z68" s="8"/>
      <c r="AA68" s="8"/>
      <c r="AB68" s="8"/>
      <c r="AC68" s="8"/>
      <c r="AD68" s="8"/>
      <c r="AE68" s="18" t="n">
        <v>4</v>
      </c>
      <c r="AF68" s="8" t="n">
        <v>7.78</v>
      </c>
      <c r="AG68" s="8"/>
      <c r="AH68" s="8"/>
      <c r="AI68" s="22" t="s">
        <v>103</v>
      </c>
      <c r="AJ68" s="4" t="s">
        <v>99</v>
      </c>
      <c r="AK68" s="22" t="s">
        <v>264</v>
      </c>
      <c r="AL68" s="7" t="n">
        <v>30.04</v>
      </c>
      <c r="AM68" s="8"/>
      <c r="AN68" s="8"/>
      <c r="AO68" s="8"/>
      <c r="AP68" s="22" t="s">
        <v>253</v>
      </c>
    </row>
    <row r="69" customFormat="false" ht="15" hidden="false" customHeight="false" outlineLevel="0" collapsed="false">
      <c r="A69" s="15" t="s">
        <v>265</v>
      </c>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row>
    <row r="70" customFormat="false" ht="57.45" hidden="false" customHeight="false" outlineLevel="0" collapsed="false">
      <c r="A70" s="6" t="s">
        <v>266</v>
      </c>
      <c r="B70" s="17" t="n">
        <v>40</v>
      </c>
      <c r="C70" s="7" t="n">
        <v>17.762</v>
      </c>
      <c r="D70" s="7" t="n">
        <v>15.375</v>
      </c>
      <c r="E70" s="18" t="n">
        <v>2</v>
      </c>
      <c r="F70" s="19" t="s">
        <v>97</v>
      </c>
      <c r="G70" s="20" t="n">
        <v>24</v>
      </c>
      <c r="H70" s="8" t="n">
        <f aca="false">IF($F70="6""",$AL70,0)</f>
        <v>0</v>
      </c>
      <c r="I70" s="8" t="n">
        <f aca="false">IF($F70="3-5/8""",$AL70,0)</f>
        <v>369</v>
      </c>
      <c r="J70" s="8" t="n">
        <f aca="false">IF($F70="1-5/8""",$AL70,0)</f>
        <v>0</v>
      </c>
      <c r="K70" s="21" t="n">
        <f aca="false">SUMIFS('Board by Face'!$I$5:$I$115,'Board by Face'!$A$5:$A$115,$B70)</f>
        <v>418.91975</v>
      </c>
      <c r="L70" s="8"/>
      <c r="M70" s="8"/>
      <c r="N70" s="8"/>
      <c r="O70" s="8"/>
      <c r="P70" s="8"/>
      <c r="Q70" s="8" t="n">
        <v>17.76</v>
      </c>
      <c r="R70" s="8" t="n">
        <v>17.76</v>
      </c>
      <c r="S70" s="8" t="n">
        <v>53.29</v>
      </c>
      <c r="T70" s="18"/>
      <c r="U70" s="8" t="n">
        <v>21.41</v>
      </c>
      <c r="V70" s="8"/>
      <c r="W70" s="8"/>
      <c r="X70" s="8"/>
      <c r="Y70" s="8"/>
      <c r="Z70" s="8"/>
      <c r="AA70" s="8" t="n">
        <v>262.37</v>
      </c>
      <c r="AB70" s="8"/>
      <c r="AC70" s="8"/>
      <c r="AD70" s="8"/>
      <c r="AE70" s="18"/>
      <c r="AF70" s="8" t="n">
        <v>71.05</v>
      </c>
      <c r="AG70" s="8" t="n">
        <v>3.58</v>
      </c>
      <c r="AH70" s="8" t="n">
        <v>3.58</v>
      </c>
      <c r="AI70" s="22" t="s">
        <v>267</v>
      </c>
      <c r="AJ70" s="4" t="s">
        <v>99</v>
      </c>
      <c r="AK70" s="22" t="s">
        <v>268</v>
      </c>
      <c r="AL70" s="7" t="n">
        <v>369</v>
      </c>
      <c r="AM70" s="8"/>
      <c r="AN70" s="8"/>
      <c r="AO70" s="8"/>
      <c r="AP70" s="22" t="s">
        <v>269</v>
      </c>
    </row>
    <row r="71" customFormat="false" ht="15" hidden="false" customHeight="false" outlineLevel="0" collapsed="false">
      <c r="A71" s="15" t="s">
        <v>270</v>
      </c>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row>
    <row r="72" customFormat="false" ht="46.25" hidden="false" customHeight="false" outlineLevel="0" collapsed="false">
      <c r="A72" s="6" t="s">
        <v>271</v>
      </c>
      <c r="B72" s="17" t="n">
        <v>45</v>
      </c>
      <c r="C72" s="7" t="n">
        <v>11.77</v>
      </c>
      <c r="D72" s="7" t="n">
        <v>15.375</v>
      </c>
      <c r="E72" s="18" t="n">
        <v>4</v>
      </c>
      <c r="F72" s="19" t="s">
        <v>191</v>
      </c>
      <c r="G72" s="20" t="n">
        <v>22</v>
      </c>
      <c r="H72" s="8" t="n">
        <f aca="false">IF($F72="6""",$AL72,0)</f>
        <v>0</v>
      </c>
      <c r="I72" s="8" t="n">
        <f aca="false">IF($F72="3-5/8""",$AL72,0)</f>
        <v>0</v>
      </c>
      <c r="J72" s="8" t="n">
        <f aca="false">IF($F72="1-5/8""",$AL72,0)</f>
        <v>338.25</v>
      </c>
      <c r="K72" s="21" t="n">
        <f aca="false">SUMIFS('Board by Face'!$I$5:$I$115,'Board by Face'!$A$5:$A$115,$B72)</f>
        <v>723.855</v>
      </c>
      <c r="L72" s="8"/>
      <c r="M72" s="8"/>
      <c r="N72" s="8"/>
      <c r="O72" s="8"/>
      <c r="P72" s="8"/>
      <c r="Q72" s="8" t="n">
        <v>23.54</v>
      </c>
      <c r="R72" s="8" t="n">
        <v>23.54</v>
      </c>
      <c r="S72" s="8" t="n">
        <v>70.62</v>
      </c>
      <c r="T72" s="18"/>
      <c r="U72" s="8" t="n">
        <v>4</v>
      </c>
      <c r="V72" s="8"/>
      <c r="W72" s="8"/>
      <c r="X72" s="8"/>
      <c r="Y72" s="8"/>
      <c r="Z72" s="8"/>
      <c r="AA72" s="8"/>
      <c r="AB72" s="8" t="n">
        <v>101.52</v>
      </c>
      <c r="AC72" s="8"/>
      <c r="AD72" s="8"/>
      <c r="AE72" s="18"/>
      <c r="AF72" s="8" t="n">
        <v>47.08</v>
      </c>
      <c r="AG72" s="8"/>
      <c r="AH72" s="8"/>
      <c r="AI72" s="22" t="s">
        <v>103</v>
      </c>
      <c r="AJ72" s="4" t="s">
        <v>99</v>
      </c>
      <c r="AK72" s="22" t="s">
        <v>272</v>
      </c>
      <c r="AL72" s="7" t="n">
        <v>338.25</v>
      </c>
      <c r="AM72" s="8"/>
      <c r="AN72" s="8"/>
      <c r="AO72" s="8"/>
      <c r="AP72" s="22" t="s">
        <v>273</v>
      </c>
    </row>
    <row r="73" customFormat="false" ht="46.25" hidden="false" customHeight="false" outlineLevel="0" collapsed="false">
      <c r="A73" s="6" t="s">
        <v>274</v>
      </c>
      <c r="B73" s="17" t="n">
        <v>46</v>
      </c>
      <c r="C73" s="7" t="n">
        <v>11.77</v>
      </c>
      <c r="D73" s="7" t="n">
        <v>15.375</v>
      </c>
      <c r="E73" s="18" t="n">
        <v>4</v>
      </c>
      <c r="F73" s="19" t="s">
        <v>191</v>
      </c>
      <c r="G73" s="20" t="n">
        <v>30</v>
      </c>
      <c r="H73" s="8" t="n">
        <f aca="false">IF($F73="6""",$AL73,0)</f>
        <v>0</v>
      </c>
      <c r="I73" s="8" t="n">
        <f aca="false">IF($F73="3-5/8""",$AL73,0)</f>
        <v>0</v>
      </c>
      <c r="J73" s="8" t="n">
        <f aca="false">IF($F73="1-5/8""",$AL73,0)</f>
        <v>461.25</v>
      </c>
      <c r="K73" s="21" t="n">
        <f aca="false">SUMIFS('Board by Face'!$I$5:$I$115,'Board by Face'!$A$5:$A$115,$B73)</f>
        <v>723.855</v>
      </c>
      <c r="L73" s="8"/>
      <c r="M73" s="8"/>
      <c r="N73" s="8"/>
      <c r="O73" s="8"/>
      <c r="P73" s="8"/>
      <c r="Q73" s="8" t="n">
        <v>23.54</v>
      </c>
      <c r="R73" s="8" t="n">
        <v>23.54</v>
      </c>
      <c r="S73" s="8" t="n">
        <v>70.62</v>
      </c>
      <c r="T73" s="18"/>
      <c r="U73" s="8" t="n">
        <v>4</v>
      </c>
      <c r="V73" s="8"/>
      <c r="W73" s="8"/>
      <c r="X73" s="8"/>
      <c r="Y73" s="8"/>
      <c r="Z73" s="8"/>
      <c r="AA73" s="8"/>
      <c r="AB73" s="8" t="n">
        <v>101.52</v>
      </c>
      <c r="AC73" s="8"/>
      <c r="AD73" s="8" t="n">
        <v>12</v>
      </c>
      <c r="AE73" s="18"/>
      <c r="AF73" s="8" t="n">
        <v>47.08</v>
      </c>
      <c r="AG73" s="8"/>
      <c r="AH73" s="8"/>
      <c r="AI73" s="22" t="s">
        <v>103</v>
      </c>
      <c r="AJ73" s="4" t="s">
        <v>99</v>
      </c>
      <c r="AK73" s="22" t="s">
        <v>275</v>
      </c>
      <c r="AL73" s="7" t="n">
        <v>461.25</v>
      </c>
      <c r="AM73" s="8"/>
      <c r="AN73" s="8"/>
      <c r="AO73" s="8"/>
      <c r="AP73" s="22" t="s">
        <v>276</v>
      </c>
    </row>
    <row r="74" customFormat="false" ht="46.25" hidden="false" customHeight="false" outlineLevel="0" collapsed="false">
      <c r="A74" s="6" t="s">
        <v>277</v>
      </c>
      <c r="B74" s="17" t="n">
        <v>48</v>
      </c>
      <c r="C74" s="7" t="n">
        <v>11.625</v>
      </c>
      <c r="D74" s="7" t="n">
        <v>15.375</v>
      </c>
      <c r="E74" s="18" t="n">
        <v>4</v>
      </c>
      <c r="F74" s="19" t="s">
        <v>191</v>
      </c>
      <c r="G74" s="20" t="n">
        <v>26</v>
      </c>
      <c r="H74" s="8" t="n">
        <f aca="false">IF($F74="6""",$AL74,0)</f>
        <v>0</v>
      </c>
      <c r="I74" s="8" t="n">
        <f aca="false">IF($F74="3-5/8""",$AL74,0)</f>
        <v>0</v>
      </c>
      <c r="J74" s="8" t="n">
        <f aca="false">IF($F74="1-5/8""",$AL74,0)</f>
        <v>399.75</v>
      </c>
      <c r="K74" s="21" t="n">
        <f aca="false">SUMIFS('Board by Face'!$I$5:$I$115,'Board by Face'!$A$5:$A$115,$B74)</f>
        <v>714.9375</v>
      </c>
      <c r="L74" s="8"/>
      <c r="M74" s="8"/>
      <c r="N74" s="8"/>
      <c r="O74" s="8"/>
      <c r="P74" s="8"/>
      <c r="Q74" s="8" t="n">
        <v>23.25</v>
      </c>
      <c r="R74" s="8" t="n">
        <v>23.25</v>
      </c>
      <c r="S74" s="8" t="n">
        <v>69.75</v>
      </c>
      <c r="T74" s="18"/>
      <c r="U74" s="8" t="n">
        <v>4</v>
      </c>
      <c r="V74" s="8"/>
      <c r="W74" s="8"/>
      <c r="X74" s="8"/>
      <c r="Y74" s="8"/>
      <c r="Z74" s="8"/>
      <c r="AA74" s="8"/>
      <c r="AB74" s="8"/>
      <c r="AC74" s="8"/>
      <c r="AD74" s="8" t="n">
        <v>6</v>
      </c>
      <c r="AE74" s="18"/>
      <c r="AF74" s="8" t="n">
        <v>46.5</v>
      </c>
      <c r="AG74" s="8"/>
      <c r="AH74" s="8"/>
      <c r="AI74" s="22" t="s">
        <v>103</v>
      </c>
      <c r="AJ74" s="4" t="s">
        <v>99</v>
      </c>
      <c r="AK74" s="22" t="s">
        <v>278</v>
      </c>
      <c r="AL74" s="7" t="n">
        <v>399.75</v>
      </c>
      <c r="AM74" s="8"/>
      <c r="AN74" s="8"/>
      <c r="AO74" s="8"/>
      <c r="AP74" s="22" t="s">
        <v>279</v>
      </c>
    </row>
    <row r="75" customFormat="false" ht="46.25" hidden="false" customHeight="false" outlineLevel="0" collapsed="false">
      <c r="A75" s="6" t="s">
        <v>280</v>
      </c>
      <c r="B75" s="17" t="n">
        <v>49</v>
      </c>
      <c r="C75" s="7" t="n">
        <v>11.625</v>
      </c>
      <c r="D75" s="7" t="n">
        <v>15.375</v>
      </c>
      <c r="E75" s="18" t="n">
        <v>4</v>
      </c>
      <c r="F75" s="19" t="s">
        <v>191</v>
      </c>
      <c r="G75" s="20" t="n">
        <v>26</v>
      </c>
      <c r="H75" s="8" t="n">
        <f aca="false">IF($F75="6""",$AL75,0)</f>
        <v>0</v>
      </c>
      <c r="I75" s="8" t="n">
        <f aca="false">IF($F75="3-5/8""",$AL75,0)</f>
        <v>0</v>
      </c>
      <c r="J75" s="8" t="n">
        <f aca="false">IF($F75="1-5/8""",$AL75,0)</f>
        <v>399.75</v>
      </c>
      <c r="K75" s="21" t="n">
        <f aca="false">SUMIFS('Board by Face'!$I$5:$I$115,'Board by Face'!$A$5:$A$115,$B75)</f>
        <v>714.9375</v>
      </c>
      <c r="L75" s="8"/>
      <c r="M75" s="8"/>
      <c r="N75" s="8"/>
      <c r="O75" s="8"/>
      <c r="P75" s="8"/>
      <c r="Q75" s="8" t="n">
        <v>23.25</v>
      </c>
      <c r="R75" s="8" t="n">
        <v>23.25</v>
      </c>
      <c r="S75" s="8" t="n">
        <v>69.75</v>
      </c>
      <c r="T75" s="18"/>
      <c r="U75" s="8"/>
      <c r="V75" s="8"/>
      <c r="W75" s="8"/>
      <c r="X75" s="8"/>
      <c r="Y75" s="8"/>
      <c r="Z75" s="8"/>
      <c r="AA75" s="8"/>
      <c r="AB75" s="8" t="n">
        <v>200.54</v>
      </c>
      <c r="AC75" s="8"/>
      <c r="AD75" s="8" t="n">
        <v>6</v>
      </c>
      <c r="AE75" s="18"/>
      <c r="AF75" s="8" t="n">
        <v>46.5</v>
      </c>
      <c r="AG75" s="8"/>
      <c r="AH75" s="8"/>
      <c r="AI75" s="22" t="s">
        <v>103</v>
      </c>
      <c r="AJ75" s="4" t="s">
        <v>99</v>
      </c>
      <c r="AK75" s="22" t="s">
        <v>281</v>
      </c>
      <c r="AL75" s="7" t="n">
        <v>399.75</v>
      </c>
      <c r="AM75" s="8"/>
      <c r="AN75" s="8"/>
      <c r="AO75" s="8"/>
      <c r="AP75" s="22" t="s">
        <v>282</v>
      </c>
    </row>
    <row r="76" customFormat="false" ht="57.45" hidden="false" customHeight="false" outlineLevel="0" collapsed="false">
      <c r="A76" s="6" t="s">
        <v>283</v>
      </c>
      <c r="B76" s="17" t="n">
        <v>52</v>
      </c>
      <c r="C76" s="7" t="n">
        <v>11.625</v>
      </c>
      <c r="D76" s="7" t="n">
        <v>15.375</v>
      </c>
      <c r="E76" s="18" t="n">
        <v>4</v>
      </c>
      <c r="F76" s="19" t="s">
        <v>191</v>
      </c>
      <c r="G76" s="20" t="n">
        <v>30</v>
      </c>
      <c r="H76" s="8" t="n">
        <f aca="false">IF($F76="6""",$AL76,0)</f>
        <v>0</v>
      </c>
      <c r="I76" s="8" t="n">
        <f aca="false">IF($F76="3-5/8""",$AL76,0)</f>
        <v>0</v>
      </c>
      <c r="J76" s="8" t="n">
        <f aca="false">IF($F76="1-5/8""",$AL76,0)</f>
        <v>461.25</v>
      </c>
      <c r="K76" s="21" t="n">
        <f aca="false">SUMIFS('Board by Face'!$I$5:$I$115,'Board by Face'!$A$5:$A$115,$B76)</f>
        <v>714.9375</v>
      </c>
      <c r="L76" s="8" t="n">
        <v>52.31</v>
      </c>
      <c r="M76" s="8"/>
      <c r="N76" s="8" t="n">
        <v>5.81</v>
      </c>
      <c r="O76" s="8"/>
      <c r="P76" s="8"/>
      <c r="Q76" s="8" t="n">
        <v>23.25</v>
      </c>
      <c r="R76" s="8" t="n">
        <v>23.25</v>
      </c>
      <c r="S76" s="8" t="n">
        <v>69.75</v>
      </c>
      <c r="T76" s="18"/>
      <c r="U76" s="8" t="n">
        <v>9.67</v>
      </c>
      <c r="V76" s="8"/>
      <c r="W76" s="8"/>
      <c r="X76" s="8"/>
      <c r="Y76" s="8"/>
      <c r="Z76" s="8"/>
      <c r="AA76" s="8"/>
      <c r="AB76" s="8"/>
      <c r="AC76" s="8"/>
      <c r="AD76" s="8" t="n">
        <v>12</v>
      </c>
      <c r="AE76" s="18"/>
      <c r="AF76" s="8" t="n">
        <v>46.5</v>
      </c>
      <c r="AG76" s="8"/>
      <c r="AH76" s="8"/>
      <c r="AI76" s="22" t="s">
        <v>103</v>
      </c>
      <c r="AJ76" s="4" t="s">
        <v>99</v>
      </c>
      <c r="AK76" s="22" t="s">
        <v>284</v>
      </c>
      <c r="AL76" s="7" t="n">
        <v>461.25</v>
      </c>
      <c r="AM76" s="8"/>
      <c r="AN76" s="8"/>
      <c r="AO76" s="8"/>
      <c r="AP76" s="22" t="s">
        <v>285</v>
      </c>
    </row>
    <row r="77" customFormat="false" ht="46.25" hidden="false" customHeight="false" outlineLevel="0" collapsed="false">
      <c r="A77" s="6" t="s">
        <v>286</v>
      </c>
      <c r="B77" s="17" t="n">
        <v>47</v>
      </c>
      <c r="C77" s="7" t="n">
        <v>10.07</v>
      </c>
      <c r="D77" s="7" t="n">
        <v>15.375</v>
      </c>
      <c r="E77" s="18" t="n">
        <v>4</v>
      </c>
      <c r="F77" s="19" t="s">
        <v>191</v>
      </c>
      <c r="G77" s="20" t="n">
        <v>24</v>
      </c>
      <c r="H77" s="8" t="n">
        <f aca="false">IF($F77="6""",$AL77,0)</f>
        <v>0</v>
      </c>
      <c r="I77" s="8" t="n">
        <f aca="false">IF($F77="3-5/8""",$AL77,0)</f>
        <v>0</v>
      </c>
      <c r="J77" s="8" t="n">
        <f aca="false">IF($F77="1-5/8""",$AL77,0)</f>
        <v>369</v>
      </c>
      <c r="K77" s="21" t="n">
        <f aca="false">SUMIFS('Board by Face'!$I$5:$I$115,'Board by Face'!$A$5:$A$115,$B77)</f>
        <v>619.305</v>
      </c>
      <c r="L77" s="8"/>
      <c r="M77" s="8"/>
      <c r="N77" s="8"/>
      <c r="O77" s="8"/>
      <c r="P77" s="8"/>
      <c r="Q77" s="8" t="n">
        <v>20.14</v>
      </c>
      <c r="R77" s="8" t="n">
        <v>20.14</v>
      </c>
      <c r="S77" s="8" t="n">
        <v>60.42</v>
      </c>
      <c r="T77" s="18"/>
      <c r="U77" s="8"/>
      <c r="V77" s="8"/>
      <c r="W77" s="8"/>
      <c r="X77" s="8"/>
      <c r="Y77" s="8"/>
      <c r="Z77" s="8"/>
      <c r="AA77" s="8"/>
      <c r="AB77" s="8" t="n">
        <v>86.85</v>
      </c>
      <c r="AC77" s="8"/>
      <c r="AD77" s="8" t="n">
        <v>6</v>
      </c>
      <c r="AE77" s="18"/>
      <c r="AF77" s="8" t="n">
        <v>40.28</v>
      </c>
      <c r="AG77" s="8"/>
      <c r="AH77" s="8"/>
      <c r="AI77" s="22" t="s">
        <v>103</v>
      </c>
      <c r="AJ77" s="4" t="s">
        <v>99</v>
      </c>
      <c r="AK77" s="22" t="s">
        <v>287</v>
      </c>
      <c r="AL77" s="7" t="n">
        <v>369</v>
      </c>
      <c r="AM77" s="8"/>
      <c r="AN77" s="8"/>
      <c r="AO77" s="8"/>
      <c r="AP77" s="22" t="s">
        <v>288</v>
      </c>
    </row>
    <row r="78" customFormat="false" ht="46.25" hidden="false" customHeight="false" outlineLevel="0" collapsed="false">
      <c r="A78" s="6" t="s">
        <v>289</v>
      </c>
      <c r="B78" s="17" t="n">
        <v>42</v>
      </c>
      <c r="C78" s="7" t="n">
        <v>3.47</v>
      </c>
      <c r="D78" s="7" t="n">
        <v>15.375</v>
      </c>
      <c r="E78" s="18" t="n">
        <v>4</v>
      </c>
      <c r="F78" s="19" t="s">
        <v>191</v>
      </c>
      <c r="G78" s="20" t="n">
        <v>10</v>
      </c>
      <c r="H78" s="8" t="n">
        <f aca="false">IF($F78="6""",$AL78,0)</f>
        <v>0</v>
      </c>
      <c r="I78" s="8" t="n">
        <f aca="false">IF($F78="3-5/8""",$AL78,0)</f>
        <v>0</v>
      </c>
      <c r="J78" s="8" t="n">
        <f aca="false">IF($F78="1-5/8""",$AL78,0)</f>
        <v>153.75</v>
      </c>
      <c r="K78" s="21" t="n">
        <f aca="false">SUMIFS('Board by Face'!$I$5:$I$115,'Board by Face'!$A$5:$A$115,$B78)</f>
        <v>213.405</v>
      </c>
      <c r="L78" s="8"/>
      <c r="M78" s="8"/>
      <c r="N78" s="8"/>
      <c r="O78" s="8"/>
      <c r="P78" s="8"/>
      <c r="Q78" s="8" t="n">
        <v>6.94</v>
      </c>
      <c r="R78" s="8" t="n">
        <v>6.94</v>
      </c>
      <c r="S78" s="8" t="n">
        <v>20.82</v>
      </c>
      <c r="T78" s="18"/>
      <c r="U78" s="8"/>
      <c r="V78" s="8"/>
      <c r="W78" s="8"/>
      <c r="X78" s="8"/>
      <c r="Y78" s="8"/>
      <c r="Z78" s="8"/>
      <c r="AA78" s="8"/>
      <c r="AB78" s="8"/>
      <c r="AC78" s="8"/>
      <c r="AD78" s="8"/>
      <c r="AE78" s="18"/>
      <c r="AF78" s="8" t="n">
        <v>13.88</v>
      </c>
      <c r="AG78" s="8"/>
      <c r="AH78" s="8"/>
      <c r="AI78" s="22" t="s">
        <v>103</v>
      </c>
      <c r="AJ78" s="4" t="s">
        <v>99</v>
      </c>
      <c r="AK78" s="22" t="s">
        <v>290</v>
      </c>
      <c r="AL78" s="7" t="n">
        <v>153.75</v>
      </c>
      <c r="AM78" s="8"/>
      <c r="AN78" s="8"/>
      <c r="AO78" s="8"/>
      <c r="AP78" s="22" t="s">
        <v>291</v>
      </c>
    </row>
    <row r="79" customFormat="false" ht="46.25" hidden="false" customHeight="false" outlineLevel="0" collapsed="false">
      <c r="A79" s="6" t="s">
        <v>292</v>
      </c>
      <c r="B79" s="17" t="n">
        <v>43</v>
      </c>
      <c r="C79" s="7" t="n">
        <v>3.25</v>
      </c>
      <c r="D79" s="7" t="n">
        <v>15.375</v>
      </c>
      <c r="E79" s="18" t="n">
        <v>4</v>
      </c>
      <c r="F79" s="19" t="s">
        <v>191</v>
      </c>
      <c r="G79" s="20" t="n">
        <v>14</v>
      </c>
      <c r="H79" s="8" t="n">
        <f aca="false">IF($F79="6""",$AL79,0)</f>
        <v>0</v>
      </c>
      <c r="I79" s="8" t="n">
        <f aca="false">IF($F79="3-5/8""",$AL79,0)</f>
        <v>0</v>
      </c>
      <c r="J79" s="8" t="n">
        <f aca="false">IF($F79="1-5/8""",$AL79,0)</f>
        <v>215.25</v>
      </c>
      <c r="K79" s="21" t="n">
        <f aca="false">SUMIFS('Board by Face'!$I$5:$I$115,'Board by Face'!$A$5:$A$115,$B79)</f>
        <v>199.875</v>
      </c>
      <c r="L79" s="8"/>
      <c r="M79" s="8"/>
      <c r="N79" s="8"/>
      <c r="O79" s="8"/>
      <c r="P79" s="8"/>
      <c r="Q79" s="8" t="n">
        <v>6.5</v>
      </c>
      <c r="R79" s="8" t="n">
        <v>6.5</v>
      </c>
      <c r="S79" s="8" t="n">
        <v>19.5</v>
      </c>
      <c r="T79" s="18"/>
      <c r="U79" s="8"/>
      <c r="V79" s="8"/>
      <c r="W79" s="8"/>
      <c r="X79" s="8"/>
      <c r="Y79" s="8"/>
      <c r="Z79" s="8"/>
      <c r="AA79" s="8"/>
      <c r="AB79" s="8"/>
      <c r="AC79" s="8"/>
      <c r="AD79" s="8" t="n">
        <v>6</v>
      </c>
      <c r="AE79" s="18"/>
      <c r="AF79" s="8" t="n">
        <v>13</v>
      </c>
      <c r="AG79" s="8"/>
      <c r="AH79" s="8"/>
      <c r="AI79" s="22" t="s">
        <v>103</v>
      </c>
      <c r="AJ79" s="4" t="s">
        <v>99</v>
      </c>
      <c r="AK79" s="22" t="s">
        <v>293</v>
      </c>
      <c r="AL79" s="7" t="n">
        <v>215.25</v>
      </c>
      <c r="AM79" s="8"/>
      <c r="AN79" s="8"/>
      <c r="AO79" s="8"/>
      <c r="AP79" s="22" t="s">
        <v>294</v>
      </c>
    </row>
    <row r="80" customFormat="false" ht="46.25" hidden="false" customHeight="false" outlineLevel="0" collapsed="false">
      <c r="A80" s="6" t="s">
        <v>295</v>
      </c>
      <c r="B80" s="17" t="n">
        <v>44</v>
      </c>
      <c r="C80" s="7" t="n">
        <v>3.25</v>
      </c>
      <c r="D80" s="7" t="n">
        <v>15.375</v>
      </c>
      <c r="E80" s="18" t="n">
        <v>4</v>
      </c>
      <c r="F80" s="19" t="s">
        <v>191</v>
      </c>
      <c r="G80" s="20" t="n">
        <v>10</v>
      </c>
      <c r="H80" s="8" t="n">
        <f aca="false">IF($F80="6""",$AL80,0)</f>
        <v>0</v>
      </c>
      <c r="I80" s="8" t="n">
        <f aca="false">IF($F80="3-5/8""",$AL80,0)</f>
        <v>0</v>
      </c>
      <c r="J80" s="8" t="n">
        <f aca="false">IF($F80="1-5/8""",$AL80,0)</f>
        <v>153.75</v>
      </c>
      <c r="K80" s="21" t="n">
        <f aca="false">SUMIFS('Board by Face'!$I$5:$I$115,'Board by Face'!$A$5:$A$115,$B80)</f>
        <v>199.875</v>
      </c>
      <c r="L80" s="8"/>
      <c r="M80" s="8"/>
      <c r="N80" s="8"/>
      <c r="O80" s="8"/>
      <c r="P80" s="8"/>
      <c r="Q80" s="8" t="n">
        <v>6.5</v>
      </c>
      <c r="R80" s="8" t="n">
        <v>6.5</v>
      </c>
      <c r="S80" s="8" t="n">
        <v>19.5</v>
      </c>
      <c r="T80" s="18"/>
      <c r="U80" s="8"/>
      <c r="V80" s="8"/>
      <c r="W80" s="8"/>
      <c r="X80" s="8"/>
      <c r="Y80" s="8"/>
      <c r="Z80" s="8"/>
      <c r="AA80" s="8"/>
      <c r="AB80" s="8"/>
      <c r="AC80" s="8"/>
      <c r="AD80" s="8"/>
      <c r="AE80" s="18"/>
      <c r="AF80" s="8" t="n">
        <v>13</v>
      </c>
      <c r="AG80" s="8"/>
      <c r="AH80" s="8"/>
      <c r="AI80" s="22" t="s">
        <v>103</v>
      </c>
      <c r="AJ80" s="4" t="s">
        <v>99</v>
      </c>
      <c r="AK80" s="22" t="s">
        <v>296</v>
      </c>
      <c r="AL80" s="7" t="n">
        <v>153.75</v>
      </c>
      <c r="AM80" s="8"/>
      <c r="AN80" s="8"/>
      <c r="AO80" s="8"/>
      <c r="AP80" s="22" t="s">
        <v>291</v>
      </c>
    </row>
    <row r="81" customFormat="false" ht="57.45" hidden="false" customHeight="false" outlineLevel="0" collapsed="false">
      <c r="A81" s="6" t="s">
        <v>297</v>
      </c>
      <c r="B81" s="17" t="n">
        <v>41</v>
      </c>
      <c r="C81" s="7" t="n">
        <v>2.42</v>
      </c>
      <c r="D81" s="7" t="n">
        <v>15.375</v>
      </c>
      <c r="E81" s="18" t="n">
        <v>4</v>
      </c>
      <c r="F81" s="19" t="s">
        <v>191</v>
      </c>
      <c r="G81" s="20" t="n">
        <v>8</v>
      </c>
      <c r="H81" s="8" t="n">
        <f aca="false">IF($F81="6""",$AL81,0)</f>
        <v>0</v>
      </c>
      <c r="I81" s="8" t="n">
        <f aca="false">IF($F81="3-5/8""",$AL81,0)</f>
        <v>0</v>
      </c>
      <c r="J81" s="8" t="n">
        <f aca="false">IF($F81="1-5/8""",$AL81,0)</f>
        <v>123</v>
      </c>
      <c r="K81" s="21" t="n">
        <f aca="false">SUMIFS('Board by Face'!$I$5:$I$115,'Board by Face'!$A$5:$A$115,$B81)</f>
        <v>148.83</v>
      </c>
      <c r="L81" s="8"/>
      <c r="M81" s="8"/>
      <c r="N81" s="8"/>
      <c r="O81" s="8"/>
      <c r="P81" s="8"/>
      <c r="Q81" s="8" t="n">
        <v>4.84</v>
      </c>
      <c r="R81" s="8" t="n">
        <v>4.84</v>
      </c>
      <c r="S81" s="8" t="n">
        <v>14.52</v>
      </c>
      <c r="T81" s="18"/>
      <c r="U81" s="8"/>
      <c r="V81" s="8"/>
      <c r="W81" s="8"/>
      <c r="X81" s="8"/>
      <c r="Y81" s="8"/>
      <c r="Z81" s="8"/>
      <c r="AA81" s="8"/>
      <c r="AB81" s="8"/>
      <c r="AC81" s="8"/>
      <c r="AD81" s="8"/>
      <c r="AE81" s="18"/>
      <c r="AF81" s="8" t="n">
        <v>9.68</v>
      </c>
      <c r="AG81" s="8"/>
      <c r="AH81" s="8"/>
      <c r="AI81" s="22" t="s">
        <v>103</v>
      </c>
      <c r="AJ81" s="4" t="s">
        <v>99</v>
      </c>
      <c r="AK81" s="22" t="s">
        <v>298</v>
      </c>
      <c r="AL81" s="7" t="n">
        <v>123</v>
      </c>
      <c r="AM81" s="8"/>
      <c r="AN81" s="8"/>
      <c r="AO81" s="8"/>
      <c r="AP81" s="22" t="s">
        <v>291</v>
      </c>
    </row>
    <row r="82" customFormat="false" ht="15" hidden="false" customHeight="false" outlineLevel="0" collapsed="false">
      <c r="A82" s="15" t="s">
        <v>299</v>
      </c>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row>
    <row r="83" customFormat="false" ht="46.25" hidden="false" customHeight="false" outlineLevel="0" collapsed="false">
      <c r="A83" s="6" t="s">
        <v>300</v>
      </c>
      <c r="B83" s="17" t="n">
        <v>50</v>
      </c>
      <c r="C83" s="7" t="n">
        <v>11.77</v>
      </c>
      <c r="D83" s="7" t="n">
        <v>15.375</v>
      </c>
      <c r="E83" s="18" t="n">
        <v>4</v>
      </c>
      <c r="F83" s="19" t="s">
        <v>191</v>
      </c>
      <c r="G83" s="20" t="n">
        <v>30</v>
      </c>
      <c r="H83" s="8" t="n">
        <f aca="false">IF($F83="6""",$AL83,0)</f>
        <v>0</v>
      </c>
      <c r="I83" s="8" t="n">
        <f aca="false">IF($F83="3-5/8""",$AL83,0)</f>
        <v>0</v>
      </c>
      <c r="J83" s="8" t="n">
        <f aca="false">IF($F83="1-5/8""",$AL83,0)</f>
        <v>461.25</v>
      </c>
      <c r="K83" s="21" t="n">
        <f aca="false">SUMIFS('Board by Face'!$I$5:$I$115,'Board by Face'!$A$5:$A$115,$B83)</f>
        <v>723.855</v>
      </c>
      <c r="L83" s="8"/>
      <c r="M83" s="8"/>
      <c r="N83" s="8"/>
      <c r="O83" s="8"/>
      <c r="P83" s="8"/>
      <c r="Q83" s="8" t="n">
        <v>23.54</v>
      </c>
      <c r="R83" s="8" t="n">
        <v>23.54</v>
      </c>
      <c r="S83" s="8" t="n">
        <v>70.62</v>
      </c>
      <c r="T83" s="18"/>
      <c r="U83" s="8" t="n">
        <v>4</v>
      </c>
      <c r="V83" s="8"/>
      <c r="W83" s="8"/>
      <c r="X83" s="8"/>
      <c r="Y83" s="8"/>
      <c r="Z83" s="8"/>
      <c r="AA83" s="8"/>
      <c r="AB83" s="8"/>
      <c r="AC83" s="8"/>
      <c r="AD83" s="8" t="n">
        <v>12</v>
      </c>
      <c r="AE83" s="18"/>
      <c r="AF83" s="8" t="n">
        <v>47.08</v>
      </c>
      <c r="AG83" s="8"/>
      <c r="AH83" s="8"/>
      <c r="AI83" s="22" t="s">
        <v>103</v>
      </c>
      <c r="AJ83" s="4" t="s">
        <v>99</v>
      </c>
      <c r="AK83" s="22" t="s">
        <v>301</v>
      </c>
      <c r="AL83" s="7" t="n">
        <v>461.25</v>
      </c>
      <c r="AM83" s="8"/>
      <c r="AN83" s="8"/>
      <c r="AO83" s="8"/>
      <c r="AP83" s="22" t="s">
        <v>302</v>
      </c>
    </row>
    <row r="84" customFormat="false" ht="57.45" hidden="false" customHeight="false" outlineLevel="0" collapsed="false">
      <c r="A84" s="6" t="s">
        <v>303</v>
      </c>
      <c r="B84" s="17" t="n">
        <v>51</v>
      </c>
      <c r="C84" s="7" t="n">
        <v>2.67</v>
      </c>
      <c r="D84" s="7" t="n">
        <v>15.375</v>
      </c>
      <c r="E84" s="18" t="n">
        <v>4</v>
      </c>
      <c r="F84" s="19" t="s">
        <v>191</v>
      </c>
      <c r="G84" s="20" t="n">
        <v>10</v>
      </c>
      <c r="H84" s="8" t="n">
        <f aca="false">IF($F84="6""",$AL84,0)</f>
        <v>0</v>
      </c>
      <c r="I84" s="8" t="n">
        <f aca="false">IF($F84="3-5/8""",$AL84,0)</f>
        <v>0</v>
      </c>
      <c r="J84" s="8" t="n">
        <f aca="false">IF($F84="1-5/8""",$AL84,0)</f>
        <v>153.75</v>
      </c>
      <c r="K84" s="21" t="n">
        <f aca="false">SUMIFS('Board by Face'!$I$5:$I$115,'Board by Face'!$A$5:$A$115,$B84)</f>
        <v>164.205</v>
      </c>
      <c r="L84" s="8"/>
      <c r="M84" s="8"/>
      <c r="N84" s="8"/>
      <c r="O84" s="8"/>
      <c r="P84" s="8"/>
      <c r="Q84" s="8" t="n">
        <v>5.34</v>
      </c>
      <c r="R84" s="8" t="n">
        <v>5.34</v>
      </c>
      <c r="S84" s="8" t="n">
        <v>16.02</v>
      </c>
      <c r="T84" s="18"/>
      <c r="U84" s="8"/>
      <c r="V84" s="8"/>
      <c r="W84" s="8"/>
      <c r="X84" s="8"/>
      <c r="Y84" s="8"/>
      <c r="Z84" s="8"/>
      <c r="AA84" s="8"/>
      <c r="AB84" s="8"/>
      <c r="AC84" s="8"/>
      <c r="AD84" s="8"/>
      <c r="AE84" s="18"/>
      <c r="AF84" s="8" t="n">
        <v>10.68</v>
      </c>
      <c r="AG84" s="8"/>
      <c r="AH84" s="8"/>
      <c r="AI84" s="22" t="s">
        <v>103</v>
      </c>
      <c r="AJ84" s="4" t="s">
        <v>99</v>
      </c>
      <c r="AK84" s="22" t="s">
        <v>304</v>
      </c>
      <c r="AL84" s="7" t="n">
        <v>153.75</v>
      </c>
      <c r="AM84" s="8"/>
      <c r="AN84" s="8"/>
      <c r="AO84" s="8"/>
      <c r="AP84" s="22" t="s">
        <v>305</v>
      </c>
    </row>
    <row r="85" customFormat="false" ht="57.45" hidden="false" customHeight="false" outlineLevel="0" collapsed="false">
      <c r="A85" s="6" t="s">
        <v>306</v>
      </c>
      <c r="B85" s="17" t="n">
        <v>53</v>
      </c>
      <c r="C85" s="7" t="n">
        <v>2.67</v>
      </c>
      <c r="D85" s="7" t="n">
        <v>15.375</v>
      </c>
      <c r="E85" s="18" t="n">
        <v>4</v>
      </c>
      <c r="F85" s="19" t="s">
        <v>191</v>
      </c>
      <c r="G85" s="20" t="n">
        <v>10</v>
      </c>
      <c r="H85" s="8" t="n">
        <f aca="false">IF($F85="6""",$AL85,0)</f>
        <v>0</v>
      </c>
      <c r="I85" s="8" t="n">
        <f aca="false">IF($F85="3-5/8""",$AL85,0)</f>
        <v>0</v>
      </c>
      <c r="J85" s="8" t="n">
        <f aca="false">IF($F85="1-5/8""",$AL85,0)</f>
        <v>153.75</v>
      </c>
      <c r="K85" s="21" t="n">
        <f aca="false">SUMIFS('Board by Face'!$I$5:$I$115,'Board by Face'!$A$5:$A$115,$B85)</f>
        <v>164.205</v>
      </c>
      <c r="L85" s="8"/>
      <c r="M85" s="8"/>
      <c r="N85" s="8"/>
      <c r="O85" s="8"/>
      <c r="P85" s="8"/>
      <c r="Q85" s="8" t="n">
        <v>5.34</v>
      </c>
      <c r="R85" s="8" t="n">
        <v>5.34</v>
      </c>
      <c r="S85" s="8" t="n">
        <v>16.02</v>
      </c>
      <c r="T85" s="18"/>
      <c r="U85" s="8"/>
      <c r="V85" s="8"/>
      <c r="W85" s="8"/>
      <c r="X85" s="8"/>
      <c r="Y85" s="8"/>
      <c r="Z85" s="8"/>
      <c r="AA85" s="8"/>
      <c r="AB85" s="8"/>
      <c r="AC85" s="8"/>
      <c r="AD85" s="8"/>
      <c r="AE85" s="18"/>
      <c r="AF85" s="8" t="n">
        <v>10.68</v>
      </c>
      <c r="AG85" s="8"/>
      <c r="AH85" s="8"/>
      <c r="AI85" s="22" t="s">
        <v>103</v>
      </c>
      <c r="AJ85" s="4" t="s">
        <v>99</v>
      </c>
      <c r="AK85" s="22" t="s">
        <v>307</v>
      </c>
      <c r="AL85" s="7" t="n">
        <v>153.75</v>
      </c>
      <c r="AM85" s="8"/>
      <c r="AN85" s="8"/>
      <c r="AO85" s="8"/>
      <c r="AP85" s="22" t="s">
        <v>305</v>
      </c>
    </row>
    <row r="86" customFormat="false" ht="15" hidden="false" customHeight="false" outlineLevel="0" collapsed="false">
      <c r="A86" s="23" t="s">
        <v>308</v>
      </c>
      <c r="B86" s="23"/>
      <c r="C86" s="24" t="n">
        <f aca="false">SUM(C5:C85)</f>
        <v>881.143</v>
      </c>
      <c r="D86" s="24" t="n">
        <f aca="false">SUM(D5:D85)</f>
        <v>832.821</v>
      </c>
      <c r="E86" s="24" t="n">
        <f aca="false">SUM(E5:E85)</f>
        <v>134.2</v>
      </c>
      <c r="F86" s="23"/>
      <c r="G86" s="24" t="n">
        <f aca="false">SUM(G5:G85)</f>
        <v>1287</v>
      </c>
      <c r="H86" s="24" t="n">
        <f aca="false">SUM(H5:H85)</f>
        <v>5486.56</v>
      </c>
      <c r="I86" s="24" t="n">
        <f aca="false">SUM(I5:I85)</f>
        <v>3588.2</v>
      </c>
      <c r="J86" s="24" t="n">
        <f aca="false">SUM(J5:J85)</f>
        <v>4547.72</v>
      </c>
      <c r="K86" s="24" t="n">
        <f aca="false">SUM(K5:K85)</f>
        <v>15809.09977</v>
      </c>
      <c r="L86" s="24" t="n">
        <f aca="false">SUM(L5:L85)</f>
        <v>132.1</v>
      </c>
      <c r="M86" s="24" t="n">
        <f aca="false">SUM(M5:M85)</f>
        <v>0</v>
      </c>
      <c r="N86" s="24" t="n">
        <f aca="false">SUM(N5:N85)</f>
        <v>14.45</v>
      </c>
      <c r="O86" s="24" t="n">
        <f aca="false">SUM(O5:O85)</f>
        <v>0</v>
      </c>
      <c r="P86" s="24" t="n">
        <f aca="false">SUM(P5:P85)</f>
        <v>0</v>
      </c>
      <c r="Q86" s="24" t="n">
        <f aca="false">SUM(Q5:Q85)</f>
        <v>1024.132</v>
      </c>
      <c r="R86" s="24" t="n">
        <f aca="false">SUM(R5:R85)</f>
        <v>1024.132</v>
      </c>
      <c r="S86" s="24" t="n">
        <f aca="false">SUM(S5:S85)</f>
        <v>2255.37</v>
      </c>
      <c r="T86" s="24" t="n">
        <f aca="false">SUM(T5:T85)</f>
        <v>0</v>
      </c>
      <c r="U86" s="24" t="n">
        <f aca="false">SUM(U5:U85)</f>
        <v>708.27</v>
      </c>
      <c r="V86" s="24" t="n">
        <f aca="false">SUM(V5:V85)</f>
        <v>0</v>
      </c>
      <c r="W86" s="24" t="n">
        <f aca="false">SUM(W5:W85)</f>
        <v>783.89</v>
      </c>
      <c r="X86" s="24" t="n">
        <f aca="false">SUM(X5:X85)</f>
        <v>3698.28</v>
      </c>
      <c r="Y86" s="24" t="n">
        <f aca="false">SUM(Y5:Y85)</f>
        <v>74</v>
      </c>
      <c r="Z86" s="24" t="n">
        <f aca="false">SUM(Z5:Z85)</f>
        <v>57.04</v>
      </c>
      <c r="AA86" s="24" t="n">
        <f aca="false">SUM(AA5:AA85)</f>
        <v>647.95</v>
      </c>
      <c r="AB86" s="24" t="n">
        <f aca="false">SUM(AB5:AB85)</f>
        <v>490.43</v>
      </c>
      <c r="AC86" s="24" t="n">
        <f aca="false">SUM(AC5:AC85)</f>
        <v>349.24</v>
      </c>
      <c r="AD86" s="24" t="n">
        <f aca="false">SUM(AD5:AD85)</f>
        <v>109.87</v>
      </c>
      <c r="AE86" s="24" t="n">
        <f aca="false">SUM(AE5:AE85)</f>
        <v>239</v>
      </c>
      <c r="AF86" s="24" t="n">
        <f aca="false">SUM(AF5:AF85)</f>
        <v>2652.66</v>
      </c>
      <c r="AG86" s="24" t="n">
        <f aca="false">SUM(AG5:AG85)</f>
        <v>221.86</v>
      </c>
      <c r="AH86" s="24" t="n">
        <f aca="false">SUM(AH5:AH85)</f>
        <v>65.09</v>
      </c>
      <c r="AI86" s="23"/>
      <c r="AJ86" s="23"/>
      <c r="AK86" s="23"/>
      <c r="AL86" s="24" t="n">
        <f aca="false">SUM(AL5:AL85)</f>
        <v>14595.82</v>
      </c>
      <c r="AM86" s="24" t="n">
        <f aca="false">SUM(AM5:AM85)</f>
        <v>0</v>
      </c>
      <c r="AN86" s="24" t="n">
        <f aca="false">SUM(AN5:AN85)</f>
        <v>2939.76</v>
      </c>
      <c r="AO86" s="24" t="n">
        <f aca="false">SUM(AO5:AO85)</f>
        <v>101.07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30"/>
    <col collapsed="false" customWidth="true" hidden="false" outlineLevel="0" max="4" min="4" style="0" width="20"/>
    <col collapsed="false" customWidth="true" hidden="false" outlineLevel="0" max="6" min="5" style="0" width="12"/>
    <col collapsed="false" customWidth="true" hidden="false" outlineLevel="0" max="7" min="7" style="0" width="8"/>
    <col collapsed="false" customWidth="true" hidden="false" outlineLevel="0" max="8" min="8" style="0" width="13"/>
    <col collapsed="false" customWidth="true" hidden="false" outlineLevel="0" max="9" min="9" style="0" width="12"/>
    <col collapsed="false" customWidth="true" hidden="false" outlineLevel="0" max="10" min="10" style="0" width="110"/>
  </cols>
  <sheetData>
    <row r="1" customFormat="false" ht="16.15" hidden="false" customHeight="false" outlineLevel="0" collapsed="false">
      <c r="A1" s="1" t="s">
        <v>309</v>
      </c>
    </row>
    <row r="2" customFormat="false" ht="15" hidden="false" customHeight="false" outlineLevel="0" collapsed="false">
      <c r="A2" s="2" t="s">
        <v>310</v>
      </c>
    </row>
    <row r="4" customFormat="false" ht="33.75" hidden="false" customHeight="true" outlineLevel="0" collapsed="false">
      <c r="A4" s="14" t="s">
        <v>54</v>
      </c>
      <c r="B4" s="14" t="s">
        <v>311</v>
      </c>
      <c r="C4" s="14" t="s">
        <v>312</v>
      </c>
      <c r="D4" s="14" t="s">
        <v>313</v>
      </c>
      <c r="E4" s="14" t="s">
        <v>55</v>
      </c>
      <c r="F4" s="14" t="s">
        <v>56</v>
      </c>
      <c r="G4" s="14" t="s">
        <v>57</v>
      </c>
      <c r="H4" s="14" t="s">
        <v>314</v>
      </c>
      <c r="I4" s="14" t="s">
        <v>315</v>
      </c>
      <c r="J4" s="14" t="s">
        <v>316</v>
      </c>
    </row>
    <row r="5" customFormat="false" ht="43.25" hidden="false" customHeight="false" outlineLevel="0" collapsed="false">
      <c r="A5" s="4" t="n">
        <v>8</v>
      </c>
      <c r="B5" s="19" t="s">
        <v>317</v>
      </c>
      <c r="C5" s="6" t="s">
        <v>318</v>
      </c>
      <c r="D5" s="6" t="s">
        <v>319</v>
      </c>
      <c r="E5" s="7" t="n">
        <v>17.06</v>
      </c>
      <c r="F5" s="7" t="n">
        <v>9</v>
      </c>
      <c r="G5" s="20" t="n">
        <v>1</v>
      </c>
      <c r="H5" s="7" t="n">
        <v>0</v>
      </c>
      <c r="I5" s="8" t="n">
        <f aca="false">E5*F5*G5-H5</f>
        <v>153.54</v>
      </c>
      <c r="J5" s="22" t="s">
        <v>320</v>
      </c>
    </row>
    <row r="6" customFormat="false" ht="53.7" hidden="false" customHeight="false" outlineLevel="0" collapsed="false">
      <c r="A6" s="4" t="n">
        <v>8</v>
      </c>
      <c r="B6" s="19" t="s">
        <v>317</v>
      </c>
      <c r="C6" s="6" t="s">
        <v>321</v>
      </c>
      <c r="D6" s="6" t="s">
        <v>319</v>
      </c>
      <c r="E6" s="7" t="n">
        <v>2.91</v>
      </c>
      <c r="F6" s="7" t="n">
        <v>9</v>
      </c>
      <c r="G6" s="20" t="n">
        <v>1</v>
      </c>
      <c r="H6" s="7" t="n">
        <v>0</v>
      </c>
      <c r="I6" s="8" t="n">
        <f aca="false">E6*F6*G6-H6</f>
        <v>26.19</v>
      </c>
      <c r="J6" s="22" t="s">
        <v>322</v>
      </c>
    </row>
    <row r="7" customFormat="false" ht="64.15" hidden="false" customHeight="false" outlineLevel="0" collapsed="false">
      <c r="A7" s="4" t="n">
        <v>8</v>
      </c>
      <c r="B7" s="19" t="s">
        <v>317</v>
      </c>
      <c r="C7" s="6" t="s">
        <v>323</v>
      </c>
      <c r="D7" s="6" t="s">
        <v>319</v>
      </c>
      <c r="E7" s="7" t="n">
        <v>5.83</v>
      </c>
      <c r="F7" s="7" t="n">
        <v>12.82</v>
      </c>
      <c r="G7" s="20" t="n">
        <v>1</v>
      </c>
      <c r="H7" s="7" t="n">
        <v>0</v>
      </c>
      <c r="I7" s="8" t="n">
        <f aca="false">E7*F7*G7-H7</f>
        <v>74.7406</v>
      </c>
      <c r="J7" s="22" t="s">
        <v>324</v>
      </c>
    </row>
    <row r="8" customFormat="false" ht="53.7" hidden="false" customHeight="false" outlineLevel="0" collapsed="false">
      <c r="A8" s="4" t="n">
        <v>8</v>
      </c>
      <c r="B8" s="19" t="s">
        <v>317</v>
      </c>
      <c r="C8" s="6" t="s">
        <v>325</v>
      </c>
      <c r="D8" s="6" t="s">
        <v>319</v>
      </c>
      <c r="E8" s="7" t="n">
        <v>7.5</v>
      </c>
      <c r="F8" s="7" t="n">
        <v>12.69</v>
      </c>
      <c r="G8" s="20" t="n">
        <v>1</v>
      </c>
      <c r="H8" s="7" t="n">
        <v>0</v>
      </c>
      <c r="I8" s="8" t="n">
        <f aca="false">E8*F8*G8-H8</f>
        <v>95.175</v>
      </c>
      <c r="J8" s="22" t="s">
        <v>326</v>
      </c>
    </row>
    <row r="9" customFormat="false" ht="15" hidden="false" customHeight="false" outlineLevel="0" collapsed="false">
      <c r="A9" s="4" t="n">
        <v>1</v>
      </c>
      <c r="B9" s="19" t="s">
        <v>317</v>
      </c>
      <c r="C9" s="6" t="s">
        <v>327</v>
      </c>
      <c r="D9" s="6" t="s">
        <v>319</v>
      </c>
      <c r="E9" s="7" t="n">
        <v>16.42</v>
      </c>
      <c r="F9" s="7" t="n">
        <v>12</v>
      </c>
      <c r="G9" s="20" t="n">
        <v>1</v>
      </c>
      <c r="H9" s="7" t="n">
        <v>0</v>
      </c>
      <c r="I9" s="8" t="n">
        <f aca="false">E9*F9*G9-H9</f>
        <v>197.04</v>
      </c>
      <c r="J9" s="22" t="s">
        <v>328</v>
      </c>
    </row>
    <row r="10" customFormat="false" ht="15" hidden="false" customHeight="false" outlineLevel="0" collapsed="false">
      <c r="A10" s="4" t="n">
        <v>1</v>
      </c>
      <c r="B10" s="19" t="s">
        <v>317</v>
      </c>
      <c r="C10" s="6" t="s">
        <v>329</v>
      </c>
      <c r="D10" s="6" t="s">
        <v>319</v>
      </c>
      <c r="E10" s="7" t="n">
        <v>16.42</v>
      </c>
      <c r="F10" s="7" t="n">
        <v>9</v>
      </c>
      <c r="G10" s="20" t="n">
        <v>1</v>
      </c>
      <c r="H10" s="7" t="n">
        <v>0</v>
      </c>
      <c r="I10" s="8" t="n">
        <f aca="false">E10*F10*G10-H10</f>
        <v>147.78</v>
      </c>
      <c r="J10" s="22" t="s">
        <v>330</v>
      </c>
    </row>
    <row r="11" customFormat="false" ht="15" hidden="false" customHeight="false" outlineLevel="0" collapsed="false">
      <c r="A11" s="4" t="n">
        <v>5</v>
      </c>
      <c r="B11" s="19" t="s">
        <v>317</v>
      </c>
      <c r="C11" s="6" t="s">
        <v>329</v>
      </c>
      <c r="D11" s="6" t="s">
        <v>319</v>
      </c>
      <c r="E11" s="7" t="n">
        <v>15.23</v>
      </c>
      <c r="F11" s="7" t="n">
        <v>9</v>
      </c>
      <c r="G11" s="20" t="n">
        <v>1</v>
      </c>
      <c r="H11" s="7" t="n">
        <v>0</v>
      </c>
      <c r="I11" s="8" t="n">
        <f aca="false">E11*F11*G11-H11</f>
        <v>137.07</v>
      </c>
      <c r="J11" s="22" t="s">
        <v>331</v>
      </c>
    </row>
    <row r="12" customFormat="false" ht="15" hidden="false" customHeight="false" outlineLevel="0" collapsed="false">
      <c r="A12" s="4" t="n">
        <v>5</v>
      </c>
      <c r="B12" s="19" t="s">
        <v>317</v>
      </c>
      <c r="C12" s="6" t="s">
        <v>321</v>
      </c>
      <c r="D12" s="6" t="s">
        <v>319</v>
      </c>
      <c r="E12" s="7" t="n">
        <v>15.23</v>
      </c>
      <c r="F12" s="7" t="n">
        <v>9</v>
      </c>
      <c r="G12" s="20" t="n">
        <v>1</v>
      </c>
      <c r="H12" s="7" t="n">
        <v>0</v>
      </c>
      <c r="I12" s="8" t="n">
        <f aca="false">E12*F12*G12-H12</f>
        <v>137.07</v>
      </c>
      <c r="J12" s="22" t="s">
        <v>331</v>
      </c>
    </row>
    <row r="13" customFormat="false" ht="22.35" hidden="false" customHeight="false" outlineLevel="0" collapsed="false">
      <c r="A13" s="4" t="n">
        <v>9</v>
      </c>
      <c r="B13" s="19" t="s">
        <v>317</v>
      </c>
      <c r="C13" s="6" t="s">
        <v>332</v>
      </c>
      <c r="D13" s="6" t="s">
        <v>319</v>
      </c>
      <c r="E13" s="7" t="n">
        <v>11.67</v>
      </c>
      <c r="F13" s="7" t="n">
        <v>9.5</v>
      </c>
      <c r="G13" s="20" t="n">
        <v>1</v>
      </c>
      <c r="H13" s="7" t="n">
        <v>23.33</v>
      </c>
      <c r="I13" s="8" t="n">
        <f aca="false">E13*F13*G13-H13</f>
        <v>87.535</v>
      </c>
      <c r="J13" s="22" t="s">
        <v>333</v>
      </c>
    </row>
    <row r="14" customFormat="false" ht="22.35" hidden="false" customHeight="false" outlineLevel="0" collapsed="false">
      <c r="A14" s="4" t="n">
        <v>9</v>
      </c>
      <c r="B14" s="19" t="s">
        <v>317</v>
      </c>
      <c r="C14" s="6" t="s">
        <v>334</v>
      </c>
      <c r="D14" s="6" t="s">
        <v>319</v>
      </c>
      <c r="E14" s="7" t="n">
        <v>11.67</v>
      </c>
      <c r="F14" s="7" t="n">
        <v>9</v>
      </c>
      <c r="G14" s="20" t="n">
        <v>1</v>
      </c>
      <c r="H14" s="7" t="n">
        <v>23.33</v>
      </c>
      <c r="I14" s="8" t="n">
        <f aca="false">E14*F14*G14-H14</f>
        <v>81.7</v>
      </c>
      <c r="J14" s="22" t="s">
        <v>335</v>
      </c>
    </row>
    <row r="15" customFormat="false" ht="22.35" hidden="false" customHeight="false" outlineLevel="0" collapsed="false">
      <c r="A15" s="4" t="n">
        <v>6</v>
      </c>
      <c r="B15" s="19" t="s">
        <v>317</v>
      </c>
      <c r="C15" s="6" t="s">
        <v>332</v>
      </c>
      <c r="D15" s="6" t="s">
        <v>319</v>
      </c>
      <c r="E15" s="7" t="n">
        <v>5.5</v>
      </c>
      <c r="F15" s="7" t="n">
        <v>9.5</v>
      </c>
      <c r="G15" s="20" t="n">
        <v>1</v>
      </c>
      <c r="H15" s="7" t="n">
        <v>26.66</v>
      </c>
      <c r="I15" s="8" t="n">
        <f aca="false">E15*F15*G15-H15</f>
        <v>25.59</v>
      </c>
      <c r="J15" s="22" t="s">
        <v>336</v>
      </c>
    </row>
    <row r="16" customFormat="false" ht="22.35" hidden="false" customHeight="false" outlineLevel="0" collapsed="false">
      <c r="A16" s="4" t="n">
        <v>6</v>
      </c>
      <c r="B16" s="19" t="s">
        <v>317</v>
      </c>
      <c r="C16" s="6" t="s">
        <v>321</v>
      </c>
      <c r="D16" s="6" t="s">
        <v>319</v>
      </c>
      <c r="E16" s="7" t="n">
        <v>5.5</v>
      </c>
      <c r="F16" s="7" t="n">
        <v>9</v>
      </c>
      <c r="G16" s="20" t="n">
        <v>1</v>
      </c>
      <c r="H16" s="7" t="n">
        <v>26.66</v>
      </c>
      <c r="I16" s="8" t="n">
        <f aca="false">E16*F16*G16-H16</f>
        <v>22.84</v>
      </c>
      <c r="J16" s="22" t="s">
        <v>337</v>
      </c>
    </row>
    <row r="17" customFormat="false" ht="22.35" hidden="false" customHeight="false" outlineLevel="0" collapsed="false">
      <c r="A17" s="4" t="n">
        <v>4</v>
      </c>
      <c r="B17" s="19" t="s">
        <v>317</v>
      </c>
      <c r="C17" s="6" t="s">
        <v>318</v>
      </c>
      <c r="D17" s="6" t="s">
        <v>319</v>
      </c>
      <c r="E17" s="7" t="n">
        <v>5</v>
      </c>
      <c r="F17" s="7" t="n">
        <v>9</v>
      </c>
      <c r="G17" s="20" t="n">
        <v>1</v>
      </c>
      <c r="H17" s="7" t="n">
        <v>26.66</v>
      </c>
      <c r="I17" s="8" t="n">
        <f aca="false">E17*F17*G17-H17</f>
        <v>18.34</v>
      </c>
      <c r="J17" s="22" t="s">
        <v>338</v>
      </c>
    </row>
    <row r="18" customFormat="false" ht="22.35" hidden="false" customHeight="false" outlineLevel="0" collapsed="false">
      <c r="A18" s="4" t="n">
        <v>4</v>
      </c>
      <c r="B18" s="19" t="s">
        <v>317</v>
      </c>
      <c r="C18" s="6" t="s">
        <v>339</v>
      </c>
      <c r="D18" s="6" t="s">
        <v>319</v>
      </c>
      <c r="E18" s="7" t="n">
        <v>5</v>
      </c>
      <c r="F18" s="7" t="n">
        <v>9</v>
      </c>
      <c r="G18" s="20" t="n">
        <v>1</v>
      </c>
      <c r="H18" s="7" t="n">
        <v>26.66</v>
      </c>
      <c r="I18" s="8" t="n">
        <f aca="false">E18*F18*G18-H18</f>
        <v>18.34</v>
      </c>
      <c r="J18" s="22" t="s">
        <v>338</v>
      </c>
    </row>
    <row r="19" customFormat="false" ht="15" hidden="false" customHeight="false" outlineLevel="0" collapsed="false">
      <c r="A19" s="4" t="n">
        <v>2</v>
      </c>
      <c r="B19" s="19" t="s">
        <v>317</v>
      </c>
      <c r="C19" s="6" t="s">
        <v>329</v>
      </c>
      <c r="D19" s="6" t="s">
        <v>319</v>
      </c>
      <c r="E19" s="7" t="n">
        <v>3.13</v>
      </c>
      <c r="F19" s="7" t="n">
        <v>9</v>
      </c>
      <c r="G19" s="20" t="n">
        <v>1</v>
      </c>
      <c r="H19" s="7" t="n">
        <v>0</v>
      </c>
      <c r="I19" s="8" t="n">
        <f aca="false">E19*F19*G19-H19</f>
        <v>28.17</v>
      </c>
      <c r="J19" s="22" t="s">
        <v>340</v>
      </c>
    </row>
    <row r="20" customFormat="false" ht="15" hidden="false" customHeight="false" outlineLevel="0" collapsed="false">
      <c r="A20" s="4" t="n">
        <v>2</v>
      </c>
      <c r="B20" s="19" t="s">
        <v>317</v>
      </c>
      <c r="C20" s="6" t="s">
        <v>341</v>
      </c>
      <c r="D20" s="6" t="s">
        <v>319</v>
      </c>
      <c r="E20" s="7" t="n">
        <v>3.13</v>
      </c>
      <c r="F20" s="7" t="n">
        <v>9</v>
      </c>
      <c r="G20" s="20" t="n">
        <v>1</v>
      </c>
      <c r="H20" s="7" t="n">
        <v>0</v>
      </c>
      <c r="I20" s="8" t="n">
        <f aca="false">E20*F20*G20-H20</f>
        <v>28.17</v>
      </c>
      <c r="J20" s="22" t="s">
        <v>340</v>
      </c>
    </row>
    <row r="21" customFormat="false" ht="15" hidden="false" customHeight="false" outlineLevel="0" collapsed="false">
      <c r="A21" s="4" t="n">
        <v>3</v>
      </c>
      <c r="B21" s="19" t="s">
        <v>317</v>
      </c>
      <c r="C21" s="6" t="s">
        <v>329</v>
      </c>
      <c r="D21" s="6" t="s">
        <v>319</v>
      </c>
      <c r="E21" s="7" t="n">
        <v>2.63</v>
      </c>
      <c r="F21" s="7" t="n">
        <v>9</v>
      </c>
      <c r="G21" s="20" t="n">
        <v>1</v>
      </c>
      <c r="H21" s="7" t="n">
        <v>0</v>
      </c>
      <c r="I21" s="8" t="n">
        <f aca="false">E21*F21*G21-H21</f>
        <v>23.67</v>
      </c>
      <c r="J21" s="22" t="s">
        <v>342</v>
      </c>
    </row>
    <row r="22" customFormat="false" ht="15" hidden="false" customHeight="false" outlineLevel="0" collapsed="false">
      <c r="A22" s="4" t="n">
        <v>3</v>
      </c>
      <c r="B22" s="19" t="s">
        <v>317</v>
      </c>
      <c r="C22" s="6" t="s">
        <v>341</v>
      </c>
      <c r="D22" s="6" t="s">
        <v>319</v>
      </c>
      <c r="E22" s="7" t="n">
        <v>2.63</v>
      </c>
      <c r="F22" s="7" t="n">
        <v>9</v>
      </c>
      <c r="G22" s="20" t="n">
        <v>1</v>
      </c>
      <c r="H22" s="7" t="n">
        <v>0</v>
      </c>
      <c r="I22" s="8" t="n">
        <f aca="false">E22*F22*G22-H22</f>
        <v>23.67</v>
      </c>
      <c r="J22" s="22" t="s">
        <v>342</v>
      </c>
    </row>
    <row r="23" customFormat="false" ht="15" hidden="false" customHeight="false" outlineLevel="0" collapsed="false">
      <c r="A23" s="4" t="n">
        <v>7</v>
      </c>
      <c r="B23" s="19" t="s">
        <v>317</v>
      </c>
      <c r="C23" s="6" t="s">
        <v>321</v>
      </c>
      <c r="D23" s="6" t="s">
        <v>319</v>
      </c>
      <c r="E23" s="7" t="n">
        <v>1.73</v>
      </c>
      <c r="F23" s="7" t="n">
        <v>9</v>
      </c>
      <c r="G23" s="20" t="n">
        <v>1</v>
      </c>
      <c r="H23" s="7" t="n">
        <v>0</v>
      </c>
      <c r="I23" s="8" t="n">
        <f aca="false">E23*F23*G23-H23</f>
        <v>15.57</v>
      </c>
      <c r="J23" s="22" t="s">
        <v>343</v>
      </c>
    </row>
    <row r="24" customFormat="false" ht="15" hidden="false" customHeight="false" outlineLevel="0" collapsed="false">
      <c r="A24" s="4" t="n">
        <v>7</v>
      </c>
      <c r="B24" s="19" t="s">
        <v>317</v>
      </c>
      <c r="C24" s="6" t="s">
        <v>332</v>
      </c>
      <c r="D24" s="6" t="s">
        <v>319</v>
      </c>
      <c r="E24" s="7" t="n">
        <v>1.73</v>
      </c>
      <c r="F24" s="7" t="n">
        <v>9.5</v>
      </c>
      <c r="G24" s="20" t="n">
        <v>1</v>
      </c>
      <c r="H24" s="7" t="n">
        <v>0</v>
      </c>
      <c r="I24" s="8" t="n">
        <f aca="false">E24*F24*G24-H24</f>
        <v>16.435</v>
      </c>
      <c r="J24" s="22" t="s">
        <v>344</v>
      </c>
    </row>
    <row r="25" customFormat="false" ht="23.85" hidden="false" customHeight="false" outlineLevel="0" collapsed="false">
      <c r="A25" s="4" t="n">
        <v>11</v>
      </c>
      <c r="B25" s="19" t="s">
        <v>345</v>
      </c>
      <c r="C25" s="6" t="s">
        <v>346</v>
      </c>
      <c r="D25" s="6" t="s">
        <v>347</v>
      </c>
      <c r="E25" s="7" t="n">
        <v>3.417</v>
      </c>
      <c r="F25" s="7" t="n">
        <v>15.375</v>
      </c>
      <c r="G25" s="20" t="n">
        <v>1</v>
      </c>
      <c r="H25" s="7" t="n">
        <v>0</v>
      </c>
      <c r="I25" s="8" t="n">
        <f aca="false">E25*F25*G25-H25</f>
        <v>52.536375</v>
      </c>
      <c r="J25" s="22" t="s">
        <v>348</v>
      </c>
    </row>
    <row r="26" customFormat="false" ht="22.35" hidden="false" customHeight="false" outlineLevel="0" collapsed="false">
      <c r="A26" s="4" t="n">
        <v>11</v>
      </c>
      <c r="B26" s="19" t="s">
        <v>345</v>
      </c>
      <c r="C26" s="6" t="s">
        <v>332</v>
      </c>
      <c r="D26" s="6" t="s">
        <v>347</v>
      </c>
      <c r="E26" s="7" t="n">
        <v>3.417</v>
      </c>
      <c r="F26" s="7" t="n">
        <v>15.375</v>
      </c>
      <c r="G26" s="20" t="n">
        <v>1</v>
      </c>
      <c r="H26" s="7" t="n">
        <v>0</v>
      </c>
      <c r="I26" s="8" t="n">
        <f aca="false">E26*F26*G26-H26</f>
        <v>52.536375</v>
      </c>
      <c r="J26" s="22" t="s">
        <v>349</v>
      </c>
    </row>
    <row r="27" customFormat="false" ht="22.35" hidden="false" customHeight="false" outlineLevel="0" collapsed="false">
      <c r="A27" s="4" t="n">
        <v>12</v>
      </c>
      <c r="B27" s="19" t="s">
        <v>345</v>
      </c>
      <c r="C27" s="6" t="s">
        <v>332</v>
      </c>
      <c r="D27" s="6" t="s">
        <v>347</v>
      </c>
      <c r="E27" s="7" t="n">
        <v>3.413</v>
      </c>
      <c r="F27" s="7" t="n">
        <v>12.933</v>
      </c>
      <c r="G27" s="20" t="n">
        <v>1</v>
      </c>
      <c r="H27" s="7" t="n">
        <v>0</v>
      </c>
      <c r="I27" s="8" t="n">
        <f aca="false">E27*F27*G27-H27</f>
        <v>44.140329</v>
      </c>
      <c r="J27" s="22" t="s">
        <v>350</v>
      </c>
    </row>
    <row r="28" customFormat="false" ht="22.35" hidden="false" customHeight="false" outlineLevel="0" collapsed="false">
      <c r="A28" s="4" t="n">
        <v>12</v>
      </c>
      <c r="B28" s="19" t="s">
        <v>345</v>
      </c>
      <c r="C28" s="6" t="s">
        <v>351</v>
      </c>
      <c r="D28" s="6" t="s">
        <v>347</v>
      </c>
      <c r="E28" s="7" t="n">
        <v>3.413</v>
      </c>
      <c r="F28" s="7" t="n">
        <v>12.933</v>
      </c>
      <c r="G28" s="20" t="n">
        <v>1</v>
      </c>
      <c r="H28" s="7" t="n">
        <v>0</v>
      </c>
      <c r="I28" s="8" t="n">
        <f aca="false">E28*F28*G28-H28</f>
        <v>44.140329</v>
      </c>
      <c r="J28" s="22" t="s">
        <v>352</v>
      </c>
    </row>
    <row r="29" customFormat="false" ht="22.35" hidden="false" customHeight="false" outlineLevel="0" collapsed="false">
      <c r="A29" s="4" t="n">
        <v>13</v>
      </c>
      <c r="B29" s="19" t="s">
        <v>345</v>
      </c>
      <c r="C29" s="6" t="s">
        <v>353</v>
      </c>
      <c r="D29" s="6" t="s">
        <v>347</v>
      </c>
      <c r="E29" s="7" t="n">
        <v>1.16</v>
      </c>
      <c r="F29" s="7" t="n">
        <v>12.921</v>
      </c>
      <c r="G29" s="20" t="n">
        <v>1</v>
      </c>
      <c r="H29" s="7" t="n">
        <v>0</v>
      </c>
      <c r="I29" s="8" t="n">
        <f aca="false">E29*F29*G29-H29</f>
        <v>14.98836</v>
      </c>
      <c r="J29" s="22" t="s">
        <v>354</v>
      </c>
    </row>
    <row r="30" customFormat="false" ht="22.35" hidden="false" customHeight="false" outlineLevel="0" collapsed="false">
      <c r="A30" s="4" t="n">
        <v>13</v>
      </c>
      <c r="B30" s="19" t="s">
        <v>345</v>
      </c>
      <c r="C30" s="6" t="s">
        <v>351</v>
      </c>
      <c r="D30" s="6" t="s">
        <v>347</v>
      </c>
      <c r="E30" s="7" t="n">
        <v>1.16</v>
      </c>
      <c r="F30" s="7" t="n">
        <v>12.921</v>
      </c>
      <c r="G30" s="20" t="n">
        <v>1</v>
      </c>
      <c r="H30" s="7" t="n">
        <v>0</v>
      </c>
      <c r="I30" s="8" t="n">
        <f aca="false">E30*F30*G30-H30</f>
        <v>14.98836</v>
      </c>
      <c r="J30" s="22" t="s">
        <v>355</v>
      </c>
    </row>
    <row r="31" customFormat="false" ht="15" hidden="false" customHeight="false" outlineLevel="0" collapsed="false">
      <c r="A31" s="4" t="n">
        <v>14</v>
      </c>
      <c r="B31" s="19" t="s">
        <v>356</v>
      </c>
      <c r="C31" s="6" t="s">
        <v>329</v>
      </c>
      <c r="D31" s="6" t="s">
        <v>319</v>
      </c>
      <c r="E31" s="7" t="n">
        <v>19</v>
      </c>
      <c r="F31" s="7" t="n">
        <v>9</v>
      </c>
      <c r="G31" s="20" t="n">
        <v>1</v>
      </c>
      <c r="H31" s="7" t="n">
        <v>0</v>
      </c>
      <c r="I31" s="8" t="n">
        <f aca="false">E31*F31*G31-H31</f>
        <v>171</v>
      </c>
      <c r="J31" s="22" t="s">
        <v>357</v>
      </c>
    </row>
    <row r="32" customFormat="false" ht="15" hidden="false" customHeight="false" outlineLevel="0" collapsed="false">
      <c r="A32" s="4" t="n">
        <v>14</v>
      </c>
      <c r="B32" s="19" t="s">
        <v>356</v>
      </c>
      <c r="C32" s="6" t="s">
        <v>358</v>
      </c>
      <c r="D32" s="6" t="s">
        <v>319</v>
      </c>
      <c r="E32" s="7" t="n">
        <v>19</v>
      </c>
      <c r="F32" s="7" t="n">
        <v>9.5</v>
      </c>
      <c r="G32" s="20" t="n">
        <v>1</v>
      </c>
      <c r="H32" s="7" t="n">
        <v>0</v>
      </c>
      <c r="I32" s="8" t="n">
        <f aca="false">E32*F32*G32-H32</f>
        <v>180.5</v>
      </c>
      <c r="J32" s="22" t="s">
        <v>359</v>
      </c>
    </row>
    <row r="33" customFormat="false" ht="15" hidden="false" customHeight="false" outlineLevel="0" collapsed="false">
      <c r="A33" s="4" t="n">
        <v>15</v>
      </c>
      <c r="B33" s="19" t="s">
        <v>356</v>
      </c>
      <c r="C33" s="6" t="s">
        <v>329</v>
      </c>
      <c r="D33" s="6" t="s">
        <v>319</v>
      </c>
      <c r="E33" s="7" t="n">
        <v>11</v>
      </c>
      <c r="F33" s="7" t="n">
        <v>9</v>
      </c>
      <c r="G33" s="20" t="n">
        <v>1</v>
      </c>
      <c r="H33" s="7" t="n">
        <v>0</v>
      </c>
      <c r="I33" s="8" t="n">
        <f aca="false">E33*F33*G33-H33</f>
        <v>99</v>
      </c>
      <c r="J33" s="22" t="s">
        <v>360</v>
      </c>
    </row>
    <row r="34" customFormat="false" ht="15" hidden="false" customHeight="false" outlineLevel="0" collapsed="false">
      <c r="A34" s="4" t="n">
        <v>15</v>
      </c>
      <c r="B34" s="19" t="s">
        <v>356</v>
      </c>
      <c r="C34" s="6" t="s">
        <v>318</v>
      </c>
      <c r="D34" s="6" t="s">
        <v>319</v>
      </c>
      <c r="E34" s="7" t="n">
        <v>11</v>
      </c>
      <c r="F34" s="7" t="n">
        <v>9</v>
      </c>
      <c r="G34" s="20" t="n">
        <v>1</v>
      </c>
      <c r="H34" s="7" t="n">
        <v>0</v>
      </c>
      <c r="I34" s="8" t="n">
        <f aca="false">E34*F34*G34-H34</f>
        <v>99</v>
      </c>
      <c r="J34" s="22" t="s">
        <v>360</v>
      </c>
    </row>
    <row r="35" customFormat="false" ht="22.35" hidden="false" customHeight="false" outlineLevel="0" collapsed="false">
      <c r="A35" s="4" t="n">
        <v>16</v>
      </c>
      <c r="B35" s="19" t="s">
        <v>356</v>
      </c>
      <c r="C35" s="6" t="s">
        <v>318</v>
      </c>
      <c r="D35" s="6" t="s">
        <v>319</v>
      </c>
      <c r="E35" s="7" t="n">
        <v>5.41</v>
      </c>
      <c r="F35" s="7" t="n">
        <v>9</v>
      </c>
      <c r="G35" s="20" t="n">
        <v>1</v>
      </c>
      <c r="H35" s="7" t="n">
        <v>23.31</v>
      </c>
      <c r="I35" s="8" t="n">
        <f aca="false">E35*F35*G35-H35</f>
        <v>25.38</v>
      </c>
      <c r="J35" s="22" t="s">
        <v>361</v>
      </c>
    </row>
    <row r="36" customFormat="false" ht="22.35" hidden="false" customHeight="false" outlineLevel="0" collapsed="false">
      <c r="A36" s="4" t="n">
        <v>16</v>
      </c>
      <c r="B36" s="19" t="s">
        <v>356</v>
      </c>
      <c r="C36" s="6" t="s">
        <v>329</v>
      </c>
      <c r="D36" s="6" t="s">
        <v>319</v>
      </c>
      <c r="E36" s="7" t="n">
        <v>5.41</v>
      </c>
      <c r="F36" s="7" t="n">
        <v>9</v>
      </c>
      <c r="G36" s="20" t="n">
        <v>1</v>
      </c>
      <c r="H36" s="7" t="n">
        <v>23.31</v>
      </c>
      <c r="I36" s="8" t="n">
        <f aca="false">E36*F36*G36-H36</f>
        <v>25.38</v>
      </c>
      <c r="J36" s="22" t="s">
        <v>361</v>
      </c>
    </row>
    <row r="37" customFormat="false" ht="15" hidden="false" customHeight="false" outlineLevel="0" collapsed="false">
      <c r="A37" s="4" t="n">
        <v>17</v>
      </c>
      <c r="B37" s="19" t="s">
        <v>356</v>
      </c>
      <c r="C37" s="6" t="s">
        <v>321</v>
      </c>
      <c r="D37" s="6" t="s">
        <v>319</v>
      </c>
      <c r="E37" s="7" t="n">
        <v>3.71</v>
      </c>
      <c r="F37" s="7" t="n">
        <v>9</v>
      </c>
      <c r="G37" s="20" t="n">
        <v>1</v>
      </c>
      <c r="H37" s="7" t="n">
        <v>0</v>
      </c>
      <c r="I37" s="8" t="n">
        <f aca="false">E37*F37*G37-H37</f>
        <v>33.39</v>
      </c>
      <c r="J37" s="22" t="s">
        <v>362</v>
      </c>
    </row>
    <row r="38" customFormat="false" ht="15" hidden="false" customHeight="false" outlineLevel="0" collapsed="false">
      <c r="A38" s="4" t="n">
        <v>17</v>
      </c>
      <c r="B38" s="19" t="s">
        <v>356</v>
      </c>
      <c r="C38" s="6" t="s">
        <v>332</v>
      </c>
      <c r="D38" s="6" t="s">
        <v>319</v>
      </c>
      <c r="E38" s="7" t="n">
        <v>3.71</v>
      </c>
      <c r="F38" s="7" t="n">
        <v>9.5</v>
      </c>
      <c r="G38" s="20" t="n">
        <v>1</v>
      </c>
      <c r="H38" s="7" t="n">
        <v>0</v>
      </c>
      <c r="I38" s="8" t="n">
        <f aca="false">E38*F38*G38-H38</f>
        <v>35.245</v>
      </c>
      <c r="J38" s="22" t="s">
        <v>363</v>
      </c>
    </row>
    <row r="39" customFormat="false" ht="22.35" hidden="false" customHeight="false" outlineLevel="0" collapsed="false">
      <c r="A39" s="4" t="n">
        <v>23</v>
      </c>
      <c r="B39" s="19" t="s">
        <v>364</v>
      </c>
      <c r="C39" s="6" t="s">
        <v>323</v>
      </c>
      <c r="D39" s="6" t="s">
        <v>319</v>
      </c>
      <c r="E39" s="7" t="n">
        <v>6.44</v>
      </c>
      <c r="F39" s="7" t="n">
        <v>12.831</v>
      </c>
      <c r="G39" s="20" t="n">
        <v>1</v>
      </c>
      <c r="H39" s="7" t="n">
        <v>23.31</v>
      </c>
      <c r="I39" s="8" t="n">
        <f aca="false">E39*F39*G39-H39</f>
        <v>59.32164</v>
      </c>
      <c r="J39" s="22" t="s">
        <v>365</v>
      </c>
    </row>
    <row r="40" customFormat="false" ht="22.35" hidden="false" customHeight="false" outlineLevel="0" collapsed="false">
      <c r="A40" s="4" t="n">
        <v>23</v>
      </c>
      <c r="B40" s="19" t="s">
        <v>364</v>
      </c>
      <c r="C40" s="6" t="s">
        <v>325</v>
      </c>
      <c r="D40" s="6" t="s">
        <v>319</v>
      </c>
      <c r="E40" s="7" t="n">
        <v>7.7</v>
      </c>
      <c r="F40" s="7" t="n">
        <v>12.831</v>
      </c>
      <c r="G40" s="20" t="n">
        <v>1</v>
      </c>
      <c r="H40" s="7" t="n">
        <v>23.31</v>
      </c>
      <c r="I40" s="8" t="n">
        <f aca="false">E40*F40*G40-H40</f>
        <v>75.4887</v>
      </c>
      <c r="J40" s="22" t="s">
        <v>366</v>
      </c>
    </row>
    <row r="41" customFormat="false" ht="22.35" hidden="false" customHeight="false" outlineLevel="0" collapsed="false">
      <c r="A41" s="4" t="n">
        <v>23</v>
      </c>
      <c r="B41" s="19" t="s">
        <v>364</v>
      </c>
      <c r="C41" s="6" t="s">
        <v>321</v>
      </c>
      <c r="D41" s="6" t="s">
        <v>319</v>
      </c>
      <c r="E41" s="7" t="n">
        <v>14.15</v>
      </c>
      <c r="F41" s="7" t="n">
        <v>12.831</v>
      </c>
      <c r="G41" s="20" t="n">
        <v>1</v>
      </c>
      <c r="H41" s="7" t="n">
        <v>46.62</v>
      </c>
      <c r="I41" s="8" t="n">
        <f aca="false">E41*F41*G41-H41</f>
        <v>134.93865</v>
      </c>
      <c r="J41" s="22" t="s">
        <v>367</v>
      </c>
    </row>
    <row r="42" customFormat="false" ht="22.35" hidden="false" customHeight="false" outlineLevel="0" collapsed="false">
      <c r="A42" s="4" t="n">
        <v>20</v>
      </c>
      <c r="B42" s="19" t="s">
        <v>364</v>
      </c>
      <c r="C42" s="6" t="s">
        <v>368</v>
      </c>
      <c r="D42" s="6" t="s">
        <v>319</v>
      </c>
      <c r="E42" s="7" t="n">
        <v>11.83</v>
      </c>
      <c r="F42" s="7" t="n">
        <v>12.748</v>
      </c>
      <c r="G42" s="20" t="n">
        <v>1</v>
      </c>
      <c r="H42" s="7" t="n">
        <v>21</v>
      </c>
      <c r="I42" s="8" t="n">
        <f aca="false">E42*F42*G42-H42</f>
        <v>129.80884</v>
      </c>
      <c r="J42" s="22" t="s">
        <v>369</v>
      </c>
    </row>
    <row r="43" customFormat="false" ht="22.35" hidden="false" customHeight="false" outlineLevel="0" collapsed="false">
      <c r="A43" s="4" t="n">
        <v>20</v>
      </c>
      <c r="B43" s="19" t="s">
        <v>364</v>
      </c>
      <c r="C43" s="6" t="s">
        <v>370</v>
      </c>
      <c r="D43" s="6" t="s">
        <v>319</v>
      </c>
      <c r="E43" s="7" t="n">
        <v>11.83</v>
      </c>
      <c r="F43" s="7" t="n">
        <v>12.748</v>
      </c>
      <c r="G43" s="20" t="n">
        <v>1</v>
      </c>
      <c r="H43" s="7" t="n">
        <v>21</v>
      </c>
      <c r="I43" s="8" t="n">
        <f aca="false">E43*F43*G43-H43</f>
        <v>129.80884</v>
      </c>
      <c r="J43" s="22" t="s">
        <v>369</v>
      </c>
    </row>
    <row r="44" customFormat="false" ht="15" hidden="false" customHeight="false" outlineLevel="0" collapsed="false">
      <c r="A44" s="4" t="n">
        <v>21</v>
      </c>
      <c r="B44" s="19" t="s">
        <v>364</v>
      </c>
      <c r="C44" s="6" t="s">
        <v>371</v>
      </c>
      <c r="D44" s="6" t="s">
        <v>319</v>
      </c>
      <c r="E44" s="7" t="n">
        <v>11.73</v>
      </c>
      <c r="F44" s="7" t="n">
        <v>12.666</v>
      </c>
      <c r="G44" s="20" t="n">
        <v>1</v>
      </c>
      <c r="H44" s="7" t="n">
        <v>0</v>
      </c>
      <c r="I44" s="8" t="n">
        <f aca="false">E44*F44*G44-H44</f>
        <v>148.57218</v>
      </c>
      <c r="J44" s="22" t="s">
        <v>372</v>
      </c>
    </row>
    <row r="45" customFormat="false" ht="15" hidden="false" customHeight="false" outlineLevel="0" collapsed="false">
      <c r="A45" s="4" t="n">
        <v>21</v>
      </c>
      <c r="B45" s="19" t="s">
        <v>364</v>
      </c>
      <c r="C45" s="6" t="s">
        <v>368</v>
      </c>
      <c r="D45" s="6" t="s">
        <v>319</v>
      </c>
      <c r="E45" s="7" t="n">
        <v>8.7</v>
      </c>
      <c r="F45" s="7" t="n">
        <v>12.666</v>
      </c>
      <c r="G45" s="20" t="n">
        <v>1</v>
      </c>
      <c r="H45" s="7" t="n">
        <v>0</v>
      </c>
      <c r="I45" s="8" t="n">
        <f aca="false">E45*F45*G45-H45</f>
        <v>110.1942</v>
      </c>
      <c r="J45" s="22" t="s">
        <v>373</v>
      </c>
    </row>
    <row r="46" customFormat="false" ht="15" hidden="false" customHeight="false" outlineLevel="0" collapsed="false">
      <c r="A46" s="4" t="n">
        <v>21</v>
      </c>
      <c r="B46" s="19" t="s">
        <v>364</v>
      </c>
      <c r="C46" s="6" t="s">
        <v>370</v>
      </c>
      <c r="D46" s="6" t="s">
        <v>319</v>
      </c>
      <c r="E46" s="7" t="n">
        <v>3.03</v>
      </c>
      <c r="F46" s="7" t="n">
        <v>12.666</v>
      </c>
      <c r="G46" s="20" t="n">
        <v>1</v>
      </c>
      <c r="H46" s="7" t="n">
        <v>0</v>
      </c>
      <c r="I46" s="8" t="n">
        <f aca="false">E46*F46*G46-H46</f>
        <v>38.37798</v>
      </c>
      <c r="J46" s="22" t="s">
        <v>374</v>
      </c>
    </row>
    <row r="47" customFormat="false" ht="15" hidden="false" customHeight="false" outlineLevel="0" collapsed="false">
      <c r="A47" s="4" t="n">
        <v>18</v>
      </c>
      <c r="B47" s="19" t="s">
        <v>364</v>
      </c>
      <c r="C47" s="6" t="s">
        <v>321</v>
      </c>
      <c r="D47" s="6" t="s">
        <v>319</v>
      </c>
      <c r="E47" s="7" t="n">
        <v>9.99</v>
      </c>
      <c r="F47" s="7" t="n">
        <v>12.827</v>
      </c>
      <c r="G47" s="20" t="n">
        <v>1</v>
      </c>
      <c r="H47" s="7" t="n">
        <v>0</v>
      </c>
      <c r="I47" s="8" t="n">
        <f aca="false">E47*F47*G47-H47</f>
        <v>128.14173</v>
      </c>
      <c r="J47" s="22" t="s">
        <v>375</v>
      </c>
    </row>
    <row r="48" customFormat="false" ht="15" hidden="false" customHeight="false" outlineLevel="0" collapsed="false">
      <c r="A48" s="4" t="n">
        <v>18</v>
      </c>
      <c r="B48" s="19" t="s">
        <v>364</v>
      </c>
      <c r="C48" s="6" t="s">
        <v>323</v>
      </c>
      <c r="D48" s="6" t="s">
        <v>319</v>
      </c>
      <c r="E48" s="7" t="n">
        <v>9.99</v>
      </c>
      <c r="F48" s="7" t="n">
        <v>12.827</v>
      </c>
      <c r="G48" s="20" t="n">
        <v>1</v>
      </c>
      <c r="H48" s="7" t="n">
        <v>0</v>
      </c>
      <c r="I48" s="8" t="n">
        <f aca="false">E48*F48*G48-H48</f>
        <v>128.14173</v>
      </c>
      <c r="J48" s="22" t="s">
        <v>375</v>
      </c>
    </row>
    <row r="49" customFormat="false" ht="15" hidden="false" customHeight="false" outlineLevel="0" collapsed="false">
      <c r="A49" s="4" t="n">
        <v>22</v>
      </c>
      <c r="B49" s="19" t="s">
        <v>364</v>
      </c>
      <c r="C49" s="6" t="s">
        <v>323</v>
      </c>
      <c r="D49" s="6" t="s">
        <v>319</v>
      </c>
      <c r="E49" s="7" t="n">
        <v>9.58</v>
      </c>
      <c r="F49" s="7" t="n">
        <v>12.698</v>
      </c>
      <c r="G49" s="20" t="n">
        <v>1</v>
      </c>
      <c r="H49" s="7" t="n">
        <v>0</v>
      </c>
      <c r="I49" s="8" t="n">
        <f aca="false">E49*F49*G49-H49</f>
        <v>121.64684</v>
      </c>
      <c r="J49" s="22" t="s">
        <v>376</v>
      </c>
    </row>
    <row r="50" customFormat="false" ht="15" hidden="false" customHeight="false" outlineLevel="0" collapsed="false">
      <c r="A50" s="4" t="n">
        <v>22</v>
      </c>
      <c r="B50" s="19" t="s">
        <v>364</v>
      </c>
      <c r="C50" s="6" t="s">
        <v>325</v>
      </c>
      <c r="D50" s="6" t="s">
        <v>319</v>
      </c>
      <c r="E50" s="7" t="n">
        <v>9.58</v>
      </c>
      <c r="F50" s="7" t="n">
        <v>12.698</v>
      </c>
      <c r="G50" s="20" t="n">
        <v>1</v>
      </c>
      <c r="H50" s="7" t="n">
        <v>0</v>
      </c>
      <c r="I50" s="8" t="n">
        <f aca="false">E50*F50*G50-H50</f>
        <v>121.64684</v>
      </c>
      <c r="J50" s="22" t="s">
        <v>376</v>
      </c>
    </row>
    <row r="51" customFormat="false" ht="15" hidden="false" customHeight="false" outlineLevel="0" collapsed="false">
      <c r="A51" s="4" t="n">
        <v>19</v>
      </c>
      <c r="B51" s="19" t="s">
        <v>364</v>
      </c>
      <c r="C51" s="6" t="s">
        <v>368</v>
      </c>
      <c r="D51" s="6" t="s">
        <v>319</v>
      </c>
      <c r="E51" s="7" t="n">
        <v>3.5</v>
      </c>
      <c r="F51" s="7" t="n">
        <v>12.743</v>
      </c>
      <c r="G51" s="20" t="n">
        <v>1</v>
      </c>
      <c r="H51" s="7" t="n">
        <v>0</v>
      </c>
      <c r="I51" s="8" t="n">
        <f aca="false">E51*F51*G51-H51</f>
        <v>44.6005</v>
      </c>
      <c r="J51" s="22" t="s">
        <v>377</v>
      </c>
    </row>
    <row r="52" customFormat="false" ht="15" hidden="false" customHeight="false" outlineLevel="0" collapsed="false">
      <c r="A52" s="4" t="n">
        <v>19</v>
      </c>
      <c r="B52" s="19" t="s">
        <v>364</v>
      </c>
      <c r="C52" s="6" t="s">
        <v>370</v>
      </c>
      <c r="D52" s="6" t="s">
        <v>319</v>
      </c>
      <c r="E52" s="7" t="n">
        <v>3.5</v>
      </c>
      <c r="F52" s="7" t="n">
        <v>12.743</v>
      </c>
      <c r="G52" s="20" t="n">
        <v>1</v>
      </c>
      <c r="H52" s="7" t="n">
        <v>0</v>
      </c>
      <c r="I52" s="8" t="n">
        <f aca="false">E52*F52*G52-H52</f>
        <v>44.6005</v>
      </c>
      <c r="J52" s="22" t="s">
        <v>377</v>
      </c>
    </row>
    <row r="53" customFormat="false" ht="32.8" hidden="false" customHeight="false" outlineLevel="0" collapsed="false">
      <c r="A53" s="4" t="n">
        <v>27</v>
      </c>
      <c r="B53" s="19" t="s">
        <v>378</v>
      </c>
      <c r="C53" s="6" t="s">
        <v>379</v>
      </c>
      <c r="D53" s="6" t="s">
        <v>319</v>
      </c>
      <c r="E53" s="7" t="n">
        <v>5.513</v>
      </c>
      <c r="F53" s="7" t="n">
        <v>13.052</v>
      </c>
      <c r="G53" s="20" t="n">
        <v>1</v>
      </c>
      <c r="H53" s="7" t="n">
        <v>23.33</v>
      </c>
      <c r="I53" s="8" t="n">
        <f aca="false">E53*F53*G53-H53</f>
        <v>48.625676</v>
      </c>
      <c r="J53" s="22" t="s">
        <v>380</v>
      </c>
    </row>
    <row r="54" customFormat="false" ht="32.8" hidden="false" customHeight="false" outlineLevel="0" collapsed="false">
      <c r="A54" s="4" t="n">
        <v>27</v>
      </c>
      <c r="B54" s="19" t="s">
        <v>378</v>
      </c>
      <c r="C54" s="6" t="s">
        <v>370</v>
      </c>
      <c r="D54" s="6" t="s">
        <v>319</v>
      </c>
      <c r="E54" s="7" t="n">
        <v>4.11</v>
      </c>
      <c r="F54" s="7" t="n">
        <v>13.052</v>
      </c>
      <c r="G54" s="20" t="n">
        <v>1</v>
      </c>
      <c r="H54" s="7" t="n">
        <v>23.33</v>
      </c>
      <c r="I54" s="8" t="n">
        <f aca="false">E54*F54*G54-H54</f>
        <v>30.31372</v>
      </c>
      <c r="J54" s="22" t="s">
        <v>381</v>
      </c>
    </row>
    <row r="55" customFormat="false" ht="32.8" hidden="false" customHeight="false" outlineLevel="0" collapsed="false">
      <c r="A55" s="4" t="n">
        <v>27</v>
      </c>
      <c r="B55" s="19" t="s">
        <v>378</v>
      </c>
      <c r="C55" s="6" t="s">
        <v>371</v>
      </c>
      <c r="D55" s="6" t="s">
        <v>319</v>
      </c>
      <c r="E55" s="7" t="n">
        <v>6.163</v>
      </c>
      <c r="F55" s="7" t="n">
        <v>13.052</v>
      </c>
      <c r="G55" s="20" t="n">
        <v>1</v>
      </c>
      <c r="H55" s="7" t="n">
        <v>23.33</v>
      </c>
      <c r="I55" s="8" t="n">
        <f aca="false">E55*F55*G55-H55</f>
        <v>57.109476</v>
      </c>
      <c r="J55" s="22" t="s">
        <v>382</v>
      </c>
    </row>
    <row r="56" customFormat="false" ht="32.8" hidden="false" customHeight="false" outlineLevel="0" collapsed="false">
      <c r="A56" s="4" t="n">
        <v>27</v>
      </c>
      <c r="B56" s="19" t="s">
        <v>378</v>
      </c>
      <c r="C56" s="6" t="s">
        <v>318</v>
      </c>
      <c r="D56" s="6" t="s">
        <v>319</v>
      </c>
      <c r="E56" s="7" t="n">
        <v>15.787</v>
      </c>
      <c r="F56" s="7" t="n">
        <v>13.052</v>
      </c>
      <c r="G56" s="20" t="n">
        <v>1</v>
      </c>
      <c r="H56" s="7" t="n">
        <v>69.99</v>
      </c>
      <c r="I56" s="8" t="n">
        <f aca="false">E56*F56*G56-H56</f>
        <v>136.061924</v>
      </c>
      <c r="J56" s="22" t="s">
        <v>383</v>
      </c>
    </row>
    <row r="57" customFormat="false" ht="22.35" hidden="false" customHeight="false" outlineLevel="0" collapsed="false">
      <c r="A57" s="4" t="n">
        <v>28</v>
      </c>
      <c r="B57" s="19" t="s">
        <v>378</v>
      </c>
      <c r="C57" s="6" t="s">
        <v>321</v>
      </c>
      <c r="D57" s="6" t="s">
        <v>319</v>
      </c>
      <c r="E57" s="7" t="n">
        <v>11.74</v>
      </c>
      <c r="F57" s="7" t="n">
        <v>13.052</v>
      </c>
      <c r="G57" s="20" t="n">
        <v>1</v>
      </c>
      <c r="H57" s="7" t="n">
        <v>0</v>
      </c>
      <c r="I57" s="8" t="n">
        <f aca="false">E57*F57*G57-H57</f>
        <v>153.23048</v>
      </c>
      <c r="J57" s="22" t="s">
        <v>384</v>
      </c>
    </row>
    <row r="58" customFormat="false" ht="22.35" hidden="false" customHeight="false" outlineLevel="0" collapsed="false">
      <c r="A58" s="4" t="n">
        <v>28</v>
      </c>
      <c r="B58" s="19" t="s">
        <v>378</v>
      </c>
      <c r="C58" s="6" t="s">
        <v>332</v>
      </c>
      <c r="D58" s="6" t="s">
        <v>319</v>
      </c>
      <c r="E58" s="7" t="n">
        <v>0.333</v>
      </c>
      <c r="F58" s="7" t="n">
        <v>13.052</v>
      </c>
      <c r="G58" s="20" t="n">
        <v>1</v>
      </c>
      <c r="H58" s="7" t="n">
        <v>0</v>
      </c>
      <c r="I58" s="8" t="n">
        <f aca="false">E58*F58*G58-H58</f>
        <v>4.346316</v>
      </c>
      <c r="J58" s="22" t="s">
        <v>385</v>
      </c>
    </row>
    <row r="59" customFormat="false" ht="32.8" hidden="false" customHeight="false" outlineLevel="0" collapsed="false">
      <c r="A59" s="4" t="n">
        <v>28</v>
      </c>
      <c r="B59" s="19" t="s">
        <v>378</v>
      </c>
      <c r="C59" s="6" t="s">
        <v>334</v>
      </c>
      <c r="D59" s="6" t="s">
        <v>319</v>
      </c>
      <c r="E59" s="7" t="n">
        <v>11</v>
      </c>
      <c r="F59" s="7" t="n">
        <v>13.052</v>
      </c>
      <c r="G59" s="20" t="n">
        <v>1</v>
      </c>
      <c r="H59" s="7" t="n">
        <v>0</v>
      </c>
      <c r="I59" s="8" t="n">
        <f aca="false">E59*F59*G59-H59</f>
        <v>143.572</v>
      </c>
      <c r="J59" s="22" t="s">
        <v>386</v>
      </c>
    </row>
    <row r="60" customFormat="false" ht="32.8" hidden="false" customHeight="false" outlineLevel="0" collapsed="false">
      <c r="A60" s="4" t="n">
        <v>25</v>
      </c>
      <c r="B60" s="19" t="s">
        <v>378</v>
      </c>
      <c r="C60" s="6" t="s">
        <v>387</v>
      </c>
      <c r="D60" s="6" t="s">
        <v>319</v>
      </c>
      <c r="E60" s="7" t="n">
        <v>5.667</v>
      </c>
      <c r="F60" s="7" t="n">
        <v>15.375</v>
      </c>
      <c r="G60" s="20" t="n">
        <v>1</v>
      </c>
      <c r="H60" s="7" t="n">
        <v>30.66</v>
      </c>
      <c r="I60" s="8" t="n">
        <f aca="false">E60*F60*G60-H60</f>
        <v>56.470125</v>
      </c>
      <c r="J60" s="22" t="s">
        <v>388</v>
      </c>
    </row>
    <row r="61" customFormat="false" ht="22.35" hidden="false" customHeight="false" outlineLevel="0" collapsed="false">
      <c r="A61" s="4" t="n">
        <v>25</v>
      </c>
      <c r="B61" s="19" t="s">
        <v>378</v>
      </c>
      <c r="C61" s="6" t="s">
        <v>327</v>
      </c>
      <c r="D61" s="6" t="s">
        <v>319</v>
      </c>
      <c r="E61" s="7" t="n">
        <v>5.667</v>
      </c>
      <c r="F61" s="7" t="n">
        <v>15.375</v>
      </c>
      <c r="G61" s="20" t="n">
        <v>1</v>
      </c>
      <c r="H61" s="7" t="n">
        <v>30.66</v>
      </c>
      <c r="I61" s="8" t="n">
        <f aca="false">E61*F61*G61-H61</f>
        <v>56.470125</v>
      </c>
      <c r="J61" s="22" t="s">
        <v>389</v>
      </c>
    </row>
    <row r="62" customFormat="false" ht="22.35" hidden="false" customHeight="false" outlineLevel="0" collapsed="false">
      <c r="A62" s="4" t="n">
        <v>26</v>
      </c>
      <c r="B62" s="19" t="s">
        <v>378</v>
      </c>
      <c r="C62" s="6" t="s">
        <v>390</v>
      </c>
      <c r="D62" s="6" t="s">
        <v>319</v>
      </c>
      <c r="E62" s="7" t="n">
        <v>1.82</v>
      </c>
      <c r="F62" s="7" t="n">
        <v>13.052</v>
      </c>
      <c r="G62" s="20" t="n">
        <v>1</v>
      </c>
      <c r="H62" s="7" t="n">
        <v>0</v>
      </c>
      <c r="I62" s="8" t="n">
        <f aca="false">E62*F62*G62-H62</f>
        <v>23.75464</v>
      </c>
      <c r="J62" s="22" t="s">
        <v>391</v>
      </c>
    </row>
    <row r="63" customFormat="false" ht="22.35" hidden="false" customHeight="false" outlineLevel="0" collapsed="false">
      <c r="A63" s="4" t="n">
        <v>26</v>
      </c>
      <c r="B63" s="19" t="s">
        <v>378</v>
      </c>
      <c r="C63" s="6" t="s">
        <v>318</v>
      </c>
      <c r="D63" s="6" t="s">
        <v>319</v>
      </c>
      <c r="E63" s="7" t="n">
        <v>1.82</v>
      </c>
      <c r="F63" s="7" t="n">
        <v>13.052</v>
      </c>
      <c r="G63" s="20" t="n">
        <v>1</v>
      </c>
      <c r="H63" s="7" t="n">
        <v>0</v>
      </c>
      <c r="I63" s="8" t="n">
        <f aca="false">E63*F63*G63-H63</f>
        <v>23.75464</v>
      </c>
      <c r="J63" s="22" t="s">
        <v>392</v>
      </c>
    </row>
    <row r="64" customFormat="false" ht="15" hidden="false" customHeight="false" outlineLevel="0" collapsed="false">
      <c r="A64" s="4" t="n">
        <v>31</v>
      </c>
      <c r="B64" s="19" t="s">
        <v>393</v>
      </c>
      <c r="C64" s="6" t="s">
        <v>358</v>
      </c>
      <c r="D64" s="6" t="s">
        <v>319</v>
      </c>
      <c r="E64" s="7" t="n">
        <v>1.26</v>
      </c>
      <c r="F64" s="7" t="n">
        <v>15.375</v>
      </c>
      <c r="G64" s="20" t="n">
        <v>1</v>
      </c>
      <c r="H64" s="7" t="n">
        <v>0</v>
      </c>
      <c r="I64" s="8" t="n">
        <f aca="false">E64*F64*G64-H64</f>
        <v>19.3725</v>
      </c>
      <c r="J64" s="22" t="s">
        <v>394</v>
      </c>
    </row>
    <row r="65" customFormat="false" ht="15" hidden="false" customHeight="false" outlineLevel="0" collapsed="false">
      <c r="A65" s="4" t="n">
        <v>31</v>
      </c>
      <c r="B65" s="19" t="s">
        <v>393</v>
      </c>
      <c r="C65" s="6" t="s">
        <v>332</v>
      </c>
      <c r="D65" s="6" t="s">
        <v>319</v>
      </c>
      <c r="E65" s="7" t="n">
        <v>1.26</v>
      </c>
      <c r="F65" s="7" t="n">
        <v>15.375</v>
      </c>
      <c r="G65" s="20" t="n">
        <v>1</v>
      </c>
      <c r="H65" s="7" t="n">
        <v>0</v>
      </c>
      <c r="I65" s="8" t="n">
        <f aca="false">E65*F65*G65-H65</f>
        <v>19.3725</v>
      </c>
      <c r="J65" s="22" t="s">
        <v>394</v>
      </c>
    </row>
    <row r="66" customFormat="false" ht="22.35" hidden="false" customHeight="false" outlineLevel="0" collapsed="false">
      <c r="A66" s="4" t="n">
        <v>54</v>
      </c>
      <c r="B66" s="19" t="s">
        <v>395</v>
      </c>
      <c r="C66" s="6" t="s">
        <v>396</v>
      </c>
      <c r="D66" s="6" t="s">
        <v>397</v>
      </c>
      <c r="E66" s="7" t="n">
        <v>30</v>
      </c>
      <c r="F66" s="7" t="n">
        <v>7.333</v>
      </c>
      <c r="G66" s="20" t="n">
        <v>2</v>
      </c>
      <c r="H66" s="7" t="n">
        <v>0</v>
      </c>
      <c r="I66" s="8" t="n">
        <f aca="false">E66*F66*G66-H66</f>
        <v>439.98</v>
      </c>
      <c r="J66" s="22" t="s">
        <v>398</v>
      </c>
    </row>
    <row r="67" customFormat="false" ht="22.35" hidden="false" customHeight="false" outlineLevel="0" collapsed="false">
      <c r="A67" s="4" t="n">
        <v>54</v>
      </c>
      <c r="B67" s="19" t="s">
        <v>395</v>
      </c>
      <c r="C67" s="6" t="s">
        <v>327</v>
      </c>
      <c r="D67" s="6" t="s">
        <v>397</v>
      </c>
      <c r="E67" s="7" t="n">
        <v>30</v>
      </c>
      <c r="F67" s="7" t="n">
        <v>7.333</v>
      </c>
      <c r="G67" s="20" t="n">
        <v>2</v>
      </c>
      <c r="H67" s="7" t="n">
        <v>0</v>
      </c>
      <c r="I67" s="8" t="n">
        <f aca="false">E67*F67*G67-H67</f>
        <v>439.98</v>
      </c>
      <c r="J67" s="22" t="s">
        <v>398</v>
      </c>
    </row>
    <row r="68" customFormat="false" ht="22.35" hidden="false" customHeight="false" outlineLevel="0" collapsed="false">
      <c r="A68" s="4" t="n">
        <v>55</v>
      </c>
      <c r="B68" s="19" t="s">
        <v>395</v>
      </c>
      <c r="C68" s="6" t="s">
        <v>399</v>
      </c>
      <c r="D68" s="6" t="s">
        <v>397</v>
      </c>
      <c r="E68" s="7" t="n">
        <v>15</v>
      </c>
      <c r="F68" s="7" t="n">
        <v>7.333</v>
      </c>
      <c r="G68" s="20" t="n">
        <v>2</v>
      </c>
      <c r="H68" s="7" t="n">
        <v>0</v>
      </c>
      <c r="I68" s="8" t="n">
        <f aca="false">E68*F68*G68-H68</f>
        <v>219.99</v>
      </c>
      <c r="J68" s="22" t="s">
        <v>400</v>
      </c>
    </row>
    <row r="69" customFormat="false" ht="22.35" hidden="false" customHeight="false" outlineLevel="0" collapsed="false">
      <c r="A69" s="4" t="n">
        <v>55</v>
      </c>
      <c r="B69" s="19" t="s">
        <v>395</v>
      </c>
      <c r="C69" s="6" t="s">
        <v>401</v>
      </c>
      <c r="D69" s="6" t="s">
        <v>397</v>
      </c>
      <c r="E69" s="7" t="n">
        <v>15</v>
      </c>
      <c r="F69" s="7" t="n">
        <v>7.333</v>
      </c>
      <c r="G69" s="20" t="n">
        <v>2</v>
      </c>
      <c r="H69" s="7" t="n">
        <v>0</v>
      </c>
      <c r="I69" s="8" t="n">
        <f aca="false">E69*F69*G69-H69</f>
        <v>219.99</v>
      </c>
      <c r="J69" s="22" t="s">
        <v>400</v>
      </c>
    </row>
    <row r="70" customFormat="false" ht="22.35" hidden="false" customHeight="false" outlineLevel="0" collapsed="false">
      <c r="A70" s="4" t="n">
        <v>36</v>
      </c>
      <c r="B70" s="19" t="s">
        <v>402</v>
      </c>
      <c r="C70" s="6" t="s">
        <v>327</v>
      </c>
      <c r="D70" s="6" t="s">
        <v>319</v>
      </c>
      <c r="E70" s="7" t="n">
        <v>11.33</v>
      </c>
      <c r="F70" s="7" t="n">
        <v>11.5</v>
      </c>
      <c r="G70" s="20" t="n">
        <v>1</v>
      </c>
      <c r="H70" s="7" t="n">
        <v>0</v>
      </c>
      <c r="I70" s="8" t="n">
        <f aca="false">E70*F70*G70-H70</f>
        <v>130.295</v>
      </c>
      <c r="J70" s="22" t="s">
        <v>403</v>
      </c>
    </row>
    <row r="71" customFormat="false" ht="22.35" hidden="false" customHeight="false" outlineLevel="0" collapsed="false">
      <c r="A71" s="4" t="n">
        <v>37</v>
      </c>
      <c r="B71" s="19" t="s">
        <v>402</v>
      </c>
      <c r="C71" s="6" t="s">
        <v>390</v>
      </c>
      <c r="D71" s="6" t="s">
        <v>319</v>
      </c>
      <c r="E71" s="7" t="n">
        <v>5.6</v>
      </c>
      <c r="F71" s="7" t="n">
        <v>9</v>
      </c>
      <c r="G71" s="20" t="n">
        <v>1</v>
      </c>
      <c r="H71" s="7" t="n">
        <v>0</v>
      </c>
      <c r="I71" s="8" t="n">
        <f aca="false">E71*F71*G71-H71</f>
        <v>50.4</v>
      </c>
      <c r="J71" s="22" t="s">
        <v>404</v>
      </c>
    </row>
    <row r="72" customFormat="false" ht="22.35" hidden="false" customHeight="false" outlineLevel="0" collapsed="false">
      <c r="A72" s="4" t="n">
        <v>39</v>
      </c>
      <c r="B72" s="19" t="s">
        <v>402</v>
      </c>
      <c r="C72" s="6" t="s">
        <v>379</v>
      </c>
      <c r="D72" s="6" t="s">
        <v>319</v>
      </c>
      <c r="E72" s="7" t="n">
        <v>5.6</v>
      </c>
      <c r="F72" s="7" t="n">
        <v>9</v>
      </c>
      <c r="G72" s="20" t="n">
        <v>1</v>
      </c>
      <c r="H72" s="7" t="n">
        <v>0</v>
      </c>
      <c r="I72" s="8" t="n">
        <f aca="false">E72*F72*G72-H72</f>
        <v>50.4</v>
      </c>
      <c r="J72" s="22" t="s">
        <v>404</v>
      </c>
    </row>
    <row r="73" customFormat="false" ht="22.35" hidden="false" customHeight="false" outlineLevel="0" collapsed="false">
      <c r="A73" s="4" t="n">
        <v>32</v>
      </c>
      <c r="B73" s="19" t="s">
        <v>402</v>
      </c>
      <c r="C73" s="6" t="s">
        <v>405</v>
      </c>
      <c r="D73" s="6" t="s">
        <v>319</v>
      </c>
      <c r="E73" s="7" t="n">
        <v>4.56</v>
      </c>
      <c r="F73" s="7" t="n">
        <v>10</v>
      </c>
      <c r="G73" s="20" t="n">
        <v>1</v>
      </c>
      <c r="H73" s="7" t="n">
        <v>0</v>
      </c>
      <c r="I73" s="8" t="n">
        <f aca="false">E73*F73*G73-H73</f>
        <v>45.6</v>
      </c>
      <c r="J73" s="22" t="s">
        <v>406</v>
      </c>
    </row>
    <row r="74" customFormat="false" ht="22.35" hidden="false" customHeight="false" outlineLevel="0" collapsed="false">
      <c r="A74" s="4" t="n">
        <v>33</v>
      </c>
      <c r="B74" s="19" t="s">
        <v>402</v>
      </c>
      <c r="C74" s="6" t="s">
        <v>405</v>
      </c>
      <c r="D74" s="6" t="s">
        <v>319</v>
      </c>
      <c r="E74" s="7" t="n">
        <v>3.58</v>
      </c>
      <c r="F74" s="7" t="n">
        <v>10</v>
      </c>
      <c r="G74" s="20" t="n">
        <v>1</v>
      </c>
      <c r="H74" s="7" t="n">
        <v>0</v>
      </c>
      <c r="I74" s="8" t="n">
        <f aca="false">E74*F74*G74-H74</f>
        <v>35.8</v>
      </c>
      <c r="J74" s="22" t="s">
        <v>407</v>
      </c>
    </row>
    <row r="75" customFormat="false" ht="22.35" hidden="false" customHeight="false" outlineLevel="0" collapsed="false">
      <c r="A75" s="4" t="n">
        <v>38</v>
      </c>
      <c r="B75" s="19" t="s">
        <v>402</v>
      </c>
      <c r="C75" s="6" t="s">
        <v>332</v>
      </c>
      <c r="D75" s="6" t="s">
        <v>319</v>
      </c>
      <c r="E75" s="7" t="n">
        <v>3.39</v>
      </c>
      <c r="F75" s="7" t="n">
        <v>9</v>
      </c>
      <c r="G75" s="20" t="n">
        <v>1</v>
      </c>
      <c r="H75" s="7" t="n">
        <v>0</v>
      </c>
      <c r="I75" s="8" t="n">
        <f aca="false">E75*F75*G75-H75</f>
        <v>30.51</v>
      </c>
      <c r="J75" s="22" t="s">
        <v>408</v>
      </c>
    </row>
    <row r="76" customFormat="false" ht="22.35" hidden="false" customHeight="false" outlineLevel="0" collapsed="false">
      <c r="A76" s="4" t="n">
        <v>34</v>
      </c>
      <c r="B76" s="19" t="s">
        <v>402</v>
      </c>
      <c r="C76" s="6" t="s">
        <v>327</v>
      </c>
      <c r="D76" s="6" t="s">
        <v>319</v>
      </c>
      <c r="E76" s="7" t="n">
        <v>3.33</v>
      </c>
      <c r="F76" s="7" t="n">
        <v>11.5</v>
      </c>
      <c r="G76" s="20" t="n">
        <v>1</v>
      </c>
      <c r="H76" s="7" t="n">
        <v>0</v>
      </c>
      <c r="I76" s="8" t="n">
        <f aca="false">E76*F76*G76-H76</f>
        <v>38.295</v>
      </c>
      <c r="J76" s="22" t="s">
        <v>409</v>
      </c>
    </row>
    <row r="77" customFormat="false" ht="22.35" hidden="false" customHeight="false" outlineLevel="0" collapsed="false">
      <c r="A77" s="4" t="n">
        <v>35</v>
      </c>
      <c r="B77" s="19" t="s">
        <v>402</v>
      </c>
      <c r="C77" s="6" t="s">
        <v>327</v>
      </c>
      <c r="D77" s="6" t="s">
        <v>319</v>
      </c>
      <c r="E77" s="7" t="n">
        <v>2.52</v>
      </c>
      <c r="F77" s="7" t="n">
        <v>11.5</v>
      </c>
      <c r="G77" s="20" t="n">
        <v>1</v>
      </c>
      <c r="H77" s="7" t="n">
        <v>0</v>
      </c>
      <c r="I77" s="8" t="n">
        <f aca="false">E77*F77*G77-H77</f>
        <v>28.98</v>
      </c>
      <c r="J77" s="22" t="s">
        <v>410</v>
      </c>
    </row>
    <row r="78" customFormat="false" ht="43.25" hidden="false" customHeight="false" outlineLevel="0" collapsed="false">
      <c r="A78" s="4" t="n">
        <v>66</v>
      </c>
      <c r="B78" s="19" t="s">
        <v>411</v>
      </c>
      <c r="C78" s="6" t="s">
        <v>412</v>
      </c>
      <c r="D78" s="6" t="s">
        <v>413</v>
      </c>
      <c r="E78" s="7" t="n">
        <v>6.084</v>
      </c>
      <c r="F78" s="7" t="n">
        <v>10.5</v>
      </c>
      <c r="G78" s="20" t="n">
        <v>1</v>
      </c>
      <c r="H78" s="7" t="n">
        <v>0</v>
      </c>
      <c r="I78" s="8" t="n">
        <f aca="false">E78*F78*G78-H78</f>
        <v>63.882</v>
      </c>
      <c r="J78" s="22" t="s">
        <v>414</v>
      </c>
    </row>
    <row r="79" customFormat="false" ht="43.25" hidden="false" customHeight="false" outlineLevel="0" collapsed="false">
      <c r="A79" s="4" t="n">
        <v>67</v>
      </c>
      <c r="B79" s="19" t="s">
        <v>411</v>
      </c>
      <c r="C79" s="6" t="s">
        <v>412</v>
      </c>
      <c r="D79" s="6" t="s">
        <v>413</v>
      </c>
      <c r="E79" s="7" t="n">
        <v>6.084</v>
      </c>
      <c r="F79" s="7" t="n">
        <v>10.5</v>
      </c>
      <c r="G79" s="20" t="n">
        <v>1</v>
      </c>
      <c r="H79" s="7" t="n">
        <v>0</v>
      </c>
      <c r="I79" s="8" t="n">
        <f aca="false">E79*F79*G79-H79</f>
        <v>63.882</v>
      </c>
      <c r="J79" s="22" t="s">
        <v>414</v>
      </c>
    </row>
    <row r="80" customFormat="false" ht="43.25" hidden="false" customHeight="false" outlineLevel="0" collapsed="false">
      <c r="A80" s="4" t="n">
        <v>68</v>
      </c>
      <c r="B80" s="19" t="s">
        <v>411</v>
      </c>
      <c r="C80" s="6" t="s">
        <v>412</v>
      </c>
      <c r="D80" s="6" t="s">
        <v>413</v>
      </c>
      <c r="E80" s="7" t="n">
        <v>6.084</v>
      </c>
      <c r="F80" s="7" t="n">
        <v>10.5</v>
      </c>
      <c r="G80" s="20" t="n">
        <v>1</v>
      </c>
      <c r="H80" s="7" t="n">
        <v>0</v>
      </c>
      <c r="I80" s="8" t="n">
        <f aca="false">E80*F80*G80-H80</f>
        <v>63.882</v>
      </c>
      <c r="J80" s="22" t="s">
        <v>414</v>
      </c>
    </row>
    <row r="81" customFormat="false" ht="43.25" hidden="false" customHeight="false" outlineLevel="0" collapsed="false">
      <c r="A81" s="4" t="n">
        <v>69</v>
      </c>
      <c r="B81" s="19" t="s">
        <v>411</v>
      </c>
      <c r="C81" s="6" t="s">
        <v>412</v>
      </c>
      <c r="D81" s="6" t="s">
        <v>413</v>
      </c>
      <c r="E81" s="7" t="n">
        <v>6.084</v>
      </c>
      <c r="F81" s="7" t="n">
        <v>10.5</v>
      </c>
      <c r="G81" s="20" t="n">
        <v>1</v>
      </c>
      <c r="H81" s="7" t="n">
        <v>0</v>
      </c>
      <c r="I81" s="8" t="n">
        <f aca="false">E81*F81*G81-H81</f>
        <v>63.882</v>
      </c>
      <c r="J81" s="22" t="s">
        <v>414</v>
      </c>
    </row>
    <row r="82" customFormat="false" ht="53.7" hidden="false" customHeight="false" outlineLevel="0" collapsed="false">
      <c r="A82" s="4" t="n">
        <v>61</v>
      </c>
      <c r="B82" s="19" t="s">
        <v>415</v>
      </c>
      <c r="C82" s="6" t="s">
        <v>416</v>
      </c>
      <c r="D82" s="6" t="s">
        <v>319</v>
      </c>
      <c r="E82" s="7" t="n">
        <v>76.3</v>
      </c>
      <c r="F82" s="7" t="n">
        <v>14.52</v>
      </c>
      <c r="G82" s="20" t="n">
        <v>1</v>
      </c>
      <c r="H82" s="7" t="n">
        <v>64</v>
      </c>
      <c r="I82" s="8" t="n">
        <f aca="false">E82*F82*G82-H82</f>
        <v>1043.876</v>
      </c>
      <c r="J82" s="22" t="s">
        <v>417</v>
      </c>
    </row>
    <row r="83" customFormat="false" ht="53.7" hidden="false" customHeight="false" outlineLevel="0" collapsed="false">
      <c r="A83" s="4" t="n">
        <v>62</v>
      </c>
      <c r="B83" s="19" t="s">
        <v>415</v>
      </c>
      <c r="C83" s="6" t="s">
        <v>416</v>
      </c>
      <c r="D83" s="6" t="s">
        <v>319</v>
      </c>
      <c r="E83" s="7" t="n">
        <v>52.7</v>
      </c>
      <c r="F83" s="7" t="n">
        <v>12.531</v>
      </c>
      <c r="G83" s="20" t="n">
        <v>1</v>
      </c>
      <c r="H83" s="7" t="n">
        <v>23.31</v>
      </c>
      <c r="I83" s="8" t="n">
        <f aca="false">E83*F83*G83-H83</f>
        <v>637.0737</v>
      </c>
      <c r="J83" s="22" t="s">
        <v>418</v>
      </c>
    </row>
    <row r="84" customFormat="false" ht="53.7" hidden="false" customHeight="false" outlineLevel="0" collapsed="false">
      <c r="A84" s="4" t="n">
        <v>63</v>
      </c>
      <c r="B84" s="19" t="s">
        <v>415</v>
      </c>
      <c r="C84" s="6" t="s">
        <v>416</v>
      </c>
      <c r="D84" s="6" t="s">
        <v>319</v>
      </c>
      <c r="E84" s="7" t="n">
        <v>47.92</v>
      </c>
      <c r="F84" s="7" t="n">
        <v>13.99</v>
      </c>
      <c r="G84" s="20" t="n">
        <v>1</v>
      </c>
      <c r="H84" s="7" t="n">
        <v>32</v>
      </c>
      <c r="I84" s="8" t="n">
        <f aca="false">E84*F84*G84-H84</f>
        <v>638.4008</v>
      </c>
      <c r="J84" s="22" t="s">
        <v>419</v>
      </c>
    </row>
    <row r="85" customFormat="false" ht="53.7" hidden="false" customHeight="false" outlineLevel="0" collapsed="false">
      <c r="A85" s="4" t="n">
        <v>65</v>
      </c>
      <c r="B85" s="19" t="s">
        <v>415</v>
      </c>
      <c r="C85" s="6" t="s">
        <v>416</v>
      </c>
      <c r="D85" s="6" t="s">
        <v>319</v>
      </c>
      <c r="E85" s="7" t="n">
        <v>21.88</v>
      </c>
      <c r="F85" s="7" t="n">
        <v>15.375</v>
      </c>
      <c r="G85" s="20" t="n">
        <v>1</v>
      </c>
      <c r="H85" s="7" t="n">
        <v>5.67</v>
      </c>
      <c r="I85" s="8" t="n">
        <f aca="false">E85*F85*G85-H85</f>
        <v>330.735</v>
      </c>
      <c r="J85" s="22" t="s">
        <v>420</v>
      </c>
    </row>
    <row r="86" customFormat="false" ht="53.7" hidden="false" customHeight="false" outlineLevel="0" collapsed="false">
      <c r="A86" s="4" t="n">
        <v>60</v>
      </c>
      <c r="B86" s="19" t="s">
        <v>415</v>
      </c>
      <c r="C86" s="6" t="s">
        <v>416</v>
      </c>
      <c r="D86" s="6" t="s">
        <v>319</v>
      </c>
      <c r="E86" s="7" t="n">
        <v>14.95</v>
      </c>
      <c r="F86" s="7" t="n">
        <v>15.375</v>
      </c>
      <c r="G86" s="20" t="n">
        <v>1</v>
      </c>
      <c r="H86" s="7" t="n">
        <v>0</v>
      </c>
      <c r="I86" s="8" t="n">
        <f aca="false">E86*F86*G86-H86</f>
        <v>229.85625</v>
      </c>
      <c r="J86" s="22" t="s">
        <v>421</v>
      </c>
    </row>
    <row r="87" customFormat="false" ht="53.7" hidden="false" customHeight="false" outlineLevel="0" collapsed="false">
      <c r="A87" s="4" t="n">
        <v>64</v>
      </c>
      <c r="B87" s="19" t="s">
        <v>415</v>
      </c>
      <c r="C87" s="6" t="s">
        <v>416</v>
      </c>
      <c r="D87" s="6" t="s">
        <v>319</v>
      </c>
      <c r="E87" s="7" t="n">
        <v>3.89</v>
      </c>
      <c r="F87" s="7" t="n">
        <v>15.375</v>
      </c>
      <c r="G87" s="20" t="n">
        <v>1</v>
      </c>
      <c r="H87" s="7" t="n">
        <v>0</v>
      </c>
      <c r="I87" s="8" t="n">
        <f aca="false">E87*F87*G87-H87</f>
        <v>59.80875</v>
      </c>
      <c r="J87" s="22" t="s">
        <v>422</v>
      </c>
    </row>
    <row r="88" customFormat="false" ht="23.85" hidden="false" customHeight="false" outlineLevel="0" collapsed="false">
      <c r="A88" s="4" t="n">
        <v>40</v>
      </c>
      <c r="B88" s="19" t="s">
        <v>423</v>
      </c>
      <c r="C88" s="6" t="s">
        <v>424</v>
      </c>
      <c r="D88" s="6" t="s">
        <v>425</v>
      </c>
      <c r="E88" s="7" t="n">
        <v>17.458</v>
      </c>
      <c r="F88" s="7" t="n">
        <v>15.375</v>
      </c>
      <c r="G88" s="20" t="n">
        <v>1</v>
      </c>
      <c r="H88" s="7" t="n">
        <v>6.05</v>
      </c>
      <c r="I88" s="8" t="n">
        <f aca="false">E88*F88*G88-H88</f>
        <v>262.36675</v>
      </c>
      <c r="J88" s="22" t="s">
        <v>426</v>
      </c>
    </row>
    <row r="89" customFormat="false" ht="22.35" hidden="false" customHeight="false" outlineLevel="0" collapsed="false">
      <c r="A89" s="4" t="n">
        <v>40</v>
      </c>
      <c r="B89" s="19" t="s">
        <v>423</v>
      </c>
      <c r="C89" s="6" t="s">
        <v>427</v>
      </c>
      <c r="D89" s="6" t="s">
        <v>319</v>
      </c>
      <c r="E89" s="7" t="n">
        <v>18.067</v>
      </c>
      <c r="F89" s="7" t="n">
        <v>9</v>
      </c>
      <c r="G89" s="20" t="n">
        <v>1</v>
      </c>
      <c r="H89" s="7" t="n">
        <v>6.05</v>
      </c>
      <c r="I89" s="8" t="n">
        <f aca="false">E89*F89*G89-H89</f>
        <v>156.553</v>
      </c>
      <c r="J89" s="22" t="s">
        <v>428</v>
      </c>
    </row>
    <row r="90" customFormat="false" ht="15" hidden="false" customHeight="false" outlineLevel="0" collapsed="false">
      <c r="A90" s="4" t="n">
        <v>45</v>
      </c>
      <c r="B90" s="19" t="s">
        <v>429</v>
      </c>
      <c r="C90" s="6" t="s">
        <v>430</v>
      </c>
      <c r="D90" s="6" t="s">
        <v>397</v>
      </c>
      <c r="E90" s="7" t="n">
        <v>11.77</v>
      </c>
      <c r="F90" s="7" t="n">
        <v>15.375</v>
      </c>
      <c r="G90" s="20" t="n">
        <v>2</v>
      </c>
      <c r="H90" s="7" t="n">
        <v>0</v>
      </c>
      <c r="I90" s="8" t="n">
        <f aca="false">E90*F90*G90-H90</f>
        <v>361.9275</v>
      </c>
      <c r="J90" s="22" t="s">
        <v>431</v>
      </c>
    </row>
    <row r="91" customFormat="false" ht="15" hidden="false" customHeight="false" outlineLevel="0" collapsed="false">
      <c r="A91" s="4" t="n">
        <v>45</v>
      </c>
      <c r="B91" s="19" t="s">
        <v>429</v>
      </c>
      <c r="C91" s="6" t="s">
        <v>432</v>
      </c>
      <c r="D91" s="6" t="s">
        <v>397</v>
      </c>
      <c r="E91" s="7" t="n">
        <v>11.77</v>
      </c>
      <c r="F91" s="7" t="n">
        <v>15.375</v>
      </c>
      <c r="G91" s="20" t="n">
        <v>2</v>
      </c>
      <c r="H91" s="7" t="n">
        <v>0</v>
      </c>
      <c r="I91" s="8" t="n">
        <f aca="false">E91*F91*G91-H91</f>
        <v>361.9275</v>
      </c>
      <c r="J91" s="22" t="s">
        <v>431</v>
      </c>
    </row>
    <row r="92" customFormat="false" ht="15" hidden="false" customHeight="false" outlineLevel="0" collapsed="false">
      <c r="A92" s="4" t="n">
        <v>46</v>
      </c>
      <c r="B92" s="19" t="s">
        <v>429</v>
      </c>
      <c r="C92" s="6" t="s">
        <v>432</v>
      </c>
      <c r="D92" s="6" t="s">
        <v>397</v>
      </c>
      <c r="E92" s="7" t="n">
        <v>11.77</v>
      </c>
      <c r="F92" s="7" t="n">
        <v>15.375</v>
      </c>
      <c r="G92" s="20" t="n">
        <v>2</v>
      </c>
      <c r="H92" s="7" t="n">
        <v>0</v>
      </c>
      <c r="I92" s="8" t="n">
        <f aca="false">E92*F92*G92-H92</f>
        <v>361.9275</v>
      </c>
      <c r="J92" s="22" t="s">
        <v>431</v>
      </c>
    </row>
    <row r="93" customFormat="false" ht="15" hidden="false" customHeight="false" outlineLevel="0" collapsed="false">
      <c r="A93" s="4" t="n">
        <v>46</v>
      </c>
      <c r="B93" s="19" t="s">
        <v>429</v>
      </c>
      <c r="C93" s="6" t="s">
        <v>358</v>
      </c>
      <c r="D93" s="6" t="s">
        <v>397</v>
      </c>
      <c r="E93" s="7" t="n">
        <v>11.77</v>
      </c>
      <c r="F93" s="7" t="n">
        <v>15.375</v>
      </c>
      <c r="G93" s="20" t="n">
        <v>2</v>
      </c>
      <c r="H93" s="7" t="n">
        <v>0</v>
      </c>
      <c r="I93" s="8" t="n">
        <f aca="false">E93*F93*G93-H93</f>
        <v>361.9275</v>
      </c>
      <c r="J93" s="22" t="s">
        <v>431</v>
      </c>
    </row>
    <row r="94" customFormat="false" ht="15" hidden="false" customHeight="false" outlineLevel="0" collapsed="false">
      <c r="A94" s="4" t="n">
        <v>48</v>
      </c>
      <c r="B94" s="19" t="s">
        <v>429</v>
      </c>
      <c r="C94" s="6" t="s">
        <v>387</v>
      </c>
      <c r="D94" s="6" t="s">
        <v>397</v>
      </c>
      <c r="E94" s="7" t="n">
        <v>11.625</v>
      </c>
      <c r="F94" s="7" t="n">
        <v>15.375</v>
      </c>
      <c r="G94" s="20" t="n">
        <v>2</v>
      </c>
      <c r="H94" s="7" t="n">
        <v>0</v>
      </c>
      <c r="I94" s="8" t="n">
        <f aca="false">E94*F94*G94-H94</f>
        <v>357.46875</v>
      </c>
      <c r="J94" s="22" t="s">
        <v>433</v>
      </c>
    </row>
    <row r="95" customFormat="false" ht="15" hidden="false" customHeight="false" outlineLevel="0" collapsed="false">
      <c r="A95" s="4" t="n">
        <v>48</v>
      </c>
      <c r="B95" s="19" t="s">
        <v>429</v>
      </c>
      <c r="C95" s="6" t="s">
        <v>434</v>
      </c>
      <c r="D95" s="6" t="s">
        <v>397</v>
      </c>
      <c r="E95" s="7" t="n">
        <v>11.625</v>
      </c>
      <c r="F95" s="7" t="n">
        <v>15.375</v>
      </c>
      <c r="G95" s="20" t="n">
        <v>2</v>
      </c>
      <c r="H95" s="7" t="n">
        <v>0</v>
      </c>
      <c r="I95" s="8" t="n">
        <f aca="false">E95*F95*G95-H95</f>
        <v>357.46875</v>
      </c>
      <c r="J95" s="22" t="s">
        <v>433</v>
      </c>
    </row>
    <row r="96" customFormat="false" ht="15" hidden="false" customHeight="false" outlineLevel="0" collapsed="false">
      <c r="A96" s="4" t="n">
        <v>49</v>
      </c>
      <c r="B96" s="19" t="s">
        <v>429</v>
      </c>
      <c r="C96" s="6" t="s">
        <v>434</v>
      </c>
      <c r="D96" s="6" t="s">
        <v>397</v>
      </c>
      <c r="E96" s="7" t="n">
        <v>11.625</v>
      </c>
      <c r="F96" s="7" t="n">
        <v>15.375</v>
      </c>
      <c r="G96" s="20" t="n">
        <v>2</v>
      </c>
      <c r="H96" s="7" t="n">
        <v>0</v>
      </c>
      <c r="I96" s="8" t="n">
        <f aca="false">E96*F96*G96-H96</f>
        <v>357.46875</v>
      </c>
      <c r="J96" s="22" t="s">
        <v>433</v>
      </c>
    </row>
    <row r="97" customFormat="false" ht="15" hidden="false" customHeight="false" outlineLevel="0" collapsed="false">
      <c r="A97" s="4" t="n">
        <v>49</v>
      </c>
      <c r="B97" s="19" t="s">
        <v>429</v>
      </c>
      <c r="C97" s="6" t="s">
        <v>435</v>
      </c>
      <c r="D97" s="6" t="s">
        <v>397</v>
      </c>
      <c r="E97" s="7" t="n">
        <v>11.625</v>
      </c>
      <c r="F97" s="7" t="n">
        <v>15.375</v>
      </c>
      <c r="G97" s="20" t="n">
        <v>2</v>
      </c>
      <c r="H97" s="7" t="n">
        <v>0</v>
      </c>
      <c r="I97" s="8" t="n">
        <f aca="false">E97*F97*G97-H97</f>
        <v>357.46875</v>
      </c>
      <c r="J97" s="22" t="s">
        <v>433</v>
      </c>
    </row>
    <row r="98" customFormat="false" ht="15" hidden="false" customHeight="false" outlineLevel="0" collapsed="false">
      <c r="A98" s="4" t="n">
        <v>52</v>
      </c>
      <c r="B98" s="19" t="s">
        <v>429</v>
      </c>
      <c r="C98" s="6" t="s">
        <v>435</v>
      </c>
      <c r="D98" s="6" t="s">
        <v>397</v>
      </c>
      <c r="E98" s="7" t="n">
        <v>11.625</v>
      </c>
      <c r="F98" s="7" t="n">
        <v>15.375</v>
      </c>
      <c r="G98" s="20" t="n">
        <v>2</v>
      </c>
      <c r="H98" s="7" t="n">
        <v>0</v>
      </c>
      <c r="I98" s="8" t="n">
        <f aca="false">E98*F98*G98-H98</f>
        <v>357.46875</v>
      </c>
      <c r="J98" s="22" t="s">
        <v>436</v>
      </c>
    </row>
    <row r="99" customFormat="false" ht="15" hidden="false" customHeight="false" outlineLevel="0" collapsed="false">
      <c r="A99" s="4" t="n">
        <v>52</v>
      </c>
      <c r="B99" s="19" t="s">
        <v>429</v>
      </c>
      <c r="C99" s="6" t="s">
        <v>437</v>
      </c>
      <c r="D99" s="6" t="s">
        <v>397</v>
      </c>
      <c r="E99" s="7" t="n">
        <v>11.625</v>
      </c>
      <c r="F99" s="7" t="n">
        <v>15.375</v>
      </c>
      <c r="G99" s="20" t="n">
        <v>2</v>
      </c>
      <c r="H99" s="7" t="n">
        <v>0</v>
      </c>
      <c r="I99" s="8" t="n">
        <f aca="false">E99*F99*G99-H99</f>
        <v>357.46875</v>
      </c>
      <c r="J99" s="22" t="s">
        <v>436</v>
      </c>
    </row>
    <row r="100" customFormat="false" ht="15" hidden="false" customHeight="false" outlineLevel="0" collapsed="false">
      <c r="A100" s="4" t="n">
        <v>47</v>
      </c>
      <c r="B100" s="19" t="s">
        <v>429</v>
      </c>
      <c r="C100" s="6" t="s">
        <v>358</v>
      </c>
      <c r="D100" s="6" t="s">
        <v>397</v>
      </c>
      <c r="E100" s="7" t="n">
        <v>10.07</v>
      </c>
      <c r="F100" s="7" t="n">
        <v>15.375</v>
      </c>
      <c r="G100" s="20" t="n">
        <v>2</v>
      </c>
      <c r="H100" s="7" t="n">
        <v>0</v>
      </c>
      <c r="I100" s="8" t="n">
        <f aca="false">E100*F100*G100-H100</f>
        <v>309.6525</v>
      </c>
      <c r="J100" s="22" t="s">
        <v>438</v>
      </c>
    </row>
    <row r="101" customFormat="false" ht="15" hidden="false" customHeight="false" outlineLevel="0" collapsed="false">
      <c r="A101" s="4" t="n">
        <v>47</v>
      </c>
      <c r="B101" s="19" t="s">
        <v>429</v>
      </c>
      <c r="C101" s="6" t="s">
        <v>439</v>
      </c>
      <c r="D101" s="6" t="s">
        <v>397</v>
      </c>
      <c r="E101" s="7" t="n">
        <v>10.07</v>
      </c>
      <c r="F101" s="7" t="n">
        <v>15.375</v>
      </c>
      <c r="G101" s="20" t="n">
        <v>2</v>
      </c>
      <c r="H101" s="7" t="n">
        <v>0</v>
      </c>
      <c r="I101" s="8" t="n">
        <f aca="false">E101*F101*G101-H101</f>
        <v>309.6525</v>
      </c>
      <c r="J101" s="22" t="s">
        <v>438</v>
      </c>
    </row>
    <row r="102" customFormat="false" ht="15" hidden="false" customHeight="false" outlineLevel="0" collapsed="false">
      <c r="A102" s="4" t="n">
        <v>42</v>
      </c>
      <c r="B102" s="19" t="s">
        <v>429</v>
      </c>
      <c r="C102" s="6" t="s">
        <v>327</v>
      </c>
      <c r="D102" s="6" t="s">
        <v>397</v>
      </c>
      <c r="E102" s="7" t="n">
        <v>3.47</v>
      </c>
      <c r="F102" s="7" t="n">
        <v>15.375</v>
      </c>
      <c r="G102" s="20" t="n">
        <v>2</v>
      </c>
      <c r="H102" s="7" t="n">
        <v>0</v>
      </c>
      <c r="I102" s="8" t="n">
        <f aca="false">E102*F102*G102-H102</f>
        <v>106.7025</v>
      </c>
      <c r="J102" s="22" t="s">
        <v>440</v>
      </c>
    </row>
    <row r="103" customFormat="false" ht="15" hidden="false" customHeight="false" outlineLevel="0" collapsed="false">
      <c r="A103" s="4" t="n">
        <v>42</v>
      </c>
      <c r="B103" s="19" t="s">
        <v>429</v>
      </c>
      <c r="C103" s="6" t="s">
        <v>441</v>
      </c>
      <c r="D103" s="6" t="s">
        <v>397</v>
      </c>
      <c r="E103" s="7" t="n">
        <v>3.47</v>
      </c>
      <c r="F103" s="7" t="n">
        <v>15.375</v>
      </c>
      <c r="G103" s="20" t="n">
        <v>2</v>
      </c>
      <c r="H103" s="7" t="n">
        <v>0</v>
      </c>
      <c r="I103" s="8" t="n">
        <f aca="false">E103*F103*G103-H103</f>
        <v>106.7025</v>
      </c>
      <c r="J103" s="22" t="s">
        <v>440</v>
      </c>
    </row>
    <row r="104" customFormat="false" ht="15" hidden="false" customHeight="false" outlineLevel="0" collapsed="false">
      <c r="A104" s="4" t="n">
        <v>43</v>
      </c>
      <c r="B104" s="19" t="s">
        <v>429</v>
      </c>
      <c r="C104" s="6" t="s">
        <v>327</v>
      </c>
      <c r="D104" s="6" t="s">
        <v>397</v>
      </c>
      <c r="E104" s="7" t="n">
        <v>3.25</v>
      </c>
      <c r="F104" s="7" t="n">
        <v>15.375</v>
      </c>
      <c r="G104" s="20" t="n">
        <v>2</v>
      </c>
      <c r="H104" s="7" t="n">
        <v>0</v>
      </c>
      <c r="I104" s="8" t="n">
        <f aca="false">E104*F104*G104-H104</f>
        <v>99.9375</v>
      </c>
      <c r="J104" s="22" t="s">
        <v>442</v>
      </c>
    </row>
    <row r="105" customFormat="false" ht="15" hidden="false" customHeight="false" outlineLevel="0" collapsed="false">
      <c r="A105" s="4" t="n">
        <v>43</v>
      </c>
      <c r="B105" s="19" t="s">
        <v>429</v>
      </c>
      <c r="C105" s="6" t="s">
        <v>443</v>
      </c>
      <c r="D105" s="6" t="s">
        <v>397</v>
      </c>
      <c r="E105" s="7" t="n">
        <v>3.25</v>
      </c>
      <c r="F105" s="7" t="n">
        <v>15.375</v>
      </c>
      <c r="G105" s="20" t="n">
        <v>2</v>
      </c>
      <c r="H105" s="7" t="n">
        <v>0</v>
      </c>
      <c r="I105" s="8" t="n">
        <f aca="false">E105*F105*G105-H105</f>
        <v>99.9375</v>
      </c>
      <c r="J105" s="22" t="s">
        <v>442</v>
      </c>
    </row>
    <row r="106" customFormat="false" ht="15" hidden="false" customHeight="false" outlineLevel="0" collapsed="false">
      <c r="A106" s="4" t="n">
        <v>44</v>
      </c>
      <c r="B106" s="19" t="s">
        <v>429</v>
      </c>
      <c r="C106" s="6" t="s">
        <v>327</v>
      </c>
      <c r="D106" s="6" t="s">
        <v>397</v>
      </c>
      <c r="E106" s="7" t="n">
        <v>3.25</v>
      </c>
      <c r="F106" s="7" t="n">
        <v>15.375</v>
      </c>
      <c r="G106" s="20" t="n">
        <v>2</v>
      </c>
      <c r="H106" s="7" t="n">
        <v>0</v>
      </c>
      <c r="I106" s="8" t="n">
        <f aca="false">E106*F106*G106-H106</f>
        <v>99.9375</v>
      </c>
      <c r="J106" s="22" t="s">
        <v>442</v>
      </c>
    </row>
    <row r="107" customFormat="false" ht="15" hidden="false" customHeight="false" outlineLevel="0" collapsed="false">
      <c r="A107" s="4" t="n">
        <v>44</v>
      </c>
      <c r="B107" s="19" t="s">
        <v>429</v>
      </c>
      <c r="C107" s="6" t="s">
        <v>444</v>
      </c>
      <c r="D107" s="6" t="s">
        <v>397</v>
      </c>
      <c r="E107" s="7" t="n">
        <v>3.25</v>
      </c>
      <c r="F107" s="7" t="n">
        <v>15.375</v>
      </c>
      <c r="G107" s="20" t="n">
        <v>2</v>
      </c>
      <c r="H107" s="7" t="n">
        <v>0</v>
      </c>
      <c r="I107" s="8" t="n">
        <f aca="false">E107*F107*G107-H107</f>
        <v>99.9375</v>
      </c>
      <c r="J107" s="22" t="s">
        <v>442</v>
      </c>
    </row>
    <row r="108" customFormat="false" ht="15" hidden="false" customHeight="false" outlineLevel="0" collapsed="false">
      <c r="A108" s="4" t="n">
        <v>41</v>
      </c>
      <c r="B108" s="19" t="s">
        <v>429</v>
      </c>
      <c r="C108" s="6" t="s">
        <v>327</v>
      </c>
      <c r="D108" s="6" t="s">
        <v>397</v>
      </c>
      <c r="E108" s="7" t="n">
        <v>2.42</v>
      </c>
      <c r="F108" s="7" t="n">
        <v>15.375</v>
      </c>
      <c r="G108" s="20" t="n">
        <v>2</v>
      </c>
      <c r="H108" s="7" t="n">
        <v>0</v>
      </c>
      <c r="I108" s="8" t="n">
        <f aca="false">E108*F108*G108-H108</f>
        <v>74.415</v>
      </c>
      <c r="J108" s="22" t="s">
        <v>445</v>
      </c>
    </row>
    <row r="109" customFormat="false" ht="15" hidden="false" customHeight="false" outlineLevel="0" collapsed="false">
      <c r="A109" s="4" t="n">
        <v>41</v>
      </c>
      <c r="B109" s="19" t="s">
        <v>429</v>
      </c>
      <c r="C109" s="6" t="s">
        <v>446</v>
      </c>
      <c r="D109" s="6" t="s">
        <v>397</v>
      </c>
      <c r="E109" s="7" t="n">
        <v>2.42</v>
      </c>
      <c r="F109" s="7" t="n">
        <v>15.375</v>
      </c>
      <c r="G109" s="20" t="n">
        <v>2</v>
      </c>
      <c r="H109" s="7" t="n">
        <v>0</v>
      </c>
      <c r="I109" s="8" t="n">
        <f aca="false">E109*F109*G109-H109</f>
        <v>74.415</v>
      </c>
      <c r="J109" s="22" t="s">
        <v>445</v>
      </c>
    </row>
    <row r="110" customFormat="false" ht="15" hidden="false" customHeight="false" outlineLevel="0" collapsed="false">
      <c r="A110" s="4" t="n">
        <v>50</v>
      </c>
      <c r="B110" s="19" t="s">
        <v>447</v>
      </c>
      <c r="C110" s="6" t="s">
        <v>446</v>
      </c>
      <c r="D110" s="6" t="s">
        <v>397</v>
      </c>
      <c r="E110" s="7" t="n">
        <v>11.77</v>
      </c>
      <c r="F110" s="7" t="n">
        <v>15.375</v>
      </c>
      <c r="G110" s="20" t="n">
        <v>2</v>
      </c>
      <c r="H110" s="7" t="n">
        <v>0</v>
      </c>
      <c r="I110" s="8" t="n">
        <f aca="false">E110*F110*G110-H110</f>
        <v>361.9275</v>
      </c>
      <c r="J110" s="22" t="s">
        <v>448</v>
      </c>
    </row>
    <row r="111" customFormat="false" ht="15" hidden="false" customHeight="false" outlineLevel="0" collapsed="false">
      <c r="A111" s="4" t="n">
        <v>50</v>
      </c>
      <c r="B111" s="19" t="s">
        <v>447</v>
      </c>
      <c r="C111" s="6" t="s">
        <v>430</v>
      </c>
      <c r="D111" s="6" t="s">
        <v>397</v>
      </c>
      <c r="E111" s="7" t="n">
        <v>11.77</v>
      </c>
      <c r="F111" s="7" t="n">
        <v>15.375</v>
      </c>
      <c r="G111" s="20" t="n">
        <v>2</v>
      </c>
      <c r="H111" s="7" t="n">
        <v>0</v>
      </c>
      <c r="I111" s="8" t="n">
        <f aca="false">E111*F111*G111-H111</f>
        <v>361.9275</v>
      </c>
      <c r="J111" s="22" t="s">
        <v>448</v>
      </c>
    </row>
    <row r="112" customFormat="false" ht="15" hidden="false" customHeight="false" outlineLevel="0" collapsed="false">
      <c r="A112" s="4" t="n">
        <v>51</v>
      </c>
      <c r="B112" s="19" t="s">
        <v>447</v>
      </c>
      <c r="C112" s="6" t="s">
        <v>434</v>
      </c>
      <c r="D112" s="6" t="s">
        <v>397</v>
      </c>
      <c r="E112" s="7" t="n">
        <v>2.67</v>
      </c>
      <c r="F112" s="7" t="n">
        <v>15.375</v>
      </c>
      <c r="G112" s="20" t="n">
        <v>2</v>
      </c>
      <c r="H112" s="7" t="n">
        <v>0</v>
      </c>
      <c r="I112" s="8" t="n">
        <f aca="false">E112*F112*G112-H112</f>
        <v>82.1025</v>
      </c>
      <c r="J112" s="22" t="s">
        <v>449</v>
      </c>
    </row>
    <row r="113" customFormat="false" ht="23.85" hidden="false" customHeight="false" outlineLevel="0" collapsed="false">
      <c r="A113" s="4" t="n">
        <v>51</v>
      </c>
      <c r="B113" s="19" t="s">
        <v>447</v>
      </c>
      <c r="C113" s="6" t="s">
        <v>450</v>
      </c>
      <c r="D113" s="6" t="s">
        <v>397</v>
      </c>
      <c r="E113" s="7" t="n">
        <v>2.67</v>
      </c>
      <c r="F113" s="7" t="n">
        <v>15.375</v>
      </c>
      <c r="G113" s="20" t="n">
        <v>2</v>
      </c>
      <c r="H113" s="7" t="n">
        <v>0</v>
      </c>
      <c r="I113" s="8" t="n">
        <f aca="false">E113*F113*G113-H113</f>
        <v>82.1025</v>
      </c>
      <c r="J113" s="22" t="s">
        <v>449</v>
      </c>
    </row>
    <row r="114" customFormat="false" ht="15" hidden="false" customHeight="false" outlineLevel="0" collapsed="false">
      <c r="A114" s="4" t="n">
        <v>53</v>
      </c>
      <c r="B114" s="19" t="s">
        <v>447</v>
      </c>
      <c r="C114" s="6" t="s">
        <v>435</v>
      </c>
      <c r="D114" s="6" t="s">
        <v>397</v>
      </c>
      <c r="E114" s="7" t="n">
        <v>2.67</v>
      </c>
      <c r="F114" s="7" t="n">
        <v>15.375</v>
      </c>
      <c r="G114" s="20" t="n">
        <v>2</v>
      </c>
      <c r="H114" s="7" t="n">
        <v>0</v>
      </c>
      <c r="I114" s="8" t="n">
        <f aca="false">E114*F114*G114-H114</f>
        <v>82.1025</v>
      </c>
      <c r="J114" s="22" t="s">
        <v>449</v>
      </c>
    </row>
    <row r="115" customFormat="false" ht="23.85" hidden="false" customHeight="false" outlineLevel="0" collapsed="false">
      <c r="A115" s="4" t="n">
        <v>53</v>
      </c>
      <c r="B115" s="19" t="s">
        <v>447</v>
      </c>
      <c r="C115" s="6" t="s">
        <v>450</v>
      </c>
      <c r="D115" s="6" t="s">
        <v>397</v>
      </c>
      <c r="E115" s="7" t="n">
        <v>2.67</v>
      </c>
      <c r="F115" s="7" t="n">
        <v>15.375</v>
      </c>
      <c r="G115" s="20" t="n">
        <v>2</v>
      </c>
      <c r="H115" s="7" t="n">
        <v>0</v>
      </c>
      <c r="I115" s="8" t="n">
        <f aca="false">E115*F115*G115-H115</f>
        <v>82.1025</v>
      </c>
      <c r="J115" s="22" t="s">
        <v>449</v>
      </c>
    </row>
    <row r="116" customFormat="false" ht="15" hidden="false" customHeight="false" outlineLevel="0" collapsed="false">
      <c r="A116" s="23"/>
      <c r="B116" s="23"/>
      <c r="C116" s="23" t="s">
        <v>451</v>
      </c>
      <c r="D116" s="23"/>
      <c r="E116" s="23"/>
      <c r="F116" s="23"/>
      <c r="G116" s="23"/>
      <c r="H116" s="23"/>
      <c r="I116" s="24" t="n">
        <f aca="false">SUM(I5:I115)</f>
        <v>15809.09977</v>
      </c>
      <c r="J116"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30"/>
    <col collapsed="false" customWidth="true" hidden="false" outlineLevel="0" max="4" min="4" style="0" width="13"/>
    <col collapsed="false" customWidth="true" hidden="false" outlineLevel="0" max="6" min="5" style="0" width="11"/>
    <col collapsed="false" customWidth="true" hidden="false" outlineLevel="0" max="8" min="7" style="0" width="13"/>
    <col collapsed="false" customWidth="true" hidden="false" outlineLevel="0" max="11" min="9" style="0" width="12"/>
    <col collapsed="false" customWidth="true" hidden="false" outlineLevel="0" max="13" min="12" style="0" width="11"/>
    <col collapsed="false" customWidth="true" hidden="false" outlineLevel="0" max="15" min="14" style="0" width="14"/>
    <col collapsed="false" customWidth="true" hidden="false" outlineLevel="0" max="17" min="16" style="0" width="11"/>
    <col collapsed="false" customWidth="true" hidden="false" outlineLevel="0" max="18" min="18" style="0" width="9"/>
    <col collapsed="false" customWidth="true" hidden="false" outlineLevel="0" max="19" min="19" style="0" width="20"/>
    <col collapsed="false" customWidth="true" hidden="false" outlineLevel="0" max="20" min="20" style="0" width="78"/>
  </cols>
  <sheetData>
    <row r="1" customFormat="false" ht="16.15" hidden="false" customHeight="false" outlineLevel="0" collapsed="false">
      <c r="A1" s="1" t="s">
        <v>452</v>
      </c>
    </row>
    <row r="2" customFormat="false" ht="15" hidden="false" customHeight="false" outlineLevel="0" collapsed="false">
      <c r="A2" s="2" t="s">
        <v>453</v>
      </c>
    </row>
    <row r="4" customFormat="false" ht="33.75" hidden="false" customHeight="true" outlineLevel="0" collapsed="false">
      <c r="A4" s="14" t="s">
        <v>454</v>
      </c>
      <c r="B4" s="14" t="s">
        <v>455</v>
      </c>
      <c r="C4" s="14" t="s">
        <v>456</v>
      </c>
      <c r="D4" s="14" t="s">
        <v>457</v>
      </c>
      <c r="E4" s="14" t="s">
        <v>458</v>
      </c>
      <c r="F4" s="14" t="s">
        <v>315</v>
      </c>
      <c r="G4" s="14" t="s">
        <v>459</v>
      </c>
      <c r="H4" s="14" t="s">
        <v>460</v>
      </c>
      <c r="I4" s="14" t="s">
        <v>461</v>
      </c>
      <c r="J4" s="14" t="s">
        <v>462</v>
      </c>
      <c r="K4" s="14" t="s">
        <v>463</v>
      </c>
      <c r="L4" s="14" t="s">
        <v>464</v>
      </c>
      <c r="M4" s="14" t="s">
        <v>71</v>
      </c>
      <c r="N4" s="14" t="s">
        <v>465</v>
      </c>
      <c r="O4" s="14" t="s">
        <v>466</v>
      </c>
      <c r="P4" s="14" t="s">
        <v>73</v>
      </c>
      <c r="Q4" s="14" t="s">
        <v>467</v>
      </c>
      <c r="R4" s="14" t="s">
        <v>88</v>
      </c>
      <c r="S4" s="14" t="s">
        <v>468</v>
      </c>
      <c r="T4" s="14" t="s">
        <v>469</v>
      </c>
    </row>
    <row r="5" customFormat="false" ht="15" hidden="false" customHeight="false" outlineLevel="0" collapsed="false">
      <c r="A5" s="19" t="s">
        <v>470</v>
      </c>
      <c r="B5" s="19" t="s">
        <v>471</v>
      </c>
      <c r="C5" s="6" t="s">
        <v>472</v>
      </c>
      <c r="D5" s="7"/>
      <c r="E5" s="7" t="n">
        <v>131.3</v>
      </c>
      <c r="F5" s="8" t="n">
        <v>131.3</v>
      </c>
      <c r="G5" s="8" t="n">
        <v>98.48</v>
      </c>
      <c r="H5" s="8" t="n">
        <v>32.83</v>
      </c>
      <c r="I5" s="8" t="n">
        <v>48.38</v>
      </c>
      <c r="J5" s="8"/>
      <c r="K5" s="18"/>
      <c r="L5" s="8"/>
      <c r="M5" s="8"/>
      <c r="N5" s="8"/>
      <c r="O5" s="8"/>
      <c r="P5" s="8"/>
      <c r="Q5" s="18" t="n">
        <v>1</v>
      </c>
      <c r="R5" s="4" t="s">
        <v>99</v>
      </c>
      <c r="S5" s="25" t="s">
        <v>473</v>
      </c>
      <c r="T5" s="22" t="s">
        <v>474</v>
      </c>
    </row>
    <row r="6" customFormat="false" ht="15" hidden="false" customHeight="false" outlineLevel="0" collapsed="false">
      <c r="A6" s="19" t="s">
        <v>470</v>
      </c>
      <c r="B6" s="19" t="s">
        <v>475</v>
      </c>
      <c r="C6" s="6" t="s">
        <v>476</v>
      </c>
      <c r="D6" s="7"/>
      <c r="E6" s="7" t="n">
        <v>163.92</v>
      </c>
      <c r="F6" s="8" t="n">
        <v>163.92</v>
      </c>
      <c r="G6" s="8" t="n">
        <v>122.94</v>
      </c>
      <c r="H6" s="8" t="n">
        <v>40.98</v>
      </c>
      <c r="I6" s="8" t="n">
        <v>59.12</v>
      </c>
      <c r="J6" s="8"/>
      <c r="K6" s="18"/>
      <c r="L6" s="8"/>
      <c r="M6" s="8"/>
      <c r="N6" s="8"/>
      <c r="O6" s="8"/>
      <c r="P6" s="8"/>
      <c r="Q6" s="18"/>
      <c r="R6" s="4" t="s">
        <v>99</v>
      </c>
      <c r="S6" s="25" t="s">
        <v>477</v>
      </c>
      <c r="T6" s="22" t="s">
        <v>478</v>
      </c>
    </row>
    <row r="7" customFormat="false" ht="15" hidden="false" customHeight="false" outlineLevel="0" collapsed="false">
      <c r="A7" s="19" t="s">
        <v>470</v>
      </c>
      <c r="B7" s="19" t="s">
        <v>479</v>
      </c>
      <c r="C7" s="6" t="s">
        <v>480</v>
      </c>
      <c r="D7" s="7"/>
      <c r="E7" s="7" t="n">
        <v>510.8</v>
      </c>
      <c r="F7" s="8" t="n">
        <v>510.8</v>
      </c>
      <c r="G7" s="8" t="n">
        <v>383.1</v>
      </c>
      <c r="H7" s="8" t="n">
        <v>127.7</v>
      </c>
      <c r="I7" s="8" t="n">
        <v>140</v>
      </c>
      <c r="J7" s="8"/>
      <c r="K7" s="18"/>
      <c r="L7" s="8"/>
      <c r="M7" s="8"/>
      <c r="N7" s="8"/>
      <c r="O7" s="8"/>
      <c r="P7" s="8"/>
      <c r="Q7" s="18"/>
      <c r="R7" s="4" t="s">
        <v>99</v>
      </c>
      <c r="S7" s="25" t="s">
        <v>481</v>
      </c>
      <c r="T7" s="22" t="s">
        <v>478</v>
      </c>
    </row>
    <row r="8" customFormat="false" ht="15" hidden="false" customHeight="false" outlineLevel="0" collapsed="false">
      <c r="A8" s="19" t="s">
        <v>470</v>
      </c>
      <c r="B8" s="19" t="s">
        <v>482</v>
      </c>
      <c r="C8" s="6" t="s">
        <v>483</v>
      </c>
      <c r="D8" s="7"/>
      <c r="E8" s="7" t="n">
        <v>76.75</v>
      </c>
      <c r="F8" s="8" t="n">
        <v>76.75</v>
      </c>
      <c r="G8" s="8" t="n">
        <v>57.56</v>
      </c>
      <c r="H8" s="8" t="n">
        <v>19.19</v>
      </c>
      <c r="I8" s="8" t="n">
        <v>34.38</v>
      </c>
      <c r="J8" s="8"/>
      <c r="K8" s="18"/>
      <c r="L8" s="8"/>
      <c r="M8" s="8"/>
      <c r="N8" s="8"/>
      <c r="O8" s="8"/>
      <c r="P8" s="8"/>
      <c r="Q8" s="18"/>
      <c r="R8" s="4" t="s">
        <v>99</v>
      </c>
      <c r="S8" s="25" t="s">
        <v>484</v>
      </c>
      <c r="T8" s="22" t="s">
        <v>474</v>
      </c>
    </row>
    <row r="9" customFormat="false" ht="15" hidden="false" customHeight="false" outlineLevel="0" collapsed="false">
      <c r="A9" s="19" t="s">
        <v>470</v>
      </c>
      <c r="B9" s="19" t="s">
        <v>485</v>
      </c>
      <c r="C9" s="6" t="s">
        <v>486</v>
      </c>
      <c r="D9" s="7"/>
      <c r="E9" s="7" t="n">
        <v>76.17</v>
      </c>
      <c r="F9" s="8" t="n">
        <v>76.17</v>
      </c>
      <c r="G9" s="8" t="n">
        <v>57.13</v>
      </c>
      <c r="H9" s="8" t="n">
        <v>19.04</v>
      </c>
      <c r="I9" s="8" t="n">
        <v>34.38</v>
      </c>
      <c r="J9" s="8"/>
      <c r="K9" s="18"/>
      <c r="L9" s="8"/>
      <c r="M9" s="8"/>
      <c r="N9" s="8"/>
      <c r="O9" s="8"/>
      <c r="P9" s="8"/>
      <c r="Q9" s="18"/>
      <c r="R9" s="4" t="s">
        <v>99</v>
      </c>
      <c r="S9" s="25" t="s">
        <v>487</v>
      </c>
      <c r="T9" s="22" t="s">
        <v>478</v>
      </c>
    </row>
    <row r="10" customFormat="false" ht="15" hidden="false" customHeight="false" outlineLevel="0" collapsed="false">
      <c r="A10" s="19" t="s">
        <v>488</v>
      </c>
      <c r="B10" s="19" t="s">
        <v>489</v>
      </c>
      <c r="C10" s="6" t="s">
        <v>489</v>
      </c>
      <c r="D10" s="7"/>
      <c r="E10" s="7" t="n">
        <v>41</v>
      </c>
      <c r="F10" s="8" t="n">
        <v>41</v>
      </c>
      <c r="G10" s="8"/>
      <c r="H10" s="8"/>
      <c r="I10" s="8"/>
      <c r="J10" s="8"/>
      <c r="K10" s="18" t="n">
        <v>26</v>
      </c>
      <c r="L10" s="8" t="n">
        <v>61.7</v>
      </c>
      <c r="M10" s="8"/>
      <c r="N10" s="8"/>
      <c r="O10" s="8" t="n">
        <v>42.86</v>
      </c>
      <c r="P10" s="8" t="n">
        <v>12.01</v>
      </c>
      <c r="Q10" s="18"/>
      <c r="R10" s="4" t="s">
        <v>99</v>
      </c>
      <c r="S10" s="25" t="s">
        <v>490</v>
      </c>
      <c r="T10" s="22" t="s">
        <v>491</v>
      </c>
    </row>
    <row r="11" customFormat="false" ht="22.35" hidden="false" customHeight="false" outlineLevel="0" collapsed="false">
      <c r="A11" s="19" t="s">
        <v>492</v>
      </c>
      <c r="B11" s="19" t="s">
        <v>493</v>
      </c>
      <c r="C11" s="6" t="s">
        <v>493</v>
      </c>
      <c r="D11" s="7"/>
      <c r="E11" s="7" t="n">
        <v>561.75</v>
      </c>
      <c r="F11" s="8"/>
      <c r="G11" s="8"/>
      <c r="H11" s="8"/>
      <c r="I11" s="8"/>
      <c r="J11" s="8" t="n">
        <v>427.25</v>
      </c>
      <c r="K11" s="18"/>
      <c r="L11" s="8" t="n">
        <v>99.92</v>
      </c>
      <c r="M11" s="8" t="n">
        <v>131.48</v>
      </c>
      <c r="N11" s="8" t="n">
        <v>561.75</v>
      </c>
      <c r="O11" s="8"/>
      <c r="P11" s="8"/>
      <c r="Q11" s="18"/>
      <c r="R11" s="4" t="s">
        <v>99</v>
      </c>
      <c r="S11" s="25" t="s">
        <v>494</v>
      </c>
      <c r="T11" s="22" t="s">
        <v>495</v>
      </c>
    </row>
    <row r="12" customFormat="false" ht="22.35" hidden="false" customHeight="false" outlineLevel="0" collapsed="false">
      <c r="A12" s="19" t="s">
        <v>492</v>
      </c>
      <c r="B12" s="19" t="s">
        <v>496</v>
      </c>
      <c r="C12" s="6" t="s">
        <v>496</v>
      </c>
      <c r="D12" s="7"/>
      <c r="E12" s="7" t="n">
        <v>474.22</v>
      </c>
      <c r="F12" s="8"/>
      <c r="G12" s="8"/>
      <c r="H12" s="8"/>
      <c r="I12" s="8"/>
      <c r="J12" s="8" t="n">
        <v>356.66</v>
      </c>
      <c r="K12" s="18"/>
      <c r="L12" s="8" t="n">
        <v>87.17</v>
      </c>
      <c r="M12" s="8" t="n">
        <v>113.02</v>
      </c>
      <c r="N12" s="8" t="n">
        <v>474.22</v>
      </c>
      <c r="O12" s="8"/>
      <c r="P12" s="8"/>
      <c r="Q12" s="18"/>
      <c r="R12" s="4" t="s">
        <v>99</v>
      </c>
      <c r="S12" s="25" t="s">
        <v>497</v>
      </c>
      <c r="T12" s="22" t="s">
        <v>495</v>
      </c>
    </row>
    <row r="13" customFormat="false" ht="22.35" hidden="false" customHeight="false" outlineLevel="0" collapsed="false">
      <c r="A13" s="19" t="s">
        <v>492</v>
      </c>
      <c r="B13" s="19" t="s">
        <v>498</v>
      </c>
      <c r="C13" s="6" t="s">
        <v>498</v>
      </c>
      <c r="D13" s="7"/>
      <c r="E13" s="7" t="n">
        <v>230.61</v>
      </c>
      <c r="F13" s="8"/>
      <c r="G13" s="8"/>
      <c r="H13" s="8"/>
      <c r="I13" s="8"/>
      <c r="J13" s="8" t="n">
        <v>176.29</v>
      </c>
      <c r="K13" s="18"/>
      <c r="L13" s="8" t="n">
        <v>123.12</v>
      </c>
      <c r="M13" s="8" t="n">
        <v>57.56</v>
      </c>
      <c r="N13" s="8" t="n">
        <v>230.61</v>
      </c>
      <c r="O13" s="8"/>
      <c r="P13" s="8"/>
      <c r="Q13" s="18"/>
      <c r="R13" s="4" t="s">
        <v>99</v>
      </c>
      <c r="S13" s="25" t="s">
        <v>499</v>
      </c>
      <c r="T13" s="22" t="s">
        <v>495</v>
      </c>
    </row>
    <row r="14" customFormat="false" ht="22.35" hidden="false" customHeight="false" outlineLevel="0" collapsed="false">
      <c r="A14" s="19" t="s">
        <v>492</v>
      </c>
      <c r="B14" s="19" t="s">
        <v>500</v>
      </c>
      <c r="C14" s="6" t="s">
        <v>500</v>
      </c>
      <c r="D14" s="7"/>
      <c r="E14" s="7" t="n">
        <v>118.52</v>
      </c>
      <c r="F14" s="8"/>
      <c r="G14" s="8"/>
      <c r="H14" s="8"/>
      <c r="I14" s="8"/>
      <c r="J14" s="8" t="n">
        <v>91.27</v>
      </c>
      <c r="K14" s="18"/>
      <c r="L14" s="8" t="n">
        <v>101.02</v>
      </c>
      <c r="M14" s="8"/>
      <c r="N14" s="8" t="n">
        <v>118.52</v>
      </c>
      <c r="O14" s="8"/>
      <c r="P14" s="8"/>
      <c r="Q14" s="18"/>
      <c r="R14" s="4" t="s">
        <v>99</v>
      </c>
      <c r="S14" s="25" t="s">
        <v>501</v>
      </c>
      <c r="T14" s="22" t="s">
        <v>495</v>
      </c>
    </row>
    <row r="15" customFormat="false" ht="22.35" hidden="false" customHeight="false" outlineLevel="0" collapsed="false">
      <c r="A15" s="19" t="s">
        <v>492</v>
      </c>
      <c r="B15" s="19" t="s">
        <v>502</v>
      </c>
      <c r="C15" s="6" t="s">
        <v>502</v>
      </c>
      <c r="D15" s="7"/>
      <c r="E15" s="7" t="n">
        <v>383.28</v>
      </c>
      <c r="F15" s="8"/>
      <c r="G15" s="8"/>
      <c r="H15" s="8"/>
      <c r="I15" s="8"/>
      <c r="J15" s="8" t="n">
        <v>288.92</v>
      </c>
      <c r="K15" s="18"/>
      <c r="L15" s="8" t="n">
        <v>411.24</v>
      </c>
      <c r="M15" s="8"/>
      <c r="N15" s="8" t="n">
        <v>383.28</v>
      </c>
      <c r="O15" s="8"/>
      <c r="P15" s="8"/>
      <c r="Q15" s="18"/>
      <c r="R15" s="4" t="s">
        <v>99</v>
      </c>
      <c r="S15" s="25" t="s">
        <v>503</v>
      </c>
      <c r="T15" s="22" t="s">
        <v>504</v>
      </c>
    </row>
    <row r="16" customFormat="false" ht="15" hidden="false" customHeight="false" outlineLevel="0" collapsed="false">
      <c r="A16" s="23"/>
      <c r="B16" s="23"/>
      <c r="C16" s="23" t="s">
        <v>505</v>
      </c>
      <c r="D16" s="24" t="n">
        <f aca="false">SUM(D5:D15)</f>
        <v>0</v>
      </c>
      <c r="E16" s="24" t="n">
        <f aca="false">SUM(E5:E15)</f>
        <v>2768.32</v>
      </c>
      <c r="F16" s="24" t="n">
        <f aca="false">SUM(F5:F15)</f>
        <v>999.94</v>
      </c>
      <c r="G16" s="24" t="n">
        <f aca="false">SUM(G5:G15)</f>
        <v>719.21</v>
      </c>
      <c r="H16" s="24" t="n">
        <f aca="false">SUM(H5:H15)</f>
        <v>239.74</v>
      </c>
      <c r="I16" s="24" t="n">
        <f aca="false">SUM(I5:I15)</f>
        <v>316.26</v>
      </c>
      <c r="J16" s="24" t="n">
        <f aca="false">SUM(J5:J15)</f>
        <v>1340.39</v>
      </c>
      <c r="K16" s="24" t="n">
        <f aca="false">SUM(K5:K15)</f>
        <v>26</v>
      </c>
      <c r="L16" s="24" t="n">
        <f aca="false">SUM(L5:L15)</f>
        <v>884.17</v>
      </c>
      <c r="M16" s="24" t="n">
        <f aca="false">SUM(M5:M15)</f>
        <v>302.06</v>
      </c>
      <c r="N16" s="24" t="n">
        <f aca="false">SUM(N5:N15)</f>
        <v>1768.38</v>
      </c>
      <c r="O16" s="24" t="n">
        <f aca="false">SUM(O5:O15)</f>
        <v>42.86</v>
      </c>
      <c r="P16" s="24" t="n">
        <f aca="false">SUM(P5:P15)</f>
        <v>12.01</v>
      </c>
      <c r="Q16" s="24" t="n">
        <f aca="false">SUM(Q5:Q15)</f>
        <v>1</v>
      </c>
      <c r="R16" s="23"/>
      <c r="S16"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46"/>
    <col collapsed="false" customWidth="true" hidden="false" outlineLevel="0" max="4" min="4" style="0" width="40"/>
    <col collapsed="false" customWidth="true" hidden="false" outlineLevel="0" max="5" min="5" style="0" width="12"/>
    <col collapsed="false" customWidth="true" hidden="false" outlineLevel="0" max="6" min="6" style="0" width="8"/>
    <col collapsed="false" customWidth="true" hidden="false" outlineLevel="0" max="7" min="7" style="0" width="20"/>
  </cols>
  <sheetData>
    <row r="1" customFormat="false" ht="16.15" hidden="false" customHeight="false" outlineLevel="0" collapsed="false">
      <c r="A1" s="1" t="s">
        <v>506</v>
      </c>
    </row>
    <row r="2" customFormat="false" ht="15" hidden="false" customHeight="false" outlineLevel="0" collapsed="false">
      <c r="A2" s="2" t="s">
        <v>507</v>
      </c>
    </row>
    <row r="4" customFormat="false" ht="33.75" hidden="false" customHeight="true" outlineLevel="0" collapsed="false">
      <c r="A4" s="14" t="s">
        <v>454</v>
      </c>
      <c r="B4" s="14" t="s">
        <v>455</v>
      </c>
      <c r="C4" s="14" t="s">
        <v>508</v>
      </c>
      <c r="D4" s="14" t="s">
        <v>509</v>
      </c>
      <c r="E4" s="14" t="s">
        <v>510</v>
      </c>
      <c r="F4" s="14" t="s">
        <v>511</v>
      </c>
      <c r="G4" s="14" t="s">
        <v>468</v>
      </c>
    </row>
    <row r="5" customFormat="false" ht="15" hidden="false" customHeight="false" outlineLevel="0" collapsed="false">
      <c r="A5" s="19" t="s">
        <v>512</v>
      </c>
      <c r="B5" s="19" t="s">
        <v>513</v>
      </c>
      <c r="C5" s="6" t="s">
        <v>513</v>
      </c>
      <c r="D5" s="6" t="s">
        <v>514</v>
      </c>
      <c r="E5" s="8" t="n">
        <v>38.36</v>
      </c>
      <c r="F5" s="19" t="s">
        <v>515</v>
      </c>
      <c r="G5" s="25" t="s">
        <v>516</v>
      </c>
    </row>
    <row r="6" customFormat="false" ht="15" hidden="false" customHeight="false" outlineLevel="0" collapsed="false">
      <c r="A6" s="19" t="s">
        <v>512</v>
      </c>
      <c r="B6" s="19" t="s">
        <v>513</v>
      </c>
      <c r="C6" s="6" t="s">
        <v>513</v>
      </c>
      <c r="D6" s="6" t="s">
        <v>517</v>
      </c>
      <c r="E6" s="8" t="n">
        <v>43</v>
      </c>
      <c r="F6" s="19" t="s">
        <v>518</v>
      </c>
      <c r="G6" s="25" t="s">
        <v>516</v>
      </c>
    </row>
    <row r="7" customFormat="false" ht="15" hidden="false" customHeight="false" outlineLevel="0" collapsed="false">
      <c r="A7" s="19" t="s">
        <v>512</v>
      </c>
      <c r="B7" s="19" t="s">
        <v>513</v>
      </c>
      <c r="C7" s="6" t="s">
        <v>513</v>
      </c>
      <c r="D7" s="6" t="s">
        <v>519</v>
      </c>
      <c r="E7" s="8" t="n">
        <v>18</v>
      </c>
      <c r="F7" s="19" t="s">
        <v>520</v>
      </c>
      <c r="G7" s="25" t="s">
        <v>516</v>
      </c>
    </row>
    <row r="8" customFormat="false" ht="15" hidden="false" customHeight="false" outlineLevel="0" collapsed="false">
      <c r="A8" s="19" t="s">
        <v>521</v>
      </c>
      <c r="B8" s="19" t="s">
        <v>522</v>
      </c>
      <c r="C8" s="6" t="s">
        <v>522</v>
      </c>
      <c r="D8" s="6" t="s">
        <v>523</v>
      </c>
      <c r="E8" s="8" t="n">
        <v>10.67</v>
      </c>
      <c r="F8" s="19" t="s">
        <v>518</v>
      </c>
      <c r="G8" s="25" t="s">
        <v>524</v>
      </c>
    </row>
    <row r="9" customFormat="false" ht="15" hidden="false" customHeight="false" outlineLevel="0" collapsed="false">
      <c r="A9" s="19" t="s">
        <v>521</v>
      </c>
      <c r="B9" s="19" t="s">
        <v>522</v>
      </c>
      <c r="C9" s="6" t="s">
        <v>522</v>
      </c>
      <c r="D9" s="6" t="s">
        <v>525</v>
      </c>
      <c r="E9" s="8" t="n">
        <v>112</v>
      </c>
      <c r="F9" s="19" t="s">
        <v>518</v>
      </c>
      <c r="G9" s="25" t="s">
        <v>524</v>
      </c>
    </row>
    <row r="10" customFormat="false" ht="15" hidden="false" customHeight="false" outlineLevel="0" collapsed="false">
      <c r="A10" s="19" t="s">
        <v>521</v>
      </c>
      <c r="B10" s="19" t="s">
        <v>522</v>
      </c>
      <c r="C10" s="6" t="s">
        <v>522</v>
      </c>
      <c r="D10" s="6" t="s">
        <v>526</v>
      </c>
      <c r="E10" s="8" t="n">
        <v>122.67</v>
      </c>
      <c r="F10" s="19" t="s">
        <v>518</v>
      </c>
      <c r="G10" s="25" t="s">
        <v>524</v>
      </c>
    </row>
    <row r="11" customFormat="false" ht="22.35" hidden="false" customHeight="false" outlineLevel="0" collapsed="false">
      <c r="A11" s="19" t="s">
        <v>521</v>
      </c>
      <c r="B11" s="19" t="s">
        <v>522</v>
      </c>
      <c r="C11" s="6" t="s">
        <v>522</v>
      </c>
      <c r="D11" s="6" t="s">
        <v>527</v>
      </c>
      <c r="E11" s="26" t="s">
        <v>528</v>
      </c>
      <c r="F11" s="19" t="s">
        <v>518</v>
      </c>
      <c r="G11" s="22" t="s">
        <v>529</v>
      </c>
    </row>
    <row r="12" customFormat="false" ht="23.85" hidden="false" customHeight="false" outlineLevel="0" collapsed="false">
      <c r="A12" s="19" t="s">
        <v>530</v>
      </c>
      <c r="B12" s="19" t="s">
        <v>531</v>
      </c>
      <c r="C12" s="6" t="s">
        <v>532</v>
      </c>
      <c r="D12" s="6" t="s">
        <v>533</v>
      </c>
      <c r="E12" s="8" t="n">
        <v>6</v>
      </c>
      <c r="F12" s="19" t="s">
        <v>518</v>
      </c>
      <c r="G12" s="25" t="s">
        <v>534</v>
      </c>
    </row>
    <row r="13" customFormat="false" ht="15" hidden="false" customHeight="false" outlineLevel="0" collapsed="false">
      <c r="A13" s="19" t="s">
        <v>530</v>
      </c>
      <c r="B13" s="19" t="s">
        <v>535</v>
      </c>
      <c r="C13" s="6" t="s">
        <v>535</v>
      </c>
      <c r="D13" s="6" t="s">
        <v>536</v>
      </c>
      <c r="E13" s="8" t="n">
        <v>100.8</v>
      </c>
      <c r="F13" s="19" t="s">
        <v>515</v>
      </c>
      <c r="G13" s="25" t="s">
        <v>537</v>
      </c>
    </row>
    <row r="14" customFormat="false" ht="15" hidden="false" customHeight="false" outlineLevel="0" collapsed="false">
      <c r="A14" s="19" t="s">
        <v>530</v>
      </c>
      <c r="B14" s="19" t="s">
        <v>535</v>
      </c>
      <c r="C14" s="6" t="s">
        <v>535</v>
      </c>
      <c r="D14" s="6" t="s">
        <v>538</v>
      </c>
      <c r="E14" s="8" t="n">
        <v>100.8</v>
      </c>
      <c r="F14" s="19" t="s">
        <v>515</v>
      </c>
      <c r="G14" s="25" t="s">
        <v>537</v>
      </c>
    </row>
    <row r="15" customFormat="false" ht="23.85" hidden="false" customHeight="false" outlineLevel="0" collapsed="false">
      <c r="A15" s="19" t="s">
        <v>530</v>
      </c>
      <c r="B15" s="19" t="s">
        <v>539</v>
      </c>
      <c r="C15" s="6" t="s">
        <v>540</v>
      </c>
      <c r="D15" s="6" t="s">
        <v>541</v>
      </c>
      <c r="E15" s="8" t="n">
        <v>141.81</v>
      </c>
      <c r="F15" s="19" t="s">
        <v>518</v>
      </c>
      <c r="G15" s="25" t="s">
        <v>542</v>
      </c>
    </row>
    <row r="16" customFormat="false" ht="57.45" hidden="false" customHeight="false" outlineLevel="0" collapsed="false">
      <c r="A16" s="19" t="s">
        <v>543</v>
      </c>
      <c r="B16" s="19" t="s">
        <v>544</v>
      </c>
      <c r="C16" s="6" t="s">
        <v>545</v>
      </c>
      <c r="D16" s="6" t="s">
        <v>546</v>
      </c>
      <c r="E16" s="8" t="n">
        <v>4</v>
      </c>
      <c r="F16" s="19" t="s">
        <v>518</v>
      </c>
      <c r="G16" s="25" t="s">
        <v>547</v>
      </c>
    </row>
    <row r="17" customFormat="false" ht="57.45" hidden="false" customHeight="false" outlineLevel="0" collapsed="false">
      <c r="A17" s="19" t="s">
        <v>543</v>
      </c>
      <c r="B17" s="19" t="s">
        <v>544</v>
      </c>
      <c r="C17" s="6" t="s">
        <v>545</v>
      </c>
      <c r="D17" s="6" t="s">
        <v>548</v>
      </c>
      <c r="E17" s="26" t="s">
        <v>528</v>
      </c>
      <c r="F17" s="19" t="s">
        <v>518</v>
      </c>
      <c r="G17" s="22" t="s">
        <v>529</v>
      </c>
    </row>
    <row r="18" customFormat="false" ht="57.45" hidden="false" customHeight="false" outlineLevel="0" collapsed="false">
      <c r="A18" s="19" t="s">
        <v>543</v>
      </c>
      <c r="B18" s="19" t="s">
        <v>544</v>
      </c>
      <c r="C18" s="6" t="s">
        <v>545</v>
      </c>
      <c r="D18" s="6" t="s">
        <v>549</v>
      </c>
      <c r="E18" s="26" t="s">
        <v>528</v>
      </c>
      <c r="F18" s="19" t="s">
        <v>515</v>
      </c>
      <c r="G18" s="22" t="s">
        <v>529</v>
      </c>
    </row>
    <row r="19" customFormat="false" ht="57.45" hidden="false" customHeight="false" outlineLevel="0" collapsed="false">
      <c r="A19" s="19" t="s">
        <v>543</v>
      </c>
      <c r="B19" s="19" t="s">
        <v>544</v>
      </c>
      <c r="C19" s="6" t="s">
        <v>545</v>
      </c>
      <c r="D19" s="6" t="s">
        <v>550</v>
      </c>
      <c r="E19" s="26" t="s">
        <v>528</v>
      </c>
      <c r="F19" s="19" t="s">
        <v>518</v>
      </c>
      <c r="G19" s="22" t="s">
        <v>529</v>
      </c>
    </row>
    <row r="20" customFormat="false" ht="23.85" hidden="false" customHeight="false" outlineLevel="0" collapsed="false">
      <c r="A20" s="19" t="s">
        <v>543</v>
      </c>
      <c r="B20" s="19" t="s">
        <v>551</v>
      </c>
      <c r="C20" s="6" t="s">
        <v>552</v>
      </c>
      <c r="D20" s="6" t="s">
        <v>536</v>
      </c>
      <c r="E20" s="8" t="n">
        <v>112.94</v>
      </c>
      <c r="F20" s="19" t="s">
        <v>515</v>
      </c>
      <c r="G20" s="25" t="s">
        <v>553</v>
      </c>
    </row>
    <row r="21" customFormat="false" ht="23.85" hidden="false" customHeight="false" outlineLevel="0" collapsed="false">
      <c r="A21" s="19" t="s">
        <v>543</v>
      </c>
      <c r="B21" s="19" t="s">
        <v>551</v>
      </c>
      <c r="C21" s="6" t="s">
        <v>552</v>
      </c>
      <c r="D21" s="6" t="s">
        <v>538</v>
      </c>
      <c r="E21" s="8" t="n">
        <v>112.94</v>
      </c>
      <c r="F21" s="19" t="s">
        <v>515</v>
      </c>
      <c r="G21" s="25" t="s">
        <v>553</v>
      </c>
    </row>
    <row r="22" customFormat="false" ht="15" hidden="false" customHeight="false" outlineLevel="0" collapsed="false">
      <c r="A22" s="19" t="s">
        <v>554</v>
      </c>
      <c r="B22" s="19" t="s">
        <v>555</v>
      </c>
      <c r="C22" s="6" t="s">
        <v>556</v>
      </c>
      <c r="D22" s="6" t="s">
        <v>557</v>
      </c>
      <c r="E22" s="8" t="n">
        <v>13.5</v>
      </c>
      <c r="F22" s="19" t="s">
        <v>518</v>
      </c>
      <c r="G22" s="25" t="s">
        <v>558</v>
      </c>
    </row>
    <row r="23" customFormat="false" ht="15" hidden="false" customHeight="false" outlineLevel="0" collapsed="false">
      <c r="A23" s="19" t="s">
        <v>554</v>
      </c>
      <c r="B23" s="19" t="s">
        <v>559</v>
      </c>
      <c r="C23" s="6" t="s">
        <v>560</v>
      </c>
      <c r="D23" s="6" t="s">
        <v>557</v>
      </c>
      <c r="E23" s="8" t="n">
        <v>8.22</v>
      </c>
      <c r="F23" s="19" t="s">
        <v>518</v>
      </c>
      <c r="G23" s="25" t="s">
        <v>561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8"/>
    <col collapsed="false" customWidth="true" hidden="false" outlineLevel="0" max="3" min="3" style="0" width="13"/>
    <col collapsed="false" customWidth="true" hidden="false" outlineLevel="0" max="4" min="4" style="0" width="10"/>
    <col collapsed="false" customWidth="true" hidden="false" outlineLevel="0" max="5" min="5" style="0" width="12"/>
    <col collapsed="false" customWidth="true" hidden="false" outlineLevel="0" max="6" min="6" style="0" width="13"/>
    <col collapsed="false" customWidth="true" hidden="false" outlineLevel="0" max="7" min="7" style="0" width="22"/>
    <col collapsed="false" customWidth="true" hidden="false" outlineLevel="0" max="8" min="8" style="0" width="13"/>
    <col collapsed="false" customWidth="true" hidden="false" outlineLevel="0" max="9" min="9" style="0" width="62"/>
  </cols>
  <sheetData>
    <row r="1" customFormat="false" ht="16.15" hidden="false" customHeight="false" outlineLevel="0" collapsed="false">
      <c r="A1" s="1" t="s">
        <v>562</v>
      </c>
    </row>
    <row r="2" customFormat="false" ht="15" hidden="false" customHeight="false" outlineLevel="0" collapsed="false">
      <c r="A2" s="2" t="s">
        <v>563</v>
      </c>
    </row>
    <row r="4" customFormat="false" ht="33.75" hidden="false" customHeight="true" outlineLevel="0" collapsed="false">
      <c r="A4" s="14" t="s">
        <v>564</v>
      </c>
      <c r="B4" s="14" t="s">
        <v>511</v>
      </c>
      <c r="C4" s="14" t="s">
        <v>565</v>
      </c>
      <c r="D4" s="14" t="s">
        <v>566</v>
      </c>
      <c r="E4" s="14" t="s">
        <v>567</v>
      </c>
      <c r="F4" s="14" t="s">
        <v>568</v>
      </c>
      <c r="G4" s="14" t="s">
        <v>569</v>
      </c>
      <c r="H4" s="14" t="s">
        <v>570</v>
      </c>
      <c r="I4" s="14" t="s">
        <v>571</v>
      </c>
    </row>
    <row r="5" customFormat="false" ht="15" hidden="false" customHeight="false" outlineLevel="0" collapsed="false">
      <c r="A5" s="15" t="s">
        <v>572</v>
      </c>
      <c r="B5" s="16"/>
      <c r="C5" s="16"/>
      <c r="D5" s="16"/>
      <c r="E5" s="16"/>
      <c r="F5" s="16"/>
      <c r="G5" s="16"/>
      <c r="H5" s="16"/>
      <c r="I5" s="16"/>
    </row>
    <row r="6" customFormat="false" ht="22.35" hidden="false" customHeight="false" outlineLevel="0" collapsed="false">
      <c r="A6" s="6" t="s">
        <v>573</v>
      </c>
      <c r="B6" s="19" t="s">
        <v>518</v>
      </c>
      <c r="C6" s="21" t="n">
        <f aca="false">'Partition Takeoff'!H86</f>
        <v>5486.56</v>
      </c>
      <c r="D6" s="27" t="n">
        <f aca="false">Inputs!$B$5</f>
        <v>0.15</v>
      </c>
      <c r="E6" s="8" t="n">
        <f aca="false">C6*D6</f>
        <v>822.984</v>
      </c>
      <c r="F6" s="28" t="n">
        <f aca="false">C6+E6</f>
        <v>6309.544</v>
      </c>
      <c r="G6" s="19" t="str">
        <f aca="false">"stick "&amp;TEXT(Inputs!$B$10,"0")&amp;" ft"</f>
        <v>stick 20 ft</v>
      </c>
      <c r="H6" s="17" t="n">
        <f aca="false">CEILING(F6/Inputs!$B$10,1)</f>
        <v>316</v>
      </c>
      <c r="I6" s="22" t="s">
        <v>574</v>
      </c>
    </row>
    <row r="7" customFormat="false" ht="53.7" hidden="false" customHeight="false" outlineLevel="0" collapsed="false">
      <c r="A7" s="6" t="s">
        <v>575</v>
      </c>
      <c r="B7" s="19" t="s">
        <v>518</v>
      </c>
      <c r="C7" s="21" t="n">
        <f aca="false">SUMIFS('Partition Takeoff'!$AL$5:$AL$85,'Partition Takeoff'!$F$5:$F$85,"6"" 54mil")</f>
        <v>973.34</v>
      </c>
      <c r="D7" s="27" t="n">
        <f aca="false">Inputs!$B$5</f>
        <v>0.15</v>
      </c>
      <c r="E7" s="8" t="n">
        <f aca="false">C7*D7</f>
        <v>146.001</v>
      </c>
      <c r="F7" s="28" t="n">
        <f aca="false">C7+E7</f>
        <v>1119.341</v>
      </c>
      <c r="G7" s="19" t="str">
        <f aca="false">"stick "&amp;TEXT(Inputs!$B$10,"0")&amp;" ft"</f>
        <v>stick 20 ft</v>
      </c>
      <c r="H7" s="17" t="n">
        <f aca="false">CEILING(F7/Inputs!$B$10,1)</f>
        <v>56</v>
      </c>
      <c r="I7" s="22" t="s">
        <v>576</v>
      </c>
    </row>
    <row r="8" customFormat="false" ht="22.35" hidden="false" customHeight="false" outlineLevel="0" collapsed="false">
      <c r="A8" s="6" t="s">
        <v>577</v>
      </c>
      <c r="B8" s="19" t="s">
        <v>518</v>
      </c>
      <c r="C8" s="21" t="n">
        <f aca="false">'Partition Takeoff'!I86+'Ceilings &amp; Soffits'!J16</f>
        <v>4928.59</v>
      </c>
      <c r="D8" s="27" t="n">
        <f aca="false">Inputs!$B$5</f>
        <v>0.15</v>
      </c>
      <c r="E8" s="8" t="n">
        <f aca="false">C8*D8</f>
        <v>739.2885</v>
      </c>
      <c r="F8" s="28" t="n">
        <f aca="false">C8+E8</f>
        <v>5667.8785</v>
      </c>
      <c r="G8" s="19" t="str">
        <f aca="false">"stick "&amp;TEXT(Inputs!$B$10,"0")&amp;" ft"</f>
        <v>stick 20 ft</v>
      </c>
      <c r="H8" s="17" t="n">
        <f aca="false">CEILING(F8/Inputs!$B$10,1)</f>
        <v>284</v>
      </c>
      <c r="I8" s="22" t="s">
        <v>578</v>
      </c>
    </row>
    <row r="9" customFormat="false" ht="22.35" hidden="false" customHeight="false" outlineLevel="0" collapsed="false">
      <c r="A9" s="6" t="s">
        <v>579</v>
      </c>
      <c r="B9" s="19" t="s">
        <v>518</v>
      </c>
      <c r="C9" s="21" t="n">
        <f aca="false">'Partition Takeoff'!J86</f>
        <v>4547.72</v>
      </c>
      <c r="D9" s="27" t="n">
        <f aca="false">Inputs!$B$5</f>
        <v>0.15</v>
      </c>
      <c r="E9" s="8" t="n">
        <f aca="false">C9*D9</f>
        <v>682.158</v>
      </c>
      <c r="F9" s="28" t="n">
        <f aca="false">C9+E9</f>
        <v>5229.878</v>
      </c>
      <c r="G9" s="19" t="str">
        <f aca="false">"stick "&amp;TEXT(Inputs!$B$10,"0")&amp;" ft"</f>
        <v>stick 20 ft</v>
      </c>
      <c r="H9" s="17" t="n">
        <f aca="false">CEILING(F9/Inputs!$B$10,1)</f>
        <v>262</v>
      </c>
      <c r="I9" s="22" t="s">
        <v>580</v>
      </c>
    </row>
    <row r="10" customFormat="false" ht="22.35" hidden="false" customHeight="false" outlineLevel="0" collapsed="false">
      <c r="A10" s="6" t="s">
        <v>581</v>
      </c>
      <c r="B10" s="19" t="s">
        <v>518</v>
      </c>
      <c r="C10" s="21" t="n">
        <f aca="false">SUMIFS('Partition Takeoff'!$Q$5:$Q$85,'Partition Takeoff'!$F$5:$F$85,"6""")</f>
        <v>293.04</v>
      </c>
      <c r="D10" s="27" t="n">
        <f aca="false">Inputs!$B$5</f>
        <v>0.15</v>
      </c>
      <c r="E10" s="8" t="n">
        <f aca="false">C10*D10</f>
        <v>43.956</v>
      </c>
      <c r="F10" s="28" t="n">
        <f aca="false">C10+E10</f>
        <v>336.996</v>
      </c>
      <c r="G10" s="19" t="str">
        <f aca="false">"run "&amp;TEXT(Inputs!$B$11,"0")&amp;" ft"</f>
        <v>run 10 ft</v>
      </c>
      <c r="H10" s="17" t="n">
        <f aca="false">CEILING(F10/Inputs!$B$11,1)</f>
        <v>34</v>
      </c>
      <c r="I10" s="22" t="s">
        <v>582</v>
      </c>
    </row>
    <row r="11" customFormat="false" ht="15" hidden="false" customHeight="false" outlineLevel="0" collapsed="false">
      <c r="A11" s="6" t="s">
        <v>583</v>
      </c>
      <c r="B11" s="19" t="s">
        <v>518</v>
      </c>
      <c r="C11" s="21" t="n">
        <f aca="false">SUMIFS('Partition Takeoff'!$Q$5:$Q$85,'Partition Takeoff'!$F$5:$F$85,"3-5/8""")</f>
        <v>227.482</v>
      </c>
      <c r="D11" s="27" t="n">
        <f aca="false">Inputs!$B$5</f>
        <v>0.15</v>
      </c>
      <c r="E11" s="8" t="n">
        <f aca="false">C11*D11</f>
        <v>34.1223</v>
      </c>
      <c r="F11" s="28" t="n">
        <f aca="false">C11+E11</f>
        <v>261.6043</v>
      </c>
      <c r="G11" s="19" t="str">
        <f aca="false">"run "&amp;TEXT(Inputs!$B$11,"0")&amp;" ft"</f>
        <v>run 10 ft</v>
      </c>
      <c r="H11" s="17" t="n">
        <f aca="false">CEILING(F11/Inputs!$B$11,1)</f>
        <v>27</v>
      </c>
      <c r="I11" s="22" t="s">
        <v>584</v>
      </c>
    </row>
    <row r="12" customFormat="false" ht="22.35" hidden="false" customHeight="false" outlineLevel="0" collapsed="false">
      <c r="A12" s="6" t="s">
        <v>585</v>
      </c>
      <c r="B12" s="19" t="s">
        <v>518</v>
      </c>
      <c r="C12" s="21" t="n">
        <f aca="false">SUMIFS('Partition Takeoff'!$Q$5:$Q$85,'Partition Takeoff'!$F$5:$F$85,"6"" 54mil")</f>
        <v>217.64</v>
      </c>
      <c r="D12" s="27" t="n">
        <f aca="false">Inputs!$B$5</f>
        <v>0.15</v>
      </c>
      <c r="E12" s="8" t="n">
        <f aca="false">C12*D12</f>
        <v>32.646</v>
      </c>
      <c r="F12" s="28" t="n">
        <f aca="false">C12+E12</f>
        <v>250.286</v>
      </c>
      <c r="G12" s="19" t="str">
        <f aca="false">"run "&amp;TEXT(Inputs!$B$11,"0")&amp;" ft"</f>
        <v>run 10 ft</v>
      </c>
      <c r="H12" s="17" t="n">
        <f aca="false">CEILING(F12/Inputs!$B$11,1)</f>
        <v>26</v>
      </c>
      <c r="I12" s="22" t="s">
        <v>586</v>
      </c>
    </row>
    <row r="13" customFormat="false" ht="22.35" hidden="false" customHeight="false" outlineLevel="0" collapsed="false">
      <c r="A13" s="6" t="s">
        <v>587</v>
      </c>
      <c r="B13" s="19" t="s">
        <v>518</v>
      </c>
      <c r="C13" s="21" t="n">
        <f aca="false">SUMIFS('Partition Takeoff'!$R$5:$R$85,'Partition Takeoff'!$F$5:$F$85,"6"" 54mil")</f>
        <v>217.64</v>
      </c>
      <c r="D13" s="27" t="n">
        <f aca="false">Inputs!$B$5</f>
        <v>0.15</v>
      </c>
      <c r="E13" s="8" t="n">
        <f aca="false">C13*D13</f>
        <v>32.646</v>
      </c>
      <c r="F13" s="28" t="n">
        <f aca="false">C13+E13</f>
        <v>250.286</v>
      </c>
      <c r="G13" s="19" t="str">
        <f aca="false">"run "&amp;TEXT(Inputs!$B$11,"0")&amp;" ft"</f>
        <v>run 10 ft</v>
      </c>
      <c r="H13" s="17" t="n">
        <f aca="false">CEILING(F13/Inputs!$B$11,1)</f>
        <v>26</v>
      </c>
      <c r="I13" s="22" t="s">
        <v>588</v>
      </c>
    </row>
    <row r="14" customFormat="false" ht="15" hidden="false" customHeight="false" outlineLevel="0" collapsed="false">
      <c r="A14" s="6" t="s">
        <v>589</v>
      </c>
      <c r="B14" s="19" t="s">
        <v>518</v>
      </c>
      <c r="C14" s="21" t="n">
        <f aca="false">SUMIFS('Partition Takeoff'!$Q$5:$Q$85,'Partition Takeoff'!$F$5:$F$85,"1-5/8""")</f>
        <v>285.97</v>
      </c>
      <c r="D14" s="27" t="n">
        <f aca="false">Inputs!$B$5</f>
        <v>0.15</v>
      </c>
      <c r="E14" s="8" t="n">
        <f aca="false">C14*D14</f>
        <v>42.8955</v>
      </c>
      <c r="F14" s="28" t="n">
        <f aca="false">C14+E14</f>
        <v>328.8655</v>
      </c>
      <c r="G14" s="19" t="str">
        <f aca="false">"run "&amp;TEXT(Inputs!$B$11,"0")&amp;" ft"</f>
        <v>run 10 ft</v>
      </c>
      <c r="H14" s="17" t="n">
        <f aca="false">CEILING(F14/Inputs!$B$11,1)</f>
        <v>33</v>
      </c>
      <c r="I14" s="22" t="s">
        <v>584</v>
      </c>
    </row>
    <row r="15" customFormat="false" ht="22.35" hidden="false" customHeight="false" outlineLevel="0" collapsed="false">
      <c r="A15" s="6" t="s">
        <v>590</v>
      </c>
      <c r="B15" s="19" t="s">
        <v>518</v>
      </c>
      <c r="C15" s="21" t="n">
        <f aca="false">SUMIFS('Partition Takeoff'!$R$5:$R$85,'Partition Takeoff'!$F$5:$F$85,"6""")</f>
        <v>293.04</v>
      </c>
      <c r="D15" s="27" t="n">
        <f aca="false">Inputs!$B$5</f>
        <v>0.15</v>
      </c>
      <c r="E15" s="8" t="n">
        <f aca="false">C15*D15</f>
        <v>43.956</v>
      </c>
      <c r="F15" s="28" t="n">
        <f aca="false">C15+E15</f>
        <v>336.996</v>
      </c>
      <c r="G15" s="19" t="str">
        <f aca="false">"run "&amp;TEXT(Inputs!$B$11,"0")&amp;" ft"</f>
        <v>run 10 ft</v>
      </c>
      <c r="H15" s="17" t="n">
        <f aca="false">CEILING(F15/Inputs!$B$11,1)</f>
        <v>34</v>
      </c>
      <c r="I15" s="22" t="s">
        <v>591</v>
      </c>
    </row>
    <row r="16" customFormat="false" ht="15" hidden="false" customHeight="false" outlineLevel="0" collapsed="false">
      <c r="A16" s="6" t="s">
        <v>592</v>
      </c>
      <c r="B16" s="19" t="s">
        <v>518</v>
      </c>
      <c r="C16" s="21" t="n">
        <f aca="false">SUMIFS('Partition Takeoff'!$R$5:$R$85,'Partition Takeoff'!$F$5:$F$85,"3-5/8""")</f>
        <v>227.482</v>
      </c>
      <c r="D16" s="27" t="n">
        <f aca="false">Inputs!$B$5</f>
        <v>0.15</v>
      </c>
      <c r="E16" s="8" t="n">
        <f aca="false">C16*D16</f>
        <v>34.1223</v>
      </c>
      <c r="F16" s="28" t="n">
        <f aca="false">C16+E16</f>
        <v>261.6043</v>
      </c>
      <c r="G16" s="19" t="str">
        <f aca="false">"run "&amp;TEXT(Inputs!$B$11,"0")&amp;" ft"</f>
        <v>run 10 ft</v>
      </c>
      <c r="H16" s="17" t="n">
        <f aca="false">CEILING(F16/Inputs!$B$11,1)</f>
        <v>27</v>
      </c>
      <c r="I16" s="22" t="s">
        <v>584</v>
      </c>
    </row>
    <row r="17" customFormat="false" ht="15" hidden="false" customHeight="false" outlineLevel="0" collapsed="false">
      <c r="A17" s="6" t="s">
        <v>593</v>
      </c>
      <c r="B17" s="19" t="s">
        <v>518</v>
      </c>
      <c r="C17" s="21" t="n">
        <f aca="false">SUMIFS('Partition Takeoff'!$R$5:$R$85,'Partition Takeoff'!$F$5:$F$85,"1-5/8""")</f>
        <v>285.97</v>
      </c>
      <c r="D17" s="27" t="n">
        <f aca="false">Inputs!$B$5</f>
        <v>0.15</v>
      </c>
      <c r="E17" s="8" t="n">
        <f aca="false">C17*D17</f>
        <v>42.8955</v>
      </c>
      <c r="F17" s="28" t="n">
        <f aca="false">C17+E17</f>
        <v>328.8655</v>
      </c>
      <c r="G17" s="19" t="str">
        <f aca="false">"run "&amp;TEXT(Inputs!$B$11,"0")&amp;" ft"</f>
        <v>run 10 ft</v>
      </c>
      <c r="H17" s="17" t="n">
        <f aca="false">CEILING(F17/Inputs!$B$11,1)</f>
        <v>33</v>
      </c>
      <c r="I17" s="22" t="s">
        <v>584</v>
      </c>
    </row>
    <row r="18" customFormat="false" ht="22.35" hidden="false" customHeight="false" outlineLevel="0" collapsed="false">
      <c r="A18" s="6" t="s">
        <v>594</v>
      </c>
      <c r="B18" s="19" t="s">
        <v>518</v>
      </c>
      <c r="C18" s="21" t="n">
        <f aca="false">'Ceilings &amp; Soffits'!L16</f>
        <v>884.17</v>
      </c>
      <c r="D18" s="27" t="n">
        <f aca="false">Inputs!$B$5</f>
        <v>0.15</v>
      </c>
      <c r="E18" s="8" t="n">
        <f aca="false">C18*D18</f>
        <v>132.6255</v>
      </c>
      <c r="F18" s="28" t="n">
        <f aca="false">C18+E18</f>
        <v>1016.7955</v>
      </c>
      <c r="G18" s="19" t="str">
        <f aca="false">"run "&amp;TEXT(Inputs!$B$11,"0")&amp;" ft"</f>
        <v>run 10 ft</v>
      </c>
      <c r="H18" s="17" t="n">
        <f aca="false">CEILING(F18/Inputs!$B$11,1)</f>
        <v>102</v>
      </c>
      <c r="I18" s="22" t="s">
        <v>595</v>
      </c>
    </row>
    <row r="19" customFormat="false" ht="22.35" hidden="false" customHeight="false" outlineLevel="0" collapsed="false">
      <c r="A19" s="6" t="s">
        <v>596</v>
      </c>
      <c r="B19" s="19" t="s">
        <v>518</v>
      </c>
      <c r="C19" s="21" t="n">
        <f aca="false">'Partition Takeoff'!S86+'Ceilings &amp; Soffits'!M16</f>
        <v>2557.43</v>
      </c>
      <c r="D19" s="27" t="n">
        <f aca="false">Inputs!$B$5</f>
        <v>0.15</v>
      </c>
      <c r="E19" s="8" t="n">
        <f aca="false">C19*D19</f>
        <v>383.6145</v>
      </c>
      <c r="F19" s="28" t="n">
        <f aca="false">C19+E19</f>
        <v>2941.0445</v>
      </c>
      <c r="G19" s="19" t="str">
        <f aca="false">"C.R. channel "&amp;TEXT(Inputs!$B$16,"0")&amp;" ft"</f>
        <v>C.R. channel 16 ft</v>
      </c>
      <c r="H19" s="17" t="n">
        <f aca="false">CEILING(F19/Inputs!$B$16,1)</f>
        <v>184</v>
      </c>
      <c r="I19" s="22" t="s">
        <v>597</v>
      </c>
    </row>
    <row r="20" customFormat="false" ht="43.25" hidden="false" customHeight="false" outlineLevel="0" collapsed="false">
      <c r="A20" s="6" t="s">
        <v>598</v>
      </c>
      <c r="B20" s="19" t="s">
        <v>518</v>
      </c>
      <c r="C20" s="21" t="n">
        <f aca="false">'Partition Takeoff'!AM86</f>
        <v>0</v>
      </c>
      <c r="D20" s="27" t="n">
        <f aca="false">Inputs!$B$5</f>
        <v>0.15</v>
      </c>
      <c r="E20" s="8" t="n">
        <f aca="false">C20*D20</f>
        <v>0</v>
      </c>
      <c r="F20" s="28" t="n">
        <f aca="false">C20+E20</f>
        <v>0</v>
      </c>
      <c r="G20" s="19" t="str">
        <f aca="false">"run "&amp;TEXT(Inputs!$B$11,"0")&amp;" ft"</f>
        <v>run 10 ft</v>
      </c>
      <c r="H20" s="17" t="n">
        <f aca="false">CEILING(F20/Inputs!$B$11,1)</f>
        <v>0</v>
      </c>
      <c r="I20" s="22" t="s">
        <v>599</v>
      </c>
    </row>
    <row r="21" customFormat="false" ht="22.35" hidden="false" customHeight="false" outlineLevel="0" collapsed="false">
      <c r="A21" s="6" t="s">
        <v>600</v>
      </c>
      <c r="B21" s="19" t="s">
        <v>518</v>
      </c>
      <c r="C21" s="21" t="n">
        <f aca="false">'Partition Takeoff'!AG86</f>
        <v>221.86</v>
      </c>
      <c r="D21" s="27" t="n">
        <f aca="false">Inputs!$B$5</f>
        <v>0.15</v>
      </c>
      <c r="E21" s="8" t="n">
        <f aca="false">C21*D21</f>
        <v>33.279</v>
      </c>
      <c r="F21" s="28" t="n">
        <f aca="false">C21+E21</f>
        <v>255.139</v>
      </c>
      <c r="G21" s="19" t="str">
        <f aca="false">"stick "&amp;TEXT(Inputs!$B$10,"0")&amp;" ft"</f>
        <v>stick 20 ft</v>
      </c>
      <c r="H21" s="17" t="n">
        <f aca="false">CEILING(F21/Inputs!$B$10,1)</f>
        <v>13</v>
      </c>
      <c r="I21" s="22" t="s">
        <v>601</v>
      </c>
    </row>
    <row r="22" customFormat="false" ht="22.35" hidden="false" customHeight="false" outlineLevel="0" collapsed="false">
      <c r="A22" s="6" t="s">
        <v>602</v>
      </c>
      <c r="B22" s="19" t="s">
        <v>518</v>
      </c>
      <c r="C22" s="21" t="n">
        <f aca="false">'Partition Takeoff'!AH86</f>
        <v>65.09</v>
      </c>
      <c r="D22" s="27" t="n">
        <f aca="false">Inputs!$B$5</f>
        <v>0.15</v>
      </c>
      <c r="E22" s="8" t="n">
        <f aca="false">C22*D22</f>
        <v>9.7635</v>
      </c>
      <c r="F22" s="28" t="n">
        <f aca="false">C22+E22</f>
        <v>74.8535</v>
      </c>
      <c r="G22" s="19" t="str">
        <f aca="false">"run "&amp;TEXT(Inputs!$B$11,"0")&amp;" ft"</f>
        <v>run 10 ft</v>
      </c>
      <c r="H22" s="17" t="n">
        <f aca="false">CEILING(F22/Inputs!$B$11,1)</f>
        <v>8</v>
      </c>
      <c r="I22" s="22" t="s">
        <v>603</v>
      </c>
    </row>
    <row r="23" customFormat="false" ht="22.35" hidden="false" customHeight="false" outlineLevel="0" collapsed="false">
      <c r="A23" s="6" t="s">
        <v>604</v>
      </c>
      <c r="B23" s="19" t="s">
        <v>518</v>
      </c>
      <c r="C23" s="21" t="n">
        <f aca="false">SUMIFS('Other Scope'!$E:$E,'Other Scope'!$D:$D,"FRAMED_OPENING_MEP")+SUMIFS('Other Scope'!$E:$E,'Other Scope'!$D:$D,"FRAMED_OPENING_RANURA")+SUMIFS('Other Scope'!$E:$E,'Other Scope'!$D:$D,"FRAMED_OPENING_DIFUSOR")</f>
        <v>165.67</v>
      </c>
      <c r="D23" s="27" t="n">
        <f aca="false">Inputs!$B$5</f>
        <v>0.15</v>
      </c>
      <c r="E23" s="8" t="n">
        <f aca="false">C23*D23</f>
        <v>24.8505</v>
      </c>
      <c r="F23" s="28" t="n">
        <f aca="false">C23+E23</f>
        <v>190.5205</v>
      </c>
      <c r="G23" s="19" t="str">
        <f aca="false">"stick "&amp;TEXT(Inputs!$B$10,"0")&amp;" ft"</f>
        <v>stick 20 ft</v>
      </c>
      <c r="H23" s="17" t="n">
        <f aca="false">CEILING(F23/Inputs!$B$10,1)</f>
        <v>10</v>
      </c>
      <c r="I23" s="22" t="s">
        <v>605</v>
      </c>
    </row>
    <row r="24" customFormat="false" ht="22.35" hidden="false" customHeight="false" outlineLevel="0" collapsed="false">
      <c r="A24" s="6" t="s">
        <v>606</v>
      </c>
      <c r="B24" s="19" t="s">
        <v>520</v>
      </c>
      <c r="C24" s="21" t="n">
        <f aca="false">SUMIFS('Other Scope'!$E:$E,'Other Scope'!$D:$D,"REFUERZO_STUD_MEP")</f>
        <v>18</v>
      </c>
      <c r="D24" s="27"/>
      <c r="E24" s="8"/>
      <c r="F24" s="28" t="n">
        <f aca="false">C24</f>
        <v>18</v>
      </c>
      <c r="G24" s="19" t="s">
        <v>607</v>
      </c>
      <c r="H24" s="17" t="n">
        <f aca="false">CEILING(F24,1)</f>
        <v>18</v>
      </c>
      <c r="I24" s="22" t="s">
        <v>608</v>
      </c>
    </row>
    <row r="25" customFormat="false" ht="32.8" hidden="false" customHeight="false" outlineLevel="0" collapsed="false">
      <c r="A25" s="6" t="s">
        <v>609</v>
      </c>
      <c r="B25" s="19" t="s">
        <v>520</v>
      </c>
      <c r="C25" s="21" t="n">
        <f aca="false">'Ceilings &amp; Soffits'!K16</f>
        <v>26</v>
      </c>
      <c r="D25" s="27"/>
      <c r="E25" s="8"/>
      <c r="F25" s="28" t="n">
        <f aca="false">C25</f>
        <v>26</v>
      </c>
      <c r="G25" s="19" t="s">
        <v>607</v>
      </c>
      <c r="H25" s="17" t="n">
        <f aca="false">CEILING(F25,1)</f>
        <v>26</v>
      </c>
      <c r="I25" s="22" t="s">
        <v>610</v>
      </c>
    </row>
    <row r="26" customFormat="false" ht="74.6" hidden="false" customHeight="false" outlineLevel="0" collapsed="false">
      <c r="A26" s="6" t="s">
        <v>611</v>
      </c>
      <c r="B26" s="19" t="s">
        <v>518</v>
      </c>
      <c r="C26" s="21" t="n">
        <f aca="false">SUMIFS('Other Scope'!$E:$E,'Other Scope'!$D:$D,"PURLIN_1X1X1_16GA")</f>
        <v>141.81</v>
      </c>
      <c r="D26" s="27" t="n">
        <f aca="false">Inputs!$B$5</f>
        <v>0.15</v>
      </c>
      <c r="E26" s="8" t="n">
        <f aca="false">C26*D26</f>
        <v>21.2715</v>
      </c>
      <c r="F26" s="28" t="n">
        <f aca="false">C26+E26</f>
        <v>163.0815</v>
      </c>
      <c r="G26" s="19" t="str">
        <f aca="false">"run "&amp;TEXT(Inputs!$B$11,"0")&amp;" ft"</f>
        <v>run 10 ft</v>
      </c>
      <c r="H26" s="17" t="n">
        <f aca="false">CEILING(F26/Inputs!$B$11,1)</f>
        <v>17</v>
      </c>
      <c r="I26" s="22" t="s">
        <v>612</v>
      </c>
    </row>
    <row r="27" customFormat="false" ht="15" hidden="false" customHeight="false" outlineLevel="0" collapsed="false">
      <c r="A27" s="6" t="s">
        <v>613</v>
      </c>
      <c r="B27" s="19" t="s">
        <v>518</v>
      </c>
      <c r="C27" s="21" t="n">
        <f aca="false">'Ceilings &amp; Soffits'!G16</f>
        <v>719.21</v>
      </c>
      <c r="D27" s="27" t="n">
        <f aca="false">Inputs!$B$5</f>
        <v>0.15</v>
      </c>
      <c r="E27" s="8" t="n">
        <f aca="false">C27*D27</f>
        <v>107.8815</v>
      </c>
      <c r="F27" s="28" t="n">
        <f aca="false">C27+E27</f>
        <v>827.0915</v>
      </c>
      <c r="G27" s="19" t="str">
        <f aca="false">"hat channel "&amp;TEXT(Inputs!$B$17,"0")&amp;" ft"</f>
        <v>hat channel 12 ft</v>
      </c>
      <c r="H27" s="17" t="n">
        <f aca="false">CEILING(F27/Inputs!$B$17,1)</f>
        <v>69</v>
      </c>
      <c r="I27" s="22" t="s">
        <v>614</v>
      </c>
    </row>
    <row r="28" customFormat="false" ht="15" hidden="false" customHeight="false" outlineLevel="0" collapsed="false">
      <c r="A28" s="6" t="s">
        <v>615</v>
      </c>
      <c r="B28" s="19" t="s">
        <v>518</v>
      </c>
      <c r="C28" s="21" t="n">
        <f aca="false">'Ceilings &amp; Soffits'!H16</f>
        <v>239.74</v>
      </c>
      <c r="D28" s="27" t="n">
        <f aca="false">Inputs!$B$5</f>
        <v>0.15</v>
      </c>
      <c r="E28" s="8" t="n">
        <f aca="false">C28*D28</f>
        <v>35.961</v>
      </c>
      <c r="F28" s="28" t="n">
        <f aca="false">C28+E28</f>
        <v>275.701</v>
      </c>
      <c r="G28" s="19" t="str">
        <f aca="false">"C.R. channel "&amp;TEXT(Inputs!$B$16,"0")&amp;" ft"</f>
        <v>C.R. channel 16 ft</v>
      </c>
      <c r="H28" s="17" t="n">
        <f aca="false">CEILING(F28/Inputs!$B$16,1)</f>
        <v>18</v>
      </c>
      <c r="I28" s="22" t="s">
        <v>614</v>
      </c>
    </row>
    <row r="29" customFormat="false" ht="22.35" hidden="false" customHeight="false" outlineLevel="0" collapsed="false">
      <c r="A29" s="6" t="s">
        <v>616</v>
      </c>
      <c r="B29" s="19" t="s">
        <v>518</v>
      </c>
      <c r="C29" s="21" t="n">
        <f aca="false">'Ceilings &amp; Soffits'!I16</f>
        <v>316.26</v>
      </c>
      <c r="D29" s="27" t="n">
        <f aca="false">Inputs!$B$5</f>
        <v>0.15</v>
      </c>
      <c r="E29" s="8" t="n">
        <f aca="false">C29*D29</f>
        <v>47.439</v>
      </c>
      <c r="F29" s="28" t="n">
        <f aca="false">C29+E29</f>
        <v>363.699</v>
      </c>
      <c r="G29" s="19" t="s">
        <v>617</v>
      </c>
      <c r="H29" s="17" t="n">
        <f aca="false">CEILING(F29,1)</f>
        <v>364</v>
      </c>
      <c r="I29" s="22" t="s">
        <v>618</v>
      </c>
    </row>
    <row r="30" customFormat="false" ht="23.85" hidden="false" customHeight="false" outlineLevel="0" collapsed="false">
      <c r="A30" s="6" t="s">
        <v>619</v>
      </c>
      <c r="B30" s="19" t="s">
        <v>518</v>
      </c>
      <c r="C30" s="21" t="n">
        <f aca="false">'Partition Takeoff'!AD86</f>
        <v>109.87</v>
      </c>
      <c r="D30" s="27" t="n">
        <f aca="false">Inputs!$B$5</f>
        <v>0.15</v>
      </c>
      <c r="E30" s="8" t="n">
        <f aca="false">C30*D30</f>
        <v>16.4805</v>
      </c>
      <c r="F30" s="28" t="n">
        <f aca="false">C30+E30</f>
        <v>126.3505</v>
      </c>
      <c r="G30" s="19" t="str">
        <f aca="false">"stick "&amp;TEXT(Inputs!$B$10,"0")&amp;" ft"</f>
        <v>stick 20 ft</v>
      </c>
      <c r="H30" s="17" t="n">
        <f aca="false">CEILING(F30/Inputs!$B$10,1)</f>
        <v>7</v>
      </c>
      <c r="I30" s="22" t="s">
        <v>620</v>
      </c>
    </row>
    <row r="31" customFormat="false" ht="15" hidden="false" customHeight="false" outlineLevel="0" collapsed="false">
      <c r="A31" s="15" t="s">
        <v>621</v>
      </c>
      <c r="B31" s="16"/>
      <c r="C31" s="16"/>
      <c r="D31" s="16"/>
      <c r="E31" s="16"/>
      <c r="F31" s="16"/>
      <c r="G31" s="16"/>
      <c r="H31" s="16"/>
      <c r="I31" s="16"/>
    </row>
    <row r="32" customFormat="false" ht="22.35" hidden="false" customHeight="false" outlineLevel="0" collapsed="false">
      <c r="A32" s="6" t="s">
        <v>622</v>
      </c>
      <c r="B32" s="19" t="s">
        <v>515</v>
      </c>
      <c r="C32" s="21" t="n">
        <f aca="false">'Partition Takeoff'!K86+'Ceilings &amp; Soffits'!F16-SUMIFS('Other Scope'!$E:$E,'Other Scope'!$D:$D,"BOARD_REGULAR_A_RESTAR")</f>
        <v>16595.29977</v>
      </c>
      <c r="D32" s="27" t="n">
        <f aca="false">Inputs!$B$6</f>
        <v>0.06</v>
      </c>
      <c r="E32" s="8" t="n">
        <f aca="false">C32*D32</f>
        <v>995.7179862</v>
      </c>
      <c r="F32" s="28" t="n">
        <f aca="false">C32+E32</f>
        <v>17591.0177562</v>
      </c>
      <c r="G32" s="19" t="str">
        <f aca="false">TEXT(Inputs!$B$7,"0")&amp;"x"&amp;TEXT(Inputs!$B$8,"0")&amp;" ft sheet"</f>
        <v>4x12 ft sheet</v>
      </c>
      <c r="H32" s="17" t="n">
        <f aca="false">CEILING(F32/Inputs!$B$9,1)</f>
        <v>367</v>
      </c>
      <c r="I32" s="22" t="s">
        <v>623</v>
      </c>
    </row>
    <row r="33" customFormat="false" ht="53.7" hidden="false" customHeight="false" outlineLevel="0" collapsed="false">
      <c r="A33" s="6" t="s">
        <v>624</v>
      </c>
      <c r="B33" s="19" t="s">
        <v>515</v>
      </c>
      <c r="C33" s="21" t="n">
        <f aca="false">SUMIFS('Other Scope'!$E:$E,'Other Scope'!$D:$D,"BOARD_WR")</f>
        <v>213.74</v>
      </c>
      <c r="D33" s="27" t="n">
        <f aca="false">Inputs!$B$6</f>
        <v>0.06</v>
      </c>
      <c r="E33" s="8" t="n">
        <f aca="false">C33*D33</f>
        <v>12.8244</v>
      </c>
      <c r="F33" s="28" t="n">
        <f aca="false">C33+E33</f>
        <v>226.5644</v>
      </c>
      <c r="G33" s="19" t="str">
        <f aca="false">TEXT(Inputs!$B$7,"0")&amp;"x"&amp;TEXT(Inputs!$B$8,"0")&amp;" ft sheet"</f>
        <v>4x12 ft sheet</v>
      </c>
      <c r="H33" s="17" t="n">
        <f aca="false">CEILING(F33/Inputs!$B$9,1)</f>
        <v>5</v>
      </c>
      <c r="I33" s="22" t="s">
        <v>625</v>
      </c>
    </row>
    <row r="34" customFormat="false" ht="32.8" hidden="false" customHeight="false" outlineLevel="0" collapsed="false">
      <c r="A34" s="6" t="s">
        <v>626</v>
      </c>
      <c r="B34" s="19" t="s">
        <v>515</v>
      </c>
      <c r="C34" s="21" t="n">
        <f aca="false">'Partition Takeoff'!W86</f>
        <v>783.89</v>
      </c>
      <c r="D34" s="27" t="n">
        <f aca="false">Inputs!$B$6</f>
        <v>0.06</v>
      </c>
      <c r="E34" s="8" t="n">
        <f aca="false">C34*D34</f>
        <v>47.0334</v>
      </c>
      <c r="F34" s="28" t="n">
        <f aca="false">C34+E34</f>
        <v>830.9234</v>
      </c>
      <c r="G34" s="19" t="str">
        <f aca="false">TEXT(Inputs!$B$7,"0")&amp;"x"&amp;TEXT(Inputs!$B$8,"0")&amp;" ft sheet"</f>
        <v>4x12 ft sheet</v>
      </c>
      <c r="H34" s="17" t="n">
        <f aca="false">CEILING(F34/Inputs!$B$9,1)</f>
        <v>18</v>
      </c>
      <c r="I34" s="22" t="s">
        <v>627</v>
      </c>
    </row>
    <row r="35" customFormat="false" ht="22.35" hidden="false" customHeight="false" outlineLevel="0" collapsed="false">
      <c r="A35" s="6" t="s">
        <v>549</v>
      </c>
      <c r="B35" s="19" t="s">
        <v>515</v>
      </c>
      <c r="C35" s="21" t="n">
        <f aca="false">'Partition Takeoff'!L86+SUMIFS('Other Scope'!$E:$E,'Other Scope'!$D:$D,"FRP WC-3")</f>
        <v>132.1</v>
      </c>
      <c r="D35" s="27" t="n">
        <f aca="false">Inputs!$B$6</f>
        <v>0.06</v>
      </c>
      <c r="E35" s="8" t="n">
        <f aca="false">C35*D35</f>
        <v>7.926</v>
      </c>
      <c r="F35" s="28" t="n">
        <f aca="false">C35+E35</f>
        <v>140.026</v>
      </c>
      <c r="G35" s="19" t="str">
        <f aca="false">TEXT(Inputs!$B$7,"0")&amp;"x"&amp;TEXT(Inputs!$B$8,"0")&amp;" ft sheet"</f>
        <v>4x12 ft sheet</v>
      </c>
      <c r="H35" s="17" t="n">
        <f aca="false">CEILING(F35/Inputs!$B$9,1)</f>
        <v>3</v>
      </c>
      <c r="I35" s="22" t="s">
        <v>628</v>
      </c>
    </row>
    <row r="36" customFormat="false" ht="23.85" hidden="false" customHeight="false" outlineLevel="0" collapsed="false">
      <c r="A36" s="6" t="s">
        <v>629</v>
      </c>
      <c r="B36" s="19" t="s">
        <v>515</v>
      </c>
      <c r="C36" s="21" t="n">
        <f aca="false">'Partition Takeoff'!N86</f>
        <v>14.45</v>
      </c>
      <c r="D36" s="27" t="n">
        <f aca="false">Inputs!$B$6</f>
        <v>0.06</v>
      </c>
      <c r="E36" s="8" t="n">
        <f aca="false">C36*D36</f>
        <v>0.867</v>
      </c>
      <c r="F36" s="28" t="n">
        <f aca="false">C36+E36</f>
        <v>15.317</v>
      </c>
      <c r="G36" s="19" t="str">
        <f aca="false">TEXT(Inputs!$B$7,"0")&amp;"x"&amp;TEXT(Inputs!$B$8,"0")&amp;" ft sheet"</f>
        <v>4x12 ft sheet</v>
      </c>
      <c r="H36" s="17" t="n">
        <f aca="false">CEILING(F36/Inputs!$B$9,1)</f>
        <v>1</v>
      </c>
      <c r="I36" s="22" t="s">
        <v>630</v>
      </c>
    </row>
    <row r="37" customFormat="false" ht="23.85" hidden="false" customHeight="false" outlineLevel="0" collapsed="false">
      <c r="A37" s="6" t="s">
        <v>631</v>
      </c>
      <c r="B37" s="19" t="s">
        <v>515</v>
      </c>
      <c r="C37" s="21" t="n">
        <f aca="false">'Partition Takeoff'!X86</f>
        <v>3698.28</v>
      </c>
      <c r="D37" s="27" t="n">
        <f aca="false">Inputs!$B$6</f>
        <v>0.06</v>
      </c>
      <c r="E37" s="8" t="n">
        <f aca="false">C37*D37</f>
        <v>221.8968</v>
      </c>
      <c r="F37" s="28" t="n">
        <f aca="false">C37+E37</f>
        <v>3920.1768</v>
      </c>
      <c r="G37" s="19" t="str">
        <f aca="false">TEXT(Inputs!$B$7,"0")&amp;"x"&amp;TEXT(Inputs!$B$8,"0")&amp;" ft sheet"</f>
        <v>4x12 ft sheet</v>
      </c>
      <c r="H37" s="17" t="n">
        <f aca="false">CEILING(F37/Inputs!$B$9,1)</f>
        <v>82</v>
      </c>
      <c r="I37" s="22" t="s">
        <v>632</v>
      </c>
    </row>
    <row r="38" customFormat="false" ht="85.05" hidden="false" customHeight="false" outlineLevel="0" collapsed="false">
      <c r="A38" s="6" t="s">
        <v>633</v>
      </c>
      <c r="B38" s="19" t="s">
        <v>515</v>
      </c>
      <c r="C38" s="21" t="n">
        <f aca="false">'Partition Takeoff'!AN86</f>
        <v>2939.76</v>
      </c>
      <c r="D38" s="27" t="n">
        <f aca="false">Inputs!$B$6</f>
        <v>0.06</v>
      </c>
      <c r="E38" s="8" t="n">
        <f aca="false">C38*D38</f>
        <v>176.3856</v>
      </c>
      <c r="F38" s="28" t="n">
        <f aca="false">C38+E38</f>
        <v>3116.1456</v>
      </c>
      <c r="G38" s="19" t="str">
        <f aca="false">TEXT(Inputs!$B$7,"0")&amp;"x"&amp;TEXT(Inputs!$B$8,"0")&amp;" ft sheet"</f>
        <v>4x12 ft sheet</v>
      </c>
      <c r="H38" s="17" t="n">
        <f aca="false">CEILING(F38/Inputs!$B$9,1)</f>
        <v>65</v>
      </c>
      <c r="I38" s="22" t="s">
        <v>634</v>
      </c>
    </row>
    <row r="39" customFormat="false" ht="53.7" hidden="false" customHeight="false" outlineLevel="0" collapsed="false">
      <c r="A39" s="6" t="s">
        <v>635</v>
      </c>
      <c r="B39" s="19" t="s">
        <v>515</v>
      </c>
      <c r="C39" s="21" t="n">
        <f aca="false">'Partition Takeoff'!AO86</f>
        <v>101.07</v>
      </c>
      <c r="D39" s="27" t="n">
        <f aca="false">Inputs!$B$6</f>
        <v>0.06</v>
      </c>
      <c r="E39" s="8" t="n">
        <f aca="false">C39*D39</f>
        <v>6.0642</v>
      </c>
      <c r="F39" s="28" t="n">
        <f aca="false">C39+E39</f>
        <v>107.1342</v>
      </c>
      <c r="G39" s="19" t="str">
        <f aca="false">TEXT(Inputs!$B$7,"0")&amp;"x"&amp;TEXT(Inputs!$B$8,"0")&amp;" ft sheet"</f>
        <v>4x12 ft sheet</v>
      </c>
      <c r="H39" s="17" t="n">
        <f aca="false">CEILING(F39/Inputs!$B$9,1)</f>
        <v>3</v>
      </c>
      <c r="I39" s="22" t="s">
        <v>636</v>
      </c>
    </row>
    <row r="40" customFormat="false" ht="15" hidden="false" customHeight="false" outlineLevel="0" collapsed="false">
      <c r="A40" s="6" t="s">
        <v>637</v>
      </c>
      <c r="B40" s="19" t="s">
        <v>515</v>
      </c>
      <c r="C40" s="21" t="n">
        <f aca="false">'Partition Takeoff'!Y86</f>
        <v>74</v>
      </c>
      <c r="D40" s="27" t="n">
        <f aca="false">Inputs!$B$6</f>
        <v>0.06</v>
      </c>
      <c r="E40" s="8" t="n">
        <f aca="false">C40*D40</f>
        <v>4.44</v>
      </c>
      <c r="F40" s="28" t="n">
        <f aca="false">C40+E40</f>
        <v>78.44</v>
      </c>
      <c r="G40" s="19" t="str">
        <f aca="false">TEXT(Inputs!$B$7,"0")&amp;"x"&amp;TEXT(Inputs!$B$8,"0")&amp;" ft sheet"</f>
        <v>4x12 ft sheet</v>
      </c>
      <c r="H40" s="17" t="n">
        <f aca="false">CEILING(F40/Inputs!$B$9,1)</f>
        <v>2</v>
      </c>
      <c r="I40" s="22" t="s">
        <v>638</v>
      </c>
    </row>
    <row r="41" customFormat="false" ht="15" hidden="false" customHeight="false" outlineLevel="0" collapsed="false">
      <c r="A41" s="6" t="s">
        <v>639</v>
      </c>
      <c r="B41" s="19" t="s">
        <v>515</v>
      </c>
      <c r="C41" s="21" t="n">
        <f aca="false">'Partition Takeoff'!Z86</f>
        <v>57.04</v>
      </c>
      <c r="D41" s="27" t="n">
        <f aca="false">Inputs!$B$6</f>
        <v>0.06</v>
      </c>
      <c r="E41" s="8" t="n">
        <f aca="false">C41*D41</f>
        <v>3.4224</v>
      </c>
      <c r="F41" s="28" t="n">
        <f aca="false">C41+E41</f>
        <v>60.4624</v>
      </c>
      <c r="G41" s="19" t="str">
        <f aca="false">TEXT(Inputs!$B$7,"0")&amp;"x"&amp;TEXT(Inputs!$B$8,"0")&amp;" ft sheet"</f>
        <v>4x12 ft sheet</v>
      </c>
      <c r="H41" s="17" t="n">
        <f aca="false">CEILING(F41/Inputs!$B$9,1)</f>
        <v>2</v>
      </c>
      <c r="I41" s="22" t="s">
        <v>640</v>
      </c>
    </row>
    <row r="42" customFormat="false" ht="22.35" hidden="false" customHeight="false" outlineLevel="0" collapsed="false">
      <c r="A42" s="6" t="s">
        <v>641</v>
      </c>
      <c r="B42" s="19" t="s">
        <v>515</v>
      </c>
      <c r="C42" s="21" t="n">
        <f aca="false">'Partition Takeoff'!AA86</f>
        <v>647.95</v>
      </c>
      <c r="D42" s="27" t="n">
        <f aca="false">Inputs!$B$6</f>
        <v>0.06</v>
      </c>
      <c r="E42" s="8" t="n">
        <f aca="false">C42*D42</f>
        <v>38.877</v>
      </c>
      <c r="F42" s="28" t="n">
        <f aca="false">C42+E42</f>
        <v>686.827</v>
      </c>
      <c r="G42" s="19" t="str">
        <f aca="false">TEXT(Inputs!$B$7,"0")&amp;"x"&amp;TEXT(Inputs!$B$8,"0")&amp;" ft sheet"</f>
        <v>4x12 ft sheet</v>
      </c>
      <c r="H42" s="17" t="n">
        <f aca="false">CEILING(F42/Inputs!$B$9,1)</f>
        <v>15</v>
      </c>
      <c r="I42" s="22" t="s">
        <v>642</v>
      </c>
    </row>
    <row r="43" customFormat="false" ht="15" hidden="false" customHeight="false" outlineLevel="0" collapsed="false">
      <c r="A43" s="6" t="s">
        <v>643</v>
      </c>
      <c r="B43" s="19" t="s">
        <v>515</v>
      </c>
      <c r="C43" s="21" t="n">
        <f aca="false">'Partition Takeoff'!AB86</f>
        <v>490.43</v>
      </c>
      <c r="D43" s="27" t="n">
        <f aca="false">Inputs!$B$6</f>
        <v>0.06</v>
      </c>
      <c r="E43" s="8" t="n">
        <f aca="false">C43*D43</f>
        <v>29.4258</v>
      </c>
      <c r="F43" s="28" t="n">
        <f aca="false">C43+E43</f>
        <v>519.8558</v>
      </c>
      <c r="G43" s="19" t="str">
        <f aca="false">TEXT(Inputs!$B$7,"0")&amp;"x"&amp;TEXT(Inputs!$B$8,"0")&amp;" ft sheet"</f>
        <v>4x12 ft sheet</v>
      </c>
      <c r="H43" s="17" t="n">
        <f aca="false">CEILING(F43/Inputs!$B$9,1)</f>
        <v>11</v>
      </c>
      <c r="I43" s="22" t="s">
        <v>644</v>
      </c>
    </row>
    <row r="44" customFormat="false" ht="22.35" hidden="false" customHeight="false" outlineLevel="0" collapsed="false">
      <c r="A44" s="6" t="s">
        <v>645</v>
      </c>
      <c r="B44" s="19" t="s">
        <v>515</v>
      </c>
      <c r="C44" s="21" t="n">
        <f aca="false">'Ceilings &amp; Soffits'!N16</f>
        <v>1768.38</v>
      </c>
      <c r="D44" s="27" t="n">
        <f aca="false">Inputs!$B$6</f>
        <v>0.06</v>
      </c>
      <c r="E44" s="8" t="n">
        <f aca="false">C44*D44</f>
        <v>106.1028</v>
      </c>
      <c r="F44" s="28" t="n">
        <f aca="false">C44+E44</f>
        <v>1874.4828</v>
      </c>
      <c r="G44" s="19" t="str">
        <f aca="false">TEXT(Inputs!$B$7,"0")&amp;"x"&amp;TEXT(Inputs!$B$8,"0")&amp;" ft sheet"</f>
        <v>4x12 ft sheet</v>
      </c>
      <c r="H44" s="17" t="n">
        <f aca="false">CEILING(F44/Inputs!$B$9,1)</f>
        <v>40</v>
      </c>
      <c r="I44" s="22" t="s">
        <v>646</v>
      </c>
    </row>
    <row r="45" customFormat="false" ht="15" hidden="false" customHeight="false" outlineLevel="0" collapsed="false">
      <c r="A45" s="15" t="s">
        <v>647</v>
      </c>
      <c r="B45" s="16"/>
      <c r="C45" s="16"/>
      <c r="D45" s="16"/>
      <c r="E45" s="16"/>
      <c r="F45" s="16"/>
      <c r="G45" s="16"/>
      <c r="H45" s="16"/>
      <c r="I45" s="16"/>
    </row>
    <row r="46" customFormat="false" ht="32.8" hidden="false" customHeight="false" outlineLevel="0" collapsed="false">
      <c r="A46" s="6" t="s">
        <v>648</v>
      </c>
      <c r="B46" s="19" t="s">
        <v>518</v>
      </c>
      <c r="C46" s="21" t="n">
        <f aca="false">'Partition Takeoff'!AC86+'Ceilings &amp; Soffits'!O16+SUMIFS('Other Scope'!$E:$E,'Other Scope'!$D:$D,"GYPSUM_EDGE_TRIM")</f>
        <v>514.77</v>
      </c>
      <c r="D46" s="27" t="n">
        <f aca="false">Inputs!$B$5</f>
        <v>0.15</v>
      </c>
      <c r="E46" s="8" t="n">
        <f aca="false">C46*D46</f>
        <v>77.2155</v>
      </c>
      <c r="F46" s="28" t="n">
        <f aca="false">C46+E46</f>
        <v>591.9855</v>
      </c>
      <c r="G46" s="19" t="str">
        <f aca="false">"trim stick "&amp;TEXT(Inputs!$B$18,"0")&amp;" ft"</f>
        <v>trim stick 10 ft</v>
      </c>
      <c r="H46" s="17" t="n">
        <f aca="false">CEILING(F46/Inputs!$B$18,1)</f>
        <v>60</v>
      </c>
      <c r="I46" s="22" t="s">
        <v>649</v>
      </c>
    </row>
    <row r="47" customFormat="false" ht="74.6" hidden="false" customHeight="false" outlineLevel="0" collapsed="false">
      <c r="A47" s="6" t="s">
        <v>650</v>
      </c>
      <c r="B47" s="19" t="s">
        <v>518</v>
      </c>
      <c r="C47" s="21" t="n">
        <f aca="false">SUMIFS('Other Scope'!$E:$E,'Other Scope'!$D:$D,"PVC EDGE TRIM MOLDING")+SUMIFS('Other Scope'!$E:$E,'Other Scope'!$D:$D,"PVC INSIDE CORNER TRIM MOLDING")</f>
        <v>4</v>
      </c>
      <c r="D47" s="27" t="n">
        <f aca="false">Inputs!$B$6</f>
        <v>0.06</v>
      </c>
      <c r="E47" s="8" t="n">
        <f aca="false">C47*D47</f>
        <v>0.24</v>
      </c>
      <c r="F47" s="28" t="n">
        <f aca="false">C47+E47</f>
        <v>4.24</v>
      </c>
      <c r="G47" s="19" t="str">
        <f aca="false">"trim stick "&amp;TEXT(Inputs!$B$18,"0")&amp;" ft"</f>
        <v>trim stick 10 ft</v>
      </c>
      <c r="H47" s="17" t="n">
        <f aca="false">CEILING(F47/Inputs!$B$18,1)</f>
        <v>1</v>
      </c>
      <c r="I47" s="22" t="s">
        <v>651</v>
      </c>
    </row>
    <row r="48" customFormat="false" ht="22.35" hidden="false" customHeight="false" outlineLevel="0" collapsed="false">
      <c r="A48" s="6" t="s">
        <v>652</v>
      </c>
      <c r="B48" s="19" t="s">
        <v>520</v>
      </c>
      <c r="C48" s="21" t="n">
        <f aca="false">'Partition Takeoff'!AE86</f>
        <v>239</v>
      </c>
      <c r="D48" s="27"/>
      <c r="E48" s="8"/>
      <c r="F48" s="28" t="n">
        <f aca="false">C48</f>
        <v>239</v>
      </c>
      <c r="G48" s="19" t="s">
        <v>607</v>
      </c>
      <c r="H48" s="17" t="n">
        <f aca="false">CEILING(F48,1)</f>
        <v>239</v>
      </c>
      <c r="I48" s="22" t="s">
        <v>653</v>
      </c>
    </row>
    <row r="49" customFormat="false" ht="43.25" hidden="false" customHeight="false" outlineLevel="0" collapsed="false">
      <c r="A49" s="6" t="s">
        <v>654</v>
      </c>
      <c r="B49" s="19" t="s">
        <v>518</v>
      </c>
      <c r="C49" s="21" t="n">
        <f aca="false">'Partition Takeoff'!U86+'Ceilings &amp; Soffits'!P16+SUMIFS('Other Scope'!$E:$E,'Other Scope'!$D:$D,"BLOCKING_2X_FRT")+SUMIFS('Other Scope'!$E:$E,'Other Scope'!$D:$D,"BLOCKING")</f>
        <v>748</v>
      </c>
      <c r="D49" s="27" t="n">
        <f aca="false">Inputs!$B$6</f>
        <v>0.06</v>
      </c>
      <c r="E49" s="8" t="n">
        <f aca="false">C49*D49</f>
        <v>44.88</v>
      </c>
      <c r="F49" s="28" t="n">
        <f aca="false">C49+E49</f>
        <v>792.88</v>
      </c>
      <c r="G49" s="19" t="s">
        <v>518</v>
      </c>
      <c r="H49" s="17" t="n">
        <f aca="false">CEILING(F49,1)</f>
        <v>793</v>
      </c>
      <c r="I49" s="22" t="s">
        <v>655</v>
      </c>
    </row>
    <row r="50" customFormat="false" ht="53.7" hidden="false" customHeight="false" outlineLevel="0" collapsed="false">
      <c r="A50" s="6" t="s">
        <v>656</v>
      </c>
      <c r="B50" s="19" t="s">
        <v>518</v>
      </c>
      <c r="C50" s="21" t="n">
        <f aca="false">'Partition Takeoff'!AF86</f>
        <v>2652.66</v>
      </c>
      <c r="D50" s="27" t="n">
        <f aca="false">Inputs!$B$6</f>
        <v>0.06</v>
      </c>
      <c r="E50" s="8" t="n">
        <f aca="false">C50*D50</f>
        <v>159.1596</v>
      </c>
      <c r="F50" s="28" t="n">
        <f aca="false">C50+E50</f>
        <v>2811.8196</v>
      </c>
      <c r="G50" s="19" t="s">
        <v>657</v>
      </c>
      <c r="H50" s="17" t="n">
        <f aca="false">CEILING(F50/Inputs!$B$15,1)</f>
        <v>113</v>
      </c>
      <c r="I50" s="22" t="s">
        <v>658</v>
      </c>
    </row>
    <row r="51" customFormat="false" ht="22.35" hidden="false" customHeight="false" outlineLevel="0" collapsed="false">
      <c r="A51" s="6" t="s">
        <v>659</v>
      </c>
      <c r="B51" s="19" t="s">
        <v>520</v>
      </c>
      <c r="C51" s="21" t="n">
        <f aca="false">'Ceilings &amp; Soffits'!Q16</f>
        <v>1</v>
      </c>
      <c r="D51" s="27"/>
      <c r="E51" s="8"/>
      <c r="F51" s="28" t="n">
        <f aca="false">C51</f>
        <v>1</v>
      </c>
      <c r="G51" s="19" t="s">
        <v>607</v>
      </c>
      <c r="H51" s="17" t="n">
        <f aca="false">CEILING(F51,1)</f>
        <v>1</v>
      </c>
      <c r="I51" s="22" t="s">
        <v>660</v>
      </c>
    </row>
    <row r="52" customFormat="false" ht="15" hidden="false" customHeight="false" outlineLevel="0" collapsed="false">
      <c r="A52" s="15" t="s">
        <v>661</v>
      </c>
      <c r="B52" s="16"/>
      <c r="C52" s="16"/>
      <c r="D52" s="16"/>
      <c r="E52" s="16"/>
      <c r="F52" s="16"/>
      <c r="G52" s="16"/>
      <c r="H52" s="16"/>
      <c r="I52" s="16"/>
    </row>
    <row r="53" customFormat="false" ht="32.8" hidden="false" customHeight="false" outlineLevel="0" collapsed="false">
      <c r="A53" s="6" t="s">
        <v>662</v>
      </c>
      <c r="B53" s="19" t="s">
        <v>520</v>
      </c>
      <c r="C53" s="21" t="n">
        <f aca="false">(C32+C33+C41)*Inputs!$B$20</f>
        <v>20239.295724</v>
      </c>
      <c r="D53" s="27"/>
      <c r="E53" s="8"/>
      <c r="F53" s="28" t="n">
        <f aca="false">C53</f>
        <v>20239.295724</v>
      </c>
      <c r="G53" s="19" t="s">
        <v>607</v>
      </c>
      <c r="H53" s="17" t="n">
        <f aca="false">CEILING(F53,1)</f>
        <v>20240</v>
      </c>
      <c r="I53" s="22" t="s">
        <v>663</v>
      </c>
    </row>
    <row r="54" customFormat="false" ht="22.35" hidden="false" customHeight="false" outlineLevel="0" collapsed="false">
      <c r="A54" s="6" t="s">
        <v>664</v>
      </c>
      <c r="B54" s="19" t="s">
        <v>520</v>
      </c>
      <c r="C54" s="21" t="n">
        <f aca="false">CEILING((C6+C8+C9)/Inputs!$B$10,1)*Inputs!$B$21</f>
        <v>2996</v>
      </c>
      <c r="D54" s="27"/>
      <c r="E54" s="8"/>
      <c r="F54" s="28" t="n">
        <f aca="false">C54</f>
        <v>2996</v>
      </c>
      <c r="G54" s="19" t="s">
        <v>607</v>
      </c>
      <c r="H54" s="17" t="n">
        <f aca="false">CEILING(F54,1)</f>
        <v>2996</v>
      </c>
      <c r="I54" s="22" t="s">
        <v>665</v>
      </c>
    </row>
    <row r="55" customFormat="false" ht="32.8" hidden="false" customHeight="false" outlineLevel="0" collapsed="false">
      <c r="A55" s="6" t="s">
        <v>666</v>
      </c>
      <c r="B55" s="19" t="s">
        <v>520</v>
      </c>
      <c r="C55" s="21" t="n">
        <f aca="false">(C10+C11+C14)/Inputs!$B$22*1</f>
        <v>403.246</v>
      </c>
      <c r="D55" s="27"/>
      <c r="E55" s="8"/>
      <c r="F55" s="28" t="n">
        <f aca="false">C55</f>
        <v>403.246</v>
      </c>
      <c r="G55" s="19" t="s">
        <v>607</v>
      </c>
      <c r="H55" s="17" t="n">
        <f aca="false">CEILING(F55,1)</f>
        <v>404</v>
      </c>
      <c r="I55" s="22" t="s">
        <v>667</v>
      </c>
    </row>
    <row r="56" customFormat="false" ht="22.35" hidden="false" customHeight="false" outlineLevel="0" collapsed="false">
      <c r="A56" s="6" t="s">
        <v>668</v>
      </c>
      <c r="B56" s="19" t="s">
        <v>669</v>
      </c>
      <c r="C56" s="21" t="n">
        <f aca="false">(C32+C33+C41)*Inputs!$B$23</f>
        <v>1214.35774344</v>
      </c>
      <c r="D56" s="27"/>
      <c r="E56" s="8"/>
      <c r="F56" s="28" t="n">
        <f aca="false">C56</f>
        <v>1214.35774344</v>
      </c>
      <c r="G56" s="19" t="s">
        <v>669</v>
      </c>
      <c r="H56" s="17" t="n">
        <f aca="false">CEILING(F56,1)</f>
        <v>1215</v>
      </c>
      <c r="I56" s="22" t="s">
        <v>670</v>
      </c>
    </row>
    <row r="57" customFormat="false" ht="22.35" hidden="false" customHeight="false" outlineLevel="0" collapsed="false">
      <c r="A57" s="6" t="s">
        <v>671</v>
      </c>
      <c r="B57" s="19" t="s">
        <v>518</v>
      </c>
      <c r="C57" s="21" t="n">
        <f aca="false">(C32+C33+C41)*Inputs!$B$24</f>
        <v>6240.4495149</v>
      </c>
      <c r="D57" s="27"/>
      <c r="E57" s="8"/>
      <c r="F57" s="28" t="n">
        <f aca="false">C57</f>
        <v>6240.4495149</v>
      </c>
      <c r="G57" s="19" t="s">
        <v>518</v>
      </c>
      <c r="H57" s="17" t="n">
        <f aca="false">CEILING(F57,1)</f>
        <v>6241</v>
      </c>
      <c r="I57" s="22" t="s">
        <v>672</v>
      </c>
    </row>
    <row r="59" customFormat="false" ht="15" hidden="false" customHeight="false" outlineLevel="0" collapsed="false">
      <c r="A59" s="2" t="s">
        <v>673</v>
      </c>
    </row>
    <row r="60" customFormat="false" ht="15" hidden="false" customHeight="false" outlineLevel="0" collapsed="false">
      <c r="A60" s="2" t="s">
        <v>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18"/>
  </cols>
  <sheetData>
    <row r="1" customFormat="false" ht="16.15" hidden="false" customHeight="false" outlineLevel="0" collapsed="false">
      <c r="A1" s="1" t="s">
        <v>675</v>
      </c>
    </row>
    <row r="3" customFormat="false" ht="33.75" hidden="false" customHeight="true" outlineLevel="0" collapsed="false">
      <c r="A3" s="14" t="s">
        <v>676</v>
      </c>
      <c r="B3" s="14" t="s">
        <v>677</v>
      </c>
      <c r="C3" s="14" t="s">
        <v>678</v>
      </c>
    </row>
    <row r="4" customFormat="false" ht="15" hidden="false" customHeight="false" outlineLevel="0" collapsed="false">
      <c r="A4" s="15" t="s">
        <v>679</v>
      </c>
      <c r="B4" s="16"/>
      <c r="C4" s="16"/>
    </row>
    <row r="5" customFormat="false" ht="30" hidden="false" customHeight="true" outlineLevel="0" collapsed="false">
      <c r="A5" s="17" t="n">
        <v>2</v>
      </c>
      <c r="B5" s="29" t="s">
        <v>680</v>
      </c>
      <c r="C5" s="6" t="s">
        <v>681</v>
      </c>
    </row>
    <row r="6" customFormat="false" ht="30" hidden="false" customHeight="true" outlineLevel="0" collapsed="false">
      <c r="A6" s="17" t="n">
        <v>3</v>
      </c>
      <c r="B6" s="29" t="s">
        <v>682</v>
      </c>
      <c r="C6" s="6" t="s">
        <v>683</v>
      </c>
    </row>
    <row r="7" customFormat="false" ht="30" hidden="false" customHeight="true" outlineLevel="0" collapsed="false">
      <c r="A7" s="17" t="n">
        <v>4</v>
      </c>
      <c r="B7" s="29" t="s">
        <v>684</v>
      </c>
      <c r="C7" s="6" t="s">
        <v>685</v>
      </c>
    </row>
    <row r="8" customFormat="false" ht="30" hidden="false" customHeight="true" outlineLevel="0" collapsed="false">
      <c r="A8" s="17" t="n">
        <v>5</v>
      </c>
      <c r="B8" s="29" t="s">
        <v>686</v>
      </c>
      <c r="C8" s="6" t="s">
        <v>687</v>
      </c>
    </row>
    <row r="9" customFormat="false" ht="15" hidden="false" customHeight="false" outlineLevel="0" collapsed="false">
      <c r="A9" s="15" t="s">
        <v>688</v>
      </c>
      <c r="B9" s="16"/>
      <c r="C9" s="16"/>
    </row>
    <row r="10" customFormat="false" ht="64.5" hidden="false" customHeight="true" outlineLevel="0" collapsed="false">
      <c r="A10" s="17" t="n">
        <v>7</v>
      </c>
      <c r="B10" s="29" t="s">
        <v>689</v>
      </c>
      <c r="C10" s="6" t="s">
        <v>690</v>
      </c>
    </row>
    <row r="11" customFormat="false" ht="39" hidden="false" customHeight="true" outlineLevel="0" collapsed="false">
      <c r="A11" s="17" t="n">
        <v>8</v>
      </c>
      <c r="B11" s="29" t="s">
        <v>691</v>
      </c>
      <c r="C11" s="6" t="s">
        <v>692</v>
      </c>
    </row>
    <row r="12" customFormat="false" ht="39" hidden="false" customHeight="true" outlineLevel="0" collapsed="false">
      <c r="A12" s="17" t="n">
        <v>9</v>
      </c>
      <c r="B12" s="29" t="s">
        <v>693</v>
      </c>
      <c r="C12" s="6" t="s">
        <v>694</v>
      </c>
    </row>
    <row r="13" customFormat="false" ht="30" hidden="false" customHeight="true" outlineLevel="0" collapsed="false">
      <c r="A13" s="17" t="n">
        <v>10</v>
      </c>
      <c r="B13" s="29" t="s">
        <v>695</v>
      </c>
      <c r="C13" s="6" t="s">
        <v>696</v>
      </c>
    </row>
    <row r="14" customFormat="false" ht="39" hidden="false" customHeight="true" outlineLevel="0" collapsed="false">
      <c r="A14" s="17" t="n">
        <v>11</v>
      </c>
      <c r="B14" s="29" t="s">
        <v>697</v>
      </c>
      <c r="C14" s="6" t="s">
        <v>698</v>
      </c>
    </row>
    <row r="15" customFormat="false" ht="30" hidden="false" customHeight="true" outlineLevel="0" collapsed="false">
      <c r="A15" s="17" t="n">
        <v>12</v>
      </c>
      <c r="B15" s="29" t="s">
        <v>699</v>
      </c>
      <c r="C15" s="6" t="s">
        <v>700</v>
      </c>
    </row>
    <row r="16" customFormat="false" ht="64.5" hidden="false" customHeight="true" outlineLevel="0" collapsed="false">
      <c r="A16" s="17" t="n">
        <v>13</v>
      </c>
      <c r="B16" s="29" t="s">
        <v>701</v>
      </c>
      <c r="C16" s="6" t="s">
        <v>702</v>
      </c>
    </row>
    <row r="17" customFormat="false" ht="39" hidden="false" customHeight="true" outlineLevel="0" collapsed="false">
      <c r="A17" s="17" t="n">
        <v>14</v>
      </c>
      <c r="B17" s="29" t="s">
        <v>703</v>
      </c>
      <c r="C17" s="6" t="s">
        <v>704</v>
      </c>
    </row>
    <row r="18" customFormat="false" ht="51.75" hidden="false" customHeight="true" outlineLevel="0" collapsed="false">
      <c r="A18" s="17" t="n">
        <v>15</v>
      </c>
      <c r="B18" s="29" t="s">
        <v>705</v>
      </c>
      <c r="C18" s="6" t="s">
        <v>706</v>
      </c>
    </row>
    <row r="19" customFormat="false" ht="103.5" hidden="false" customHeight="true" outlineLevel="0" collapsed="false">
      <c r="A19" s="17" t="n">
        <v>16</v>
      </c>
      <c r="B19" s="29" t="s">
        <v>707</v>
      </c>
      <c r="C19" s="6" t="s">
        <v>708</v>
      </c>
    </row>
    <row r="20" customFormat="false" ht="103.5" hidden="false" customHeight="true" outlineLevel="0" collapsed="false">
      <c r="A20" s="17" t="n">
        <v>17</v>
      </c>
      <c r="B20" s="29" t="s">
        <v>709</v>
      </c>
      <c r="C20" s="6" t="s">
        <v>710</v>
      </c>
    </row>
    <row r="21" customFormat="false" ht="117" hidden="false" customHeight="true" outlineLevel="0" collapsed="false">
      <c r="A21" s="17" t="n">
        <v>18</v>
      </c>
      <c r="B21" s="29" t="s">
        <v>711</v>
      </c>
      <c r="C21" s="6" t="s">
        <v>712</v>
      </c>
    </row>
    <row r="22" customFormat="false" ht="30" hidden="false" customHeight="true" outlineLevel="0" collapsed="false">
      <c r="A22" s="17" t="n">
        <v>19</v>
      </c>
      <c r="B22" s="29" t="s">
        <v>713</v>
      </c>
      <c r="C22" s="6" t="s">
        <v>714</v>
      </c>
    </row>
    <row r="23" customFormat="false" ht="30" hidden="false" customHeight="true" outlineLevel="0" collapsed="false">
      <c r="A23" s="17" t="n">
        <v>20</v>
      </c>
      <c r="B23" s="29" t="s">
        <v>715</v>
      </c>
      <c r="C23" s="6" t="s">
        <v>716</v>
      </c>
    </row>
    <row r="24" customFormat="false" ht="117" hidden="false" customHeight="true" outlineLevel="0" collapsed="false">
      <c r="A24" s="17" t="n">
        <v>21</v>
      </c>
      <c r="B24" s="29" t="s">
        <v>717</v>
      </c>
      <c r="C24" s="6" t="s">
        <v>718</v>
      </c>
    </row>
    <row r="25" customFormat="false" ht="15" hidden="false" customHeight="false" outlineLevel="0" collapsed="false">
      <c r="A25" s="15" t="s">
        <v>719</v>
      </c>
      <c r="B25" s="16"/>
      <c r="C25" s="16"/>
    </row>
    <row r="26" customFormat="false" ht="39" hidden="false" customHeight="true" outlineLevel="0" collapsed="false">
      <c r="A26" s="17" t="n">
        <v>23</v>
      </c>
      <c r="B26" s="29" t="s">
        <v>720</v>
      </c>
      <c r="C26" s="6" t="s">
        <v>721</v>
      </c>
    </row>
    <row r="27" customFormat="false" ht="39" hidden="false" customHeight="true" outlineLevel="0" collapsed="false">
      <c r="A27" s="17" t="n">
        <v>24</v>
      </c>
      <c r="B27" s="29" t="s">
        <v>722</v>
      </c>
      <c r="C27" s="6" t="s">
        <v>723</v>
      </c>
    </row>
    <row r="28" customFormat="false" ht="64.5" hidden="false" customHeight="true" outlineLevel="0" collapsed="false">
      <c r="A28" s="17" t="n">
        <v>25</v>
      </c>
      <c r="B28" s="29" t="s">
        <v>724</v>
      </c>
      <c r="C28" s="6" t="s">
        <v>725</v>
      </c>
    </row>
    <row r="29" customFormat="false" ht="30" hidden="false" customHeight="true" outlineLevel="0" collapsed="false">
      <c r="A29" s="17" t="n">
        <v>26</v>
      </c>
      <c r="B29" s="29" t="s">
        <v>726</v>
      </c>
      <c r="C29" s="6" t="s">
        <v>727</v>
      </c>
    </row>
    <row r="30" customFormat="false" ht="51.75" hidden="false" customHeight="true" outlineLevel="0" collapsed="false">
      <c r="A30" s="17" t="n">
        <v>27</v>
      </c>
      <c r="B30" s="29" t="s">
        <v>728</v>
      </c>
      <c r="C30" s="6" t="s">
        <v>729</v>
      </c>
    </row>
    <row r="31" customFormat="false" ht="51.75" hidden="false" customHeight="true" outlineLevel="0" collapsed="false">
      <c r="A31" s="17" t="n">
        <v>28</v>
      </c>
      <c r="B31" s="29" t="s">
        <v>730</v>
      </c>
      <c r="C31" s="6" t="s">
        <v>731</v>
      </c>
    </row>
    <row r="32" customFormat="false" ht="30" hidden="false" customHeight="true" outlineLevel="0" collapsed="false">
      <c r="A32" s="17" t="n">
        <v>29</v>
      </c>
      <c r="B32" s="29" t="s">
        <v>732</v>
      </c>
      <c r="C32" s="6" t="s">
        <v>733</v>
      </c>
    </row>
    <row r="33" customFormat="false" ht="39" hidden="false" customHeight="true" outlineLevel="0" collapsed="false">
      <c r="A33" s="17" t="n">
        <v>30</v>
      </c>
      <c r="B33" s="29" t="s">
        <v>734</v>
      </c>
      <c r="C33" s="6" t="s">
        <v>735</v>
      </c>
    </row>
    <row r="34" customFormat="false" ht="39" hidden="false" customHeight="true" outlineLevel="0" collapsed="false">
      <c r="A34" s="17" t="n">
        <v>31</v>
      </c>
      <c r="B34" s="29" t="s">
        <v>736</v>
      </c>
      <c r="C34" s="6" t="s">
        <v>737</v>
      </c>
    </row>
    <row r="35" customFormat="false" ht="90.75" hidden="false" customHeight="true" outlineLevel="0" collapsed="false">
      <c r="A35" s="17" t="n">
        <v>32</v>
      </c>
      <c r="B35" s="29" t="s">
        <v>738</v>
      </c>
      <c r="C35" s="6" t="s">
        <v>739</v>
      </c>
    </row>
    <row r="36" customFormat="false" ht="15" hidden="false" customHeight="false" outlineLevel="0" collapsed="false">
      <c r="A36" s="15" t="s">
        <v>740</v>
      </c>
      <c r="B36" s="16"/>
      <c r="C36" s="16"/>
    </row>
    <row r="37" customFormat="false" ht="51.75" hidden="false" customHeight="true" outlineLevel="0" collapsed="false">
      <c r="A37" s="17" t="n">
        <v>34</v>
      </c>
      <c r="B37" s="29" t="s">
        <v>741</v>
      </c>
      <c r="C37" s="6" t="s">
        <v>742</v>
      </c>
    </row>
    <row r="38" customFormat="false" ht="39" hidden="false" customHeight="true" outlineLevel="0" collapsed="false">
      <c r="A38" s="17" t="n">
        <v>35</v>
      </c>
      <c r="B38" s="29" t="s">
        <v>743</v>
      </c>
      <c r="C38" s="6" t="s">
        <v>744</v>
      </c>
    </row>
    <row r="39" customFormat="false" ht="39" hidden="false" customHeight="true" outlineLevel="0" collapsed="false">
      <c r="A39" s="17" t="n">
        <v>36</v>
      </c>
      <c r="B39" s="29" t="s">
        <v>745</v>
      </c>
      <c r="C39" s="6" t="s">
        <v>746</v>
      </c>
    </row>
    <row r="40" customFormat="false" ht="30" hidden="false" customHeight="true" outlineLevel="0" collapsed="false">
      <c r="A40" s="17" t="n">
        <v>37</v>
      </c>
      <c r="B40" s="29" t="s">
        <v>747</v>
      </c>
      <c r="C40" s="6" t="s">
        <v>748</v>
      </c>
    </row>
    <row r="41" customFormat="false" ht="39" hidden="false" customHeight="true" outlineLevel="0" collapsed="false">
      <c r="A41" s="17" t="n">
        <v>38</v>
      </c>
      <c r="B41" s="29" t="s">
        <v>749</v>
      </c>
      <c r="C41" s="6" t="s">
        <v>750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4"/>
    <col collapsed="false" customWidth="true" hidden="false" outlineLevel="0" max="4" min="4" style="0" width="96"/>
    <col collapsed="false" customWidth="true" hidden="false" outlineLevel="0" max="6" min="5" style="0" width="30"/>
  </cols>
  <sheetData>
    <row r="1" customFormat="false" ht="16.15" hidden="false" customHeight="false" outlineLevel="0" collapsed="false">
      <c r="A1" s="1" t="s">
        <v>751</v>
      </c>
    </row>
    <row r="2" customFormat="false" ht="15" hidden="false" customHeight="false" outlineLevel="0" collapsed="false">
      <c r="A2" s="2" t="s">
        <v>752</v>
      </c>
    </row>
    <row r="4" customFormat="false" ht="33.75" hidden="false" customHeight="true" outlineLevel="0" collapsed="false">
      <c r="A4" s="14" t="s">
        <v>676</v>
      </c>
      <c r="B4" s="14" t="s">
        <v>753</v>
      </c>
      <c r="C4" s="14" t="s">
        <v>754</v>
      </c>
      <c r="D4" s="14" t="s">
        <v>755</v>
      </c>
      <c r="E4" s="14" t="s">
        <v>756</v>
      </c>
      <c r="F4" s="14" t="s">
        <v>757</v>
      </c>
    </row>
    <row r="5" customFormat="false" ht="96" hidden="false" customHeight="true" outlineLevel="0" collapsed="false">
      <c r="A5" s="17" t="n">
        <v>1</v>
      </c>
      <c r="B5" s="29" t="s">
        <v>758</v>
      </c>
      <c r="C5" s="6" t="s">
        <v>759</v>
      </c>
      <c r="D5" s="6" t="s">
        <v>760</v>
      </c>
      <c r="E5" s="6" t="s">
        <v>761</v>
      </c>
      <c r="F5" s="6" t="s">
        <v>762</v>
      </c>
    </row>
    <row r="6" customFormat="false" ht="96" hidden="false" customHeight="true" outlineLevel="0" collapsed="false">
      <c r="A6" s="17" t="n">
        <v>2</v>
      </c>
      <c r="B6" s="29" t="s">
        <v>763</v>
      </c>
      <c r="C6" s="6" t="s">
        <v>759</v>
      </c>
      <c r="D6" s="6" t="s">
        <v>764</v>
      </c>
      <c r="E6" s="6" t="s">
        <v>765</v>
      </c>
      <c r="F6" s="6" t="s">
        <v>766</v>
      </c>
    </row>
    <row r="7" customFormat="false" ht="120" hidden="false" customHeight="true" outlineLevel="0" collapsed="false">
      <c r="A7" s="17" t="n">
        <v>3</v>
      </c>
      <c r="B7" s="29" t="s">
        <v>767</v>
      </c>
      <c r="C7" s="6" t="s">
        <v>759</v>
      </c>
      <c r="D7" s="6" t="s">
        <v>768</v>
      </c>
      <c r="E7" s="6" t="s">
        <v>769</v>
      </c>
      <c r="F7" s="6" t="s">
        <v>770</v>
      </c>
    </row>
    <row r="8" customFormat="false" ht="72" hidden="false" customHeight="true" outlineLevel="0" collapsed="false">
      <c r="A8" s="17" t="n">
        <v>4</v>
      </c>
      <c r="B8" s="29" t="s">
        <v>771</v>
      </c>
      <c r="C8" s="6" t="s">
        <v>759</v>
      </c>
      <c r="D8" s="6" t="s">
        <v>772</v>
      </c>
      <c r="E8" s="6" t="s">
        <v>773</v>
      </c>
      <c r="F8" s="6" t="s">
        <v>774</v>
      </c>
    </row>
    <row r="9" customFormat="false" ht="84" hidden="false" customHeight="true" outlineLevel="0" collapsed="false">
      <c r="A9" s="17" t="n">
        <v>5</v>
      </c>
      <c r="B9" s="29" t="s">
        <v>775</v>
      </c>
      <c r="C9" s="6" t="s">
        <v>759</v>
      </c>
      <c r="D9" s="6" t="s">
        <v>776</v>
      </c>
      <c r="E9" s="6" t="s">
        <v>777</v>
      </c>
      <c r="F9" s="6" t="s">
        <v>778</v>
      </c>
    </row>
    <row r="10" customFormat="false" ht="120" hidden="false" customHeight="true" outlineLevel="0" collapsed="false">
      <c r="A10" s="17" t="n">
        <v>6</v>
      </c>
      <c r="B10" s="29" t="s">
        <v>779</v>
      </c>
      <c r="C10" s="6" t="s">
        <v>780</v>
      </c>
      <c r="D10" s="6" t="s">
        <v>781</v>
      </c>
      <c r="E10" s="6" t="s">
        <v>777</v>
      </c>
      <c r="F10" s="6" t="s">
        <v>782</v>
      </c>
    </row>
    <row r="11" customFormat="false" ht="144" hidden="false" customHeight="true" outlineLevel="0" collapsed="false">
      <c r="A11" s="17" t="n">
        <v>7</v>
      </c>
      <c r="B11" s="29" t="s">
        <v>783</v>
      </c>
      <c r="C11" s="6" t="s">
        <v>759</v>
      </c>
      <c r="D11" s="6" t="s">
        <v>784</v>
      </c>
      <c r="E11" s="6" t="s">
        <v>785</v>
      </c>
      <c r="F11" s="6" t="s">
        <v>786</v>
      </c>
    </row>
    <row r="12" customFormat="false" ht="60" hidden="false" customHeight="true" outlineLevel="0" collapsed="false">
      <c r="A12" s="17" t="n">
        <v>8</v>
      </c>
      <c r="B12" s="29" t="s">
        <v>787</v>
      </c>
      <c r="C12" s="6" t="s">
        <v>759</v>
      </c>
      <c r="D12" s="6" t="s">
        <v>788</v>
      </c>
      <c r="E12" s="6" t="s">
        <v>789</v>
      </c>
      <c r="F12" s="6" t="s">
        <v>790</v>
      </c>
    </row>
    <row r="13" customFormat="false" ht="60" hidden="false" customHeight="true" outlineLevel="0" collapsed="false">
      <c r="A13" s="17" t="n">
        <v>9</v>
      </c>
      <c r="B13" s="29" t="s">
        <v>791</v>
      </c>
      <c r="C13" s="6" t="s">
        <v>759</v>
      </c>
      <c r="D13" s="6" t="s">
        <v>792</v>
      </c>
      <c r="E13" s="6" t="s">
        <v>793</v>
      </c>
      <c r="F13" s="6" t="s">
        <v>794</v>
      </c>
    </row>
    <row r="14" customFormat="false" ht="48" hidden="false" customHeight="true" outlineLevel="0" collapsed="false">
      <c r="A14" s="17" t="n">
        <v>10</v>
      </c>
      <c r="B14" s="29" t="s">
        <v>795</v>
      </c>
      <c r="C14" s="6" t="s">
        <v>780</v>
      </c>
      <c r="D14" s="6" t="s">
        <v>796</v>
      </c>
      <c r="E14" s="6" t="s">
        <v>797</v>
      </c>
      <c r="F14" s="6" t="s">
        <v>798</v>
      </c>
    </row>
    <row r="15" customFormat="false" ht="36" hidden="false" customHeight="true" outlineLevel="0" collapsed="false">
      <c r="A15" s="17" t="n">
        <v>11</v>
      </c>
      <c r="B15" s="29" t="s">
        <v>799</v>
      </c>
      <c r="C15" s="6" t="s">
        <v>800</v>
      </c>
      <c r="D15" s="6" t="s">
        <v>801</v>
      </c>
      <c r="E15" s="6" t="s">
        <v>802</v>
      </c>
      <c r="F15" s="6" t="s">
        <v>803</v>
      </c>
    </row>
    <row r="16" customFormat="false" ht="48" hidden="false" customHeight="true" outlineLevel="0" collapsed="false">
      <c r="A16" s="17" t="n">
        <v>12</v>
      </c>
      <c r="B16" s="29" t="s">
        <v>804</v>
      </c>
      <c r="C16" s="6" t="s">
        <v>759</v>
      </c>
      <c r="D16" s="6" t="s">
        <v>805</v>
      </c>
      <c r="E16" s="6" t="s">
        <v>806</v>
      </c>
      <c r="F16" s="6" t="s">
        <v>807</v>
      </c>
    </row>
    <row r="17" customFormat="false" ht="144" hidden="false" customHeight="true" outlineLevel="0" collapsed="false">
      <c r="A17" s="17" t="n">
        <v>13</v>
      </c>
      <c r="B17" s="29" t="s">
        <v>808</v>
      </c>
      <c r="C17" s="6" t="s">
        <v>759</v>
      </c>
      <c r="D17" s="6" t="s">
        <v>809</v>
      </c>
      <c r="E17" s="6" t="s">
        <v>777</v>
      </c>
      <c r="F17" s="6" t="s">
        <v>810</v>
      </c>
    </row>
    <row r="18" customFormat="false" ht="48" hidden="false" customHeight="true" outlineLevel="0" collapsed="false">
      <c r="A18" s="17" t="n">
        <v>14</v>
      </c>
      <c r="B18" s="29" t="s">
        <v>811</v>
      </c>
      <c r="C18" s="6" t="s">
        <v>780</v>
      </c>
      <c r="D18" s="6" t="s">
        <v>812</v>
      </c>
      <c r="E18" s="6" t="s">
        <v>813</v>
      </c>
      <c r="F18" s="6" t="s">
        <v>814</v>
      </c>
    </row>
    <row r="19" customFormat="false" ht="72" hidden="false" customHeight="true" outlineLevel="0" collapsed="false">
      <c r="A19" s="17" t="n">
        <v>15</v>
      </c>
      <c r="B19" s="29" t="s">
        <v>815</v>
      </c>
      <c r="C19" s="6" t="s">
        <v>816</v>
      </c>
      <c r="D19" s="6" t="s">
        <v>817</v>
      </c>
      <c r="E19" s="6" t="s">
        <v>777</v>
      </c>
      <c r="F19" s="6" t="s">
        <v>818</v>
      </c>
    </row>
    <row r="20" customFormat="false" ht="60" hidden="false" customHeight="true" outlineLevel="0" collapsed="false">
      <c r="A20" s="17" t="n">
        <v>16</v>
      </c>
      <c r="B20" s="29" t="s">
        <v>819</v>
      </c>
      <c r="C20" s="6" t="s">
        <v>816</v>
      </c>
      <c r="D20" s="6" t="s">
        <v>820</v>
      </c>
      <c r="E20" s="6" t="s">
        <v>821</v>
      </c>
      <c r="F20" s="6" t="s">
        <v>822</v>
      </c>
    </row>
    <row r="21" customFormat="false" ht="60" hidden="false" customHeight="true" outlineLevel="0" collapsed="false">
      <c r="A21" s="17" t="n">
        <v>17</v>
      </c>
      <c r="B21" s="29" t="s">
        <v>823</v>
      </c>
      <c r="C21" s="6" t="s">
        <v>824</v>
      </c>
      <c r="D21" s="6" t="s">
        <v>825</v>
      </c>
      <c r="E21" s="6" t="s">
        <v>826</v>
      </c>
      <c r="F21" s="6" t="s">
        <v>827</v>
      </c>
    </row>
    <row r="22" customFormat="false" ht="72" hidden="false" customHeight="true" outlineLevel="0" collapsed="false">
      <c r="A22" s="17" t="n">
        <v>18</v>
      </c>
      <c r="B22" s="29" t="s">
        <v>828</v>
      </c>
      <c r="C22" s="6" t="s">
        <v>824</v>
      </c>
      <c r="D22" s="6" t="s">
        <v>829</v>
      </c>
      <c r="E22" s="6" t="s">
        <v>830</v>
      </c>
      <c r="F22" s="6" t="s">
        <v>831</v>
      </c>
    </row>
    <row r="23" customFormat="false" ht="108" hidden="false" customHeight="true" outlineLevel="0" collapsed="false">
      <c r="A23" s="17" t="n">
        <v>19</v>
      </c>
      <c r="B23" s="29" t="s">
        <v>832</v>
      </c>
      <c r="C23" s="6" t="s">
        <v>824</v>
      </c>
      <c r="D23" s="6" t="s">
        <v>833</v>
      </c>
      <c r="E23" s="6" t="s">
        <v>834</v>
      </c>
      <c r="F23" s="6" t="s">
        <v>835</v>
      </c>
    </row>
    <row r="24" customFormat="false" ht="30" hidden="false" customHeight="true" outlineLevel="0" collapsed="false">
      <c r="A24" s="17" t="n">
        <v>20</v>
      </c>
      <c r="B24" s="29" t="s">
        <v>836</v>
      </c>
      <c r="C24" s="6" t="s">
        <v>780</v>
      </c>
      <c r="D24" s="6" t="s">
        <v>837</v>
      </c>
      <c r="E24" s="6" t="s">
        <v>830</v>
      </c>
      <c r="F24" s="6" t="s">
        <v>803</v>
      </c>
    </row>
    <row r="25" customFormat="false" ht="30" hidden="false" customHeight="true" outlineLevel="0" collapsed="false">
      <c r="A25" s="17" t="n">
        <v>21</v>
      </c>
      <c r="B25" s="29" t="s">
        <v>838</v>
      </c>
      <c r="C25" s="6" t="s">
        <v>839</v>
      </c>
      <c r="D25" s="6" t="s">
        <v>840</v>
      </c>
      <c r="E25" s="6" t="s">
        <v>830</v>
      </c>
      <c r="F25" s="6" t="s">
        <v>841</v>
      </c>
    </row>
    <row r="26" customFormat="false" ht="36" hidden="false" customHeight="true" outlineLevel="0" collapsed="false">
      <c r="A26" s="17" t="n">
        <v>22</v>
      </c>
      <c r="B26" s="29" t="s">
        <v>842</v>
      </c>
      <c r="C26" s="6" t="s">
        <v>816</v>
      </c>
      <c r="D26" s="6" t="s">
        <v>843</v>
      </c>
      <c r="E26" s="6" t="s">
        <v>844</v>
      </c>
      <c r="F26" s="6" t="s">
        <v>831</v>
      </c>
    </row>
    <row r="27" customFormat="false" ht="30" hidden="false" customHeight="true" outlineLevel="0" collapsed="false">
      <c r="A27" s="17" t="n">
        <v>23</v>
      </c>
      <c r="B27" s="29" t="s">
        <v>705</v>
      </c>
      <c r="C27" s="6" t="s">
        <v>816</v>
      </c>
      <c r="D27" s="6" t="s">
        <v>845</v>
      </c>
      <c r="E27" s="6" t="s">
        <v>846</v>
      </c>
      <c r="F27" s="6" t="s">
        <v>847</v>
      </c>
    </row>
    <row r="28" customFormat="false" ht="36" hidden="false" customHeight="true" outlineLevel="0" collapsed="false">
      <c r="A28" s="17" t="n">
        <v>24</v>
      </c>
      <c r="B28" s="29" t="s">
        <v>848</v>
      </c>
      <c r="C28" s="6" t="s">
        <v>800</v>
      </c>
      <c r="D28" s="6" t="s">
        <v>849</v>
      </c>
      <c r="E28" s="6" t="s">
        <v>736</v>
      </c>
      <c r="F28" s="6" t="s">
        <v>850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11"/>
    <col collapsed="false" customWidth="true" hidden="false" outlineLevel="0" max="4" min="4" style="0" width="98"/>
  </cols>
  <sheetData>
    <row r="1" customFormat="false" ht="16.15" hidden="false" customHeight="false" outlineLevel="0" collapsed="false">
      <c r="A1" s="1" t="s">
        <v>851</v>
      </c>
    </row>
    <row r="3" customFormat="false" ht="33.75" hidden="false" customHeight="true" outlineLevel="0" collapsed="false">
      <c r="A3" s="14" t="s">
        <v>852</v>
      </c>
      <c r="B3" s="14" t="s">
        <v>853</v>
      </c>
      <c r="C3" s="14" t="s">
        <v>854</v>
      </c>
      <c r="D3" s="14" t="s">
        <v>855</v>
      </c>
    </row>
    <row r="4" customFormat="false" ht="15" hidden="false" customHeight="false" outlineLevel="0" collapsed="false">
      <c r="A4" s="4" t="s">
        <v>856</v>
      </c>
      <c r="B4" s="6" t="s">
        <v>857</v>
      </c>
      <c r="C4" s="18" t="n">
        <v>31</v>
      </c>
      <c r="D4" s="6" t="s">
        <v>858</v>
      </c>
    </row>
    <row r="5" customFormat="false" ht="15" hidden="false" customHeight="false" outlineLevel="0" collapsed="false">
      <c r="A5" s="4" t="s">
        <v>859</v>
      </c>
      <c r="B5" s="6" t="s">
        <v>860</v>
      </c>
      <c r="C5" s="18" t="n">
        <v>23</v>
      </c>
      <c r="D5" s="6" t="s">
        <v>861</v>
      </c>
    </row>
    <row r="6" customFormat="false" ht="15" hidden="false" customHeight="false" outlineLevel="0" collapsed="false">
      <c r="A6" s="4" t="s">
        <v>862</v>
      </c>
      <c r="B6" s="6" t="s">
        <v>863</v>
      </c>
      <c r="C6" s="18" t="n">
        <v>28</v>
      </c>
      <c r="D6" s="6" t="s">
        <v>864</v>
      </c>
    </row>
    <row r="7" customFormat="false" ht="15" hidden="false" customHeight="false" outlineLevel="0" collapsed="false">
      <c r="A7" s="4" t="s">
        <v>865</v>
      </c>
      <c r="B7" s="6" t="s">
        <v>866</v>
      </c>
      <c r="C7" s="18" t="n">
        <v>31</v>
      </c>
      <c r="D7" s="6" t="s">
        <v>867</v>
      </c>
    </row>
    <row r="8" customFormat="false" ht="15" hidden="false" customHeight="false" outlineLevel="0" collapsed="false">
      <c r="A8" s="4" t="s">
        <v>868</v>
      </c>
      <c r="B8" s="6" t="s">
        <v>869</v>
      </c>
      <c r="C8" s="18" t="n">
        <v>32</v>
      </c>
      <c r="D8" s="6" t="s">
        <v>870</v>
      </c>
    </row>
    <row r="9" customFormat="false" ht="15" hidden="false" customHeight="false" outlineLevel="0" collapsed="false">
      <c r="A9" s="4" t="s">
        <v>871</v>
      </c>
      <c r="B9" s="6" t="s">
        <v>872</v>
      </c>
      <c r="C9" s="18" t="n">
        <v>34</v>
      </c>
      <c r="D9" s="6" t="s">
        <v>873</v>
      </c>
    </row>
    <row r="10" customFormat="false" ht="15" hidden="false" customHeight="false" outlineLevel="0" collapsed="false">
      <c r="A10" s="4" t="s">
        <v>874</v>
      </c>
      <c r="B10" s="6" t="s">
        <v>875</v>
      </c>
      <c r="C10" s="18" t="n">
        <v>35</v>
      </c>
      <c r="D10" s="6" t="s">
        <v>876</v>
      </c>
    </row>
    <row r="11" customFormat="false" ht="15" hidden="false" customHeight="false" outlineLevel="0" collapsed="false">
      <c r="A11" s="4" t="s">
        <v>877</v>
      </c>
      <c r="B11" s="6" t="s">
        <v>878</v>
      </c>
      <c r="C11" s="18" t="n">
        <v>38</v>
      </c>
      <c r="D11" s="6" t="s">
        <v>879</v>
      </c>
    </row>
    <row r="12" customFormat="false" ht="15" hidden="false" customHeight="false" outlineLevel="0" collapsed="false">
      <c r="A12" s="4" t="s">
        <v>880</v>
      </c>
      <c r="B12" s="6" t="s">
        <v>881</v>
      </c>
      <c r="C12" s="18" t="n">
        <v>39</v>
      </c>
      <c r="D12" s="6" t="s">
        <v>882</v>
      </c>
    </row>
    <row r="13" customFormat="false" ht="15" hidden="false" customHeight="false" outlineLevel="0" collapsed="false">
      <c r="A13" s="4" t="s">
        <v>883</v>
      </c>
      <c r="B13" s="6" t="s">
        <v>884</v>
      </c>
      <c r="C13" s="18" t="n">
        <v>41</v>
      </c>
      <c r="D13" s="6" t="s">
        <v>885</v>
      </c>
    </row>
    <row r="14" customFormat="false" ht="15" hidden="false" customHeight="false" outlineLevel="0" collapsed="false">
      <c r="A14" s="4" t="s">
        <v>886</v>
      </c>
      <c r="B14" s="6" t="s">
        <v>887</v>
      </c>
      <c r="C14" s="18" t="n">
        <v>42</v>
      </c>
      <c r="D14" s="6" t="s">
        <v>888</v>
      </c>
    </row>
    <row r="15" customFormat="false" ht="15" hidden="false" customHeight="false" outlineLevel="0" collapsed="false">
      <c r="A15" s="4" t="s">
        <v>889</v>
      </c>
      <c r="B15" s="6" t="s">
        <v>890</v>
      </c>
      <c r="C15" s="18" t="n">
        <v>44</v>
      </c>
      <c r="D15" s="6" t="s">
        <v>891</v>
      </c>
    </row>
    <row r="16" customFormat="false" ht="15" hidden="false" customHeight="false" outlineLevel="0" collapsed="false">
      <c r="A16" s="4" t="s">
        <v>892</v>
      </c>
      <c r="B16" s="6" t="s">
        <v>893</v>
      </c>
      <c r="C16" s="18" t="n">
        <v>45</v>
      </c>
      <c r="D16" s="6" t="s">
        <v>894</v>
      </c>
    </row>
    <row r="17" customFormat="false" ht="15" hidden="false" customHeight="false" outlineLevel="0" collapsed="false">
      <c r="A17" s="4" t="s">
        <v>895</v>
      </c>
      <c r="B17" s="6" t="s">
        <v>896</v>
      </c>
      <c r="C17" s="18" t="n">
        <v>49</v>
      </c>
      <c r="D17" s="6" t="s">
        <v>897</v>
      </c>
    </row>
    <row r="18" customFormat="false" ht="15" hidden="false" customHeight="false" outlineLevel="0" collapsed="false">
      <c r="A18" s="4" t="s">
        <v>898</v>
      </c>
      <c r="B18" s="6" t="s">
        <v>899</v>
      </c>
      <c r="C18" s="18" t="n">
        <v>62</v>
      </c>
      <c r="D18" s="6" t="s">
        <v>900</v>
      </c>
    </row>
    <row r="19" customFormat="false" ht="15" hidden="false" customHeight="false" outlineLevel="0" collapsed="false">
      <c r="A19" s="4" t="s">
        <v>901</v>
      </c>
      <c r="B19" s="6" t="s">
        <v>902</v>
      </c>
      <c r="C19" s="18" t="n">
        <v>68</v>
      </c>
      <c r="D19" s="6" t="s">
        <v>903</v>
      </c>
    </row>
    <row r="20" customFormat="false" ht="15" hidden="false" customHeight="false" outlineLevel="0" collapsed="false">
      <c r="A20" s="4" t="s">
        <v>904</v>
      </c>
      <c r="B20" s="6" t="s">
        <v>905</v>
      </c>
      <c r="C20" s="18" t="n">
        <v>75</v>
      </c>
      <c r="D20" s="6" t="s">
        <v>906</v>
      </c>
    </row>
    <row r="21" customFormat="false" ht="15" hidden="false" customHeight="false" outlineLevel="0" collapsed="false">
      <c r="A21" s="4" t="s">
        <v>907</v>
      </c>
      <c r="B21" s="6" t="s">
        <v>908</v>
      </c>
      <c r="C21" s="18" t="n">
        <v>79</v>
      </c>
      <c r="D21" s="6" t="s">
        <v>909</v>
      </c>
    </row>
    <row r="22" customFormat="false" ht="15" hidden="false" customHeight="false" outlineLevel="0" collapsed="false">
      <c r="A22" s="4" t="s">
        <v>910</v>
      </c>
      <c r="B22" s="6" t="s">
        <v>911</v>
      </c>
      <c r="C22" s="18" t="n">
        <v>90</v>
      </c>
      <c r="D22" s="6" t="s">
        <v>912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15"/>
    <col collapsed="false" customWidth="true" hidden="false" outlineLevel="0" max="4" min="4" style="0" width="12"/>
    <col collapsed="false" customWidth="true" hidden="false" outlineLevel="0" max="5" min="5" style="0" width="86"/>
    <col collapsed="false" customWidth="true" hidden="false" outlineLevel="0" max="6" min="6" style="0" width="34"/>
    <col collapsed="false" customWidth="true" hidden="false" outlineLevel="0" max="7" min="7" style="0" width="92"/>
  </cols>
  <sheetData>
    <row r="1" customFormat="false" ht="16.15" hidden="false" customHeight="false" outlineLevel="0" collapsed="false">
      <c r="A1" s="1" t="s">
        <v>913</v>
      </c>
    </row>
    <row r="2" customFormat="false" ht="15" hidden="false" customHeight="false" outlineLevel="0" collapsed="false">
      <c r="A2" s="2" t="s">
        <v>914</v>
      </c>
    </row>
    <row r="4" customFormat="false" ht="33.75" hidden="false" customHeight="true" outlineLevel="0" collapsed="false">
      <c r="A4" s="14" t="s">
        <v>456</v>
      </c>
      <c r="B4" s="14" t="s">
        <v>915</v>
      </c>
      <c r="C4" s="14" t="s">
        <v>916</v>
      </c>
      <c r="D4" s="14" t="s">
        <v>917</v>
      </c>
      <c r="E4" s="14" t="s">
        <v>918</v>
      </c>
      <c r="F4" s="14" t="s">
        <v>919</v>
      </c>
      <c r="G4" s="14" t="s">
        <v>855</v>
      </c>
    </row>
    <row r="5" customFormat="false" ht="43.5" hidden="false" customHeight="true" outlineLevel="0" collapsed="false">
      <c r="A5" s="4" t="s">
        <v>920</v>
      </c>
      <c r="B5" s="18" t="n">
        <v>1</v>
      </c>
      <c r="C5" s="4" t="s">
        <v>859</v>
      </c>
      <c r="D5" s="19" t="s">
        <v>921</v>
      </c>
      <c r="E5" s="6" t="s">
        <v>922</v>
      </c>
      <c r="F5" s="6" t="s">
        <v>923</v>
      </c>
      <c r="G5" s="6" t="s">
        <v>924</v>
      </c>
    </row>
    <row r="6" customFormat="false" ht="33" hidden="false" customHeight="true" outlineLevel="0" collapsed="false">
      <c r="A6" s="19"/>
      <c r="B6" s="18" t="n">
        <v>2</v>
      </c>
      <c r="C6" s="4" t="s">
        <v>862</v>
      </c>
      <c r="D6" s="19" t="s">
        <v>921</v>
      </c>
      <c r="E6" s="6" t="s">
        <v>925</v>
      </c>
      <c r="F6" s="6" t="s">
        <v>926</v>
      </c>
      <c r="G6" s="6" t="s">
        <v>927</v>
      </c>
    </row>
    <row r="7" customFormat="false" ht="25.5" hidden="false" customHeight="true" outlineLevel="0" collapsed="false">
      <c r="A7" s="19"/>
      <c r="B7" s="18" t="n">
        <v>3</v>
      </c>
      <c r="C7" s="4" t="s">
        <v>898</v>
      </c>
      <c r="D7" s="19" t="s">
        <v>921</v>
      </c>
      <c r="E7" s="6" t="s">
        <v>928</v>
      </c>
      <c r="F7" s="6" t="s">
        <v>929</v>
      </c>
      <c r="G7" s="6" t="s">
        <v>930</v>
      </c>
    </row>
    <row r="8" customFormat="false" ht="43.5" hidden="false" customHeight="true" outlineLevel="0" collapsed="false">
      <c r="A8" s="19"/>
      <c r="B8" s="18" t="n">
        <v>4</v>
      </c>
      <c r="C8" s="4" t="s">
        <v>931</v>
      </c>
      <c r="D8" s="19" t="s">
        <v>932</v>
      </c>
      <c r="E8" s="6" t="s">
        <v>933</v>
      </c>
      <c r="F8" s="6" t="s">
        <v>934</v>
      </c>
      <c r="G8" s="6" t="s">
        <v>935</v>
      </c>
    </row>
    <row r="9" customFormat="false" ht="43.5" hidden="false" customHeight="true" outlineLevel="0" collapsed="false">
      <c r="A9" s="19"/>
      <c r="B9" s="18" t="n">
        <v>5</v>
      </c>
      <c r="C9" s="4" t="s">
        <v>936</v>
      </c>
      <c r="D9" s="19" t="s">
        <v>932</v>
      </c>
      <c r="E9" s="6" t="s">
        <v>937</v>
      </c>
      <c r="F9" s="6" t="s">
        <v>934</v>
      </c>
      <c r="G9" s="6" t="s">
        <v>938</v>
      </c>
    </row>
    <row r="10" customFormat="false" ht="43.5" hidden="false" customHeight="true" outlineLevel="0" collapsed="false">
      <c r="A10" s="19"/>
      <c r="B10" s="18" t="n">
        <v>6</v>
      </c>
      <c r="C10" s="4" t="s">
        <v>939</v>
      </c>
      <c r="D10" s="19" t="s">
        <v>932</v>
      </c>
      <c r="E10" s="6" t="s">
        <v>940</v>
      </c>
      <c r="F10" s="6" t="s">
        <v>934</v>
      </c>
      <c r="G10" s="6" t="s">
        <v>935</v>
      </c>
    </row>
    <row r="11" customFormat="false" ht="43.5" hidden="false" customHeight="true" outlineLevel="0" collapsed="false">
      <c r="A11" s="19"/>
      <c r="B11" s="18" t="n">
        <v>7</v>
      </c>
      <c r="C11" s="4" t="s">
        <v>941</v>
      </c>
      <c r="D11" s="19" t="s">
        <v>932</v>
      </c>
      <c r="E11" s="6" t="s">
        <v>942</v>
      </c>
      <c r="F11" s="6" t="s">
        <v>934</v>
      </c>
      <c r="G11" s="6" t="s">
        <v>938</v>
      </c>
    </row>
    <row r="12" customFormat="false" ht="25.5" hidden="false" customHeight="true" outlineLevel="0" collapsed="false">
      <c r="A12" s="19"/>
      <c r="B12" s="18" t="n">
        <v>8</v>
      </c>
      <c r="C12" s="4" t="s">
        <v>943</v>
      </c>
      <c r="D12" s="19" t="s">
        <v>944</v>
      </c>
      <c r="E12" s="6" t="s">
        <v>945</v>
      </c>
      <c r="F12" s="6" t="s">
        <v>934</v>
      </c>
      <c r="G12" s="6" t="s">
        <v>935</v>
      </c>
    </row>
    <row r="13" customFormat="false" ht="33" hidden="false" customHeight="true" outlineLevel="0" collapsed="false">
      <c r="A13" s="19"/>
      <c r="B13" s="18" t="n">
        <v>9</v>
      </c>
      <c r="C13" s="4" t="s">
        <v>946</v>
      </c>
      <c r="D13" s="19" t="s">
        <v>932</v>
      </c>
      <c r="E13" s="6" t="s">
        <v>947</v>
      </c>
      <c r="F13" s="6" t="s">
        <v>948</v>
      </c>
      <c r="G13" s="6" t="s">
        <v>949</v>
      </c>
    </row>
    <row r="14" customFormat="false" ht="25.5" hidden="false" customHeight="true" outlineLevel="0" collapsed="false">
      <c r="A14" s="19"/>
      <c r="B14" s="18" t="n">
        <v>10</v>
      </c>
      <c r="C14" s="4" t="s">
        <v>950</v>
      </c>
      <c r="D14" s="19" t="s">
        <v>921</v>
      </c>
      <c r="E14" s="6" t="s">
        <v>951</v>
      </c>
      <c r="F14" s="6" t="s">
        <v>952</v>
      </c>
      <c r="G14" s="6" t="s">
        <v>927</v>
      </c>
    </row>
    <row r="15" customFormat="false" ht="33" hidden="false" customHeight="true" outlineLevel="0" collapsed="false">
      <c r="A15" s="19"/>
      <c r="B15" s="18" t="n">
        <v>11</v>
      </c>
      <c r="C15" s="4" t="s">
        <v>953</v>
      </c>
      <c r="D15" s="19" t="s">
        <v>932</v>
      </c>
      <c r="E15" s="6" t="s">
        <v>954</v>
      </c>
      <c r="F15" s="6" t="s">
        <v>955</v>
      </c>
      <c r="G15" s="6" t="s">
        <v>956</v>
      </c>
    </row>
    <row r="16" customFormat="false" ht="43.5" hidden="false" customHeight="true" outlineLevel="0" collapsed="false">
      <c r="A16" s="19"/>
      <c r="B16" s="18" t="n">
        <v>12</v>
      </c>
      <c r="C16" s="4" t="s">
        <v>871</v>
      </c>
      <c r="D16" s="19" t="s">
        <v>957</v>
      </c>
      <c r="E16" s="6" t="s">
        <v>958</v>
      </c>
      <c r="F16" s="6" t="s">
        <v>959</v>
      </c>
      <c r="G16" s="6" t="s">
        <v>960</v>
      </c>
    </row>
    <row r="17" customFormat="false" ht="33" hidden="false" customHeight="true" outlineLevel="0" collapsed="false">
      <c r="A17" s="19"/>
      <c r="B17" s="18" t="n">
        <v>13</v>
      </c>
      <c r="C17" s="4" t="s">
        <v>961</v>
      </c>
      <c r="D17" s="19" t="s">
        <v>932</v>
      </c>
      <c r="E17" s="6" t="s">
        <v>962</v>
      </c>
      <c r="F17" s="6" t="s">
        <v>963</v>
      </c>
      <c r="G17" s="6" t="s">
        <v>964</v>
      </c>
    </row>
    <row r="18" customFormat="false" ht="33" hidden="false" customHeight="true" outlineLevel="0" collapsed="false">
      <c r="A18" s="19"/>
      <c r="B18" s="18" t="n">
        <v>14</v>
      </c>
      <c r="C18" s="4" t="s">
        <v>965</v>
      </c>
      <c r="D18" s="19" t="s">
        <v>932</v>
      </c>
      <c r="E18" s="6" t="s">
        <v>966</v>
      </c>
      <c r="F18" s="6" t="s">
        <v>967</v>
      </c>
      <c r="G18" s="6" t="s">
        <v>964</v>
      </c>
    </row>
    <row r="19" customFormat="false" ht="33" hidden="false" customHeight="true" outlineLevel="0" collapsed="false">
      <c r="A19" s="19"/>
      <c r="B19" s="18" t="n">
        <v>15</v>
      </c>
      <c r="C19" s="4" t="s">
        <v>968</v>
      </c>
      <c r="D19" s="19" t="s">
        <v>932</v>
      </c>
      <c r="E19" s="6" t="s">
        <v>969</v>
      </c>
      <c r="F19" s="6" t="s">
        <v>970</v>
      </c>
      <c r="G19" s="6" t="s">
        <v>971</v>
      </c>
    </row>
    <row r="20" customFormat="false" ht="33" hidden="false" customHeight="true" outlineLevel="0" collapsed="false">
      <c r="A20" s="19"/>
      <c r="B20" s="18" t="n">
        <v>16</v>
      </c>
      <c r="C20" s="4" t="s">
        <v>972</v>
      </c>
      <c r="D20" s="19" t="s">
        <v>932</v>
      </c>
      <c r="E20" s="6" t="s">
        <v>973</v>
      </c>
      <c r="F20" s="6" t="s">
        <v>974</v>
      </c>
      <c r="G20" s="6" t="s">
        <v>975</v>
      </c>
    </row>
    <row r="21" customFormat="false" ht="33" hidden="false" customHeight="true" outlineLevel="0" collapsed="false">
      <c r="A21" s="19"/>
      <c r="B21" s="18" t="n">
        <v>17</v>
      </c>
      <c r="C21" s="4" t="s">
        <v>976</v>
      </c>
      <c r="D21" s="19" t="s">
        <v>932</v>
      </c>
      <c r="E21" s="6" t="s">
        <v>977</v>
      </c>
      <c r="F21" s="6" t="s">
        <v>557</v>
      </c>
      <c r="G21" s="6" t="s">
        <v>978</v>
      </c>
    </row>
    <row r="22" customFormat="false" ht="33" hidden="false" customHeight="true" outlineLevel="0" collapsed="false">
      <c r="A22" s="19"/>
      <c r="B22" s="18" t="n">
        <v>18</v>
      </c>
      <c r="C22" s="4" t="s">
        <v>979</v>
      </c>
      <c r="D22" s="19" t="s">
        <v>932</v>
      </c>
      <c r="E22" s="6" t="s">
        <v>980</v>
      </c>
      <c r="F22" s="6" t="s">
        <v>981</v>
      </c>
      <c r="G22" s="6" t="s">
        <v>982</v>
      </c>
    </row>
    <row r="23" customFormat="false" ht="33" hidden="false" customHeight="true" outlineLevel="0" collapsed="false">
      <c r="A23" s="19"/>
      <c r="B23" s="18" t="n">
        <v>19</v>
      </c>
      <c r="C23" s="4" t="s">
        <v>983</v>
      </c>
      <c r="D23" s="19" t="s">
        <v>932</v>
      </c>
      <c r="E23" s="6" t="s">
        <v>984</v>
      </c>
      <c r="F23" s="6" t="s">
        <v>974</v>
      </c>
      <c r="G23" s="6" t="s">
        <v>975</v>
      </c>
    </row>
    <row r="24" customFormat="false" ht="25.5" hidden="false" customHeight="true" outlineLevel="0" collapsed="false">
      <c r="A24" s="19"/>
      <c r="B24" s="18" t="n">
        <v>20</v>
      </c>
      <c r="C24" s="4" t="s">
        <v>985</v>
      </c>
      <c r="D24" s="19" t="s">
        <v>986</v>
      </c>
      <c r="E24" s="6" t="s">
        <v>987</v>
      </c>
      <c r="F24" s="6" t="s">
        <v>988</v>
      </c>
      <c r="G24" s="6" t="s">
        <v>989</v>
      </c>
    </row>
    <row r="25" customFormat="false" ht="33" hidden="false" customHeight="true" outlineLevel="0" collapsed="false">
      <c r="A25" s="19"/>
      <c r="B25" s="18" t="n">
        <v>21</v>
      </c>
      <c r="C25" s="4" t="s">
        <v>856</v>
      </c>
      <c r="D25" s="19" t="s">
        <v>932</v>
      </c>
      <c r="E25" s="6" t="s">
        <v>990</v>
      </c>
      <c r="F25" s="6" t="s">
        <v>991</v>
      </c>
      <c r="G25" s="6" t="s">
        <v>992</v>
      </c>
    </row>
    <row r="26" customFormat="false" ht="33" hidden="false" customHeight="true" outlineLevel="0" collapsed="false">
      <c r="A26" s="19"/>
      <c r="B26" s="18" t="n">
        <v>22</v>
      </c>
      <c r="C26" s="4" t="s">
        <v>883</v>
      </c>
      <c r="D26" s="19" t="s">
        <v>957</v>
      </c>
      <c r="E26" s="6" t="s">
        <v>993</v>
      </c>
      <c r="F26" s="6" t="s">
        <v>959</v>
      </c>
      <c r="G26" s="6" t="s">
        <v>994</v>
      </c>
    </row>
    <row r="27" customFormat="false" ht="33" hidden="false" customHeight="true" outlineLevel="0" collapsed="false">
      <c r="A27" s="19"/>
      <c r="B27" s="18" t="n">
        <v>23</v>
      </c>
      <c r="C27" s="4" t="s">
        <v>889</v>
      </c>
      <c r="D27" s="19" t="s">
        <v>957</v>
      </c>
      <c r="E27" s="6" t="s">
        <v>995</v>
      </c>
      <c r="F27" s="6" t="s">
        <v>959</v>
      </c>
      <c r="G27" s="6" t="s">
        <v>994</v>
      </c>
    </row>
    <row r="28" customFormat="false" ht="33" hidden="false" customHeight="true" outlineLevel="0" collapsed="false">
      <c r="A28" s="19"/>
      <c r="B28" s="18" t="n">
        <v>24</v>
      </c>
      <c r="C28" s="4" t="s">
        <v>996</v>
      </c>
      <c r="D28" s="19" t="s">
        <v>957</v>
      </c>
      <c r="E28" s="6" t="s">
        <v>997</v>
      </c>
      <c r="F28" s="6" t="s">
        <v>998</v>
      </c>
      <c r="G28" s="6" t="s">
        <v>999</v>
      </c>
    </row>
    <row r="29" customFormat="false" ht="33" hidden="false" customHeight="true" outlineLevel="0" collapsed="false">
      <c r="A29" s="19"/>
      <c r="B29" s="18" t="n">
        <v>25</v>
      </c>
      <c r="C29" s="4" t="s">
        <v>904</v>
      </c>
      <c r="D29" s="19" t="s">
        <v>957</v>
      </c>
      <c r="E29" s="6" t="s">
        <v>1000</v>
      </c>
      <c r="F29" s="6" t="s">
        <v>998</v>
      </c>
      <c r="G29" s="6" t="s">
        <v>999</v>
      </c>
    </row>
    <row r="30" customFormat="false" ht="33" hidden="false" customHeight="true" outlineLevel="0" collapsed="false">
      <c r="A30" s="19"/>
      <c r="B30" s="18" t="n">
        <v>26</v>
      </c>
      <c r="C30" s="4" t="s">
        <v>1001</v>
      </c>
      <c r="D30" s="19" t="s">
        <v>957</v>
      </c>
      <c r="E30" s="6" t="s">
        <v>1002</v>
      </c>
      <c r="F30" s="6" t="s">
        <v>998</v>
      </c>
      <c r="G30" s="6" t="s">
        <v>999</v>
      </c>
    </row>
    <row r="31" customFormat="false" ht="33" hidden="false" customHeight="true" outlineLevel="0" collapsed="false">
      <c r="A31" s="19"/>
      <c r="B31" s="18" t="n">
        <v>27</v>
      </c>
      <c r="C31" s="4" t="s">
        <v>1003</v>
      </c>
      <c r="D31" s="19" t="s">
        <v>957</v>
      </c>
      <c r="E31" s="6" t="s">
        <v>1004</v>
      </c>
      <c r="F31" s="6" t="s">
        <v>998</v>
      </c>
      <c r="G31" s="6" t="s">
        <v>999</v>
      </c>
    </row>
    <row r="32" customFormat="false" ht="33" hidden="false" customHeight="true" outlineLevel="0" collapsed="false">
      <c r="A32" s="4" t="s">
        <v>1005</v>
      </c>
      <c r="B32" s="18" t="n">
        <v>1</v>
      </c>
      <c r="C32" s="4" t="s">
        <v>859</v>
      </c>
      <c r="D32" s="19" t="s">
        <v>921</v>
      </c>
      <c r="E32" s="6" t="s">
        <v>922</v>
      </c>
      <c r="F32" s="6" t="s">
        <v>1006</v>
      </c>
      <c r="G32" s="6" t="s">
        <v>1007</v>
      </c>
    </row>
    <row r="33" customFormat="false" ht="33" hidden="false" customHeight="true" outlineLevel="0" collapsed="false">
      <c r="A33" s="19"/>
      <c r="B33" s="18" t="n">
        <v>2</v>
      </c>
      <c r="C33" s="4" t="s">
        <v>862</v>
      </c>
      <c r="D33" s="19" t="s">
        <v>921</v>
      </c>
      <c r="E33" s="6" t="s">
        <v>925</v>
      </c>
      <c r="F33" s="6" t="s">
        <v>1008</v>
      </c>
      <c r="G33" s="6" t="s">
        <v>1009</v>
      </c>
    </row>
    <row r="34" customFormat="false" ht="25.5" hidden="false" customHeight="true" outlineLevel="0" collapsed="false">
      <c r="A34" s="19"/>
      <c r="B34" s="18" t="n">
        <v>3</v>
      </c>
      <c r="C34" s="4" t="s">
        <v>898</v>
      </c>
      <c r="D34" s="19" t="s">
        <v>921</v>
      </c>
      <c r="E34" s="6" t="s">
        <v>928</v>
      </c>
      <c r="F34" s="6" t="s">
        <v>1010</v>
      </c>
      <c r="G34" s="6" t="s">
        <v>1011</v>
      </c>
    </row>
    <row r="35" customFormat="false" ht="33" hidden="false" customHeight="true" outlineLevel="0" collapsed="false">
      <c r="A35" s="19"/>
      <c r="B35" s="18" t="n">
        <v>4</v>
      </c>
      <c r="C35" s="4" t="s">
        <v>946</v>
      </c>
      <c r="D35" s="19" t="s">
        <v>932</v>
      </c>
      <c r="E35" s="6" t="s">
        <v>947</v>
      </c>
      <c r="F35" s="6" t="s">
        <v>948</v>
      </c>
      <c r="G35" s="6" t="s">
        <v>949</v>
      </c>
    </row>
    <row r="36" customFormat="false" ht="25.5" hidden="false" customHeight="true" outlineLevel="0" collapsed="false">
      <c r="A36" s="19"/>
      <c r="B36" s="18" t="n">
        <v>5</v>
      </c>
      <c r="C36" s="4" t="s">
        <v>950</v>
      </c>
      <c r="D36" s="19" t="s">
        <v>921</v>
      </c>
      <c r="E36" s="6" t="s">
        <v>951</v>
      </c>
      <c r="F36" s="6" t="s">
        <v>1012</v>
      </c>
      <c r="G36" s="6" t="s">
        <v>1009</v>
      </c>
    </row>
    <row r="37" customFormat="false" ht="33" hidden="false" customHeight="true" outlineLevel="0" collapsed="false">
      <c r="A37" s="19"/>
      <c r="B37" s="18" t="n">
        <v>6</v>
      </c>
      <c r="C37" s="4" t="s">
        <v>953</v>
      </c>
      <c r="D37" s="19" t="s">
        <v>932</v>
      </c>
      <c r="E37" s="6" t="s">
        <v>954</v>
      </c>
      <c r="F37" s="6" t="s">
        <v>955</v>
      </c>
      <c r="G37" s="6" t="s">
        <v>956</v>
      </c>
    </row>
    <row r="38" customFormat="false" ht="43.5" hidden="false" customHeight="true" outlineLevel="0" collapsed="false">
      <c r="A38" s="19"/>
      <c r="B38" s="18" t="n">
        <v>7</v>
      </c>
      <c r="C38" s="4" t="s">
        <v>871</v>
      </c>
      <c r="D38" s="19" t="s">
        <v>957</v>
      </c>
      <c r="E38" s="6" t="s">
        <v>958</v>
      </c>
      <c r="F38" s="6" t="s">
        <v>959</v>
      </c>
      <c r="G38" s="6" t="s">
        <v>960</v>
      </c>
    </row>
    <row r="39" customFormat="false" ht="43.5" hidden="false" customHeight="true" outlineLevel="0" collapsed="false">
      <c r="A39" s="19"/>
      <c r="B39" s="18" t="n">
        <v>8</v>
      </c>
      <c r="C39" s="4" t="s">
        <v>961</v>
      </c>
      <c r="D39" s="19" t="s">
        <v>957</v>
      </c>
      <c r="E39" s="6" t="s">
        <v>962</v>
      </c>
      <c r="F39" s="6" t="s">
        <v>1013</v>
      </c>
      <c r="G39" s="6" t="s">
        <v>1014</v>
      </c>
    </row>
    <row r="40" customFormat="false" ht="43.5" hidden="false" customHeight="true" outlineLevel="0" collapsed="false">
      <c r="A40" s="19"/>
      <c r="B40" s="18" t="n">
        <v>9</v>
      </c>
      <c r="C40" s="4" t="s">
        <v>965</v>
      </c>
      <c r="D40" s="19" t="s">
        <v>957</v>
      </c>
      <c r="E40" s="6" t="s">
        <v>966</v>
      </c>
      <c r="F40" s="6" t="s">
        <v>1013</v>
      </c>
      <c r="G40" s="6" t="s">
        <v>1014</v>
      </c>
    </row>
    <row r="41" customFormat="false" ht="33" hidden="false" customHeight="true" outlineLevel="0" collapsed="false">
      <c r="A41" s="19"/>
      <c r="B41" s="18" t="n">
        <v>10</v>
      </c>
      <c r="C41" s="4" t="s">
        <v>968</v>
      </c>
      <c r="D41" s="19" t="s">
        <v>932</v>
      </c>
      <c r="E41" s="6" t="s">
        <v>969</v>
      </c>
      <c r="F41" s="6" t="s">
        <v>970</v>
      </c>
      <c r="G41" s="6" t="s">
        <v>971</v>
      </c>
    </row>
    <row r="42" customFormat="false" ht="33" hidden="false" customHeight="true" outlineLevel="0" collapsed="false">
      <c r="A42" s="19"/>
      <c r="B42" s="18" t="n">
        <v>11</v>
      </c>
      <c r="C42" s="4" t="s">
        <v>976</v>
      </c>
      <c r="D42" s="19" t="s">
        <v>932</v>
      </c>
      <c r="E42" s="6" t="s">
        <v>977</v>
      </c>
      <c r="F42" s="6" t="s">
        <v>557</v>
      </c>
      <c r="G42" s="6" t="s">
        <v>978</v>
      </c>
    </row>
    <row r="43" customFormat="false" ht="33" hidden="false" customHeight="true" outlineLevel="0" collapsed="false">
      <c r="A43" s="19"/>
      <c r="B43" s="18" t="n">
        <v>12</v>
      </c>
      <c r="C43" s="4" t="s">
        <v>979</v>
      </c>
      <c r="D43" s="19" t="s">
        <v>932</v>
      </c>
      <c r="E43" s="6" t="s">
        <v>980</v>
      </c>
      <c r="F43" s="6" t="s">
        <v>981</v>
      </c>
      <c r="G43" s="6" t="s">
        <v>982</v>
      </c>
    </row>
    <row r="44" customFormat="false" ht="25.5" hidden="false" customHeight="true" outlineLevel="0" collapsed="false">
      <c r="A44" s="19"/>
      <c r="B44" s="18" t="n">
        <v>13</v>
      </c>
      <c r="C44" s="4" t="s">
        <v>985</v>
      </c>
      <c r="D44" s="19" t="s">
        <v>986</v>
      </c>
      <c r="E44" s="6" t="s">
        <v>987</v>
      </c>
      <c r="F44" s="6" t="s">
        <v>988</v>
      </c>
      <c r="G44" s="6" t="s">
        <v>989</v>
      </c>
    </row>
    <row r="45" customFormat="false" ht="25.5" hidden="false" customHeight="true" outlineLevel="0" collapsed="false">
      <c r="A45" s="19"/>
      <c r="B45" s="18" t="n">
        <v>14</v>
      </c>
      <c r="C45" s="4" t="s">
        <v>856</v>
      </c>
      <c r="D45" s="19" t="s">
        <v>932</v>
      </c>
      <c r="E45" s="6" t="s">
        <v>990</v>
      </c>
      <c r="F45" s="6" t="s">
        <v>1015</v>
      </c>
      <c r="G45" s="6" t="s">
        <v>1016</v>
      </c>
    </row>
    <row r="46" customFormat="false" ht="33" hidden="false" customHeight="true" outlineLevel="0" collapsed="false">
      <c r="A46" s="19"/>
      <c r="B46" s="18" t="n">
        <v>15</v>
      </c>
      <c r="C46" s="4" t="s">
        <v>883</v>
      </c>
      <c r="D46" s="19" t="s">
        <v>957</v>
      </c>
      <c r="E46" s="6" t="s">
        <v>993</v>
      </c>
      <c r="F46" s="6" t="s">
        <v>959</v>
      </c>
      <c r="G46" s="6" t="s">
        <v>994</v>
      </c>
    </row>
    <row r="47" customFormat="false" ht="33" hidden="false" customHeight="true" outlineLevel="0" collapsed="false">
      <c r="A47" s="19"/>
      <c r="B47" s="18" t="n">
        <v>16</v>
      </c>
      <c r="C47" s="4" t="s">
        <v>889</v>
      </c>
      <c r="D47" s="19" t="s">
        <v>957</v>
      </c>
      <c r="E47" s="6" t="s">
        <v>995</v>
      </c>
      <c r="F47" s="6" t="s">
        <v>959</v>
      </c>
      <c r="G47" s="6" t="s">
        <v>994</v>
      </c>
    </row>
    <row r="48" customFormat="false" ht="33" hidden="false" customHeight="true" outlineLevel="0" collapsed="false">
      <c r="A48" s="19"/>
      <c r="B48" s="18" t="n">
        <v>17</v>
      </c>
      <c r="C48" s="4" t="s">
        <v>996</v>
      </c>
      <c r="D48" s="19" t="s">
        <v>957</v>
      </c>
      <c r="E48" s="6" t="s">
        <v>997</v>
      </c>
      <c r="F48" s="6" t="s">
        <v>998</v>
      </c>
      <c r="G48" s="6" t="s">
        <v>999</v>
      </c>
    </row>
    <row r="49" customFormat="false" ht="33" hidden="false" customHeight="true" outlineLevel="0" collapsed="false">
      <c r="A49" s="19"/>
      <c r="B49" s="18" t="n">
        <v>18</v>
      </c>
      <c r="C49" s="4" t="s">
        <v>904</v>
      </c>
      <c r="D49" s="19" t="s">
        <v>957</v>
      </c>
      <c r="E49" s="6" t="s">
        <v>1000</v>
      </c>
      <c r="F49" s="6" t="s">
        <v>998</v>
      </c>
      <c r="G49" s="6" t="s">
        <v>999</v>
      </c>
    </row>
    <row r="50" customFormat="false" ht="33" hidden="false" customHeight="true" outlineLevel="0" collapsed="false">
      <c r="A50" s="19"/>
      <c r="B50" s="18" t="n">
        <v>19</v>
      </c>
      <c r="C50" s="4" t="s">
        <v>1001</v>
      </c>
      <c r="D50" s="19" t="s">
        <v>957</v>
      </c>
      <c r="E50" s="6" t="s">
        <v>1002</v>
      </c>
      <c r="F50" s="6" t="s">
        <v>998</v>
      </c>
      <c r="G50" s="6" t="s">
        <v>999</v>
      </c>
    </row>
    <row r="51" customFormat="false" ht="33" hidden="false" customHeight="true" outlineLevel="0" collapsed="false">
      <c r="A51" s="19"/>
      <c r="B51" s="18" t="n">
        <v>20</v>
      </c>
      <c r="C51" s="4" t="s">
        <v>1003</v>
      </c>
      <c r="D51" s="19" t="s">
        <v>957</v>
      </c>
      <c r="E51" s="6" t="s">
        <v>1004</v>
      </c>
      <c r="F51" s="6" t="s">
        <v>998</v>
      </c>
      <c r="G51" s="6" t="s">
        <v>999</v>
      </c>
    </row>
    <row r="52" customFormat="false" ht="33" hidden="false" customHeight="true" outlineLevel="0" collapsed="false">
      <c r="A52" s="4" t="s">
        <v>1017</v>
      </c>
      <c r="B52" s="18" t="n">
        <v>1</v>
      </c>
      <c r="C52" s="4" t="s">
        <v>859</v>
      </c>
      <c r="D52" s="19" t="s">
        <v>921</v>
      </c>
      <c r="E52" s="6" t="s">
        <v>922</v>
      </c>
      <c r="F52" s="6" t="s">
        <v>1018</v>
      </c>
      <c r="G52" s="6" t="s">
        <v>1019</v>
      </c>
    </row>
    <row r="53" customFormat="false" ht="33" hidden="false" customHeight="true" outlineLevel="0" collapsed="false">
      <c r="A53" s="19"/>
      <c r="B53" s="18" t="n">
        <v>2</v>
      </c>
      <c r="C53" s="4" t="s">
        <v>862</v>
      </c>
      <c r="D53" s="19" t="s">
        <v>921</v>
      </c>
      <c r="E53" s="6" t="s">
        <v>925</v>
      </c>
      <c r="F53" s="6" t="s">
        <v>1008</v>
      </c>
      <c r="G53" s="6" t="s">
        <v>1020</v>
      </c>
    </row>
    <row r="54" customFormat="false" ht="25.5" hidden="false" customHeight="true" outlineLevel="0" collapsed="false">
      <c r="A54" s="19"/>
      <c r="B54" s="18" t="n">
        <v>3</v>
      </c>
      <c r="C54" s="4" t="s">
        <v>898</v>
      </c>
      <c r="D54" s="19" t="s">
        <v>921</v>
      </c>
      <c r="E54" s="6" t="s">
        <v>928</v>
      </c>
      <c r="F54" s="6" t="s">
        <v>1010</v>
      </c>
      <c r="G54" s="6" t="s">
        <v>1021</v>
      </c>
    </row>
    <row r="55" customFormat="false" ht="33" hidden="false" customHeight="true" outlineLevel="0" collapsed="false">
      <c r="A55" s="19"/>
      <c r="B55" s="18" t="n">
        <v>4</v>
      </c>
      <c r="C55" s="4" t="s">
        <v>946</v>
      </c>
      <c r="D55" s="19" t="s">
        <v>932</v>
      </c>
      <c r="E55" s="6" t="s">
        <v>947</v>
      </c>
      <c r="F55" s="6" t="s">
        <v>948</v>
      </c>
      <c r="G55" s="6" t="s">
        <v>949</v>
      </c>
    </row>
    <row r="56" customFormat="false" ht="25.5" hidden="false" customHeight="true" outlineLevel="0" collapsed="false">
      <c r="A56" s="19"/>
      <c r="B56" s="18" t="n">
        <v>5</v>
      </c>
      <c r="C56" s="4" t="s">
        <v>950</v>
      </c>
      <c r="D56" s="19" t="s">
        <v>921</v>
      </c>
      <c r="E56" s="6" t="s">
        <v>951</v>
      </c>
      <c r="F56" s="6" t="s">
        <v>1022</v>
      </c>
      <c r="G56" s="6" t="s">
        <v>1020</v>
      </c>
    </row>
    <row r="57" customFormat="false" ht="33" hidden="false" customHeight="true" outlineLevel="0" collapsed="false">
      <c r="A57" s="19"/>
      <c r="B57" s="18" t="n">
        <v>6</v>
      </c>
      <c r="C57" s="4" t="s">
        <v>953</v>
      </c>
      <c r="D57" s="19" t="s">
        <v>932</v>
      </c>
      <c r="E57" s="6" t="s">
        <v>954</v>
      </c>
      <c r="F57" s="6" t="s">
        <v>955</v>
      </c>
      <c r="G57" s="6" t="s">
        <v>956</v>
      </c>
    </row>
    <row r="58" customFormat="false" ht="43.5" hidden="false" customHeight="true" outlineLevel="0" collapsed="false">
      <c r="A58" s="19"/>
      <c r="B58" s="18" t="n">
        <v>7</v>
      </c>
      <c r="C58" s="4" t="s">
        <v>871</v>
      </c>
      <c r="D58" s="19" t="s">
        <v>957</v>
      </c>
      <c r="E58" s="6" t="s">
        <v>958</v>
      </c>
      <c r="F58" s="6" t="s">
        <v>959</v>
      </c>
      <c r="G58" s="6" t="s">
        <v>960</v>
      </c>
    </row>
    <row r="59" customFormat="false" ht="43.5" hidden="false" customHeight="true" outlineLevel="0" collapsed="false">
      <c r="A59" s="19"/>
      <c r="B59" s="18" t="n">
        <v>8</v>
      </c>
      <c r="C59" s="4" t="s">
        <v>961</v>
      </c>
      <c r="D59" s="19" t="s">
        <v>957</v>
      </c>
      <c r="E59" s="6" t="s">
        <v>962</v>
      </c>
      <c r="F59" s="6" t="s">
        <v>1013</v>
      </c>
      <c r="G59" s="6" t="s">
        <v>1014</v>
      </c>
    </row>
    <row r="60" customFormat="false" ht="43.5" hidden="false" customHeight="true" outlineLevel="0" collapsed="false">
      <c r="A60" s="19"/>
      <c r="B60" s="18" t="n">
        <v>9</v>
      </c>
      <c r="C60" s="4" t="s">
        <v>965</v>
      </c>
      <c r="D60" s="19" t="s">
        <v>957</v>
      </c>
      <c r="E60" s="6" t="s">
        <v>966</v>
      </c>
      <c r="F60" s="6" t="s">
        <v>1013</v>
      </c>
      <c r="G60" s="6" t="s">
        <v>1014</v>
      </c>
    </row>
    <row r="61" customFormat="false" ht="33" hidden="false" customHeight="true" outlineLevel="0" collapsed="false">
      <c r="A61" s="19"/>
      <c r="B61" s="18" t="n">
        <v>10</v>
      </c>
      <c r="C61" s="4" t="s">
        <v>968</v>
      </c>
      <c r="D61" s="19" t="s">
        <v>932</v>
      </c>
      <c r="E61" s="6" t="s">
        <v>969</v>
      </c>
      <c r="F61" s="6" t="s">
        <v>970</v>
      </c>
      <c r="G61" s="6" t="s">
        <v>971</v>
      </c>
    </row>
    <row r="62" customFormat="false" ht="33" hidden="false" customHeight="true" outlineLevel="0" collapsed="false">
      <c r="A62" s="19"/>
      <c r="B62" s="18" t="n">
        <v>11</v>
      </c>
      <c r="C62" s="4" t="s">
        <v>976</v>
      </c>
      <c r="D62" s="19" t="s">
        <v>932</v>
      </c>
      <c r="E62" s="6" t="s">
        <v>977</v>
      </c>
      <c r="F62" s="6" t="s">
        <v>557</v>
      </c>
      <c r="G62" s="6" t="s">
        <v>978</v>
      </c>
    </row>
    <row r="63" customFormat="false" ht="33" hidden="false" customHeight="true" outlineLevel="0" collapsed="false">
      <c r="A63" s="19"/>
      <c r="B63" s="18" t="n">
        <v>12</v>
      </c>
      <c r="C63" s="4" t="s">
        <v>979</v>
      </c>
      <c r="D63" s="19" t="s">
        <v>932</v>
      </c>
      <c r="E63" s="6" t="s">
        <v>980</v>
      </c>
      <c r="F63" s="6" t="s">
        <v>981</v>
      </c>
      <c r="G63" s="6" t="s">
        <v>982</v>
      </c>
    </row>
    <row r="64" customFormat="false" ht="25.5" hidden="false" customHeight="true" outlineLevel="0" collapsed="false">
      <c r="A64" s="19"/>
      <c r="B64" s="18" t="n">
        <v>13</v>
      </c>
      <c r="C64" s="4" t="s">
        <v>985</v>
      </c>
      <c r="D64" s="19" t="s">
        <v>986</v>
      </c>
      <c r="E64" s="6" t="s">
        <v>987</v>
      </c>
      <c r="F64" s="6" t="s">
        <v>988</v>
      </c>
      <c r="G64" s="6" t="s">
        <v>989</v>
      </c>
    </row>
    <row r="65" customFormat="false" ht="33" hidden="false" customHeight="true" outlineLevel="0" collapsed="false">
      <c r="A65" s="19"/>
      <c r="B65" s="18" t="n">
        <v>14</v>
      </c>
      <c r="C65" s="4" t="s">
        <v>856</v>
      </c>
      <c r="D65" s="19" t="s">
        <v>921</v>
      </c>
      <c r="E65" s="6" t="s">
        <v>990</v>
      </c>
      <c r="F65" s="6" t="s">
        <v>1023</v>
      </c>
      <c r="G65" s="6" t="s">
        <v>1024</v>
      </c>
    </row>
    <row r="66" customFormat="false" ht="33" hidden="false" customHeight="true" outlineLevel="0" collapsed="false">
      <c r="A66" s="19"/>
      <c r="B66" s="18" t="n">
        <v>15</v>
      </c>
      <c r="C66" s="4" t="s">
        <v>883</v>
      </c>
      <c r="D66" s="19" t="s">
        <v>957</v>
      </c>
      <c r="E66" s="6" t="s">
        <v>993</v>
      </c>
      <c r="F66" s="6" t="s">
        <v>959</v>
      </c>
      <c r="G66" s="6" t="s">
        <v>994</v>
      </c>
    </row>
    <row r="67" customFormat="false" ht="33" hidden="false" customHeight="true" outlineLevel="0" collapsed="false">
      <c r="A67" s="19"/>
      <c r="B67" s="18" t="n">
        <v>16</v>
      </c>
      <c r="C67" s="4" t="s">
        <v>889</v>
      </c>
      <c r="D67" s="19" t="s">
        <v>957</v>
      </c>
      <c r="E67" s="6" t="s">
        <v>995</v>
      </c>
      <c r="F67" s="6" t="s">
        <v>959</v>
      </c>
      <c r="G67" s="6" t="s">
        <v>994</v>
      </c>
    </row>
    <row r="68" customFormat="false" ht="25.5" hidden="false" customHeight="true" outlineLevel="0" collapsed="false">
      <c r="A68" s="19"/>
      <c r="B68" s="18" t="n">
        <v>17</v>
      </c>
      <c r="C68" s="4" t="s">
        <v>1025</v>
      </c>
      <c r="D68" s="19" t="s">
        <v>932</v>
      </c>
      <c r="E68" s="6" t="s">
        <v>1026</v>
      </c>
      <c r="F68" s="6" t="s">
        <v>557</v>
      </c>
      <c r="G68" s="6" t="s">
        <v>1027</v>
      </c>
    </row>
    <row r="69" customFormat="false" ht="25.5" hidden="false" customHeight="true" outlineLevel="0" collapsed="false">
      <c r="A69" s="19"/>
      <c r="B69" s="18" t="n">
        <v>18</v>
      </c>
      <c r="C69" s="4" t="s">
        <v>1028</v>
      </c>
      <c r="D69" s="19" t="s">
        <v>932</v>
      </c>
      <c r="E69" s="6" t="s">
        <v>1029</v>
      </c>
      <c r="F69" s="6" t="s">
        <v>557</v>
      </c>
      <c r="G69" s="6" t="s">
        <v>1030</v>
      </c>
    </row>
    <row r="70" customFormat="false" ht="33" hidden="false" customHeight="true" outlineLevel="0" collapsed="false">
      <c r="A70" s="19"/>
      <c r="B70" s="18" t="n">
        <v>19</v>
      </c>
      <c r="C70" s="4" t="s">
        <v>996</v>
      </c>
      <c r="D70" s="19" t="s">
        <v>957</v>
      </c>
      <c r="E70" s="6" t="s">
        <v>997</v>
      </c>
      <c r="F70" s="6" t="s">
        <v>998</v>
      </c>
      <c r="G70" s="6" t="s">
        <v>999</v>
      </c>
    </row>
    <row r="71" customFormat="false" ht="33" hidden="false" customHeight="true" outlineLevel="0" collapsed="false">
      <c r="A71" s="19"/>
      <c r="B71" s="18" t="n">
        <v>20</v>
      </c>
      <c r="C71" s="4" t="s">
        <v>904</v>
      </c>
      <c r="D71" s="19" t="s">
        <v>957</v>
      </c>
      <c r="E71" s="6" t="s">
        <v>1000</v>
      </c>
      <c r="F71" s="6" t="s">
        <v>998</v>
      </c>
      <c r="G71" s="6" t="s">
        <v>999</v>
      </c>
    </row>
    <row r="72" customFormat="false" ht="33" hidden="false" customHeight="true" outlineLevel="0" collapsed="false">
      <c r="A72" s="19"/>
      <c r="B72" s="18" t="n">
        <v>21</v>
      </c>
      <c r="C72" s="4" t="s">
        <v>1001</v>
      </c>
      <c r="D72" s="19" t="s">
        <v>957</v>
      </c>
      <c r="E72" s="6" t="s">
        <v>1002</v>
      </c>
      <c r="F72" s="6" t="s">
        <v>998</v>
      </c>
      <c r="G72" s="6" t="s">
        <v>999</v>
      </c>
    </row>
    <row r="73" customFormat="false" ht="33" hidden="false" customHeight="true" outlineLevel="0" collapsed="false">
      <c r="A73" s="19"/>
      <c r="B73" s="18" t="n">
        <v>22</v>
      </c>
      <c r="C73" s="4" t="s">
        <v>1003</v>
      </c>
      <c r="D73" s="19" t="s">
        <v>957</v>
      </c>
      <c r="E73" s="6" t="s">
        <v>1004</v>
      </c>
      <c r="F73" s="6" t="s">
        <v>998</v>
      </c>
      <c r="G73" s="6" t="s">
        <v>999</v>
      </c>
    </row>
    <row r="74" customFormat="false" ht="33" hidden="false" customHeight="true" outlineLevel="0" collapsed="false">
      <c r="A74" s="4" t="s">
        <v>1031</v>
      </c>
      <c r="B74" s="18" t="n">
        <v>1</v>
      </c>
      <c r="C74" s="4" t="s">
        <v>859</v>
      </c>
      <c r="D74" s="19" t="s">
        <v>921</v>
      </c>
      <c r="E74" s="6" t="s">
        <v>922</v>
      </c>
      <c r="F74" s="6" t="s">
        <v>1032</v>
      </c>
      <c r="G74" s="6" t="s">
        <v>1033</v>
      </c>
    </row>
    <row r="75" customFormat="false" ht="33" hidden="false" customHeight="true" outlineLevel="0" collapsed="false">
      <c r="A75" s="19"/>
      <c r="B75" s="18" t="n">
        <v>2</v>
      </c>
      <c r="C75" s="4" t="s">
        <v>862</v>
      </c>
      <c r="D75" s="19" t="s">
        <v>921</v>
      </c>
      <c r="E75" s="6" t="s">
        <v>925</v>
      </c>
      <c r="F75" s="6" t="s">
        <v>1008</v>
      </c>
      <c r="G75" s="6" t="s">
        <v>1034</v>
      </c>
    </row>
    <row r="76" customFormat="false" ht="25.5" hidden="false" customHeight="true" outlineLevel="0" collapsed="false">
      <c r="A76" s="19"/>
      <c r="B76" s="18" t="n">
        <v>3</v>
      </c>
      <c r="C76" s="4" t="s">
        <v>898</v>
      </c>
      <c r="D76" s="19" t="s">
        <v>921</v>
      </c>
      <c r="E76" s="6" t="s">
        <v>928</v>
      </c>
      <c r="F76" s="6" t="s">
        <v>1010</v>
      </c>
      <c r="G76" s="6" t="s">
        <v>1021</v>
      </c>
    </row>
    <row r="77" customFormat="false" ht="33" hidden="false" customHeight="true" outlineLevel="0" collapsed="false">
      <c r="A77" s="19"/>
      <c r="B77" s="18" t="n">
        <v>4</v>
      </c>
      <c r="C77" s="4" t="s">
        <v>946</v>
      </c>
      <c r="D77" s="19" t="s">
        <v>932</v>
      </c>
      <c r="E77" s="6" t="s">
        <v>947</v>
      </c>
      <c r="F77" s="6" t="s">
        <v>948</v>
      </c>
      <c r="G77" s="6" t="s">
        <v>949</v>
      </c>
    </row>
    <row r="78" customFormat="false" ht="25.5" hidden="false" customHeight="true" outlineLevel="0" collapsed="false">
      <c r="A78" s="19"/>
      <c r="B78" s="18" t="n">
        <v>5</v>
      </c>
      <c r="C78" s="4" t="s">
        <v>950</v>
      </c>
      <c r="D78" s="19" t="s">
        <v>921</v>
      </c>
      <c r="E78" s="6" t="s">
        <v>951</v>
      </c>
      <c r="F78" s="6" t="s">
        <v>1022</v>
      </c>
      <c r="G78" s="6" t="s">
        <v>1034</v>
      </c>
    </row>
    <row r="79" customFormat="false" ht="33" hidden="false" customHeight="true" outlineLevel="0" collapsed="false">
      <c r="A79" s="19"/>
      <c r="B79" s="18" t="n">
        <v>6</v>
      </c>
      <c r="C79" s="4" t="s">
        <v>953</v>
      </c>
      <c r="D79" s="19" t="s">
        <v>932</v>
      </c>
      <c r="E79" s="6" t="s">
        <v>954</v>
      </c>
      <c r="F79" s="6" t="s">
        <v>955</v>
      </c>
      <c r="G79" s="6" t="s">
        <v>956</v>
      </c>
    </row>
    <row r="80" customFormat="false" ht="43.5" hidden="false" customHeight="true" outlineLevel="0" collapsed="false">
      <c r="A80" s="19"/>
      <c r="B80" s="18" t="n">
        <v>7</v>
      </c>
      <c r="C80" s="4" t="s">
        <v>871</v>
      </c>
      <c r="D80" s="19" t="s">
        <v>957</v>
      </c>
      <c r="E80" s="6" t="s">
        <v>958</v>
      </c>
      <c r="F80" s="6" t="s">
        <v>959</v>
      </c>
      <c r="G80" s="6" t="s">
        <v>960</v>
      </c>
    </row>
    <row r="81" customFormat="false" ht="33" hidden="false" customHeight="true" outlineLevel="0" collapsed="false">
      <c r="A81" s="19"/>
      <c r="B81" s="18" t="n">
        <v>8</v>
      </c>
      <c r="C81" s="4" t="s">
        <v>961</v>
      </c>
      <c r="D81" s="19" t="s">
        <v>932</v>
      </c>
      <c r="E81" s="6" t="s">
        <v>962</v>
      </c>
      <c r="F81" s="6" t="s">
        <v>963</v>
      </c>
      <c r="G81" s="6" t="s">
        <v>1035</v>
      </c>
    </row>
    <row r="82" customFormat="false" ht="33" hidden="false" customHeight="true" outlineLevel="0" collapsed="false">
      <c r="A82" s="19"/>
      <c r="B82" s="18" t="n">
        <v>9</v>
      </c>
      <c r="C82" s="4" t="s">
        <v>965</v>
      </c>
      <c r="D82" s="19" t="s">
        <v>932</v>
      </c>
      <c r="E82" s="6" t="s">
        <v>966</v>
      </c>
      <c r="F82" s="6" t="s">
        <v>967</v>
      </c>
      <c r="G82" s="6" t="s">
        <v>1035</v>
      </c>
    </row>
    <row r="83" customFormat="false" ht="33" hidden="false" customHeight="true" outlineLevel="0" collapsed="false">
      <c r="A83" s="19"/>
      <c r="B83" s="18" t="n">
        <v>10</v>
      </c>
      <c r="C83" s="4" t="s">
        <v>968</v>
      </c>
      <c r="D83" s="19" t="s">
        <v>932</v>
      </c>
      <c r="E83" s="6" t="s">
        <v>969</v>
      </c>
      <c r="F83" s="6" t="s">
        <v>970</v>
      </c>
      <c r="G83" s="6" t="s">
        <v>971</v>
      </c>
    </row>
    <row r="84" customFormat="false" ht="25.5" hidden="false" customHeight="true" outlineLevel="0" collapsed="false">
      <c r="A84" s="19"/>
      <c r="B84" s="18" t="n">
        <v>11</v>
      </c>
      <c r="C84" s="4" t="s">
        <v>972</v>
      </c>
      <c r="D84" s="19" t="s">
        <v>932</v>
      </c>
      <c r="E84" s="6" t="s">
        <v>973</v>
      </c>
      <c r="F84" s="6" t="s">
        <v>974</v>
      </c>
      <c r="G84" s="6" t="s">
        <v>1036</v>
      </c>
    </row>
    <row r="85" customFormat="false" ht="33" hidden="false" customHeight="true" outlineLevel="0" collapsed="false">
      <c r="A85" s="19"/>
      <c r="B85" s="18" t="n">
        <v>12</v>
      </c>
      <c r="C85" s="4" t="s">
        <v>976</v>
      </c>
      <c r="D85" s="19" t="s">
        <v>932</v>
      </c>
      <c r="E85" s="6" t="s">
        <v>977</v>
      </c>
      <c r="F85" s="6" t="s">
        <v>557</v>
      </c>
      <c r="G85" s="6" t="s">
        <v>978</v>
      </c>
    </row>
    <row r="86" customFormat="false" ht="33" hidden="false" customHeight="true" outlineLevel="0" collapsed="false">
      <c r="A86" s="19"/>
      <c r="B86" s="18" t="n">
        <v>13</v>
      </c>
      <c r="C86" s="4" t="s">
        <v>1037</v>
      </c>
      <c r="D86" s="19" t="s">
        <v>932</v>
      </c>
      <c r="E86" s="6" t="s">
        <v>1038</v>
      </c>
      <c r="F86" s="6" t="s">
        <v>1039</v>
      </c>
      <c r="G86" s="6" t="s">
        <v>1040</v>
      </c>
    </row>
    <row r="87" customFormat="false" ht="33" hidden="false" customHeight="true" outlineLevel="0" collapsed="false">
      <c r="A87" s="19"/>
      <c r="B87" s="18" t="n">
        <v>14</v>
      </c>
      <c r="C87" s="4" t="s">
        <v>979</v>
      </c>
      <c r="D87" s="19" t="s">
        <v>932</v>
      </c>
      <c r="E87" s="6" t="s">
        <v>980</v>
      </c>
      <c r="F87" s="6" t="s">
        <v>981</v>
      </c>
      <c r="G87" s="6" t="s">
        <v>982</v>
      </c>
    </row>
    <row r="88" customFormat="false" ht="25.5" hidden="false" customHeight="true" outlineLevel="0" collapsed="false">
      <c r="A88" s="19"/>
      <c r="B88" s="18" t="n">
        <v>15</v>
      </c>
      <c r="C88" s="4" t="s">
        <v>983</v>
      </c>
      <c r="D88" s="19" t="s">
        <v>932</v>
      </c>
      <c r="E88" s="6" t="s">
        <v>984</v>
      </c>
      <c r="F88" s="6" t="s">
        <v>974</v>
      </c>
      <c r="G88" s="6" t="s">
        <v>1036</v>
      </c>
    </row>
    <row r="89" customFormat="false" ht="25.5" hidden="false" customHeight="true" outlineLevel="0" collapsed="false">
      <c r="A89" s="19"/>
      <c r="B89" s="18" t="n">
        <v>16</v>
      </c>
      <c r="C89" s="4" t="s">
        <v>985</v>
      </c>
      <c r="D89" s="19" t="s">
        <v>986</v>
      </c>
      <c r="E89" s="6" t="s">
        <v>987</v>
      </c>
      <c r="F89" s="6" t="s">
        <v>988</v>
      </c>
      <c r="G89" s="6" t="s">
        <v>989</v>
      </c>
    </row>
    <row r="90" customFormat="false" ht="33" hidden="false" customHeight="true" outlineLevel="0" collapsed="false">
      <c r="A90" s="19"/>
      <c r="B90" s="18" t="n">
        <v>17</v>
      </c>
      <c r="C90" s="4" t="s">
        <v>856</v>
      </c>
      <c r="D90" s="19" t="s">
        <v>932</v>
      </c>
      <c r="E90" s="6" t="s">
        <v>990</v>
      </c>
      <c r="F90" s="6" t="s">
        <v>991</v>
      </c>
      <c r="G90" s="6" t="s">
        <v>1041</v>
      </c>
    </row>
    <row r="91" customFormat="false" ht="33" hidden="false" customHeight="true" outlineLevel="0" collapsed="false">
      <c r="A91" s="19"/>
      <c r="B91" s="18" t="n">
        <v>18</v>
      </c>
      <c r="C91" s="4" t="s">
        <v>883</v>
      </c>
      <c r="D91" s="19" t="s">
        <v>957</v>
      </c>
      <c r="E91" s="6" t="s">
        <v>993</v>
      </c>
      <c r="F91" s="6" t="s">
        <v>959</v>
      </c>
      <c r="G91" s="6" t="s">
        <v>994</v>
      </c>
    </row>
    <row r="92" customFormat="false" ht="33" hidden="false" customHeight="true" outlineLevel="0" collapsed="false">
      <c r="A92" s="19"/>
      <c r="B92" s="18" t="n">
        <v>19</v>
      </c>
      <c r="C92" s="4" t="s">
        <v>889</v>
      </c>
      <c r="D92" s="19" t="s">
        <v>957</v>
      </c>
      <c r="E92" s="6" t="s">
        <v>995</v>
      </c>
      <c r="F92" s="6" t="s">
        <v>959</v>
      </c>
      <c r="G92" s="6" t="s">
        <v>994</v>
      </c>
    </row>
    <row r="93" customFormat="false" ht="25.5" hidden="false" customHeight="true" outlineLevel="0" collapsed="false">
      <c r="A93" s="19"/>
      <c r="B93" s="18" t="n">
        <v>20</v>
      </c>
      <c r="C93" s="4" t="s">
        <v>1042</v>
      </c>
      <c r="D93" s="19" t="s">
        <v>932</v>
      </c>
      <c r="E93" s="6" t="s">
        <v>1043</v>
      </c>
      <c r="F93" s="6" t="s">
        <v>557</v>
      </c>
      <c r="G93" s="6" t="s">
        <v>1044</v>
      </c>
    </row>
    <row r="94" customFormat="false" ht="33" hidden="false" customHeight="true" outlineLevel="0" collapsed="false">
      <c r="A94" s="19"/>
      <c r="B94" s="18" t="n">
        <v>21</v>
      </c>
      <c r="C94" s="4" t="s">
        <v>996</v>
      </c>
      <c r="D94" s="19" t="s">
        <v>957</v>
      </c>
      <c r="E94" s="6" t="s">
        <v>997</v>
      </c>
      <c r="F94" s="6" t="s">
        <v>998</v>
      </c>
      <c r="G94" s="6" t="s">
        <v>999</v>
      </c>
    </row>
    <row r="95" customFormat="false" ht="25.5" hidden="false" customHeight="true" outlineLevel="0" collapsed="false">
      <c r="A95" s="19"/>
      <c r="B95" s="18" t="n">
        <v>22</v>
      </c>
      <c r="C95" s="4" t="s">
        <v>904</v>
      </c>
      <c r="D95" s="19" t="s">
        <v>932</v>
      </c>
      <c r="E95" s="6" t="s">
        <v>1000</v>
      </c>
      <c r="F95" s="6" t="s">
        <v>1045</v>
      </c>
      <c r="G95" s="6" t="s">
        <v>1046</v>
      </c>
    </row>
    <row r="96" customFormat="false" ht="33" hidden="false" customHeight="true" outlineLevel="0" collapsed="false">
      <c r="A96" s="19"/>
      <c r="B96" s="18" t="n">
        <v>23</v>
      </c>
      <c r="C96" s="4" t="s">
        <v>1001</v>
      </c>
      <c r="D96" s="19" t="s">
        <v>957</v>
      </c>
      <c r="E96" s="6" t="s">
        <v>1002</v>
      </c>
      <c r="F96" s="6" t="s">
        <v>998</v>
      </c>
      <c r="G96" s="6" t="s">
        <v>999</v>
      </c>
    </row>
    <row r="97" customFormat="false" ht="33" hidden="false" customHeight="true" outlineLevel="0" collapsed="false">
      <c r="A97" s="19"/>
      <c r="B97" s="18" t="n">
        <v>24</v>
      </c>
      <c r="C97" s="4" t="s">
        <v>1003</v>
      </c>
      <c r="D97" s="19" t="s">
        <v>957</v>
      </c>
      <c r="E97" s="6" t="s">
        <v>1004</v>
      </c>
      <c r="F97" s="6" t="s">
        <v>998</v>
      </c>
      <c r="G97" s="6" t="s">
        <v>999</v>
      </c>
    </row>
    <row r="98" customFormat="false" ht="33" hidden="false" customHeight="true" outlineLevel="0" collapsed="false">
      <c r="A98" s="4" t="s">
        <v>1047</v>
      </c>
      <c r="B98" s="18" t="n">
        <v>1</v>
      </c>
      <c r="C98" s="4" t="s">
        <v>859</v>
      </c>
      <c r="D98" s="19" t="s">
        <v>921</v>
      </c>
      <c r="E98" s="6" t="s">
        <v>922</v>
      </c>
      <c r="F98" s="6" t="s">
        <v>1048</v>
      </c>
      <c r="G98" s="6" t="s">
        <v>1049</v>
      </c>
    </row>
    <row r="99" customFormat="false" ht="33" hidden="false" customHeight="true" outlineLevel="0" collapsed="false">
      <c r="A99" s="19"/>
      <c r="B99" s="18" t="n">
        <v>2</v>
      </c>
      <c r="C99" s="4" t="s">
        <v>862</v>
      </c>
      <c r="D99" s="19" t="s">
        <v>921</v>
      </c>
      <c r="E99" s="6" t="s">
        <v>925</v>
      </c>
      <c r="F99" s="6" t="s">
        <v>1008</v>
      </c>
      <c r="G99" s="6" t="s">
        <v>1034</v>
      </c>
    </row>
    <row r="100" customFormat="false" ht="25.5" hidden="false" customHeight="true" outlineLevel="0" collapsed="false">
      <c r="A100" s="19"/>
      <c r="B100" s="18" t="n">
        <v>3</v>
      </c>
      <c r="C100" s="4" t="s">
        <v>898</v>
      </c>
      <c r="D100" s="19" t="s">
        <v>921</v>
      </c>
      <c r="E100" s="6" t="s">
        <v>928</v>
      </c>
      <c r="F100" s="6" t="s">
        <v>1010</v>
      </c>
      <c r="G100" s="6" t="s">
        <v>1021</v>
      </c>
    </row>
    <row r="101" customFormat="false" ht="33" hidden="false" customHeight="true" outlineLevel="0" collapsed="false">
      <c r="A101" s="19"/>
      <c r="B101" s="18" t="n">
        <v>4</v>
      </c>
      <c r="C101" s="4" t="s">
        <v>946</v>
      </c>
      <c r="D101" s="19" t="s">
        <v>932</v>
      </c>
      <c r="E101" s="6" t="s">
        <v>947</v>
      </c>
      <c r="F101" s="6" t="s">
        <v>948</v>
      </c>
      <c r="G101" s="6" t="s">
        <v>949</v>
      </c>
    </row>
    <row r="102" customFormat="false" ht="25.5" hidden="false" customHeight="true" outlineLevel="0" collapsed="false">
      <c r="A102" s="19"/>
      <c r="B102" s="18" t="n">
        <v>5</v>
      </c>
      <c r="C102" s="4" t="s">
        <v>950</v>
      </c>
      <c r="D102" s="19" t="s">
        <v>921</v>
      </c>
      <c r="E102" s="6" t="s">
        <v>951</v>
      </c>
      <c r="F102" s="6" t="s">
        <v>1022</v>
      </c>
      <c r="G102" s="6" t="s">
        <v>1034</v>
      </c>
    </row>
    <row r="103" customFormat="false" ht="33" hidden="false" customHeight="true" outlineLevel="0" collapsed="false">
      <c r="A103" s="19"/>
      <c r="B103" s="18" t="n">
        <v>6</v>
      </c>
      <c r="C103" s="4" t="s">
        <v>953</v>
      </c>
      <c r="D103" s="19" t="s">
        <v>932</v>
      </c>
      <c r="E103" s="6" t="s">
        <v>954</v>
      </c>
      <c r="F103" s="6" t="s">
        <v>955</v>
      </c>
      <c r="G103" s="6" t="s">
        <v>956</v>
      </c>
    </row>
    <row r="104" customFormat="false" ht="43.5" hidden="false" customHeight="true" outlineLevel="0" collapsed="false">
      <c r="A104" s="19"/>
      <c r="B104" s="18" t="n">
        <v>7</v>
      </c>
      <c r="C104" s="4" t="s">
        <v>871</v>
      </c>
      <c r="D104" s="19" t="s">
        <v>957</v>
      </c>
      <c r="E104" s="6" t="s">
        <v>958</v>
      </c>
      <c r="F104" s="6" t="s">
        <v>959</v>
      </c>
      <c r="G104" s="6" t="s">
        <v>960</v>
      </c>
    </row>
    <row r="105" customFormat="false" ht="33" hidden="false" customHeight="true" outlineLevel="0" collapsed="false">
      <c r="A105" s="19"/>
      <c r="B105" s="18" t="n">
        <v>8</v>
      </c>
      <c r="C105" s="4" t="s">
        <v>961</v>
      </c>
      <c r="D105" s="19" t="s">
        <v>932</v>
      </c>
      <c r="E105" s="6" t="s">
        <v>962</v>
      </c>
      <c r="F105" s="6" t="s">
        <v>963</v>
      </c>
      <c r="G105" s="6" t="s">
        <v>1050</v>
      </c>
    </row>
    <row r="106" customFormat="false" ht="33" hidden="false" customHeight="true" outlineLevel="0" collapsed="false">
      <c r="A106" s="19"/>
      <c r="B106" s="18" t="n">
        <v>9</v>
      </c>
      <c r="C106" s="4" t="s">
        <v>965</v>
      </c>
      <c r="D106" s="19" t="s">
        <v>932</v>
      </c>
      <c r="E106" s="6" t="s">
        <v>966</v>
      </c>
      <c r="F106" s="6" t="s">
        <v>967</v>
      </c>
      <c r="G106" s="6" t="s">
        <v>1050</v>
      </c>
    </row>
    <row r="107" customFormat="false" ht="33" hidden="false" customHeight="true" outlineLevel="0" collapsed="false">
      <c r="A107" s="19"/>
      <c r="B107" s="18" t="n">
        <v>10</v>
      </c>
      <c r="C107" s="4" t="s">
        <v>968</v>
      </c>
      <c r="D107" s="19" t="s">
        <v>932</v>
      </c>
      <c r="E107" s="6" t="s">
        <v>969</v>
      </c>
      <c r="F107" s="6" t="s">
        <v>970</v>
      </c>
      <c r="G107" s="6" t="s">
        <v>971</v>
      </c>
    </row>
    <row r="108" customFormat="false" ht="33" hidden="false" customHeight="true" outlineLevel="0" collapsed="false">
      <c r="A108" s="19"/>
      <c r="B108" s="18" t="n">
        <v>11</v>
      </c>
      <c r="C108" s="4" t="s">
        <v>972</v>
      </c>
      <c r="D108" s="19" t="s">
        <v>932</v>
      </c>
      <c r="E108" s="6" t="s">
        <v>973</v>
      </c>
      <c r="F108" s="6" t="s">
        <v>974</v>
      </c>
      <c r="G108" s="6" t="s">
        <v>975</v>
      </c>
    </row>
    <row r="109" customFormat="false" ht="33" hidden="false" customHeight="true" outlineLevel="0" collapsed="false">
      <c r="A109" s="19"/>
      <c r="B109" s="18" t="n">
        <v>12</v>
      </c>
      <c r="C109" s="4" t="s">
        <v>976</v>
      </c>
      <c r="D109" s="19" t="s">
        <v>932</v>
      </c>
      <c r="E109" s="6" t="s">
        <v>977</v>
      </c>
      <c r="F109" s="6" t="s">
        <v>557</v>
      </c>
      <c r="G109" s="6" t="s">
        <v>978</v>
      </c>
    </row>
    <row r="110" customFormat="false" ht="33" hidden="false" customHeight="true" outlineLevel="0" collapsed="false">
      <c r="A110" s="19"/>
      <c r="B110" s="18" t="n">
        <v>13</v>
      </c>
      <c r="C110" s="4" t="s">
        <v>979</v>
      </c>
      <c r="D110" s="19" t="s">
        <v>932</v>
      </c>
      <c r="E110" s="6" t="s">
        <v>980</v>
      </c>
      <c r="F110" s="6" t="s">
        <v>981</v>
      </c>
      <c r="G110" s="6" t="s">
        <v>982</v>
      </c>
    </row>
    <row r="111" customFormat="false" ht="33" hidden="false" customHeight="true" outlineLevel="0" collapsed="false">
      <c r="A111" s="19"/>
      <c r="B111" s="18" t="n">
        <v>14</v>
      </c>
      <c r="C111" s="4" t="s">
        <v>983</v>
      </c>
      <c r="D111" s="19" t="s">
        <v>932</v>
      </c>
      <c r="E111" s="6" t="s">
        <v>984</v>
      </c>
      <c r="F111" s="6" t="s">
        <v>974</v>
      </c>
      <c r="G111" s="6" t="s">
        <v>975</v>
      </c>
    </row>
    <row r="112" customFormat="false" ht="25.5" hidden="false" customHeight="true" outlineLevel="0" collapsed="false">
      <c r="A112" s="19"/>
      <c r="B112" s="18" t="n">
        <v>15</v>
      </c>
      <c r="C112" s="4" t="s">
        <v>985</v>
      </c>
      <c r="D112" s="19" t="s">
        <v>986</v>
      </c>
      <c r="E112" s="6" t="s">
        <v>987</v>
      </c>
      <c r="F112" s="6" t="s">
        <v>988</v>
      </c>
      <c r="G112" s="6" t="s">
        <v>989</v>
      </c>
    </row>
    <row r="113" customFormat="false" ht="25.5" hidden="false" customHeight="true" outlineLevel="0" collapsed="false">
      <c r="A113" s="19"/>
      <c r="B113" s="18" t="n">
        <v>16</v>
      </c>
      <c r="C113" s="4" t="s">
        <v>856</v>
      </c>
      <c r="D113" s="19" t="s">
        <v>932</v>
      </c>
      <c r="E113" s="6" t="s">
        <v>990</v>
      </c>
      <c r="F113" s="6" t="s">
        <v>991</v>
      </c>
      <c r="G113" s="6" t="s">
        <v>1051</v>
      </c>
    </row>
    <row r="114" customFormat="false" ht="33" hidden="false" customHeight="true" outlineLevel="0" collapsed="false">
      <c r="A114" s="19"/>
      <c r="B114" s="18" t="n">
        <v>17</v>
      </c>
      <c r="C114" s="4" t="s">
        <v>883</v>
      </c>
      <c r="D114" s="19" t="s">
        <v>957</v>
      </c>
      <c r="E114" s="6" t="s">
        <v>993</v>
      </c>
      <c r="F114" s="6" t="s">
        <v>959</v>
      </c>
      <c r="G114" s="6" t="s">
        <v>994</v>
      </c>
    </row>
    <row r="115" customFormat="false" ht="33" hidden="false" customHeight="true" outlineLevel="0" collapsed="false">
      <c r="A115" s="19"/>
      <c r="B115" s="18" t="n">
        <v>18</v>
      </c>
      <c r="C115" s="4" t="s">
        <v>889</v>
      </c>
      <c r="D115" s="19" t="s">
        <v>957</v>
      </c>
      <c r="E115" s="6" t="s">
        <v>995</v>
      </c>
      <c r="F115" s="6" t="s">
        <v>959</v>
      </c>
      <c r="G115" s="6" t="s">
        <v>994</v>
      </c>
    </row>
    <row r="116" customFormat="false" ht="33" hidden="false" customHeight="true" outlineLevel="0" collapsed="false">
      <c r="A116" s="19"/>
      <c r="B116" s="18" t="n">
        <v>19</v>
      </c>
      <c r="C116" s="4" t="s">
        <v>996</v>
      </c>
      <c r="D116" s="19" t="s">
        <v>957</v>
      </c>
      <c r="E116" s="6" t="s">
        <v>997</v>
      </c>
      <c r="F116" s="6" t="s">
        <v>998</v>
      </c>
      <c r="G116" s="6" t="s">
        <v>999</v>
      </c>
    </row>
    <row r="117" customFormat="false" ht="33" hidden="false" customHeight="true" outlineLevel="0" collapsed="false">
      <c r="A117" s="19"/>
      <c r="B117" s="18" t="n">
        <v>20</v>
      </c>
      <c r="C117" s="4" t="s">
        <v>904</v>
      </c>
      <c r="D117" s="19" t="s">
        <v>957</v>
      </c>
      <c r="E117" s="6" t="s">
        <v>1000</v>
      </c>
      <c r="F117" s="6" t="s">
        <v>998</v>
      </c>
      <c r="G117" s="6" t="s">
        <v>999</v>
      </c>
    </row>
    <row r="118" customFormat="false" ht="33" hidden="false" customHeight="true" outlineLevel="0" collapsed="false">
      <c r="A118" s="19"/>
      <c r="B118" s="18" t="n">
        <v>21</v>
      </c>
      <c r="C118" s="4" t="s">
        <v>1001</v>
      </c>
      <c r="D118" s="19" t="s">
        <v>957</v>
      </c>
      <c r="E118" s="6" t="s">
        <v>1002</v>
      </c>
      <c r="F118" s="6" t="s">
        <v>998</v>
      </c>
      <c r="G118" s="6" t="s">
        <v>999</v>
      </c>
    </row>
    <row r="119" customFormat="false" ht="33" hidden="false" customHeight="true" outlineLevel="0" collapsed="false">
      <c r="A119" s="19"/>
      <c r="B119" s="18" t="n">
        <v>22</v>
      </c>
      <c r="C119" s="4" t="s">
        <v>1003</v>
      </c>
      <c r="D119" s="19" t="s">
        <v>957</v>
      </c>
      <c r="E119" s="6" t="s">
        <v>1004</v>
      </c>
      <c r="F119" s="6" t="s">
        <v>998</v>
      </c>
      <c r="G119" s="6" t="s">
        <v>999</v>
      </c>
    </row>
    <row r="120" customFormat="false" ht="43.5" hidden="false" customHeight="true" outlineLevel="0" collapsed="false">
      <c r="A120" s="4" t="s">
        <v>1052</v>
      </c>
      <c r="B120" s="18" t="n">
        <v>1</v>
      </c>
      <c r="C120" s="4" t="s">
        <v>859</v>
      </c>
      <c r="D120" s="19" t="s">
        <v>921</v>
      </c>
      <c r="E120" s="6" t="s">
        <v>922</v>
      </c>
      <c r="F120" s="6" t="s">
        <v>1053</v>
      </c>
      <c r="G120" s="6" t="s">
        <v>1054</v>
      </c>
    </row>
    <row r="121" customFormat="false" ht="33" hidden="false" customHeight="true" outlineLevel="0" collapsed="false">
      <c r="A121" s="19"/>
      <c r="B121" s="18" t="n">
        <v>2</v>
      </c>
      <c r="C121" s="4" t="s">
        <v>862</v>
      </c>
      <c r="D121" s="19" t="s">
        <v>921</v>
      </c>
      <c r="E121" s="6" t="s">
        <v>925</v>
      </c>
      <c r="F121" s="6" t="s">
        <v>1008</v>
      </c>
      <c r="G121" s="6" t="s">
        <v>927</v>
      </c>
    </row>
    <row r="122" customFormat="false" ht="25.5" hidden="false" customHeight="true" outlineLevel="0" collapsed="false">
      <c r="A122" s="19"/>
      <c r="B122" s="18" t="n">
        <v>3</v>
      </c>
      <c r="C122" s="4" t="s">
        <v>898</v>
      </c>
      <c r="D122" s="19" t="s">
        <v>921</v>
      </c>
      <c r="E122" s="6" t="s">
        <v>928</v>
      </c>
      <c r="F122" s="6" t="s">
        <v>1010</v>
      </c>
      <c r="G122" s="6" t="s">
        <v>1011</v>
      </c>
    </row>
    <row r="123" customFormat="false" ht="33" hidden="false" customHeight="true" outlineLevel="0" collapsed="false">
      <c r="A123" s="19"/>
      <c r="B123" s="18" t="n">
        <v>4</v>
      </c>
      <c r="C123" s="4" t="s">
        <v>946</v>
      </c>
      <c r="D123" s="19" t="s">
        <v>932</v>
      </c>
      <c r="E123" s="6" t="s">
        <v>947</v>
      </c>
      <c r="F123" s="6" t="s">
        <v>948</v>
      </c>
      <c r="G123" s="6" t="s">
        <v>949</v>
      </c>
    </row>
    <row r="124" customFormat="false" ht="25.5" hidden="false" customHeight="true" outlineLevel="0" collapsed="false">
      <c r="A124" s="19"/>
      <c r="B124" s="18" t="n">
        <v>5</v>
      </c>
      <c r="C124" s="4" t="s">
        <v>950</v>
      </c>
      <c r="D124" s="19" t="s">
        <v>921</v>
      </c>
      <c r="E124" s="6" t="s">
        <v>951</v>
      </c>
      <c r="F124" s="6" t="s">
        <v>1055</v>
      </c>
      <c r="G124" s="6" t="s">
        <v>927</v>
      </c>
    </row>
    <row r="125" customFormat="false" ht="33" hidden="false" customHeight="true" outlineLevel="0" collapsed="false">
      <c r="A125" s="19"/>
      <c r="B125" s="18" t="n">
        <v>6</v>
      </c>
      <c r="C125" s="4" t="s">
        <v>953</v>
      </c>
      <c r="D125" s="19" t="s">
        <v>932</v>
      </c>
      <c r="E125" s="6" t="s">
        <v>954</v>
      </c>
      <c r="F125" s="6" t="s">
        <v>955</v>
      </c>
      <c r="G125" s="6" t="s">
        <v>956</v>
      </c>
    </row>
    <row r="126" customFormat="false" ht="43.5" hidden="false" customHeight="true" outlineLevel="0" collapsed="false">
      <c r="A126" s="19"/>
      <c r="B126" s="18" t="n">
        <v>7</v>
      </c>
      <c r="C126" s="4" t="s">
        <v>871</v>
      </c>
      <c r="D126" s="19" t="s">
        <v>957</v>
      </c>
      <c r="E126" s="6" t="s">
        <v>958</v>
      </c>
      <c r="F126" s="6" t="s">
        <v>959</v>
      </c>
      <c r="G126" s="6" t="s">
        <v>960</v>
      </c>
    </row>
    <row r="127" customFormat="false" ht="33" hidden="false" customHeight="true" outlineLevel="0" collapsed="false">
      <c r="A127" s="19"/>
      <c r="B127" s="18" t="n">
        <v>8</v>
      </c>
      <c r="C127" s="4" t="s">
        <v>961</v>
      </c>
      <c r="D127" s="19" t="s">
        <v>932</v>
      </c>
      <c r="E127" s="6" t="s">
        <v>962</v>
      </c>
      <c r="F127" s="6" t="s">
        <v>963</v>
      </c>
      <c r="G127" s="6" t="s">
        <v>1056</v>
      </c>
    </row>
    <row r="128" customFormat="false" ht="33" hidden="false" customHeight="true" outlineLevel="0" collapsed="false">
      <c r="A128" s="19"/>
      <c r="B128" s="18" t="n">
        <v>9</v>
      </c>
      <c r="C128" s="4" t="s">
        <v>965</v>
      </c>
      <c r="D128" s="19" t="s">
        <v>932</v>
      </c>
      <c r="E128" s="6" t="s">
        <v>966</v>
      </c>
      <c r="F128" s="6" t="s">
        <v>967</v>
      </c>
      <c r="G128" s="6" t="s">
        <v>1056</v>
      </c>
    </row>
    <row r="129" customFormat="false" ht="33" hidden="false" customHeight="true" outlineLevel="0" collapsed="false">
      <c r="A129" s="19"/>
      <c r="B129" s="18" t="n">
        <v>10</v>
      </c>
      <c r="C129" s="4" t="s">
        <v>968</v>
      </c>
      <c r="D129" s="19" t="s">
        <v>932</v>
      </c>
      <c r="E129" s="6" t="s">
        <v>969</v>
      </c>
      <c r="F129" s="6" t="s">
        <v>970</v>
      </c>
      <c r="G129" s="6" t="s">
        <v>971</v>
      </c>
    </row>
    <row r="130" customFormat="false" ht="33" hidden="false" customHeight="true" outlineLevel="0" collapsed="false">
      <c r="A130" s="19"/>
      <c r="B130" s="18" t="n">
        <v>11</v>
      </c>
      <c r="C130" s="4" t="s">
        <v>972</v>
      </c>
      <c r="D130" s="19" t="s">
        <v>932</v>
      </c>
      <c r="E130" s="6" t="s">
        <v>973</v>
      </c>
      <c r="F130" s="6" t="s">
        <v>974</v>
      </c>
      <c r="G130" s="6" t="s">
        <v>975</v>
      </c>
    </row>
    <row r="131" customFormat="false" ht="33" hidden="false" customHeight="true" outlineLevel="0" collapsed="false">
      <c r="A131" s="19"/>
      <c r="B131" s="18" t="n">
        <v>12</v>
      </c>
      <c r="C131" s="4" t="s">
        <v>976</v>
      </c>
      <c r="D131" s="19" t="s">
        <v>932</v>
      </c>
      <c r="E131" s="6" t="s">
        <v>977</v>
      </c>
      <c r="F131" s="6" t="s">
        <v>557</v>
      </c>
      <c r="G131" s="6" t="s">
        <v>978</v>
      </c>
    </row>
    <row r="132" customFormat="false" ht="33" hidden="false" customHeight="true" outlineLevel="0" collapsed="false">
      <c r="A132" s="19"/>
      <c r="B132" s="18" t="n">
        <v>13</v>
      </c>
      <c r="C132" s="4" t="s">
        <v>979</v>
      </c>
      <c r="D132" s="19" t="s">
        <v>932</v>
      </c>
      <c r="E132" s="6" t="s">
        <v>980</v>
      </c>
      <c r="F132" s="6" t="s">
        <v>981</v>
      </c>
      <c r="G132" s="6" t="s">
        <v>982</v>
      </c>
    </row>
    <row r="133" customFormat="false" ht="33" hidden="false" customHeight="true" outlineLevel="0" collapsed="false">
      <c r="A133" s="19"/>
      <c r="B133" s="18" t="n">
        <v>14</v>
      </c>
      <c r="C133" s="4" t="s">
        <v>983</v>
      </c>
      <c r="D133" s="19" t="s">
        <v>932</v>
      </c>
      <c r="E133" s="6" t="s">
        <v>984</v>
      </c>
      <c r="F133" s="6" t="s">
        <v>974</v>
      </c>
      <c r="G133" s="6" t="s">
        <v>975</v>
      </c>
    </row>
    <row r="134" customFormat="false" ht="25.5" hidden="false" customHeight="true" outlineLevel="0" collapsed="false">
      <c r="A134" s="19"/>
      <c r="B134" s="18" t="n">
        <v>15</v>
      </c>
      <c r="C134" s="4" t="s">
        <v>985</v>
      </c>
      <c r="D134" s="19" t="s">
        <v>986</v>
      </c>
      <c r="E134" s="6" t="s">
        <v>987</v>
      </c>
      <c r="F134" s="6" t="s">
        <v>988</v>
      </c>
      <c r="G134" s="6" t="s">
        <v>989</v>
      </c>
    </row>
    <row r="135" customFormat="false" ht="25.5" hidden="false" customHeight="true" outlineLevel="0" collapsed="false">
      <c r="A135" s="19"/>
      <c r="B135" s="18" t="n">
        <v>16</v>
      </c>
      <c r="C135" s="4" t="s">
        <v>856</v>
      </c>
      <c r="D135" s="19" t="s">
        <v>921</v>
      </c>
      <c r="E135" s="6" t="s">
        <v>990</v>
      </c>
      <c r="F135" s="6" t="s">
        <v>1057</v>
      </c>
      <c r="G135" s="6" t="s">
        <v>1058</v>
      </c>
    </row>
    <row r="136" customFormat="false" ht="33" hidden="false" customHeight="true" outlineLevel="0" collapsed="false">
      <c r="A136" s="19"/>
      <c r="B136" s="18" t="n">
        <v>17</v>
      </c>
      <c r="C136" s="4" t="s">
        <v>883</v>
      </c>
      <c r="D136" s="19" t="s">
        <v>957</v>
      </c>
      <c r="E136" s="6" t="s">
        <v>993</v>
      </c>
      <c r="F136" s="6" t="s">
        <v>959</v>
      </c>
      <c r="G136" s="6" t="s">
        <v>994</v>
      </c>
    </row>
    <row r="137" customFormat="false" ht="33" hidden="false" customHeight="true" outlineLevel="0" collapsed="false">
      <c r="A137" s="19"/>
      <c r="B137" s="18" t="n">
        <v>18</v>
      </c>
      <c r="C137" s="4" t="s">
        <v>889</v>
      </c>
      <c r="D137" s="19" t="s">
        <v>957</v>
      </c>
      <c r="E137" s="6" t="s">
        <v>995</v>
      </c>
      <c r="F137" s="6" t="s">
        <v>959</v>
      </c>
      <c r="G137" s="6" t="s">
        <v>994</v>
      </c>
    </row>
    <row r="138" customFormat="false" ht="33" hidden="false" customHeight="true" outlineLevel="0" collapsed="false">
      <c r="A138" s="19"/>
      <c r="B138" s="18" t="n">
        <v>19</v>
      </c>
      <c r="C138" s="4" t="s">
        <v>996</v>
      </c>
      <c r="D138" s="19" t="s">
        <v>957</v>
      </c>
      <c r="E138" s="6" t="s">
        <v>997</v>
      </c>
      <c r="F138" s="6" t="s">
        <v>998</v>
      </c>
      <c r="G138" s="6" t="s">
        <v>999</v>
      </c>
    </row>
    <row r="139" customFormat="false" ht="33" hidden="false" customHeight="true" outlineLevel="0" collapsed="false">
      <c r="A139" s="19"/>
      <c r="B139" s="18" t="n">
        <v>20</v>
      </c>
      <c r="C139" s="4" t="s">
        <v>904</v>
      </c>
      <c r="D139" s="19" t="s">
        <v>957</v>
      </c>
      <c r="E139" s="6" t="s">
        <v>1000</v>
      </c>
      <c r="F139" s="6" t="s">
        <v>998</v>
      </c>
      <c r="G139" s="6" t="s">
        <v>999</v>
      </c>
    </row>
    <row r="140" customFormat="false" ht="33" hidden="false" customHeight="true" outlineLevel="0" collapsed="false">
      <c r="A140" s="19"/>
      <c r="B140" s="18" t="n">
        <v>21</v>
      </c>
      <c r="C140" s="4" t="s">
        <v>1001</v>
      </c>
      <c r="D140" s="19" t="s">
        <v>957</v>
      </c>
      <c r="E140" s="6" t="s">
        <v>1002</v>
      </c>
      <c r="F140" s="6" t="s">
        <v>998</v>
      </c>
      <c r="G140" s="6" t="s">
        <v>999</v>
      </c>
    </row>
    <row r="141" customFormat="false" ht="33" hidden="false" customHeight="true" outlineLevel="0" collapsed="false">
      <c r="A141" s="19"/>
      <c r="B141" s="18" t="n">
        <v>22</v>
      </c>
      <c r="C141" s="4" t="s">
        <v>1003</v>
      </c>
      <c r="D141" s="19" t="s">
        <v>957</v>
      </c>
      <c r="E141" s="6" t="s">
        <v>1004</v>
      </c>
      <c r="F141" s="6" t="s">
        <v>998</v>
      </c>
      <c r="G141" s="6" t="s">
        <v>999</v>
      </c>
    </row>
    <row r="142" customFormat="false" ht="33" hidden="false" customHeight="true" outlineLevel="0" collapsed="false">
      <c r="A142" s="4" t="s">
        <v>1059</v>
      </c>
      <c r="B142" s="18" t="n">
        <v>1</v>
      </c>
      <c r="C142" s="4" t="s">
        <v>859</v>
      </c>
      <c r="D142" s="19" t="s">
        <v>921</v>
      </c>
      <c r="E142" s="6" t="s">
        <v>922</v>
      </c>
      <c r="F142" s="6" t="s">
        <v>1060</v>
      </c>
      <c r="G142" s="6" t="s">
        <v>1061</v>
      </c>
    </row>
    <row r="143" customFormat="false" ht="33" hidden="false" customHeight="true" outlineLevel="0" collapsed="false">
      <c r="A143" s="19"/>
      <c r="B143" s="18" t="n">
        <v>2</v>
      </c>
      <c r="C143" s="4" t="s">
        <v>862</v>
      </c>
      <c r="D143" s="19" t="s">
        <v>921</v>
      </c>
      <c r="E143" s="6" t="s">
        <v>925</v>
      </c>
      <c r="F143" s="6" t="s">
        <v>1008</v>
      </c>
      <c r="G143" s="6" t="s">
        <v>1020</v>
      </c>
    </row>
    <row r="144" customFormat="false" ht="25.5" hidden="false" customHeight="true" outlineLevel="0" collapsed="false">
      <c r="A144" s="19"/>
      <c r="B144" s="18" t="n">
        <v>3</v>
      </c>
      <c r="C144" s="4" t="s">
        <v>898</v>
      </c>
      <c r="D144" s="19" t="s">
        <v>921</v>
      </c>
      <c r="E144" s="6" t="s">
        <v>928</v>
      </c>
      <c r="F144" s="6" t="s">
        <v>1010</v>
      </c>
      <c r="G144" s="6" t="s">
        <v>1011</v>
      </c>
    </row>
    <row r="145" customFormat="false" ht="33" hidden="false" customHeight="true" outlineLevel="0" collapsed="false">
      <c r="A145" s="19"/>
      <c r="B145" s="18" t="n">
        <v>4</v>
      </c>
      <c r="C145" s="4" t="s">
        <v>946</v>
      </c>
      <c r="D145" s="19" t="s">
        <v>932</v>
      </c>
      <c r="E145" s="6" t="s">
        <v>947</v>
      </c>
      <c r="F145" s="6" t="s">
        <v>948</v>
      </c>
      <c r="G145" s="6" t="s">
        <v>949</v>
      </c>
    </row>
    <row r="146" customFormat="false" ht="25.5" hidden="false" customHeight="true" outlineLevel="0" collapsed="false">
      <c r="A146" s="19"/>
      <c r="B146" s="18" t="n">
        <v>5</v>
      </c>
      <c r="C146" s="4" t="s">
        <v>950</v>
      </c>
      <c r="D146" s="19" t="s">
        <v>921</v>
      </c>
      <c r="E146" s="6" t="s">
        <v>951</v>
      </c>
      <c r="F146" s="6" t="s">
        <v>1022</v>
      </c>
      <c r="G146" s="6" t="s">
        <v>1020</v>
      </c>
    </row>
    <row r="147" customFormat="false" ht="33" hidden="false" customHeight="true" outlineLevel="0" collapsed="false">
      <c r="A147" s="19"/>
      <c r="B147" s="18" t="n">
        <v>6</v>
      </c>
      <c r="C147" s="4" t="s">
        <v>953</v>
      </c>
      <c r="D147" s="19" t="s">
        <v>932</v>
      </c>
      <c r="E147" s="6" t="s">
        <v>954</v>
      </c>
      <c r="F147" s="6" t="s">
        <v>955</v>
      </c>
      <c r="G147" s="6" t="s">
        <v>956</v>
      </c>
    </row>
    <row r="148" customFormat="false" ht="43.5" hidden="false" customHeight="true" outlineLevel="0" collapsed="false">
      <c r="A148" s="19"/>
      <c r="B148" s="18" t="n">
        <v>7</v>
      </c>
      <c r="C148" s="4" t="s">
        <v>871</v>
      </c>
      <c r="D148" s="19" t="s">
        <v>957</v>
      </c>
      <c r="E148" s="6" t="s">
        <v>958</v>
      </c>
      <c r="F148" s="6" t="s">
        <v>959</v>
      </c>
      <c r="G148" s="6" t="s">
        <v>960</v>
      </c>
    </row>
    <row r="149" customFormat="false" ht="43.5" hidden="false" customHeight="true" outlineLevel="0" collapsed="false">
      <c r="A149" s="19"/>
      <c r="B149" s="18" t="n">
        <v>8</v>
      </c>
      <c r="C149" s="4" t="s">
        <v>961</v>
      </c>
      <c r="D149" s="19" t="s">
        <v>957</v>
      </c>
      <c r="E149" s="6" t="s">
        <v>962</v>
      </c>
      <c r="F149" s="6" t="s">
        <v>1013</v>
      </c>
      <c r="G149" s="6" t="s">
        <v>1014</v>
      </c>
    </row>
    <row r="150" customFormat="false" ht="43.5" hidden="false" customHeight="true" outlineLevel="0" collapsed="false">
      <c r="A150" s="19"/>
      <c r="B150" s="18" t="n">
        <v>9</v>
      </c>
      <c r="C150" s="4" t="s">
        <v>965</v>
      </c>
      <c r="D150" s="19" t="s">
        <v>957</v>
      </c>
      <c r="E150" s="6" t="s">
        <v>966</v>
      </c>
      <c r="F150" s="6" t="s">
        <v>1013</v>
      </c>
      <c r="G150" s="6" t="s">
        <v>1014</v>
      </c>
    </row>
    <row r="151" customFormat="false" ht="33" hidden="false" customHeight="true" outlineLevel="0" collapsed="false">
      <c r="A151" s="19"/>
      <c r="B151" s="18" t="n">
        <v>10</v>
      </c>
      <c r="C151" s="4" t="s">
        <v>968</v>
      </c>
      <c r="D151" s="19" t="s">
        <v>932</v>
      </c>
      <c r="E151" s="6" t="s">
        <v>969</v>
      </c>
      <c r="F151" s="6" t="s">
        <v>970</v>
      </c>
      <c r="G151" s="6" t="s">
        <v>971</v>
      </c>
    </row>
    <row r="152" customFormat="false" ht="33" hidden="false" customHeight="true" outlineLevel="0" collapsed="false">
      <c r="A152" s="19"/>
      <c r="B152" s="18" t="n">
        <v>11</v>
      </c>
      <c r="C152" s="4" t="s">
        <v>976</v>
      </c>
      <c r="D152" s="19" t="s">
        <v>932</v>
      </c>
      <c r="E152" s="6" t="s">
        <v>977</v>
      </c>
      <c r="F152" s="6" t="s">
        <v>557</v>
      </c>
      <c r="G152" s="6" t="s">
        <v>978</v>
      </c>
    </row>
    <row r="153" customFormat="false" ht="33" hidden="false" customHeight="true" outlineLevel="0" collapsed="false">
      <c r="A153" s="19"/>
      <c r="B153" s="18" t="n">
        <v>12</v>
      </c>
      <c r="C153" s="4" t="s">
        <v>979</v>
      </c>
      <c r="D153" s="19" t="s">
        <v>932</v>
      </c>
      <c r="E153" s="6" t="s">
        <v>980</v>
      </c>
      <c r="F153" s="6" t="s">
        <v>981</v>
      </c>
      <c r="G153" s="6" t="s">
        <v>982</v>
      </c>
    </row>
    <row r="154" customFormat="false" ht="25.5" hidden="false" customHeight="true" outlineLevel="0" collapsed="false">
      <c r="A154" s="19"/>
      <c r="B154" s="18" t="n">
        <v>13</v>
      </c>
      <c r="C154" s="4" t="s">
        <v>985</v>
      </c>
      <c r="D154" s="19" t="s">
        <v>986</v>
      </c>
      <c r="E154" s="6" t="s">
        <v>987</v>
      </c>
      <c r="F154" s="6" t="s">
        <v>988</v>
      </c>
      <c r="G154" s="6" t="s">
        <v>989</v>
      </c>
    </row>
    <row r="155" customFormat="false" ht="25.5" hidden="false" customHeight="true" outlineLevel="0" collapsed="false">
      <c r="A155" s="19"/>
      <c r="B155" s="18" t="n">
        <v>14</v>
      </c>
      <c r="C155" s="4" t="s">
        <v>856</v>
      </c>
      <c r="D155" s="19" t="s">
        <v>932</v>
      </c>
      <c r="E155" s="6" t="s">
        <v>990</v>
      </c>
      <c r="F155" s="6" t="s">
        <v>1015</v>
      </c>
      <c r="G155" s="6" t="s">
        <v>1062</v>
      </c>
    </row>
    <row r="156" customFormat="false" ht="33" hidden="false" customHeight="true" outlineLevel="0" collapsed="false">
      <c r="A156" s="19"/>
      <c r="B156" s="18" t="n">
        <v>15</v>
      </c>
      <c r="C156" s="4" t="s">
        <v>883</v>
      </c>
      <c r="D156" s="19" t="s">
        <v>957</v>
      </c>
      <c r="E156" s="6" t="s">
        <v>993</v>
      </c>
      <c r="F156" s="6" t="s">
        <v>959</v>
      </c>
      <c r="G156" s="6" t="s">
        <v>994</v>
      </c>
    </row>
    <row r="157" customFormat="false" ht="33" hidden="false" customHeight="true" outlineLevel="0" collapsed="false">
      <c r="A157" s="19"/>
      <c r="B157" s="18" t="n">
        <v>16</v>
      </c>
      <c r="C157" s="4" t="s">
        <v>889</v>
      </c>
      <c r="D157" s="19" t="s">
        <v>957</v>
      </c>
      <c r="E157" s="6" t="s">
        <v>995</v>
      </c>
      <c r="F157" s="6" t="s">
        <v>959</v>
      </c>
      <c r="G157" s="6" t="s">
        <v>994</v>
      </c>
    </row>
    <row r="158" customFormat="false" ht="25.5" hidden="false" customHeight="true" outlineLevel="0" collapsed="false">
      <c r="A158" s="19"/>
      <c r="B158" s="18" t="n">
        <v>17</v>
      </c>
      <c r="C158" s="4" t="s">
        <v>1063</v>
      </c>
      <c r="D158" s="19" t="s">
        <v>932</v>
      </c>
      <c r="E158" s="6" t="s">
        <v>1064</v>
      </c>
      <c r="F158" s="6" t="s">
        <v>557</v>
      </c>
      <c r="G158" s="6" t="s">
        <v>1062</v>
      </c>
    </row>
    <row r="159" customFormat="false" ht="25.5" hidden="false" customHeight="true" outlineLevel="0" collapsed="false">
      <c r="A159" s="19"/>
      <c r="B159" s="18" t="n">
        <v>18</v>
      </c>
      <c r="C159" s="4" t="s">
        <v>1025</v>
      </c>
      <c r="D159" s="19" t="s">
        <v>932</v>
      </c>
      <c r="E159" s="6" t="s">
        <v>1026</v>
      </c>
      <c r="F159" s="6" t="s">
        <v>557</v>
      </c>
      <c r="G159" s="6" t="s">
        <v>1065</v>
      </c>
    </row>
    <row r="160" customFormat="false" ht="25.5" hidden="false" customHeight="true" outlineLevel="0" collapsed="false">
      <c r="A160" s="19"/>
      <c r="B160" s="18" t="n">
        <v>19</v>
      </c>
      <c r="C160" s="4" t="s">
        <v>1042</v>
      </c>
      <c r="D160" s="19" t="s">
        <v>932</v>
      </c>
      <c r="E160" s="6" t="s">
        <v>1043</v>
      </c>
      <c r="F160" s="6" t="s">
        <v>557</v>
      </c>
      <c r="G160" s="6" t="s">
        <v>1065</v>
      </c>
    </row>
    <row r="161" customFormat="false" ht="33" hidden="false" customHeight="true" outlineLevel="0" collapsed="false">
      <c r="A161" s="19"/>
      <c r="B161" s="18" t="n">
        <v>20</v>
      </c>
      <c r="C161" s="4" t="s">
        <v>996</v>
      </c>
      <c r="D161" s="19" t="s">
        <v>957</v>
      </c>
      <c r="E161" s="6" t="s">
        <v>997</v>
      </c>
      <c r="F161" s="6" t="s">
        <v>998</v>
      </c>
      <c r="G161" s="6" t="s">
        <v>999</v>
      </c>
    </row>
    <row r="162" customFormat="false" ht="33" hidden="false" customHeight="true" outlineLevel="0" collapsed="false">
      <c r="A162" s="19"/>
      <c r="B162" s="18" t="n">
        <v>21</v>
      </c>
      <c r="C162" s="4" t="s">
        <v>904</v>
      </c>
      <c r="D162" s="19" t="s">
        <v>957</v>
      </c>
      <c r="E162" s="6" t="s">
        <v>1000</v>
      </c>
      <c r="F162" s="6" t="s">
        <v>998</v>
      </c>
      <c r="G162" s="6" t="s">
        <v>999</v>
      </c>
    </row>
    <row r="163" customFormat="false" ht="33" hidden="false" customHeight="true" outlineLevel="0" collapsed="false">
      <c r="A163" s="19"/>
      <c r="B163" s="18" t="n">
        <v>22</v>
      </c>
      <c r="C163" s="4" t="s">
        <v>1001</v>
      </c>
      <c r="D163" s="19" t="s">
        <v>957</v>
      </c>
      <c r="E163" s="6" t="s">
        <v>1002</v>
      </c>
      <c r="F163" s="6" t="s">
        <v>998</v>
      </c>
      <c r="G163" s="6" t="s">
        <v>999</v>
      </c>
    </row>
    <row r="164" customFormat="false" ht="33" hidden="false" customHeight="true" outlineLevel="0" collapsed="false">
      <c r="A164" s="19"/>
      <c r="B164" s="18" t="n">
        <v>23</v>
      </c>
      <c r="C164" s="4" t="s">
        <v>1003</v>
      </c>
      <c r="D164" s="19" t="s">
        <v>957</v>
      </c>
      <c r="E164" s="6" t="s">
        <v>1004</v>
      </c>
      <c r="F164" s="6" t="s">
        <v>998</v>
      </c>
      <c r="G164" s="6" t="s">
        <v>999</v>
      </c>
    </row>
    <row r="165" customFormat="false" ht="33" hidden="false" customHeight="true" outlineLevel="0" collapsed="false">
      <c r="A165" s="4" t="s">
        <v>1066</v>
      </c>
      <c r="B165" s="18" t="n">
        <v>1</v>
      </c>
      <c r="C165" s="4" t="s">
        <v>859</v>
      </c>
      <c r="D165" s="19" t="s">
        <v>921</v>
      </c>
      <c r="E165" s="6" t="s">
        <v>922</v>
      </c>
      <c r="F165" s="6" t="s">
        <v>1060</v>
      </c>
      <c r="G165" s="6" t="s">
        <v>1067</v>
      </c>
    </row>
    <row r="166" customFormat="false" ht="33" hidden="false" customHeight="true" outlineLevel="0" collapsed="false">
      <c r="A166" s="19"/>
      <c r="B166" s="18" t="n">
        <v>2</v>
      </c>
      <c r="C166" s="4" t="s">
        <v>862</v>
      </c>
      <c r="D166" s="19" t="s">
        <v>921</v>
      </c>
      <c r="E166" s="6" t="s">
        <v>925</v>
      </c>
      <c r="F166" s="6" t="s">
        <v>1008</v>
      </c>
      <c r="G166" s="6" t="s">
        <v>1020</v>
      </c>
    </row>
    <row r="167" customFormat="false" ht="25.5" hidden="false" customHeight="true" outlineLevel="0" collapsed="false">
      <c r="A167" s="19"/>
      <c r="B167" s="18" t="n">
        <v>3</v>
      </c>
      <c r="C167" s="4" t="s">
        <v>898</v>
      </c>
      <c r="D167" s="19" t="s">
        <v>921</v>
      </c>
      <c r="E167" s="6" t="s">
        <v>928</v>
      </c>
      <c r="F167" s="6" t="s">
        <v>1010</v>
      </c>
      <c r="G167" s="6" t="s">
        <v>1011</v>
      </c>
    </row>
    <row r="168" customFormat="false" ht="33" hidden="false" customHeight="true" outlineLevel="0" collapsed="false">
      <c r="A168" s="19"/>
      <c r="B168" s="18" t="n">
        <v>4</v>
      </c>
      <c r="C168" s="4" t="s">
        <v>946</v>
      </c>
      <c r="D168" s="19" t="s">
        <v>932</v>
      </c>
      <c r="E168" s="6" t="s">
        <v>947</v>
      </c>
      <c r="F168" s="6" t="s">
        <v>948</v>
      </c>
      <c r="G168" s="6" t="s">
        <v>949</v>
      </c>
    </row>
    <row r="169" customFormat="false" ht="25.5" hidden="false" customHeight="true" outlineLevel="0" collapsed="false">
      <c r="A169" s="19"/>
      <c r="B169" s="18" t="n">
        <v>5</v>
      </c>
      <c r="C169" s="4" t="s">
        <v>950</v>
      </c>
      <c r="D169" s="19" t="s">
        <v>921</v>
      </c>
      <c r="E169" s="6" t="s">
        <v>951</v>
      </c>
      <c r="F169" s="6" t="s">
        <v>1022</v>
      </c>
      <c r="G169" s="6" t="s">
        <v>1020</v>
      </c>
    </row>
    <row r="170" customFormat="false" ht="33" hidden="false" customHeight="true" outlineLevel="0" collapsed="false">
      <c r="A170" s="19"/>
      <c r="B170" s="18" t="n">
        <v>6</v>
      </c>
      <c r="C170" s="4" t="s">
        <v>953</v>
      </c>
      <c r="D170" s="19" t="s">
        <v>932</v>
      </c>
      <c r="E170" s="6" t="s">
        <v>954</v>
      </c>
      <c r="F170" s="6" t="s">
        <v>955</v>
      </c>
      <c r="G170" s="6" t="s">
        <v>956</v>
      </c>
    </row>
    <row r="171" customFormat="false" ht="43.5" hidden="false" customHeight="true" outlineLevel="0" collapsed="false">
      <c r="A171" s="19"/>
      <c r="B171" s="18" t="n">
        <v>7</v>
      </c>
      <c r="C171" s="4" t="s">
        <v>871</v>
      </c>
      <c r="D171" s="19" t="s">
        <v>957</v>
      </c>
      <c r="E171" s="6" t="s">
        <v>958</v>
      </c>
      <c r="F171" s="6" t="s">
        <v>959</v>
      </c>
      <c r="G171" s="6" t="s">
        <v>960</v>
      </c>
    </row>
    <row r="172" customFormat="false" ht="43.5" hidden="false" customHeight="true" outlineLevel="0" collapsed="false">
      <c r="A172" s="19"/>
      <c r="B172" s="18" t="n">
        <v>8</v>
      </c>
      <c r="C172" s="4" t="s">
        <v>961</v>
      </c>
      <c r="D172" s="19" t="s">
        <v>957</v>
      </c>
      <c r="E172" s="6" t="s">
        <v>962</v>
      </c>
      <c r="F172" s="6" t="s">
        <v>1013</v>
      </c>
      <c r="G172" s="6" t="s">
        <v>1014</v>
      </c>
    </row>
    <row r="173" customFormat="false" ht="43.5" hidden="false" customHeight="true" outlineLevel="0" collapsed="false">
      <c r="A173" s="19"/>
      <c r="B173" s="18" t="n">
        <v>9</v>
      </c>
      <c r="C173" s="4" t="s">
        <v>965</v>
      </c>
      <c r="D173" s="19" t="s">
        <v>957</v>
      </c>
      <c r="E173" s="6" t="s">
        <v>966</v>
      </c>
      <c r="F173" s="6" t="s">
        <v>1013</v>
      </c>
      <c r="G173" s="6" t="s">
        <v>1014</v>
      </c>
    </row>
    <row r="174" customFormat="false" ht="25.5" hidden="false" customHeight="true" outlineLevel="0" collapsed="false">
      <c r="A174" s="19"/>
      <c r="B174" s="18" t="n">
        <v>10</v>
      </c>
      <c r="C174" s="4" t="s">
        <v>1068</v>
      </c>
      <c r="D174" s="19" t="s">
        <v>932</v>
      </c>
      <c r="E174" s="6" t="s">
        <v>1069</v>
      </c>
      <c r="F174" s="6" t="s">
        <v>557</v>
      </c>
      <c r="G174" s="6" t="s">
        <v>1070</v>
      </c>
    </row>
    <row r="175" customFormat="false" ht="33" hidden="false" customHeight="true" outlineLevel="0" collapsed="false">
      <c r="A175" s="19"/>
      <c r="B175" s="18" t="n">
        <v>11</v>
      </c>
      <c r="C175" s="4" t="s">
        <v>968</v>
      </c>
      <c r="D175" s="19" t="s">
        <v>932</v>
      </c>
      <c r="E175" s="6" t="s">
        <v>969</v>
      </c>
      <c r="F175" s="6" t="s">
        <v>970</v>
      </c>
      <c r="G175" s="6" t="s">
        <v>971</v>
      </c>
    </row>
    <row r="176" customFormat="false" ht="33" hidden="false" customHeight="true" outlineLevel="0" collapsed="false">
      <c r="A176" s="19"/>
      <c r="B176" s="18" t="n">
        <v>12</v>
      </c>
      <c r="C176" s="4" t="s">
        <v>976</v>
      </c>
      <c r="D176" s="19" t="s">
        <v>932</v>
      </c>
      <c r="E176" s="6" t="s">
        <v>977</v>
      </c>
      <c r="F176" s="6" t="s">
        <v>557</v>
      </c>
      <c r="G176" s="6" t="s">
        <v>978</v>
      </c>
    </row>
    <row r="177" customFormat="false" ht="33" hidden="false" customHeight="true" outlineLevel="0" collapsed="false">
      <c r="A177" s="19"/>
      <c r="B177" s="18" t="n">
        <v>13</v>
      </c>
      <c r="C177" s="4" t="s">
        <v>979</v>
      </c>
      <c r="D177" s="19" t="s">
        <v>932</v>
      </c>
      <c r="E177" s="6" t="s">
        <v>980</v>
      </c>
      <c r="F177" s="6" t="s">
        <v>981</v>
      </c>
      <c r="G177" s="6" t="s">
        <v>982</v>
      </c>
    </row>
    <row r="178" customFormat="false" ht="25.5" hidden="false" customHeight="true" outlineLevel="0" collapsed="false">
      <c r="A178" s="19"/>
      <c r="B178" s="18" t="n">
        <v>14</v>
      </c>
      <c r="C178" s="4" t="s">
        <v>985</v>
      </c>
      <c r="D178" s="19" t="s">
        <v>986</v>
      </c>
      <c r="E178" s="6" t="s">
        <v>987</v>
      </c>
      <c r="F178" s="6" t="s">
        <v>988</v>
      </c>
      <c r="G178" s="6" t="s">
        <v>989</v>
      </c>
    </row>
    <row r="179" customFormat="false" ht="25.5" hidden="false" customHeight="true" outlineLevel="0" collapsed="false">
      <c r="A179" s="19"/>
      <c r="B179" s="18" t="n">
        <v>15</v>
      </c>
      <c r="C179" s="4" t="s">
        <v>856</v>
      </c>
      <c r="D179" s="19" t="s">
        <v>932</v>
      </c>
      <c r="E179" s="6" t="s">
        <v>990</v>
      </c>
      <c r="F179" s="6" t="s">
        <v>1015</v>
      </c>
      <c r="G179" s="6" t="s">
        <v>1070</v>
      </c>
    </row>
    <row r="180" customFormat="false" ht="33" hidden="false" customHeight="true" outlineLevel="0" collapsed="false">
      <c r="A180" s="19"/>
      <c r="B180" s="18" t="n">
        <v>16</v>
      </c>
      <c r="C180" s="4" t="s">
        <v>883</v>
      </c>
      <c r="D180" s="19" t="s">
        <v>957</v>
      </c>
      <c r="E180" s="6" t="s">
        <v>993</v>
      </c>
      <c r="F180" s="6" t="s">
        <v>959</v>
      </c>
      <c r="G180" s="6" t="s">
        <v>994</v>
      </c>
    </row>
    <row r="181" customFormat="false" ht="33" hidden="false" customHeight="true" outlineLevel="0" collapsed="false">
      <c r="A181" s="19"/>
      <c r="B181" s="18" t="n">
        <v>17</v>
      </c>
      <c r="C181" s="4" t="s">
        <v>889</v>
      </c>
      <c r="D181" s="19" t="s">
        <v>957</v>
      </c>
      <c r="E181" s="6" t="s">
        <v>995</v>
      </c>
      <c r="F181" s="6" t="s">
        <v>959</v>
      </c>
      <c r="G181" s="6" t="s">
        <v>994</v>
      </c>
    </row>
    <row r="182" customFormat="false" ht="33" hidden="false" customHeight="true" outlineLevel="0" collapsed="false">
      <c r="A182" s="19"/>
      <c r="B182" s="18" t="n">
        <v>18</v>
      </c>
      <c r="C182" s="4" t="s">
        <v>996</v>
      </c>
      <c r="D182" s="19" t="s">
        <v>957</v>
      </c>
      <c r="E182" s="6" t="s">
        <v>997</v>
      </c>
      <c r="F182" s="6" t="s">
        <v>998</v>
      </c>
      <c r="G182" s="6" t="s">
        <v>999</v>
      </c>
    </row>
    <row r="183" customFormat="false" ht="33" hidden="false" customHeight="true" outlineLevel="0" collapsed="false">
      <c r="A183" s="19"/>
      <c r="B183" s="18" t="n">
        <v>19</v>
      </c>
      <c r="C183" s="4" t="s">
        <v>904</v>
      </c>
      <c r="D183" s="19" t="s">
        <v>957</v>
      </c>
      <c r="E183" s="6" t="s">
        <v>1000</v>
      </c>
      <c r="F183" s="6" t="s">
        <v>998</v>
      </c>
      <c r="G183" s="6" t="s">
        <v>999</v>
      </c>
    </row>
    <row r="184" customFormat="false" ht="33" hidden="false" customHeight="true" outlineLevel="0" collapsed="false">
      <c r="A184" s="19"/>
      <c r="B184" s="18" t="n">
        <v>20</v>
      </c>
      <c r="C184" s="4" t="s">
        <v>1001</v>
      </c>
      <c r="D184" s="19" t="s">
        <v>957</v>
      </c>
      <c r="E184" s="6" t="s">
        <v>1002</v>
      </c>
      <c r="F184" s="6" t="s">
        <v>998</v>
      </c>
      <c r="G184" s="6" t="s">
        <v>999</v>
      </c>
    </row>
    <row r="185" customFormat="false" ht="33" hidden="false" customHeight="true" outlineLevel="0" collapsed="false">
      <c r="A185" s="19"/>
      <c r="B185" s="18" t="n">
        <v>21</v>
      </c>
      <c r="C185" s="4" t="s">
        <v>1003</v>
      </c>
      <c r="D185" s="19" t="s">
        <v>957</v>
      </c>
      <c r="E185" s="6" t="s">
        <v>1004</v>
      </c>
      <c r="F185" s="6" t="s">
        <v>998</v>
      </c>
      <c r="G185" s="6" t="s">
        <v>999</v>
      </c>
    </row>
    <row r="186" customFormat="false" ht="33" hidden="false" customHeight="true" outlineLevel="0" collapsed="false">
      <c r="A186" s="4" t="s">
        <v>1071</v>
      </c>
      <c r="B186" s="18" t="n">
        <v>1</v>
      </c>
      <c r="C186" s="4" t="s">
        <v>859</v>
      </c>
      <c r="D186" s="19" t="s">
        <v>921</v>
      </c>
      <c r="E186" s="6" t="s">
        <v>922</v>
      </c>
      <c r="F186" s="6" t="s">
        <v>1018</v>
      </c>
      <c r="G186" s="6" t="s">
        <v>1072</v>
      </c>
    </row>
    <row r="187" customFormat="false" ht="33" hidden="false" customHeight="true" outlineLevel="0" collapsed="false">
      <c r="A187" s="19"/>
      <c r="B187" s="18" t="n">
        <v>2</v>
      </c>
      <c r="C187" s="4" t="s">
        <v>862</v>
      </c>
      <c r="D187" s="19" t="s">
        <v>921</v>
      </c>
      <c r="E187" s="6" t="s">
        <v>925</v>
      </c>
      <c r="F187" s="6" t="s">
        <v>1008</v>
      </c>
      <c r="G187" s="6" t="s">
        <v>1073</v>
      </c>
    </row>
    <row r="188" customFormat="false" ht="25.5" hidden="false" customHeight="true" outlineLevel="0" collapsed="false">
      <c r="A188" s="19"/>
      <c r="B188" s="18" t="n">
        <v>3</v>
      </c>
      <c r="C188" s="4" t="s">
        <v>898</v>
      </c>
      <c r="D188" s="19" t="s">
        <v>921</v>
      </c>
      <c r="E188" s="6" t="s">
        <v>928</v>
      </c>
      <c r="F188" s="6" t="s">
        <v>1010</v>
      </c>
      <c r="G188" s="6" t="s">
        <v>1021</v>
      </c>
    </row>
    <row r="189" customFormat="false" ht="33" hidden="false" customHeight="true" outlineLevel="0" collapsed="false">
      <c r="A189" s="19"/>
      <c r="B189" s="18" t="n">
        <v>4</v>
      </c>
      <c r="C189" s="4" t="s">
        <v>946</v>
      </c>
      <c r="D189" s="19" t="s">
        <v>932</v>
      </c>
      <c r="E189" s="6" t="s">
        <v>947</v>
      </c>
      <c r="F189" s="6" t="s">
        <v>948</v>
      </c>
      <c r="G189" s="6" t="s">
        <v>949</v>
      </c>
    </row>
    <row r="190" customFormat="false" ht="25.5" hidden="false" customHeight="true" outlineLevel="0" collapsed="false">
      <c r="A190" s="19"/>
      <c r="B190" s="18" t="n">
        <v>5</v>
      </c>
      <c r="C190" s="4" t="s">
        <v>950</v>
      </c>
      <c r="D190" s="19" t="s">
        <v>921</v>
      </c>
      <c r="E190" s="6" t="s">
        <v>951</v>
      </c>
      <c r="F190" s="6" t="s">
        <v>1022</v>
      </c>
      <c r="G190" s="6" t="s">
        <v>1073</v>
      </c>
    </row>
    <row r="191" customFormat="false" ht="33" hidden="false" customHeight="true" outlineLevel="0" collapsed="false">
      <c r="A191" s="19"/>
      <c r="B191" s="18" t="n">
        <v>6</v>
      </c>
      <c r="C191" s="4" t="s">
        <v>953</v>
      </c>
      <c r="D191" s="19" t="s">
        <v>932</v>
      </c>
      <c r="E191" s="6" t="s">
        <v>954</v>
      </c>
      <c r="F191" s="6" t="s">
        <v>955</v>
      </c>
      <c r="G191" s="6" t="s">
        <v>956</v>
      </c>
    </row>
    <row r="192" customFormat="false" ht="43.5" hidden="false" customHeight="true" outlineLevel="0" collapsed="false">
      <c r="A192" s="19"/>
      <c r="B192" s="18" t="n">
        <v>7</v>
      </c>
      <c r="C192" s="4" t="s">
        <v>871</v>
      </c>
      <c r="D192" s="19" t="s">
        <v>957</v>
      </c>
      <c r="E192" s="6" t="s">
        <v>958</v>
      </c>
      <c r="F192" s="6" t="s">
        <v>959</v>
      </c>
      <c r="G192" s="6" t="s">
        <v>960</v>
      </c>
    </row>
    <row r="193" customFormat="false" ht="43.5" hidden="false" customHeight="true" outlineLevel="0" collapsed="false">
      <c r="A193" s="19"/>
      <c r="B193" s="18" t="n">
        <v>8</v>
      </c>
      <c r="C193" s="4" t="s">
        <v>961</v>
      </c>
      <c r="D193" s="19" t="s">
        <v>957</v>
      </c>
      <c r="E193" s="6" t="s">
        <v>962</v>
      </c>
      <c r="F193" s="6" t="s">
        <v>1013</v>
      </c>
      <c r="G193" s="6" t="s">
        <v>1014</v>
      </c>
    </row>
    <row r="194" customFormat="false" ht="43.5" hidden="false" customHeight="true" outlineLevel="0" collapsed="false">
      <c r="A194" s="19"/>
      <c r="B194" s="18" t="n">
        <v>9</v>
      </c>
      <c r="C194" s="4" t="s">
        <v>965</v>
      </c>
      <c r="D194" s="19" t="s">
        <v>957</v>
      </c>
      <c r="E194" s="6" t="s">
        <v>966</v>
      </c>
      <c r="F194" s="6" t="s">
        <v>1013</v>
      </c>
      <c r="G194" s="6" t="s">
        <v>1014</v>
      </c>
    </row>
    <row r="195" customFormat="false" ht="33" hidden="false" customHeight="true" outlineLevel="0" collapsed="false">
      <c r="A195" s="19"/>
      <c r="B195" s="18" t="n">
        <v>10</v>
      </c>
      <c r="C195" s="4" t="s">
        <v>968</v>
      </c>
      <c r="D195" s="19" t="s">
        <v>932</v>
      </c>
      <c r="E195" s="6" t="s">
        <v>969</v>
      </c>
      <c r="F195" s="6" t="s">
        <v>970</v>
      </c>
      <c r="G195" s="6" t="s">
        <v>971</v>
      </c>
    </row>
    <row r="196" customFormat="false" ht="33" hidden="false" customHeight="true" outlineLevel="0" collapsed="false">
      <c r="A196" s="19"/>
      <c r="B196" s="18" t="n">
        <v>11</v>
      </c>
      <c r="C196" s="4" t="s">
        <v>976</v>
      </c>
      <c r="D196" s="19" t="s">
        <v>932</v>
      </c>
      <c r="E196" s="6" t="s">
        <v>977</v>
      </c>
      <c r="F196" s="6" t="s">
        <v>557</v>
      </c>
      <c r="G196" s="6" t="s">
        <v>978</v>
      </c>
    </row>
    <row r="197" customFormat="false" ht="33" hidden="false" customHeight="true" outlineLevel="0" collapsed="false">
      <c r="A197" s="19"/>
      <c r="B197" s="18" t="n">
        <v>12</v>
      </c>
      <c r="C197" s="4" t="s">
        <v>979</v>
      </c>
      <c r="D197" s="19" t="s">
        <v>932</v>
      </c>
      <c r="E197" s="6" t="s">
        <v>980</v>
      </c>
      <c r="F197" s="6" t="s">
        <v>981</v>
      </c>
      <c r="G197" s="6" t="s">
        <v>982</v>
      </c>
    </row>
    <row r="198" customFormat="false" ht="25.5" hidden="false" customHeight="true" outlineLevel="0" collapsed="false">
      <c r="A198" s="19"/>
      <c r="B198" s="18" t="n">
        <v>13</v>
      </c>
      <c r="C198" s="4" t="s">
        <v>985</v>
      </c>
      <c r="D198" s="19" t="s">
        <v>986</v>
      </c>
      <c r="E198" s="6" t="s">
        <v>987</v>
      </c>
      <c r="F198" s="6" t="s">
        <v>988</v>
      </c>
      <c r="G198" s="6" t="s">
        <v>989</v>
      </c>
    </row>
    <row r="199" customFormat="false" ht="33" hidden="false" customHeight="true" outlineLevel="0" collapsed="false">
      <c r="A199" s="19"/>
      <c r="B199" s="18" t="n">
        <v>14</v>
      </c>
      <c r="C199" s="4" t="s">
        <v>856</v>
      </c>
      <c r="D199" s="19" t="s">
        <v>932</v>
      </c>
      <c r="E199" s="6" t="s">
        <v>990</v>
      </c>
      <c r="F199" s="6" t="s">
        <v>1015</v>
      </c>
      <c r="G199" s="6" t="s">
        <v>1074</v>
      </c>
    </row>
    <row r="200" customFormat="false" ht="33" hidden="false" customHeight="true" outlineLevel="0" collapsed="false">
      <c r="A200" s="19"/>
      <c r="B200" s="18" t="n">
        <v>15</v>
      </c>
      <c r="C200" s="4" t="s">
        <v>883</v>
      </c>
      <c r="D200" s="19" t="s">
        <v>957</v>
      </c>
      <c r="E200" s="6" t="s">
        <v>993</v>
      </c>
      <c r="F200" s="6" t="s">
        <v>959</v>
      </c>
      <c r="G200" s="6" t="s">
        <v>994</v>
      </c>
    </row>
    <row r="201" customFormat="false" ht="33" hidden="false" customHeight="true" outlineLevel="0" collapsed="false">
      <c r="A201" s="19"/>
      <c r="B201" s="18" t="n">
        <v>16</v>
      </c>
      <c r="C201" s="4" t="s">
        <v>889</v>
      </c>
      <c r="D201" s="19" t="s">
        <v>957</v>
      </c>
      <c r="E201" s="6" t="s">
        <v>995</v>
      </c>
      <c r="F201" s="6" t="s">
        <v>959</v>
      </c>
      <c r="G201" s="6" t="s">
        <v>994</v>
      </c>
    </row>
    <row r="202" customFormat="false" ht="33" hidden="false" customHeight="true" outlineLevel="0" collapsed="false">
      <c r="A202" s="19"/>
      <c r="B202" s="18" t="n">
        <v>17</v>
      </c>
      <c r="C202" s="4" t="s">
        <v>996</v>
      </c>
      <c r="D202" s="19" t="s">
        <v>957</v>
      </c>
      <c r="E202" s="6" t="s">
        <v>997</v>
      </c>
      <c r="F202" s="6" t="s">
        <v>998</v>
      </c>
      <c r="G202" s="6" t="s">
        <v>999</v>
      </c>
    </row>
    <row r="203" customFormat="false" ht="33" hidden="false" customHeight="true" outlineLevel="0" collapsed="false">
      <c r="A203" s="19"/>
      <c r="B203" s="18" t="n">
        <v>18</v>
      </c>
      <c r="C203" s="4" t="s">
        <v>904</v>
      </c>
      <c r="D203" s="19" t="s">
        <v>957</v>
      </c>
      <c r="E203" s="6" t="s">
        <v>1000</v>
      </c>
      <c r="F203" s="6" t="s">
        <v>998</v>
      </c>
      <c r="G203" s="6" t="s">
        <v>999</v>
      </c>
    </row>
    <row r="204" customFormat="false" ht="33" hidden="false" customHeight="true" outlineLevel="0" collapsed="false">
      <c r="A204" s="19"/>
      <c r="B204" s="18" t="n">
        <v>19</v>
      </c>
      <c r="C204" s="4" t="s">
        <v>1001</v>
      </c>
      <c r="D204" s="19" t="s">
        <v>957</v>
      </c>
      <c r="E204" s="6" t="s">
        <v>1002</v>
      </c>
      <c r="F204" s="6" t="s">
        <v>998</v>
      </c>
      <c r="G204" s="6" t="s">
        <v>999</v>
      </c>
    </row>
    <row r="205" customFormat="false" ht="33" hidden="false" customHeight="true" outlineLevel="0" collapsed="false">
      <c r="A205" s="19"/>
      <c r="B205" s="18" t="n">
        <v>20</v>
      </c>
      <c r="C205" s="4" t="s">
        <v>1003</v>
      </c>
      <c r="D205" s="19" t="s">
        <v>957</v>
      </c>
      <c r="E205" s="6" t="s">
        <v>1004</v>
      </c>
      <c r="F205" s="6" t="s">
        <v>998</v>
      </c>
      <c r="G205" s="6" t="s">
        <v>999</v>
      </c>
    </row>
    <row r="206" customFormat="false" ht="33" hidden="false" customHeight="true" outlineLevel="0" collapsed="false">
      <c r="A206" s="4" t="s">
        <v>1075</v>
      </c>
      <c r="B206" s="18" t="n">
        <v>1</v>
      </c>
      <c r="C206" s="4" t="s">
        <v>859</v>
      </c>
      <c r="D206" s="19" t="s">
        <v>921</v>
      </c>
      <c r="E206" s="6" t="s">
        <v>922</v>
      </c>
      <c r="F206" s="6" t="s">
        <v>1076</v>
      </c>
      <c r="G206" s="6" t="s">
        <v>1077</v>
      </c>
    </row>
    <row r="207" customFormat="false" ht="25.5" hidden="false" customHeight="true" outlineLevel="0" collapsed="false">
      <c r="A207" s="19"/>
      <c r="B207" s="18" t="n">
        <v>2</v>
      </c>
      <c r="C207" s="4" t="s">
        <v>898</v>
      </c>
      <c r="D207" s="19" t="s">
        <v>921</v>
      </c>
      <c r="E207" s="6" t="s">
        <v>928</v>
      </c>
      <c r="F207" s="6" t="s">
        <v>1078</v>
      </c>
      <c r="G207" s="6" t="s">
        <v>1079</v>
      </c>
    </row>
    <row r="208" customFormat="false" ht="33" hidden="false" customHeight="true" outlineLevel="0" collapsed="false">
      <c r="A208" s="19"/>
      <c r="B208" s="18" t="n">
        <v>3</v>
      </c>
      <c r="C208" s="4" t="s">
        <v>953</v>
      </c>
      <c r="D208" s="19" t="s">
        <v>932</v>
      </c>
      <c r="E208" s="6" t="s">
        <v>954</v>
      </c>
      <c r="F208" s="6" t="s">
        <v>1080</v>
      </c>
      <c r="G208" s="6" t="s">
        <v>1081</v>
      </c>
    </row>
    <row r="209" customFormat="false" ht="33" hidden="false" customHeight="true" outlineLevel="0" collapsed="false">
      <c r="A209" s="19"/>
      <c r="B209" s="18" t="n">
        <v>4</v>
      </c>
      <c r="C209" s="4" t="s">
        <v>968</v>
      </c>
      <c r="D209" s="19" t="s">
        <v>932</v>
      </c>
      <c r="E209" s="6" t="s">
        <v>969</v>
      </c>
      <c r="F209" s="6" t="s">
        <v>1082</v>
      </c>
      <c r="G209" s="6" t="s">
        <v>1083</v>
      </c>
    </row>
    <row r="210" customFormat="false" ht="33" hidden="false" customHeight="true" outlineLevel="0" collapsed="false">
      <c r="A210" s="19"/>
      <c r="B210" s="18" t="n">
        <v>5</v>
      </c>
      <c r="C210" s="4" t="s">
        <v>979</v>
      </c>
      <c r="D210" s="19" t="s">
        <v>932</v>
      </c>
      <c r="E210" s="6" t="s">
        <v>980</v>
      </c>
      <c r="F210" s="6" t="s">
        <v>1084</v>
      </c>
      <c r="G210" s="6" t="s">
        <v>1085</v>
      </c>
    </row>
    <row r="211" customFormat="false" ht="43.5" hidden="false" customHeight="true" outlineLevel="0" collapsed="false">
      <c r="A211" s="19"/>
      <c r="B211" s="18" t="n">
        <v>6</v>
      </c>
      <c r="C211" s="4" t="s">
        <v>871</v>
      </c>
      <c r="D211" s="19" t="s">
        <v>957</v>
      </c>
      <c r="E211" s="6" t="s">
        <v>958</v>
      </c>
      <c r="F211" s="6" t="s">
        <v>959</v>
      </c>
      <c r="G211" s="6" t="s">
        <v>960</v>
      </c>
    </row>
    <row r="212" customFormat="false" ht="33" hidden="false" customHeight="true" outlineLevel="0" collapsed="false">
      <c r="A212" s="19"/>
      <c r="B212" s="18" t="n">
        <v>7</v>
      </c>
      <c r="C212" s="4" t="s">
        <v>985</v>
      </c>
      <c r="D212" s="19" t="s">
        <v>957</v>
      </c>
      <c r="E212" s="6" t="s">
        <v>987</v>
      </c>
      <c r="F212" s="6" t="s">
        <v>998</v>
      </c>
      <c r="G212" s="6" t="s">
        <v>1086</v>
      </c>
    </row>
    <row r="213" customFormat="false" ht="33" hidden="false" customHeight="true" outlineLevel="0" collapsed="false">
      <c r="A213" s="19"/>
      <c r="B213" s="18" t="n">
        <v>8</v>
      </c>
      <c r="C213" s="4" t="s">
        <v>883</v>
      </c>
      <c r="D213" s="19" t="s">
        <v>957</v>
      </c>
      <c r="E213" s="6" t="s">
        <v>993</v>
      </c>
      <c r="F213" s="6" t="s">
        <v>959</v>
      </c>
      <c r="G213" s="6" t="s">
        <v>994</v>
      </c>
    </row>
    <row r="214" customFormat="false" ht="33" hidden="false" customHeight="true" outlineLevel="0" collapsed="false">
      <c r="A214" s="19"/>
      <c r="B214" s="18" t="n">
        <v>9</v>
      </c>
      <c r="C214" s="4" t="s">
        <v>889</v>
      </c>
      <c r="D214" s="19" t="s">
        <v>957</v>
      </c>
      <c r="E214" s="6" t="s">
        <v>995</v>
      </c>
      <c r="F214" s="6" t="s">
        <v>959</v>
      </c>
      <c r="G214" s="6" t="s">
        <v>994</v>
      </c>
    </row>
    <row r="215" customFormat="false" ht="33" hidden="false" customHeight="true" outlineLevel="0" collapsed="false">
      <c r="A215" s="4" t="s">
        <v>1087</v>
      </c>
      <c r="B215" s="18" t="n">
        <v>1</v>
      </c>
      <c r="C215" s="4" t="s">
        <v>859</v>
      </c>
      <c r="D215" s="19" t="s">
        <v>986</v>
      </c>
      <c r="E215" s="6" t="s">
        <v>922</v>
      </c>
      <c r="F215" s="6" t="s">
        <v>1088</v>
      </c>
      <c r="G215" s="6" t="s">
        <v>1089</v>
      </c>
    </row>
    <row r="216" customFormat="false" ht="25.5" hidden="false" customHeight="true" outlineLevel="0" collapsed="false">
      <c r="A216" s="19"/>
      <c r="B216" s="18" t="n">
        <v>2</v>
      </c>
      <c r="C216" s="4" t="s">
        <v>898</v>
      </c>
      <c r="D216" s="19" t="s">
        <v>921</v>
      </c>
      <c r="E216" s="6" t="s">
        <v>928</v>
      </c>
      <c r="F216" s="6" t="s">
        <v>1078</v>
      </c>
      <c r="G216" s="6" t="s">
        <v>1090</v>
      </c>
    </row>
    <row r="217" customFormat="false" ht="33" hidden="false" customHeight="true" outlineLevel="0" collapsed="false">
      <c r="A217" s="19"/>
      <c r="B217" s="18" t="n">
        <v>3</v>
      </c>
      <c r="C217" s="4" t="s">
        <v>953</v>
      </c>
      <c r="D217" s="19" t="s">
        <v>932</v>
      </c>
      <c r="E217" s="6" t="s">
        <v>954</v>
      </c>
      <c r="F217" s="6" t="s">
        <v>1080</v>
      </c>
      <c r="G217" s="6" t="s">
        <v>1081</v>
      </c>
    </row>
    <row r="218" customFormat="false" ht="33" hidden="false" customHeight="true" outlineLevel="0" collapsed="false">
      <c r="A218" s="19"/>
      <c r="B218" s="18" t="n">
        <v>4</v>
      </c>
      <c r="C218" s="4" t="s">
        <v>968</v>
      </c>
      <c r="D218" s="19" t="s">
        <v>932</v>
      </c>
      <c r="E218" s="6" t="s">
        <v>969</v>
      </c>
      <c r="F218" s="6" t="s">
        <v>1082</v>
      </c>
      <c r="G218" s="6" t="s">
        <v>1083</v>
      </c>
    </row>
    <row r="219" customFormat="false" ht="33" hidden="false" customHeight="true" outlineLevel="0" collapsed="false">
      <c r="A219" s="19"/>
      <c r="B219" s="18" t="n">
        <v>5</v>
      </c>
      <c r="C219" s="4" t="s">
        <v>979</v>
      </c>
      <c r="D219" s="19" t="s">
        <v>932</v>
      </c>
      <c r="E219" s="6" t="s">
        <v>980</v>
      </c>
      <c r="F219" s="6" t="s">
        <v>1084</v>
      </c>
      <c r="G219" s="6" t="s">
        <v>1085</v>
      </c>
    </row>
    <row r="220" customFormat="false" ht="43.5" hidden="false" customHeight="true" outlineLevel="0" collapsed="false">
      <c r="A220" s="19"/>
      <c r="B220" s="18" t="n">
        <v>6</v>
      </c>
      <c r="C220" s="4" t="s">
        <v>871</v>
      </c>
      <c r="D220" s="19" t="s">
        <v>957</v>
      </c>
      <c r="E220" s="6" t="s">
        <v>958</v>
      </c>
      <c r="F220" s="6" t="s">
        <v>959</v>
      </c>
      <c r="G220" s="6" t="s">
        <v>960</v>
      </c>
    </row>
    <row r="221" customFormat="false" ht="33" hidden="false" customHeight="true" outlineLevel="0" collapsed="false">
      <c r="A221" s="19"/>
      <c r="B221" s="18" t="n">
        <v>7</v>
      </c>
      <c r="C221" s="4" t="s">
        <v>985</v>
      </c>
      <c r="D221" s="19" t="s">
        <v>957</v>
      </c>
      <c r="E221" s="6" t="s">
        <v>987</v>
      </c>
      <c r="F221" s="6" t="s">
        <v>998</v>
      </c>
      <c r="G221" s="6" t="s">
        <v>1086</v>
      </c>
    </row>
    <row r="222" customFormat="false" ht="33" hidden="false" customHeight="true" outlineLevel="0" collapsed="false">
      <c r="A222" s="19"/>
      <c r="B222" s="18" t="n">
        <v>8</v>
      </c>
      <c r="C222" s="4" t="s">
        <v>883</v>
      </c>
      <c r="D222" s="19" t="s">
        <v>957</v>
      </c>
      <c r="E222" s="6" t="s">
        <v>993</v>
      </c>
      <c r="F222" s="6" t="s">
        <v>959</v>
      </c>
      <c r="G222" s="6" t="s">
        <v>994</v>
      </c>
    </row>
    <row r="223" customFormat="false" ht="33" hidden="false" customHeight="true" outlineLevel="0" collapsed="false">
      <c r="A223" s="19"/>
      <c r="B223" s="18" t="n">
        <v>9</v>
      </c>
      <c r="C223" s="4" t="s">
        <v>889</v>
      </c>
      <c r="D223" s="19" t="s">
        <v>957</v>
      </c>
      <c r="E223" s="6" t="s">
        <v>995</v>
      </c>
      <c r="F223" s="6" t="s">
        <v>959</v>
      </c>
      <c r="G223" s="6" t="s">
        <v>994</v>
      </c>
    </row>
    <row r="224" customFormat="false" ht="33" hidden="false" customHeight="true" outlineLevel="0" collapsed="false">
      <c r="A224" s="4" t="s">
        <v>1091</v>
      </c>
      <c r="B224" s="18" t="n">
        <v>1</v>
      </c>
      <c r="C224" s="4" t="s">
        <v>859</v>
      </c>
      <c r="D224" s="19" t="s">
        <v>986</v>
      </c>
      <c r="E224" s="6" t="s">
        <v>922</v>
      </c>
      <c r="F224" s="6" t="s">
        <v>1088</v>
      </c>
      <c r="G224" s="6" t="s">
        <v>1089</v>
      </c>
    </row>
    <row r="225" customFormat="false" ht="25.5" hidden="false" customHeight="true" outlineLevel="0" collapsed="false">
      <c r="A225" s="19"/>
      <c r="B225" s="18" t="n">
        <v>2</v>
      </c>
      <c r="C225" s="4" t="s">
        <v>898</v>
      </c>
      <c r="D225" s="19" t="s">
        <v>921</v>
      </c>
      <c r="E225" s="6" t="s">
        <v>928</v>
      </c>
      <c r="F225" s="6" t="s">
        <v>1078</v>
      </c>
      <c r="G225" s="6" t="s">
        <v>1092</v>
      </c>
    </row>
    <row r="226" customFormat="false" ht="33" hidden="false" customHeight="true" outlineLevel="0" collapsed="false">
      <c r="A226" s="19"/>
      <c r="B226" s="18" t="n">
        <v>3</v>
      </c>
      <c r="C226" s="4" t="s">
        <v>953</v>
      </c>
      <c r="D226" s="19" t="s">
        <v>932</v>
      </c>
      <c r="E226" s="6" t="s">
        <v>954</v>
      </c>
      <c r="F226" s="6" t="s">
        <v>1080</v>
      </c>
      <c r="G226" s="6" t="s">
        <v>1081</v>
      </c>
    </row>
    <row r="227" customFormat="false" ht="33" hidden="false" customHeight="true" outlineLevel="0" collapsed="false">
      <c r="A227" s="19"/>
      <c r="B227" s="18" t="n">
        <v>4</v>
      </c>
      <c r="C227" s="4" t="s">
        <v>968</v>
      </c>
      <c r="D227" s="19" t="s">
        <v>932</v>
      </c>
      <c r="E227" s="6" t="s">
        <v>969</v>
      </c>
      <c r="F227" s="6" t="s">
        <v>1082</v>
      </c>
      <c r="G227" s="6" t="s">
        <v>1083</v>
      </c>
    </row>
    <row r="228" customFormat="false" ht="33" hidden="false" customHeight="true" outlineLevel="0" collapsed="false">
      <c r="A228" s="19"/>
      <c r="B228" s="18" t="n">
        <v>5</v>
      </c>
      <c r="C228" s="4" t="s">
        <v>979</v>
      </c>
      <c r="D228" s="19" t="s">
        <v>932</v>
      </c>
      <c r="E228" s="6" t="s">
        <v>980</v>
      </c>
      <c r="F228" s="6" t="s">
        <v>1084</v>
      </c>
      <c r="G228" s="6" t="s">
        <v>1085</v>
      </c>
    </row>
    <row r="229" customFormat="false" ht="43.5" hidden="false" customHeight="true" outlineLevel="0" collapsed="false">
      <c r="A229" s="19"/>
      <c r="B229" s="18" t="n">
        <v>6</v>
      </c>
      <c r="C229" s="4" t="s">
        <v>871</v>
      </c>
      <c r="D229" s="19" t="s">
        <v>957</v>
      </c>
      <c r="E229" s="6" t="s">
        <v>958</v>
      </c>
      <c r="F229" s="6" t="s">
        <v>959</v>
      </c>
      <c r="G229" s="6" t="s">
        <v>960</v>
      </c>
    </row>
    <row r="230" customFormat="false" ht="33" hidden="false" customHeight="true" outlineLevel="0" collapsed="false">
      <c r="A230" s="19"/>
      <c r="B230" s="18" t="n">
        <v>7</v>
      </c>
      <c r="C230" s="4" t="s">
        <v>985</v>
      </c>
      <c r="D230" s="19" t="s">
        <v>957</v>
      </c>
      <c r="E230" s="6" t="s">
        <v>987</v>
      </c>
      <c r="F230" s="6" t="s">
        <v>998</v>
      </c>
      <c r="G230" s="6" t="s">
        <v>1086</v>
      </c>
    </row>
    <row r="231" customFormat="false" ht="33" hidden="false" customHeight="true" outlineLevel="0" collapsed="false">
      <c r="A231" s="19"/>
      <c r="B231" s="18" t="n">
        <v>8</v>
      </c>
      <c r="C231" s="4" t="s">
        <v>883</v>
      </c>
      <c r="D231" s="19" t="s">
        <v>957</v>
      </c>
      <c r="E231" s="6" t="s">
        <v>993</v>
      </c>
      <c r="F231" s="6" t="s">
        <v>959</v>
      </c>
      <c r="G231" s="6" t="s">
        <v>994</v>
      </c>
    </row>
    <row r="232" customFormat="false" ht="33" hidden="false" customHeight="true" outlineLevel="0" collapsed="false">
      <c r="A232" s="19"/>
      <c r="B232" s="18" t="n">
        <v>9</v>
      </c>
      <c r="C232" s="4" t="s">
        <v>889</v>
      </c>
      <c r="D232" s="19" t="s">
        <v>957</v>
      </c>
      <c r="E232" s="6" t="s">
        <v>995</v>
      </c>
      <c r="F232" s="6" t="s">
        <v>959</v>
      </c>
      <c r="G232" s="6" t="s">
        <v>994</v>
      </c>
    </row>
    <row r="233" customFormat="false" ht="33" hidden="false" customHeight="true" outlineLevel="0" collapsed="false">
      <c r="A233" s="4" t="s">
        <v>1093</v>
      </c>
      <c r="B233" s="18" t="n">
        <v>1</v>
      </c>
      <c r="C233" s="4" t="s">
        <v>859</v>
      </c>
      <c r="D233" s="19" t="s">
        <v>921</v>
      </c>
      <c r="E233" s="6" t="s">
        <v>922</v>
      </c>
      <c r="F233" s="6" t="s">
        <v>1094</v>
      </c>
      <c r="G233" s="6" t="s">
        <v>1095</v>
      </c>
    </row>
    <row r="234" customFormat="false" ht="33" hidden="false" customHeight="true" outlineLevel="0" collapsed="false">
      <c r="A234" s="19"/>
      <c r="B234" s="18" t="n">
        <v>2</v>
      </c>
      <c r="C234" s="4" t="s">
        <v>862</v>
      </c>
      <c r="D234" s="19" t="s">
        <v>921</v>
      </c>
      <c r="E234" s="6" t="s">
        <v>925</v>
      </c>
      <c r="F234" s="6" t="s">
        <v>1008</v>
      </c>
      <c r="G234" s="6" t="s">
        <v>1096</v>
      </c>
    </row>
    <row r="235" customFormat="false" ht="33" hidden="false" customHeight="true" outlineLevel="0" collapsed="false">
      <c r="A235" s="19"/>
      <c r="B235" s="18" t="n">
        <v>3</v>
      </c>
      <c r="C235" s="4" t="s">
        <v>950</v>
      </c>
      <c r="D235" s="19" t="s">
        <v>921</v>
      </c>
      <c r="E235" s="6" t="s">
        <v>951</v>
      </c>
      <c r="F235" s="6" t="s">
        <v>1097</v>
      </c>
      <c r="G235" s="6" t="s">
        <v>1096</v>
      </c>
    </row>
    <row r="236" customFormat="false" ht="33" hidden="false" customHeight="true" outlineLevel="0" collapsed="false">
      <c r="A236" s="19"/>
      <c r="B236" s="18" t="n">
        <v>4</v>
      </c>
      <c r="C236" s="4" t="s">
        <v>968</v>
      </c>
      <c r="D236" s="19" t="s">
        <v>932</v>
      </c>
      <c r="E236" s="6" t="s">
        <v>969</v>
      </c>
      <c r="F236" s="6" t="s">
        <v>970</v>
      </c>
      <c r="G236" s="6" t="s">
        <v>1098</v>
      </c>
    </row>
    <row r="237" customFormat="false" ht="33" hidden="false" customHeight="true" outlineLevel="0" collapsed="false">
      <c r="A237" s="19"/>
      <c r="B237" s="18" t="n">
        <v>5</v>
      </c>
      <c r="C237" s="4" t="s">
        <v>976</v>
      </c>
      <c r="D237" s="19" t="s">
        <v>932</v>
      </c>
      <c r="E237" s="6" t="s">
        <v>977</v>
      </c>
      <c r="F237" s="6" t="s">
        <v>557</v>
      </c>
      <c r="G237" s="6" t="s">
        <v>1099</v>
      </c>
    </row>
    <row r="238" customFormat="false" ht="33" hidden="false" customHeight="true" outlineLevel="0" collapsed="false">
      <c r="A238" s="19"/>
      <c r="B238" s="18" t="n">
        <v>6</v>
      </c>
      <c r="C238" s="4" t="s">
        <v>979</v>
      </c>
      <c r="D238" s="19" t="s">
        <v>932</v>
      </c>
      <c r="E238" s="6" t="s">
        <v>980</v>
      </c>
      <c r="F238" s="6" t="s">
        <v>1100</v>
      </c>
      <c r="G238" s="6" t="s">
        <v>1098</v>
      </c>
    </row>
    <row r="239" customFormat="false" ht="43.5" hidden="false" customHeight="true" outlineLevel="0" collapsed="false">
      <c r="A239" s="19"/>
      <c r="B239" s="18" t="n">
        <v>7</v>
      </c>
      <c r="C239" s="4" t="s">
        <v>871</v>
      </c>
      <c r="D239" s="19" t="s">
        <v>957</v>
      </c>
      <c r="E239" s="6" t="s">
        <v>958</v>
      </c>
      <c r="F239" s="6" t="s">
        <v>959</v>
      </c>
      <c r="G239" s="6" t="s">
        <v>960</v>
      </c>
    </row>
    <row r="240" customFormat="false" ht="33" hidden="false" customHeight="true" outlineLevel="0" collapsed="false">
      <c r="A240" s="19"/>
      <c r="B240" s="18" t="n">
        <v>8</v>
      </c>
      <c r="C240" s="4" t="s">
        <v>856</v>
      </c>
      <c r="D240" s="19" t="s">
        <v>957</v>
      </c>
      <c r="E240" s="6" t="s">
        <v>990</v>
      </c>
      <c r="F240" s="6" t="s">
        <v>1101</v>
      </c>
      <c r="G240" s="6" t="s">
        <v>1102</v>
      </c>
    </row>
    <row r="241" customFormat="false" ht="33" hidden="false" customHeight="true" outlineLevel="0" collapsed="false">
      <c r="A241" s="19"/>
      <c r="B241" s="18" t="n">
        <v>9</v>
      </c>
      <c r="C241" s="4" t="s">
        <v>883</v>
      </c>
      <c r="D241" s="19" t="s">
        <v>957</v>
      </c>
      <c r="E241" s="6" t="s">
        <v>993</v>
      </c>
      <c r="F241" s="6" t="s">
        <v>959</v>
      </c>
      <c r="G241" s="6" t="s">
        <v>994</v>
      </c>
    </row>
    <row r="242" customFormat="false" ht="33" hidden="false" customHeight="true" outlineLevel="0" collapsed="false">
      <c r="A242" s="19"/>
      <c r="B242" s="18" t="n">
        <v>10</v>
      </c>
      <c r="C242" s="4" t="s">
        <v>889</v>
      </c>
      <c r="D242" s="19" t="s">
        <v>957</v>
      </c>
      <c r="E242" s="6" t="s">
        <v>995</v>
      </c>
      <c r="F242" s="6" t="s">
        <v>959</v>
      </c>
      <c r="G242" s="6" t="s">
        <v>994</v>
      </c>
    </row>
    <row r="243" customFormat="false" ht="33" hidden="false" customHeight="true" outlineLevel="0" collapsed="false">
      <c r="A243" s="4" t="s">
        <v>1103</v>
      </c>
      <c r="B243" s="18" t="n">
        <v>1</v>
      </c>
      <c r="C243" s="4" t="s">
        <v>859</v>
      </c>
      <c r="D243" s="19" t="s">
        <v>921</v>
      </c>
      <c r="E243" s="6" t="s">
        <v>922</v>
      </c>
      <c r="F243" s="6" t="s">
        <v>1104</v>
      </c>
      <c r="G243" s="6" t="s">
        <v>1105</v>
      </c>
    </row>
    <row r="244" customFormat="false" ht="33" hidden="false" customHeight="true" outlineLevel="0" collapsed="false">
      <c r="A244" s="19"/>
      <c r="B244" s="18" t="n">
        <v>2</v>
      </c>
      <c r="C244" s="4" t="s">
        <v>862</v>
      </c>
      <c r="D244" s="19" t="s">
        <v>921</v>
      </c>
      <c r="E244" s="6" t="s">
        <v>925</v>
      </c>
      <c r="F244" s="6" t="s">
        <v>1008</v>
      </c>
      <c r="G244" s="6" t="s">
        <v>1096</v>
      </c>
    </row>
    <row r="245" customFormat="false" ht="25.5" hidden="false" customHeight="true" outlineLevel="0" collapsed="false">
      <c r="A245" s="19"/>
      <c r="B245" s="18" t="n">
        <v>3</v>
      </c>
      <c r="C245" s="4" t="s">
        <v>898</v>
      </c>
      <c r="D245" s="19" t="s">
        <v>921</v>
      </c>
      <c r="E245" s="6" t="s">
        <v>928</v>
      </c>
      <c r="F245" s="6" t="s">
        <v>1010</v>
      </c>
      <c r="G245" s="6" t="s">
        <v>1106</v>
      </c>
    </row>
    <row r="246" customFormat="false" ht="33" hidden="false" customHeight="true" outlineLevel="0" collapsed="false">
      <c r="A246" s="19"/>
      <c r="B246" s="18" t="n">
        <v>4</v>
      </c>
      <c r="C246" s="4" t="s">
        <v>950</v>
      </c>
      <c r="D246" s="19" t="s">
        <v>921</v>
      </c>
      <c r="E246" s="6" t="s">
        <v>951</v>
      </c>
      <c r="F246" s="6" t="s">
        <v>1107</v>
      </c>
      <c r="G246" s="6" t="s">
        <v>1096</v>
      </c>
    </row>
    <row r="247" customFormat="false" ht="33" hidden="false" customHeight="true" outlineLevel="0" collapsed="false">
      <c r="A247" s="19"/>
      <c r="B247" s="18" t="n">
        <v>5</v>
      </c>
      <c r="C247" s="4" t="s">
        <v>968</v>
      </c>
      <c r="D247" s="19" t="s">
        <v>932</v>
      </c>
      <c r="E247" s="6" t="s">
        <v>969</v>
      </c>
      <c r="F247" s="6" t="s">
        <v>970</v>
      </c>
      <c r="G247" s="6" t="s">
        <v>1098</v>
      </c>
    </row>
    <row r="248" customFormat="false" ht="33" hidden="false" customHeight="true" outlineLevel="0" collapsed="false">
      <c r="A248" s="19"/>
      <c r="B248" s="18" t="n">
        <v>6</v>
      </c>
      <c r="C248" s="4" t="s">
        <v>976</v>
      </c>
      <c r="D248" s="19" t="s">
        <v>932</v>
      </c>
      <c r="E248" s="6" t="s">
        <v>977</v>
      </c>
      <c r="F248" s="6" t="s">
        <v>557</v>
      </c>
      <c r="G248" s="6" t="s">
        <v>1099</v>
      </c>
    </row>
    <row r="249" customFormat="false" ht="33" hidden="false" customHeight="true" outlineLevel="0" collapsed="false">
      <c r="A249" s="19"/>
      <c r="B249" s="18" t="n">
        <v>7</v>
      </c>
      <c r="C249" s="4" t="s">
        <v>979</v>
      </c>
      <c r="D249" s="19" t="s">
        <v>932</v>
      </c>
      <c r="E249" s="6" t="s">
        <v>980</v>
      </c>
      <c r="F249" s="6" t="s">
        <v>1100</v>
      </c>
      <c r="G249" s="6" t="s">
        <v>1098</v>
      </c>
    </row>
    <row r="250" customFormat="false" ht="43.5" hidden="false" customHeight="true" outlineLevel="0" collapsed="false">
      <c r="A250" s="19"/>
      <c r="B250" s="18" t="n">
        <v>8</v>
      </c>
      <c r="C250" s="4" t="s">
        <v>871</v>
      </c>
      <c r="D250" s="19" t="s">
        <v>957</v>
      </c>
      <c r="E250" s="6" t="s">
        <v>958</v>
      </c>
      <c r="F250" s="6" t="s">
        <v>959</v>
      </c>
      <c r="G250" s="6" t="s">
        <v>960</v>
      </c>
    </row>
    <row r="251" customFormat="false" ht="25.5" hidden="false" customHeight="true" outlineLevel="0" collapsed="false">
      <c r="A251" s="19"/>
      <c r="B251" s="18" t="n">
        <v>9</v>
      </c>
      <c r="C251" s="4" t="s">
        <v>856</v>
      </c>
      <c r="D251" s="19" t="s">
        <v>932</v>
      </c>
      <c r="E251" s="6" t="s">
        <v>990</v>
      </c>
      <c r="F251" s="6" t="s">
        <v>1015</v>
      </c>
      <c r="G251" s="6" t="s">
        <v>1108</v>
      </c>
    </row>
    <row r="252" customFormat="false" ht="33" hidden="false" customHeight="true" outlineLevel="0" collapsed="false">
      <c r="A252" s="19"/>
      <c r="B252" s="18" t="n">
        <v>10</v>
      </c>
      <c r="C252" s="4" t="s">
        <v>883</v>
      </c>
      <c r="D252" s="19" t="s">
        <v>957</v>
      </c>
      <c r="E252" s="6" t="s">
        <v>993</v>
      </c>
      <c r="F252" s="6" t="s">
        <v>959</v>
      </c>
      <c r="G252" s="6" t="s">
        <v>994</v>
      </c>
    </row>
    <row r="253" customFormat="false" ht="33" hidden="false" customHeight="true" outlineLevel="0" collapsed="false">
      <c r="A253" s="19"/>
      <c r="B253" s="18" t="n">
        <v>11</v>
      </c>
      <c r="C253" s="4" t="s">
        <v>889</v>
      </c>
      <c r="D253" s="19" t="s">
        <v>957</v>
      </c>
      <c r="E253" s="6" t="s">
        <v>995</v>
      </c>
      <c r="F253" s="6" t="s">
        <v>959</v>
      </c>
      <c r="G253" s="6" t="s">
        <v>994</v>
      </c>
    </row>
    <row r="254" customFormat="false" ht="25.5" hidden="false" customHeight="true" outlineLevel="0" collapsed="false">
      <c r="A254" s="19"/>
      <c r="B254" s="18" t="n">
        <v>12</v>
      </c>
      <c r="C254" s="4" t="s">
        <v>1042</v>
      </c>
      <c r="D254" s="19" t="s">
        <v>932</v>
      </c>
      <c r="E254" s="6" t="s">
        <v>1043</v>
      </c>
      <c r="F254" s="6" t="s">
        <v>557</v>
      </c>
      <c r="G254" s="6" t="s">
        <v>1108</v>
      </c>
    </row>
    <row r="255" customFormat="false" ht="33" hidden="false" customHeight="true" outlineLevel="0" collapsed="false">
      <c r="A255" s="4" t="s">
        <v>1109</v>
      </c>
      <c r="B255" s="18" t="n">
        <v>1</v>
      </c>
      <c r="C255" s="4" t="s">
        <v>859</v>
      </c>
      <c r="D255" s="19" t="s">
        <v>921</v>
      </c>
      <c r="E255" s="6" t="s">
        <v>922</v>
      </c>
      <c r="F255" s="6" t="s">
        <v>1110</v>
      </c>
      <c r="G255" s="6" t="s">
        <v>1111</v>
      </c>
    </row>
    <row r="256" customFormat="false" ht="33" hidden="false" customHeight="true" outlineLevel="0" collapsed="false">
      <c r="A256" s="19"/>
      <c r="B256" s="18" t="n">
        <v>2</v>
      </c>
      <c r="C256" s="4" t="s">
        <v>862</v>
      </c>
      <c r="D256" s="19" t="s">
        <v>921</v>
      </c>
      <c r="E256" s="6" t="s">
        <v>925</v>
      </c>
      <c r="F256" s="6" t="s">
        <v>1008</v>
      </c>
      <c r="G256" s="6" t="s">
        <v>1112</v>
      </c>
    </row>
    <row r="257" customFormat="false" ht="25.5" hidden="false" customHeight="true" outlineLevel="0" collapsed="false">
      <c r="A257" s="19"/>
      <c r="B257" s="18" t="n">
        <v>3</v>
      </c>
      <c r="C257" s="4" t="s">
        <v>950</v>
      </c>
      <c r="D257" s="19" t="s">
        <v>921</v>
      </c>
      <c r="E257" s="6" t="s">
        <v>951</v>
      </c>
      <c r="F257" s="6" t="s">
        <v>1107</v>
      </c>
      <c r="G257" s="6" t="s">
        <v>1112</v>
      </c>
    </row>
    <row r="258" customFormat="false" ht="43.5" hidden="false" customHeight="true" outlineLevel="0" collapsed="false">
      <c r="A258" s="19"/>
      <c r="B258" s="18" t="n">
        <v>4</v>
      </c>
      <c r="C258" s="4" t="s">
        <v>871</v>
      </c>
      <c r="D258" s="19" t="s">
        <v>957</v>
      </c>
      <c r="E258" s="6" t="s">
        <v>958</v>
      </c>
      <c r="F258" s="6" t="s">
        <v>959</v>
      </c>
      <c r="G258" s="6" t="s">
        <v>960</v>
      </c>
    </row>
    <row r="259" customFormat="false" ht="33" hidden="false" customHeight="true" outlineLevel="0" collapsed="false">
      <c r="A259" s="19"/>
      <c r="B259" s="18" t="n">
        <v>5</v>
      </c>
      <c r="C259" s="4" t="s">
        <v>961</v>
      </c>
      <c r="D259" s="19" t="s">
        <v>932</v>
      </c>
      <c r="E259" s="6" t="s">
        <v>962</v>
      </c>
      <c r="F259" s="6" t="s">
        <v>1113</v>
      </c>
      <c r="G259" s="6" t="s">
        <v>1114</v>
      </c>
    </row>
    <row r="260" customFormat="false" ht="33" hidden="false" customHeight="true" outlineLevel="0" collapsed="false">
      <c r="A260" s="19"/>
      <c r="B260" s="18" t="n">
        <v>6</v>
      </c>
      <c r="C260" s="4" t="s">
        <v>968</v>
      </c>
      <c r="D260" s="19" t="s">
        <v>932</v>
      </c>
      <c r="E260" s="6" t="s">
        <v>969</v>
      </c>
      <c r="F260" s="6" t="s">
        <v>970</v>
      </c>
      <c r="G260" s="6" t="s">
        <v>1098</v>
      </c>
    </row>
    <row r="261" customFormat="false" ht="33" hidden="false" customHeight="true" outlineLevel="0" collapsed="false">
      <c r="A261" s="19"/>
      <c r="B261" s="18" t="n">
        <v>7</v>
      </c>
      <c r="C261" s="4" t="s">
        <v>976</v>
      </c>
      <c r="D261" s="19" t="s">
        <v>932</v>
      </c>
      <c r="E261" s="6" t="s">
        <v>977</v>
      </c>
      <c r="F261" s="6" t="s">
        <v>557</v>
      </c>
      <c r="G261" s="6" t="s">
        <v>1099</v>
      </c>
    </row>
    <row r="262" customFormat="false" ht="33" hidden="false" customHeight="true" outlineLevel="0" collapsed="false">
      <c r="A262" s="19"/>
      <c r="B262" s="18" t="n">
        <v>8</v>
      </c>
      <c r="C262" s="4" t="s">
        <v>979</v>
      </c>
      <c r="D262" s="19" t="s">
        <v>932</v>
      </c>
      <c r="E262" s="6" t="s">
        <v>980</v>
      </c>
      <c r="F262" s="6" t="s">
        <v>1100</v>
      </c>
      <c r="G262" s="6" t="s">
        <v>1098</v>
      </c>
    </row>
    <row r="263" customFormat="false" ht="25.5" hidden="false" customHeight="true" outlineLevel="0" collapsed="false">
      <c r="A263" s="19"/>
      <c r="B263" s="18" t="n">
        <v>9</v>
      </c>
      <c r="C263" s="4" t="s">
        <v>983</v>
      </c>
      <c r="D263" s="19" t="s">
        <v>932</v>
      </c>
      <c r="E263" s="6" t="s">
        <v>984</v>
      </c>
      <c r="F263" s="6" t="s">
        <v>1115</v>
      </c>
      <c r="G263" s="6" t="s">
        <v>1116</v>
      </c>
    </row>
    <row r="264" customFormat="false" ht="25.5" hidden="false" customHeight="true" outlineLevel="0" collapsed="false">
      <c r="A264" s="19"/>
      <c r="B264" s="18" t="n">
        <v>10</v>
      </c>
      <c r="C264" s="4" t="s">
        <v>856</v>
      </c>
      <c r="D264" s="19" t="s">
        <v>932</v>
      </c>
      <c r="E264" s="6" t="s">
        <v>990</v>
      </c>
      <c r="F264" s="6" t="s">
        <v>974</v>
      </c>
      <c r="G264" s="6" t="s">
        <v>1117</v>
      </c>
    </row>
    <row r="265" customFormat="false" ht="33" hidden="false" customHeight="true" outlineLevel="0" collapsed="false">
      <c r="A265" s="19"/>
      <c r="B265" s="18" t="n">
        <v>11</v>
      </c>
      <c r="C265" s="4" t="s">
        <v>883</v>
      </c>
      <c r="D265" s="19" t="s">
        <v>957</v>
      </c>
      <c r="E265" s="6" t="s">
        <v>993</v>
      </c>
      <c r="F265" s="6" t="s">
        <v>959</v>
      </c>
      <c r="G265" s="6" t="s">
        <v>994</v>
      </c>
    </row>
    <row r="266" customFormat="false" ht="33" hidden="false" customHeight="true" outlineLevel="0" collapsed="false">
      <c r="A266" s="19"/>
      <c r="B266" s="18" t="n">
        <v>12</v>
      </c>
      <c r="C266" s="4" t="s">
        <v>889</v>
      </c>
      <c r="D266" s="19" t="s">
        <v>957</v>
      </c>
      <c r="E266" s="6" t="s">
        <v>995</v>
      </c>
      <c r="F266" s="6" t="s">
        <v>959</v>
      </c>
      <c r="G266" s="6" t="s">
        <v>994</v>
      </c>
    </row>
    <row r="267" customFormat="false" ht="33" hidden="false" customHeight="true" outlineLevel="0" collapsed="false">
      <c r="A267" s="4" t="s">
        <v>1118</v>
      </c>
      <c r="B267" s="18" t="n">
        <v>1</v>
      </c>
      <c r="C267" s="4" t="s">
        <v>859</v>
      </c>
      <c r="D267" s="19" t="s">
        <v>921</v>
      </c>
      <c r="E267" s="6" t="s">
        <v>922</v>
      </c>
      <c r="F267" s="6" t="s">
        <v>1119</v>
      </c>
      <c r="G267" s="6" t="s">
        <v>1120</v>
      </c>
    </row>
    <row r="268" customFormat="false" ht="33" hidden="false" customHeight="true" outlineLevel="0" collapsed="false">
      <c r="A268" s="19"/>
      <c r="B268" s="18" t="n">
        <v>2</v>
      </c>
      <c r="C268" s="4" t="s">
        <v>862</v>
      </c>
      <c r="D268" s="19" t="s">
        <v>921</v>
      </c>
      <c r="E268" s="6" t="s">
        <v>925</v>
      </c>
      <c r="F268" s="6" t="s">
        <v>1008</v>
      </c>
      <c r="G268" s="6" t="s">
        <v>1121</v>
      </c>
    </row>
    <row r="269" customFormat="false" ht="25.5" hidden="false" customHeight="true" outlineLevel="0" collapsed="false">
      <c r="A269" s="19"/>
      <c r="B269" s="18" t="n">
        <v>3</v>
      </c>
      <c r="C269" s="4" t="s">
        <v>898</v>
      </c>
      <c r="D269" s="19" t="s">
        <v>921</v>
      </c>
      <c r="E269" s="6" t="s">
        <v>928</v>
      </c>
      <c r="F269" s="6" t="s">
        <v>1010</v>
      </c>
      <c r="G269" s="6" t="s">
        <v>1122</v>
      </c>
    </row>
    <row r="270" customFormat="false" ht="25.5" hidden="false" customHeight="true" outlineLevel="0" collapsed="false">
      <c r="A270" s="19"/>
      <c r="B270" s="18" t="n">
        <v>4</v>
      </c>
      <c r="C270" s="4" t="s">
        <v>950</v>
      </c>
      <c r="D270" s="19" t="s">
        <v>921</v>
      </c>
      <c r="E270" s="6" t="s">
        <v>951</v>
      </c>
      <c r="F270" s="6" t="s">
        <v>1107</v>
      </c>
      <c r="G270" s="6" t="s">
        <v>1121</v>
      </c>
    </row>
    <row r="271" customFormat="false" ht="33" hidden="false" customHeight="true" outlineLevel="0" collapsed="false">
      <c r="A271" s="19"/>
      <c r="B271" s="18" t="n">
        <v>5</v>
      </c>
      <c r="C271" s="4" t="s">
        <v>968</v>
      </c>
      <c r="D271" s="19" t="s">
        <v>932</v>
      </c>
      <c r="E271" s="6" t="s">
        <v>969</v>
      </c>
      <c r="F271" s="6" t="s">
        <v>970</v>
      </c>
      <c r="G271" s="6" t="s">
        <v>1098</v>
      </c>
    </row>
    <row r="272" customFormat="false" ht="33" hidden="false" customHeight="true" outlineLevel="0" collapsed="false">
      <c r="A272" s="19"/>
      <c r="B272" s="18" t="n">
        <v>6</v>
      </c>
      <c r="C272" s="4" t="s">
        <v>976</v>
      </c>
      <c r="D272" s="19" t="s">
        <v>932</v>
      </c>
      <c r="E272" s="6" t="s">
        <v>977</v>
      </c>
      <c r="F272" s="6" t="s">
        <v>557</v>
      </c>
      <c r="G272" s="6" t="s">
        <v>1099</v>
      </c>
    </row>
    <row r="273" customFormat="false" ht="33" hidden="false" customHeight="true" outlineLevel="0" collapsed="false">
      <c r="A273" s="19"/>
      <c r="B273" s="18" t="n">
        <v>7</v>
      </c>
      <c r="C273" s="4" t="s">
        <v>979</v>
      </c>
      <c r="D273" s="19" t="s">
        <v>932</v>
      </c>
      <c r="E273" s="6" t="s">
        <v>980</v>
      </c>
      <c r="F273" s="6" t="s">
        <v>1100</v>
      </c>
      <c r="G273" s="6" t="s">
        <v>1098</v>
      </c>
    </row>
    <row r="274" customFormat="false" ht="43.5" hidden="false" customHeight="true" outlineLevel="0" collapsed="false">
      <c r="A274" s="19"/>
      <c r="B274" s="18" t="n">
        <v>8</v>
      </c>
      <c r="C274" s="4" t="s">
        <v>871</v>
      </c>
      <c r="D274" s="19" t="s">
        <v>957</v>
      </c>
      <c r="E274" s="6" t="s">
        <v>958</v>
      </c>
      <c r="F274" s="6" t="s">
        <v>959</v>
      </c>
      <c r="G274" s="6" t="s">
        <v>960</v>
      </c>
    </row>
    <row r="275" customFormat="false" ht="33" hidden="false" customHeight="true" outlineLevel="0" collapsed="false">
      <c r="A275" s="19"/>
      <c r="B275" s="18" t="n">
        <v>9</v>
      </c>
      <c r="C275" s="4" t="s">
        <v>856</v>
      </c>
      <c r="D275" s="19" t="s">
        <v>957</v>
      </c>
      <c r="E275" s="6" t="s">
        <v>990</v>
      </c>
      <c r="F275" s="6" t="s">
        <v>1101</v>
      </c>
      <c r="G275" s="6" t="s">
        <v>1102</v>
      </c>
    </row>
    <row r="276" customFormat="false" ht="33" hidden="false" customHeight="true" outlineLevel="0" collapsed="false">
      <c r="A276" s="19"/>
      <c r="B276" s="18" t="n">
        <v>10</v>
      </c>
      <c r="C276" s="4" t="s">
        <v>883</v>
      </c>
      <c r="D276" s="19" t="s">
        <v>957</v>
      </c>
      <c r="E276" s="6" t="s">
        <v>993</v>
      </c>
      <c r="F276" s="6" t="s">
        <v>959</v>
      </c>
      <c r="G276" s="6" t="s">
        <v>994</v>
      </c>
    </row>
    <row r="277" customFormat="false" ht="33" hidden="false" customHeight="true" outlineLevel="0" collapsed="false">
      <c r="A277" s="19"/>
      <c r="B277" s="18" t="n">
        <v>11</v>
      </c>
      <c r="C277" s="4" t="s">
        <v>889</v>
      </c>
      <c r="D277" s="19" t="s">
        <v>957</v>
      </c>
      <c r="E277" s="6" t="s">
        <v>995</v>
      </c>
      <c r="F277" s="6" t="s">
        <v>959</v>
      </c>
      <c r="G277" s="6" t="s">
        <v>994</v>
      </c>
    </row>
    <row r="278" customFormat="false" ht="33" hidden="false" customHeight="true" outlineLevel="0" collapsed="false">
      <c r="A278" s="4" t="s">
        <v>1123</v>
      </c>
      <c r="B278" s="18" t="n">
        <v>1</v>
      </c>
      <c r="C278" s="4" t="s">
        <v>859</v>
      </c>
      <c r="D278" s="19" t="s">
        <v>921</v>
      </c>
      <c r="E278" s="6" t="s">
        <v>922</v>
      </c>
      <c r="F278" s="6" t="s">
        <v>1124</v>
      </c>
      <c r="G278" s="6" t="s">
        <v>1125</v>
      </c>
    </row>
    <row r="279" customFormat="false" ht="25.5" hidden="false" customHeight="true" outlineLevel="0" collapsed="false">
      <c r="A279" s="19"/>
      <c r="B279" s="18" t="n">
        <v>2</v>
      </c>
      <c r="C279" s="4" t="s">
        <v>898</v>
      </c>
      <c r="D279" s="19" t="s">
        <v>921</v>
      </c>
      <c r="E279" s="6" t="s">
        <v>928</v>
      </c>
      <c r="F279" s="6" t="s">
        <v>1010</v>
      </c>
      <c r="G279" s="6" t="s">
        <v>1126</v>
      </c>
    </row>
    <row r="280" customFormat="false" ht="33" hidden="false" customHeight="true" outlineLevel="0" collapsed="false">
      <c r="A280" s="19"/>
      <c r="B280" s="18" t="n">
        <v>3</v>
      </c>
      <c r="C280" s="4" t="s">
        <v>946</v>
      </c>
      <c r="D280" s="19" t="s">
        <v>921</v>
      </c>
      <c r="E280" s="6" t="s">
        <v>947</v>
      </c>
      <c r="F280" s="6" t="s">
        <v>1127</v>
      </c>
      <c r="G280" s="6" t="s">
        <v>1128</v>
      </c>
    </row>
    <row r="281" customFormat="false" ht="43.5" hidden="false" customHeight="true" outlineLevel="0" collapsed="false">
      <c r="A281" s="19"/>
      <c r="B281" s="18" t="n">
        <v>4</v>
      </c>
      <c r="C281" s="4" t="s">
        <v>871</v>
      </c>
      <c r="D281" s="19" t="s">
        <v>957</v>
      </c>
      <c r="E281" s="6" t="s">
        <v>958</v>
      </c>
      <c r="F281" s="6" t="s">
        <v>959</v>
      </c>
      <c r="G281" s="6" t="s">
        <v>960</v>
      </c>
    </row>
    <row r="282" customFormat="false" ht="33" hidden="false" customHeight="true" outlineLevel="0" collapsed="false">
      <c r="A282" s="19"/>
      <c r="B282" s="18" t="n">
        <v>5</v>
      </c>
      <c r="C282" s="4" t="s">
        <v>961</v>
      </c>
      <c r="D282" s="19" t="s">
        <v>932</v>
      </c>
      <c r="E282" s="6" t="s">
        <v>962</v>
      </c>
      <c r="F282" s="6" t="s">
        <v>1129</v>
      </c>
      <c r="G282" s="6" t="s">
        <v>1130</v>
      </c>
    </row>
    <row r="283" customFormat="false" ht="33" hidden="false" customHeight="true" outlineLevel="0" collapsed="false">
      <c r="A283" s="19"/>
      <c r="B283" s="18" t="n">
        <v>6</v>
      </c>
      <c r="C283" s="4" t="s">
        <v>965</v>
      </c>
      <c r="D283" s="19" t="s">
        <v>932</v>
      </c>
      <c r="E283" s="6" t="s">
        <v>966</v>
      </c>
      <c r="F283" s="6" t="s">
        <v>974</v>
      </c>
      <c r="G283" s="6" t="s">
        <v>1130</v>
      </c>
    </row>
    <row r="284" customFormat="false" ht="33" hidden="false" customHeight="true" outlineLevel="0" collapsed="false">
      <c r="A284" s="19"/>
      <c r="B284" s="18" t="n">
        <v>7</v>
      </c>
      <c r="C284" s="4" t="s">
        <v>968</v>
      </c>
      <c r="D284" s="19" t="s">
        <v>932</v>
      </c>
      <c r="E284" s="6" t="s">
        <v>969</v>
      </c>
      <c r="F284" s="6" t="s">
        <v>970</v>
      </c>
      <c r="G284" s="6" t="s">
        <v>1131</v>
      </c>
    </row>
    <row r="285" customFormat="false" ht="33" hidden="false" customHeight="true" outlineLevel="0" collapsed="false">
      <c r="A285" s="19"/>
      <c r="B285" s="18" t="n">
        <v>8</v>
      </c>
      <c r="C285" s="4" t="s">
        <v>976</v>
      </c>
      <c r="D285" s="19" t="s">
        <v>957</v>
      </c>
      <c r="E285" s="6" t="s">
        <v>977</v>
      </c>
      <c r="F285" s="6" t="s">
        <v>1132</v>
      </c>
      <c r="G285" s="6" t="s">
        <v>1133</v>
      </c>
    </row>
    <row r="286" customFormat="false" ht="33" hidden="false" customHeight="true" outlineLevel="0" collapsed="false">
      <c r="A286" s="19"/>
      <c r="B286" s="18" t="n">
        <v>9</v>
      </c>
      <c r="C286" s="4" t="s">
        <v>979</v>
      </c>
      <c r="D286" s="19" t="s">
        <v>932</v>
      </c>
      <c r="E286" s="6" t="s">
        <v>980</v>
      </c>
      <c r="F286" s="6" t="s">
        <v>1134</v>
      </c>
      <c r="G286" s="6" t="s">
        <v>1131</v>
      </c>
    </row>
    <row r="287" customFormat="false" ht="25.5" hidden="false" customHeight="true" outlineLevel="0" collapsed="false">
      <c r="A287" s="19"/>
      <c r="B287" s="18" t="n">
        <v>10</v>
      </c>
      <c r="C287" s="4" t="s">
        <v>983</v>
      </c>
      <c r="D287" s="19" t="s">
        <v>932</v>
      </c>
      <c r="E287" s="6" t="s">
        <v>984</v>
      </c>
      <c r="F287" s="6" t="s">
        <v>1115</v>
      </c>
      <c r="G287" s="6" t="s">
        <v>1135</v>
      </c>
    </row>
    <row r="288" customFormat="false" ht="25.5" hidden="false" customHeight="true" outlineLevel="0" collapsed="false">
      <c r="A288" s="19"/>
      <c r="B288" s="18" t="n">
        <v>11</v>
      </c>
      <c r="C288" s="4" t="s">
        <v>856</v>
      </c>
      <c r="D288" s="19" t="s">
        <v>932</v>
      </c>
      <c r="E288" s="6" t="s">
        <v>990</v>
      </c>
      <c r="F288" s="6" t="s">
        <v>1136</v>
      </c>
      <c r="G288" s="6" t="s">
        <v>1137</v>
      </c>
    </row>
    <row r="289" customFormat="false" ht="33" hidden="false" customHeight="true" outlineLevel="0" collapsed="false">
      <c r="A289" s="19"/>
      <c r="B289" s="18" t="n">
        <v>12</v>
      </c>
      <c r="C289" s="4" t="s">
        <v>883</v>
      </c>
      <c r="D289" s="19" t="s">
        <v>957</v>
      </c>
      <c r="E289" s="6" t="s">
        <v>993</v>
      </c>
      <c r="F289" s="6" t="s">
        <v>959</v>
      </c>
      <c r="G289" s="6" t="s">
        <v>994</v>
      </c>
    </row>
    <row r="290" customFormat="false" ht="33" hidden="false" customHeight="true" outlineLevel="0" collapsed="false">
      <c r="A290" s="19"/>
      <c r="B290" s="18" t="n">
        <v>13</v>
      </c>
      <c r="C290" s="4" t="s">
        <v>889</v>
      </c>
      <c r="D290" s="19" t="s">
        <v>957</v>
      </c>
      <c r="E290" s="6" t="s">
        <v>995</v>
      </c>
      <c r="F290" s="6" t="s">
        <v>959</v>
      </c>
      <c r="G290" s="6" t="s">
        <v>994</v>
      </c>
    </row>
    <row r="291" customFormat="false" ht="33" hidden="false" customHeight="true" outlineLevel="0" collapsed="false">
      <c r="A291" s="4" t="s">
        <v>1138</v>
      </c>
      <c r="B291" s="18" t="n">
        <v>1</v>
      </c>
      <c r="C291" s="4" t="s">
        <v>859</v>
      </c>
      <c r="D291" s="19" t="s">
        <v>921</v>
      </c>
      <c r="E291" s="6" t="s">
        <v>922</v>
      </c>
      <c r="F291" s="6" t="s">
        <v>1124</v>
      </c>
      <c r="G291" s="6" t="s">
        <v>1139</v>
      </c>
    </row>
    <row r="292" customFormat="false" ht="25.5" hidden="false" customHeight="true" outlineLevel="0" collapsed="false">
      <c r="A292" s="19"/>
      <c r="B292" s="18" t="n">
        <v>2</v>
      </c>
      <c r="C292" s="4" t="s">
        <v>898</v>
      </c>
      <c r="D292" s="19" t="s">
        <v>921</v>
      </c>
      <c r="E292" s="6" t="s">
        <v>928</v>
      </c>
      <c r="F292" s="6" t="s">
        <v>1010</v>
      </c>
      <c r="G292" s="6" t="s">
        <v>1126</v>
      </c>
    </row>
    <row r="293" customFormat="false" ht="33" hidden="false" customHeight="true" outlineLevel="0" collapsed="false">
      <c r="A293" s="19"/>
      <c r="B293" s="18" t="n">
        <v>3</v>
      </c>
      <c r="C293" s="4" t="s">
        <v>946</v>
      </c>
      <c r="D293" s="19" t="s">
        <v>921</v>
      </c>
      <c r="E293" s="6" t="s">
        <v>947</v>
      </c>
      <c r="F293" s="6" t="s">
        <v>1140</v>
      </c>
      <c r="G293" s="6" t="s">
        <v>1141</v>
      </c>
    </row>
    <row r="294" customFormat="false" ht="43.5" hidden="false" customHeight="true" outlineLevel="0" collapsed="false">
      <c r="A294" s="19"/>
      <c r="B294" s="18" t="n">
        <v>4</v>
      </c>
      <c r="C294" s="4" t="s">
        <v>871</v>
      </c>
      <c r="D294" s="19" t="s">
        <v>957</v>
      </c>
      <c r="E294" s="6" t="s">
        <v>958</v>
      </c>
      <c r="F294" s="6" t="s">
        <v>959</v>
      </c>
      <c r="G294" s="6" t="s">
        <v>960</v>
      </c>
    </row>
    <row r="295" customFormat="false" ht="33" hidden="false" customHeight="true" outlineLevel="0" collapsed="false">
      <c r="A295" s="19"/>
      <c r="B295" s="18" t="n">
        <v>5</v>
      </c>
      <c r="C295" s="4" t="s">
        <v>961</v>
      </c>
      <c r="D295" s="19" t="s">
        <v>932</v>
      </c>
      <c r="E295" s="6" t="s">
        <v>962</v>
      </c>
      <c r="F295" s="6" t="s">
        <v>1113</v>
      </c>
      <c r="G295" s="6" t="s">
        <v>1130</v>
      </c>
    </row>
    <row r="296" customFormat="false" ht="33" hidden="false" customHeight="true" outlineLevel="0" collapsed="false">
      <c r="A296" s="19"/>
      <c r="B296" s="18" t="n">
        <v>6</v>
      </c>
      <c r="C296" s="4" t="s">
        <v>965</v>
      </c>
      <c r="D296" s="19" t="s">
        <v>932</v>
      </c>
      <c r="E296" s="6" t="s">
        <v>966</v>
      </c>
      <c r="F296" s="6" t="s">
        <v>974</v>
      </c>
      <c r="G296" s="6" t="s">
        <v>1130</v>
      </c>
    </row>
    <row r="297" customFormat="false" ht="33" hidden="false" customHeight="true" outlineLevel="0" collapsed="false">
      <c r="A297" s="19"/>
      <c r="B297" s="18" t="n">
        <v>7</v>
      </c>
      <c r="C297" s="4" t="s">
        <v>968</v>
      </c>
      <c r="D297" s="19" t="s">
        <v>932</v>
      </c>
      <c r="E297" s="6" t="s">
        <v>969</v>
      </c>
      <c r="F297" s="6" t="s">
        <v>970</v>
      </c>
      <c r="G297" s="6" t="s">
        <v>1131</v>
      </c>
    </row>
    <row r="298" customFormat="false" ht="33" hidden="false" customHeight="true" outlineLevel="0" collapsed="false">
      <c r="A298" s="19"/>
      <c r="B298" s="18" t="n">
        <v>8</v>
      </c>
      <c r="C298" s="4" t="s">
        <v>976</v>
      </c>
      <c r="D298" s="19" t="s">
        <v>957</v>
      </c>
      <c r="E298" s="6" t="s">
        <v>977</v>
      </c>
      <c r="F298" s="6" t="s">
        <v>1132</v>
      </c>
      <c r="G298" s="6" t="s">
        <v>1133</v>
      </c>
    </row>
    <row r="299" customFormat="false" ht="33" hidden="false" customHeight="true" outlineLevel="0" collapsed="false">
      <c r="A299" s="19"/>
      <c r="B299" s="18" t="n">
        <v>9</v>
      </c>
      <c r="C299" s="4" t="s">
        <v>979</v>
      </c>
      <c r="D299" s="19" t="s">
        <v>932</v>
      </c>
      <c r="E299" s="6" t="s">
        <v>980</v>
      </c>
      <c r="F299" s="6" t="s">
        <v>1134</v>
      </c>
      <c r="G299" s="6" t="s">
        <v>1131</v>
      </c>
    </row>
    <row r="300" customFormat="false" ht="25.5" hidden="false" customHeight="true" outlineLevel="0" collapsed="false">
      <c r="A300" s="19"/>
      <c r="B300" s="18" t="n">
        <v>10</v>
      </c>
      <c r="C300" s="4" t="s">
        <v>983</v>
      </c>
      <c r="D300" s="19" t="s">
        <v>932</v>
      </c>
      <c r="E300" s="6" t="s">
        <v>984</v>
      </c>
      <c r="F300" s="6" t="s">
        <v>1115</v>
      </c>
      <c r="G300" s="6" t="s">
        <v>1135</v>
      </c>
    </row>
    <row r="301" customFormat="false" ht="25.5" hidden="false" customHeight="true" outlineLevel="0" collapsed="false">
      <c r="A301" s="19"/>
      <c r="B301" s="18" t="n">
        <v>11</v>
      </c>
      <c r="C301" s="4" t="s">
        <v>856</v>
      </c>
      <c r="D301" s="19" t="s">
        <v>932</v>
      </c>
      <c r="E301" s="6" t="s">
        <v>990</v>
      </c>
      <c r="F301" s="6" t="s">
        <v>1136</v>
      </c>
      <c r="G301" s="6" t="s">
        <v>1142</v>
      </c>
    </row>
    <row r="302" customFormat="false" ht="33" hidden="false" customHeight="true" outlineLevel="0" collapsed="false">
      <c r="A302" s="19"/>
      <c r="B302" s="18" t="n">
        <v>12</v>
      </c>
      <c r="C302" s="4" t="s">
        <v>883</v>
      </c>
      <c r="D302" s="19" t="s">
        <v>957</v>
      </c>
      <c r="E302" s="6" t="s">
        <v>993</v>
      </c>
      <c r="F302" s="6" t="s">
        <v>959</v>
      </c>
      <c r="G302" s="6" t="s">
        <v>994</v>
      </c>
    </row>
    <row r="303" customFormat="false" ht="33" hidden="false" customHeight="true" outlineLevel="0" collapsed="false">
      <c r="A303" s="19"/>
      <c r="B303" s="18" t="n">
        <v>13</v>
      </c>
      <c r="C303" s="4" t="s">
        <v>889</v>
      </c>
      <c r="D303" s="19" t="s">
        <v>957</v>
      </c>
      <c r="E303" s="6" t="s">
        <v>995</v>
      </c>
      <c r="F303" s="6" t="s">
        <v>959</v>
      </c>
      <c r="G303" s="6" t="s">
        <v>994</v>
      </c>
    </row>
    <row r="304" customFormat="false" ht="33" hidden="false" customHeight="true" outlineLevel="0" collapsed="false">
      <c r="A304" s="4" t="s">
        <v>1143</v>
      </c>
      <c r="B304" s="18" t="n">
        <v>1</v>
      </c>
      <c r="C304" s="4" t="s">
        <v>859</v>
      </c>
      <c r="D304" s="19" t="s">
        <v>921</v>
      </c>
      <c r="E304" s="6" t="s">
        <v>922</v>
      </c>
      <c r="F304" s="6" t="s">
        <v>1144</v>
      </c>
      <c r="G304" s="6" t="s">
        <v>1145</v>
      </c>
    </row>
    <row r="305" customFormat="false" ht="25.5" hidden="false" customHeight="true" outlineLevel="0" collapsed="false">
      <c r="A305" s="19"/>
      <c r="B305" s="18" t="n">
        <v>2</v>
      </c>
      <c r="C305" s="4" t="s">
        <v>898</v>
      </c>
      <c r="D305" s="19" t="s">
        <v>921</v>
      </c>
      <c r="E305" s="6" t="s">
        <v>928</v>
      </c>
      <c r="F305" s="6" t="s">
        <v>1010</v>
      </c>
      <c r="G305" s="6" t="s">
        <v>1126</v>
      </c>
    </row>
    <row r="306" customFormat="false" ht="33" hidden="false" customHeight="true" outlineLevel="0" collapsed="false">
      <c r="A306" s="19"/>
      <c r="B306" s="18" t="n">
        <v>3</v>
      </c>
      <c r="C306" s="4" t="s">
        <v>946</v>
      </c>
      <c r="D306" s="19" t="s">
        <v>921</v>
      </c>
      <c r="E306" s="6" t="s">
        <v>947</v>
      </c>
      <c r="F306" s="6" t="s">
        <v>1127</v>
      </c>
      <c r="G306" s="6" t="s">
        <v>1146</v>
      </c>
    </row>
    <row r="307" customFormat="false" ht="33" hidden="false" customHeight="true" outlineLevel="0" collapsed="false">
      <c r="A307" s="19"/>
      <c r="B307" s="18" t="n">
        <v>4</v>
      </c>
      <c r="C307" s="4" t="s">
        <v>968</v>
      </c>
      <c r="D307" s="19" t="s">
        <v>932</v>
      </c>
      <c r="E307" s="6" t="s">
        <v>969</v>
      </c>
      <c r="F307" s="6" t="s">
        <v>970</v>
      </c>
      <c r="G307" s="6" t="s">
        <v>1131</v>
      </c>
    </row>
    <row r="308" customFormat="false" ht="33" hidden="false" customHeight="true" outlineLevel="0" collapsed="false">
      <c r="A308" s="19"/>
      <c r="B308" s="18" t="n">
        <v>5</v>
      </c>
      <c r="C308" s="4" t="s">
        <v>976</v>
      </c>
      <c r="D308" s="19" t="s">
        <v>957</v>
      </c>
      <c r="E308" s="6" t="s">
        <v>977</v>
      </c>
      <c r="F308" s="6" t="s">
        <v>1132</v>
      </c>
      <c r="G308" s="6" t="s">
        <v>1133</v>
      </c>
    </row>
    <row r="309" customFormat="false" ht="33" hidden="false" customHeight="true" outlineLevel="0" collapsed="false">
      <c r="A309" s="19"/>
      <c r="B309" s="18" t="n">
        <v>6</v>
      </c>
      <c r="C309" s="4" t="s">
        <v>979</v>
      </c>
      <c r="D309" s="19" t="s">
        <v>932</v>
      </c>
      <c r="E309" s="6" t="s">
        <v>980</v>
      </c>
      <c r="F309" s="6" t="s">
        <v>1100</v>
      </c>
      <c r="G309" s="6" t="s">
        <v>1131</v>
      </c>
    </row>
    <row r="310" customFormat="false" ht="43.5" hidden="false" customHeight="true" outlineLevel="0" collapsed="false">
      <c r="A310" s="19"/>
      <c r="B310" s="18" t="n">
        <v>7</v>
      </c>
      <c r="C310" s="4" t="s">
        <v>871</v>
      </c>
      <c r="D310" s="19" t="s">
        <v>957</v>
      </c>
      <c r="E310" s="6" t="s">
        <v>958</v>
      </c>
      <c r="F310" s="6" t="s">
        <v>959</v>
      </c>
      <c r="G310" s="6" t="s">
        <v>960</v>
      </c>
    </row>
    <row r="311" customFormat="false" ht="25.5" hidden="false" customHeight="true" outlineLevel="0" collapsed="false">
      <c r="A311" s="19"/>
      <c r="B311" s="18" t="n">
        <v>8</v>
      </c>
      <c r="C311" s="4" t="s">
        <v>856</v>
      </c>
      <c r="D311" s="19" t="s">
        <v>957</v>
      </c>
      <c r="E311" s="6" t="s">
        <v>990</v>
      </c>
      <c r="F311" s="6" t="s">
        <v>1147</v>
      </c>
      <c r="G311" s="6" t="s">
        <v>1148</v>
      </c>
    </row>
    <row r="312" customFormat="false" ht="33" hidden="false" customHeight="true" outlineLevel="0" collapsed="false">
      <c r="A312" s="19"/>
      <c r="B312" s="18" t="n">
        <v>9</v>
      </c>
      <c r="C312" s="4" t="s">
        <v>883</v>
      </c>
      <c r="D312" s="19" t="s">
        <v>957</v>
      </c>
      <c r="E312" s="6" t="s">
        <v>993</v>
      </c>
      <c r="F312" s="6" t="s">
        <v>959</v>
      </c>
      <c r="G312" s="6" t="s">
        <v>994</v>
      </c>
    </row>
    <row r="313" customFormat="false" ht="33" hidden="false" customHeight="true" outlineLevel="0" collapsed="false">
      <c r="A313" s="19"/>
      <c r="B313" s="18" t="n">
        <v>10</v>
      </c>
      <c r="C313" s="4" t="s">
        <v>889</v>
      </c>
      <c r="D313" s="19" t="s">
        <v>957</v>
      </c>
      <c r="E313" s="6" t="s">
        <v>995</v>
      </c>
      <c r="F313" s="6" t="s">
        <v>959</v>
      </c>
      <c r="G313" s="6" t="s">
        <v>994</v>
      </c>
    </row>
    <row r="314" customFormat="false" ht="33" hidden="false" customHeight="true" outlineLevel="0" collapsed="false">
      <c r="A314" s="4" t="s">
        <v>1149</v>
      </c>
      <c r="B314" s="18" t="n">
        <v>1</v>
      </c>
      <c r="C314" s="4" t="s">
        <v>859</v>
      </c>
      <c r="D314" s="19" t="s">
        <v>921</v>
      </c>
      <c r="E314" s="6" t="s">
        <v>922</v>
      </c>
      <c r="F314" s="6" t="s">
        <v>1144</v>
      </c>
      <c r="G314" s="6" t="s">
        <v>1150</v>
      </c>
    </row>
    <row r="315" customFormat="false" ht="25.5" hidden="false" customHeight="true" outlineLevel="0" collapsed="false">
      <c r="A315" s="19"/>
      <c r="B315" s="18" t="n">
        <v>2</v>
      </c>
      <c r="C315" s="4" t="s">
        <v>898</v>
      </c>
      <c r="D315" s="19" t="s">
        <v>921</v>
      </c>
      <c r="E315" s="6" t="s">
        <v>928</v>
      </c>
      <c r="F315" s="6" t="s">
        <v>1010</v>
      </c>
      <c r="G315" s="6" t="s">
        <v>1126</v>
      </c>
    </row>
    <row r="316" customFormat="false" ht="43.5" hidden="false" customHeight="true" outlineLevel="0" collapsed="false">
      <c r="A316" s="19"/>
      <c r="B316" s="18" t="n">
        <v>3</v>
      </c>
      <c r="C316" s="4" t="s">
        <v>931</v>
      </c>
      <c r="D316" s="19" t="s">
        <v>932</v>
      </c>
      <c r="E316" s="6" t="s">
        <v>933</v>
      </c>
      <c r="F316" s="6" t="s">
        <v>1151</v>
      </c>
      <c r="G316" s="6" t="s">
        <v>1152</v>
      </c>
    </row>
    <row r="317" customFormat="false" ht="43.5" hidden="false" customHeight="true" outlineLevel="0" collapsed="false">
      <c r="A317" s="19"/>
      <c r="B317" s="18" t="n">
        <v>4</v>
      </c>
      <c r="C317" s="4" t="s">
        <v>936</v>
      </c>
      <c r="D317" s="19" t="s">
        <v>932</v>
      </c>
      <c r="E317" s="6" t="s">
        <v>937</v>
      </c>
      <c r="F317" s="6" t="s">
        <v>1151</v>
      </c>
      <c r="G317" s="6" t="s">
        <v>1153</v>
      </c>
    </row>
    <row r="318" customFormat="false" ht="43.5" hidden="false" customHeight="true" outlineLevel="0" collapsed="false">
      <c r="A318" s="19"/>
      <c r="B318" s="18" t="n">
        <v>5</v>
      </c>
      <c r="C318" s="4" t="s">
        <v>939</v>
      </c>
      <c r="D318" s="19" t="s">
        <v>932</v>
      </c>
      <c r="E318" s="6" t="s">
        <v>940</v>
      </c>
      <c r="F318" s="6" t="s">
        <v>1151</v>
      </c>
      <c r="G318" s="6" t="s">
        <v>1153</v>
      </c>
    </row>
    <row r="319" customFormat="false" ht="33" hidden="false" customHeight="true" outlineLevel="0" collapsed="false">
      <c r="A319" s="19"/>
      <c r="B319" s="18" t="n">
        <v>6</v>
      </c>
      <c r="C319" s="4" t="s">
        <v>946</v>
      </c>
      <c r="D319" s="19" t="s">
        <v>921</v>
      </c>
      <c r="E319" s="6" t="s">
        <v>947</v>
      </c>
      <c r="F319" s="6" t="s">
        <v>1154</v>
      </c>
      <c r="G319" s="6" t="s">
        <v>1155</v>
      </c>
    </row>
    <row r="320" customFormat="false" ht="33" hidden="false" customHeight="true" outlineLevel="0" collapsed="false">
      <c r="A320" s="19"/>
      <c r="B320" s="18" t="n">
        <v>7</v>
      </c>
      <c r="C320" s="4" t="s">
        <v>968</v>
      </c>
      <c r="D320" s="19" t="s">
        <v>932</v>
      </c>
      <c r="E320" s="6" t="s">
        <v>969</v>
      </c>
      <c r="F320" s="6" t="s">
        <v>970</v>
      </c>
      <c r="G320" s="6" t="s">
        <v>1131</v>
      </c>
    </row>
    <row r="321" customFormat="false" ht="33" hidden="false" customHeight="true" outlineLevel="0" collapsed="false">
      <c r="A321" s="19"/>
      <c r="B321" s="18" t="n">
        <v>8</v>
      </c>
      <c r="C321" s="4" t="s">
        <v>976</v>
      </c>
      <c r="D321" s="19" t="s">
        <v>957</v>
      </c>
      <c r="E321" s="6" t="s">
        <v>977</v>
      </c>
      <c r="F321" s="6" t="s">
        <v>1132</v>
      </c>
      <c r="G321" s="6" t="s">
        <v>1133</v>
      </c>
    </row>
    <row r="322" customFormat="false" ht="33" hidden="false" customHeight="true" outlineLevel="0" collapsed="false">
      <c r="A322" s="19"/>
      <c r="B322" s="18" t="n">
        <v>9</v>
      </c>
      <c r="C322" s="4" t="s">
        <v>979</v>
      </c>
      <c r="D322" s="19" t="s">
        <v>932</v>
      </c>
      <c r="E322" s="6" t="s">
        <v>980</v>
      </c>
      <c r="F322" s="6" t="s">
        <v>1100</v>
      </c>
      <c r="G322" s="6" t="s">
        <v>1131</v>
      </c>
    </row>
    <row r="323" customFormat="false" ht="43.5" hidden="false" customHeight="true" outlineLevel="0" collapsed="false">
      <c r="A323" s="19"/>
      <c r="B323" s="18" t="n">
        <v>10</v>
      </c>
      <c r="C323" s="4" t="s">
        <v>871</v>
      </c>
      <c r="D323" s="19" t="s">
        <v>957</v>
      </c>
      <c r="E323" s="6" t="s">
        <v>958</v>
      </c>
      <c r="F323" s="6" t="s">
        <v>959</v>
      </c>
      <c r="G323" s="6" t="s">
        <v>960</v>
      </c>
    </row>
    <row r="324" customFormat="false" ht="25.5" hidden="false" customHeight="true" outlineLevel="0" collapsed="false">
      <c r="A324" s="19"/>
      <c r="B324" s="18" t="n">
        <v>11</v>
      </c>
      <c r="C324" s="4" t="s">
        <v>856</v>
      </c>
      <c r="D324" s="19" t="s">
        <v>957</v>
      </c>
      <c r="E324" s="6" t="s">
        <v>990</v>
      </c>
      <c r="F324" s="6" t="s">
        <v>1147</v>
      </c>
      <c r="G324" s="6" t="s">
        <v>1148</v>
      </c>
    </row>
    <row r="325" customFormat="false" ht="33" hidden="false" customHeight="true" outlineLevel="0" collapsed="false">
      <c r="A325" s="19"/>
      <c r="B325" s="18" t="n">
        <v>12</v>
      </c>
      <c r="C325" s="4" t="s">
        <v>883</v>
      </c>
      <c r="D325" s="19" t="s">
        <v>957</v>
      </c>
      <c r="E325" s="6" t="s">
        <v>993</v>
      </c>
      <c r="F325" s="6" t="s">
        <v>959</v>
      </c>
      <c r="G325" s="6" t="s">
        <v>994</v>
      </c>
    </row>
    <row r="326" customFormat="false" ht="33" hidden="false" customHeight="true" outlineLevel="0" collapsed="false">
      <c r="A326" s="19"/>
      <c r="B326" s="18" t="n">
        <v>13</v>
      </c>
      <c r="C326" s="4" t="s">
        <v>889</v>
      </c>
      <c r="D326" s="19" t="s">
        <v>957</v>
      </c>
      <c r="E326" s="6" t="s">
        <v>995</v>
      </c>
      <c r="F326" s="6" t="s">
        <v>959</v>
      </c>
      <c r="G326" s="6" t="s">
        <v>994</v>
      </c>
    </row>
    <row r="327" customFormat="false" ht="33" hidden="false" customHeight="true" outlineLevel="0" collapsed="false">
      <c r="A327" s="4" t="s">
        <v>1156</v>
      </c>
      <c r="B327" s="18" t="n">
        <v>1</v>
      </c>
      <c r="C327" s="4" t="s">
        <v>859</v>
      </c>
      <c r="D327" s="19" t="s">
        <v>921</v>
      </c>
      <c r="E327" s="6" t="s">
        <v>922</v>
      </c>
      <c r="F327" s="6" t="s">
        <v>1144</v>
      </c>
      <c r="G327" s="6" t="s">
        <v>1157</v>
      </c>
    </row>
    <row r="328" customFormat="false" ht="25.5" hidden="false" customHeight="true" outlineLevel="0" collapsed="false">
      <c r="A328" s="19"/>
      <c r="B328" s="18" t="n">
        <v>2</v>
      </c>
      <c r="C328" s="4" t="s">
        <v>898</v>
      </c>
      <c r="D328" s="19" t="s">
        <v>921</v>
      </c>
      <c r="E328" s="6" t="s">
        <v>928</v>
      </c>
      <c r="F328" s="6" t="s">
        <v>1010</v>
      </c>
      <c r="G328" s="6" t="s">
        <v>1126</v>
      </c>
    </row>
    <row r="329" customFormat="false" ht="43.5" hidden="false" customHeight="true" outlineLevel="0" collapsed="false">
      <c r="A329" s="19"/>
      <c r="B329" s="18" t="n">
        <v>3</v>
      </c>
      <c r="C329" s="4" t="s">
        <v>931</v>
      </c>
      <c r="D329" s="19" t="s">
        <v>932</v>
      </c>
      <c r="E329" s="6" t="s">
        <v>933</v>
      </c>
      <c r="F329" s="6" t="s">
        <v>1151</v>
      </c>
      <c r="G329" s="6" t="s">
        <v>1158</v>
      </c>
    </row>
    <row r="330" customFormat="false" ht="43.5" hidden="false" customHeight="true" outlineLevel="0" collapsed="false">
      <c r="A330" s="19"/>
      <c r="B330" s="18" t="n">
        <v>4</v>
      </c>
      <c r="C330" s="4" t="s">
        <v>936</v>
      </c>
      <c r="D330" s="19" t="s">
        <v>932</v>
      </c>
      <c r="E330" s="6" t="s">
        <v>937</v>
      </c>
      <c r="F330" s="6" t="s">
        <v>1151</v>
      </c>
      <c r="G330" s="6" t="s">
        <v>1158</v>
      </c>
    </row>
    <row r="331" customFormat="false" ht="43.5" hidden="false" customHeight="true" outlineLevel="0" collapsed="false">
      <c r="A331" s="19"/>
      <c r="B331" s="18" t="n">
        <v>5</v>
      </c>
      <c r="C331" s="4" t="s">
        <v>939</v>
      </c>
      <c r="D331" s="19" t="s">
        <v>932</v>
      </c>
      <c r="E331" s="6" t="s">
        <v>940</v>
      </c>
      <c r="F331" s="6" t="s">
        <v>1151</v>
      </c>
      <c r="G331" s="6" t="s">
        <v>1159</v>
      </c>
    </row>
    <row r="332" customFormat="false" ht="33" hidden="false" customHeight="true" outlineLevel="0" collapsed="false">
      <c r="A332" s="19"/>
      <c r="B332" s="18" t="n">
        <v>6</v>
      </c>
      <c r="C332" s="4" t="s">
        <v>946</v>
      </c>
      <c r="D332" s="19" t="s">
        <v>921</v>
      </c>
      <c r="E332" s="6" t="s">
        <v>947</v>
      </c>
      <c r="F332" s="6" t="s">
        <v>1140</v>
      </c>
      <c r="G332" s="6" t="s">
        <v>1160</v>
      </c>
    </row>
    <row r="333" customFormat="false" ht="33" hidden="false" customHeight="true" outlineLevel="0" collapsed="false">
      <c r="A333" s="19"/>
      <c r="B333" s="18" t="n">
        <v>7</v>
      </c>
      <c r="C333" s="4" t="s">
        <v>968</v>
      </c>
      <c r="D333" s="19" t="s">
        <v>932</v>
      </c>
      <c r="E333" s="6" t="s">
        <v>969</v>
      </c>
      <c r="F333" s="6" t="s">
        <v>970</v>
      </c>
      <c r="G333" s="6" t="s">
        <v>1131</v>
      </c>
    </row>
    <row r="334" customFormat="false" ht="33" hidden="false" customHeight="true" outlineLevel="0" collapsed="false">
      <c r="A334" s="19"/>
      <c r="B334" s="18" t="n">
        <v>8</v>
      </c>
      <c r="C334" s="4" t="s">
        <v>976</v>
      </c>
      <c r="D334" s="19" t="s">
        <v>957</v>
      </c>
      <c r="E334" s="6" t="s">
        <v>977</v>
      </c>
      <c r="F334" s="6" t="s">
        <v>1132</v>
      </c>
      <c r="G334" s="6" t="s">
        <v>1133</v>
      </c>
    </row>
    <row r="335" customFormat="false" ht="33" hidden="false" customHeight="true" outlineLevel="0" collapsed="false">
      <c r="A335" s="19"/>
      <c r="B335" s="18" t="n">
        <v>9</v>
      </c>
      <c r="C335" s="4" t="s">
        <v>979</v>
      </c>
      <c r="D335" s="19" t="s">
        <v>932</v>
      </c>
      <c r="E335" s="6" t="s">
        <v>980</v>
      </c>
      <c r="F335" s="6" t="s">
        <v>1100</v>
      </c>
      <c r="G335" s="6" t="s">
        <v>1131</v>
      </c>
    </row>
    <row r="336" customFormat="false" ht="43.5" hidden="false" customHeight="true" outlineLevel="0" collapsed="false">
      <c r="A336" s="19"/>
      <c r="B336" s="18" t="n">
        <v>10</v>
      </c>
      <c r="C336" s="4" t="s">
        <v>871</v>
      </c>
      <c r="D336" s="19" t="s">
        <v>957</v>
      </c>
      <c r="E336" s="6" t="s">
        <v>958</v>
      </c>
      <c r="F336" s="6" t="s">
        <v>959</v>
      </c>
      <c r="G336" s="6" t="s">
        <v>960</v>
      </c>
    </row>
    <row r="337" customFormat="false" ht="25.5" hidden="false" customHeight="true" outlineLevel="0" collapsed="false">
      <c r="A337" s="19"/>
      <c r="B337" s="18" t="n">
        <v>11</v>
      </c>
      <c r="C337" s="4" t="s">
        <v>856</v>
      </c>
      <c r="D337" s="19" t="s">
        <v>957</v>
      </c>
      <c r="E337" s="6" t="s">
        <v>990</v>
      </c>
      <c r="F337" s="6" t="s">
        <v>1147</v>
      </c>
      <c r="G337" s="6" t="s">
        <v>1148</v>
      </c>
    </row>
    <row r="338" customFormat="false" ht="33" hidden="false" customHeight="true" outlineLevel="0" collapsed="false">
      <c r="A338" s="19"/>
      <c r="B338" s="18" t="n">
        <v>12</v>
      </c>
      <c r="C338" s="4" t="s">
        <v>883</v>
      </c>
      <c r="D338" s="19" t="s">
        <v>957</v>
      </c>
      <c r="E338" s="6" t="s">
        <v>993</v>
      </c>
      <c r="F338" s="6" t="s">
        <v>959</v>
      </c>
      <c r="G338" s="6" t="s">
        <v>994</v>
      </c>
    </row>
    <row r="339" customFormat="false" ht="33" hidden="false" customHeight="true" outlineLevel="0" collapsed="false">
      <c r="A339" s="19"/>
      <c r="B339" s="18" t="n">
        <v>13</v>
      </c>
      <c r="C339" s="4" t="s">
        <v>889</v>
      </c>
      <c r="D339" s="19" t="s">
        <v>957</v>
      </c>
      <c r="E339" s="6" t="s">
        <v>995</v>
      </c>
      <c r="F339" s="6" t="s">
        <v>959</v>
      </c>
      <c r="G339" s="6" t="s">
        <v>994</v>
      </c>
    </row>
    <row r="340" customFormat="false" ht="33" hidden="false" customHeight="true" outlineLevel="0" collapsed="false">
      <c r="A340" s="4" t="s">
        <v>1161</v>
      </c>
      <c r="B340" s="18" t="n">
        <v>1</v>
      </c>
      <c r="C340" s="4" t="s">
        <v>859</v>
      </c>
      <c r="D340" s="19" t="s">
        <v>921</v>
      </c>
      <c r="E340" s="6" t="s">
        <v>922</v>
      </c>
      <c r="F340" s="6" t="s">
        <v>1104</v>
      </c>
      <c r="G340" s="6" t="s">
        <v>1162</v>
      </c>
    </row>
    <row r="341" customFormat="false" ht="25.5" hidden="false" customHeight="true" outlineLevel="0" collapsed="false">
      <c r="A341" s="19"/>
      <c r="B341" s="18" t="n">
        <v>2</v>
      </c>
      <c r="C341" s="4" t="s">
        <v>898</v>
      </c>
      <c r="D341" s="19" t="s">
        <v>921</v>
      </c>
      <c r="E341" s="6" t="s">
        <v>928</v>
      </c>
      <c r="F341" s="6" t="s">
        <v>1010</v>
      </c>
      <c r="G341" s="6" t="s">
        <v>1126</v>
      </c>
    </row>
    <row r="342" customFormat="false" ht="33" hidden="false" customHeight="true" outlineLevel="0" collapsed="false">
      <c r="A342" s="19"/>
      <c r="B342" s="18" t="n">
        <v>3</v>
      </c>
      <c r="C342" s="4" t="s">
        <v>946</v>
      </c>
      <c r="D342" s="19" t="s">
        <v>921</v>
      </c>
      <c r="E342" s="6" t="s">
        <v>947</v>
      </c>
      <c r="F342" s="6" t="s">
        <v>1140</v>
      </c>
      <c r="G342" s="6" t="s">
        <v>1163</v>
      </c>
    </row>
    <row r="343" customFormat="false" ht="33" hidden="false" customHeight="true" outlineLevel="0" collapsed="false">
      <c r="A343" s="19"/>
      <c r="B343" s="18" t="n">
        <v>4</v>
      </c>
      <c r="C343" s="4" t="s">
        <v>968</v>
      </c>
      <c r="D343" s="19" t="s">
        <v>932</v>
      </c>
      <c r="E343" s="6" t="s">
        <v>969</v>
      </c>
      <c r="F343" s="6" t="s">
        <v>970</v>
      </c>
      <c r="G343" s="6" t="s">
        <v>1131</v>
      </c>
    </row>
    <row r="344" customFormat="false" ht="33" hidden="false" customHeight="true" outlineLevel="0" collapsed="false">
      <c r="A344" s="19"/>
      <c r="B344" s="18" t="n">
        <v>5</v>
      </c>
      <c r="C344" s="4" t="s">
        <v>976</v>
      </c>
      <c r="D344" s="19" t="s">
        <v>932</v>
      </c>
      <c r="E344" s="6" t="s">
        <v>977</v>
      </c>
      <c r="F344" s="6" t="s">
        <v>557</v>
      </c>
      <c r="G344" s="6" t="s">
        <v>1164</v>
      </c>
    </row>
    <row r="345" customFormat="false" ht="25.5" hidden="false" customHeight="true" outlineLevel="0" collapsed="false">
      <c r="A345" s="19"/>
      <c r="B345" s="18" t="n">
        <v>6</v>
      </c>
      <c r="C345" s="4" t="s">
        <v>1037</v>
      </c>
      <c r="D345" s="19" t="s">
        <v>932</v>
      </c>
      <c r="E345" s="6" t="s">
        <v>1038</v>
      </c>
      <c r="F345" s="6" t="s">
        <v>1165</v>
      </c>
      <c r="G345" s="6" t="s">
        <v>1166</v>
      </c>
    </row>
    <row r="346" customFormat="false" ht="33" hidden="false" customHeight="true" outlineLevel="0" collapsed="false">
      <c r="A346" s="19"/>
      <c r="B346" s="18" t="n">
        <v>7</v>
      </c>
      <c r="C346" s="4" t="s">
        <v>979</v>
      </c>
      <c r="D346" s="19" t="s">
        <v>932</v>
      </c>
      <c r="E346" s="6" t="s">
        <v>980</v>
      </c>
      <c r="F346" s="6" t="s">
        <v>1100</v>
      </c>
      <c r="G346" s="6" t="s">
        <v>1131</v>
      </c>
    </row>
    <row r="347" customFormat="false" ht="43.5" hidden="false" customHeight="true" outlineLevel="0" collapsed="false">
      <c r="A347" s="19"/>
      <c r="B347" s="18" t="n">
        <v>8</v>
      </c>
      <c r="C347" s="4" t="s">
        <v>871</v>
      </c>
      <c r="D347" s="19" t="s">
        <v>957</v>
      </c>
      <c r="E347" s="6" t="s">
        <v>958</v>
      </c>
      <c r="F347" s="6" t="s">
        <v>959</v>
      </c>
      <c r="G347" s="6" t="s">
        <v>960</v>
      </c>
    </row>
    <row r="348" customFormat="false" ht="25.5" hidden="false" customHeight="true" outlineLevel="0" collapsed="false">
      <c r="A348" s="19"/>
      <c r="B348" s="18" t="n">
        <v>9</v>
      </c>
      <c r="C348" s="4" t="s">
        <v>856</v>
      </c>
      <c r="D348" s="19" t="s">
        <v>932</v>
      </c>
      <c r="E348" s="6" t="s">
        <v>990</v>
      </c>
      <c r="F348" s="6" t="s">
        <v>1015</v>
      </c>
      <c r="G348" s="6" t="s">
        <v>1164</v>
      </c>
    </row>
    <row r="349" customFormat="false" ht="33" hidden="false" customHeight="true" outlineLevel="0" collapsed="false">
      <c r="A349" s="19"/>
      <c r="B349" s="18" t="n">
        <v>10</v>
      </c>
      <c r="C349" s="4" t="s">
        <v>883</v>
      </c>
      <c r="D349" s="19" t="s">
        <v>957</v>
      </c>
      <c r="E349" s="6" t="s">
        <v>993</v>
      </c>
      <c r="F349" s="6" t="s">
        <v>959</v>
      </c>
      <c r="G349" s="6" t="s">
        <v>994</v>
      </c>
    </row>
    <row r="350" customFormat="false" ht="33" hidden="false" customHeight="true" outlineLevel="0" collapsed="false">
      <c r="A350" s="19"/>
      <c r="B350" s="18" t="n">
        <v>11</v>
      </c>
      <c r="C350" s="4" t="s">
        <v>889</v>
      </c>
      <c r="D350" s="19" t="s">
        <v>957</v>
      </c>
      <c r="E350" s="6" t="s">
        <v>995</v>
      </c>
      <c r="F350" s="6" t="s">
        <v>959</v>
      </c>
      <c r="G350" s="6" t="s">
        <v>994</v>
      </c>
    </row>
    <row r="351" customFormat="false" ht="25.5" hidden="false" customHeight="true" outlineLevel="0" collapsed="false">
      <c r="A351" s="19"/>
      <c r="B351" s="18" t="n">
        <v>12</v>
      </c>
      <c r="C351" s="4" t="s">
        <v>904</v>
      </c>
      <c r="D351" s="19" t="s">
        <v>932</v>
      </c>
      <c r="E351" s="6" t="s">
        <v>1000</v>
      </c>
      <c r="F351" s="6" t="s">
        <v>1165</v>
      </c>
      <c r="G351" s="6" t="s">
        <v>1167</v>
      </c>
    </row>
    <row r="352" customFormat="false" ht="33" hidden="false" customHeight="true" outlineLevel="0" collapsed="false">
      <c r="A352" s="4" t="s">
        <v>1168</v>
      </c>
      <c r="B352" s="18" t="n">
        <v>1</v>
      </c>
      <c r="C352" s="4" t="s">
        <v>859</v>
      </c>
      <c r="D352" s="19" t="s">
        <v>921</v>
      </c>
      <c r="E352" s="6" t="s">
        <v>922</v>
      </c>
      <c r="F352" s="6" t="s">
        <v>1169</v>
      </c>
      <c r="G352" s="6" t="s">
        <v>1170</v>
      </c>
    </row>
    <row r="353" customFormat="false" ht="25.5" hidden="false" customHeight="true" outlineLevel="0" collapsed="false">
      <c r="A353" s="19"/>
      <c r="B353" s="18" t="n">
        <v>2</v>
      </c>
      <c r="C353" s="4" t="s">
        <v>1171</v>
      </c>
      <c r="D353" s="19" t="s">
        <v>932</v>
      </c>
      <c r="E353" s="6" t="s">
        <v>1172</v>
      </c>
      <c r="F353" s="6" t="s">
        <v>1173</v>
      </c>
      <c r="G353" s="6" t="s">
        <v>1174</v>
      </c>
    </row>
    <row r="354" customFormat="false" ht="25.5" hidden="false" customHeight="true" outlineLevel="0" collapsed="false">
      <c r="A354" s="19"/>
      <c r="B354" s="18" t="n">
        <v>3</v>
      </c>
      <c r="C354" s="4" t="s">
        <v>898</v>
      </c>
      <c r="D354" s="19" t="s">
        <v>921</v>
      </c>
      <c r="E354" s="6" t="s">
        <v>928</v>
      </c>
      <c r="F354" s="6" t="s">
        <v>1010</v>
      </c>
      <c r="G354" s="6" t="s">
        <v>1175</v>
      </c>
    </row>
    <row r="355" customFormat="false" ht="33" hidden="false" customHeight="true" outlineLevel="0" collapsed="false">
      <c r="A355" s="19"/>
      <c r="B355" s="18" t="n">
        <v>4</v>
      </c>
      <c r="C355" s="4" t="s">
        <v>946</v>
      </c>
      <c r="D355" s="19" t="s">
        <v>921</v>
      </c>
      <c r="E355" s="6" t="s">
        <v>947</v>
      </c>
      <c r="F355" s="6" t="s">
        <v>1176</v>
      </c>
      <c r="G355" s="6" t="s">
        <v>1177</v>
      </c>
    </row>
    <row r="356" customFormat="false" ht="25.5" hidden="false" customHeight="true" outlineLevel="0" collapsed="false">
      <c r="A356" s="19"/>
      <c r="B356" s="18" t="n">
        <v>5</v>
      </c>
      <c r="C356" s="4" t="s">
        <v>950</v>
      </c>
      <c r="D356" s="19" t="s">
        <v>921</v>
      </c>
      <c r="E356" s="6" t="s">
        <v>951</v>
      </c>
      <c r="F356" s="6" t="s">
        <v>1178</v>
      </c>
      <c r="G356" s="6" t="s">
        <v>1179</v>
      </c>
    </row>
    <row r="357" customFormat="false" ht="43.5" hidden="false" customHeight="true" outlineLevel="0" collapsed="false">
      <c r="A357" s="19"/>
      <c r="B357" s="18" t="n">
        <v>6</v>
      </c>
      <c r="C357" s="4" t="s">
        <v>871</v>
      </c>
      <c r="D357" s="19" t="s">
        <v>957</v>
      </c>
      <c r="E357" s="6" t="s">
        <v>958</v>
      </c>
      <c r="F357" s="6" t="s">
        <v>959</v>
      </c>
      <c r="G357" s="6" t="s">
        <v>960</v>
      </c>
    </row>
    <row r="358" customFormat="false" ht="33" hidden="false" customHeight="true" outlineLevel="0" collapsed="false">
      <c r="A358" s="19"/>
      <c r="B358" s="18" t="n">
        <v>7</v>
      </c>
      <c r="C358" s="4" t="s">
        <v>1180</v>
      </c>
      <c r="D358" s="19" t="s">
        <v>944</v>
      </c>
      <c r="E358" s="6" t="s">
        <v>1181</v>
      </c>
      <c r="F358" s="6" t="s">
        <v>1182</v>
      </c>
      <c r="G358" s="6" t="s">
        <v>1183</v>
      </c>
    </row>
    <row r="359" customFormat="false" ht="33" hidden="false" customHeight="true" outlineLevel="0" collapsed="false">
      <c r="A359" s="19"/>
      <c r="B359" s="18" t="n">
        <v>8</v>
      </c>
      <c r="C359" s="4" t="s">
        <v>961</v>
      </c>
      <c r="D359" s="19" t="s">
        <v>1184</v>
      </c>
      <c r="E359" s="6" t="s">
        <v>962</v>
      </c>
      <c r="F359" s="6" t="s">
        <v>1185</v>
      </c>
      <c r="G359" s="6" t="s">
        <v>1186</v>
      </c>
    </row>
    <row r="360" customFormat="false" ht="33" hidden="false" customHeight="true" outlineLevel="0" collapsed="false">
      <c r="A360" s="19"/>
      <c r="B360" s="18" t="n">
        <v>9</v>
      </c>
      <c r="C360" s="4" t="s">
        <v>965</v>
      </c>
      <c r="D360" s="19" t="s">
        <v>1184</v>
      </c>
      <c r="E360" s="6" t="s">
        <v>966</v>
      </c>
      <c r="F360" s="6" t="s">
        <v>1185</v>
      </c>
      <c r="G360" s="6" t="s">
        <v>1186</v>
      </c>
    </row>
    <row r="361" customFormat="false" ht="33" hidden="false" customHeight="true" outlineLevel="0" collapsed="false">
      <c r="A361" s="19"/>
      <c r="B361" s="18" t="n">
        <v>10</v>
      </c>
      <c r="C361" s="4" t="s">
        <v>968</v>
      </c>
      <c r="D361" s="19" t="s">
        <v>932</v>
      </c>
      <c r="E361" s="6" t="s">
        <v>969</v>
      </c>
      <c r="F361" s="6" t="s">
        <v>970</v>
      </c>
      <c r="G361" s="6" t="s">
        <v>1187</v>
      </c>
    </row>
    <row r="362" customFormat="false" ht="33" hidden="false" customHeight="true" outlineLevel="0" collapsed="false">
      <c r="A362" s="19"/>
      <c r="B362" s="18" t="n">
        <v>11</v>
      </c>
      <c r="C362" s="4" t="s">
        <v>976</v>
      </c>
      <c r="D362" s="19" t="s">
        <v>932</v>
      </c>
      <c r="E362" s="6" t="s">
        <v>977</v>
      </c>
      <c r="F362" s="6" t="s">
        <v>557</v>
      </c>
      <c r="G362" s="6" t="s">
        <v>1188</v>
      </c>
    </row>
    <row r="363" customFormat="false" ht="25.5" hidden="false" customHeight="true" outlineLevel="0" collapsed="false">
      <c r="A363" s="19"/>
      <c r="B363" s="18" t="n">
        <v>12</v>
      </c>
      <c r="C363" s="4" t="s">
        <v>1037</v>
      </c>
      <c r="D363" s="19" t="s">
        <v>932</v>
      </c>
      <c r="E363" s="6" t="s">
        <v>1038</v>
      </c>
      <c r="F363" s="6" t="s">
        <v>1165</v>
      </c>
      <c r="G363" s="6" t="s">
        <v>1189</v>
      </c>
    </row>
    <row r="364" customFormat="false" ht="33" hidden="false" customHeight="true" outlineLevel="0" collapsed="false">
      <c r="A364" s="19"/>
      <c r="B364" s="18" t="n">
        <v>13</v>
      </c>
      <c r="C364" s="4" t="s">
        <v>979</v>
      </c>
      <c r="D364" s="19" t="s">
        <v>932</v>
      </c>
      <c r="E364" s="6" t="s">
        <v>980</v>
      </c>
      <c r="F364" s="6" t="s">
        <v>981</v>
      </c>
      <c r="G364" s="6" t="s">
        <v>1190</v>
      </c>
    </row>
    <row r="365" customFormat="false" ht="25.5" hidden="false" customHeight="true" outlineLevel="0" collapsed="false">
      <c r="A365" s="19"/>
      <c r="B365" s="18" t="n">
        <v>14</v>
      </c>
      <c r="C365" s="4" t="s">
        <v>983</v>
      </c>
      <c r="D365" s="19" t="s">
        <v>932</v>
      </c>
      <c r="E365" s="6" t="s">
        <v>984</v>
      </c>
      <c r="F365" s="6" t="s">
        <v>974</v>
      </c>
      <c r="G365" s="6" t="s">
        <v>1191</v>
      </c>
    </row>
    <row r="366" customFormat="false" ht="25.5" hidden="false" customHeight="true" outlineLevel="0" collapsed="false">
      <c r="A366" s="19"/>
      <c r="B366" s="18" t="n">
        <v>15</v>
      </c>
      <c r="C366" s="4" t="s">
        <v>856</v>
      </c>
      <c r="D366" s="19" t="s">
        <v>932</v>
      </c>
      <c r="E366" s="6" t="s">
        <v>990</v>
      </c>
      <c r="F366" s="6" t="s">
        <v>1192</v>
      </c>
      <c r="G366" s="6" t="s">
        <v>1193</v>
      </c>
    </row>
    <row r="367" customFormat="false" ht="33" hidden="false" customHeight="true" outlineLevel="0" collapsed="false">
      <c r="A367" s="19"/>
      <c r="B367" s="18" t="n">
        <v>16</v>
      </c>
      <c r="C367" s="4" t="s">
        <v>883</v>
      </c>
      <c r="D367" s="19" t="s">
        <v>957</v>
      </c>
      <c r="E367" s="6" t="s">
        <v>993</v>
      </c>
      <c r="F367" s="6" t="s">
        <v>959</v>
      </c>
      <c r="G367" s="6" t="s">
        <v>994</v>
      </c>
    </row>
    <row r="368" customFormat="false" ht="33" hidden="false" customHeight="true" outlineLevel="0" collapsed="false">
      <c r="A368" s="19"/>
      <c r="B368" s="18" t="n">
        <v>17</v>
      </c>
      <c r="C368" s="4" t="s">
        <v>889</v>
      </c>
      <c r="D368" s="19" t="s">
        <v>957</v>
      </c>
      <c r="E368" s="6" t="s">
        <v>995</v>
      </c>
      <c r="F368" s="6" t="s">
        <v>959</v>
      </c>
      <c r="G368" s="6" t="s">
        <v>994</v>
      </c>
    </row>
    <row r="369" customFormat="false" ht="33" hidden="false" customHeight="true" outlineLevel="0" collapsed="false">
      <c r="A369" s="19"/>
      <c r="B369" s="18" t="n">
        <v>18</v>
      </c>
      <c r="C369" s="4" t="s">
        <v>996</v>
      </c>
      <c r="D369" s="19" t="s">
        <v>986</v>
      </c>
      <c r="E369" s="6" t="s">
        <v>997</v>
      </c>
      <c r="F369" s="6" t="s">
        <v>1194</v>
      </c>
      <c r="G369" s="6" t="s">
        <v>1195</v>
      </c>
    </row>
    <row r="370" customFormat="false" ht="33" hidden="false" customHeight="true" outlineLevel="0" collapsed="false">
      <c r="A370" s="19"/>
      <c r="B370" s="18" t="n">
        <v>19</v>
      </c>
      <c r="C370" s="4" t="s">
        <v>904</v>
      </c>
      <c r="D370" s="19" t="s">
        <v>932</v>
      </c>
      <c r="E370" s="6" t="s">
        <v>1000</v>
      </c>
      <c r="F370" s="6" t="s">
        <v>1196</v>
      </c>
      <c r="G370" s="6" t="s">
        <v>1197</v>
      </c>
    </row>
    <row r="371" customFormat="false" ht="33" hidden="false" customHeight="true" outlineLevel="0" collapsed="false">
      <c r="A371" s="19"/>
      <c r="B371" s="18" t="n">
        <v>20</v>
      </c>
      <c r="C371" s="4" t="s">
        <v>1001</v>
      </c>
      <c r="D371" s="19" t="s">
        <v>986</v>
      </c>
      <c r="E371" s="6" t="s">
        <v>1002</v>
      </c>
      <c r="F371" s="6" t="s">
        <v>1194</v>
      </c>
      <c r="G371" s="6" t="s">
        <v>1195</v>
      </c>
    </row>
    <row r="372" customFormat="false" ht="33" hidden="false" customHeight="true" outlineLevel="0" collapsed="false">
      <c r="A372" s="19"/>
      <c r="B372" s="18" t="n">
        <v>21</v>
      </c>
      <c r="C372" s="4" t="s">
        <v>1003</v>
      </c>
      <c r="D372" s="19" t="s">
        <v>986</v>
      </c>
      <c r="E372" s="6" t="s">
        <v>1004</v>
      </c>
      <c r="F372" s="6" t="s">
        <v>1194</v>
      </c>
      <c r="G372" s="6" t="s">
        <v>1195</v>
      </c>
    </row>
    <row r="373" customFormat="false" ht="33" hidden="false" customHeight="true" outlineLevel="0" collapsed="false">
      <c r="A373" s="4" t="s">
        <v>1198</v>
      </c>
      <c r="B373" s="18" t="n">
        <v>1</v>
      </c>
      <c r="C373" s="4" t="s">
        <v>859</v>
      </c>
      <c r="D373" s="19" t="s">
        <v>921</v>
      </c>
      <c r="E373" s="6" t="s">
        <v>922</v>
      </c>
      <c r="F373" s="6" t="s">
        <v>1199</v>
      </c>
      <c r="G373" s="6" t="s">
        <v>1200</v>
      </c>
    </row>
    <row r="374" customFormat="false" ht="25.5" hidden="false" customHeight="true" outlineLevel="0" collapsed="false">
      <c r="A374" s="19"/>
      <c r="B374" s="18" t="n">
        <v>2</v>
      </c>
      <c r="C374" s="4" t="s">
        <v>898</v>
      </c>
      <c r="D374" s="19" t="s">
        <v>921</v>
      </c>
      <c r="E374" s="6" t="s">
        <v>928</v>
      </c>
      <c r="F374" s="6" t="s">
        <v>1010</v>
      </c>
      <c r="G374" s="6" t="s">
        <v>1175</v>
      </c>
    </row>
    <row r="375" customFormat="false" ht="33" hidden="false" customHeight="true" outlineLevel="0" collapsed="false">
      <c r="A375" s="19"/>
      <c r="B375" s="18" t="n">
        <v>3</v>
      </c>
      <c r="C375" s="4" t="s">
        <v>946</v>
      </c>
      <c r="D375" s="19" t="s">
        <v>921</v>
      </c>
      <c r="E375" s="6" t="s">
        <v>947</v>
      </c>
      <c r="F375" s="6" t="s">
        <v>1201</v>
      </c>
      <c r="G375" s="6" t="s">
        <v>1177</v>
      </c>
    </row>
    <row r="376" customFormat="false" ht="25.5" hidden="false" customHeight="true" outlineLevel="0" collapsed="false">
      <c r="A376" s="19"/>
      <c r="B376" s="18" t="n">
        <v>4</v>
      </c>
      <c r="C376" s="4" t="s">
        <v>950</v>
      </c>
      <c r="D376" s="19" t="s">
        <v>921</v>
      </c>
      <c r="E376" s="6" t="s">
        <v>951</v>
      </c>
      <c r="F376" s="6" t="s">
        <v>1202</v>
      </c>
      <c r="G376" s="6" t="s">
        <v>1179</v>
      </c>
    </row>
    <row r="377" customFormat="false" ht="43.5" hidden="false" customHeight="true" outlineLevel="0" collapsed="false">
      <c r="A377" s="19"/>
      <c r="B377" s="18" t="n">
        <v>5</v>
      </c>
      <c r="C377" s="4" t="s">
        <v>871</v>
      </c>
      <c r="D377" s="19" t="s">
        <v>957</v>
      </c>
      <c r="E377" s="6" t="s">
        <v>958</v>
      </c>
      <c r="F377" s="6" t="s">
        <v>959</v>
      </c>
      <c r="G377" s="6" t="s">
        <v>960</v>
      </c>
    </row>
    <row r="378" customFormat="false" ht="25.5" hidden="false" customHeight="true" outlineLevel="0" collapsed="false">
      <c r="A378" s="19"/>
      <c r="B378" s="18" t="n">
        <v>6</v>
      </c>
      <c r="C378" s="4" t="s">
        <v>1068</v>
      </c>
      <c r="D378" s="19" t="s">
        <v>986</v>
      </c>
      <c r="E378" s="6" t="s">
        <v>1069</v>
      </c>
      <c r="F378" s="6" t="s">
        <v>1203</v>
      </c>
      <c r="G378" s="6" t="s">
        <v>1204</v>
      </c>
    </row>
    <row r="379" customFormat="false" ht="43.5" hidden="false" customHeight="true" outlineLevel="0" collapsed="false">
      <c r="A379" s="19"/>
      <c r="B379" s="18" t="n">
        <v>7</v>
      </c>
      <c r="C379" s="4" t="s">
        <v>1205</v>
      </c>
      <c r="D379" s="19" t="s">
        <v>932</v>
      </c>
      <c r="E379" s="6" t="s">
        <v>1206</v>
      </c>
      <c r="F379" s="6" t="s">
        <v>1207</v>
      </c>
      <c r="G379" s="6" t="s">
        <v>1208</v>
      </c>
    </row>
    <row r="380" customFormat="false" ht="25.5" hidden="false" customHeight="true" outlineLevel="0" collapsed="false">
      <c r="A380" s="19"/>
      <c r="B380" s="18" t="n">
        <v>8</v>
      </c>
      <c r="C380" s="4" t="s">
        <v>1209</v>
      </c>
      <c r="D380" s="19" t="s">
        <v>986</v>
      </c>
      <c r="E380" s="6" t="s">
        <v>1210</v>
      </c>
      <c r="F380" s="6" t="s">
        <v>1203</v>
      </c>
      <c r="G380" s="6" t="s">
        <v>1204</v>
      </c>
    </row>
    <row r="381" customFormat="false" ht="43.5" hidden="false" customHeight="true" outlineLevel="0" collapsed="false">
      <c r="A381" s="19"/>
      <c r="B381" s="18" t="n">
        <v>9</v>
      </c>
      <c r="C381" s="4" t="s">
        <v>1211</v>
      </c>
      <c r="D381" s="19" t="s">
        <v>932</v>
      </c>
      <c r="E381" s="6" t="s">
        <v>1212</v>
      </c>
      <c r="F381" s="6" t="s">
        <v>557</v>
      </c>
      <c r="G381" s="6" t="s">
        <v>1208</v>
      </c>
    </row>
    <row r="382" customFormat="false" ht="33" hidden="false" customHeight="true" outlineLevel="0" collapsed="false">
      <c r="A382" s="19"/>
      <c r="B382" s="18" t="n">
        <v>10</v>
      </c>
      <c r="C382" s="4" t="s">
        <v>968</v>
      </c>
      <c r="D382" s="19" t="s">
        <v>932</v>
      </c>
      <c r="E382" s="6" t="s">
        <v>969</v>
      </c>
      <c r="F382" s="6" t="s">
        <v>970</v>
      </c>
      <c r="G382" s="6" t="s">
        <v>1187</v>
      </c>
    </row>
    <row r="383" customFormat="false" ht="33" hidden="false" customHeight="true" outlineLevel="0" collapsed="false">
      <c r="A383" s="19"/>
      <c r="B383" s="18" t="n">
        <v>11</v>
      </c>
      <c r="C383" s="4" t="s">
        <v>979</v>
      </c>
      <c r="D383" s="19" t="s">
        <v>932</v>
      </c>
      <c r="E383" s="6" t="s">
        <v>980</v>
      </c>
      <c r="F383" s="6" t="s">
        <v>981</v>
      </c>
      <c r="G383" s="6" t="s">
        <v>1190</v>
      </c>
    </row>
    <row r="384" customFormat="false" ht="25.5" hidden="false" customHeight="true" outlineLevel="0" collapsed="false">
      <c r="A384" s="19"/>
      <c r="B384" s="18" t="n">
        <v>12</v>
      </c>
      <c r="C384" s="4" t="s">
        <v>983</v>
      </c>
      <c r="D384" s="19" t="s">
        <v>932</v>
      </c>
      <c r="E384" s="6" t="s">
        <v>984</v>
      </c>
      <c r="F384" s="6" t="s">
        <v>974</v>
      </c>
      <c r="G384" s="6" t="s">
        <v>1191</v>
      </c>
    </row>
    <row r="385" customFormat="false" ht="25.5" hidden="false" customHeight="true" outlineLevel="0" collapsed="false">
      <c r="A385" s="19"/>
      <c r="B385" s="18" t="n">
        <v>13</v>
      </c>
      <c r="C385" s="4" t="s">
        <v>856</v>
      </c>
      <c r="D385" s="19" t="s">
        <v>932</v>
      </c>
      <c r="E385" s="6" t="s">
        <v>990</v>
      </c>
      <c r="F385" s="6" t="s">
        <v>974</v>
      </c>
      <c r="G385" s="6" t="s">
        <v>1213</v>
      </c>
    </row>
    <row r="386" customFormat="false" ht="33" hidden="false" customHeight="true" outlineLevel="0" collapsed="false">
      <c r="A386" s="19"/>
      <c r="B386" s="18" t="n">
        <v>14</v>
      </c>
      <c r="C386" s="4" t="s">
        <v>883</v>
      </c>
      <c r="D386" s="19" t="s">
        <v>957</v>
      </c>
      <c r="E386" s="6" t="s">
        <v>993</v>
      </c>
      <c r="F386" s="6" t="s">
        <v>959</v>
      </c>
      <c r="G386" s="6" t="s">
        <v>994</v>
      </c>
    </row>
    <row r="387" customFormat="false" ht="33" hidden="false" customHeight="true" outlineLevel="0" collapsed="false">
      <c r="A387" s="19"/>
      <c r="B387" s="18" t="n">
        <v>15</v>
      </c>
      <c r="C387" s="4" t="s">
        <v>889</v>
      </c>
      <c r="D387" s="19" t="s">
        <v>957</v>
      </c>
      <c r="E387" s="6" t="s">
        <v>995</v>
      </c>
      <c r="F387" s="6" t="s">
        <v>959</v>
      </c>
      <c r="G387" s="6" t="s">
        <v>994</v>
      </c>
    </row>
    <row r="388" customFormat="false" ht="25.5" hidden="false" customHeight="true" outlineLevel="0" collapsed="false">
      <c r="A388" s="19"/>
      <c r="B388" s="18" t="n">
        <v>16</v>
      </c>
      <c r="C388" s="4" t="s">
        <v>1028</v>
      </c>
      <c r="D388" s="19" t="s">
        <v>986</v>
      </c>
      <c r="E388" s="6" t="s">
        <v>1029</v>
      </c>
      <c r="F388" s="6" t="s">
        <v>1194</v>
      </c>
      <c r="G388" s="6" t="s">
        <v>1214</v>
      </c>
    </row>
    <row r="389" customFormat="false" ht="33" hidden="false" customHeight="true" outlineLevel="0" collapsed="false">
      <c r="A389" s="19"/>
      <c r="B389" s="18" t="n">
        <v>17</v>
      </c>
      <c r="C389" s="4" t="s">
        <v>996</v>
      </c>
      <c r="D389" s="19" t="s">
        <v>986</v>
      </c>
      <c r="E389" s="6" t="s">
        <v>997</v>
      </c>
      <c r="F389" s="6" t="s">
        <v>1215</v>
      </c>
      <c r="G389" s="6" t="s">
        <v>1195</v>
      </c>
    </row>
    <row r="390" customFormat="false" ht="33" hidden="false" customHeight="true" outlineLevel="0" collapsed="false">
      <c r="A390" s="19"/>
      <c r="B390" s="18" t="n">
        <v>18</v>
      </c>
      <c r="C390" s="4" t="s">
        <v>904</v>
      </c>
      <c r="D390" s="19" t="s">
        <v>986</v>
      </c>
      <c r="E390" s="6" t="s">
        <v>1000</v>
      </c>
      <c r="F390" s="6" t="s">
        <v>1215</v>
      </c>
      <c r="G390" s="6" t="s">
        <v>1195</v>
      </c>
    </row>
    <row r="391" customFormat="false" ht="33" hidden="false" customHeight="true" outlineLevel="0" collapsed="false">
      <c r="A391" s="19"/>
      <c r="B391" s="18" t="n">
        <v>19</v>
      </c>
      <c r="C391" s="4" t="s">
        <v>1001</v>
      </c>
      <c r="D391" s="19" t="s">
        <v>986</v>
      </c>
      <c r="E391" s="6" t="s">
        <v>1002</v>
      </c>
      <c r="F391" s="6" t="s">
        <v>1215</v>
      </c>
      <c r="G391" s="6" t="s">
        <v>1195</v>
      </c>
    </row>
    <row r="392" customFormat="false" ht="33" hidden="false" customHeight="true" outlineLevel="0" collapsed="false">
      <c r="A392" s="19"/>
      <c r="B392" s="18" t="n">
        <v>20</v>
      </c>
      <c r="C392" s="4" t="s">
        <v>1003</v>
      </c>
      <c r="D392" s="19" t="s">
        <v>986</v>
      </c>
      <c r="E392" s="6" t="s">
        <v>1004</v>
      </c>
      <c r="F392" s="6" t="s">
        <v>1215</v>
      </c>
      <c r="G392" s="6" t="s">
        <v>1195</v>
      </c>
    </row>
    <row r="393" customFormat="false" ht="33" hidden="false" customHeight="true" outlineLevel="0" collapsed="false">
      <c r="A393" s="4" t="s">
        <v>1216</v>
      </c>
      <c r="B393" s="18" t="n">
        <v>1</v>
      </c>
      <c r="C393" s="4" t="s">
        <v>859</v>
      </c>
      <c r="D393" s="19" t="s">
        <v>921</v>
      </c>
      <c r="E393" s="6" t="s">
        <v>922</v>
      </c>
      <c r="F393" s="6" t="s">
        <v>1217</v>
      </c>
      <c r="G393" s="6" t="s">
        <v>1218</v>
      </c>
    </row>
    <row r="394" customFormat="false" ht="25.5" hidden="false" customHeight="true" outlineLevel="0" collapsed="false">
      <c r="A394" s="19"/>
      <c r="B394" s="18" t="n">
        <v>2</v>
      </c>
      <c r="C394" s="4" t="s">
        <v>898</v>
      </c>
      <c r="D394" s="19" t="s">
        <v>921</v>
      </c>
      <c r="E394" s="6" t="s">
        <v>928</v>
      </c>
      <c r="F394" s="6" t="s">
        <v>1010</v>
      </c>
      <c r="G394" s="6" t="s">
        <v>1219</v>
      </c>
    </row>
    <row r="395" customFormat="false" ht="33" hidden="false" customHeight="true" outlineLevel="0" collapsed="false">
      <c r="A395" s="19"/>
      <c r="B395" s="18" t="n">
        <v>3</v>
      </c>
      <c r="C395" s="4" t="s">
        <v>946</v>
      </c>
      <c r="D395" s="19" t="s">
        <v>921</v>
      </c>
      <c r="E395" s="6" t="s">
        <v>947</v>
      </c>
      <c r="F395" s="6" t="s">
        <v>1220</v>
      </c>
      <c r="G395" s="6" t="s">
        <v>1177</v>
      </c>
    </row>
    <row r="396" customFormat="false" ht="25.5" hidden="false" customHeight="true" outlineLevel="0" collapsed="false">
      <c r="A396" s="19"/>
      <c r="B396" s="18" t="n">
        <v>4</v>
      </c>
      <c r="C396" s="4" t="s">
        <v>950</v>
      </c>
      <c r="D396" s="19" t="s">
        <v>921</v>
      </c>
      <c r="E396" s="6" t="s">
        <v>951</v>
      </c>
      <c r="F396" s="6" t="s">
        <v>1008</v>
      </c>
      <c r="G396" s="6" t="s">
        <v>1179</v>
      </c>
    </row>
    <row r="397" customFormat="false" ht="43.5" hidden="false" customHeight="true" outlineLevel="0" collapsed="false">
      <c r="A397" s="19"/>
      <c r="B397" s="18" t="n">
        <v>5</v>
      </c>
      <c r="C397" s="4" t="s">
        <v>871</v>
      </c>
      <c r="D397" s="19" t="s">
        <v>957</v>
      </c>
      <c r="E397" s="6" t="s">
        <v>958</v>
      </c>
      <c r="F397" s="6" t="s">
        <v>959</v>
      </c>
      <c r="G397" s="6" t="s">
        <v>960</v>
      </c>
    </row>
    <row r="398" customFormat="false" ht="33" hidden="false" customHeight="true" outlineLevel="0" collapsed="false">
      <c r="A398" s="19"/>
      <c r="B398" s="18" t="n">
        <v>6</v>
      </c>
      <c r="C398" s="4" t="s">
        <v>961</v>
      </c>
      <c r="D398" s="19" t="s">
        <v>932</v>
      </c>
      <c r="E398" s="6" t="s">
        <v>962</v>
      </c>
      <c r="F398" s="6" t="s">
        <v>1113</v>
      </c>
      <c r="G398" s="6" t="s">
        <v>1221</v>
      </c>
    </row>
    <row r="399" customFormat="false" ht="33" hidden="false" customHeight="true" outlineLevel="0" collapsed="false">
      <c r="A399" s="19"/>
      <c r="B399" s="18" t="n">
        <v>7</v>
      </c>
      <c r="C399" s="4" t="s">
        <v>965</v>
      </c>
      <c r="D399" s="19" t="s">
        <v>1184</v>
      </c>
      <c r="E399" s="6" t="s">
        <v>966</v>
      </c>
      <c r="F399" s="6" t="s">
        <v>1222</v>
      </c>
      <c r="G399" s="6" t="s">
        <v>1223</v>
      </c>
    </row>
    <row r="400" customFormat="false" ht="33" hidden="false" customHeight="true" outlineLevel="0" collapsed="false">
      <c r="A400" s="19"/>
      <c r="B400" s="18" t="n">
        <v>8</v>
      </c>
      <c r="C400" s="4" t="s">
        <v>968</v>
      </c>
      <c r="D400" s="19" t="s">
        <v>932</v>
      </c>
      <c r="E400" s="6" t="s">
        <v>969</v>
      </c>
      <c r="F400" s="6" t="s">
        <v>970</v>
      </c>
      <c r="G400" s="6" t="s">
        <v>1224</v>
      </c>
    </row>
    <row r="401" customFormat="false" ht="33" hidden="false" customHeight="true" outlineLevel="0" collapsed="false">
      <c r="A401" s="19"/>
      <c r="B401" s="18" t="n">
        <v>9</v>
      </c>
      <c r="C401" s="4" t="s">
        <v>979</v>
      </c>
      <c r="D401" s="19" t="s">
        <v>932</v>
      </c>
      <c r="E401" s="6" t="s">
        <v>980</v>
      </c>
      <c r="F401" s="6" t="s">
        <v>981</v>
      </c>
      <c r="G401" s="6" t="s">
        <v>1225</v>
      </c>
    </row>
    <row r="402" customFormat="false" ht="25.5" hidden="false" customHeight="true" outlineLevel="0" collapsed="false">
      <c r="A402" s="19"/>
      <c r="B402" s="18" t="n">
        <v>10</v>
      </c>
      <c r="C402" s="4" t="s">
        <v>983</v>
      </c>
      <c r="D402" s="19" t="s">
        <v>932</v>
      </c>
      <c r="E402" s="6" t="s">
        <v>984</v>
      </c>
      <c r="F402" s="6" t="s">
        <v>955</v>
      </c>
      <c r="G402" s="6" t="s">
        <v>1226</v>
      </c>
    </row>
    <row r="403" customFormat="false" ht="25.5" hidden="false" customHeight="true" outlineLevel="0" collapsed="false">
      <c r="A403" s="19"/>
      <c r="B403" s="18" t="n">
        <v>11</v>
      </c>
      <c r="C403" s="4" t="s">
        <v>856</v>
      </c>
      <c r="D403" s="19" t="s">
        <v>932</v>
      </c>
      <c r="E403" s="6" t="s">
        <v>990</v>
      </c>
      <c r="F403" s="6" t="s">
        <v>1227</v>
      </c>
      <c r="G403" s="6" t="s">
        <v>1221</v>
      </c>
    </row>
    <row r="404" customFormat="false" ht="33" hidden="false" customHeight="true" outlineLevel="0" collapsed="false">
      <c r="A404" s="19"/>
      <c r="B404" s="18" t="n">
        <v>12</v>
      </c>
      <c r="C404" s="4" t="s">
        <v>883</v>
      </c>
      <c r="D404" s="19" t="s">
        <v>957</v>
      </c>
      <c r="E404" s="6" t="s">
        <v>993</v>
      </c>
      <c r="F404" s="6" t="s">
        <v>959</v>
      </c>
      <c r="G404" s="6" t="s">
        <v>994</v>
      </c>
    </row>
    <row r="405" customFormat="false" ht="33" hidden="false" customHeight="true" outlineLevel="0" collapsed="false">
      <c r="A405" s="19"/>
      <c r="B405" s="18" t="n">
        <v>13</v>
      </c>
      <c r="C405" s="4" t="s">
        <v>889</v>
      </c>
      <c r="D405" s="19" t="s">
        <v>957</v>
      </c>
      <c r="E405" s="6" t="s">
        <v>995</v>
      </c>
      <c r="F405" s="6" t="s">
        <v>959</v>
      </c>
      <c r="G405" s="6" t="s">
        <v>994</v>
      </c>
    </row>
    <row r="406" customFormat="false" ht="33" hidden="false" customHeight="true" outlineLevel="0" collapsed="false">
      <c r="A406" s="19"/>
      <c r="B406" s="18" t="n">
        <v>14</v>
      </c>
      <c r="C406" s="4" t="s">
        <v>996</v>
      </c>
      <c r="D406" s="19" t="s">
        <v>986</v>
      </c>
      <c r="E406" s="6" t="s">
        <v>997</v>
      </c>
      <c r="F406" s="6" t="s">
        <v>1215</v>
      </c>
      <c r="G406" s="6" t="s">
        <v>1195</v>
      </c>
    </row>
    <row r="407" customFormat="false" ht="33" hidden="false" customHeight="true" outlineLevel="0" collapsed="false">
      <c r="A407" s="19"/>
      <c r="B407" s="18" t="n">
        <v>15</v>
      </c>
      <c r="C407" s="4" t="s">
        <v>904</v>
      </c>
      <c r="D407" s="19" t="s">
        <v>986</v>
      </c>
      <c r="E407" s="6" t="s">
        <v>1000</v>
      </c>
      <c r="F407" s="6" t="s">
        <v>1215</v>
      </c>
      <c r="G407" s="6" t="s">
        <v>1195</v>
      </c>
    </row>
    <row r="408" customFormat="false" ht="33" hidden="false" customHeight="true" outlineLevel="0" collapsed="false">
      <c r="A408" s="19"/>
      <c r="B408" s="18" t="n">
        <v>16</v>
      </c>
      <c r="C408" s="4" t="s">
        <v>1001</v>
      </c>
      <c r="D408" s="19" t="s">
        <v>986</v>
      </c>
      <c r="E408" s="6" t="s">
        <v>1002</v>
      </c>
      <c r="F408" s="6" t="s">
        <v>1215</v>
      </c>
      <c r="G408" s="6" t="s">
        <v>1195</v>
      </c>
    </row>
    <row r="409" customFormat="false" ht="33" hidden="false" customHeight="true" outlineLevel="0" collapsed="false">
      <c r="A409" s="19"/>
      <c r="B409" s="18" t="n">
        <v>17</v>
      </c>
      <c r="C409" s="4" t="s">
        <v>1003</v>
      </c>
      <c r="D409" s="19" t="s">
        <v>986</v>
      </c>
      <c r="E409" s="6" t="s">
        <v>1004</v>
      </c>
      <c r="F409" s="6" t="s">
        <v>1215</v>
      </c>
      <c r="G409" s="6" t="s">
        <v>1195</v>
      </c>
    </row>
    <row r="410" customFormat="false" ht="33" hidden="false" customHeight="true" outlineLevel="0" collapsed="false">
      <c r="A410" s="4" t="s">
        <v>1228</v>
      </c>
      <c r="B410" s="18" t="n">
        <v>1</v>
      </c>
      <c r="C410" s="4" t="s">
        <v>859</v>
      </c>
      <c r="D410" s="19" t="s">
        <v>921</v>
      </c>
      <c r="E410" s="6" t="s">
        <v>922</v>
      </c>
      <c r="F410" s="6" t="s">
        <v>1229</v>
      </c>
      <c r="G410" s="6" t="s">
        <v>1230</v>
      </c>
    </row>
    <row r="411" customFormat="false" ht="43.5" hidden="false" customHeight="true" outlineLevel="0" collapsed="false">
      <c r="A411" s="19"/>
      <c r="B411" s="18" t="n">
        <v>2</v>
      </c>
      <c r="C411" s="4" t="s">
        <v>1231</v>
      </c>
      <c r="D411" s="19" t="s">
        <v>986</v>
      </c>
      <c r="E411" s="6" t="s">
        <v>1232</v>
      </c>
      <c r="F411" s="6" t="s">
        <v>1182</v>
      </c>
      <c r="G411" s="6" t="s">
        <v>1233</v>
      </c>
    </row>
    <row r="412" customFormat="false" ht="25.5" hidden="false" customHeight="true" outlineLevel="0" collapsed="false">
      <c r="A412" s="19"/>
      <c r="B412" s="18" t="n">
        <v>3</v>
      </c>
      <c r="C412" s="4" t="s">
        <v>1171</v>
      </c>
      <c r="D412" s="19" t="s">
        <v>932</v>
      </c>
      <c r="E412" s="6" t="s">
        <v>1172</v>
      </c>
      <c r="F412" s="6" t="s">
        <v>1234</v>
      </c>
      <c r="G412" s="6" t="s">
        <v>1235</v>
      </c>
    </row>
    <row r="413" customFormat="false" ht="25.5" hidden="false" customHeight="true" outlineLevel="0" collapsed="false">
      <c r="A413" s="19"/>
      <c r="B413" s="18" t="n">
        <v>4</v>
      </c>
      <c r="C413" s="4" t="s">
        <v>898</v>
      </c>
      <c r="D413" s="19" t="s">
        <v>921</v>
      </c>
      <c r="E413" s="6" t="s">
        <v>928</v>
      </c>
      <c r="F413" s="6" t="s">
        <v>1010</v>
      </c>
      <c r="G413" s="6" t="s">
        <v>1175</v>
      </c>
    </row>
    <row r="414" customFormat="false" ht="33" hidden="false" customHeight="true" outlineLevel="0" collapsed="false">
      <c r="A414" s="19"/>
      <c r="B414" s="18" t="n">
        <v>5</v>
      </c>
      <c r="C414" s="4" t="s">
        <v>946</v>
      </c>
      <c r="D414" s="19" t="s">
        <v>921</v>
      </c>
      <c r="E414" s="6" t="s">
        <v>947</v>
      </c>
      <c r="F414" s="6" t="s">
        <v>1236</v>
      </c>
      <c r="G414" s="6" t="s">
        <v>1177</v>
      </c>
    </row>
    <row r="415" customFormat="false" ht="25.5" hidden="false" customHeight="true" outlineLevel="0" collapsed="false">
      <c r="A415" s="19"/>
      <c r="B415" s="18" t="n">
        <v>6</v>
      </c>
      <c r="C415" s="4" t="s">
        <v>950</v>
      </c>
      <c r="D415" s="19" t="s">
        <v>921</v>
      </c>
      <c r="E415" s="6" t="s">
        <v>951</v>
      </c>
      <c r="F415" s="6" t="s">
        <v>1008</v>
      </c>
      <c r="G415" s="6" t="s">
        <v>1179</v>
      </c>
    </row>
    <row r="416" customFormat="false" ht="33" hidden="false" customHeight="true" outlineLevel="0" collapsed="false">
      <c r="A416" s="19"/>
      <c r="B416" s="18" t="n">
        <v>7</v>
      </c>
      <c r="C416" s="4" t="s">
        <v>968</v>
      </c>
      <c r="D416" s="19" t="s">
        <v>932</v>
      </c>
      <c r="E416" s="6" t="s">
        <v>969</v>
      </c>
      <c r="F416" s="6" t="s">
        <v>970</v>
      </c>
      <c r="G416" s="6" t="s">
        <v>1187</v>
      </c>
    </row>
    <row r="417" customFormat="false" ht="33" hidden="false" customHeight="true" outlineLevel="0" collapsed="false">
      <c r="A417" s="19"/>
      <c r="B417" s="18" t="n">
        <v>8</v>
      </c>
      <c r="C417" s="4" t="s">
        <v>976</v>
      </c>
      <c r="D417" s="19" t="s">
        <v>932</v>
      </c>
      <c r="E417" s="6" t="s">
        <v>977</v>
      </c>
      <c r="F417" s="6" t="s">
        <v>557</v>
      </c>
      <c r="G417" s="6" t="s">
        <v>1188</v>
      </c>
    </row>
    <row r="418" customFormat="false" ht="33" hidden="false" customHeight="true" outlineLevel="0" collapsed="false">
      <c r="A418" s="19"/>
      <c r="B418" s="18" t="n">
        <v>9</v>
      </c>
      <c r="C418" s="4" t="s">
        <v>979</v>
      </c>
      <c r="D418" s="19" t="s">
        <v>932</v>
      </c>
      <c r="E418" s="6" t="s">
        <v>980</v>
      </c>
      <c r="F418" s="6" t="s">
        <v>981</v>
      </c>
      <c r="G418" s="6" t="s">
        <v>1190</v>
      </c>
    </row>
    <row r="419" customFormat="false" ht="25.5" hidden="false" customHeight="true" outlineLevel="0" collapsed="false">
      <c r="A419" s="19"/>
      <c r="B419" s="18" t="n">
        <v>10</v>
      </c>
      <c r="C419" s="4" t="s">
        <v>983</v>
      </c>
      <c r="D419" s="19" t="s">
        <v>932</v>
      </c>
      <c r="E419" s="6" t="s">
        <v>984</v>
      </c>
      <c r="F419" s="6" t="s">
        <v>1115</v>
      </c>
      <c r="G419" s="6" t="s">
        <v>1237</v>
      </c>
    </row>
    <row r="420" customFormat="false" ht="43.5" hidden="false" customHeight="true" outlineLevel="0" collapsed="false">
      <c r="A420" s="19"/>
      <c r="B420" s="18" t="n">
        <v>11</v>
      </c>
      <c r="C420" s="4" t="s">
        <v>871</v>
      </c>
      <c r="D420" s="19" t="s">
        <v>957</v>
      </c>
      <c r="E420" s="6" t="s">
        <v>958</v>
      </c>
      <c r="F420" s="6" t="s">
        <v>959</v>
      </c>
      <c r="G420" s="6" t="s">
        <v>960</v>
      </c>
    </row>
    <row r="421" customFormat="false" ht="25.5" hidden="false" customHeight="true" outlineLevel="0" collapsed="false">
      <c r="A421" s="19"/>
      <c r="B421" s="18" t="n">
        <v>12</v>
      </c>
      <c r="C421" s="4" t="s">
        <v>856</v>
      </c>
      <c r="D421" s="19" t="s">
        <v>932</v>
      </c>
      <c r="E421" s="6" t="s">
        <v>990</v>
      </c>
      <c r="F421" s="6" t="s">
        <v>991</v>
      </c>
      <c r="G421" s="6" t="s">
        <v>1238</v>
      </c>
    </row>
    <row r="422" customFormat="false" ht="33" hidden="false" customHeight="true" outlineLevel="0" collapsed="false">
      <c r="A422" s="19"/>
      <c r="B422" s="18" t="n">
        <v>13</v>
      </c>
      <c r="C422" s="4" t="s">
        <v>883</v>
      </c>
      <c r="D422" s="19" t="s">
        <v>957</v>
      </c>
      <c r="E422" s="6" t="s">
        <v>993</v>
      </c>
      <c r="F422" s="6" t="s">
        <v>959</v>
      </c>
      <c r="G422" s="6" t="s">
        <v>994</v>
      </c>
    </row>
    <row r="423" customFormat="false" ht="33" hidden="false" customHeight="true" outlineLevel="0" collapsed="false">
      <c r="A423" s="19"/>
      <c r="B423" s="18" t="n">
        <v>14</v>
      </c>
      <c r="C423" s="4" t="s">
        <v>889</v>
      </c>
      <c r="D423" s="19" t="s">
        <v>957</v>
      </c>
      <c r="E423" s="6" t="s">
        <v>995</v>
      </c>
      <c r="F423" s="6" t="s">
        <v>959</v>
      </c>
      <c r="G423" s="6" t="s">
        <v>994</v>
      </c>
    </row>
    <row r="424" customFormat="false" ht="33" hidden="false" customHeight="true" outlineLevel="0" collapsed="false">
      <c r="A424" s="4" t="s">
        <v>1239</v>
      </c>
      <c r="B424" s="18" t="n">
        <v>1</v>
      </c>
      <c r="C424" s="4" t="s">
        <v>859</v>
      </c>
      <c r="D424" s="19" t="s">
        <v>921</v>
      </c>
      <c r="E424" s="6" t="s">
        <v>922</v>
      </c>
      <c r="F424" s="6" t="s">
        <v>1240</v>
      </c>
      <c r="G424" s="6" t="s">
        <v>1241</v>
      </c>
    </row>
    <row r="425" customFormat="false" ht="25.5" hidden="false" customHeight="true" outlineLevel="0" collapsed="false">
      <c r="A425" s="19"/>
      <c r="B425" s="18" t="n">
        <v>2</v>
      </c>
      <c r="C425" s="4" t="s">
        <v>898</v>
      </c>
      <c r="D425" s="19" t="s">
        <v>921</v>
      </c>
      <c r="E425" s="6" t="s">
        <v>928</v>
      </c>
      <c r="F425" s="6" t="s">
        <v>1242</v>
      </c>
      <c r="G425" s="6" t="s">
        <v>1243</v>
      </c>
    </row>
    <row r="426" customFormat="false" ht="33" hidden="false" customHeight="true" outlineLevel="0" collapsed="false">
      <c r="A426" s="19"/>
      <c r="B426" s="18" t="n">
        <v>3</v>
      </c>
      <c r="C426" s="4" t="s">
        <v>953</v>
      </c>
      <c r="D426" s="19" t="s">
        <v>921</v>
      </c>
      <c r="E426" s="6" t="s">
        <v>954</v>
      </c>
      <c r="F426" s="6" t="s">
        <v>1244</v>
      </c>
      <c r="G426" s="6" t="s">
        <v>1245</v>
      </c>
    </row>
    <row r="427" customFormat="false" ht="33" hidden="false" customHeight="true" outlineLevel="0" collapsed="false">
      <c r="A427" s="19"/>
      <c r="B427" s="18" t="n">
        <v>4</v>
      </c>
      <c r="C427" s="4" t="s">
        <v>968</v>
      </c>
      <c r="D427" s="19" t="s">
        <v>932</v>
      </c>
      <c r="E427" s="6" t="s">
        <v>969</v>
      </c>
      <c r="F427" s="6" t="s">
        <v>970</v>
      </c>
      <c r="G427" s="6" t="s">
        <v>1246</v>
      </c>
    </row>
    <row r="428" customFormat="false" ht="33" hidden="false" customHeight="true" outlineLevel="0" collapsed="false">
      <c r="A428" s="19"/>
      <c r="B428" s="18" t="n">
        <v>5</v>
      </c>
      <c r="C428" s="4" t="s">
        <v>976</v>
      </c>
      <c r="D428" s="19" t="s">
        <v>957</v>
      </c>
      <c r="E428" s="6" t="s">
        <v>977</v>
      </c>
      <c r="F428" s="6" t="s">
        <v>1132</v>
      </c>
      <c r="G428" s="6" t="s">
        <v>1247</v>
      </c>
    </row>
    <row r="429" customFormat="false" ht="87.75" hidden="false" customHeight="true" outlineLevel="0" collapsed="false">
      <c r="A429" s="19"/>
      <c r="B429" s="18" t="n">
        <v>6</v>
      </c>
      <c r="C429" s="4" t="s">
        <v>1248</v>
      </c>
      <c r="D429" s="19" t="s">
        <v>932</v>
      </c>
      <c r="E429" s="6" t="s">
        <v>1249</v>
      </c>
      <c r="F429" s="6" t="s">
        <v>955</v>
      </c>
      <c r="G429" s="6" t="s">
        <v>1250</v>
      </c>
    </row>
    <row r="430" customFormat="false" ht="33" hidden="false" customHeight="true" outlineLevel="0" collapsed="false">
      <c r="A430" s="19"/>
      <c r="B430" s="18" t="n">
        <v>7</v>
      </c>
      <c r="C430" s="4" t="s">
        <v>979</v>
      </c>
      <c r="D430" s="19" t="s">
        <v>932</v>
      </c>
      <c r="E430" s="6" t="s">
        <v>980</v>
      </c>
      <c r="F430" s="6" t="s">
        <v>1100</v>
      </c>
      <c r="G430" s="6" t="s">
        <v>1251</v>
      </c>
    </row>
    <row r="431" customFormat="false" ht="43.5" hidden="false" customHeight="true" outlineLevel="0" collapsed="false">
      <c r="A431" s="19"/>
      <c r="B431" s="18" t="n">
        <v>8</v>
      </c>
      <c r="C431" s="4" t="s">
        <v>871</v>
      </c>
      <c r="D431" s="19" t="s">
        <v>957</v>
      </c>
      <c r="E431" s="6" t="s">
        <v>958</v>
      </c>
      <c r="F431" s="6" t="s">
        <v>959</v>
      </c>
      <c r="G431" s="6" t="s">
        <v>960</v>
      </c>
    </row>
    <row r="432" customFormat="false" ht="33" hidden="false" customHeight="true" outlineLevel="0" collapsed="false">
      <c r="A432" s="19"/>
      <c r="B432" s="18" t="n">
        <v>9</v>
      </c>
      <c r="C432" s="4" t="s">
        <v>856</v>
      </c>
      <c r="D432" s="19" t="s">
        <v>957</v>
      </c>
      <c r="E432" s="6" t="s">
        <v>990</v>
      </c>
      <c r="F432" s="6" t="s">
        <v>1101</v>
      </c>
      <c r="G432" s="6" t="s">
        <v>1252</v>
      </c>
    </row>
    <row r="433" customFormat="false" ht="33" hidden="false" customHeight="true" outlineLevel="0" collapsed="false">
      <c r="A433" s="19"/>
      <c r="B433" s="18" t="n">
        <v>10</v>
      </c>
      <c r="C433" s="4" t="s">
        <v>883</v>
      </c>
      <c r="D433" s="19" t="s">
        <v>957</v>
      </c>
      <c r="E433" s="6" t="s">
        <v>993</v>
      </c>
      <c r="F433" s="6" t="s">
        <v>959</v>
      </c>
      <c r="G433" s="6" t="s">
        <v>994</v>
      </c>
    </row>
    <row r="434" customFormat="false" ht="33" hidden="false" customHeight="true" outlineLevel="0" collapsed="false">
      <c r="A434" s="19"/>
      <c r="B434" s="18" t="n">
        <v>11</v>
      </c>
      <c r="C434" s="4" t="s">
        <v>889</v>
      </c>
      <c r="D434" s="19" t="s">
        <v>957</v>
      </c>
      <c r="E434" s="6" t="s">
        <v>995</v>
      </c>
      <c r="F434" s="6" t="s">
        <v>959</v>
      </c>
      <c r="G434" s="6" t="s">
        <v>994</v>
      </c>
    </row>
    <row r="435" customFormat="false" ht="33" hidden="false" customHeight="true" outlineLevel="0" collapsed="false">
      <c r="A435" s="19"/>
      <c r="B435" s="18" t="n">
        <v>12</v>
      </c>
      <c r="C435" s="4" t="s">
        <v>996</v>
      </c>
      <c r="D435" s="19" t="s">
        <v>986</v>
      </c>
      <c r="E435" s="6" t="s">
        <v>997</v>
      </c>
      <c r="F435" s="6" t="s">
        <v>1253</v>
      </c>
      <c r="G435" s="6" t="s">
        <v>1254</v>
      </c>
    </row>
    <row r="436" customFormat="false" ht="33" hidden="false" customHeight="true" outlineLevel="0" collapsed="false">
      <c r="A436" s="19"/>
      <c r="B436" s="18" t="n">
        <v>13</v>
      </c>
      <c r="C436" s="4" t="s">
        <v>904</v>
      </c>
      <c r="D436" s="19" t="s">
        <v>986</v>
      </c>
      <c r="E436" s="6" t="s">
        <v>1000</v>
      </c>
      <c r="F436" s="6" t="s">
        <v>1253</v>
      </c>
      <c r="G436" s="6" t="s">
        <v>1254</v>
      </c>
    </row>
    <row r="437" customFormat="false" ht="33" hidden="false" customHeight="true" outlineLevel="0" collapsed="false">
      <c r="A437" s="19"/>
      <c r="B437" s="18" t="n">
        <v>14</v>
      </c>
      <c r="C437" s="4" t="s">
        <v>1001</v>
      </c>
      <c r="D437" s="19" t="s">
        <v>986</v>
      </c>
      <c r="E437" s="6" t="s">
        <v>1002</v>
      </c>
      <c r="F437" s="6" t="s">
        <v>1253</v>
      </c>
      <c r="G437" s="6" t="s">
        <v>1254</v>
      </c>
    </row>
    <row r="438" customFormat="false" ht="33" hidden="false" customHeight="true" outlineLevel="0" collapsed="false">
      <c r="A438" s="19"/>
      <c r="B438" s="18" t="n">
        <v>15</v>
      </c>
      <c r="C438" s="4" t="s">
        <v>1003</v>
      </c>
      <c r="D438" s="19" t="s">
        <v>986</v>
      </c>
      <c r="E438" s="6" t="s">
        <v>1004</v>
      </c>
      <c r="F438" s="6" t="s">
        <v>1253</v>
      </c>
      <c r="G438" s="6" t="s">
        <v>1254</v>
      </c>
    </row>
    <row r="439" customFormat="false" ht="33" hidden="false" customHeight="true" outlineLevel="0" collapsed="false">
      <c r="A439" s="4" t="s">
        <v>1255</v>
      </c>
      <c r="B439" s="18" t="n">
        <v>1</v>
      </c>
      <c r="C439" s="4" t="s">
        <v>859</v>
      </c>
      <c r="D439" s="19" t="s">
        <v>921</v>
      </c>
      <c r="E439" s="6" t="s">
        <v>922</v>
      </c>
      <c r="F439" s="6" t="s">
        <v>1256</v>
      </c>
      <c r="G439" s="6" t="s">
        <v>1257</v>
      </c>
    </row>
    <row r="440" customFormat="false" ht="25.5" hidden="false" customHeight="true" outlineLevel="0" collapsed="false">
      <c r="A440" s="19"/>
      <c r="B440" s="18" t="n">
        <v>2</v>
      </c>
      <c r="C440" s="4" t="s">
        <v>898</v>
      </c>
      <c r="D440" s="19" t="s">
        <v>921</v>
      </c>
      <c r="E440" s="6" t="s">
        <v>928</v>
      </c>
      <c r="F440" s="6" t="s">
        <v>1078</v>
      </c>
      <c r="G440" s="6" t="s">
        <v>1258</v>
      </c>
    </row>
    <row r="441" customFormat="false" ht="25.5" hidden="false" customHeight="true" outlineLevel="0" collapsed="false">
      <c r="A441" s="19"/>
      <c r="B441" s="18" t="n">
        <v>3</v>
      </c>
      <c r="C441" s="4" t="s">
        <v>1259</v>
      </c>
      <c r="D441" s="19" t="s">
        <v>921</v>
      </c>
      <c r="E441" s="6" t="s">
        <v>1260</v>
      </c>
      <c r="F441" s="6" t="s">
        <v>1261</v>
      </c>
      <c r="G441" s="6" t="s">
        <v>1258</v>
      </c>
    </row>
    <row r="442" customFormat="false" ht="25.5" hidden="false" customHeight="true" outlineLevel="0" collapsed="false">
      <c r="A442" s="19"/>
      <c r="B442" s="18" t="n">
        <v>4</v>
      </c>
      <c r="C442" s="4" t="s">
        <v>1262</v>
      </c>
      <c r="D442" s="19" t="s">
        <v>932</v>
      </c>
      <c r="E442" s="6" t="s">
        <v>1263</v>
      </c>
      <c r="F442" s="6" t="s">
        <v>1264</v>
      </c>
      <c r="G442" s="6" t="s">
        <v>1265</v>
      </c>
    </row>
    <row r="443" customFormat="false" ht="33" hidden="false" customHeight="true" outlineLevel="0" collapsed="false">
      <c r="A443" s="19"/>
      <c r="B443" s="18" t="n">
        <v>5</v>
      </c>
      <c r="C443" s="4" t="s">
        <v>968</v>
      </c>
      <c r="D443" s="19" t="s">
        <v>932</v>
      </c>
      <c r="E443" s="6" t="s">
        <v>969</v>
      </c>
      <c r="F443" s="6" t="s">
        <v>1082</v>
      </c>
      <c r="G443" s="6" t="s">
        <v>1266</v>
      </c>
    </row>
    <row r="444" customFormat="false" ht="33" hidden="false" customHeight="true" outlineLevel="0" collapsed="false">
      <c r="A444" s="19"/>
      <c r="B444" s="18" t="n">
        <v>6</v>
      </c>
      <c r="C444" s="4" t="s">
        <v>979</v>
      </c>
      <c r="D444" s="19" t="s">
        <v>932</v>
      </c>
      <c r="E444" s="6" t="s">
        <v>980</v>
      </c>
      <c r="F444" s="6" t="s">
        <v>1084</v>
      </c>
      <c r="G444" s="6" t="s">
        <v>1267</v>
      </c>
    </row>
    <row r="445" customFormat="false" ht="43.5" hidden="false" customHeight="true" outlineLevel="0" collapsed="false">
      <c r="A445" s="19"/>
      <c r="B445" s="18" t="n">
        <v>7</v>
      </c>
      <c r="C445" s="4" t="s">
        <v>871</v>
      </c>
      <c r="D445" s="19" t="s">
        <v>957</v>
      </c>
      <c r="E445" s="6" t="s">
        <v>958</v>
      </c>
      <c r="F445" s="6" t="s">
        <v>959</v>
      </c>
      <c r="G445" s="6" t="s">
        <v>960</v>
      </c>
    </row>
    <row r="446" customFormat="false" ht="25.5" hidden="false" customHeight="true" outlineLevel="0" collapsed="false">
      <c r="A446" s="19"/>
      <c r="B446" s="18" t="n">
        <v>8</v>
      </c>
      <c r="C446" s="4" t="s">
        <v>985</v>
      </c>
      <c r="D446" s="19" t="s">
        <v>957</v>
      </c>
      <c r="E446" s="6" t="s">
        <v>987</v>
      </c>
      <c r="F446" s="6" t="s">
        <v>998</v>
      </c>
      <c r="G446" s="6" t="s">
        <v>1268</v>
      </c>
    </row>
    <row r="447" customFormat="false" ht="33" hidden="false" customHeight="true" outlineLevel="0" collapsed="false">
      <c r="A447" s="19"/>
      <c r="B447" s="18" t="n">
        <v>9</v>
      </c>
      <c r="C447" s="4" t="s">
        <v>883</v>
      </c>
      <c r="D447" s="19" t="s">
        <v>957</v>
      </c>
      <c r="E447" s="6" t="s">
        <v>993</v>
      </c>
      <c r="F447" s="6" t="s">
        <v>959</v>
      </c>
      <c r="G447" s="6" t="s">
        <v>994</v>
      </c>
    </row>
    <row r="448" customFormat="false" ht="33" hidden="false" customHeight="true" outlineLevel="0" collapsed="false">
      <c r="A448" s="19"/>
      <c r="B448" s="18" t="n">
        <v>10</v>
      </c>
      <c r="C448" s="4" t="s">
        <v>889</v>
      </c>
      <c r="D448" s="19" t="s">
        <v>957</v>
      </c>
      <c r="E448" s="6" t="s">
        <v>995</v>
      </c>
      <c r="F448" s="6" t="s">
        <v>959</v>
      </c>
      <c r="G448" s="6" t="s">
        <v>994</v>
      </c>
    </row>
    <row r="449" customFormat="false" ht="33" hidden="false" customHeight="true" outlineLevel="0" collapsed="false">
      <c r="A449" s="4" t="s">
        <v>1269</v>
      </c>
      <c r="B449" s="18" t="n">
        <v>1</v>
      </c>
      <c r="C449" s="4" t="s">
        <v>859</v>
      </c>
      <c r="D449" s="19" t="s">
        <v>921</v>
      </c>
      <c r="E449" s="6" t="s">
        <v>922</v>
      </c>
      <c r="F449" s="6" t="s">
        <v>1256</v>
      </c>
      <c r="G449" s="6" t="s">
        <v>1257</v>
      </c>
    </row>
    <row r="450" customFormat="false" ht="25.5" hidden="false" customHeight="true" outlineLevel="0" collapsed="false">
      <c r="A450" s="19"/>
      <c r="B450" s="18" t="n">
        <v>2</v>
      </c>
      <c r="C450" s="4" t="s">
        <v>898</v>
      </c>
      <c r="D450" s="19" t="s">
        <v>921</v>
      </c>
      <c r="E450" s="6" t="s">
        <v>928</v>
      </c>
      <c r="F450" s="6" t="s">
        <v>1078</v>
      </c>
      <c r="G450" s="6" t="s">
        <v>1258</v>
      </c>
    </row>
    <row r="451" customFormat="false" ht="25.5" hidden="false" customHeight="true" outlineLevel="0" collapsed="false">
      <c r="A451" s="19"/>
      <c r="B451" s="18" t="n">
        <v>3</v>
      </c>
      <c r="C451" s="4" t="s">
        <v>1259</v>
      </c>
      <c r="D451" s="19" t="s">
        <v>921</v>
      </c>
      <c r="E451" s="6" t="s">
        <v>1260</v>
      </c>
      <c r="F451" s="6" t="s">
        <v>1261</v>
      </c>
      <c r="G451" s="6" t="s">
        <v>1258</v>
      </c>
    </row>
    <row r="452" customFormat="false" ht="25.5" hidden="false" customHeight="true" outlineLevel="0" collapsed="false">
      <c r="A452" s="19"/>
      <c r="B452" s="18" t="n">
        <v>4</v>
      </c>
      <c r="C452" s="4" t="s">
        <v>1262</v>
      </c>
      <c r="D452" s="19" t="s">
        <v>932</v>
      </c>
      <c r="E452" s="6" t="s">
        <v>1263</v>
      </c>
      <c r="F452" s="6" t="s">
        <v>1264</v>
      </c>
      <c r="G452" s="6" t="s">
        <v>1265</v>
      </c>
    </row>
    <row r="453" customFormat="false" ht="33" hidden="false" customHeight="true" outlineLevel="0" collapsed="false">
      <c r="A453" s="19"/>
      <c r="B453" s="18" t="n">
        <v>5</v>
      </c>
      <c r="C453" s="4" t="s">
        <v>968</v>
      </c>
      <c r="D453" s="19" t="s">
        <v>932</v>
      </c>
      <c r="E453" s="6" t="s">
        <v>969</v>
      </c>
      <c r="F453" s="6" t="s">
        <v>1082</v>
      </c>
      <c r="G453" s="6" t="s">
        <v>1266</v>
      </c>
    </row>
    <row r="454" customFormat="false" ht="33" hidden="false" customHeight="true" outlineLevel="0" collapsed="false">
      <c r="A454" s="19"/>
      <c r="B454" s="18" t="n">
        <v>6</v>
      </c>
      <c r="C454" s="4" t="s">
        <v>979</v>
      </c>
      <c r="D454" s="19" t="s">
        <v>932</v>
      </c>
      <c r="E454" s="6" t="s">
        <v>980</v>
      </c>
      <c r="F454" s="6" t="s">
        <v>1084</v>
      </c>
      <c r="G454" s="6" t="s">
        <v>1267</v>
      </c>
    </row>
    <row r="455" customFormat="false" ht="43.5" hidden="false" customHeight="true" outlineLevel="0" collapsed="false">
      <c r="A455" s="19"/>
      <c r="B455" s="18" t="n">
        <v>7</v>
      </c>
      <c r="C455" s="4" t="s">
        <v>871</v>
      </c>
      <c r="D455" s="19" t="s">
        <v>957</v>
      </c>
      <c r="E455" s="6" t="s">
        <v>958</v>
      </c>
      <c r="F455" s="6" t="s">
        <v>959</v>
      </c>
      <c r="G455" s="6" t="s">
        <v>960</v>
      </c>
    </row>
    <row r="456" customFormat="false" ht="25.5" hidden="false" customHeight="true" outlineLevel="0" collapsed="false">
      <c r="A456" s="19"/>
      <c r="B456" s="18" t="n">
        <v>8</v>
      </c>
      <c r="C456" s="4" t="s">
        <v>985</v>
      </c>
      <c r="D456" s="19" t="s">
        <v>957</v>
      </c>
      <c r="E456" s="6" t="s">
        <v>987</v>
      </c>
      <c r="F456" s="6" t="s">
        <v>998</v>
      </c>
      <c r="G456" s="6" t="s">
        <v>1268</v>
      </c>
    </row>
    <row r="457" customFormat="false" ht="33" hidden="false" customHeight="true" outlineLevel="0" collapsed="false">
      <c r="A457" s="19"/>
      <c r="B457" s="18" t="n">
        <v>9</v>
      </c>
      <c r="C457" s="4" t="s">
        <v>883</v>
      </c>
      <c r="D457" s="19" t="s">
        <v>957</v>
      </c>
      <c r="E457" s="6" t="s">
        <v>993</v>
      </c>
      <c r="F457" s="6" t="s">
        <v>959</v>
      </c>
      <c r="G457" s="6" t="s">
        <v>994</v>
      </c>
    </row>
    <row r="458" customFormat="false" ht="33" hidden="false" customHeight="true" outlineLevel="0" collapsed="false">
      <c r="A458" s="19"/>
      <c r="B458" s="18" t="n">
        <v>10</v>
      </c>
      <c r="C458" s="4" t="s">
        <v>889</v>
      </c>
      <c r="D458" s="19" t="s">
        <v>957</v>
      </c>
      <c r="E458" s="6" t="s">
        <v>995</v>
      </c>
      <c r="F458" s="6" t="s">
        <v>959</v>
      </c>
      <c r="G458" s="6" t="s">
        <v>994</v>
      </c>
    </row>
    <row r="459" customFormat="false" ht="43.5" hidden="false" customHeight="true" outlineLevel="0" collapsed="false">
      <c r="A459" s="4" t="s">
        <v>1270</v>
      </c>
      <c r="B459" s="18" t="n">
        <v>1</v>
      </c>
      <c r="C459" s="4" t="s">
        <v>859</v>
      </c>
      <c r="D459" s="19" t="s">
        <v>921</v>
      </c>
      <c r="E459" s="6" t="s">
        <v>922</v>
      </c>
      <c r="F459" s="6" t="s">
        <v>1271</v>
      </c>
      <c r="G459" s="6" t="s">
        <v>1272</v>
      </c>
    </row>
    <row r="460" customFormat="false" ht="33" hidden="false" customHeight="true" outlineLevel="0" collapsed="false">
      <c r="A460" s="19"/>
      <c r="B460" s="18" t="n">
        <v>2</v>
      </c>
      <c r="C460" s="4" t="s">
        <v>862</v>
      </c>
      <c r="D460" s="19" t="s">
        <v>921</v>
      </c>
      <c r="E460" s="6" t="s">
        <v>925</v>
      </c>
      <c r="F460" s="6" t="s">
        <v>1273</v>
      </c>
      <c r="G460" s="6" t="s">
        <v>1274</v>
      </c>
    </row>
    <row r="461" customFormat="false" ht="87.75" hidden="false" customHeight="true" outlineLevel="0" collapsed="false">
      <c r="A461" s="19"/>
      <c r="B461" s="18" t="n">
        <v>3</v>
      </c>
      <c r="C461" s="4" t="s">
        <v>1275</v>
      </c>
      <c r="D461" s="19" t="s">
        <v>957</v>
      </c>
      <c r="E461" s="6" t="s">
        <v>1276</v>
      </c>
      <c r="F461" s="6" t="s">
        <v>1277</v>
      </c>
      <c r="G461" s="6" t="s">
        <v>1278</v>
      </c>
    </row>
    <row r="462" customFormat="false" ht="43.5" hidden="false" customHeight="true" outlineLevel="0" collapsed="false">
      <c r="A462" s="19"/>
      <c r="B462" s="18" t="n">
        <v>4</v>
      </c>
      <c r="C462" s="4" t="s">
        <v>950</v>
      </c>
      <c r="D462" s="19" t="s">
        <v>957</v>
      </c>
      <c r="E462" s="6" t="s">
        <v>951</v>
      </c>
      <c r="F462" s="6" t="s">
        <v>1277</v>
      </c>
      <c r="G462" s="6" t="s">
        <v>1278</v>
      </c>
    </row>
    <row r="463" customFormat="false" ht="54.75" hidden="false" customHeight="true" outlineLevel="0" collapsed="false">
      <c r="A463" s="19"/>
      <c r="B463" s="18" t="n">
        <v>5</v>
      </c>
      <c r="C463" s="4" t="s">
        <v>1279</v>
      </c>
      <c r="D463" s="19" t="s">
        <v>921</v>
      </c>
      <c r="E463" s="6" t="s">
        <v>1280</v>
      </c>
      <c r="F463" s="6" t="s">
        <v>1281</v>
      </c>
      <c r="G463" s="6" t="s">
        <v>1282</v>
      </c>
    </row>
    <row r="464" customFormat="false" ht="43.5" hidden="false" customHeight="true" outlineLevel="0" collapsed="false">
      <c r="A464" s="19"/>
      <c r="B464" s="18" t="n">
        <v>6</v>
      </c>
      <c r="C464" s="4" t="s">
        <v>1283</v>
      </c>
      <c r="D464" s="19" t="s">
        <v>957</v>
      </c>
      <c r="E464" s="6" t="s">
        <v>1284</v>
      </c>
      <c r="F464" s="6" t="s">
        <v>1277</v>
      </c>
      <c r="G464" s="6" t="s">
        <v>1278</v>
      </c>
    </row>
    <row r="465" customFormat="false" ht="43.5" hidden="false" customHeight="true" outlineLevel="0" collapsed="false">
      <c r="A465" s="19"/>
      <c r="B465" s="18" t="n">
        <v>7</v>
      </c>
      <c r="C465" s="4" t="s">
        <v>871</v>
      </c>
      <c r="D465" s="19" t="s">
        <v>957</v>
      </c>
      <c r="E465" s="6" t="s">
        <v>958</v>
      </c>
      <c r="F465" s="6" t="s">
        <v>959</v>
      </c>
      <c r="G465" s="6" t="s">
        <v>960</v>
      </c>
    </row>
    <row r="466" customFormat="false" ht="43.5" hidden="false" customHeight="true" outlineLevel="0" collapsed="false">
      <c r="A466" s="19"/>
      <c r="B466" s="18" t="n">
        <v>8</v>
      </c>
      <c r="C466" s="4" t="s">
        <v>1285</v>
      </c>
      <c r="D466" s="19" t="s">
        <v>932</v>
      </c>
      <c r="E466" s="6" t="s">
        <v>1286</v>
      </c>
      <c r="F466" s="6" t="s">
        <v>557</v>
      </c>
      <c r="G466" s="6" t="s">
        <v>1287</v>
      </c>
    </row>
    <row r="467" customFormat="false" ht="54.75" hidden="false" customHeight="true" outlineLevel="0" collapsed="false">
      <c r="A467" s="19"/>
      <c r="B467" s="18" t="n">
        <v>9</v>
      </c>
      <c r="C467" s="4" t="s">
        <v>1288</v>
      </c>
      <c r="D467" s="19" t="s">
        <v>932</v>
      </c>
      <c r="E467" s="6" t="s">
        <v>1289</v>
      </c>
      <c r="F467" s="6" t="s">
        <v>557</v>
      </c>
      <c r="G467" s="6" t="s">
        <v>1287</v>
      </c>
    </row>
    <row r="468" customFormat="false" ht="33" hidden="false" customHeight="true" outlineLevel="0" collapsed="false">
      <c r="A468" s="19"/>
      <c r="B468" s="18" t="n">
        <v>10</v>
      </c>
      <c r="C468" s="4" t="s">
        <v>968</v>
      </c>
      <c r="D468" s="19" t="s">
        <v>932</v>
      </c>
      <c r="E468" s="6" t="s">
        <v>969</v>
      </c>
      <c r="F468" s="6" t="s">
        <v>970</v>
      </c>
      <c r="G468" s="6" t="s">
        <v>1290</v>
      </c>
    </row>
    <row r="469" customFormat="false" ht="33" hidden="false" customHeight="true" outlineLevel="0" collapsed="false">
      <c r="A469" s="19"/>
      <c r="B469" s="18" t="n">
        <v>11</v>
      </c>
      <c r="C469" s="4" t="s">
        <v>976</v>
      </c>
      <c r="D469" s="19" t="s">
        <v>932</v>
      </c>
      <c r="E469" s="6" t="s">
        <v>977</v>
      </c>
      <c r="F469" s="6" t="s">
        <v>557</v>
      </c>
      <c r="G469" s="6" t="s">
        <v>1291</v>
      </c>
    </row>
    <row r="470" customFormat="false" ht="33" hidden="false" customHeight="true" outlineLevel="0" collapsed="false">
      <c r="A470" s="19"/>
      <c r="B470" s="18" t="n">
        <v>12</v>
      </c>
      <c r="C470" s="4" t="s">
        <v>979</v>
      </c>
      <c r="D470" s="19" t="s">
        <v>932</v>
      </c>
      <c r="E470" s="6" t="s">
        <v>980</v>
      </c>
      <c r="F470" s="6" t="s">
        <v>1292</v>
      </c>
      <c r="G470" s="6" t="s">
        <v>1293</v>
      </c>
    </row>
    <row r="471" customFormat="false" ht="25.5" hidden="false" customHeight="true" outlineLevel="0" collapsed="false">
      <c r="A471" s="19"/>
      <c r="B471" s="18" t="n">
        <v>13</v>
      </c>
      <c r="C471" s="4" t="s">
        <v>856</v>
      </c>
      <c r="D471" s="19" t="s">
        <v>957</v>
      </c>
      <c r="E471" s="6" t="s">
        <v>990</v>
      </c>
      <c r="F471" s="6" t="s">
        <v>1101</v>
      </c>
      <c r="G471" s="6" t="s">
        <v>1294</v>
      </c>
    </row>
    <row r="472" customFormat="false" ht="33" hidden="false" customHeight="true" outlineLevel="0" collapsed="false">
      <c r="A472" s="19"/>
      <c r="B472" s="18" t="n">
        <v>14</v>
      </c>
      <c r="C472" s="4" t="s">
        <v>883</v>
      </c>
      <c r="D472" s="19" t="s">
        <v>957</v>
      </c>
      <c r="E472" s="6" t="s">
        <v>993</v>
      </c>
      <c r="F472" s="6" t="s">
        <v>959</v>
      </c>
      <c r="G472" s="6" t="s">
        <v>994</v>
      </c>
    </row>
    <row r="473" customFormat="false" ht="33" hidden="false" customHeight="true" outlineLevel="0" collapsed="false">
      <c r="A473" s="19"/>
      <c r="B473" s="18" t="n">
        <v>15</v>
      </c>
      <c r="C473" s="4" t="s">
        <v>889</v>
      </c>
      <c r="D473" s="19" t="s">
        <v>957</v>
      </c>
      <c r="E473" s="6" t="s">
        <v>995</v>
      </c>
      <c r="F473" s="6" t="s">
        <v>959</v>
      </c>
      <c r="G473" s="6" t="s">
        <v>994</v>
      </c>
    </row>
    <row r="474" customFormat="false" ht="33" hidden="false" customHeight="true" outlineLevel="0" collapsed="false">
      <c r="A474" s="4" t="s">
        <v>1295</v>
      </c>
      <c r="B474" s="18" t="n">
        <v>1</v>
      </c>
      <c r="C474" s="4" t="s">
        <v>859</v>
      </c>
      <c r="D474" s="19" t="s">
        <v>921</v>
      </c>
      <c r="E474" s="6" t="s">
        <v>922</v>
      </c>
      <c r="F474" s="6" t="s">
        <v>1296</v>
      </c>
      <c r="G474" s="6" t="s">
        <v>1297</v>
      </c>
    </row>
    <row r="475" customFormat="false" ht="33" hidden="false" customHeight="true" outlineLevel="0" collapsed="false">
      <c r="A475" s="19"/>
      <c r="B475" s="18" t="n">
        <v>2</v>
      </c>
      <c r="C475" s="4" t="s">
        <v>862</v>
      </c>
      <c r="D475" s="19" t="s">
        <v>921</v>
      </c>
      <c r="E475" s="6" t="s">
        <v>925</v>
      </c>
      <c r="F475" s="6" t="s">
        <v>1273</v>
      </c>
      <c r="G475" s="6" t="s">
        <v>1298</v>
      </c>
    </row>
    <row r="476" customFormat="false" ht="25.5" hidden="false" customHeight="true" outlineLevel="0" collapsed="false">
      <c r="A476" s="19"/>
      <c r="B476" s="18" t="n">
        <v>3</v>
      </c>
      <c r="C476" s="4" t="s">
        <v>865</v>
      </c>
      <c r="D476" s="19" t="s">
        <v>932</v>
      </c>
      <c r="E476" s="6" t="s">
        <v>1299</v>
      </c>
      <c r="F476" s="6" t="s">
        <v>557</v>
      </c>
      <c r="G476" s="6" t="s">
        <v>1300</v>
      </c>
    </row>
    <row r="477" customFormat="false" ht="87.75" hidden="false" customHeight="true" outlineLevel="0" collapsed="false">
      <c r="A477" s="19"/>
      <c r="B477" s="18" t="n">
        <v>4</v>
      </c>
      <c r="C477" s="4" t="s">
        <v>1275</v>
      </c>
      <c r="D477" s="19" t="s">
        <v>957</v>
      </c>
      <c r="E477" s="6" t="s">
        <v>1276</v>
      </c>
      <c r="F477" s="6" t="s">
        <v>1277</v>
      </c>
      <c r="G477" s="6" t="s">
        <v>1278</v>
      </c>
    </row>
    <row r="478" customFormat="false" ht="43.5" hidden="false" customHeight="true" outlineLevel="0" collapsed="false">
      <c r="A478" s="19"/>
      <c r="B478" s="18" t="n">
        <v>5</v>
      </c>
      <c r="C478" s="4" t="s">
        <v>950</v>
      </c>
      <c r="D478" s="19" t="s">
        <v>957</v>
      </c>
      <c r="E478" s="6" t="s">
        <v>951</v>
      </c>
      <c r="F478" s="6" t="s">
        <v>1277</v>
      </c>
      <c r="G478" s="6" t="s">
        <v>1278</v>
      </c>
    </row>
    <row r="479" customFormat="false" ht="54.75" hidden="false" customHeight="true" outlineLevel="0" collapsed="false">
      <c r="A479" s="19"/>
      <c r="B479" s="18" t="n">
        <v>6</v>
      </c>
      <c r="C479" s="4" t="s">
        <v>1279</v>
      </c>
      <c r="D479" s="19" t="s">
        <v>921</v>
      </c>
      <c r="E479" s="6" t="s">
        <v>1280</v>
      </c>
      <c r="F479" s="6" t="s">
        <v>1281</v>
      </c>
      <c r="G479" s="6" t="s">
        <v>1297</v>
      </c>
    </row>
    <row r="480" customFormat="false" ht="43.5" hidden="false" customHeight="true" outlineLevel="0" collapsed="false">
      <c r="A480" s="19"/>
      <c r="B480" s="18" t="n">
        <v>7</v>
      </c>
      <c r="C480" s="4" t="s">
        <v>1283</v>
      </c>
      <c r="D480" s="19" t="s">
        <v>957</v>
      </c>
      <c r="E480" s="6" t="s">
        <v>1284</v>
      </c>
      <c r="F480" s="6" t="s">
        <v>1277</v>
      </c>
      <c r="G480" s="6" t="s">
        <v>1278</v>
      </c>
    </row>
    <row r="481" customFormat="false" ht="33" hidden="false" customHeight="true" outlineLevel="0" collapsed="false">
      <c r="A481" s="19"/>
      <c r="B481" s="18" t="n">
        <v>8</v>
      </c>
      <c r="C481" s="4" t="s">
        <v>968</v>
      </c>
      <c r="D481" s="19" t="s">
        <v>932</v>
      </c>
      <c r="E481" s="6" t="s">
        <v>969</v>
      </c>
      <c r="F481" s="6" t="s">
        <v>1301</v>
      </c>
      <c r="G481" s="6" t="s">
        <v>1290</v>
      </c>
    </row>
    <row r="482" customFormat="false" ht="33" hidden="false" customHeight="true" outlineLevel="0" collapsed="false">
      <c r="A482" s="19"/>
      <c r="B482" s="18" t="n">
        <v>9</v>
      </c>
      <c r="C482" s="4" t="s">
        <v>976</v>
      </c>
      <c r="D482" s="19" t="s">
        <v>932</v>
      </c>
      <c r="E482" s="6" t="s">
        <v>977</v>
      </c>
      <c r="F482" s="6" t="s">
        <v>557</v>
      </c>
      <c r="G482" s="6" t="s">
        <v>1302</v>
      </c>
    </row>
    <row r="483" customFormat="false" ht="33" hidden="false" customHeight="true" outlineLevel="0" collapsed="false">
      <c r="A483" s="19"/>
      <c r="B483" s="18" t="n">
        <v>10</v>
      </c>
      <c r="C483" s="4" t="s">
        <v>979</v>
      </c>
      <c r="D483" s="19" t="s">
        <v>932</v>
      </c>
      <c r="E483" s="6" t="s">
        <v>980</v>
      </c>
      <c r="F483" s="6" t="s">
        <v>1292</v>
      </c>
      <c r="G483" s="6" t="s">
        <v>1293</v>
      </c>
    </row>
    <row r="484" customFormat="false" ht="99" hidden="false" customHeight="true" outlineLevel="0" collapsed="false">
      <c r="A484" s="19"/>
      <c r="B484" s="18" t="n">
        <v>11</v>
      </c>
      <c r="C484" s="4" t="s">
        <v>1303</v>
      </c>
      <c r="D484" s="19" t="s">
        <v>932</v>
      </c>
      <c r="E484" s="6" t="s">
        <v>1304</v>
      </c>
      <c r="F484" s="6" t="s">
        <v>955</v>
      </c>
      <c r="G484" s="6" t="s">
        <v>1305</v>
      </c>
    </row>
    <row r="485" customFormat="false" ht="43.5" hidden="false" customHeight="true" outlineLevel="0" collapsed="false">
      <c r="A485" s="19"/>
      <c r="B485" s="18" t="n">
        <v>12</v>
      </c>
      <c r="C485" s="4" t="s">
        <v>871</v>
      </c>
      <c r="D485" s="19" t="s">
        <v>957</v>
      </c>
      <c r="E485" s="6" t="s">
        <v>958</v>
      </c>
      <c r="F485" s="6" t="s">
        <v>959</v>
      </c>
      <c r="G485" s="6" t="s">
        <v>960</v>
      </c>
    </row>
    <row r="486" customFormat="false" ht="25.5" hidden="false" customHeight="true" outlineLevel="0" collapsed="false">
      <c r="A486" s="19"/>
      <c r="B486" s="18" t="n">
        <v>13</v>
      </c>
      <c r="C486" s="4" t="s">
        <v>856</v>
      </c>
      <c r="D486" s="19" t="s">
        <v>957</v>
      </c>
      <c r="E486" s="6" t="s">
        <v>990</v>
      </c>
      <c r="F486" s="6" t="s">
        <v>1101</v>
      </c>
      <c r="G486" s="6" t="s">
        <v>1294</v>
      </c>
    </row>
    <row r="487" customFormat="false" ht="33" hidden="false" customHeight="true" outlineLevel="0" collapsed="false">
      <c r="A487" s="19"/>
      <c r="B487" s="18" t="n">
        <v>14</v>
      </c>
      <c r="C487" s="4" t="s">
        <v>883</v>
      </c>
      <c r="D487" s="19" t="s">
        <v>957</v>
      </c>
      <c r="E487" s="6" t="s">
        <v>993</v>
      </c>
      <c r="F487" s="6" t="s">
        <v>959</v>
      </c>
      <c r="G487" s="6" t="s">
        <v>994</v>
      </c>
    </row>
    <row r="488" customFormat="false" ht="33" hidden="false" customHeight="true" outlineLevel="0" collapsed="false">
      <c r="A488" s="19"/>
      <c r="B488" s="18" t="n">
        <v>15</v>
      </c>
      <c r="C488" s="4" t="s">
        <v>889</v>
      </c>
      <c r="D488" s="19" t="s">
        <v>957</v>
      </c>
      <c r="E488" s="6" t="s">
        <v>995</v>
      </c>
      <c r="F488" s="6" t="s">
        <v>959</v>
      </c>
      <c r="G488" s="6" t="s">
        <v>994</v>
      </c>
    </row>
    <row r="489" customFormat="false" ht="33" hidden="false" customHeight="true" outlineLevel="0" collapsed="false">
      <c r="A489" s="4" t="s">
        <v>1306</v>
      </c>
      <c r="B489" s="18" t="n">
        <v>1</v>
      </c>
      <c r="C489" s="4" t="s">
        <v>859</v>
      </c>
      <c r="D489" s="19" t="s">
        <v>921</v>
      </c>
      <c r="E489" s="6" t="s">
        <v>922</v>
      </c>
      <c r="F489" s="6" t="s">
        <v>1296</v>
      </c>
      <c r="G489" s="6" t="s">
        <v>1307</v>
      </c>
    </row>
    <row r="490" customFormat="false" ht="33" hidden="false" customHeight="true" outlineLevel="0" collapsed="false">
      <c r="A490" s="19"/>
      <c r="B490" s="18" t="n">
        <v>2</v>
      </c>
      <c r="C490" s="4" t="s">
        <v>862</v>
      </c>
      <c r="D490" s="19" t="s">
        <v>921</v>
      </c>
      <c r="E490" s="6" t="s">
        <v>925</v>
      </c>
      <c r="F490" s="6" t="s">
        <v>1273</v>
      </c>
      <c r="G490" s="6" t="s">
        <v>1308</v>
      </c>
    </row>
    <row r="491" customFormat="false" ht="25.5" hidden="false" customHeight="true" outlineLevel="0" collapsed="false">
      <c r="A491" s="19"/>
      <c r="B491" s="18" t="n">
        <v>3</v>
      </c>
      <c r="C491" s="4" t="s">
        <v>865</v>
      </c>
      <c r="D491" s="19" t="s">
        <v>932</v>
      </c>
      <c r="E491" s="6" t="s">
        <v>1299</v>
      </c>
      <c r="F491" s="6" t="s">
        <v>557</v>
      </c>
      <c r="G491" s="6" t="s">
        <v>1309</v>
      </c>
    </row>
    <row r="492" customFormat="false" ht="87.75" hidden="false" customHeight="true" outlineLevel="0" collapsed="false">
      <c r="A492" s="19"/>
      <c r="B492" s="18" t="n">
        <v>4</v>
      </c>
      <c r="C492" s="4" t="s">
        <v>1275</v>
      </c>
      <c r="D492" s="19" t="s">
        <v>957</v>
      </c>
      <c r="E492" s="6" t="s">
        <v>1276</v>
      </c>
      <c r="F492" s="6" t="s">
        <v>1277</v>
      </c>
      <c r="G492" s="6" t="s">
        <v>1278</v>
      </c>
    </row>
    <row r="493" customFormat="false" ht="43.5" hidden="false" customHeight="true" outlineLevel="0" collapsed="false">
      <c r="A493" s="19"/>
      <c r="B493" s="18" t="n">
        <v>5</v>
      </c>
      <c r="C493" s="4" t="s">
        <v>950</v>
      </c>
      <c r="D493" s="19" t="s">
        <v>957</v>
      </c>
      <c r="E493" s="6" t="s">
        <v>951</v>
      </c>
      <c r="F493" s="6" t="s">
        <v>1277</v>
      </c>
      <c r="G493" s="6" t="s">
        <v>1278</v>
      </c>
    </row>
    <row r="494" customFormat="false" ht="54.75" hidden="false" customHeight="true" outlineLevel="0" collapsed="false">
      <c r="A494" s="19"/>
      <c r="B494" s="18" t="n">
        <v>6</v>
      </c>
      <c r="C494" s="4" t="s">
        <v>1279</v>
      </c>
      <c r="D494" s="19" t="s">
        <v>921</v>
      </c>
      <c r="E494" s="6" t="s">
        <v>1280</v>
      </c>
      <c r="F494" s="6" t="s">
        <v>1310</v>
      </c>
      <c r="G494" s="6" t="s">
        <v>1311</v>
      </c>
    </row>
    <row r="495" customFormat="false" ht="43.5" hidden="false" customHeight="true" outlineLevel="0" collapsed="false">
      <c r="A495" s="19"/>
      <c r="B495" s="18" t="n">
        <v>7</v>
      </c>
      <c r="C495" s="4" t="s">
        <v>1283</v>
      </c>
      <c r="D495" s="19" t="s">
        <v>957</v>
      </c>
      <c r="E495" s="6" t="s">
        <v>1284</v>
      </c>
      <c r="F495" s="6" t="s">
        <v>1277</v>
      </c>
      <c r="G495" s="6" t="s">
        <v>1278</v>
      </c>
    </row>
    <row r="496" customFormat="false" ht="33" hidden="false" customHeight="true" outlineLevel="0" collapsed="false">
      <c r="A496" s="19"/>
      <c r="B496" s="18" t="n">
        <v>8</v>
      </c>
      <c r="C496" s="4" t="s">
        <v>968</v>
      </c>
      <c r="D496" s="19" t="s">
        <v>932</v>
      </c>
      <c r="E496" s="6" t="s">
        <v>969</v>
      </c>
      <c r="F496" s="6" t="s">
        <v>1301</v>
      </c>
      <c r="G496" s="6" t="s">
        <v>1290</v>
      </c>
    </row>
    <row r="497" customFormat="false" ht="33" hidden="false" customHeight="true" outlineLevel="0" collapsed="false">
      <c r="A497" s="19"/>
      <c r="B497" s="18" t="n">
        <v>9</v>
      </c>
      <c r="C497" s="4" t="s">
        <v>976</v>
      </c>
      <c r="D497" s="19" t="s">
        <v>932</v>
      </c>
      <c r="E497" s="6" t="s">
        <v>977</v>
      </c>
      <c r="F497" s="6" t="s">
        <v>557</v>
      </c>
      <c r="G497" s="6" t="s">
        <v>1302</v>
      </c>
    </row>
    <row r="498" customFormat="false" ht="33" hidden="false" customHeight="true" outlineLevel="0" collapsed="false">
      <c r="A498" s="19"/>
      <c r="B498" s="18" t="n">
        <v>10</v>
      </c>
      <c r="C498" s="4" t="s">
        <v>979</v>
      </c>
      <c r="D498" s="19" t="s">
        <v>932</v>
      </c>
      <c r="E498" s="6" t="s">
        <v>980</v>
      </c>
      <c r="F498" s="6" t="s">
        <v>1292</v>
      </c>
      <c r="G498" s="6" t="s">
        <v>1293</v>
      </c>
    </row>
    <row r="499" customFormat="false" ht="99" hidden="false" customHeight="true" outlineLevel="0" collapsed="false">
      <c r="A499" s="19"/>
      <c r="B499" s="18" t="n">
        <v>11</v>
      </c>
      <c r="C499" s="4" t="s">
        <v>1303</v>
      </c>
      <c r="D499" s="19" t="s">
        <v>932</v>
      </c>
      <c r="E499" s="6" t="s">
        <v>1304</v>
      </c>
      <c r="F499" s="6" t="s">
        <v>955</v>
      </c>
      <c r="G499" s="6" t="s">
        <v>1305</v>
      </c>
    </row>
    <row r="500" customFormat="false" ht="43.5" hidden="false" customHeight="true" outlineLevel="0" collapsed="false">
      <c r="A500" s="19"/>
      <c r="B500" s="18" t="n">
        <v>12</v>
      </c>
      <c r="C500" s="4" t="s">
        <v>871</v>
      </c>
      <c r="D500" s="19" t="s">
        <v>957</v>
      </c>
      <c r="E500" s="6" t="s">
        <v>958</v>
      </c>
      <c r="F500" s="6" t="s">
        <v>959</v>
      </c>
      <c r="G500" s="6" t="s">
        <v>960</v>
      </c>
    </row>
    <row r="501" customFormat="false" ht="25.5" hidden="false" customHeight="true" outlineLevel="0" collapsed="false">
      <c r="A501" s="19"/>
      <c r="B501" s="18" t="n">
        <v>13</v>
      </c>
      <c r="C501" s="4" t="s">
        <v>856</v>
      </c>
      <c r="D501" s="19" t="s">
        <v>957</v>
      </c>
      <c r="E501" s="6" t="s">
        <v>990</v>
      </c>
      <c r="F501" s="6" t="s">
        <v>1101</v>
      </c>
      <c r="G501" s="6" t="s">
        <v>1294</v>
      </c>
    </row>
    <row r="502" customFormat="false" ht="33" hidden="false" customHeight="true" outlineLevel="0" collapsed="false">
      <c r="A502" s="19"/>
      <c r="B502" s="18" t="n">
        <v>14</v>
      </c>
      <c r="C502" s="4" t="s">
        <v>883</v>
      </c>
      <c r="D502" s="19" t="s">
        <v>957</v>
      </c>
      <c r="E502" s="6" t="s">
        <v>993</v>
      </c>
      <c r="F502" s="6" t="s">
        <v>959</v>
      </c>
      <c r="G502" s="6" t="s">
        <v>994</v>
      </c>
    </row>
    <row r="503" customFormat="false" ht="33" hidden="false" customHeight="true" outlineLevel="0" collapsed="false">
      <c r="A503" s="19"/>
      <c r="B503" s="18" t="n">
        <v>15</v>
      </c>
      <c r="C503" s="4" t="s">
        <v>889</v>
      </c>
      <c r="D503" s="19" t="s">
        <v>957</v>
      </c>
      <c r="E503" s="6" t="s">
        <v>995</v>
      </c>
      <c r="F503" s="6" t="s">
        <v>959</v>
      </c>
      <c r="G503" s="6" t="s">
        <v>994</v>
      </c>
    </row>
    <row r="504" customFormat="false" ht="33" hidden="false" customHeight="true" outlineLevel="0" collapsed="false">
      <c r="A504" s="4" t="s">
        <v>1312</v>
      </c>
      <c r="B504" s="18" t="n">
        <v>1</v>
      </c>
      <c r="C504" s="4" t="s">
        <v>859</v>
      </c>
      <c r="D504" s="19" t="s">
        <v>921</v>
      </c>
      <c r="E504" s="6" t="s">
        <v>922</v>
      </c>
      <c r="F504" s="6" t="s">
        <v>1271</v>
      </c>
      <c r="G504" s="6" t="s">
        <v>1313</v>
      </c>
    </row>
    <row r="505" customFormat="false" ht="33" hidden="false" customHeight="true" outlineLevel="0" collapsed="false">
      <c r="A505" s="19"/>
      <c r="B505" s="18" t="n">
        <v>2</v>
      </c>
      <c r="C505" s="4" t="s">
        <v>862</v>
      </c>
      <c r="D505" s="19" t="s">
        <v>921</v>
      </c>
      <c r="E505" s="6" t="s">
        <v>925</v>
      </c>
      <c r="F505" s="6" t="s">
        <v>1273</v>
      </c>
      <c r="G505" s="6" t="s">
        <v>1314</v>
      </c>
    </row>
    <row r="506" customFormat="false" ht="87.75" hidden="false" customHeight="true" outlineLevel="0" collapsed="false">
      <c r="A506" s="19"/>
      <c r="B506" s="18" t="n">
        <v>3</v>
      </c>
      <c r="C506" s="4" t="s">
        <v>1275</v>
      </c>
      <c r="D506" s="19" t="s">
        <v>957</v>
      </c>
      <c r="E506" s="6" t="s">
        <v>1276</v>
      </c>
      <c r="F506" s="6" t="s">
        <v>1277</v>
      </c>
      <c r="G506" s="6" t="s">
        <v>1278</v>
      </c>
    </row>
    <row r="507" customFormat="false" ht="43.5" hidden="false" customHeight="true" outlineLevel="0" collapsed="false">
      <c r="A507" s="19"/>
      <c r="B507" s="18" t="n">
        <v>4</v>
      </c>
      <c r="C507" s="4" t="s">
        <v>950</v>
      </c>
      <c r="D507" s="19" t="s">
        <v>957</v>
      </c>
      <c r="E507" s="6" t="s">
        <v>951</v>
      </c>
      <c r="F507" s="6" t="s">
        <v>1277</v>
      </c>
      <c r="G507" s="6" t="s">
        <v>1278</v>
      </c>
    </row>
    <row r="508" customFormat="false" ht="54.75" hidden="false" customHeight="true" outlineLevel="0" collapsed="false">
      <c r="A508" s="19"/>
      <c r="B508" s="18" t="n">
        <v>5</v>
      </c>
      <c r="C508" s="4" t="s">
        <v>1279</v>
      </c>
      <c r="D508" s="19" t="s">
        <v>921</v>
      </c>
      <c r="E508" s="6" t="s">
        <v>1280</v>
      </c>
      <c r="F508" s="6" t="s">
        <v>1315</v>
      </c>
      <c r="G508" s="6" t="s">
        <v>1316</v>
      </c>
    </row>
    <row r="509" customFormat="false" ht="43.5" hidden="false" customHeight="true" outlineLevel="0" collapsed="false">
      <c r="A509" s="19"/>
      <c r="B509" s="18" t="n">
        <v>6</v>
      </c>
      <c r="C509" s="4" t="s">
        <v>1283</v>
      </c>
      <c r="D509" s="19" t="s">
        <v>957</v>
      </c>
      <c r="E509" s="6" t="s">
        <v>1284</v>
      </c>
      <c r="F509" s="6" t="s">
        <v>1277</v>
      </c>
      <c r="G509" s="6" t="s">
        <v>1278</v>
      </c>
    </row>
    <row r="510" customFormat="false" ht="33" hidden="false" customHeight="true" outlineLevel="0" collapsed="false">
      <c r="A510" s="19"/>
      <c r="B510" s="18" t="n">
        <v>7</v>
      </c>
      <c r="C510" s="4" t="s">
        <v>968</v>
      </c>
      <c r="D510" s="19" t="s">
        <v>932</v>
      </c>
      <c r="E510" s="6" t="s">
        <v>969</v>
      </c>
      <c r="F510" s="6" t="s">
        <v>970</v>
      </c>
      <c r="G510" s="6" t="s">
        <v>1290</v>
      </c>
    </row>
    <row r="511" customFormat="false" ht="43.5" hidden="false" customHeight="true" outlineLevel="0" collapsed="false">
      <c r="A511" s="19"/>
      <c r="B511" s="18" t="n">
        <v>8</v>
      </c>
      <c r="C511" s="4" t="s">
        <v>976</v>
      </c>
      <c r="D511" s="19" t="s">
        <v>932</v>
      </c>
      <c r="E511" s="6" t="s">
        <v>977</v>
      </c>
      <c r="F511" s="6" t="s">
        <v>557</v>
      </c>
      <c r="G511" s="6" t="s">
        <v>1317</v>
      </c>
    </row>
    <row r="512" customFormat="false" ht="33" hidden="false" customHeight="true" outlineLevel="0" collapsed="false">
      <c r="A512" s="19"/>
      <c r="B512" s="18" t="n">
        <v>9</v>
      </c>
      <c r="C512" s="4" t="s">
        <v>979</v>
      </c>
      <c r="D512" s="19" t="s">
        <v>932</v>
      </c>
      <c r="E512" s="6" t="s">
        <v>980</v>
      </c>
      <c r="F512" s="6" t="s">
        <v>1292</v>
      </c>
      <c r="G512" s="6" t="s">
        <v>1293</v>
      </c>
    </row>
    <row r="513" customFormat="false" ht="43.5" hidden="false" customHeight="true" outlineLevel="0" collapsed="false">
      <c r="A513" s="19"/>
      <c r="B513" s="18" t="n">
        <v>10</v>
      </c>
      <c r="C513" s="4" t="s">
        <v>871</v>
      </c>
      <c r="D513" s="19" t="s">
        <v>957</v>
      </c>
      <c r="E513" s="6" t="s">
        <v>958</v>
      </c>
      <c r="F513" s="6" t="s">
        <v>959</v>
      </c>
      <c r="G513" s="6" t="s">
        <v>960</v>
      </c>
    </row>
    <row r="514" customFormat="false" ht="25.5" hidden="false" customHeight="true" outlineLevel="0" collapsed="false">
      <c r="A514" s="19"/>
      <c r="B514" s="18" t="n">
        <v>11</v>
      </c>
      <c r="C514" s="4" t="s">
        <v>856</v>
      </c>
      <c r="D514" s="19" t="s">
        <v>957</v>
      </c>
      <c r="E514" s="6" t="s">
        <v>990</v>
      </c>
      <c r="F514" s="6" t="s">
        <v>1101</v>
      </c>
      <c r="G514" s="6" t="s">
        <v>1294</v>
      </c>
    </row>
    <row r="515" customFormat="false" ht="33" hidden="false" customHeight="true" outlineLevel="0" collapsed="false">
      <c r="A515" s="19"/>
      <c r="B515" s="18" t="n">
        <v>12</v>
      </c>
      <c r="C515" s="4" t="s">
        <v>883</v>
      </c>
      <c r="D515" s="19" t="s">
        <v>957</v>
      </c>
      <c r="E515" s="6" t="s">
        <v>993</v>
      </c>
      <c r="F515" s="6" t="s">
        <v>959</v>
      </c>
      <c r="G515" s="6" t="s">
        <v>994</v>
      </c>
    </row>
    <row r="516" customFormat="false" ht="33" hidden="false" customHeight="true" outlineLevel="0" collapsed="false">
      <c r="A516" s="19"/>
      <c r="B516" s="18" t="n">
        <v>13</v>
      </c>
      <c r="C516" s="4" t="s">
        <v>889</v>
      </c>
      <c r="D516" s="19" t="s">
        <v>957</v>
      </c>
      <c r="E516" s="6" t="s">
        <v>995</v>
      </c>
      <c r="F516" s="6" t="s">
        <v>959</v>
      </c>
      <c r="G516" s="6" t="s">
        <v>994</v>
      </c>
    </row>
    <row r="517" customFormat="false" ht="33" hidden="false" customHeight="true" outlineLevel="0" collapsed="false">
      <c r="A517" s="4" t="s">
        <v>1318</v>
      </c>
      <c r="B517" s="18" t="n">
        <v>1</v>
      </c>
      <c r="C517" s="4" t="s">
        <v>859</v>
      </c>
      <c r="D517" s="19" t="s">
        <v>921</v>
      </c>
      <c r="E517" s="6" t="s">
        <v>922</v>
      </c>
      <c r="F517" s="6" t="s">
        <v>1319</v>
      </c>
      <c r="G517" s="6" t="s">
        <v>1313</v>
      </c>
    </row>
    <row r="518" customFormat="false" ht="33" hidden="false" customHeight="true" outlineLevel="0" collapsed="false">
      <c r="A518" s="19"/>
      <c r="B518" s="18" t="n">
        <v>2</v>
      </c>
      <c r="C518" s="4" t="s">
        <v>862</v>
      </c>
      <c r="D518" s="19" t="s">
        <v>921</v>
      </c>
      <c r="E518" s="6" t="s">
        <v>925</v>
      </c>
      <c r="F518" s="6" t="s">
        <v>1273</v>
      </c>
      <c r="G518" s="6" t="s">
        <v>1314</v>
      </c>
    </row>
    <row r="519" customFormat="false" ht="87.75" hidden="false" customHeight="true" outlineLevel="0" collapsed="false">
      <c r="A519" s="19"/>
      <c r="B519" s="18" t="n">
        <v>3</v>
      </c>
      <c r="C519" s="4" t="s">
        <v>1275</v>
      </c>
      <c r="D519" s="19" t="s">
        <v>957</v>
      </c>
      <c r="E519" s="6" t="s">
        <v>1276</v>
      </c>
      <c r="F519" s="6" t="s">
        <v>1277</v>
      </c>
      <c r="G519" s="6" t="s">
        <v>1278</v>
      </c>
    </row>
    <row r="520" customFormat="false" ht="43.5" hidden="false" customHeight="true" outlineLevel="0" collapsed="false">
      <c r="A520" s="19"/>
      <c r="B520" s="18" t="n">
        <v>4</v>
      </c>
      <c r="C520" s="4" t="s">
        <v>950</v>
      </c>
      <c r="D520" s="19" t="s">
        <v>957</v>
      </c>
      <c r="E520" s="6" t="s">
        <v>951</v>
      </c>
      <c r="F520" s="6" t="s">
        <v>1277</v>
      </c>
      <c r="G520" s="6" t="s">
        <v>1278</v>
      </c>
    </row>
    <row r="521" customFormat="false" ht="54.75" hidden="false" customHeight="true" outlineLevel="0" collapsed="false">
      <c r="A521" s="19"/>
      <c r="B521" s="18" t="n">
        <v>5</v>
      </c>
      <c r="C521" s="4" t="s">
        <v>1279</v>
      </c>
      <c r="D521" s="19" t="s">
        <v>921</v>
      </c>
      <c r="E521" s="6" t="s">
        <v>1280</v>
      </c>
      <c r="F521" s="6" t="s">
        <v>1315</v>
      </c>
      <c r="G521" s="6" t="s">
        <v>1316</v>
      </c>
    </row>
    <row r="522" customFormat="false" ht="43.5" hidden="false" customHeight="true" outlineLevel="0" collapsed="false">
      <c r="A522" s="19"/>
      <c r="B522" s="18" t="n">
        <v>6</v>
      </c>
      <c r="C522" s="4" t="s">
        <v>1283</v>
      </c>
      <c r="D522" s="19" t="s">
        <v>957</v>
      </c>
      <c r="E522" s="6" t="s">
        <v>1284</v>
      </c>
      <c r="F522" s="6" t="s">
        <v>1277</v>
      </c>
      <c r="G522" s="6" t="s">
        <v>1278</v>
      </c>
    </row>
    <row r="523" customFormat="false" ht="33" hidden="false" customHeight="true" outlineLevel="0" collapsed="false">
      <c r="A523" s="19"/>
      <c r="B523" s="18" t="n">
        <v>7</v>
      </c>
      <c r="C523" s="4" t="s">
        <v>968</v>
      </c>
      <c r="D523" s="19" t="s">
        <v>932</v>
      </c>
      <c r="E523" s="6" t="s">
        <v>969</v>
      </c>
      <c r="F523" s="6" t="s">
        <v>970</v>
      </c>
      <c r="G523" s="6" t="s">
        <v>1290</v>
      </c>
    </row>
    <row r="524" customFormat="false" ht="33" hidden="false" customHeight="true" outlineLevel="0" collapsed="false">
      <c r="A524" s="19"/>
      <c r="B524" s="18" t="n">
        <v>8</v>
      </c>
      <c r="C524" s="4" t="s">
        <v>976</v>
      </c>
      <c r="D524" s="19" t="s">
        <v>957</v>
      </c>
      <c r="E524" s="6" t="s">
        <v>977</v>
      </c>
      <c r="F524" s="6" t="s">
        <v>1132</v>
      </c>
      <c r="G524" s="6" t="s">
        <v>1320</v>
      </c>
    </row>
    <row r="525" customFormat="false" ht="33" hidden="false" customHeight="true" outlineLevel="0" collapsed="false">
      <c r="A525" s="19"/>
      <c r="B525" s="18" t="n">
        <v>9</v>
      </c>
      <c r="C525" s="4" t="s">
        <v>979</v>
      </c>
      <c r="D525" s="19" t="s">
        <v>932</v>
      </c>
      <c r="E525" s="6" t="s">
        <v>980</v>
      </c>
      <c r="F525" s="6" t="s">
        <v>1292</v>
      </c>
      <c r="G525" s="6" t="s">
        <v>1293</v>
      </c>
    </row>
    <row r="526" customFormat="false" ht="43.5" hidden="false" customHeight="true" outlineLevel="0" collapsed="false">
      <c r="A526" s="19"/>
      <c r="B526" s="18" t="n">
        <v>10</v>
      </c>
      <c r="C526" s="4" t="s">
        <v>871</v>
      </c>
      <c r="D526" s="19" t="s">
        <v>957</v>
      </c>
      <c r="E526" s="6" t="s">
        <v>958</v>
      </c>
      <c r="F526" s="6" t="s">
        <v>959</v>
      </c>
      <c r="G526" s="6" t="s">
        <v>960</v>
      </c>
    </row>
    <row r="527" customFormat="false" ht="25.5" hidden="false" customHeight="true" outlineLevel="0" collapsed="false">
      <c r="A527" s="19"/>
      <c r="B527" s="18" t="n">
        <v>11</v>
      </c>
      <c r="C527" s="4" t="s">
        <v>856</v>
      </c>
      <c r="D527" s="19" t="s">
        <v>957</v>
      </c>
      <c r="E527" s="6" t="s">
        <v>990</v>
      </c>
      <c r="F527" s="6" t="s">
        <v>1101</v>
      </c>
      <c r="G527" s="6" t="s">
        <v>1294</v>
      </c>
    </row>
    <row r="528" customFormat="false" ht="33" hidden="false" customHeight="true" outlineLevel="0" collapsed="false">
      <c r="A528" s="19"/>
      <c r="B528" s="18" t="n">
        <v>12</v>
      </c>
      <c r="C528" s="4" t="s">
        <v>883</v>
      </c>
      <c r="D528" s="19" t="s">
        <v>957</v>
      </c>
      <c r="E528" s="6" t="s">
        <v>993</v>
      </c>
      <c r="F528" s="6" t="s">
        <v>959</v>
      </c>
      <c r="G528" s="6" t="s">
        <v>994</v>
      </c>
    </row>
    <row r="529" customFormat="false" ht="33" hidden="false" customHeight="true" outlineLevel="0" collapsed="false">
      <c r="A529" s="19"/>
      <c r="B529" s="18" t="n">
        <v>13</v>
      </c>
      <c r="C529" s="4" t="s">
        <v>889</v>
      </c>
      <c r="D529" s="19" t="s">
        <v>957</v>
      </c>
      <c r="E529" s="6" t="s">
        <v>995</v>
      </c>
      <c r="F529" s="6" t="s">
        <v>959</v>
      </c>
      <c r="G529" s="6" t="s">
        <v>994</v>
      </c>
    </row>
    <row r="530" customFormat="false" ht="33" hidden="false" customHeight="true" outlineLevel="0" collapsed="false">
      <c r="A530" s="4" t="s">
        <v>1321</v>
      </c>
      <c r="B530" s="18" t="n">
        <v>1</v>
      </c>
      <c r="C530" s="4" t="s">
        <v>859</v>
      </c>
      <c r="D530" s="19" t="s">
        <v>921</v>
      </c>
      <c r="E530" s="6" t="s">
        <v>922</v>
      </c>
      <c r="F530" s="6" t="s">
        <v>1319</v>
      </c>
      <c r="G530" s="6" t="s">
        <v>1322</v>
      </c>
    </row>
    <row r="531" customFormat="false" ht="33" hidden="false" customHeight="true" outlineLevel="0" collapsed="false">
      <c r="A531" s="19"/>
      <c r="B531" s="18" t="n">
        <v>2</v>
      </c>
      <c r="C531" s="4" t="s">
        <v>862</v>
      </c>
      <c r="D531" s="19" t="s">
        <v>921</v>
      </c>
      <c r="E531" s="6" t="s">
        <v>925</v>
      </c>
      <c r="F531" s="6" t="s">
        <v>1273</v>
      </c>
      <c r="G531" s="6" t="s">
        <v>1323</v>
      </c>
    </row>
    <row r="532" customFormat="false" ht="87.75" hidden="false" customHeight="true" outlineLevel="0" collapsed="false">
      <c r="A532" s="19"/>
      <c r="B532" s="18" t="n">
        <v>3</v>
      </c>
      <c r="C532" s="4" t="s">
        <v>1275</v>
      </c>
      <c r="D532" s="19" t="s">
        <v>957</v>
      </c>
      <c r="E532" s="6" t="s">
        <v>1276</v>
      </c>
      <c r="F532" s="6" t="s">
        <v>1277</v>
      </c>
      <c r="G532" s="6" t="s">
        <v>1278</v>
      </c>
    </row>
    <row r="533" customFormat="false" ht="43.5" hidden="false" customHeight="true" outlineLevel="0" collapsed="false">
      <c r="A533" s="19"/>
      <c r="B533" s="18" t="n">
        <v>4</v>
      </c>
      <c r="C533" s="4" t="s">
        <v>950</v>
      </c>
      <c r="D533" s="19" t="s">
        <v>957</v>
      </c>
      <c r="E533" s="6" t="s">
        <v>951</v>
      </c>
      <c r="F533" s="6" t="s">
        <v>1277</v>
      </c>
      <c r="G533" s="6" t="s">
        <v>1278</v>
      </c>
    </row>
    <row r="534" customFormat="false" ht="54.75" hidden="false" customHeight="true" outlineLevel="0" collapsed="false">
      <c r="A534" s="19"/>
      <c r="B534" s="18" t="n">
        <v>5</v>
      </c>
      <c r="C534" s="4" t="s">
        <v>1279</v>
      </c>
      <c r="D534" s="19" t="s">
        <v>921</v>
      </c>
      <c r="E534" s="6" t="s">
        <v>1280</v>
      </c>
      <c r="F534" s="6" t="s">
        <v>1310</v>
      </c>
      <c r="G534" s="6" t="s">
        <v>1311</v>
      </c>
    </row>
    <row r="535" customFormat="false" ht="43.5" hidden="false" customHeight="true" outlineLevel="0" collapsed="false">
      <c r="A535" s="19"/>
      <c r="B535" s="18" t="n">
        <v>6</v>
      </c>
      <c r="C535" s="4" t="s">
        <v>1283</v>
      </c>
      <c r="D535" s="19" t="s">
        <v>957</v>
      </c>
      <c r="E535" s="6" t="s">
        <v>1284</v>
      </c>
      <c r="F535" s="6" t="s">
        <v>1277</v>
      </c>
      <c r="G535" s="6" t="s">
        <v>1278</v>
      </c>
    </row>
    <row r="536" customFormat="false" ht="33" hidden="false" customHeight="true" outlineLevel="0" collapsed="false">
      <c r="A536" s="19"/>
      <c r="B536" s="18" t="n">
        <v>7</v>
      </c>
      <c r="C536" s="4" t="s">
        <v>968</v>
      </c>
      <c r="D536" s="19" t="s">
        <v>932</v>
      </c>
      <c r="E536" s="6" t="s">
        <v>969</v>
      </c>
      <c r="F536" s="6" t="s">
        <v>970</v>
      </c>
      <c r="G536" s="6" t="s">
        <v>1290</v>
      </c>
    </row>
    <row r="537" customFormat="false" ht="33" hidden="false" customHeight="true" outlineLevel="0" collapsed="false">
      <c r="A537" s="19"/>
      <c r="B537" s="18" t="n">
        <v>8</v>
      </c>
      <c r="C537" s="4" t="s">
        <v>976</v>
      </c>
      <c r="D537" s="19" t="s">
        <v>957</v>
      </c>
      <c r="E537" s="6" t="s">
        <v>977</v>
      </c>
      <c r="F537" s="6" t="s">
        <v>1132</v>
      </c>
      <c r="G537" s="6" t="s">
        <v>1324</v>
      </c>
    </row>
    <row r="538" customFormat="false" ht="33" hidden="false" customHeight="true" outlineLevel="0" collapsed="false">
      <c r="A538" s="19"/>
      <c r="B538" s="18" t="n">
        <v>9</v>
      </c>
      <c r="C538" s="4" t="s">
        <v>979</v>
      </c>
      <c r="D538" s="19" t="s">
        <v>932</v>
      </c>
      <c r="E538" s="6" t="s">
        <v>980</v>
      </c>
      <c r="F538" s="6" t="s">
        <v>1292</v>
      </c>
      <c r="G538" s="6" t="s">
        <v>1293</v>
      </c>
    </row>
    <row r="539" customFormat="false" ht="43.5" hidden="false" customHeight="true" outlineLevel="0" collapsed="false">
      <c r="A539" s="19"/>
      <c r="B539" s="18" t="n">
        <v>10</v>
      </c>
      <c r="C539" s="4" t="s">
        <v>871</v>
      </c>
      <c r="D539" s="19" t="s">
        <v>957</v>
      </c>
      <c r="E539" s="6" t="s">
        <v>958</v>
      </c>
      <c r="F539" s="6" t="s">
        <v>959</v>
      </c>
      <c r="G539" s="6" t="s">
        <v>960</v>
      </c>
    </row>
    <row r="540" customFormat="false" ht="25.5" hidden="false" customHeight="true" outlineLevel="0" collapsed="false">
      <c r="A540" s="19"/>
      <c r="B540" s="18" t="n">
        <v>11</v>
      </c>
      <c r="C540" s="4" t="s">
        <v>856</v>
      </c>
      <c r="D540" s="19" t="s">
        <v>957</v>
      </c>
      <c r="E540" s="6" t="s">
        <v>990</v>
      </c>
      <c r="F540" s="6" t="s">
        <v>1147</v>
      </c>
      <c r="G540" s="6" t="s">
        <v>1325</v>
      </c>
    </row>
    <row r="541" customFormat="false" ht="33" hidden="false" customHeight="true" outlineLevel="0" collapsed="false">
      <c r="A541" s="19"/>
      <c r="B541" s="18" t="n">
        <v>12</v>
      </c>
      <c r="C541" s="4" t="s">
        <v>883</v>
      </c>
      <c r="D541" s="19" t="s">
        <v>957</v>
      </c>
      <c r="E541" s="6" t="s">
        <v>993</v>
      </c>
      <c r="F541" s="6" t="s">
        <v>959</v>
      </c>
      <c r="G541" s="6" t="s">
        <v>994</v>
      </c>
    </row>
    <row r="542" customFormat="false" ht="33" hidden="false" customHeight="true" outlineLevel="0" collapsed="false">
      <c r="A542" s="19"/>
      <c r="B542" s="18" t="n">
        <v>13</v>
      </c>
      <c r="C542" s="4" t="s">
        <v>889</v>
      </c>
      <c r="D542" s="19" t="s">
        <v>957</v>
      </c>
      <c r="E542" s="6" t="s">
        <v>995</v>
      </c>
      <c r="F542" s="6" t="s">
        <v>959</v>
      </c>
      <c r="G542" s="6" t="s">
        <v>994</v>
      </c>
    </row>
    <row r="543" customFormat="false" ht="33" hidden="false" customHeight="true" outlineLevel="0" collapsed="false">
      <c r="A543" s="4" t="s">
        <v>1326</v>
      </c>
      <c r="B543" s="18" t="n">
        <v>1</v>
      </c>
      <c r="C543" s="4" t="s">
        <v>859</v>
      </c>
      <c r="D543" s="19" t="s">
        <v>921</v>
      </c>
      <c r="E543" s="6" t="s">
        <v>922</v>
      </c>
      <c r="F543" s="6" t="s">
        <v>1319</v>
      </c>
      <c r="G543" s="6" t="s">
        <v>1313</v>
      </c>
    </row>
    <row r="544" customFormat="false" ht="33" hidden="false" customHeight="true" outlineLevel="0" collapsed="false">
      <c r="A544" s="19"/>
      <c r="B544" s="18" t="n">
        <v>2</v>
      </c>
      <c r="C544" s="4" t="s">
        <v>862</v>
      </c>
      <c r="D544" s="19" t="s">
        <v>921</v>
      </c>
      <c r="E544" s="6" t="s">
        <v>925</v>
      </c>
      <c r="F544" s="6" t="s">
        <v>1273</v>
      </c>
      <c r="G544" s="6" t="s">
        <v>1327</v>
      </c>
    </row>
    <row r="545" customFormat="false" ht="87.75" hidden="false" customHeight="true" outlineLevel="0" collapsed="false">
      <c r="A545" s="19"/>
      <c r="B545" s="18" t="n">
        <v>3</v>
      </c>
      <c r="C545" s="4" t="s">
        <v>1275</v>
      </c>
      <c r="D545" s="19" t="s">
        <v>957</v>
      </c>
      <c r="E545" s="6" t="s">
        <v>1276</v>
      </c>
      <c r="F545" s="6" t="s">
        <v>1277</v>
      </c>
      <c r="G545" s="6" t="s">
        <v>1278</v>
      </c>
    </row>
    <row r="546" customFormat="false" ht="43.5" hidden="false" customHeight="true" outlineLevel="0" collapsed="false">
      <c r="A546" s="19"/>
      <c r="B546" s="18" t="n">
        <v>4</v>
      </c>
      <c r="C546" s="4" t="s">
        <v>950</v>
      </c>
      <c r="D546" s="19" t="s">
        <v>957</v>
      </c>
      <c r="E546" s="6" t="s">
        <v>951</v>
      </c>
      <c r="F546" s="6" t="s">
        <v>1277</v>
      </c>
      <c r="G546" s="6" t="s">
        <v>1278</v>
      </c>
    </row>
    <row r="547" customFormat="false" ht="54.75" hidden="false" customHeight="true" outlineLevel="0" collapsed="false">
      <c r="A547" s="19"/>
      <c r="B547" s="18" t="n">
        <v>5</v>
      </c>
      <c r="C547" s="4" t="s">
        <v>1279</v>
      </c>
      <c r="D547" s="19" t="s">
        <v>921</v>
      </c>
      <c r="E547" s="6" t="s">
        <v>1280</v>
      </c>
      <c r="F547" s="6" t="s">
        <v>1315</v>
      </c>
      <c r="G547" s="6" t="s">
        <v>1316</v>
      </c>
    </row>
    <row r="548" customFormat="false" ht="43.5" hidden="false" customHeight="true" outlineLevel="0" collapsed="false">
      <c r="A548" s="19"/>
      <c r="B548" s="18" t="n">
        <v>6</v>
      </c>
      <c r="C548" s="4" t="s">
        <v>1283</v>
      </c>
      <c r="D548" s="19" t="s">
        <v>957</v>
      </c>
      <c r="E548" s="6" t="s">
        <v>1284</v>
      </c>
      <c r="F548" s="6" t="s">
        <v>1277</v>
      </c>
      <c r="G548" s="6" t="s">
        <v>1278</v>
      </c>
    </row>
    <row r="549" customFormat="false" ht="33" hidden="false" customHeight="true" outlineLevel="0" collapsed="false">
      <c r="A549" s="19"/>
      <c r="B549" s="18" t="n">
        <v>7</v>
      </c>
      <c r="C549" s="4" t="s">
        <v>968</v>
      </c>
      <c r="D549" s="19" t="s">
        <v>932</v>
      </c>
      <c r="E549" s="6" t="s">
        <v>969</v>
      </c>
      <c r="F549" s="6" t="s">
        <v>970</v>
      </c>
      <c r="G549" s="6" t="s">
        <v>1290</v>
      </c>
    </row>
    <row r="550" customFormat="false" ht="33" hidden="false" customHeight="true" outlineLevel="0" collapsed="false">
      <c r="A550" s="19"/>
      <c r="B550" s="18" t="n">
        <v>8</v>
      </c>
      <c r="C550" s="4" t="s">
        <v>976</v>
      </c>
      <c r="D550" s="19" t="s">
        <v>957</v>
      </c>
      <c r="E550" s="6" t="s">
        <v>977</v>
      </c>
      <c r="F550" s="6" t="s">
        <v>1132</v>
      </c>
      <c r="G550" s="6" t="s">
        <v>1320</v>
      </c>
    </row>
    <row r="551" customFormat="false" ht="33" hidden="false" customHeight="true" outlineLevel="0" collapsed="false">
      <c r="A551" s="19"/>
      <c r="B551" s="18" t="n">
        <v>9</v>
      </c>
      <c r="C551" s="4" t="s">
        <v>979</v>
      </c>
      <c r="D551" s="19" t="s">
        <v>932</v>
      </c>
      <c r="E551" s="6" t="s">
        <v>980</v>
      </c>
      <c r="F551" s="6" t="s">
        <v>1292</v>
      </c>
      <c r="G551" s="6" t="s">
        <v>1293</v>
      </c>
    </row>
    <row r="552" customFormat="false" ht="43.5" hidden="false" customHeight="true" outlineLevel="0" collapsed="false">
      <c r="A552" s="19"/>
      <c r="B552" s="18" t="n">
        <v>10</v>
      </c>
      <c r="C552" s="4" t="s">
        <v>871</v>
      </c>
      <c r="D552" s="19" t="s">
        <v>957</v>
      </c>
      <c r="E552" s="6" t="s">
        <v>958</v>
      </c>
      <c r="F552" s="6" t="s">
        <v>959</v>
      </c>
      <c r="G552" s="6" t="s">
        <v>960</v>
      </c>
    </row>
    <row r="553" customFormat="false" ht="25.5" hidden="false" customHeight="true" outlineLevel="0" collapsed="false">
      <c r="A553" s="19"/>
      <c r="B553" s="18" t="n">
        <v>11</v>
      </c>
      <c r="C553" s="4" t="s">
        <v>856</v>
      </c>
      <c r="D553" s="19" t="s">
        <v>957</v>
      </c>
      <c r="E553" s="6" t="s">
        <v>990</v>
      </c>
      <c r="F553" s="6" t="s">
        <v>1101</v>
      </c>
      <c r="G553" s="6" t="s">
        <v>1294</v>
      </c>
    </row>
    <row r="554" customFormat="false" ht="33" hidden="false" customHeight="true" outlineLevel="0" collapsed="false">
      <c r="A554" s="19"/>
      <c r="B554" s="18" t="n">
        <v>12</v>
      </c>
      <c r="C554" s="4" t="s">
        <v>883</v>
      </c>
      <c r="D554" s="19" t="s">
        <v>957</v>
      </c>
      <c r="E554" s="6" t="s">
        <v>993</v>
      </c>
      <c r="F554" s="6" t="s">
        <v>959</v>
      </c>
      <c r="G554" s="6" t="s">
        <v>994</v>
      </c>
    </row>
    <row r="555" customFormat="false" ht="33" hidden="false" customHeight="true" outlineLevel="0" collapsed="false">
      <c r="A555" s="19"/>
      <c r="B555" s="18" t="n">
        <v>13</v>
      </c>
      <c r="C555" s="4" t="s">
        <v>889</v>
      </c>
      <c r="D555" s="19" t="s">
        <v>957</v>
      </c>
      <c r="E555" s="6" t="s">
        <v>995</v>
      </c>
      <c r="F555" s="6" t="s">
        <v>959</v>
      </c>
      <c r="G555" s="6" t="s">
        <v>994</v>
      </c>
    </row>
    <row r="556" customFormat="false" ht="33" hidden="false" customHeight="true" outlineLevel="0" collapsed="false">
      <c r="A556" s="4" t="s">
        <v>1328</v>
      </c>
      <c r="B556" s="18" t="n">
        <v>1</v>
      </c>
      <c r="C556" s="4" t="s">
        <v>859</v>
      </c>
      <c r="D556" s="19" t="s">
        <v>921</v>
      </c>
      <c r="E556" s="6" t="s">
        <v>922</v>
      </c>
      <c r="F556" s="6" t="s">
        <v>1319</v>
      </c>
      <c r="G556" s="6" t="s">
        <v>1313</v>
      </c>
    </row>
    <row r="557" customFormat="false" ht="33" hidden="false" customHeight="true" outlineLevel="0" collapsed="false">
      <c r="A557" s="19"/>
      <c r="B557" s="18" t="n">
        <v>2</v>
      </c>
      <c r="C557" s="4" t="s">
        <v>862</v>
      </c>
      <c r="D557" s="19" t="s">
        <v>921</v>
      </c>
      <c r="E557" s="6" t="s">
        <v>925</v>
      </c>
      <c r="F557" s="6" t="s">
        <v>1273</v>
      </c>
      <c r="G557" s="6" t="s">
        <v>1327</v>
      </c>
    </row>
    <row r="558" customFormat="false" ht="87.75" hidden="false" customHeight="true" outlineLevel="0" collapsed="false">
      <c r="A558" s="19"/>
      <c r="B558" s="18" t="n">
        <v>3</v>
      </c>
      <c r="C558" s="4" t="s">
        <v>1275</v>
      </c>
      <c r="D558" s="19" t="s">
        <v>957</v>
      </c>
      <c r="E558" s="6" t="s">
        <v>1276</v>
      </c>
      <c r="F558" s="6" t="s">
        <v>1277</v>
      </c>
      <c r="G558" s="6" t="s">
        <v>1278</v>
      </c>
    </row>
    <row r="559" customFormat="false" ht="43.5" hidden="false" customHeight="true" outlineLevel="0" collapsed="false">
      <c r="A559" s="19"/>
      <c r="B559" s="18" t="n">
        <v>4</v>
      </c>
      <c r="C559" s="4" t="s">
        <v>950</v>
      </c>
      <c r="D559" s="19" t="s">
        <v>957</v>
      </c>
      <c r="E559" s="6" t="s">
        <v>951</v>
      </c>
      <c r="F559" s="6" t="s">
        <v>1277</v>
      </c>
      <c r="G559" s="6" t="s">
        <v>1278</v>
      </c>
    </row>
    <row r="560" customFormat="false" ht="54.75" hidden="false" customHeight="true" outlineLevel="0" collapsed="false">
      <c r="A560" s="19"/>
      <c r="B560" s="18" t="n">
        <v>5</v>
      </c>
      <c r="C560" s="4" t="s">
        <v>1279</v>
      </c>
      <c r="D560" s="19" t="s">
        <v>921</v>
      </c>
      <c r="E560" s="6" t="s">
        <v>1280</v>
      </c>
      <c r="F560" s="6" t="s">
        <v>1315</v>
      </c>
      <c r="G560" s="6" t="s">
        <v>1316</v>
      </c>
    </row>
    <row r="561" customFormat="false" ht="43.5" hidden="false" customHeight="true" outlineLevel="0" collapsed="false">
      <c r="A561" s="19"/>
      <c r="B561" s="18" t="n">
        <v>6</v>
      </c>
      <c r="C561" s="4" t="s">
        <v>1283</v>
      </c>
      <c r="D561" s="19" t="s">
        <v>957</v>
      </c>
      <c r="E561" s="6" t="s">
        <v>1284</v>
      </c>
      <c r="F561" s="6" t="s">
        <v>1277</v>
      </c>
      <c r="G561" s="6" t="s">
        <v>1278</v>
      </c>
    </row>
    <row r="562" customFormat="false" ht="33" hidden="false" customHeight="true" outlineLevel="0" collapsed="false">
      <c r="A562" s="19"/>
      <c r="B562" s="18" t="n">
        <v>7</v>
      </c>
      <c r="C562" s="4" t="s">
        <v>968</v>
      </c>
      <c r="D562" s="19" t="s">
        <v>932</v>
      </c>
      <c r="E562" s="6" t="s">
        <v>969</v>
      </c>
      <c r="F562" s="6" t="s">
        <v>970</v>
      </c>
      <c r="G562" s="6" t="s">
        <v>1290</v>
      </c>
    </row>
    <row r="563" customFormat="false" ht="33" hidden="false" customHeight="true" outlineLevel="0" collapsed="false">
      <c r="A563" s="19"/>
      <c r="B563" s="18" t="n">
        <v>8</v>
      </c>
      <c r="C563" s="4" t="s">
        <v>976</v>
      </c>
      <c r="D563" s="19" t="s">
        <v>957</v>
      </c>
      <c r="E563" s="6" t="s">
        <v>977</v>
      </c>
      <c r="F563" s="6" t="s">
        <v>1132</v>
      </c>
      <c r="G563" s="6" t="s">
        <v>1320</v>
      </c>
    </row>
    <row r="564" customFormat="false" ht="33" hidden="false" customHeight="true" outlineLevel="0" collapsed="false">
      <c r="A564" s="19"/>
      <c r="B564" s="18" t="n">
        <v>9</v>
      </c>
      <c r="C564" s="4" t="s">
        <v>979</v>
      </c>
      <c r="D564" s="19" t="s">
        <v>932</v>
      </c>
      <c r="E564" s="6" t="s">
        <v>980</v>
      </c>
      <c r="F564" s="6" t="s">
        <v>1292</v>
      </c>
      <c r="G564" s="6" t="s">
        <v>1293</v>
      </c>
    </row>
    <row r="565" customFormat="false" ht="43.5" hidden="false" customHeight="true" outlineLevel="0" collapsed="false">
      <c r="A565" s="19"/>
      <c r="B565" s="18" t="n">
        <v>10</v>
      </c>
      <c r="C565" s="4" t="s">
        <v>871</v>
      </c>
      <c r="D565" s="19" t="s">
        <v>957</v>
      </c>
      <c r="E565" s="6" t="s">
        <v>958</v>
      </c>
      <c r="F565" s="6" t="s">
        <v>959</v>
      </c>
      <c r="G565" s="6" t="s">
        <v>960</v>
      </c>
    </row>
    <row r="566" customFormat="false" ht="25.5" hidden="false" customHeight="true" outlineLevel="0" collapsed="false">
      <c r="A566" s="19"/>
      <c r="B566" s="18" t="n">
        <v>11</v>
      </c>
      <c r="C566" s="4" t="s">
        <v>856</v>
      </c>
      <c r="D566" s="19" t="s">
        <v>957</v>
      </c>
      <c r="E566" s="6" t="s">
        <v>990</v>
      </c>
      <c r="F566" s="6" t="s">
        <v>1101</v>
      </c>
      <c r="G566" s="6" t="s">
        <v>1294</v>
      </c>
    </row>
    <row r="567" customFormat="false" ht="33" hidden="false" customHeight="true" outlineLevel="0" collapsed="false">
      <c r="A567" s="19"/>
      <c r="B567" s="18" t="n">
        <v>12</v>
      </c>
      <c r="C567" s="4" t="s">
        <v>883</v>
      </c>
      <c r="D567" s="19" t="s">
        <v>957</v>
      </c>
      <c r="E567" s="6" t="s">
        <v>993</v>
      </c>
      <c r="F567" s="6" t="s">
        <v>959</v>
      </c>
      <c r="G567" s="6" t="s">
        <v>994</v>
      </c>
    </row>
    <row r="568" customFormat="false" ht="33" hidden="false" customHeight="true" outlineLevel="0" collapsed="false">
      <c r="A568" s="19"/>
      <c r="B568" s="18" t="n">
        <v>13</v>
      </c>
      <c r="C568" s="4" t="s">
        <v>889</v>
      </c>
      <c r="D568" s="19" t="s">
        <v>957</v>
      </c>
      <c r="E568" s="6" t="s">
        <v>995</v>
      </c>
      <c r="F568" s="6" t="s">
        <v>959</v>
      </c>
      <c r="G568" s="6" t="s">
        <v>994</v>
      </c>
    </row>
    <row r="569" customFormat="false" ht="33" hidden="false" customHeight="true" outlineLevel="0" collapsed="false">
      <c r="A569" s="4" t="s">
        <v>1329</v>
      </c>
      <c r="B569" s="18" t="n">
        <v>1</v>
      </c>
      <c r="C569" s="4" t="s">
        <v>859</v>
      </c>
      <c r="D569" s="19" t="s">
        <v>1330</v>
      </c>
      <c r="E569" s="6" t="s">
        <v>922</v>
      </c>
      <c r="F569" s="6" t="s">
        <v>1331</v>
      </c>
      <c r="G569" s="6" t="s">
        <v>1332</v>
      </c>
    </row>
    <row r="570" customFormat="false" ht="25.5" hidden="false" customHeight="true" outlineLevel="0" collapsed="false">
      <c r="A570" s="19"/>
      <c r="B570" s="18" t="n">
        <v>2</v>
      </c>
      <c r="C570" s="4" t="s">
        <v>1333</v>
      </c>
      <c r="D570" s="19" t="s">
        <v>957</v>
      </c>
      <c r="E570" s="6" t="s">
        <v>1334</v>
      </c>
      <c r="F570" s="6" t="s">
        <v>1132</v>
      </c>
      <c r="G570" s="6" t="s">
        <v>1335</v>
      </c>
    </row>
    <row r="571" customFormat="false" ht="25.5" hidden="false" customHeight="true" outlineLevel="0" collapsed="false">
      <c r="A571" s="19"/>
      <c r="B571" s="18" t="n">
        <v>3</v>
      </c>
      <c r="C571" s="4" t="s">
        <v>1336</v>
      </c>
      <c r="D571" s="19" t="s">
        <v>957</v>
      </c>
      <c r="E571" s="6" t="s">
        <v>1337</v>
      </c>
      <c r="F571" s="6" t="s">
        <v>1338</v>
      </c>
      <c r="G571" s="6" t="s">
        <v>1339</v>
      </c>
    </row>
    <row r="572" customFormat="false" ht="25.5" hidden="false" customHeight="true" outlineLevel="0" collapsed="false">
      <c r="A572" s="19"/>
      <c r="B572" s="18" t="n">
        <v>4</v>
      </c>
      <c r="C572" s="4" t="s">
        <v>1340</v>
      </c>
      <c r="D572" s="19" t="s">
        <v>932</v>
      </c>
      <c r="E572" s="6" t="s">
        <v>1341</v>
      </c>
      <c r="F572" s="6" t="s">
        <v>1342</v>
      </c>
      <c r="G572" s="6" t="s">
        <v>1343</v>
      </c>
    </row>
    <row r="573" customFormat="false" ht="25.5" hidden="false" customHeight="true" outlineLevel="0" collapsed="false">
      <c r="A573" s="19"/>
      <c r="B573" s="18" t="n">
        <v>5</v>
      </c>
      <c r="C573" s="4" t="s">
        <v>1344</v>
      </c>
      <c r="D573" s="19" t="s">
        <v>921</v>
      </c>
      <c r="E573" s="6" t="s">
        <v>1345</v>
      </c>
      <c r="F573" s="6" t="s">
        <v>1346</v>
      </c>
      <c r="G573" s="6" t="s">
        <v>1347</v>
      </c>
    </row>
    <row r="574" customFormat="false" ht="25.5" hidden="false" customHeight="true" outlineLevel="0" collapsed="false">
      <c r="A574" s="19"/>
      <c r="B574" s="18" t="n">
        <v>6</v>
      </c>
      <c r="C574" s="4" t="s">
        <v>1348</v>
      </c>
      <c r="D574" s="19" t="s">
        <v>921</v>
      </c>
      <c r="E574" s="6" t="s">
        <v>1349</v>
      </c>
      <c r="F574" s="6" t="s">
        <v>1346</v>
      </c>
      <c r="G574" s="6" t="s">
        <v>1347</v>
      </c>
    </row>
    <row r="575" customFormat="false" ht="25.5" hidden="false" customHeight="true" outlineLevel="0" collapsed="false">
      <c r="A575" s="19"/>
      <c r="B575" s="18" t="n">
        <v>7</v>
      </c>
      <c r="C575" s="4" t="s">
        <v>1350</v>
      </c>
      <c r="D575" s="19" t="s">
        <v>921</v>
      </c>
      <c r="E575" s="6" t="s">
        <v>1351</v>
      </c>
      <c r="F575" s="6" t="s">
        <v>1346</v>
      </c>
      <c r="G575" s="6" t="s">
        <v>1347</v>
      </c>
    </row>
    <row r="576" customFormat="false" ht="25.5" hidden="false" customHeight="true" outlineLevel="0" collapsed="false">
      <c r="A576" s="19"/>
      <c r="B576" s="18" t="n">
        <v>8</v>
      </c>
      <c r="C576" s="4" t="s">
        <v>1352</v>
      </c>
      <c r="D576" s="19" t="s">
        <v>921</v>
      </c>
      <c r="E576" s="6" t="s">
        <v>1353</v>
      </c>
      <c r="F576" s="6" t="s">
        <v>1346</v>
      </c>
      <c r="G576" s="6" t="s">
        <v>1347</v>
      </c>
    </row>
    <row r="577" customFormat="false" ht="33" hidden="false" customHeight="true" outlineLevel="0" collapsed="false">
      <c r="A577" s="19"/>
      <c r="B577" s="18" t="n">
        <v>9</v>
      </c>
      <c r="C577" s="4" t="s">
        <v>1354</v>
      </c>
      <c r="D577" s="19" t="s">
        <v>957</v>
      </c>
      <c r="E577" s="6" t="s">
        <v>1355</v>
      </c>
      <c r="F577" s="6" t="s">
        <v>1356</v>
      </c>
      <c r="G577" s="6" t="s">
        <v>1357</v>
      </c>
    </row>
    <row r="578" customFormat="false" ht="25.5" hidden="false" customHeight="true" outlineLevel="0" collapsed="false">
      <c r="A578" s="19"/>
      <c r="B578" s="18" t="n">
        <v>10</v>
      </c>
      <c r="C578" s="4" t="s">
        <v>1358</v>
      </c>
      <c r="D578" s="19" t="s">
        <v>921</v>
      </c>
      <c r="E578" s="6" t="s">
        <v>1359</v>
      </c>
      <c r="F578" s="6" t="s">
        <v>1360</v>
      </c>
      <c r="G578" s="6" t="s">
        <v>1361</v>
      </c>
    </row>
    <row r="579" customFormat="false" ht="25.5" hidden="false" customHeight="true" outlineLevel="0" collapsed="false">
      <c r="A579" s="19"/>
      <c r="B579" s="18" t="n">
        <v>11</v>
      </c>
      <c r="C579" s="4" t="s">
        <v>1362</v>
      </c>
      <c r="D579" s="19" t="s">
        <v>932</v>
      </c>
      <c r="E579" s="6" t="s">
        <v>1363</v>
      </c>
      <c r="F579" s="6" t="s">
        <v>1342</v>
      </c>
      <c r="G579" s="6" t="s">
        <v>1343</v>
      </c>
    </row>
    <row r="580" customFormat="false" ht="25.5" hidden="false" customHeight="true" outlineLevel="0" collapsed="false">
      <c r="A580" s="19"/>
      <c r="B580" s="18" t="n">
        <v>12</v>
      </c>
      <c r="C580" s="4" t="s">
        <v>1364</v>
      </c>
      <c r="D580" s="19" t="s">
        <v>932</v>
      </c>
      <c r="E580" s="6" t="s">
        <v>1365</v>
      </c>
      <c r="F580" s="6" t="s">
        <v>1366</v>
      </c>
      <c r="G580" s="6" t="s">
        <v>1367</v>
      </c>
    </row>
    <row r="581" customFormat="false" ht="25.5" hidden="false" customHeight="true" outlineLevel="0" collapsed="false">
      <c r="A581" s="19"/>
      <c r="B581" s="18" t="n">
        <v>13</v>
      </c>
      <c r="C581" s="4" t="s">
        <v>1368</v>
      </c>
      <c r="D581" s="19" t="s">
        <v>932</v>
      </c>
      <c r="E581" s="6" t="s">
        <v>1369</v>
      </c>
      <c r="F581" s="6" t="s">
        <v>1366</v>
      </c>
      <c r="G581" s="6" t="s">
        <v>1367</v>
      </c>
    </row>
    <row r="582" customFormat="false" ht="43.5" hidden="false" customHeight="true" outlineLevel="0" collapsed="false">
      <c r="A582" s="19"/>
      <c r="B582" s="18" t="n">
        <v>14</v>
      </c>
      <c r="C582" s="4" t="s">
        <v>871</v>
      </c>
      <c r="D582" s="19" t="s">
        <v>957</v>
      </c>
      <c r="E582" s="6" t="s">
        <v>958</v>
      </c>
      <c r="F582" s="6" t="s">
        <v>959</v>
      </c>
      <c r="G582" s="6" t="s">
        <v>960</v>
      </c>
    </row>
    <row r="583" customFormat="false" ht="33" hidden="false" customHeight="true" outlineLevel="0" collapsed="false">
      <c r="A583" s="19"/>
      <c r="B583" s="18" t="n">
        <v>15</v>
      </c>
      <c r="C583" s="4" t="s">
        <v>895</v>
      </c>
      <c r="D583" s="19" t="s">
        <v>957</v>
      </c>
      <c r="E583" s="6" t="s">
        <v>1370</v>
      </c>
      <c r="F583" s="6" t="s">
        <v>959</v>
      </c>
      <c r="G583" s="6" t="s">
        <v>994</v>
      </c>
    </row>
    <row r="584" customFormat="false" ht="33" hidden="false" customHeight="true" outlineLevel="0" collapsed="false">
      <c r="A584" s="19"/>
      <c r="B584" s="18" t="n">
        <v>16</v>
      </c>
      <c r="C584" s="4" t="s">
        <v>1371</v>
      </c>
      <c r="D584" s="19" t="s">
        <v>932</v>
      </c>
      <c r="E584" s="6" t="s">
        <v>1372</v>
      </c>
      <c r="F584" s="6" t="s">
        <v>948</v>
      </c>
      <c r="G584" s="6" t="s">
        <v>1373</v>
      </c>
    </row>
    <row r="585" customFormat="false" ht="33" hidden="false" customHeight="true" outlineLevel="0" collapsed="false">
      <c r="A585" s="19"/>
      <c r="B585" s="18" t="n">
        <v>17</v>
      </c>
      <c r="C585" s="4" t="s">
        <v>1374</v>
      </c>
      <c r="D585" s="19" t="s">
        <v>932</v>
      </c>
      <c r="E585" s="6" t="s">
        <v>1375</v>
      </c>
      <c r="F585" s="6" t="s">
        <v>948</v>
      </c>
      <c r="G585" s="6" t="s">
        <v>1373</v>
      </c>
    </row>
    <row r="586" customFormat="false" ht="33" hidden="false" customHeight="true" outlineLevel="0" collapsed="false">
      <c r="A586" s="19"/>
      <c r="B586" s="18" t="n">
        <v>18</v>
      </c>
      <c r="C586" s="4" t="s">
        <v>1376</v>
      </c>
      <c r="D586" s="19" t="s">
        <v>986</v>
      </c>
      <c r="E586" s="6" t="s">
        <v>1377</v>
      </c>
      <c r="F586" s="6" t="s">
        <v>1378</v>
      </c>
      <c r="G586" s="6" t="s">
        <v>1379</v>
      </c>
    </row>
    <row r="587" customFormat="false" ht="33" hidden="false" customHeight="true" outlineLevel="0" collapsed="false">
      <c r="A587" s="19"/>
      <c r="B587" s="18" t="n">
        <v>19</v>
      </c>
      <c r="C587" s="4" t="s">
        <v>979</v>
      </c>
      <c r="D587" s="19" t="s">
        <v>932</v>
      </c>
      <c r="E587" s="6" t="s">
        <v>980</v>
      </c>
      <c r="F587" s="6" t="s">
        <v>1380</v>
      </c>
      <c r="G587" s="6" t="s">
        <v>1381</v>
      </c>
    </row>
    <row r="588" customFormat="false" ht="33" hidden="false" customHeight="true" outlineLevel="0" collapsed="false">
      <c r="A588" s="19"/>
      <c r="B588" s="18" t="n">
        <v>20</v>
      </c>
      <c r="C588" s="4" t="s">
        <v>856</v>
      </c>
      <c r="D588" s="19" t="s">
        <v>957</v>
      </c>
      <c r="E588" s="6" t="s">
        <v>990</v>
      </c>
      <c r="F588" s="6" t="s">
        <v>1101</v>
      </c>
      <c r="G588" s="6" t="s">
        <v>1382</v>
      </c>
    </row>
    <row r="589" customFormat="false" ht="33" hidden="false" customHeight="true" outlineLevel="0" collapsed="false">
      <c r="A589" s="19"/>
      <c r="B589" s="18" t="n">
        <v>21</v>
      </c>
      <c r="C589" s="4" t="s">
        <v>889</v>
      </c>
      <c r="D589" s="19" t="s">
        <v>957</v>
      </c>
      <c r="E589" s="6" t="s">
        <v>995</v>
      </c>
      <c r="F589" s="6" t="s">
        <v>959</v>
      </c>
      <c r="G589" s="6" t="s">
        <v>994</v>
      </c>
    </row>
    <row r="590" customFormat="false" ht="33" hidden="false" customHeight="true" outlineLevel="0" collapsed="false">
      <c r="A590" s="4" t="s">
        <v>1383</v>
      </c>
      <c r="B590" s="18" t="n">
        <v>1</v>
      </c>
      <c r="C590" s="4" t="s">
        <v>859</v>
      </c>
      <c r="D590" s="19" t="s">
        <v>1330</v>
      </c>
      <c r="E590" s="6" t="s">
        <v>922</v>
      </c>
      <c r="F590" s="6" t="s">
        <v>1331</v>
      </c>
      <c r="G590" s="6" t="s">
        <v>1384</v>
      </c>
    </row>
    <row r="591" customFormat="false" ht="25.5" hidden="false" customHeight="true" outlineLevel="0" collapsed="false">
      <c r="A591" s="19"/>
      <c r="B591" s="18" t="n">
        <v>2</v>
      </c>
      <c r="C591" s="4" t="s">
        <v>1333</v>
      </c>
      <c r="D591" s="19" t="s">
        <v>957</v>
      </c>
      <c r="E591" s="6" t="s">
        <v>1334</v>
      </c>
      <c r="F591" s="6" t="s">
        <v>1132</v>
      </c>
      <c r="G591" s="6" t="s">
        <v>1335</v>
      </c>
    </row>
    <row r="592" customFormat="false" ht="25.5" hidden="false" customHeight="true" outlineLevel="0" collapsed="false">
      <c r="A592" s="19"/>
      <c r="B592" s="18" t="n">
        <v>3</v>
      </c>
      <c r="C592" s="4" t="s">
        <v>1336</v>
      </c>
      <c r="D592" s="19" t="s">
        <v>957</v>
      </c>
      <c r="E592" s="6" t="s">
        <v>1337</v>
      </c>
      <c r="F592" s="6" t="s">
        <v>1338</v>
      </c>
      <c r="G592" s="6" t="s">
        <v>1339</v>
      </c>
    </row>
    <row r="593" customFormat="false" ht="25.5" hidden="false" customHeight="true" outlineLevel="0" collapsed="false">
      <c r="A593" s="19"/>
      <c r="B593" s="18" t="n">
        <v>4</v>
      </c>
      <c r="C593" s="4" t="s">
        <v>1340</v>
      </c>
      <c r="D593" s="19" t="s">
        <v>932</v>
      </c>
      <c r="E593" s="6" t="s">
        <v>1341</v>
      </c>
      <c r="F593" s="6" t="s">
        <v>1342</v>
      </c>
      <c r="G593" s="6" t="s">
        <v>1343</v>
      </c>
    </row>
    <row r="594" customFormat="false" ht="25.5" hidden="false" customHeight="true" outlineLevel="0" collapsed="false">
      <c r="A594" s="19"/>
      <c r="B594" s="18" t="n">
        <v>5</v>
      </c>
      <c r="C594" s="4" t="s">
        <v>1344</v>
      </c>
      <c r="D594" s="19" t="s">
        <v>921</v>
      </c>
      <c r="E594" s="6" t="s">
        <v>1345</v>
      </c>
      <c r="F594" s="6" t="s">
        <v>1346</v>
      </c>
      <c r="G594" s="6" t="s">
        <v>1347</v>
      </c>
    </row>
    <row r="595" customFormat="false" ht="25.5" hidden="false" customHeight="true" outlineLevel="0" collapsed="false">
      <c r="A595" s="19"/>
      <c r="B595" s="18" t="n">
        <v>6</v>
      </c>
      <c r="C595" s="4" t="s">
        <v>1348</v>
      </c>
      <c r="D595" s="19" t="s">
        <v>921</v>
      </c>
      <c r="E595" s="6" t="s">
        <v>1349</v>
      </c>
      <c r="F595" s="6" t="s">
        <v>1346</v>
      </c>
      <c r="G595" s="6" t="s">
        <v>1347</v>
      </c>
    </row>
    <row r="596" customFormat="false" ht="25.5" hidden="false" customHeight="true" outlineLevel="0" collapsed="false">
      <c r="A596" s="19"/>
      <c r="B596" s="18" t="n">
        <v>7</v>
      </c>
      <c r="C596" s="4" t="s">
        <v>1350</v>
      </c>
      <c r="D596" s="19" t="s">
        <v>921</v>
      </c>
      <c r="E596" s="6" t="s">
        <v>1351</v>
      </c>
      <c r="F596" s="6" t="s">
        <v>1346</v>
      </c>
      <c r="G596" s="6" t="s">
        <v>1347</v>
      </c>
    </row>
    <row r="597" customFormat="false" ht="25.5" hidden="false" customHeight="true" outlineLevel="0" collapsed="false">
      <c r="A597" s="19"/>
      <c r="B597" s="18" t="n">
        <v>8</v>
      </c>
      <c r="C597" s="4" t="s">
        <v>1352</v>
      </c>
      <c r="D597" s="19" t="s">
        <v>921</v>
      </c>
      <c r="E597" s="6" t="s">
        <v>1353</v>
      </c>
      <c r="F597" s="6" t="s">
        <v>1346</v>
      </c>
      <c r="G597" s="6" t="s">
        <v>1347</v>
      </c>
    </row>
    <row r="598" customFormat="false" ht="33" hidden="false" customHeight="true" outlineLevel="0" collapsed="false">
      <c r="A598" s="19"/>
      <c r="B598" s="18" t="n">
        <v>9</v>
      </c>
      <c r="C598" s="4" t="s">
        <v>1354</v>
      </c>
      <c r="D598" s="19" t="s">
        <v>957</v>
      </c>
      <c r="E598" s="6" t="s">
        <v>1355</v>
      </c>
      <c r="F598" s="6" t="s">
        <v>1356</v>
      </c>
      <c r="G598" s="6" t="s">
        <v>1357</v>
      </c>
    </row>
    <row r="599" customFormat="false" ht="25.5" hidden="false" customHeight="true" outlineLevel="0" collapsed="false">
      <c r="A599" s="19"/>
      <c r="B599" s="18" t="n">
        <v>10</v>
      </c>
      <c r="C599" s="4" t="s">
        <v>1358</v>
      </c>
      <c r="D599" s="19" t="s">
        <v>921</v>
      </c>
      <c r="E599" s="6" t="s">
        <v>1359</v>
      </c>
      <c r="F599" s="6" t="s">
        <v>1360</v>
      </c>
      <c r="G599" s="6" t="s">
        <v>1361</v>
      </c>
    </row>
    <row r="600" customFormat="false" ht="25.5" hidden="false" customHeight="true" outlineLevel="0" collapsed="false">
      <c r="A600" s="19"/>
      <c r="B600" s="18" t="n">
        <v>11</v>
      </c>
      <c r="C600" s="4" t="s">
        <v>1362</v>
      </c>
      <c r="D600" s="19" t="s">
        <v>932</v>
      </c>
      <c r="E600" s="6" t="s">
        <v>1363</v>
      </c>
      <c r="F600" s="6" t="s">
        <v>1342</v>
      </c>
      <c r="G600" s="6" t="s">
        <v>1343</v>
      </c>
    </row>
    <row r="601" customFormat="false" ht="25.5" hidden="false" customHeight="true" outlineLevel="0" collapsed="false">
      <c r="A601" s="19"/>
      <c r="B601" s="18" t="n">
        <v>12</v>
      </c>
      <c r="C601" s="4" t="s">
        <v>1364</v>
      </c>
      <c r="D601" s="19" t="s">
        <v>932</v>
      </c>
      <c r="E601" s="6" t="s">
        <v>1365</v>
      </c>
      <c r="F601" s="6" t="s">
        <v>1366</v>
      </c>
      <c r="G601" s="6" t="s">
        <v>1367</v>
      </c>
    </row>
    <row r="602" customFormat="false" ht="25.5" hidden="false" customHeight="true" outlineLevel="0" collapsed="false">
      <c r="A602" s="19"/>
      <c r="B602" s="18" t="n">
        <v>13</v>
      </c>
      <c r="C602" s="4" t="s">
        <v>1368</v>
      </c>
      <c r="D602" s="19" t="s">
        <v>932</v>
      </c>
      <c r="E602" s="6" t="s">
        <v>1369</v>
      </c>
      <c r="F602" s="6" t="s">
        <v>1366</v>
      </c>
      <c r="G602" s="6" t="s">
        <v>1367</v>
      </c>
    </row>
    <row r="603" customFormat="false" ht="43.5" hidden="false" customHeight="true" outlineLevel="0" collapsed="false">
      <c r="A603" s="19"/>
      <c r="B603" s="18" t="n">
        <v>14</v>
      </c>
      <c r="C603" s="4" t="s">
        <v>871</v>
      </c>
      <c r="D603" s="19" t="s">
        <v>957</v>
      </c>
      <c r="E603" s="6" t="s">
        <v>958</v>
      </c>
      <c r="F603" s="6" t="s">
        <v>959</v>
      </c>
      <c r="G603" s="6" t="s">
        <v>960</v>
      </c>
    </row>
    <row r="604" customFormat="false" ht="33" hidden="false" customHeight="true" outlineLevel="0" collapsed="false">
      <c r="A604" s="19"/>
      <c r="B604" s="18" t="n">
        <v>15</v>
      </c>
      <c r="C604" s="4" t="s">
        <v>895</v>
      </c>
      <c r="D604" s="19" t="s">
        <v>957</v>
      </c>
      <c r="E604" s="6" t="s">
        <v>1370</v>
      </c>
      <c r="F604" s="6" t="s">
        <v>959</v>
      </c>
      <c r="G604" s="6" t="s">
        <v>994</v>
      </c>
    </row>
    <row r="605" customFormat="false" ht="33" hidden="false" customHeight="true" outlineLevel="0" collapsed="false">
      <c r="A605" s="19"/>
      <c r="B605" s="18" t="n">
        <v>16</v>
      </c>
      <c r="C605" s="4" t="s">
        <v>1371</v>
      </c>
      <c r="D605" s="19" t="s">
        <v>932</v>
      </c>
      <c r="E605" s="6" t="s">
        <v>1372</v>
      </c>
      <c r="F605" s="6" t="s">
        <v>948</v>
      </c>
      <c r="G605" s="6" t="s">
        <v>1373</v>
      </c>
    </row>
    <row r="606" customFormat="false" ht="33" hidden="false" customHeight="true" outlineLevel="0" collapsed="false">
      <c r="A606" s="19"/>
      <c r="B606" s="18" t="n">
        <v>17</v>
      </c>
      <c r="C606" s="4" t="s">
        <v>1374</v>
      </c>
      <c r="D606" s="19" t="s">
        <v>932</v>
      </c>
      <c r="E606" s="6" t="s">
        <v>1375</v>
      </c>
      <c r="F606" s="6" t="s">
        <v>948</v>
      </c>
      <c r="G606" s="6" t="s">
        <v>1373</v>
      </c>
    </row>
    <row r="607" customFormat="false" ht="33" hidden="false" customHeight="true" outlineLevel="0" collapsed="false">
      <c r="A607" s="19"/>
      <c r="B607" s="18" t="n">
        <v>18</v>
      </c>
      <c r="C607" s="4" t="s">
        <v>1376</v>
      </c>
      <c r="D607" s="19" t="s">
        <v>986</v>
      </c>
      <c r="E607" s="6" t="s">
        <v>1377</v>
      </c>
      <c r="F607" s="6" t="s">
        <v>1378</v>
      </c>
      <c r="G607" s="6" t="s">
        <v>1379</v>
      </c>
    </row>
    <row r="608" customFormat="false" ht="33" hidden="false" customHeight="true" outlineLevel="0" collapsed="false">
      <c r="A608" s="19"/>
      <c r="B608" s="18" t="n">
        <v>19</v>
      </c>
      <c r="C608" s="4" t="s">
        <v>979</v>
      </c>
      <c r="D608" s="19" t="s">
        <v>932</v>
      </c>
      <c r="E608" s="6" t="s">
        <v>980</v>
      </c>
      <c r="F608" s="6" t="s">
        <v>1380</v>
      </c>
      <c r="G608" s="6" t="s">
        <v>1381</v>
      </c>
    </row>
    <row r="609" customFormat="false" ht="33" hidden="false" customHeight="true" outlineLevel="0" collapsed="false">
      <c r="A609" s="19"/>
      <c r="B609" s="18" t="n">
        <v>20</v>
      </c>
      <c r="C609" s="4" t="s">
        <v>856</v>
      </c>
      <c r="D609" s="19" t="s">
        <v>957</v>
      </c>
      <c r="E609" s="6" t="s">
        <v>990</v>
      </c>
      <c r="F609" s="6" t="s">
        <v>1101</v>
      </c>
      <c r="G609" s="6" t="s">
        <v>1382</v>
      </c>
    </row>
    <row r="610" customFormat="false" ht="33" hidden="false" customHeight="true" outlineLevel="0" collapsed="false">
      <c r="A610" s="19"/>
      <c r="B610" s="18" t="n">
        <v>21</v>
      </c>
      <c r="C610" s="4" t="s">
        <v>889</v>
      </c>
      <c r="D610" s="19" t="s">
        <v>957</v>
      </c>
      <c r="E610" s="6" t="s">
        <v>995</v>
      </c>
      <c r="F610" s="6" t="s">
        <v>959</v>
      </c>
      <c r="G610" s="6" t="s">
        <v>994</v>
      </c>
    </row>
    <row r="611" customFormat="false" ht="33" hidden="false" customHeight="true" outlineLevel="0" collapsed="false">
      <c r="A611" s="4" t="s">
        <v>1385</v>
      </c>
      <c r="B611" s="18" t="n">
        <v>1</v>
      </c>
      <c r="C611" s="4" t="s">
        <v>859</v>
      </c>
      <c r="D611" s="19" t="s">
        <v>1330</v>
      </c>
      <c r="E611" s="6" t="s">
        <v>922</v>
      </c>
      <c r="F611" s="6" t="s">
        <v>1331</v>
      </c>
      <c r="G611" s="6" t="s">
        <v>1386</v>
      </c>
    </row>
    <row r="612" customFormat="false" ht="25.5" hidden="false" customHeight="true" outlineLevel="0" collapsed="false">
      <c r="A612" s="19"/>
      <c r="B612" s="18" t="n">
        <v>2</v>
      </c>
      <c r="C612" s="4" t="s">
        <v>1333</v>
      </c>
      <c r="D612" s="19" t="s">
        <v>957</v>
      </c>
      <c r="E612" s="6" t="s">
        <v>1334</v>
      </c>
      <c r="F612" s="6" t="s">
        <v>1132</v>
      </c>
      <c r="G612" s="6" t="s">
        <v>1335</v>
      </c>
    </row>
    <row r="613" customFormat="false" ht="25.5" hidden="false" customHeight="true" outlineLevel="0" collapsed="false">
      <c r="A613" s="19"/>
      <c r="B613" s="18" t="n">
        <v>3</v>
      </c>
      <c r="C613" s="4" t="s">
        <v>1336</v>
      </c>
      <c r="D613" s="19" t="s">
        <v>957</v>
      </c>
      <c r="E613" s="6" t="s">
        <v>1337</v>
      </c>
      <c r="F613" s="6" t="s">
        <v>1338</v>
      </c>
      <c r="G613" s="6" t="s">
        <v>1339</v>
      </c>
    </row>
    <row r="614" customFormat="false" ht="25.5" hidden="false" customHeight="true" outlineLevel="0" collapsed="false">
      <c r="A614" s="19"/>
      <c r="B614" s="18" t="n">
        <v>4</v>
      </c>
      <c r="C614" s="4" t="s">
        <v>1340</v>
      </c>
      <c r="D614" s="19" t="s">
        <v>932</v>
      </c>
      <c r="E614" s="6" t="s">
        <v>1341</v>
      </c>
      <c r="F614" s="6" t="s">
        <v>1342</v>
      </c>
      <c r="G614" s="6" t="s">
        <v>1343</v>
      </c>
    </row>
    <row r="615" customFormat="false" ht="25.5" hidden="false" customHeight="true" outlineLevel="0" collapsed="false">
      <c r="A615" s="19"/>
      <c r="B615" s="18" t="n">
        <v>5</v>
      </c>
      <c r="C615" s="4" t="s">
        <v>1344</v>
      </c>
      <c r="D615" s="19" t="s">
        <v>921</v>
      </c>
      <c r="E615" s="6" t="s">
        <v>1345</v>
      </c>
      <c r="F615" s="6" t="s">
        <v>1346</v>
      </c>
      <c r="G615" s="6" t="s">
        <v>1347</v>
      </c>
    </row>
    <row r="616" customFormat="false" ht="25.5" hidden="false" customHeight="true" outlineLevel="0" collapsed="false">
      <c r="A616" s="19"/>
      <c r="B616" s="18" t="n">
        <v>6</v>
      </c>
      <c r="C616" s="4" t="s">
        <v>1348</v>
      </c>
      <c r="D616" s="19" t="s">
        <v>921</v>
      </c>
      <c r="E616" s="6" t="s">
        <v>1349</v>
      </c>
      <c r="F616" s="6" t="s">
        <v>1346</v>
      </c>
      <c r="G616" s="6" t="s">
        <v>1347</v>
      </c>
    </row>
    <row r="617" customFormat="false" ht="25.5" hidden="false" customHeight="true" outlineLevel="0" collapsed="false">
      <c r="A617" s="19"/>
      <c r="B617" s="18" t="n">
        <v>7</v>
      </c>
      <c r="C617" s="4" t="s">
        <v>1350</v>
      </c>
      <c r="D617" s="19" t="s">
        <v>921</v>
      </c>
      <c r="E617" s="6" t="s">
        <v>1351</v>
      </c>
      <c r="F617" s="6" t="s">
        <v>1346</v>
      </c>
      <c r="G617" s="6" t="s">
        <v>1347</v>
      </c>
    </row>
    <row r="618" customFormat="false" ht="25.5" hidden="false" customHeight="true" outlineLevel="0" collapsed="false">
      <c r="A618" s="19"/>
      <c r="B618" s="18" t="n">
        <v>8</v>
      </c>
      <c r="C618" s="4" t="s">
        <v>1352</v>
      </c>
      <c r="D618" s="19" t="s">
        <v>921</v>
      </c>
      <c r="E618" s="6" t="s">
        <v>1353</v>
      </c>
      <c r="F618" s="6" t="s">
        <v>1346</v>
      </c>
      <c r="G618" s="6" t="s">
        <v>1347</v>
      </c>
    </row>
    <row r="619" customFormat="false" ht="33" hidden="false" customHeight="true" outlineLevel="0" collapsed="false">
      <c r="A619" s="19"/>
      <c r="B619" s="18" t="n">
        <v>9</v>
      </c>
      <c r="C619" s="4" t="s">
        <v>1354</v>
      </c>
      <c r="D619" s="19" t="s">
        <v>957</v>
      </c>
      <c r="E619" s="6" t="s">
        <v>1355</v>
      </c>
      <c r="F619" s="6" t="s">
        <v>1356</v>
      </c>
      <c r="G619" s="6" t="s">
        <v>1357</v>
      </c>
    </row>
    <row r="620" customFormat="false" ht="25.5" hidden="false" customHeight="true" outlineLevel="0" collapsed="false">
      <c r="A620" s="19"/>
      <c r="B620" s="18" t="n">
        <v>10</v>
      </c>
      <c r="C620" s="4" t="s">
        <v>1358</v>
      </c>
      <c r="D620" s="19" t="s">
        <v>921</v>
      </c>
      <c r="E620" s="6" t="s">
        <v>1359</v>
      </c>
      <c r="F620" s="6" t="s">
        <v>1360</v>
      </c>
      <c r="G620" s="6" t="s">
        <v>1361</v>
      </c>
    </row>
    <row r="621" customFormat="false" ht="25.5" hidden="false" customHeight="true" outlineLevel="0" collapsed="false">
      <c r="A621" s="19"/>
      <c r="B621" s="18" t="n">
        <v>11</v>
      </c>
      <c r="C621" s="4" t="s">
        <v>1362</v>
      </c>
      <c r="D621" s="19" t="s">
        <v>932</v>
      </c>
      <c r="E621" s="6" t="s">
        <v>1363</v>
      </c>
      <c r="F621" s="6" t="s">
        <v>1342</v>
      </c>
      <c r="G621" s="6" t="s">
        <v>1343</v>
      </c>
    </row>
    <row r="622" customFormat="false" ht="25.5" hidden="false" customHeight="true" outlineLevel="0" collapsed="false">
      <c r="A622" s="19"/>
      <c r="B622" s="18" t="n">
        <v>12</v>
      </c>
      <c r="C622" s="4" t="s">
        <v>1364</v>
      </c>
      <c r="D622" s="19" t="s">
        <v>932</v>
      </c>
      <c r="E622" s="6" t="s">
        <v>1365</v>
      </c>
      <c r="F622" s="6" t="s">
        <v>1366</v>
      </c>
      <c r="G622" s="6" t="s">
        <v>1367</v>
      </c>
    </row>
    <row r="623" customFormat="false" ht="25.5" hidden="false" customHeight="true" outlineLevel="0" collapsed="false">
      <c r="A623" s="19"/>
      <c r="B623" s="18" t="n">
        <v>13</v>
      </c>
      <c r="C623" s="4" t="s">
        <v>1368</v>
      </c>
      <c r="D623" s="19" t="s">
        <v>932</v>
      </c>
      <c r="E623" s="6" t="s">
        <v>1369</v>
      </c>
      <c r="F623" s="6" t="s">
        <v>1366</v>
      </c>
      <c r="G623" s="6" t="s">
        <v>1367</v>
      </c>
    </row>
    <row r="624" customFormat="false" ht="43.5" hidden="false" customHeight="true" outlineLevel="0" collapsed="false">
      <c r="A624" s="19"/>
      <c r="B624" s="18" t="n">
        <v>14</v>
      </c>
      <c r="C624" s="4" t="s">
        <v>871</v>
      </c>
      <c r="D624" s="19" t="s">
        <v>957</v>
      </c>
      <c r="E624" s="6" t="s">
        <v>958</v>
      </c>
      <c r="F624" s="6" t="s">
        <v>959</v>
      </c>
      <c r="G624" s="6" t="s">
        <v>960</v>
      </c>
    </row>
    <row r="625" customFormat="false" ht="33" hidden="false" customHeight="true" outlineLevel="0" collapsed="false">
      <c r="A625" s="19"/>
      <c r="B625" s="18" t="n">
        <v>15</v>
      </c>
      <c r="C625" s="4" t="s">
        <v>895</v>
      </c>
      <c r="D625" s="19" t="s">
        <v>957</v>
      </c>
      <c r="E625" s="6" t="s">
        <v>1370</v>
      </c>
      <c r="F625" s="6" t="s">
        <v>959</v>
      </c>
      <c r="G625" s="6" t="s">
        <v>994</v>
      </c>
    </row>
    <row r="626" customFormat="false" ht="33" hidden="false" customHeight="true" outlineLevel="0" collapsed="false">
      <c r="A626" s="19"/>
      <c r="B626" s="18" t="n">
        <v>16</v>
      </c>
      <c r="C626" s="4" t="s">
        <v>1371</v>
      </c>
      <c r="D626" s="19" t="s">
        <v>932</v>
      </c>
      <c r="E626" s="6" t="s">
        <v>1372</v>
      </c>
      <c r="F626" s="6" t="s">
        <v>948</v>
      </c>
      <c r="G626" s="6" t="s">
        <v>1373</v>
      </c>
    </row>
    <row r="627" customFormat="false" ht="33" hidden="false" customHeight="true" outlineLevel="0" collapsed="false">
      <c r="A627" s="19"/>
      <c r="B627" s="18" t="n">
        <v>17</v>
      </c>
      <c r="C627" s="4" t="s">
        <v>1374</v>
      </c>
      <c r="D627" s="19" t="s">
        <v>932</v>
      </c>
      <c r="E627" s="6" t="s">
        <v>1375</v>
      </c>
      <c r="F627" s="6" t="s">
        <v>948</v>
      </c>
      <c r="G627" s="6" t="s">
        <v>1373</v>
      </c>
    </row>
    <row r="628" customFormat="false" ht="33" hidden="false" customHeight="true" outlineLevel="0" collapsed="false">
      <c r="A628" s="19"/>
      <c r="B628" s="18" t="n">
        <v>18</v>
      </c>
      <c r="C628" s="4" t="s">
        <v>1376</v>
      </c>
      <c r="D628" s="19" t="s">
        <v>986</v>
      </c>
      <c r="E628" s="6" t="s">
        <v>1377</v>
      </c>
      <c r="F628" s="6" t="s">
        <v>1378</v>
      </c>
      <c r="G628" s="6" t="s">
        <v>1379</v>
      </c>
    </row>
    <row r="629" customFormat="false" ht="33" hidden="false" customHeight="true" outlineLevel="0" collapsed="false">
      <c r="A629" s="19"/>
      <c r="B629" s="18" t="n">
        <v>19</v>
      </c>
      <c r="C629" s="4" t="s">
        <v>979</v>
      </c>
      <c r="D629" s="19" t="s">
        <v>932</v>
      </c>
      <c r="E629" s="6" t="s">
        <v>980</v>
      </c>
      <c r="F629" s="6" t="s">
        <v>1380</v>
      </c>
      <c r="G629" s="6" t="s">
        <v>1381</v>
      </c>
    </row>
    <row r="630" customFormat="false" ht="33" hidden="false" customHeight="true" outlineLevel="0" collapsed="false">
      <c r="A630" s="19"/>
      <c r="B630" s="18" t="n">
        <v>20</v>
      </c>
      <c r="C630" s="4" t="s">
        <v>856</v>
      </c>
      <c r="D630" s="19" t="s">
        <v>957</v>
      </c>
      <c r="E630" s="6" t="s">
        <v>990</v>
      </c>
      <c r="F630" s="6" t="s">
        <v>1101</v>
      </c>
      <c r="G630" s="6" t="s">
        <v>1382</v>
      </c>
    </row>
    <row r="631" customFormat="false" ht="33" hidden="false" customHeight="true" outlineLevel="0" collapsed="false">
      <c r="A631" s="19"/>
      <c r="B631" s="18" t="n">
        <v>21</v>
      </c>
      <c r="C631" s="4" t="s">
        <v>889</v>
      </c>
      <c r="D631" s="19" t="s">
        <v>957</v>
      </c>
      <c r="E631" s="6" t="s">
        <v>995</v>
      </c>
      <c r="F631" s="6" t="s">
        <v>959</v>
      </c>
      <c r="G631" s="6" t="s">
        <v>994</v>
      </c>
    </row>
    <row r="632" customFormat="false" ht="33" hidden="false" customHeight="true" outlineLevel="0" collapsed="false">
      <c r="A632" s="4" t="s">
        <v>1387</v>
      </c>
      <c r="B632" s="18" t="n">
        <v>1</v>
      </c>
      <c r="C632" s="4" t="s">
        <v>859</v>
      </c>
      <c r="D632" s="19" t="s">
        <v>1330</v>
      </c>
      <c r="E632" s="6" t="s">
        <v>922</v>
      </c>
      <c r="F632" s="6" t="s">
        <v>1331</v>
      </c>
      <c r="G632" s="6" t="s">
        <v>1388</v>
      </c>
    </row>
    <row r="633" customFormat="false" ht="25.5" hidden="false" customHeight="true" outlineLevel="0" collapsed="false">
      <c r="A633" s="19"/>
      <c r="B633" s="18" t="n">
        <v>2</v>
      </c>
      <c r="C633" s="4" t="s">
        <v>1333</v>
      </c>
      <c r="D633" s="19" t="s">
        <v>957</v>
      </c>
      <c r="E633" s="6" t="s">
        <v>1334</v>
      </c>
      <c r="F633" s="6" t="s">
        <v>1132</v>
      </c>
      <c r="G633" s="6" t="s">
        <v>1335</v>
      </c>
    </row>
    <row r="634" customFormat="false" ht="25.5" hidden="false" customHeight="true" outlineLevel="0" collapsed="false">
      <c r="A634" s="19"/>
      <c r="B634" s="18" t="n">
        <v>3</v>
      </c>
      <c r="C634" s="4" t="s">
        <v>1336</v>
      </c>
      <c r="D634" s="19" t="s">
        <v>957</v>
      </c>
      <c r="E634" s="6" t="s">
        <v>1337</v>
      </c>
      <c r="F634" s="6" t="s">
        <v>1338</v>
      </c>
      <c r="G634" s="6" t="s">
        <v>1339</v>
      </c>
    </row>
    <row r="635" customFormat="false" ht="25.5" hidden="false" customHeight="true" outlineLevel="0" collapsed="false">
      <c r="A635" s="19"/>
      <c r="B635" s="18" t="n">
        <v>4</v>
      </c>
      <c r="C635" s="4" t="s">
        <v>1340</v>
      </c>
      <c r="D635" s="19" t="s">
        <v>932</v>
      </c>
      <c r="E635" s="6" t="s">
        <v>1341</v>
      </c>
      <c r="F635" s="6" t="s">
        <v>1342</v>
      </c>
      <c r="G635" s="6" t="s">
        <v>1343</v>
      </c>
    </row>
    <row r="636" customFormat="false" ht="25.5" hidden="false" customHeight="true" outlineLevel="0" collapsed="false">
      <c r="A636" s="19"/>
      <c r="B636" s="18" t="n">
        <v>5</v>
      </c>
      <c r="C636" s="4" t="s">
        <v>1344</v>
      </c>
      <c r="D636" s="19" t="s">
        <v>921</v>
      </c>
      <c r="E636" s="6" t="s">
        <v>1345</v>
      </c>
      <c r="F636" s="6" t="s">
        <v>1346</v>
      </c>
      <c r="G636" s="6" t="s">
        <v>1347</v>
      </c>
    </row>
    <row r="637" customFormat="false" ht="25.5" hidden="false" customHeight="true" outlineLevel="0" collapsed="false">
      <c r="A637" s="19"/>
      <c r="B637" s="18" t="n">
        <v>6</v>
      </c>
      <c r="C637" s="4" t="s">
        <v>1348</v>
      </c>
      <c r="D637" s="19" t="s">
        <v>921</v>
      </c>
      <c r="E637" s="6" t="s">
        <v>1349</v>
      </c>
      <c r="F637" s="6" t="s">
        <v>1346</v>
      </c>
      <c r="G637" s="6" t="s">
        <v>1347</v>
      </c>
    </row>
    <row r="638" customFormat="false" ht="25.5" hidden="false" customHeight="true" outlineLevel="0" collapsed="false">
      <c r="A638" s="19"/>
      <c r="B638" s="18" t="n">
        <v>7</v>
      </c>
      <c r="C638" s="4" t="s">
        <v>1350</v>
      </c>
      <c r="D638" s="19" t="s">
        <v>921</v>
      </c>
      <c r="E638" s="6" t="s">
        <v>1351</v>
      </c>
      <c r="F638" s="6" t="s">
        <v>1346</v>
      </c>
      <c r="G638" s="6" t="s">
        <v>1347</v>
      </c>
    </row>
    <row r="639" customFormat="false" ht="25.5" hidden="false" customHeight="true" outlineLevel="0" collapsed="false">
      <c r="A639" s="19"/>
      <c r="B639" s="18" t="n">
        <v>8</v>
      </c>
      <c r="C639" s="4" t="s">
        <v>1352</v>
      </c>
      <c r="D639" s="19" t="s">
        <v>921</v>
      </c>
      <c r="E639" s="6" t="s">
        <v>1353</v>
      </c>
      <c r="F639" s="6" t="s">
        <v>1346</v>
      </c>
      <c r="G639" s="6" t="s">
        <v>1347</v>
      </c>
    </row>
    <row r="640" customFormat="false" ht="33" hidden="false" customHeight="true" outlineLevel="0" collapsed="false">
      <c r="A640" s="19"/>
      <c r="B640" s="18" t="n">
        <v>9</v>
      </c>
      <c r="C640" s="4" t="s">
        <v>1354</v>
      </c>
      <c r="D640" s="19" t="s">
        <v>957</v>
      </c>
      <c r="E640" s="6" t="s">
        <v>1355</v>
      </c>
      <c r="F640" s="6" t="s">
        <v>1356</v>
      </c>
      <c r="G640" s="6" t="s">
        <v>1357</v>
      </c>
    </row>
    <row r="641" customFormat="false" ht="25.5" hidden="false" customHeight="true" outlineLevel="0" collapsed="false">
      <c r="A641" s="19"/>
      <c r="B641" s="18" t="n">
        <v>10</v>
      </c>
      <c r="C641" s="4" t="s">
        <v>1358</v>
      </c>
      <c r="D641" s="19" t="s">
        <v>921</v>
      </c>
      <c r="E641" s="6" t="s">
        <v>1359</v>
      </c>
      <c r="F641" s="6" t="s">
        <v>1360</v>
      </c>
      <c r="G641" s="6" t="s">
        <v>1361</v>
      </c>
    </row>
    <row r="642" customFormat="false" ht="25.5" hidden="false" customHeight="true" outlineLevel="0" collapsed="false">
      <c r="A642" s="19"/>
      <c r="B642" s="18" t="n">
        <v>11</v>
      </c>
      <c r="C642" s="4" t="s">
        <v>1362</v>
      </c>
      <c r="D642" s="19" t="s">
        <v>932</v>
      </c>
      <c r="E642" s="6" t="s">
        <v>1363</v>
      </c>
      <c r="F642" s="6" t="s">
        <v>1342</v>
      </c>
      <c r="G642" s="6" t="s">
        <v>1343</v>
      </c>
    </row>
    <row r="643" customFormat="false" ht="25.5" hidden="false" customHeight="true" outlineLevel="0" collapsed="false">
      <c r="A643" s="19"/>
      <c r="B643" s="18" t="n">
        <v>12</v>
      </c>
      <c r="C643" s="4" t="s">
        <v>1364</v>
      </c>
      <c r="D643" s="19" t="s">
        <v>932</v>
      </c>
      <c r="E643" s="6" t="s">
        <v>1365</v>
      </c>
      <c r="F643" s="6" t="s">
        <v>1366</v>
      </c>
      <c r="G643" s="6" t="s">
        <v>1367</v>
      </c>
    </row>
    <row r="644" customFormat="false" ht="25.5" hidden="false" customHeight="true" outlineLevel="0" collapsed="false">
      <c r="A644" s="19"/>
      <c r="B644" s="18" t="n">
        <v>13</v>
      </c>
      <c r="C644" s="4" t="s">
        <v>1368</v>
      </c>
      <c r="D644" s="19" t="s">
        <v>932</v>
      </c>
      <c r="E644" s="6" t="s">
        <v>1369</v>
      </c>
      <c r="F644" s="6" t="s">
        <v>1366</v>
      </c>
      <c r="G644" s="6" t="s">
        <v>1367</v>
      </c>
    </row>
    <row r="645" customFormat="false" ht="43.5" hidden="false" customHeight="true" outlineLevel="0" collapsed="false">
      <c r="A645" s="19"/>
      <c r="B645" s="18" t="n">
        <v>14</v>
      </c>
      <c r="C645" s="4" t="s">
        <v>871</v>
      </c>
      <c r="D645" s="19" t="s">
        <v>957</v>
      </c>
      <c r="E645" s="6" t="s">
        <v>958</v>
      </c>
      <c r="F645" s="6" t="s">
        <v>959</v>
      </c>
      <c r="G645" s="6" t="s">
        <v>960</v>
      </c>
    </row>
    <row r="646" customFormat="false" ht="33" hidden="false" customHeight="true" outlineLevel="0" collapsed="false">
      <c r="A646" s="19"/>
      <c r="B646" s="18" t="n">
        <v>15</v>
      </c>
      <c r="C646" s="4" t="s">
        <v>895</v>
      </c>
      <c r="D646" s="19" t="s">
        <v>957</v>
      </c>
      <c r="E646" s="6" t="s">
        <v>1370</v>
      </c>
      <c r="F646" s="6" t="s">
        <v>959</v>
      </c>
      <c r="G646" s="6" t="s">
        <v>994</v>
      </c>
    </row>
    <row r="647" customFormat="false" ht="33" hidden="false" customHeight="true" outlineLevel="0" collapsed="false">
      <c r="A647" s="19"/>
      <c r="B647" s="18" t="n">
        <v>16</v>
      </c>
      <c r="C647" s="4" t="s">
        <v>1371</v>
      </c>
      <c r="D647" s="19" t="s">
        <v>932</v>
      </c>
      <c r="E647" s="6" t="s">
        <v>1372</v>
      </c>
      <c r="F647" s="6" t="s">
        <v>948</v>
      </c>
      <c r="G647" s="6" t="s">
        <v>1373</v>
      </c>
    </row>
    <row r="648" customFormat="false" ht="33" hidden="false" customHeight="true" outlineLevel="0" collapsed="false">
      <c r="A648" s="19"/>
      <c r="B648" s="18" t="n">
        <v>17</v>
      </c>
      <c r="C648" s="4" t="s">
        <v>1374</v>
      </c>
      <c r="D648" s="19" t="s">
        <v>932</v>
      </c>
      <c r="E648" s="6" t="s">
        <v>1375</v>
      </c>
      <c r="F648" s="6" t="s">
        <v>948</v>
      </c>
      <c r="G648" s="6" t="s">
        <v>1373</v>
      </c>
    </row>
    <row r="649" customFormat="false" ht="33" hidden="false" customHeight="true" outlineLevel="0" collapsed="false">
      <c r="A649" s="19"/>
      <c r="B649" s="18" t="n">
        <v>18</v>
      </c>
      <c r="C649" s="4" t="s">
        <v>1376</v>
      </c>
      <c r="D649" s="19" t="s">
        <v>986</v>
      </c>
      <c r="E649" s="6" t="s">
        <v>1377</v>
      </c>
      <c r="F649" s="6" t="s">
        <v>1378</v>
      </c>
      <c r="G649" s="6" t="s">
        <v>1379</v>
      </c>
    </row>
    <row r="650" customFormat="false" ht="33" hidden="false" customHeight="true" outlineLevel="0" collapsed="false">
      <c r="A650" s="19"/>
      <c r="B650" s="18" t="n">
        <v>19</v>
      </c>
      <c r="C650" s="4" t="s">
        <v>979</v>
      </c>
      <c r="D650" s="19" t="s">
        <v>932</v>
      </c>
      <c r="E650" s="6" t="s">
        <v>980</v>
      </c>
      <c r="F650" s="6" t="s">
        <v>1380</v>
      </c>
      <c r="G650" s="6" t="s">
        <v>1381</v>
      </c>
    </row>
    <row r="651" customFormat="false" ht="33" hidden="false" customHeight="true" outlineLevel="0" collapsed="false">
      <c r="A651" s="19"/>
      <c r="B651" s="18" t="n">
        <v>20</v>
      </c>
      <c r="C651" s="4" t="s">
        <v>856</v>
      </c>
      <c r="D651" s="19" t="s">
        <v>957</v>
      </c>
      <c r="E651" s="6" t="s">
        <v>990</v>
      </c>
      <c r="F651" s="6" t="s">
        <v>1101</v>
      </c>
      <c r="G651" s="6" t="s">
        <v>1382</v>
      </c>
    </row>
    <row r="652" customFormat="false" ht="33" hidden="false" customHeight="true" outlineLevel="0" collapsed="false">
      <c r="A652" s="19"/>
      <c r="B652" s="18" t="n">
        <v>21</v>
      </c>
      <c r="C652" s="4" t="s">
        <v>889</v>
      </c>
      <c r="D652" s="19" t="s">
        <v>957</v>
      </c>
      <c r="E652" s="6" t="s">
        <v>995</v>
      </c>
      <c r="F652" s="6" t="s">
        <v>959</v>
      </c>
      <c r="G652" s="6" t="s">
        <v>994</v>
      </c>
    </row>
    <row r="653" customFormat="false" ht="33" hidden="false" customHeight="true" outlineLevel="0" collapsed="false">
      <c r="A653" s="4" t="s">
        <v>1389</v>
      </c>
      <c r="B653" s="18" t="n">
        <v>1</v>
      </c>
      <c r="C653" s="4" t="s">
        <v>859</v>
      </c>
      <c r="D653" s="19" t="s">
        <v>921</v>
      </c>
      <c r="E653" s="6" t="s">
        <v>922</v>
      </c>
      <c r="F653" s="6" t="s">
        <v>1390</v>
      </c>
      <c r="G653" s="6" t="s">
        <v>1391</v>
      </c>
    </row>
    <row r="654" customFormat="false" ht="25.5" hidden="false" customHeight="true" outlineLevel="0" collapsed="false">
      <c r="A654" s="19"/>
      <c r="B654" s="18" t="n">
        <v>2</v>
      </c>
      <c r="C654" s="4" t="s">
        <v>1392</v>
      </c>
      <c r="D654" s="19" t="s">
        <v>932</v>
      </c>
      <c r="E654" s="6" t="s">
        <v>1393</v>
      </c>
      <c r="F654" s="6" t="s">
        <v>974</v>
      </c>
      <c r="G654" s="6" t="s">
        <v>1394</v>
      </c>
    </row>
    <row r="655" customFormat="false" ht="43.5" hidden="false" customHeight="true" outlineLevel="0" collapsed="false">
      <c r="A655" s="19"/>
      <c r="B655" s="18" t="n">
        <v>3</v>
      </c>
      <c r="C655" s="4" t="s">
        <v>1336</v>
      </c>
      <c r="D655" s="19" t="s">
        <v>921</v>
      </c>
      <c r="E655" s="6" t="s">
        <v>1337</v>
      </c>
      <c r="F655" s="6" t="s">
        <v>1395</v>
      </c>
      <c r="G655" s="6" t="s">
        <v>1396</v>
      </c>
    </row>
    <row r="656" customFormat="false" ht="43.5" hidden="false" customHeight="true" outlineLevel="0" collapsed="false">
      <c r="A656" s="19"/>
      <c r="B656" s="18" t="n">
        <v>4</v>
      </c>
      <c r="C656" s="4" t="s">
        <v>865</v>
      </c>
      <c r="D656" s="19" t="s">
        <v>957</v>
      </c>
      <c r="E656" s="6" t="s">
        <v>1299</v>
      </c>
      <c r="F656" s="6" t="s">
        <v>1132</v>
      </c>
      <c r="G656" s="6" t="s">
        <v>1397</v>
      </c>
    </row>
    <row r="657" customFormat="false" ht="25.5" hidden="false" customHeight="true" outlineLevel="0" collapsed="false">
      <c r="A657" s="19"/>
      <c r="B657" s="18" t="n">
        <v>5</v>
      </c>
      <c r="C657" s="4" t="s">
        <v>1398</v>
      </c>
      <c r="D657" s="19" t="s">
        <v>1184</v>
      </c>
      <c r="E657" s="6" t="s">
        <v>1399</v>
      </c>
      <c r="F657" s="6" t="s">
        <v>1400</v>
      </c>
      <c r="G657" s="6" t="s">
        <v>1401</v>
      </c>
    </row>
    <row r="658" customFormat="false" ht="25.5" hidden="false" customHeight="true" outlineLevel="0" collapsed="false">
      <c r="A658" s="19"/>
      <c r="B658" s="18" t="n">
        <v>6</v>
      </c>
      <c r="C658" s="4" t="s">
        <v>1402</v>
      </c>
      <c r="D658" s="19" t="s">
        <v>986</v>
      </c>
      <c r="E658" s="6" t="s">
        <v>1403</v>
      </c>
      <c r="F658" s="6" t="s">
        <v>1404</v>
      </c>
      <c r="G658" s="6" t="s">
        <v>1405</v>
      </c>
    </row>
    <row r="659" customFormat="false" ht="43.5" hidden="false" customHeight="true" outlineLevel="0" collapsed="false">
      <c r="A659" s="19"/>
      <c r="B659" s="18" t="n">
        <v>7</v>
      </c>
      <c r="C659" s="4" t="s">
        <v>1344</v>
      </c>
      <c r="D659" s="19" t="s">
        <v>932</v>
      </c>
      <c r="E659" s="6" t="s">
        <v>1345</v>
      </c>
      <c r="F659" s="6" t="s">
        <v>1406</v>
      </c>
      <c r="G659" s="6" t="s">
        <v>1407</v>
      </c>
    </row>
    <row r="660" customFormat="false" ht="43.5" hidden="false" customHeight="true" outlineLevel="0" collapsed="false">
      <c r="A660" s="19"/>
      <c r="B660" s="18" t="n">
        <v>8</v>
      </c>
      <c r="C660" s="4" t="s">
        <v>1408</v>
      </c>
      <c r="D660" s="19" t="s">
        <v>932</v>
      </c>
      <c r="E660" s="6" t="s">
        <v>1409</v>
      </c>
      <c r="F660" s="6" t="s">
        <v>1410</v>
      </c>
      <c r="G660" s="6" t="s">
        <v>1407</v>
      </c>
    </row>
    <row r="661" customFormat="false" ht="43.5" hidden="false" customHeight="true" outlineLevel="0" collapsed="false">
      <c r="A661" s="19"/>
      <c r="B661" s="18" t="n">
        <v>9</v>
      </c>
      <c r="C661" s="4" t="s">
        <v>1411</v>
      </c>
      <c r="D661" s="19" t="s">
        <v>932</v>
      </c>
      <c r="E661" s="6" t="s">
        <v>1412</v>
      </c>
      <c r="F661" s="6" t="s">
        <v>1406</v>
      </c>
      <c r="G661" s="6" t="s">
        <v>1407</v>
      </c>
    </row>
    <row r="662" customFormat="false" ht="43.5" hidden="false" customHeight="true" outlineLevel="0" collapsed="false">
      <c r="A662" s="19"/>
      <c r="B662" s="18" t="n">
        <v>10</v>
      </c>
      <c r="C662" s="4" t="s">
        <v>1348</v>
      </c>
      <c r="D662" s="19" t="s">
        <v>932</v>
      </c>
      <c r="E662" s="6" t="s">
        <v>1349</v>
      </c>
      <c r="F662" s="6" t="s">
        <v>1406</v>
      </c>
      <c r="G662" s="6" t="s">
        <v>1407</v>
      </c>
    </row>
    <row r="663" customFormat="false" ht="43.5" hidden="false" customHeight="true" outlineLevel="0" collapsed="false">
      <c r="A663" s="19"/>
      <c r="B663" s="18" t="n">
        <v>11</v>
      </c>
      <c r="C663" s="4" t="s">
        <v>1413</v>
      </c>
      <c r="D663" s="19" t="s">
        <v>932</v>
      </c>
      <c r="E663" s="6" t="s">
        <v>1414</v>
      </c>
      <c r="F663" s="6" t="s">
        <v>1415</v>
      </c>
      <c r="G663" s="6" t="s">
        <v>1407</v>
      </c>
    </row>
    <row r="664" customFormat="false" ht="43.5" hidden="false" customHeight="true" outlineLevel="0" collapsed="false">
      <c r="A664" s="19"/>
      <c r="B664" s="18" t="n">
        <v>12</v>
      </c>
      <c r="C664" s="4" t="s">
        <v>1350</v>
      </c>
      <c r="D664" s="19" t="s">
        <v>932</v>
      </c>
      <c r="E664" s="6" t="s">
        <v>1351</v>
      </c>
      <c r="F664" s="6" t="s">
        <v>1410</v>
      </c>
      <c r="G664" s="6" t="s">
        <v>1407</v>
      </c>
    </row>
    <row r="665" customFormat="false" ht="25.5" hidden="false" customHeight="true" outlineLevel="0" collapsed="false">
      <c r="A665" s="19"/>
      <c r="B665" s="18" t="n">
        <v>13</v>
      </c>
      <c r="C665" s="4" t="s">
        <v>1352</v>
      </c>
      <c r="D665" s="19" t="s">
        <v>932</v>
      </c>
      <c r="E665" s="6" t="s">
        <v>1353</v>
      </c>
      <c r="F665" s="6" t="s">
        <v>1416</v>
      </c>
      <c r="G665" s="6" t="s">
        <v>1417</v>
      </c>
    </row>
    <row r="666" customFormat="false" ht="43.5" hidden="false" customHeight="true" outlineLevel="0" collapsed="false">
      <c r="A666" s="19"/>
      <c r="B666" s="18" t="n">
        <v>14</v>
      </c>
      <c r="C666" s="4" t="s">
        <v>1418</v>
      </c>
      <c r="D666" s="19" t="s">
        <v>932</v>
      </c>
      <c r="E666" s="6" t="s">
        <v>1419</v>
      </c>
      <c r="F666" s="6" t="s">
        <v>1410</v>
      </c>
      <c r="G666" s="6" t="s">
        <v>1407</v>
      </c>
    </row>
    <row r="667" customFormat="false" ht="25.5" hidden="false" customHeight="true" outlineLevel="0" collapsed="false">
      <c r="A667" s="19"/>
      <c r="B667" s="18" t="n">
        <v>15</v>
      </c>
      <c r="C667" s="4" t="s">
        <v>1420</v>
      </c>
      <c r="D667" s="19" t="s">
        <v>932</v>
      </c>
      <c r="E667" s="6" t="s">
        <v>1421</v>
      </c>
      <c r="F667" s="6" t="s">
        <v>1422</v>
      </c>
      <c r="G667" s="6" t="s">
        <v>1423</v>
      </c>
    </row>
    <row r="668" customFormat="false" ht="25.5" hidden="false" customHeight="true" outlineLevel="0" collapsed="false">
      <c r="A668" s="19"/>
      <c r="B668" s="18" t="n">
        <v>16</v>
      </c>
      <c r="C668" s="4" t="s">
        <v>1354</v>
      </c>
      <c r="D668" s="19" t="s">
        <v>932</v>
      </c>
      <c r="E668" s="6" t="s">
        <v>1355</v>
      </c>
      <c r="F668" s="6" t="s">
        <v>1422</v>
      </c>
      <c r="G668" s="6" t="s">
        <v>1423</v>
      </c>
    </row>
    <row r="669" customFormat="false" ht="25.5" hidden="false" customHeight="true" outlineLevel="0" collapsed="false">
      <c r="A669" s="19"/>
      <c r="B669" s="18" t="n">
        <v>17</v>
      </c>
      <c r="C669" s="4" t="s">
        <v>1424</v>
      </c>
      <c r="D669" s="19" t="s">
        <v>932</v>
      </c>
      <c r="E669" s="6" t="s">
        <v>1425</v>
      </c>
      <c r="F669" s="6" t="s">
        <v>1426</v>
      </c>
      <c r="G669" s="6" t="s">
        <v>1427</v>
      </c>
    </row>
    <row r="670" customFormat="false" ht="33" hidden="false" customHeight="true" outlineLevel="0" collapsed="false">
      <c r="A670" s="19"/>
      <c r="B670" s="18" t="n">
        <v>18</v>
      </c>
      <c r="C670" s="4" t="s">
        <v>1428</v>
      </c>
      <c r="D670" s="19" t="s">
        <v>957</v>
      </c>
      <c r="E670" s="6" t="s">
        <v>1429</v>
      </c>
      <c r="F670" s="6" t="s">
        <v>1132</v>
      </c>
      <c r="G670" s="6" t="s">
        <v>1430</v>
      </c>
    </row>
    <row r="671" customFormat="false" ht="33" hidden="false" customHeight="true" outlineLevel="0" collapsed="false">
      <c r="A671" s="19"/>
      <c r="B671" s="18" t="n">
        <v>19</v>
      </c>
      <c r="C671" s="4" t="s">
        <v>1431</v>
      </c>
      <c r="D671" s="19" t="s">
        <v>957</v>
      </c>
      <c r="E671" s="6" t="s">
        <v>1432</v>
      </c>
      <c r="F671" s="6" t="s">
        <v>1132</v>
      </c>
      <c r="G671" s="6" t="s">
        <v>1430</v>
      </c>
    </row>
    <row r="672" customFormat="false" ht="33" hidden="false" customHeight="true" outlineLevel="0" collapsed="false">
      <c r="A672" s="19"/>
      <c r="B672" s="18" t="n">
        <v>20</v>
      </c>
      <c r="C672" s="4" t="s">
        <v>1433</v>
      </c>
      <c r="D672" s="19" t="s">
        <v>957</v>
      </c>
      <c r="E672" s="6" t="s">
        <v>1434</v>
      </c>
      <c r="F672" s="6" t="s">
        <v>1132</v>
      </c>
      <c r="G672" s="6" t="s">
        <v>1430</v>
      </c>
    </row>
    <row r="673" customFormat="false" ht="33" hidden="false" customHeight="true" outlineLevel="0" collapsed="false">
      <c r="A673" s="19"/>
      <c r="B673" s="18" t="n">
        <v>21</v>
      </c>
      <c r="C673" s="4" t="s">
        <v>1435</v>
      </c>
      <c r="D673" s="19" t="s">
        <v>957</v>
      </c>
      <c r="E673" s="6" t="s">
        <v>1436</v>
      </c>
      <c r="F673" s="6" t="s">
        <v>1132</v>
      </c>
      <c r="G673" s="6" t="s">
        <v>1430</v>
      </c>
    </row>
    <row r="674" customFormat="false" ht="33" hidden="false" customHeight="true" outlineLevel="0" collapsed="false">
      <c r="A674" s="19"/>
      <c r="B674" s="18" t="n">
        <v>22</v>
      </c>
      <c r="C674" s="4" t="s">
        <v>1437</v>
      </c>
      <c r="D674" s="19" t="s">
        <v>957</v>
      </c>
      <c r="E674" s="6" t="s">
        <v>1438</v>
      </c>
      <c r="F674" s="6" t="s">
        <v>1132</v>
      </c>
      <c r="G674" s="6" t="s">
        <v>1430</v>
      </c>
    </row>
    <row r="675" customFormat="false" ht="33" hidden="false" customHeight="true" outlineLevel="0" collapsed="false">
      <c r="A675" s="19"/>
      <c r="B675" s="18" t="n">
        <v>23</v>
      </c>
      <c r="C675" s="4" t="s">
        <v>1439</v>
      </c>
      <c r="D675" s="19" t="s">
        <v>957</v>
      </c>
      <c r="E675" s="6" t="s">
        <v>1440</v>
      </c>
      <c r="F675" s="6" t="s">
        <v>1132</v>
      </c>
      <c r="G675" s="6" t="s">
        <v>1430</v>
      </c>
    </row>
    <row r="676" customFormat="false" ht="25.5" hidden="false" customHeight="true" outlineLevel="0" collapsed="false">
      <c r="A676" s="19"/>
      <c r="B676" s="18" t="n">
        <v>24</v>
      </c>
      <c r="C676" s="4" t="s">
        <v>1441</v>
      </c>
      <c r="D676" s="19" t="s">
        <v>932</v>
      </c>
      <c r="E676" s="6" t="s">
        <v>1442</v>
      </c>
      <c r="F676" s="6" t="s">
        <v>1443</v>
      </c>
      <c r="G676" s="6" t="s">
        <v>1444</v>
      </c>
    </row>
    <row r="677" customFormat="false" ht="25.5" hidden="false" customHeight="true" outlineLevel="0" collapsed="false">
      <c r="A677" s="19"/>
      <c r="B677" s="18" t="n">
        <v>25</v>
      </c>
      <c r="C677" s="4" t="s">
        <v>1445</v>
      </c>
      <c r="D677" s="19" t="s">
        <v>932</v>
      </c>
      <c r="E677" s="6" t="s">
        <v>1446</v>
      </c>
      <c r="F677" s="6" t="s">
        <v>1443</v>
      </c>
      <c r="G677" s="6" t="s">
        <v>1447</v>
      </c>
    </row>
    <row r="678" customFormat="false" ht="25.5" hidden="false" customHeight="true" outlineLevel="0" collapsed="false">
      <c r="A678" s="19"/>
      <c r="B678" s="18" t="n">
        <v>26</v>
      </c>
      <c r="C678" s="4" t="s">
        <v>1364</v>
      </c>
      <c r="D678" s="19" t="s">
        <v>921</v>
      </c>
      <c r="E678" s="6" t="s">
        <v>1365</v>
      </c>
      <c r="F678" s="6" t="s">
        <v>1448</v>
      </c>
      <c r="G678" s="6" t="s">
        <v>1449</v>
      </c>
    </row>
    <row r="679" customFormat="false" ht="25.5" hidden="false" customHeight="true" outlineLevel="0" collapsed="false">
      <c r="A679" s="19"/>
      <c r="B679" s="18" t="n">
        <v>27</v>
      </c>
      <c r="C679" s="4" t="s">
        <v>1368</v>
      </c>
      <c r="D679" s="19" t="s">
        <v>921</v>
      </c>
      <c r="E679" s="6" t="s">
        <v>1369</v>
      </c>
      <c r="F679" s="6" t="s">
        <v>1448</v>
      </c>
      <c r="G679" s="6" t="s">
        <v>1449</v>
      </c>
    </row>
    <row r="680" customFormat="false" ht="33" hidden="false" customHeight="true" outlineLevel="0" collapsed="false">
      <c r="A680" s="19"/>
      <c r="B680" s="18" t="n">
        <v>28</v>
      </c>
      <c r="C680" s="4" t="s">
        <v>1450</v>
      </c>
      <c r="D680" s="19" t="s">
        <v>932</v>
      </c>
      <c r="E680" s="6" t="s">
        <v>1451</v>
      </c>
      <c r="F680" s="6" t="s">
        <v>955</v>
      </c>
      <c r="G680" s="6" t="s">
        <v>1452</v>
      </c>
    </row>
    <row r="681" customFormat="false" ht="25.5" hidden="false" customHeight="true" outlineLevel="0" collapsed="false">
      <c r="A681" s="19"/>
      <c r="B681" s="18" t="n">
        <v>29</v>
      </c>
      <c r="C681" s="4" t="s">
        <v>1453</v>
      </c>
      <c r="D681" s="19" t="s">
        <v>932</v>
      </c>
      <c r="E681" s="6" t="s">
        <v>1454</v>
      </c>
      <c r="F681" s="6" t="s">
        <v>1366</v>
      </c>
      <c r="G681" s="6" t="s">
        <v>1455</v>
      </c>
    </row>
    <row r="682" customFormat="false" ht="33" hidden="false" customHeight="true" outlineLevel="0" collapsed="false">
      <c r="A682" s="19"/>
      <c r="B682" s="18" t="n">
        <v>30</v>
      </c>
      <c r="C682" s="4" t="s">
        <v>895</v>
      </c>
      <c r="D682" s="19" t="s">
        <v>957</v>
      </c>
      <c r="E682" s="6" t="s">
        <v>1370</v>
      </c>
      <c r="F682" s="6" t="s">
        <v>959</v>
      </c>
      <c r="G682" s="6" t="s">
        <v>994</v>
      </c>
    </row>
    <row r="683" customFormat="false" ht="43.5" hidden="false" customHeight="true" outlineLevel="0" collapsed="false">
      <c r="A683" s="19"/>
      <c r="B683" s="18" t="n">
        <v>31</v>
      </c>
      <c r="C683" s="4" t="s">
        <v>1456</v>
      </c>
      <c r="D683" s="19" t="s">
        <v>932</v>
      </c>
      <c r="E683" s="6" t="s">
        <v>1457</v>
      </c>
      <c r="F683" s="6" t="s">
        <v>1426</v>
      </c>
      <c r="G683" s="6" t="s">
        <v>1458</v>
      </c>
    </row>
    <row r="684" customFormat="false" ht="25.5" hidden="false" customHeight="true" outlineLevel="0" collapsed="false">
      <c r="A684" s="19"/>
      <c r="B684" s="18" t="n">
        <v>32</v>
      </c>
      <c r="C684" s="4" t="s">
        <v>1459</v>
      </c>
      <c r="D684" s="19" t="s">
        <v>932</v>
      </c>
      <c r="E684" s="6" t="s">
        <v>1460</v>
      </c>
      <c r="F684" s="6" t="s">
        <v>1461</v>
      </c>
      <c r="G684" s="6" t="s">
        <v>1462</v>
      </c>
    </row>
    <row r="685" customFormat="false" ht="25.5" hidden="false" customHeight="true" outlineLevel="0" collapsed="false">
      <c r="A685" s="19"/>
      <c r="B685" s="18" t="n">
        <v>33</v>
      </c>
      <c r="C685" s="4" t="s">
        <v>1463</v>
      </c>
      <c r="D685" s="19" t="s">
        <v>932</v>
      </c>
      <c r="E685" s="6" t="s">
        <v>1464</v>
      </c>
      <c r="F685" s="6" t="s">
        <v>1465</v>
      </c>
      <c r="G685" s="6" t="s">
        <v>1466</v>
      </c>
    </row>
    <row r="686" customFormat="false" ht="43.5" hidden="false" customHeight="true" outlineLevel="0" collapsed="false">
      <c r="A686" s="19"/>
      <c r="B686" s="18" t="n">
        <v>34</v>
      </c>
      <c r="C686" s="4" t="s">
        <v>1371</v>
      </c>
      <c r="D686" s="19" t="s">
        <v>932</v>
      </c>
      <c r="E686" s="6" t="s">
        <v>1372</v>
      </c>
      <c r="F686" s="6" t="s">
        <v>1467</v>
      </c>
      <c r="G686" s="6" t="s">
        <v>1468</v>
      </c>
    </row>
    <row r="687" customFormat="false" ht="43.5" hidden="false" customHeight="true" outlineLevel="0" collapsed="false">
      <c r="A687" s="19"/>
      <c r="B687" s="18" t="n">
        <v>35</v>
      </c>
      <c r="C687" s="4" t="s">
        <v>1469</v>
      </c>
      <c r="D687" s="19" t="s">
        <v>932</v>
      </c>
      <c r="E687" s="6" t="s">
        <v>1470</v>
      </c>
      <c r="F687" s="6" t="s">
        <v>1426</v>
      </c>
      <c r="G687" s="6" t="s">
        <v>1458</v>
      </c>
    </row>
    <row r="688" customFormat="false" ht="43.5" hidden="false" customHeight="true" outlineLevel="0" collapsed="false">
      <c r="A688" s="19"/>
      <c r="B688" s="18" t="n">
        <v>36</v>
      </c>
      <c r="C688" s="4" t="s">
        <v>1471</v>
      </c>
      <c r="D688" s="19" t="s">
        <v>932</v>
      </c>
      <c r="E688" s="6" t="s">
        <v>1472</v>
      </c>
      <c r="F688" s="6" t="s">
        <v>1473</v>
      </c>
      <c r="G688" s="6" t="s">
        <v>1474</v>
      </c>
    </row>
    <row r="689" customFormat="false" ht="43.5" hidden="false" customHeight="true" outlineLevel="0" collapsed="false">
      <c r="A689" s="19"/>
      <c r="B689" s="18" t="n">
        <v>37</v>
      </c>
      <c r="C689" s="4" t="s">
        <v>1374</v>
      </c>
      <c r="D689" s="19" t="s">
        <v>932</v>
      </c>
      <c r="E689" s="6" t="s">
        <v>1375</v>
      </c>
      <c r="F689" s="6" t="s">
        <v>1465</v>
      </c>
      <c r="G689" s="6" t="s">
        <v>1468</v>
      </c>
    </row>
    <row r="690" customFormat="false" ht="25.5" hidden="false" customHeight="true" outlineLevel="0" collapsed="false">
      <c r="A690" s="19"/>
      <c r="B690" s="18" t="n">
        <v>38</v>
      </c>
      <c r="C690" s="4" t="s">
        <v>1475</v>
      </c>
      <c r="D690" s="19" t="s">
        <v>932</v>
      </c>
      <c r="E690" s="6" t="s">
        <v>1476</v>
      </c>
      <c r="F690" s="6" t="s">
        <v>1426</v>
      </c>
      <c r="G690" s="6" t="s">
        <v>1477</v>
      </c>
    </row>
    <row r="691" customFormat="false" ht="25.5" hidden="false" customHeight="true" outlineLevel="0" collapsed="false">
      <c r="A691" s="19"/>
      <c r="B691" s="18" t="n">
        <v>39</v>
      </c>
      <c r="C691" s="4" t="s">
        <v>1478</v>
      </c>
      <c r="D691" s="19" t="s">
        <v>932</v>
      </c>
      <c r="E691" s="6" t="s">
        <v>1479</v>
      </c>
      <c r="F691" s="6" t="s">
        <v>1461</v>
      </c>
      <c r="G691" s="6" t="s">
        <v>1462</v>
      </c>
    </row>
    <row r="692" customFormat="false" ht="43.5" hidden="false" customHeight="true" outlineLevel="0" collapsed="false">
      <c r="A692" s="19"/>
      <c r="B692" s="18" t="n">
        <v>40</v>
      </c>
      <c r="C692" s="4" t="s">
        <v>1376</v>
      </c>
      <c r="D692" s="19" t="s">
        <v>957</v>
      </c>
      <c r="E692" s="6" t="s">
        <v>1377</v>
      </c>
      <c r="F692" s="6" t="s">
        <v>1480</v>
      </c>
      <c r="G692" s="6" t="s">
        <v>1481</v>
      </c>
    </row>
    <row r="693" customFormat="false" ht="33" hidden="false" customHeight="true" outlineLevel="0" collapsed="false">
      <c r="A693" s="19"/>
      <c r="B693" s="18" t="n">
        <v>41</v>
      </c>
      <c r="C693" s="4" t="s">
        <v>979</v>
      </c>
      <c r="D693" s="19" t="s">
        <v>932</v>
      </c>
      <c r="E693" s="6" t="s">
        <v>980</v>
      </c>
      <c r="F693" s="6" t="s">
        <v>1482</v>
      </c>
      <c r="G693" s="6" t="s">
        <v>1381</v>
      </c>
    </row>
    <row r="694" customFormat="false" ht="33" hidden="false" customHeight="true" outlineLevel="0" collapsed="false">
      <c r="A694" s="19"/>
      <c r="B694" s="18" t="n">
        <v>42</v>
      </c>
      <c r="C694" s="4" t="s">
        <v>889</v>
      </c>
      <c r="D694" s="19" t="s">
        <v>957</v>
      </c>
      <c r="E694" s="6" t="s">
        <v>995</v>
      </c>
      <c r="F694" s="6" t="s">
        <v>959</v>
      </c>
      <c r="G694" s="6" t="s">
        <v>994</v>
      </c>
    </row>
    <row r="695" customFormat="false" ht="33" hidden="false" customHeight="true" outlineLevel="0" collapsed="false">
      <c r="A695" s="4" t="s">
        <v>1483</v>
      </c>
      <c r="B695" s="18" t="n">
        <v>1</v>
      </c>
      <c r="C695" s="4" t="s">
        <v>859</v>
      </c>
      <c r="D695" s="19" t="s">
        <v>921</v>
      </c>
      <c r="E695" s="6" t="s">
        <v>922</v>
      </c>
      <c r="F695" s="6" t="s">
        <v>1484</v>
      </c>
      <c r="G695" s="6" t="s">
        <v>1391</v>
      </c>
    </row>
    <row r="696" customFormat="false" ht="25.5" hidden="false" customHeight="true" outlineLevel="0" collapsed="false">
      <c r="A696" s="19"/>
      <c r="B696" s="18" t="n">
        <v>2</v>
      </c>
      <c r="C696" s="4" t="s">
        <v>1392</v>
      </c>
      <c r="D696" s="19" t="s">
        <v>932</v>
      </c>
      <c r="E696" s="6" t="s">
        <v>1393</v>
      </c>
      <c r="F696" s="6" t="s">
        <v>974</v>
      </c>
      <c r="G696" s="6" t="s">
        <v>1394</v>
      </c>
    </row>
    <row r="697" customFormat="false" ht="43.5" hidden="false" customHeight="true" outlineLevel="0" collapsed="false">
      <c r="A697" s="19"/>
      <c r="B697" s="18" t="n">
        <v>3</v>
      </c>
      <c r="C697" s="4" t="s">
        <v>1336</v>
      </c>
      <c r="D697" s="19" t="s">
        <v>921</v>
      </c>
      <c r="E697" s="6" t="s">
        <v>1337</v>
      </c>
      <c r="F697" s="6" t="s">
        <v>1485</v>
      </c>
      <c r="G697" s="6" t="s">
        <v>1396</v>
      </c>
    </row>
    <row r="698" customFormat="false" ht="43.5" hidden="false" customHeight="true" outlineLevel="0" collapsed="false">
      <c r="A698" s="19"/>
      <c r="B698" s="18" t="n">
        <v>4</v>
      </c>
      <c r="C698" s="4" t="s">
        <v>865</v>
      </c>
      <c r="D698" s="19" t="s">
        <v>957</v>
      </c>
      <c r="E698" s="6" t="s">
        <v>1299</v>
      </c>
      <c r="F698" s="6" t="s">
        <v>1132</v>
      </c>
      <c r="G698" s="6" t="s">
        <v>1397</v>
      </c>
    </row>
    <row r="699" customFormat="false" ht="25.5" hidden="false" customHeight="true" outlineLevel="0" collapsed="false">
      <c r="A699" s="19"/>
      <c r="B699" s="18" t="n">
        <v>5</v>
      </c>
      <c r="C699" s="4" t="s">
        <v>898</v>
      </c>
      <c r="D699" s="19" t="s">
        <v>921</v>
      </c>
      <c r="E699" s="6" t="s">
        <v>928</v>
      </c>
      <c r="F699" s="6" t="s">
        <v>1486</v>
      </c>
      <c r="G699" s="6" t="s">
        <v>1487</v>
      </c>
    </row>
    <row r="700" customFormat="false" ht="43.5" hidden="false" customHeight="true" outlineLevel="0" collapsed="false">
      <c r="A700" s="19"/>
      <c r="B700" s="18" t="n">
        <v>6</v>
      </c>
      <c r="C700" s="4" t="s">
        <v>1344</v>
      </c>
      <c r="D700" s="19" t="s">
        <v>932</v>
      </c>
      <c r="E700" s="6" t="s">
        <v>1345</v>
      </c>
      <c r="F700" s="6" t="s">
        <v>1406</v>
      </c>
      <c r="G700" s="6" t="s">
        <v>1407</v>
      </c>
    </row>
    <row r="701" customFormat="false" ht="43.5" hidden="false" customHeight="true" outlineLevel="0" collapsed="false">
      <c r="A701" s="19"/>
      <c r="B701" s="18" t="n">
        <v>7</v>
      </c>
      <c r="C701" s="4" t="s">
        <v>1408</v>
      </c>
      <c r="D701" s="19" t="s">
        <v>932</v>
      </c>
      <c r="E701" s="6" t="s">
        <v>1409</v>
      </c>
      <c r="F701" s="6" t="s">
        <v>1410</v>
      </c>
      <c r="G701" s="6" t="s">
        <v>1407</v>
      </c>
    </row>
    <row r="702" customFormat="false" ht="43.5" hidden="false" customHeight="true" outlineLevel="0" collapsed="false">
      <c r="A702" s="19"/>
      <c r="B702" s="18" t="n">
        <v>8</v>
      </c>
      <c r="C702" s="4" t="s">
        <v>1411</v>
      </c>
      <c r="D702" s="19" t="s">
        <v>932</v>
      </c>
      <c r="E702" s="6" t="s">
        <v>1412</v>
      </c>
      <c r="F702" s="6" t="s">
        <v>1406</v>
      </c>
      <c r="G702" s="6" t="s">
        <v>1407</v>
      </c>
    </row>
    <row r="703" customFormat="false" ht="43.5" hidden="false" customHeight="true" outlineLevel="0" collapsed="false">
      <c r="A703" s="19"/>
      <c r="B703" s="18" t="n">
        <v>9</v>
      </c>
      <c r="C703" s="4" t="s">
        <v>1348</v>
      </c>
      <c r="D703" s="19" t="s">
        <v>932</v>
      </c>
      <c r="E703" s="6" t="s">
        <v>1349</v>
      </c>
      <c r="F703" s="6" t="s">
        <v>1406</v>
      </c>
      <c r="G703" s="6" t="s">
        <v>1407</v>
      </c>
    </row>
    <row r="704" customFormat="false" ht="43.5" hidden="false" customHeight="true" outlineLevel="0" collapsed="false">
      <c r="A704" s="19"/>
      <c r="B704" s="18" t="n">
        <v>10</v>
      </c>
      <c r="C704" s="4" t="s">
        <v>1413</v>
      </c>
      <c r="D704" s="19" t="s">
        <v>932</v>
      </c>
      <c r="E704" s="6" t="s">
        <v>1414</v>
      </c>
      <c r="F704" s="6" t="s">
        <v>1415</v>
      </c>
      <c r="G704" s="6" t="s">
        <v>1407</v>
      </c>
    </row>
    <row r="705" customFormat="false" ht="43.5" hidden="false" customHeight="true" outlineLevel="0" collapsed="false">
      <c r="A705" s="19"/>
      <c r="B705" s="18" t="n">
        <v>11</v>
      </c>
      <c r="C705" s="4" t="s">
        <v>1350</v>
      </c>
      <c r="D705" s="19" t="s">
        <v>932</v>
      </c>
      <c r="E705" s="6" t="s">
        <v>1351</v>
      </c>
      <c r="F705" s="6" t="s">
        <v>1410</v>
      </c>
      <c r="G705" s="6" t="s">
        <v>1407</v>
      </c>
    </row>
    <row r="706" customFormat="false" ht="25.5" hidden="false" customHeight="true" outlineLevel="0" collapsed="false">
      <c r="A706" s="19"/>
      <c r="B706" s="18" t="n">
        <v>12</v>
      </c>
      <c r="C706" s="4" t="s">
        <v>1352</v>
      </c>
      <c r="D706" s="19" t="s">
        <v>932</v>
      </c>
      <c r="E706" s="6" t="s">
        <v>1353</v>
      </c>
      <c r="F706" s="6" t="s">
        <v>1488</v>
      </c>
      <c r="G706" s="6" t="s">
        <v>1417</v>
      </c>
    </row>
    <row r="707" customFormat="false" ht="43.5" hidden="false" customHeight="true" outlineLevel="0" collapsed="false">
      <c r="A707" s="19"/>
      <c r="B707" s="18" t="n">
        <v>13</v>
      </c>
      <c r="C707" s="4" t="s">
        <v>1418</v>
      </c>
      <c r="D707" s="19" t="s">
        <v>932</v>
      </c>
      <c r="E707" s="6" t="s">
        <v>1419</v>
      </c>
      <c r="F707" s="6" t="s">
        <v>1410</v>
      </c>
      <c r="G707" s="6" t="s">
        <v>1407</v>
      </c>
    </row>
    <row r="708" customFormat="false" ht="33" hidden="false" customHeight="true" outlineLevel="0" collapsed="false">
      <c r="A708" s="19"/>
      <c r="B708" s="18" t="n">
        <v>14</v>
      </c>
      <c r="C708" s="4" t="s">
        <v>1428</v>
      </c>
      <c r="D708" s="19" t="s">
        <v>957</v>
      </c>
      <c r="E708" s="6" t="s">
        <v>1429</v>
      </c>
      <c r="F708" s="6" t="s">
        <v>1132</v>
      </c>
      <c r="G708" s="6" t="s">
        <v>1430</v>
      </c>
    </row>
    <row r="709" customFormat="false" ht="33" hidden="false" customHeight="true" outlineLevel="0" collapsed="false">
      <c r="A709" s="19"/>
      <c r="B709" s="18" t="n">
        <v>15</v>
      </c>
      <c r="C709" s="4" t="s">
        <v>1431</v>
      </c>
      <c r="D709" s="19" t="s">
        <v>957</v>
      </c>
      <c r="E709" s="6" t="s">
        <v>1432</v>
      </c>
      <c r="F709" s="6" t="s">
        <v>1132</v>
      </c>
      <c r="G709" s="6" t="s">
        <v>1430</v>
      </c>
    </row>
    <row r="710" customFormat="false" ht="33" hidden="false" customHeight="true" outlineLevel="0" collapsed="false">
      <c r="A710" s="19"/>
      <c r="B710" s="18" t="n">
        <v>16</v>
      </c>
      <c r="C710" s="4" t="s">
        <v>1433</v>
      </c>
      <c r="D710" s="19" t="s">
        <v>957</v>
      </c>
      <c r="E710" s="6" t="s">
        <v>1434</v>
      </c>
      <c r="F710" s="6" t="s">
        <v>1132</v>
      </c>
      <c r="G710" s="6" t="s">
        <v>1430</v>
      </c>
    </row>
    <row r="711" customFormat="false" ht="33" hidden="false" customHeight="true" outlineLevel="0" collapsed="false">
      <c r="A711" s="19"/>
      <c r="B711" s="18" t="n">
        <v>17</v>
      </c>
      <c r="C711" s="4" t="s">
        <v>1435</v>
      </c>
      <c r="D711" s="19" t="s">
        <v>957</v>
      </c>
      <c r="E711" s="6" t="s">
        <v>1436</v>
      </c>
      <c r="F711" s="6" t="s">
        <v>1132</v>
      </c>
      <c r="G711" s="6" t="s">
        <v>1430</v>
      </c>
    </row>
    <row r="712" customFormat="false" ht="33" hidden="false" customHeight="true" outlineLevel="0" collapsed="false">
      <c r="A712" s="19"/>
      <c r="B712" s="18" t="n">
        <v>18</v>
      </c>
      <c r="C712" s="4" t="s">
        <v>1437</v>
      </c>
      <c r="D712" s="19" t="s">
        <v>957</v>
      </c>
      <c r="E712" s="6" t="s">
        <v>1438</v>
      </c>
      <c r="F712" s="6" t="s">
        <v>1132</v>
      </c>
      <c r="G712" s="6" t="s">
        <v>1430</v>
      </c>
    </row>
    <row r="713" customFormat="false" ht="33" hidden="false" customHeight="true" outlineLevel="0" collapsed="false">
      <c r="A713" s="19"/>
      <c r="B713" s="18" t="n">
        <v>19</v>
      </c>
      <c r="C713" s="4" t="s">
        <v>1439</v>
      </c>
      <c r="D713" s="19" t="s">
        <v>957</v>
      </c>
      <c r="E713" s="6" t="s">
        <v>1440</v>
      </c>
      <c r="F713" s="6" t="s">
        <v>1132</v>
      </c>
      <c r="G713" s="6" t="s">
        <v>1430</v>
      </c>
    </row>
    <row r="714" customFormat="false" ht="25.5" hidden="false" customHeight="true" outlineLevel="0" collapsed="false">
      <c r="A714" s="19"/>
      <c r="B714" s="18" t="n">
        <v>20</v>
      </c>
      <c r="C714" s="4" t="s">
        <v>1441</v>
      </c>
      <c r="D714" s="19" t="s">
        <v>932</v>
      </c>
      <c r="E714" s="6" t="s">
        <v>1442</v>
      </c>
      <c r="F714" s="6" t="s">
        <v>1443</v>
      </c>
      <c r="G714" s="6" t="s">
        <v>1444</v>
      </c>
    </row>
    <row r="715" customFormat="false" ht="25.5" hidden="false" customHeight="true" outlineLevel="0" collapsed="false">
      <c r="A715" s="19"/>
      <c r="B715" s="18" t="n">
        <v>21</v>
      </c>
      <c r="C715" s="4" t="s">
        <v>1445</v>
      </c>
      <c r="D715" s="19" t="s">
        <v>932</v>
      </c>
      <c r="E715" s="6" t="s">
        <v>1446</v>
      </c>
      <c r="F715" s="6" t="s">
        <v>1443</v>
      </c>
      <c r="G715" s="6" t="s">
        <v>1447</v>
      </c>
    </row>
    <row r="716" customFormat="false" ht="25.5" hidden="false" customHeight="true" outlineLevel="0" collapsed="false">
      <c r="A716" s="19"/>
      <c r="B716" s="18" t="n">
        <v>22</v>
      </c>
      <c r="C716" s="4" t="s">
        <v>1364</v>
      </c>
      <c r="D716" s="19" t="s">
        <v>921</v>
      </c>
      <c r="E716" s="6" t="s">
        <v>1365</v>
      </c>
      <c r="F716" s="6" t="s">
        <v>1448</v>
      </c>
      <c r="G716" s="6" t="s">
        <v>1449</v>
      </c>
    </row>
    <row r="717" customFormat="false" ht="25.5" hidden="false" customHeight="true" outlineLevel="0" collapsed="false">
      <c r="A717" s="19"/>
      <c r="B717" s="18" t="n">
        <v>23</v>
      </c>
      <c r="C717" s="4" t="s">
        <v>1368</v>
      </c>
      <c r="D717" s="19" t="s">
        <v>921</v>
      </c>
      <c r="E717" s="6" t="s">
        <v>1369</v>
      </c>
      <c r="F717" s="6" t="s">
        <v>1448</v>
      </c>
      <c r="G717" s="6" t="s">
        <v>1449</v>
      </c>
    </row>
    <row r="718" customFormat="false" ht="33" hidden="false" customHeight="true" outlineLevel="0" collapsed="false">
      <c r="A718" s="19"/>
      <c r="B718" s="18" t="n">
        <v>24</v>
      </c>
      <c r="C718" s="4" t="s">
        <v>1450</v>
      </c>
      <c r="D718" s="19" t="s">
        <v>932</v>
      </c>
      <c r="E718" s="6" t="s">
        <v>1451</v>
      </c>
      <c r="F718" s="6" t="s">
        <v>955</v>
      </c>
      <c r="G718" s="6" t="s">
        <v>1452</v>
      </c>
    </row>
    <row r="719" customFormat="false" ht="25.5" hidden="false" customHeight="true" outlineLevel="0" collapsed="false">
      <c r="A719" s="19"/>
      <c r="B719" s="18" t="n">
        <v>25</v>
      </c>
      <c r="C719" s="4" t="s">
        <v>1453</v>
      </c>
      <c r="D719" s="19" t="s">
        <v>932</v>
      </c>
      <c r="E719" s="6" t="s">
        <v>1454</v>
      </c>
      <c r="F719" s="6" t="s">
        <v>1366</v>
      </c>
      <c r="G719" s="6" t="s">
        <v>1455</v>
      </c>
    </row>
    <row r="720" customFormat="false" ht="43.5" hidden="false" customHeight="true" outlineLevel="0" collapsed="false">
      <c r="A720" s="19"/>
      <c r="B720" s="18" t="n">
        <v>26</v>
      </c>
      <c r="C720" s="4" t="s">
        <v>871</v>
      </c>
      <c r="D720" s="19" t="s">
        <v>957</v>
      </c>
      <c r="E720" s="6" t="s">
        <v>958</v>
      </c>
      <c r="F720" s="6" t="s">
        <v>1489</v>
      </c>
      <c r="G720" s="6" t="s">
        <v>960</v>
      </c>
    </row>
    <row r="721" customFormat="false" ht="25.5" hidden="false" customHeight="true" outlineLevel="0" collapsed="false">
      <c r="A721" s="19"/>
      <c r="B721" s="18" t="n">
        <v>27</v>
      </c>
      <c r="C721" s="4" t="s">
        <v>874</v>
      </c>
      <c r="D721" s="19" t="s">
        <v>957</v>
      </c>
      <c r="E721" s="6" t="s">
        <v>1490</v>
      </c>
      <c r="F721" s="6" t="s">
        <v>1491</v>
      </c>
      <c r="G721" s="6" t="s">
        <v>1492</v>
      </c>
    </row>
    <row r="722" customFormat="false" ht="33" hidden="false" customHeight="true" outlineLevel="0" collapsed="false">
      <c r="A722" s="19"/>
      <c r="B722" s="18" t="n">
        <v>28</v>
      </c>
      <c r="C722" s="4" t="s">
        <v>895</v>
      </c>
      <c r="D722" s="19" t="s">
        <v>957</v>
      </c>
      <c r="E722" s="6" t="s">
        <v>1370</v>
      </c>
      <c r="F722" s="6" t="s">
        <v>959</v>
      </c>
      <c r="G722" s="6" t="s">
        <v>994</v>
      </c>
    </row>
    <row r="723" customFormat="false" ht="25.5" hidden="false" customHeight="true" outlineLevel="0" collapsed="false">
      <c r="A723" s="19"/>
      <c r="B723" s="18" t="n">
        <v>29</v>
      </c>
      <c r="C723" s="4" t="s">
        <v>1459</v>
      </c>
      <c r="D723" s="19" t="s">
        <v>957</v>
      </c>
      <c r="E723" s="6" t="s">
        <v>1460</v>
      </c>
      <c r="F723" s="6" t="s">
        <v>1493</v>
      </c>
      <c r="G723" s="6" t="s">
        <v>1494</v>
      </c>
    </row>
    <row r="724" customFormat="false" ht="25.5" hidden="false" customHeight="true" outlineLevel="0" collapsed="false">
      <c r="A724" s="19"/>
      <c r="B724" s="18" t="n">
        <v>30</v>
      </c>
      <c r="C724" s="4" t="s">
        <v>1463</v>
      </c>
      <c r="D724" s="19" t="s">
        <v>932</v>
      </c>
      <c r="E724" s="6" t="s">
        <v>1464</v>
      </c>
      <c r="F724" s="6" t="s">
        <v>1465</v>
      </c>
      <c r="G724" s="6" t="s">
        <v>1466</v>
      </c>
    </row>
    <row r="725" customFormat="false" ht="43.5" hidden="false" customHeight="true" outlineLevel="0" collapsed="false">
      <c r="A725" s="19"/>
      <c r="B725" s="18" t="n">
        <v>31</v>
      </c>
      <c r="C725" s="4" t="s">
        <v>1371</v>
      </c>
      <c r="D725" s="19" t="s">
        <v>932</v>
      </c>
      <c r="E725" s="6" t="s">
        <v>1372</v>
      </c>
      <c r="F725" s="6" t="s">
        <v>1467</v>
      </c>
      <c r="G725" s="6" t="s">
        <v>1468</v>
      </c>
    </row>
    <row r="726" customFormat="false" ht="43.5" hidden="false" customHeight="true" outlineLevel="0" collapsed="false">
      <c r="A726" s="19"/>
      <c r="B726" s="18" t="n">
        <v>32</v>
      </c>
      <c r="C726" s="4" t="s">
        <v>1471</v>
      </c>
      <c r="D726" s="19" t="s">
        <v>932</v>
      </c>
      <c r="E726" s="6" t="s">
        <v>1472</v>
      </c>
      <c r="F726" s="6" t="s">
        <v>1473</v>
      </c>
      <c r="G726" s="6" t="s">
        <v>1474</v>
      </c>
    </row>
    <row r="727" customFormat="false" ht="43.5" hidden="false" customHeight="true" outlineLevel="0" collapsed="false">
      <c r="A727" s="19"/>
      <c r="B727" s="18" t="n">
        <v>33</v>
      </c>
      <c r="C727" s="4" t="s">
        <v>1374</v>
      </c>
      <c r="D727" s="19" t="s">
        <v>932</v>
      </c>
      <c r="E727" s="6" t="s">
        <v>1375</v>
      </c>
      <c r="F727" s="6" t="s">
        <v>1465</v>
      </c>
      <c r="G727" s="6" t="s">
        <v>1468</v>
      </c>
    </row>
    <row r="728" customFormat="false" ht="25.5" hidden="false" customHeight="true" outlineLevel="0" collapsed="false">
      <c r="A728" s="19"/>
      <c r="B728" s="18" t="n">
        <v>34</v>
      </c>
      <c r="C728" s="4" t="s">
        <v>1478</v>
      </c>
      <c r="D728" s="19" t="s">
        <v>957</v>
      </c>
      <c r="E728" s="6" t="s">
        <v>1479</v>
      </c>
      <c r="F728" s="6" t="s">
        <v>1493</v>
      </c>
      <c r="G728" s="6" t="s">
        <v>1494</v>
      </c>
    </row>
    <row r="729" customFormat="false" ht="43.5" hidden="false" customHeight="true" outlineLevel="0" collapsed="false">
      <c r="A729" s="19"/>
      <c r="B729" s="18" t="n">
        <v>35</v>
      </c>
      <c r="C729" s="4" t="s">
        <v>1376</v>
      </c>
      <c r="D729" s="19" t="s">
        <v>957</v>
      </c>
      <c r="E729" s="6" t="s">
        <v>1377</v>
      </c>
      <c r="F729" s="6" t="s">
        <v>1480</v>
      </c>
      <c r="G729" s="6" t="s">
        <v>1481</v>
      </c>
    </row>
    <row r="730" customFormat="false" ht="33" hidden="false" customHeight="true" outlineLevel="0" collapsed="false">
      <c r="A730" s="19"/>
      <c r="B730" s="18" t="n">
        <v>36</v>
      </c>
      <c r="C730" s="4" t="s">
        <v>979</v>
      </c>
      <c r="D730" s="19" t="s">
        <v>932</v>
      </c>
      <c r="E730" s="6" t="s">
        <v>980</v>
      </c>
      <c r="F730" s="6" t="s">
        <v>1482</v>
      </c>
      <c r="G730" s="6" t="s">
        <v>1381</v>
      </c>
    </row>
    <row r="731" customFormat="false" ht="25.5" hidden="false" customHeight="true" outlineLevel="0" collapsed="false">
      <c r="A731" s="19"/>
      <c r="B731" s="18" t="n">
        <v>37</v>
      </c>
      <c r="C731" s="4" t="s">
        <v>856</v>
      </c>
      <c r="D731" s="19" t="s">
        <v>1184</v>
      </c>
      <c r="E731" s="6" t="s">
        <v>990</v>
      </c>
      <c r="F731" s="6" t="s">
        <v>1222</v>
      </c>
      <c r="G731" s="6" t="s">
        <v>1495</v>
      </c>
    </row>
    <row r="732" customFormat="false" ht="33" hidden="false" customHeight="true" outlineLevel="0" collapsed="false">
      <c r="A732" s="19"/>
      <c r="B732" s="18" t="n">
        <v>38</v>
      </c>
      <c r="C732" s="4" t="s">
        <v>889</v>
      </c>
      <c r="D732" s="19" t="s">
        <v>957</v>
      </c>
      <c r="E732" s="6" t="s">
        <v>995</v>
      </c>
      <c r="F732" s="6" t="s">
        <v>959</v>
      </c>
      <c r="G732" s="6" t="s">
        <v>994</v>
      </c>
    </row>
    <row r="733" customFormat="false" ht="33" hidden="false" customHeight="true" outlineLevel="0" collapsed="false">
      <c r="A733" s="4" t="s">
        <v>1496</v>
      </c>
      <c r="B733" s="18" t="n">
        <v>1</v>
      </c>
      <c r="C733" s="4" t="s">
        <v>859</v>
      </c>
      <c r="D733" s="19" t="s">
        <v>921</v>
      </c>
      <c r="E733" s="6" t="s">
        <v>922</v>
      </c>
      <c r="F733" s="6" t="s">
        <v>1390</v>
      </c>
      <c r="G733" s="6" t="s">
        <v>1391</v>
      </c>
    </row>
    <row r="734" customFormat="false" ht="25.5" hidden="false" customHeight="true" outlineLevel="0" collapsed="false">
      <c r="A734" s="19"/>
      <c r="B734" s="18" t="n">
        <v>2</v>
      </c>
      <c r="C734" s="4" t="s">
        <v>1497</v>
      </c>
      <c r="D734" s="19" t="s">
        <v>932</v>
      </c>
      <c r="E734" s="6" t="s">
        <v>1498</v>
      </c>
      <c r="F734" s="6" t="s">
        <v>549</v>
      </c>
      <c r="G734" s="6" t="s">
        <v>1499</v>
      </c>
    </row>
    <row r="735" customFormat="false" ht="25.5" hidden="false" customHeight="true" outlineLevel="0" collapsed="false">
      <c r="A735" s="19"/>
      <c r="B735" s="18" t="n">
        <v>3</v>
      </c>
      <c r="C735" s="4" t="s">
        <v>1333</v>
      </c>
      <c r="D735" s="19" t="s">
        <v>932</v>
      </c>
      <c r="E735" s="6" t="s">
        <v>1334</v>
      </c>
      <c r="F735" s="6" t="s">
        <v>1500</v>
      </c>
      <c r="G735" s="6" t="s">
        <v>1501</v>
      </c>
    </row>
    <row r="736" customFormat="false" ht="25.5" hidden="false" customHeight="true" outlineLevel="0" collapsed="false">
      <c r="A736" s="19"/>
      <c r="B736" s="18" t="n">
        <v>4</v>
      </c>
      <c r="C736" s="4" t="s">
        <v>1392</v>
      </c>
      <c r="D736" s="19" t="s">
        <v>932</v>
      </c>
      <c r="E736" s="6" t="s">
        <v>1393</v>
      </c>
      <c r="F736" s="6" t="s">
        <v>974</v>
      </c>
      <c r="G736" s="6" t="s">
        <v>1394</v>
      </c>
    </row>
    <row r="737" customFormat="false" ht="43.5" hidden="false" customHeight="true" outlineLevel="0" collapsed="false">
      <c r="A737" s="19"/>
      <c r="B737" s="18" t="n">
        <v>5</v>
      </c>
      <c r="C737" s="4" t="s">
        <v>1336</v>
      </c>
      <c r="D737" s="19" t="s">
        <v>921</v>
      </c>
      <c r="E737" s="6" t="s">
        <v>1337</v>
      </c>
      <c r="F737" s="6" t="s">
        <v>1395</v>
      </c>
      <c r="G737" s="6" t="s">
        <v>1396</v>
      </c>
    </row>
    <row r="738" customFormat="false" ht="25.5" hidden="false" customHeight="true" outlineLevel="0" collapsed="false">
      <c r="A738" s="19"/>
      <c r="B738" s="18" t="n">
        <v>6</v>
      </c>
      <c r="C738" s="4" t="s">
        <v>1398</v>
      </c>
      <c r="D738" s="19" t="s">
        <v>1184</v>
      </c>
      <c r="E738" s="6" t="s">
        <v>1399</v>
      </c>
      <c r="F738" s="6" t="s">
        <v>1502</v>
      </c>
      <c r="G738" s="6" t="s">
        <v>1401</v>
      </c>
    </row>
    <row r="739" customFormat="false" ht="25.5" hidden="false" customHeight="true" outlineLevel="0" collapsed="false">
      <c r="A739" s="19"/>
      <c r="B739" s="18" t="n">
        <v>7</v>
      </c>
      <c r="C739" s="4" t="s">
        <v>1402</v>
      </c>
      <c r="D739" s="19" t="s">
        <v>986</v>
      </c>
      <c r="E739" s="6" t="s">
        <v>1403</v>
      </c>
      <c r="F739" s="6" t="s">
        <v>1404</v>
      </c>
      <c r="G739" s="6" t="s">
        <v>1405</v>
      </c>
    </row>
    <row r="740" customFormat="false" ht="43.5" hidden="false" customHeight="true" outlineLevel="0" collapsed="false">
      <c r="A740" s="19"/>
      <c r="B740" s="18" t="n">
        <v>8</v>
      </c>
      <c r="C740" s="4" t="s">
        <v>1344</v>
      </c>
      <c r="D740" s="19" t="s">
        <v>932</v>
      </c>
      <c r="E740" s="6" t="s">
        <v>1345</v>
      </c>
      <c r="F740" s="6" t="s">
        <v>1406</v>
      </c>
      <c r="G740" s="6" t="s">
        <v>1407</v>
      </c>
    </row>
    <row r="741" customFormat="false" ht="43.5" hidden="false" customHeight="true" outlineLevel="0" collapsed="false">
      <c r="A741" s="19"/>
      <c r="B741" s="18" t="n">
        <v>9</v>
      </c>
      <c r="C741" s="4" t="s">
        <v>1408</v>
      </c>
      <c r="D741" s="19" t="s">
        <v>932</v>
      </c>
      <c r="E741" s="6" t="s">
        <v>1409</v>
      </c>
      <c r="F741" s="6" t="s">
        <v>1410</v>
      </c>
      <c r="G741" s="6" t="s">
        <v>1407</v>
      </c>
    </row>
    <row r="742" customFormat="false" ht="43.5" hidden="false" customHeight="true" outlineLevel="0" collapsed="false">
      <c r="A742" s="19"/>
      <c r="B742" s="18" t="n">
        <v>10</v>
      </c>
      <c r="C742" s="4" t="s">
        <v>1411</v>
      </c>
      <c r="D742" s="19" t="s">
        <v>932</v>
      </c>
      <c r="E742" s="6" t="s">
        <v>1412</v>
      </c>
      <c r="F742" s="6" t="s">
        <v>1406</v>
      </c>
      <c r="G742" s="6" t="s">
        <v>1407</v>
      </c>
    </row>
    <row r="743" customFormat="false" ht="43.5" hidden="false" customHeight="true" outlineLevel="0" collapsed="false">
      <c r="A743" s="19"/>
      <c r="B743" s="18" t="n">
        <v>11</v>
      </c>
      <c r="C743" s="4" t="s">
        <v>1348</v>
      </c>
      <c r="D743" s="19" t="s">
        <v>932</v>
      </c>
      <c r="E743" s="6" t="s">
        <v>1349</v>
      </c>
      <c r="F743" s="6" t="s">
        <v>1406</v>
      </c>
      <c r="G743" s="6" t="s">
        <v>1407</v>
      </c>
    </row>
    <row r="744" customFormat="false" ht="43.5" hidden="false" customHeight="true" outlineLevel="0" collapsed="false">
      <c r="A744" s="19"/>
      <c r="B744" s="18" t="n">
        <v>12</v>
      </c>
      <c r="C744" s="4" t="s">
        <v>1413</v>
      </c>
      <c r="D744" s="19" t="s">
        <v>932</v>
      </c>
      <c r="E744" s="6" t="s">
        <v>1414</v>
      </c>
      <c r="F744" s="6" t="s">
        <v>1415</v>
      </c>
      <c r="G744" s="6" t="s">
        <v>1407</v>
      </c>
    </row>
    <row r="745" customFormat="false" ht="43.5" hidden="false" customHeight="true" outlineLevel="0" collapsed="false">
      <c r="A745" s="19"/>
      <c r="B745" s="18" t="n">
        <v>13</v>
      </c>
      <c r="C745" s="4" t="s">
        <v>1350</v>
      </c>
      <c r="D745" s="19" t="s">
        <v>932</v>
      </c>
      <c r="E745" s="6" t="s">
        <v>1351</v>
      </c>
      <c r="F745" s="6" t="s">
        <v>1410</v>
      </c>
      <c r="G745" s="6" t="s">
        <v>1407</v>
      </c>
    </row>
    <row r="746" customFormat="false" ht="25.5" hidden="false" customHeight="true" outlineLevel="0" collapsed="false">
      <c r="A746" s="19"/>
      <c r="B746" s="18" t="n">
        <v>14</v>
      </c>
      <c r="C746" s="4" t="s">
        <v>1352</v>
      </c>
      <c r="D746" s="19" t="s">
        <v>932</v>
      </c>
      <c r="E746" s="6" t="s">
        <v>1353</v>
      </c>
      <c r="F746" s="6" t="s">
        <v>1503</v>
      </c>
      <c r="G746" s="6" t="s">
        <v>1417</v>
      </c>
    </row>
    <row r="747" customFormat="false" ht="43.5" hidden="false" customHeight="true" outlineLevel="0" collapsed="false">
      <c r="A747" s="19"/>
      <c r="B747" s="18" t="n">
        <v>15</v>
      </c>
      <c r="C747" s="4" t="s">
        <v>1418</v>
      </c>
      <c r="D747" s="19" t="s">
        <v>932</v>
      </c>
      <c r="E747" s="6" t="s">
        <v>1419</v>
      </c>
      <c r="F747" s="6" t="s">
        <v>1410</v>
      </c>
      <c r="G747" s="6" t="s">
        <v>1407</v>
      </c>
    </row>
    <row r="748" customFormat="false" ht="25.5" hidden="false" customHeight="true" outlineLevel="0" collapsed="false">
      <c r="A748" s="19"/>
      <c r="B748" s="18" t="n">
        <v>16</v>
      </c>
      <c r="C748" s="4" t="s">
        <v>1420</v>
      </c>
      <c r="D748" s="19" t="s">
        <v>932</v>
      </c>
      <c r="E748" s="6" t="s">
        <v>1421</v>
      </c>
      <c r="F748" s="6" t="s">
        <v>1422</v>
      </c>
      <c r="G748" s="6" t="s">
        <v>1423</v>
      </c>
    </row>
    <row r="749" customFormat="false" ht="25.5" hidden="false" customHeight="true" outlineLevel="0" collapsed="false">
      <c r="A749" s="19"/>
      <c r="B749" s="18" t="n">
        <v>17</v>
      </c>
      <c r="C749" s="4" t="s">
        <v>1354</v>
      </c>
      <c r="D749" s="19" t="s">
        <v>932</v>
      </c>
      <c r="E749" s="6" t="s">
        <v>1355</v>
      </c>
      <c r="F749" s="6" t="s">
        <v>1422</v>
      </c>
      <c r="G749" s="6" t="s">
        <v>1423</v>
      </c>
    </row>
    <row r="750" customFormat="false" ht="25.5" hidden="false" customHeight="true" outlineLevel="0" collapsed="false">
      <c r="A750" s="19"/>
      <c r="B750" s="18" t="n">
        <v>18</v>
      </c>
      <c r="C750" s="4" t="s">
        <v>1424</v>
      </c>
      <c r="D750" s="19" t="s">
        <v>932</v>
      </c>
      <c r="E750" s="6" t="s">
        <v>1425</v>
      </c>
      <c r="F750" s="6" t="s">
        <v>1426</v>
      </c>
      <c r="G750" s="6" t="s">
        <v>1427</v>
      </c>
    </row>
    <row r="751" customFormat="false" ht="25.5" hidden="false" customHeight="true" outlineLevel="0" collapsed="false">
      <c r="A751" s="19"/>
      <c r="B751" s="18" t="n">
        <v>19</v>
      </c>
      <c r="C751" s="4" t="s">
        <v>1441</v>
      </c>
      <c r="D751" s="19" t="s">
        <v>932</v>
      </c>
      <c r="E751" s="6" t="s">
        <v>1442</v>
      </c>
      <c r="F751" s="6" t="s">
        <v>1443</v>
      </c>
      <c r="G751" s="6" t="s">
        <v>1444</v>
      </c>
    </row>
    <row r="752" customFormat="false" ht="25.5" hidden="false" customHeight="true" outlineLevel="0" collapsed="false">
      <c r="A752" s="19"/>
      <c r="B752" s="18" t="n">
        <v>20</v>
      </c>
      <c r="C752" s="4" t="s">
        <v>1445</v>
      </c>
      <c r="D752" s="19" t="s">
        <v>932</v>
      </c>
      <c r="E752" s="6" t="s">
        <v>1446</v>
      </c>
      <c r="F752" s="6" t="s">
        <v>1443</v>
      </c>
      <c r="G752" s="6" t="s">
        <v>1447</v>
      </c>
    </row>
    <row r="753" customFormat="false" ht="25.5" hidden="false" customHeight="true" outlineLevel="0" collapsed="false">
      <c r="A753" s="19"/>
      <c r="B753" s="18" t="n">
        <v>21</v>
      </c>
      <c r="C753" s="4" t="s">
        <v>1364</v>
      </c>
      <c r="D753" s="19" t="s">
        <v>921</v>
      </c>
      <c r="E753" s="6" t="s">
        <v>1365</v>
      </c>
      <c r="F753" s="6" t="s">
        <v>1448</v>
      </c>
      <c r="G753" s="6" t="s">
        <v>1449</v>
      </c>
    </row>
    <row r="754" customFormat="false" ht="25.5" hidden="false" customHeight="true" outlineLevel="0" collapsed="false">
      <c r="A754" s="19"/>
      <c r="B754" s="18" t="n">
        <v>22</v>
      </c>
      <c r="C754" s="4" t="s">
        <v>1368</v>
      </c>
      <c r="D754" s="19" t="s">
        <v>921</v>
      </c>
      <c r="E754" s="6" t="s">
        <v>1369</v>
      </c>
      <c r="F754" s="6" t="s">
        <v>1448</v>
      </c>
      <c r="G754" s="6" t="s">
        <v>1449</v>
      </c>
    </row>
    <row r="755" customFormat="false" ht="33" hidden="false" customHeight="true" outlineLevel="0" collapsed="false">
      <c r="A755" s="19"/>
      <c r="B755" s="18" t="n">
        <v>23</v>
      </c>
      <c r="C755" s="4" t="s">
        <v>1450</v>
      </c>
      <c r="D755" s="19" t="s">
        <v>932</v>
      </c>
      <c r="E755" s="6" t="s">
        <v>1451</v>
      </c>
      <c r="F755" s="6" t="s">
        <v>955</v>
      </c>
      <c r="G755" s="6" t="s">
        <v>1452</v>
      </c>
    </row>
    <row r="756" customFormat="false" ht="25.5" hidden="false" customHeight="true" outlineLevel="0" collapsed="false">
      <c r="A756" s="19"/>
      <c r="B756" s="18" t="n">
        <v>24</v>
      </c>
      <c r="C756" s="4" t="s">
        <v>1453</v>
      </c>
      <c r="D756" s="19" t="s">
        <v>932</v>
      </c>
      <c r="E756" s="6" t="s">
        <v>1454</v>
      </c>
      <c r="F756" s="6" t="s">
        <v>1366</v>
      </c>
      <c r="G756" s="6" t="s">
        <v>1455</v>
      </c>
    </row>
    <row r="757" customFormat="false" ht="33" hidden="false" customHeight="true" outlineLevel="0" collapsed="false">
      <c r="A757" s="19"/>
      <c r="B757" s="18" t="n">
        <v>25</v>
      </c>
      <c r="C757" s="4" t="s">
        <v>895</v>
      </c>
      <c r="D757" s="19" t="s">
        <v>957</v>
      </c>
      <c r="E757" s="6" t="s">
        <v>1370</v>
      </c>
      <c r="F757" s="6" t="s">
        <v>959</v>
      </c>
      <c r="G757" s="6" t="s">
        <v>994</v>
      </c>
    </row>
    <row r="758" customFormat="false" ht="43.5" hidden="false" customHeight="true" outlineLevel="0" collapsed="false">
      <c r="A758" s="19"/>
      <c r="B758" s="18" t="n">
        <v>26</v>
      </c>
      <c r="C758" s="4" t="s">
        <v>1456</v>
      </c>
      <c r="D758" s="19" t="s">
        <v>932</v>
      </c>
      <c r="E758" s="6" t="s">
        <v>1457</v>
      </c>
      <c r="F758" s="6" t="s">
        <v>1426</v>
      </c>
      <c r="G758" s="6" t="s">
        <v>1458</v>
      </c>
    </row>
    <row r="759" customFormat="false" ht="25.5" hidden="false" customHeight="true" outlineLevel="0" collapsed="false">
      <c r="A759" s="19"/>
      <c r="B759" s="18" t="n">
        <v>27</v>
      </c>
      <c r="C759" s="4" t="s">
        <v>1459</v>
      </c>
      <c r="D759" s="19" t="s">
        <v>932</v>
      </c>
      <c r="E759" s="6" t="s">
        <v>1460</v>
      </c>
      <c r="F759" s="6" t="s">
        <v>1461</v>
      </c>
      <c r="G759" s="6" t="s">
        <v>1462</v>
      </c>
    </row>
    <row r="760" customFormat="false" ht="25.5" hidden="false" customHeight="true" outlineLevel="0" collapsed="false">
      <c r="A760" s="19"/>
      <c r="B760" s="18" t="n">
        <v>28</v>
      </c>
      <c r="C760" s="4" t="s">
        <v>1463</v>
      </c>
      <c r="D760" s="19" t="s">
        <v>932</v>
      </c>
      <c r="E760" s="6" t="s">
        <v>1464</v>
      </c>
      <c r="F760" s="6" t="s">
        <v>1465</v>
      </c>
      <c r="G760" s="6" t="s">
        <v>1466</v>
      </c>
    </row>
    <row r="761" customFormat="false" ht="43.5" hidden="false" customHeight="true" outlineLevel="0" collapsed="false">
      <c r="A761" s="19"/>
      <c r="B761" s="18" t="n">
        <v>29</v>
      </c>
      <c r="C761" s="4" t="s">
        <v>1371</v>
      </c>
      <c r="D761" s="19" t="s">
        <v>932</v>
      </c>
      <c r="E761" s="6" t="s">
        <v>1372</v>
      </c>
      <c r="F761" s="6" t="s">
        <v>1467</v>
      </c>
      <c r="G761" s="6" t="s">
        <v>1468</v>
      </c>
    </row>
    <row r="762" customFormat="false" ht="43.5" hidden="false" customHeight="true" outlineLevel="0" collapsed="false">
      <c r="A762" s="19"/>
      <c r="B762" s="18" t="n">
        <v>30</v>
      </c>
      <c r="C762" s="4" t="s">
        <v>1469</v>
      </c>
      <c r="D762" s="19" t="s">
        <v>932</v>
      </c>
      <c r="E762" s="6" t="s">
        <v>1470</v>
      </c>
      <c r="F762" s="6" t="s">
        <v>1426</v>
      </c>
      <c r="G762" s="6" t="s">
        <v>1458</v>
      </c>
    </row>
    <row r="763" customFormat="false" ht="43.5" hidden="false" customHeight="true" outlineLevel="0" collapsed="false">
      <c r="A763" s="19"/>
      <c r="B763" s="18" t="n">
        <v>31</v>
      </c>
      <c r="C763" s="4" t="s">
        <v>1471</v>
      </c>
      <c r="D763" s="19" t="s">
        <v>932</v>
      </c>
      <c r="E763" s="6" t="s">
        <v>1472</v>
      </c>
      <c r="F763" s="6" t="s">
        <v>1473</v>
      </c>
      <c r="G763" s="6" t="s">
        <v>1474</v>
      </c>
    </row>
    <row r="764" customFormat="false" ht="43.5" hidden="false" customHeight="true" outlineLevel="0" collapsed="false">
      <c r="A764" s="19"/>
      <c r="B764" s="18" t="n">
        <v>32</v>
      </c>
      <c r="C764" s="4" t="s">
        <v>1374</v>
      </c>
      <c r="D764" s="19" t="s">
        <v>932</v>
      </c>
      <c r="E764" s="6" t="s">
        <v>1375</v>
      </c>
      <c r="F764" s="6" t="s">
        <v>1465</v>
      </c>
      <c r="G764" s="6" t="s">
        <v>1468</v>
      </c>
    </row>
    <row r="765" customFormat="false" ht="25.5" hidden="false" customHeight="true" outlineLevel="0" collapsed="false">
      <c r="A765" s="19"/>
      <c r="B765" s="18" t="n">
        <v>33</v>
      </c>
      <c r="C765" s="4" t="s">
        <v>1475</v>
      </c>
      <c r="D765" s="19" t="s">
        <v>932</v>
      </c>
      <c r="E765" s="6" t="s">
        <v>1476</v>
      </c>
      <c r="F765" s="6" t="s">
        <v>1426</v>
      </c>
      <c r="G765" s="6" t="s">
        <v>1477</v>
      </c>
    </row>
    <row r="766" customFormat="false" ht="25.5" hidden="false" customHeight="true" outlineLevel="0" collapsed="false">
      <c r="A766" s="19"/>
      <c r="B766" s="18" t="n">
        <v>34</v>
      </c>
      <c r="C766" s="4" t="s">
        <v>1478</v>
      </c>
      <c r="D766" s="19" t="s">
        <v>932</v>
      </c>
      <c r="E766" s="6" t="s">
        <v>1479</v>
      </c>
      <c r="F766" s="6" t="s">
        <v>1461</v>
      </c>
      <c r="G766" s="6" t="s">
        <v>1462</v>
      </c>
    </row>
    <row r="767" customFormat="false" ht="43.5" hidden="false" customHeight="true" outlineLevel="0" collapsed="false">
      <c r="A767" s="19"/>
      <c r="B767" s="18" t="n">
        <v>35</v>
      </c>
      <c r="C767" s="4" t="s">
        <v>1376</v>
      </c>
      <c r="D767" s="19" t="s">
        <v>957</v>
      </c>
      <c r="E767" s="6" t="s">
        <v>1377</v>
      </c>
      <c r="F767" s="6" t="s">
        <v>1480</v>
      </c>
      <c r="G767" s="6" t="s">
        <v>1481</v>
      </c>
    </row>
    <row r="768" customFormat="false" ht="33" hidden="false" customHeight="true" outlineLevel="0" collapsed="false">
      <c r="A768" s="19"/>
      <c r="B768" s="18" t="n">
        <v>36</v>
      </c>
      <c r="C768" s="4" t="s">
        <v>979</v>
      </c>
      <c r="D768" s="19" t="s">
        <v>932</v>
      </c>
      <c r="E768" s="6" t="s">
        <v>980</v>
      </c>
      <c r="F768" s="6" t="s">
        <v>1482</v>
      </c>
      <c r="G768" s="6" t="s">
        <v>1381</v>
      </c>
    </row>
    <row r="769" customFormat="false" ht="43.5" hidden="false" customHeight="true" outlineLevel="0" collapsed="false">
      <c r="A769" s="19"/>
      <c r="B769" s="18" t="n">
        <v>37</v>
      </c>
      <c r="C769" s="4" t="s">
        <v>1504</v>
      </c>
      <c r="D769" s="19" t="s">
        <v>932</v>
      </c>
      <c r="E769" s="6" t="s">
        <v>1505</v>
      </c>
      <c r="F769" s="6" t="s">
        <v>1506</v>
      </c>
      <c r="G769" s="6" t="s">
        <v>1507</v>
      </c>
    </row>
    <row r="770" customFormat="false" ht="33" hidden="false" customHeight="true" outlineLevel="0" collapsed="false">
      <c r="A770" s="19"/>
      <c r="B770" s="18" t="n">
        <v>38</v>
      </c>
      <c r="C770" s="4" t="s">
        <v>889</v>
      </c>
      <c r="D770" s="19" t="s">
        <v>957</v>
      </c>
      <c r="E770" s="6" t="s">
        <v>995</v>
      </c>
      <c r="F770" s="6" t="s">
        <v>959</v>
      </c>
      <c r="G770" s="6" t="s">
        <v>994</v>
      </c>
    </row>
    <row r="771" customFormat="false" ht="33" hidden="false" customHeight="true" outlineLevel="0" collapsed="false">
      <c r="A771" s="4" t="s">
        <v>1508</v>
      </c>
      <c r="B771" s="18" t="n">
        <v>1</v>
      </c>
      <c r="C771" s="4" t="s">
        <v>859</v>
      </c>
      <c r="D771" s="19" t="s">
        <v>921</v>
      </c>
      <c r="E771" s="6" t="s">
        <v>922</v>
      </c>
      <c r="F771" s="6" t="s">
        <v>1484</v>
      </c>
      <c r="G771" s="6" t="s">
        <v>1391</v>
      </c>
    </row>
    <row r="772" customFormat="false" ht="25.5" hidden="false" customHeight="true" outlineLevel="0" collapsed="false">
      <c r="A772" s="19"/>
      <c r="B772" s="18" t="n">
        <v>2</v>
      </c>
      <c r="C772" s="4" t="s">
        <v>1333</v>
      </c>
      <c r="D772" s="19" t="s">
        <v>957</v>
      </c>
      <c r="E772" s="6" t="s">
        <v>1334</v>
      </c>
      <c r="F772" s="6" t="s">
        <v>1132</v>
      </c>
      <c r="G772" s="6" t="s">
        <v>1509</v>
      </c>
    </row>
    <row r="773" customFormat="false" ht="25.5" hidden="false" customHeight="true" outlineLevel="0" collapsed="false">
      <c r="A773" s="19"/>
      <c r="B773" s="18" t="n">
        <v>3</v>
      </c>
      <c r="C773" s="4" t="s">
        <v>1510</v>
      </c>
      <c r="D773" s="19" t="s">
        <v>957</v>
      </c>
      <c r="E773" s="6" t="s">
        <v>1511</v>
      </c>
      <c r="F773" s="6" t="s">
        <v>1338</v>
      </c>
      <c r="G773" s="6" t="s">
        <v>1512</v>
      </c>
    </row>
    <row r="774" customFormat="false" ht="33" hidden="false" customHeight="true" outlineLevel="0" collapsed="false">
      <c r="A774" s="19"/>
      <c r="B774" s="18" t="n">
        <v>4</v>
      </c>
      <c r="C774" s="4" t="s">
        <v>1513</v>
      </c>
      <c r="D774" s="19" t="s">
        <v>957</v>
      </c>
      <c r="E774" s="6" t="s">
        <v>1514</v>
      </c>
      <c r="F774" s="6" t="s">
        <v>1515</v>
      </c>
      <c r="G774" s="6" t="s">
        <v>1516</v>
      </c>
    </row>
    <row r="775" customFormat="false" ht="25.5" hidden="false" customHeight="true" outlineLevel="0" collapsed="false">
      <c r="A775" s="19"/>
      <c r="B775" s="18" t="n">
        <v>5</v>
      </c>
      <c r="C775" s="4" t="s">
        <v>1517</v>
      </c>
      <c r="D775" s="19" t="s">
        <v>1184</v>
      </c>
      <c r="E775" s="6" t="s">
        <v>1518</v>
      </c>
      <c r="F775" s="6" t="s">
        <v>1519</v>
      </c>
      <c r="G775" s="6" t="s">
        <v>1520</v>
      </c>
    </row>
    <row r="776" customFormat="false" ht="25.5" hidden="false" customHeight="true" outlineLevel="0" collapsed="false">
      <c r="A776" s="19"/>
      <c r="B776" s="18" t="n">
        <v>6</v>
      </c>
      <c r="C776" s="4" t="s">
        <v>1392</v>
      </c>
      <c r="D776" s="19" t="s">
        <v>932</v>
      </c>
      <c r="E776" s="6" t="s">
        <v>1393</v>
      </c>
      <c r="F776" s="6" t="s">
        <v>1113</v>
      </c>
      <c r="G776" s="6" t="s">
        <v>1394</v>
      </c>
    </row>
    <row r="777" customFormat="false" ht="43.5" hidden="false" customHeight="true" outlineLevel="0" collapsed="false">
      <c r="A777" s="19"/>
      <c r="B777" s="18" t="n">
        <v>7</v>
      </c>
      <c r="C777" s="4" t="s">
        <v>1336</v>
      </c>
      <c r="D777" s="19" t="s">
        <v>921</v>
      </c>
      <c r="E777" s="6" t="s">
        <v>1337</v>
      </c>
      <c r="F777" s="6" t="s">
        <v>1521</v>
      </c>
      <c r="G777" s="6" t="s">
        <v>1396</v>
      </c>
    </row>
    <row r="778" customFormat="false" ht="43.5" hidden="false" customHeight="true" outlineLevel="0" collapsed="false">
      <c r="A778" s="19"/>
      <c r="B778" s="18" t="n">
        <v>8</v>
      </c>
      <c r="C778" s="4" t="s">
        <v>1522</v>
      </c>
      <c r="D778" s="19" t="s">
        <v>957</v>
      </c>
      <c r="E778" s="6" t="s">
        <v>1523</v>
      </c>
      <c r="F778" s="6" t="s">
        <v>1132</v>
      </c>
      <c r="G778" s="6" t="s">
        <v>1524</v>
      </c>
    </row>
    <row r="779" customFormat="false" ht="43.5" hidden="false" customHeight="true" outlineLevel="0" collapsed="false">
      <c r="A779" s="19"/>
      <c r="B779" s="18" t="n">
        <v>9</v>
      </c>
      <c r="C779" s="4" t="s">
        <v>1525</v>
      </c>
      <c r="D779" s="19" t="s">
        <v>957</v>
      </c>
      <c r="E779" s="6" t="s">
        <v>1526</v>
      </c>
      <c r="F779" s="6" t="s">
        <v>1132</v>
      </c>
      <c r="G779" s="6" t="s">
        <v>1524</v>
      </c>
    </row>
    <row r="780" customFormat="false" ht="43.5" hidden="false" customHeight="true" outlineLevel="0" collapsed="false">
      <c r="A780" s="19"/>
      <c r="B780" s="18" t="n">
        <v>10</v>
      </c>
      <c r="C780" s="4" t="s">
        <v>1527</v>
      </c>
      <c r="D780" s="19" t="s">
        <v>957</v>
      </c>
      <c r="E780" s="6" t="s">
        <v>1528</v>
      </c>
      <c r="F780" s="6" t="s">
        <v>1132</v>
      </c>
      <c r="G780" s="6" t="s">
        <v>1524</v>
      </c>
    </row>
    <row r="781" customFormat="false" ht="43.5" hidden="false" customHeight="true" outlineLevel="0" collapsed="false">
      <c r="A781" s="19"/>
      <c r="B781" s="18" t="n">
        <v>11</v>
      </c>
      <c r="C781" s="4" t="s">
        <v>1344</v>
      </c>
      <c r="D781" s="19" t="s">
        <v>932</v>
      </c>
      <c r="E781" s="6" t="s">
        <v>1345</v>
      </c>
      <c r="F781" s="6" t="s">
        <v>1406</v>
      </c>
      <c r="G781" s="6" t="s">
        <v>1407</v>
      </c>
    </row>
    <row r="782" customFormat="false" ht="43.5" hidden="false" customHeight="true" outlineLevel="0" collapsed="false">
      <c r="A782" s="19"/>
      <c r="B782" s="18" t="n">
        <v>12</v>
      </c>
      <c r="C782" s="4" t="s">
        <v>1408</v>
      </c>
      <c r="D782" s="19" t="s">
        <v>932</v>
      </c>
      <c r="E782" s="6" t="s">
        <v>1409</v>
      </c>
      <c r="F782" s="6" t="s">
        <v>1410</v>
      </c>
      <c r="G782" s="6" t="s">
        <v>1407</v>
      </c>
    </row>
    <row r="783" customFormat="false" ht="43.5" hidden="false" customHeight="true" outlineLevel="0" collapsed="false">
      <c r="A783" s="19"/>
      <c r="B783" s="18" t="n">
        <v>13</v>
      </c>
      <c r="C783" s="4" t="s">
        <v>1411</v>
      </c>
      <c r="D783" s="19" t="s">
        <v>932</v>
      </c>
      <c r="E783" s="6" t="s">
        <v>1412</v>
      </c>
      <c r="F783" s="6" t="s">
        <v>1406</v>
      </c>
      <c r="G783" s="6" t="s">
        <v>1407</v>
      </c>
    </row>
    <row r="784" customFormat="false" ht="43.5" hidden="false" customHeight="true" outlineLevel="0" collapsed="false">
      <c r="A784" s="19"/>
      <c r="B784" s="18" t="n">
        <v>14</v>
      </c>
      <c r="C784" s="4" t="s">
        <v>1348</v>
      </c>
      <c r="D784" s="19" t="s">
        <v>932</v>
      </c>
      <c r="E784" s="6" t="s">
        <v>1349</v>
      </c>
      <c r="F784" s="6" t="s">
        <v>1406</v>
      </c>
      <c r="G784" s="6" t="s">
        <v>1407</v>
      </c>
    </row>
    <row r="785" customFormat="false" ht="43.5" hidden="false" customHeight="true" outlineLevel="0" collapsed="false">
      <c r="A785" s="19"/>
      <c r="B785" s="18" t="n">
        <v>15</v>
      </c>
      <c r="C785" s="4" t="s">
        <v>1413</v>
      </c>
      <c r="D785" s="19" t="s">
        <v>932</v>
      </c>
      <c r="E785" s="6" t="s">
        <v>1414</v>
      </c>
      <c r="F785" s="6" t="s">
        <v>1415</v>
      </c>
      <c r="G785" s="6" t="s">
        <v>1407</v>
      </c>
    </row>
    <row r="786" customFormat="false" ht="43.5" hidden="false" customHeight="true" outlineLevel="0" collapsed="false">
      <c r="A786" s="19"/>
      <c r="B786" s="18" t="n">
        <v>16</v>
      </c>
      <c r="C786" s="4" t="s">
        <v>1350</v>
      </c>
      <c r="D786" s="19" t="s">
        <v>932</v>
      </c>
      <c r="E786" s="6" t="s">
        <v>1351</v>
      </c>
      <c r="F786" s="6" t="s">
        <v>1410</v>
      </c>
      <c r="G786" s="6" t="s">
        <v>1407</v>
      </c>
    </row>
    <row r="787" customFormat="false" ht="25.5" hidden="false" customHeight="true" outlineLevel="0" collapsed="false">
      <c r="A787" s="19"/>
      <c r="B787" s="18" t="n">
        <v>17</v>
      </c>
      <c r="C787" s="4" t="s">
        <v>1352</v>
      </c>
      <c r="D787" s="19" t="s">
        <v>932</v>
      </c>
      <c r="E787" s="6" t="s">
        <v>1353</v>
      </c>
      <c r="F787" s="6" t="s">
        <v>1488</v>
      </c>
      <c r="G787" s="6" t="s">
        <v>1417</v>
      </c>
    </row>
    <row r="788" customFormat="false" ht="43.5" hidden="false" customHeight="true" outlineLevel="0" collapsed="false">
      <c r="A788" s="19"/>
      <c r="B788" s="18" t="n">
        <v>18</v>
      </c>
      <c r="C788" s="4" t="s">
        <v>1418</v>
      </c>
      <c r="D788" s="19" t="s">
        <v>932</v>
      </c>
      <c r="E788" s="6" t="s">
        <v>1419</v>
      </c>
      <c r="F788" s="6" t="s">
        <v>1529</v>
      </c>
      <c r="G788" s="6" t="s">
        <v>1407</v>
      </c>
    </row>
    <row r="789" customFormat="false" ht="25.5" hidden="false" customHeight="true" outlineLevel="0" collapsed="false">
      <c r="A789" s="19"/>
      <c r="B789" s="18" t="n">
        <v>19</v>
      </c>
      <c r="C789" s="4" t="s">
        <v>1420</v>
      </c>
      <c r="D789" s="19" t="s">
        <v>932</v>
      </c>
      <c r="E789" s="6" t="s">
        <v>1421</v>
      </c>
      <c r="F789" s="6" t="s">
        <v>1422</v>
      </c>
      <c r="G789" s="6" t="s">
        <v>1423</v>
      </c>
    </row>
    <row r="790" customFormat="false" ht="25.5" hidden="false" customHeight="true" outlineLevel="0" collapsed="false">
      <c r="A790" s="19"/>
      <c r="B790" s="18" t="n">
        <v>20</v>
      </c>
      <c r="C790" s="4" t="s">
        <v>1354</v>
      </c>
      <c r="D790" s="19" t="s">
        <v>932</v>
      </c>
      <c r="E790" s="6" t="s">
        <v>1355</v>
      </c>
      <c r="F790" s="6" t="s">
        <v>1422</v>
      </c>
      <c r="G790" s="6" t="s">
        <v>1423</v>
      </c>
    </row>
    <row r="791" customFormat="false" ht="25.5" hidden="false" customHeight="true" outlineLevel="0" collapsed="false">
      <c r="A791" s="19"/>
      <c r="B791" s="18" t="n">
        <v>21</v>
      </c>
      <c r="C791" s="4" t="s">
        <v>1424</v>
      </c>
      <c r="D791" s="19" t="s">
        <v>932</v>
      </c>
      <c r="E791" s="6" t="s">
        <v>1425</v>
      </c>
      <c r="F791" s="6" t="s">
        <v>1426</v>
      </c>
      <c r="G791" s="6" t="s">
        <v>1427</v>
      </c>
    </row>
    <row r="792" customFormat="false" ht="25.5" hidden="false" customHeight="true" outlineLevel="0" collapsed="false">
      <c r="A792" s="19"/>
      <c r="B792" s="18" t="n">
        <v>22</v>
      </c>
      <c r="C792" s="4" t="s">
        <v>1441</v>
      </c>
      <c r="D792" s="19" t="s">
        <v>932</v>
      </c>
      <c r="E792" s="6" t="s">
        <v>1442</v>
      </c>
      <c r="F792" s="6" t="s">
        <v>1443</v>
      </c>
      <c r="G792" s="6" t="s">
        <v>1444</v>
      </c>
    </row>
    <row r="793" customFormat="false" ht="25.5" hidden="false" customHeight="true" outlineLevel="0" collapsed="false">
      <c r="A793" s="19"/>
      <c r="B793" s="18" t="n">
        <v>23</v>
      </c>
      <c r="C793" s="4" t="s">
        <v>1445</v>
      </c>
      <c r="D793" s="19" t="s">
        <v>932</v>
      </c>
      <c r="E793" s="6" t="s">
        <v>1446</v>
      </c>
      <c r="F793" s="6" t="s">
        <v>1443</v>
      </c>
      <c r="G793" s="6" t="s">
        <v>1447</v>
      </c>
    </row>
    <row r="794" customFormat="false" ht="25.5" hidden="false" customHeight="true" outlineLevel="0" collapsed="false">
      <c r="A794" s="19"/>
      <c r="B794" s="18" t="n">
        <v>24</v>
      </c>
      <c r="C794" s="4" t="s">
        <v>1364</v>
      </c>
      <c r="D794" s="19" t="s">
        <v>921</v>
      </c>
      <c r="E794" s="6" t="s">
        <v>1365</v>
      </c>
      <c r="F794" s="6" t="s">
        <v>1448</v>
      </c>
      <c r="G794" s="6" t="s">
        <v>1449</v>
      </c>
    </row>
    <row r="795" customFormat="false" ht="25.5" hidden="false" customHeight="true" outlineLevel="0" collapsed="false">
      <c r="A795" s="19"/>
      <c r="B795" s="18" t="n">
        <v>25</v>
      </c>
      <c r="C795" s="4" t="s">
        <v>1368</v>
      </c>
      <c r="D795" s="19" t="s">
        <v>921</v>
      </c>
      <c r="E795" s="6" t="s">
        <v>1369</v>
      </c>
      <c r="F795" s="6" t="s">
        <v>1448</v>
      </c>
      <c r="G795" s="6" t="s">
        <v>1449</v>
      </c>
    </row>
    <row r="796" customFormat="false" ht="33" hidden="false" customHeight="true" outlineLevel="0" collapsed="false">
      <c r="A796" s="19"/>
      <c r="B796" s="18" t="n">
        <v>26</v>
      </c>
      <c r="C796" s="4" t="s">
        <v>1450</v>
      </c>
      <c r="D796" s="19" t="s">
        <v>932</v>
      </c>
      <c r="E796" s="6" t="s">
        <v>1451</v>
      </c>
      <c r="F796" s="6" t="s">
        <v>955</v>
      </c>
      <c r="G796" s="6" t="s">
        <v>1452</v>
      </c>
    </row>
    <row r="797" customFormat="false" ht="25.5" hidden="false" customHeight="true" outlineLevel="0" collapsed="false">
      <c r="A797" s="19"/>
      <c r="B797" s="18" t="n">
        <v>27</v>
      </c>
      <c r="C797" s="4" t="s">
        <v>1453</v>
      </c>
      <c r="D797" s="19" t="s">
        <v>932</v>
      </c>
      <c r="E797" s="6" t="s">
        <v>1454</v>
      </c>
      <c r="F797" s="6" t="s">
        <v>1366</v>
      </c>
      <c r="G797" s="6" t="s">
        <v>1455</v>
      </c>
    </row>
    <row r="798" customFormat="false" ht="43.5" hidden="false" customHeight="true" outlineLevel="0" collapsed="false">
      <c r="A798" s="19"/>
      <c r="B798" s="18" t="n">
        <v>28</v>
      </c>
      <c r="C798" s="4" t="s">
        <v>871</v>
      </c>
      <c r="D798" s="19" t="s">
        <v>957</v>
      </c>
      <c r="E798" s="6" t="s">
        <v>958</v>
      </c>
      <c r="F798" s="6" t="s">
        <v>1530</v>
      </c>
      <c r="G798" s="6" t="s">
        <v>960</v>
      </c>
    </row>
    <row r="799" customFormat="false" ht="25.5" hidden="false" customHeight="true" outlineLevel="0" collapsed="false">
      <c r="A799" s="19"/>
      <c r="B799" s="18" t="n">
        <v>29</v>
      </c>
      <c r="C799" s="4" t="s">
        <v>874</v>
      </c>
      <c r="D799" s="19" t="s">
        <v>957</v>
      </c>
      <c r="E799" s="6" t="s">
        <v>1490</v>
      </c>
      <c r="F799" s="6" t="s">
        <v>1491</v>
      </c>
      <c r="G799" s="6" t="s">
        <v>1492</v>
      </c>
    </row>
    <row r="800" customFormat="false" ht="33" hidden="false" customHeight="true" outlineLevel="0" collapsed="false">
      <c r="A800" s="19"/>
      <c r="B800" s="18" t="n">
        <v>30</v>
      </c>
      <c r="C800" s="4" t="s">
        <v>895</v>
      </c>
      <c r="D800" s="19" t="s">
        <v>957</v>
      </c>
      <c r="E800" s="6" t="s">
        <v>1370</v>
      </c>
      <c r="F800" s="6" t="s">
        <v>959</v>
      </c>
      <c r="G800" s="6" t="s">
        <v>994</v>
      </c>
    </row>
    <row r="801" customFormat="false" ht="43.5" hidden="false" customHeight="true" outlineLevel="0" collapsed="false">
      <c r="A801" s="19"/>
      <c r="B801" s="18" t="n">
        <v>31</v>
      </c>
      <c r="C801" s="4" t="s">
        <v>1456</v>
      </c>
      <c r="D801" s="19" t="s">
        <v>932</v>
      </c>
      <c r="E801" s="6" t="s">
        <v>1457</v>
      </c>
      <c r="F801" s="6" t="s">
        <v>1426</v>
      </c>
      <c r="G801" s="6" t="s">
        <v>1531</v>
      </c>
    </row>
    <row r="802" customFormat="false" ht="25.5" hidden="false" customHeight="true" outlineLevel="0" collapsed="false">
      <c r="A802" s="19"/>
      <c r="B802" s="18" t="n">
        <v>32</v>
      </c>
      <c r="C802" s="4" t="s">
        <v>1459</v>
      </c>
      <c r="D802" s="19" t="s">
        <v>932</v>
      </c>
      <c r="E802" s="6" t="s">
        <v>1460</v>
      </c>
      <c r="F802" s="6" t="s">
        <v>1532</v>
      </c>
      <c r="G802" s="6" t="s">
        <v>1533</v>
      </c>
    </row>
    <row r="803" customFormat="false" ht="25.5" hidden="false" customHeight="true" outlineLevel="0" collapsed="false">
      <c r="A803" s="19"/>
      <c r="B803" s="18" t="n">
        <v>33</v>
      </c>
      <c r="C803" s="4" t="s">
        <v>1463</v>
      </c>
      <c r="D803" s="19" t="s">
        <v>932</v>
      </c>
      <c r="E803" s="6" t="s">
        <v>1464</v>
      </c>
      <c r="F803" s="6" t="s">
        <v>1465</v>
      </c>
      <c r="G803" s="6" t="s">
        <v>1466</v>
      </c>
    </row>
    <row r="804" customFormat="false" ht="43.5" hidden="false" customHeight="true" outlineLevel="0" collapsed="false">
      <c r="A804" s="19"/>
      <c r="B804" s="18" t="n">
        <v>34</v>
      </c>
      <c r="C804" s="4" t="s">
        <v>1371</v>
      </c>
      <c r="D804" s="19" t="s">
        <v>932</v>
      </c>
      <c r="E804" s="6" t="s">
        <v>1372</v>
      </c>
      <c r="F804" s="6" t="s">
        <v>1467</v>
      </c>
      <c r="G804" s="6" t="s">
        <v>1468</v>
      </c>
    </row>
    <row r="805" customFormat="false" ht="43.5" hidden="false" customHeight="true" outlineLevel="0" collapsed="false">
      <c r="A805" s="19"/>
      <c r="B805" s="18" t="n">
        <v>35</v>
      </c>
      <c r="C805" s="4" t="s">
        <v>1469</v>
      </c>
      <c r="D805" s="19" t="s">
        <v>932</v>
      </c>
      <c r="E805" s="6" t="s">
        <v>1470</v>
      </c>
      <c r="F805" s="6" t="s">
        <v>1426</v>
      </c>
      <c r="G805" s="6" t="s">
        <v>1531</v>
      </c>
    </row>
    <row r="806" customFormat="false" ht="43.5" hidden="false" customHeight="true" outlineLevel="0" collapsed="false">
      <c r="A806" s="19"/>
      <c r="B806" s="18" t="n">
        <v>36</v>
      </c>
      <c r="C806" s="4" t="s">
        <v>1471</v>
      </c>
      <c r="D806" s="19" t="s">
        <v>932</v>
      </c>
      <c r="E806" s="6" t="s">
        <v>1472</v>
      </c>
      <c r="F806" s="6" t="s">
        <v>1473</v>
      </c>
      <c r="G806" s="6" t="s">
        <v>1474</v>
      </c>
    </row>
    <row r="807" customFormat="false" ht="43.5" hidden="false" customHeight="true" outlineLevel="0" collapsed="false">
      <c r="A807" s="19"/>
      <c r="B807" s="18" t="n">
        <v>37</v>
      </c>
      <c r="C807" s="4" t="s">
        <v>1374</v>
      </c>
      <c r="D807" s="19" t="s">
        <v>932</v>
      </c>
      <c r="E807" s="6" t="s">
        <v>1375</v>
      </c>
      <c r="F807" s="6" t="s">
        <v>1465</v>
      </c>
      <c r="G807" s="6" t="s">
        <v>1468</v>
      </c>
    </row>
    <row r="808" customFormat="false" ht="25.5" hidden="false" customHeight="true" outlineLevel="0" collapsed="false">
      <c r="A808" s="19"/>
      <c r="B808" s="18" t="n">
        <v>38</v>
      </c>
      <c r="C808" s="4" t="s">
        <v>1475</v>
      </c>
      <c r="D808" s="19" t="s">
        <v>932</v>
      </c>
      <c r="E808" s="6" t="s">
        <v>1476</v>
      </c>
      <c r="F808" s="6" t="s">
        <v>1426</v>
      </c>
      <c r="G808" s="6" t="s">
        <v>1477</v>
      </c>
    </row>
    <row r="809" customFormat="false" ht="25.5" hidden="false" customHeight="true" outlineLevel="0" collapsed="false">
      <c r="A809" s="19"/>
      <c r="B809" s="18" t="n">
        <v>39</v>
      </c>
      <c r="C809" s="4" t="s">
        <v>1478</v>
      </c>
      <c r="D809" s="19" t="s">
        <v>932</v>
      </c>
      <c r="E809" s="6" t="s">
        <v>1479</v>
      </c>
      <c r="F809" s="6" t="s">
        <v>1532</v>
      </c>
      <c r="G809" s="6" t="s">
        <v>1534</v>
      </c>
    </row>
    <row r="810" customFormat="false" ht="43.5" hidden="false" customHeight="true" outlineLevel="0" collapsed="false">
      <c r="A810" s="19"/>
      <c r="B810" s="18" t="n">
        <v>40</v>
      </c>
      <c r="C810" s="4" t="s">
        <v>1376</v>
      </c>
      <c r="D810" s="19" t="s">
        <v>957</v>
      </c>
      <c r="E810" s="6" t="s">
        <v>1377</v>
      </c>
      <c r="F810" s="6" t="s">
        <v>1480</v>
      </c>
      <c r="G810" s="6" t="s">
        <v>1481</v>
      </c>
    </row>
    <row r="811" customFormat="false" ht="33" hidden="false" customHeight="true" outlineLevel="0" collapsed="false">
      <c r="A811" s="19"/>
      <c r="B811" s="18" t="n">
        <v>41</v>
      </c>
      <c r="C811" s="4" t="s">
        <v>979</v>
      </c>
      <c r="D811" s="19" t="s">
        <v>932</v>
      </c>
      <c r="E811" s="6" t="s">
        <v>980</v>
      </c>
      <c r="F811" s="6" t="s">
        <v>1535</v>
      </c>
      <c r="G811" s="6" t="s">
        <v>1381</v>
      </c>
    </row>
    <row r="812" customFormat="false" ht="33" hidden="false" customHeight="true" outlineLevel="0" collapsed="false">
      <c r="A812" s="19"/>
      <c r="B812" s="18" t="n">
        <v>42</v>
      </c>
      <c r="C812" s="4" t="s">
        <v>889</v>
      </c>
      <c r="D812" s="19" t="s">
        <v>957</v>
      </c>
      <c r="E812" s="6" t="s">
        <v>995</v>
      </c>
      <c r="F812" s="6" t="s">
        <v>959</v>
      </c>
      <c r="G812" s="6" t="s">
        <v>994</v>
      </c>
    </row>
    <row r="813" customFormat="false" ht="33" hidden="false" customHeight="true" outlineLevel="0" collapsed="false">
      <c r="A813" s="4" t="s">
        <v>1536</v>
      </c>
      <c r="B813" s="18" t="n">
        <v>1</v>
      </c>
      <c r="C813" s="4" t="s">
        <v>859</v>
      </c>
      <c r="D813" s="19" t="s">
        <v>921</v>
      </c>
      <c r="E813" s="6" t="s">
        <v>922</v>
      </c>
      <c r="F813" s="6" t="s">
        <v>1484</v>
      </c>
      <c r="G813" s="6" t="s">
        <v>1391</v>
      </c>
    </row>
    <row r="814" customFormat="false" ht="43.5" hidden="false" customHeight="true" outlineLevel="0" collapsed="false">
      <c r="A814" s="19"/>
      <c r="B814" s="18" t="n">
        <v>2</v>
      </c>
      <c r="C814" s="4" t="s">
        <v>1336</v>
      </c>
      <c r="D814" s="19" t="s">
        <v>921</v>
      </c>
      <c r="E814" s="6" t="s">
        <v>1337</v>
      </c>
      <c r="F814" s="6" t="s">
        <v>1485</v>
      </c>
      <c r="G814" s="6" t="s">
        <v>1396</v>
      </c>
    </row>
    <row r="815" customFormat="false" ht="43.5" hidden="false" customHeight="true" outlineLevel="0" collapsed="false">
      <c r="A815" s="19"/>
      <c r="B815" s="18" t="n">
        <v>3</v>
      </c>
      <c r="C815" s="4" t="s">
        <v>865</v>
      </c>
      <c r="D815" s="19" t="s">
        <v>957</v>
      </c>
      <c r="E815" s="6" t="s">
        <v>1299</v>
      </c>
      <c r="F815" s="6" t="s">
        <v>1132</v>
      </c>
      <c r="G815" s="6" t="s">
        <v>1397</v>
      </c>
    </row>
    <row r="816" customFormat="false" ht="25.5" hidden="false" customHeight="true" outlineLevel="0" collapsed="false">
      <c r="A816" s="19"/>
      <c r="B816" s="18" t="n">
        <v>4</v>
      </c>
      <c r="C816" s="4" t="s">
        <v>898</v>
      </c>
      <c r="D816" s="19" t="s">
        <v>921</v>
      </c>
      <c r="E816" s="6" t="s">
        <v>928</v>
      </c>
      <c r="F816" s="6" t="s">
        <v>1486</v>
      </c>
      <c r="G816" s="6" t="s">
        <v>1537</v>
      </c>
    </row>
    <row r="817" customFormat="false" ht="43.5" hidden="false" customHeight="true" outlineLevel="0" collapsed="false">
      <c r="A817" s="19"/>
      <c r="B817" s="18" t="n">
        <v>5</v>
      </c>
      <c r="C817" s="4" t="s">
        <v>1344</v>
      </c>
      <c r="D817" s="19" t="s">
        <v>932</v>
      </c>
      <c r="E817" s="6" t="s">
        <v>1345</v>
      </c>
      <c r="F817" s="6" t="s">
        <v>1406</v>
      </c>
      <c r="G817" s="6" t="s">
        <v>1407</v>
      </c>
    </row>
    <row r="818" customFormat="false" ht="43.5" hidden="false" customHeight="true" outlineLevel="0" collapsed="false">
      <c r="A818" s="19"/>
      <c r="B818" s="18" t="n">
        <v>6</v>
      </c>
      <c r="C818" s="4" t="s">
        <v>1408</v>
      </c>
      <c r="D818" s="19" t="s">
        <v>932</v>
      </c>
      <c r="E818" s="6" t="s">
        <v>1409</v>
      </c>
      <c r="F818" s="6" t="s">
        <v>1410</v>
      </c>
      <c r="G818" s="6" t="s">
        <v>1407</v>
      </c>
    </row>
    <row r="819" customFormat="false" ht="43.5" hidden="false" customHeight="true" outlineLevel="0" collapsed="false">
      <c r="A819" s="19"/>
      <c r="B819" s="18" t="n">
        <v>7</v>
      </c>
      <c r="C819" s="4" t="s">
        <v>1411</v>
      </c>
      <c r="D819" s="19" t="s">
        <v>932</v>
      </c>
      <c r="E819" s="6" t="s">
        <v>1412</v>
      </c>
      <c r="F819" s="6" t="s">
        <v>1406</v>
      </c>
      <c r="G819" s="6" t="s">
        <v>1407</v>
      </c>
    </row>
    <row r="820" customFormat="false" ht="43.5" hidden="false" customHeight="true" outlineLevel="0" collapsed="false">
      <c r="A820" s="19"/>
      <c r="B820" s="18" t="n">
        <v>8</v>
      </c>
      <c r="C820" s="4" t="s">
        <v>1348</v>
      </c>
      <c r="D820" s="19" t="s">
        <v>932</v>
      </c>
      <c r="E820" s="6" t="s">
        <v>1349</v>
      </c>
      <c r="F820" s="6" t="s">
        <v>1406</v>
      </c>
      <c r="G820" s="6" t="s">
        <v>1407</v>
      </c>
    </row>
    <row r="821" customFormat="false" ht="43.5" hidden="false" customHeight="true" outlineLevel="0" collapsed="false">
      <c r="A821" s="19"/>
      <c r="B821" s="18" t="n">
        <v>9</v>
      </c>
      <c r="C821" s="4" t="s">
        <v>1413</v>
      </c>
      <c r="D821" s="19" t="s">
        <v>932</v>
      </c>
      <c r="E821" s="6" t="s">
        <v>1414</v>
      </c>
      <c r="F821" s="6" t="s">
        <v>1415</v>
      </c>
      <c r="G821" s="6" t="s">
        <v>1407</v>
      </c>
    </row>
    <row r="822" customFormat="false" ht="43.5" hidden="false" customHeight="true" outlineLevel="0" collapsed="false">
      <c r="A822" s="19"/>
      <c r="B822" s="18" t="n">
        <v>10</v>
      </c>
      <c r="C822" s="4" t="s">
        <v>1350</v>
      </c>
      <c r="D822" s="19" t="s">
        <v>932</v>
      </c>
      <c r="E822" s="6" t="s">
        <v>1351</v>
      </c>
      <c r="F822" s="6" t="s">
        <v>1410</v>
      </c>
      <c r="G822" s="6" t="s">
        <v>1407</v>
      </c>
    </row>
    <row r="823" customFormat="false" ht="25.5" hidden="false" customHeight="true" outlineLevel="0" collapsed="false">
      <c r="A823" s="19"/>
      <c r="B823" s="18" t="n">
        <v>11</v>
      </c>
      <c r="C823" s="4" t="s">
        <v>1352</v>
      </c>
      <c r="D823" s="19" t="s">
        <v>932</v>
      </c>
      <c r="E823" s="6" t="s">
        <v>1353</v>
      </c>
      <c r="F823" s="6" t="s">
        <v>1488</v>
      </c>
      <c r="G823" s="6" t="s">
        <v>1417</v>
      </c>
    </row>
    <row r="824" customFormat="false" ht="43.5" hidden="false" customHeight="true" outlineLevel="0" collapsed="false">
      <c r="A824" s="19"/>
      <c r="B824" s="18" t="n">
        <v>12</v>
      </c>
      <c r="C824" s="4" t="s">
        <v>1418</v>
      </c>
      <c r="D824" s="19" t="s">
        <v>932</v>
      </c>
      <c r="E824" s="6" t="s">
        <v>1419</v>
      </c>
      <c r="F824" s="6" t="s">
        <v>1410</v>
      </c>
      <c r="G824" s="6" t="s">
        <v>1407</v>
      </c>
    </row>
    <row r="825" customFormat="false" ht="25.5" hidden="false" customHeight="true" outlineLevel="0" collapsed="false">
      <c r="A825" s="19"/>
      <c r="B825" s="18" t="n">
        <v>13</v>
      </c>
      <c r="C825" s="4" t="s">
        <v>1420</v>
      </c>
      <c r="D825" s="19" t="s">
        <v>932</v>
      </c>
      <c r="E825" s="6" t="s">
        <v>1421</v>
      </c>
      <c r="F825" s="6" t="s">
        <v>1422</v>
      </c>
      <c r="G825" s="6" t="s">
        <v>1423</v>
      </c>
    </row>
    <row r="826" customFormat="false" ht="25.5" hidden="false" customHeight="true" outlineLevel="0" collapsed="false">
      <c r="A826" s="19"/>
      <c r="B826" s="18" t="n">
        <v>14</v>
      </c>
      <c r="C826" s="4" t="s">
        <v>1354</v>
      </c>
      <c r="D826" s="19" t="s">
        <v>932</v>
      </c>
      <c r="E826" s="6" t="s">
        <v>1355</v>
      </c>
      <c r="F826" s="6" t="s">
        <v>1422</v>
      </c>
      <c r="G826" s="6" t="s">
        <v>1423</v>
      </c>
    </row>
    <row r="827" customFormat="false" ht="25.5" hidden="false" customHeight="true" outlineLevel="0" collapsed="false">
      <c r="A827" s="19"/>
      <c r="B827" s="18" t="n">
        <v>15</v>
      </c>
      <c r="C827" s="4" t="s">
        <v>1424</v>
      </c>
      <c r="D827" s="19" t="s">
        <v>932</v>
      </c>
      <c r="E827" s="6" t="s">
        <v>1425</v>
      </c>
      <c r="F827" s="6" t="s">
        <v>1426</v>
      </c>
      <c r="G827" s="6" t="s">
        <v>1427</v>
      </c>
    </row>
    <row r="828" customFormat="false" ht="33" hidden="false" customHeight="true" outlineLevel="0" collapsed="false">
      <c r="A828" s="19"/>
      <c r="B828" s="18" t="n">
        <v>16</v>
      </c>
      <c r="C828" s="4" t="s">
        <v>1428</v>
      </c>
      <c r="D828" s="19" t="s">
        <v>957</v>
      </c>
      <c r="E828" s="6" t="s">
        <v>1429</v>
      </c>
      <c r="F828" s="6" t="s">
        <v>1132</v>
      </c>
      <c r="G828" s="6" t="s">
        <v>1430</v>
      </c>
    </row>
    <row r="829" customFormat="false" ht="33" hidden="false" customHeight="true" outlineLevel="0" collapsed="false">
      <c r="A829" s="19"/>
      <c r="B829" s="18" t="n">
        <v>17</v>
      </c>
      <c r="C829" s="4" t="s">
        <v>1431</v>
      </c>
      <c r="D829" s="19" t="s">
        <v>957</v>
      </c>
      <c r="E829" s="6" t="s">
        <v>1432</v>
      </c>
      <c r="F829" s="6" t="s">
        <v>1132</v>
      </c>
      <c r="G829" s="6" t="s">
        <v>1430</v>
      </c>
    </row>
    <row r="830" customFormat="false" ht="33" hidden="false" customHeight="true" outlineLevel="0" collapsed="false">
      <c r="A830" s="19"/>
      <c r="B830" s="18" t="n">
        <v>18</v>
      </c>
      <c r="C830" s="4" t="s">
        <v>1433</v>
      </c>
      <c r="D830" s="19" t="s">
        <v>957</v>
      </c>
      <c r="E830" s="6" t="s">
        <v>1434</v>
      </c>
      <c r="F830" s="6" t="s">
        <v>1132</v>
      </c>
      <c r="G830" s="6" t="s">
        <v>1430</v>
      </c>
    </row>
    <row r="831" customFormat="false" ht="33" hidden="false" customHeight="true" outlineLevel="0" collapsed="false">
      <c r="A831" s="19"/>
      <c r="B831" s="18" t="n">
        <v>19</v>
      </c>
      <c r="C831" s="4" t="s">
        <v>1435</v>
      </c>
      <c r="D831" s="19" t="s">
        <v>957</v>
      </c>
      <c r="E831" s="6" t="s">
        <v>1436</v>
      </c>
      <c r="F831" s="6" t="s">
        <v>1132</v>
      </c>
      <c r="G831" s="6" t="s">
        <v>1430</v>
      </c>
    </row>
    <row r="832" customFormat="false" ht="33" hidden="false" customHeight="true" outlineLevel="0" collapsed="false">
      <c r="A832" s="19"/>
      <c r="B832" s="18" t="n">
        <v>20</v>
      </c>
      <c r="C832" s="4" t="s">
        <v>1437</v>
      </c>
      <c r="D832" s="19" t="s">
        <v>957</v>
      </c>
      <c r="E832" s="6" t="s">
        <v>1438</v>
      </c>
      <c r="F832" s="6" t="s">
        <v>1132</v>
      </c>
      <c r="G832" s="6" t="s">
        <v>1430</v>
      </c>
    </row>
    <row r="833" customFormat="false" ht="33" hidden="false" customHeight="true" outlineLevel="0" collapsed="false">
      <c r="A833" s="19"/>
      <c r="B833" s="18" t="n">
        <v>21</v>
      </c>
      <c r="C833" s="4" t="s">
        <v>1439</v>
      </c>
      <c r="D833" s="19" t="s">
        <v>957</v>
      </c>
      <c r="E833" s="6" t="s">
        <v>1440</v>
      </c>
      <c r="F833" s="6" t="s">
        <v>1132</v>
      </c>
      <c r="G833" s="6" t="s">
        <v>1430</v>
      </c>
    </row>
    <row r="834" customFormat="false" ht="25.5" hidden="false" customHeight="true" outlineLevel="0" collapsed="false">
      <c r="A834" s="19"/>
      <c r="B834" s="18" t="n">
        <v>22</v>
      </c>
      <c r="C834" s="4" t="s">
        <v>1441</v>
      </c>
      <c r="D834" s="19" t="s">
        <v>932</v>
      </c>
      <c r="E834" s="6" t="s">
        <v>1442</v>
      </c>
      <c r="F834" s="6" t="s">
        <v>1443</v>
      </c>
      <c r="G834" s="6" t="s">
        <v>1444</v>
      </c>
    </row>
    <row r="835" customFormat="false" ht="25.5" hidden="false" customHeight="true" outlineLevel="0" collapsed="false">
      <c r="A835" s="19"/>
      <c r="B835" s="18" t="n">
        <v>23</v>
      </c>
      <c r="C835" s="4" t="s">
        <v>1445</v>
      </c>
      <c r="D835" s="19" t="s">
        <v>932</v>
      </c>
      <c r="E835" s="6" t="s">
        <v>1446</v>
      </c>
      <c r="F835" s="6" t="s">
        <v>1443</v>
      </c>
      <c r="G835" s="6" t="s">
        <v>1447</v>
      </c>
    </row>
    <row r="836" customFormat="false" ht="25.5" hidden="false" customHeight="true" outlineLevel="0" collapsed="false">
      <c r="A836" s="19"/>
      <c r="B836" s="18" t="n">
        <v>24</v>
      </c>
      <c r="C836" s="4" t="s">
        <v>1364</v>
      </c>
      <c r="D836" s="19" t="s">
        <v>921</v>
      </c>
      <c r="E836" s="6" t="s">
        <v>1365</v>
      </c>
      <c r="F836" s="6" t="s">
        <v>1448</v>
      </c>
      <c r="G836" s="6" t="s">
        <v>1449</v>
      </c>
    </row>
    <row r="837" customFormat="false" ht="25.5" hidden="false" customHeight="true" outlineLevel="0" collapsed="false">
      <c r="A837" s="19"/>
      <c r="B837" s="18" t="n">
        <v>25</v>
      </c>
      <c r="C837" s="4" t="s">
        <v>1368</v>
      </c>
      <c r="D837" s="19" t="s">
        <v>921</v>
      </c>
      <c r="E837" s="6" t="s">
        <v>1369</v>
      </c>
      <c r="F837" s="6" t="s">
        <v>1448</v>
      </c>
      <c r="G837" s="6" t="s">
        <v>1449</v>
      </c>
    </row>
    <row r="838" customFormat="false" ht="33" hidden="false" customHeight="true" outlineLevel="0" collapsed="false">
      <c r="A838" s="19"/>
      <c r="B838" s="18" t="n">
        <v>26</v>
      </c>
      <c r="C838" s="4" t="s">
        <v>1450</v>
      </c>
      <c r="D838" s="19" t="s">
        <v>932</v>
      </c>
      <c r="E838" s="6" t="s">
        <v>1451</v>
      </c>
      <c r="F838" s="6" t="s">
        <v>955</v>
      </c>
      <c r="G838" s="6" t="s">
        <v>1452</v>
      </c>
    </row>
    <row r="839" customFormat="false" ht="25.5" hidden="false" customHeight="true" outlineLevel="0" collapsed="false">
      <c r="A839" s="19"/>
      <c r="B839" s="18" t="n">
        <v>27</v>
      </c>
      <c r="C839" s="4" t="s">
        <v>1453</v>
      </c>
      <c r="D839" s="19" t="s">
        <v>932</v>
      </c>
      <c r="E839" s="6" t="s">
        <v>1454</v>
      </c>
      <c r="F839" s="6" t="s">
        <v>1366</v>
      </c>
      <c r="G839" s="6" t="s">
        <v>1455</v>
      </c>
    </row>
    <row r="840" customFormat="false" ht="43.5" hidden="false" customHeight="true" outlineLevel="0" collapsed="false">
      <c r="A840" s="19"/>
      <c r="B840" s="18" t="n">
        <v>28</v>
      </c>
      <c r="C840" s="4" t="s">
        <v>871</v>
      </c>
      <c r="D840" s="19" t="s">
        <v>957</v>
      </c>
      <c r="E840" s="6" t="s">
        <v>958</v>
      </c>
      <c r="F840" s="6" t="s">
        <v>1489</v>
      </c>
      <c r="G840" s="6" t="s">
        <v>960</v>
      </c>
    </row>
    <row r="841" customFormat="false" ht="25.5" hidden="false" customHeight="true" outlineLevel="0" collapsed="false">
      <c r="A841" s="19"/>
      <c r="B841" s="18" t="n">
        <v>29</v>
      </c>
      <c r="C841" s="4" t="s">
        <v>874</v>
      </c>
      <c r="D841" s="19" t="s">
        <v>957</v>
      </c>
      <c r="E841" s="6" t="s">
        <v>1490</v>
      </c>
      <c r="F841" s="6" t="s">
        <v>1491</v>
      </c>
      <c r="G841" s="6" t="s">
        <v>1492</v>
      </c>
    </row>
    <row r="842" customFormat="false" ht="33" hidden="false" customHeight="true" outlineLevel="0" collapsed="false">
      <c r="A842" s="19"/>
      <c r="B842" s="18" t="n">
        <v>30</v>
      </c>
      <c r="C842" s="4" t="s">
        <v>895</v>
      </c>
      <c r="D842" s="19" t="s">
        <v>957</v>
      </c>
      <c r="E842" s="6" t="s">
        <v>1370</v>
      </c>
      <c r="F842" s="6" t="s">
        <v>959</v>
      </c>
      <c r="G842" s="6" t="s">
        <v>994</v>
      </c>
    </row>
    <row r="843" customFormat="false" ht="43.5" hidden="false" customHeight="true" outlineLevel="0" collapsed="false">
      <c r="A843" s="19"/>
      <c r="B843" s="18" t="n">
        <v>31</v>
      </c>
      <c r="C843" s="4" t="s">
        <v>1456</v>
      </c>
      <c r="D843" s="19" t="s">
        <v>932</v>
      </c>
      <c r="E843" s="6" t="s">
        <v>1457</v>
      </c>
      <c r="F843" s="6" t="s">
        <v>1426</v>
      </c>
      <c r="G843" s="6" t="s">
        <v>1538</v>
      </c>
    </row>
    <row r="844" customFormat="false" ht="25.5" hidden="false" customHeight="true" outlineLevel="0" collapsed="false">
      <c r="A844" s="19"/>
      <c r="B844" s="18" t="n">
        <v>32</v>
      </c>
      <c r="C844" s="4" t="s">
        <v>1459</v>
      </c>
      <c r="D844" s="19" t="s">
        <v>932</v>
      </c>
      <c r="E844" s="6" t="s">
        <v>1460</v>
      </c>
      <c r="F844" s="6" t="s">
        <v>1532</v>
      </c>
      <c r="G844" s="6" t="s">
        <v>1533</v>
      </c>
    </row>
    <row r="845" customFormat="false" ht="25.5" hidden="false" customHeight="true" outlineLevel="0" collapsed="false">
      <c r="A845" s="19"/>
      <c r="B845" s="18" t="n">
        <v>33</v>
      </c>
      <c r="C845" s="4" t="s">
        <v>1463</v>
      </c>
      <c r="D845" s="19" t="s">
        <v>932</v>
      </c>
      <c r="E845" s="6" t="s">
        <v>1464</v>
      </c>
      <c r="F845" s="6" t="s">
        <v>1465</v>
      </c>
      <c r="G845" s="6" t="s">
        <v>1466</v>
      </c>
    </row>
    <row r="846" customFormat="false" ht="43.5" hidden="false" customHeight="true" outlineLevel="0" collapsed="false">
      <c r="A846" s="19"/>
      <c r="B846" s="18" t="n">
        <v>34</v>
      </c>
      <c r="C846" s="4" t="s">
        <v>1371</v>
      </c>
      <c r="D846" s="19" t="s">
        <v>932</v>
      </c>
      <c r="E846" s="6" t="s">
        <v>1372</v>
      </c>
      <c r="F846" s="6" t="s">
        <v>1467</v>
      </c>
      <c r="G846" s="6" t="s">
        <v>1468</v>
      </c>
    </row>
    <row r="847" customFormat="false" ht="43.5" hidden="false" customHeight="true" outlineLevel="0" collapsed="false">
      <c r="A847" s="19"/>
      <c r="B847" s="18" t="n">
        <v>35</v>
      </c>
      <c r="C847" s="4" t="s">
        <v>1469</v>
      </c>
      <c r="D847" s="19" t="s">
        <v>932</v>
      </c>
      <c r="E847" s="6" t="s">
        <v>1470</v>
      </c>
      <c r="F847" s="6" t="s">
        <v>1426</v>
      </c>
      <c r="G847" s="6" t="s">
        <v>1538</v>
      </c>
    </row>
    <row r="848" customFormat="false" ht="43.5" hidden="false" customHeight="true" outlineLevel="0" collapsed="false">
      <c r="A848" s="19"/>
      <c r="B848" s="18" t="n">
        <v>36</v>
      </c>
      <c r="C848" s="4" t="s">
        <v>1471</v>
      </c>
      <c r="D848" s="19" t="s">
        <v>932</v>
      </c>
      <c r="E848" s="6" t="s">
        <v>1472</v>
      </c>
      <c r="F848" s="6" t="s">
        <v>1473</v>
      </c>
      <c r="G848" s="6" t="s">
        <v>1474</v>
      </c>
    </row>
    <row r="849" customFormat="false" ht="43.5" hidden="false" customHeight="true" outlineLevel="0" collapsed="false">
      <c r="A849" s="19"/>
      <c r="B849" s="18" t="n">
        <v>37</v>
      </c>
      <c r="C849" s="4" t="s">
        <v>1374</v>
      </c>
      <c r="D849" s="19" t="s">
        <v>932</v>
      </c>
      <c r="E849" s="6" t="s">
        <v>1375</v>
      </c>
      <c r="F849" s="6" t="s">
        <v>1465</v>
      </c>
      <c r="G849" s="6" t="s">
        <v>1468</v>
      </c>
    </row>
    <row r="850" customFormat="false" ht="25.5" hidden="false" customHeight="true" outlineLevel="0" collapsed="false">
      <c r="A850" s="19"/>
      <c r="B850" s="18" t="n">
        <v>38</v>
      </c>
      <c r="C850" s="4" t="s">
        <v>1475</v>
      </c>
      <c r="D850" s="19" t="s">
        <v>932</v>
      </c>
      <c r="E850" s="6" t="s">
        <v>1476</v>
      </c>
      <c r="F850" s="6" t="s">
        <v>1426</v>
      </c>
      <c r="G850" s="6" t="s">
        <v>1477</v>
      </c>
    </row>
    <row r="851" customFormat="false" ht="25.5" hidden="false" customHeight="true" outlineLevel="0" collapsed="false">
      <c r="A851" s="19"/>
      <c r="B851" s="18" t="n">
        <v>39</v>
      </c>
      <c r="C851" s="4" t="s">
        <v>1478</v>
      </c>
      <c r="D851" s="19" t="s">
        <v>932</v>
      </c>
      <c r="E851" s="6" t="s">
        <v>1479</v>
      </c>
      <c r="F851" s="6" t="s">
        <v>1532</v>
      </c>
      <c r="G851" s="6" t="s">
        <v>1534</v>
      </c>
    </row>
    <row r="852" customFormat="false" ht="43.5" hidden="false" customHeight="true" outlineLevel="0" collapsed="false">
      <c r="A852" s="19"/>
      <c r="B852" s="18" t="n">
        <v>40</v>
      </c>
      <c r="C852" s="4" t="s">
        <v>1376</v>
      </c>
      <c r="D852" s="19" t="s">
        <v>957</v>
      </c>
      <c r="E852" s="6" t="s">
        <v>1377</v>
      </c>
      <c r="F852" s="6" t="s">
        <v>1480</v>
      </c>
      <c r="G852" s="6" t="s">
        <v>1481</v>
      </c>
    </row>
    <row r="853" customFormat="false" ht="33" hidden="false" customHeight="true" outlineLevel="0" collapsed="false">
      <c r="A853" s="19"/>
      <c r="B853" s="18" t="n">
        <v>41</v>
      </c>
      <c r="C853" s="4" t="s">
        <v>979</v>
      </c>
      <c r="D853" s="19" t="s">
        <v>932</v>
      </c>
      <c r="E853" s="6" t="s">
        <v>980</v>
      </c>
      <c r="F853" s="6" t="s">
        <v>1482</v>
      </c>
      <c r="G853" s="6" t="s">
        <v>1381</v>
      </c>
    </row>
    <row r="854" customFormat="false" ht="25.5" hidden="false" customHeight="true" outlineLevel="0" collapsed="false">
      <c r="A854" s="19"/>
      <c r="B854" s="18" t="n">
        <v>42</v>
      </c>
      <c r="C854" s="4" t="s">
        <v>856</v>
      </c>
      <c r="D854" s="19" t="s">
        <v>957</v>
      </c>
      <c r="E854" s="6" t="s">
        <v>990</v>
      </c>
      <c r="F854" s="6" t="s">
        <v>1101</v>
      </c>
      <c r="G854" s="6" t="s">
        <v>1539</v>
      </c>
    </row>
    <row r="855" customFormat="false" ht="33" hidden="false" customHeight="true" outlineLevel="0" collapsed="false">
      <c r="A855" s="19"/>
      <c r="B855" s="18" t="n">
        <v>43</v>
      </c>
      <c r="C855" s="4" t="s">
        <v>889</v>
      </c>
      <c r="D855" s="19" t="s">
        <v>957</v>
      </c>
      <c r="E855" s="6" t="s">
        <v>995</v>
      </c>
      <c r="F855" s="6" t="s">
        <v>959</v>
      </c>
      <c r="G855" s="6" t="s">
        <v>994</v>
      </c>
    </row>
    <row r="856" customFormat="false" ht="33" hidden="false" customHeight="true" outlineLevel="0" collapsed="false">
      <c r="A856" s="4" t="s">
        <v>1540</v>
      </c>
      <c r="B856" s="18" t="n">
        <v>1</v>
      </c>
      <c r="C856" s="4" t="s">
        <v>859</v>
      </c>
      <c r="D856" s="19" t="s">
        <v>921</v>
      </c>
      <c r="E856" s="6" t="s">
        <v>922</v>
      </c>
      <c r="F856" s="6" t="s">
        <v>1484</v>
      </c>
      <c r="G856" s="6" t="s">
        <v>1391</v>
      </c>
    </row>
    <row r="857" customFormat="false" ht="43.5" hidden="false" customHeight="true" outlineLevel="0" collapsed="false">
      <c r="A857" s="19"/>
      <c r="B857" s="18" t="n">
        <v>2</v>
      </c>
      <c r="C857" s="4" t="s">
        <v>1336</v>
      </c>
      <c r="D857" s="19" t="s">
        <v>921</v>
      </c>
      <c r="E857" s="6" t="s">
        <v>1337</v>
      </c>
      <c r="F857" s="6" t="s">
        <v>1485</v>
      </c>
      <c r="G857" s="6" t="s">
        <v>1396</v>
      </c>
    </row>
    <row r="858" customFormat="false" ht="43.5" hidden="false" customHeight="true" outlineLevel="0" collapsed="false">
      <c r="A858" s="19"/>
      <c r="B858" s="18" t="n">
        <v>3</v>
      </c>
      <c r="C858" s="4" t="s">
        <v>865</v>
      </c>
      <c r="D858" s="19" t="s">
        <v>957</v>
      </c>
      <c r="E858" s="6" t="s">
        <v>1299</v>
      </c>
      <c r="F858" s="6" t="s">
        <v>1132</v>
      </c>
      <c r="G858" s="6" t="s">
        <v>1397</v>
      </c>
    </row>
    <row r="859" customFormat="false" ht="43.5" hidden="false" customHeight="true" outlineLevel="0" collapsed="false">
      <c r="A859" s="19"/>
      <c r="B859" s="18" t="n">
        <v>4</v>
      </c>
      <c r="C859" s="4" t="s">
        <v>1344</v>
      </c>
      <c r="D859" s="19" t="s">
        <v>932</v>
      </c>
      <c r="E859" s="6" t="s">
        <v>1345</v>
      </c>
      <c r="F859" s="6" t="s">
        <v>1406</v>
      </c>
      <c r="G859" s="6" t="s">
        <v>1407</v>
      </c>
    </row>
    <row r="860" customFormat="false" ht="43.5" hidden="false" customHeight="true" outlineLevel="0" collapsed="false">
      <c r="A860" s="19"/>
      <c r="B860" s="18" t="n">
        <v>5</v>
      </c>
      <c r="C860" s="4" t="s">
        <v>1408</v>
      </c>
      <c r="D860" s="19" t="s">
        <v>932</v>
      </c>
      <c r="E860" s="6" t="s">
        <v>1409</v>
      </c>
      <c r="F860" s="6" t="s">
        <v>1410</v>
      </c>
      <c r="G860" s="6" t="s">
        <v>1407</v>
      </c>
    </row>
    <row r="861" customFormat="false" ht="43.5" hidden="false" customHeight="true" outlineLevel="0" collapsed="false">
      <c r="A861" s="19"/>
      <c r="B861" s="18" t="n">
        <v>6</v>
      </c>
      <c r="C861" s="4" t="s">
        <v>1411</v>
      </c>
      <c r="D861" s="19" t="s">
        <v>932</v>
      </c>
      <c r="E861" s="6" t="s">
        <v>1412</v>
      </c>
      <c r="F861" s="6" t="s">
        <v>1406</v>
      </c>
      <c r="G861" s="6" t="s">
        <v>1407</v>
      </c>
    </row>
    <row r="862" customFormat="false" ht="43.5" hidden="false" customHeight="true" outlineLevel="0" collapsed="false">
      <c r="A862" s="19"/>
      <c r="B862" s="18" t="n">
        <v>7</v>
      </c>
      <c r="C862" s="4" t="s">
        <v>1348</v>
      </c>
      <c r="D862" s="19" t="s">
        <v>932</v>
      </c>
      <c r="E862" s="6" t="s">
        <v>1349</v>
      </c>
      <c r="F862" s="6" t="s">
        <v>1406</v>
      </c>
      <c r="G862" s="6" t="s">
        <v>1407</v>
      </c>
    </row>
    <row r="863" customFormat="false" ht="43.5" hidden="false" customHeight="true" outlineLevel="0" collapsed="false">
      <c r="A863" s="19"/>
      <c r="B863" s="18" t="n">
        <v>8</v>
      </c>
      <c r="C863" s="4" t="s">
        <v>1413</v>
      </c>
      <c r="D863" s="19" t="s">
        <v>932</v>
      </c>
      <c r="E863" s="6" t="s">
        <v>1414</v>
      </c>
      <c r="F863" s="6" t="s">
        <v>1415</v>
      </c>
      <c r="G863" s="6" t="s">
        <v>1407</v>
      </c>
    </row>
    <row r="864" customFormat="false" ht="43.5" hidden="false" customHeight="true" outlineLevel="0" collapsed="false">
      <c r="A864" s="19"/>
      <c r="B864" s="18" t="n">
        <v>9</v>
      </c>
      <c r="C864" s="4" t="s">
        <v>1350</v>
      </c>
      <c r="D864" s="19" t="s">
        <v>932</v>
      </c>
      <c r="E864" s="6" t="s">
        <v>1351</v>
      </c>
      <c r="F864" s="6" t="s">
        <v>1410</v>
      </c>
      <c r="G864" s="6" t="s">
        <v>1407</v>
      </c>
    </row>
    <row r="865" customFormat="false" ht="25.5" hidden="false" customHeight="true" outlineLevel="0" collapsed="false">
      <c r="A865" s="19"/>
      <c r="B865" s="18" t="n">
        <v>10</v>
      </c>
      <c r="C865" s="4" t="s">
        <v>1352</v>
      </c>
      <c r="D865" s="19" t="s">
        <v>932</v>
      </c>
      <c r="E865" s="6" t="s">
        <v>1353</v>
      </c>
      <c r="F865" s="6" t="s">
        <v>1488</v>
      </c>
      <c r="G865" s="6" t="s">
        <v>1417</v>
      </c>
    </row>
    <row r="866" customFormat="false" ht="43.5" hidden="false" customHeight="true" outlineLevel="0" collapsed="false">
      <c r="A866" s="19"/>
      <c r="B866" s="18" t="n">
        <v>11</v>
      </c>
      <c r="C866" s="4" t="s">
        <v>1418</v>
      </c>
      <c r="D866" s="19" t="s">
        <v>932</v>
      </c>
      <c r="E866" s="6" t="s">
        <v>1419</v>
      </c>
      <c r="F866" s="6" t="s">
        <v>1529</v>
      </c>
      <c r="G866" s="6" t="s">
        <v>1407</v>
      </c>
    </row>
    <row r="867" customFormat="false" ht="33" hidden="false" customHeight="true" outlineLevel="0" collapsed="false">
      <c r="A867" s="19"/>
      <c r="B867" s="18" t="n">
        <v>12</v>
      </c>
      <c r="C867" s="4" t="s">
        <v>1428</v>
      </c>
      <c r="D867" s="19" t="s">
        <v>957</v>
      </c>
      <c r="E867" s="6" t="s">
        <v>1429</v>
      </c>
      <c r="F867" s="6" t="s">
        <v>1132</v>
      </c>
      <c r="G867" s="6" t="s">
        <v>1430</v>
      </c>
    </row>
    <row r="868" customFormat="false" ht="33" hidden="false" customHeight="true" outlineLevel="0" collapsed="false">
      <c r="A868" s="19"/>
      <c r="B868" s="18" t="n">
        <v>13</v>
      </c>
      <c r="C868" s="4" t="s">
        <v>1431</v>
      </c>
      <c r="D868" s="19" t="s">
        <v>957</v>
      </c>
      <c r="E868" s="6" t="s">
        <v>1432</v>
      </c>
      <c r="F868" s="6" t="s">
        <v>1132</v>
      </c>
      <c r="G868" s="6" t="s">
        <v>1430</v>
      </c>
    </row>
    <row r="869" customFormat="false" ht="33" hidden="false" customHeight="true" outlineLevel="0" collapsed="false">
      <c r="A869" s="19"/>
      <c r="B869" s="18" t="n">
        <v>14</v>
      </c>
      <c r="C869" s="4" t="s">
        <v>1433</v>
      </c>
      <c r="D869" s="19" t="s">
        <v>957</v>
      </c>
      <c r="E869" s="6" t="s">
        <v>1434</v>
      </c>
      <c r="F869" s="6" t="s">
        <v>1132</v>
      </c>
      <c r="G869" s="6" t="s">
        <v>1430</v>
      </c>
    </row>
    <row r="870" customFormat="false" ht="33" hidden="false" customHeight="true" outlineLevel="0" collapsed="false">
      <c r="A870" s="19"/>
      <c r="B870" s="18" t="n">
        <v>15</v>
      </c>
      <c r="C870" s="4" t="s">
        <v>1435</v>
      </c>
      <c r="D870" s="19" t="s">
        <v>957</v>
      </c>
      <c r="E870" s="6" t="s">
        <v>1436</v>
      </c>
      <c r="F870" s="6" t="s">
        <v>1132</v>
      </c>
      <c r="G870" s="6" t="s">
        <v>1430</v>
      </c>
    </row>
    <row r="871" customFormat="false" ht="33" hidden="false" customHeight="true" outlineLevel="0" collapsed="false">
      <c r="A871" s="19"/>
      <c r="B871" s="18" t="n">
        <v>16</v>
      </c>
      <c r="C871" s="4" t="s">
        <v>1437</v>
      </c>
      <c r="D871" s="19" t="s">
        <v>957</v>
      </c>
      <c r="E871" s="6" t="s">
        <v>1438</v>
      </c>
      <c r="F871" s="6" t="s">
        <v>1132</v>
      </c>
      <c r="G871" s="6" t="s">
        <v>1430</v>
      </c>
    </row>
    <row r="872" customFormat="false" ht="33" hidden="false" customHeight="true" outlineLevel="0" collapsed="false">
      <c r="A872" s="19"/>
      <c r="B872" s="18" t="n">
        <v>17</v>
      </c>
      <c r="C872" s="4" t="s">
        <v>1439</v>
      </c>
      <c r="D872" s="19" t="s">
        <v>957</v>
      </c>
      <c r="E872" s="6" t="s">
        <v>1440</v>
      </c>
      <c r="F872" s="6" t="s">
        <v>1132</v>
      </c>
      <c r="G872" s="6" t="s">
        <v>1430</v>
      </c>
    </row>
    <row r="873" customFormat="false" ht="25.5" hidden="false" customHeight="true" outlineLevel="0" collapsed="false">
      <c r="A873" s="19"/>
      <c r="B873" s="18" t="n">
        <v>18</v>
      </c>
      <c r="C873" s="4" t="s">
        <v>1441</v>
      </c>
      <c r="D873" s="19" t="s">
        <v>932</v>
      </c>
      <c r="E873" s="6" t="s">
        <v>1442</v>
      </c>
      <c r="F873" s="6" t="s">
        <v>1443</v>
      </c>
      <c r="G873" s="6" t="s">
        <v>1444</v>
      </c>
    </row>
    <row r="874" customFormat="false" ht="25.5" hidden="false" customHeight="true" outlineLevel="0" collapsed="false">
      <c r="A874" s="19"/>
      <c r="B874" s="18" t="n">
        <v>19</v>
      </c>
      <c r="C874" s="4" t="s">
        <v>1445</v>
      </c>
      <c r="D874" s="19" t="s">
        <v>932</v>
      </c>
      <c r="E874" s="6" t="s">
        <v>1446</v>
      </c>
      <c r="F874" s="6" t="s">
        <v>1443</v>
      </c>
      <c r="G874" s="6" t="s">
        <v>1447</v>
      </c>
    </row>
    <row r="875" customFormat="false" ht="25.5" hidden="false" customHeight="true" outlineLevel="0" collapsed="false">
      <c r="A875" s="19"/>
      <c r="B875" s="18" t="n">
        <v>20</v>
      </c>
      <c r="C875" s="4" t="s">
        <v>1364</v>
      </c>
      <c r="D875" s="19" t="s">
        <v>921</v>
      </c>
      <c r="E875" s="6" t="s">
        <v>1365</v>
      </c>
      <c r="F875" s="6" t="s">
        <v>1448</v>
      </c>
      <c r="G875" s="6" t="s">
        <v>1449</v>
      </c>
    </row>
    <row r="876" customFormat="false" ht="25.5" hidden="false" customHeight="true" outlineLevel="0" collapsed="false">
      <c r="A876" s="19"/>
      <c r="B876" s="18" t="n">
        <v>21</v>
      </c>
      <c r="C876" s="4" t="s">
        <v>1368</v>
      </c>
      <c r="D876" s="19" t="s">
        <v>921</v>
      </c>
      <c r="E876" s="6" t="s">
        <v>1369</v>
      </c>
      <c r="F876" s="6" t="s">
        <v>1448</v>
      </c>
      <c r="G876" s="6" t="s">
        <v>1449</v>
      </c>
    </row>
    <row r="877" customFormat="false" ht="33" hidden="false" customHeight="true" outlineLevel="0" collapsed="false">
      <c r="A877" s="19"/>
      <c r="B877" s="18" t="n">
        <v>22</v>
      </c>
      <c r="C877" s="4" t="s">
        <v>1450</v>
      </c>
      <c r="D877" s="19" t="s">
        <v>932</v>
      </c>
      <c r="E877" s="6" t="s">
        <v>1451</v>
      </c>
      <c r="F877" s="6" t="s">
        <v>955</v>
      </c>
      <c r="G877" s="6" t="s">
        <v>1452</v>
      </c>
    </row>
    <row r="878" customFormat="false" ht="25.5" hidden="false" customHeight="true" outlineLevel="0" collapsed="false">
      <c r="A878" s="19"/>
      <c r="B878" s="18" t="n">
        <v>23</v>
      </c>
      <c r="C878" s="4" t="s">
        <v>1453</v>
      </c>
      <c r="D878" s="19" t="s">
        <v>932</v>
      </c>
      <c r="E878" s="6" t="s">
        <v>1454</v>
      </c>
      <c r="F878" s="6" t="s">
        <v>1366</v>
      </c>
      <c r="G878" s="6" t="s">
        <v>1455</v>
      </c>
    </row>
    <row r="879" customFormat="false" ht="43.5" hidden="false" customHeight="true" outlineLevel="0" collapsed="false">
      <c r="A879" s="19"/>
      <c r="B879" s="18" t="n">
        <v>24</v>
      </c>
      <c r="C879" s="4" t="s">
        <v>871</v>
      </c>
      <c r="D879" s="19" t="s">
        <v>957</v>
      </c>
      <c r="E879" s="6" t="s">
        <v>958</v>
      </c>
      <c r="F879" s="6" t="s">
        <v>1489</v>
      </c>
      <c r="G879" s="6" t="s">
        <v>960</v>
      </c>
    </row>
    <row r="880" customFormat="false" ht="25.5" hidden="false" customHeight="true" outlineLevel="0" collapsed="false">
      <c r="A880" s="19"/>
      <c r="B880" s="18" t="n">
        <v>25</v>
      </c>
      <c r="C880" s="4" t="s">
        <v>874</v>
      </c>
      <c r="D880" s="19" t="s">
        <v>957</v>
      </c>
      <c r="E880" s="6" t="s">
        <v>1490</v>
      </c>
      <c r="F880" s="6" t="s">
        <v>1491</v>
      </c>
      <c r="G880" s="6" t="s">
        <v>1492</v>
      </c>
    </row>
    <row r="881" customFormat="false" ht="33" hidden="false" customHeight="true" outlineLevel="0" collapsed="false">
      <c r="A881" s="19"/>
      <c r="B881" s="18" t="n">
        <v>26</v>
      </c>
      <c r="C881" s="4" t="s">
        <v>895</v>
      </c>
      <c r="D881" s="19" t="s">
        <v>957</v>
      </c>
      <c r="E881" s="6" t="s">
        <v>1370</v>
      </c>
      <c r="F881" s="6" t="s">
        <v>959</v>
      </c>
      <c r="G881" s="6" t="s">
        <v>994</v>
      </c>
    </row>
    <row r="882" customFormat="false" ht="25.5" hidden="false" customHeight="true" outlineLevel="0" collapsed="false">
      <c r="A882" s="19"/>
      <c r="B882" s="18" t="n">
        <v>27</v>
      </c>
      <c r="C882" s="4" t="s">
        <v>1459</v>
      </c>
      <c r="D882" s="19" t="s">
        <v>957</v>
      </c>
      <c r="E882" s="6" t="s">
        <v>1460</v>
      </c>
      <c r="F882" s="6" t="s">
        <v>1493</v>
      </c>
      <c r="G882" s="6" t="s">
        <v>1494</v>
      </c>
    </row>
    <row r="883" customFormat="false" ht="25.5" hidden="false" customHeight="true" outlineLevel="0" collapsed="false">
      <c r="A883" s="19"/>
      <c r="B883" s="18" t="n">
        <v>28</v>
      </c>
      <c r="C883" s="4" t="s">
        <v>1463</v>
      </c>
      <c r="D883" s="19" t="s">
        <v>932</v>
      </c>
      <c r="E883" s="6" t="s">
        <v>1464</v>
      </c>
      <c r="F883" s="6" t="s">
        <v>1465</v>
      </c>
      <c r="G883" s="6" t="s">
        <v>1466</v>
      </c>
    </row>
    <row r="884" customFormat="false" ht="43.5" hidden="false" customHeight="true" outlineLevel="0" collapsed="false">
      <c r="A884" s="19"/>
      <c r="B884" s="18" t="n">
        <v>29</v>
      </c>
      <c r="C884" s="4" t="s">
        <v>1371</v>
      </c>
      <c r="D884" s="19" t="s">
        <v>932</v>
      </c>
      <c r="E884" s="6" t="s">
        <v>1372</v>
      </c>
      <c r="F884" s="6" t="s">
        <v>1467</v>
      </c>
      <c r="G884" s="6" t="s">
        <v>1468</v>
      </c>
    </row>
    <row r="885" customFormat="false" ht="43.5" hidden="false" customHeight="true" outlineLevel="0" collapsed="false">
      <c r="A885" s="19"/>
      <c r="B885" s="18" t="n">
        <v>30</v>
      </c>
      <c r="C885" s="4" t="s">
        <v>1471</v>
      </c>
      <c r="D885" s="19" t="s">
        <v>932</v>
      </c>
      <c r="E885" s="6" t="s">
        <v>1472</v>
      </c>
      <c r="F885" s="6" t="s">
        <v>1473</v>
      </c>
      <c r="G885" s="6" t="s">
        <v>1474</v>
      </c>
    </row>
    <row r="886" customFormat="false" ht="43.5" hidden="false" customHeight="true" outlineLevel="0" collapsed="false">
      <c r="A886" s="19"/>
      <c r="B886" s="18" t="n">
        <v>31</v>
      </c>
      <c r="C886" s="4" t="s">
        <v>1374</v>
      </c>
      <c r="D886" s="19" t="s">
        <v>932</v>
      </c>
      <c r="E886" s="6" t="s">
        <v>1375</v>
      </c>
      <c r="F886" s="6" t="s">
        <v>1465</v>
      </c>
      <c r="G886" s="6" t="s">
        <v>1468</v>
      </c>
    </row>
    <row r="887" customFormat="false" ht="25.5" hidden="false" customHeight="true" outlineLevel="0" collapsed="false">
      <c r="A887" s="19"/>
      <c r="B887" s="18" t="n">
        <v>32</v>
      </c>
      <c r="C887" s="4" t="s">
        <v>1478</v>
      </c>
      <c r="D887" s="19" t="s">
        <v>957</v>
      </c>
      <c r="E887" s="6" t="s">
        <v>1479</v>
      </c>
      <c r="F887" s="6" t="s">
        <v>1493</v>
      </c>
      <c r="G887" s="6" t="s">
        <v>1494</v>
      </c>
    </row>
    <row r="888" customFormat="false" ht="43.5" hidden="false" customHeight="true" outlineLevel="0" collapsed="false">
      <c r="A888" s="19"/>
      <c r="B888" s="18" t="n">
        <v>33</v>
      </c>
      <c r="C888" s="4" t="s">
        <v>1376</v>
      </c>
      <c r="D888" s="19" t="s">
        <v>957</v>
      </c>
      <c r="E888" s="6" t="s">
        <v>1377</v>
      </c>
      <c r="F888" s="6" t="s">
        <v>1480</v>
      </c>
      <c r="G888" s="6" t="s">
        <v>1481</v>
      </c>
    </row>
    <row r="889" customFormat="false" ht="33" hidden="false" customHeight="true" outlineLevel="0" collapsed="false">
      <c r="A889" s="19"/>
      <c r="B889" s="18" t="n">
        <v>34</v>
      </c>
      <c r="C889" s="4" t="s">
        <v>979</v>
      </c>
      <c r="D889" s="19" t="s">
        <v>932</v>
      </c>
      <c r="E889" s="6" t="s">
        <v>980</v>
      </c>
      <c r="F889" s="6" t="s">
        <v>1482</v>
      </c>
      <c r="G889" s="6" t="s">
        <v>1381</v>
      </c>
    </row>
    <row r="890" customFormat="false" ht="25.5" hidden="false" customHeight="true" outlineLevel="0" collapsed="false">
      <c r="A890" s="19"/>
      <c r="B890" s="18" t="n">
        <v>35</v>
      </c>
      <c r="C890" s="4" t="s">
        <v>856</v>
      </c>
      <c r="D890" s="19" t="s">
        <v>957</v>
      </c>
      <c r="E890" s="6" t="s">
        <v>990</v>
      </c>
      <c r="F890" s="6" t="s">
        <v>1101</v>
      </c>
      <c r="G890" s="6" t="s">
        <v>1539</v>
      </c>
    </row>
    <row r="891" customFormat="false" ht="33" hidden="false" customHeight="true" outlineLevel="0" collapsed="false">
      <c r="A891" s="19"/>
      <c r="B891" s="18" t="n">
        <v>36</v>
      </c>
      <c r="C891" s="4" t="s">
        <v>889</v>
      </c>
      <c r="D891" s="19" t="s">
        <v>957</v>
      </c>
      <c r="E891" s="6" t="s">
        <v>995</v>
      </c>
      <c r="F891" s="6" t="s">
        <v>959</v>
      </c>
      <c r="G891" s="6" t="s">
        <v>994</v>
      </c>
    </row>
    <row r="892" customFormat="false" ht="33" hidden="false" customHeight="true" outlineLevel="0" collapsed="false">
      <c r="A892" s="4" t="s">
        <v>1541</v>
      </c>
      <c r="B892" s="18" t="n">
        <v>1</v>
      </c>
      <c r="C892" s="4" t="s">
        <v>859</v>
      </c>
      <c r="D892" s="19" t="s">
        <v>921</v>
      </c>
      <c r="E892" s="6" t="s">
        <v>922</v>
      </c>
      <c r="F892" s="6" t="s">
        <v>1484</v>
      </c>
      <c r="G892" s="6" t="s">
        <v>1542</v>
      </c>
    </row>
    <row r="893" customFormat="false" ht="43.5" hidden="false" customHeight="true" outlineLevel="0" collapsed="false">
      <c r="A893" s="19"/>
      <c r="B893" s="18" t="n">
        <v>2</v>
      </c>
      <c r="C893" s="4" t="s">
        <v>1344</v>
      </c>
      <c r="D893" s="19" t="s">
        <v>932</v>
      </c>
      <c r="E893" s="6" t="s">
        <v>1345</v>
      </c>
      <c r="F893" s="6" t="s">
        <v>1543</v>
      </c>
      <c r="G893" s="6" t="s">
        <v>1544</v>
      </c>
    </row>
    <row r="894" customFormat="false" ht="43.5" hidden="false" customHeight="true" outlineLevel="0" collapsed="false">
      <c r="A894" s="19"/>
      <c r="B894" s="18" t="n">
        <v>3</v>
      </c>
      <c r="C894" s="4" t="s">
        <v>1411</v>
      </c>
      <c r="D894" s="19" t="s">
        <v>932</v>
      </c>
      <c r="E894" s="6" t="s">
        <v>1412</v>
      </c>
      <c r="F894" s="6" t="s">
        <v>1543</v>
      </c>
      <c r="G894" s="6" t="s">
        <v>1544</v>
      </c>
    </row>
    <row r="895" customFormat="false" ht="43.5" hidden="false" customHeight="true" outlineLevel="0" collapsed="false">
      <c r="A895" s="19"/>
      <c r="B895" s="18" t="n">
        <v>4</v>
      </c>
      <c r="C895" s="4" t="s">
        <v>1348</v>
      </c>
      <c r="D895" s="19" t="s">
        <v>932</v>
      </c>
      <c r="E895" s="6" t="s">
        <v>1349</v>
      </c>
      <c r="F895" s="6" t="s">
        <v>1543</v>
      </c>
      <c r="G895" s="6" t="s">
        <v>1544</v>
      </c>
    </row>
    <row r="896" customFormat="false" ht="25.5" hidden="false" customHeight="true" outlineLevel="0" collapsed="false">
      <c r="A896" s="19"/>
      <c r="B896" s="18" t="n">
        <v>5</v>
      </c>
      <c r="C896" s="4" t="s">
        <v>1352</v>
      </c>
      <c r="D896" s="19" t="s">
        <v>932</v>
      </c>
      <c r="E896" s="6" t="s">
        <v>1353</v>
      </c>
      <c r="F896" s="6" t="s">
        <v>1545</v>
      </c>
      <c r="G896" s="6" t="s">
        <v>1546</v>
      </c>
    </row>
    <row r="897" customFormat="false" ht="43.5" hidden="false" customHeight="true" outlineLevel="0" collapsed="false">
      <c r="A897" s="19"/>
      <c r="B897" s="18" t="n">
        <v>6</v>
      </c>
      <c r="C897" s="4" t="s">
        <v>1418</v>
      </c>
      <c r="D897" s="19" t="s">
        <v>932</v>
      </c>
      <c r="E897" s="6" t="s">
        <v>1419</v>
      </c>
      <c r="F897" s="6" t="s">
        <v>1543</v>
      </c>
      <c r="G897" s="6" t="s">
        <v>1544</v>
      </c>
    </row>
    <row r="898" customFormat="false" ht="25.5" hidden="false" customHeight="true" outlineLevel="0" collapsed="false">
      <c r="A898" s="19"/>
      <c r="B898" s="18" t="n">
        <v>7</v>
      </c>
      <c r="C898" s="4" t="s">
        <v>1364</v>
      </c>
      <c r="D898" s="19" t="s">
        <v>921</v>
      </c>
      <c r="E898" s="6" t="s">
        <v>1365</v>
      </c>
      <c r="F898" s="6" t="s">
        <v>1547</v>
      </c>
      <c r="G898" s="6" t="s">
        <v>1449</v>
      </c>
    </row>
    <row r="899" customFormat="false" ht="25.5" hidden="false" customHeight="true" outlineLevel="0" collapsed="false">
      <c r="A899" s="19"/>
      <c r="B899" s="18" t="n">
        <v>8</v>
      </c>
      <c r="C899" s="4" t="s">
        <v>1368</v>
      </c>
      <c r="D899" s="19" t="s">
        <v>921</v>
      </c>
      <c r="E899" s="6" t="s">
        <v>1369</v>
      </c>
      <c r="F899" s="6" t="s">
        <v>1548</v>
      </c>
      <c r="G899" s="6" t="s">
        <v>1449</v>
      </c>
    </row>
    <row r="900" customFormat="false" ht="25.5" hidden="false" customHeight="true" outlineLevel="0" collapsed="false">
      <c r="A900" s="19"/>
      <c r="B900" s="18" t="n">
        <v>9</v>
      </c>
      <c r="C900" s="4" t="s">
        <v>1450</v>
      </c>
      <c r="D900" s="19" t="s">
        <v>921</v>
      </c>
      <c r="E900" s="6" t="s">
        <v>1451</v>
      </c>
      <c r="F900" s="6" t="s">
        <v>1549</v>
      </c>
      <c r="G900" s="6" t="s">
        <v>1550</v>
      </c>
    </row>
    <row r="901" customFormat="false" ht="25.5" hidden="false" customHeight="true" outlineLevel="0" collapsed="false">
      <c r="A901" s="19"/>
      <c r="B901" s="18" t="n">
        <v>10</v>
      </c>
      <c r="C901" s="4" t="s">
        <v>1453</v>
      </c>
      <c r="D901" s="19" t="s">
        <v>921</v>
      </c>
      <c r="E901" s="6" t="s">
        <v>1454</v>
      </c>
      <c r="F901" s="6" t="s">
        <v>1551</v>
      </c>
      <c r="G901" s="6" t="s">
        <v>1552</v>
      </c>
    </row>
    <row r="902" customFormat="false" ht="43.5" hidden="false" customHeight="true" outlineLevel="0" collapsed="false">
      <c r="A902" s="19"/>
      <c r="B902" s="18" t="n">
        <v>11</v>
      </c>
      <c r="C902" s="4" t="s">
        <v>871</v>
      </c>
      <c r="D902" s="19" t="s">
        <v>957</v>
      </c>
      <c r="E902" s="6" t="s">
        <v>958</v>
      </c>
      <c r="F902" s="6" t="s">
        <v>1553</v>
      </c>
      <c r="G902" s="6" t="s">
        <v>960</v>
      </c>
    </row>
    <row r="903" customFormat="false" ht="25.5" hidden="false" customHeight="true" outlineLevel="0" collapsed="false">
      <c r="A903" s="19"/>
      <c r="B903" s="18" t="n">
        <v>12</v>
      </c>
      <c r="C903" s="4" t="s">
        <v>874</v>
      </c>
      <c r="D903" s="19" t="s">
        <v>957</v>
      </c>
      <c r="E903" s="6" t="s">
        <v>1490</v>
      </c>
      <c r="F903" s="6" t="s">
        <v>1491</v>
      </c>
      <c r="G903" s="6" t="s">
        <v>1492</v>
      </c>
    </row>
    <row r="904" customFormat="false" ht="33" hidden="false" customHeight="true" outlineLevel="0" collapsed="false">
      <c r="A904" s="19"/>
      <c r="B904" s="18" t="n">
        <v>13</v>
      </c>
      <c r="C904" s="4" t="s">
        <v>895</v>
      </c>
      <c r="D904" s="19" t="s">
        <v>957</v>
      </c>
      <c r="E904" s="6" t="s">
        <v>1370</v>
      </c>
      <c r="F904" s="6" t="s">
        <v>959</v>
      </c>
      <c r="G904" s="6" t="s">
        <v>994</v>
      </c>
    </row>
    <row r="905" customFormat="false" ht="25.5" hidden="false" customHeight="true" outlineLevel="0" collapsed="false">
      <c r="A905" s="19"/>
      <c r="B905" s="18" t="n">
        <v>14</v>
      </c>
      <c r="C905" s="4" t="s">
        <v>1463</v>
      </c>
      <c r="D905" s="19" t="s">
        <v>932</v>
      </c>
      <c r="E905" s="6" t="s">
        <v>1464</v>
      </c>
      <c r="F905" s="6" t="s">
        <v>1554</v>
      </c>
      <c r="G905" s="6" t="s">
        <v>1555</v>
      </c>
    </row>
    <row r="906" customFormat="false" ht="33" hidden="false" customHeight="true" outlineLevel="0" collapsed="false">
      <c r="A906" s="19"/>
      <c r="B906" s="18" t="n">
        <v>15</v>
      </c>
      <c r="C906" s="4" t="s">
        <v>979</v>
      </c>
      <c r="D906" s="19" t="s">
        <v>932</v>
      </c>
      <c r="E906" s="6" t="s">
        <v>980</v>
      </c>
      <c r="F906" s="6" t="s">
        <v>1556</v>
      </c>
      <c r="G906" s="6" t="s">
        <v>1557</v>
      </c>
    </row>
    <row r="907" customFormat="false" ht="25.5" hidden="false" customHeight="true" outlineLevel="0" collapsed="false">
      <c r="A907" s="19"/>
      <c r="B907" s="18" t="n">
        <v>16</v>
      </c>
      <c r="C907" s="4" t="s">
        <v>856</v>
      </c>
      <c r="D907" s="19" t="s">
        <v>957</v>
      </c>
      <c r="E907" s="6" t="s">
        <v>990</v>
      </c>
      <c r="F907" s="6" t="s">
        <v>1101</v>
      </c>
      <c r="G907" s="6" t="s">
        <v>1558</v>
      </c>
    </row>
    <row r="908" customFormat="false" ht="33" hidden="false" customHeight="true" outlineLevel="0" collapsed="false">
      <c r="A908" s="19"/>
      <c r="B908" s="18" t="n">
        <v>17</v>
      </c>
      <c r="C908" s="4" t="s">
        <v>883</v>
      </c>
      <c r="D908" s="19" t="s">
        <v>957</v>
      </c>
      <c r="E908" s="6" t="s">
        <v>993</v>
      </c>
      <c r="F908" s="6" t="s">
        <v>959</v>
      </c>
      <c r="G908" s="6" t="s">
        <v>994</v>
      </c>
    </row>
    <row r="909" customFormat="false" ht="33" hidden="false" customHeight="true" outlineLevel="0" collapsed="false">
      <c r="A909" s="19"/>
      <c r="B909" s="18" t="n">
        <v>18</v>
      </c>
      <c r="C909" s="4" t="s">
        <v>889</v>
      </c>
      <c r="D909" s="19" t="s">
        <v>957</v>
      </c>
      <c r="E909" s="6" t="s">
        <v>995</v>
      </c>
      <c r="F909" s="6" t="s">
        <v>959</v>
      </c>
      <c r="G909" s="6" t="s">
        <v>994</v>
      </c>
    </row>
    <row r="910" customFormat="false" ht="33" hidden="false" customHeight="true" outlineLevel="0" collapsed="false">
      <c r="A910" s="4" t="s">
        <v>1559</v>
      </c>
      <c r="B910" s="18" t="n">
        <v>1</v>
      </c>
      <c r="C910" s="4" t="s">
        <v>859</v>
      </c>
      <c r="D910" s="19" t="s">
        <v>921</v>
      </c>
      <c r="E910" s="6" t="s">
        <v>922</v>
      </c>
      <c r="F910" s="6" t="s">
        <v>1484</v>
      </c>
      <c r="G910" s="6" t="s">
        <v>1542</v>
      </c>
    </row>
    <row r="911" customFormat="false" ht="25.5" hidden="false" customHeight="true" outlineLevel="0" collapsed="false">
      <c r="A911" s="19"/>
      <c r="B911" s="18" t="n">
        <v>2</v>
      </c>
      <c r="C911" s="4" t="s">
        <v>898</v>
      </c>
      <c r="D911" s="19" t="s">
        <v>921</v>
      </c>
      <c r="E911" s="6" t="s">
        <v>928</v>
      </c>
      <c r="F911" s="6" t="s">
        <v>1273</v>
      </c>
      <c r="G911" s="6" t="s">
        <v>1560</v>
      </c>
    </row>
    <row r="912" customFormat="false" ht="43.5" hidden="false" customHeight="true" outlineLevel="0" collapsed="false">
      <c r="A912" s="19"/>
      <c r="B912" s="18" t="n">
        <v>3</v>
      </c>
      <c r="C912" s="4" t="s">
        <v>1344</v>
      </c>
      <c r="D912" s="19" t="s">
        <v>932</v>
      </c>
      <c r="E912" s="6" t="s">
        <v>1345</v>
      </c>
      <c r="F912" s="6" t="s">
        <v>1543</v>
      </c>
      <c r="G912" s="6" t="s">
        <v>1544</v>
      </c>
    </row>
    <row r="913" customFormat="false" ht="43.5" hidden="false" customHeight="true" outlineLevel="0" collapsed="false">
      <c r="A913" s="19"/>
      <c r="B913" s="18" t="n">
        <v>4</v>
      </c>
      <c r="C913" s="4" t="s">
        <v>1411</v>
      </c>
      <c r="D913" s="19" t="s">
        <v>932</v>
      </c>
      <c r="E913" s="6" t="s">
        <v>1412</v>
      </c>
      <c r="F913" s="6" t="s">
        <v>1543</v>
      </c>
      <c r="G913" s="6" t="s">
        <v>1544</v>
      </c>
    </row>
    <row r="914" customFormat="false" ht="43.5" hidden="false" customHeight="true" outlineLevel="0" collapsed="false">
      <c r="A914" s="19"/>
      <c r="B914" s="18" t="n">
        <v>5</v>
      </c>
      <c r="C914" s="4" t="s">
        <v>1348</v>
      </c>
      <c r="D914" s="19" t="s">
        <v>932</v>
      </c>
      <c r="E914" s="6" t="s">
        <v>1349</v>
      </c>
      <c r="F914" s="6" t="s">
        <v>1543</v>
      </c>
      <c r="G914" s="6" t="s">
        <v>1544</v>
      </c>
    </row>
    <row r="915" customFormat="false" ht="25.5" hidden="false" customHeight="true" outlineLevel="0" collapsed="false">
      <c r="A915" s="19"/>
      <c r="B915" s="18" t="n">
        <v>6</v>
      </c>
      <c r="C915" s="4" t="s">
        <v>1352</v>
      </c>
      <c r="D915" s="19" t="s">
        <v>932</v>
      </c>
      <c r="E915" s="6" t="s">
        <v>1353</v>
      </c>
      <c r="F915" s="6" t="s">
        <v>1545</v>
      </c>
      <c r="G915" s="6" t="s">
        <v>1546</v>
      </c>
    </row>
    <row r="916" customFormat="false" ht="43.5" hidden="false" customHeight="true" outlineLevel="0" collapsed="false">
      <c r="A916" s="19"/>
      <c r="B916" s="18" t="n">
        <v>7</v>
      </c>
      <c r="C916" s="4" t="s">
        <v>1418</v>
      </c>
      <c r="D916" s="19" t="s">
        <v>932</v>
      </c>
      <c r="E916" s="6" t="s">
        <v>1419</v>
      </c>
      <c r="F916" s="6" t="s">
        <v>1543</v>
      </c>
      <c r="G916" s="6" t="s">
        <v>1544</v>
      </c>
    </row>
    <row r="917" customFormat="false" ht="25.5" hidden="false" customHeight="true" outlineLevel="0" collapsed="false">
      <c r="A917" s="19"/>
      <c r="B917" s="18" t="n">
        <v>8</v>
      </c>
      <c r="C917" s="4" t="s">
        <v>1364</v>
      </c>
      <c r="D917" s="19" t="s">
        <v>921</v>
      </c>
      <c r="E917" s="6" t="s">
        <v>1365</v>
      </c>
      <c r="F917" s="6" t="s">
        <v>1561</v>
      </c>
      <c r="G917" s="6" t="s">
        <v>1449</v>
      </c>
    </row>
    <row r="918" customFormat="false" ht="25.5" hidden="false" customHeight="true" outlineLevel="0" collapsed="false">
      <c r="A918" s="19"/>
      <c r="B918" s="18" t="n">
        <v>9</v>
      </c>
      <c r="C918" s="4" t="s">
        <v>1368</v>
      </c>
      <c r="D918" s="19" t="s">
        <v>921</v>
      </c>
      <c r="E918" s="6" t="s">
        <v>1369</v>
      </c>
      <c r="F918" s="6" t="s">
        <v>1562</v>
      </c>
      <c r="G918" s="6" t="s">
        <v>1449</v>
      </c>
    </row>
    <row r="919" customFormat="false" ht="25.5" hidden="false" customHeight="true" outlineLevel="0" collapsed="false">
      <c r="A919" s="19"/>
      <c r="B919" s="18" t="n">
        <v>10</v>
      </c>
      <c r="C919" s="4" t="s">
        <v>1450</v>
      </c>
      <c r="D919" s="19" t="s">
        <v>921</v>
      </c>
      <c r="E919" s="6" t="s">
        <v>1451</v>
      </c>
      <c r="F919" s="6" t="s">
        <v>1563</v>
      </c>
      <c r="G919" s="6" t="s">
        <v>1550</v>
      </c>
    </row>
    <row r="920" customFormat="false" ht="25.5" hidden="false" customHeight="true" outlineLevel="0" collapsed="false">
      <c r="A920" s="19"/>
      <c r="B920" s="18" t="n">
        <v>11</v>
      </c>
      <c r="C920" s="4" t="s">
        <v>1453</v>
      </c>
      <c r="D920" s="19" t="s">
        <v>921</v>
      </c>
      <c r="E920" s="6" t="s">
        <v>1454</v>
      </c>
      <c r="F920" s="6" t="s">
        <v>1551</v>
      </c>
      <c r="G920" s="6" t="s">
        <v>1552</v>
      </c>
    </row>
    <row r="921" customFormat="false" ht="43.5" hidden="false" customHeight="true" outlineLevel="0" collapsed="false">
      <c r="A921" s="19"/>
      <c r="B921" s="18" t="n">
        <v>12</v>
      </c>
      <c r="C921" s="4" t="s">
        <v>871</v>
      </c>
      <c r="D921" s="19" t="s">
        <v>957</v>
      </c>
      <c r="E921" s="6" t="s">
        <v>958</v>
      </c>
      <c r="F921" s="6" t="s">
        <v>1553</v>
      </c>
      <c r="G921" s="6" t="s">
        <v>960</v>
      </c>
    </row>
    <row r="922" customFormat="false" ht="25.5" hidden="false" customHeight="true" outlineLevel="0" collapsed="false">
      <c r="A922" s="19"/>
      <c r="B922" s="18" t="n">
        <v>13</v>
      </c>
      <c r="C922" s="4" t="s">
        <v>874</v>
      </c>
      <c r="D922" s="19" t="s">
        <v>957</v>
      </c>
      <c r="E922" s="6" t="s">
        <v>1490</v>
      </c>
      <c r="F922" s="6" t="s">
        <v>1491</v>
      </c>
      <c r="G922" s="6" t="s">
        <v>1492</v>
      </c>
    </row>
    <row r="923" customFormat="false" ht="33" hidden="false" customHeight="true" outlineLevel="0" collapsed="false">
      <c r="A923" s="19"/>
      <c r="B923" s="18" t="n">
        <v>14</v>
      </c>
      <c r="C923" s="4" t="s">
        <v>895</v>
      </c>
      <c r="D923" s="19" t="s">
        <v>957</v>
      </c>
      <c r="E923" s="6" t="s">
        <v>1370</v>
      </c>
      <c r="F923" s="6" t="s">
        <v>959</v>
      </c>
      <c r="G923" s="6" t="s">
        <v>994</v>
      </c>
    </row>
    <row r="924" customFormat="false" ht="25.5" hidden="false" customHeight="true" outlineLevel="0" collapsed="false">
      <c r="A924" s="19"/>
      <c r="B924" s="18" t="n">
        <v>15</v>
      </c>
      <c r="C924" s="4" t="s">
        <v>1463</v>
      </c>
      <c r="D924" s="19" t="s">
        <v>932</v>
      </c>
      <c r="E924" s="6" t="s">
        <v>1464</v>
      </c>
      <c r="F924" s="6" t="s">
        <v>1554</v>
      </c>
      <c r="G924" s="6" t="s">
        <v>1555</v>
      </c>
    </row>
    <row r="925" customFormat="false" ht="33" hidden="false" customHeight="true" outlineLevel="0" collapsed="false">
      <c r="A925" s="19"/>
      <c r="B925" s="18" t="n">
        <v>16</v>
      </c>
      <c r="C925" s="4" t="s">
        <v>979</v>
      </c>
      <c r="D925" s="19" t="s">
        <v>932</v>
      </c>
      <c r="E925" s="6" t="s">
        <v>980</v>
      </c>
      <c r="F925" s="6" t="s">
        <v>1380</v>
      </c>
      <c r="G925" s="6" t="s">
        <v>1564</v>
      </c>
    </row>
    <row r="926" customFormat="false" ht="25.5" hidden="false" customHeight="true" outlineLevel="0" collapsed="false">
      <c r="A926" s="19"/>
      <c r="B926" s="18" t="n">
        <v>17</v>
      </c>
      <c r="C926" s="4" t="s">
        <v>856</v>
      </c>
      <c r="D926" s="19" t="s">
        <v>957</v>
      </c>
      <c r="E926" s="6" t="s">
        <v>990</v>
      </c>
      <c r="F926" s="6" t="s">
        <v>1101</v>
      </c>
      <c r="G926" s="6" t="s">
        <v>1558</v>
      </c>
    </row>
    <row r="927" customFormat="false" ht="33" hidden="false" customHeight="true" outlineLevel="0" collapsed="false">
      <c r="A927" s="19"/>
      <c r="B927" s="18" t="n">
        <v>18</v>
      </c>
      <c r="C927" s="4" t="s">
        <v>883</v>
      </c>
      <c r="D927" s="19" t="s">
        <v>957</v>
      </c>
      <c r="E927" s="6" t="s">
        <v>993</v>
      </c>
      <c r="F927" s="6" t="s">
        <v>959</v>
      </c>
      <c r="G927" s="6" t="s">
        <v>994</v>
      </c>
    </row>
    <row r="928" customFormat="false" ht="33" hidden="false" customHeight="true" outlineLevel="0" collapsed="false">
      <c r="A928" s="19"/>
      <c r="B928" s="18" t="n">
        <v>19</v>
      </c>
      <c r="C928" s="4" t="s">
        <v>889</v>
      </c>
      <c r="D928" s="19" t="s">
        <v>957</v>
      </c>
      <c r="E928" s="6" t="s">
        <v>995</v>
      </c>
      <c r="F928" s="6" t="s">
        <v>959</v>
      </c>
      <c r="G928" s="6" t="s">
        <v>994</v>
      </c>
    </row>
    <row r="929" customFormat="false" ht="33" hidden="false" customHeight="true" outlineLevel="0" collapsed="false">
      <c r="A929" s="4" t="s">
        <v>1565</v>
      </c>
      <c r="B929" s="18" t="n">
        <v>1</v>
      </c>
      <c r="C929" s="4" t="s">
        <v>859</v>
      </c>
      <c r="D929" s="19" t="s">
        <v>921</v>
      </c>
      <c r="E929" s="6" t="s">
        <v>922</v>
      </c>
      <c r="F929" s="6" t="s">
        <v>1484</v>
      </c>
      <c r="G929" s="6" t="s">
        <v>1542</v>
      </c>
    </row>
    <row r="930" customFormat="false" ht="43.5" hidden="false" customHeight="true" outlineLevel="0" collapsed="false">
      <c r="A930" s="19"/>
      <c r="B930" s="18" t="n">
        <v>2</v>
      </c>
      <c r="C930" s="4" t="s">
        <v>1344</v>
      </c>
      <c r="D930" s="19" t="s">
        <v>932</v>
      </c>
      <c r="E930" s="6" t="s">
        <v>1345</v>
      </c>
      <c r="F930" s="6" t="s">
        <v>1543</v>
      </c>
      <c r="G930" s="6" t="s">
        <v>1544</v>
      </c>
    </row>
    <row r="931" customFormat="false" ht="43.5" hidden="false" customHeight="true" outlineLevel="0" collapsed="false">
      <c r="A931" s="19"/>
      <c r="B931" s="18" t="n">
        <v>3</v>
      </c>
      <c r="C931" s="4" t="s">
        <v>1411</v>
      </c>
      <c r="D931" s="19" t="s">
        <v>932</v>
      </c>
      <c r="E931" s="6" t="s">
        <v>1412</v>
      </c>
      <c r="F931" s="6" t="s">
        <v>1543</v>
      </c>
      <c r="G931" s="6" t="s">
        <v>1544</v>
      </c>
    </row>
    <row r="932" customFormat="false" ht="43.5" hidden="false" customHeight="true" outlineLevel="0" collapsed="false">
      <c r="A932" s="19"/>
      <c r="B932" s="18" t="n">
        <v>4</v>
      </c>
      <c r="C932" s="4" t="s">
        <v>1348</v>
      </c>
      <c r="D932" s="19" t="s">
        <v>932</v>
      </c>
      <c r="E932" s="6" t="s">
        <v>1349</v>
      </c>
      <c r="F932" s="6" t="s">
        <v>1543</v>
      </c>
      <c r="G932" s="6" t="s">
        <v>1544</v>
      </c>
    </row>
    <row r="933" customFormat="false" ht="25.5" hidden="false" customHeight="true" outlineLevel="0" collapsed="false">
      <c r="A933" s="19"/>
      <c r="B933" s="18" t="n">
        <v>5</v>
      </c>
      <c r="C933" s="4" t="s">
        <v>1352</v>
      </c>
      <c r="D933" s="19" t="s">
        <v>921</v>
      </c>
      <c r="E933" s="6" t="s">
        <v>1353</v>
      </c>
      <c r="F933" s="6" t="s">
        <v>1566</v>
      </c>
      <c r="G933" s="6" t="s">
        <v>1567</v>
      </c>
    </row>
    <row r="934" customFormat="false" ht="43.5" hidden="false" customHeight="true" outlineLevel="0" collapsed="false">
      <c r="A934" s="19"/>
      <c r="B934" s="18" t="n">
        <v>6</v>
      </c>
      <c r="C934" s="4" t="s">
        <v>1418</v>
      </c>
      <c r="D934" s="19" t="s">
        <v>932</v>
      </c>
      <c r="E934" s="6" t="s">
        <v>1419</v>
      </c>
      <c r="F934" s="6" t="s">
        <v>1543</v>
      </c>
      <c r="G934" s="6" t="s">
        <v>1544</v>
      </c>
    </row>
    <row r="935" customFormat="false" ht="25.5" hidden="false" customHeight="true" outlineLevel="0" collapsed="false">
      <c r="A935" s="19"/>
      <c r="B935" s="18" t="n">
        <v>7</v>
      </c>
      <c r="C935" s="4" t="s">
        <v>1364</v>
      </c>
      <c r="D935" s="19" t="s">
        <v>921</v>
      </c>
      <c r="E935" s="6" t="s">
        <v>1365</v>
      </c>
      <c r="F935" s="6" t="s">
        <v>1547</v>
      </c>
      <c r="G935" s="6" t="s">
        <v>1449</v>
      </c>
    </row>
    <row r="936" customFormat="false" ht="25.5" hidden="false" customHeight="true" outlineLevel="0" collapsed="false">
      <c r="A936" s="19"/>
      <c r="B936" s="18" t="n">
        <v>8</v>
      </c>
      <c r="C936" s="4" t="s">
        <v>1368</v>
      </c>
      <c r="D936" s="19" t="s">
        <v>921</v>
      </c>
      <c r="E936" s="6" t="s">
        <v>1369</v>
      </c>
      <c r="F936" s="6" t="s">
        <v>1548</v>
      </c>
      <c r="G936" s="6" t="s">
        <v>1449</v>
      </c>
    </row>
    <row r="937" customFormat="false" ht="25.5" hidden="false" customHeight="true" outlineLevel="0" collapsed="false">
      <c r="A937" s="19"/>
      <c r="B937" s="18" t="n">
        <v>9</v>
      </c>
      <c r="C937" s="4" t="s">
        <v>1450</v>
      </c>
      <c r="D937" s="19" t="s">
        <v>921</v>
      </c>
      <c r="E937" s="6" t="s">
        <v>1451</v>
      </c>
      <c r="F937" s="6" t="s">
        <v>1549</v>
      </c>
      <c r="G937" s="6" t="s">
        <v>1550</v>
      </c>
    </row>
    <row r="938" customFormat="false" ht="25.5" hidden="false" customHeight="true" outlineLevel="0" collapsed="false">
      <c r="A938" s="19"/>
      <c r="B938" s="18" t="n">
        <v>10</v>
      </c>
      <c r="C938" s="4" t="s">
        <v>1453</v>
      </c>
      <c r="D938" s="19" t="s">
        <v>921</v>
      </c>
      <c r="E938" s="6" t="s">
        <v>1454</v>
      </c>
      <c r="F938" s="6" t="s">
        <v>1551</v>
      </c>
      <c r="G938" s="6" t="s">
        <v>1552</v>
      </c>
    </row>
    <row r="939" customFormat="false" ht="43.5" hidden="false" customHeight="true" outlineLevel="0" collapsed="false">
      <c r="A939" s="19"/>
      <c r="B939" s="18" t="n">
        <v>11</v>
      </c>
      <c r="C939" s="4" t="s">
        <v>871</v>
      </c>
      <c r="D939" s="19" t="s">
        <v>957</v>
      </c>
      <c r="E939" s="6" t="s">
        <v>958</v>
      </c>
      <c r="F939" s="6" t="s">
        <v>1553</v>
      </c>
      <c r="G939" s="6" t="s">
        <v>960</v>
      </c>
    </row>
    <row r="940" customFormat="false" ht="25.5" hidden="false" customHeight="true" outlineLevel="0" collapsed="false">
      <c r="A940" s="19"/>
      <c r="B940" s="18" t="n">
        <v>12</v>
      </c>
      <c r="C940" s="4" t="s">
        <v>874</v>
      </c>
      <c r="D940" s="19" t="s">
        <v>957</v>
      </c>
      <c r="E940" s="6" t="s">
        <v>1490</v>
      </c>
      <c r="F940" s="6" t="s">
        <v>1491</v>
      </c>
      <c r="G940" s="6" t="s">
        <v>1492</v>
      </c>
    </row>
    <row r="941" customFormat="false" ht="33" hidden="false" customHeight="true" outlineLevel="0" collapsed="false">
      <c r="A941" s="19"/>
      <c r="B941" s="18" t="n">
        <v>13</v>
      </c>
      <c r="C941" s="4" t="s">
        <v>895</v>
      </c>
      <c r="D941" s="19" t="s">
        <v>957</v>
      </c>
      <c r="E941" s="6" t="s">
        <v>1370</v>
      </c>
      <c r="F941" s="6" t="s">
        <v>959</v>
      </c>
      <c r="G941" s="6" t="s">
        <v>994</v>
      </c>
    </row>
    <row r="942" customFormat="false" ht="25.5" hidden="false" customHeight="true" outlineLevel="0" collapsed="false">
      <c r="A942" s="19"/>
      <c r="B942" s="18" t="n">
        <v>14</v>
      </c>
      <c r="C942" s="4" t="s">
        <v>1463</v>
      </c>
      <c r="D942" s="19" t="s">
        <v>932</v>
      </c>
      <c r="E942" s="6" t="s">
        <v>1464</v>
      </c>
      <c r="F942" s="6" t="s">
        <v>1554</v>
      </c>
      <c r="G942" s="6" t="s">
        <v>1555</v>
      </c>
    </row>
    <row r="943" customFormat="false" ht="33" hidden="false" customHeight="true" outlineLevel="0" collapsed="false">
      <c r="A943" s="19"/>
      <c r="B943" s="18" t="n">
        <v>15</v>
      </c>
      <c r="C943" s="4" t="s">
        <v>979</v>
      </c>
      <c r="D943" s="19" t="s">
        <v>932</v>
      </c>
      <c r="E943" s="6" t="s">
        <v>980</v>
      </c>
      <c r="F943" s="6" t="s">
        <v>1556</v>
      </c>
      <c r="G943" s="6" t="s">
        <v>1557</v>
      </c>
    </row>
    <row r="944" customFormat="false" ht="25.5" hidden="false" customHeight="true" outlineLevel="0" collapsed="false">
      <c r="A944" s="19"/>
      <c r="B944" s="18" t="n">
        <v>16</v>
      </c>
      <c r="C944" s="4" t="s">
        <v>856</v>
      </c>
      <c r="D944" s="19" t="s">
        <v>957</v>
      </c>
      <c r="E944" s="6" t="s">
        <v>990</v>
      </c>
      <c r="F944" s="6" t="s">
        <v>1101</v>
      </c>
      <c r="G944" s="6" t="s">
        <v>1558</v>
      </c>
    </row>
    <row r="945" customFormat="false" ht="33" hidden="false" customHeight="true" outlineLevel="0" collapsed="false">
      <c r="A945" s="19"/>
      <c r="B945" s="18" t="n">
        <v>17</v>
      </c>
      <c r="C945" s="4" t="s">
        <v>883</v>
      </c>
      <c r="D945" s="19" t="s">
        <v>957</v>
      </c>
      <c r="E945" s="6" t="s">
        <v>993</v>
      </c>
      <c r="F945" s="6" t="s">
        <v>959</v>
      </c>
      <c r="G945" s="6" t="s">
        <v>994</v>
      </c>
    </row>
    <row r="946" customFormat="false" ht="33" hidden="false" customHeight="true" outlineLevel="0" collapsed="false">
      <c r="A946" s="19"/>
      <c r="B946" s="18" t="n">
        <v>18</v>
      </c>
      <c r="C946" s="4" t="s">
        <v>889</v>
      </c>
      <c r="D946" s="19" t="s">
        <v>957</v>
      </c>
      <c r="E946" s="6" t="s">
        <v>995</v>
      </c>
      <c r="F946" s="6" t="s">
        <v>959</v>
      </c>
      <c r="G946" s="6" t="s">
        <v>994</v>
      </c>
    </row>
    <row r="947" customFormat="false" ht="33" hidden="false" customHeight="true" outlineLevel="0" collapsed="false">
      <c r="A947" s="4" t="s">
        <v>1568</v>
      </c>
      <c r="B947" s="18" t="n">
        <v>1</v>
      </c>
      <c r="C947" s="4" t="s">
        <v>859</v>
      </c>
      <c r="D947" s="19" t="s">
        <v>921</v>
      </c>
      <c r="E947" s="6" t="s">
        <v>922</v>
      </c>
      <c r="F947" s="6" t="s">
        <v>1484</v>
      </c>
      <c r="G947" s="6" t="s">
        <v>1542</v>
      </c>
    </row>
    <row r="948" customFormat="false" ht="43.5" hidden="false" customHeight="true" outlineLevel="0" collapsed="false">
      <c r="A948" s="19"/>
      <c r="B948" s="18" t="n">
        <v>2</v>
      </c>
      <c r="C948" s="4" t="s">
        <v>1344</v>
      </c>
      <c r="D948" s="19" t="s">
        <v>932</v>
      </c>
      <c r="E948" s="6" t="s">
        <v>1345</v>
      </c>
      <c r="F948" s="6" t="s">
        <v>1543</v>
      </c>
      <c r="G948" s="6" t="s">
        <v>1544</v>
      </c>
    </row>
    <row r="949" customFormat="false" ht="43.5" hidden="false" customHeight="true" outlineLevel="0" collapsed="false">
      <c r="A949" s="19"/>
      <c r="B949" s="18" t="n">
        <v>3</v>
      </c>
      <c r="C949" s="4" t="s">
        <v>1411</v>
      </c>
      <c r="D949" s="19" t="s">
        <v>932</v>
      </c>
      <c r="E949" s="6" t="s">
        <v>1412</v>
      </c>
      <c r="F949" s="6" t="s">
        <v>1543</v>
      </c>
      <c r="G949" s="6" t="s">
        <v>1544</v>
      </c>
    </row>
    <row r="950" customFormat="false" ht="43.5" hidden="false" customHeight="true" outlineLevel="0" collapsed="false">
      <c r="A950" s="19"/>
      <c r="B950" s="18" t="n">
        <v>4</v>
      </c>
      <c r="C950" s="4" t="s">
        <v>1348</v>
      </c>
      <c r="D950" s="19" t="s">
        <v>932</v>
      </c>
      <c r="E950" s="6" t="s">
        <v>1349</v>
      </c>
      <c r="F950" s="6" t="s">
        <v>1543</v>
      </c>
      <c r="G950" s="6" t="s">
        <v>1544</v>
      </c>
    </row>
    <row r="951" customFormat="false" ht="25.5" hidden="false" customHeight="true" outlineLevel="0" collapsed="false">
      <c r="A951" s="19"/>
      <c r="B951" s="18" t="n">
        <v>5</v>
      </c>
      <c r="C951" s="4" t="s">
        <v>1352</v>
      </c>
      <c r="D951" s="19" t="s">
        <v>932</v>
      </c>
      <c r="E951" s="6" t="s">
        <v>1353</v>
      </c>
      <c r="F951" s="6" t="s">
        <v>1545</v>
      </c>
      <c r="G951" s="6" t="s">
        <v>1546</v>
      </c>
    </row>
    <row r="952" customFormat="false" ht="25.5" hidden="false" customHeight="true" outlineLevel="0" collapsed="false">
      <c r="A952" s="19"/>
      <c r="B952" s="18" t="n">
        <v>6</v>
      </c>
      <c r="C952" s="4" t="s">
        <v>1418</v>
      </c>
      <c r="D952" s="19" t="s">
        <v>921</v>
      </c>
      <c r="E952" s="6" t="s">
        <v>1419</v>
      </c>
      <c r="F952" s="6" t="s">
        <v>1569</v>
      </c>
      <c r="G952" s="6" t="s">
        <v>1570</v>
      </c>
    </row>
    <row r="953" customFormat="false" ht="25.5" hidden="false" customHeight="true" outlineLevel="0" collapsed="false">
      <c r="A953" s="19"/>
      <c r="B953" s="18" t="n">
        <v>7</v>
      </c>
      <c r="C953" s="4" t="s">
        <v>1364</v>
      </c>
      <c r="D953" s="19" t="s">
        <v>921</v>
      </c>
      <c r="E953" s="6" t="s">
        <v>1365</v>
      </c>
      <c r="F953" s="6" t="s">
        <v>1561</v>
      </c>
      <c r="G953" s="6" t="s">
        <v>1449</v>
      </c>
    </row>
    <row r="954" customFormat="false" ht="25.5" hidden="false" customHeight="true" outlineLevel="0" collapsed="false">
      <c r="A954" s="19"/>
      <c r="B954" s="18" t="n">
        <v>8</v>
      </c>
      <c r="C954" s="4" t="s">
        <v>1368</v>
      </c>
      <c r="D954" s="19" t="s">
        <v>921</v>
      </c>
      <c r="E954" s="6" t="s">
        <v>1369</v>
      </c>
      <c r="F954" s="6" t="s">
        <v>1562</v>
      </c>
      <c r="G954" s="6" t="s">
        <v>1449</v>
      </c>
    </row>
    <row r="955" customFormat="false" ht="25.5" hidden="false" customHeight="true" outlineLevel="0" collapsed="false">
      <c r="A955" s="19"/>
      <c r="B955" s="18" t="n">
        <v>9</v>
      </c>
      <c r="C955" s="4" t="s">
        <v>1450</v>
      </c>
      <c r="D955" s="19" t="s">
        <v>921</v>
      </c>
      <c r="E955" s="6" t="s">
        <v>1451</v>
      </c>
      <c r="F955" s="6" t="s">
        <v>1563</v>
      </c>
      <c r="G955" s="6" t="s">
        <v>1550</v>
      </c>
    </row>
    <row r="956" customFormat="false" ht="25.5" hidden="false" customHeight="true" outlineLevel="0" collapsed="false">
      <c r="A956" s="19"/>
      <c r="B956" s="18" t="n">
        <v>10</v>
      </c>
      <c r="C956" s="4" t="s">
        <v>1453</v>
      </c>
      <c r="D956" s="19" t="s">
        <v>921</v>
      </c>
      <c r="E956" s="6" t="s">
        <v>1454</v>
      </c>
      <c r="F956" s="6" t="s">
        <v>1551</v>
      </c>
      <c r="G956" s="6" t="s">
        <v>1552</v>
      </c>
    </row>
    <row r="957" customFormat="false" ht="43.5" hidden="false" customHeight="true" outlineLevel="0" collapsed="false">
      <c r="A957" s="19"/>
      <c r="B957" s="18" t="n">
        <v>11</v>
      </c>
      <c r="C957" s="4" t="s">
        <v>871</v>
      </c>
      <c r="D957" s="19" t="s">
        <v>957</v>
      </c>
      <c r="E957" s="6" t="s">
        <v>958</v>
      </c>
      <c r="F957" s="6" t="s">
        <v>1553</v>
      </c>
      <c r="G957" s="6" t="s">
        <v>960</v>
      </c>
    </row>
    <row r="958" customFormat="false" ht="25.5" hidden="false" customHeight="true" outlineLevel="0" collapsed="false">
      <c r="A958" s="19"/>
      <c r="B958" s="18" t="n">
        <v>12</v>
      </c>
      <c r="C958" s="4" t="s">
        <v>874</v>
      </c>
      <c r="D958" s="19" t="s">
        <v>957</v>
      </c>
      <c r="E958" s="6" t="s">
        <v>1490</v>
      </c>
      <c r="F958" s="6" t="s">
        <v>1491</v>
      </c>
      <c r="G958" s="6" t="s">
        <v>1492</v>
      </c>
    </row>
    <row r="959" customFormat="false" ht="33" hidden="false" customHeight="true" outlineLevel="0" collapsed="false">
      <c r="A959" s="19"/>
      <c r="B959" s="18" t="n">
        <v>13</v>
      </c>
      <c r="C959" s="4" t="s">
        <v>895</v>
      </c>
      <c r="D959" s="19" t="s">
        <v>957</v>
      </c>
      <c r="E959" s="6" t="s">
        <v>1370</v>
      </c>
      <c r="F959" s="6" t="s">
        <v>959</v>
      </c>
      <c r="G959" s="6" t="s">
        <v>994</v>
      </c>
    </row>
    <row r="960" customFormat="false" ht="25.5" hidden="false" customHeight="true" outlineLevel="0" collapsed="false">
      <c r="A960" s="19"/>
      <c r="B960" s="18" t="n">
        <v>14</v>
      </c>
      <c r="C960" s="4" t="s">
        <v>1463</v>
      </c>
      <c r="D960" s="19" t="s">
        <v>932</v>
      </c>
      <c r="E960" s="6" t="s">
        <v>1464</v>
      </c>
      <c r="F960" s="6" t="s">
        <v>1554</v>
      </c>
      <c r="G960" s="6" t="s">
        <v>1555</v>
      </c>
    </row>
    <row r="961" customFormat="false" ht="33" hidden="false" customHeight="true" outlineLevel="0" collapsed="false">
      <c r="A961" s="19"/>
      <c r="B961" s="18" t="n">
        <v>15</v>
      </c>
      <c r="C961" s="4" t="s">
        <v>979</v>
      </c>
      <c r="D961" s="19" t="s">
        <v>932</v>
      </c>
      <c r="E961" s="6" t="s">
        <v>980</v>
      </c>
      <c r="F961" s="6" t="s">
        <v>1380</v>
      </c>
      <c r="G961" s="6" t="s">
        <v>1564</v>
      </c>
    </row>
    <row r="962" customFormat="false" ht="25.5" hidden="false" customHeight="true" outlineLevel="0" collapsed="false">
      <c r="A962" s="19"/>
      <c r="B962" s="18" t="n">
        <v>16</v>
      </c>
      <c r="C962" s="4" t="s">
        <v>856</v>
      </c>
      <c r="D962" s="19" t="s">
        <v>957</v>
      </c>
      <c r="E962" s="6" t="s">
        <v>990</v>
      </c>
      <c r="F962" s="6" t="s">
        <v>1101</v>
      </c>
      <c r="G962" s="6" t="s">
        <v>1558</v>
      </c>
    </row>
    <row r="963" customFormat="false" ht="33" hidden="false" customHeight="true" outlineLevel="0" collapsed="false">
      <c r="A963" s="19"/>
      <c r="B963" s="18" t="n">
        <v>17</v>
      </c>
      <c r="C963" s="4" t="s">
        <v>883</v>
      </c>
      <c r="D963" s="19" t="s">
        <v>957</v>
      </c>
      <c r="E963" s="6" t="s">
        <v>993</v>
      </c>
      <c r="F963" s="6" t="s">
        <v>959</v>
      </c>
      <c r="G963" s="6" t="s">
        <v>994</v>
      </c>
    </row>
    <row r="964" customFormat="false" ht="33" hidden="false" customHeight="true" outlineLevel="0" collapsed="false">
      <c r="A964" s="19"/>
      <c r="B964" s="18" t="n">
        <v>18</v>
      </c>
      <c r="C964" s="4" t="s">
        <v>889</v>
      </c>
      <c r="D964" s="19" t="s">
        <v>957</v>
      </c>
      <c r="E964" s="6" t="s">
        <v>995</v>
      </c>
      <c r="F964" s="6" t="s">
        <v>959</v>
      </c>
      <c r="G964" s="6" t="s">
        <v>994</v>
      </c>
    </row>
    <row r="965" customFormat="false" ht="33" hidden="false" customHeight="true" outlineLevel="0" collapsed="false">
      <c r="A965" s="4" t="s">
        <v>1571</v>
      </c>
      <c r="B965" s="18" t="n">
        <v>1</v>
      </c>
      <c r="C965" s="4" t="s">
        <v>859</v>
      </c>
      <c r="D965" s="19" t="s">
        <v>921</v>
      </c>
      <c r="E965" s="6" t="s">
        <v>922</v>
      </c>
      <c r="F965" s="6" t="s">
        <v>1484</v>
      </c>
      <c r="G965" s="6" t="s">
        <v>1542</v>
      </c>
    </row>
    <row r="966" customFormat="false" ht="25.5" hidden="false" customHeight="true" outlineLevel="0" collapsed="false">
      <c r="A966" s="19"/>
      <c r="B966" s="18" t="n">
        <v>2</v>
      </c>
      <c r="C966" s="4" t="s">
        <v>898</v>
      </c>
      <c r="D966" s="19" t="s">
        <v>921</v>
      </c>
      <c r="E966" s="6" t="s">
        <v>928</v>
      </c>
      <c r="F966" s="6" t="s">
        <v>1273</v>
      </c>
      <c r="G966" s="6" t="s">
        <v>1572</v>
      </c>
    </row>
    <row r="967" customFormat="false" ht="43.5" hidden="false" customHeight="true" outlineLevel="0" collapsed="false">
      <c r="A967" s="19"/>
      <c r="B967" s="18" t="n">
        <v>3</v>
      </c>
      <c r="C967" s="4" t="s">
        <v>1344</v>
      </c>
      <c r="D967" s="19" t="s">
        <v>932</v>
      </c>
      <c r="E967" s="6" t="s">
        <v>1345</v>
      </c>
      <c r="F967" s="6" t="s">
        <v>1543</v>
      </c>
      <c r="G967" s="6" t="s">
        <v>1544</v>
      </c>
    </row>
    <row r="968" customFormat="false" ht="43.5" hidden="false" customHeight="true" outlineLevel="0" collapsed="false">
      <c r="A968" s="19"/>
      <c r="B968" s="18" t="n">
        <v>4</v>
      </c>
      <c r="C968" s="4" t="s">
        <v>1411</v>
      </c>
      <c r="D968" s="19" t="s">
        <v>932</v>
      </c>
      <c r="E968" s="6" t="s">
        <v>1412</v>
      </c>
      <c r="F968" s="6" t="s">
        <v>1543</v>
      </c>
      <c r="G968" s="6" t="s">
        <v>1544</v>
      </c>
    </row>
    <row r="969" customFormat="false" ht="43.5" hidden="false" customHeight="true" outlineLevel="0" collapsed="false">
      <c r="A969" s="19"/>
      <c r="B969" s="18" t="n">
        <v>5</v>
      </c>
      <c r="C969" s="4" t="s">
        <v>1348</v>
      </c>
      <c r="D969" s="19" t="s">
        <v>932</v>
      </c>
      <c r="E969" s="6" t="s">
        <v>1349</v>
      </c>
      <c r="F969" s="6" t="s">
        <v>1543</v>
      </c>
      <c r="G969" s="6" t="s">
        <v>1544</v>
      </c>
    </row>
    <row r="970" customFormat="false" ht="25.5" hidden="false" customHeight="true" outlineLevel="0" collapsed="false">
      <c r="A970" s="19"/>
      <c r="B970" s="18" t="n">
        <v>6</v>
      </c>
      <c r="C970" s="4" t="s">
        <v>1352</v>
      </c>
      <c r="D970" s="19" t="s">
        <v>932</v>
      </c>
      <c r="E970" s="6" t="s">
        <v>1353</v>
      </c>
      <c r="F970" s="6" t="s">
        <v>1545</v>
      </c>
      <c r="G970" s="6" t="s">
        <v>1546</v>
      </c>
    </row>
    <row r="971" customFormat="false" ht="43.5" hidden="false" customHeight="true" outlineLevel="0" collapsed="false">
      <c r="A971" s="19"/>
      <c r="B971" s="18" t="n">
        <v>7</v>
      </c>
      <c r="C971" s="4" t="s">
        <v>1418</v>
      </c>
      <c r="D971" s="19" t="s">
        <v>932</v>
      </c>
      <c r="E971" s="6" t="s">
        <v>1419</v>
      </c>
      <c r="F971" s="6" t="s">
        <v>1543</v>
      </c>
      <c r="G971" s="6" t="s">
        <v>1544</v>
      </c>
    </row>
    <row r="972" customFormat="false" ht="25.5" hidden="false" customHeight="true" outlineLevel="0" collapsed="false">
      <c r="A972" s="19"/>
      <c r="B972" s="18" t="n">
        <v>8</v>
      </c>
      <c r="C972" s="4" t="s">
        <v>1364</v>
      </c>
      <c r="D972" s="19" t="s">
        <v>921</v>
      </c>
      <c r="E972" s="6" t="s">
        <v>1365</v>
      </c>
      <c r="F972" s="6" t="s">
        <v>1547</v>
      </c>
      <c r="G972" s="6" t="s">
        <v>1449</v>
      </c>
    </row>
    <row r="973" customFormat="false" ht="25.5" hidden="false" customHeight="true" outlineLevel="0" collapsed="false">
      <c r="A973" s="19"/>
      <c r="B973" s="18" t="n">
        <v>9</v>
      </c>
      <c r="C973" s="4" t="s">
        <v>1368</v>
      </c>
      <c r="D973" s="19" t="s">
        <v>921</v>
      </c>
      <c r="E973" s="6" t="s">
        <v>1369</v>
      </c>
      <c r="F973" s="6" t="s">
        <v>1548</v>
      </c>
      <c r="G973" s="6" t="s">
        <v>1449</v>
      </c>
    </row>
    <row r="974" customFormat="false" ht="25.5" hidden="false" customHeight="true" outlineLevel="0" collapsed="false">
      <c r="A974" s="19"/>
      <c r="B974" s="18" t="n">
        <v>10</v>
      </c>
      <c r="C974" s="4" t="s">
        <v>1450</v>
      </c>
      <c r="D974" s="19" t="s">
        <v>921</v>
      </c>
      <c r="E974" s="6" t="s">
        <v>1451</v>
      </c>
      <c r="F974" s="6" t="s">
        <v>1549</v>
      </c>
      <c r="G974" s="6" t="s">
        <v>1550</v>
      </c>
    </row>
    <row r="975" customFormat="false" ht="25.5" hidden="false" customHeight="true" outlineLevel="0" collapsed="false">
      <c r="A975" s="19"/>
      <c r="B975" s="18" t="n">
        <v>11</v>
      </c>
      <c r="C975" s="4" t="s">
        <v>1453</v>
      </c>
      <c r="D975" s="19" t="s">
        <v>921</v>
      </c>
      <c r="E975" s="6" t="s">
        <v>1454</v>
      </c>
      <c r="F975" s="6" t="s">
        <v>1551</v>
      </c>
      <c r="G975" s="6" t="s">
        <v>1552</v>
      </c>
    </row>
    <row r="976" customFormat="false" ht="43.5" hidden="false" customHeight="true" outlineLevel="0" collapsed="false">
      <c r="A976" s="19"/>
      <c r="B976" s="18" t="n">
        <v>12</v>
      </c>
      <c r="C976" s="4" t="s">
        <v>871</v>
      </c>
      <c r="D976" s="19" t="s">
        <v>957</v>
      </c>
      <c r="E976" s="6" t="s">
        <v>958</v>
      </c>
      <c r="F976" s="6" t="s">
        <v>1553</v>
      </c>
      <c r="G976" s="6" t="s">
        <v>960</v>
      </c>
    </row>
    <row r="977" customFormat="false" ht="25.5" hidden="false" customHeight="true" outlineLevel="0" collapsed="false">
      <c r="A977" s="19"/>
      <c r="B977" s="18" t="n">
        <v>13</v>
      </c>
      <c r="C977" s="4" t="s">
        <v>874</v>
      </c>
      <c r="D977" s="19" t="s">
        <v>957</v>
      </c>
      <c r="E977" s="6" t="s">
        <v>1490</v>
      </c>
      <c r="F977" s="6" t="s">
        <v>1491</v>
      </c>
      <c r="G977" s="6" t="s">
        <v>1492</v>
      </c>
    </row>
    <row r="978" customFormat="false" ht="33" hidden="false" customHeight="true" outlineLevel="0" collapsed="false">
      <c r="A978" s="19"/>
      <c r="B978" s="18" t="n">
        <v>14</v>
      </c>
      <c r="C978" s="4" t="s">
        <v>895</v>
      </c>
      <c r="D978" s="19" t="s">
        <v>957</v>
      </c>
      <c r="E978" s="6" t="s">
        <v>1370</v>
      </c>
      <c r="F978" s="6" t="s">
        <v>959</v>
      </c>
      <c r="G978" s="6" t="s">
        <v>994</v>
      </c>
    </row>
    <row r="979" customFormat="false" ht="25.5" hidden="false" customHeight="true" outlineLevel="0" collapsed="false">
      <c r="A979" s="19"/>
      <c r="B979" s="18" t="n">
        <v>15</v>
      </c>
      <c r="C979" s="4" t="s">
        <v>1463</v>
      </c>
      <c r="D979" s="19" t="s">
        <v>932</v>
      </c>
      <c r="E979" s="6" t="s">
        <v>1464</v>
      </c>
      <c r="F979" s="6" t="s">
        <v>1554</v>
      </c>
      <c r="G979" s="6" t="s">
        <v>1555</v>
      </c>
    </row>
    <row r="980" customFormat="false" ht="33" hidden="false" customHeight="true" outlineLevel="0" collapsed="false">
      <c r="A980" s="19"/>
      <c r="B980" s="18" t="n">
        <v>16</v>
      </c>
      <c r="C980" s="4" t="s">
        <v>979</v>
      </c>
      <c r="D980" s="19" t="s">
        <v>932</v>
      </c>
      <c r="E980" s="6" t="s">
        <v>980</v>
      </c>
      <c r="F980" s="6" t="s">
        <v>1556</v>
      </c>
      <c r="G980" s="6" t="s">
        <v>1557</v>
      </c>
    </row>
    <row r="981" customFormat="false" ht="25.5" hidden="false" customHeight="true" outlineLevel="0" collapsed="false">
      <c r="A981" s="19"/>
      <c r="B981" s="18" t="n">
        <v>17</v>
      </c>
      <c r="C981" s="4" t="s">
        <v>856</v>
      </c>
      <c r="D981" s="19" t="s">
        <v>957</v>
      </c>
      <c r="E981" s="6" t="s">
        <v>990</v>
      </c>
      <c r="F981" s="6" t="s">
        <v>1101</v>
      </c>
      <c r="G981" s="6" t="s">
        <v>1558</v>
      </c>
    </row>
    <row r="982" customFormat="false" ht="33" hidden="false" customHeight="true" outlineLevel="0" collapsed="false">
      <c r="A982" s="19"/>
      <c r="B982" s="18" t="n">
        <v>18</v>
      </c>
      <c r="C982" s="4" t="s">
        <v>883</v>
      </c>
      <c r="D982" s="19" t="s">
        <v>957</v>
      </c>
      <c r="E982" s="6" t="s">
        <v>993</v>
      </c>
      <c r="F982" s="6" t="s">
        <v>959</v>
      </c>
      <c r="G982" s="6" t="s">
        <v>994</v>
      </c>
    </row>
    <row r="983" customFormat="false" ht="33" hidden="false" customHeight="true" outlineLevel="0" collapsed="false">
      <c r="A983" s="19"/>
      <c r="B983" s="18" t="n">
        <v>19</v>
      </c>
      <c r="C983" s="4" t="s">
        <v>889</v>
      </c>
      <c r="D983" s="19" t="s">
        <v>957</v>
      </c>
      <c r="E983" s="6" t="s">
        <v>995</v>
      </c>
      <c r="F983" s="6" t="s">
        <v>959</v>
      </c>
      <c r="G983" s="6" t="s">
        <v>994</v>
      </c>
    </row>
    <row r="984" customFormat="false" ht="33" hidden="false" customHeight="true" outlineLevel="0" collapsed="false">
      <c r="A984" s="4" t="s">
        <v>1573</v>
      </c>
      <c r="B984" s="18" t="n">
        <v>1</v>
      </c>
      <c r="C984" s="4" t="s">
        <v>859</v>
      </c>
      <c r="D984" s="19" t="s">
        <v>921</v>
      </c>
      <c r="E984" s="6" t="s">
        <v>922</v>
      </c>
      <c r="F984" s="6" t="s">
        <v>1484</v>
      </c>
      <c r="G984" s="6" t="s">
        <v>1542</v>
      </c>
    </row>
    <row r="985" customFormat="false" ht="43.5" hidden="false" customHeight="true" outlineLevel="0" collapsed="false">
      <c r="A985" s="19"/>
      <c r="B985" s="18" t="n">
        <v>2</v>
      </c>
      <c r="C985" s="4" t="s">
        <v>1344</v>
      </c>
      <c r="D985" s="19" t="s">
        <v>932</v>
      </c>
      <c r="E985" s="6" t="s">
        <v>1345</v>
      </c>
      <c r="F985" s="6" t="s">
        <v>1543</v>
      </c>
      <c r="G985" s="6" t="s">
        <v>1544</v>
      </c>
    </row>
    <row r="986" customFormat="false" ht="43.5" hidden="false" customHeight="true" outlineLevel="0" collapsed="false">
      <c r="A986" s="19"/>
      <c r="B986" s="18" t="n">
        <v>3</v>
      </c>
      <c r="C986" s="4" t="s">
        <v>1411</v>
      </c>
      <c r="D986" s="19" t="s">
        <v>932</v>
      </c>
      <c r="E986" s="6" t="s">
        <v>1412</v>
      </c>
      <c r="F986" s="6" t="s">
        <v>1543</v>
      </c>
      <c r="G986" s="6" t="s">
        <v>1544</v>
      </c>
    </row>
    <row r="987" customFormat="false" ht="43.5" hidden="false" customHeight="true" outlineLevel="0" collapsed="false">
      <c r="A987" s="19"/>
      <c r="B987" s="18" t="n">
        <v>4</v>
      </c>
      <c r="C987" s="4" t="s">
        <v>1348</v>
      </c>
      <c r="D987" s="19" t="s">
        <v>932</v>
      </c>
      <c r="E987" s="6" t="s">
        <v>1349</v>
      </c>
      <c r="F987" s="6" t="s">
        <v>1543</v>
      </c>
      <c r="G987" s="6" t="s">
        <v>1544</v>
      </c>
    </row>
    <row r="988" customFormat="false" ht="25.5" hidden="false" customHeight="true" outlineLevel="0" collapsed="false">
      <c r="A988" s="19"/>
      <c r="B988" s="18" t="n">
        <v>5</v>
      </c>
      <c r="C988" s="4" t="s">
        <v>1352</v>
      </c>
      <c r="D988" s="19" t="s">
        <v>932</v>
      </c>
      <c r="E988" s="6" t="s">
        <v>1353</v>
      </c>
      <c r="F988" s="6" t="s">
        <v>1545</v>
      </c>
      <c r="G988" s="6" t="s">
        <v>1546</v>
      </c>
    </row>
    <row r="989" customFormat="false" ht="25.5" hidden="false" customHeight="true" outlineLevel="0" collapsed="false">
      <c r="A989" s="19"/>
      <c r="B989" s="18" t="n">
        <v>6</v>
      </c>
      <c r="C989" s="4" t="s">
        <v>1418</v>
      </c>
      <c r="D989" s="19" t="s">
        <v>921</v>
      </c>
      <c r="E989" s="6" t="s">
        <v>1419</v>
      </c>
      <c r="F989" s="6" t="s">
        <v>1569</v>
      </c>
      <c r="G989" s="6" t="s">
        <v>1570</v>
      </c>
    </row>
    <row r="990" customFormat="false" ht="25.5" hidden="false" customHeight="true" outlineLevel="0" collapsed="false">
      <c r="A990" s="19"/>
      <c r="B990" s="18" t="n">
        <v>7</v>
      </c>
      <c r="C990" s="4" t="s">
        <v>1364</v>
      </c>
      <c r="D990" s="19" t="s">
        <v>921</v>
      </c>
      <c r="E990" s="6" t="s">
        <v>1365</v>
      </c>
      <c r="F990" s="6" t="s">
        <v>1561</v>
      </c>
      <c r="G990" s="6" t="s">
        <v>1449</v>
      </c>
    </row>
    <row r="991" customFormat="false" ht="25.5" hidden="false" customHeight="true" outlineLevel="0" collapsed="false">
      <c r="A991" s="19"/>
      <c r="B991" s="18" t="n">
        <v>8</v>
      </c>
      <c r="C991" s="4" t="s">
        <v>1368</v>
      </c>
      <c r="D991" s="19" t="s">
        <v>921</v>
      </c>
      <c r="E991" s="6" t="s">
        <v>1369</v>
      </c>
      <c r="F991" s="6" t="s">
        <v>1562</v>
      </c>
      <c r="G991" s="6" t="s">
        <v>1449</v>
      </c>
    </row>
    <row r="992" customFormat="false" ht="25.5" hidden="false" customHeight="true" outlineLevel="0" collapsed="false">
      <c r="A992" s="19"/>
      <c r="B992" s="18" t="n">
        <v>9</v>
      </c>
      <c r="C992" s="4" t="s">
        <v>1450</v>
      </c>
      <c r="D992" s="19" t="s">
        <v>921</v>
      </c>
      <c r="E992" s="6" t="s">
        <v>1451</v>
      </c>
      <c r="F992" s="6" t="s">
        <v>1563</v>
      </c>
      <c r="G992" s="6" t="s">
        <v>1550</v>
      </c>
    </row>
    <row r="993" customFormat="false" ht="25.5" hidden="false" customHeight="true" outlineLevel="0" collapsed="false">
      <c r="A993" s="19"/>
      <c r="B993" s="18" t="n">
        <v>10</v>
      </c>
      <c r="C993" s="4" t="s">
        <v>1453</v>
      </c>
      <c r="D993" s="19" t="s">
        <v>921</v>
      </c>
      <c r="E993" s="6" t="s">
        <v>1454</v>
      </c>
      <c r="F993" s="6" t="s">
        <v>1551</v>
      </c>
      <c r="G993" s="6" t="s">
        <v>1552</v>
      </c>
    </row>
    <row r="994" customFormat="false" ht="43.5" hidden="false" customHeight="true" outlineLevel="0" collapsed="false">
      <c r="A994" s="19"/>
      <c r="B994" s="18" t="n">
        <v>11</v>
      </c>
      <c r="C994" s="4" t="s">
        <v>871</v>
      </c>
      <c r="D994" s="19" t="s">
        <v>957</v>
      </c>
      <c r="E994" s="6" t="s">
        <v>958</v>
      </c>
      <c r="F994" s="6" t="s">
        <v>1553</v>
      </c>
      <c r="G994" s="6" t="s">
        <v>960</v>
      </c>
    </row>
    <row r="995" customFormat="false" ht="25.5" hidden="false" customHeight="true" outlineLevel="0" collapsed="false">
      <c r="A995" s="19"/>
      <c r="B995" s="18" t="n">
        <v>12</v>
      </c>
      <c r="C995" s="4" t="s">
        <v>874</v>
      </c>
      <c r="D995" s="19" t="s">
        <v>957</v>
      </c>
      <c r="E995" s="6" t="s">
        <v>1490</v>
      </c>
      <c r="F995" s="6" t="s">
        <v>1491</v>
      </c>
      <c r="G995" s="6" t="s">
        <v>1492</v>
      </c>
    </row>
    <row r="996" customFormat="false" ht="33" hidden="false" customHeight="true" outlineLevel="0" collapsed="false">
      <c r="A996" s="19"/>
      <c r="B996" s="18" t="n">
        <v>13</v>
      </c>
      <c r="C996" s="4" t="s">
        <v>895</v>
      </c>
      <c r="D996" s="19" t="s">
        <v>957</v>
      </c>
      <c r="E996" s="6" t="s">
        <v>1370</v>
      </c>
      <c r="F996" s="6" t="s">
        <v>959</v>
      </c>
      <c r="G996" s="6" t="s">
        <v>994</v>
      </c>
    </row>
    <row r="997" customFormat="false" ht="25.5" hidden="false" customHeight="true" outlineLevel="0" collapsed="false">
      <c r="A997" s="19"/>
      <c r="B997" s="18" t="n">
        <v>14</v>
      </c>
      <c r="C997" s="4" t="s">
        <v>1463</v>
      </c>
      <c r="D997" s="19" t="s">
        <v>932</v>
      </c>
      <c r="E997" s="6" t="s">
        <v>1464</v>
      </c>
      <c r="F997" s="6" t="s">
        <v>1554</v>
      </c>
      <c r="G997" s="6" t="s">
        <v>1555</v>
      </c>
    </row>
    <row r="998" customFormat="false" ht="33" hidden="false" customHeight="true" outlineLevel="0" collapsed="false">
      <c r="A998" s="19"/>
      <c r="B998" s="18" t="n">
        <v>15</v>
      </c>
      <c r="C998" s="4" t="s">
        <v>979</v>
      </c>
      <c r="D998" s="19" t="s">
        <v>932</v>
      </c>
      <c r="E998" s="6" t="s">
        <v>980</v>
      </c>
      <c r="F998" s="6" t="s">
        <v>1380</v>
      </c>
      <c r="G998" s="6" t="s">
        <v>1564</v>
      </c>
    </row>
    <row r="999" customFormat="false" ht="25.5" hidden="false" customHeight="true" outlineLevel="0" collapsed="false">
      <c r="A999" s="19"/>
      <c r="B999" s="18" t="n">
        <v>16</v>
      </c>
      <c r="C999" s="4" t="s">
        <v>856</v>
      </c>
      <c r="D999" s="19" t="s">
        <v>957</v>
      </c>
      <c r="E999" s="6" t="s">
        <v>990</v>
      </c>
      <c r="F999" s="6" t="s">
        <v>1101</v>
      </c>
      <c r="G999" s="6" t="s">
        <v>1558</v>
      </c>
    </row>
    <row r="1000" customFormat="false" ht="33" hidden="false" customHeight="true" outlineLevel="0" collapsed="false">
      <c r="A1000" s="19"/>
      <c r="B1000" s="18" t="n">
        <v>17</v>
      </c>
      <c r="C1000" s="4" t="s">
        <v>883</v>
      </c>
      <c r="D1000" s="19" t="s">
        <v>957</v>
      </c>
      <c r="E1000" s="6" t="s">
        <v>993</v>
      </c>
      <c r="F1000" s="6" t="s">
        <v>959</v>
      </c>
      <c r="G1000" s="6" t="s">
        <v>994</v>
      </c>
    </row>
    <row r="1001" customFormat="false" ht="33" hidden="false" customHeight="true" outlineLevel="0" collapsed="false">
      <c r="A1001" s="19"/>
      <c r="B1001" s="18" t="n">
        <v>18</v>
      </c>
      <c r="C1001" s="4" t="s">
        <v>889</v>
      </c>
      <c r="D1001" s="19" t="s">
        <v>957</v>
      </c>
      <c r="E1001" s="6" t="s">
        <v>995</v>
      </c>
      <c r="F1001" s="6" t="s">
        <v>959</v>
      </c>
      <c r="G1001" s="6" t="s">
        <v>994</v>
      </c>
    </row>
    <row r="1002" customFormat="false" ht="33" hidden="false" customHeight="true" outlineLevel="0" collapsed="false">
      <c r="A1002" s="4" t="s">
        <v>1574</v>
      </c>
      <c r="B1002" s="18" t="n">
        <v>1</v>
      </c>
      <c r="C1002" s="4" t="s">
        <v>859</v>
      </c>
      <c r="D1002" s="19" t="s">
        <v>921</v>
      </c>
      <c r="E1002" s="6" t="s">
        <v>922</v>
      </c>
      <c r="F1002" s="6" t="s">
        <v>1575</v>
      </c>
      <c r="G1002" s="6" t="s">
        <v>1576</v>
      </c>
    </row>
    <row r="1003" customFormat="false" ht="25.5" hidden="false" customHeight="true" outlineLevel="0" collapsed="false">
      <c r="A1003" s="19"/>
      <c r="B1003" s="18" t="n">
        <v>2</v>
      </c>
      <c r="C1003" s="4" t="s">
        <v>1577</v>
      </c>
      <c r="D1003" s="19" t="s">
        <v>1184</v>
      </c>
      <c r="E1003" s="6" t="s">
        <v>1578</v>
      </c>
      <c r="F1003" s="6" t="s">
        <v>1579</v>
      </c>
      <c r="G1003" s="6" t="s">
        <v>1580</v>
      </c>
    </row>
    <row r="1004" customFormat="false" ht="33" hidden="false" customHeight="true" outlineLevel="0" collapsed="false">
      <c r="A1004" s="19"/>
      <c r="B1004" s="18" t="n">
        <v>3</v>
      </c>
      <c r="C1004" s="4" t="s">
        <v>1392</v>
      </c>
      <c r="D1004" s="19" t="s">
        <v>932</v>
      </c>
      <c r="E1004" s="6" t="s">
        <v>1393</v>
      </c>
      <c r="F1004" s="6" t="s">
        <v>1581</v>
      </c>
      <c r="G1004" s="6" t="s">
        <v>1582</v>
      </c>
    </row>
    <row r="1005" customFormat="false" ht="43.5" hidden="false" customHeight="true" outlineLevel="0" collapsed="false">
      <c r="A1005" s="19"/>
      <c r="B1005" s="18" t="n">
        <v>4</v>
      </c>
      <c r="C1005" s="4" t="s">
        <v>1527</v>
      </c>
      <c r="D1005" s="19" t="s">
        <v>957</v>
      </c>
      <c r="E1005" s="6" t="s">
        <v>1528</v>
      </c>
      <c r="F1005" s="6" t="s">
        <v>1583</v>
      </c>
      <c r="G1005" s="6" t="s">
        <v>1584</v>
      </c>
    </row>
    <row r="1006" customFormat="false" ht="33" hidden="false" customHeight="true" outlineLevel="0" collapsed="false">
      <c r="A1006" s="19"/>
      <c r="B1006" s="18" t="n">
        <v>5</v>
      </c>
      <c r="C1006" s="4" t="s">
        <v>862</v>
      </c>
      <c r="D1006" s="19" t="s">
        <v>921</v>
      </c>
      <c r="E1006" s="6" t="s">
        <v>925</v>
      </c>
      <c r="F1006" s="6" t="s">
        <v>1585</v>
      </c>
      <c r="G1006" s="6" t="s">
        <v>1586</v>
      </c>
    </row>
    <row r="1007" customFormat="false" ht="25.5" hidden="false" customHeight="true" outlineLevel="0" collapsed="false">
      <c r="A1007" s="19"/>
      <c r="B1007" s="18" t="n">
        <v>6</v>
      </c>
      <c r="C1007" s="4" t="s">
        <v>898</v>
      </c>
      <c r="D1007" s="19" t="s">
        <v>921</v>
      </c>
      <c r="E1007" s="6" t="s">
        <v>928</v>
      </c>
      <c r="F1007" s="6" t="s">
        <v>1273</v>
      </c>
      <c r="G1007" s="6" t="s">
        <v>1587</v>
      </c>
    </row>
    <row r="1008" customFormat="false" ht="25.5" hidden="false" customHeight="true" outlineLevel="0" collapsed="false">
      <c r="A1008" s="19"/>
      <c r="B1008" s="18" t="n">
        <v>7</v>
      </c>
      <c r="C1008" s="4" t="s">
        <v>1283</v>
      </c>
      <c r="D1008" s="19" t="s">
        <v>921</v>
      </c>
      <c r="E1008" s="6" t="s">
        <v>1284</v>
      </c>
      <c r="F1008" s="6" t="s">
        <v>1588</v>
      </c>
      <c r="G1008" s="6" t="s">
        <v>1589</v>
      </c>
    </row>
    <row r="1009" customFormat="false" ht="43.5" hidden="false" customHeight="true" outlineLevel="0" collapsed="false">
      <c r="A1009" s="19"/>
      <c r="B1009" s="18" t="n">
        <v>8</v>
      </c>
      <c r="C1009" s="4" t="s">
        <v>871</v>
      </c>
      <c r="D1009" s="19" t="s">
        <v>957</v>
      </c>
      <c r="E1009" s="6" t="s">
        <v>958</v>
      </c>
      <c r="F1009" s="6" t="s">
        <v>959</v>
      </c>
      <c r="G1009" s="6" t="s">
        <v>960</v>
      </c>
    </row>
    <row r="1010" customFormat="false" ht="25.5" hidden="false" customHeight="true" outlineLevel="0" collapsed="false">
      <c r="A1010" s="19"/>
      <c r="B1010" s="18" t="n">
        <v>9</v>
      </c>
      <c r="C1010" s="4" t="s">
        <v>1590</v>
      </c>
      <c r="D1010" s="19" t="s">
        <v>932</v>
      </c>
      <c r="E1010" s="6" t="s">
        <v>1591</v>
      </c>
      <c r="F1010" s="6" t="s">
        <v>557</v>
      </c>
      <c r="G1010" s="6" t="s">
        <v>1592</v>
      </c>
    </row>
    <row r="1011" customFormat="false" ht="25.5" hidden="false" customHeight="true" outlineLevel="0" collapsed="false">
      <c r="A1011" s="19"/>
      <c r="B1011" s="18" t="n">
        <v>10</v>
      </c>
      <c r="C1011" s="4" t="s">
        <v>1593</v>
      </c>
      <c r="D1011" s="19" t="s">
        <v>932</v>
      </c>
      <c r="E1011" s="6" t="s">
        <v>1594</v>
      </c>
      <c r="F1011" s="6" t="s">
        <v>557</v>
      </c>
      <c r="G1011" s="6" t="s">
        <v>1592</v>
      </c>
    </row>
    <row r="1012" customFormat="false" ht="33" hidden="false" customHeight="true" outlineLevel="0" collapsed="false">
      <c r="A1012" s="19"/>
      <c r="B1012" s="18" t="n">
        <v>11</v>
      </c>
      <c r="C1012" s="4" t="s">
        <v>968</v>
      </c>
      <c r="D1012" s="19" t="s">
        <v>932</v>
      </c>
      <c r="E1012" s="6" t="s">
        <v>969</v>
      </c>
      <c r="F1012" s="6" t="s">
        <v>1082</v>
      </c>
      <c r="G1012" s="6" t="s">
        <v>1595</v>
      </c>
    </row>
    <row r="1013" customFormat="false" ht="33" hidden="false" customHeight="true" outlineLevel="0" collapsed="false">
      <c r="A1013" s="19"/>
      <c r="B1013" s="18" t="n">
        <v>12</v>
      </c>
      <c r="C1013" s="4" t="s">
        <v>976</v>
      </c>
      <c r="D1013" s="19" t="s">
        <v>932</v>
      </c>
      <c r="E1013" s="6" t="s">
        <v>977</v>
      </c>
      <c r="F1013" s="6" t="s">
        <v>557</v>
      </c>
      <c r="G1013" s="6" t="s">
        <v>1099</v>
      </c>
    </row>
    <row r="1014" customFormat="false" ht="33" hidden="false" customHeight="true" outlineLevel="0" collapsed="false">
      <c r="A1014" s="19"/>
      <c r="B1014" s="18" t="n">
        <v>13</v>
      </c>
      <c r="C1014" s="4" t="s">
        <v>979</v>
      </c>
      <c r="D1014" s="19" t="s">
        <v>957</v>
      </c>
      <c r="E1014" s="6" t="s">
        <v>980</v>
      </c>
      <c r="F1014" s="6" t="s">
        <v>1013</v>
      </c>
      <c r="G1014" s="6" t="s">
        <v>1596</v>
      </c>
    </row>
    <row r="1015" customFormat="false" ht="33" hidden="false" customHeight="true" outlineLevel="0" collapsed="false">
      <c r="A1015" s="19"/>
      <c r="B1015" s="18" t="n">
        <v>14</v>
      </c>
      <c r="C1015" s="4" t="s">
        <v>983</v>
      </c>
      <c r="D1015" s="19" t="s">
        <v>932</v>
      </c>
      <c r="E1015" s="6" t="s">
        <v>984</v>
      </c>
      <c r="F1015" s="6" t="s">
        <v>1597</v>
      </c>
      <c r="G1015" s="6" t="s">
        <v>1598</v>
      </c>
    </row>
    <row r="1016" customFormat="false" ht="25.5" hidden="false" customHeight="true" outlineLevel="0" collapsed="false">
      <c r="A1016" s="19"/>
      <c r="B1016" s="18" t="n">
        <v>15</v>
      </c>
      <c r="C1016" s="4" t="s">
        <v>985</v>
      </c>
      <c r="D1016" s="19" t="s">
        <v>957</v>
      </c>
      <c r="E1016" s="6" t="s">
        <v>987</v>
      </c>
      <c r="F1016" s="6" t="s">
        <v>998</v>
      </c>
      <c r="G1016" s="6" t="s">
        <v>1599</v>
      </c>
    </row>
    <row r="1017" customFormat="false" ht="33" hidden="false" customHeight="true" outlineLevel="0" collapsed="false">
      <c r="A1017" s="19"/>
      <c r="B1017" s="18" t="n">
        <v>16</v>
      </c>
      <c r="C1017" s="4" t="s">
        <v>883</v>
      </c>
      <c r="D1017" s="19" t="s">
        <v>957</v>
      </c>
      <c r="E1017" s="6" t="s">
        <v>993</v>
      </c>
      <c r="F1017" s="6" t="s">
        <v>959</v>
      </c>
      <c r="G1017" s="6" t="s">
        <v>994</v>
      </c>
    </row>
    <row r="1018" customFormat="false" ht="33" hidden="false" customHeight="true" outlineLevel="0" collapsed="false">
      <c r="A1018" s="19"/>
      <c r="B1018" s="18" t="n">
        <v>17</v>
      </c>
      <c r="C1018" s="4" t="s">
        <v>889</v>
      </c>
      <c r="D1018" s="19" t="s">
        <v>957</v>
      </c>
      <c r="E1018" s="6" t="s">
        <v>995</v>
      </c>
      <c r="F1018" s="6" t="s">
        <v>959</v>
      </c>
      <c r="G1018" s="6" t="s">
        <v>994</v>
      </c>
    </row>
    <row r="1019" customFormat="false" ht="33" hidden="false" customHeight="true" outlineLevel="0" collapsed="false">
      <c r="A1019" s="4" t="s">
        <v>1600</v>
      </c>
      <c r="B1019" s="18" t="n">
        <v>1</v>
      </c>
      <c r="C1019" s="4" t="s">
        <v>859</v>
      </c>
      <c r="D1019" s="19" t="s">
        <v>921</v>
      </c>
      <c r="E1019" s="6" t="s">
        <v>922</v>
      </c>
      <c r="F1019" s="6" t="s">
        <v>1601</v>
      </c>
      <c r="G1019" s="6" t="s">
        <v>1602</v>
      </c>
    </row>
    <row r="1020" customFormat="false" ht="33" hidden="false" customHeight="true" outlineLevel="0" collapsed="false">
      <c r="A1020" s="19"/>
      <c r="B1020" s="18" t="n">
        <v>2</v>
      </c>
      <c r="C1020" s="4" t="s">
        <v>862</v>
      </c>
      <c r="D1020" s="19" t="s">
        <v>932</v>
      </c>
      <c r="E1020" s="6" t="s">
        <v>925</v>
      </c>
      <c r="F1020" s="6" t="s">
        <v>1603</v>
      </c>
      <c r="G1020" s="6" t="s">
        <v>1604</v>
      </c>
    </row>
    <row r="1021" customFormat="false" ht="25.5" hidden="false" customHeight="true" outlineLevel="0" collapsed="false">
      <c r="A1021" s="19"/>
      <c r="B1021" s="18" t="n">
        <v>3</v>
      </c>
      <c r="C1021" s="4" t="s">
        <v>898</v>
      </c>
      <c r="D1021" s="19" t="s">
        <v>921</v>
      </c>
      <c r="E1021" s="6" t="s">
        <v>928</v>
      </c>
      <c r="F1021" s="6" t="s">
        <v>1605</v>
      </c>
      <c r="G1021" s="6" t="s">
        <v>1587</v>
      </c>
    </row>
    <row r="1022" customFormat="false" ht="25.5" hidden="false" customHeight="true" outlineLevel="0" collapsed="false">
      <c r="A1022" s="19"/>
      <c r="B1022" s="18" t="n">
        <v>4</v>
      </c>
      <c r="C1022" s="4" t="s">
        <v>1606</v>
      </c>
      <c r="D1022" s="19" t="s">
        <v>932</v>
      </c>
      <c r="E1022" s="6" t="s">
        <v>1607</v>
      </c>
      <c r="F1022" s="6" t="s">
        <v>1603</v>
      </c>
      <c r="G1022" s="6" t="s">
        <v>1608</v>
      </c>
    </row>
    <row r="1023" customFormat="false" ht="25.5" hidden="false" customHeight="true" outlineLevel="0" collapsed="false">
      <c r="A1023" s="19"/>
      <c r="B1023" s="18" t="n">
        <v>5</v>
      </c>
      <c r="C1023" s="4" t="s">
        <v>1435</v>
      </c>
      <c r="D1023" s="19" t="s">
        <v>932</v>
      </c>
      <c r="E1023" s="6" t="s">
        <v>1436</v>
      </c>
      <c r="F1023" s="6" t="s">
        <v>1609</v>
      </c>
      <c r="G1023" s="6" t="s">
        <v>1610</v>
      </c>
    </row>
    <row r="1024" customFormat="false" ht="25.5" hidden="false" customHeight="true" outlineLevel="0" collapsed="false">
      <c r="A1024" s="19"/>
      <c r="B1024" s="18" t="n">
        <v>6</v>
      </c>
      <c r="C1024" s="4" t="s">
        <v>1611</v>
      </c>
      <c r="D1024" s="19" t="s">
        <v>921</v>
      </c>
      <c r="E1024" s="6" t="s">
        <v>1612</v>
      </c>
      <c r="F1024" s="6" t="s">
        <v>1613</v>
      </c>
      <c r="G1024" s="6" t="s">
        <v>1614</v>
      </c>
    </row>
    <row r="1025" customFormat="false" ht="33" hidden="false" customHeight="true" outlineLevel="0" collapsed="false">
      <c r="A1025" s="19"/>
      <c r="B1025" s="18" t="n">
        <v>7</v>
      </c>
      <c r="C1025" s="4" t="s">
        <v>968</v>
      </c>
      <c r="D1025" s="19" t="s">
        <v>932</v>
      </c>
      <c r="E1025" s="6" t="s">
        <v>969</v>
      </c>
      <c r="F1025" s="6" t="s">
        <v>970</v>
      </c>
      <c r="G1025" s="6" t="s">
        <v>1083</v>
      </c>
    </row>
    <row r="1026" customFormat="false" ht="33" hidden="false" customHeight="true" outlineLevel="0" collapsed="false">
      <c r="A1026" s="19"/>
      <c r="B1026" s="18" t="n">
        <v>8</v>
      </c>
      <c r="C1026" s="4" t="s">
        <v>979</v>
      </c>
      <c r="D1026" s="19" t="s">
        <v>932</v>
      </c>
      <c r="E1026" s="6" t="s">
        <v>980</v>
      </c>
      <c r="F1026" s="6" t="s">
        <v>1615</v>
      </c>
      <c r="G1026" s="6" t="s">
        <v>1251</v>
      </c>
    </row>
    <row r="1027" customFormat="false" ht="25.5" hidden="false" customHeight="true" outlineLevel="0" collapsed="false">
      <c r="A1027" s="19"/>
      <c r="B1027" s="18" t="n">
        <v>9</v>
      </c>
      <c r="C1027" s="4" t="s">
        <v>983</v>
      </c>
      <c r="D1027" s="19" t="s">
        <v>932</v>
      </c>
      <c r="E1027" s="6" t="s">
        <v>984</v>
      </c>
      <c r="F1027" s="6" t="s">
        <v>1616</v>
      </c>
      <c r="G1027" s="6" t="s">
        <v>1617</v>
      </c>
    </row>
    <row r="1028" customFormat="false" ht="43.5" hidden="false" customHeight="true" outlineLevel="0" collapsed="false">
      <c r="A1028" s="19"/>
      <c r="B1028" s="18" t="n">
        <v>10</v>
      </c>
      <c r="C1028" s="4" t="s">
        <v>871</v>
      </c>
      <c r="D1028" s="19" t="s">
        <v>957</v>
      </c>
      <c r="E1028" s="6" t="s">
        <v>958</v>
      </c>
      <c r="F1028" s="6" t="s">
        <v>959</v>
      </c>
      <c r="G1028" s="6" t="s">
        <v>960</v>
      </c>
    </row>
    <row r="1029" customFormat="false" ht="25.5" hidden="false" customHeight="true" outlineLevel="0" collapsed="false">
      <c r="A1029" s="19"/>
      <c r="B1029" s="18" t="n">
        <v>11</v>
      </c>
      <c r="C1029" s="4" t="s">
        <v>985</v>
      </c>
      <c r="D1029" s="19" t="s">
        <v>957</v>
      </c>
      <c r="E1029" s="6" t="s">
        <v>987</v>
      </c>
      <c r="F1029" s="6" t="s">
        <v>998</v>
      </c>
      <c r="G1029" s="6" t="s">
        <v>1618</v>
      </c>
    </row>
    <row r="1030" customFormat="false" ht="33" hidden="false" customHeight="true" outlineLevel="0" collapsed="false">
      <c r="A1030" s="19"/>
      <c r="B1030" s="18" t="n">
        <v>12</v>
      </c>
      <c r="C1030" s="4" t="s">
        <v>883</v>
      </c>
      <c r="D1030" s="19" t="s">
        <v>957</v>
      </c>
      <c r="E1030" s="6" t="s">
        <v>993</v>
      </c>
      <c r="F1030" s="6" t="s">
        <v>959</v>
      </c>
      <c r="G1030" s="6" t="s">
        <v>994</v>
      </c>
    </row>
    <row r="1031" customFormat="false" ht="33" hidden="false" customHeight="true" outlineLevel="0" collapsed="false">
      <c r="A1031" s="19"/>
      <c r="B1031" s="18" t="n">
        <v>13</v>
      </c>
      <c r="C1031" s="4" t="s">
        <v>889</v>
      </c>
      <c r="D1031" s="19" t="s">
        <v>957</v>
      </c>
      <c r="E1031" s="6" t="s">
        <v>995</v>
      </c>
      <c r="F1031" s="6" t="s">
        <v>959</v>
      </c>
      <c r="G1031" s="6" t="s">
        <v>994</v>
      </c>
    </row>
    <row r="1032" customFormat="false" ht="33" hidden="false" customHeight="true" outlineLevel="0" collapsed="false">
      <c r="A1032" s="4" t="s">
        <v>1619</v>
      </c>
      <c r="B1032" s="18" t="n">
        <v>1</v>
      </c>
      <c r="C1032" s="4" t="s">
        <v>859</v>
      </c>
      <c r="D1032" s="19" t="s">
        <v>921</v>
      </c>
      <c r="E1032" s="6" t="s">
        <v>922</v>
      </c>
      <c r="F1032" s="6" t="s">
        <v>1620</v>
      </c>
      <c r="G1032" s="6" t="s">
        <v>1602</v>
      </c>
    </row>
    <row r="1033" customFormat="false" ht="33" hidden="false" customHeight="true" outlineLevel="0" collapsed="false">
      <c r="A1033" s="19"/>
      <c r="B1033" s="18" t="n">
        <v>2</v>
      </c>
      <c r="C1033" s="4" t="s">
        <v>862</v>
      </c>
      <c r="D1033" s="19" t="s">
        <v>932</v>
      </c>
      <c r="E1033" s="6" t="s">
        <v>925</v>
      </c>
      <c r="F1033" s="6" t="s">
        <v>1603</v>
      </c>
      <c r="G1033" s="6" t="s">
        <v>1604</v>
      </c>
    </row>
    <row r="1034" customFormat="false" ht="25.5" hidden="false" customHeight="true" outlineLevel="0" collapsed="false">
      <c r="A1034" s="19"/>
      <c r="B1034" s="18" t="n">
        <v>3</v>
      </c>
      <c r="C1034" s="4" t="s">
        <v>898</v>
      </c>
      <c r="D1034" s="19" t="s">
        <v>921</v>
      </c>
      <c r="E1034" s="6" t="s">
        <v>928</v>
      </c>
      <c r="F1034" s="6" t="s">
        <v>1621</v>
      </c>
      <c r="G1034" s="6" t="s">
        <v>1587</v>
      </c>
    </row>
    <row r="1035" customFormat="false" ht="25.5" hidden="false" customHeight="true" outlineLevel="0" collapsed="false">
      <c r="A1035" s="19"/>
      <c r="B1035" s="18" t="n">
        <v>4</v>
      </c>
      <c r="C1035" s="4" t="s">
        <v>1622</v>
      </c>
      <c r="D1035" s="19" t="s">
        <v>932</v>
      </c>
      <c r="E1035" s="6" t="s">
        <v>1623</v>
      </c>
      <c r="F1035" s="6" t="s">
        <v>1603</v>
      </c>
      <c r="G1035" s="6" t="s">
        <v>1624</v>
      </c>
    </row>
    <row r="1036" customFormat="false" ht="25.5" hidden="false" customHeight="true" outlineLevel="0" collapsed="false">
      <c r="A1036" s="19"/>
      <c r="B1036" s="18" t="n">
        <v>5</v>
      </c>
      <c r="C1036" s="4" t="s">
        <v>1437</v>
      </c>
      <c r="D1036" s="19" t="s">
        <v>932</v>
      </c>
      <c r="E1036" s="6" t="s">
        <v>1438</v>
      </c>
      <c r="F1036" s="6" t="s">
        <v>1625</v>
      </c>
      <c r="G1036" s="6" t="s">
        <v>1626</v>
      </c>
    </row>
    <row r="1037" customFormat="false" ht="25.5" hidden="false" customHeight="true" outlineLevel="0" collapsed="false">
      <c r="A1037" s="19"/>
      <c r="B1037" s="18" t="n">
        <v>6</v>
      </c>
      <c r="C1037" s="4" t="s">
        <v>1611</v>
      </c>
      <c r="D1037" s="19" t="s">
        <v>921</v>
      </c>
      <c r="E1037" s="6" t="s">
        <v>1612</v>
      </c>
      <c r="F1037" s="6" t="s">
        <v>1627</v>
      </c>
      <c r="G1037" s="6" t="s">
        <v>1614</v>
      </c>
    </row>
    <row r="1038" customFormat="false" ht="33" hidden="false" customHeight="true" outlineLevel="0" collapsed="false">
      <c r="A1038" s="19"/>
      <c r="B1038" s="18" t="n">
        <v>7</v>
      </c>
      <c r="C1038" s="4" t="s">
        <v>968</v>
      </c>
      <c r="D1038" s="19" t="s">
        <v>932</v>
      </c>
      <c r="E1038" s="6" t="s">
        <v>969</v>
      </c>
      <c r="F1038" s="6" t="s">
        <v>970</v>
      </c>
      <c r="G1038" s="6" t="s">
        <v>1083</v>
      </c>
    </row>
    <row r="1039" customFormat="false" ht="25.5" hidden="false" customHeight="true" outlineLevel="0" collapsed="false">
      <c r="A1039" s="19"/>
      <c r="B1039" s="18" t="n">
        <v>8</v>
      </c>
      <c r="C1039" s="4" t="s">
        <v>1037</v>
      </c>
      <c r="D1039" s="19" t="s">
        <v>932</v>
      </c>
      <c r="E1039" s="6" t="s">
        <v>1038</v>
      </c>
      <c r="F1039" s="6" t="s">
        <v>1628</v>
      </c>
      <c r="G1039" s="6" t="s">
        <v>1629</v>
      </c>
    </row>
    <row r="1040" customFormat="false" ht="33" hidden="false" customHeight="true" outlineLevel="0" collapsed="false">
      <c r="A1040" s="19"/>
      <c r="B1040" s="18" t="n">
        <v>9</v>
      </c>
      <c r="C1040" s="4" t="s">
        <v>979</v>
      </c>
      <c r="D1040" s="19" t="s">
        <v>932</v>
      </c>
      <c r="E1040" s="6" t="s">
        <v>980</v>
      </c>
      <c r="F1040" s="6" t="s">
        <v>1615</v>
      </c>
      <c r="G1040" s="6" t="s">
        <v>1251</v>
      </c>
    </row>
    <row r="1041" customFormat="false" ht="33" hidden="false" customHeight="true" outlineLevel="0" collapsed="false">
      <c r="A1041" s="19"/>
      <c r="B1041" s="18" t="n">
        <v>10</v>
      </c>
      <c r="C1041" s="4" t="s">
        <v>983</v>
      </c>
      <c r="D1041" s="19" t="s">
        <v>932</v>
      </c>
      <c r="E1041" s="6" t="s">
        <v>984</v>
      </c>
      <c r="F1041" s="6" t="s">
        <v>1630</v>
      </c>
      <c r="G1041" s="6" t="s">
        <v>1631</v>
      </c>
    </row>
    <row r="1042" customFormat="false" ht="43.5" hidden="false" customHeight="true" outlineLevel="0" collapsed="false">
      <c r="A1042" s="19"/>
      <c r="B1042" s="18" t="n">
        <v>11</v>
      </c>
      <c r="C1042" s="4" t="s">
        <v>871</v>
      </c>
      <c r="D1042" s="19" t="s">
        <v>957</v>
      </c>
      <c r="E1042" s="6" t="s">
        <v>958</v>
      </c>
      <c r="F1042" s="6" t="s">
        <v>959</v>
      </c>
      <c r="G1042" s="6" t="s">
        <v>960</v>
      </c>
    </row>
    <row r="1043" customFormat="false" ht="25.5" hidden="false" customHeight="true" outlineLevel="0" collapsed="false">
      <c r="A1043" s="19"/>
      <c r="B1043" s="18" t="n">
        <v>12</v>
      </c>
      <c r="C1043" s="4" t="s">
        <v>985</v>
      </c>
      <c r="D1043" s="19" t="s">
        <v>957</v>
      </c>
      <c r="E1043" s="6" t="s">
        <v>987</v>
      </c>
      <c r="F1043" s="6" t="s">
        <v>998</v>
      </c>
      <c r="G1043" s="6" t="s">
        <v>1618</v>
      </c>
    </row>
    <row r="1044" customFormat="false" ht="33" hidden="false" customHeight="true" outlineLevel="0" collapsed="false">
      <c r="A1044" s="19"/>
      <c r="B1044" s="18" t="n">
        <v>13</v>
      </c>
      <c r="C1044" s="4" t="s">
        <v>883</v>
      </c>
      <c r="D1044" s="19" t="s">
        <v>957</v>
      </c>
      <c r="E1044" s="6" t="s">
        <v>993</v>
      </c>
      <c r="F1044" s="6" t="s">
        <v>959</v>
      </c>
      <c r="G1044" s="6" t="s">
        <v>994</v>
      </c>
    </row>
    <row r="1045" customFormat="false" ht="33" hidden="false" customHeight="true" outlineLevel="0" collapsed="false">
      <c r="A1045" s="19"/>
      <c r="B1045" s="18" t="n">
        <v>14</v>
      </c>
      <c r="C1045" s="4" t="s">
        <v>889</v>
      </c>
      <c r="D1045" s="19" t="s">
        <v>957</v>
      </c>
      <c r="E1045" s="6" t="s">
        <v>995</v>
      </c>
      <c r="F1045" s="6" t="s">
        <v>959</v>
      </c>
      <c r="G1045" s="6" t="s">
        <v>994</v>
      </c>
    </row>
    <row r="1046" customFormat="false" ht="25.5" hidden="false" customHeight="true" outlineLevel="0" collapsed="false">
      <c r="A1046" s="19"/>
      <c r="B1046" s="18" t="n">
        <v>15</v>
      </c>
      <c r="C1046" s="4" t="s">
        <v>904</v>
      </c>
      <c r="D1046" s="19" t="s">
        <v>986</v>
      </c>
      <c r="E1046" s="6" t="s">
        <v>1000</v>
      </c>
      <c r="F1046" s="6" t="s">
        <v>1194</v>
      </c>
      <c r="G1046" s="6" t="s">
        <v>1632</v>
      </c>
    </row>
    <row r="1047" customFormat="false" ht="33" hidden="false" customHeight="true" outlineLevel="0" collapsed="false">
      <c r="A1047" s="4" t="s">
        <v>1633</v>
      </c>
      <c r="B1047" s="18" t="n">
        <v>1</v>
      </c>
      <c r="C1047" s="4" t="s">
        <v>859</v>
      </c>
      <c r="D1047" s="19" t="s">
        <v>921</v>
      </c>
      <c r="E1047" s="6" t="s">
        <v>922</v>
      </c>
      <c r="F1047" s="6" t="s">
        <v>1620</v>
      </c>
      <c r="G1047" s="6" t="s">
        <v>1634</v>
      </c>
    </row>
    <row r="1048" customFormat="false" ht="25.5" hidden="false" customHeight="true" outlineLevel="0" collapsed="false">
      <c r="A1048" s="19"/>
      <c r="B1048" s="18" t="n">
        <v>2</v>
      </c>
      <c r="C1048" s="4" t="s">
        <v>898</v>
      </c>
      <c r="D1048" s="19" t="s">
        <v>921</v>
      </c>
      <c r="E1048" s="6" t="s">
        <v>928</v>
      </c>
      <c r="F1048" s="6" t="s">
        <v>1621</v>
      </c>
      <c r="G1048" s="6" t="s">
        <v>1587</v>
      </c>
    </row>
    <row r="1049" customFormat="false" ht="25.5" hidden="false" customHeight="true" outlineLevel="0" collapsed="false">
      <c r="A1049" s="19"/>
      <c r="B1049" s="18" t="n">
        <v>3</v>
      </c>
      <c r="C1049" s="4" t="s">
        <v>1439</v>
      </c>
      <c r="D1049" s="19" t="s">
        <v>932</v>
      </c>
      <c r="E1049" s="6" t="s">
        <v>1440</v>
      </c>
      <c r="F1049" s="6" t="s">
        <v>1625</v>
      </c>
      <c r="G1049" s="6" t="s">
        <v>1635</v>
      </c>
    </row>
    <row r="1050" customFormat="false" ht="25.5" hidden="false" customHeight="true" outlineLevel="0" collapsed="false">
      <c r="A1050" s="19"/>
      <c r="B1050" s="18" t="n">
        <v>4</v>
      </c>
      <c r="C1050" s="4" t="s">
        <v>1611</v>
      </c>
      <c r="D1050" s="19" t="s">
        <v>921</v>
      </c>
      <c r="E1050" s="6" t="s">
        <v>1612</v>
      </c>
      <c r="F1050" s="6" t="s">
        <v>1627</v>
      </c>
      <c r="G1050" s="6" t="s">
        <v>1614</v>
      </c>
    </row>
    <row r="1051" customFormat="false" ht="33" hidden="false" customHeight="true" outlineLevel="0" collapsed="false">
      <c r="A1051" s="19"/>
      <c r="B1051" s="18" t="n">
        <v>5</v>
      </c>
      <c r="C1051" s="4" t="s">
        <v>968</v>
      </c>
      <c r="D1051" s="19" t="s">
        <v>932</v>
      </c>
      <c r="E1051" s="6" t="s">
        <v>969</v>
      </c>
      <c r="F1051" s="6" t="s">
        <v>970</v>
      </c>
      <c r="G1051" s="6" t="s">
        <v>1083</v>
      </c>
    </row>
    <row r="1052" customFormat="false" ht="25.5" hidden="false" customHeight="true" outlineLevel="0" collapsed="false">
      <c r="A1052" s="19"/>
      <c r="B1052" s="18" t="n">
        <v>6</v>
      </c>
      <c r="C1052" s="4" t="s">
        <v>1037</v>
      </c>
      <c r="D1052" s="19" t="s">
        <v>932</v>
      </c>
      <c r="E1052" s="6" t="s">
        <v>1038</v>
      </c>
      <c r="F1052" s="6" t="s">
        <v>1628</v>
      </c>
      <c r="G1052" s="6" t="s">
        <v>1629</v>
      </c>
    </row>
    <row r="1053" customFormat="false" ht="33" hidden="false" customHeight="true" outlineLevel="0" collapsed="false">
      <c r="A1053" s="19"/>
      <c r="B1053" s="18" t="n">
        <v>7</v>
      </c>
      <c r="C1053" s="4" t="s">
        <v>979</v>
      </c>
      <c r="D1053" s="19" t="s">
        <v>932</v>
      </c>
      <c r="E1053" s="6" t="s">
        <v>980</v>
      </c>
      <c r="F1053" s="6" t="s">
        <v>1615</v>
      </c>
      <c r="G1053" s="6" t="s">
        <v>1251</v>
      </c>
    </row>
    <row r="1054" customFormat="false" ht="33" hidden="false" customHeight="true" outlineLevel="0" collapsed="false">
      <c r="A1054" s="19"/>
      <c r="B1054" s="18" t="n">
        <v>8</v>
      </c>
      <c r="C1054" s="4" t="s">
        <v>983</v>
      </c>
      <c r="D1054" s="19" t="s">
        <v>932</v>
      </c>
      <c r="E1054" s="6" t="s">
        <v>984</v>
      </c>
      <c r="F1054" s="6" t="s">
        <v>1630</v>
      </c>
      <c r="G1054" s="6" t="s">
        <v>1631</v>
      </c>
    </row>
    <row r="1055" customFormat="false" ht="43.5" hidden="false" customHeight="true" outlineLevel="0" collapsed="false">
      <c r="A1055" s="19"/>
      <c r="B1055" s="18" t="n">
        <v>9</v>
      </c>
      <c r="C1055" s="4" t="s">
        <v>871</v>
      </c>
      <c r="D1055" s="19" t="s">
        <v>957</v>
      </c>
      <c r="E1055" s="6" t="s">
        <v>958</v>
      </c>
      <c r="F1055" s="6" t="s">
        <v>959</v>
      </c>
      <c r="G1055" s="6" t="s">
        <v>960</v>
      </c>
    </row>
    <row r="1056" customFormat="false" ht="25.5" hidden="false" customHeight="true" outlineLevel="0" collapsed="false">
      <c r="A1056" s="19"/>
      <c r="B1056" s="18" t="n">
        <v>10</v>
      </c>
      <c r="C1056" s="4" t="s">
        <v>985</v>
      </c>
      <c r="D1056" s="19" t="s">
        <v>957</v>
      </c>
      <c r="E1056" s="6" t="s">
        <v>987</v>
      </c>
      <c r="F1056" s="6" t="s">
        <v>998</v>
      </c>
      <c r="G1056" s="6" t="s">
        <v>1618</v>
      </c>
    </row>
    <row r="1057" customFormat="false" ht="33" hidden="false" customHeight="true" outlineLevel="0" collapsed="false">
      <c r="A1057" s="19"/>
      <c r="B1057" s="18" t="n">
        <v>11</v>
      </c>
      <c r="C1057" s="4" t="s">
        <v>883</v>
      </c>
      <c r="D1057" s="19" t="s">
        <v>957</v>
      </c>
      <c r="E1057" s="6" t="s">
        <v>993</v>
      </c>
      <c r="F1057" s="6" t="s">
        <v>959</v>
      </c>
      <c r="G1057" s="6" t="s">
        <v>994</v>
      </c>
    </row>
    <row r="1058" customFormat="false" ht="33" hidden="false" customHeight="true" outlineLevel="0" collapsed="false">
      <c r="A1058" s="19"/>
      <c r="B1058" s="18" t="n">
        <v>12</v>
      </c>
      <c r="C1058" s="4" t="s">
        <v>889</v>
      </c>
      <c r="D1058" s="19" t="s">
        <v>957</v>
      </c>
      <c r="E1058" s="6" t="s">
        <v>995</v>
      </c>
      <c r="F1058" s="6" t="s">
        <v>959</v>
      </c>
      <c r="G1058" s="6" t="s">
        <v>994</v>
      </c>
    </row>
    <row r="1059" customFormat="false" ht="25.5" hidden="false" customHeight="true" outlineLevel="0" collapsed="false">
      <c r="A1059" s="19"/>
      <c r="B1059" s="18" t="n">
        <v>13</v>
      </c>
      <c r="C1059" s="4" t="s">
        <v>904</v>
      </c>
      <c r="D1059" s="19" t="s">
        <v>986</v>
      </c>
      <c r="E1059" s="6" t="s">
        <v>1000</v>
      </c>
      <c r="F1059" s="6" t="s">
        <v>1194</v>
      </c>
      <c r="G1059" s="6" t="s">
        <v>1632</v>
      </c>
    </row>
    <row r="1060" customFormat="false" ht="33" hidden="false" customHeight="true" outlineLevel="0" collapsed="false">
      <c r="A1060" s="4" t="s">
        <v>1636</v>
      </c>
      <c r="B1060" s="18" t="n">
        <v>1</v>
      </c>
      <c r="C1060" s="4" t="s">
        <v>859</v>
      </c>
      <c r="D1060" s="19" t="s">
        <v>921</v>
      </c>
      <c r="E1060" s="6" t="s">
        <v>922</v>
      </c>
      <c r="F1060" s="6" t="s">
        <v>1637</v>
      </c>
      <c r="G1060" s="6" t="s">
        <v>1634</v>
      </c>
    </row>
    <row r="1061" customFormat="false" ht="33" hidden="false" customHeight="true" outlineLevel="0" collapsed="false">
      <c r="A1061" s="19"/>
      <c r="B1061" s="18" t="n">
        <v>2</v>
      </c>
      <c r="C1061" s="4" t="s">
        <v>862</v>
      </c>
      <c r="D1061" s="19" t="s">
        <v>932</v>
      </c>
      <c r="E1061" s="6" t="s">
        <v>925</v>
      </c>
      <c r="F1061" s="6" t="s">
        <v>1603</v>
      </c>
      <c r="G1061" s="6" t="s">
        <v>1604</v>
      </c>
    </row>
    <row r="1062" customFormat="false" ht="25.5" hidden="false" customHeight="true" outlineLevel="0" collapsed="false">
      <c r="A1062" s="19"/>
      <c r="B1062" s="18" t="n">
        <v>3</v>
      </c>
      <c r="C1062" s="4" t="s">
        <v>898</v>
      </c>
      <c r="D1062" s="19" t="s">
        <v>921</v>
      </c>
      <c r="E1062" s="6" t="s">
        <v>928</v>
      </c>
      <c r="F1062" s="6" t="s">
        <v>1605</v>
      </c>
      <c r="G1062" s="6" t="s">
        <v>1587</v>
      </c>
    </row>
    <row r="1063" customFormat="false" ht="25.5" hidden="false" customHeight="true" outlineLevel="0" collapsed="false">
      <c r="A1063" s="19"/>
      <c r="B1063" s="18" t="n">
        <v>4</v>
      </c>
      <c r="C1063" s="4" t="s">
        <v>1431</v>
      </c>
      <c r="D1063" s="19" t="s">
        <v>932</v>
      </c>
      <c r="E1063" s="6" t="s">
        <v>1432</v>
      </c>
      <c r="F1063" s="6" t="s">
        <v>1603</v>
      </c>
      <c r="G1063" s="6" t="s">
        <v>1638</v>
      </c>
    </row>
    <row r="1064" customFormat="false" ht="33" hidden="false" customHeight="true" outlineLevel="0" collapsed="false">
      <c r="A1064" s="19"/>
      <c r="B1064" s="18" t="n">
        <v>5</v>
      </c>
      <c r="C1064" s="4" t="s">
        <v>1639</v>
      </c>
      <c r="D1064" s="19" t="s">
        <v>932</v>
      </c>
      <c r="E1064" s="6" t="s">
        <v>1640</v>
      </c>
      <c r="F1064" s="6" t="s">
        <v>1603</v>
      </c>
      <c r="G1064" s="6" t="s">
        <v>1641</v>
      </c>
    </row>
    <row r="1065" customFormat="false" ht="25.5" hidden="false" customHeight="true" outlineLevel="0" collapsed="false">
      <c r="A1065" s="19"/>
      <c r="B1065" s="18" t="n">
        <v>6</v>
      </c>
      <c r="C1065" s="4" t="s">
        <v>1611</v>
      </c>
      <c r="D1065" s="19" t="s">
        <v>921</v>
      </c>
      <c r="E1065" s="6" t="s">
        <v>1612</v>
      </c>
      <c r="F1065" s="6" t="s">
        <v>1613</v>
      </c>
      <c r="G1065" s="6" t="s">
        <v>1614</v>
      </c>
    </row>
    <row r="1066" customFormat="false" ht="33" hidden="false" customHeight="true" outlineLevel="0" collapsed="false">
      <c r="A1066" s="19"/>
      <c r="B1066" s="18" t="n">
        <v>7</v>
      </c>
      <c r="C1066" s="4" t="s">
        <v>968</v>
      </c>
      <c r="D1066" s="19" t="s">
        <v>932</v>
      </c>
      <c r="E1066" s="6" t="s">
        <v>969</v>
      </c>
      <c r="F1066" s="6" t="s">
        <v>970</v>
      </c>
      <c r="G1066" s="6" t="s">
        <v>1083</v>
      </c>
    </row>
    <row r="1067" customFormat="false" ht="25.5" hidden="false" customHeight="true" outlineLevel="0" collapsed="false">
      <c r="A1067" s="19"/>
      <c r="B1067" s="18" t="n">
        <v>8</v>
      </c>
      <c r="C1067" s="4" t="s">
        <v>1037</v>
      </c>
      <c r="D1067" s="19" t="s">
        <v>932</v>
      </c>
      <c r="E1067" s="6" t="s">
        <v>1038</v>
      </c>
      <c r="F1067" s="6" t="s">
        <v>1628</v>
      </c>
      <c r="G1067" s="6" t="s">
        <v>1629</v>
      </c>
    </row>
    <row r="1068" customFormat="false" ht="33" hidden="false" customHeight="true" outlineLevel="0" collapsed="false">
      <c r="A1068" s="19"/>
      <c r="B1068" s="18" t="n">
        <v>9</v>
      </c>
      <c r="C1068" s="4" t="s">
        <v>979</v>
      </c>
      <c r="D1068" s="19" t="s">
        <v>932</v>
      </c>
      <c r="E1068" s="6" t="s">
        <v>980</v>
      </c>
      <c r="F1068" s="6" t="s">
        <v>1615</v>
      </c>
      <c r="G1068" s="6" t="s">
        <v>1251</v>
      </c>
    </row>
    <row r="1069" customFormat="false" ht="33" hidden="false" customHeight="true" outlineLevel="0" collapsed="false">
      <c r="A1069" s="19"/>
      <c r="B1069" s="18" t="n">
        <v>10</v>
      </c>
      <c r="C1069" s="4" t="s">
        <v>983</v>
      </c>
      <c r="D1069" s="19" t="s">
        <v>932</v>
      </c>
      <c r="E1069" s="6" t="s">
        <v>984</v>
      </c>
      <c r="F1069" s="6" t="s">
        <v>1630</v>
      </c>
      <c r="G1069" s="6" t="s">
        <v>1631</v>
      </c>
    </row>
    <row r="1070" customFormat="false" ht="43.5" hidden="false" customHeight="true" outlineLevel="0" collapsed="false">
      <c r="A1070" s="19"/>
      <c r="B1070" s="18" t="n">
        <v>11</v>
      </c>
      <c r="C1070" s="4" t="s">
        <v>871</v>
      </c>
      <c r="D1070" s="19" t="s">
        <v>957</v>
      </c>
      <c r="E1070" s="6" t="s">
        <v>958</v>
      </c>
      <c r="F1070" s="6" t="s">
        <v>959</v>
      </c>
      <c r="G1070" s="6" t="s">
        <v>960</v>
      </c>
    </row>
    <row r="1071" customFormat="false" ht="25.5" hidden="false" customHeight="true" outlineLevel="0" collapsed="false">
      <c r="A1071" s="19"/>
      <c r="B1071" s="18" t="n">
        <v>12</v>
      </c>
      <c r="C1071" s="4" t="s">
        <v>985</v>
      </c>
      <c r="D1071" s="19" t="s">
        <v>957</v>
      </c>
      <c r="E1071" s="6" t="s">
        <v>987</v>
      </c>
      <c r="F1071" s="6" t="s">
        <v>998</v>
      </c>
      <c r="G1071" s="6" t="s">
        <v>1618</v>
      </c>
    </row>
    <row r="1072" customFormat="false" ht="33" hidden="false" customHeight="true" outlineLevel="0" collapsed="false">
      <c r="A1072" s="19"/>
      <c r="B1072" s="18" t="n">
        <v>13</v>
      </c>
      <c r="C1072" s="4" t="s">
        <v>883</v>
      </c>
      <c r="D1072" s="19" t="s">
        <v>957</v>
      </c>
      <c r="E1072" s="6" t="s">
        <v>993</v>
      </c>
      <c r="F1072" s="6" t="s">
        <v>959</v>
      </c>
      <c r="G1072" s="6" t="s">
        <v>994</v>
      </c>
    </row>
    <row r="1073" customFormat="false" ht="33" hidden="false" customHeight="true" outlineLevel="0" collapsed="false">
      <c r="A1073" s="19"/>
      <c r="B1073" s="18" t="n">
        <v>14</v>
      </c>
      <c r="C1073" s="4" t="s">
        <v>889</v>
      </c>
      <c r="D1073" s="19" t="s">
        <v>957</v>
      </c>
      <c r="E1073" s="6" t="s">
        <v>995</v>
      </c>
      <c r="F1073" s="6" t="s">
        <v>959</v>
      </c>
      <c r="G1073" s="6" t="s">
        <v>994</v>
      </c>
    </row>
    <row r="1074" customFormat="false" ht="25.5" hidden="false" customHeight="true" outlineLevel="0" collapsed="false">
      <c r="A1074" s="19"/>
      <c r="B1074" s="18" t="n">
        <v>15</v>
      </c>
      <c r="C1074" s="4" t="s">
        <v>904</v>
      </c>
      <c r="D1074" s="19" t="s">
        <v>986</v>
      </c>
      <c r="E1074" s="6" t="s">
        <v>1000</v>
      </c>
      <c r="F1074" s="6" t="s">
        <v>1194</v>
      </c>
      <c r="G1074" s="6" t="s">
        <v>1632</v>
      </c>
    </row>
    <row r="1075" customFormat="false" ht="33" hidden="false" customHeight="true" outlineLevel="0" collapsed="false">
      <c r="A1075" s="4" t="s">
        <v>1642</v>
      </c>
      <c r="B1075" s="18" t="n">
        <v>1</v>
      </c>
      <c r="C1075" s="4" t="s">
        <v>859</v>
      </c>
      <c r="D1075" s="19" t="s">
        <v>921</v>
      </c>
      <c r="E1075" s="6" t="s">
        <v>922</v>
      </c>
      <c r="F1075" s="6" t="s">
        <v>1643</v>
      </c>
      <c r="G1075" s="6" t="s">
        <v>1634</v>
      </c>
    </row>
    <row r="1076" customFormat="false" ht="25.5" hidden="false" customHeight="true" outlineLevel="0" collapsed="false">
      <c r="A1076" s="19"/>
      <c r="B1076" s="18" t="n">
        <v>2</v>
      </c>
      <c r="C1076" s="4" t="s">
        <v>1644</v>
      </c>
      <c r="D1076" s="19" t="s">
        <v>986</v>
      </c>
      <c r="E1076" s="6" t="s">
        <v>1645</v>
      </c>
      <c r="F1076" s="6" t="s">
        <v>1646</v>
      </c>
      <c r="G1076" s="6" t="s">
        <v>1647</v>
      </c>
    </row>
    <row r="1077" customFormat="false" ht="33" hidden="false" customHeight="true" outlineLevel="0" collapsed="false">
      <c r="A1077" s="19"/>
      <c r="B1077" s="18" t="n">
        <v>3</v>
      </c>
      <c r="C1077" s="4" t="s">
        <v>1648</v>
      </c>
      <c r="D1077" s="19" t="s">
        <v>932</v>
      </c>
      <c r="E1077" s="6" t="s">
        <v>1649</v>
      </c>
      <c r="F1077" s="6" t="s">
        <v>549</v>
      </c>
      <c r="G1077" s="6" t="s">
        <v>1650</v>
      </c>
    </row>
    <row r="1078" customFormat="false" ht="25.5" hidden="false" customHeight="true" outlineLevel="0" collapsed="false">
      <c r="A1078" s="19"/>
      <c r="B1078" s="18" t="n">
        <v>4</v>
      </c>
      <c r="C1078" s="4" t="s">
        <v>1497</v>
      </c>
      <c r="D1078" s="19" t="s">
        <v>932</v>
      </c>
      <c r="E1078" s="6" t="s">
        <v>1498</v>
      </c>
      <c r="F1078" s="6" t="s">
        <v>1651</v>
      </c>
      <c r="G1078" s="6" t="s">
        <v>1652</v>
      </c>
    </row>
    <row r="1079" customFormat="false" ht="33" hidden="false" customHeight="true" outlineLevel="0" collapsed="false">
      <c r="A1079" s="19"/>
      <c r="B1079" s="18" t="n">
        <v>5</v>
      </c>
      <c r="C1079" s="4" t="s">
        <v>862</v>
      </c>
      <c r="D1079" s="19" t="s">
        <v>957</v>
      </c>
      <c r="E1079" s="6" t="s">
        <v>925</v>
      </c>
      <c r="F1079" s="6" t="s">
        <v>1356</v>
      </c>
      <c r="G1079" s="6" t="s">
        <v>1653</v>
      </c>
    </row>
    <row r="1080" customFormat="false" ht="25.5" hidden="false" customHeight="true" outlineLevel="0" collapsed="false">
      <c r="A1080" s="19"/>
      <c r="B1080" s="18" t="n">
        <v>6</v>
      </c>
      <c r="C1080" s="4" t="s">
        <v>898</v>
      </c>
      <c r="D1080" s="19" t="s">
        <v>921</v>
      </c>
      <c r="E1080" s="6" t="s">
        <v>928</v>
      </c>
      <c r="F1080" s="6" t="s">
        <v>1242</v>
      </c>
      <c r="G1080" s="6" t="s">
        <v>1587</v>
      </c>
    </row>
    <row r="1081" customFormat="false" ht="25.5" hidden="false" customHeight="true" outlineLevel="0" collapsed="false">
      <c r="A1081" s="19"/>
      <c r="B1081" s="18" t="n">
        <v>7</v>
      </c>
      <c r="C1081" s="4" t="s">
        <v>1654</v>
      </c>
      <c r="D1081" s="19" t="s">
        <v>932</v>
      </c>
      <c r="E1081" s="6" t="s">
        <v>1655</v>
      </c>
      <c r="F1081" s="6" t="s">
        <v>557</v>
      </c>
      <c r="G1081" s="6" t="s">
        <v>1656</v>
      </c>
    </row>
    <row r="1082" customFormat="false" ht="25.5" hidden="false" customHeight="true" outlineLevel="0" collapsed="false">
      <c r="A1082" s="19"/>
      <c r="B1082" s="18" t="n">
        <v>8</v>
      </c>
      <c r="C1082" s="4" t="s">
        <v>1611</v>
      </c>
      <c r="D1082" s="19" t="s">
        <v>921</v>
      </c>
      <c r="E1082" s="6" t="s">
        <v>1612</v>
      </c>
      <c r="F1082" s="6" t="s">
        <v>1657</v>
      </c>
      <c r="G1082" s="6" t="s">
        <v>1614</v>
      </c>
    </row>
    <row r="1083" customFormat="false" ht="33" hidden="false" customHeight="true" outlineLevel="0" collapsed="false">
      <c r="A1083" s="19"/>
      <c r="B1083" s="18" t="n">
        <v>9</v>
      </c>
      <c r="C1083" s="4" t="s">
        <v>968</v>
      </c>
      <c r="D1083" s="19" t="s">
        <v>932</v>
      </c>
      <c r="E1083" s="6" t="s">
        <v>969</v>
      </c>
      <c r="F1083" s="6" t="s">
        <v>970</v>
      </c>
      <c r="G1083" s="6" t="s">
        <v>1083</v>
      </c>
    </row>
    <row r="1084" customFormat="false" ht="25.5" hidden="false" customHeight="true" outlineLevel="0" collapsed="false">
      <c r="A1084" s="19"/>
      <c r="B1084" s="18" t="n">
        <v>10</v>
      </c>
      <c r="C1084" s="4" t="s">
        <v>1037</v>
      </c>
      <c r="D1084" s="19" t="s">
        <v>932</v>
      </c>
      <c r="E1084" s="6" t="s">
        <v>1038</v>
      </c>
      <c r="F1084" s="6" t="s">
        <v>1658</v>
      </c>
      <c r="G1084" s="6" t="s">
        <v>1629</v>
      </c>
    </row>
    <row r="1085" customFormat="false" ht="33" hidden="false" customHeight="true" outlineLevel="0" collapsed="false">
      <c r="A1085" s="19"/>
      <c r="B1085" s="18" t="n">
        <v>11</v>
      </c>
      <c r="C1085" s="4" t="s">
        <v>979</v>
      </c>
      <c r="D1085" s="19" t="s">
        <v>932</v>
      </c>
      <c r="E1085" s="6" t="s">
        <v>980</v>
      </c>
      <c r="F1085" s="6" t="s">
        <v>1615</v>
      </c>
      <c r="G1085" s="6" t="s">
        <v>1251</v>
      </c>
    </row>
    <row r="1086" customFormat="false" ht="33" hidden="false" customHeight="true" outlineLevel="0" collapsed="false">
      <c r="A1086" s="19"/>
      <c r="B1086" s="18" t="n">
        <v>12</v>
      </c>
      <c r="C1086" s="4" t="s">
        <v>983</v>
      </c>
      <c r="D1086" s="19" t="s">
        <v>932</v>
      </c>
      <c r="E1086" s="6" t="s">
        <v>984</v>
      </c>
      <c r="F1086" s="6" t="s">
        <v>1630</v>
      </c>
      <c r="G1086" s="6" t="s">
        <v>1631</v>
      </c>
    </row>
    <row r="1087" customFormat="false" ht="43.5" hidden="false" customHeight="true" outlineLevel="0" collapsed="false">
      <c r="A1087" s="19"/>
      <c r="B1087" s="18" t="n">
        <v>13</v>
      </c>
      <c r="C1087" s="4" t="s">
        <v>871</v>
      </c>
      <c r="D1087" s="19" t="s">
        <v>957</v>
      </c>
      <c r="E1087" s="6" t="s">
        <v>958</v>
      </c>
      <c r="F1087" s="6" t="s">
        <v>959</v>
      </c>
      <c r="G1087" s="6" t="s">
        <v>960</v>
      </c>
    </row>
    <row r="1088" customFormat="false" ht="25.5" hidden="false" customHeight="true" outlineLevel="0" collapsed="false">
      <c r="A1088" s="19"/>
      <c r="B1088" s="18" t="n">
        <v>14</v>
      </c>
      <c r="C1088" s="4" t="s">
        <v>985</v>
      </c>
      <c r="D1088" s="19" t="s">
        <v>957</v>
      </c>
      <c r="E1088" s="6" t="s">
        <v>987</v>
      </c>
      <c r="F1088" s="6" t="s">
        <v>998</v>
      </c>
      <c r="G1088" s="6" t="s">
        <v>1659</v>
      </c>
    </row>
    <row r="1089" customFormat="false" ht="33" hidden="false" customHeight="true" outlineLevel="0" collapsed="false">
      <c r="A1089" s="19"/>
      <c r="B1089" s="18" t="n">
        <v>15</v>
      </c>
      <c r="C1089" s="4" t="s">
        <v>883</v>
      </c>
      <c r="D1089" s="19" t="s">
        <v>957</v>
      </c>
      <c r="E1089" s="6" t="s">
        <v>993</v>
      </c>
      <c r="F1089" s="6" t="s">
        <v>959</v>
      </c>
      <c r="G1089" s="6" t="s">
        <v>994</v>
      </c>
    </row>
    <row r="1090" customFormat="false" ht="33" hidden="false" customHeight="true" outlineLevel="0" collapsed="false">
      <c r="A1090" s="19"/>
      <c r="B1090" s="18" t="n">
        <v>16</v>
      </c>
      <c r="C1090" s="4" t="s">
        <v>889</v>
      </c>
      <c r="D1090" s="19" t="s">
        <v>957</v>
      </c>
      <c r="E1090" s="6" t="s">
        <v>995</v>
      </c>
      <c r="F1090" s="6" t="s">
        <v>959</v>
      </c>
      <c r="G1090" s="6" t="s">
        <v>994</v>
      </c>
    </row>
    <row r="1091" customFormat="false" ht="25.5" hidden="false" customHeight="true" outlineLevel="0" collapsed="false">
      <c r="A1091" s="19"/>
      <c r="B1091" s="18" t="n">
        <v>17</v>
      </c>
      <c r="C1091" s="4" t="s">
        <v>904</v>
      </c>
      <c r="D1091" s="19" t="s">
        <v>932</v>
      </c>
      <c r="E1091" s="6" t="s">
        <v>1000</v>
      </c>
      <c r="F1091" s="6" t="s">
        <v>1658</v>
      </c>
      <c r="G1091" s="6" t="s">
        <v>1660</v>
      </c>
    </row>
    <row r="1092" customFormat="false" ht="33" hidden="false" customHeight="true" outlineLevel="0" collapsed="false">
      <c r="A1092" s="4" t="s">
        <v>1661</v>
      </c>
      <c r="B1092" s="18" t="n">
        <v>1</v>
      </c>
      <c r="C1092" s="4" t="s">
        <v>859</v>
      </c>
      <c r="D1092" s="19" t="s">
        <v>986</v>
      </c>
      <c r="E1092" s="6" t="s">
        <v>922</v>
      </c>
      <c r="F1092" s="6" t="s">
        <v>1662</v>
      </c>
      <c r="G1092" s="6" t="s">
        <v>1663</v>
      </c>
    </row>
    <row r="1093" customFormat="false" ht="33" hidden="false" customHeight="true" outlineLevel="0" collapsed="false">
      <c r="A1093" s="19"/>
      <c r="B1093" s="18" t="n">
        <v>2</v>
      </c>
      <c r="C1093" s="4" t="s">
        <v>862</v>
      </c>
      <c r="D1093" s="19" t="s">
        <v>932</v>
      </c>
      <c r="E1093" s="6" t="s">
        <v>925</v>
      </c>
      <c r="F1093" s="6" t="s">
        <v>1603</v>
      </c>
      <c r="G1093" s="6" t="s">
        <v>1604</v>
      </c>
    </row>
    <row r="1094" customFormat="false" ht="25.5" hidden="false" customHeight="true" outlineLevel="0" collapsed="false">
      <c r="A1094" s="19"/>
      <c r="B1094" s="18" t="n">
        <v>3</v>
      </c>
      <c r="C1094" s="4" t="s">
        <v>898</v>
      </c>
      <c r="D1094" s="19" t="s">
        <v>921</v>
      </c>
      <c r="E1094" s="6" t="s">
        <v>928</v>
      </c>
      <c r="F1094" s="6" t="s">
        <v>1605</v>
      </c>
      <c r="G1094" s="6" t="s">
        <v>1587</v>
      </c>
    </row>
    <row r="1095" customFormat="false" ht="25.5" hidden="false" customHeight="true" outlineLevel="0" collapsed="false">
      <c r="A1095" s="19"/>
      <c r="B1095" s="18" t="n">
        <v>4</v>
      </c>
      <c r="C1095" s="4" t="s">
        <v>1664</v>
      </c>
      <c r="D1095" s="19" t="s">
        <v>932</v>
      </c>
      <c r="E1095" s="6" t="s">
        <v>1640</v>
      </c>
      <c r="F1095" s="6" t="s">
        <v>1603</v>
      </c>
      <c r="G1095" s="6" t="s">
        <v>1665</v>
      </c>
    </row>
    <row r="1096" customFormat="false" ht="25.5" hidden="false" customHeight="true" outlineLevel="0" collapsed="false">
      <c r="A1096" s="19"/>
      <c r="B1096" s="18" t="n">
        <v>5</v>
      </c>
      <c r="C1096" s="4" t="s">
        <v>1611</v>
      </c>
      <c r="D1096" s="19" t="s">
        <v>921</v>
      </c>
      <c r="E1096" s="6" t="s">
        <v>1612</v>
      </c>
      <c r="F1096" s="6" t="s">
        <v>1613</v>
      </c>
      <c r="G1096" s="6" t="s">
        <v>1614</v>
      </c>
    </row>
    <row r="1097" customFormat="false" ht="33" hidden="false" customHeight="true" outlineLevel="0" collapsed="false">
      <c r="A1097" s="19"/>
      <c r="B1097" s="18" t="n">
        <v>6</v>
      </c>
      <c r="C1097" s="4" t="s">
        <v>968</v>
      </c>
      <c r="D1097" s="19" t="s">
        <v>932</v>
      </c>
      <c r="E1097" s="6" t="s">
        <v>969</v>
      </c>
      <c r="F1097" s="6" t="s">
        <v>970</v>
      </c>
      <c r="G1097" s="6" t="s">
        <v>1083</v>
      </c>
    </row>
    <row r="1098" customFormat="false" ht="25.5" hidden="false" customHeight="true" outlineLevel="0" collapsed="false">
      <c r="A1098" s="19"/>
      <c r="B1098" s="18" t="n">
        <v>7</v>
      </c>
      <c r="C1098" s="4" t="s">
        <v>1037</v>
      </c>
      <c r="D1098" s="19" t="s">
        <v>932</v>
      </c>
      <c r="E1098" s="6" t="s">
        <v>1038</v>
      </c>
      <c r="F1098" s="6" t="s">
        <v>1628</v>
      </c>
      <c r="G1098" s="6" t="s">
        <v>1629</v>
      </c>
    </row>
    <row r="1099" customFormat="false" ht="33" hidden="false" customHeight="true" outlineLevel="0" collapsed="false">
      <c r="A1099" s="19"/>
      <c r="B1099" s="18" t="n">
        <v>8</v>
      </c>
      <c r="C1099" s="4" t="s">
        <v>979</v>
      </c>
      <c r="D1099" s="19" t="s">
        <v>932</v>
      </c>
      <c r="E1099" s="6" t="s">
        <v>980</v>
      </c>
      <c r="F1099" s="6" t="s">
        <v>1615</v>
      </c>
      <c r="G1099" s="6" t="s">
        <v>1251</v>
      </c>
    </row>
    <row r="1100" customFormat="false" ht="33" hidden="false" customHeight="true" outlineLevel="0" collapsed="false">
      <c r="A1100" s="19"/>
      <c r="B1100" s="18" t="n">
        <v>9</v>
      </c>
      <c r="C1100" s="4" t="s">
        <v>983</v>
      </c>
      <c r="D1100" s="19" t="s">
        <v>932</v>
      </c>
      <c r="E1100" s="6" t="s">
        <v>984</v>
      </c>
      <c r="F1100" s="6" t="s">
        <v>1630</v>
      </c>
      <c r="G1100" s="6" t="s">
        <v>1631</v>
      </c>
    </row>
    <row r="1101" customFormat="false" ht="43.5" hidden="false" customHeight="true" outlineLevel="0" collapsed="false">
      <c r="A1101" s="19"/>
      <c r="B1101" s="18" t="n">
        <v>10</v>
      </c>
      <c r="C1101" s="4" t="s">
        <v>871</v>
      </c>
      <c r="D1101" s="19" t="s">
        <v>957</v>
      </c>
      <c r="E1101" s="6" t="s">
        <v>958</v>
      </c>
      <c r="F1101" s="6" t="s">
        <v>959</v>
      </c>
      <c r="G1101" s="6" t="s">
        <v>960</v>
      </c>
    </row>
    <row r="1102" customFormat="false" ht="25.5" hidden="false" customHeight="true" outlineLevel="0" collapsed="false">
      <c r="A1102" s="19"/>
      <c r="B1102" s="18" t="n">
        <v>11</v>
      </c>
      <c r="C1102" s="4" t="s">
        <v>985</v>
      </c>
      <c r="D1102" s="19" t="s">
        <v>957</v>
      </c>
      <c r="E1102" s="6" t="s">
        <v>987</v>
      </c>
      <c r="F1102" s="6" t="s">
        <v>998</v>
      </c>
      <c r="G1102" s="6" t="s">
        <v>1618</v>
      </c>
    </row>
    <row r="1103" customFormat="false" ht="33" hidden="false" customHeight="true" outlineLevel="0" collapsed="false">
      <c r="A1103" s="19"/>
      <c r="B1103" s="18" t="n">
        <v>12</v>
      </c>
      <c r="C1103" s="4" t="s">
        <v>883</v>
      </c>
      <c r="D1103" s="19" t="s">
        <v>957</v>
      </c>
      <c r="E1103" s="6" t="s">
        <v>993</v>
      </c>
      <c r="F1103" s="6" t="s">
        <v>959</v>
      </c>
      <c r="G1103" s="6" t="s">
        <v>994</v>
      </c>
    </row>
    <row r="1104" customFormat="false" ht="33" hidden="false" customHeight="true" outlineLevel="0" collapsed="false">
      <c r="A1104" s="19"/>
      <c r="B1104" s="18" t="n">
        <v>13</v>
      </c>
      <c r="C1104" s="4" t="s">
        <v>889</v>
      </c>
      <c r="D1104" s="19" t="s">
        <v>957</v>
      </c>
      <c r="E1104" s="6" t="s">
        <v>995</v>
      </c>
      <c r="F1104" s="6" t="s">
        <v>959</v>
      </c>
      <c r="G1104" s="6" t="s">
        <v>994</v>
      </c>
    </row>
    <row r="1105" customFormat="false" ht="25.5" hidden="false" customHeight="true" outlineLevel="0" collapsed="false">
      <c r="A1105" s="19"/>
      <c r="B1105" s="18" t="n">
        <v>14</v>
      </c>
      <c r="C1105" s="4" t="s">
        <v>904</v>
      </c>
      <c r="D1105" s="19" t="s">
        <v>986</v>
      </c>
      <c r="E1105" s="6" t="s">
        <v>1000</v>
      </c>
      <c r="F1105" s="6" t="s">
        <v>1194</v>
      </c>
      <c r="G1105" s="6" t="s">
        <v>1632</v>
      </c>
    </row>
    <row r="1106" customFormat="false" ht="33" hidden="false" customHeight="true" outlineLevel="0" collapsed="false">
      <c r="A1106" s="4" t="s">
        <v>1666</v>
      </c>
      <c r="B1106" s="18" t="n">
        <v>1</v>
      </c>
      <c r="C1106" s="4" t="s">
        <v>859</v>
      </c>
      <c r="D1106" s="19" t="s">
        <v>986</v>
      </c>
      <c r="E1106" s="6" t="s">
        <v>922</v>
      </c>
      <c r="F1106" s="6" t="s">
        <v>1667</v>
      </c>
      <c r="G1106" s="6" t="s">
        <v>1663</v>
      </c>
    </row>
    <row r="1107" customFormat="false" ht="25.5" hidden="false" customHeight="true" outlineLevel="0" collapsed="false">
      <c r="A1107" s="19"/>
      <c r="B1107" s="18" t="n">
        <v>2</v>
      </c>
      <c r="C1107" s="4" t="s">
        <v>898</v>
      </c>
      <c r="D1107" s="19" t="s">
        <v>921</v>
      </c>
      <c r="E1107" s="6" t="s">
        <v>928</v>
      </c>
      <c r="F1107" s="6" t="s">
        <v>1078</v>
      </c>
      <c r="G1107" s="6" t="s">
        <v>1587</v>
      </c>
    </row>
    <row r="1108" customFormat="false" ht="25.5" hidden="false" customHeight="true" outlineLevel="0" collapsed="false">
      <c r="A1108" s="19"/>
      <c r="B1108" s="18" t="n">
        <v>3</v>
      </c>
      <c r="C1108" s="4" t="s">
        <v>1611</v>
      </c>
      <c r="D1108" s="19" t="s">
        <v>921</v>
      </c>
      <c r="E1108" s="6" t="s">
        <v>1612</v>
      </c>
      <c r="F1108" s="6" t="s">
        <v>1668</v>
      </c>
      <c r="G1108" s="6" t="s">
        <v>1614</v>
      </c>
    </row>
    <row r="1109" customFormat="false" ht="33" hidden="false" customHeight="true" outlineLevel="0" collapsed="false">
      <c r="A1109" s="19"/>
      <c r="B1109" s="18" t="n">
        <v>4</v>
      </c>
      <c r="C1109" s="4" t="s">
        <v>968</v>
      </c>
      <c r="D1109" s="19" t="s">
        <v>932</v>
      </c>
      <c r="E1109" s="6" t="s">
        <v>969</v>
      </c>
      <c r="F1109" s="6" t="s">
        <v>970</v>
      </c>
      <c r="G1109" s="6" t="s">
        <v>1083</v>
      </c>
    </row>
    <row r="1110" customFormat="false" ht="33" hidden="false" customHeight="true" outlineLevel="0" collapsed="false">
      <c r="A1110" s="19"/>
      <c r="B1110" s="18" t="n">
        <v>5</v>
      </c>
      <c r="C1110" s="4" t="s">
        <v>979</v>
      </c>
      <c r="D1110" s="19" t="s">
        <v>932</v>
      </c>
      <c r="E1110" s="6" t="s">
        <v>980</v>
      </c>
      <c r="F1110" s="6" t="s">
        <v>1615</v>
      </c>
      <c r="G1110" s="6" t="s">
        <v>1251</v>
      </c>
    </row>
    <row r="1111" customFormat="false" ht="25.5" hidden="false" customHeight="true" outlineLevel="0" collapsed="false">
      <c r="A1111" s="19"/>
      <c r="B1111" s="18" t="n">
        <v>6</v>
      </c>
      <c r="C1111" s="4" t="s">
        <v>983</v>
      </c>
      <c r="D1111" s="19" t="s">
        <v>932</v>
      </c>
      <c r="E1111" s="6" t="s">
        <v>984</v>
      </c>
      <c r="F1111" s="6" t="s">
        <v>1616</v>
      </c>
      <c r="G1111" s="6" t="s">
        <v>1617</v>
      </c>
    </row>
    <row r="1112" customFormat="false" ht="43.5" hidden="false" customHeight="true" outlineLevel="0" collapsed="false">
      <c r="A1112" s="19"/>
      <c r="B1112" s="18" t="n">
        <v>7</v>
      </c>
      <c r="C1112" s="4" t="s">
        <v>871</v>
      </c>
      <c r="D1112" s="19" t="s">
        <v>957</v>
      </c>
      <c r="E1112" s="6" t="s">
        <v>958</v>
      </c>
      <c r="F1112" s="6" t="s">
        <v>959</v>
      </c>
      <c r="G1112" s="6" t="s">
        <v>960</v>
      </c>
    </row>
    <row r="1113" customFormat="false" ht="25.5" hidden="false" customHeight="true" outlineLevel="0" collapsed="false">
      <c r="A1113" s="19"/>
      <c r="B1113" s="18" t="n">
        <v>8</v>
      </c>
      <c r="C1113" s="4" t="s">
        <v>985</v>
      </c>
      <c r="D1113" s="19" t="s">
        <v>957</v>
      </c>
      <c r="E1113" s="6" t="s">
        <v>987</v>
      </c>
      <c r="F1113" s="6" t="s">
        <v>998</v>
      </c>
      <c r="G1113" s="6" t="s">
        <v>1618</v>
      </c>
    </row>
    <row r="1114" customFormat="false" ht="33" hidden="false" customHeight="true" outlineLevel="0" collapsed="false">
      <c r="A1114" s="19"/>
      <c r="B1114" s="18" t="n">
        <v>9</v>
      </c>
      <c r="C1114" s="4" t="s">
        <v>883</v>
      </c>
      <c r="D1114" s="19" t="s">
        <v>957</v>
      </c>
      <c r="E1114" s="6" t="s">
        <v>993</v>
      </c>
      <c r="F1114" s="6" t="s">
        <v>959</v>
      </c>
      <c r="G1114" s="6" t="s">
        <v>994</v>
      </c>
    </row>
    <row r="1115" customFormat="false" ht="33" hidden="false" customHeight="true" outlineLevel="0" collapsed="false">
      <c r="A1115" s="19"/>
      <c r="B1115" s="18" t="n">
        <v>10</v>
      </c>
      <c r="C1115" s="4" t="s">
        <v>889</v>
      </c>
      <c r="D1115" s="19" t="s">
        <v>957</v>
      </c>
      <c r="E1115" s="6" t="s">
        <v>995</v>
      </c>
      <c r="F1115" s="6" t="s">
        <v>959</v>
      </c>
      <c r="G1115" s="6" t="s">
        <v>994</v>
      </c>
    </row>
    <row r="1116" customFormat="false" ht="33" hidden="false" customHeight="true" outlineLevel="0" collapsed="false">
      <c r="A1116" s="4" t="s">
        <v>1669</v>
      </c>
      <c r="B1116" s="18" t="n">
        <v>1</v>
      </c>
      <c r="C1116" s="4" t="s">
        <v>859</v>
      </c>
      <c r="D1116" s="19" t="s">
        <v>986</v>
      </c>
      <c r="E1116" s="6" t="s">
        <v>922</v>
      </c>
      <c r="F1116" s="6" t="s">
        <v>1662</v>
      </c>
      <c r="G1116" s="6" t="s">
        <v>1663</v>
      </c>
    </row>
    <row r="1117" customFormat="false" ht="25.5" hidden="false" customHeight="true" outlineLevel="0" collapsed="false">
      <c r="A1117" s="19"/>
      <c r="B1117" s="18" t="n">
        <v>2</v>
      </c>
      <c r="C1117" s="4" t="s">
        <v>898</v>
      </c>
      <c r="D1117" s="19" t="s">
        <v>921</v>
      </c>
      <c r="E1117" s="6" t="s">
        <v>928</v>
      </c>
      <c r="F1117" s="6" t="s">
        <v>1605</v>
      </c>
      <c r="G1117" s="6" t="s">
        <v>1587</v>
      </c>
    </row>
    <row r="1118" customFormat="false" ht="25.5" hidden="false" customHeight="true" outlineLevel="0" collapsed="false">
      <c r="A1118" s="19"/>
      <c r="B1118" s="18" t="n">
        <v>3</v>
      </c>
      <c r="C1118" s="4" t="s">
        <v>1611</v>
      </c>
      <c r="D1118" s="19" t="s">
        <v>921</v>
      </c>
      <c r="E1118" s="6" t="s">
        <v>1612</v>
      </c>
      <c r="F1118" s="6" t="s">
        <v>1613</v>
      </c>
      <c r="G1118" s="6" t="s">
        <v>1614</v>
      </c>
    </row>
    <row r="1119" customFormat="false" ht="33" hidden="false" customHeight="true" outlineLevel="0" collapsed="false">
      <c r="A1119" s="19"/>
      <c r="B1119" s="18" t="n">
        <v>4</v>
      </c>
      <c r="C1119" s="4" t="s">
        <v>968</v>
      </c>
      <c r="D1119" s="19" t="s">
        <v>932</v>
      </c>
      <c r="E1119" s="6" t="s">
        <v>969</v>
      </c>
      <c r="F1119" s="6" t="s">
        <v>970</v>
      </c>
      <c r="G1119" s="6" t="s">
        <v>1083</v>
      </c>
    </row>
    <row r="1120" customFormat="false" ht="25.5" hidden="false" customHeight="true" outlineLevel="0" collapsed="false">
      <c r="A1120" s="19"/>
      <c r="B1120" s="18" t="n">
        <v>5</v>
      </c>
      <c r="C1120" s="4" t="s">
        <v>1037</v>
      </c>
      <c r="D1120" s="19" t="s">
        <v>932</v>
      </c>
      <c r="E1120" s="6" t="s">
        <v>1038</v>
      </c>
      <c r="F1120" s="6" t="s">
        <v>1628</v>
      </c>
      <c r="G1120" s="6" t="s">
        <v>1629</v>
      </c>
    </row>
    <row r="1121" customFormat="false" ht="33" hidden="false" customHeight="true" outlineLevel="0" collapsed="false">
      <c r="A1121" s="19"/>
      <c r="B1121" s="18" t="n">
        <v>6</v>
      </c>
      <c r="C1121" s="4" t="s">
        <v>979</v>
      </c>
      <c r="D1121" s="19" t="s">
        <v>932</v>
      </c>
      <c r="E1121" s="6" t="s">
        <v>980</v>
      </c>
      <c r="F1121" s="6" t="s">
        <v>1615</v>
      </c>
      <c r="G1121" s="6" t="s">
        <v>1251</v>
      </c>
    </row>
    <row r="1122" customFormat="false" ht="33" hidden="false" customHeight="true" outlineLevel="0" collapsed="false">
      <c r="A1122" s="19"/>
      <c r="B1122" s="18" t="n">
        <v>7</v>
      </c>
      <c r="C1122" s="4" t="s">
        <v>983</v>
      </c>
      <c r="D1122" s="19" t="s">
        <v>932</v>
      </c>
      <c r="E1122" s="6" t="s">
        <v>984</v>
      </c>
      <c r="F1122" s="6" t="s">
        <v>1630</v>
      </c>
      <c r="G1122" s="6" t="s">
        <v>1631</v>
      </c>
    </row>
    <row r="1123" customFormat="false" ht="43.5" hidden="false" customHeight="true" outlineLevel="0" collapsed="false">
      <c r="A1123" s="19"/>
      <c r="B1123" s="18" t="n">
        <v>8</v>
      </c>
      <c r="C1123" s="4" t="s">
        <v>871</v>
      </c>
      <c r="D1123" s="19" t="s">
        <v>957</v>
      </c>
      <c r="E1123" s="6" t="s">
        <v>958</v>
      </c>
      <c r="F1123" s="6" t="s">
        <v>959</v>
      </c>
      <c r="G1123" s="6" t="s">
        <v>960</v>
      </c>
    </row>
    <row r="1124" customFormat="false" ht="25.5" hidden="false" customHeight="true" outlineLevel="0" collapsed="false">
      <c r="A1124" s="19"/>
      <c r="B1124" s="18" t="n">
        <v>9</v>
      </c>
      <c r="C1124" s="4" t="s">
        <v>985</v>
      </c>
      <c r="D1124" s="19" t="s">
        <v>957</v>
      </c>
      <c r="E1124" s="6" t="s">
        <v>987</v>
      </c>
      <c r="F1124" s="6" t="s">
        <v>998</v>
      </c>
      <c r="G1124" s="6" t="s">
        <v>1618</v>
      </c>
    </row>
    <row r="1125" customFormat="false" ht="33" hidden="false" customHeight="true" outlineLevel="0" collapsed="false">
      <c r="A1125" s="19"/>
      <c r="B1125" s="18" t="n">
        <v>10</v>
      </c>
      <c r="C1125" s="4" t="s">
        <v>883</v>
      </c>
      <c r="D1125" s="19" t="s">
        <v>957</v>
      </c>
      <c r="E1125" s="6" t="s">
        <v>993</v>
      </c>
      <c r="F1125" s="6" t="s">
        <v>959</v>
      </c>
      <c r="G1125" s="6" t="s">
        <v>994</v>
      </c>
    </row>
    <row r="1126" customFormat="false" ht="33" hidden="false" customHeight="true" outlineLevel="0" collapsed="false">
      <c r="A1126" s="19"/>
      <c r="B1126" s="18" t="n">
        <v>11</v>
      </c>
      <c r="C1126" s="4" t="s">
        <v>889</v>
      </c>
      <c r="D1126" s="19" t="s">
        <v>957</v>
      </c>
      <c r="E1126" s="6" t="s">
        <v>995</v>
      </c>
      <c r="F1126" s="6" t="s">
        <v>959</v>
      </c>
      <c r="G1126" s="6" t="s">
        <v>994</v>
      </c>
    </row>
    <row r="1127" customFormat="false" ht="25.5" hidden="false" customHeight="true" outlineLevel="0" collapsed="false">
      <c r="A1127" s="19"/>
      <c r="B1127" s="18" t="n">
        <v>12</v>
      </c>
      <c r="C1127" s="4" t="s">
        <v>904</v>
      </c>
      <c r="D1127" s="19" t="s">
        <v>986</v>
      </c>
      <c r="E1127" s="6" t="s">
        <v>1000</v>
      </c>
      <c r="F1127" s="6" t="s">
        <v>1194</v>
      </c>
      <c r="G1127" s="6" t="s">
        <v>1632</v>
      </c>
    </row>
    <row r="1128" customFormat="false" ht="33" hidden="false" customHeight="true" outlineLevel="0" collapsed="false">
      <c r="A1128" s="4" t="s">
        <v>1670</v>
      </c>
      <c r="B1128" s="18" t="n">
        <v>1</v>
      </c>
      <c r="C1128" s="4" t="s">
        <v>859</v>
      </c>
      <c r="D1128" s="19" t="s">
        <v>986</v>
      </c>
      <c r="E1128" s="6" t="s">
        <v>922</v>
      </c>
      <c r="F1128" s="6" t="s">
        <v>1667</v>
      </c>
      <c r="G1128" s="6" t="s">
        <v>1663</v>
      </c>
    </row>
    <row r="1129" customFormat="false" ht="25.5" hidden="false" customHeight="true" outlineLevel="0" collapsed="false">
      <c r="A1129" s="19"/>
      <c r="B1129" s="18" t="n">
        <v>2</v>
      </c>
      <c r="C1129" s="4" t="s">
        <v>898</v>
      </c>
      <c r="D1129" s="19" t="s">
        <v>921</v>
      </c>
      <c r="E1129" s="6" t="s">
        <v>928</v>
      </c>
      <c r="F1129" s="6" t="s">
        <v>1078</v>
      </c>
      <c r="G1129" s="6" t="s">
        <v>1587</v>
      </c>
    </row>
    <row r="1130" customFormat="false" ht="25.5" hidden="false" customHeight="true" outlineLevel="0" collapsed="false">
      <c r="A1130" s="19"/>
      <c r="B1130" s="18" t="n">
        <v>3</v>
      </c>
      <c r="C1130" s="4" t="s">
        <v>1611</v>
      </c>
      <c r="D1130" s="19" t="s">
        <v>921</v>
      </c>
      <c r="E1130" s="6" t="s">
        <v>1612</v>
      </c>
      <c r="F1130" s="6" t="s">
        <v>1668</v>
      </c>
      <c r="G1130" s="6" t="s">
        <v>1614</v>
      </c>
    </row>
    <row r="1131" customFormat="false" ht="33" hidden="false" customHeight="true" outlineLevel="0" collapsed="false">
      <c r="A1131" s="19"/>
      <c r="B1131" s="18" t="n">
        <v>4</v>
      </c>
      <c r="C1131" s="4" t="s">
        <v>968</v>
      </c>
      <c r="D1131" s="19" t="s">
        <v>932</v>
      </c>
      <c r="E1131" s="6" t="s">
        <v>969</v>
      </c>
      <c r="F1131" s="6" t="s">
        <v>970</v>
      </c>
      <c r="G1131" s="6" t="s">
        <v>1083</v>
      </c>
    </row>
    <row r="1132" customFormat="false" ht="33" hidden="false" customHeight="true" outlineLevel="0" collapsed="false">
      <c r="A1132" s="19"/>
      <c r="B1132" s="18" t="n">
        <v>5</v>
      </c>
      <c r="C1132" s="4" t="s">
        <v>979</v>
      </c>
      <c r="D1132" s="19" t="s">
        <v>932</v>
      </c>
      <c r="E1132" s="6" t="s">
        <v>980</v>
      </c>
      <c r="F1132" s="6" t="s">
        <v>1615</v>
      </c>
      <c r="G1132" s="6" t="s">
        <v>1251</v>
      </c>
    </row>
    <row r="1133" customFormat="false" ht="25.5" hidden="false" customHeight="true" outlineLevel="0" collapsed="false">
      <c r="A1133" s="19"/>
      <c r="B1133" s="18" t="n">
        <v>6</v>
      </c>
      <c r="C1133" s="4" t="s">
        <v>983</v>
      </c>
      <c r="D1133" s="19" t="s">
        <v>932</v>
      </c>
      <c r="E1133" s="6" t="s">
        <v>984</v>
      </c>
      <c r="F1133" s="6" t="s">
        <v>1616</v>
      </c>
      <c r="G1133" s="6" t="s">
        <v>1617</v>
      </c>
    </row>
    <row r="1134" customFormat="false" ht="43.5" hidden="false" customHeight="true" outlineLevel="0" collapsed="false">
      <c r="A1134" s="19"/>
      <c r="B1134" s="18" t="n">
        <v>7</v>
      </c>
      <c r="C1134" s="4" t="s">
        <v>871</v>
      </c>
      <c r="D1134" s="19" t="s">
        <v>957</v>
      </c>
      <c r="E1134" s="6" t="s">
        <v>958</v>
      </c>
      <c r="F1134" s="6" t="s">
        <v>959</v>
      </c>
      <c r="G1134" s="6" t="s">
        <v>960</v>
      </c>
    </row>
    <row r="1135" customFormat="false" ht="25.5" hidden="false" customHeight="true" outlineLevel="0" collapsed="false">
      <c r="A1135" s="19"/>
      <c r="B1135" s="18" t="n">
        <v>8</v>
      </c>
      <c r="C1135" s="4" t="s">
        <v>985</v>
      </c>
      <c r="D1135" s="19" t="s">
        <v>957</v>
      </c>
      <c r="E1135" s="6" t="s">
        <v>987</v>
      </c>
      <c r="F1135" s="6" t="s">
        <v>998</v>
      </c>
      <c r="G1135" s="6" t="s">
        <v>1618</v>
      </c>
    </row>
    <row r="1136" customFormat="false" ht="33" hidden="false" customHeight="true" outlineLevel="0" collapsed="false">
      <c r="A1136" s="19"/>
      <c r="B1136" s="18" t="n">
        <v>9</v>
      </c>
      <c r="C1136" s="4" t="s">
        <v>883</v>
      </c>
      <c r="D1136" s="19" t="s">
        <v>957</v>
      </c>
      <c r="E1136" s="6" t="s">
        <v>993</v>
      </c>
      <c r="F1136" s="6" t="s">
        <v>959</v>
      </c>
      <c r="G1136" s="6" t="s">
        <v>994</v>
      </c>
    </row>
    <row r="1137" customFormat="false" ht="33" hidden="false" customHeight="true" outlineLevel="0" collapsed="false">
      <c r="A1137" s="19"/>
      <c r="B1137" s="18" t="n">
        <v>10</v>
      </c>
      <c r="C1137" s="4" t="s">
        <v>889</v>
      </c>
      <c r="D1137" s="19" t="s">
        <v>957</v>
      </c>
      <c r="E1137" s="6" t="s">
        <v>995</v>
      </c>
      <c r="F1137" s="6" t="s">
        <v>959</v>
      </c>
      <c r="G1137" s="6" t="s">
        <v>994</v>
      </c>
    </row>
    <row r="1138" customFormat="false" ht="33" hidden="false" customHeight="true" outlineLevel="0" collapsed="false">
      <c r="A1138" s="4" t="s">
        <v>1671</v>
      </c>
      <c r="B1138" s="18" t="n">
        <v>1</v>
      </c>
      <c r="C1138" s="4" t="s">
        <v>859</v>
      </c>
      <c r="D1138" s="19" t="s">
        <v>986</v>
      </c>
      <c r="E1138" s="6" t="s">
        <v>922</v>
      </c>
      <c r="F1138" s="6" t="s">
        <v>1667</v>
      </c>
      <c r="G1138" s="6" t="s">
        <v>1663</v>
      </c>
    </row>
    <row r="1139" customFormat="false" ht="25.5" hidden="false" customHeight="true" outlineLevel="0" collapsed="false">
      <c r="A1139" s="19"/>
      <c r="B1139" s="18" t="n">
        <v>2</v>
      </c>
      <c r="C1139" s="4" t="s">
        <v>898</v>
      </c>
      <c r="D1139" s="19" t="s">
        <v>921</v>
      </c>
      <c r="E1139" s="6" t="s">
        <v>928</v>
      </c>
      <c r="F1139" s="6" t="s">
        <v>1078</v>
      </c>
      <c r="G1139" s="6" t="s">
        <v>1587</v>
      </c>
    </row>
    <row r="1140" customFormat="false" ht="25.5" hidden="false" customHeight="true" outlineLevel="0" collapsed="false">
      <c r="A1140" s="19"/>
      <c r="B1140" s="18" t="n">
        <v>3</v>
      </c>
      <c r="C1140" s="4" t="s">
        <v>1611</v>
      </c>
      <c r="D1140" s="19" t="s">
        <v>921</v>
      </c>
      <c r="E1140" s="6" t="s">
        <v>1612</v>
      </c>
      <c r="F1140" s="6" t="s">
        <v>1668</v>
      </c>
      <c r="G1140" s="6" t="s">
        <v>1614</v>
      </c>
    </row>
    <row r="1141" customFormat="false" ht="33" hidden="false" customHeight="true" outlineLevel="0" collapsed="false">
      <c r="A1141" s="19"/>
      <c r="B1141" s="18" t="n">
        <v>4</v>
      </c>
      <c r="C1141" s="4" t="s">
        <v>968</v>
      </c>
      <c r="D1141" s="19" t="s">
        <v>932</v>
      </c>
      <c r="E1141" s="6" t="s">
        <v>969</v>
      </c>
      <c r="F1141" s="6" t="s">
        <v>970</v>
      </c>
      <c r="G1141" s="6" t="s">
        <v>1083</v>
      </c>
    </row>
    <row r="1142" customFormat="false" ht="33" hidden="false" customHeight="true" outlineLevel="0" collapsed="false">
      <c r="A1142" s="19"/>
      <c r="B1142" s="18" t="n">
        <v>5</v>
      </c>
      <c r="C1142" s="4" t="s">
        <v>979</v>
      </c>
      <c r="D1142" s="19" t="s">
        <v>932</v>
      </c>
      <c r="E1142" s="6" t="s">
        <v>980</v>
      </c>
      <c r="F1142" s="6" t="s">
        <v>1615</v>
      </c>
      <c r="G1142" s="6" t="s">
        <v>1251</v>
      </c>
    </row>
    <row r="1143" customFormat="false" ht="25.5" hidden="false" customHeight="true" outlineLevel="0" collapsed="false">
      <c r="A1143" s="19"/>
      <c r="B1143" s="18" t="n">
        <v>6</v>
      </c>
      <c r="C1143" s="4" t="s">
        <v>983</v>
      </c>
      <c r="D1143" s="19" t="s">
        <v>932</v>
      </c>
      <c r="E1143" s="6" t="s">
        <v>984</v>
      </c>
      <c r="F1143" s="6" t="s">
        <v>1616</v>
      </c>
      <c r="G1143" s="6" t="s">
        <v>1617</v>
      </c>
    </row>
    <row r="1144" customFormat="false" ht="43.5" hidden="false" customHeight="true" outlineLevel="0" collapsed="false">
      <c r="A1144" s="19"/>
      <c r="B1144" s="18" t="n">
        <v>7</v>
      </c>
      <c r="C1144" s="4" t="s">
        <v>871</v>
      </c>
      <c r="D1144" s="19" t="s">
        <v>957</v>
      </c>
      <c r="E1144" s="6" t="s">
        <v>958</v>
      </c>
      <c r="F1144" s="6" t="s">
        <v>959</v>
      </c>
      <c r="G1144" s="6" t="s">
        <v>960</v>
      </c>
    </row>
    <row r="1145" customFormat="false" ht="25.5" hidden="false" customHeight="true" outlineLevel="0" collapsed="false">
      <c r="A1145" s="19"/>
      <c r="B1145" s="18" t="n">
        <v>8</v>
      </c>
      <c r="C1145" s="4" t="s">
        <v>985</v>
      </c>
      <c r="D1145" s="19" t="s">
        <v>957</v>
      </c>
      <c r="E1145" s="6" t="s">
        <v>987</v>
      </c>
      <c r="F1145" s="6" t="s">
        <v>998</v>
      </c>
      <c r="G1145" s="6" t="s">
        <v>1618</v>
      </c>
    </row>
    <row r="1146" customFormat="false" ht="33" hidden="false" customHeight="true" outlineLevel="0" collapsed="false">
      <c r="A1146" s="19"/>
      <c r="B1146" s="18" t="n">
        <v>9</v>
      </c>
      <c r="C1146" s="4" t="s">
        <v>883</v>
      </c>
      <c r="D1146" s="19" t="s">
        <v>957</v>
      </c>
      <c r="E1146" s="6" t="s">
        <v>993</v>
      </c>
      <c r="F1146" s="6" t="s">
        <v>959</v>
      </c>
      <c r="G1146" s="6" t="s">
        <v>994</v>
      </c>
    </row>
    <row r="1147" customFormat="false" ht="33" hidden="false" customHeight="true" outlineLevel="0" collapsed="false">
      <c r="A1147" s="19"/>
      <c r="B1147" s="18" t="n">
        <v>10</v>
      </c>
      <c r="C1147" s="4" t="s">
        <v>889</v>
      </c>
      <c r="D1147" s="19" t="s">
        <v>957</v>
      </c>
      <c r="E1147" s="6" t="s">
        <v>995</v>
      </c>
      <c r="F1147" s="6" t="s">
        <v>959</v>
      </c>
      <c r="G1147" s="6" t="s">
        <v>994</v>
      </c>
    </row>
    <row r="1148" customFormat="false" ht="33" hidden="false" customHeight="true" outlineLevel="0" collapsed="false">
      <c r="A1148" s="4" t="s">
        <v>1672</v>
      </c>
      <c r="B1148" s="18" t="n">
        <v>1</v>
      </c>
      <c r="C1148" s="4" t="s">
        <v>859</v>
      </c>
      <c r="D1148" s="19" t="s">
        <v>921</v>
      </c>
      <c r="E1148" s="6" t="s">
        <v>922</v>
      </c>
      <c r="F1148" s="6" t="s">
        <v>1673</v>
      </c>
      <c r="G1148" s="6" t="s">
        <v>1674</v>
      </c>
    </row>
    <row r="1149" customFormat="false" ht="25.5" hidden="false" customHeight="true" outlineLevel="0" collapsed="false">
      <c r="A1149" s="19"/>
      <c r="B1149" s="18" t="n">
        <v>2</v>
      </c>
      <c r="C1149" s="4" t="s">
        <v>898</v>
      </c>
      <c r="D1149" s="19" t="s">
        <v>921</v>
      </c>
      <c r="E1149" s="6" t="s">
        <v>928</v>
      </c>
      <c r="F1149" s="6" t="s">
        <v>1621</v>
      </c>
      <c r="G1149" s="6" t="s">
        <v>1587</v>
      </c>
    </row>
    <row r="1150" customFormat="false" ht="25.5" hidden="false" customHeight="true" outlineLevel="0" collapsed="false">
      <c r="A1150" s="19"/>
      <c r="B1150" s="18" t="n">
        <v>3</v>
      </c>
      <c r="C1150" s="4" t="s">
        <v>1428</v>
      </c>
      <c r="D1150" s="19" t="s">
        <v>932</v>
      </c>
      <c r="E1150" s="6" t="s">
        <v>1429</v>
      </c>
      <c r="F1150" s="6" t="s">
        <v>1625</v>
      </c>
      <c r="G1150" s="6" t="s">
        <v>1675</v>
      </c>
    </row>
    <row r="1151" customFormat="false" ht="43.5" hidden="false" customHeight="true" outlineLevel="0" collapsed="false">
      <c r="A1151" s="19"/>
      <c r="B1151" s="18" t="n">
        <v>4</v>
      </c>
      <c r="C1151" s="4" t="s">
        <v>1676</v>
      </c>
      <c r="D1151" s="19" t="s">
        <v>957</v>
      </c>
      <c r="E1151" s="6" t="s">
        <v>1677</v>
      </c>
      <c r="F1151" s="6" t="s">
        <v>1678</v>
      </c>
      <c r="G1151" s="6" t="s">
        <v>1679</v>
      </c>
    </row>
    <row r="1152" customFormat="false" ht="43.5" hidden="false" customHeight="true" outlineLevel="0" collapsed="false">
      <c r="A1152" s="19"/>
      <c r="B1152" s="18" t="n">
        <v>5</v>
      </c>
      <c r="C1152" s="4" t="s">
        <v>1680</v>
      </c>
      <c r="D1152" s="19" t="s">
        <v>957</v>
      </c>
      <c r="E1152" s="6" t="s">
        <v>1440</v>
      </c>
      <c r="F1152" s="6" t="s">
        <v>1678</v>
      </c>
      <c r="G1152" s="6" t="s">
        <v>1679</v>
      </c>
    </row>
    <row r="1153" customFormat="false" ht="33" hidden="false" customHeight="true" outlineLevel="0" collapsed="false">
      <c r="A1153" s="19"/>
      <c r="B1153" s="18" t="n">
        <v>6</v>
      </c>
      <c r="C1153" s="4" t="s">
        <v>1611</v>
      </c>
      <c r="D1153" s="19" t="s">
        <v>921</v>
      </c>
      <c r="E1153" s="6" t="s">
        <v>1612</v>
      </c>
      <c r="F1153" s="6" t="s">
        <v>1681</v>
      </c>
      <c r="G1153" s="6" t="s">
        <v>1682</v>
      </c>
    </row>
    <row r="1154" customFormat="false" ht="25.5" hidden="false" customHeight="true" outlineLevel="0" collapsed="false">
      <c r="A1154" s="19"/>
      <c r="B1154" s="18" t="n">
        <v>7</v>
      </c>
      <c r="C1154" s="4" t="s">
        <v>1037</v>
      </c>
      <c r="D1154" s="19" t="s">
        <v>986</v>
      </c>
      <c r="E1154" s="6" t="s">
        <v>1038</v>
      </c>
      <c r="F1154" s="6" t="s">
        <v>1203</v>
      </c>
      <c r="G1154" s="6" t="s">
        <v>1683</v>
      </c>
    </row>
    <row r="1155" customFormat="false" ht="33" hidden="false" customHeight="true" outlineLevel="0" collapsed="false">
      <c r="A1155" s="19"/>
      <c r="B1155" s="18" t="n">
        <v>8</v>
      </c>
      <c r="C1155" s="4" t="s">
        <v>979</v>
      </c>
      <c r="D1155" s="19" t="s">
        <v>932</v>
      </c>
      <c r="E1155" s="6" t="s">
        <v>980</v>
      </c>
      <c r="F1155" s="6" t="s">
        <v>1301</v>
      </c>
      <c r="G1155" s="6" t="s">
        <v>1684</v>
      </c>
    </row>
    <row r="1156" customFormat="false" ht="25.5" hidden="false" customHeight="true" outlineLevel="0" collapsed="false">
      <c r="A1156" s="19"/>
      <c r="B1156" s="18" t="n">
        <v>9</v>
      </c>
      <c r="C1156" s="4" t="s">
        <v>983</v>
      </c>
      <c r="D1156" s="19" t="s">
        <v>932</v>
      </c>
      <c r="E1156" s="6" t="s">
        <v>984</v>
      </c>
      <c r="F1156" s="6" t="s">
        <v>1685</v>
      </c>
      <c r="G1156" s="6" t="s">
        <v>1686</v>
      </c>
    </row>
    <row r="1157" customFormat="false" ht="43.5" hidden="false" customHeight="true" outlineLevel="0" collapsed="false">
      <c r="A1157" s="19"/>
      <c r="B1157" s="18" t="n">
        <v>10</v>
      </c>
      <c r="C1157" s="4" t="s">
        <v>871</v>
      </c>
      <c r="D1157" s="19" t="s">
        <v>957</v>
      </c>
      <c r="E1157" s="6" t="s">
        <v>958</v>
      </c>
      <c r="F1157" s="6" t="s">
        <v>959</v>
      </c>
      <c r="G1157" s="6" t="s">
        <v>960</v>
      </c>
    </row>
    <row r="1158" customFormat="false" ht="33" hidden="false" customHeight="true" outlineLevel="0" collapsed="false">
      <c r="A1158" s="19"/>
      <c r="B1158" s="18" t="n">
        <v>11</v>
      </c>
      <c r="C1158" s="4" t="s">
        <v>985</v>
      </c>
      <c r="D1158" s="19" t="s">
        <v>957</v>
      </c>
      <c r="E1158" s="6" t="s">
        <v>987</v>
      </c>
      <c r="F1158" s="6" t="s">
        <v>998</v>
      </c>
      <c r="G1158" s="6" t="s">
        <v>1687</v>
      </c>
    </row>
    <row r="1159" customFormat="false" ht="33" hidden="false" customHeight="true" outlineLevel="0" collapsed="false">
      <c r="A1159" s="19"/>
      <c r="B1159" s="18" t="n">
        <v>12</v>
      </c>
      <c r="C1159" s="4" t="s">
        <v>883</v>
      </c>
      <c r="D1159" s="19" t="s">
        <v>957</v>
      </c>
      <c r="E1159" s="6" t="s">
        <v>993</v>
      </c>
      <c r="F1159" s="6" t="s">
        <v>959</v>
      </c>
      <c r="G1159" s="6" t="s">
        <v>994</v>
      </c>
    </row>
    <row r="1160" customFormat="false" ht="33" hidden="false" customHeight="true" outlineLevel="0" collapsed="false">
      <c r="A1160" s="19"/>
      <c r="B1160" s="18" t="n">
        <v>13</v>
      </c>
      <c r="C1160" s="4" t="s">
        <v>889</v>
      </c>
      <c r="D1160" s="19" t="s">
        <v>957</v>
      </c>
      <c r="E1160" s="6" t="s">
        <v>995</v>
      </c>
      <c r="F1160" s="6" t="s">
        <v>959</v>
      </c>
      <c r="G1160" s="6" t="s">
        <v>994</v>
      </c>
    </row>
    <row r="1161" customFormat="false" ht="33" hidden="false" customHeight="true" outlineLevel="0" collapsed="false">
      <c r="A1161" s="19"/>
      <c r="B1161" s="18" t="n">
        <v>14</v>
      </c>
      <c r="C1161" s="4" t="s">
        <v>904</v>
      </c>
      <c r="D1161" s="19" t="s">
        <v>932</v>
      </c>
      <c r="E1161" s="6" t="s">
        <v>1000</v>
      </c>
      <c r="F1161" s="6" t="s">
        <v>1688</v>
      </c>
      <c r="G1161" s="6" t="s">
        <v>1689</v>
      </c>
    </row>
    <row r="1162" customFormat="false" ht="33" hidden="false" customHeight="true" outlineLevel="0" collapsed="false">
      <c r="A1162" s="19"/>
      <c r="B1162" s="18" t="n">
        <v>15</v>
      </c>
      <c r="C1162" s="4" t="s">
        <v>1001</v>
      </c>
      <c r="D1162" s="19" t="s">
        <v>932</v>
      </c>
      <c r="E1162" s="6" t="s">
        <v>1002</v>
      </c>
      <c r="F1162" s="6" t="s">
        <v>1658</v>
      </c>
      <c r="G1162" s="6" t="s">
        <v>1689</v>
      </c>
    </row>
    <row r="1163" customFormat="false" ht="33" hidden="false" customHeight="true" outlineLevel="0" collapsed="false">
      <c r="A1163" s="4" t="s">
        <v>1690</v>
      </c>
      <c r="B1163" s="18" t="n">
        <v>1</v>
      </c>
      <c r="C1163" s="4" t="s">
        <v>859</v>
      </c>
      <c r="D1163" s="19" t="s">
        <v>986</v>
      </c>
      <c r="E1163" s="6" t="s">
        <v>922</v>
      </c>
      <c r="F1163" s="6" t="s">
        <v>1691</v>
      </c>
      <c r="G1163" s="6" t="s">
        <v>1692</v>
      </c>
    </row>
    <row r="1164" customFormat="false" ht="25.5" hidden="false" customHeight="true" outlineLevel="0" collapsed="false">
      <c r="A1164" s="19"/>
      <c r="B1164" s="18" t="n">
        <v>2</v>
      </c>
      <c r="C1164" s="4" t="s">
        <v>898</v>
      </c>
      <c r="D1164" s="19" t="s">
        <v>921</v>
      </c>
      <c r="E1164" s="6" t="s">
        <v>928</v>
      </c>
      <c r="F1164" s="6" t="s">
        <v>1078</v>
      </c>
      <c r="G1164" s="6" t="s">
        <v>1587</v>
      </c>
    </row>
    <row r="1165" customFormat="false" ht="43.5" hidden="false" customHeight="true" outlineLevel="0" collapsed="false">
      <c r="A1165" s="19"/>
      <c r="B1165" s="18" t="n">
        <v>3</v>
      </c>
      <c r="C1165" s="4" t="s">
        <v>1676</v>
      </c>
      <c r="D1165" s="19" t="s">
        <v>957</v>
      </c>
      <c r="E1165" s="6" t="s">
        <v>1677</v>
      </c>
      <c r="F1165" s="6" t="s">
        <v>1132</v>
      </c>
      <c r="G1165" s="6" t="s">
        <v>1679</v>
      </c>
    </row>
    <row r="1166" customFormat="false" ht="43.5" hidden="false" customHeight="true" outlineLevel="0" collapsed="false">
      <c r="A1166" s="19"/>
      <c r="B1166" s="18" t="n">
        <v>4</v>
      </c>
      <c r="C1166" s="4" t="s">
        <v>1680</v>
      </c>
      <c r="D1166" s="19" t="s">
        <v>957</v>
      </c>
      <c r="E1166" s="6" t="s">
        <v>1440</v>
      </c>
      <c r="F1166" s="6" t="s">
        <v>1132</v>
      </c>
      <c r="G1166" s="6" t="s">
        <v>1679</v>
      </c>
    </row>
    <row r="1167" customFormat="false" ht="33" hidden="false" customHeight="true" outlineLevel="0" collapsed="false">
      <c r="A1167" s="19"/>
      <c r="B1167" s="18" t="n">
        <v>5</v>
      </c>
      <c r="C1167" s="4" t="s">
        <v>1611</v>
      </c>
      <c r="D1167" s="19" t="s">
        <v>921</v>
      </c>
      <c r="E1167" s="6" t="s">
        <v>1612</v>
      </c>
      <c r="F1167" s="6" t="s">
        <v>1693</v>
      </c>
      <c r="G1167" s="6" t="s">
        <v>1682</v>
      </c>
    </row>
    <row r="1168" customFormat="false" ht="33" hidden="false" customHeight="true" outlineLevel="0" collapsed="false">
      <c r="A1168" s="19"/>
      <c r="B1168" s="18" t="n">
        <v>6</v>
      </c>
      <c r="C1168" s="4" t="s">
        <v>979</v>
      </c>
      <c r="D1168" s="19" t="s">
        <v>932</v>
      </c>
      <c r="E1168" s="6" t="s">
        <v>980</v>
      </c>
      <c r="F1168" s="6" t="s">
        <v>1301</v>
      </c>
      <c r="G1168" s="6" t="s">
        <v>1684</v>
      </c>
    </row>
    <row r="1169" customFormat="false" ht="33" hidden="false" customHeight="true" outlineLevel="0" collapsed="false">
      <c r="A1169" s="19"/>
      <c r="B1169" s="18" t="n">
        <v>7</v>
      </c>
      <c r="C1169" s="4" t="s">
        <v>983</v>
      </c>
      <c r="D1169" s="19" t="s">
        <v>932</v>
      </c>
      <c r="E1169" s="6" t="s">
        <v>984</v>
      </c>
      <c r="F1169" s="6" t="s">
        <v>1443</v>
      </c>
      <c r="G1169" s="6" t="s">
        <v>1694</v>
      </c>
    </row>
    <row r="1170" customFormat="false" ht="43.5" hidden="false" customHeight="true" outlineLevel="0" collapsed="false">
      <c r="A1170" s="19"/>
      <c r="B1170" s="18" t="n">
        <v>8</v>
      </c>
      <c r="C1170" s="4" t="s">
        <v>871</v>
      </c>
      <c r="D1170" s="19" t="s">
        <v>957</v>
      </c>
      <c r="E1170" s="6" t="s">
        <v>958</v>
      </c>
      <c r="F1170" s="6" t="s">
        <v>959</v>
      </c>
      <c r="G1170" s="6" t="s">
        <v>960</v>
      </c>
    </row>
    <row r="1171" customFormat="false" ht="33" hidden="false" customHeight="true" outlineLevel="0" collapsed="false">
      <c r="A1171" s="19"/>
      <c r="B1171" s="18" t="n">
        <v>9</v>
      </c>
      <c r="C1171" s="4" t="s">
        <v>985</v>
      </c>
      <c r="D1171" s="19" t="s">
        <v>957</v>
      </c>
      <c r="E1171" s="6" t="s">
        <v>987</v>
      </c>
      <c r="F1171" s="6" t="s">
        <v>998</v>
      </c>
      <c r="G1171" s="6" t="s">
        <v>1687</v>
      </c>
    </row>
    <row r="1172" customFormat="false" ht="33" hidden="false" customHeight="true" outlineLevel="0" collapsed="false">
      <c r="A1172" s="19"/>
      <c r="B1172" s="18" t="n">
        <v>10</v>
      </c>
      <c r="C1172" s="4" t="s">
        <v>883</v>
      </c>
      <c r="D1172" s="19" t="s">
        <v>957</v>
      </c>
      <c r="E1172" s="6" t="s">
        <v>993</v>
      </c>
      <c r="F1172" s="6" t="s">
        <v>959</v>
      </c>
      <c r="G1172" s="6" t="s">
        <v>994</v>
      </c>
    </row>
    <row r="1173" customFormat="false" ht="33" hidden="false" customHeight="true" outlineLevel="0" collapsed="false">
      <c r="A1173" s="19"/>
      <c r="B1173" s="18" t="n">
        <v>11</v>
      </c>
      <c r="C1173" s="4" t="s">
        <v>889</v>
      </c>
      <c r="D1173" s="19" t="s">
        <v>957</v>
      </c>
      <c r="E1173" s="6" t="s">
        <v>995</v>
      </c>
      <c r="F1173" s="6" t="s">
        <v>959</v>
      </c>
      <c r="G1173" s="6" t="s">
        <v>994</v>
      </c>
    </row>
    <row r="1174" customFormat="false" ht="33" hidden="false" customHeight="true" outlineLevel="0" collapsed="false">
      <c r="A1174" s="4" t="s">
        <v>1695</v>
      </c>
      <c r="B1174" s="18" t="n">
        <v>1</v>
      </c>
      <c r="C1174" s="4" t="s">
        <v>859</v>
      </c>
      <c r="D1174" s="19" t="s">
        <v>986</v>
      </c>
      <c r="E1174" s="6" t="s">
        <v>922</v>
      </c>
      <c r="F1174" s="6" t="s">
        <v>1691</v>
      </c>
      <c r="G1174" s="6" t="s">
        <v>1692</v>
      </c>
    </row>
    <row r="1175" customFormat="false" ht="25.5" hidden="false" customHeight="true" outlineLevel="0" collapsed="false">
      <c r="A1175" s="19"/>
      <c r="B1175" s="18" t="n">
        <v>2</v>
      </c>
      <c r="C1175" s="4" t="s">
        <v>898</v>
      </c>
      <c r="D1175" s="19" t="s">
        <v>921</v>
      </c>
      <c r="E1175" s="6" t="s">
        <v>928</v>
      </c>
      <c r="F1175" s="6" t="s">
        <v>1078</v>
      </c>
      <c r="G1175" s="6" t="s">
        <v>1587</v>
      </c>
    </row>
    <row r="1176" customFormat="false" ht="43.5" hidden="false" customHeight="true" outlineLevel="0" collapsed="false">
      <c r="A1176" s="19"/>
      <c r="B1176" s="18" t="n">
        <v>3</v>
      </c>
      <c r="C1176" s="4" t="s">
        <v>1676</v>
      </c>
      <c r="D1176" s="19" t="s">
        <v>957</v>
      </c>
      <c r="E1176" s="6" t="s">
        <v>1677</v>
      </c>
      <c r="F1176" s="6" t="s">
        <v>1132</v>
      </c>
      <c r="G1176" s="6" t="s">
        <v>1679</v>
      </c>
    </row>
    <row r="1177" customFormat="false" ht="43.5" hidden="false" customHeight="true" outlineLevel="0" collapsed="false">
      <c r="A1177" s="19"/>
      <c r="B1177" s="18" t="n">
        <v>4</v>
      </c>
      <c r="C1177" s="4" t="s">
        <v>1680</v>
      </c>
      <c r="D1177" s="19" t="s">
        <v>957</v>
      </c>
      <c r="E1177" s="6" t="s">
        <v>1440</v>
      </c>
      <c r="F1177" s="6" t="s">
        <v>1132</v>
      </c>
      <c r="G1177" s="6" t="s">
        <v>1679</v>
      </c>
    </row>
    <row r="1178" customFormat="false" ht="33" hidden="false" customHeight="true" outlineLevel="0" collapsed="false">
      <c r="A1178" s="19"/>
      <c r="B1178" s="18" t="n">
        <v>5</v>
      </c>
      <c r="C1178" s="4" t="s">
        <v>1611</v>
      </c>
      <c r="D1178" s="19" t="s">
        <v>921</v>
      </c>
      <c r="E1178" s="6" t="s">
        <v>1612</v>
      </c>
      <c r="F1178" s="6" t="s">
        <v>1693</v>
      </c>
      <c r="G1178" s="6" t="s">
        <v>1682</v>
      </c>
    </row>
    <row r="1179" customFormat="false" ht="33" hidden="false" customHeight="true" outlineLevel="0" collapsed="false">
      <c r="A1179" s="19"/>
      <c r="B1179" s="18" t="n">
        <v>6</v>
      </c>
      <c r="C1179" s="4" t="s">
        <v>979</v>
      </c>
      <c r="D1179" s="19" t="s">
        <v>932</v>
      </c>
      <c r="E1179" s="6" t="s">
        <v>980</v>
      </c>
      <c r="F1179" s="6" t="s">
        <v>1301</v>
      </c>
      <c r="G1179" s="6" t="s">
        <v>1684</v>
      </c>
    </row>
    <row r="1180" customFormat="false" ht="33" hidden="false" customHeight="true" outlineLevel="0" collapsed="false">
      <c r="A1180" s="19"/>
      <c r="B1180" s="18" t="n">
        <v>7</v>
      </c>
      <c r="C1180" s="4" t="s">
        <v>983</v>
      </c>
      <c r="D1180" s="19" t="s">
        <v>932</v>
      </c>
      <c r="E1180" s="6" t="s">
        <v>984</v>
      </c>
      <c r="F1180" s="6" t="s">
        <v>1443</v>
      </c>
      <c r="G1180" s="6" t="s">
        <v>1694</v>
      </c>
    </row>
    <row r="1181" customFormat="false" ht="43.5" hidden="false" customHeight="true" outlineLevel="0" collapsed="false">
      <c r="A1181" s="19"/>
      <c r="B1181" s="18" t="n">
        <v>8</v>
      </c>
      <c r="C1181" s="4" t="s">
        <v>871</v>
      </c>
      <c r="D1181" s="19" t="s">
        <v>957</v>
      </c>
      <c r="E1181" s="6" t="s">
        <v>958</v>
      </c>
      <c r="F1181" s="6" t="s">
        <v>959</v>
      </c>
      <c r="G1181" s="6" t="s">
        <v>960</v>
      </c>
    </row>
    <row r="1182" customFormat="false" ht="33" hidden="false" customHeight="true" outlineLevel="0" collapsed="false">
      <c r="A1182" s="19"/>
      <c r="B1182" s="18" t="n">
        <v>9</v>
      </c>
      <c r="C1182" s="4" t="s">
        <v>985</v>
      </c>
      <c r="D1182" s="19" t="s">
        <v>957</v>
      </c>
      <c r="E1182" s="6" t="s">
        <v>987</v>
      </c>
      <c r="F1182" s="6" t="s">
        <v>998</v>
      </c>
      <c r="G1182" s="6" t="s">
        <v>1687</v>
      </c>
    </row>
    <row r="1183" customFormat="false" ht="33" hidden="false" customHeight="true" outlineLevel="0" collapsed="false">
      <c r="A1183" s="19"/>
      <c r="B1183" s="18" t="n">
        <v>10</v>
      </c>
      <c r="C1183" s="4" t="s">
        <v>883</v>
      </c>
      <c r="D1183" s="19" t="s">
        <v>957</v>
      </c>
      <c r="E1183" s="6" t="s">
        <v>993</v>
      </c>
      <c r="F1183" s="6" t="s">
        <v>959</v>
      </c>
      <c r="G1183" s="6" t="s">
        <v>994</v>
      </c>
    </row>
    <row r="1184" customFormat="false" ht="33" hidden="false" customHeight="true" outlineLevel="0" collapsed="false">
      <c r="A1184" s="19"/>
      <c r="B1184" s="18" t="n">
        <v>11</v>
      </c>
      <c r="C1184" s="4" t="s">
        <v>889</v>
      </c>
      <c r="D1184" s="19" t="s">
        <v>957</v>
      </c>
      <c r="E1184" s="6" t="s">
        <v>995</v>
      </c>
      <c r="F1184" s="6" t="s">
        <v>959</v>
      </c>
      <c r="G1184" s="6" t="s">
        <v>994</v>
      </c>
    </row>
    <row r="1185" customFormat="false" ht="33" hidden="false" customHeight="true" outlineLevel="0" collapsed="false">
      <c r="A1185" s="4" t="s">
        <v>1696</v>
      </c>
      <c r="B1185" s="18" t="n">
        <v>1</v>
      </c>
      <c r="C1185" s="4" t="s">
        <v>862</v>
      </c>
      <c r="D1185" s="19" t="s">
        <v>921</v>
      </c>
      <c r="E1185" s="6" t="s">
        <v>925</v>
      </c>
      <c r="F1185" s="6" t="s">
        <v>1697</v>
      </c>
      <c r="G1185" s="6" t="s">
        <v>1698</v>
      </c>
    </row>
    <row r="1186" customFormat="false" ht="33" hidden="false" customHeight="true" outlineLevel="0" collapsed="false">
      <c r="A1186" s="19"/>
      <c r="B1186" s="18" t="n">
        <v>2</v>
      </c>
      <c r="C1186" s="4" t="s">
        <v>859</v>
      </c>
      <c r="D1186" s="19" t="s">
        <v>932</v>
      </c>
      <c r="E1186" s="6" t="s">
        <v>922</v>
      </c>
      <c r="F1186" s="6" t="s">
        <v>1410</v>
      </c>
      <c r="G1186" s="6" t="s">
        <v>1699</v>
      </c>
    </row>
    <row r="1187" customFormat="false" ht="25.5" hidden="false" customHeight="true" outlineLevel="0" collapsed="false">
      <c r="A1187" s="19"/>
      <c r="B1187" s="18" t="n">
        <v>3</v>
      </c>
      <c r="C1187" s="4" t="s">
        <v>898</v>
      </c>
      <c r="D1187" s="19" t="s">
        <v>932</v>
      </c>
      <c r="E1187" s="6" t="s">
        <v>928</v>
      </c>
      <c r="F1187" s="6" t="s">
        <v>1700</v>
      </c>
      <c r="G1187" s="6" t="s">
        <v>1701</v>
      </c>
    </row>
    <row r="1188" customFormat="false" ht="25.5" hidden="false" customHeight="true" outlineLevel="0" collapsed="false">
      <c r="A1188" s="19"/>
      <c r="B1188" s="18" t="n">
        <v>4</v>
      </c>
      <c r="C1188" s="4" t="s">
        <v>895</v>
      </c>
      <c r="D1188" s="19" t="s">
        <v>957</v>
      </c>
      <c r="E1188" s="6" t="s">
        <v>1370</v>
      </c>
      <c r="F1188" s="6" t="s">
        <v>1702</v>
      </c>
      <c r="G1188" s="6" t="s">
        <v>1703</v>
      </c>
    </row>
    <row r="1189" customFormat="false" ht="99" hidden="false" customHeight="true" outlineLevel="0" collapsed="false">
      <c r="A1189" s="19"/>
      <c r="B1189" s="18" t="n">
        <v>5</v>
      </c>
      <c r="C1189" s="4" t="s">
        <v>1704</v>
      </c>
      <c r="D1189" s="19" t="s">
        <v>957</v>
      </c>
      <c r="E1189" s="6" t="s">
        <v>1705</v>
      </c>
      <c r="F1189" s="6" t="s">
        <v>1706</v>
      </c>
      <c r="G1189" s="6" t="s">
        <v>1707</v>
      </c>
    </row>
    <row r="1190" customFormat="false" ht="87.75" hidden="false" customHeight="true" outlineLevel="0" collapsed="false">
      <c r="A1190" s="19"/>
      <c r="B1190" s="18" t="n">
        <v>6</v>
      </c>
      <c r="C1190" s="4" t="s">
        <v>1708</v>
      </c>
      <c r="D1190" s="19" t="s">
        <v>957</v>
      </c>
      <c r="E1190" s="6" t="s">
        <v>1709</v>
      </c>
      <c r="F1190" s="6" t="s">
        <v>1710</v>
      </c>
      <c r="G1190" s="6" t="s">
        <v>1711</v>
      </c>
    </row>
    <row r="1191" customFormat="false" ht="25.5" hidden="false" customHeight="true" outlineLevel="0" collapsed="false">
      <c r="A1191" s="19"/>
      <c r="B1191" s="18" t="n">
        <v>7</v>
      </c>
      <c r="C1191" s="4" t="s">
        <v>1712</v>
      </c>
      <c r="D1191" s="19" t="s">
        <v>957</v>
      </c>
      <c r="E1191" s="6" t="s">
        <v>1713</v>
      </c>
      <c r="F1191" s="6" t="s">
        <v>1714</v>
      </c>
      <c r="G1191" s="6" t="s">
        <v>1715</v>
      </c>
    </row>
    <row r="1192" customFormat="false" ht="33" hidden="false" customHeight="true" outlineLevel="0" collapsed="false">
      <c r="A1192" s="4" t="s">
        <v>1716</v>
      </c>
      <c r="B1192" s="18" t="n">
        <v>1</v>
      </c>
      <c r="C1192" s="4" t="s">
        <v>862</v>
      </c>
      <c r="D1192" s="19" t="s">
        <v>921</v>
      </c>
      <c r="E1192" s="6" t="s">
        <v>925</v>
      </c>
      <c r="F1192" s="6" t="s">
        <v>1717</v>
      </c>
      <c r="G1192" s="6" t="s">
        <v>1698</v>
      </c>
    </row>
    <row r="1193" customFormat="false" ht="25.5" hidden="false" customHeight="true" outlineLevel="0" collapsed="false">
      <c r="A1193" s="19"/>
      <c r="B1193" s="18" t="n">
        <v>2</v>
      </c>
      <c r="C1193" s="4" t="s">
        <v>898</v>
      </c>
      <c r="D1193" s="19" t="s">
        <v>932</v>
      </c>
      <c r="E1193" s="6" t="s">
        <v>928</v>
      </c>
      <c r="F1193" s="6" t="s">
        <v>1700</v>
      </c>
      <c r="G1193" s="6" t="s">
        <v>1701</v>
      </c>
    </row>
    <row r="1194" customFormat="false" ht="25.5" hidden="false" customHeight="true" outlineLevel="0" collapsed="false">
      <c r="A1194" s="19"/>
      <c r="B1194" s="18" t="n">
        <v>3</v>
      </c>
      <c r="C1194" s="4" t="s">
        <v>895</v>
      </c>
      <c r="D1194" s="19" t="s">
        <v>957</v>
      </c>
      <c r="E1194" s="6" t="s">
        <v>1370</v>
      </c>
      <c r="F1194" s="6" t="s">
        <v>1702</v>
      </c>
      <c r="G1194" s="6" t="s">
        <v>1703</v>
      </c>
    </row>
    <row r="1195" customFormat="false" ht="99" hidden="false" customHeight="true" outlineLevel="0" collapsed="false">
      <c r="A1195" s="19"/>
      <c r="B1195" s="18" t="n">
        <v>4</v>
      </c>
      <c r="C1195" s="4" t="s">
        <v>1704</v>
      </c>
      <c r="D1195" s="19" t="s">
        <v>957</v>
      </c>
      <c r="E1195" s="6" t="s">
        <v>1705</v>
      </c>
      <c r="F1195" s="6" t="s">
        <v>1706</v>
      </c>
      <c r="G1195" s="6" t="s">
        <v>1707</v>
      </c>
    </row>
    <row r="1196" customFormat="false" ht="87.75" hidden="false" customHeight="true" outlineLevel="0" collapsed="false">
      <c r="A1196" s="19"/>
      <c r="B1196" s="18" t="n">
        <v>5</v>
      </c>
      <c r="C1196" s="4" t="s">
        <v>1708</v>
      </c>
      <c r="D1196" s="19" t="s">
        <v>957</v>
      </c>
      <c r="E1196" s="6" t="s">
        <v>1709</v>
      </c>
      <c r="F1196" s="6" t="s">
        <v>1710</v>
      </c>
      <c r="G1196" s="6" t="s">
        <v>1711</v>
      </c>
    </row>
    <row r="1197" customFormat="false" ht="25.5" hidden="false" customHeight="true" outlineLevel="0" collapsed="false">
      <c r="A1197" s="19"/>
      <c r="B1197" s="18" t="n">
        <v>6</v>
      </c>
      <c r="C1197" s="4" t="s">
        <v>1712</v>
      </c>
      <c r="D1197" s="19" t="s">
        <v>957</v>
      </c>
      <c r="E1197" s="6" t="s">
        <v>1713</v>
      </c>
      <c r="F1197" s="6" t="s">
        <v>1714</v>
      </c>
      <c r="G1197" s="6" t="s">
        <v>1715</v>
      </c>
    </row>
    <row r="1198" customFormat="false" ht="33" hidden="false" customHeight="true" outlineLevel="0" collapsed="false">
      <c r="A1198" s="4" t="s">
        <v>1718</v>
      </c>
      <c r="B1198" s="18" t="n">
        <v>1</v>
      </c>
      <c r="C1198" s="4" t="s">
        <v>862</v>
      </c>
      <c r="D1198" s="19" t="s">
        <v>921</v>
      </c>
      <c r="E1198" s="6" t="s">
        <v>925</v>
      </c>
      <c r="F1198" s="6" t="s">
        <v>1719</v>
      </c>
      <c r="G1198" s="6" t="s">
        <v>1720</v>
      </c>
    </row>
    <row r="1199" customFormat="false" ht="25.5" hidden="false" customHeight="true" outlineLevel="0" collapsed="false">
      <c r="A1199" s="19"/>
      <c r="B1199" s="18" t="n">
        <v>2</v>
      </c>
      <c r="C1199" s="4" t="s">
        <v>898</v>
      </c>
      <c r="D1199" s="19" t="s">
        <v>932</v>
      </c>
      <c r="E1199" s="6" t="s">
        <v>928</v>
      </c>
      <c r="F1199" s="6" t="s">
        <v>1700</v>
      </c>
      <c r="G1199" s="6" t="s">
        <v>1721</v>
      </c>
    </row>
    <row r="1200" customFormat="false" ht="25.5" hidden="false" customHeight="true" outlineLevel="0" collapsed="false">
      <c r="A1200" s="19"/>
      <c r="B1200" s="18" t="n">
        <v>3</v>
      </c>
      <c r="C1200" s="4" t="s">
        <v>895</v>
      </c>
      <c r="D1200" s="19" t="s">
        <v>957</v>
      </c>
      <c r="E1200" s="6" t="s">
        <v>1370</v>
      </c>
      <c r="F1200" s="6" t="s">
        <v>1702</v>
      </c>
      <c r="G1200" s="6" t="s">
        <v>1703</v>
      </c>
    </row>
    <row r="1201" customFormat="false" ht="99" hidden="false" customHeight="true" outlineLevel="0" collapsed="false">
      <c r="A1201" s="19"/>
      <c r="B1201" s="18" t="n">
        <v>4</v>
      </c>
      <c r="C1201" s="4" t="s">
        <v>1704</v>
      </c>
      <c r="D1201" s="19" t="s">
        <v>957</v>
      </c>
      <c r="E1201" s="6" t="s">
        <v>1705</v>
      </c>
      <c r="F1201" s="6" t="s">
        <v>1706</v>
      </c>
      <c r="G1201" s="6" t="s">
        <v>1707</v>
      </c>
    </row>
    <row r="1202" customFormat="false" ht="87.75" hidden="false" customHeight="true" outlineLevel="0" collapsed="false">
      <c r="A1202" s="19"/>
      <c r="B1202" s="18" t="n">
        <v>5</v>
      </c>
      <c r="C1202" s="4" t="s">
        <v>1708</v>
      </c>
      <c r="D1202" s="19" t="s">
        <v>957</v>
      </c>
      <c r="E1202" s="6" t="s">
        <v>1709</v>
      </c>
      <c r="F1202" s="6" t="s">
        <v>1710</v>
      </c>
      <c r="G1202" s="6" t="s">
        <v>1711</v>
      </c>
    </row>
    <row r="1203" customFormat="false" ht="25.5" hidden="false" customHeight="true" outlineLevel="0" collapsed="false">
      <c r="A1203" s="19"/>
      <c r="B1203" s="18" t="n">
        <v>6</v>
      </c>
      <c r="C1203" s="4" t="s">
        <v>1712</v>
      </c>
      <c r="D1203" s="19" t="s">
        <v>957</v>
      </c>
      <c r="E1203" s="6" t="s">
        <v>1713</v>
      </c>
      <c r="F1203" s="6" t="s">
        <v>1714</v>
      </c>
      <c r="G1203" s="6" t="s">
        <v>1715</v>
      </c>
    </row>
    <row r="1204" customFormat="false" ht="33" hidden="false" customHeight="true" outlineLevel="0" collapsed="false">
      <c r="A1204" s="4" t="s">
        <v>1722</v>
      </c>
      <c r="B1204" s="18" t="n">
        <v>1</v>
      </c>
      <c r="C1204" s="4" t="s">
        <v>862</v>
      </c>
      <c r="D1204" s="19" t="s">
        <v>921</v>
      </c>
      <c r="E1204" s="6" t="s">
        <v>925</v>
      </c>
      <c r="F1204" s="6" t="s">
        <v>1717</v>
      </c>
      <c r="G1204" s="6" t="s">
        <v>1723</v>
      </c>
    </row>
    <row r="1205" customFormat="false" ht="33" hidden="false" customHeight="true" outlineLevel="0" collapsed="false">
      <c r="A1205" s="19"/>
      <c r="B1205" s="18" t="n">
        <v>2</v>
      </c>
      <c r="C1205" s="4" t="s">
        <v>859</v>
      </c>
      <c r="D1205" s="19" t="s">
        <v>932</v>
      </c>
      <c r="E1205" s="6" t="s">
        <v>922</v>
      </c>
      <c r="F1205" s="6" t="s">
        <v>1410</v>
      </c>
      <c r="G1205" s="6" t="s">
        <v>1724</v>
      </c>
    </row>
    <row r="1206" customFormat="false" ht="25.5" hidden="false" customHeight="true" outlineLevel="0" collapsed="false">
      <c r="A1206" s="19"/>
      <c r="B1206" s="18" t="n">
        <v>3</v>
      </c>
      <c r="C1206" s="4" t="s">
        <v>898</v>
      </c>
      <c r="D1206" s="19" t="s">
        <v>932</v>
      </c>
      <c r="E1206" s="6" t="s">
        <v>928</v>
      </c>
      <c r="F1206" s="6" t="s">
        <v>1700</v>
      </c>
      <c r="G1206" s="6" t="s">
        <v>1725</v>
      </c>
    </row>
    <row r="1207" customFormat="false" ht="25.5" hidden="false" customHeight="true" outlineLevel="0" collapsed="false">
      <c r="A1207" s="19"/>
      <c r="B1207" s="18" t="n">
        <v>4</v>
      </c>
      <c r="C1207" s="4" t="s">
        <v>895</v>
      </c>
      <c r="D1207" s="19" t="s">
        <v>957</v>
      </c>
      <c r="E1207" s="6" t="s">
        <v>1370</v>
      </c>
      <c r="F1207" s="6" t="s">
        <v>1702</v>
      </c>
      <c r="G1207" s="6" t="s">
        <v>1703</v>
      </c>
    </row>
    <row r="1208" customFormat="false" ht="99" hidden="false" customHeight="true" outlineLevel="0" collapsed="false">
      <c r="A1208" s="19"/>
      <c r="B1208" s="18" t="n">
        <v>5</v>
      </c>
      <c r="C1208" s="4" t="s">
        <v>1704</v>
      </c>
      <c r="D1208" s="19" t="s">
        <v>957</v>
      </c>
      <c r="E1208" s="6" t="s">
        <v>1705</v>
      </c>
      <c r="F1208" s="6" t="s">
        <v>1706</v>
      </c>
      <c r="G1208" s="6" t="s">
        <v>1707</v>
      </c>
    </row>
    <row r="1209" customFormat="false" ht="87.75" hidden="false" customHeight="true" outlineLevel="0" collapsed="false">
      <c r="A1209" s="19"/>
      <c r="B1209" s="18" t="n">
        <v>6</v>
      </c>
      <c r="C1209" s="4" t="s">
        <v>1708</v>
      </c>
      <c r="D1209" s="19" t="s">
        <v>957</v>
      </c>
      <c r="E1209" s="6" t="s">
        <v>1709</v>
      </c>
      <c r="F1209" s="6" t="s">
        <v>1710</v>
      </c>
      <c r="G1209" s="6" t="s">
        <v>1711</v>
      </c>
    </row>
    <row r="1210" customFormat="false" ht="25.5" hidden="false" customHeight="true" outlineLevel="0" collapsed="false">
      <c r="A1210" s="19"/>
      <c r="B1210" s="18" t="n">
        <v>7</v>
      </c>
      <c r="C1210" s="4" t="s">
        <v>1712</v>
      </c>
      <c r="D1210" s="19" t="s">
        <v>957</v>
      </c>
      <c r="E1210" s="6" t="s">
        <v>1713</v>
      </c>
      <c r="F1210" s="6" t="s">
        <v>1714</v>
      </c>
      <c r="G1210" s="6" t="s">
        <v>1715</v>
      </c>
    </row>
    <row r="1211" customFormat="false" ht="33" hidden="false" customHeight="true" outlineLevel="0" collapsed="false">
      <c r="A1211" s="4" t="s">
        <v>1726</v>
      </c>
      <c r="B1211" s="18" t="n">
        <v>1</v>
      </c>
      <c r="C1211" s="4" t="s">
        <v>862</v>
      </c>
      <c r="D1211" s="19" t="s">
        <v>921</v>
      </c>
      <c r="E1211" s="6" t="s">
        <v>925</v>
      </c>
      <c r="F1211" s="6" t="s">
        <v>1717</v>
      </c>
      <c r="G1211" s="6" t="s">
        <v>1723</v>
      </c>
    </row>
    <row r="1212" customFormat="false" ht="25.5" hidden="false" customHeight="true" outlineLevel="0" collapsed="false">
      <c r="A1212" s="19"/>
      <c r="B1212" s="18" t="n">
        <v>2</v>
      </c>
      <c r="C1212" s="4" t="s">
        <v>898</v>
      </c>
      <c r="D1212" s="19" t="s">
        <v>932</v>
      </c>
      <c r="E1212" s="6" t="s">
        <v>928</v>
      </c>
      <c r="F1212" s="6" t="s">
        <v>1700</v>
      </c>
      <c r="G1212" s="6" t="s">
        <v>1725</v>
      </c>
    </row>
    <row r="1213" customFormat="false" ht="25.5" hidden="false" customHeight="true" outlineLevel="0" collapsed="false">
      <c r="A1213" s="19"/>
      <c r="B1213" s="18" t="n">
        <v>3</v>
      </c>
      <c r="C1213" s="4" t="s">
        <v>895</v>
      </c>
      <c r="D1213" s="19" t="s">
        <v>957</v>
      </c>
      <c r="E1213" s="6" t="s">
        <v>1370</v>
      </c>
      <c r="F1213" s="6" t="s">
        <v>1702</v>
      </c>
      <c r="G1213" s="6" t="s">
        <v>1703</v>
      </c>
    </row>
    <row r="1214" customFormat="false" ht="99" hidden="false" customHeight="true" outlineLevel="0" collapsed="false">
      <c r="A1214" s="19"/>
      <c r="B1214" s="18" t="n">
        <v>4</v>
      </c>
      <c r="C1214" s="4" t="s">
        <v>1704</v>
      </c>
      <c r="D1214" s="19" t="s">
        <v>957</v>
      </c>
      <c r="E1214" s="6" t="s">
        <v>1705</v>
      </c>
      <c r="F1214" s="6" t="s">
        <v>1706</v>
      </c>
      <c r="G1214" s="6" t="s">
        <v>1707</v>
      </c>
    </row>
    <row r="1215" customFormat="false" ht="87.75" hidden="false" customHeight="true" outlineLevel="0" collapsed="false">
      <c r="A1215" s="19"/>
      <c r="B1215" s="18" t="n">
        <v>5</v>
      </c>
      <c r="C1215" s="4" t="s">
        <v>1708</v>
      </c>
      <c r="D1215" s="19" t="s">
        <v>957</v>
      </c>
      <c r="E1215" s="6" t="s">
        <v>1709</v>
      </c>
      <c r="F1215" s="6" t="s">
        <v>1710</v>
      </c>
      <c r="G1215" s="6" t="s">
        <v>1711</v>
      </c>
    </row>
    <row r="1216" customFormat="false" ht="25.5" hidden="false" customHeight="true" outlineLevel="0" collapsed="false">
      <c r="A1216" s="19"/>
      <c r="B1216" s="18" t="n">
        <v>6</v>
      </c>
      <c r="C1216" s="4" t="s">
        <v>1712</v>
      </c>
      <c r="D1216" s="19" t="s">
        <v>957</v>
      </c>
      <c r="E1216" s="6" t="s">
        <v>1713</v>
      </c>
      <c r="F1216" s="6" t="s">
        <v>1714</v>
      </c>
      <c r="G1216" s="6" t="s">
        <v>1715</v>
      </c>
    </row>
    <row r="1217" customFormat="false" ht="33" hidden="false" customHeight="true" outlineLevel="0" collapsed="false">
      <c r="A1217" s="4" t="s">
        <v>1727</v>
      </c>
      <c r="B1217" s="18" t="n">
        <v>1</v>
      </c>
      <c r="C1217" s="4" t="s">
        <v>862</v>
      </c>
      <c r="D1217" s="19" t="s">
        <v>921</v>
      </c>
      <c r="E1217" s="6" t="s">
        <v>925</v>
      </c>
      <c r="F1217" s="6" t="s">
        <v>1728</v>
      </c>
      <c r="G1217" s="6" t="s">
        <v>1729</v>
      </c>
    </row>
    <row r="1218" customFormat="false" ht="33" hidden="false" customHeight="true" outlineLevel="0" collapsed="false">
      <c r="A1218" s="19"/>
      <c r="B1218" s="18" t="n">
        <v>2</v>
      </c>
      <c r="C1218" s="4" t="s">
        <v>1262</v>
      </c>
      <c r="D1218" s="19" t="s">
        <v>957</v>
      </c>
      <c r="E1218" s="6" t="s">
        <v>1263</v>
      </c>
      <c r="F1218" s="6" t="s">
        <v>1730</v>
      </c>
      <c r="G1218" s="6" t="s">
        <v>1731</v>
      </c>
    </row>
    <row r="1219" customFormat="false" ht="25.5" hidden="false" customHeight="true" outlineLevel="0" collapsed="false">
      <c r="A1219" s="19"/>
      <c r="B1219" s="18" t="n">
        <v>3</v>
      </c>
      <c r="C1219" s="4" t="s">
        <v>1712</v>
      </c>
      <c r="D1219" s="19" t="s">
        <v>932</v>
      </c>
      <c r="E1219" s="6" t="s">
        <v>1713</v>
      </c>
      <c r="F1219" s="6" t="s">
        <v>1732</v>
      </c>
      <c r="G1219" s="6" t="s">
        <v>1733</v>
      </c>
    </row>
    <row r="1220" customFormat="false" ht="43.5" hidden="false" customHeight="true" outlineLevel="0" collapsed="false">
      <c r="A1220" s="4" t="s">
        <v>1734</v>
      </c>
      <c r="B1220" s="18" t="n">
        <v>1</v>
      </c>
      <c r="C1220" s="4" t="s">
        <v>862</v>
      </c>
      <c r="D1220" s="19" t="s">
        <v>932</v>
      </c>
      <c r="E1220" s="6" t="s">
        <v>925</v>
      </c>
      <c r="F1220" s="6" t="s">
        <v>1735</v>
      </c>
      <c r="G1220" s="6" t="s">
        <v>1736</v>
      </c>
    </row>
    <row r="1221" customFormat="false" ht="43.5" hidden="false" customHeight="true" outlineLevel="0" collapsed="false">
      <c r="A1221" s="19"/>
      <c r="B1221" s="18" t="n">
        <v>2</v>
      </c>
      <c r="C1221" s="4" t="s">
        <v>859</v>
      </c>
      <c r="D1221" s="19" t="s">
        <v>932</v>
      </c>
      <c r="E1221" s="6" t="s">
        <v>922</v>
      </c>
      <c r="F1221" s="6" t="s">
        <v>1735</v>
      </c>
      <c r="G1221" s="6" t="s">
        <v>1736</v>
      </c>
    </row>
    <row r="1222" customFormat="false" ht="33" hidden="false" customHeight="true" outlineLevel="0" collapsed="false">
      <c r="A1222" s="19"/>
      <c r="B1222" s="18" t="n">
        <v>3</v>
      </c>
      <c r="C1222" s="4" t="s">
        <v>1348</v>
      </c>
      <c r="D1222" s="19" t="s">
        <v>1330</v>
      </c>
      <c r="E1222" s="6" t="s">
        <v>1349</v>
      </c>
      <c r="F1222" s="6" t="s">
        <v>1737</v>
      </c>
      <c r="G1222" s="6" t="s">
        <v>1738</v>
      </c>
    </row>
    <row r="1223" customFormat="false" ht="33" hidden="false" customHeight="true" outlineLevel="0" collapsed="false">
      <c r="A1223" s="19"/>
      <c r="B1223" s="18" t="n">
        <v>4</v>
      </c>
      <c r="C1223" s="4" t="s">
        <v>1350</v>
      </c>
      <c r="D1223" s="19" t="s">
        <v>1330</v>
      </c>
      <c r="E1223" s="6" t="s">
        <v>1351</v>
      </c>
      <c r="F1223" s="6" t="s">
        <v>1737</v>
      </c>
      <c r="G1223" s="6" t="s">
        <v>1738</v>
      </c>
    </row>
    <row r="1224" customFormat="false" ht="33" hidden="false" customHeight="true" outlineLevel="0" collapsed="false">
      <c r="A1224" s="19"/>
      <c r="B1224" s="18" t="n">
        <v>5</v>
      </c>
      <c r="C1224" s="4" t="s">
        <v>871</v>
      </c>
      <c r="D1224" s="19" t="s">
        <v>957</v>
      </c>
      <c r="E1224" s="6" t="s">
        <v>958</v>
      </c>
      <c r="F1224" s="6" t="s">
        <v>1739</v>
      </c>
      <c r="G1224" s="6" t="s">
        <v>1740</v>
      </c>
    </row>
    <row r="1225" customFormat="false" ht="33" hidden="false" customHeight="true" outlineLevel="0" collapsed="false">
      <c r="A1225" s="19"/>
      <c r="B1225" s="18" t="n">
        <v>6</v>
      </c>
      <c r="C1225" s="4" t="s">
        <v>874</v>
      </c>
      <c r="D1225" s="19" t="s">
        <v>957</v>
      </c>
      <c r="E1225" s="6" t="s">
        <v>1490</v>
      </c>
      <c r="F1225" s="6" t="s">
        <v>1741</v>
      </c>
      <c r="G1225" s="6" t="s">
        <v>1742</v>
      </c>
    </row>
    <row r="1226" customFormat="false" ht="43.5" hidden="false" customHeight="true" outlineLevel="0" collapsed="false">
      <c r="A1226" s="19"/>
      <c r="B1226" s="18" t="n">
        <v>7</v>
      </c>
      <c r="C1226" s="4" t="s">
        <v>1743</v>
      </c>
      <c r="D1226" s="19" t="s">
        <v>1330</v>
      </c>
      <c r="E1226" s="6" t="s">
        <v>1744</v>
      </c>
      <c r="F1226" s="6" t="s">
        <v>1737</v>
      </c>
      <c r="G1226" s="6" t="s">
        <v>1745</v>
      </c>
    </row>
    <row r="1227" customFormat="false" ht="43.5" hidden="false" customHeight="true" outlineLevel="0" collapsed="false">
      <c r="A1227" s="19"/>
      <c r="B1227" s="18" t="n">
        <v>8</v>
      </c>
      <c r="C1227" s="4" t="s">
        <v>1746</v>
      </c>
      <c r="D1227" s="19" t="s">
        <v>1330</v>
      </c>
      <c r="E1227" s="6" t="s">
        <v>1747</v>
      </c>
      <c r="F1227" s="6" t="s">
        <v>1737</v>
      </c>
      <c r="G1227" s="6" t="s">
        <v>1745</v>
      </c>
    </row>
    <row r="1228" customFormat="false" ht="33" hidden="false" customHeight="true" outlineLevel="0" collapsed="false">
      <c r="A1228" s="19"/>
      <c r="B1228" s="18" t="n">
        <v>9</v>
      </c>
      <c r="C1228" s="4" t="s">
        <v>1471</v>
      </c>
      <c r="D1228" s="19" t="s">
        <v>1330</v>
      </c>
      <c r="E1228" s="6" t="s">
        <v>1472</v>
      </c>
      <c r="F1228" s="6" t="s">
        <v>1737</v>
      </c>
      <c r="G1228" s="6" t="s">
        <v>1738</v>
      </c>
    </row>
    <row r="1229" customFormat="false" ht="33" hidden="false" customHeight="true" outlineLevel="0" collapsed="false">
      <c r="A1229" s="19"/>
      <c r="B1229" s="18" t="n">
        <v>10</v>
      </c>
      <c r="C1229" s="4" t="s">
        <v>1748</v>
      </c>
      <c r="D1229" s="19" t="s">
        <v>957</v>
      </c>
      <c r="E1229" s="6" t="s">
        <v>1749</v>
      </c>
      <c r="F1229" s="6" t="s">
        <v>1750</v>
      </c>
      <c r="G1229" s="6" t="s">
        <v>1751</v>
      </c>
    </row>
    <row r="1230" customFormat="false" ht="25.5" hidden="false" customHeight="true" outlineLevel="0" collapsed="false">
      <c r="A1230" s="19"/>
      <c r="B1230" s="18" t="n">
        <v>11</v>
      </c>
      <c r="C1230" s="4" t="s">
        <v>1752</v>
      </c>
      <c r="D1230" s="19" t="s">
        <v>932</v>
      </c>
      <c r="E1230" s="6" t="s">
        <v>1753</v>
      </c>
      <c r="F1230" s="6" t="s">
        <v>1754</v>
      </c>
      <c r="G1230" s="6" t="s">
        <v>1755</v>
      </c>
    </row>
    <row r="1231" customFormat="false" ht="25.5" hidden="false" customHeight="true" outlineLevel="0" collapsed="false">
      <c r="A1231" s="19"/>
      <c r="B1231" s="18" t="n">
        <v>12</v>
      </c>
      <c r="C1231" s="4" t="s">
        <v>1712</v>
      </c>
      <c r="D1231" s="19" t="s">
        <v>957</v>
      </c>
      <c r="E1231" s="6" t="s">
        <v>1713</v>
      </c>
      <c r="F1231" s="6" t="s">
        <v>1132</v>
      </c>
      <c r="G1231" s="6" t="s">
        <v>1756</v>
      </c>
    </row>
    <row r="1232" customFormat="false" ht="33" hidden="false" customHeight="true" outlineLevel="0" collapsed="false">
      <c r="A1232" s="19"/>
      <c r="B1232" s="18" t="n">
        <v>13</v>
      </c>
      <c r="C1232" s="4" t="s">
        <v>979</v>
      </c>
      <c r="D1232" s="19" t="s">
        <v>932</v>
      </c>
      <c r="E1232" s="6" t="s">
        <v>980</v>
      </c>
      <c r="F1232" s="6" t="s">
        <v>1757</v>
      </c>
      <c r="G1232" s="6" t="s">
        <v>1758</v>
      </c>
    </row>
    <row r="1233" customFormat="false" ht="43.5" hidden="false" customHeight="true" outlineLevel="0" collapsed="false">
      <c r="A1233" s="4" t="s">
        <v>1759</v>
      </c>
      <c r="B1233" s="18" t="n">
        <v>1</v>
      </c>
      <c r="C1233" s="4" t="s">
        <v>862</v>
      </c>
      <c r="D1233" s="19" t="s">
        <v>932</v>
      </c>
      <c r="E1233" s="6" t="s">
        <v>925</v>
      </c>
      <c r="F1233" s="6" t="s">
        <v>1735</v>
      </c>
      <c r="G1233" s="6" t="s">
        <v>1760</v>
      </c>
    </row>
    <row r="1234" customFormat="false" ht="43.5" hidden="false" customHeight="true" outlineLevel="0" collapsed="false">
      <c r="A1234" s="19"/>
      <c r="B1234" s="18" t="n">
        <v>2</v>
      </c>
      <c r="C1234" s="4" t="s">
        <v>859</v>
      </c>
      <c r="D1234" s="19" t="s">
        <v>932</v>
      </c>
      <c r="E1234" s="6" t="s">
        <v>922</v>
      </c>
      <c r="F1234" s="6" t="s">
        <v>1735</v>
      </c>
      <c r="G1234" s="6" t="s">
        <v>1760</v>
      </c>
    </row>
    <row r="1235" customFormat="false" ht="33" hidden="false" customHeight="true" outlineLevel="0" collapsed="false">
      <c r="A1235" s="19"/>
      <c r="B1235" s="18" t="n">
        <v>3</v>
      </c>
      <c r="C1235" s="4" t="s">
        <v>1348</v>
      </c>
      <c r="D1235" s="19" t="s">
        <v>1330</v>
      </c>
      <c r="E1235" s="6" t="s">
        <v>1349</v>
      </c>
      <c r="F1235" s="6" t="s">
        <v>1737</v>
      </c>
      <c r="G1235" s="6" t="s">
        <v>1738</v>
      </c>
    </row>
    <row r="1236" customFormat="false" ht="33" hidden="false" customHeight="true" outlineLevel="0" collapsed="false">
      <c r="A1236" s="19"/>
      <c r="B1236" s="18" t="n">
        <v>4</v>
      </c>
      <c r="C1236" s="4" t="s">
        <v>1350</v>
      </c>
      <c r="D1236" s="19" t="s">
        <v>1330</v>
      </c>
      <c r="E1236" s="6" t="s">
        <v>1351</v>
      </c>
      <c r="F1236" s="6" t="s">
        <v>1737</v>
      </c>
      <c r="G1236" s="6" t="s">
        <v>1738</v>
      </c>
    </row>
    <row r="1237" customFormat="false" ht="33" hidden="false" customHeight="true" outlineLevel="0" collapsed="false">
      <c r="A1237" s="19"/>
      <c r="B1237" s="18" t="n">
        <v>5</v>
      </c>
      <c r="C1237" s="4" t="s">
        <v>871</v>
      </c>
      <c r="D1237" s="19" t="s">
        <v>957</v>
      </c>
      <c r="E1237" s="6" t="s">
        <v>958</v>
      </c>
      <c r="F1237" s="6" t="s">
        <v>1739</v>
      </c>
      <c r="G1237" s="6" t="s">
        <v>1740</v>
      </c>
    </row>
    <row r="1238" customFormat="false" ht="33" hidden="false" customHeight="true" outlineLevel="0" collapsed="false">
      <c r="A1238" s="19"/>
      <c r="B1238" s="18" t="n">
        <v>6</v>
      </c>
      <c r="C1238" s="4" t="s">
        <v>874</v>
      </c>
      <c r="D1238" s="19" t="s">
        <v>957</v>
      </c>
      <c r="E1238" s="6" t="s">
        <v>1490</v>
      </c>
      <c r="F1238" s="6" t="s">
        <v>1741</v>
      </c>
      <c r="G1238" s="6" t="s">
        <v>1742</v>
      </c>
    </row>
    <row r="1239" customFormat="false" ht="43.5" hidden="false" customHeight="true" outlineLevel="0" collapsed="false">
      <c r="A1239" s="19"/>
      <c r="B1239" s="18" t="n">
        <v>7</v>
      </c>
      <c r="C1239" s="4" t="s">
        <v>1743</v>
      </c>
      <c r="D1239" s="19" t="s">
        <v>1330</v>
      </c>
      <c r="E1239" s="6" t="s">
        <v>1744</v>
      </c>
      <c r="F1239" s="6" t="s">
        <v>1737</v>
      </c>
      <c r="G1239" s="6" t="s">
        <v>1745</v>
      </c>
    </row>
    <row r="1240" customFormat="false" ht="43.5" hidden="false" customHeight="true" outlineLevel="0" collapsed="false">
      <c r="A1240" s="19"/>
      <c r="B1240" s="18" t="n">
        <v>8</v>
      </c>
      <c r="C1240" s="4" t="s">
        <v>1746</v>
      </c>
      <c r="D1240" s="19" t="s">
        <v>1330</v>
      </c>
      <c r="E1240" s="6" t="s">
        <v>1747</v>
      </c>
      <c r="F1240" s="6" t="s">
        <v>1737</v>
      </c>
      <c r="G1240" s="6" t="s">
        <v>1745</v>
      </c>
    </row>
    <row r="1241" customFormat="false" ht="33" hidden="false" customHeight="true" outlineLevel="0" collapsed="false">
      <c r="A1241" s="19"/>
      <c r="B1241" s="18" t="n">
        <v>9</v>
      </c>
      <c r="C1241" s="4" t="s">
        <v>1471</v>
      </c>
      <c r="D1241" s="19" t="s">
        <v>1330</v>
      </c>
      <c r="E1241" s="6" t="s">
        <v>1472</v>
      </c>
      <c r="F1241" s="6" t="s">
        <v>1737</v>
      </c>
      <c r="G1241" s="6" t="s">
        <v>1738</v>
      </c>
    </row>
    <row r="1242" customFormat="false" ht="33" hidden="false" customHeight="true" outlineLevel="0" collapsed="false">
      <c r="A1242" s="19"/>
      <c r="B1242" s="18" t="n">
        <v>10</v>
      </c>
      <c r="C1242" s="4" t="s">
        <v>1748</v>
      </c>
      <c r="D1242" s="19" t="s">
        <v>957</v>
      </c>
      <c r="E1242" s="6" t="s">
        <v>1749</v>
      </c>
      <c r="F1242" s="6" t="s">
        <v>1750</v>
      </c>
      <c r="G1242" s="6" t="s">
        <v>1751</v>
      </c>
    </row>
    <row r="1243" customFormat="false" ht="25.5" hidden="false" customHeight="true" outlineLevel="0" collapsed="false">
      <c r="A1243" s="19"/>
      <c r="B1243" s="18" t="n">
        <v>11</v>
      </c>
      <c r="C1243" s="4" t="s">
        <v>1752</v>
      </c>
      <c r="D1243" s="19" t="s">
        <v>932</v>
      </c>
      <c r="E1243" s="6" t="s">
        <v>1753</v>
      </c>
      <c r="F1243" s="6" t="s">
        <v>1754</v>
      </c>
      <c r="G1243" s="6" t="s">
        <v>1755</v>
      </c>
    </row>
    <row r="1244" customFormat="false" ht="25.5" hidden="false" customHeight="true" outlineLevel="0" collapsed="false">
      <c r="A1244" s="19"/>
      <c r="B1244" s="18" t="n">
        <v>12</v>
      </c>
      <c r="C1244" s="4" t="s">
        <v>1712</v>
      </c>
      <c r="D1244" s="19" t="s">
        <v>957</v>
      </c>
      <c r="E1244" s="6" t="s">
        <v>1713</v>
      </c>
      <c r="F1244" s="6" t="s">
        <v>1132</v>
      </c>
      <c r="G1244" s="6" t="s">
        <v>1756</v>
      </c>
    </row>
    <row r="1245" customFormat="false" ht="33" hidden="false" customHeight="true" outlineLevel="0" collapsed="false">
      <c r="A1245" s="19"/>
      <c r="B1245" s="18" t="n">
        <v>13</v>
      </c>
      <c r="C1245" s="4" t="s">
        <v>979</v>
      </c>
      <c r="D1245" s="19" t="s">
        <v>932</v>
      </c>
      <c r="E1245" s="6" t="s">
        <v>980</v>
      </c>
      <c r="F1245" s="6" t="s">
        <v>1757</v>
      </c>
      <c r="G1245" s="6" t="s">
        <v>1758</v>
      </c>
    </row>
    <row r="1246" customFormat="false" ht="43.5" hidden="false" customHeight="true" outlineLevel="0" collapsed="false">
      <c r="A1246" s="4" t="s">
        <v>1761</v>
      </c>
      <c r="B1246" s="18" t="n">
        <v>1</v>
      </c>
      <c r="C1246" s="4" t="s">
        <v>862</v>
      </c>
      <c r="D1246" s="19" t="s">
        <v>932</v>
      </c>
      <c r="E1246" s="6" t="s">
        <v>925</v>
      </c>
      <c r="F1246" s="6" t="s">
        <v>1735</v>
      </c>
      <c r="G1246" s="6" t="s">
        <v>1762</v>
      </c>
    </row>
    <row r="1247" customFormat="false" ht="43.5" hidden="false" customHeight="true" outlineLevel="0" collapsed="false">
      <c r="A1247" s="19"/>
      <c r="B1247" s="18" t="n">
        <v>2</v>
      </c>
      <c r="C1247" s="4" t="s">
        <v>859</v>
      </c>
      <c r="D1247" s="19" t="s">
        <v>932</v>
      </c>
      <c r="E1247" s="6" t="s">
        <v>922</v>
      </c>
      <c r="F1247" s="6" t="s">
        <v>1735</v>
      </c>
      <c r="G1247" s="6" t="s">
        <v>1762</v>
      </c>
    </row>
    <row r="1248" customFormat="false" ht="33" hidden="false" customHeight="true" outlineLevel="0" collapsed="false">
      <c r="A1248" s="19"/>
      <c r="B1248" s="18" t="n">
        <v>3</v>
      </c>
      <c r="C1248" s="4" t="s">
        <v>1348</v>
      </c>
      <c r="D1248" s="19" t="s">
        <v>1330</v>
      </c>
      <c r="E1248" s="6" t="s">
        <v>1349</v>
      </c>
      <c r="F1248" s="6" t="s">
        <v>1737</v>
      </c>
      <c r="G1248" s="6" t="s">
        <v>1738</v>
      </c>
    </row>
    <row r="1249" customFormat="false" ht="33" hidden="false" customHeight="true" outlineLevel="0" collapsed="false">
      <c r="A1249" s="19"/>
      <c r="B1249" s="18" t="n">
        <v>4</v>
      </c>
      <c r="C1249" s="4" t="s">
        <v>1350</v>
      </c>
      <c r="D1249" s="19" t="s">
        <v>1330</v>
      </c>
      <c r="E1249" s="6" t="s">
        <v>1351</v>
      </c>
      <c r="F1249" s="6" t="s">
        <v>1737</v>
      </c>
      <c r="G1249" s="6" t="s">
        <v>1738</v>
      </c>
    </row>
    <row r="1250" customFormat="false" ht="33" hidden="false" customHeight="true" outlineLevel="0" collapsed="false">
      <c r="A1250" s="19"/>
      <c r="B1250" s="18" t="n">
        <v>5</v>
      </c>
      <c r="C1250" s="4" t="s">
        <v>871</v>
      </c>
      <c r="D1250" s="19" t="s">
        <v>957</v>
      </c>
      <c r="E1250" s="6" t="s">
        <v>958</v>
      </c>
      <c r="F1250" s="6" t="s">
        <v>1739</v>
      </c>
      <c r="G1250" s="6" t="s">
        <v>1740</v>
      </c>
    </row>
    <row r="1251" customFormat="false" ht="33" hidden="false" customHeight="true" outlineLevel="0" collapsed="false">
      <c r="A1251" s="19"/>
      <c r="B1251" s="18" t="n">
        <v>6</v>
      </c>
      <c r="C1251" s="4" t="s">
        <v>874</v>
      </c>
      <c r="D1251" s="19" t="s">
        <v>957</v>
      </c>
      <c r="E1251" s="6" t="s">
        <v>1490</v>
      </c>
      <c r="F1251" s="6" t="s">
        <v>1741</v>
      </c>
      <c r="G1251" s="6" t="s">
        <v>1742</v>
      </c>
    </row>
    <row r="1252" customFormat="false" ht="43.5" hidden="false" customHeight="true" outlineLevel="0" collapsed="false">
      <c r="A1252" s="19"/>
      <c r="B1252" s="18" t="n">
        <v>7</v>
      </c>
      <c r="C1252" s="4" t="s">
        <v>1743</v>
      </c>
      <c r="D1252" s="19" t="s">
        <v>1330</v>
      </c>
      <c r="E1252" s="6" t="s">
        <v>1744</v>
      </c>
      <c r="F1252" s="6" t="s">
        <v>1737</v>
      </c>
      <c r="G1252" s="6" t="s">
        <v>1745</v>
      </c>
    </row>
    <row r="1253" customFormat="false" ht="43.5" hidden="false" customHeight="true" outlineLevel="0" collapsed="false">
      <c r="A1253" s="19"/>
      <c r="B1253" s="18" t="n">
        <v>8</v>
      </c>
      <c r="C1253" s="4" t="s">
        <v>1746</v>
      </c>
      <c r="D1253" s="19" t="s">
        <v>1330</v>
      </c>
      <c r="E1253" s="6" t="s">
        <v>1747</v>
      </c>
      <c r="F1253" s="6" t="s">
        <v>1737</v>
      </c>
      <c r="G1253" s="6" t="s">
        <v>1745</v>
      </c>
    </row>
    <row r="1254" customFormat="false" ht="33" hidden="false" customHeight="true" outlineLevel="0" collapsed="false">
      <c r="A1254" s="19"/>
      <c r="B1254" s="18" t="n">
        <v>9</v>
      </c>
      <c r="C1254" s="4" t="s">
        <v>1471</v>
      </c>
      <c r="D1254" s="19" t="s">
        <v>1330</v>
      </c>
      <c r="E1254" s="6" t="s">
        <v>1472</v>
      </c>
      <c r="F1254" s="6" t="s">
        <v>1737</v>
      </c>
      <c r="G1254" s="6" t="s">
        <v>1738</v>
      </c>
    </row>
    <row r="1255" customFormat="false" ht="33" hidden="false" customHeight="true" outlineLevel="0" collapsed="false">
      <c r="A1255" s="19"/>
      <c r="B1255" s="18" t="n">
        <v>10</v>
      </c>
      <c r="C1255" s="4" t="s">
        <v>1748</v>
      </c>
      <c r="D1255" s="19" t="s">
        <v>957</v>
      </c>
      <c r="E1255" s="6" t="s">
        <v>1749</v>
      </c>
      <c r="F1255" s="6" t="s">
        <v>1750</v>
      </c>
      <c r="G1255" s="6" t="s">
        <v>1751</v>
      </c>
    </row>
    <row r="1256" customFormat="false" ht="25.5" hidden="false" customHeight="true" outlineLevel="0" collapsed="false">
      <c r="A1256" s="19"/>
      <c r="B1256" s="18" t="n">
        <v>11</v>
      </c>
      <c r="C1256" s="4" t="s">
        <v>1752</v>
      </c>
      <c r="D1256" s="19" t="s">
        <v>932</v>
      </c>
      <c r="E1256" s="6" t="s">
        <v>1753</v>
      </c>
      <c r="F1256" s="6" t="s">
        <v>1754</v>
      </c>
      <c r="G1256" s="6" t="s">
        <v>1755</v>
      </c>
    </row>
    <row r="1257" customFormat="false" ht="25.5" hidden="false" customHeight="true" outlineLevel="0" collapsed="false">
      <c r="A1257" s="19"/>
      <c r="B1257" s="18" t="n">
        <v>12</v>
      </c>
      <c r="C1257" s="4" t="s">
        <v>1712</v>
      </c>
      <c r="D1257" s="19" t="s">
        <v>957</v>
      </c>
      <c r="E1257" s="6" t="s">
        <v>1713</v>
      </c>
      <c r="F1257" s="6" t="s">
        <v>1132</v>
      </c>
      <c r="G1257" s="6" t="s">
        <v>1756</v>
      </c>
    </row>
    <row r="1258" customFormat="false" ht="33" hidden="false" customHeight="true" outlineLevel="0" collapsed="false">
      <c r="A1258" s="19"/>
      <c r="B1258" s="18" t="n">
        <v>13</v>
      </c>
      <c r="C1258" s="4" t="s">
        <v>979</v>
      </c>
      <c r="D1258" s="19" t="s">
        <v>932</v>
      </c>
      <c r="E1258" s="6" t="s">
        <v>980</v>
      </c>
      <c r="F1258" s="6" t="s">
        <v>1757</v>
      </c>
      <c r="G1258" s="6" t="s">
        <v>1758</v>
      </c>
    </row>
    <row r="1259" customFormat="false" ht="43.5" hidden="false" customHeight="true" outlineLevel="0" collapsed="false">
      <c r="A1259" s="4" t="s">
        <v>1763</v>
      </c>
      <c r="B1259" s="18" t="n">
        <v>1</v>
      </c>
      <c r="C1259" s="4" t="s">
        <v>862</v>
      </c>
      <c r="D1259" s="19" t="s">
        <v>932</v>
      </c>
      <c r="E1259" s="6" t="s">
        <v>925</v>
      </c>
      <c r="F1259" s="6" t="s">
        <v>1735</v>
      </c>
      <c r="G1259" s="6" t="s">
        <v>1764</v>
      </c>
    </row>
    <row r="1260" customFormat="false" ht="43.5" hidden="false" customHeight="true" outlineLevel="0" collapsed="false">
      <c r="A1260" s="19"/>
      <c r="B1260" s="18" t="n">
        <v>2</v>
      </c>
      <c r="C1260" s="4" t="s">
        <v>859</v>
      </c>
      <c r="D1260" s="19" t="s">
        <v>932</v>
      </c>
      <c r="E1260" s="6" t="s">
        <v>922</v>
      </c>
      <c r="F1260" s="6" t="s">
        <v>1735</v>
      </c>
      <c r="G1260" s="6" t="s">
        <v>1764</v>
      </c>
    </row>
    <row r="1261" customFormat="false" ht="33" hidden="false" customHeight="true" outlineLevel="0" collapsed="false">
      <c r="A1261" s="19"/>
      <c r="B1261" s="18" t="n">
        <v>3</v>
      </c>
      <c r="C1261" s="4" t="s">
        <v>1348</v>
      </c>
      <c r="D1261" s="19" t="s">
        <v>1330</v>
      </c>
      <c r="E1261" s="6" t="s">
        <v>1349</v>
      </c>
      <c r="F1261" s="6" t="s">
        <v>1737</v>
      </c>
      <c r="G1261" s="6" t="s">
        <v>1738</v>
      </c>
    </row>
    <row r="1262" customFormat="false" ht="33" hidden="false" customHeight="true" outlineLevel="0" collapsed="false">
      <c r="A1262" s="19"/>
      <c r="B1262" s="18" t="n">
        <v>4</v>
      </c>
      <c r="C1262" s="4" t="s">
        <v>1350</v>
      </c>
      <c r="D1262" s="19" t="s">
        <v>1330</v>
      </c>
      <c r="E1262" s="6" t="s">
        <v>1351</v>
      </c>
      <c r="F1262" s="6" t="s">
        <v>1737</v>
      </c>
      <c r="G1262" s="6" t="s">
        <v>1738</v>
      </c>
    </row>
    <row r="1263" customFormat="false" ht="33" hidden="false" customHeight="true" outlineLevel="0" collapsed="false">
      <c r="A1263" s="19"/>
      <c r="B1263" s="18" t="n">
        <v>5</v>
      </c>
      <c r="C1263" s="4" t="s">
        <v>871</v>
      </c>
      <c r="D1263" s="19" t="s">
        <v>957</v>
      </c>
      <c r="E1263" s="6" t="s">
        <v>958</v>
      </c>
      <c r="F1263" s="6" t="s">
        <v>1739</v>
      </c>
      <c r="G1263" s="6" t="s">
        <v>1740</v>
      </c>
    </row>
    <row r="1264" customFormat="false" ht="33" hidden="false" customHeight="true" outlineLevel="0" collapsed="false">
      <c r="A1264" s="19"/>
      <c r="B1264" s="18" t="n">
        <v>6</v>
      </c>
      <c r="C1264" s="4" t="s">
        <v>874</v>
      </c>
      <c r="D1264" s="19" t="s">
        <v>957</v>
      </c>
      <c r="E1264" s="6" t="s">
        <v>1490</v>
      </c>
      <c r="F1264" s="6" t="s">
        <v>1741</v>
      </c>
      <c r="G1264" s="6" t="s">
        <v>1742</v>
      </c>
    </row>
    <row r="1265" customFormat="false" ht="43.5" hidden="false" customHeight="true" outlineLevel="0" collapsed="false">
      <c r="A1265" s="19"/>
      <c r="B1265" s="18" t="n">
        <v>7</v>
      </c>
      <c r="C1265" s="4" t="s">
        <v>1743</v>
      </c>
      <c r="D1265" s="19" t="s">
        <v>1330</v>
      </c>
      <c r="E1265" s="6" t="s">
        <v>1744</v>
      </c>
      <c r="F1265" s="6" t="s">
        <v>1737</v>
      </c>
      <c r="G1265" s="6" t="s">
        <v>1745</v>
      </c>
    </row>
    <row r="1266" customFormat="false" ht="43.5" hidden="false" customHeight="true" outlineLevel="0" collapsed="false">
      <c r="A1266" s="19"/>
      <c r="B1266" s="18" t="n">
        <v>8</v>
      </c>
      <c r="C1266" s="4" t="s">
        <v>1746</v>
      </c>
      <c r="D1266" s="19" t="s">
        <v>1330</v>
      </c>
      <c r="E1266" s="6" t="s">
        <v>1747</v>
      </c>
      <c r="F1266" s="6" t="s">
        <v>1737</v>
      </c>
      <c r="G1266" s="6" t="s">
        <v>1745</v>
      </c>
    </row>
    <row r="1267" customFormat="false" ht="33" hidden="false" customHeight="true" outlineLevel="0" collapsed="false">
      <c r="A1267" s="19"/>
      <c r="B1267" s="18" t="n">
        <v>9</v>
      </c>
      <c r="C1267" s="4" t="s">
        <v>1471</v>
      </c>
      <c r="D1267" s="19" t="s">
        <v>1330</v>
      </c>
      <c r="E1267" s="6" t="s">
        <v>1472</v>
      </c>
      <c r="F1267" s="6" t="s">
        <v>1737</v>
      </c>
      <c r="G1267" s="6" t="s">
        <v>1738</v>
      </c>
    </row>
    <row r="1268" customFormat="false" ht="33" hidden="false" customHeight="true" outlineLevel="0" collapsed="false">
      <c r="A1268" s="19"/>
      <c r="B1268" s="18" t="n">
        <v>10</v>
      </c>
      <c r="C1268" s="4" t="s">
        <v>1748</v>
      </c>
      <c r="D1268" s="19" t="s">
        <v>957</v>
      </c>
      <c r="E1268" s="6" t="s">
        <v>1749</v>
      </c>
      <c r="F1268" s="6" t="s">
        <v>1750</v>
      </c>
      <c r="G1268" s="6" t="s">
        <v>1751</v>
      </c>
    </row>
    <row r="1269" customFormat="false" ht="25.5" hidden="false" customHeight="true" outlineLevel="0" collapsed="false">
      <c r="A1269" s="19"/>
      <c r="B1269" s="18" t="n">
        <v>11</v>
      </c>
      <c r="C1269" s="4" t="s">
        <v>1752</v>
      </c>
      <c r="D1269" s="19" t="s">
        <v>932</v>
      </c>
      <c r="E1269" s="6" t="s">
        <v>1753</v>
      </c>
      <c r="F1269" s="6" t="s">
        <v>1754</v>
      </c>
      <c r="G1269" s="6" t="s">
        <v>1755</v>
      </c>
    </row>
    <row r="1270" customFormat="false" ht="25.5" hidden="false" customHeight="true" outlineLevel="0" collapsed="false">
      <c r="A1270" s="19"/>
      <c r="B1270" s="18" t="n">
        <v>12</v>
      </c>
      <c r="C1270" s="4" t="s">
        <v>1712</v>
      </c>
      <c r="D1270" s="19" t="s">
        <v>957</v>
      </c>
      <c r="E1270" s="6" t="s">
        <v>1713</v>
      </c>
      <c r="F1270" s="6" t="s">
        <v>1132</v>
      </c>
      <c r="G1270" s="6" t="s">
        <v>1756</v>
      </c>
    </row>
    <row r="1271" customFormat="false" ht="33" hidden="false" customHeight="true" outlineLevel="0" collapsed="false">
      <c r="A1271" s="19"/>
      <c r="B1271" s="18" t="n">
        <v>13</v>
      </c>
      <c r="C1271" s="4" t="s">
        <v>979</v>
      </c>
      <c r="D1271" s="19" t="s">
        <v>932</v>
      </c>
      <c r="E1271" s="6" t="s">
        <v>980</v>
      </c>
      <c r="F1271" s="6" t="s">
        <v>1757</v>
      </c>
      <c r="G1271" s="6" t="s">
        <v>1758</v>
      </c>
    </row>
    <row r="1272" customFormat="false" ht="43.5" hidden="false" customHeight="true" outlineLevel="0" collapsed="false">
      <c r="A1272" s="4" t="s">
        <v>1765</v>
      </c>
      <c r="B1272" s="18" t="n">
        <v>1</v>
      </c>
      <c r="C1272" s="4" t="s">
        <v>862</v>
      </c>
      <c r="D1272" s="19" t="s">
        <v>932</v>
      </c>
      <c r="E1272" s="6" t="s">
        <v>925</v>
      </c>
      <c r="F1272" s="6" t="s">
        <v>1735</v>
      </c>
      <c r="G1272" s="6" t="s">
        <v>1766</v>
      </c>
    </row>
    <row r="1273" customFormat="false" ht="43.5" hidden="false" customHeight="true" outlineLevel="0" collapsed="false">
      <c r="A1273" s="19"/>
      <c r="B1273" s="18" t="n">
        <v>2</v>
      </c>
      <c r="C1273" s="4" t="s">
        <v>859</v>
      </c>
      <c r="D1273" s="19" t="s">
        <v>932</v>
      </c>
      <c r="E1273" s="6" t="s">
        <v>922</v>
      </c>
      <c r="F1273" s="6" t="s">
        <v>1735</v>
      </c>
      <c r="G1273" s="6" t="s">
        <v>1766</v>
      </c>
    </row>
    <row r="1274" customFormat="false" ht="25.5" hidden="false" customHeight="true" outlineLevel="0" collapsed="false">
      <c r="A1274" s="19"/>
      <c r="B1274" s="18" t="n">
        <v>3</v>
      </c>
      <c r="C1274" s="4" t="s">
        <v>1767</v>
      </c>
      <c r="D1274" s="19" t="s">
        <v>1330</v>
      </c>
      <c r="E1274" s="6" t="s">
        <v>1768</v>
      </c>
      <c r="F1274" s="6" t="s">
        <v>1769</v>
      </c>
      <c r="G1274" s="6" t="s">
        <v>1770</v>
      </c>
    </row>
    <row r="1275" customFormat="false" ht="33" hidden="false" customHeight="true" outlineLevel="0" collapsed="false">
      <c r="A1275" s="19"/>
      <c r="B1275" s="18" t="n">
        <v>4</v>
      </c>
      <c r="C1275" s="4" t="s">
        <v>1771</v>
      </c>
      <c r="D1275" s="19" t="s">
        <v>1330</v>
      </c>
      <c r="E1275" s="6" t="s">
        <v>1772</v>
      </c>
      <c r="F1275" s="6" t="s">
        <v>1769</v>
      </c>
      <c r="G1275" s="6" t="s">
        <v>1773</v>
      </c>
    </row>
    <row r="1276" customFormat="false" ht="33" hidden="false" customHeight="true" outlineLevel="0" collapsed="false">
      <c r="A1276" s="19"/>
      <c r="B1276" s="18" t="n">
        <v>5</v>
      </c>
      <c r="C1276" s="4" t="s">
        <v>1348</v>
      </c>
      <c r="D1276" s="19" t="s">
        <v>1330</v>
      </c>
      <c r="E1276" s="6" t="s">
        <v>1349</v>
      </c>
      <c r="F1276" s="6" t="s">
        <v>1737</v>
      </c>
      <c r="G1276" s="6" t="s">
        <v>1738</v>
      </c>
    </row>
    <row r="1277" customFormat="false" ht="33" hidden="false" customHeight="true" outlineLevel="0" collapsed="false">
      <c r="A1277" s="19"/>
      <c r="B1277" s="18" t="n">
        <v>6</v>
      </c>
      <c r="C1277" s="4" t="s">
        <v>1350</v>
      </c>
      <c r="D1277" s="19" t="s">
        <v>1330</v>
      </c>
      <c r="E1277" s="6" t="s">
        <v>1351</v>
      </c>
      <c r="F1277" s="6" t="s">
        <v>1737</v>
      </c>
      <c r="G1277" s="6" t="s">
        <v>1738</v>
      </c>
    </row>
    <row r="1278" customFormat="false" ht="43.5" hidden="false" customHeight="true" outlineLevel="0" collapsed="false">
      <c r="A1278" s="19"/>
      <c r="B1278" s="18" t="n">
        <v>7</v>
      </c>
      <c r="C1278" s="4" t="s">
        <v>1743</v>
      </c>
      <c r="D1278" s="19" t="s">
        <v>1330</v>
      </c>
      <c r="E1278" s="6" t="s">
        <v>1744</v>
      </c>
      <c r="F1278" s="6" t="s">
        <v>1737</v>
      </c>
      <c r="G1278" s="6" t="s">
        <v>1745</v>
      </c>
    </row>
    <row r="1279" customFormat="false" ht="43.5" hidden="false" customHeight="true" outlineLevel="0" collapsed="false">
      <c r="A1279" s="19"/>
      <c r="B1279" s="18" t="n">
        <v>8</v>
      </c>
      <c r="C1279" s="4" t="s">
        <v>1746</v>
      </c>
      <c r="D1279" s="19" t="s">
        <v>1330</v>
      </c>
      <c r="E1279" s="6" t="s">
        <v>1747</v>
      </c>
      <c r="F1279" s="6" t="s">
        <v>1737</v>
      </c>
      <c r="G1279" s="6" t="s">
        <v>1745</v>
      </c>
    </row>
    <row r="1280" customFormat="false" ht="33" hidden="false" customHeight="true" outlineLevel="0" collapsed="false">
      <c r="A1280" s="19"/>
      <c r="B1280" s="18" t="n">
        <v>9</v>
      </c>
      <c r="C1280" s="4" t="s">
        <v>1471</v>
      </c>
      <c r="D1280" s="19" t="s">
        <v>1330</v>
      </c>
      <c r="E1280" s="6" t="s">
        <v>1472</v>
      </c>
      <c r="F1280" s="6" t="s">
        <v>1737</v>
      </c>
      <c r="G1280" s="6" t="s">
        <v>1738</v>
      </c>
    </row>
    <row r="1281" customFormat="false" ht="33" hidden="false" customHeight="true" outlineLevel="0" collapsed="false">
      <c r="A1281" s="19"/>
      <c r="B1281" s="18" t="n">
        <v>10</v>
      </c>
      <c r="C1281" s="4" t="s">
        <v>1748</v>
      </c>
      <c r="D1281" s="19" t="s">
        <v>932</v>
      </c>
      <c r="E1281" s="6" t="s">
        <v>1749</v>
      </c>
      <c r="F1281" s="6" t="s">
        <v>1774</v>
      </c>
      <c r="G1281" s="6" t="s">
        <v>1775</v>
      </c>
    </row>
    <row r="1282" customFormat="false" ht="25.5" hidden="false" customHeight="true" outlineLevel="0" collapsed="false">
      <c r="A1282" s="19"/>
      <c r="B1282" s="18" t="n">
        <v>11</v>
      </c>
      <c r="C1282" s="4" t="s">
        <v>1752</v>
      </c>
      <c r="D1282" s="19" t="s">
        <v>932</v>
      </c>
      <c r="E1282" s="6" t="s">
        <v>1753</v>
      </c>
      <c r="F1282" s="6" t="s">
        <v>1776</v>
      </c>
      <c r="G1282" s="6" t="s">
        <v>1777</v>
      </c>
    </row>
    <row r="1283" customFormat="false" ht="33" hidden="false" customHeight="true" outlineLevel="0" collapsed="false">
      <c r="A1283" s="19"/>
      <c r="B1283" s="18" t="n">
        <v>12</v>
      </c>
      <c r="C1283" s="4" t="s">
        <v>979</v>
      </c>
      <c r="D1283" s="19" t="s">
        <v>932</v>
      </c>
      <c r="E1283" s="6" t="s">
        <v>980</v>
      </c>
      <c r="F1283" s="6" t="s">
        <v>1778</v>
      </c>
      <c r="G1283" s="6" t="s">
        <v>1779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6"/>
    <col collapsed="false" customWidth="true" hidden="false" outlineLevel="0" max="3" min="3" style="0" width="12"/>
    <col collapsed="false" customWidth="true" hidden="false" outlineLevel="0" max="4" min="4" style="0" width="14"/>
  </cols>
  <sheetData>
    <row r="1" customFormat="false" ht="16.15" hidden="false" customHeight="false" outlineLevel="0" collapsed="false">
      <c r="A1" s="1" t="s">
        <v>1780</v>
      </c>
    </row>
    <row r="2" customFormat="false" ht="15" hidden="false" customHeight="false" outlineLevel="0" collapsed="false">
      <c r="A2" s="2" t="s">
        <v>1781</v>
      </c>
    </row>
    <row r="4" customFormat="false" ht="33.75" hidden="false" customHeight="true" outlineLevel="0" collapsed="false">
      <c r="A4" s="14" t="s">
        <v>852</v>
      </c>
      <c r="B4" s="14" t="s">
        <v>853</v>
      </c>
      <c r="C4" s="14" t="s">
        <v>854</v>
      </c>
      <c r="D4" s="14" t="s">
        <v>1782</v>
      </c>
    </row>
    <row r="5" customFormat="false" ht="15" hidden="false" customHeight="false" outlineLevel="0" collapsed="false">
      <c r="A5" s="4" t="s">
        <v>1783</v>
      </c>
      <c r="B5" s="6" t="s">
        <v>1784</v>
      </c>
      <c r="C5" s="19" t="s">
        <v>1785</v>
      </c>
      <c r="D5" s="19" t="s">
        <v>1786</v>
      </c>
    </row>
    <row r="6" customFormat="false" ht="15" hidden="false" customHeight="false" outlineLevel="0" collapsed="false">
      <c r="A6" s="4" t="s">
        <v>1787</v>
      </c>
      <c r="B6" s="6" t="s">
        <v>1788</v>
      </c>
      <c r="C6" s="19" t="s">
        <v>1789</v>
      </c>
      <c r="D6" s="19" t="s">
        <v>1790</v>
      </c>
    </row>
    <row r="7" customFormat="false" ht="15" hidden="false" customHeight="false" outlineLevel="0" collapsed="false">
      <c r="A7" s="4" t="s">
        <v>1791</v>
      </c>
      <c r="B7" s="6" t="s">
        <v>1792</v>
      </c>
      <c r="C7" s="19" t="s">
        <v>1793</v>
      </c>
      <c r="D7" s="19" t="s">
        <v>1790</v>
      </c>
    </row>
    <row r="8" customFormat="false" ht="15" hidden="false" customHeight="false" outlineLevel="0" collapsed="false">
      <c r="A8" s="4" t="s">
        <v>1794</v>
      </c>
      <c r="B8" s="6" t="s">
        <v>1795</v>
      </c>
      <c r="C8" s="19" t="s">
        <v>1796</v>
      </c>
      <c r="D8" s="19" t="s">
        <v>1790</v>
      </c>
    </row>
    <row r="9" customFormat="false" ht="15" hidden="false" customHeight="false" outlineLevel="0" collapsed="false">
      <c r="A9" s="4" t="s">
        <v>1797</v>
      </c>
      <c r="B9" s="6" t="s">
        <v>1795</v>
      </c>
      <c r="C9" s="19" t="s">
        <v>1798</v>
      </c>
      <c r="D9" s="19" t="s">
        <v>1790</v>
      </c>
    </row>
    <row r="10" customFormat="false" ht="15" hidden="false" customHeight="false" outlineLevel="0" collapsed="false">
      <c r="A10" s="4" t="s">
        <v>1799</v>
      </c>
      <c r="B10" s="6" t="s">
        <v>1795</v>
      </c>
      <c r="C10" s="19" t="s">
        <v>1800</v>
      </c>
      <c r="D10" s="19" t="s">
        <v>1790</v>
      </c>
    </row>
    <row r="11" customFormat="false" ht="15" hidden="false" customHeight="false" outlineLevel="0" collapsed="false">
      <c r="A11" s="4" t="s">
        <v>1801</v>
      </c>
      <c r="B11" s="6" t="s">
        <v>1802</v>
      </c>
      <c r="C11" s="19" t="s">
        <v>1803</v>
      </c>
      <c r="D11" s="19" t="s">
        <v>1790</v>
      </c>
    </row>
    <row r="12" customFormat="false" ht="15" hidden="false" customHeight="false" outlineLevel="0" collapsed="false">
      <c r="A12" s="4" t="s">
        <v>1804</v>
      </c>
      <c r="B12" s="6" t="s">
        <v>1805</v>
      </c>
      <c r="C12" s="19" t="s">
        <v>1806</v>
      </c>
      <c r="D12" s="19" t="s">
        <v>1790</v>
      </c>
    </row>
    <row r="13" customFormat="false" ht="15" hidden="false" customHeight="false" outlineLevel="0" collapsed="false">
      <c r="A13" s="4" t="s">
        <v>1807</v>
      </c>
      <c r="B13" s="6" t="s">
        <v>1808</v>
      </c>
      <c r="C13" s="19" t="s">
        <v>1809</v>
      </c>
      <c r="D13" s="19" t="s">
        <v>1790</v>
      </c>
    </row>
    <row r="14" customFormat="false" ht="15" hidden="false" customHeight="false" outlineLevel="0" collapsed="false">
      <c r="A14" s="4" t="s">
        <v>1810</v>
      </c>
      <c r="B14" s="6" t="s">
        <v>1811</v>
      </c>
      <c r="C14" s="19" t="s">
        <v>1812</v>
      </c>
      <c r="D14" s="19" t="s">
        <v>1790</v>
      </c>
    </row>
    <row r="15" customFormat="false" ht="15" hidden="false" customHeight="false" outlineLevel="0" collapsed="false">
      <c r="A15" s="4" t="s">
        <v>1813</v>
      </c>
      <c r="B15" s="6" t="s">
        <v>1814</v>
      </c>
      <c r="C15" s="19" t="s">
        <v>1815</v>
      </c>
      <c r="D15" s="19" t="s">
        <v>1790</v>
      </c>
    </row>
    <row r="16" customFormat="false" ht="15" hidden="false" customHeight="false" outlineLevel="0" collapsed="false">
      <c r="A16" s="4" t="s">
        <v>1816</v>
      </c>
      <c r="B16" s="6" t="s">
        <v>1817</v>
      </c>
      <c r="C16" s="19" t="s">
        <v>1818</v>
      </c>
      <c r="D16" s="19" t="s">
        <v>1790</v>
      </c>
    </row>
    <row r="17" customFormat="false" ht="15" hidden="false" customHeight="false" outlineLevel="0" collapsed="false">
      <c r="A17" s="4" t="s">
        <v>1819</v>
      </c>
      <c r="B17" s="6" t="s">
        <v>1820</v>
      </c>
      <c r="C17" s="19" t="s">
        <v>1821</v>
      </c>
      <c r="D17" s="19" t="s">
        <v>1790</v>
      </c>
    </row>
    <row r="18" customFormat="false" ht="15" hidden="false" customHeight="false" outlineLevel="0" collapsed="false">
      <c r="A18" s="4" t="s">
        <v>1822</v>
      </c>
      <c r="B18" s="6" t="s">
        <v>1823</v>
      </c>
      <c r="C18" s="19" t="s">
        <v>1824</v>
      </c>
      <c r="D18" s="19" t="s">
        <v>1790</v>
      </c>
    </row>
    <row r="19" customFormat="false" ht="15" hidden="false" customHeight="false" outlineLevel="0" collapsed="false">
      <c r="A19" s="4" t="s">
        <v>1825</v>
      </c>
      <c r="B19" s="6" t="s">
        <v>1826</v>
      </c>
      <c r="C19" s="19" t="s">
        <v>1827</v>
      </c>
      <c r="D19" s="19" t="s">
        <v>1790</v>
      </c>
    </row>
    <row r="20" customFormat="false" ht="15" hidden="false" customHeight="false" outlineLevel="0" collapsed="false">
      <c r="A20" s="4" t="s">
        <v>1828</v>
      </c>
      <c r="B20" s="6" t="s">
        <v>1829</v>
      </c>
      <c r="C20" s="19" t="s">
        <v>1830</v>
      </c>
      <c r="D20" s="19" t="s">
        <v>1790</v>
      </c>
    </row>
    <row r="21" customFormat="false" ht="15" hidden="false" customHeight="false" outlineLevel="0" collapsed="false">
      <c r="A21" s="4" t="s">
        <v>1831</v>
      </c>
      <c r="B21" s="6" t="s">
        <v>1832</v>
      </c>
      <c r="C21" s="19" t="s">
        <v>1833</v>
      </c>
      <c r="D21" s="19" t="s">
        <v>1790</v>
      </c>
    </row>
    <row r="22" customFormat="false" ht="15" hidden="false" customHeight="false" outlineLevel="0" collapsed="false">
      <c r="A22" s="4" t="s">
        <v>1834</v>
      </c>
      <c r="B22" s="6" t="s">
        <v>1835</v>
      </c>
      <c r="C22" s="19" t="s">
        <v>1836</v>
      </c>
      <c r="D22" s="19" t="s">
        <v>1790</v>
      </c>
    </row>
    <row r="23" customFormat="false" ht="15" hidden="false" customHeight="false" outlineLevel="0" collapsed="false">
      <c r="A23" s="4" t="s">
        <v>1837</v>
      </c>
      <c r="B23" s="6" t="s">
        <v>1838</v>
      </c>
      <c r="C23" s="19" t="s">
        <v>1839</v>
      </c>
      <c r="D23" s="19" t="s">
        <v>1790</v>
      </c>
    </row>
    <row r="24" customFormat="false" ht="15" hidden="false" customHeight="false" outlineLevel="0" collapsed="false">
      <c r="A24" s="4" t="s">
        <v>856</v>
      </c>
      <c r="B24" s="6" t="s">
        <v>1840</v>
      </c>
      <c r="C24" s="19" t="s">
        <v>1841</v>
      </c>
      <c r="D24" s="19" t="s">
        <v>1786</v>
      </c>
    </row>
    <row r="25" customFormat="false" ht="15" hidden="false" customHeight="false" outlineLevel="0" collapsed="false">
      <c r="A25" s="4" t="s">
        <v>1842</v>
      </c>
      <c r="B25" s="6" t="s">
        <v>1843</v>
      </c>
      <c r="C25" s="19" t="s">
        <v>1844</v>
      </c>
      <c r="D25" s="19" t="s">
        <v>1786</v>
      </c>
    </row>
    <row r="26" customFormat="false" ht="15" hidden="false" customHeight="false" outlineLevel="0" collapsed="false">
      <c r="A26" s="4" t="s">
        <v>1845</v>
      </c>
      <c r="B26" s="6" t="s">
        <v>1846</v>
      </c>
      <c r="C26" s="19" t="s">
        <v>1847</v>
      </c>
      <c r="D26" s="19" t="s">
        <v>1786</v>
      </c>
    </row>
    <row r="27" customFormat="false" ht="15" hidden="false" customHeight="false" outlineLevel="0" collapsed="false">
      <c r="A27" s="4" t="s">
        <v>1848</v>
      </c>
      <c r="B27" s="6" t="s">
        <v>1849</v>
      </c>
      <c r="C27" s="19" t="s">
        <v>1850</v>
      </c>
      <c r="D27" s="19" t="s">
        <v>1786</v>
      </c>
    </row>
    <row r="28" customFormat="false" ht="15" hidden="false" customHeight="false" outlineLevel="0" collapsed="false">
      <c r="A28" s="4" t="s">
        <v>859</v>
      </c>
      <c r="B28" s="6" t="s">
        <v>1851</v>
      </c>
      <c r="C28" s="19" t="s">
        <v>1852</v>
      </c>
      <c r="D28" s="19" t="s">
        <v>1786</v>
      </c>
    </row>
    <row r="29" customFormat="false" ht="15" hidden="false" customHeight="false" outlineLevel="0" collapsed="false">
      <c r="A29" s="4" t="s">
        <v>1853</v>
      </c>
      <c r="B29" s="6" t="s">
        <v>1854</v>
      </c>
      <c r="C29" s="19" t="s">
        <v>1855</v>
      </c>
      <c r="D29" s="19" t="s">
        <v>1786</v>
      </c>
    </row>
    <row r="30" customFormat="false" ht="15" hidden="false" customHeight="false" outlineLevel="0" collapsed="false">
      <c r="A30" s="4" t="s">
        <v>1856</v>
      </c>
      <c r="B30" s="6" t="s">
        <v>1857</v>
      </c>
      <c r="C30" s="19" t="s">
        <v>1858</v>
      </c>
      <c r="D30" s="19" t="s">
        <v>1786</v>
      </c>
    </row>
    <row r="31" customFormat="false" ht="15" hidden="false" customHeight="false" outlineLevel="0" collapsed="false">
      <c r="A31" s="4" t="s">
        <v>862</v>
      </c>
      <c r="B31" s="6" t="s">
        <v>1859</v>
      </c>
      <c r="C31" s="19" t="s">
        <v>1860</v>
      </c>
      <c r="D31" s="19" t="s">
        <v>1786</v>
      </c>
    </row>
    <row r="32" customFormat="false" ht="15" hidden="false" customHeight="false" outlineLevel="0" collapsed="false">
      <c r="A32" s="4" t="s">
        <v>1861</v>
      </c>
      <c r="B32" s="6" t="s">
        <v>1862</v>
      </c>
      <c r="C32" s="19" t="s">
        <v>1863</v>
      </c>
      <c r="D32" s="19" t="s">
        <v>1786</v>
      </c>
    </row>
    <row r="33" customFormat="false" ht="15" hidden="false" customHeight="false" outlineLevel="0" collapsed="false">
      <c r="A33" s="4" t="s">
        <v>1864</v>
      </c>
      <c r="B33" s="6" t="s">
        <v>1865</v>
      </c>
      <c r="C33" s="19" t="s">
        <v>1866</v>
      </c>
      <c r="D33" s="19" t="s">
        <v>1786</v>
      </c>
    </row>
    <row r="34" customFormat="false" ht="15" hidden="false" customHeight="false" outlineLevel="0" collapsed="false">
      <c r="A34" s="4" t="s">
        <v>865</v>
      </c>
      <c r="B34" s="6" t="s">
        <v>1867</v>
      </c>
      <c r="C34" s="19" t="s">
        <v>1868</v>
      </c>
      <c r="D34" s="19" t="s">
        <v>1786</v>
      </c>
    </row>
    <row r="35" customFormat="false" ht="15" hidden="false" customHeight="false" outlineLevel="0" collapsed="false">
      <c r="A35" s="4" t="s">
        <v>868</v>
      </c>
      <c r="B35" s="6" t="s">
        <v>1869</v>
      </c>
      <c r="C35" s="19" t="s">
        <v>1870</v>
      </c>
      <c r="D35" s="19" t="s">
        <v>1786</v>
      </c>
    </row>
    <row r="36" customFormat="false" ht="15" hidden="false" customHeight="false" outlineLevel="0" collapsed="false">
      <c r="A36" s="4" t="s">
        <v>1871</v>
      </c>
      <c r="B36" s="6" t="s">
        <v>1872</v>
      </c>
      <c r="C36" s="19" t="s">
        <v>1873</v>
      </c>
      <c r="D36" s="19" t="s">
        <v>1786</v>
      </c>
    </row>
    <row r="37" customFormat="false" ht="15" hidden="false" customHeight="false" outlineLevel="0" collapsed="false">
      <c r="A37" s="4" t="s">
        <v>871</v>
      </c>
      <c r="B37" s="6" t="s">
        <v>1874</v>
      </c>
      <c r="C37" s="19" t="s">
        <v>1875</v>
      </c>
      <c r="D37" s="19" t="s">
        <v>1786</v>
      </c>
    </row>
    <row r="38" customFormat="false" ht="15" hidden="false" customHeight="false" outlineLevel="0" collapsed="false">
      <c r="A38" s="4" t="s">
        <v>874</v>
      </c>
      <c r="B38" s="6" t="s">
        <v>1874</v>
      </c>
      <c r="C38" s="19" t="s">
        <v>1876</v>
      </c>
      <c r="D38" s="19" t="s">
        <v>1786</v>
      </c>
    </row>
    <row r="39" customFormat="false" ht="15" hidden="false" customHeight="false" outlineLevel="0" collapsed="false">
      <c r="A39" s="4" t="s">
        <v>1743</v>
      </c>
      <c r="B39" s="6" t="s">
        <v>1877</v>
      </c>
      <c r="C39" s="19" t="s">
        <v>1878</v>
      </c>
      <c r="D39" s="19" t="s">
        <v>1786</v>
      </c>
    </row>
    <row r="40" customFormat="false" ht="15" hidden="false" customHeight="false" outlineLevel="0" collapsed="false">
      <c r="A40" s="4" t="s">
        <v>1879</v>
      </c>
      <c r="B40" s="6" t="s">
        <v>1877</v>
      </c>
      <c r="C40" s="19" t="s">
        <v>1880</v>
      </c>
      <c r="D40" s="19" t="s">
        <v>1786</v>
      </c>
    </row>
    <row r="41" customFormat="false" ht="15" hidden="false" customHeight="false" outlineLevel="0" collapsed="false">
      <c r="A41" s="4" t="s">
        <v>877</v>
      </c>
      <c r="B41" s="6" t="s">
        <v>1877</v>
      </c>
      <c r="C41" s="19" t="s">
        <v>1881</v>
      </c>
      <c r="D41" s="19" t="s">
        <v>1786</v>
      </c>
    </row>
    <row r="42" customFormat="false" ht="15" hidden="false" customHeight="false" outlineLevel="0" collapsed="false">
      <c r="A42" s="4" t="s">
        <v>880</v>
      </c>
      <c r="B42" s="6" t="s">
        <v>1882</v>
      </c>
      <c r="C42" s="19" t="s">
        <v>1883</v>
      </c>
      <c r="D42" s="19" t="s">
        <v>1786</v>
      </c>
    </row>
    <row r="43" customFormat="false" ht="15" hidden="false" customHeight="false" outlineLevel="0" collapsed="false">
      <c r="A43" s="4" t="s">
        <v>1884</v>
      </c>
      <c r="B43" s="6" t="s">
        <v>1885</v>
      </c>
      <c r="C43" s="19" t="s">
        <v>1886</v>
      </c>
      <c r="D43" s="19" t="s">
        <v>1786</v>
      </c>
    </row>
    <row r="44" customFormat="false" ht="15" hidden="false" customHeight="false" outlineLevel="0" collapsed="false">
      <c r="A44" s="4" t="s">
        <v>883</v>
      </c>
      <c r="B44" s="6" t="s">
        <v>1885</v>
      </c>
      <c r="C44" s="19" t="s">
        <v>1887</v>
      </c>
      <c r="D44" s="19" t="s">
        <v>1786</v>
      </c>
    </row>
    <row r="45" customFormat="false" ht="15" hidden="false" customHeight="false" outlineLevel="0" collapsed="false">
      <c r="A45" s="4" t="s">
        <v>886</v>
      </c>
      <c r="B45" s="6" t="s">
        <v>1888</v>
      </c>
      <c r="C45" s="19" t="s">
        <v>1889</v>
      </c>
      <c r="D45" s="19" t="s">
        <v>1786</v>
      </c>
    </row>
    <row r="46" customFormat="false" ht="15" hidden="false" customHeight="false" outlineLevel="0" collapsed="false">
      <c r="A46" s="4" t="s">
        <v>1890</v>
      </c>
      <c r="B46" s="6" t="s">
        <v>1891</v>
      </c>
      <c r="C46" s="19" t="s">
        <v>1892</v>
      </c>
      <c r="D46" s="19" t="s">
        <v>1786</v>
      </c>
    </row>
    <row r="47" customFormat="false" ht="15" hidden="false" customHeight="false" outlineLevel="0" collapsed="false">
      <c r="A47" s="4" t="s">
        <v>889</v>
      </c>
      <c r="B47" s="6" t="s">
        <v>1893</v>
      </c>
      <c r="C47" s="19" t="s">
        <v>1894</v>
      </c>
      <c r="D47" s="19" t="s">
        <v>1786</v>
      </c>
    </row>
    <row r="48" customFormat="false" ht="15" hidden="false" customHeight="false" outlineLevel="0" collapsed="false">
      <c r="A48" s="4" t="s">
        <v>1895</v>
      </c>
      <c r="B48" s="6" t="s">
        <v>1896</v>
      </c>
      <c r="C48" s="19" t="s">
        <v>1897</v>
      </c>
      <c r="D48" s="19" t="s">
        <v>1786</v>
      </c>
    </row>
    <row r="49" customFormat="false" ht="15" hidden="false" customHeight="false" outlineLevel="0" collapsed="false">
      <c r="A49" s="4" t="s">
        <v>1898</v>
      </c>
      <c r="B49" s="6" t="s">
        <v>1896</v>
      </c>
      <c r="C49" s="19" t="s">
        <v>1899</v>
      </c>
      <c r="D49" s="19" t="s">
        <v>1786</v>
      </c>
    </row>
    <row r="50" customFormat="false" ht="15" hidden="false" customHeight="false" outlineLevel="0" collapsed="false">
      <c r="A50" s="4" t="s">
        <v>1900</v>
      </c>
      <c r="B50" s="6" t="s">
        <v>1896</v>
      </c>
      <c r="C50" s="19" t="s">
        <v>1901</v>
      </c>
      <c r="D50" s="19" t="s">
        <v>1786</v>
      </c>
    </row>
    <row r="51" customFormat="false" ht="15" hidden="false" customHeight="false" outlineLevel="0" collapsed="false">
      <c r="A51" s="4" t="s">
        <v>1902</v>
      </c>
      <c r="B51" s="6" t="s">
        <v>1896</v>
      </c>
      <c r="C51" s="19" t="s">
        <v>1903</v>
      </c>
      <c r="D51" s="19" t="s">
        <v>1786</v>
      </c>
    </row>
    <row r="52" customFormat="false" ht="15" hidden="false" customHeight="false" outlineLevel="0" collapsed="false">
      <c r="A52" s="4" t="s">
        <v>895</v>
      </c>
      <c r="B52" s="6" t="s">
        <v>1904</v>
      </c>
      <c r="C52" s="19" t="s">
        <v>1905</v>
      </c>
      <c r="D52" s="19" t="s">
        <v>1786</v>
      </c>
    </row>
    <row r="53" customFormat="false" ht="15" hidden="false" customHeight="false" outlineLevel="0" collapsed="false">
      <c r="A53" s="4" t="s">
        <v>1906</v>
      </c>
      <c r="B53" s="6" t="s">
        <v>1907</v>
      </c>
      <c r="C53" s="19" t="s">
        <v>1908</v>
      </c>
      <c r="D53" s="19" t="s">
        <v>1786</v>
      </c>
    </row>
    <row r="54" customFormat="false" ht="15" hidden="false" customHeight="false" outlineLevel="0" collapsed="false">
      <c r="A54" s="4" t="s">
        <v>1063</v>
      </c>
      <c r="B54" s="6" t="s">
        <v>1909</v>
      </c>
      <c r="C54" s="19" t="s">
        <v>1910</v>
      </c>
      <c r="D54" s="19" t="s">
        <v>1786</v>
      </c>
    </row>
    <row r="55" customFormat="false" ht="15" hidden="false" customHeight="false" outlineLevel="0" collapsed="false">
      <c r="A55" s="4" t="s">
        <v>1025</v>
      </c>
      <c r="B55" s="6" t="s">
        <v>1911</v>
      </c>
      <c r="C55" s="19" t="s">
        <v>1912</v>
      </c>
      <c r="D55" s="19" t="s">
        <v>1786</v>
      </c>
    </row>
    <row r="56" customFormat="false" ht="15" hidden="false" customHeight="false" outlineLevel="0" collapsed="false">
      <c r="A56" s="4" t="s">
        <v>1042</v>
      </c>
      <c r="B56" s="6" t="s">
        <v>1913</v>
      </c>
      <c r="C56" s="19" t="s">
        <v>1914</v>
      </c>
      <c r="D56" s="19" t="s">
        <v>1786</v>
      </c>
    </row>
    <row r="57" customFormat="false" ht="15" hidden="false" customHeight="false" outlineLevel="0" collapsed="false">
      <c r="A57" s="4" t="s">
        <v>1028</v>
      </c>
      <c r="B57" s="6" t="s">
        <v>1915</v>
      </c>
      <c r="C57" s="19" t="s">
        <v>1916</v>
      </c>
      <c r="D57" s="19" t="s">
        <v>1786</v>
      </c>
    </row>
    <row r="58" customFormat="false" ht="15" hidden="false" customHeight="false" outlineLevel="0" collapsed="false">
      <c r="A58" s="4" t="s">
        <v>1917</v>
      </c>
      <c r="B58" s="6" t="s">
        <v>1918</v>
      </c>
      <c r="C58" s="19" t="s">
        <v>1919</v>
      </c>
      <c r="D58" s="19" t="s">
        <v>1786</v>
      </c>
    </row>
    <row r="59" customFormat="false" ht="15" hidden="false" customHeight="false" outlineLevel="0" collapsed="false">
      <c r="A59" s="4" t="s">
        <v>1920</v>
      </c>
      <c r="B59" s="6" t="s">
        <v>1921</v>
      </c>
      <c r="C59" s="19" t="s">
        <v>1922</v>
      </c>
      <c r="D59" s="19" t="s">
        <v>1786</v>
      </c>
    </row>
    <row r="60" customFormat="false" ht="15" hidden="false" customHeight="false" outlineLevel="0" collapsed="false">
      <c r="A60" s="4" t="s">
        <v>1923</v>
      </c>
      <c r="B60" s="6" t="s">
        <v>1924</v>
      </c>
      <c r="C60" s="19" t="s">
        <v>1925</v>
      </c>
      <c r="D60" s="19" t="s">
        <v>1786</v>
      </c>
    </row>
    <row r="61" customFormat="false" ht="15" hidden="false" customHeight="false" outlineLevel="0" collapsed="false">
      <c r="A61" s="4" t="s">
        <v>1926</v>
      </c>
      <c r="B61" s="6" t="s">
        <v>1927</v>
      </c>
      <c r="C61" s="19" t="s">
        <v>1928</v>
      </c>
      <c r="D61" s="19" t="s">
        <v>1786</v>
      </c>
    </row>
    <row r="62" customFormat="false" ht="15" hidden="false" customHeight="false" outlineLevel="0" collapsed="false">
      <c r="A62" s="4" t="s">
        <v>1929</v>
      </c>
      <c r="B62" s="6" t="s">
        <v>1927</v>
      </c>
      <c r="C62" s="19" t="s">
        <v>1930</v>
      </c>
      <c r="D62" s="19" t="s">
        <v>1786</v>
      </c>
    </row>
    <row r="63" customFormat="false" ht="15" hidden="false" customHeight="false" outlineLevel="0" collapsed="false">
      <c r="A63" s="4" t="s">
        <v>1931</v>
      </c>
      <c r="B63" s="6" t="s">
        <v>1932</v>
      </c>
      <c r="C63" s="19" t="s">
        <v>1933</v>
      </c>
      <c r="D63" s="19" t="s">
        <v>1786</v>
      </c>
    </row>
    <row r="64" customFormat="false" ht="15" hidden="false" customHeight="false" outlineLevel="0" collapsed="false">
      <c r="A64" s="4" t="s">
        <v>1340</v>
      </c>
      <c r="B64" s="6" t="s">
        <v>1934</v>
      </c>
      <c r="C64" s="19" t="s">
        <v>1935</v>
      </c>
      <c r="D64" s="19" t="s">
        <v>1786</v>
      </c>
    </row>
    <row r="65" customFormat="false" ht="15" hidden="false" customHeight="false" outlineLevel="0" collapsed="false">
      <c r="A65" s="4" t="s">
        <v>898</v>
      </c>
      <c r="B65" s="6" t="s">
        <v>1936</v>
      </c>
      <c r="C65" s="19" t="s">
        <v>1937</v>
      </c>
      <c r="D65" s="19" t="s">
        <v>1786</v>
      </c>
    </row>
    <row r="66" customFormat="false" ht="15" hidden="false" customHeight="false" outlineLevel="0" collapsed="false">
      <c r="A66" s="4" t="s">
        <v>1938</v>
      </c>
      <c r="B66" s="6" t="s">
        <v>1939</v>
      </c>
      <c r="C66" s="19" t="s">
        <v>1940</v>
      </c>
      <c r="D66" s="19" t="s">
        <v>1786</v>
      </c>
    </row>
    <row r="67" customFormat="false" ht="15" hidden="false" customHeight="false" outlineLevel="0" collapsed="false">
      <c r="A67" s="4" t="s">
        <v>1941</v>
      </c>
      <c r="B67" s="6" t="s">
        <v>1942</v>
      </c>
      <c r="C67" s="19" t="s">
        <v>1943</v>
      </c>
      <c r="D67" s="19" t="s">
        <v>1786</v>
      </c>
    </row>
    <row r="68" customFormat="false" ht="15" hidden="false" customHeight="false" outlineLevel="0" collapsed="false">
      <c r="A68" s="4" t="s">
        <v>1944</v>
      </c>
      <c r="B68" s="6" t="s">
        <v>1945</v>
      </c>
      <c r="C68" s="19" t="s">
        <v>1946</v>
      </c>
      <c r="D68" s="19" t="s">
        <v>1786</v>
      </c>
    </row>
    <row r="69" customFormat="false" ht="15" hidden="false" customHeight="false" outlineLevel="0" collapsed="false">
      <c r="A69" s="4" t="s">
        <v>1947</v>
      </c>
      <c r="B69" s="6" t="s">
        <v>1948</v>
      </c>
      <c r="C69" s="19" t="s">
        <v>1949</v>
      </c>
      <c r="D69" s="19" t="s">
        <v>1786</v>
      </c>
    </row>
    <row r="70" customFormat="false" ht="15" hidden="false" customHeight="false" outlineLevel="0" collapsed="false">
      <c r="A70" s="4" t="s">
        <v>1950</v>
      </c>
      <c r="B70" s="6" t="s">
        <v>1948</v>
      </c>
      <c r="C70" s="19" t="s">
        <v>1951</v>
      </c>
      <c r="D70" s="19" t="s">
        <v>1786</v>
      </c>
    </row>
    <row r="71" customFormat="false" ht="15" hidden="false" customHeight="false" outlineLevel="0" collapsed="false">
      <c r="A71" s="4" t="s">
        <v>901</v>
      </c>
      <c r="B71" s="6" t="s">
        <v>1952</v>
      </c>
      <c r="C71" s="19" t="s">
        <v>1953</v>
      </c>
      <c r="D71" s="19" t="s">
        <v>1786</v>
      </c>
    </row>
    <row r="72" customFormat="false" ht="15" hidden="false" customHeight="false" outlineLevel="0" collapsed="false">
      <c r="A72" s="4" t="s">
        <v>1954</v>
      </c>
      <c r="B72" s="6" t="s">
        <v>1955</v>
      </c>
      <c r="C72" s="19" t="s">
        <v>1956</v>
      </c>
      <c r="D72" s="19" t="s">
        <v>1786</v>
      </c>
    </row>
    <row r="73" customFormat="false" ht="15" hidden="false" customHeight="false" outlineLevel="0" collapsed="false">
      <c r="A73" s="4" t="s">
        <v>1957</v>
      </c>
      <c r="B73" s="6" t="s">
        <v>1958</v>
      </c>
      <c r="C73" s="19" t="s">
        <v>1959</v>
      </c>
      <c r="D73" s="19" t="s">
        <v>1786</v>
      </c>
    </row>
    <row r="74" customFormat="false" ht="15" hidden="false" customHeight="false" outlineLevel="0" collapsed="false">
      <c r="A74" s="4" t="s">
        <v>1960</v>
      </c>
      <c r="B74" s="6" t="s">
        <v>1961</v>
      </c>
      <c r="C74" s="19" t="s">
        <v>1962</v>
      </c>
      <c r="D74" s="19" t="s">
        <v>1786</v>
      </c>
    </row>
    <row r="75" customFormat="false" ht="15" hidden="false" customHeight="false" outlineLevel="0" collapsed="false">
      <c r="A75" s="4" t="s">
        <v>1963</v>
      </c>
      <c r="B75" s="6" t="s">
        <v>1964</v>
      </c>
      <c r="C75" s="19" t="s">
        <v>1965</v>
      </c>
      <c r="D75" s="19" t="s">
        <v>1786</v>
      </c>
    </row>
    <row r="76" customFormat="false" ht="15" hidden="false" customHeight="false" outlineLevel="0" collapsed="false">
      <c r="A76" s="4" t="s">
        <v>1966</v>
      </c>
      <c r="B76" s="6" t="s">
        <v>1967</v>
      </c>
      <c r="C76" s="19" t="s">
        <v>1968</v>
      </c>
      <c r="D76" s="19" t="s">
        <v>1786</v>
      </c>
    </row>
    <row r="77" customFormat="false" ht="15" hidden="false" customHeight="false" outlineLevel="0" collapsed="false">
      <c r="A77" s="4" t="s">
        <v>1969</v>
      </c>
      <c r="B77" s="6" t="s">
        <v>1970</v>
      </c>
      <c r="C77" s="19" t="s">
        <v>1971</v>
      </c>
      <c r="D77" s="19" t="s">
        <v>1786</v>
      </c>
    </row>
    <row r="78" customFormat="false" ht="15" hidden="false" customHeight="false" outlineLevel="0" collapsed="false">
      <c r="A78" s="4" t="s">
        <v>904</v>
      </c>
      <c r="B78" s="6" t="s">
        <v>1972</v>
      </c>
      <c r="C78" s="19" t="s">
        <v>1973</v>
      </c>
      <c r="D78" s="19" t="s">
        <v>1786</v>
      </c>
    </row>
    <row r="79" customFormat="false" ht="15" hidden="false" customHeight="false" outlineLevel="0" collapsed="false">
      <c r="A79" s="4" t="s">
        <v>1974</v>
      </c>
      <c r="B79" s="6" t="s">
        <v>1975</v>
      </c>
      <c r="C79" s="19" t="s">
        <v>1976</v>
      </c>
      <c r="D79" s="19" t="s">
        <v>1786</v>
      </c>
    </row>
    <row r="80" customFormat="false" ht="15" hidden="false" customHeight="false" outlineLevel="0" collapsed="false">
      <c r="A80" s="4" t="s">
        <v>1977</v>
      </c>
      <c r="B80" s="6" t="s">
        <v>1978</v>
      </c>
      <c r="C80" s="19" t="s">
        <v>1979</v>
      </c>
      <c r="D80" s="19" t="s">
        <v>1786</v>
      </c>
    </row>
    <row r="81" customFormat="false" ht="15" hidden="false" customHeight="false" outlineLevel="0" collapsed="false">
      <c r="A81" s="4" t="s">
        <v>1980</v>
      </c>
      <c r="B81" s="6" t="s">
        <v>1981</v>
      </c>
      <c r="C81" s="19" t="s">
        <v>1982</v>
      </c>
      <c r="D81" s="19" t="s">
        <v>1786</v>
      </c>
    </row>
    <row r="82" customFormat="false" ht="15" hidden="false" customHeight="false" outlineLevel="0" collapsed="false">
      <c r="A82" s="4" t="s">
        <v>1983</v>
      </c>
      <c r="B82" s="6" t="s">
        <v>1984</v>
      </c>
      <c r="C82" s="19" t="s">
        <v>1985</v>
      </c>
      <c r="D82" s="19" t="s">
        <v>1786</v>
      </c>
    </row>
    <row r="83" customFormat="false" ht="15" hidden="false" customHeight="false" outlineLevel="0" collapsed="false">
      <c r="A83" s="4" t="s">
        <v>1986</v>
      </c>
      <c r="B83" s="6" t="s">
        <v>1987</v>
      </c>
      <c r="C83" s="19" t="s">
        <v>1988</v>
      </c>
      <c r="D83" s="19" t="s">
        <v>1786</v>
      </c>
    </row>
    <row r="84" customFormat="false" ht="15" hidden="false" customHeight="false" outlineLevel="0" collapsed="false">
      <c r="A84" s="4" t="s">
        <v>996</v>
      </c>
      <c r="B84" s="6" t="s">
        <v>1989</v>
      </c>
      <c r="C84" s="19" t="s">
        <v>1990</v>
      </c>
      <c r="D84" s="19" t="s">
        <v>1786</v>
      </c>
    </row>
    <row r="85" customFormat="false" ht="15" hidden="false" customHeight="false" outlineLevel="0" collapsed="false">
      <c r="A85" s="4" t="s">
        <v>1991</v>
      </c>
      <c r="B85" s="6" t="s">
        <v>1992</v>
      </c>
      <c r="C85" s="19" t="s">
        <v>1993</v>
      </c>
      <c r="D85" s="19" t="s">
        <v>1786</v>
      </c>
    </row>
    <row r="86" customFormat="false" ht="15" hidden="false" customHeight="false" outlineLevel="0" collapsed="false">
      <c r="A86" s="4" t="s">
        <v>1994</v>
      </c>
      <c r="B86" s="6" t="s">
        <v>1995</v>
      </c>
      <c r="C86" s="19" t="s">
        <v>1996</v>
      </c>
      <c r="D86" s="19" t="s">
        <v>1786</v>
      </c>
    </row>
    <row r="87" customFormat="false" ht="15" hidden="false" customHeight="false" outlineLevel="0" collapsed="false">
      <c r="A87" s="4" t="s">
        <v>1997</v>
      </c>
      <c r="B87" s="6" t="s">
        <v>1998</v>
      </c>
      <c r="C87" s="19" t="s">
        <v>1999</v>
      </c>
      <c r="D87" s="19" t="s">
        <v>1786</v>
      </c>
    </row>
    <row r="88" customFormat="false" ht="15" hidden="false" customHeight="false" outlineLevel="0" collapsed="false">
      <c r="A88" s="4" t="s">
        <v>2000</v>
      </c>
      <c r="B88" s="6" t="s">
        <v>2001</v>
      </c>
      <c r="C88" s="19" t="s">
        <v>2002</v>
      </c>
      <c r="D88" s="19" t="s">
        <v>1786</v>
      </c>
    </row>
    <row r="89" customFormat="false" ht="15" hidden="false" customHeight="false" outlineLevel="0" collapsed="false">
      <c r="A89" s="4" t="s">
        <v>2003</v>
      </c>
      <c r="B89" s="6" t="s">
        <v>2004</v>
      </c>
      <c r="C89" s="19" t="s">
        <v>2005</v>
      </c>
      <c r="D89" s="19" t="s">
        <v>1786</v>
      </c>
    </row>
    <row r="90" customFormat="false" ht="15" hidden="false" customHeight="false" outlineLevel="0" collapsed="false">
      <c r="A90" s="4" t="s">
        <v>2006</v>
      </c>
      <c r="B90" s="6" t="s">
        <v>2007</v>
      </c>
      <c r="C90" s="19" t="s">
        <v>2008</v>
      </c>
      <c r="D90" s="19" t="s">
        <v>1786</v>
      </c>
    </row>
    <row r="91" customFormat="false" ht="15" hidden="false" customHeight="false" outlineLevel="0" collapsed="false">
      <c r="A91" s="4" t="s">
        <v>2009</v>
      </c>
      <c r="B91" s="6" t="s">
        <v>2010</v>
      </c>
      <c r="C91" s="19" t="s">
        <v>2011</v>
      </c>
      <c r="D91" s="19" t="s">
        <v>1786</v>
      </c>
    </row>
    <row r="92" customFormat="false" ht="15" hidden="false" customHeight="false" outlineLevel="0" collapsed="false">
      <c r="A92" s="4" t="s">
        <v>2012</v>
      </c>
      <c r="B92" s="6" t="s">
        <v>2013</v>
      </c>
      <c r="C92" s="19" t="s">
        <v>2014</v>
      </c>
      <c r="D92" s="19" t="s">
        <v>1786</v>
      </c>
    </row>
    <row r="93" customFormat="false" ht="15" hidden="false" customHeight="false" outlineLevel="0" collapsed="false">
      <c r="A93" s="4" t="s">
        <v>1001</v>
      </c>
      <c r="B93" s="6" t="s">
        <v>2015</v>
      </c>
      <c r="C93" s="19" t="s">
        <v>2016</v>
      </c>
      <c r="D93" s="19" t="s">
        <v>1786</v>
      </c>
    </row>
    <row r="94" customFormat="false" ht="15" hidden="false" customHeight="false" outlineLevel="0" collapsed="false">
      <c r="A94" s="4" t="s">
        <v>1003</v>
      </c>
      <c r="B94" s="6" t="s">
        <v>2017</v>
      </c>
      <c r="C94" s="19" t="s">
        <v>2018</v>
      </c>
      <c r="D94" s="19" t="s">
        <v>1786</v>
      </c>
    </row>
    <row r="95" customFormat="false" ht="15" hidden="false" customHeight="false" outlineLevel="0" collapsed="false">
      <c r="A95" s="4" t="s">
        <v>2019</v>
      </c>
      <c r="B95" s="6" t="s">
        <v>2020</v>
      </c>
      <c r="C95" s="19" t="s">
        <v>2021</v>
      </c>
      <c r="D95" s="19" t="s">
        <v>1786</v>
      </c>
    </row>
    <row r="96" customFormat="false" ht="15" hidden="false" customHeight="false" outlineLevel="0" collapsed="false">
      <c r="A96" s="4" t="s">
        <v>2022</v>
      </c>
      <c r="B96" s="6" t="s">
        <v>2023</v>
      </c>
      <c r="C96" s="19" t="s">
        <v>2024</v>
      </c>
      <c r="D96" s="19" t="s">
        <v>1786</v>
      </c>
    </row>
    <row r="98" customFormat="false" ht="15" hidden="false" customHeight="false" outlineLevel="0" collapsed="false">
      <c r="A98" s="4" t="s">
        <v>2025</v>
      </c>
    </row>
    <row r="99" customFormat="false" ht="23.85" hidden="false" customHeight="false" outlineLevel="0" collapsed="false">
      <c r="A99" s="6" t="s">
        <v>2026</v>
      </c>
      <c r="C99" s="19" t="s">
        <v>2027</v>
      </c>
    </row>
    <row r="100" customFormat="false" ht="23.85" hidden="false" customHeight="false" outlineLevel="0" collapsed="false">
      <c r="A100" s="6" t="s">
        <v>2028</v>
      </c>
      <c r="C100" s="19" t="s">
        <v>2029</v>
      </c>
    </row>
    <row r="101" customFormat="false" ht="35.05" hidden="false" customHeight="false" outlineLevel="0" collapsed="false">
      <c r="A101" s="6" t="s">
        <v>2030</v>
      </c>
      <c r="C101" s="19" t="s">
        <v>2031</v>
      </c>
    </row>
    <row r="102" customFormat="false" ht="35.05" hidden="false" customHeight="false" outlineLevel="0" collapsed="false">
      <c r="A102" s="6" t="s">
        <v>2032</v>
      </c>
      <c r="C102" s="19" t="s">
        <v>2033</v>
      </c>
    </row>
    <row r="103" customFormat="false" ht="35.05" hidden="false" customHeight="false" outlineLevel="0" collapsed="false">
      <c r="A103" s="6" t="s">
        <v>2034</v>
      </c>
      <c r="C103" s="19" t="s">
        <v>2035</v>
      </c>
    </row>
    <row r="104" customFormat="false" ht="46.25" hidden="false" customHeight="false" outlineLevel="0" collapsed="false">
      <c r="A104" s="6" t="s">
        <v>2036</v>
      </c>
      <c r="C104" s="19" t="s">
        <v>2037</v>
      </c>
    </row>
    <row r="105" customFormat="false" ht="15" hidden="false" customHeight="false" outlineLevel="0" collapsed="false">
      <c r="A105" s="6" t="s">
        <v>2038</v>
      </c>
      <c r="C105" s="19" t="s">
        <v>2039</v>
      </c>
    </row>
    <row r="106" customFormat="false" ht="15" hidden="false" customHeight="false" outlineLevel="0" collapsed="false">
      <c r="A106" s="6" t="s">
        <v>2040</v>
      </c>
      <c r="C106" s="19" t="s">
        <v>2041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11"/>
    <col collapsed="false" customWidth="true" hidden="false" outlineLevel="0" max="4" min="4" style="0" width="16"/>
    <col collapsed="false" customWidth="true" hidden="false" outlineLevel="0" max="6" min="5" style="0" width="7"/>
    <col collapsed="false" customWidth="true" hidden="false" outlineLevel="0" max="7" min="7" style="0" width="10"/>
    <col collapsed="false" customWidth="true" hidden="false" outlineLevel="0" max="8" min="8" style="0" width="24"/>
    <col collapsed="false" customWidth="true" hidden="false" outlineLevel="0" max="9" min="9" style="0" width="14"/>
    <col collapsed="false" customWidth="true" hidden="false" outlineLevel="0" max="10" min="10" style="0" width="16"/>
    <col collapsed="false" customWidth="true" hidden="false" outlineLevel="0" max="12" min="11" style="0" width="60"/>
  </cols>
  <sheetData>
    <row r="1" customFormat="false" ht="16.15" hidden="false" customHeight="false" outlineLevel="0" collapsed="false">
      <c r="A1" s="1" t="s">
        <v>2042</v>
      </c>
    </row>
    <row r="3" customFormat="false" ht="33.75" hidden="false" customHeight="true" outlineLevel="0" collapsed="false">
      <c r="A3" s="14" t="s">
        <v>2043</v>
      </c>
      <c r="B3" s="14" t="s">
        <v>2044</v>
      </c>
      <c r="C3" s="14" t="s">
        <v>2045</v>
      </c>
      <c r="D3" s="14" t="s">
        <v>2046</v>
      </c>
      <c r="E3" s="14" t="s">
        <v>2047</v>
      </c>
      <c r="F3" s="14" t="s">
        <v>2048</v>
      </c>
      <c r="G3" s="14" t="s">
        <v>2049</v>
      </c>
      <c r="H3" s="14" t="s">
        <v>2050</v>
      </c>
      <c r="I3" s="14" t="s">
        <v>2051</v>
      </c>
      <c r="J3" s="14" t="s">
        <v>2052</v>
      </c>
      <c r="K3" s="14" t="s">
        <v>2053</v>
      </c>
      <c r="L3" s="14" t="s">
        <v>842</v>
      </c>
    </row>
    <row r="4" customFormat="false" ht="79.85" hidden="false" customHeight="false" outlineLevel="0" collapsed="false">
      <c r="A4" s="4" t="s">
        <v>317</v>
      </c>
      <c r="B4" s="19" t="s">
        <v>2054</v>
      </c>
      <c r="C4" s="19" t="s">
        <v>97</v>
      </c>
      <c r="D4" s="19" t="s">
        <v>2055</v>
      </c>
      <c r="E4" s="19" t="n">
        <v>16</v>
      </c>
      <c r="F4" s="19" t="s">
        <v>1789</v>
      </c>
      <c r="G4" s="19" t="s">
        <v>1901</v>
      </c>
      <c r="H4" s="6" t="s">
        <v>2056</v>
      </c>
      <c r="I4" s="6" t="s">
        <v>2057</v>
      </c>
      <c r="J4" s="6" t="s">
        <v>2058</v>
      </c>
      <c r="K4" s="6" t="s">
        <v>2059</v>
      </c>
      <c r="L4" s="6" t="s">
        <v>2060</v>
      </c>
    </row>
    <row r="5" customFormat="false" ht="46.25" hidden="false" customHeight="false" outlineLevel="0" collapsed="false">
      <c r="A5" s="4" t="s">
        <v>345</v>
      </c>
      <c r="B5" s="19" t="s">
        <v>2061</v>
      </c>
      <c r="C5" s="19" t="s">
        <v>97</v>
      </c>
      <c r="D5" s="19" t="s">
        <v>2062</v>
      </c>
      <c r="E5" s="19" t="n">
        <v>24</v>
      </c>
      <c r="F5" s="19" t="s">
        <v>1789</v>
      </c>
      <c r="G5" s="19" t="s">
        <v>1901</v>
      </c>
      <c r="H5" s="6" t="s">
        <v>2063</v>
      </c>
      <c r="I5" s="6" t="s">
        <v>2064</v>
      </c>
      <c r="J5" s="6" t="s">
        <v>2065</v>
      </c>
      <c r="K5" s="6" t="s">
        <v>2066</v>
      </c>
      <c r="L5" s="6" t="s">
        <v>2067</v>
      </c>
    </row>
    <row r="6" customFormat="false" ht="57.45" hidden="false" customHeight="false" outlineLevel="0" collapsed="false">
      <c r="A6" s="4" t="s">
        <v>356</v>
      </c>
      <c r="B6" s="19" t="s">
        <v>2068</v>
      </c>
      <c r="C6" s="19" t="s">
        <v>138</v>
      </c>
      <c r="D6" s="19" t="s">
        <v>2069</v>
      </c>
      <c r="E6" s="19" t="n">
        <v>16</v>
      </c>
      <c r="F6" s="19" t="s">
        <v>1789</v>
      </c>
      <c r="G6" s="19" t="s">
        <v>1901</v>
      </c>
      <c r="H6" s="6" t="s">
        <v>2070</v>
      </c>
      <c r="I6" s="6" t="s">
        <v>2071</v>
      </c>
      <c r="J6" s="6" t="s">
        <v>2065</v>
      </c>
      <c r="K6" s="6" t="s">
        <v>2072</v>
      </c>
      <c r="L6" s="6" t="s">
        <v>2073</v>
      </c>
    </row>
    <row r="7" customFormat="false" ht="91" hidden="false" customHeight="false" outlineLevel="0" collapsed="false">
      <c r="A7" s="4" t="s">
        <v>364</v>
      </c>
      <c r="B7" s="19" t="s">
        <v>2074</v>
      </c>
      <c r="C7" s="19" t="s">
        <v>97</v>
      </c>
      <c r="D7" s="19" t="s">
        <v>2055</v>
      </c>
      <c r="E7" s="19" t="n">
        <v>16</v>
      </c>
      <c r="F7" s="19" t="s">
        <v>1789</v>
      </c>
      <c r="G7" s="19" t="s">
        <v>1901</v>
      </c>
      <c r="H7" s="6" t="s">
        <v>2075</v>
      </c>
      <c r="I7" s="6" t="s">
        <v>2076</v>
      </c>
      <c r="J7" s="6" t="s">
        <v>2058</v>
      </c>
      <c r="K7" s="6" t="s">
        <v>2077</v>
      </c>
      <c r="L7" s="6" t="s">
        <v>2078</v>
      </c>
    </row>
    <row r="8" customFormat="false" ht="35.05" hidden="false" customHeight="false" outlineLevel="0" collapsed="false">
      <c r="A8" s="4" t="s">
        <v>378</v>
      </c>
      <c r="B8" s="19" t="s">
        <v>2079</v>
      </c>
      <c r="C8" s="19" t="s">
        <v>138</v>
      </c>
      <c r="D8" s="19" t="s">
        <v>2069</v>
      </c>
      <c r="E8" s="19" t="n">
        <v>16</v>
      </c>
      <c r="F8" s="19" t="s">
        <v>1789</v>
      </c>
      <c r="G8" s="19" t="s">
        <v>1901</v>
      </c>
      <c r="H8" s="6" t="s">
        <v>2080</v>
      </c>
      <c r="I8" s="6" t="s">
        <v>2081</v>
      </c>
      <c r="J8" s="6" t="s">
        <v>2082</v>
      </c>
      <c r="K8" s="6" t="s">
        <v>2083</v>
      </c>
      <c r="L8" s="6" t="s">
        <v>2084</v>
      </c>
    </row>
    <row r="9" customFormat="false" ht="35.05" hidden="false" customHeight="false" outlineLevel="0" collapsed="false">
      <c r="A9" s="4" t="s">
        <v>393</v>
      </c>
      <c r="B9" s="19" t="s">
        <v>2085</v>
      </c>
      <c r="C9" s="19" t="s">
        <v>138</v>
      </c>
      <c r="D9" s="19" t="s">
        <v>2086</v>
      </c>
      <c r="E9" s="19" t="n">
        <v>24</v>
      </c>
      <c r="F9" s="19" t="s">
        <v>1789</v>
      </c>
      <c r="G9" s="19" t="s">
        <v>1901</v>
      </c>
      <c r="H9" s="6" t="s">
        <v>2087</v>
      </c>
      <c r="I9" s="6" t="s">
        <v>2088</v>
      </c>
      <c r="J9" s="6" t="s">
        <v>1790</v>
      </c>
      <c r="K9" s="6" t="s">
        <v>2089</v>
      </c>
      <c r="L9" s="6" t="s">
        <v>2090</v>
      </c>
    </row>
    <row r="10" customFormat="false" ht="35.05" hidden="false" customHeight="false" outlineLevel="0" collapsed="false">
      <c r="A10" s="4" t="s">
        <v>395</v>
      </c>
      <c r="B10" s="19" t="s">
        <v>2091</v>
      </c>
      <c r="C10" s="19" t="s">
        <v>191</v>
      </c>
      <c r="D10" s="19" t="s">
        <v>2092</v>
      </c>
      <c r="E10" s="19" t="n">
        <v>16</v>
      </c>
      <c r="F10" s="19" t="s">
        <v>1785</v>
      </c>
      <c r="G10" s="19" t="s">
        <v>1901</v>
      </c>
      <c r="H10" s="6" t="s">
        <v>2093</v>
      </c>
      <c r="I10" s="6" t="s">
        <v>2094</v>
      </c>
      <c r="J10" s="6" t="s">
        <v>1790</v>
      </c>
      <c r="K10" s="6" t="s">
        <v>2095</v>
      </c>
      <c r="L10" s="6" t="s">
        <v>2096</v>
      </c>
    </row>
    <row r="11" customFormat="false" ht="68.65" hidden="false" customHeight="false" outlineLevel="0" collapsed="false">
      <c r="A11" s="4" t="s">
        <v>402</v>
      </c>
      <c r="B11" s="19" t="s">
        <v>2097</v>
      </c>
      <c r="C11" s="19" t="s">
        <v>97</v>
      </c>
      <c r="D11" s="19" t="s">
        <v>2055</v>
      </c>
      <c r="E11" s="19" t="n">
        <v>16</v>
      </c>
      <c r="F11" s="19" t="s">
        <v>1789</v>
      </c>
      <c r="G11" s="19" t="s">
        <v>1901</v>
      </c>
      <c r="H11" s="6" t="s">
        <v>2098</v>
      </c>
      <c r="I11" s="6" t="s">
        <v>2099</v>
      </c>
      <c r="J11" s="6" t="s">
        <v>2065</v>
      </c>
      <c r="K11" s="6" t="s">
        <v>2100</v>
      </c>
      <c r="L11" s="6" t="s">
        <v>2101</v>
      </c>
    </row>
    <row r="12" customFormat="false" ht="35.05" hidden="false" customHeight="false" outlineLevel="0" collapsed="false">
      <c r="A12" s="4" t="s">
        <v>411</v>
      </c>
      <c r="B12" s="19" t="s">
        <v>2102</v>
      </c>
      <c r="C12" s="19" t="s">
        <v>97</v>
      </c>
      <c r="D12" s="19" t="s">
        <v>2055</v>
      </c>
      <c r="E12" s="19" t="n">
        <v>16</v>
      </c>
      <c r="F12" s="19" t="s">
        <v>1789</v>
      </c>
      <c r="G12" s="19" t="s">
        <v>1901</v>
      </c>
      <c r="H12" s="6" t="s">
        <v>2103</v>
      </c>
      <c r="I12" s="6" t="s">
        <v>2104</v>
      </c>
      <c r="J12" s="6" t="s">
        <v>1790</v>
      </c>
      <c r="K12" s="6" t="s">
        <v>2105</v>
      </c>
      <c r="L12" s="6" t="s">
        <v>2106</v>
      </c>
    </row>
    <row r="13" customFormat="false" ht="68.65" hidden="false" customHeight="false" outlineLevel="0" collapsed="false">
      <c r="A13" s="4" t="s">
        <v>415</v>
      </c>
      <c r="B13" s="19" t="s">
        <v>2107</v>
      </c>
      <c r="C13" s="19" t="s">
        <v>138</v>
      </c>
      <c r="D13" s="19" t="s">
        <v>2069</v>
      </c>
      <c r="E13" s="19" t="n">
        <v>16</v>
      </c>
      <c r="F13" s="19" t="s">
        <v>1789</v>
      </c>
      <c r="G13" s="19" t="s">
        <v>1901</v>
      </c>
      <c r="H13" s="6" t="s">
        <v>2108</v>
      </c>
      <c r="I13" s="6" t="s">
        <v>2109</v>
      </c>
      <c r="J13" s="6" t="s">
        <v>2110</v>
      </c>
      <c r="K13" s="6" t="s">
        <v>2111</v>
      </c>
      <c r="L13" s="6" t="s">
        <v>2112</v>
      </c>
    </row>
    <row r="14" customFormat="false" ht="79.85" hidden="false" customHeight="false" outlineLevel="0" collapsed="false">
      <c r="A14" s="4" t="s">
        <v>2113</v>
      </c>
      <c r="B14" s="19" t="s">
        <v>2114</v>
      </c>
      <c r="C14" s="19" t="s">
        <v>251</v>
      </c>
      <c r="D14" s="19" t="s">
        <v>2115</v>
      </c>
      <c r="E14" s="19" t="n">
        <v>16</v>
      </c>
      <c r="F14" s="19" t="s">
        <v>1789</v>
      </c>
      <c r="G14" s="19" t="s">
        <v>1901</v>
      </c>
      <c r="H14" s="6" t="s">
        <v>2116</v>
      </c>
      <c r="I14" s="6" t="s">
        <v>2117</v>
      </c>
      <c r="J14" s="6" t="s">
        <v>2118</v>
      </c>
      <c r="K14" s="6" t="s">
        <v>2119</v>
      </c>
      <c r="L14" s="6" t="s">
        <v>2112</v>
      </c>
    </row>
    <row r="15" customFormat="false" ht="35.05" hidden="false" customHeight="false" outlineLevel="0" collapsed="false">
      <c r="A15" s="4" t="s">
        <v>423</v>
      </c>
      <c r="B15" s="19" t="s">
        <v>2120</v>
      </c>
      <c r="C15" s="19" t="s">
        <v>97</v>
      </c>
      <c r="D15" s="19" t="s">
        <v>2055</v>
      </c>
      <c r="E15" s="19" t="n">
        <v>16</v>
      </c>
      <c r="F15" s="19" t="s">
        <v>1789</v>
      </c>
      <c r="G15" s="19" t="s">
        <v>1901</v>
      </c>
      <c r="H15" s="6" t="s">
        <v>2121</v>
      </c>
      <c r="I15" s="6" t="s">
        <v>2122</v>
      </c>
      <c r="J15" s="6" t="s">
        <v>1790</v>
      </c>
      <c r="K15" s="6" t="s">
        <v>2123</v>
      </c>
      <c r="L15" s="6" t="s">
        <v>2124</v>
      </c>
    </row>
    <row r="16" customFormat="false" ht="57.45" hidden="false" customHeight="false" outlineLevel="0" collapsed="false">
      <c r="A16" s="4" t="s">
        <v>429</v>
      </c>
      <c r="B16" s="19" t="s">
        <v>2125</v>
      </c>
      <c r="C16" s="19" t="s">
        <v>191</v>
      </c>
      <c r="D16" s="19" t="s">
        <v>2092</v>
      </c>
      <c r="E16" s="19" t="n">
        <v>16</v>
      </c>
      <c r="F16" s="19" t="s">
        <v>1785</v>
      </c>
      <c r="G16" s="19" t="s">
        <v>1901</v>
      </c>
      <c r="H16" s="6" t="s">
        <v>2126</v>
      </c>
      <c r="I16" s="6" t="s">
        <v>2127</v>
      </c>
      <c r="J16" s="6" t="s">
        <v>1790</v>
      </c>
      <c r="K16" s="6" t="s">
        <v>2128</v>
      </c>
      <c r="L16" s="6" t="s">
        <v>2129</v>
      </c>
    </row>
    <row r="17" customFormat="false" ht="35.05" hidden="false" customHeight="false" outlineLevel="0" collapsed="false">
      <c r="A17" s="4" t="s">
        <v>447</v>
      </c>
      <c r="B17" s="19" t="s">
        <v>2130</v>
      </c>
      <c r="C17" s="19" t="s">
        <v>191</v>
      </c>
      <c r="D17" s="19" t="s">
        <v>2092</v>
      </c>
      <c r="E17" s="19" t="n">
        <v>16</v>
      </c>
      <c r="F17" s="19" t="s">
        <v>1785</v>
      </c>
      <c r="G17" s="19" t="s">
        <v>1901</v>
      </c>
      <c r="H17" s="6" t="s">
        <v>2131</v>
      </c>
      <c r="I17" s="6" t="s">
        <v>2132</v>
      </c>
      <c r="J17" s="6" t="s">
        <v>1790</v>
      </c>
      <c r="K17" s="6" t="s">
        <v>2133</v>
      </c>
      <c r="L17" s="6" t="s">
        <v>2134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
    <col collapsed="false" customWidth="true" hidden="false" outlineLevel="0" max="3" min="3" style="0" width="8"/>
    <col collapsed="false" customWidth="true" hidden="false" outlineLevel="0" max="4" min="4" style="0" width="74"/>
    <col collapsed="false" customWidth="true" hidden="false" outlineLevel="0" max="5" min="5" style="0" width="11"/>
    <col collapsed="false" customWidth="true" hidden="false" outlineLevel="0" max="6" min="6" style="0" width="15"/>
    <col collapsed="false" customWidth="true" hidden="false" outlineLevel="0" max="7" min="7" style="0" width="46"/>
  </cols>
  <sheetData>
    <row r="1" customFormat="false" ht="16.15" hidden="false" customHeight="false" outlineLevel="0" collapsed="false">
      <c r="A1" s="1" t="s">
        <v>2135</v>
      </c>
    </row>
    <row r="2" customFormat="false" ht="15" hidden="false" customHeight="false" outlineLevel="0" collapsed="false">
      <c r="A2" s="2" t="s">
        <v>2136</v>
      </c>
    </row>
    <row r="4" customFormat="false" ht="33.75" hidden="false" customHeight="true" outlineLevel="0" collapsed="false">
      <c r="A4" s="14" t="s">
        <v>2043</v>
      </c>
      <c r="B4" s="14" t="s">
        <v>676</v>
      </c>
      <c r="C4" s="14" t="s">
        <v>2137</v>
      </c>
      <c r="D4" s="14" t="s">
        <v>2138</v>
      </c>
      <c r="E4" s="14" t="s">
        <v>518</v>
      </c>
      <c r="F4" s="14" t="s">
        <v>2139</v>
      </c>
      <c r="G4" s="14" t="s">
        <v>2140</v>
      </c>
    </row>
    <row r="5" customFormat="false" ht="15" hidden="false" customHeight="false" outlineLevel="0" collapsed="false">
      <c r="A5" s="4" t="s">
        <v>317</v>
      </c>
      <c r="B5" s="19" t="n">
        <v>1</v>
      </c>
      <c r="C5" s="19" t="s">
        <v>2141</v>
      </c>
      <c r="D5" s="6" t="s">
        <v>2142</v>
      </c>
      <c r="E5" s="8" t="n">
        <v>16.42</v>
      </c>
      <c r="F5" s="19" t="s">
        <v>1790</v>
      </c>
      <c r="G5" s="6" t="s">
        <v>2143</v>
      </c>
    </row>
    <row r="6" customFormat="false" ht="15" hidden="false" customHeight="false" outlineLevel="0" collapsed="false">
      <c r="A6" s="4" t="s">
        <v>317</v>
      </c>
      <c r="B6" s="19" t="n">
        <v>2</v>
      </c>
      <c r="C6" s="19" t="s">
        <v>2144</v>
      </c>
      <c r="D6" s="6" t="s">
        <v>2145</v>
      </c>
      <c r="E6" s="8" t="n">
        <v>3.13</v>
      </c>
      <c r="F6" s="19" t="s">
        <v>1786</v>
      </c>
      <c r="G6" s="6" t="s">
        <v>2143</v>
      </c>
    </row>
    <row r="7" customFormat="false" ht="15" hidden="false" customHeight="false" outlineLevel="0" collapsed="false">
      <c r="A7" s="4" t="s">
        <v>317</v>
      </c>
      <c r="B7" s="19" t="n">
        <v>3</v>
      </c>
      <c r="C7" s="19" t="s">
        <v>2146</v>
      </c>
      <c r="D7" s="6" t="s">
        <v>2147</v>
      </c>
      <c r="E7" s="8" t="n">
        <v>2.63</v>
      </c>
      <c r="F7" s="19" t="s">
        <v>1786</v>
      </c>
      <c r="G7" s="6" t="s">
        <v>2143</v>
      </c>
    </row>
    <row r="8" customFormat="false" ht="15" hidden="false" customHeight="false" outlineLevel="0" collapsed="false">
      <c r="A8" s="4" t="s">
        <v>317</v>
      </c>
      <c r="B8" s="19" t="n">
        <v>4</v>
      </c>
      <c r="C8" s="19" t="s">
        <v>2148</v>
      </c>
      <c r="D8" s="6" t="s">
        <v>2149</v>
      </c>
      <c r="E8" s="8" t="n">
        <v>5</v>
      </c>
      <c r="F8" s="19" t="s">
        <v>1786</v>
      </c>
      <c r="G8" s="6" t="s">
        <v>2143</v>
      </c>
    </row>
    <row r="9" customFormat="false" ht="15" hidden="false" customHeight="false" outlineLevel="0" collapsed="false">
      <c r="A9" s="4" t="s">
        <v>317</v>
      </c>
      <c r="B9" s="19" t="n">
        <v>5</v>
      </c>
      <c r="C9" s="19" t="s">
        <v>2150</v>
      </c>
      <c r="D9" s="6" t="s">
        <v>2151</v>
      </c>
      <c r="E9" s="8" t="n">
        <v>15.23</v>
      </c>
      <c r="F9" s="19" t="s">
        <v>1790</v>
      </c>
      <c r="G9" s="6" t="s">
        <v>2143</v>
      </c>
    </row>
    <row r="10" customFormat="false" ht="15" hidden="false" customHeight="false" outlineLevel="0" collapsed="false">
      <c r="A10" s="4" t="s">
        <v>317</v>
      </c>
      <c r="B10" s="19" t="n">
        <v>6</v>
      </c>
      <c r="C10" s="19" t="s">
        <v>2152</v>
      </c>
      <c r="D10" s="6" t="s">
        <v>2153</v>
      </c>
      <c r="E10" s="8" t="n">
        <v>5.5</v>
      </c>
      <c r="F10" s="19" t="s">
        <v>1786</v>
      </c>
      <c r="G10" s="6" t="s">
        <v>2143</v>
      </c>
    </row>
    <row r="11" customFormat="false" ht="15" hidden="false" customHeight="false" outlineLevel="0" collapsed="false">
      <c r="A11" s="4" t="s">
        <v>317</v>
      </c>
      <c r="B11" s="19" t="n">
        <v>7</v>
      </c>
      <c r="C11" s="19" t="s">
        <v>2154</v>
      </c>
      <c r="D11" s="6" t="s">
        <v>2155</v>
      </c>
      <c r="E11" s="8" t="n">
        <v>1.73</v>
      </c>
      <c r="F11" s="19" t="s">
        <v>1790</v>
      </c>
      <c r="G11" s="6" t="s">
        <v>2143</v>
      </c>
    </row>
    <row r="12" customFormat="false" ht="23.85" hidden="false" customHeight="false" outlineLevel="0" collapsed="false">
      <c r="A12" s="4" t="s">
        <v>317</v>
      </c>
      <c r="B12" s="19" t="n">
        <v>8</v>
      </c>
      <c r="C12" s="19" t="s">
        <v>2156</v>
      </c>
      <c r="D12" s="6" t="s">
        <v>2157</v>
      </c>
      <c r="E12" s="8" t="n">
        <v>17.06</v>
      </c>
      <c r="F12" s="19" t="s">
        <v>1790</v>
      </c>
      <c r="G12" s="6" t="s">
        <v>2143</v>
      </c>
    </row>
    <row r="13" customFormat="false" ht="23.85" hidden="false" customHeight="false" outlineLevel="0" collapsed="false">
      <c r="A13" s="4" t="s">
        <v>317</v>
      </c>
      <c r="B13" s="19" t="n">
        <v>9</v>
      </c>
      <c r="C13" s="19" t="s">
        <v>2158</v>
      </c>
      <c r="D13" s="6" t="s">
        <v>2159</v>
      </c>
      <c r="E13" s="8" t="n">
        <v>11.667</v>
      </c>
      <c r="F13" s="19" t="s">
        <v>1790</v>
      </c>
      <c r="G13" s="6" t="s">
        <v>2143</v>
      </c>
    </row>
    <row r="14" customFormat="false" ht="15" hidden="false" customHeight="false" outlineLevel="0" collapsed="false">
      <c r="A14" s="4" t="s">
        <v>345</v>
      </c>
      <c r="B14" s="19" t="n">
        <v>1</v>
      </c>
      <c r="C14" s="19" t="s">
        <v>2160</v>
      </c>
      <c r="D14" s="6" t="s">
        <v>2161</v>
      </c>
      <c r="E14" s="8" t="n">
        <v>3.417</v>
      </c>
      <c r="F14" s="19" t="s">
        <v>1786</v>
      </c>
      <c r="G14" s="6" t="s">
        <v>2143</v>
      </c>
    </row>
    <row r="15" customFormat="false" ht="15" hidden="false" customHeight="false" outlineLevel="0" collapsed="false">
      <c r="A15" s="4" t="s">
        <v>345</v>
      </c>
      <c r="B15" s="19" t="n">
        <v>2</v>
      </c>
      <c r="C15" s="19" t="s">
        <v>2162</v>
      </c>
      <c r="D15" s="6" t="s">
        <v>2163</v>
      </c>
      <c r="E15" s="8" t="n">
        <v>3.413</v>
      </c>
      <c r="F15" s="19" t="s">
        <v>1790</v>
      </c>
      <c r="G15" s="6" t="s">
        <v>2143</v>
      </c>
    </row>
    <row r="16" customFormat="false" ht="15" hidden="false" customHeight="false" outlineLevel="0" collapsed="false">
      <c r="A16" s="4" t="s">
        <v>345</v>
      </c>
      <c r="B16" s="19" t="n">
        <v>3</v>
      </c>
      <c r="C16" s="19" t="s">
        <v>2164</v>
      </c>
      <c r="D16" s="6" t="s">
        <v>2165</v>
      </c>
      <c r="E16" s="8" t="n">
        <v>1.16</v>
      </c>
      <c r="F16" s="19" t="s">
        <v>1790</v>
      </c>
      <c r="G16" s="6" t="s">
        <v>2143</v>
      </c>
    </row>
    <row r="17" customFormat="false" ht="15" hidden="false" customHeight="false" outlineLevel="0" collapsed="false">
      <c r="A17" s="4" t="s">
        <v>356</v>
      </c>
      <c r="B17" s="19" t="n">
        <v>1</v>
      </c>
      <c r="C17" s="19" t="s">
        <v>2166</v>
      </c>
      <c r="D17" s="6" t="s">
        <v>2167</v>
      </c>
      <c r="E17" s="8" t="n">
        <v>19</v>
      </c>
      <c r="F17" s="19" t="s">
        <v>1786</v>
      </c>
      <c r="G17" s="6" t="s">
        <v>2143</v>
      </c>
    </row>
    <row r="18" customFormat="false" ht="15" hidden="false" customHeight="false" outlineLevel="0" collapsed="false">
      <c r="A18" s="4" t="s">
        <v>356</v>
      </c>
      <c r="B18" s="19" t="n">
        <v>2</v>
      </c>
      <c r="C18" s="19" t="s">
        <v>2168</v>
      </c>
      <c r="D18" s="6" t="s">
        <v>2169</v>
      </c>
      <c r="E18" s="8" t="n">
        <v>11</v>
      </c>
      <c r="F18" s="19" t="s">
        <v>1790</v>
      </c>
      <c r="G18" s="6" t="s">
        <v>2143</v>
      </c>
    </row>
    <row r="19" customFormat="false" ht="15" hidden="false" customHeight="false" outlineLevel="0" collapsed="false">
      <c r="A19" s="4" t="s">
        <v>356</v>
      </c>
      <c r="B19" s="19" t="n">
        <v>3</v>
      </c>
      <c r="C19" s="19" t="s">
        <v>2170</v>
      </c>
      <c r="D19" s="6" t="s">
        <v>2171</v>
      </c>
      <c r="E19" s="8" t="n">
        <v>5.41</v>
      </c>
      <c r="F19" s="19" t="s">
        <v>1790</v>
      </c>
      <c r="G19" s="6" t="s">
        <v>2143</v>
      </c>
    </row>
    <row r="20" customFormat="false" ht="15" hidden="false" customHeight="false" outlineLevel="0" collapsed="false">
      <c r="A20" s="4" t="s">
        <v>356</v>
      </c>
      <c r="B20" s="19" t="n">
        <v>4</v>
      </c>
      <c r="C20" s="19" t="s">
        <v>2172</v>
      </c>
      <c r="D20" s="6" t="s">
        <v>2173</v>
      </c>
      <c r="E20" s="8" t="n">
        <v>3.71</v>
      </c>
      <c r="F20" s="19" t="s">
        <v>1790</v>
      </c>
      <c r="G20" s="6" t="s">
        <v>2143</v>
      </c>
    </row>
    <row r="21" customFormat="false" ht="15" hidden="false" customHeight="false" outlineLevel="0" collapsed="false">
      <c r="A21" s="4" t="s">
        <v>364</v>
      </c>
      <c r="B21" s="19" t="n">
        <v>1</v>
      </c>
      <c r="C21" s="19" t="s">
        <v>2174</v>
      </c>
      <c r="D21" s="6" t="s">
        <v>2175</v>
      </c>
      <c r="E21" s="8" t="n">
        <v>9.99</v>
      </c>
      <c r="F21" s="19" t="s">
        <v>1790</v>
      </c>
      <c r="G21" s="6" t="s">
        <v>2143</v>
      </c>
    </row>
    <row r="22" customFormat="false" ht="15" hidden="false" customHeight="false" outlineLevel="0" collapsed="false">
      <c r="A22" s="4" t="s">
        <v>364</v>
      </c>
      <c r="B22" s="19" t="n">
        <v>2</v>
      </c>
      <c r="C22" s="19" t="s">
        <v>2176</v>
      </c>
      <c r="D22" s="6" t="s">
        <v>2177</v>
      </c>
      <c r="E22" s="8" t="n">
        <v>3.5</v>
      </c>
      <c r="F22" s="19" t="s">
        <v>1790</v>
      </c>
      <c r="G22" s="6" t="s">
        <v>2143</v>
      </c>
    </row>
    <row r="23" customFormat="false" ht="15" hidden="false" customHeight="false" outlineLevel="0" collapsed="false">
      <c r="A23" s="4" t="s">
        <v>364</v>
      </c>
      <c r="B23" s="19" t="n">
        <v>3</v>
      </c>
      <c r="C23" s="19" t="s">
        <v>2178</v>
      </c>
      <c r="D23" s="6" t="s">
        <v>2179</v>
      </c>
      <c r="E23" s="8" t="n">
        <v>11.83</v>
      </c>
      <c r="F23" s="19" t="s">
        <v>1790</v>
      </c>
      <c r="G23" s="6" t="s">
        <v>2143</v>
      </c>
    </row>
    <row r="24" customFormat="false" ht="15" hidden="false" customHeight="false" outlineLevel="0" collapsed="false">
      <c r="A24" s="4" t="s">
        <v>364</v>
      </c>
      <c r="B24" s="19" t="n">
        <v>4</v>
      </c>
      <c r="C24" s="19" t="s">
        <v>2180</v>
      </c>
      <c r="D24" s="6" t="s">
        <v>2181</v>
      </c>
      <c r="E24" s="8" t="n">
        <v>11.73</v>
      </c>
      <c r="F24" s="19" t="s">
        <v>1790</v>
      </c>
      <c r="G24" s="6" t="s">
        <v>2143</v>
      </c>
    </row>
    <row r="25" customFormat="false" ht="15" hidden="false" customHeight="false" outlineLevel="0" collapsed="false">
      <c r="A25" s="4" t="s">
        <v>364</v>
      </c>
      <c r="B25" s="19" t="n">
        <v>5</v>
      </c>
      <c r="C25" s="19" t="s">
        <v>2182</v>
      </c>
      <c r="D25" s="6" t="s">
        <v>2183</v>
      </c>
      <c r="E25" s="8" t="n">
        <v>9.58</v>
      </c>
      <c r="F25" s="19" t="s">
        <v>1790</v>
      </c>
      <c r="G25" s="6" t="s">
        <v>2143</v>
      </c>
    </row>
    <row r="26" customFormat="false" ht="15" hidden="false" customHeight="false" outlineLevel="0" collapsed="false">
      <c r="A26" s="4" t="s">
        <v>364</v>
      </c>
      <c r="B26" s="19" t="n">
        <v>6</v>
      </c>
      <c r="C26" s="19" t="s">
        <v>2184</v>
      </c>
      <c r="D26" s="6" t="s">
        <v>2185</v>
      </c>
      <c r="E26" s="8" t="n">
        <v>14.15</v>
      </c>
      <c r="F26" s="19" t="s">
        <v>1790</v>
      </c>
      <c r="G26" s="6" t="s">
        <v>2143</v>
      </c>
    </row>
    <row r="27" customFormat="false" ht="15" hidden="false" customHeight="false" outlineLevel="0" collapsed="false">
      <c r="A27" s="4" t="s">
        <v>378</v>
      </c>
      <c r="B27" s="19" t="n">
        <v>1</v>
      </c>
      <c r="C27" s="19" t="s">
        <v>2186</v>
      </c>
      <c r="D27" s="6" t="s">
        <v>2187</v>
      </c>
      <c r="E27" s="8" t="n">
        <v>5.667</v>
      </c>
      <c r="F27" s="19" t="s">
        <v>1786</v>
      </c>
      <c r="G27" s="6" t="s">
        <v>2143</v>
      </c>
    </row>
    <row r="28" customFormat="false" ht="15" hidden="false" customHeight="false" outlineLevel="0" collapsed="false">
      <c r="A28" s="4" t="s">
        <v>378</v>
      </c>
      <c r="B28" s="19" t="n">
        <v>2</v>
      </c>
      <c r="C28" s="19" t="s">
        <v>2188</v>
      </c>
      <c r="D28" s="6" t="s">
        <v>2189</v>
      </c>
      <c r="E28" s="8" t="n">
        <v>1.82</v>
      </c>
      <c r="F28" s="19" t="s">
        <v>1790</v>
      </c>
      <c r="G28" s="6" t="s">
        <v>2143</v>
      </c>
    </row>
    <row r="29" customFormat="false" ht="23.85" hidden="false" customHeight="false" outlineLevel="0" collapsed="false">
      <c r="A29" s="4" t="s">
        <v>378</v>
      </c>
      <c r="B29" s="19" t="n">
        <v>3</v>
      </c>
      <c r="C29" s="19" t="s">
        <v>2190</v>
      </c>
      <c r="D29" s="6" t="s">
        <v>2191</v>
      </c>
      <c r="E29" s="8" t="n">
        <v>15.787</v>
      </c>
      <c r="F29" s="19" t="s">
        <v>1790</v>
      </c>
      <c r="G29" s="6" t="s">
        <v>2143</v>
      </c>
    </row>
    <row r="30" customFormat="false" ht="23.85" hidden="false" customHeight="false" outlineLevel="0" collapsed="false">
      <c r="A30" s="4" t="s">
        <v>378</v>
      </c>
      <c r="B30" s="19" t="n">
        <v>4</v>
      </c>
      <c r="C30" s="19" t="s">
        <v>2192</v>
      </c>
      <c r="D30" s="6" t="s">
        <v>2193</v>
      </c>
      <c r="E30" s="8" t="n">
        <v>11.74</v>
      </c>
      <c r="F30" s="19" t="s">
        <v>1790</v>
      </c>
      <c r="G30" s="6" t="s">
        <v>2143</v>
      </c>
    </row>
    <row r="31" customFormat="false" ht="15" hidden="false" customHeight="false" outlineLevel="0" collapsed="false">
      <c r="A31" s="4" t="s">
        <v>393</v>
      </c>
      <c r="B31" s="19" t="n">
        <v>1</v>
      </c>
      <c r="C31" s="19" t="s">
        <v>2085</v>
      </c>
      <c r="D31" s="6" t="s">
        <v>2194</v>
      </c>
      <c r="E31" s="8" t="n">
        <v>1.26</v>
      </c>
      <c r="F31" s="19" t="s">
        <v>1790</v>
      </c>
      <c r="G31" s="6" t="s">
        <v>2143</v>
      </c>
    </row>
    <row r="32" customFormat="false" ht="15" hidden="false" customHeight="false" outlineLevel="0" collapsed="false">
      <c r="A32" s="4" t="s">
        <v>395</v>
      </c>
      <c r="B32" s="19" t="n">
        <v>1</v>
      </c>
      <c r="C32" s="19" t="s">
        <v>2195</v>
      </c>
      <c r="D32" s="6" t="s">
        <v>2196</v>
      </c>
      <c r="E32" s="8" t="n">
        <v>30</v>
      </c>
      <c r="F32" s="19" t="s">
        <v>1790</v>
      </c>
      <c r="G32" s="6" t="s">
        <v>2143</v>
      </c>
    </row>
    <row r="33" customFormat="false" ht="15" hidden="false" customHeight="false" outlineLevel="0" collapsed="false">
      <c r="A33" s="4" t="s">
        <v>395</v>
      </c>
      <c r="B33" s="19" t="n">
        <v>2</v>
      </c>
      <c r="C33" s="19" t="s">
        <v>2197</v>
      </c>
      <c r="D33" s="6" t="s">
        <v>2198</v>
      </c>
      <c r="E33" s="8" t="n">
        <v>15</v>
      </c>
      <c r="F33" s="19" t="s">
        <v>1790</v>
      </c>
      <c r="G33" s="6" t="s">
        <v>2143</v>
      </c>
    </row>
    <row r="34" customFormat="false" ht="23.85" hidden="false" customHeight="false" outlineLevel="0" collapsed="false">
      <c r="A34" s="4" t="s">
        <v>402</v>
      </c>
      <c r="B34" s="19" t="n">
        <v>1</v>
      </c>
      <c r="C34" s="19" t="s">
        <v>2199</v>
      </c>
      <c r="D34" s="6" t="s">
        <v>2200</v>
      </c>
      <c r="E34" s="8" t="n">
        <v>4.56</v>
      </c>
      <c r="F34" s="19" t="s">
        <v>1790</v>
      </c>
      <c r="G34" s="6" t="s">
        <v>2143</v>
      </c>
    </row>
    <row r="35" customFormat="false" ht="15" hidden="false" customHeight="false" outlineLevel="0" collapsed="false">
      <c r="A35" s="4" t="s">
        <v>402</v>
      </c>
      <c r="B35" s="19" t="n">
        <v>2</v>
      </c>
      <c r="C35" s="19" t="s">
        <v>2201</v>
      </c>
      <c r="D35" s="6" t="s">
        <v>2202</v>
      </c>
      <c r="E35" s="8" t="n">
        <v>3.58</v>
      </c>
      <c r="F35" s="19" t="s">
        <v>1790</v>
      </c>
      <c r="G35" s="6" t="s">
        <v>2143</v>
      </c>
    </row>
    <row r="36" customFormat="false" ht="23.85" hidden="false" customHeight="false" outlineLevel="0" collapsed="false">
      <c r="A36" s="4" t="s">
        <v>402</v>
      </c>
      <c r="B36" s="19" t="n">
        <v>3</v>
      </c>
      <c r="C36" s="19" t="s">
        <v>2203</v>
      </c>
      <c r="D36" s="6" t="s">
        <v>2204</v>
      </c>
      <c r="E36" s="8" t="n">
        <v>3.33</v>
      </c>
      <c r="F36" s="19" t="s">
        <v>1790</v>
      </c>
      <c r="G36" s="6" t="s">
        <v>2143</v>
      </c>
    </row>
    <row r="37" customFormat="false" ht="23.85" hidden="false" customHeight="false" outlineLevel="0" collapsed="false">
      <c r="A37" s="4" t="s">
        <v>402</v>
      </c>
      <c r="B37" s="19" t="n">
        <v>4</v>
      </c>
      <c r="C37" s="19" t="s">
        <v>2205</v>
      </c>
      <c r="D37" s="6" t="s">
        <v>2206</v>
      </c>
      <c r="E37" s="8" t="n">
        <v>2.52</v>
      </c>
      <c r="F37" s="19" t="s">
        <v>1790</v>
      </c>
      <c r="G37" s="6" t="s">
        <v>2143</v>
      </c>
    </row>
    <row r="38" customFormat="false" ht="15" hidden="false" customHeight="false" outlineLevel="0" collapsed="false">
      <c r="A38" s="4" t="s">
        <v>402</v>
      </c>
      <c r="B38" s="19" t="n">
        <v>5</v>
      </c>
      <c r="C38" s="19" t="s">
        <v>2207</v>
      </c>
      <c r="D38" s="6" t="s">
        <v>2208</v>
      </c>
      <c r="E38" s="8" t="n">
        <v>11.333</v>
      </c>
      <c r="F38" s="19" t="s">
        <v>1790</v>
      </c>
      <c r="G38" s="6" t="s">
        <v>2143</v>
      </c>
    </row>
    <row r="39" customFormat="false" ht="15" hidden="false" customHeight="false" outlineLevel="0" collapsed="false">
      <c r="A39" s="4" t="s">
        <v>402</v>
      </c>
      <c r="B39" s="19" t="n">
        <v>6</v>
      </c>
      <c r="C39" s="19" t="s">
        <v>2209</v>
      </c>
      <c r="D39" s="6" t="s">
        <v>2210</v>
      </c>
      <c r="E39" s="8" t="n">
        <v>5.6</v>
      </c>
      <c r="F39" s="19" t="s">
        <v>1790</v>
      </c>
      <c r="G39" s="6" t="s">
        <v>2143</v>
      </c>
    </row>
    <row r="40" customFormat="false" ht="15" hidden="false" customHeight="false" outlineLevel="0" collapsed="false">
      <c r="A40" s="4" t="s">
        <v>402</v>
      </c>
      <c r="B40" s="19" t="n">
        <v>7</v>
      </c>
      <c r="C40" s="19" t="s">
        <v>2211</v>
      </c>
      <c r="D40" s="6" t="s">
        <v>2212</v>
      </c>
      <c r="E40" s="8" t="n">
        <v>3.39</v>
      </c>
      <c r="F40" s="19" t="s">
        <v>1790</v>
      </c>
      <c r="G40" s="6" t="s">
        <v>2143</v>
      </c>
    </row>
    <row r="41" customFormat="false" ht="15" hidden="false" customHeight="false" outlineLevel="0" collapsed="false">
      <c r="A41" s="4" t="s">
        <v>402</v>
      </c>
      <c r="B41" s="19" t="n">
        <v>8</v>
      </c>
      <c r="C41" s="19" t="s">
        <v>2213</v>
      </c>
      <c r="D41" s="6" t="s">
        <v>2214</v>
      </c>
      <c r="E41" s="8" t="n">
        <v>5.6</v>
      </c>
      <c r="F41" s="19" t="s">
        <v>1790</v>
      </c>
      <c r="G41" s="6" t="s">
        <v>2143</v>
      </c>
    </row>
    <row r="42" customFormat="false" ht="15" hidden="false" customHeight="false" outlineLevel="0" collapsed="false">
      <c r="A42" s="4" t="s">
        <v>411</v>
      </c>
      <c r="B42" s="19" t="n">
        <v>1</v>
      </c>
      <c r="C42" s="19" t="s">
        <v>2215</v>
      </c>
      <c r="D42" s="6" t="s">
        <v>1332</v>
      </c>
      <c r="E42" s="8" t="n">
        <v>5.668</v>
      </c>
      <c r="F42" s="19" t="s">
        <v>1790</v>
      </c>
      <c r="G42" s="6" t="s">
        <v>2143</v>
      </c>
    </row>
    <row r="43" customFormat="false" ht="15" hidden="false" customHeight="false" outlineLevel="0" collapsed="false">
      <c r="A43" s="4" t="s">
        <v>411</v>
      </c>
      <c r="B43" s="19" t="n">
        <v>2</v>
      </c>
      <c r="C43" s="19" t="s">
        <v>2216</v>
      </c>
      <c r="D43" s="6" t="s">
        <v>1384</v>
      </c>
      <c r="E43" s="8" t="n">
        <v>5.668</v>
      </c>
      <c r="F43" s="19" t="s">
        <v>1790</v>
      </c>
      <c r="G43" s="6" t="s">
        <v>2143</v>
      </c>
    </row>
    <row r="44" customFormat="false" ht="15" hidden="false" customHeight="false" outlineLevel="0" collapsed="false">
      <c r="A44" s="4" t="s">
        <v>411</v>
      </c>
      <c r="B44" s="19" t="n">
        <v>3</v>
      </c>
      <c r="C44" s="19" t="s">
        <v>2217</v>
      </c>
      <c r="D44" s="6" t="s">
        <v>1386</v>
      </c>
      <c r="E44" s="8" t="n">
        <v>5.668</v>
      </c>
      <c r="F44" s="19" t="s">
        <v>1790</v>
      </c>
      <c r="G44" s="6" t="s">
        <v>2143</v>
      </c>
    </row>
    <row r="45" customFormat="false" ht="15" hidden="false" customHeight="false" outlineLevel="0" collapsed="false">
      <c r="A45" s="4" t="s">
        <v>411</v>
      </c>
      <c r="B45" s="19" t="n">
        <v>4</v>
      </c>
      <c r="C45" s="19" t="s">
        <v>2218</v>
      </c>
      <c r="D45" s="6" t="s">
        <v>1388</v>
      </c>
      <c r="E45" s="8" t="n">
        <v>5.668</v>
      </c>
      <c r="F45" s="19" t="s">
        <v>1790</v>
      </c>
      <c r="G45" s="6" t="s">
        <v>2143</v>
      </c>
    </row>
    <row r="46" customFormat="false" ht="15" hidden="false" customHeight="false" outlineLevel="0" collapsed="false">
      <c r="A46" s="4" t="s">
        <v>415</v>
      </c>
      <c r="B46" s="19" t="n">
        <v>1</v>
      </c>
      <c r="C46" s="19" t="s">
        <v>2219</v>
      </c>
      <c r="D46" s="6" t="s">
        <v>2220</v>
      </c>
      <c r="E46" s="8" t="n">
        <v>14.95</v>
      </c>
      <c r="F46" s="19" t="s">
        <v>1790</v>
      </c>
      <c r="G46" s="6" t="s">
        <v>2143</v>
      </c>
    </row>
    <row r="47" customFormat="false" ht="15" hidden="false" customHeight="false" outlineLevel="0" collapsed="false">
      <c r="A47" s="4" t="s">
        <v>415</v>
      </c>
      <c r="B47" s="19" t="n">
        <v>2</v>
      </c>
      <c r="C47" s="19" t="s">
        <v>2221</v>
      </c>
      <c r="D47" s="6" t="s">
        <v>2222</v>
      </c>
      <c r="E47" s="8" t="n">
        <v>76.3</v>
      </c>
      <c r="F47" s="19" t="s">
        <v>1790</v>
      </c>
      <c r="G47" s="6" t="s">
        <v>2143</v>
      </c>
    </row>
    <row r="48" customFormat="false" ht="15" hidden="false" customHeight="false" outlineLevel="0" collapsed="false">
      <c r="A48" s="4" t="s">
        <v>415</v>
      </c>
      <c r="B48" s="19" t="n">
        <v>3</v>
      </c>
      <c r="C48" s="19" t="s">
        <v>2223</v>
      </c>
      <c r="D48" s="6" t="s">
        <v>2224</v>
      </c>
      <c r="E48" s="8" t="n">
        <v>52.7</v>
      </c>
      <c r="F48" s="19" t="s">
        <v>1790</v>
      </c>
      <c r="G48" s="6" t="s">
        <v>2143</v>
      </c>
    </row>
    <row r="49" customFormat="false" ht="15" hidden="false" customHeight="false" outlineLevel="0" collapsed="false">
      <c r="A49" s="4" t="s">
        <v>415</v>
      </c>
      <c r="B49" s="19" t="n">
        <v>4</v>
      </c>
      <c r="C49" s="19" t="s">
        <v>2225</v>
      </c>
      <c r="D49" s="6" t="s">
        <v>2226</v>
      </c>
      <c r="E49" s="8" t="n">
        <v>47.92</v>
      </c>
      <c r="F49" s="19" t="s">
        <v>1790</v>
      </c>
      <c r="G49" s="6" t="s">
        <v>2143</v>
      </c>
    </row>
    <row r="50" customFormat="false" ht="15" hidden="false" customHeight="false" outlineLevel="0" collapsed="false">
      <c r="A50" s="4" t="s">
        <v>415</v>
      </c>
      <c r="B50" s="19" t="n">
        <v>5</v>
      </c>
      <c r="C50" s="19" t="s">
        <v>2227</v>
      </c>
      <c r="D50" s="6" t="s">
        <v>2228</v>
      </c>
      <c r="E50" s="8" t="n">
        <v>3.89</v>
      </c>
      <c r="F50" s="19" t="s">
        <v>1790</v>
      </c>
      <c r="G50" s="6" t="s">
        <v>2143</v>
      </c>
    </row>
    <row r="51" customFormat="false" ht="15" hidden="false" customHeight="false" outlineLevel="0" collapsed="false">
      <c r="A51" s="4" t="s">
        <v>415</v>
      </c>
      <c r="B51" s="19" t="n">
        <v>6</v>
      </c>
      <c r="C51" s="19" t="s">
        <v>2229</v>
      </c>
      <c r="D51" s="6" t="s">
        <v>2230</v>
      </c>
      <c r="E51" s="8" t="n">
        <v>21.88</v>
      </c>
      <c r="F51" s="19" t="s">
        <v>1790</v>
      </c>
      <c r="G51" s="6" t="s">
        <v>2143</v>
      </c>
    </row>
    <row r="52" customFormat="false" ht="23.85" hidden="false" customHeight="false" outlineLevel="0" collapsed="false">
      <c r="A52" s="4" t="s">
        <v>2113</v>
      </c>
      <c r="B52" s="19" t="n">
        <v>1</v>
      </c>
      <c r="C52" s="19" t="s">
        <v>2231</v>
      </c>
      <c r="D52" s="6" t="s">
        <v>2232</v>
      </c>
      <c r="E52" s="8" t="n">
        <v>14.95</v>
      </c>
      <c r="F52" s="19" t="s">
        <v>1790</v>
      </c>
      <c r="G52" s="6" t="s">
        <v>2143</v>
      </c>
    </row>
    <row r="53" customFormat="false" ht="23.85" hidden="false" customHeight="false" outlineLevel="0" collapsed="false">
      <c r="A53" s="4" t="s">
        <v>2113</v>
      </c>
      <c r="B53" s="19" t="n">
        <v>2</v>
      </c>
      <c r="C53" s="19" t="s">
        <v>2233</v>
      </c>
      <c r="D53" s="6" t="s">
        <v>2234</v>
      </c>
      <c r="E53" s="8" t="n">
        <v>76.3</v>
      </c>
      <c r="F53" s="19" t="s">
        <v>1790</v>
      </c>
      <c r="G53" s="6" t="s">
        <v>2143</v>
      </c>
    </row>
    <row r="54" customFormat="false" ht="23.85" hidden="false" customHeight="false" outlineLevel="0" collapsed="false">
      <c r="A54" s="4" t="s">
        <v>2113</v>
      </c>
      <c r="B54" s="19" t="n">
        <v>3</v>
      </c>
      <c r="C54" s="19" t="s">
        <v>2235</v>
      </c>
      <c r="D54" s="6" t="s">
        <v>2236</v>
      </c>
      <c r="E54" s="8" t="n">
        <v>52.7</v>
      </c>
      <c r="F54" s="19" t="s">
        <v>1790</v>
      </c>
      <c r="G54" s="6" t="s">
        <v>2143</v>
      </c>
    </row>
    <row r="55" customFormat="false" ht="23.85" hidden="false" customHeight="false" outlineLevel="0" collapsed="false">
      <c r="A55" s="4" t="s">
        <v>2113</v>
      </c>
      <c r="B55" s="19" t="n">
        <v>4</v>
      </c>
      <c r="C55" s="19" t="s">
        <v>2237</v>
      </c>
      <c r="D55" s="6" t="s">
        <v>2238</v>
      </c>
      <c r="E55" s="8" t="n">
        <v>47.92</v>
      </c>
      <c r="F55" s="19" t="s">
        <v>1790</v>
      </c>
      <c r="G55" s="6" t="s">
        <v>2143</v>
      </c>
    </row>
    <row r="56" customFormat="false" ht="23.85" hidden="false" customHeight="false" outlineLevel="0" collapsed="false">
      <c r="A56" s="4" t="s">
        <v>2113</v>
      </c>
      <c r="B56" s="19" t="n">
        <v>5</v>
      </c>
      <c r="C56" s="19" t="s">
        <v>2239</v>
      </c>
      <c r="D56" s="6" t="s">
        <v>2240</v>
      </c>
      <c r="E56" s="8" t="n">
        <v>3.89</v>
      </c>
      <c r="F56" s="19" t="s">
        <v>1790</v>
      </c>
      <c r="G56" s="6" t="s">
        <v>2143</v>
      </c>
    </row>
    <row r="57" customFormat="false" ht="23.85" hidden="false" customHeight="false" outlineLevel="0" collapsed="false">
      <c r="A57" s="4" t="s">
        <v>2113</v>
      </c>
      <c r="B57" s="19" t="n">
        <v>6</v>
      </c>
      <c r="C57" s="19" t="s">
        <v>2241</v>
      </c>
      <c r="D57" s="6" t="s">
        <v>2242</v>
      </c>
      <c r="E57" s="8" t="n">
        <v>21.88</v>
      </c>
      <c r="F57" s="19" t="s">
        <v>1790</v>
      </c>
      <c r="G57" s="6" t="s">
        <v>2143</v>
      </c>
    </row>
    <row r="58" customFormat="false" ht="15" hidden="false" customHeight="false" outlineLevel="0" collapsed="false">
      <c r="A58" s="4" t="s">
        <v>423</v>
      </c>
      <c r="B58" s="19" t="n">
        <v>1</v>
      </c>
      <c r="C58" s="19" t="s">
        <v>2120</v>
      </c>
      <c r="D58" s="6" t="s">
        <v>2243</v>
      </c>
      <c r="E58" s="8" t="n">
        <v>17.762</v>
      </c>
      <c r="F58" s="19" t="s">
        <v>1790</v>
      </c>
      <c r="G58" s="6" t="s">
        <v>2143</v>
      </c>
    </row>
    <row r="59" customFormat="false" ht="15" hidden="false" customHeight="false" outlineLevel="0" collapsed="false">
      <c r="A59" s="4" t="s">
        <v>429</v>
      </c>
      <c r="B59" s="19" t="n">
        <v>1</v>
      </c>
      <c r="C59" s="19" t="s">
        <v>2244</v>
      </c>
      <c r="D59" s="6" t="s">
        <v>2245</v>
      </c>
      <c r="E59" s="8" t="n">
        <v>2.42</v>
      </c>
      <c r="F59" s="19" t="s">
        <v>1790</v>
      </c>
      <c r="G59" s="6" t="s">
        <v>2143</v>
      </c>
    </row>
    <row r="60" customFormat="false" ht="15" hidden="false" customHeight="false" outlineLevel="0" collapsed="false">
      <c r="A60" s="4" t="s">
        <v>429</v>
      </c>
      <c r="B60" s="19" t="n">
        <v>2</v>
      </c>
      <c r="C60" s="19" t="s">
        <v>2246</v>
      </c>
      <c r="D60" s="6" t="s">
        <v>2247</v>
      </c>
      <c r="E60" s="8" t="n">
        <v>3.47</v>
      </c>
      <c r="F60" s="19" t="s">
        <v>1790</v>
      </c>
      <c r="G60" s="6" t="s">
        <v>2143</v>
      </c>
    </row>
    <row r="61" customFormat="false" ht="15" hidden="false" customHeight="false" outlineLevel="0" collapsed="false">
      <c r="A61" s="4" t="s">
        <v>429</v>
      </c>
      <c r="B61" s="19" t="n">
        <v>3</v>
      </c>
      <c r="C61" s="19" t="s">
        <v>2248</v>
      </c>
      <c r="D61" s="6" t="s">
        <v>2249</v>
      </c>
      <c r="E61" s="8" t="n">
        <v>3.25</v>
      </c>
      <c r="F61" s="19" t="s">
        <v>1790</v>
      </c>
      <c r="G61" s="6" t="s">
        <v>2143</v>
      </c>
    </row>
    <row r="62" customFormat="false" ht="15" hidden="false" customHeight="false" outlineLevel="0" collapsed="false">
      <c r="A62" s="4" t="s">
        <v>429</v>
      </c>
      <c r="B62" s="19" t="n">
        <v>4</v>
      </c>
      <c r="C62" s="19" t="s">
        <v>2250</v>
      </c>
      <c r="D62" s="6" t="s">
        <v>2251</v>
      </c>
      <c r="E62" s="8" t="n">
        <v>3.25</v>
      </c>
      <c r="F62" s="19" t="s">
        <v>1790</v>
      </c>
      <c r="G62" s="6" t="s">
        <v>2143</v>
      </c>
    </row>
    <row r="63" customFormat="false" ht="15" hidden="false" customHeight="false" outlineLevel="0" collapsed="false">
      <c r="A63" s="4" t="s">
        <v>429</v>
      </c>
      <c r="B63" s="19" t="n">
        <v>5</v>
      </c>
      <c r="C63" s="19" t="s">
        <v>2252</v>
      </c>
      <c r="D63" s="6" t="s">
        <v>2253</v>
      </c>
      <c r="E63" s="8" t="n">
        <v>11.77</v>
      </c>
      <c r="F63" s="19" t="s">
        <v>1786</v>
      </c>
      <c r="G63" s="6" t="s">
        <v>2143</v>
      </c>
    </row>
    <row r="64" customFormat="false" ht="15" hidden="false" customHeight="false" outlineLevel="0" collapsed="false">
      <c r="A64" s="4" t="s">
        <v>429</v>
      </c>
      <c r="B64" s="19" t="n">
        <v>6</v>
      </c>
      <c r="C64" s="19" t="s">
        <v>2254</v>
      </c>
      <c r="D64" s="6" t="s">
        <v>2255</v>
      </c>
      <c r="E64" s="8" t="n">
        <v>11.77</v>
      </c>
      <c r="F64" s="19" t="s">
        <v>1786</v>
      </c>
      <c r="G64" s="6" t="s">
        <v>2143</v>
      </c>
    </row>
    <row r="65" customFormat="false" ht="15" hidden="false" customHeight="false" outlineLevel="0" collapsed="false">
      <c r="A65" s="4" t="s">
        <v>429</v>
      </c>
      <c r="B65" s="19" t="n">
        <v>7</v>
      </c>
      <c r="C65" s="19" t="s">
        <v>2256</v>
      </c>
      <c r="D65" s="6" t="s">
        <v>2257</v>
      </c>
      <c r="E65" s="8" t="n">
        <v>10.07</v>
      </c>
      <c r="F65" s="19" t="s">
        <v>1790</v>
      </c>
      <c r="G65" s="6" t="s">
        <v>2143</v>
      </c>
    </row>
    <row r="66" customFormat="false" ht="15" hidden="false" customHeight="false" outlineLevel="0" collapsed="false">
      <c r="A66" s="4" t="s">
        <v>429</v>
      </c>
      <c r="B66" s="19" t="n">
        <v>8</v>
      </c>
      <c r="C66" s="19" t="s">
        <v>2258</v>
      </c>
      <c r="D66" s="6" t="s">
        <v>2259</v>
      </c>
      <c r="E66" s="8" t="n">
        <v>11.625</v>
      </c>
      <c r="F66" s="19" t="s">
        <v>1786</v>
      </c>
      <c r="G66" s="6" t="s">
        <v>2143</v>
      </c>
    </row>
    <row r="67" customFormat="false" ht="15" hidden="false" customHeight="false" outlineLevel="0" collapsed="false">
      <c r="A67" s="4" t="s">
        <v>429</v>
      </c>
      <c r="B67" s="19" t="n">
        <v>9</v>
      </c>
      <c r="C67" s="19" t="s">
        <v>2260</v>
      </c>
      <c r="D67" s="6" t="s">
        <v>2261</v>
      </c>
      <c r="E67" s="8" t="n">
        <v>11.625</v>
      </c>
      <c r="F67" s="19" t="s">
        <v>1786</v>
      </c>
      <c r="G67" s="6" t="s">
        <v>2143</v>
      </c>
    </row>
    <row r="68" customFormat="false" ht="15" hidden="false" customHeight="false" outlineLevel="0" collapsed="false">
      <c r="A68" s="4" t="s">
        <v>429</v>
      </c>
      <c r="B68" s="19" t="n">
        <v>10</v>
      </c>
      <c r="C68" s="19" t="s">
        <v>2262</v>
      </c>
      <c r="D68" s="6" t="s">
        <v>2263</v>
      </c>
      <c r="E68" s="8" t="n">
        <v>11.625</v>
      </c>
      <c r="F68" s="19" t="s">
        <v>1786</v>
      </c>
      <c r="G68" s="6" t="s">
        <v>2143</v>
      </c>
    </row>
    <row r="69" customFormat="false" ht="15" hidden="false" customHeight="false" outlineLevel="0" collapsed="false">
      <c r="A69" s="4" t="s">
        <v>447</v>
      </c>
      <c r="B69" s="19" t="n">
        <v>1</v>
      </c>
      <c r="C69" s="19" t="s">
        <v>2264</v>
      </c>
      <c r="D69" s="6" t="s">
        <v>2265</v>
      </c>
      <c r="E69" s="8" t="n">
        <v>11.77</v>
      </c>
      <c r="F69" s="19" t="s">
        <v>1786</v>
      </c>
      <c r="G69" s="6" t="s">
        <v>2143</v>
      </c>
    </row>
    <row r="70" customFormat="false" ht="15" hidden="false" customHeight="false" outlineLevel="0" collapsed="false">
      <c r="A70" s="4" t="s">
        <v>447</v>
      </c>
      <c r="B70" s="19" t="n">
        <v>2</v>
      </c>
      <c r="C70" s="19" t="s">
        <v>2266</v>
      </c>
      <c r="D70" s="6" t="s">
        <v>2267</v>
      </c>
      <c r="E70" s="8" t="n">
        <v>2.67</v>
      </c>
      <c r="F70" s="19" t="s">
        <v>1790</v>
      </c>
      <c r="G70" s="6" t="s">
        <v>2143</v>
      </c>
    </row>
    <row r="71" customFormat="false" ht="15" hidden="false" customHeight="false" outlineLevel="0" collapsed="false">
      <c r="A71" s="4" t="s">
        <v>447</v>
      </c>
      <c r="B71" s="19" t="n">
        <v>3</v>
      </c>
      <c r="C71" s="19" t="s">
        <v>2268</v>
      </c>
      <c r="D71" s="6" t="s">
        <v>2269</v>
      </c>
      <c r="E71" s="8" t="n">
        <v>2.67</v>
      </c>
      <c r="F71" s="19" t="s">
        <v>1790</v>
      </c>
      <c r="G71" s="6" t="s">
        <v>2143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10"/>
    <col collapsed="false" customWidth="true" hidden="false" outlineLevel="0" max="4" min="4" style="0" width="96"/>
  </cols>
  <sheetData>
    <row r="1" customFormat="false" ht="16.15" hidden="false" customHeight="false" outlineLevel="0" collapsed="false">
      <c r="A1" s="1" t="s">
        <v>2270</v>
      </c>
    </row>
    <row r="3" customFormat="false" ht="15" hidden="false" customHeight="false" outlineLevel="0" collapsed="false">
      <c r="A3" s="4" t="s">
        <v>2271</v>
      </c>
    </row>
    <row r="4" customFormat="false" ht="33.75" hidden="false" customHeight="true" outlineLevel="0" collapsed="false">
      <c r="A4" s="14" t="s">
        <v>2272</v>
      </c>
      <c r="B4" s="14" t="s">
        <v>2044</v>
      </c>
      <c r="C4" s="14" t="s">
        <v>2273</v>
      </c>
    </row>
    <row r="6" customFormat="false" ht="15" hidden="false" customHeight="false" outlineLevel="0" collapsed="false">
      <c r="A6" s="4" t="s">
        <v>2274</v>
      </c>
    </row>
    <row r="7" customFormat="false" ht="33.75" hidden="false" customHeight="true" outlineLevel="0" collapsed="false">
      <c r="A7" s="14" t="s">
        <v>456</v>
      </c>
      <c r="B7" s="14" t="s">
        <v>2275</v>
      </c>
      <c r="C7" s="14" t="s">
        <v>2276</v>
      </c>
      <c r="D7" s="14" t="s">
        <v>2277</v>
      </c>
    </row>
    <row r="9" customFormat="false" ht="15" hidden="false" customHeight="false" outlineLevel="0" collapsed="false">
      <c r="A9" s="4" t="s">
        <v>2278</v>
      </c>
    </row>
    <row r="10" customFormat="false" ht="33.75" hidden="false" customHeight="true" outlineLevel="0" collapsed="false">
      <c r="A10" s="14" t="s">
        <v>2275</v>
      </c>
      <c r="B10" s="14" t="s">
        <v>2279</v>
      </c>
      <c r="C10" s="14" t="s">
        <v>2280</v>
      </c>
      <c r="D10" s="14" t="s">
        <v>2281</v>
      </c>
    </row>
    <row r="12" customFormat="false" ht="15" hidden="false" customHeight="false" outlineLevel="0" collapsed="false">
      <c r="A12" s="4" t="s">
        <v>2282</v>
      </c>
    </row>
    <row r="13" customFormat="false" ht="33.75" hidden="false" customHeight="true" outlineLevel="0" collapsed="false">
      <c r="A13" s="14" t="s">
        <v>677</v>
      </c>
      <c r="B13" s="14" t="s">
        <v>1782</v>
      </c>
      <c r="C13" s="14" t="s">
        <v>2283</v>
      </c>
    </row>
    <row r="14" customFormat="false" ht="35.05" hidden="false" customHeight="false" outlineLevel="0" collapsed="false">
      <c r="A14" s="4" t="s">
        <v>2284</v>
      </c>
      <c r="B14" s="19" t="s">
        <v>1786</v>
      </c>
      <c r="C14" s="6" t="s">
        <v>2285</v>
      </c>
    </row>
    <row r="15" customFormat="false" ht="15" hidden="false" customHeight="false" outlineLevel="0" collapsed="false">
      <c r="A15" s="4" t="s">
        <v>2286</v>
      </c>
      <c r="B15" s="19" t="s">
        <v>1786</v>
      </c>
      <c r="C15" s="6" t="s">
        <v>2287</v>
      </c>
    </row>
    <row r="16" customFormat="false" ht="23.85" hidden="false" customHeight="false" outlineLevel="0" collapsed="false">
      <c r="A16" s="4" t="s">
        <v>2288</v>
      </c>
      <c r="B16" s="19" t="s">
        <v>1786</v>
      </c>
      <c r="C16" s="6" t="s">
        <v>2289</v>
      </c>
    </row>
    <row r="17" customFormat="false" ht="68.65" hidden="false" customHeight="false" outlineLevel="0" collapsed="false">
      <c r="A17" s="4" t="s">
        <v>2290</v>
      </c>
      <c r="B17" s="19" t="s">
        <v>2291</v>
      </c>
      <c r="C17" s="6" t="s">
        <v>2292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80"/>
    <col collapsed="false" customWidth="true" hidden="false" outlineLevel="0" max="3" min="3" style="0" width="60"/>
  </cols>
  <sheetData>
    <row r="1" customFormat="false" ht="16.15" hidden="false" customHeight="false" outlineLevel="0" collapsed="false">
      <c r="A1" s="1" t="s">
        <v>2293</v>
      </c>
    </row>
    <row r="3" customFormat="false" ht="33.75" hidden="false" customHeight="true" outlineLevel="0" collapsed="false">
      <c r="A3" s="14" t="s">
        <v>2294</v>
      </c>
      <c r="B3" s="14" t="s">
        <v>2295</v>
      </c>
      <c r="C3" s="14" t="s">
        <v>2296</v>
      </c>
    </row>
    <row r="4" customFormat="false" ht="35.05" hidden="false" customHeight="false" outlineLevel="0" collapsed="false">
      <c r="A4" s="29" t="s">
        <v>2297</v>
      </c>
      <c r="B4" s="6" t="s">
        <v>2298</v>
      </c>
      <c r="C4" s="6" t="s">
        <v>2299</v>
      </c>
    </row>
    <row r="5" customFormat="false" ht="15" hidden="false" customHeight="false" outlineLevel="0" collapsed="false">
      <c r="A5" s="29" t="s">
        <v>2300</v>
      </c>
      <c r="B5" s="6" t="s">
        <v>2301</v>
      </c>
      <c r="C5" s="6" t="s">
        <v>2302</v>
      </c>
    </row>
    <row r="6" customFormat="false" ht="23.85" hidden="false" customHeight="false" outlineLevel="0" collapsed="false">
      <c r="A6" s="29" t="s">
        <v>2303</v>
      </c>
      <c r="B6" s="6" t="s">
        <v>2304</v>
      </c>
      <c r="C6" s="6" t="s">
        <v>2305</v>
      </c>
    </row>
    <row r="7" customFormat="false" ht="35.05" hidden="false" customHeight="false" outlineLevel="0" collapsed="false">
      <c r="A7" s="29" t="s">
        <v>2306</v>
      </c>
      <c r="B7" s="6" t="s">
        <v>2307</v>
      </c>
      <c r="C7" s="6" t="s">
        <v>2308</v>
      </c>
    </row>
    <row r="8" customFormat="false" ht="35.05" hidden="false" customHeight="false" outlineLevel="0" collapsed="false">
      <c r="A8" s="29" t="s">
        <v>2309</v>
      </c>
      <c r="B8" s="6" t="s">
        <v>2310</v>
      </c>
      <c r="C8" s="6" t="s">
        <v>2311</v>
      </c>
    </row>
    <row r="9" customFormat="false" ht="46.25" hidden="false" customHeight="false" outlineLevel="0" collapsed="false">
      <c r="A9" s="29" t="s">
        <v>2312</v>
      </c>
      <c r="B9" s="6" t="s">
        <v>2313</v>
      </c>
      <c r="C9" s="6" t="s">
        <v>2314</v>
      </c>
    </row>
    <row r="10" customFormat="false" ht="15" hidden="false" customHeight="false" outlineLevel="0" collapsed="false">
      <c r="A10" s="29" t="s">
        <v>2315</v>
      </c>
      <c r="B10" s="6" t="s">
        <v>2316</v>
      </c>
      <c r="C10" s="6" t="s">
        <v>2305</v>
      </c>
    </row>
    <row r="11" customFormat="false" ht="35.05" hidden="false" customHeight="false" outlineLevel="0" collapsed="false">
      <c r="A11" s="29" t="s">
        <v>2317</v>
      </c>
      <c r="B11" s="6" t="s">
        <v>2318</v>
      </c>
      <c r="C11" s="6" t="s">
        <v>2305</v>
      </c>
    </row>
    <row r="12" customFormat="false" ht="35.05" hidden="false" customHeight="false" outlineLevel="0" collapsed="false">
      <c r="A12" s="29" t="s">
        <v>2319</v>
      </c>
      <c r="B12" s="6" t="s">
        <v>2320</v>
      </c>
      <c r="C12" s="6" t="s">
        <v>2321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2026-10-11T03:35:36Z</dcterms:created>
  <dc:creator>openpyxl</dc:creator>
  <dc:description/>
  <dc:language>en-US</dc:language>
  <cp:lastModifiedBy/>
  <dcterms:modified xsi:type="dcterms:W3CDTF">2026-10-11T03:35:37Z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