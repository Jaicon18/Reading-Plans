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<sst xmlns="http://schemas.openxmlformats.org/spreadsheetml/2006/main" count="1348" uniqueCount="914">
  <si>
    <t xml:space="preserve">Bank of America - Broomfield, CO (CO1-111)   |   METAL FRAMING &amp; DRYWALL TAKEOFF</t>
  </si>
  <si>
    <t xml:space="preserve">Bid set: 2025.08.26_CO1-111_Broomfield_PERMIT SET_BID SET.pdf   ·   2026-10-20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</si>
  <si>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</si>
  <si>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</si>
  <si>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</si>
  <si>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</si>
  <si>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</si>
  <si>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</si>
  <si>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</si>
  <si>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</si>
  <si>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</si>
  <si>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</si>
  <si>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</si>
  <si>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</si>
  <si>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</si>
  <si>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</si>
  <si>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</si>
  <si>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</si>
  <si>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</si>
  <si>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</si>
  <si>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</si>
  <si>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</si>
  <si>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</si>
  <si>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</si>
  <si>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</si>
  <si>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</si>
  <si>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</si>
  <si>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</si>
  <si>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</si>
  <si>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</si>
  <si>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</si>
  <si>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</si>
  <si>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</si>
  <si>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</si>
  <si>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</si>
  <si>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</si>
  <si>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</si>
  <si>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</si>
  <si>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</si>
  <si>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</si>
  <si>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</si>
  <si>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</si>
  <si>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</si>
  <si>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</si>
  <si>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</si>
  <si>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</si>
  <si>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</si>
  <si>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</si>
  <si>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</si>
  <si>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</si>
  <si>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</si>
  <si>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</si>
  <si>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</si>
  <si>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</si>
  <si>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</si>
  <si>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</si>
  <si>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</si>
  <si>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</si>
  <si>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</si>
  <si>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</si>
  <si>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</si>
  <si>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#A1-CC-N  -  WAITING 104 / MW01 PRINTER CABINET (open to structure) / CALLING CUBES 122</t>
  </si>
  <si>
    <t xml:space="preserve">A1-CC-N</t>
  </si>
  <si>
    <t xml:space="preserve">3-5/8"</t>
  </si>
  <si>
    <t xml:space="preserve">WAITING 104 / MW01 PRINTER CABINET (open to structure) / CALLING CUBES 122</t>
  </si>
  <si>
    <t xml:space="preserve">3/A12.01</t>
  </si>
  <si>
    <t xml:space="preserve">[DERIVED]</t>
  </si>
  <si>
    <t xml:space="preserve">A1  #A1-MW01-E  -  MW01 PRINTER CABINET (open to structure) / CALLING CUBES 122</t>
  </si>
  <si>
    <t xml:space="preserve">A1-MW01-E</t>
  </si>
  <si>
    <t xml:space="preserve">MW01 PRINTER CABINET (open to structure) / CALLING CUBES 122</t>
  </si>
  <si>
    <t xml:space="preserve">A1  #A1-MW01-S  -  MW01 PRINTER CABINET (open to structure) / CALLING CUBES 122 (behind MW07)</t>
  </si>
  <si>
    <t xml:space="preserve">A1-MW01-S</t>
  </si>
  <si>
    <t xml:space="preserve">MW01 PRINTER CABINET (open to structure) / CALLING CUBES 122 (behind MW07)</t>
  </si>
  <si>
    <t xml:space="preserve">A1  #A1-BR-NW  -  BREAK ROOM 118 (behind MW21) / CENTRAL ZONE 103 (south bay, ACT-4 9'-0")</t>
  </si>
  <si>
    <t xml:space="preserve">A1-BR-NW</t>
  </si>
  <si>
    <t xml:space="preserve">BREAK ROOM 118 (behind MW21) / CENTRAL ZONE 103 (south bay, ACT-4 9'-0")</t>
  </si>
  <si>
    <t xml:space="preserve">A1  #A1-CC-S  -  CALLING CUBES 122 / BREAK ROOM 118 (behind MW21)</t>
  </si>
  <si>
    <t xml:space="preserve">A1-CC-S</t>
  </si>
  <si>
    <t xml:space="preserve">CALLING CUBES 122 / BREAK ROOM 118 (behind MW21)</t>
  </si>
  <si>
    <t xml:space="preserve">A1  #A1-COR-N  -  CENTRAL ZONE 103 (aisle in front of offices 109/110) / CORRIDOR 111</t>
  </si>
  <si>
    <t xml:space="preserve">A1-COR-N</t>
  </si>
  <si>
    <t xml:space="preserve">CENTRAL ZONE 103 (aisle in front of offices 109/110) / CORRIDOR 111</t>
  </si>
  <si>
    <t xml:space="preserve">A1  #A1-COR-E  -  CORRIDOR 111 / BREAK ROOM 118 / ELECTRICAL 120 (open to structure) / NER 121 (open to structure)</t>
  </si>
  <si>
    <t xml:space="preserve">A1-COR-E</t>
  </si>
  <si>
    <t xml:space="preserve">CORRIDOR 111 / BREAK ROOM 118 / ELECTRICAL 120 (open to structure) / NER 121 (open to structure)</t>
  </si>
  <si>
    <t xml:space="preserve">A1  #A1-BR-N  -  CENTRAL ZONE 103 (south bay, ACT-4 9'-0") / BREAK ROOM 118</t>
  </si>
  <si>
    <t xml:space="preserve">A1-BR-N</t>
  </si>
  <si>
    <t xml:space="preserve">CENTRAL ZONE 103 (south bay, ACT-4 9'-0") / BREAK ROOM 118</t>
  </si>
  <si>
    <t xml:space="preserve">[CONFIRMED]</t>
  </si>
  <si>
    <t xml:space="preserve">A1  #A1-WR-N  -  CASH WINDOW 116 / WORK ROOM 119</t>
  </si>
  <si>
    <t xml:space="preserve">A1-WR-N</t>
  </si>
  <si>
    <t xml:space="preserve">CASH WINDOW 116 / WORK ROOM 119</t>
  </si>
  <si>
    <t xml:space="preserve">TYPE A5</t>
  </si>
  <si>
    <t xml:space="preserve">A5  #A5-CC-W  -  CENTRAL ZONE 103 (aisle in front of offices 109/110) / CALLING CUBES 122 (behind MW07)</t>
  </si>
  <si>
    <t xml:space="preserve">A5-CC-W</t>
  </si>
  <si>
    <t xml:space="preserve">6"</t>
  </si>
  <si>
    <t xml:space="preserve">CENTRAL ZONE 103 (aisle in front of offices 109/110) / CALLING CUBES 122 (behind MW07)</t>
  </si>
  <si>
    <t xml:space="preserve">A5  #A5-CC-E-N+A5-CC-E-S  -  CALLING CUBES 122 / CENTRAL ZONE 103 / CENTRAL ZONE 103 (south bay, ACT-4 9'-0") + CALLING CUBES 122 / CENTRAL ZONE 103 (south bay, ACT-4 9'-0")</t>
  </si>
  <si>
    <t xml:space="preserve">A5-CC-E-N+A5-CC-E-S</t>
  </si>
  <si>
    <t xml:space="preserve">CALLING CUBES 122 / CENTRAL ZONE 103 / CENTRAL ZONE 103 (south bay, ACT-4 9'-0") + CALLING CUBES 122 / CENTRAL ZONE 103 (south bay, ACT-4 9'-0")</t>
  </si>
  <si>
    <t xml:space="preserve">A5  #A5-D122-N+A5-D122-S  -  CORRIDOR 111 / CALLING CUBES 122</t>
  </si>
  <si>
    <t xml:space="preserve">A5-D122-N+A5-D122-S</t>
  </si>
  <si>
    <t xml:space="preserve">CORRIDOR 111 / CALLING CUBES 122</t>
  </si>
  <si>
    <t xml:space="preserve">A5  #A5-BR-E  -  BREAK ROOM 118 / CASH WINDOW 116 (back work area / FUTURE FCAM)</t>
  </si>
  <si>
    <t xml:space="preserve">A5-BR-E</t>
  </si>
  <si>
    <t xml:space="preserve">BREAK ROOM 118 / CASH WINDOW 116 (back work area / FUTURE FCAM)</t>
  </si>
  <si>
    <t xml:space="preserve">TYPE B2K</t>
  </si>
  <si>
    <t xml:space="preserve">B2K  #B2K-TL-N  -  OFFICE 4 CB 108 / CENTRAL ZONE 103 (south bay, ACT-4 9'-0") (customer queue)</t>
  </si>
  <si>
    <t xml:space="preserve">B2K-TL-N</t>
  </si>
  <si>
    <t xml:space="preserve">OFFICE 4 CB 108 / CENTRAL ZONE 103 (south bay, ACT-4 9'-0") (customer queue)</t>
  </si>
  <si>
    <t xml:space="preserve">4/A12.01</t>
  </si>
  <si>
    <t xml:space="preserve">TYPE A1K</t>
  </si>
  <si>
    <t xml:space="preserve">A1K  #A1K-TL-N  -  cavity 3.3" at OFFICE 4 CB 108 G wall (customer side) / CASH WINDOW 116 (teller workstations)</t>
  </si>
  <si>
    <t xml:space="preserve">A1K-TL-N</t>
  </si>
  <si>
    <t xml:space="preserve">cavity 3.3" at OFFICE 4 CB 108 G wall (customer side) / CASH WINDOW 116 (teller workstations)</t>
  </si>
  <si>
    <t xml:space="preserve">A1K  #A1K-TL-SW  -  CENTRAL ZONE 103 (south bay, ACT-4 9'-0") (customer queue) / CASH WINDOW 116 (back work area / FUTURE FCAM)</t>
  </si>
  <si>
    <t xml:space="preserve">A1K-TL-SW</t>
  </si>
  <si>
    <t xml:space="preserve">CENTRAL ZONE 103 (south bay, ACT-4 9'-0") (customer queue) / CASH WINDOW 116 (back work area / FUTURE FCAM)</t>
  </si>
  <si>
    <t xml:space="preserve">A1K  #A1K-TL-SE  -  CASH WINDOW 116 (teller workstations) / FUTURE FCAM C1 recess / CASH WINDOW 116</t>
  </si>
  <si>
    <t xml:space="preserve">A1K-TL-SE</t>
  </si>
  <si>
    <t xml:space="preserve">CASH WINDOW 116 (teller workstations) / FUTURE FCAM C1 recess / CASH WINDOW 116</t>
  </si>
  <si>
    <t xml:space="preserve">TYPE F</t>
  </si>
  <si>
    <t xml:space="preserve">F  #F-ATM  -  24 HR VESTIBULE 101 (ATM LOBBY, public side) / ATM ROOM 102</t>
  </si>
  <si>
    <t xml:space="preserve">F-ATM</t>
  </si>
  <si>
    <t xml:space="preserve">24 HR VESTIBULE 101 (ATM LOBBY, public side) / ATM ROOM 102</t>
  </si>
  <si>
    <t xml:space="preserve">12/A12.01</t>
  </si>
  <si>
    <t xml:space="preserve">TYPE G</t>
  </si>
  <si>
    <t xml:space="preserve">G  #G-E-STUB0  -  CENTRAL ZONE 103 / OFFICE 1 ME 105</t>
  </si>
  <si>
    <t xml:space="preserve">G-E-STUB0</t>
  </si>
  <si>
    <t xml:space="preserve">1-5/8"</t>
  </si>
  <si>
    <t xml:space="preserve">CENTRAL ZONE 103 / OFFICE 1 ME 105</t>
  </si>
  <si>
    <t xml:space="preserve">5/A12.01</t>
  </si>
  <si>
    <t xml:space="preserve">G  #G-PT0039  -  CENTRAL ZONE 103 / OFFICE 1 ME 105 / OFFICE 2 CL 106</t>
  </si>
  <si>
    <t xml:space="preserve">G-PT0039</t>
  </si>
  <si>
    <t xml:space="preserve">CENTRAL ZONE 103 / OFFICE 1 ME 105 / OFFICE 2 CL 106</t>
  </si>
  <si>
    <t xml:space="preserve">G  #G-PT0041  -  CENTRAL ZONE 103 / OFFICE 2 CL 106 / OFFICE 3 SB 107</t>
  </si>
  <si>
    <t xml:space="preserve">G-PT0041</t>
  </si>
  <si>
    <t xml:space="preserve">CENTRAL ZONE 103 / OFFICE 2 CL 106 / OFFICE 3 SB 107</t>
  </si>
  <si>
    <t xml:space="preserve">G  #G-PT0044  -  CENTRAL ZONE 103 / OFFICE 3 SB 107 / OFFICE 4 CB 108</t>
  </si>
  <si>
    <t xml:space="preserve">G-PT0044</t>
  </si>
  <si>
    <t xml:space="preserve">CENTRAL ZONE 103 / OFFICE 3 SB 107 / OFFICE 4 CB 108</t>
  </si>
  <si>
    <t xml:space="preserve">G  #G-PT0040  -  OFFICE 2 CL 106 / OFFICE 3 SB 107</t>
  </si>
  <si>
    <t xml:space="preserve">G-PT0040</t>
  </si>
  <si>
    <t xml:space="preserve">OFFICE 2 CL 106 / OFFICE 3 SB 107</t>
  </si>
  <si>
    <t xml:space="preserve">G  #G-PT0043  -  OFFICE 3 SB 107 / OFFICE 4 CB 108</t>
  </si>
  <si>
    <t xml:space="preserve">G-PT0043</t>
  </si>
  <si>
    <t xml:space="preserve">OFFICE 3 SB 107 / OFFICE 4 CB 108</t>
  </si>
  <si>
    <t xml:space="preserve">G  #G-PT0046  -  OFFICE 4 CB 108 / CASH WINDOW 116 (teller line A1K side)</t>
  </si>
  <si>
    <t xml:space="preserve">G-PT0046</t>
  </si>
  <si>
    <t xml:space="preserve">OFFICE 4 CB 108 / CASH WINDOW 116 (teller line A1K side)</t>
  </si>
  <si>
    <t xml:space="preserve">G  #G-PT0042  -  ATM ROOM 102 / OFFICE 5 CB 109</t>
  </si>
  <si>
    <t xml:space="preserve">G-PT0042</t>
  </si>
  <si>
    <t xml:space="preserve">ATM ROOM 102 / OFFICE 5 CB 109</t>
  </si>
  <si>
    <t xml:space="preserve">G  #G-PT0045  -  OFFICE 5 CB 109 / OFFICE 6 CB 110</t>
  </si>
  <si>
    <t xml:space="preserve">G-PT0045</t>
  </si>
  <si>
    <t xml:space="preserve">OFFICE 5 CB 109 / OFFICE 6 CB 110</t>
  </si>
  <si>
    <t xml:space="preserve">G  #G-PT0047  -  OFFICE 6 CB 110 / WOMEN'S RESTROOM 114</t>
  </si>
  <si>
    <t xml:space="preserve">G-PT0047</t>
  </si>
  <si>
    <t xml:space="preserve">OFFICE 6 CB 110 / WOMEN'S RESTROOM 114</t>
  </si>
  <si>
    <t xml:space="preserve">TYPE G1</t>
  </si>
  <si>
    <t xml:space="preserve">G1  #G1-PT0048  -  OFFICE 1 ME 105 / OFFICE 2 CL 106</t>
  </si>
  <si>
    <t xml:space="preserve">G1-PT0048</t>
  </si>
  <si>
    <t xml:space="preserve">OFFICE 1 ME 105 / OFFICE 2 CL 106</t>
  </si>
  <si>
    <t xml:space="preserve">G1  #G1-PT0049  -  OFFICE 5 CB 109 / OFFICE 6 CB 110 / CENTRAL ZONE 103</t>
  </si>
  <si>
    <t xml:space="preserve">G1-PT0049</t>
  </si>
  <si>
    <t xml:space="preserve">OFFICE 5 CB 109 / OFFICE 6 CB 110 / CENTRAL ZONE 103</t>
  </si>
  <si>
    <t xml:space="preserve">G1  #G1-W-STUB  -  OFFICE 6 CB 110 / CENTRAL ZONE 103 / CORRIDOR 111</t>
  </si>
  <si>
    <t xml:space="preserve">G1-W-STUB</t>
  </si>
  <si>
    <t xml:space="preserve">OFFICE 6 CB 110 / CENTRAL ZONE 103 / CORRIDOR 111</t>
  </si>
  <si>
    <t xml:space="preserve">TYPE BULKHEAD-G</t>
  </si>
  <si>
    <t xml:space="preserve">BULKHEAD-G  #DB-105+DB-106+DB-107+DB-108  -  CENTRAL ZONE 103 / OFFICE 1 ME 105 / OFFICE 1 ME 105 / CENTRAL ZONE 103 (soffit over the front) + CENTRAL ZONE 103 / OFFICE 2 CL 106 / OFFICE 2 CL 106 / CENTRAL ZONE 103 (soffit over the front) + CENTRAL ZONE 103 / OFFICE 3 SB 107 / OFFICE 3 SB 107 / CENTRAL ZONE 103 (soffit over the front) + CENTRAL ZONE 103 / OFFICE 4 CB 108 / OFFICE 4 CB 108 / CENTRAL ZONE 103 (soffit over the front)</t>
  </si>
  <si>
    <t xml:space="preserve">DB-105+DB-106+DB-107+DB-108</t>
  </si>
  <si>
    <t xml:space="preserve">CENTRAL ZONE 103 / OFFICE 1 ME 105 / OFFICE 1 ME 105 / CENTRAL ZONE 103 (soffit over the front) + CENTRAL ZONE 103 / OFFICE 2 CL 106 / OFFICE 2 CL 106 / CENTRAL ZONE 103 (soffit over the front) + CENTRAL ZONE 103 / OFFICE 3 SB 107 / OFFICE 3 SB 107 / CENTRAL ZONE 103 (soffit over the front) + CENTRAL ZONE 103 / OFFICE 4 CB 108 / OFFICE 4 CB 108 / CENTRAL ZONE 103 (soffit over the front)</t>
  </si>
  <si>
    <t xml:space="preserve">9/A12.01</t>
  </si>
  <si>
    <t xml:space="preserve">BULKHEAD-G  #DB-109+DB-110  -  OFFICE 5 CB 109 / CENTRAL ZONE 103 / OFFICE 5 CB 109 / CENTRAL ZONE 103 (soffit over the front) + OFFICE 6 CB 110 / CENTRAL ZONE 103 / OFFICE 6 CB 110 / CENTRAL ZONE 103 (soffit over the front)</t>
  </si>
  <si>
    <t xml:space="preserve">DB-109+DB-110</t>
  </si>
  <si>
    <t xml:space="preserve">OFFICE 5 CB 109 / CENTRAL ZONE 103 / OFFICE 5 CB 109 / CENTRAL ZONE 103 (soffit over the front) + OFFICE 6 CB 110 / CENTRAL ZONE 103 / OFFICE 6 CB 110 / CENTRAL ZONE 103 (soffit over the front)</t>
  </si>
  <si>
    <t xml:space="preserve">TYPE B2</t>
  </si>
  <si>
    <t xml:space="preserve">B2  #B2-PT0024  -  ATM ROOM 102 / CENTRAL ZONE 103 / WAITING 104</t>
  </si>
  <si>
    <t xml:space="preserve">B2-PT0024</t>
  </si>
  <si>
    <t xml:space="preserve">ATM ROOM 102 / CENTRAL ZONE 103 / WAITING 104</t>
  </si>
  <si>
    <t xml:space="preserve">1/A12.01</t>
  </si>
  <si>
    <t xml:space="preserve">B2  #B2-PT0025  -  WOMEN'S RESTROOM 114 / CORRIDOR 111</t>
  </si>
  <si>
    <t xml:space="preserve">B2-PT0025</t>
  </si>
  <si>
    <t xml:space="preserve">WOMEN'S RESTROOM 114 / CORRIDOR 111</t>
  </si>
  <si>
    <t xml:space="preserve">B2  #B2-PT0026  -  MEN'S RESTROOM 113 / STORAGE 117 / WELLNESS 115 / CORRIDOR 111</t>
  </si>
  <si>
    <t xml:space="preserve">B2-PT0026</t>
  </si>
  <si>
    <t xml:space="preserve">MEN'S RESTROOM 113 / STORAGE 117 / WELLNESS 115 / CORRIDOR 111</t>
  </si>
  <si>
    <t xml:space="preserve">B2  #B2-PT0027  -  BREAK ROOM 118 / WORK ROOM 119</t>
  </si>
  <si>
    <t xml:space="preserve">B2-PT0027</t>
  </si>
  <si>
    <t xml:space="preserve">BREAK ROOM 118 / WORK ROOM 119</t>
  </si>
  <si>
    <t xml:space="preserve">TYPE C1</t>
  </si>
  <si>
    <t xml:space="preserve">C1  #C1-PT0032  -  VESTIBULE 100 / CENTRAL ZONE 103 (north) / CENTRAL ZONE 103 (east) / 24 HR VESTIBULE 101 / CENTRAL ZONE 103 (south) / VESTIBULE 100 / 24 HR VESTIBULE 101 (west)</t>
  </si>
  <si>
    <t xml:space="preserve">C1-PT0032</t>
  </si>
  <si>
    <t xml:space="preserve">VESTIBULE 100 / CENTRAL ZONE 103 (north) / CENTRAL ZONE 103 (east) / 24 HR VESTIBULE 101 / CENTRAL ZONE 103 (south) / VESTIBULE 100 / 24 HR VESTIBULE 101 (west)</t>
  </si>
  <si>
    <t xml:space="preserve">3/A08.21</t>
  </si>
  <si>
    <t xml:space="preserve">C1  #C1-PT0033  -  24 HR VESTIBULE 101 / CENTRAL ZONE 103 / CENTRAL ZONE 103 / WAITING 104</t>
  </si>
  <si>
    <t xml:space="preserve">C1-PT0033</t>
  </si>
  <si>
    <t xml:space="preserve">24 HR VESTIBULE 101 / CENTRAL ZONE 103 / CENTRAL ZONE 103 / WAITING 104</t>
  </si>
  <si>
    <t xml:space="preserve">C1  #C1-PT0030  -  VESTIBULE 100 / CENTRAL ZONE 103</t>
  </si>
  <si>
    <t xml:space="preserve">C1-PT0030</t>
  </si>
  <si>
    <t xml:space="preserve">VESTIBULE 100 / CENTRAL ZONE 103</t>
  </si>
  <si>
    <t xml:space="preserve">2/A09.25</t>
  </si>
  <si>
    <t xml:space="preserve">C1  #C1-PT0031  -  VESTIBULE 100</t>
  </si>
  <si>
    <t xml:space="preserve">C1-PT0031</t>
  </si>
  <si>
    <t xml:space="preserve">VESTIBULE 100</t>
  </si>
  <si>
    <t xml:space="preserve">1/A09.25</t>
  </si>
  <si>
    <t xml:space="preserve">C1  #C1-PT0034  -  WAITING 104 / CENTRAL ZONE 103</t>
  </si>
  <si>
    <t xml:space="preserve">C1-PT0034</t>
  </si>
  <si>
    <t xml:space="preserve">WAITING 104 / CENTRAL ZONE 103</t>
  </si>
  <si>
    <t xml:space="preserve">6/A12.01</t>
  </si>
  <si>
    <t xml:space="preserve">C1  #C1-PT0036  -  CASH WINDOW 116 (FUTURE FCAM)</t>
  </si>
  <si>
    <t xml:space="preserve">C1-PT0036</t>
  </si>
  <si>
    <t xml:space="preserve">CASH WINDOW 116 (FUTURE FCAM)</t>
  </si>
  <si>
    <t xml:space="preserve">C1  #C1-PT0035  -  WOMEN'S RESTROOM 114</t>
  </si>
  <si>
    <t xml:space="preserve">C1-PT0035</t>
  </si>
  <si>
    <t xml:space="preserve">WOMEN'S RESTROOM 114</t>
  </si>
  <si>
    <t xml:space="preserve">C1  #C1-PT0037  -  MEN'S RESTROOM 113</t>
  </si>
  <si>
    <t xml:space="preserve">C1-PT0037</t>
  </si>
  <si>
    <t xml:space="preserve">MEN'S RESTROOM 113</t>
  </si>
  <si>
    <t xml:space="preserve">TYPE B</t>
  </si>
  <si>
    <t xml:space="preserve">B  #B-PT0019  -  MEN'S RESTROOM 113 / JANITOR CLOSET 112 / STORAGE 117</t>
  </si>
  <si>
    <t xml:space="preserve">B-PT0019</t>
  </si>
  <si>
    <t xml:space="preserve">MEN'S RESTROOM 113 / JANITOR CLOSET 112 / STORAGE 117</t>
  </si>
  <si>
    <t xml:space="preserve">B  #B-JAN-STOR  -  JANITOR CLOSET 112 / STORAGE 117</t>
  </si>
  <si>
    <t xml:space="preserve">B-JAN-STOR</t>
  </si>
  <si>
    <t xml:space="preserve">JANITOR CLOSET 112 / STORAGE 117</t>
  </si>
  <si>
    <t xml:space="preserve">B  #B-PT0020  -  JANITOR CLOSET 112 / STORAGE 117 / WELLNESS 115</t>
  </si>
  <si>
    <t xml:space="preserve">B-PT0020</t>
  </si>
  <si>
    <t xml:space="preserve">JANITOR CLOSET 112 / STORAGE 117 / WELLNESS 115</t>
  </si>
  <si>
    <t xml:space="preserve">B  #B-PT0018  -  BREAK ROOM 118 / ELECTRICAL 120</t>
  </si>
  <si>
    <t xml:space="preserve">B-PT0018</t>
  </si>
  <si>
    <t xml:space="preserve">BREAK ROOM 118 / ELECTRICAL 120</t>
  </si>
  <si>
    <t xml:space="preserve">B  #B-PT0021  -  ELECTRICAL 120 / NER 121</t>
  </si>
  <si>
    <t xml:space="preserve">B-PT0021</t>
  </si>
  <si>
    <t xml:space="preserve">ELECTRICAL 120 / NER 121</t>
  </si>
  <si>
    <t xml:space="preserve">B  #B-PT0022  -  ELECTRICAL 120 / NER 121 / BREAK ROOM 118</t>
  </si>
  <si>
    <t xml:space="preserve">B-PT0022</t>
  </si>
  <si>
    <t xml:space="preserve">ELECTRICAL 120 / NER 121 / BREAK ROOM 118</t>
  </si>
  <si>
    <t xml:space="preserve">TYPE EXT-6CFMF</t>
  </si>
  <si>
    <t xml:space="preserve">EXT-6CFMF  #EXT-N  -  CENTRAL ZONE 103 / OFFICE 1 ME 105</t>
  </si>
  <si>
    <t xml:space="preserve">EXT-N</t>
  </si>
  <si>
    <t xml:space="preserve">C/A09.21</t>
  </si>
  <si>
    <t xml:space="preserve">EXT-6CFMF  #EXT-E+EXT-ELO  -  OFFICE 1 ME 105 / OFFICE 2 CL 106 / OFFICE 3 SB 107 / OFFICE 4 CB 108 / CASH WINDOW 116 + CASH WINDOW 116 / WORK ROOM 119</t>
  </si>
  <si>
    <t xml:space="preserve">EXT-E+EXT-ELO</t>
  </si>
  <si>
    <t xml:space="preserve">OFFICE 1 ME 105 / OFFICE 2 CL 106 / OFFICE 3 SB 107 / OFFICE 4 CB 108 / CASH WINDOW 116 + CASH WINDOW 116 / WORK ROOM 119</t>
  </si>
  <si>
    <t xml:space="preserve">EXT-6CFMF  #EXT-S+EXT-S-68  -  WELLNESS 115 / CORRIDOR 111 / NER 121 / BREAK ROOM 118 + BREAK ROOM 118 / WORK ROOM 119</t>
  </si>
  <si>
    <t xml:space="preserve">EXT-S+EXT-S-68</t>
  </si>
  <si>
    <t xml:space="preserve">WELLNESS 115 / CORRIDOR 111 / NER 121 / BREAK ROOM 118 + BREAK ROOM 118 / WORK ROOM 119</t>
  </si>
  <si>
    <t xml:space="preserve">EXT-6CFMF  #EXT-W3+EXT-W3L  -  OFFICE 5 CB 109 / OFFICE 6 CB 110 / WOMEN'S RESTROOM 114 + WOMEN'S RESTROOM 114 / MEN'S RESTROOM 113 / JANITOR CLOSET 112 / WELLNESS 115</t>
  </si>
  <si>
    <t xml:space="preserve">EXT-W3+EXT-W3L</t>
  </si>
  <si>
    <t xml:space="preserve">OFFICE 5 CB 109 / OFFICE 6 CB 110 / WOMEN'S RESTROOM 114 + WOMEN'S RESTROOM 114 / MEN'S RESTROOM 113 / JANITOR CLOSET 112 / WELLNESS 115</t>
  </si>
  <si>
    <t xml:space="preserve">EXT-6CFMF  #EXT-S2  -  ATM ROOM 102</t>
  </si>
  <si>
    <t xml:space="preserve">EXT-S2</t>
  </si>
  <si>
    <t xml:space="preserve">ATM ROOM 102</t>
  </si>
  <si>
    <t xml:space="preserve">EXT-6CFMF  #EXT-W  -  24 HR VESTIBULE 101 / ATM ROOM 102</t>
  </si>
  <si>
    <t xml:space="preserve">EXT-W</t>
  </si>
  <si>
    <t xml:space="preserve">24 HR VESTIBULE 101 / ATM ROOM 102</t>
  </si>
  <si>
    <t xml:space="preserve">TYPE CANOPY-COL</t>
  </si>
  <si>
    <t xml:space="preserve">CANOPY-COL  #CW-1  -  CW-1</t>
  </si>
  <si>
    <t xml:space="preserve">CW-1</t>
  </si>
  <si>
    <t xml:space="preserve">5/A09.25</t>
  </si>
  <si>
    <t xml:space="preserve">CANOPY-COL  #CW-2  -  CW-2</t>
  </si>
  <si>
    <t xml:space="preserve">CW-2</t>
  </si>
  <si>
    <t xml:space="preserve">CANOPY-COL  #CW-3  -  CW-3</t>
  </si>
  <si>
    <t xml:space="preserve">CW-3</t>
  </si>
  <si>
    <t xml:space="preserve">CANOPY-COL  #CW-4  -  CW-4</t>
  </si>
  <si>
    <t xml:space="preserve">CW-4</t>
  </si>
  <si>
    <t xml:space="preserve">TYPE EXT-PARAPET</t>
  </si>
  <si>
    <t xml:space="preserve">EXT-PARAPET  #PAR-N1  -  PAR-N1</t>
  </si>
  <si>
    <t xml:space="preserve">PAR-N1</t>
  </si>
  <si>
    <t xml:space="preserve">11/S5.10</t>
  </si>
  <si>
    <t xml:space="preserve">EXT-PARAPET  #PAR-N1R  -  HP tower return at grid 4 stepping to LP (A02.02 key note 10)</t>
  </si>
  <si>
    <t xml:space="preserve">PAR-N1R</t>
  </si>
  <si>
    <t xml:space="preserve">HP tower return at grid 4 stepping to LP (A02.02 key note 10)</t>
  </si>
  <si>
    <t xml:space="preserve">EXT-PARAPET  #PAR-N2  -  PAR-N2</t>
  </si>
  <si>
    <t xml:space="preserve">PAR-N2</t>
  </si>
  <si>
    <t xml:space="preserve">EXT-PARAPET  #PAR-E1+PAR-E2  -  PAR-E1 + PAR-E2</t>
  </si>
  <si>
    <t xml:space="preserve">PAR-E1+PAR-E2</t>
  </si>
  <si>
    <t xml:space="preserve">PAR-E1 + PAR-E2</t>
  </si>
  <si>
    <t xml:space="preserve">EXT-PARAPET  #PAR-S  -  PAR-S</t>
  </si>
  <si>
    <t xml:space="preserve">PAR-S</t>
  </si>
  <si>
    <t xml:space="preserve">EXT-PARAPET  #PAR-W3A+PAR-W3B  -  PAR-W3A + PAR-W3B</t>
  </si>
  <si>
    <t xml:space="preserve">PAR-W3A+PAR-W3B</t>
  </si>
  <si>
    <t xml:space="preserve">PAR-W3A + PAR-W3B</t>
  </si>
  <si>
    <t xml:space="preserve">EXT-PARAPET  #PAR-SD  -  PAR-SD</t>
  </si>
  <si>
    <t xml:space="preserve">PAR-SD</t>
  </si>
  <si>
    <t xml:space="preserve">EXT-PARAPET  #PAR-W2  -  PAR-W2</t>
  </si>
  <si>
    <t xml:space="preserve">PAR-W2</t>
  </si>
  <si>
    <t xml:space="preserve">TOTAL - PARTITIONS</t>
  </si>
  <si>
    <t xml:space="preserve">TYPE OTHER FRAMING (NOT A PARTITION)</t>
  </si>
  <si>
    <t xml:space="preserve">vestibule_head  #VH-101  -  VH-101</t>
  </si>
  <si>
    <t xml:space="preserve">VH-101</t>
  </si>
  <si>
    <t xml:space="preserve">6/A12.10</t>
  </si>
  <si>
    <t xml:space="preserve">vestibule_head  #VH-100A  -  CENTRAL ZONE 103</t>
  </si>
  <si>
    <t xml:space="preserve">VH-100A</t>
  </si>
  <si>
    <t xml:space="preserve">CENTRAL ZONE 103</t>
  </si>
  <si>
    <t xml:space="preserve">5/A12.10</t>
  </si>
  <si>
    <t xml:space="preserve">grille_head  #GH-103  -  CENTRAL ZONE 103</t>
  </si>
  <si>
    <t xml:space="preserve">GH-103</t>
  </si>
  <si>
    <t xml:space="preserve">2-1/2"</t>
  </si>
  <si>
    <t xml:space="preserve">4/A08.21</t>
  </si>
  <si>
    <t xml:space="preserve">storefront_cripples  #SC-ENT  -  VESTIBULE 100</t>
  </si>
  <si>
    <t xml:space="preserve">SC-ENT</t>
  </si>
  <si>
    <t xml:space="preserve">2/A09.26</t>
  </si>
  <si>
    <t xml:space="preserve">storefront_cripples  #SC-S  -  CENTRAL ZONE 103</t>
  </si>
  <si>
    <t xml:space="preserve">SC-S</t>
  </si>
  <si>
    <t xml:space="preserve">storefront_cripples  #SC-W  -  VESTIBULE 100</t>
  </si>
  <si>
    <t xml:space="preserve">SC-W</t>
  </si>
  <si>
    <t xml:space="preserve">roof_step  #RS-B1  -  RS-B1</t>
  </si>
  <si>
    <t xml:space="preserve">RS-B1</t>
  </si>
  <si>
    <t xml:space="preserve">4/A02.02</t>
  </si>
  <si>
    <t xml:space="preserve">roof_step  #RS-B2  -  PLENUM SOUTH OF GRID B (roof step box)</t>
  </si>
  <si>
    <t xml:space="preserve">RS-B2</t>
  </si>
  <si>
    <t xml:space="preserve">PLENUM SOUTH OF GRID B (roof step box)</t>
  </si>
  <si>
    <t xml:space="preserve">roof_step  #RS-B3  -  PLENUM NORTH OF GRID B (roof step box)</t>
  </si>
  <si>
    <t xml:space="preserve">RS-B3</t>
  </si>
  <si>
    <t xml:space="preserve">PLENUM NORTH OF GRID B (roof step box)</t>
  </si>
  <si>
    <t xml:space="preserve">ceiling_transition  #CT-104-N  -  Waiting 104</t>
  </si>
  <si>
    <t xml:space="preserve">CT-104-N</t>
  </si>
  <si>
    <t xml:space="preserve">Waiting 104</t>
  </si>
  <si>
    <t xml:space="preserve">7/A09.33</t>
  </si>
  <si>
    <t xml:space="preserve">ceiling_transition  #CT-104-W  -  Waiting 104</t>
  </si>
  <si>
    <t xml:space="preserve">CT-104-W</t>
  </si>
  <si>
    <t xml:space="preserve">ceiling_transition  #CT-104-E  -  Waiting 104</t>
  </si>
  <si>
    <t xml:space="preserve">CT-104-E</t>
  </si>
  <si>
    <t xml:space="preserve">soffit_side  #SS-CSR-W-N  -  Central Zone 103</t>
  </si>
  <si>
    <t xml:space="preserve">SS-CSR-W-N</t>
  </si>
  <si>
    <t xml:space="preserve">Central Zone 103</t>
  </si>
  <si>
    <t xml:space="preserve">9/A12.08</t>
  </si>
  <si>
    <t xml:space="preserve">soffit_side  #SS-CSR-W-S  -  Central Zone 103</t>
  </si>
  <si>
    <t xml:space="preserve">SS-CSR-W-S</t>
  </si>
  <si>
    <t xml:space="preserve">soffit_side  #SS-CSR-E-N  -  Cash Window 116</t>
  </si>
  <si>
    <t xml:space="preserve">SS-CSR-E-N</t>
  </si>
  <si>
    <t xml:space="preserve">Cash Window 116</t>
  </si>
  <si>
    <t xml:space="preserve">soffit_side  #SS-CSR-E-S  -  Cash Window 116</t>
  </si>
  <si>
    <t xml:space="preserve">SS-CSR-E-S</t>
  </si>
  <si>
    <t xml:space="preserve">fascia_box  #FB-N  -  FB-N</t>
  </si>
  <si>
    <t xml:space="preserve">FB-N</t>
  </si>
  <si>
    <t xml:space="preserve">3/A09.26</t>
  </si>
  <si>
    <t xml:space="preserve">fascia_box  #FB-W  -  FB-W</t>
  </si>
  <si>
    <t xml:space="preserve">FB-W</t>
  </si>
  <si>
    <t xml:space="preserve">16/A09.27</t>
  </si>
  <si>
    <t xml:space="preserve">fascia_box  #FB-SW  -  FB-SW</t>
  </si>
  <si>
    <t xml:space="preserve">FB-SW</t>
  </si>
  <si>
    <t xml:space="preserve">fascia_box  #FB-E  -  FB-E</t>
  </si>
  <si>
    <t xml:space="preserve">FB-E</t>
  </si>
  <si>
    <t xml:space="preserve">7/A09.26</t>
  </si>
  <si>
    <t xml:space="preserve">fascia_box  #FB-SE  -  FB-SE</t>
  </si>
  <si>
    <t xml:space="preserve">FB-SE</t>
  </si>
  <si>
    <t xml:space="preserve">fascia_box  #FB-S  -  FB-S</t>
  </si>
  <si>
    <t xml:space="preserve">FB-S</t>
  </si>
  <si>
    <t xml:space="preserve">fascia_box  #FB-SWr  -  FB-SWr</t>
  </si>
  <si>
    <t xml:space="preserve">FB-SWr</t>
  </si>
  <si>
    <t xml:space="preserve">fascia_box  #FB-SEr  -  FB-SEr</t>
  </si>
  <si>
    <t xml:space="preserve">FB-SEr</t>
  </si>
  <si>
    <t xml:space="preserve">ceiling_transition  #CT-103-CSRW  -  Central Zone 103</t>
  </si>
  <si>
    <t xml:space="preserve">CT-103-CSRW</t>
  </si>
  <si>
    <t xml:space="preserve">alcove  #A1-DF-W+A1-DF-N+A1-DF-S  -  WOMEN'S RESTROOM 114 / C1 plumbing wall abutment (no board) / MEN'S RESTROOM 113 / CORRIDOR 111 (drinking fountain alcove, PF-06) + WOMEN'S RESTROOM 114 / CORRIDOR 111 (drinking fountain alcove) + CORRIDOR 111 (drinking fountain alcove) / MEN'S RESTROOM 113</t>
  </si>
  <si>
    <t xml:space="preserve">A1-DF-W+A1-DF-N+A1-DF-S</t>
  </si>
  <si>
    <t xml:space="preserve">WOMEN'S RESTROOM 114 / C1 plumbing wall abutment (no board) / MEN'S RESTROOM 113 / CORRIDOR 111 (drinking fountain alcove, PF-06) + WOMEN'S RESTROOM 114 / CORRIDOR 111 (drinking fountain alcove) + CORRIDOR 111 (drinking fountain alcove) / MEN'S RESTROOM 113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</si>
  <si>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</si>
  <si>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</si>
  <si>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</si>
  <si>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</si>
  <si>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</si>
  <si>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</si>
  <si>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</si>
  <si>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</si>
  <si>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</si>
  <si>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</si>
  <si>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</si>
  <si>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</si>
  <si>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</si>
  <si>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</si>
  <si>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</si>
  <si>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</t>
  </si>
  <si>
    <t xml:space="preserve">3-5/8" metal stud (LF of material)</t>
  </si>
  <si>
    <t xml:space="preserve">familias_out.json '3-5/8" stud (all gauges)'</t>
  </si>
  <si>
    <t xml:space="preserve">1-5/8" metal stud (LF of material)</t>
  </si>
  <si>
    <t xml:space="preserve">familias_out.json '1-5/8" stud'</t>
  </si>
  <si>
    <t xml:space="preserve">6" parapet infill stud (LF of material)</t>
  </si>
  <si>
    <t xml:space="preserve">familias_out.json '6" parapet stud'</t>
  </si>
  <si>
    <t xml:space="preserve">Track, ceilings / soffits / canopy</t>
  </si>
  <si>
    <t xml:space="preserve">run 10 ft</t>
  </si>
  <si>
    <t xml:space="preserve">familias_out.json 'ceiling / soffit track'</t>
  </si>
  <si>
    <t xml:space="preserve">Bracing 1-1/2" C.R. channel</t>
  </si>
  <si>
    <t xml:space="preserve">C.R. channel 16 ft</t>
  </si>
  <si>
    <t xml:space="preserve">familias_out.json 'bracing C.R. channel'</t>
  </si>
  <si>
    <t xml:space="preserve">Purlin, top track to deck</t>
  </si>
  <si>
    <t xml:space="preserve">familias_out.json 'purlin (track to deck)'</t>
  </si>
  <si>
    <t xml:space="preserve">Header / metal stud box beam</t>
  </si>
  <si>
    <t xml:space="preserve">familias_out.json 'header / box beam'</t>
  </si>
  <si>
    <t xml:space="preserve">Sill track</t>
  </si>
  <si>
    <t xml:space="preserve">familias_out.json 'sill track'</t>
  </si>
  <si>
    <t xml:space="preserve">Furring channel (ceilings)</t>
  </si>
  <si>
    <t xml:space="preserve">hat channel 12 ft</t>
  </si>
  <si>
    <t xml:space="preserve">familias_out.json 'furring channel'</t>
  </si>
  <si>
    <t xml:space="preserve">Carrying channel (ceilings)</t>
  </si>
  <si>
    <t xml:space="preserve">familias_out.json 'carrying channel'</t>
  </si>
  <si>
    <t xml:space="preserve">Hanger wire</t>
  </si>
  <si>
    <t xml:space="preserve">familias_out.json 'hanger wire'</t>
  </si>
  <si>
    <t xml:space="preserve">5/8" gypsum board, regular</t>
  </si>
  <si>
    <t xml:space="preserve">SF</t>
  </si>
  <si>
    <t xml:space="preserve">familias_out.json '5/8" gyp board regular (walls + ceilings)'</t>
  </si>
  <si>
    <t xml:space="preserve">5/8" gypsum board, MOISTURE RESISTANT</t>
  </si>
  <si>
    <t xml:space="preserve">familias_out.json '5/8" gyp MOISTURE RESISTANT'</t>
  </si>
  <si>
    <t xml:space="preserve">Ballistic panel 3/8" UL752</t>
  </si>
  <si>
    <t xml:space="preserve">familias_out.json 'ballistic panel'</t>
  </si>
  <si>
    <t xml:space="preserve">3/8" gypsum board</t>
  </si>
  <si>
    <t xml:space="preserve">familias_out.json '3/8" gyp board'</t>
  </si>
  <si>
    <t xml:space="preserve">5/8" glass mat sheathing (exterior face of the stud)</t>
  </si>
  <si>
    <t xml:space="preserve">familias_out.json '5/8" glass mat sheathing'</t>
  </si>
  <si>
    <t xml:space="preserve">5/8" EXTERIOR gypsum sheathing</t>
  </si>
  <si>
    <t xml:space="preserve">familias_out.json '5/8" EXTERIOR gyp sheathing'</t>
  </si>
  <si>
    <t xml:space="preserve">Blocking FRT / 2X FRT wood</t>
  </si>
  <si>
    <t xml:space="preserve">familias_out.json 'FRT blocking'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</si>
  <si>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</si>
  <si>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</si>
  <si>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</si>
  <si>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</si>
  <si>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</si>
  <si>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</si>
  <si>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</t>
  </si>
  <si>
    <t xml:space="preserve">Cement board (substrate under the FRP cove base band)</t>
  </si>
  <si>
    <t xml:space="preserve">familias_out.json 'cement board'</t>
  </si>
  <si>
    <t xml:space="preserve">FRP panels</t>
  </si>
  <si>
    <t xml:space="preserve">familias_out.json 'FRP'</t>
  </si>
  <si>
    <t xml:space="preserve">Acoustical sealant</t>
  </si>
  <si>
    <t xml:space="preserve">tube (25 LF per tube)</t>
  </si>
  <si>
    <t xml:space="preserve">familias_out.json 'acoustical sealant'</t>
  </si>
  <si>
    <t xml:space="preserve">Framed openings - MEP, light slots and diffusers</t>
  </si>
  <si>
    <t xml:space="preserve">framed_openings_out.json 'framed openings MEP' (framed_openings.py; family absent from familias_out.json)</t>
  </si>
  <si>
    <t xml:space="preserve">Bottom track 3-5/8"</t>
  </si>
  <si>
    <t xml:space="preserve">familias_out.json track_by_element 'bottom track (all)' (R73.3)</t>
  </si>
  <si>
    <t xml:space="preserve">Bottom track 6"</t>
  </si>
  <si>
    <t xml:space="preserve">Bottom track 1-5/8"</t>
  </si>
  <si>
    <t xml:space="preserve">Bottom track - roof step and heads (vestibule / bulkhead)</t>
  </si>
  <si>
    <t xml:space="preserve">Bottom track - other framing (not a partition type, see source)</t>
  </si>
  <si>
    <t xml:space="preserve">Parapet bottom track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</si>
  <si>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</si>
  <si>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</si>
  <si>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</si>
  <si>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1-5/8"</t>
  </si>
  <si>
    <t xml:space="preserve">Top track - roof step and heads (vestibule / bulkhead)</t>
  </si>
  <si>
    <t xml:space="preserve">Top / deflection track - other framing (not a partition type, see source)</t>
  </si>
  <si>
    <t xml:space="preserve">Parapet top track</t>
  </si>
  <si>
    <t xml:space="preserve">3-5/8" stud, framed soffit 9/A12.08 (LF)</t>
  </si>
  <si>
    <t xml:space="preserve">familias_out.json stud_by_element '3-5/8" stud (all gauges)' (v76)</t>
  </si>
  <si>
    <t xml:space="preserve">Blocking 2X wood (not labeled FRT)</t>
  </si>
  <si>
    <t xml:space="preserve">familias_out.json wood_blocking_lf 'FRT blocking' (v76)</t>
  </si>
  <si>
    <t xml:space="preserve">5/8" FRT plywood sheathing (canopy and soffits)</t>
  </si>
  <si>
    <t xml:space="preserve">4x12 ft sheet (Inputs)</t>
  </si>
  <si>
    <t xml:space="preserve">familias_out.json FRT plywood by material; canon rows</t>
  </si>
  <si>
    <t xml:space="preserve">Exterior sheathing 5/8" FRT plywood bonded to 2-1/2" polyiso</t>
  </si>
  <si>
    <t xml:space="preserve">FRT plywood substrate (3/4 in.)</t>
  </si>
  <si>
    <t xml:space="preserve">5/8" FRT plywood at canopy column wraps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</si>
  <si>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</si>
  <si>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</si>
  <si>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</si>
  <si>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</si>
  <si>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</si>
  <si>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</si>
  <si>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</si>
  <si>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</si>
  <si>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</si>
  <si>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M01.01; 6/S5.20; M01.01 (registered on A02.01, mep.cruces); 6/S5.20; M01.01 (registered on A02.01), crossing read on the registered overlay; 6/S5.20; P01.02 (offset dx +808.68 dy -1030.45 to A02.01)</t>
  </si>
  <si>
    <t xml:space="preserve">Extra framing - sistered stud and furring at the ATM recess</t>
  </si>
  <si>
    <t xml:space="preserve">accesorios.py [CRITERION]: 6/A08.11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</si>
  <si>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</si>
  <si>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</si>
  <si>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</si>
  <si>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</si>
  <si>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</si>
  <si>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'5'-0" TO TOP OF FRP' (WC-3) above the CT-12C 6" tile cove base (3/A08.01): 5.0 - 0.5 = 4.5 ft panel height; 1/A08.01; A05.01 key note 6 'FRP FROM FLOOR TO 4'-0" AFF, WIDTH TO MATCH WIDTH OF MOP SINK AT BOTH SIDES'; 6/A12.04 WC-2</t>
  </si>
  <si>
    <t xml:space="preserve">Power-driven fasteners and duct sleeves</t>
  </si>
  <si>
    <t xml:space="preserve">accesorios.py [DERIVED]: Parapet infill: PAFs SPACED AT 12" O.C. MAX to the steel beam; M01.01</t>
  </si>
  <si>
    <t xml:space="preserve">Access panel 24"x24"</t>
  </si>
  <si>
    <t xml:space="preserve">accesorios.py [CONFIRMED]: A04.01 key note 4 '2' X 2' LOCKING ACCESS PANEL. KEYED TO MATCH MAIN ENTRY.'</t>
  </si>
  <si>
    <t xml:space="preserve">Drywall screws 1-1/4" bugle head</t>
  </si>
  <si>
    <t xml:space="preserve">accesorios.py [DERIVED]: Inputs!B20 (Drywall screws per SF of board = 1.2) x 17643.4 SF of board</t>
  </si>
  <si>
    <t xml:space="preserve">Framing screws, pan head self-drilling</t>
  </si>
  <si>
    <t xml:space="preserve">accesorios.py [DERIVED]: Inputs!B21 (Framing screws per stud piece = 4) x 1767 stud pieces</t>
  </si>
  <si>
    <t xml:space="preserve">Power-driven fasteners, slab pins for the bottom track</t>
  </si>
  <si>
    <t xml:space="preserve">accesorios.py [DERIVED]: 529.91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</si>
  <si>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</si>
  <si>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215.05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</si>
  <si>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</si>
  <si>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</si>
  <si>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</si>
  <si>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17643.4 SF of board</t>
  </si>
  <si>
    <t xml:space="preserve">Joint tape, paper</t>
  </si>
  <si>
    <t xml:space="preserve">accesorios.py [DERIVED]: Inputs!B24 (Joint tape (LF per SF) = 0.37) x 17643.4 SF of board</t>
  </si>
  <si>
    <t xml:space="preserve">Level 5 finish</t>
  </si>
  <si>
    <t xml:space="preserve">accesorios.py [CONFIRMED]: A00.40 WC-18 'WALL SURFACE TO BE LEVEL 5'; 1/A11.04 OFFICE 1 SOUTH 11'-9 1/4" V.I.F.; A00.40 WC-18 'WALL SURFACE TO BE LEVEL 5'; 6/A11.01 OFFICE 2 SOUTH 11'-9 1/4" V.I.F.; A00.40 WC-18 'WALL SURFACE TO BE LEVEL 5'; 5/A11.04 OFFICE 3 SOUTH 1</t>
  </si>
  <si>
    <t xml:space="preserve">Deflection clips at non-load-bearing walls to structure</t>
  </si>
  <si>
    <t xml:space="preserve">accesorios.py [CRITERION]: S1.11 LIGHT GAUGE STEEL FRAMING note 2 'PROVIDE MANUFACTURER'S STANDARD VERTICAL DEFLECTION CLIPS AT NON-LOAD-BEARING WALLS ... MAX. 1 INCH'; 1/A12.01, 3/A12.01, 4/A12.01 CONTINUOUS SLIP TRACK at underside of structure; 8/A12.01, 9/A12.01 C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</si>
  <si>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</si>
  <si>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</si>
  <si>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</si>
  <si>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</si>
  <si>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</si>
  <si>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92.4 lf</t>
  </si>
  <si>
    <t xml:space="preserve">RFI-ACC-stud-reinforcement-mep</t>
  </si>
  <si>
    <t xml:space="preserve">stud reinforcement MEP: plates at double-row stud walls: one per cut row (R72.9) vs one per crossing</t>
  </si>
  <si>
    <t xml:space="preserve">-11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</si>
  <si>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</si>
  <si>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</si>
  <si>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16 pcs</t>
  </si>
  <si>
    <t xml:space="preserve">RFI-ACC-stud-reinforcement-mep-3</t>
  </si>
  <si>
    <t xml:space="preserve">stud reinforcement MEP: duct / fire damper openings listed outside the registered MEP sweep (R73.5)</t>
  </si>
  <si>
    <t xml:space="preserve">4 pcs</t>
  </si>
  <si>
    <t xml:space="preserve">RFI-ACC-extra-framing-atm</t>
  </si>
  <si>
    <t xml:space="preserve">extra framing ATM: ATM-DU: ATM recess not fully dimensioned (width CONFIRMED, sistered height CRITERION, furring rows CRITERION)</t>
  </si>
  <si>
    <t xml:space="preserve">0 lf</t>
  </si>
  <si>
    <t xml:space="preserve">RFI-ACC-gypsum-board-jamb-return</t>
  </si>
  <si>
    <t xml:space="preserve">gypsum board jamb return: jamb return width not dimensioned</t>
  </si>
  <si>
    <t xml:space="preserve">-41.19 sf</t>
  </si>
  <si>
    <t xml:space="preserve">RFI-ACC-slab-pins</t>
  </si>
  <si>
    <t xml:space="preserve">slab pins: pin spacing: 12" (interior anchorage) vs 16" (fastener schedule) vs 24" (type K box)</t>
  </si>
  <si>
    <t xml:space="preserve">16in: -132.48 pcs; 24in: -264.95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</si>
  <si>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</si>
  <si>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</si>
  <si>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525 pcs</t>
  </si>
  <si>
    <t xml:space="preserve">RFI-ACC-stud-reinforcement-mep-4</t>
  </si>
  <si>
    <t xml:space="preserve">stud reinforcement MEP: 9 manual duct crossings (MM-01..MM-09) + 1-1/2" CW (PP-01) outside the mep.cruces family; G / G1 height (RFI-AC-01); vestibule heads (RFI-AC-04); over-door crossings (RFI-AC-05)</t>
  </si>
  <si>
    <t xml:space="preserve">+10 / -8 / -5 / -4 pcs</t>
  </si>
  <si>
    <t xml:space="preserve">RFI-ACC-slab-pins-2</t>
  </si>
  <si>
    <t xml:space="preserve">slab pins: A1K PAF @ 2'-0" (4/A12.01) vs interior sill track anchorage @ 12" (S5.20)</t>
  </si>
  <si>
    <t xml:space="preserve">A1K bottom track LF x 0.5 pcs/ft</t>
  </si>
  <si>
    <t xml:space="preserve">RFI-ACC-level-5-finish</t>
  </si>
  <si>
    <t xml:space="preserve">Level 5 finish: WC-20 LEVEL 5 legend without instances (RFI-AC-14)</t>
  </si>
  <si>
    <t xml:space="preserve">+ L x (H - 0.375) per WC-20 wall</t>
  </si>
  <si>
    <t xml:space="preserve">RFI-OP-01</t>
  </si>
  <si>
    <t xml:space="preserve">Coiling grille 103 height: A00.30 HEIGHT column for door 103 prints 13'-6 1/2", but 4/A08.21 places the grille head 1'-6" below the CENTRAL ZONE ACT ceiling 11'-6" (A04.01) = 10'-0". Confirm the grille opening height.</t>
  </si>
  <si>
    <t xml:space="preserve">grille_head band height changes by 3.54 ft over 13.33 ft (head band studs/board of GH-103); header LF unchanged (13.33 + 1.33) x 4 x 2 beams</t>
  </si>
  <si>
    <t xml:space="preserve">RFI-OP-02</t>
  </si>
  <si>
    <t xml:space="preserve">Drive-up ATM R.O. width: 7/A08.11 prints 2'-2 1/2" R.O., 5/A08.11 prints 2'-2 1/8" (26.4") R.O., A02.01 vector mask 2'-3". Confirm the R.O.</t>
  </si>
  <si>
    <t xml:space="preserve">0.031 ft x 4 box pieces + 0.031 ft sill = 0.16 LF</t>
  </si>
  <si>
    <t xml:space="preserve">RFI-OP-03</t>
  </si>
  <si>
    <t xml:space="preserve">Drive-up ATM sistered studs / datum: 6/A08.11: height of the 2 1/2" studs sistered to the 6" studs is not dimensioned (drawn up to the METAL STUD BOX BEAM at 6'-0"); the 2'-8 1/8" sill is measured from the FINISHED DRIVE-LANE. Confirm sistered stud height and the sill datum vs T/SLAB.</t>
  </si>
  <si>
    <t xml:space="preserve">(6.0 - 2.604) ft x sistered studs per jamb (not dimensioned) of 2 1/2" stud</t>
  </si>
  <si>
    <t xml:space="preserve">RFI-OP-04</t>
  </si>
  <si>
    <t xml:space="preserve">Exterior window R.O. not printed: No R.O. is printed for the 6 clerestory windows (GL-2, 6'-6" to 8'-6"). A02.01 vector opening mask = 8'-0"; the frame/glass mask = 7'-8". Confirm R.O.</t>
  </si>
  <si>
    <t xml:space="preserve">0.333 ft x (4 box + 2 sill) pieces x 6 windows = 12.0 LF (plus FRT plywood substrate strip)</t>
  </si>
  <si>
    <t xml:space="preserve">RFI-OP-08</t>
  </si>
  <si>
    <t xml:space="preserve">CSR teller line header: 1/A12.08 prints 12'-0 1/4" R.O. HOLD for the teller line between the A1K returns; no header is drawn, the CSR soffit (9/A12.08) spans above. Confirm no box beam is required at the teller line.</t>
  </si>
  <si>
    <t xml:space="preserve">(12.02 + 1.33) x 4 = 53.42 LF header / box beam</t>
  </si>
  <si>
    <t xml:space="preserve">RFI-OP-09</t>
  </si>
  <si>
    <t xml:space="preserve">Vestibule BOX HEADER AS NEEDED size: 4-7/A12.10 'METAL STUD FRAMING &amp; BOX HEADER AS NEEDED': box header counted (E11) as 4 pieces over each glazed front; member size not printed.</t>
  </si>
  <si>
    <t xml:space="preserve">size only (LF = (15.65 + 1.33) x 4 + (6.42 + 1.33) x 4 = 98.9 LF unchanged)</t>
  </si>
  <si>
    <t xml:space="preserve">RFI-W10A1-01</t>
  </si>
  <si>
    <t xml:space="preserve">Type B2K (PC0011) not in the partition schedule: A02.01 tags B2K on the office 4 / customer-queue wall (hatched KEVLAR). No B2K row or detail exists on A12.01. Loaded: B2 base (1/A12.01, 6" stud) + K assembly of 4/A12.01 (14 ga studs, 3/8" level-2 panel to 8'-0" on the customer face, 3/8" GB above) = 7 5/8" (= A5K row), measured 7.68". Confirm.</t>
  </si>
  <si>
    <t xml:space="preserve">ballistic panel 2.2067 x 8.0 = 17.65 SF and 3/8" GB 2.2067 x 7.375 = 16.27 SF drop out; stud gauge 14 -&gt; 20 ga</t>
  </si>
  <si>
    <t xml:space="preserve">RFI-W10A1-02</t>
  </si>
  <si>
    <t xml:space="preserve">K stud spacing 24" max vs 16": 4/A12.01 says 14 GA. METAL STUDS @ 24" O.C. MAX; S5.20 METAL STUD PROPERTIES says interior walls @ 16" O.C. Loaded 16" o.c. (meets both). Confirm spacing for A1K / B2K.</t>
  </si>
  <si>
    <t xml:space="preserve">about 1/3 fewer studs on 11.24 LF of K walls at 24" o.c. (ROUNDUP(L/2)+1 vs ROUNDUP(L/1.333)+1 per wall)</t>
  </si>
  <si>
    <t xml:space="preserve">RFI-W10A1-03</t>
  </si>
  <si>
    <t xml:space="preserve">6" interior stud gauge (A5): 7/S5.20 METAL STUD PROPERTIES lists 362S137-33 (interior) and 600S137-33 (exterior) only. Gauge of the 6" A5 interior studs not given; loaded 33 mil (20 ga, 600S137-33). Confirm.</t>
  </si>
  <si>
    <t xml:space="preserve">gauge only (LF unchanged): 6" A5 studs on A5-CC-W, A5-CC-E-N/S, A5-D122-N/S, A5-BR-E</t>
  </si>
  <si>
    <t xml:space="preserve">RFI-W10A1-04</t>
  </si>
  <si>
    <t xml:space="preserve">A5-CC-W top vs W14x30 on grid 5: The W14x30 on grid 5 (S2.20) has its axis 3.7 pt (2.5") east of the A5-CC-W band; its flange edge overlaps the east face by about 0.9". Loaded studs to deck (15.375 ft). Confirm whether the wall stops under the beam.</t>
  </si>
  <si>
    <t xml:space="preserve">1.15 ft x (ROUNDUP(11.0 x 12 / 16) + 1 = 10 studs) = 11.5 LF 6" stud; board unchanged (faces stop at 12.0 / 9.0)</t>
  </si>
  <si>
    <t xml:space="preserve">RFI-W10A1-05</t>
  </si>
  <si>
    <t xml:space="preserve">Ballistic contour sides and the A1K cavity: 4/A12.01 places the panel on the CUSTOMER SIDE. Taken: B2K south, A1K-TL-N north, A1K-TL-SW north, A1K-TL-SE south (contour continuity through the two jogs J-TOP / J-BOT of 2.64 pt between faces). A1K-TL-N north face looks into a 3.3" closed cavity against the office 4 G wall. Confirm. Confirm sides and whether the cavity face gets board.</t>
  </si>
  <si>
    <t xml:space="preserve">side choice changes 0 SF (same length / height); omitting the cavity face board = 3.4167 x 15.375 = 52.53 SF 5/8" (customer layer); the 7.8 pt jog blocks (x 1653.96-1661.76) are hatched over the full depth: measuring each jog across the block (0.587 ft) instead of between faces (0.147 ft) adds 2 x 0.44 ft x 8 ft = 7.0 SF panel</t>
  </si>
  <si>
    <t xml:space="preserve">RFI-W10A1-07</t>
  </si>
  <si>
    <t xml:space="preserve">Rear roof zone sloped deck: S2.20 rear zone (grid B to A) slopes from B.O.D. 13'-0 5/8" to 12'-6 3/8" (1/4" per ft). Loaded the high end 13.0521 for all walls south of grid B (A1-CC-S, A1-BR-N, A1-WR-N, A1K-TL-SW/SE, A1-DF-N/S, and beam-stop walls 13.0521 - d).</t>
  </si>
  <si>
    <t xml:space="preserve">per wall: (wall ordinate - 1246.4 pt)/18 x 1/4"/ft; e.g. A1-WR-N at ordinate 1491.8: 13.64 ft x 0.0208 = 0.28 ft x studs; A1-COR-E end at grid A: 0.52 ft; PASO 8 (V1-F1): heights now interpolated at each wall high end (59.13), the zone-high-end alternative = +12.2 LF studs</t>
  </si>
  <si>
    <t xml:space="preserve">RFI-W10A1-08</t>
  </si>
  <si>
    <t xml:space="preserve">Board behind the C1 display furring on A1-CC-N: Key note 7 C1 furring for the 85" display monitor sits against the A1-CC-N north face (x 1293.6-1460.9 pt). Loaded the north face board full length. Confirm if board is omitted behind the C1 box.</t>
  </si>
  <si>
    <t xml:space="preserve">9.2933 ft x 11.5 ft = 106.87 SF 5/8" regular</t>
  </si>
  <si>
    <t xml:space="preserve">RFI-W10A1-10</t>
  </si>
  <si>
    <t xml:space="preserve">Drinking fountain alcove back wall under W14x22: the beam-over-wall check tool places the W14x22 (S2.20, x 1089.5 pt) 2.8 pt west of the alcove back wall band (inside the 3 pt tolerance). Loaded stops under beam 11.9104 ft.</t>
  </si>
  <si>
    <t xml:space="preserve">1.1417 ft x 5 studs (4.07 ft @ 16") = 5.71 LF 3 5/8" stud</t>
  </si>
  <si>
    <t xml:space="preserve">RFI-W20-01</t>
  </si>
  <si>
    <t xml:space="preserve">Office front height under the bulkheads: 2/A11.01 prints 8'-0 1/2" HOLD. TYP. FROM SLAB (east fronts 105-108) and 1/A11.01 prints 8'-0" CLEAR FINISHED OPENING (west fronts 109-110); the openings task loaded head 7'-10" (door height A00.30, RFI-OP-05). Bulkhead bands loaded from the printed HOLD (56.7).</t>
  </si>
  <si>
    <t xml:space="preserve">bulkhead band +0.21 ft (east) / +0.17 ft (west) x 7.5 ft x 6 fronts x 2 faces x 2 layers = approx. +68 SF board and 0.2 ft per stud; OF-105..110 head_ft in openings_extra should be 8.0417 / 8.0; integration: OF-105..108 head_ft = 8.0417 and OF-109..110 = 8.0 loaded in openings_extra (printed elevation governs, 56.7); RFI-OP-05 merged here</t>
  </si>
  <si>
    <t xml:space="preserve">RFI-W20-02</t>
  </si>
  <si>
    <t xml:space="preserve">Partitions crossing the roof step at grid B: B2-PT0025 (grid 4, women's restroom) starts 0.55 ft north of grid B where the deck steps from 15'-4 1/2" to 13'-0 5/8" (W14x22 HI / LOW, 9/S5.10). Height loaded at the low roof 13'-0 5/8". Confirm stud termination at the step.</t>
  </si>
  <si>
    <t xml:space="preserve">+2.32 ft x 5.53 ft = +12.9 SF per face (2 faces) and +2.32 ft per stud (6 studs)</t>
  </si>
  <si>
    <t xml:space="preserve">RFI-W20-03</t>
  </si>
  <si>
    <t xml:space="preserve">Partitions partly under S2.20 members (the beam-over-wall check tool tol 3 pt): G1-PT0048 (W8x10 last 2.5 ft), G-PT0042 (W12x19 HI + W8x10 over 6.8 of 12.7 ft), G-PT0045 (W8x10 over 3.4 ft), B-PT0019 (W8x10 over 5.3 ft), B-PT0020 (W14x22 over 5.3 ft, axis 0.9 pt outside the band), B2-PT0027 (W14x22 on grid 7, 0.3 pt outside), G-PT0040 (W16x26 axis 3.9 pt outside). Loaded to deck (high side); confirm whether studs stop under these members.</t>
  </si>
  <si>
    <t xml:space="preserve">W8x10 -0.66 ft, W12x19 -1.01 ft, W14x22 -1.15 ft per stud over the covered length (approx. -4 studs x 0.66 ft for G1-PT0048 ... ); board -0.66..-1.15 ft x covered LF x faces x layers; integration: B2-PT0027 changed to stop under the W14x22 (12.775 -&gt; 11.6333 ft, -1.1417 ft x 11.41 ft x 2 faces board and per stud) because the beam covers 99 % of the wall (R72.4)</t>
  </si>
  <si>
    <t xml:space="preserve">RFI-W20-04</t>
  </si>
  <si>
    <t xml:space="preserve">Vendor end shared between door bulkhead and G stub (R71.16): At each office front jamb (10/A12.01) the vendor_end +1 stud is loaded on the G stub; the bulkhead ends are modeled as abut (0). Estimator to confirm whether the bulkhead also takes a jamb stud.</t>
  </si>
  <si>
    <t xml:space="preserve">+12 bulkhead studs (6 fronts x 2 ends) x 6.2-7.3 ft, x 2 rows</t>
  </si>
  <si>
    <t xml:space="preserve">RFI-W20-05</t>
  </si>
  <si>
    <t xml:space="preserve">Studs drawn in the storefront piers 1/A09.25 and 2/A09.25: Pier studs read from the plan details as 2 studs per drawn stud box: 3 5/8" interior = 4, 6" exterior = 6 per pier. Confirm.</t>
  </si>
  <si>
    <t xml:space="preserve">+/- 2 studs x 14.36 ft per pier (2 piers)</t>
  </si>
  <si>
    <t xml:space="preserve">RFI-W20-06</t>
  </si>
  <si>
    <t xml:space="preserve">C1 bump-out heights (media wall PT0034, FCAM PT0036): C1 type 6/A12.01 has no height (break line); C1 at the 85" media monitor and at FUTURE FCAM loaded to deck (60.11/53.3). Confirm height (alternative: ceiling + 6").</t>
  </si>
  <si>
    <t xml:space="preserve">PT0034: -3.875 ft x 11.33 ft = -43.9 SF and -3.875 ft per stud; PT0036: -4.4 ft x 3.56 ft = -15.7 SF</t>
  </si>
  <si>
    <t xml:space="preserve">RFI-W20-07</t>
  </si>
  <si>
    <t xml:space="preserve">Gauge of 1 5/8" (G/G1) and interior 6" (B2) studs: 7/S5.20 METAL STUD PROPERTIES lists 362S137-33 (interior) and 600S137-33 (exterior) only. Gauge of 1 5/8" G/G1 studs and 6" interior B2 studs not printed; 33 mil assumed.</t>
  </si>
  <si>
    <t xml:space="preserve">weight/price only, LF unchanged</t>
  </si>
  <si>
    <t xml:space="preserve">RFI-W20-08</t>
  </si>
  <si>
    <t xml:space="preserve">VB-100A head board on the central zone face: 5/A12.10 draws the 5/8" board on the central zone face up past the ACT ceiling (break line). Loaded to the W12x14 underside (4.38 ft above the 10'-0" head).</t>
  </si>
  <si>
    <t xml:space="preserve">-2.38 ft x 6.41 ft = -15.3 SF</t>
  </si>
  <si>
    <t xml:space="preserve">RFI-W20-09</t>
  </si>
  <si>
    <t xml:space="preserve">Grille head framing height 4/A08.21: 4/A08.21 chain: 1'-6" + 6" (our 2 1/2" CFMF band between the two 6" box beams) + 2'-4 1/2" (vendor steel angle / 3x3 tube support by door vendor). Head loaded = 2'-0".</t>
  </si>
  <si>
    <t xml:space="preserve">+2.375 ft x 11 studs (13.33 ft @ 16") = +26 LF 2 1/2" stud</t>
  </si>
  <si>
    <t xml:space="preserve">RFI-W20-10</t>
  </si>
  <si>
    <t xml:space="preserve">Storefront pier framing height (C1 piers at grids 2/G and 4/G): Interior 3 5/8" pier framing loaded under the W12x19 (HI) (15'-4 1/2" - 12.16") ; the W12x19 (CANOPY) T.O.S. 11'-11 3/8" and the HSS9x5 lintel run on the same line.</t>
  </si>
  <si>
    <t xml:space="preserve">-3.43 ft x 3.29 ft board per pier and -3.43 ft per stud (10 studs per pier)</t>
  </si>
  <si>
    <t xml:space="preserve">RFI-EXT-01</t>
  </si>
  <si>
    <t xml:space="preserve">Elevation titles vs north arrow: A02.01 north arrow points up (grid G at the top = NORTH). 1/A09.01 'SOUTH ELEVATION' draws the grid G/F (entrance) facade and 2/A09.02 'NORTH ELEVATION' draws the grid A facade; S2.20 notes 'BUILDING FOOTPRINT MIRRORED NORTH-SOUTH'. Facade letters taken from the arrow (R71.1): grid G/F = N, grid A = S. Confirm.</t>
  </si>
  <si>
    <t xml:space="preserve">no quantity change; only facade labels (N &lt;-&gt; S swap of the two titled elevations)</t>
  </si>
  <si>
    <t xml:space="preserve">RFI-EXT-02</t>
  </si>
  <si>
    <t xml:space="preserve">Exterior stud height on the sloped low roof (grids 3 and 8, B to A): S2.20 prints B.O.D. 13'-0 5/8" at grid B and 12'-6 3/8" at grid A (sloped). EXT-ELO / EXT-W3L loaded at the high end (13.0521 - W14x22 = 11.9104 ft, 59.13). Confirm or use the average.</t>
  </si>
  <si>
    <t xml:space="preserve">average 12.7917 - 1.1417 = 11.65 ft: -0.26 ft x studs of EXT-ELO and EXT-W3L (2 x 25.72 ft @16/12) ~ -0.26 x 46 studs = -12 LF 6" stud; board -0.26 x 51.4 = -13.4 SF</t>
  </si>
  <si>
    <t xml:space="preserve">RFI-EXT-03</t>
  </si>
  <si>
    <t xml:space="preserve">Exterior stud gauge / spacing conflict: S1.11 note 5: exterior studs 600S162-54 @ 16" o.c., @ 12" within 6 ft of building corners. 7/S5.20 METAL STUD PROPERTIES lists 600S137-33 EXTERIOR WALLS @ 16" o.c. Loaded S1.11 (more material, 56.2).</t>
  </si>
  <si>
    <t xml:space="preserve">gauge 54 mil vs 33 mil on all exterior 6" studs; corner zones @12" add ~ +1 stud per 4 ft of zone (~ +30 studs total) vs 7/S5.20</t>
  </si>
  <si>
    <t xml:space="preserve">RFI-EXT-04</t>
  </si>
  <si>
    <t xml:space="preserve">Roof step framing heights not dimensioned: 4/A02.02 does not dimension the three 3-5/8" stud runs (roof-side run to the 2X FRT blocking, and the box below the step). Heights measured in the detail vector (108 pt/ft): 3.11 / 1.13 / 3.46 ft. Confirm box bottom elevation and whether the box closure under the step is by framing (not by ceilings).</t>
  </si>
  <si>
    <t xml:space="preserve">each 0.5 ft = 0.5 x 51.73 ft / 1.333 + 1 = 20 studs x 0.5 = 10 LF stud per run; board 0.5 x 51.73 = 25.9 SF per face</t>
  </si>
  <si>
    <t xml:space="preserve">RFI-EXT-05</t>
  </si>
  <si>
    <t xml:space="preserve">Canopy column wrap height: 5/A09.25 does not give the wrap stud height. Loaded slab to underside of canopy W12x19 (S2.20 canopy B.O.D. 11'-9" - 12.2") = 10.733 ft (53.3); alternative to the soffit B/STUD 10'-7 1/4" (15/A09.27) = 10.604 ft.</t>
  </si>
  <si>
    <t xml:space="preserve">0.129 ft x 4 wraps x 4 faces x (ROUNDUP(1.417/1.333)+1 = 3 studs) = 6.2 LF 3-5/8" stud; FRT plywood 0.129 x 22.67 = 2.9 SF</t>
  </si>
  <si>
    <t xml:space="preserve">RFI-EXT-06</t>
  </si>
  <si>
    <t xml:space="preserve">HP tower return at grid 4: A02.02 key note 10 shows an ACM coping return at grid 4 from the HP coping to ordinate 384.84 pt without dimension or section. Loaded as HP parapet PAR-N1R 3.93 ft (N1 stud CL ordinate 314.10 to the drawn free end, item 13) x 4.29 ft. Confirm extent / height.</t>
  </si>
  <si>
    <t xml:space="preserve">PAR-N1R removed: -3.93 LF parapet (1 bay, ~5 studs x 4.29 ft), -16.9 SF roof-side sheathing</t>
  </si>
  <si>
    <t xml:space="preserve">RFI-EXT-08</t>
  </si>
  <si>
    <t xml:space="preserve">Building corner zones @ 12": S1.11 note 5 zone applied at the 5 outside corners (2/G, 8/F, 8/A, 3/A, 2/D) and the inside corner 3/D. Confirm whether the inside corner counts as a building corner.</t>
  </si>
  <si>
    <t xml:space="preserve">EXT-W3 first 6 ft and EXT-S2 at 12" vs 16": ~ +2 studs x 14.36 ft = 28.7 LF 6" stud</t>
  </si>
  <si>
    <t xml:space="preserve">RFI-EXT-09</t>
  </si>
  <si>
    <t xml:space="preserve">Cladding substrates excluded: ACM panel, formed metal panel EPS-5 on 7/8" hat channel, stucco PT-3/PT-4 (lath, paper, screeds) are cladding (60.4) and are EXCLUDED; confirm they are by the cladding installer.</t>
  </si>
  <si>
    <t xml:space="preserve">hat channel 7/8" behind EPS-5: facade area of EPS-5 / 16" o.c. (not quantified); stucco lath area of wraps 22.7 x 10.7 = 243 SF</t>
  </si>
  <si>
    <t xml:space="preserve">RFI-EXT-10</t>
  </si>
  <si>
    <t xml:space="preserve">Parapet cap blocking plies: 4/A09.26 labels "3/4" F.R.T. PLYWOOD BLOCKING AS REQUIRED" and draws two layers; loaded 2 plies over the whole parapet LF.</t>
  </si>
  <si>
    <t xml:space="preserve">1 ply instead of 2: -269.425 LF FRT plywood blocking</t>
  </si>
  <si>
    <t xml:space="preserve">RFI-EXT-11</t>
  </si>
  <si>
    <t xml:space="preserve">Anchorage of canopy column wraps: 7/S5.20 names EXTERIOR WALLS (Kwik Bolt @ 8") and INTERIOR WALLS (DN1 @ 12"); canopy column wraps are not named. Left with the estimator default (pins).</t>
  </si>
  <si>
    <t xml:space="preserve">anchors vs pins on 4 wraps x 5.67 ft = 22.7 LF track: 34 anchors @ 8" vs 23 pins @ 12"</t>
  </si>
  <si>
    <t xml:space="preserve">RFI-EXT-12</t>
  </si>
  <si>
    <t xml:space="preserve">Roof hatch curb / ladder blocking quantities: 1/A09.30 "2x FRT BLOCKING AS REQUIRED" at the hatch curb (3 stacked pieces drawn, curb 2.83 x 3.43 ft vector) and 3/A09.30 ladder "2X FRT WOOD BLOCKING BEHIND GWB BETWEEN STUDS" (4 levels x 1'-6"): sizes not dimensioned.</t>
  </si>
  <si>
    <t xml:space="preserve">hatch: 12.5 LF per stacked piece; ladder 1.5 LF per level</t>
  </si>
  <si>
    <t xml:space="preserve">RFI-EXT-13</t>
  </si>
  <si>
    <t xml:space="preserve">Deck break at grid B: Exterior walls on grids 3 and 8 cross the roof step / deck break at grid B (S2.20 W14x22 HI/LOW, 9/S5.10); split into EXT-W3/EXT-W3L and EXT-E/EXT-ELO (node split). constants.deck_breaks declared (A02.01, V walls, coord 1246.4 pt).</t>
  </si>
  <si>
    <t xml:space="preserve">no quantity change vs one wall (split node -1 stud row)</t>
  </si>
  <si>
    <t xml:space="preserve">RFI-40-01</t>
  </si>
  <si>
    <t xml:space="preserve">CSR soffit (GB 8'-0") framing: carried framed_soffit per 9/A12.08 (bubble on 1/A12.08) and 10/A09.33 'CEILING DETAIL @ CSR SOFFIT'; no bubble on A04.01 itself (R70.1). Confirm framed soffit vs furring suspension.</t>
  </si>
  <si>
    <t xml:space="preserve">framed_soffit: joists 11 x 3.417 = 37.6 LF + 2 drop lines of 3 5/8" studs to deck (~150 LF) + track 4 x 12.0 = 48 LF; furring alternative: furring 37.6 LF + carrying 24 LF + 8 hangers + perimeter 30.9 LF, no drop studs (~ -150 LF studs, -17 LF track)</t>
  </si>
  <si>
    <t xml:space="preserve">RFI-40-02</t>
  </si>
  <si>
    <t xml:space="preserve">No GWB suspension detail (furring / carrying orientation and spacing) printed; carried furring 16" O.C., carrying 48" O.C., hangers 48" O.C., carrying running N-S.</t>
  </si>
  <si>
    <t xml:space="preserve">carrying N-S (carried): furring 781.4 LF, carrying 316.4 LF; E-W: furring 769.7 LF (-11.7), carrying 321.1 LF (+4.7); hangers 113 pcs either way</t>
  </si>
  <si>
    <t xml:space="preserve">RFI-40-03</t>
  </si>
  <si>
    <t xml:space="preserve">West drive-up canopy soffit joist direction: carried E-W (building wall to fascia, E13, 16/A09.27 + 15/A09.27). Alternative N-S under the W10x12 canopy beams (S2.20).</t>
  </si>
  <si>
    <t xml:space="preserve">E-W: 43 joists x 18.45 = 793 LF + canopy soffit track 55.5 + 59.3 = 114.8 LF; N-S: 17 joists x 48.8 = 829 LF (+36 LF) + track ~38 LF (-77 LF)</t>
  </si>
  <si>
    <t xml:space="preserve">RFI-40-04</t>
  </si>
  <si>
    <t xml:space="preserve">S2.20 canopy tag prints 'B.O.D. elevation 111'-9" TYP. @ CANOPY'; read as 11'-9" (A09.23 sections J/H T/STEEL 11'-9"). Confirm.</t>
  </si>
  <si>
    <t xml:space="preserve">0 LF in ceilings (canopy_joist has no hangers); affects only canopy-zone wall heights</t>
  </si>
  <si>
    <t xml:space="preserve">RFI-40-05</t>
  </si>
  <si>
    <t xml:space="preserve">Restroom ceilings: A08.01 prints 11'-7 1/2" x 6'-6 3/4" (carried); A04.01 RCP vector between wall lines gives 11.733 x 6.667 ft.</t>
  </si>
  <si>
    <t xml:space="preserve">vector alternative: +1.93 SF and +0.425 LF perimeter per restroom (2 rooms: +3.87 SF board, +0.85 LF perimeter track)</t>
  </si>
  <si>
    <t xml:space="preserve">RFI-40-06</t>
  </si>
  <si>
    <t xml:space="preserve">Low roof south of grid B slopes from B.O.D. 13'-0 5/8" (grid B) to 12'-6 3/8" (grid A) (S2.20 SLOPE arrow); hanger drops / soffit stud heights interpolated linearly at each room.</t>
  </si>
  <si>
    <t xml:space="preserve">using 13'-0 5/8" everywhere: Women's drop 4.49 -&gt; 4.55 (+0.06 ft x hangers), Men's 4.32 -&gt; 4.55 (+0.23 ft x hangers), CSR south soffit studs 4.99 -&gt; 5.05 ft (+0.06 ft x studs); &lt; 5 LF total</t>
  </si>
  <si>
    <t xml:space="preserve">RFI-40-07</t>
  </si>
  <si>
    <t xml:space="preserve">Waiting 104 GB cloud edges against ACT-4 11'-6" carried as 7/A09.33 typical ceiling transitions (not bubbled on A04.01); vertical stud spacing not printed in 7/A09.33, 16" O.C. taken from 8/A09.33.</t>
  </si>
  <si>
    <t xml:space="preserve">77.03 LF of transition: vertical studs @16" vs @24" = ~19 studs x 4.375 ft = ~83 LF 3-5/8" stud; omitting the transitions entirely: -77 LF x 2 ceiling track, -~20 kickers, -77 SF board, -154 LF trim</t>
  </si>
  <si>
    <t xml:space="preserve">RFI-40-08</t>
  </si>
  <si>
    <t xml:space="preserve">Light fixtures R-11C / R-11CE (Waiting cloud): E00.01 description '12' LINEAR GYP RECESSED SLOT' vs catalog '...-20'-0"'; drawn 11.99 ft -&gt; 12' carried.</t>
  </si>
  <si>
    <t xml:space="preserve">framed openings: 2 x (20 - 12) x 4 = +64 LF if 20' fixtures</t>
  </si>
  <si>
    <t xml:space="preserve">RFI-40-09</t>
  </si>
  <si>
    <t xml:space="preserve">Canopy linear fixtures UU1-UU6: schedule/catalog lengths carried (20', 2', 3', 55', 50', 16'); A04.01 draws 19.65 / 2.25 / 3.25 / 54.41 / 49.19 / 16.39 ft; width 2.5" (catalog LSR-WET-2.5) vs drawn housing 5.04".</t>
  </si>
  <si>
    <t xml:space="preserve">drawn lengths: 2 x [(19.65-20) + 5(2.25-2) + 9(3.25-3) + 4(54.41-55) + (49.19-50) + (16.39-16)] = +0.8 LF; drawn width 5.04": +2 x 0.212 x 21 = +8.9 LF</t>
  </si>
  <si>
    <t xml:space="preserve">RFI-40-10</t>
  </si>
  <si>
    <t xml:space="preserve">Restroom air devices: M01.01 draws 4 linear slot diffusers (2.29 ft x 7.7") (carried); A04.01 shows 2 '2'x2' HVAC DIFFUSER/GRILLE' symbols per restroom.</t>
  </si>
  <si>
    <t xml:space="preserve">2'x2' devices: 4 x 2(2+2) = 32 LF vs SD 4 x 2(2.294+0.644) = 23.5 LF -&gt; +8.5 LF</t>
  </si>
  <si>
    <t xml:space="preserve">RFI-40-11</t>
  </si>
  <si>
    <t xml:space="preserve">Slot diffuser (SD/SDR TBDI-10) size 'SEE DRAWING': width taken from drawn frame (7.7"); vestibule rows framed as one continuous opening per row (3 sections incl. INACTIVE SECTION).</t>
  </si>
  <si>
    <t xml:space="preserve">framing each 4.24 ft section separately: 3 rows x (3 x 2(4.24+0.64) - 2(12.88+0.64)) = +6.9 LF; diagonal 2 sections +1.3 LF; width 4" instead of 7.7": -2 x 0.31 x 8 = -5.0 LF</t>
  </si>
  <si>
    <t xml:space="preserve">RFI-40-12</t>
  </si>
  <si>
    <t xml:space="preserve">SA-4 screen soffit vents (key note 12, 16/A09.27) in the west canopy soffit carried as framed openings (3 x 14.04 ft x 4" drawn); size not printed.</t>
  </si>
  <si>
    <t xml:space="preserve">if vents need no soffit framing: -2 x (14.04 + 0.333) x 3 = -86.2 LF framed openings</t>
  </si>
  <si>
    <t xml:space="preserve">RFI-40-13</t>
  </si>
  <si>
    <t xml:space="preserve">CSR soffit blocking: 10/A09.33 draws two FRTW pieces (3 1/2" + 5 1/2" x 1 1/2", 'PROVIDE FRTW BLOCKING FOR FUTURE') and 9/A12.08 labels the same soffit '5/8" FIRE TREATED PLYWOOD BLOCKING' with no size. Loaded: 2 FRTW pieces x 12.0208 = 24.04 LF (one element, 55.2).</t>
  </si>
  <si>
    <t xml:space="preserve">one 5/8" FRT plywood strip (9/A12.08) instead of two FRTW pieces: -12.02 LF</t>
  </si>
  <si>
    <t xml:space="preserve">RFI-40-14</t>
  </si>
  <si>
    <t xml:space="preserve">Vestibule 100 E-W: A04.01 vector 15.83 ft (storefront to storefront) carried; 1/A12.10 chain for 24 HR 101 gives 15'-7 3/4" (carried for 101).</t>
  </si>
  <si>
    <t xml:space="preserve">using 15.646 ft for Vestibule 100: -1.42 SF, -0.36 LF perimeter</t>
  </si>
  <si>
    <t xml:space="preserve">RFI-40-15</t>
  </si>
  <si>
    <t xml:space="preserve">Canopy fascia stud height: carried T/STUD 12'-7" - B/STUD 10'-8 5/8" = 1.865 ft; the soffit-level B/STUD 10'-7 1/4" would give 1.979 ft.</t>
  </si>
  <si>
    <t xml:space="preserve">+0.115 ft x fascia studs (~165 studs) = +19 LF 3-5/8"; FRT plywood +0.115 x 237.4 LF = +27 SF</t>
  </si>
  <si>
    <t xml:space="preserve">RFI-40-16</t>
  </si>
  <si>
    <t xml:space="preserve">Canopy soffit sheathing: 7/A09.26 / 3/A09.26 / 16/A09.27 '5/8" EXT. GRADE FRT PLYWOOD SHEATHING' (carried by canon) vs 4/A09.33 &amp; 5/A09.33 '5/8" EXTERIOR SHEATHING'.</t>
  </si>
  <si>
    <t xml:space="preserve">0 SF (same area 1417.7 SF); material type only (FRT plywood vs exterior sheathing)</t>
  </si>
  <si>
    <t xml:space="preserve">RFI-40-17</t>
  </si>
  <si>
    <t xml:space="preserve">A04.01 detail bubbles print sheet numbers 'A9.21/A9.22/A9.23' for C, D, E, F, H, J; read as A09.21 / A09.22 / A09.23 (titles and section letters match).</t>
  </si>
  <si>
    <t xml:space="preserve">0 (reference only)</t>
  </si>
  <si>
    <t xml:space="preserve">RFI-AC-01</t>
  </si>
  <si>
    <t xml:space="preserve">Duct crossings at G / G1 partitions: 5/A12.01 PARTITION G draws the 1 5/8" studs above the SCHEDULED CEILING with a break line and no top condition. Do G / G1 studs reach the structure (ducts above the office ceilings then penetrate them) or stop at the ceiling?</t>
  </si>
  <si>
    <t xml:space="preserve">-8 plates (MP-01, 02, 03, 04, 05, 07, 08, 09) if G / G1 stop at the ceiling; loaded as crossings</t>
  </si>
  <si>
    <t xml:space="preserve">RFI-AC-02</t>
  </si>
  <si>
    <t xml:space="preserve">Duct crossings not seen by mep.cruces: 9 duct crossings (MM-01..MM-09) are drawn ending at a wall face, at a VVT connector or over a door opening; the tool counts 0 for them (R73.5). Confirm they penetrate the walls.</t>
  </si>
  <si>
    <t xml:space="preserve">+9 plates (1 per crossing, all &lt;= 16" wide)</t>
  </si>
  <si>
    <t xml:space="preserve">RFI-AC-03</t>
  </si>
  <si>
    <t xml:space="preserve">Plumbing sheets registration below the tool minimum: P01.01 / P01.02 register with only 14 horizontal votes (&lt; 25). The offset was verified with 3 features (grid 1, grid A, ELECTRICAL 120 wall face). Only pipe &gt; 1": 1-1/2" CW through the C1 chase wall (PP-01).</t>
  </si>
  <si>
    <t xml:space="preserve">+1 plate (PP-01); 3/4" pipes = 0 (6/S5.20)</t>
  </si>
  <si>
    <t xml:space="preserve">RFI-AC-04</t>
  </si>
  <si>
    <t xml:space="preserve">Ducts through the vestibule glazed-front heads: MP-28..MP-32 cross the VB-100A / VB-101 lines (glass line band). Confirm the head framing VH-100A / VH-101 ('METAL STUD FRAMING &amp; BOX HEADER AS NEEDED', 4-7/A12.10) is above the duct and the ducts pass through studs.</t>
  </si>
  <si>
    <t xml:space="preserve">-5 plates if the ducts run below the head framing</t>
  </si>
  <si>
    <t xml:space="preserve">RFI-AC-05</t>
  </si>
  <si>
    <t xml:space="preserve">Ducts over door heads: MP-14 (door 119), MP-22 (door 115), MM-08 (door 108), MM-09 (door 111) cross above door heads; counted as penetrations (framing above the header to deck).</t>
  </si>
  <si>
    <t xml:space="preserve">-4 plates if above-door framing is not cut</t>
  </si>
  <si>
    <t xml:space="preserve">RFI-AC-06</t>
  </si>
  <si>
    <t xml:space="preserve">Blocking sizes not printed: Blocking length / rows are not dimensioned for toilet accessories (except grab bars), lavatories, wall stops, lockers, the 85" monitor mount, WH-1 platform and millwork rows (sheet note D A12.03-A12.06). Loaded as CRITERION.</t>
  </si>
  <si>
    <t xml:space="preserve">toilet accessories 20 x 2.0 ft +/- 1.0 ft = +/-20 LF FRT; wall stops 9 x 1.33 LF metal; lockers +/-4.95 LF; monitor +/-2 LF; millwork second row +/- (3.125+3.5+3.4583x2+6.625+7.0+11.6667+3.3333) = +/-42.2 LF FRT</t>
  </si>
  <si>
    <t xml:space="preserve">RFI-AC-07</t>
  </si>
  <si>
    <t xml:space="preserve">Office jamb FRT plywood blocking height: 10/A12.01 calls 3/4" FRT PLYWOOD BLOCKING at each office front jamb; height not dimensioned (loaded 7'-10" frame height, 12 jambs).</t>
  </si>
  <si>
    <t xml:space="preserve">+/-1 ft per jamb = +/-12 LF FRT; to deck instead of frame height = +12 x (stud height - 7.83) LF</t>
  </si>
  <si>
    <t xml:space="preserve">RFI-AC-08</t>
  </si>
  <si>
    <t xml:space="preserve">Mop sink FRP width: A05.01 key note 6 matches the FRP width to the mop sink; the mop sink width is taken from the model PF-07 ACORN TSH-24 (24").</t>
  </si>
  <si>
    <t xml:space="preserve">+/-0.5 ft width x 2 sides x 4 ft = +/-4 SF FRP</t>
  </si>
  <si>
    <t xml:space="preserve">RFI-AC-09</t>
  </si>
  <si>
    <t xml:space="preserve">Shadow molding at office bulkheads: 8/9/A12.01 'SHADOW MOLDING - AS SPECIFIED' at the ACT ceiling / bulkhead junction: ceiling trim (ACT) or drywall trim? Not loaded in trim_items.</t>
  </si>
  <si>
    <t xml:space="preserve">+45 LF (office side) to +90 LF (both sides) shadow molding</t>
  </si>
  <si>
    <t xml:space="preserve">RFI-AC-10</t>
  </si>
  <si>
    <t xml:space="preserve">CSR soffit corner bead count: 9/A12.08 and 10/A09.33 draw one corner bead leader; loaded on both bottom edges of the CSR soffit.</t>
  </si>
  <si>
    <t xml:space="preserve">one edge only: -12.0208 LF corner bead (loaded: 2 edges, TR-2 24.0417 LF; the duplicate CB-CSR row was removed, V2-F2)</t>
  </si>
  <si>
    <t xml:space="preserve">RFI-AC-11</t>
  </si>
  <si>
    <t xml:space="preserve">Blocking at edge of gypsum board (4/S5.20): 4/S5.20 'PROVIDE BLOCKING AT THE EDGE OF GYPBOARD' (stud blocking 362CR22, NTS, no location). Loaded figure (b) (56.8 / 59.14): one row at the horizontal board joint of every wall with a face taller than the 12 ft sheet (canon.py edge row). Alternative (a): exterior walls + double-layer G / G1 / bulkhead walls only.</t>
  </si>
  <si>
    <t xml:space="preserve">(a) - (b) = 415.54 - 582.78 = -167.24 LF 362CR22 stud blocking (same canon.py formula, sum L x stud rows with a face &gt; 12 ft); a 10 ft sheet would raise (b)</t>
  </si>
  <si>
    <t xml:space="preserve">RFI-AC-12</t>
  </si>
  <si>
    <t xml:space="preserve">A1K metal trim and casing beads: 4/A12.01 'APPROPRIATE METAL TRIM AND CASING BEADS' at the A1K bullet-resistant walls: no extent drawn.</t>
  </si>
  <si>
    <t xml:space="preserve">+ casing bead along A1K board ends (A1K wall ends + 8'-0" fiberglass top edge)</t>
  </si>
  <si>
    <t xml:space="preserve">RFI-AC-13</t>
  </si>
  <si>
    <t xml:space="preserve">Bottom track fastener spacing: S5.20 sill track anchorage: interior HILTI DNI 32 P8 @ 12" O.C. (loaded); 4/A12.01 A1K 'POWER DRIVEN FASTENERS @ 2'-0" O.C. ALTERNATING SIDES'.</t>
  </si>
  <si>
    <t xml:space="preserve">A1K bottom track LF x (1/1.0 - 1/2.0) fewer pins at 24"</t>
  </si>
  <si>
    <t xml:space="preserve">RFI-AC-14</t>
  </si>
  <si>
    <t xml:space="preserve">WC-20 Level 5: A05.01 legend lists WC-20 'LEVEL 5' (key note 9) but no WC-20 instance is tagged on A05.01 or on the A11.0x elevations; not loaded.</t>
  </si>
  <si>
    <t xml:space="preserve">+ L x (H - base) of any WC-20 wall</t>
  </si>
  <si>
    <t xml:space="preserve">RFI-AC-15</t>
  </si>
  <si>
    <t xml:space="preserve">Recessed accessory widths: TA-13 recess kit, TA-14, TA-2, FEC-1 cabinet and PAC527L in-wall box are recessed; their rough-opening widths are not printed (spec). A recess wider than one stud bay needs a framed opening.</t>
  </si>
  <si>
    <t xml:space="preserve">+ 1 framed opening (2 jambs + header/sill) per item wider than 14 3/8"</t>
  </si>
  <si>
    <t xml:space="preserve">RFI-AC-16</t>
  </si>
  <si>
    <t xml:space="preserve">Duct width in plan: Duct widths are taken from the plan width of each crossing (pair spacing); e.g. '8"x10"' ducts are drawn 8" wide. All crossing widths are &lt;= 16" (1 plate each per row).</t>
  </si>
  <si>
    <t xml:space="preserve">0 plates (all widths &lt;= 16" O.C.)</t>
  </si>
  <si>
    <t xml:space="preserve">RFI-INT-07</t>
  </si>
  <si>
    <t xml:space="preserve">Owner of the mitred G / G1 corner at office 110 (items 7 and 8): A02.01 draws a mitred join at x 1121.16-1133.88, ordinate 1227.12-1236.36 pt (G PT0047 / untagged G1 stub / B2 PT0025 / A1 corridor wall) with no drawn owner and no printed dimension for the G run. Which wall owns the corner square?</t>
  </si>
  <si>
    <t xml:space="preserve">B - A: G -0.7083 LF (x 2 rows, 2 layers each face), G1 +0.5167 LF; net -0.1917 LF of 1 5/8" double-row framing</t>
  </si>
  <si>
    <t xml:space="preserve">RFI-INT-10</t>
  </si>
  <si>
    <t xml:space="preserve">C1 boxes PT0032 / PT0033: face convention at glass, grille guide and HSS contacts (item 10): The C1 boxes at grid 4 (3/A08.21) touch the VB-100A / VB-101 frames, the grille guide and the HSS wrap. Loaded: PT0032 = 4.0 LF (printed 1'-0" faces, frames not deducted, item 22) and PT0033 = 2.75 LF (detail faces, item 16). Confirm the convention.</t>
  </si>
  <si>
    <t xml:space="preserve">PT0032: loaded - A = +0.4333, loaded - board only = +0.3544; PT0033: B - loaded = +1.0668 (would double count the F wall face), loaded - A = +0.2967, loaded - board only = +0.1461 LF; x 14.38 ft board</t>
  </si>
  <si>
    <t xml:space="preserve">RFI-INT-MEP</t>
  </si>
  <si>
    <t xml:space="preserve">Duct / pipe crossings on the grid-4 line at the DF alcove opening: mep.cruces / the P overlay give MP-17 8", MP-18 8" and PP-02 3/4" HW crossing grid 4 at x 1128, ordinate 1376-1399 pt, where the canon has no wall (alcove opening between B2-PT0025 and B2-PT0026). Is there framing (bulkhead / header) at that line above the ceiling?</t>
  </si>
  <si>
    <t xml:space="preserve">if framed: +2 reinforcement plates (MP-17, MP-18; 8" / 16" o.c. = 1 each) on the framing that receives them; PP-02 is a 3/4" pipe (0 plates, 6/S5.20)</t>
  </si>
  <si>
    <t xml:space="preserve">RFI-INT-SCW</t>
  </si>
  <si>
    <t xml:space="preserve">Storefront SF-W cripples: top under W12x19 (HI) or W16x26 (CANOPY): On grid 2 S2.20 draws W16x26 (CANOPY) and W12x19 (HI) side by side over the HSS9x5 lintel of SF-W. Loaded: 6" cripples from the HSS T.O.S. 9'-4 1/2" to the underside of the W12x19 (4.9833 ft). Confirm which beam the cripples stop under.</t>
  </si>
  <si>
    <t xml:space="preserve">(H_canopy - 4.9833) ft x studs of SC-W (6.5 ft @ 16" = 6 + 1) of 6" CFMF; the W16x26 is deeper (15.7" vs 12.2"), so at the same T.O.S. the cripples would be 0.29 ft shorter</t>
  </si>
  <si>
    <t xml:space="preserve">RFI-ADV-TF</t>
  </si>
  <si>
    <t xml:space="preserve">Trimless slot fixtures (6/A09.33): 6/A09.33 is bubbled from 10/A09.33 (CSR soffit, R-11A) but not on the Waiting 104 cloud, where E00.01 R-11C / R-11CE are also -TF- GYP RECESSED SLOT fixtures. Loaded on both. Slot ends and return height not dimensioned.</t>
  </si>
  <si>
    <t xml:space="preserve">without the cloud slots: -96 LF gypsum edge trim and -96 LF 3 5/8" track; slot ends (fixture width ~2.6"): +~2.7 LF trim</t>
  </si>
  <si>
    <t xml:space="preserve">RFI-ADV-GRJ</t>
  </si>
  <si>
    <t xml:space="preserve">Coiling grille jamb FRT blocking pieces: 3/A08.21 draws 4 FRT blocking pieces in the two jamb boxes; the one at the glass attachment may be the vestibule termination blocking already loaded (BLK-VEST-TERM, 8/A12.10). Loaded 3 pieces.</t>
  </si>
  <si>
    <t xml:space="preserve">4 pieces: +10.0 LF FRT blocking (40 LF)</t>
  </si>
  <si>
    <t xml:space="preserve">RFI-ADV-EQ</t>
  </si>
  <si>
    <t xml:space="preserve">Blocking for wall-mounted equipment (key note C/A02.01): Rows (1 or 2) and widths of the blocking for cork boards (69), combo board (7), security monitors (58), wall phones (24) are not printed; loaded per A00.40 widths, 2 rows for boards, 1 row for monitors, one stud-bay piece per phone. Clock (9) and hand sanitizer (64) fit within one stud bay: 0.</t>
  </si>
  <si>
    <t xml:space="preserve">one row for the boards: -10.0 LF; clock + sanitizer as one piece each: +2.67 LF</t>
  </si>
  <si>
    <t xml:space="preserve">RFI-ADV-CT103</t>
  </si>
  <si>
    <t xml:space="preserve">Ceiling step Central Zone 103 / passage W of CSR (A04.01): A04.01 draws a two-line band at ordinate 1110.7-1118.0, x 1530.4-1622.0 where ACT-4 11'-6" meets ACT-4 9'-0"; no detail is bubbled there and A02.01 has no wall. Loaded as the typical ceiling transition 7/A09.33 (kickers + vertical studs, one face). Alternative: a framed bulkhead (2 faces + bottom).</t>
  </si>
  <si>
    <t xml:space="preserve">bulkhead reading: board 2 x 3.0 x 5.093 + bottom = 32.6 SF (+17.3 SF), +10.2 LF corner bead, track 2 x 5.093 (same), kickers -3 pcs</t>
  </si>
  <si>
    <t xml:space="preserve">RFI-ADV-W3</t>
  </si>
  <si>
    <t xml:space="preserve">EXT-W3 stud top: W12x19 (HI) or W16x26 (CANOPY) label on grid 3: S2.20 grid 3 D-B prints two labels on one beam line. Loaded under the W12x19 (HI) roof beam (14.3583).</t>
  </si>
  <si>
    <t xml:space="preserve">under W16x26 (d 15.7"): -0.2908 ft x 28 pieces = -8.1 LF 6" stud</t>
  </si>
  <si>
    <t xml:space="preserve">RFI-ADV-CJ</t>
  </si>
  <si>
    <t xml:space="preserve">Interior GWB control joints: No interior control joint is labeled; confirm none are required (long G / exterior walls and the canopy soffits).</t>
  </si>
  <si>
    <t xml:space="preserve">+ 1 control joint per 30 ft of wall / ceiling run if required (e.g. EXT-E 50.6 ft, EXT-S 51.7 ft)</t>
  </si>
  <si>
    <t xml:space="preserve">RFI-ADV-F2</t>
  </si>
  <si>
    <t xml:space="preserve">Canopy perimeter beams inside the 6" stud cavity (V1-F2): Sections C/A09.21, D/A09.22, J/A09.23, 3 and 7/A09.26 draw the canopy beam centered in the 6" cavity below the HI roof beam. Loaded: studs continuous to the HI beam. Should the studs stop on the canopy beam (deflection track) and restart above it (bottom track)?</t>
  </si>
  <si>
    <t xml:space="preserve">studs -190 LF 600S162-54, track +308 LF 6" (2 x 153.9)</t>
  </si>
  <si>
    <t xml:space="preserve">RFI-ADV-FASCIA</t>
  </si>
  <si>
    <t xml:space="preserve">FRT plywood on the bottom and inner faces of the fascia boxes (V2-F4): 3/A09.26, 7/A09.26 and 16/A09.27 draw 5/8" ext. FRT plywood on the front, bottom and inner faces of the fascia box; canon.py generates only L x H (front). Not loaded (no schema field; a hand strip of fascia is forbidden).</t>
  </si>
  <si>
    <t xml:space="preserve">+218.3 SF 5/8" ext. FRT plywood (0.90-0.95 ft per LF x 237.6 LF)</t>
  </si>
  <si>
    <t xml:space="preserve">RFI-ADV-K24</t>
  </si>
  <si>
    <t xml:space="preserve">K walls stud spacing (V4-U04): 4/A12.01 allows 14 ga @ 24" O.C. MAX; loaded 16" O.C. (S5.20).</t>
  </si>
  <si>
    <t xml:space="preserve">@24": about -5 studs 14 ga (-70 LF)</t>
  </si>
  <si>
    <t xml:space="preserve">RFI-ADV-U01</t>
  </si>
  <si>
    <t xml:space="preserve">Board inside the 3.3" cavity G-PT0046 / A1K-TL-N (V4-U01): Both faces of the 3.3" closed cavity are boarded (G 2 layers, A1K 5/8" + 3/8" + ballistic). Confirm.</t>
  </si>
  <si>
    <t xml:space="preserve">no board in the cavity: about -92 SF (G) and -52.5 SF (A1K)</t>
  </si>
  <si>
    <t xml:space="preserve">RFI-ADV-U02</t>
  </si>
  <si>
    <t xml:space="preserve">PVC outside corner trim at restroom FRP (V4-U02): 3/A08.01 and 7/A08.01 print edge and inside corner trim only; each restroom has 1 outside corner.</t>
  </si>
  <si>
    <t xml:space="preserve">+2 x 4.5 = 9 LF if required</t>
  </si>
  <si>
    <t xml:space="preserve">RFI-ADV-U03</t>
  </si>
  <si>
    <t xml:space="preserve">FRP around the mirror housing (V4-U03): A08.01 key note 8 PROVIDE FRP AROUND THE MIRROR'S HOUSING: size not printed, not loaded.</t>
  </si>
  <si>
    <t xml:space="preserve">+ mirror perimeter x FRP width (small)</t>
  </si>
  <si>
    <t xml:space="preserve">RFI-ADV-S</t>
  </si>
  <si>
    <t xml:space="preserve">Other adversarial suspicions: V1-S1 G-PT0041 two beams (W12x14 / W14x30); V1-S2 B2-PT0025 straddles grid B; V1-S3 HP return second face / vestibule offset (~25 SF nailbase); V2-S2 fascia drawn 18" vs printed 22 3/8"; V2-S3 unlabeled CFS supports beside the canopy linear fixtures; V3-S1 ATM plinth (Div 06?); V3-S2 office jamb blocking height 8'-0 1/2" HOLD; V8 S5.30 braced frames (extra jambs / blocking); access panels for FCU / VVT above GB.</t>
  </si>
  <si>
    <t xml:space="preserve">V1-S1 -0.5 LF / -2 SF; V1-S2 +2.3 LF; V1-S3 +25 SF; V2-S2 -74 SF ply / -59 LF studs; V3-S2 +2.5 LF FRT; access panels +1 PCS per unit above GB</t>
  </si>
  <si>
    <t xml:space="preserve">#</t>
  </si>
  <si>
    <t xml:space="preserve">Item</t>
  </si>
  <si>
    <t xml:space="preserve">Sheet + detail</t>
  </si>
  <si>
    <t xml:space="preserve">Image</t>
  </si>
  <si>
    <t xml:space="preserve">Double reading item 7 PENDING - G-PT0047: PENDING -&gt; load reading A pair (more material, 53.3) + RFI-INT-07; loaded 12.3333 (both readings: resolucion.md 1.3 and the RFI deltas below)</t>
  </si>
  <si>
    <t xml:space="preserve">A02.01 vector; no printed dimension for the run</t>
  </si>
  <si>
    <t xml:space="preserve">/home/user/boa25a/work/etapas/3_revision/res_img/item_07.png</t>
  </si>
  <si>
    <t xml:space="preserve">Double reading item 8 PENDING - G1-W-STUB: PENDING -&gt; load reading A pair (more material, 53.3) + RFI-INT-07; loaded 2.6667 (both readings: resolucion.md 1.3 and the RFI deltas below)</t>
  </si>
  <si>
    <t xml:space="preserve">A02.01 vector; chain at x 1153.92 has a tick pair ordinate 1179.12-</t>
  </si>
  <si>
    <t xml:space="preserve">/home/user/boa25a/work/etapas/3_revision/res_img/item_08.png</t>
  </si>
  <si>
    <t xml:space="preserve">Double reading item 10 PENDING - C1-PT0032 / C1-PT0033: PENDING (invalid pairing) -&gt; values of items 16 / 22 + RFI-INT-10; loaded 4.0 / 2.75 (items 22 / 16) (both readings: resolucion.md 1.3 and the RFI deltas below)</t>
  </si>
  <si>
    <t xml:space="preserve">3/A08.21 + A02.01 vector</t>
  </si>
  <si>
    <t xml:space="preserve">/home/user/boa25a/work/etapas/3_revision/res_img/item_10.png</t>
  </si>
  <si>
    <t xml:space="preserve">Both values (resolucion.md 1.3): 7 + 8 are one mitred corner, so the two readings must be taken as pairs. Taking A for 7 and B for 8 would count the corner square twice. Pair A = G 12.3333 + G1 2.6667 = 15.0 LF; pair B = 11.625 + 3.1833 = 14.8083 LF. No printed dimension exists, so the pair with more material (A) is loaded (53.3). G-PT0047 and G1-W-STUB carry length_status PENDING, pending_reason and sheets_searched. RFI-INT-07 gives both values, delta 0.1917 LF.</t>
  </si>
  <si>
    <t xml:space="preserve">A02.01</t>
  </si>
  <si>
    <t xml:space="preserve">Both values (resolucion.md 1.3): 10: the matcher paired the walls by LF only. PT0032 = 4.0 (item 22, printed 1'-0" faces). PT0033 = 2.75 (item 16, detail faces). For PT0033, B 3.8168 is not the "more material" answer: it adds the F-wall end faces, which F-ATM already carries, and loading them would count them twice. RFI-INT-10 lists A / B / board-only for both boxes with their deltas.</t>
  </si>
  <si>
    <t xml:space="preserve">Open RFI with large delta (accesorios.py, RFI-ACC-*) - deflection clips: deflection clips: the general note asks for them at non-load-bearing walls and the partition details draw a slip / deflection track (R73.6); delta {'delta': 525} pcs</t>
  </si>
  <si>
    <t xml:space="preserve">-</t>
  </si>
  <si>
    <t xml:space="preserve">Open RFI with large delta - RFI-ADV-F2: Canopy perimeter beams inside the 6" stud cavity (V1-F2); delta studs -190 LF 600S162-54, track +308 LF 6" (2 x 153.9)</t>
  </si>
  <si>
    <t xml:space="preserve">/home/user/boa25a/work/adversarial/img/v1_A0926_7_sidecanopy.png</t>
  </si>
  <si>
    <t xml:space="preserve">Open RFI with large delta - RFI-EXT-10: Parapet cap blocking plies; delta 1 ply instead of 2: -269.425 LF FRT plywood blocking</t>
  </si>
  <si>
    <t xml:space="preserve">4/A09.26</t>
  </si>
  <si>
    <t xml:space="preserve">/home/user/boa25a/work/etapas/2_lectura/A/img/x30_det_4_A09.26.png</t>
  </si>
  <si>
    <t xml:space="preserve">Open RFI with large delta (accesorios.py, RFI-ACC-*) - slab pins: pin spacing: 12" (interior anchorage) vs 16" (fastener schedule) vs 24" (type K box); delta {'delta_16in': -132.48, 'delta_24in': -264.95} pcs</t>
  </si>
  <si>
    <t xml:space="preserve">Open RFI with large delta - RFI-ADV-FASCIA: FRT plywood on the bottom and inner faces of the fascia boxes (V2-F4); delta +218.3 SF 5/8" ext. FRT plywood (0.90-0.95 ft per LF x 237.6 LF)</t>
  </si>
  <si>
    <t xml:space="preserve">/home/user/boa25a/work/adversarial/img/F2_A0926_3_fascia_faces.png</t>
  </si>
  <si>
    <t xml:space="preserve">Open RFI with large delta - RFI-AC-11: Blocking at edge of gypsum board (4/S5.20); delta (a) - (b) = 415.54 - 582.78 = -167.24 LF 362CR22 stud blocking (same canon.py formula, sum L x stud rows with a face &gt; 12 ft); a 10 ft sheet would raise (b)</t>
  </si>
  <si>
    <t xml:space="preserve">4/S5.20</t>
  </si>
  <si>
    <t xml:space="preserve">/home/user/boa25a/work/etapas/2_lectura/A/img/blk_S5.20_4_6.png</t>
  </si>
  <si>
    <t xml:space="preserve">Open RFI with large delta - RFI-40-07: Waiting 104 GB cloud edges against ACT-4 11'-6" carried as 7/A09.33 typical ceiling transitions (not bubbled on A04.01); vertical stud spacing not printed in 7/; delta 77.03 LF of transition: vertical studs @16" vs @24" = ~19 studs x 4.375 ft = ~83 LF 3-5/8" stud; omitting the transitions entirely: -77 LF x 2 ceiling track, -~20 kickers, -77 SF board, -154 LF trim</t>
  </si>
  <si>
    <t xml:space="preserve">/home/user/boa25a/work/etapas/2_lectura/A/img/CT_W104.png</t>
  </si>
  <si>
    <t xml:space="preserve">Open RFI with large delta - RFI-40-01: CSR soffit (GB 8'-0") framing: carried framed_soffit per 9/A12.08 (bubble on 1/A12.08) and 10/A09.33 'CEILING DETAIL @ CSR SOFFIT'; no bubble on A04.01 itself (; delta framed_soffit: joists 11 x 3.417 = 37.6 LF + 2 drop lines of 3 5/8" studs to deck (~150 LF) + track 4 x 12.0 = 48 LF; furring alternative: furring 37.6 LF + carrying 24 LF + 8 hangers + perimeter 30.9 LF, no drop studs (~ -150 LF studs, -17 LF track)</t>
  </si>
  <si>
    <t xml:space="preserve">/home/user/boa25a/work/etapas/2_lectura/A/img/det_9_A1208.png</t>
  </si>
  <si>
    <t xml:space="preserve">Gate issue (morning-review folder/inconsistencias_tools_v76.md item 18): reglas.py A_BLOCKING does not accept the printed label '3/4" F.R.T. PLYWOOD BLOCKING AS REQUIRED' (4/A09.26; periods in F.R.T.) while canon.py RX_FRT_LABEL does; the run carries frt_basis A00.00 'FRTWD FIRE RETARDENT TREATED WOOD'; proposed fix in that file (use canon.RX_FRT_LABEL in a_blocking); label untouched</t>
  </si>
  <si>
    <t xml:space="preserve">/home/user/boa25a/work/etapas/4_canon/img/FRT_label_4_A09.26.png</t>
  </si>
  <si>
    <t xml:space="preserve">framed_openings_out.json gives 'framed openings MEP' = {'framed openings MEP': 1026.7} LF but familias_out.json has no such family (canon.py run without --fo?): the material row copies the framed_openings_out.json total; re-run canon.py with --fo 4_canon/fo_in.json so the family carries it</t>
  </si>
  <si>
    <t xml:space="preserve">A04.01</t>
  </si>
  <si>
    <t xml:space="preserve">deflection clips: no hand row in materials (fusionar adds the accessory row; no REEMPLAZA pattern would replace a hand row) - check the Material Summary after armar</t>
  </si>
  <si>
    <t xml:space="preserve">S1.11</t>
  </si>
  <si>
    <t xml:space="preserve">Unattended run: no user confirmation exists for the inventory list, the partition or any decision; see user_confirmations_registry.md</t>
  </si>
  <si>
    <t xml:space="preserve">/home/user/boa25a/work/etapas/1_inventario/recortes/OVERVIEW_A02.01_p24.png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</si>
  <si>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</si>
  <si>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</si>
  <si>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</si>
  <si>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</si>
  <si>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</si>
  <si>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</si>
  <si>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3-5/8" 6731.46 LF, 1-5/8" 3865.49 LF, 6" 4622.09 LF; bottom / top track 1340.07 LF each (familias_out.json); partition types A12.01; scan found it on A00.00 (p.2), A02.01 (p.24), A02.02 (p.25), A02.02 (p.26)</t>
  </si>
  <si>
    <t xml:space="preserve">ALC-02</t>
  </si>
  <si>
    <t xml:space="preserve">Exterior wall framing (CFMF)</t>
  </si>
  <si>
    <t xml:space="preserve">6" CFMF exterior walls in the 6" stud family (EXT-6CFMF rows); S1.11 note 5 600S162-54; scan found it on A08.21 (p.34), A09.21 (p.37), A09.22 (p.38), A09.23 (p.39)</t>
  </si>
  <si>
    <t xml:space="preserve">ALC-03</t>
  </si>
  <si>
    <t xml:space="preserve">Parapet framing</t>
  </si>
  <si>
    <t xml:space="preserve">6" parapet stud 1000.87 LF (11/S5.10 infill, EXT-PARAPET rows); scan found it on A02.02 (p.25), A02.02 (p.26), A02.02 (p.27), A09.01 (p.35)</t>
  </si>
  <si>
    <t xml:space="preserve">ALC-04</t>
  </si>
  <si>
    <t xml:space="preserve">Top / deflection and bottom track</t>
  </si>
  <si>
    <t xml:space="preserve">bottom and top / deflection track from track_by_element (familias_out.json); deflection clips 0 loaded + RFI (S1.11 note 2); scan found it on A12.01 (p.50), S1.11 (p.60), S5.10 (p.67), S5.20 (p.69)</t>
  </si>
  <si>
    <t xml:space="preserve">ALC-05</t>
  </si>
  <si>
    <t xml:space="preserve">Headers, sills and jambs at openings</t>
  </si>
  <si>
    <t xml:space="preserve">header / box beam 759.67 LF, sill track 119.12 LF; scan found it on p.17 (p.17), A00.30 (p.20), A08.21 (p.34), A09.25 (p.40)</t>
  </si>
  <si>
    <t xml:space="preserve">ALC-06</t>
  </si>
  <si>
    <t xml:space="preserve">Bracing / bridging</t>
  </si>
  <si>
    <t xml:space="preserve">bracing C.R. channel 2474.77 LF; scan found it on A09.33 (p.45), S1.10 (p.59), S1.11 (p.60), S5.10 (p.67)</t>
  </si>
  <si>
    <t xml:space="preserve">ALC-07</t>
  </si>
  <si>
    <t xml:space="preserve">Gypsum board on walls (layers per type)</t>
  </si>
  <si>
    <t xml:space="preserve">5/8" regular 17318.88 SF (walls + ceilings); scan found it on A00.00 (p.2), A02.02 (p.25), A02.02 (p.26), A02.02 (p.27)</t>
  </si>
  <si>
    <t xml:space="preserve">ALC-08</t>
  </si>
  <si>
    <t xml:space="preserve">Moisture / abuse / special board at wet zones</t>
  </si>
  <si>
    <t xml:space="preserve">5/8" moisture resistant 258.82 SF (A08.01 note F); scan found it on A08.01 (p.32)</t>
  </si>
  <si>
    <t xml:space="preserve">ALC-09</t>
  </si>
  <si>
    <t xml:space="preserve">Exterior gypsum / glass mat sheathing</t>
  </si>
  <si>
    <t xml:space="preserve">glass mat 469.11 SF, exterior gyp sheathing 949.31 SF; scan found it on A09.21 (p.37), A09.22 (p.38), A09.23 (p.39), A09.26 (p.41)</t>
  </si>
  <si>
    <t xml:space="preserve">ALC-10</t>
  </si>
  <si>
    <t xml:space="preserve">FRT plywood sheathing / substrate</t>
  </si>
  <si>
    <t xml:space="preserve">FRT plywood 6707.5 SF by material (frt_plywood_by_material); backboards per A02.01 key note 6; scan found it on A00.00 (p.2), A02.01 (p.24), A02.02 (p.25), A02.02 (p.26)</t>
  </si>
  <si>
    <t xml:space="preserve">ALC-11</t>
  </si>
  <si>
    <t xml:space="preserve">Gypsum board ceilings</t>
  </si>
  <si>
    <t xml:space="preserve">GWB ceilings / clouds from A04.01 (canon ceilings); board inside the 5/8" regular family; scan found it on A04.01 (p.29)</t>
  </si>
  <si>
    <t xml:space="preserve">ALC-12</t>
  </si>
  <si>
    <t xml:space="preserve">Ceiling suspension (furring / carrying channel / hanger wire / ceiling track)</t>
  </si>
  <si>
    <t xml:space="preserve">furring channel 781.37 LF, carrying channel 316.45 LF, hanger wire 530.1 LF / 113 PCS; scan found it on A04.01 (p.29), A09.33 (p.45), M00.01 (p.71), M00.02 (p.72)</t>
  </si>
  <si>
    <t xml:space="preserve">ALC-13</t>
  </si>
  <si>
    <t xml:space="preserve">Soffits and bulkheads (framing + board)</t>
  </si>
  <si>
    <t xml:space="preserve">ceiling / soffit track 1365.05 LF; bulkheads 8/9/A12.01, 8/A09.33 in other framing rows; scan found it on A04.01 (p.29), A05.01 (p.30), A09.01 (p.35), A09.02 (p.36)</t>
  </si>
  <si>
    <t xml:space="preserve">ALC-14</t>
  </si>
  <si>
    <t xml:space="preserve">Canopy / marquee framing and sheathing</t>
  </si>
  <si>
    <t xml:space="preserve">canopy fascia boxes / soffit joists (3/A09.26, 7/A09.26, 16/A09.27) in other framing rows; 5/8" ext. grade FRT plywood in the FRT plywood family; cladding excluded; scan found it on A00.60 (p.23), A02.02 (p.25), A02.02 (p.26), A02.02 (p.27)</t>
  </si>
  <si>
    <t xml:space="preserve">ALC-15</t>
  </si>
  <si>
    <t xml:space="preserve">Column furring / wraps</t>
  </si>
  <si>
    <t xml:space="preserve">the keyword scan found no sheet; the canon carries C1-PT0032 (column_wrap, 3/A08.21), C1-PT0033 (column_wrap, 3/A08.21), C1-PT0030 (pier, 2/A09.25), C1-PT0031 (pier, 1/A09.25), CW-1 (column_wrap, 5/A09.25), CW-2 (column_wrap, 5/A09.25), CW-3 (column_wrap, 5/A09.25), CW-4 (column_wrap, 5/A09.25), C1-PT0035 (chase, 6/A12.01), C1-PT0037 (chase, 6/A12.01); scan found no sheet</t>
  </si>
  <si>
    <t xml:space="preserve">ALC-16</t>
  </si>
  <si>
    <t xml:space="preserve">Blocking (FRT wood / metal) for millwork and accessories</t>
  </si>
  <si>
    <t xml:space="preserve">FRT blocking 1012.83 LF, metal stud blocking 648.68 LF (blocking_items of the canon); scan found it on A00.00 (p.2), A00.30 (p.20), A02.01 (p.24), A02.02 (p.25)</t>
  </si>
  <si>
    <t xml:space="preserve">ALC-17</t>
  </si>
  <si>
    <t xml:space="preserve">Framed openings (MEP, access panels, diffusers)</t>
  </si>
  <si>
    <t xml:space="preserve">access panel 1.0 PCS, stud reinforcement MEP 43.0 PCS, framed openings MEP from framed_openings_out.json; scan found it on A04.01 (p.29), M00.01 (p.71), P00.01 (p.90)</t>
  </si>
  <si>
    <t xml:space="preserve">ALC-18</t>
  </si>
  <si>
    <t xml:space="preserve">Trim: corner bead, casing bead, control joints, reveals</t>
  </si>
  <si>
    <t xml:space="preserve">metal trim 664.91 LF; control joints EXCLUDED with RFI (control_joints.md: CJ only in stucco / civil); scan found it on A00.00 (p.2), p.17 (p.17), A08.21 (p.34), A09.01 (p.35)</t>
  </si>
  <si>
    <t xml:space="preserve">ALC-19</t>
  </si>
  <si>
    <t xml:space="preserve">Acoustical sealant / sound attenuation</t>
  </si>
  <si>
    <t xml:space="preserve">acoustical sealant 1193.62 LF (A12.01 CONTINUOUS ACOUSTICAL SEALANT); scan found it on A12.01 (p.50)</t>
  </si>
  <si>
    <t xml:space="preserve">ALC-20</t>
  </si>
  <si>
    <t xml:space="preserve">FRP / cement board / tile backer</t>
  </si>
  <si>
    <t xml:space="preserve">FRP 313.38 SF, cement board 33.04 SF, PVC trim at FRP 211.17 LF; exterior cement board below slab edge excluded (5/A09.26); scan found it on A05.01 (p.30), A08.01 (p.32), A09.26 (p.41), A09.27 (p.42)</t>
  </si>
  <si>
    <t xml:space="preserve">ALC-21</t>
  </si>
  <si>
    <t xml:space="preserve">Shaft walls / area separation walls</t>
  </si>
  <si>
    <t xml:space="preserve">NOT APPLICABLE</t>
  </si>
  <si>
    <t xml:space="preserve">no shaft wall / area separation wall: the keyword scan found no sheet; single-story Type II-B building (A00.00 project information) with no shafts drawn on A02.01; scan found no sheet</t>
  </si>
  <si>
    <t xml:space="preserve">ALC-22</t>
  </si>
  <si>
    <t xml:space="preserve">Rated assemblies (UL designs) and their board type</t>
  </si>
  <si>
    <t xml:space="preserve">no rated gypsum assembly / UL design on A12.01; the scan hits are 'FIRE RATED 3/4" PLYWOOD BACKBOARD' (A02.01 key note 6, carried as FRT plywood) and MEP / electrical penetration notes (M00.01 p.71, E00.01 p.80); scan found it on A02.01 (p.24), A05.01 (p.30), M00.01 (p.71), M00.03 (p.73)</t>
  </si>
  <si>
    <t xml:space="preserve">ALC-23</t>
  </si>
  <si>
    <t xml:space="preserve">Special panels (ballistic, lead-lined, abuse)</t>
  </si>
  <si>
    <t xml:space="preserve">ballistic panel 85.31 SF 3/8" UL752 Level-2 fiberglass (4/A12.01), 3/8" gyp 65.66 SF; B2K type RFI-W10A1-01; scan found it on A12.01 (p.50)</t>
  </si>
  <si>
    <t xml:space="preserve">ALC-24</t>
  </si>
  <si>
    <t xml:space="preserve">Finish level (Level 4 / Level 5)</t>
  </si>
  <si>
    <t xml:space="preserve">Level 5 finish 712.87 SF (A00.40 WC-18 / WC-22 'LEVEL 5'); WC-20 RFI-AC-14; rest Level 4 assumed (clarifications.md); scan found it on A00.40 (p.21), A05.01 (p.30)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</si>
  <si>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</si>
  <si>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</si>
  <si>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</si>
  <si>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</si>
  <si>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"3ffc6ce6e2b62f9c44ed69f98416f58e3fbe1b3775a7c8692ce104cfa35523c0", "evidencias": "b38c226f605b06bca27f11043d1e2ae09fc8aff6e2ea6679d2bbbbea263de611", "familias_out": "765931f7431bc03103194f021c8f32955710077b8928fc40cf93a4368978b7fa", "reglas": "b5364234d31af79257befa41e74608ffc614c84bf6f8266ac92799fdae6e4deb",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</si>
</sst>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17.021</v>
      </c>
      <c r="D6" s="0" t="n">
        <v>15.375</v>
      </c>
      <c r="E6" s="0" t="n">
        <v>2</v>
      </c>
      <c r="F6" s="0" t="s">
        <v>63</v>
      </c>
      <c r="G6" s="0" t="n">
        <v>16</v>
      </c>
      <c r="H6" s="0" t="n">
        <v>365.68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3.531</v>
      </c>
      <c r="D7" s="0" t="n">
        <v>15.375</v>
      </c>
      <c r="E7" s="0" t="n">
        <v>2</v>
      </c>
      <c r="F7" s="0" t="s">
        <v>63</v>
      </c>
      <c r="G7" s="0" t="n">
        <v>16</v>
      </c>
      <c r="H7" s="0" t="n">
        <v>86.07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2.021</v>
      </c>
      <c r="D8" s="0" t="n">
        <v>15.375</v>
      </c>
      <c r="E8" s="0" t="n">
        <v>2</v>
      </c>
      <c r="F8" s="0" t="s">
        <v>63</v>
      </c>
      <c r="G8" s="0" t="n">
        <v>16</v>
      </c>
      <c r="H8" s="0" t="n">
        <v>49.26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1.733</v>
      </c>
      <c r="D9" s="0" t="n">
        <v>11.821</v>
      </c>
      <c r="E9" s="0" t="n">
        <v>2</v>
      </c>
      <c r="F9" s="0" t="s">
        <v>63</v>
      </c>
      <c r="G9" s="0" t="n">
        <v>16</v>
      </c>
      <c r="H9" s="0" t="n">
        <v>32.07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15.233</v>
      </c>
      <c r="D10" s="0" t="n">
        <v>12.972</v>
      </c>
      <c r="E10" s="0" t="n">
        <v>2</v>
      </c>
      <c r="F10" s="0" t="s">
        <v>63</v>
      </c>
      <c r="G10" s="0" t="n">
        <v>16</v>
      </c>
      <c r="H10" s="0" t="n">
        <v>274.2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5.583</v>
      </c>
      <c r="D11" s="0" t="n">
        <v>15.375</v>
      </c>
      <c r="E11" s="0" t="n">
        <v>2</v>
      </c>
      <c r="F11" s="0" t="s">
        <v>63</v>
      </c>
      <c r="G11" s="0" t="n">
        <v>16</v>
      </c>
      <c r="H11" s="0" t="n">
        <v>62.81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20.521</v>
      </c>
      <c r="D12" s="0" t="n">
        <v>11.821</v>
      </c>
      <c r="E12" s="0" t="n">
        <v>2</v>
      </c>
      <c r="F12" s="0" t="s">
        <v>63</v>
      </c>
      <c r="G12" s="0" t="n">
        <v>16</v>
      </c>
      <c r="H12" s="0" t="n">
        <v>351.91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5.5</v>
      </c>
      <c r="D13" s="0" t="n">
        <v>12.927</v>
      </c>
      <c r="E13" s="0" t="n">
        <v>2</v>
      </c>
      <c r="F13" s="0" t="s">
        <v>63</v>
      </c>
      <c r="G13" s="0" t="n">
        <v>16</v>
      </c>
      <c r="H13" s="0" t="n">
        <v>47.31</v>
      </c>
      <c r="I13" s="0" t="s">
        <v>87</v>
      </c>
      <c r="J13" s="0" t="s">
        <v>65</v>
      </c>
      <c r="K13" s="0" t="s">
        <v>88</v>
      </c>
    </row>
    <row r="14" customFormat="false" ht="15" hidden="false" customHeight="false" outlineLevel="0" collapsed="false">
      <c r="A14" s="0" t="s">
        <v>89</v>
      </c>
      <c r="B14" s="0" t="s">
        <v>90</v>
      </c>
      <c r="C14" s="0" t="n">
        <v>11.667</v>
      </c>
      <c r="D14" s="0" t="n">
        <v>12.775</v>
      </c>
      <c r="E14" s="0" t="n">
        <v>2</v>
      </c>
      <c r="F14" s="0" t="s">
        <v>63</v>
      </c>
      <c r="G14" s="0" t="n">
        <v>16</v>
      </c>
      <c r="H14" s="0" t="n">
        <v>168.05</v>
      </c>
      <c r="I14" s="0" t="s">
        <v>91</v>
      </c>
      <c r="J14" s="0" t="s">
        <v>65</v>
      </c>
      <c r="K14" s="0" t="s">
        <v>66</v>
      </c>
    </row>
    <row r="15" customFormat="false" ht="15" hidden="false" customHeight="false" outlineLevel="0" collapsed="false">
      <c r="A15" s="5" t="s">
        <v>92</v>
      </c>
    </row>
    <row r="16" customFormat="false" ht="15" hidden="false" customHeight="false" outlineLevel="0" collapsed="false">
      <c r="A16" s="0" t="s">
        <v>93</v>
      </c>
      <c r="B16" s="0" t="s">
        <v>94</v>
      </c>
      <c r="C16" s="0" t="n">
        <v>11</v>
      </c>
      <c r="D16" s="0" t="n">
        <v>15.375</v>
      </c>
      <c r="E16" s="0" t="n">
        <v>2</v>
      </c>
      <c r="F16" s="0" t="s">
        <v>95</v>
      </c>
      <c r="G16" s="0" t="n">
        <v>16</v>
      </c>
      <c r="H16" s="0" t="n">
        <v>231</v>
      </c>
      <c r="I16" s="0" t="s">
        <v>96</v>
      </c>
      <c r="J16" s="0" t="s">
        <v>65</v>
      </c>
      <c r="K16" s="0" t="s">
        <v>66</v>
      </c>
    </row>
    <row r="17" customFormat="false" ht="15" hidden="false" customHeight="false" outlineLevel="0" collapsed="false">
      <c r="A17" s="0" t="s">
        <v>97</v>
      </c>
      <c r="B17" s="0" t="s">
        <v>98</v>
      </c>
      <c r="C17" s="0" t="n">
        <v>19.406</v>
      </c>
      <c r="D17" s="0" t="n">
        <v>13.697</v>
      </c>
      <c r="E17" s="0" t="n">
        <v>2</v>
      </c>
      <c r="F17" s="0" t="s">
        <v>95</v>
      </c>
      <c r="G17" s="0" t="n">
        <v>16</v>
      </c>
      <c r="H17" s="0" t="n">
        <v>378.41</v>
      </c>
      <c r="I17" s="0" t="s">
        <v>99</v>
      </c>
      <c r="J17" s="0" t="s">
        <v>65</v>
      </c>
      <c r="K17" s="0" t="s">
        <v>66</v>
      </c>
    </row>
    <row r="18" customFormat="false" ht="15" hidden="false" customHeight="false" outlineLevel="0" collapsed="false">
      <c r="A18" s="0" t="s">
        <v>100</v>
      </c>
      <c r="B18" s="0" t="s">
        <v>101</v>
      </c>
      <c r="C18" s="0" t="n">
        <v>5.28</v>
      </c>
      <c r="D18" s="0" t="n">
        <v>12.47</v>
      </c>
      <c r="E18" s="0" t="n">
        <v>2.11</v>
      </c>
      <c r="F18" s="0" t="s">
        <v>95</v>
      </c>
      <c r="G18" s="0" t="n">
        <v>16</v>
      </c>
      <c r="H18" s="0" t="n">
        <v>52.48</v>
      </c>
      <c r="I18" s="0" t="s">
        <v>102</v>
      </c>
      <c r="J18" s="0" t="s">
        <v>65</v>
      </c>
      <c r="K18" s="0" t="s">
        <v>66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n">
        <v>6.947</v>
      </c>
      <c r="D19" s="0" t="n">
        <v>11.777</v>
      </c>
      <c r="E19" s="0" t="n">
        <v>2</v>
      </c>
      <c r="F19" s="0" t="s">
        <v>95</v>
      </c>
      <c r="G19" s="0" t="n">
        <v>16</v>
      </c>
      <c r="H19" s="0" t="n">
        <v>80.73</v>
      </c>
      <c r="I19" s="0" t="s">
        <v>105</v>
      </c>
      <c r="J19" s="0" t="s">
        <v>65</v>
      </c>
      <c r="K19" s="0" t="s">
        <v>66</v>
      </c>
    </row>
    <row r="20" customFormat="false" ht="15" hidden="false" customHeight="false" outlineLevel="0" collapsed="false">
      <c r="A20" s="5" t="s">
        <v>106</v>
      </c>
    </row>
    <row r="21" customFormat="false" ht="15" hidden="false" customHeight="false" outlineLevel="0" collapsed="false">
      <c r="A21" s="0" t="s">
        <v>107</v>
      </c>
      <c r="B21" s="0" t="s">
        <v>108</v>
      </c>
      <c r="C21" s="0" t="n">
        <v>1.773</v>
      </c>
      <c r="D21" s="0" t="n">
        <v>15.375</v>
      </c>
      <c r="E21" s="0" t="n">
        <v>2</v>
      </c>
      <c r="F21" s="0" t="s">
        <v>95</v>
      </c>
      <c r="G21" s="0" t="n">
        <v>16</v>
      </c>
      <c r="H21" s="0" t="n">
        <v>54.52</v>
      </c>
      <c r="I21" s="0" t="s">
        <v>109</v>
      </c>
      <c r="J21" s="0" t="s">
        <v>110</v>
      </c>
      <c r="K21" s="0" t="s">
        <v>66</v>
      </c>
    </row>
    <row r="22" customFormat="false" ht="15" hidden="false" customHeight="false" outlineLevel="0" collapsed="false">
      <c r="A22" s="5" t="s">
        <v>111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n">
        <v>3.417</v>
      </c>
      <c r="D23" s="0" t="n">
        <v>15.375</v>
      </c>
      <c r="E23" s="0" t="n">
        <v>2</v>
      </c>
      <c r="F23" s="0" t="s">
        <v>63</v>
      </c>
      <c r="G23" s="0" t="n">
        <v>16</v>
      </c>
      <c r="H23" s="0" t="n">
        <v>105.06</v>
      </c>
      <c r="I23" s="0" t="s">
        <v>114</v>
      </c>
      <c r="J23" s="0" t="s">
        <v>110</v>
      </c>
      <c r="K23" s="0" t="s">
        <v>66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n">
        <v>1.767</v>
      </c>
      <c r="D24" s="0" t="n">
        <v>12.927</v>
      </c>
      <c r="E24" s="0" t="n">
        <v>2</v>
      </c>
      <c r="F24" s="0" t="s">
        <v>63</v>
      </c>
      <c r="G24" s="0" t="n">
        <v>16</v>
      </c>
      <c r="H24" s="0" t="n">
        <v>45.68</v>
      </c>
      <c r="I24" s="0" t="s">
        <v>117</v>
      </c>
      <c r="J24" s="0" t="s">
        <v>110</v>
      </c>
      <c r="K24" s="0" t="s">
        <v>66</v>
      </c>
    </row>
    <row r="25" customFormat="false" ht="15" hidden="false" customHeight="false" outlineLevel="0" collapsed="false">
      <c r="A25" s="0" t="s">
        <v>118</v>
      </c>
      <c r="B25" s="0" t="s">
        <v>119</v>
      </c>
      <c r="C25" s="0" t="n">
        <v>3.413</v>
      </c>
      <c r="D25" s="0" t="n">
        <v>12.939</v>
      </c>
      <c r="E25" s="0" t="n">
        <v>2</v>
      </c>
      <c r="F25" s="0" t="s">
        <v>63</v>
      </c>
      <c r="G25" s="0" t="n">
        <v>16</v>
      </c>
      <c r="H25" s="0" t="n">
        <v>88.34</v>
      </c>
      <c r="I25" s="0" t="s">
        <v>120</v>
      </c>
      <c r="J25" s="0" t="s">
        <v>110</v>
      </c>
      <c r="K25" s="0" t="s">
        <v>66</v>
      </c>
    </row>
    <row r="26" customFormat="false" ht="15" hidden="false" customHeight="false" outlineLevel="0" collapsed="false">
      <c r="A26" s="5" t="s">
        <v>121</v>
      </c>
    </row>
    <row r="27" customFormat="false" ht="15" hidden="false" customHeight="false" outlineLevel="0" collapsed="false">
      <c r="A27" s="0" t="s">
        <v>122</v>
      </c>
      <c r="B27" s="0" t="s">
        <v>123</v>
      </c>
      <c r="C27" s="0" t="n">
        <v>17.762</v>
      </c>
      <c r="D27" s="0" t="n">
        <v>15.375</v>
      </c>
      <c r="E27" s="0" t="n">
        <v>2</v>
      </c>
      <c r="F27" s="0" t="s">
        <v>63</v>
      </c>
      <c r="G27" s="0" t="n">
        <v>16</v>
      </c>
      <c r="H27" s="0" t="n">
        <v>325.39</v>
      </c>
      <c r="I27" s="0" t="s">
        <v>124</v>
      </c>
      <c r="J27" s="0" t="s">
        <v>125</v>
      </c>
      <c r="K27" s="0" t="s">
        <v>66</v>
      </c>
    </row>
    <row r="28" customFormat="false" ht="15" hidden="false" customHeight="false" outlineLevel="0" collapsed="false">
      <c r="A28" s="5" t="s">
        <v>126</v>
      </c>
    </row>
    <row r="29" customFormat="false" ht="15" hidden="false" customHeight="false" outlineLevel="0" collapsed="false">
      <c r="A29" s="0" t="s">
        <v>127</v>
      </c>
      <c r="B29" s="0" t="s">
        <v>128</v>
      </c>
      <c r="C29" s="0" t="n">
        <v>2.42</v>
      </c>
      <c r="D29" s="0" t="n">
        <v>14.383</v>
      </c>
      <c r="E29" s="0" t="n">
        <v>4</v>
      </c>
      <c r="F29" s="0" t="s">
        <v>129</v>
      </c>
      <c r="G29" s="0" t="n">
        <v>16</v>
      </c>
      <c r="H29" s="0" t="n">
        <v>139.22</v>
      </c>
      <c r="I29" s="0" t="s">
        <v>130</v>
      </c>
      <c r="J29" s="0" t="s">
        <v>131</v>
      </c>
      <c r="K29" s="0" t="s">
        <v>66</v>
      </c>
    </row>
    <row r="30" customFormat="false" ht="15" hidden="false" customHeight="false" outlineLevel="0" collapsed="false">
      <c r="A30" s="0" t="s">
        <v>132</v>
      </c>
      <c r="B30" s="0" t="s">
        <v>133</v>
      </c>
      <c r="C30" s="0" t="n">
        <v>3.467</v>
      </c>
      <c r="D30" s="0" t="n">
        <v>14.382</v>
      </c>
      <c r="E30" s="0" t="n">
        <v>4</v>
      </c>
      <c r="F30" s="0" t="s">
        <v>129</v>
      </c>
      <c r="G30" s="0" t="n">
        <v>16</v>
      </c>
      <c r="H30" s="0" t="n">
        <v>199.44</v>
      </c>
      <c r="I30" s="0" t="s">
        <v>134</v>
      </c>
      <c r="J30" s="0" t="s">
        <v>131</v>
      </c>
      <c r="K30" s="0" t="s">
        <v>66</v>
      </c>
    </row>
    <row r="31" customFormat="false" ht="15" hidden="false" customHeight="false" outlineLevel="0" collapsed="false">
      <c r="A31" s="0" t="s">
        <v>135</v>
      </c>
      <c r="B31" s="0" t="s">
        <v>136</v>
      </c>
      <c r="C31" s="0" t="n">
        <v>3.253</v>
      </c>
      <c r="D31" s="0" t="n">
        <v>14.383</v>
      </c>
      <c r="E31" s="0" t="n">
        <v>4</v>
      </c>
      <c r="F31" s="0" t="s">
        <v>129</v>
      </c>
      <c r="G31" s="0" t="n">
        <v>16</v>
      </c>
      <c r="H31" s="0" t="n">
        <v>187.17</v>
      </c>
      <c r="I31" s="0" t="s">
        <v>137</v>
      </c>
      <c r="J31" s="0" t="s">
        <v>131</v>
      </c>
      <c r="K31" s="0" t="s">
        <v>66</v>
      </c>
    </row>
    <row r="32" customFormat="false" ht="15" hidden="false" customHeight="false" outlineLevel="0" collapsed="false">
      <c r="A32" s="0" t="s">
        <v>138</v>
      </c>
      <c r="B32" s="0" t="s">
        <v>139</v>
      </c>
      <c r="C32" s="0" t="n">
        <v>3.253</v>
      </c>
      <c r="D32" s="0" t="n">
        <v>14.222</v>
      </c>
      <c r="E32" s="0" t="n">
        <v>4</v>
      </c>
      <c r="F32" s="0" t="s">
        <v>129</v>
      </c>
      <c r="G32" s="0" t="n">
        <v>16</v>
      </c>
      <c r="H32" s="0" t="n">
        <v>185.06</v>
      </c>
      <c r="I32" s="0" t="s">
        <v>140</v>
      </c>
      <c r="J32" s="0" t="s">
        <v>131</v>
      </c>
      <c r="K32" s="0" t="s">
        <v>66</v>
      </c>
    </row>
    <row r="33" customFormat="false" ht="15" hidden="false" customHeight="false" outlineLevel="0" collapsed="false">
      <c r="A33" s="0" t="s">
        <v>141</v>
      </c>
      <c r="B33" s="0" t="s">
        <v>142</v>
      </c>
      <c r="C33" s="0" t="n">
        <v>11.771</v>
      </c>
      <c r="D33" s="0" t="n">
        <v>15.375</v>
      </c>
      <c r="E33" s="0" t="n">
        <v>4</v>
      </c>
      <c r="F33" s="0" t="s">
        <v>129</v>
      </c>
      <c r="G33" s="0" t="n">
        <v>16</v>
      </c>
      <c r="H33" s="0" t="n">
        <v>723.9</v>
      </c>
      <c r="I33" s="0" t="s">
        <v>143</v>
      </c>
      <c r="J33" s="0" t="s">
        <v>131</v>
      </c>
      <c r="K33" s="0" t="s">
        <v>88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n">
        <v>11.771</v>
      </c>
      <c r="D34" s="0" t="n">
        <v>15.375</v>
      </c>
      <c r="E34" s="0" t="n">
        <v>4</v>
      </c>
      <c r="F34" s="0" t="s">
        <v>129</v>
      </c>
      <c r="G34" s="0" t="n">
        <v>16</v>
      </c>
      <c r="H34" s="0" t="n">
        <v>723.9</v>
      </c>
      <c r="I34" s="0" t="s">
        <v>146</v>
      </c>
      <c r="J34" s="0" t="s">
        <v>131</v>
      </c>
      <c r="K34" s="0" t="s">
        <v>88</v>
      </c>
    </row>
    <row r="35" customFormat="false" ht="15" hidden="false" customHeight="false" outlineLevel="0" collapsed="false">
      <c r="A35" s="0" t="s">
        <v>147</v>
      </c>
      <c r="B35" s="0" t="s">
        <v>148</v>
      </c>
      <c r="C35" s="0" t="n">
        <v>10.073</v>
      </c>
      <c r="D35" s="0" t="n">
        <v>15.375</v>
      </c>
      <c r="E35" s="0" t="n">
        <v>4</v>
      </c>
      <c r="F35" s="0" t="s">
        <v>129</v>
      </c>
      <c r="G35" s="0" t="n">
        <v>16</v>
      </c>
      <c r="H35" s="0" t="n">
        <v>619.5</v>
      </c>
      <c r="I35" s="0" t="s">
        <v>149</v>
      </c>
      <c r="J35" s="0" t="s">
        <v>131</v>
      </c>
      <c r="K35" s="0" t="s">
        <v>66</v>
      </c>
    </row>
    <row r="36" customFormat="false" ht="15" hidden="false" customHeight="false" outlineLevel="0" collapsed="false">
      <c r="A36" s="0" t="s">
        <v>150</v>
      </c>
      <c r="B36" s="0" t="s">
        <v>151</v>
      </c>
      <c r="C36" s="0" t="n">
        <v>12.333</v>
      </c>
      <c r="D36" s="0" t="n">
        <v>15.375</v>
      </c>
      <c r="E36" s="0" t="n">
        <v>4</v>
      </c>
      <c r="F36" s="0" t="s">
        <v>129</v>
      </c>
      <c r="G36" s="0" t="n">
        <v>16</v>
      </c>
      <c r="H36" s="0" t="n">
        <v>758.5</v>
      </c>
      <c r="I36" s="0" t="s">
        <v>152</v>
      </c>
      <c r="J36" s="0" t="s">
        <v>131</v>
      </c>
      <c r="K36" s="0" t="s">
        <v>66</v>
      </c>
    </row>
    <row r="37" customFormat="false" ht="15" hidden="false" customHeight="false" outlineLevel="0" collapsed="false">
      <c r="A37" s="0" t="s">
        <v>153</v>
      </c>
      <c r="B37" s="0" t="s">
        <v>154</v>
      </c>
      <c r="C37" s="0" t="n">
        <v>11.625</v>
      </c>
      <c r="D37" s="0" t="n">
        <v>15.375</v>
      </c>
      <c r="E37" s="0" t="n">
        <v>4</v>
      </c>
      <c r="F37" s="0" t="s">
        <v>129</v>
      </c>
      <c r="G37" s="0" t="n">
        <v>16</v>
      </c>
      <c r="H37" s="0" t="n">
        <v>714.94</v>
      </c>
      <c r="I37" s="0" t="s">
        <v>155</v>
      </c>
      <c r="J37" s="0" t="s">
        <v>131</v>
      </c>
      <c r="K37" s="0" t="s">
        <v>88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0" t="n">
        <v>12.333</v>
      </c>
      <c r="D38" s="0" t="n">
        <v>15.375</v>
      </c>
      <c r="E38" s="0" t="n">
        <v>4</v>
      </c>
      <c r="F38" s="0" t="s">
        <v>129</v>
      </c>
      <c r="G38" s="0" t="n">
        <v>16</v>
      </c>
      <c r="H38" s="0" t="n">
        <v>758.5</v>
      </c>
      <c r="I38" s="0" t="s">
        <v>158</v>
      </c>
      <c r="J38" s="0" t="s">
        <v>131</v>
      </c>
      <c r="K38" s="0" t="s">
        <v>66</v>
      </c>
    </row>
    <row r="39" customFormat="false" ht="15" hidden="false" customHeight="false" outlineLevel="0" collapsed="false">
      <c r="A39" s="5" t="s">
        <v>159</v>
      </c>
    </row>
    <row r="40" customFormat="false" ht="15" hidden="false" customHeight="false" outlineLevel="0" collapsed="false">
      <c r="A40" s="0" t="s">
        <v>160</v>
      </c>
      <c r="B40" s="0" t="s">
        <v>161</v>
      </c>
      <c r="C40" s="0" t="n">
        <v>11.771</v>
      </c>
      <c r="D40" s="0" t="n">
        <v>15.375</v>
      </c>
      <c r="E40" s="0" t="n">
        <v>4</v>
      </c>
      <c r="F40" s="0" t="s">
        <v>129</v>
      </c>
      <c r="G40" s="0" t="n">
        <v>16</v>
      </c>
      <c r="H40" s="0" t="n">
        <v>723.9</v>
      </c>
      <c r="I40" s="0" t="s">
        <v>162</v>
      </c>
      <c r="J40" s="0" t="s">
        <v>131</v>
      </c>
      <c r="K40" s="0" t="s">
        <v>88</v>
      </c>
    </row>
    <row r="41" customFormat="false" ht="15" hidden="false" customHeight="false" outlineLevel="0" collapsed="false">
      <c r="A41" s="0" t="s">
        <v>163</v>
      </c>
      <c r="B41" s="0" t="s">
        <v>164</v>
      </c>
      <c r="C41" s="0" t="n">
        <v>3.507</v>
      </c>
      <c r="D41" s="0" t="n">
        <v>15.375</v>
      </c>
      <c r="E41" s="0" t="n">
        <v>4</v>
      </c>
      <c r="F41" s="0" t="s">
        <v>129</v>
      </c>
      <c r="G41" s="0" t="n">
        <v>16</v>
      </c>
      <c r="H41" s="0" t="n">
        <v>215.66</v>
      </c>
      <c r="I41" s="0" t="s">
        <v>165</v>
      </c>
      <c r="J41" s="0" t="s">
        <v>131</v>
      </c>
      <c r="K41" s="0" t="s">
        <v>66</v>
      </c>
    </row>
    <row r="42" customFormat="false" ht="15" hidden="false" customHeight="false" outlineLevel="0" collapsed="false">
      <c r="A42" s="0" t="s">
        <v>166</v>
      </c>
      <c r="B42" s="0" t="s">
        <v>167</v>
      </c>
      <c r="C42" s="0" t="n">
        <v>2.667</v>
      </c>
      <c r="D42" s="0" t="n">
        <v>15.375</v>
      </c>
      <c r="E42" s="0" t="n">
        <v>4</v>
      </c>
      <c r="F42" s="0" t="s">
        <v>129</v>
      </c>
      <c r="G42" s="0" t="n">
        <v>16</v>
      </c>
      <c r="H42" s="0" t="n">
        <v>164</v>
      </c>
      <c r="I42" s="0" t="s">
        <v>168</v>
      </c>
      <c r="J42" s="0" t="s">
        <v>131</v>
      </c>
      <c r="K42" s="0" t="s">
        <v>66</v>
      </c>
    </row>
    <row r="43" customFormat="false" ht="15" hidden="false" customHeight="false" outlineLevel="0" collapsed="false">
      <c r="A43" s="5" t="s">
        <v>169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30</v>
      </c>
      <c r="D44" s="0" t="n">
        <v>6.26</v>
      </c>
      <c r="E44" s="0" t="n">
        <v>5</v>
      </c>
      <c r="F44" s="0" t="s">
        <v>129</v>
      </c>
      <c r="G44" s="0" t="n">
        <v>16</v>
      </c>
      <c r="H44" s="0" t="n">
        <v>766.64</v>
      </c>
      <c r="I44" s="0" t="s">
        <v>172</v>
      </c>
      <c r="J44" s="0" t="s">
        <v>173</v>
      </c>
      <c r="K44" s="0" t="s">
        <v>66</v>
      </c>
    </row>
    <row r="45" customFormat="false" ht="15" hidden="false" customHeight="false" outlineLevel="0" collapsed="false">
      <c r="A45" s="0" t="s">
        <v>174</v>
      </c>
      <c r="B45" s="0" t="s">
        <v>175</v>
      </c>
      <c r="C45" s="0" t="n">
        <v>15</v>
      </c>
      <c r="D45" s="0" t="n">
        <v>7.375</v>
      </c>
      <c r="E45" s="0" t="n">
        <v>5</v>
      </c>
      <c r="F45" s="0" t="s">
        <v>129</v>
      </c>
      <c r="G45" s="0" t="n">
        <v>16</v>
      </c>
      <c r="H45" s="0" t="n">
        <v>453.08</v>
      </c>
      <c r="I45" s="0" t="s">
        <v>176</v>
      </c>
      <c r="J45" s="0" t="s">
        <v>173</v>
      </c>
      <c r="K45" s="0" t="s">
        <v>66</v>
      </c>
    </row>
    <row r="46" customFormat="false" ht="15" hidden="false" customHeight="false" outlineLevel="0" collapsed="false">
      <c r="A46" s="5" t="s">
        <v>177</v>
      </c>
    </row>
    <row r="47" customFormat="false" ht="15" hidden="false" customHeight="false" outlineLevel="0" collapsed="false">
      <c r="A47" s="0" t="s">
        <v>178</v>
      </c>
      <c r="B47" s="0" t="s">
        <v>179</v>
      </c>
      <c r="C47" s="0" t="n">
        <v>5.667</v>
      </c>
      <c r="D47" s="0" t="n">
        <v>15.375</v>
      </c>
      <c r="E47" s="0" t="n">
        <v>2</v>
      </c>
      <c r="F47" s="0" t="s">
        <v>95</v>
      </c>
      <c r="G47" s="0" t="n">
        <v>16</v>
      </c>
      <c r="H47" s="0" t="n">
        <v>111.64</v>
      </c>
      <c r="I47" s="0" t="s">
        <v>180</v>
      </c>
      <c r="J47" s="0" t="s">
        <v>181</v>
      </c>
      <c r="K47" s="0" t="s">
        <v>66</v>
      </c>
    </row>
    <row r="48" customFormat="false" ht="15" hidden="false" customHeight="false" outlineLevel="0" collapsed="false">
      <c r="A48" s="0" t="s">
        <v>182</v>
      </c>
      <c r="B48" s="0" t="s">
        <v>183</v>
      </c>
      <c r="C48" s="0" t="n">
        <v>5.533</v>
      </c>
      <c r="D48" s="0" t="n">
        <v>13.052</v>
      </c>
      <c r="E48" s="0" t="n">
        <v>2</v>
      </c>
      <c r="F48" s="0" t="s">
        <v>95</v>
      </c>
      <c r="G48" s="0" t="n">
        <v>16</v>
      </c>
      <c r="H48" s="0" t="n">
        <v>96.66</v>
      </c>
      <c r="I48" s="0" t="s">
        <v>184</v>
      </c>
      <c r="J48" s="0" t="s">
        <v>181</v>
      </c>
      <c r="K48" s="0" t="s">
        <v>66</v>
      </c>
    </row>
    <row r="49" customFormat="false" ht="15" hidden="false" customHeight="false" outlineLevel="0" collapsed="false">
      <c r="A49" s="0" t="s">
        <v>185</v>
      </c>
      <c r="B49" s="0" t="s">
        <v>186</v>
      </c>
      <c r="C49" s="0" t="n">
        <v>15.787</v>
      </c>
      <c r="D49" s="0" t="n">
        <v>12.865</v>
      </c>
      <c r="E49" s="0" t="n">
        <v>2</v>
      </c>
      <c r="F49" s="0" t="s">
        <v>95</v>
      </c>
      <c r="G49" s="0" t="n">
        <v>16</v>
      </c>
      <c r="H49" s="0" t="n">
        <v>262.87</v>
      </c>
      <c r="I49" s="0" t="s">
        <v>187</v>
      </c>
      <c r="J49" s="0" t="s">
        <v>181</v>
      </c>
      <c r="K49" s="0" t="s">
        <v>66</v>
      </c>
    </row>
    <row r="50" customFormat="false" ht="15" hidden="false" customHeight="false" outlineLevel="0" collapsed="false">
      <c r="A50" s="0" t="s">
        <v>188</v>
      </c>
      <c r="B50" s="0" t="s">
        <v>189</v>
      </c>
      <c r="C50" s="0" t="n">
        <v>11.407</v>
      </c>
      <c r="D50" s="0" t="n">
        <v>11.633</v>
      </c>
      <c r="E50" s="0" t="n">
        <v>2</v>
      </c>
      <c r="F50" s="0" t="s">
        <v>95</v>
      </c>
      <c r="G50" s="0" t="n">
        <v>16</v>
      </c>
      <c r="H50" s="0" t="n">
        <v>265.4</v>
      </c>
      <c r="I50" s="0" t="s">
        <v>190</v>
      </c>
      <c r="J50" s="0" t="s">
        <v>181</v>
      </c>
      <c r="K50" s="0" t="s">
        <v>66</v>
      </c>
    </row>
    <row r="51" customFormat="false" ht="15" hidden="false" customHeight="false" outlineLevel="0" collapsed="false">
      <c r="A51" s="5" t="s">
        <v>191</v>
      </c>
    </row>
    <row r="52" customFormat="false" ht="15" hidden="false" customHeight="false" outlineLevel="0" collapsed="false">
      <c r="A52" s="0" t="s">
        <v>192</v>
      </c>
      <c r="B52" s="0" t="s">
        <v>193</v>
      </c>
      <c r="C52" s="0" t="n">
        <v>4</v>
      </c>
      <c r="D52" s="0" t="n">
        <v>14.383</v>
      </c>
      <c r="E52" s="0" t="n">
        <v>1</v>
      </c>
      <c r="F52" s="0" t="s">
        <v>63</v>
      </c>
      <c r="G52" s="0" t="n">
        <v>16</v>
      </c>
      <c r="H52" s="0" t="n">
        <v>57.52</v>
      </c>
      <c r="I52" s="0" t="s">
        <v>194</v>
      </c>
      <c r="J52" s="0" t="s">
        <v>195</v>
      </c>
      <c r="K52" s="0" t="s">
        <v>66</v>
      </c>
    </row>
    <row r="53" customFormat="false" ht="15" hidden="false" customHeight="false" outlineLevel="0" collapsed="false">
      <c r="A53" s="0" t="s">
        <v>196</v>
      </c>
      <c r="B53" s="0" t="s">
        <v>197</v>
      </c>
      <c r="C53" s="0" t="n">
        <v>2.75</v>
      </c>
      <c r="D53" s="0" t="n">
        <v>14.383</v>
      </c>
      <c r="E53" s="0" t="n">
        <v>1</v>
      </c>
      <c r="F53" s="0" t="s">
        <v>63</v>
      </c>
      <c r="G53" s="0" t="n">
        <v>16</v>
      </c>
      <c r="H53" s="0" t="n">
        <v>39.55</v>
      </c>
      <c r="I53" s="0" t="s">
        <v>198</v>
      </c>
      <c r="J53" s="0" t="s">
        <v>195</v>
      </c>
      <c r="K53" s="0" t="s">
        <v>66</v>
      </c>
    </row>
    <row r="54" customFormat="false" ht="15" hidden="false" customHeight="false" outlineLevel="0" collapsed="false">
      <c r="A54" s="0" t="s">
        <v>199</v>
      </c>
      <c r="B54" s="0" t="s">
        <v>200</v>
      </c>
      <c r="C54" s="0" t="n">
        <v>4.119</v>
      </c>
      <c r="D54" s="0" t="n">
        <v>14.362</v>
      </c>
      <c r="E54" s="0" t="n">
        <v>1</v>
      </c>
      <c r="F54" s="0" t="s">
        <v>63</v>
      </c>
      <c r="G54" s="0" t="n">
        <v>16</v>
      </c>
      <c r="H54" s="0" t="n">
        <v>59.15</v>
      </c>
      <c r="I54" s="0" t="s">
        <v>201</v>
      </c>
      <c r="J54" s="0" t="s">
        <v>202</v>
      </c>
      <c r="K54" s="0" t="s">
        <v>66</v>
      </c>
    </row>
    <row r="55" customFormat="false" ht="15" hidden="false" customHeight="false" outlineLevel="0" collapsed="false">
      <c r="A55" s="0" t="s">
        <v>203</v>
      </c>
      <c r="B55" s="0" t="s">
        <v>204</v>
      </c>
      <c r="C55" s="0" t="n">
        <v>3.132</v>
      </c>
      <c r="D55" s="0" t="n">
        <v>14.362</v>
      </c>
      <c r="E55" s="0" t="n">
        <v>1</v>
      </c>
      <c r="F55" s="0" t="s">
        <v>63</v>
      </c>
      <c r="G55" s="0" t="n">
        <v>16</v>
      </c>
      <c r="H55" s="0" t="n">
        <v>44.98</v>
      </c>
      <c r="I55" s="0" t="s">
        <v>205</v>
      </c>
      <c r="J55" s="0" t="s">
        <v>206</v>
      </c>
      <c r="K55" s="0" t="s">
        <v>66</v>
      </c>
    </row>
    <row r="56" customFormat="false" ht="15" hidden="false" customHeight="false" outlineLevel="0" collapsed="false">
      <c r="A56" s="0" t="s">
        <v>207</v>
      </c>
      <c r="B56" s="0" t="s">
        <v>208</v>
      </c>
      <c r="C56" s="0" t="n">
        <v>10</v>
      </c>
      <c r="D56" s="0" t="n">
        <v>15.375</v>
      </c>
      <c r="E56" s="0" t="n">
        <v>1.13</v>
      </c>
      <c r="F56" s="0" t="s">
        <v>63</v>
      </c>
      <c r="G56" s="0" t="n">
        <v>16</v>
      </c>
      <c r="H56" s="0" t="n">
        <v>174.25</v>
      </c>
      <c r="I56" s="0" t="s">
        <v>209</v>
      </c>
      <c r="J56" s="0" t="s">
        <v>210</v>
      </c>
      <c r="K56" s="0" t="s">
        <v>66</v>
      </c>
    </row>
    <row r="57" customFormat="false" ht="15" hidden="false" customHeight="false" outlineLevel="0" collapsed="false">
      <c r="A57" s="0" t="s">
        <v>211</v>
      </c>
      <c r="B57" s="0" t="s">
        <v>212</v>
      </c>
      <c r="C57" s="0" t="n">
        <v>2.98</v>
      </c>
      <c r="D57" s="0" t="n">
        <v>12.93</v>
      </c>
      <c r="E57" s="0" t="n">
        <v>1.19</v>
      </c>
      <c r="F57" s="0" t="s">
        <v>63</v>
      </c>
      <c r="G57" s="0" t="n">
        <v>16</v>
      </c>
      <c r="H57" s="0" t="n">
        <v>46.03</v>
      </c>
      <c r="I57" s="0" t="s">
        <v>213</v>
      </c>
      <c r="J57" s="0" t="s">
        <v>210</v>
      </c>
      <c r="K57" s="0" t="s">
        <v>66</v>
      </c>
    </row>
    <row r="58" customFormat="false" ht="15" hidden="false" customHeight="false" outlineLevel="0" collapsed="false">
      <c r="A58" s="0" t="s">
        <v>214</v>
      </c>
      <c r="B58" s="0" t="s">
        <v>215</v>
      </c>
      <c r="C58" s="0" t="n">
        <v>10.028</v>
      </c>
      <c r="D58" s="0" t="n">
        <v>12.921</v>
      </c>
      <c r="E58" s="0" t="n">
        <v>1</v>
      </c>
      <c r="F58" s="0" t="s">
        <v>63</v>
      </c>
      <c r="G58" s="0" t="n">
        <v>16</v>
      </c>
      <c r="H58" s="0" t="n">
        <v>129.57</v>
      </c>
      <c r="I58" s="0" t="s">
        <v>216</v>
      </c>
      <c r="J58" s="0" t="s">
        <v>210</v>
      </c>
      <c r="K58" s="0" t="s">
        <v>66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0" t="n">
        <v>10.028</v>
      </c>
      <c r="D59" s="0" t="n">
        <v>12.89</v>
      </c>
      <c r="E59" s="0" t="n">
        <v>1</v>
      </c>
      <c r="F59" s="0" t="s">
        <v>63</v>
      </c>
      <c r="G59" s="0" t="n">
        <v>16</v>
      </c>
      <c r="H59" s="0" t="n">
        <v>129.26</v>
      </c>
      <c r="I59" s="0" t="s">
        <v>219</v>
      </c>
      <c r="J59" s="0" t="s">
        <v>210</v>
      </c>
      <c r="K59" s="0" t="s">
        <v>66</v>
      </c>
    </row>
    <row r="60" customFormat="false" ht="15" hidden="false" customHeight="false" outlineLevel="0" collapsed="false">
      <c r="A60" s="5" t="s">
        <v>220</v>
      </c>
    </row>
    <row r="61" customFormat="false" ht="15" hidden="false" customHeight="false" outlineLevel="0" collapsed="false">
      <c r="A61" s="0" t="s">
        <v>221</v>
      </c>
      <c r="B61" s="0" t="s">
        <v>222</v>
      </c>
      <c r="C61" s="0" t="n">
        <v>11.733</v>
      </c>
      <c r="D61" s="0" t="n">
        <v>12.752</v>
      </c>
      <c r="E61" s="0" t="n">
        <v>2</v>
      </c>
      <c r="F61" s="0" t="s">
        <v>63</v>
      </c>
      <c r="G61" s="0" t="n">
        <v>16</v>
      </c>
      <c r="H61" s="0" t="n">
        <v>251.46</v>
      </c>
      <c r="I61" s="0" t="s">
        <v>223</v>
      </c>
      <c r="J61" s="0" t="s">
        <v>181</v>
      </c>
      <c r="K61" s="0" t="s">
        <v>66</v>
      </c>
    </row>
    <row r="62" customFormat="false" ht="15" hidden="false" customHeight="false" outlineLevel="0" collapsed="false">
      <c r="A62" s="0" t="s">
        <v>224</v>
      </c>
      <c r="B62" s="0" t="s">
        <v>225</v>
      </c>
      <c r="C62" s="0" t="n">
        <v>3.5</v>
      </c>
      <c r="D62" s="0" t="n">
        <v>12.743</v>
      </c>
      <c r="E62" s="0" t="n">
        <v>2</v>
      </c>
      <c r="F62" s="0" t="s">
        <v>63</v>
      </c>
      <c r="G62" s="0" t="n">
        <v>16</v>
      </c>
      <c r="H62" s="0" t="n">
        <v>89.2</v>
      </c>
      <c r="I62" s="0" t="s">
        <v>226</v>
      </c>
      <c r="J62" s="0" t="s">
        <v>181</v>
      </c>
      <c r="K62" s="0" t="s">
        <v>66</v>
      </c>
    </row>
    <row r="63" customFormat="false" ht="15" hidden="false" customHeight="false" outlineLevel="0" collapsed="false">
      <c r="A63" s="0" t="s">
        <v>227</v>
      </c>
      <c r="B63" s="0" t="s">
        <v>228</v>
      </c>
      <c r="C63" s="0" t="n">
        <v>11.733</v>
      </c>
      <c r="D63" s="0" t="n">
        <v>12.671</v>
      </c>
      <c r="E63" s="0" t="n">
        <v>2</v>
      </c>
      <c r="F63" s="0" t="s">
        <v>63</v>
      </c>
      <c r="G63" s="0" t="n">
        <v>16</v>
      </c>
      <c r="H63" s="0" t="n">
        <v>297.34</v>
      </c>
      <c r="I63" s="0" t="s">
        <v>229</v>
      </c>
      <c r="J63" s="0" t="s">
        <v>181</v>
      </c>
      <c r="K63" s="0" t="s">
        <v>66</v>
      </c>
    </row>
    <row r="64" customFormat="false" ht="15" hidden="false" customHeight="false" outlineLevel="0" collapsed="false">
      <c r="A64" s="0" t="s">
        <v>230</v>
      </c>
      <c r="B64" s="0" t="s">
        <v>231</v>
      </c>
      <c r="C64" s="0" t="n">
        <v>9.99</v>
      </c>
      <c r="D64" s="0" t="n">
        <v>12.832</v>
      </c>
      <c r="E64" s="0" t="n">
        <v>2</v>
      </c>
      <c r="F64" s="0" t="s">
        <v>63</v>
      </c>
      <c r="G64" s="0" t="n">
        <v>16</v>
      </c>
      <c r="H64" s="0" t="n">
        <v>256.36</v>
      </c>
      <c r="I64" s="0" t="s">
        <v>232</v>
      </c>
      <c r="J64" s="0" t="s">
        <v>181</v>
      </c>
      <c r="K64" s="0" t="s">
        <v>66</v>
      </c>
    </row>
    <row r="65" customFormat="false" ht="15" hidden="false" customHeight="false" outlineLevel="0" collapsed="false">
      <c r="A65" s="0" t="s">
        <v>233</v>
      </c>
      <c r="B65" s="0" t="s">
        <v>234</v>
      </c>
      <c r="C65" s="0" t="n">
        <v>9.583</v>
      </c>
      <c r="D65" s="0" t="n">
        <v>12.703</v>
      </c>
      <c r="E65" s="0" t="n">
        <v>2</v>
      </c>
      <c r="F65" s="0" t="s">
        <v>63</v>
      </c>
      <c r="G65" s="0" t="n">
        <v>16</v>
      </c>
      <c r="H65" s="0" t="n">
        <v>243.46</v>
      </c>
      <c r="I65" s="0" t="s">
        <v>235</v>
      </c>
      <c r="J65" s="0" t="s">
        <v>181</v>
      </c>
      <c r="K65" s="0" t="s">
        <v>66</v>
      </c>
    </row>
    <row r="66" customFormat="false" ht="15" hidden="false" customHeight="false" outlineLevel="0" collapsed="false">
      <c r="A66" s="0" t="s">
        <v>236</v>
      </c>
      <c r="B66" s="0" t="s">
        <v>237</v>
      </c>
      <c r="C66" s="0" t="n">
        <v>13.74</v>
      </c>
      <c r="D66" s="0" t="n">
        <v>12.823</v>
      </c>
      <c r="E66" s="0" t="n">
        <v>2</v>
      </c>
      <c r="F66" s="0" t="s">
        <v>63</v>
      </c>
      <c r="G66" s="0" t="n">
        <v>16</v>
      </c>
      <c r="H66" s="0" t="n">
        <v>256.82</v>
      </c>
      <c r="I66" s="0" t="s">
        <v>238</v>
      </c>
      <c r="J66" s="0" t="s">
        <v>181</v>
      </c>
      <c r="K66" s="0" t="s">
        <v>66</v>
      </c>
    </row>
    <row r="67" customFormat="false" ht="15" hidden="false" customHeight="false" outlineLevel="0" collapsed="false">
      <c r="A67" s="5" t="s">
        <v>239</v>
      </c>
    </row>
    <row r="68" customFormat="false" ht="15" hidden="false" customHeight="false" outlineLevel="0" collapsed="false">
      <c r="A68" s="0" t="s">
        <v>240</v>
      </c>
      <c r="B68" s="0" t="s">
        <v>241</v>
      </c>
      <c r="C68" s="0" t="n">
        <v>13.187</v>
      </c>
      <c r="D68" s="0" t="n">
        <v>14.358</v>
      </c>
      <c r="E68" s="0" t="n">
        <v>1</v>
      </c>
      <c r="F68" s="0" t="s">
        <v>95</v>
      </c>
      <c r="G68" s="0" t="n">
        <v>16</v>
      </c>
      <c r="H68" s="0" t="n">
        <v>186.38</v>
      </c>
      <c r="I68" s="0" t="s">
        <v>130</v>
      </c>
      <c r="J68" s="0" t="s">
        <v>242</v>
      </c>
      <c r="K68" s="0" t="s">
        <v>66</v>
      </c>
    </row>
    <row r="69" customFormat="false" ht="15" hidden="false" customHeight="false" outlineLevel="0" collapsed="false">
      <c r="A69" s="0" t="s">
        <v>243</v>
      </c>
      <c r="B69" s="0" t="s">
        <v>244</v>
      </c>
      <c r="C69" s="0" t="n">
        <v>76.273</v>
      </c>
      <c r="D69" s="0" t="n">
        <v>13.533</v>
      </c>
      <c r="E69" s="0" t="n">
        <v>1</v>
      </c>
      <c r="F69" s="0" t="s">
        <v>95</v>
      </c>
      <c r="G69" s="0" t="n">
        <v>16</v>
      </c>
      <c r="H69" s="0" t="n">
        <v>1028.15</v>
      </c>
      <c r="I69" s="0" t="s">
        <v>245</v>
      </c>
      <c r="J69" s="0" t="s">
        <v>242</v>
      </c>
      <c r="K69" s="0" t="s">
        <v>66</v>
      </c>
    </row>
    <row r="70" customFormat="false" ht="15" hidden="false" customHeight="false" outlineLevel="0" collapsed="false">
      <c r="A70" s="0" t="s">
        <v>246</v>
      </c>
      <c r="B70" s="0" t="s">
        <v>247</v>
      </c>
      <c r="C70" s="0" t="n">
        <v>51.733</v>
      </c>
      <c r="D70" s="0" t="n">
        <v>11.17</v>
      </c>
      <c r="E70" s="0" t="n">
        <v>1</v>
      </c>
      <c r="F70" s="0" t="s">
        <v>95</v>
      </c>
      <c r="G70" s="0" t="n">
        <v>16</v>
      </c>
      <c r="H70" s="0" t="n">
        <v>621.06</v>
      </c>
      <c r="I70" s="0" t="s">
        <v>248</v>
      </c>
      <c r="J70" s="0" t="s">
        <v>242</v>
      </c>
      <c r="K70" s="0" t="s">
        <v>66</v>
      </c>
    </row>
    <row r="71" customFormat="false" ht="15" hidden="false" customHeight="false" outlineLevel="0" collapsed="false">
      <c r="A71" s="0" t="s">
        <v>249</v>
      </c>
      <c r="B71" s="0" t="s">
        <v>250</v>
      </c>
      <c r="C71" s="0" t="n">
        <v>48.26</v>
      </c>
      <c r="D71" s="0" t="n">
        <v>13.054</v>
      </c>
      <c r="E71" s="0" t="n">
        <v>1</v>
      </c>
      <c r="F71" s="0" t="s">
        <v>95</v>
      </c>
      <c r="G71" s="0" t="n">
        <v>16</v>
      </c>
      <c r="H71" s="0" t="n">
        <v>612.52</v>
      </c>
      <c r="I71" s="0" t="s">
        <v>251</v>
      </c>
      <c r="J71" s="0" t="s">
        <v>242</v>
      </c>
      <c r="K71" s="0" t="s">
        <v>66</v>
      </c>
    </row>
    <row r="72" customFormat="false" ht="15" hidden="false" customHeight="false" outlineLevel="0" collapsed="false">
      <c r="A72" s="0" t="s">
        <v>252</v>
      </c>
      <c r="B72" s="0" t="s">
        <v>253</v>
      </c>
      <c r="C72" s="0" t="n">
        <v>3.875</v>
      </c>
      <c r="D72" s="0" t="n">
        <v>14.358</v>
      </c>
      <c r="E72" s="0" t="n">
        <v>1</v>
      </c>
      <c r="F72" s="0" t="s">
        <v>95</v>
      </c>
      <c r="G72" s="0" t="n">
        <v>16</v>
      </c>
      <c r="H72" s="0" t="n">
        <v>59.58</v>
      </c>
      <c r="I72" s="0" t="s">
        <v>254</v>
      </c>
      <c r="J72" s="0" t="s">
        <v>242</v>
      </c>
      <c r="K72" s="0" t="s">
        <v>88</v>
      </c>
    </row>
    <row r="73" customFormat="false" ht="15" hidden="false" customHeight="false" outlineLevel="0" collapsed="false">
      <c r="A73" s="0" t="s">
        <v>255</v>
      </c>
      <c r="B73" s="0" t="s">
        <v>256</v>
      </c>
      <c r="C73" s="0" t="n">
        <v>21.722</v>
      </c>
      <c r="D73" s="0" t="n">
        <v>14.358</v>
      </c>
      <c r="E73" s="0" t="n">
        <v>1</v>
      </c>
      <c r="F73" s="0" t="s">
        <v>95</v>
      </c>
      <c r="G73" s="0" t="n">
        <v>16</v>
      </c>
      <c r="H73" s="0" t="n">
        <v>315.76</v>
      </c>
      <c r="I73" s="0" t="s">
        <v>257</v>
      </c>
      <c r="J73" s="0" t="s">
        <v>242</v>
      </c>
      <c r="K73" s="0" t="s">
        <v>66</v>
      </c>
    </row>
    <row r="74" customFormat="false" ht="15" hidden="false" customHeight="false" outlineLevel="0" collapsed="false">
      <c r="A74" s="5" t="s">
        <v>258</v>
      </c>
    </row>
    <row r="75" customFormat="false" ht="15" hidden="false" customHeight="false" outlineLevel="0" collapsed="false">
      <c r="A75" s="0" t="s">
        <v>259</v>
      </c>
      <c r="B75" s="0" t="s">
        <v>260</v>
      </c>
      <c r="C75" s="0" t="n">
        <v>5.667</v>
      </c>
      <c r="D75" s="0" t="n">
        <v>10.733</v>
      </c>
      <c r="E75" s="0" t="n">
        <v>0</v>
      </c>
      <c r="F75" s="0" t="s">
        <v>63</v>
      </c>
      <c r="G75" s="0" t="n">
        <v>16</v>
      </c>
      <c r="H75" s="0" t="n">
        <v>0</v>
      </c>
      <c r="I75" s="0" t="s">
        <v>260</v>
      </c>
      <c r="J75" s="0" t="s">
        <v>261</v>
      </c>
      <c r="K75" s="0" t="s">
        <v>66</v>
      </c>
    </row>
    <row r="76" customFormat="false" ht="15" hidden="false" customHeight="false" outlineLevel="0" collapsed="false">
      <c r="A76" s="0" t="s">
        <v>262</v>
      </c>
      <c r="B76" s="0" t="s">
        <v>263</v>
      </c>
      <c r="C76" s="0" t="n">
        <v>5.667</v>
      </c>
      <c r="D76" s="0" t="n">
        <v>10.733</v>
      </c>
      <c r="E76" s="0" t="n">
        <v>0</v>
      </c>
      <c r="F76" s="0" t="s">
        <v>63</v>
      </c>
      <c r="G76" s="0" t="n">
        <v>16</v>
      </c>
      <c r="H76" s="0" t="n">
        <v>0</v>
      </c>
      <c r="I76" s="0" t="s">
        <v>263</v>
      </c>
      <c r="J76" s="0" t="s">
        <v>261</v>
      </c>
      <c r="K76" s="0" t="s">
        <v>66</v>
      </c>
    </row>
    <row r="77" customFormat="false" ht="15" hidden="false" customHeight="false" outlineLevel="0" collapsed="false">
      <c r="A77" s="0" t="s">
        <v>264</v>
      </c>
      <c r="B77" s="0" t="s">
        <v>265</v>
      </c>
      <c r="C77" s="0" t="n">
        <v>5.667</v>
      </c>
      <c r="D77" s="0" t="n">
        <v>10.733</v>
      </c>
      <c r="E77" s="0" t="n">
        <v>0</v>
      </c>
      <c r="F77" s="0" t="s">
        <v>63</v>
      </c>
      <c r="G77" s="0" t="n">
        <v>16</v>
      </c>
      <c r="H77" s="0" t="n">
        <v>0</v>
      </c>
      <c r="I77" s="0" t="s">
        <v>265</v>
      </c>
      <c r="J77" s="0" t="s">
        <v>261</v>
      </c>
      <c r="K77" s="0" t="s">
        <v>66</v>
      </c>
    </row>
    <row r="78" customFormat="false" ht="15" hidden="false" customHeight="false" outlineLevel="0" collapsed="false">
      <c r="A78" s="0" t="s">
        <v>266</v>
      </c>
      <c r="B78" s="0" t="s">
        <v>267</v>
      </c>
      <c r="C78" s="0" t="n">
        <v>5.667</v>
      </c>
      <c r="D78" s="0" t="n">
        <v>10.733</v>
      </c>
      <c r="E78" s="0" t="n">
        <v>0</v>
      </c>
      <c r="F78" s="0" t="s">
        <v>63</v>
      </c>
      <c r="G78" s="0" t="n">
        <v>16</v>
      </c>
      <c r="H78" s="0" t="n">
        <v>0</v>
      </c>
      <c r="I78" s="0" t="s">
        <v>267</v>
      </c>
      <c r="J78" s="0" t="s">
        <v>261</v>
      </c>
      <c r="K78" s="0" t="s">
        <v>66</v>
      </c>
    </row>
    <row r="79" customFormat="false" ht="15" hidden="false" customHeight="false" outlineLevel="0" collapsed="false">
      <c r="A79" s="5" t="s">
        <v>268</v>
      </c>
    </row>
    <row r="80" customFormat="false" ht="15" hidden="false" customHeight="false" outlineLevel="0" collapsed="false">
      <c r="A80" s="0" t="s">
        <v>269</v>
      </c>
      <c r="B80" s="0" t="s">
        <v>270</v>
      </c>
      <c r="C80" s="0" t="n">
        <v>16.333</v>
      </c>
      <c r="D80" s="0" t="n">
        <v>4.292</v>
      </c>
      <c r="E80" s="0" t="n">
        <v>0</v>
      </c>
      <c r="F80" s="0" t="s">
        <v>95</v>
      </c>
      <c r="G80" s="0" t="n">
        <v>16</v>
      </c>
      <c r="H80" s="0" t="n">
        <v>0</v>
      </c>
      <c r="I80" s="0" t="s">
        <v>270</v>
      </c>
      <c r="J80" s="0" t="s">
        <v>271</v>
      </c>
      <c r="K80" s="0" t="s">
        <v>66</v>
      </c>
    </row>
    <row r="81" customFormat="false" ht="15" hidden="false" customHeight="false" outlineLevel="0" collapsed="false">
      <c r="A81" s="0" t="s">
        <v>272</v>
      </c>
      <c r="B81" s="0" t="s">
        <v>273</v>
      </c>
      <c r="C81" s="0" t="n">
        <v>3.93</v>
      </c>
      <c r="D81" s="0" t="n">
        <v>4.292</v>
      </c>
      <c r="E81" s="0" t="n">
        <v>0</v>
      </c>
      <c r="F81" s="0" t="s">
        <v>95</v>
      </c>
      <c r="G81" s="0" t="n">
        <v>16</v>
      </c>
      <c r="H81" s="0" t="n">
        <v>0</v>
      </c>
      <c r="I81" s="0" t="s">
        <v>274</v>
      </c>
      <c r="J81" s="0" t="s">
        <v>271</v>
      </c>
      <c r="K81" s="0" t="s">
        <v>66</v>
      </c>
    </row>
    <row r="82" customFormat="false" ht="15" hidden="false" customHeight="false" outlineLevel="0" collapsed="false">
      <c r="A82" s="0" t="s">
        <v>275</v>
      </c>
      <c r="B82" s="0" t="s">
        <v>276</v>
      </c>
      <c r="C82" s="0" t="n">
        <v>39.86</v>
      </c>
      <c r="D82" s="0" t="n">
        <v>2.042</v>
      </c>
      <c r="E82" s="0" t="n">
        <v>0</v>
      </c>
      <c r="F82" s="0" t="s">
        <v>95</v>
      </c>
      <c r="G82" s="0" t="n">
        <v>16</v>
      </c>
      <c r="H82" s="0" t="n">
        <v>0</v>
      </c>
      <c r="I82" s="0" t="s">
        <v>276</v>
      </c>
      <c r="J82" s="0" t="s">
        <v>271</v>
      </c>
      <c r="K82" s="0" t="s">
        <v>66</v>
      </c>
    </row>
    <row r="83" customFormat="false" ht="15" hidden="false" customHeight="false" outlineLevel="0" collapsed="false">
      <c r="A83" s="0" t="s">
        <v>277</v>
      </c>
      <c r="B83" s="0" t="s">
        <v>278</v>
      </c>
      <c r="C83" s="0" t="n">
        <v>75.939</v>
      </c>
      <c r="D83" s="0" t="n">
        <v>2.897</v>
      </c>
      <c r="E83" s="0" t="n">
        <v>0</v>
      </c>
      <c r="F83" s="0" t="s">
        <v>95</v>
      </c>
      <c r="G83" s="0" t="n">
        <v>16</v>
      </c>
      <c r="H83" s="0" t="n">
        <v>0</v>
      </c>
      <c r="I83" s="0" t="s">
        <v>279</v>
      </c>
      <c r="J83" s="0" t="s">
        <v>271</v>
      </c>
      <c r="K83" s="0" t="s">
        <v>66</v>
      </c>
    </row>
    <row r="84" customFormat="false" ht="15" hidden="false" customHeight="false" outlineLevel="0" collapsed="false">
      <c r="A84" s="0" t="s">
        <v>280</v>
      </c>
      <c r="B84" s="0" t="s">
        <v>281</v>
      </c>
      <c r="C84" s="0" t="n">
        <v>52.333</v>
      </c>
      <c r="D84" s="0" t="n">
        <v>4.885</v>
      </c>
      <c r="E84" s="0" t="n">
        <v>0</v>
      </c>
      <c r="F84" s="0" t="s">
        <v>95</v>
      </c>
      <c r="G84" s="0" t="n">
        <v>16</v>
      </c>
      <c r="H84" s="0" t="n">
        <v>0</v>
      </c>
      <c r="I84" s="0" t="s">
        <v>281</v>
      </c>
      <c r="J84" s="0" t="s">
        <v>271</v>
      </c>
      <c r="K84" s="0" t="s">
        <v>66</v>
      </c>
    </row>
    <row r="85" customFormat="false" ht="15" hidden="false" customHeight="false" outlineLevel="0" collapsed="false">
      <c r="A85" s="0" t="s">
        <v>282</v>
      </c>
      <c r="B85" s="0" t="s">
        <v>283</v>
      </c>
      <c r="C85" s="0" t="n">
        <v>47.928</v>
      </c>
      <c r="D85" s="0" t="n">
        <v>3.397</v>
      </c>
      <c r="E85" s="0" t="n">
        <v>0</v>
      </c>
      <c r="F85" s="0" t="s">
        <v>95</v>
      </c>
      <c r="G85" s="0" t="n">
        <v>16</v>
      </c>
      <c r="H85" s="0" t="n">
        <v>0</v>
      </c>
      <c r="I85" s="0" t="s">
        <v>284</v>
      </c>
      <c r="J85" s="0" t="s">
        <v>271</v>
      </c>
      <c r="K85" s="0" t="s">
        <v>66</v>
      </c>
    </row>
    <row r="86" customFormat="false" ht="15" hidden="false" customHeight="false" outlineLevel="0" collapsed="false">
      <c r="A86" s="0" t="s">
        <v>285</v>
      </c>
      <c r="B86" s="0" t="s">
        <v>286</v>
      </c>
      <c r="C86" s="0" t="n">
        <v>3.875</v>
      </c>
      <c r="D86" s="0" t="n">
        <v>4.292</v>
      </c>
      <c r="E86" s="0" t="n">
        <v>0</v>
      </c>
      <c r="F86" s="0" t="s">
        <v>95</v>
      </c>
      <c r="G86" s="0" t="n">
        <v>16</v>
      </c>
      <c r="H86" s="0" t="n">
        <v>0</v>
      </c>
      <c r="I86" s="0" t="s">
        <v>286</v>
      </c>
      <c r="J86" s="0" t="s">
        <v>271</v>
      </c>
      <c r="K86" s="0" t="s">
        <v>66</v>
      </c>
    </row>
    <row r="87" customFormat="false" ht="15" hidden="false" customHeight="false" outlineLevel="0" collapsed="false">
      <c r="A87" s="0" t="s">
        <v>287</v>
      </c>
      <c r="B87" s="0" t="s">
        <v>288</v>
      </c>
      <c r="C87" s="0" t="n">
        <v>29.007</v>
      </c>
      <c r="D87" s="0" t="n">
        <v>4.292</v>
      </c>
      <c r="E87" s="0" t="n">
        <v>0</v>
      </c>
      <c r="F87" s="0" t="s">
        <v>95</v>
      </c>
      <c r="G87" s="0" t="n">
        <v>16</v>
      </c>
      <c r="H87" s="0" t="n">
        <v>0</v>
      </c>
      <c r="I87" s="0" t="s">
        <v>288</v>
      </c>
      <c r="J87" s="0" t="s">
        <v>271</v>
      </c>
      <c r="K87" s="0" t="s">
        <v>66</v>
      </c>
    </row>
    <row r="88" customFormat="false" ht="15" hidden="false" customHeight="false" outlineLevel="0" collapsed="false">
      <c r="B88" s="6" t="s">
        <v>289</v>
      </c>
      <c r="C88" s="4" t="n">
        <f aca="false">SUM(C5:C87)</f>
        <v>951.452</v>
      </c>
      <c r="H88" s="4" t="n">
        <f aca="false">SUM(H5:H87)</f>
        <v>15767.35</v>
      </c>
    </row>
    <row r="90" customFormat="false" ht="15" hidden="false" customHeight="false" outlineLevel="0" collapsed="false">
      <c r="A90" s="5" t="s">
        <v>290</v>
      </c>
    </row>
    <row r="91" customFormat="false" ht="15" hidden="false" customHeight="false" outlineLevel="0" collapsed="false">
      <c r="A91" s="0" t="s">
        <v>291</v>
      </c>
      <c r="B91" s="0" t="s">
        <v>292</v>
      </c>
      <c r="C91" s="0" t="n">
        <v>15.647</v>
      </c>
      <c r="D91" s="0" t="n">
        <v>5.375</v>
      </c>
      <c r="E91" s="0" t="n">
        <v>0</v>
      </c>
      <c r="F91" s="0" t="s">
        <v>63</v>
      </c>
      <c r="G91" s="0" t="n">
        <v>16</v>
      </c>
      <c r="H91" s="0" t="n">
        <v>0</v>
      </c>
      <c r="I91" s="0" t="s">
        <v>292</v>
      </c>
      <c r="J91" s="0" t="s">
        <v>293</v>
      </c>
      <c r="K91" s="0" t="s">
        <v>66</v>
      </c>
    </row>
    <row r="92" customFormat="false" ht="15" hidden="false" customHeight="false" outlineLevel="0" collapsed="false">
      <c r="A92" s="0" t="s">
        <v>294</v>
      </c>
      <c r="B92" s="0" t="s">
        <v>295</v>
      </c>
      <c r="C92" s="0" t="n">
        <v>6.413</v>
      </c>
      <c r="D92" s="0" t="n">
        <v>4.383</v>
      </c>
      <c r="E92" s="0" t="n">
        <v>1</v>
      </c>
      <c r="F92" s="0" t="s">
        <v>63</v>
      </c>
      <c r="G92" s="0" t="n">
        <v>16</v>
      </c>
      <c r="H92" s="0" t="n">
        <v>28.11</v>
      </c>
      <c r="I92" s="0" t="s">
        <v>296</v>
      </c>
      <c r="J92" s="0" t="s">
        <v>297</v>
      </c>
      <c r="K92" s="0" t="s">
        <v>66</v>
      </c>
    </row>
    <row r="93" customFormat="false" ht="15" hidden="false" customHeight="false" outlineLevel="0" collapsed="false">
      <c r="A93" s="0" t="s">
        <v>298</v>
      </c>
      <c r="B93" s="0" t="s">
        <v>299</v>
      </c>
      <c r="C93" s="0" t="n">
        <v>13.333</v>
      </c>
      <c r="D93" s="0" t="n">
        <v>2</v>
      </c>
      <c r="E93" s="0" t="n">
        <v>1</v>
      </c>
      <c r="F93" s="0" t="s">
        <v>300</v>
      </c>
      <c r="G93" s="0" t="n">
        <v>16</v>
      </c>
      <c r="H93" s="0" t="n">
        <v>26.67</v>
      </c>
      <c r="I93" s="0" t="s">
        <v>296</v>
      </c>
      <c r="J93" s="0" t="s">
        <v>301</v>
      </c>
      <c r="K93" s="0" t="s">
        <v>66</v>
      </c>
    </row>
    <row r="94" customFormat="false" ht="15" hidden="false" customHeight="false" outlineLevel="0" collapsed="false">
      <c r="A94" s="0" t="s">
        <v>302</v>
      </c>
      <c r="B94" s="0" t="s">
        <v>303</v>
      </c>
      <c r="C94" s="0" t="n">
        <v>12.562</v>
      </c>
      <c r="D94" s="0" t="n">
        <v>4.983</v>
      </c>
      <c r="E94" s="0" t="n">
        <v>1</v>
      </c>
      <c r="F94" s="0" t="s">
        <v>95</v>
      </c>
      <c r="G94" s="0" t="n">
        <v>16</v>
      </c>
      <c r="H94" s="0" t="n">
        <v>84.8</v>
      </c>
      <c r="I94" s="0" t="s">
        <v>205</v>
      </c>
      <c r="J94" s="0" t="s">
        <v>304</v>
      </c>
      <c r="K94" s="0" t="s">
        <v>66</v>
      </c>
    </row>
    <row r="95" customFormat="false" ht="15" hidden="false" customHeight="false" outlineLevel="0" collapsed="false">
      <c r="A95" s="0" t="s">
        <v>305</v>
      </c>
      <c r="B95" s="0" t="s">
        <v>306</v>
      </c>
      <c r="C95" s="0" t="n">
        <v>26.25</v>
      </c>
      <c r="D95" s="0" t="n">
        <v>4.525</v>
      </c>
      <c r="E95" s="0" t="n">
        <v>1</v>
      </c>
      <c r="F95" s="0" t="s">
        <v>95</v>
      </c>
      <c r="G95" s="0" t="n">
        <v>16</v>
      </c>
      <c r="H95" s="0" t="n">
        <v>177.19</v>
      </c>
      <c r="I95" s="0" t="s">
        <v>296</v>
      </c>
      <c r="J95" s="0" t="s">
        <v>304</v>
      </c>
      <c r="K95" s="0" t="s">
        <v>66</v>
      </c>
    </row>
    <row r="96" customFormat="false" ht="15" hidden="false" customHeight="false" outlineLevel="0" collapsed="false">
      <c r="A96" s="0" t="s">
        <v>307</v>
      </c>
      <c r="B96" s="0" t="s">
        <v>308</v>
      </c>
      <c r="C96" s="0" t="n">
        <v>6.5</v>
      </c>
      <c r="D96" s="0" t="n">
        <v>4.983</v>
      </c>
      <c r="E96" s="0" t="n">
        <v>1</v>
      </c>
      <c r="F96" s="0" t="s">
        <v>95</v>
      </c>
      <c r="G96" s="0" t="n">
        <v>16</v>
      </c>
      <c r="H96" s="0" t="n">
        <v>43.88</v>
      </c>
      <c r="I96" s="0" t="s">
        <v>205</v>
      </c>
      <c r="J96" s="0" t="s">
        <v>304</v>
      </c>
      <c r="K96" s="0" t="s">
        <v>66</v>
      </c>
    </row>
    <row r="97" customFormat="false" ht="15" hidden="false" customHeight="false" outlineLevel="0" collapsed="false">
      <c r="A97" s="0" t="s">
        <v>309</v>
      </c>
      <c r="B97" s="0" t="s">
        <v>310</v>
      </c>
      <c r="C97" s="0" t="n">
        <v>51.733</v>
      </c>
      <c r="D97" s="0" t="n">
        <v>3.114</v>
      </c>
      <c r="E97" s="0" t="n">
        <v>0</v>
      </c>
      <c r="F97" s="0" t="s">
        <v>63</v>
      </c>
      <c r="G97" s="0" t="n">
        <v>16</v>
      </c>
      <c r="H97" s="0" t="n">
        <v>0</v>
      </c>
      <c r="I97" s="0" t="s">
        <v>310</v>
      </c>
      <c r="J97" s="0" t="s">
        <v>311</v>
      </c>
      <c r="K97" s="0" t="s">
        <v>66</v>
      </c>
    </row>
    <row r="98" customFormat="false" ht="15" hidden="false" customHeight="false" outlineLevel="0" collapsed="false">
      <c r="A98" s="0" t="s">
        <v>312</v>
      </c>
      <c r="B98" s="0" t="s">
        <v>313</v>
      </c>
      <c r="C98" s="0" t="n">
        <v>51.733</v>
      </c>
      <c r="D98" s="0" t="n">
        <v>1.131</v>
      </c>
      <c r="E98" s="0" t="n">
        <v>1</v>
      </c>
      <c r="F98" s="0" t="s">
        <v>63</v>
      </c>
      <c r="G98" s="0" t="n">
        <v>16</v>
      </c>
      <c r="H98" s="0" t="n">
        <v>58.49</v>
      </c>
      <c r="I98" s="0" t="s">
        <v>314</v>
      </c>
      <c r="J98" s="0" t="s">
        <v>311</v>
      </c>
      <c r="K98" s="0" t="s">
        <v>66</v>
      </c>
    </row>
    <row r="99" customFormat="false" ht="15" hidden="false" customHeight="false" outlineLevel="0" collapsed="false">
      <c r="A99" s="0" t="s">
        <v>315</v>
      </c>
      <c r="B99" s="0" t="s">
        <v>316</v>
      </c>
      <c r="C99" s="0" t="n">
        <v>51.733</v>
      </c>
      <c r="D99" s="0" t="n">
        <v>3.46</v>
      </c>
      <c r="E99" s="0" t="n">
        <v>1</v>
      </c>
      <c r="F99" s="0" t="s">
        <v>63</v>
      </c>
      <c r="G99" s="0" t="n">
        <v>16</v>
      </c>
      <c r="H99" s="0" t="n">
        <v>179.01</v>
      </c>
      <c r="I99" s="0" t="s">
        <v>317</v>
      </c>
      <c r="J99" s="0" t="s">
        <v>311</v>
      </c>
      <c r="K99" s="0" t="s">
        <v>66</v>
      </c>
    </row>
    <row r="100" customFormat="false" ht="15" hidden="false" customHeight="false" outlineLevel="0" collapsed="false">
      <c r="A100" s="0" t="s">
        <v>318</v>
      </c>
      <c r="B100" s="0" t="s">
        <v>319</v>
      </c>
      <c r="C100" s="0" t="n">
        <v>17.027</v>
      </c>
      <c r="D100" s="0" t="n">
        <v>4.375</v>
      </c>
      <c r="E100" s="0" t="n">
        <v>1</v>
      </c>
      <c r="F100" s="0" t="s">
        <v>63</v>
      </c>
      <c r="G100" s="0" t="n">
        <v>16</v>
      </c>
      <c r="H100" s="0" t="n">
        <v>17.03</v>
      </c>
      <c r="I100" s="0" t="s">
        <v>320</v>
      </c>
      <c r="J100" s="0" t="s">
        <v>321</v>
      </c>
      <c r="K100" s="0" t="s">
        <v>66</v>
      </c>
    </row>
    <row r="101" customFormat="false" ht="15" hidden="false" customHeight="false" outlineLevel="0" collapsed="false">
      <c r="A101" s="0" t="s">
        <v>322</v>
      </c>
      <c r="B101" s="0" t="s">
        <v>323</v>
      </c>
      <c r="C101" s="0" t="n">
        <v>30</v>
      </c>
      <c r="D101" s="0" t="n">
        <v>4.375</v>
      </c>
      <c r="E101" s="0" t="n">
        <v>1</v>
      </c>
      <c r="F101" s="0" t="s">
        <v>63</v>
      </c>
      <c r="G101" s="0" t="n">
        <v>16</v>
      </c>
      <c r="H101" s="0" t="n">
        <v>30</v>
      </c>
      <c r="I101" s="0" t="s">
        <v>320</v>
      </c>
      <c r="J101" s="0" t="s">
        <v>321</v>
      </c>
      <c r="K101" s="0" t="s">
        <v>66</v>
      </c>
    </row>
    <row r="102" customFormat="false" ht="15" hidden="false" customHeight="false" outlineLevel="0" collapsed="false">
      <c r="A102" s="0" t="s">
        <v>324</v>
      </c>
      <c r="B102" s="0" t="s">
        <v>325</v>
      </c>
      <c r="C102" s="0" t="n">
        <v>30</v>
      </c>
      <c r="D102" s="0" t="n">
        <v>4.375</v>
      </c>
      <c r="E102" s="0" t="n">
        <v>1</v>
      </c>
      <c r="F102" s="0" t="s">
        <v>63</v>
      </c>
      <c r="G102" s="0" t="n">
        <v>16</v>
      </c>
      <c r="H102" s="0" t="n">
        <v>30</v>
      </c>
      <c r="I102" s="0" t="s">
        <v>320</v>
      </c>
      <c r="J102" s="0" t="s">
        <v>321</v>
      </c>
      <c r="K102" s="0" t="s">
        <v>66</v>
      </c>
    </row>
    <row r="103" customFormat="false" ht="15" hidden="false" customHeight="false" outlineLevel="0" collapsed="false">
      <c r="A103" s="0" t="s">
        <v>326</v>
      </c>
      <c r="B103" s="0" t="s">
        <v>327</v>
      </c>
      <c r="C103" s="0" t="n">
        <v>6.44</v>
      </c>
      <c r="D103" s="0" t="n">
        <v>7.375</v>
      </c>
      <c r="E103" s="0" t="n">
        <v>1</v>
      </c>
      <c r="F103" s="0" t="s">
        <v>63</v>
      </c>
      <c r="G103" s="0" t="n">
        <v>16</v>
      </c>
      <c r="H103" s="0" t="n">
        <v>9.66</v>
      </c>
      <c r="I103" s="0" t="s">
        <v>328</v>
      </c>
      <c r="J103" s="0" t="s">
        <v>329</v>
      </c>
      <c r="K103" s="0" t="s">
        <v>66</v>
      </c>
    </row>
    <row r="104" customFormat="false" ht="15" hidden="false" customHeight="false" outlineLevel="0" collapsed="false">
      <c r="A104" s="0" t="s">
        <v>330</v>
      </c>
      <c r="B104" s="0" t="s">
        <v>331</v>
      </c>
      <c r="C104" s="0" t="n">
        <v>5.573</v>
      </c>
      <c r="D104" s="0" t="n">
        <v>4.995</v>
      </c>
      <c r="E104" s="0" t="n">
        <v>1</v>
      </c>
      <c r="F104" s="0" t="s">
        <v>63</v>
      </c>
      <c r="G104" s="0" t="n">
        <v>16</v>
      </c>
      <c r="H104" s="0" t="n">
        <v>8.36</v>
      </c>
      <c r="I104" s="0" t="s">
        <v>328</v>
      </c>
      <c r="J104" s="0" t="s">
        <v>329</v>
      </c>
      <c r="K104" s="0" t="s">
        <v>66</v>
      </c>
    </row>
    <row r="105" customFormat="false" ht="15" hidden="false" customHeight="false" outlineLevel="0" collapsed="false">
      <c r="A105" s="0" t="s">
        <v>332</v>
      </c>
      <c r="B105" s="0" t="s">
        <v>333</v>
      </c>
      <c r="C105" s="0" t="n">
        <v>6.44</v>
      </c>
      <c r="D105" s="0" t="n">
        <v>7.375</v>
      </c>
      <c r="E105" s="0" t="n">
        <v>1</v>
      </c>
      <c r="F105" s="0" t="s">
        <v>63</v>
      </c>
      <c r="G105" s="0" t="n">
        <v>16</v>
      </c>
      <c r="H105" s="0" t="n">
        <v>9.66</v>
      </c>
      <c r="I105" s="0" t="s">
        <v>334</v>
      </c>
      <c r="J105" s="0" t="s">
        <v>329</v>
      </c>
      <c r="K105" s="0" t="s">
        <v>66</v>
      </c>
    </row>
    <row r="106" customFormat="false" ht="15" hidden="false" customHeight="false" outlineLevel="0" collapsed="false">
      <c r="A106" s="0" t="s">
        <v>335</v>
      </c>
      <c r="B106" s="0" t="s">
        <v>336</v>
      </c>
      <c r="C106" s="0" t="n">
        <v>5.573</v>
      </c>
      <c r="D106" s="0" t="n">
        <v>4.995</v>
      </c>
      <c r="E106" s="0" t="n">
        <v>1</v>
      </c>
      <c r="F106" s="0" t="s">
        <v>63</v>
      </c>
      <c r="G106" s="0" t="n">
        <v>16</v>
      </c>
      <c r="H106" s="0" t="n">
        <v>8.36</v>
      </c>
      <c r="I106" s="0" t="s">
        <v>334</v>
      </c>
      <c r="J106" s="0" t="s">
        <v>329</v>
      </c>
      <c r="K106" s="0" t="s">
        <v>66</v>
      </c>
    </row>
    <row r="107" customFormat="false" ht="15" hidden="false" customHeight="false" outlineLevel="0" collapsed="false">
      <c r="A107" s="0" t="s">
        <v>337</v>
      </c>
      <c r="B107" s="0" t="s">
        <v>338</v>
      </c>
      <c r="C107" s="0" t="n">
        <v>78.16</v>
      </c>
      <c r="D107" s="0" t="n">
        <v>1.865</v>
      </c>
      <c r="E107" s="0" t="n">
        <v>0</v>
      </c>
      <c r="F107" s="0" t="s">
        <v>63</v>
      </c>
      <c r="G107" s="0" t="n">
        <v>16</v>
      </c>
      <c r="H107" s="0" t="n">
        <v>0</v>
      </c>
      <c r="I107" s="0" t="s">
        <v>338</v>
      </c>
      <c r="J107" s="0" t="s">
        <v>339</v>
      </c>
      <c r="K107" s="0" t="s">
        <v>66</v>
      </c>
    </row>
    <row r="108" customFormat="false" ht="15" hidden="false" customHeight="false" outlineLevel="0" collapsed="false">
      <c r="A108" s="0" t="s">
        <v>340</v>
      </c>
      <c r="B108" s="0" t="s">
        <v>341</v>
      </c>
      <c r="C108" s="0" t="n">
        <v>55.993</v>
      </c>
      <c r="D108" s="0" t="n">
        <v>1.865</v>
      </c>
      <c r="E108" s="0" t="n">
        <v>0</v>
      </c>
      <c r="F108" s="0" t="s">
        <v>63</v>
      </c>
      <c r="G108" s="0" t="n">
        <v>16</v>
      </c>
      <c r="H108" s="0" t="n">
        <v>0</v>
      </c>
      <c r="I108" s="0" t="s">
        <v>341</v>
      </c>
      <c r="J108" s="0" t="s">
        <v>342</v>
      </c>
      <c r="K108" s="0" t="s">
        <v>66</v>
      </c>
    </row>
    <row r="109" customFormat="false" ht="15" hidden="false" customHeight="false" outlineLevel="0" collapsed="false">
      <c r="A109" s="0" t="s">
        <v>343</v>
      </c>
      <c r="B109" s="0" t="s">
        <v>344</v>
      </c>
      <c r="C109" s="0" t="n">
        <v>20.98</v>
      </c>
      <c r="D109" s="0" t="n">
        <v>1.865</v>
      </c>
      <c r="E109" s="0" t="n">
        <v>0</v>
      </c>
      <c r="F109" s="0" t="s">
        <v>63</v>
      </c>
      <c r="G109" s="0" t="n">
        <v>16</v>
      </c>
      <c r="H109" s="0" t="n">
        <v>0</v>
      </c>
      <c r="I109" s="0" t="s">
        <v>344</v>
      </c>
      <c r="J109" s="0" t="s">
        <v>342</v>
      </c>
      <c r="K109" s="0" t="s">
        <v>66</v>
      </c>
    </row>
    <row r="110" customFormat="false" ht="15" hidden="false" customHeight="false" outlineLevel="0" collapsed="false">
      <c r="A110" s="0" t="s">
        <v>345</v>
      </c>
      <c r="B110" s="0" t="s">
        <v>346</v>
      </c>
      <c r="C110" s="0" t="n">
        <v>52.053</v>
      </c>
      <c r="D110" s="0" t="n">
        <v>1.865</v>
      </c>
      <c r="E110" s="0" t="n">
        <v>0</v>
      </c>
      <c r="F110" s="0" t="s">
        <v>63</v>
      </c>
      <c r="G110" s="0" t="n">
        <v>16</v>
      </c>
      <c r="H110" s="0" t="n">
        <v>0</v>
      </c>
      <c r="I110" s="0" t="s">
        <v>346</v>
      </c>
      <c r="J110" s="0" t="s">
        <v>347</v>
      </c>
      <c r="K110" s="0" t="s">
        <v>66</v>
      </c>
    </row>
    <row r="111" customFormat="false" ht="15" hidden="false" customHeight="false" outlineLevel="0" collapsed="false">
      <c r="A111" s="0" t="s">
        <v>348</v>
      </c>
      <c r="B111" s="0" t="s">
        <v>349</v>
      </c>
      <c r="C111" s="0" t="n">
        <v>2.467</v>
      </c>
      <c r="D111" s="0" t="n">
        <v>1.865</v>
      </c>
      <c r="E111" s="0" t="n">
        <v>0</v>
      </c>
      <c r="F111" s="0" t="s">
        <v>63</v>
      </c>
      <c r="G111" s="0" t="n">
        <v>16</v>
      </c>
      <c r="H111" s="0" t="n">
        <v>0</v>
      </c>
      <c r="I111" s="0" t="s">
        <v>349</v>
      </c>
      <c r="J111" s="0" t="s">
        <v>347</v>
      </c>
      <c r="K111" s="0" t="s">
        <v>66</v>
      </c>
    </row>
    <row r="112" customFormat="false" ht="15" hidden="false" customHeight="false" outlineLevel="0" collapsed="false">
      <c r="A112" s="0" t="s">
        <v>350</v>
      </c>
      <c r="B112" s="0" t="s">
        <v>351</v>
      </c>
      <c r="C112" s="0" t="n">
        <v>23</v>
      </c>
      <c r="D112" s="0" t="n">
        <v>1.865</v>
      </c>
      <c r="E112" s="0" t="n">
        <v>0</v>
      </c>
      <c r="F112" s="0" t="s">
        <v>63</v>
      </c>
      <c r="G112" s="0" t="n">
        <v>16</v>
      </c>
      <c r="H112" s="0" t="n">
        <v>0</v>
      </c>
      <c r="I112" s="0" t="s">
        <v>351</v>
      </c>
      <c r="J112" s="0" t="s">
        <v>347</v>
      </c>
      <c r="K112" s="0" t="s">
        <v>66</v>
      </c>
    </row>
    <row r="113" customFormat="false" ht="15" hidden="false" customHeight="false" outlineLevel="0" collapsed="false">
      <c r="A113" s="0" t="s">
        <v>352</v>
      </c>
      <c r="B113" s="0" t="s">
        <v>353</v>
      </c>
      <c r="C113" s="0" t="n">
        <v>2.48</v>
      </c>
      <c r="D113" s="0" t="n">
        <v>1.865</v>
      </c>
      <c r="E113" s="0" t="n">
        <v>0</v>
      </c>
      <c r="F113" s="0" t="s">
        <v>63</v>
      </c>
      <c r="G113" s="0" t="n">
        <v>16</v>
      </c>
      <c r="H113" s="0" t="n">
        <v>0</v>
      </c>
      <c r="I113" s="0" t="s">
        <v>353</v>
      </c>
      <c r="J113" s="0" t="s">
        <v>347</v>
      </c>
      <c r="K113" s="0" t="s">
        <v>66</v>
      </c>
    </row>
    <row r="114" customFormat="false" ht="15" hidden="false" customHeight="false" outlineLevel="0" collapsed="false">
      <c r="A114" s="0" t="s">
        <v>354</v>
      </c>
      <c r="B114" s="0" t="s">
        <v>355</v>
      </c>
      <c r="C114" s="0" t="n">
        <v>2.48</v>
      </c>
      <c r="D114" s="0" t="n">
        <v>1.865</v>
      </c>
      <c r="E114" s="0" t="n">
        <v>0</v>
      </c>
      <c r="F114" s="0" t="s">
        <v>63</v>
      </c>
      <c r="G114" s="0" t="n">
        <v>16</v>
      </c>
      <c r="H114" s="0" t="n">
        <v>0</v>
      </c>
      <c r="I114" s="0" t="s">
        <v>355</v>
      </c>
      <c r="J114" s="0" t="s">
        <v>347</v>
      </c>
      <c r="K114" s="0" t="s">
        <v>66</v>
      </c>
    </row>
    <row r="115" customFormat="false" ht="15" hidden="false" customHeight="false" outlineLevel="0" collapsed="false">
      <c r="A115" s="0" t="s">
        <v>356</v>
      </c>
      <c r="B115" s="0" t="s">
        <v>357</v>
      </c>
      <c r="C115" s="0" t="n">
        <v>5.093</v>
      </c>
      <c r="D115" s="0" t="n">
        <v>6.375</v>
      </c>
      <c r="E115" s="0" t="n">
        <v>1</v>
      </c>
      <c r="F115" s="0" t="s">
        <v>63</v>
      </c>
      <c r="G115" s="0" t="n">
        <v>16</v>
      </c>
      <c r="H115" s="0" t="n">
        <v>15.28</v>
      </c>
      <c r="I115" s="0" t="s">
        <v>328</v>
      </c>
      <c r="J115" s="0" t="s">
        <v>321</v>
      </c>
      <c r="K115" s="0" t="s">
        <v>66</v>
      </c>
    </row>
    <row r="116" customFormat="false" ht="15" hidden="false" customHeight="false" outlineLevel="0" collapsed="false">
      <c r="A116" s="0" t="s">
        <v>358</v>
      </c>
      <c r="B116" s="0" t="s">
        <v>359</v>
      </c>
      <c r="C116" s="0" t="n">
        <v>7.469</v>
      </c>
      <c r="D116" s="0" t="n">
        <v>12.31</v>
      </c>
      <c r="E116" s="0" t="n">
        <v>2</v>
      </c>
      <c r="F116" s="0" t="s">
        <v>63</v>
      </c>
      <c r="G116" s="0" t="n">
        <v>16</v>
      </c>
      <c r="H116" s="0" t="n">
        <v>117.41</v>
      </c>
      <c r="I116" s="0" t="s">
        <v>360</v>
      </c>
      <c r="J116" s="0" t="s">
        <v>65</v>
      </c>
      <c r="K11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0" t="s">
        <v>362</v>
      </c>
    </row>
    <row r="3" customFormat="false" ht="15" hidden="false" customHeight="false" outlineLevel="0" collapsed="false">
      <c r="A3" s="2" t="s">
        <v>363</v>
      </c>
      <c r="B3" s="2" t="s">
        <v>364</v>
      </c>
      <c r="C3" s="2" t="s">
        <v>365</v>
      </c>
      <c r="D3" s="2" t="s">
        <v>366</v>
      </c>
      <c r="E3" s="2" t="s">
        <v>367</v>
      </c>
      <c r="F3" s="2" t="s">
        <v>368</v>
      </c>
      <c r="G3" s="2" t="s">
        <v>369</v>
      </c>
      <c r="H3" s="2" t="s">
        <v>370</v>
      </c>
      <c r="I3" s="2" t="s">
        <v>371</v>
      </c>
      <c r="J3" s="2" t="s">
        <v>372</v>
      </c>
    </row>
    <row r="4" customFormat="false" ht="15" hidden="false" customHeight="false" outlineLevel="0" collapsed="false">
      <c r="A4" s="0" t="s">
        <v>373</v>
      </c>
      <c r="B4" s="0" t="s">
        <v>374</v>
      </c>
      <c r="C4" s="0" t="n">
        <v>4622.09</v>
      </c>
      <c r="D4" s="0" t="n">
        <f aca="false">Inputs!$B$5</f>
        <v>0.15</v>
      </c>
      <c r="E4" s="0" t="n">
        <f aca="false">C4*D4</f>
        <v>693.3135</v>
      </c>
      <c r="F4" s="0" t="n">
        <f aca="false">C4+E4</f>
        <v>5315.4035</v>
      </c>
      <c r="G4" s="0" t="s">
        <v>375</v>
      </c>
      <c r="H4" s="0" t="n">
        <f aca="false">ROUNDUP(F4/Inputs!$B$10,0)</f>
        <v>266</v>
      </c>
      <c r="I4" s="0" t="s">
        <v>376</v>
      </c>
    </row>
    <row r="5" customFormat="false" ht="15" hidden="false" customHeight="false" outlineLevel="0" collapsed="false">
      <c r="A5" s="0" t="s">
        <v>377</v>
      </c>
      <c r="B5" s="0" t="s">
        <v>374</v>
      </c>
      <c r="C5" s="0" t="n">
        <v>6693.88</v>
      </c>
      <c r="D5" s="0" t="n">
        <f aca="false">Inputs!$B$5</f>
        <v>0.15</v>
      </c>
      <c r="E5" s="0" t="n">
        <f aca="false">C5*D5</f>
        <v>1004.082</v>
      </c>
      <c r="F5" s="0" t="n">
        <f aca="false">C5+E5</f>
        <v>7697.962</v>
      </c>
      <c r="G5" s="0" t="s">
        <v>375</v>
      </c>
      <c r="H5" s="0" t="n">
        <f aca="false">ROUNDUP(F5/Inputs!$B$10,0)</f>
        <v>385</v>
      </c>
      <c r="I5" s="0" t="s">
        <v>378</v>
      </c>
    </row>
    <row r="6" customFormat="false" ht="15" hidden="false" customHeight="false" outlineLevel="0" collapsed="false">
      <c r="A6" s="0" t="s">
        <v>379</v>
      </c>
      <c r="B6" s="0" t="s">
        <v>374</v>
      </c>
      <c r="C6" s="0" t="n">
        <v>3865.49</v>
      </c>
      <c r="D6" s="0" t="n">
        <f aca="false">Inputs!$B$5</f>
        <v>0.15</v>
      </c>
      <c r="E6" s="0" t="n">
        <f aca="false">C6*D6</f>
        <v>579.8235</v>
      </c>
      <c r="F6" s="0" t="n">
        <f aca="false">C6+E6</f>
        <v>4445.3135</v>
      </c>
      <c r="G6" s="0" t="s">
        <v>375</v>
      </c>
      <c r="H6" s="0" t="n">
        <f aca="false">ROUNDUP(F6/Inputs!$B$10,0)</f>
        <v>223</v>
      </c>
      <c r="I6" s="0" t="s">
        <v>380</v>
      </c>
    </row>
    <row r="7" customFormat="false" ht="15" hidden="false" customHeight="false" outlineLevel="0" collapsed="false">
      <c r="A7" s="0" t="s">
        <v>381</v>
      </c>
      <c r="B7" s="0" t="s">
        <v>374</v>
      </c>
      <c r="C7" s="0" t="n">
        <v>1000.87</v>
      </c>
      <c r="D7" s="0" t="n">
        <f aca="false">Inputs!$B$5</f>
        <v>0.15</v>
      </c>
      <c r="E7" s="0" t="n">
        <f aca="false">C7*D7</f>
        <v>150.1305</v>
      </c>
      <c r="F7" s="0" t="n">
        <f aca="false">C7+E7</f>
        <v>1151.0005</v>
      </c>
      <c r="G7" s="0" t="s">
        <v>375</v>
      </c>
      <c r="H7" s="0" t="n">
        <f aca="false">ROUNDUP(F7/Inputs!$B$10,0)</f>
        <v>58</v>
      </c>
      <c r="I7" s="0" t="s">
        <v>382</v>
      </c>
    </row>
    <row r="8" customFormat="false" ht="15" hidden="false" customHeight="false" outlineLevel="0" collapsed="false">
      <c r="A8" s="0" t="s">
        <v>383</v>
      </c>
      <c r="B8" s="0" t="s">
        <v>374</v>
      </c>
      <c r="C8" s="0" t="n">
        <v>1365.05</v>
      </c>
      <c r="D8" s="0" t="n">
        <f aca="false">Inputs!$B$5</f>
        <v>0.15</v>
      </c>
      <c r="E8" s="0" t="n">
        <f aca="false">C8*D8</f>
        <v>204.7575</v>
      </c>
      <c r="F8" s="0" t="n">
        <f aca="false">C8+E8</f>
        <v>1569.8075</v>
      </c>
      <c r="G8" s="0" t="s">
        <v>384</v>
      </c>
      <c r="H8" s="0" t="n">
        <f aca="false">ROUNDUP(F8/Inputs!$B$11,0)</f>
        <v>157</v>
      </c>
      <c r="I8" s="0" t="s">
        <v>385</v>
      </c>
    </row>
    <row r="9" customFormat="false" ht="15" hidden="false" customHeight="false" outlineLevel="0" collapsed="false">
      <c r="A9" s="0" t="s">
        <v>386</v>
      </c>
      <c r="B9" s="0" t="s">
        <v>374</v>
      </c>
      <c r="C9" s="0" t="n">
        <v>2474.77</v>
      </c>
      <c r="D9" s="0" t="n">
        <f aca="false">Inputs!$B$5</f>
        <v>0.15</v>
      </c>
      <c r="E9" s="0" t="n">
        <f aca="false">C9*D9</f>
        <v>371.2155</v>
      </c>
      <c r="F9" s="0" t="n">
        <f aca="false">C9+E9</f>
        <v>2845.9855</v>
      </c>
      <c r="G9" s="0" t="s">
        <v>387</v>
      </c>
      <c r="H9" s="0" t="n">
        <f aca="false">ROUNDUP(F9/Inputs!$B$16,0)</f>
        <v>178</v>
      </c>
      <c r="I9" s="0" t="s">
        <v>388</v>
      </c>
    </row>
    <row r="10" customFormat="false" ht="15" hidden="false" customHeight="false" outlineLevel="0" collapsed="false">
      <c r="A10" s="0" t="s">
        <v>389</v>
      </c>
      <c r="B10" s="0" t="s">
        <v>374</v>
      </c>
      <c r="C10" s="0" t="n">
        <v>199.73</v>
      </c>
      <c r="D10" s="0" t="n">
        <f aca="false">Inputs!$B$5</f>
        <v>0.15</v>
      </c>
      <c r="E10" s="0" t="n">
        <f aca="false">C10*D10</f>
        <v>29.9595</v>
      </c>
      <c r="F10" s="0" t="n">
        <f aca="false">C10+E10</f>
        <v>229.6895</v>
      </c>
      <c r="G10" s="0" t="s">
        <v>384</v>
      </c>
      <c r="H10" s="0" t="n">
        <f aca="false">ROUNDUP(F10/Inputs!$B$11,0)</f>
        <v>23</v>
      </c>
      <c r="I10" s="0" t="s">
        <v>390</v>
      </c>
    </row>
    <row r="11" customFormat="false" ht="15" hidden="false" customHeight="false" outlineLevel="0" collapsed="false">
      <c r="A11" s="0" t="s">
        <v>391</v>
      </c>
      <c r="B11" s="0" t="s">
        <v>374</v>
      </c>
      <c r="C11" s="0" t="n">
        <v>759.67</v>
      </c>
      <c r="D11" s="0" t="n">
        <f aca="false">Inputs!$B$5</f>
        <v>0.15</v>
      </c>
      <c r="E11" s="0" t="n">
        <f aca="false">C11*D11</f>
        <v>113.9505</v>
      </c>
      <c r="F11" s="0" t="n">
        <f aca="false">C11+E11</f>
        <v>873.6205</v>
      </c>
      <c r="G11" s="0" t="s">
        <v>375</v>
      </c>
      <c r="H11" s="0" t="n">
        <f aca="false">ROUNDUP(F11/Inputs!$B$10,0)</f>
        <v>44</v>
      </c>
      <c r="I11" s="0" t="s">
        <v>392</v>
      </c>
    </row>
    <row r="12" customFormat="false" ht="15" hidden="false" customHeight="false" outlineLevel="0" collapsed="false">
      <c r="A12" s="0" t="s">
        <v>393</v>
      </c>
      <c r="B12" s="0" t="s">
        <v>374</v>
      </c>
      <c r="C12" s="0" t="n">
        <v>119.12</v>
      </c>
      <c r="D12" s="0" t="n">
        <f aca="false">Inputs!$B$5</f>
        <v>0.15</v>
      </c>
      <c r="E12" s="0" t="n">
        <f aca="false">C12*D12</f>
        <v>17.868</v>
      </c>
      <c r="F12" s="0" t="n">
        <f aca="false">C12+E12</f>
        <v>136.988</v>
      </c>
      <c r="G12" s="0" t="s">
        <v>384</v>
      </c>
      <c r="H12" s="0" t="n">
        <f aca="false">ROUNDUP(F12/Inputs!$B$11,0)</f>
        <v>14</v>
      </c>
      <c r="I12" s="0" t="s">
        <v>394</v>
      </c>
    </row>
    <row r="13" customFormat="false" ht="15" hidden="false" customHeight="false" outlineLevel="0" collapsed="false">
      <c r="A13" s="0" t="s">
        <v>395</v>
      </c>
      <c r="B13" s="0" t="s">
        <v>374</v>
      </c>
      <c r="C13" s="0" t="n">
        <v>781.37</v>
      </c>
      <c r="D13" s="0" t="n">
        <f aca="false">Inputs!$B$5</f>
        <v>0.15</v>
      </c>
      <c r="E13" s="0" t="n">
        <f aca="false">C13*D13</f>
        <v>117.2055</v>
      </c>
      <c r="F13" s="0" t="n">
        <f aca="false">C13+E13</f>
        <v>898.5755</v>
      </c>
      <c r="G13" s="0" t="s">
        <v>396</v>
      </c>
      <c r="H13" s="0" t="n">
        <f aca="false">ROUNDUP(F13/Inputs!$B$17,0)</f>
        <v>75</v>
      </c>
      <c r="I13" s="0" t="s">
        <v>397</v>
      </c>
    </row>
    <row r="14" customFormat="false" ht="15" hidden="false" customHeight="false" outlineLevel="0" collapsed="false">
      <c r="A14" s="0" t="s">
        <v>398</v>
      </c>
      <c r="B14" s="0" t="s">
        <v>374</v>
      </c>
      <c r="C14" s="0" t="n">
        <v>316.45</v>
      </c>
      <c r="D14" s="0" t="n">
        <f aca="false">Inputs!$B$5</f>
        <v>0.15</v>
      </c>
      <c r="E14" s="0" t="n">
        <f aca="false">C14*D14</f>
        <v>47.4675</v>
      </c>
      <c r="F14" s="0" t="n">
        <f aca="false">C14+E14</f>
        <v>363.9175</v>
      </c>
      <c r="G14" s="0" t="s">
        <v>387</v>
      </c>
      <c r="H14" s="0" t="n">
        <f aca="false">ROUNDUP(F14/Inputs!$B$16,0)</f>
        <v>23</v>
      </c>
      <c r="I14" s="0" t="s">
        <v>399</v>
      </c>
    </row>
    <row r="15" customFormat="false" ht="15" hidden="false" customHeight="false" outlineLevel="0" collapsed="false">
      <c r="A15" s="0" t="s">
        <v>400</v>
      </c>
      <c r="B15" s="0" t="s">
        <v>374</v>
      </c>
      <c r="C15" s="0" t="n">
        <v>530.1</v>
      </c>
      <c r="D15" s="0" t="n">
        <f aca="false">Inputs!$B$5</f>
        <v>0.15</v>
      </c>
      <c r="E15" s="0" t="n">
        <f aca="false">C15*D15</f>
        <v>79.515</v>
      </c>
      <c r="F15" s="0" t="n">
        <f aca="false">C15+E15</f>
        <v>609.615</v>
      </c>
      <c r="G15" s="0" t="s">
        <v>33</v>
      </c>
      <c r="H15" s="0" t="n">
        <f aca="false">ROUNDUP(F15,0)</f>
        <v>610</v>
      </c>
      <c r="I15" s="0" t="s">
        <v>401</v>
      </c>
    </row>
    <row r="16" customFormat="false" ht="15" hidden="false" customHeight="false" outlineLevel="0" collapsed="false">
      <c r="A16" s="0" t="s">
        <v>402</v>
      </c>
      <c r="B16" s="0" t="s">
        <v>403</v>
      </c>
      <c r="C16" s="0" t="n">
        <v>17318.88</v>
      </c>
      <c r="D16" s="0" t="n">
        <f aca="false">Inputs!$B$6</f>
        <v>0.06</v>
      </c>
      <c r="E16" s="0" t="n">
        <f aca="false">C16*D16</f>
        <v>1039.1328</v>
      </c>
      <c r="F16" s="0" t="n">
        <f aca="false">C16+E16</f>
        <v>18358.0128</v>
      </c>
      <c r="H16" s="0" t="n">
        <f aca="false">ROUNDUP(F16,0)</f>
        <v>18359</v>
      </c>
      <c r="I16" s="0" t="s">
        <v>404</v>
      </c>
    </row>
    <row r="17" customFormat="false" ht="15" hidden="false" customHeight="false" outlineLevel="0" collapsed="false">
      <c r="A17" s="0" t="s">
        <v>405</v>
      </c>
      <c r="B17" s="0" t="s">
        <v>403</v>
      </c>
      <c r="C17" s="0" t="n">
        <v>258.82</v>
      </c>
      <c r="D17" s="0" t="n">
        <f aca="false">Inputs!$B$6</f>
        <v>0.06</v>
      </c>
      <c r="E17" s="0" t="n">
        <f aca="false">C17*D17</f>
        <v>15.5292</v>
      </c>
      <c r="F17" s="0" t="n">
        <f aca="false">C17+E17</f>
        <v>274.3492</v>
      </c>
      <c r="H17" s="0" t="n">
        <f aca="false">ROUNDUP(F17,0)</f>
        <v>275</v>
      </c>
      <c r="I17" s="0" t="s">
        <v>406</v>
      </c>
    </row>
    <row r="18" customFormat="false" ht="15" hidden="false" customHeight="false" outlineLevel="0" collapsed="false">
      <c r="A18" s="0" t="s">
        <v>407</v>
      </c>
      <c r="B18" s="0" t="s">
        <v>403</v>
      </c>
      <c r="C18" s="0" t="n">
        <v>85.31</v>
      </c>
      <c r="D18" s="0" t="n">
        <f aca="false">Inputs!$B$6</f>
        <v>0.06</v>
      </c>
      <c r="E18" s="0" t="n">
        <f aca="false">C18*D18</f>
        <v>5.1186</v>
      </c>
      <c r="F18" s="0" t="n">
        <f aca="false">C18+E18</f>
        <v>90.4286</v>
      </c>
      <c r="H18" s="0" t="n">
        <f aca="false">ROUNDUP(F18,0)</f>
        <v>91</v>
      </c>
      <c r="I18" s="0" t="s">
        <v>408</v>
      </c>
    </row>
    <row r="19" customFormat="false" ht="15" hidden="false" customHeight="false" outlineLevel="0" collapsed="false">
      <c r="A19" s="0" t="s">
        <v>409</v>
      </c>
      <c r="B19" s="0" t="s">
        <v>403</v>
      </c>
      <c r="C19" s="0" t="n">
        <v>65.66</v>
      </c>
      <c r="D19" s="0" t="n">
        <f aca="false">Inputs!$B$6</f>
        <v>0.06</v>
      </c>
      <c r="E19" s="0" t="n">
        <f aca="false">C19*D19</f>
        <v>3.9396</v>
      </c>
      <c r="F19" s="0" t="n">
        <f aca="false">C19+E19</f>
        <v>69.5996</v>
      </c>
      <c r="H19" s="0" t="n">
        <f aca="false">ROUNDUP(F19,0)</f>
        <v>70</v>
      </c>
      <c r="I19" s="0" t="s">
        <v>410</v>
      </c>
    </row>
    <row r="20" customFormat="false" ht="15" hidden="false" customHeight="false" outlineLevel="0" collapsed="false">
      <c r="A20" s="0" t="s">
        <v>411</v>
      </c>
      <c r="B20" s="0" t="s">
        <v>403</v>
      </c>
      <c r="C20" s="0" t="n">
        <v>469.11</v>
      </c>
      <c r="D20" s="0" t="n">
        <f aca="false">Inputs!$B$6</f>
        <v>0.06</v>
      </c>
      <c r="E20" s="0" t="n">
        <f aca="false">C20*D20</f>
        <v>28.1466</v>
      </c>
      <c r="F20" s="0" t="n">
        <f aca="false">C20+E20</f>
        <v>497.2566</v>
      </c>
      <c r="H20" s="0" t="n">
        <f aca="false">ROUNDUP(F20,0)</f>
        <v>498</v>
      </c>
      <c r="I20" s="0" t="s">
        <v>412</v>
      </c>
    </row>
    <row r="21" customFormat="false" ht="15" hidden="false" customHeight="false" outlineLevel="0" collapsed="false">
      <c r="A21" s="0" t="s">
        <v>413</v>
      </c>
      <c r="B21" s="0" t="s">
        <v>403</v>
      </c>
      <c r="C21" s="0" t="n">
        <v>949.31</v>
      </c>
      <c r="D21" s="0" t="n">
        <f aca="false">Inputs!$B$6</f>
        <v>0.06</v>
      </c>
      <c r="E21" s="0" t="n">
        <f aca="false">C21*D21</f>
        <v>56.9586</v>
      </c>
      <c r="F21" s="0" t="n">
        <f aca="false">C21+E21</f>
        <v>1006.2686</v>
      </c>
      <c r="H21" s="0" t="n">
        <f aca="false">ROUNDUP(F21,0)</f>
        <v>1007</v>
      </c>
      <c r="I21" s="0" t="s">
        <v>414</v>
      </c>
    </row>
    <row r="22" customFormat="false" ht="15" hidden="false" customHeight="false" outlineLevel="0" collapsed="false">
      <c r="A22" s="0" t="s">
        <v>415</v>
      </c>
      <c r="B22" s="0" t="s">
        <v>374</v>
      </c>
      <c r="C22" s="0" t="n">
        <v>1008.83</v>
      </c>
      <c r="D22" s="0" t="n">
        <f aca="false">Inputs!$B$6</f>
        <v>0.06</v>
      </c>
      <c r="E22" s="0" t="n">
        <f aca="false">C22*D22</f>
        <v>60.5298</v>
      </c>
      <c r="F22" s="0" t="n">
        <f aca="false">C22+E22</f>
        <v>1069.3598</v>
      </c>
      <c r="H22" s="0" t="n">
        <f aca="false">ROUNDUP(F22,0)</f>
        <v>1070</v>
      </c>
      <c r="I22" s="0" t="s">
        <v>416</v>
      </c>
    </row>
    <row r="23" customFormat="false" ht="15" hidden="false" customHeight="false" outlineLevel="0" collapsed="false">
      <c r="A23" s="0" t="s">
        <v>417</v>
      </c>
      <c r="B23" s="0" t="s">
        <v>374</v>
      </c>
      <c r="C23" s="0" t="n">
        <v>582.78</v>
      </c>
      <c r="D23" s="0" t="n">
        <f aca="false">Inputs!$B$5</f>
        <v>0.15</v>
      </c>
      <c r="E23" s="0" t="n">
        <f aca="false">C23*D23</f>
        <v>87.417</v>
      </c>
      <c r="F23" s="0" t="n">
        <f aca="false">C23+E23</f>
        <v>670.197</v>
      </c>
      <c r="G23" s="0" t="s">
        <v>375</v>
      </c>
      <c r="H23" s="0" t="n">
        <f aca="false">ROUNDUP(F23/Inputs!$B$10,0)</f>
        <v>34</v>
      </c>
      <c r="I23" s="0" t="s">
        <v>418</v>
      </c>
    </row>
    <row r="24" customFormat="false" ht="15" hidden="false" customHeight="false" outlineLevel="0" collapsed="false">
      <c r="A24" s="0" t="s">
        <v>419</v>
      </c>
      <c r="B24" s="0" t="s">
        <v>374</v>
      </c>
      <c r="C24" s="0" t="n">
        <v>65.89</v>
      </c>
      <c r="D24" s="0" t="n">
        <f aca="false">Inputs!$B$5</f>
        <v>0.15</v>
      </c>
      <c r="E24" s="0" t="n">
        <f aca="false">C24*D24</f>
        <v>9.8835</v>
      </c>
      <c r="F24" s="0" t="n">
        <f aca="false">C24+E24</f>
        <v>75.7735</v>
      </c>
      <c r="G24" s="0" t="s">
        <v>375</v>
      </c>
      <c r="H24" s="0" t="n">
        <f aca="false">ROUNDUP(F24/Inputs!$B$10,0)</f>
        <v>4</v>
      </c>
      <c r="I24" s="0" t="s">
        <v>420</v>
      </c>
    </row>
    <row r="25" customFormat="false" ht="15" hidden="false" customHeight="false" outlineLevel="0" collapsed="false">
      <c r="A25" s="0" t="s">
        <v>421</v>
      </c>
      <c r="B25" s="0" t="s">
        <v>374</v>
      </c>
      <c r="C25" s="0" t="n">
        <v>664.91</v>
      </c>
      <c r="D25" s="0" t="n">
        <f aca="false">Inputs!$B$6</f>
        <v>0.06</v>
      </c>
      <c r="E25" s="0" t="n">
        <f aca="false">C25*D25</f>
        <v>39.8946</v>
      </c>
      <c r="F25" s="0" t="n">
        <f aca="false">C25+E25</f>
        <v>704.8046</v>
      </c>
      <c r="G25" s="0" t="s">
        <v>422</v>
      </c>
      <c r="H25" s="0" t="n">
        <f aca="false">ROUNDUP(F25/Inputs!$B$18,0)</f>
        <v>71</v>
      </c>
      <c r="I25" s="0" t="s">
        <v>423</v>
      </c>
    </row>
    <row r="26" customFormat="false" ht="15" hidden="false" customHeight="false" outlineLevel="0" collapsed="false">
      <c r="A26" s="0" t="s">
        <v>424</v>
      </c>
      <c r="B26" s="0" t="s">
        <v>403</v>
      </c>
      <c r="C26" s="0" t="n">
        <v>33.04</v>
      </c>
      <c r="D26" s="0" t="n">
        <f aca="false">Inputs!$B$6</f>
        <v>0.06</v>
      </c>
      <c r="E26" s="0" t="n">
        <f aca="false">C26*D26</f>
        <v>1.9824</v>
      </c>
      <c r="F26" s="0" t="n">
        <f aca="false">C26+E26</f>
        <v>35.0224</v>
      </c>
      <c r="H26" s="0" t="n">
        <f aca="false">ROUNDUP(F26,0)</f>
        <v>36</v>
      </c>
      <c r="I26" s="0" t="s">
        <v>425</v>
      </c>
    </row>
    <row r="27" customFormat="false" ht="15" hidden="false" customHeight="false" outlineLevel="0" collapsed="false">
      <c r="A27" s="0" t="s">
        <v>426</v>
      </c>
      <c r="B27" s="0" t="s">
        <v>403</v>
      </c>
      <c r="C27" s="0" t="n">
        <v>313.38</v>
      </c>
      <c r="D27" s="0" t="n">
        <f aca="false">Inputs!$B$6</f>
        <v>0.06</v>
      </c>
      <c r="E27" s="0" t="n">
        <f aca="false">C27*D27</f>
        <v>18.8028</v>
      </c>
      <c r="F27" s="0" t="n">
        <f aca="false">C27+E27</f>
        <v>332.1828</v>
      </c>
      <c r="H27" s="0" t="n">
        <f aca="false">ROUNDUP(F27,0)</f>
        <v>333</v>
      </c>
      <c r="I27" s="0" t="s">
        <v>427</v>
      </c>
    </row>
    <row r="28" customFormat="false" ht="15" hidden="false" customHeight="false" outlineLevel="0" collapsed="false">
      <c r="A28" s="0" t="s">
        <v>428</v>
      </c>
      <c r="B28" s="0" t="s">
        <v>374</v>
      </c>
      <c r="C28" s="0" t="n">
        <v>988.15</v>
      </c>
      <c r="D28" s="0" t="n">
        <f aca="false">Inputs!$B$6</f>
        <v>0.06</v>
      </c>
      <c r="E28" s="0" t="n">
        <f aca="false">C28*D28</f>
        <v>59.289</v>
      </c>
      <c r="F28" s="0" t="n">
        <f aca="false">C28+E28</f>
        <v>1047.439</v>
      </c>
      <c r="G28" s="0" t="s">
        <v>429</v>
      </c>
      <c r="H28" s="0" t="n">
        <f aca="false">ROUNDUP(F28/Inputs!$B$15,0)</f>
        <v>42</v>
      </c>
      <c r="I28" s="0" t="s">
        <v>430</v>
      </c>
    </row>
    <row r="29" customFormat="false" ht="15" hidden="false" customHeight="false" outlineLevel="0" collapsed="false">
      <c r="A29" s="0" t="s">
        <v>431</v>
      </c>
      <c r="B29" s="0" t="s">
        <v>374</v>
      </c>
      <c r="C29" s="0" t="n">
        <v>1026.7</v>
      </c>
      <c r="D29" s="0" t="n">
        <f aca="false">Inputs!$B$5</f>
        <v>0.15</v>
      </c>
      <c r="E29" s="0" t="n">
        <f aca="false">C29*D29</f>
        <v>154.005</v>
      </c>
      <c r="F29" s="0" t="n">
        <f aca="false">C29+E29</f>
        <v>1180.705</v>
      </c>
      <c r="G29" s="0" t="s">
        <v>375</v>
      </c>
      <c r="H29" s="0" t="n">
        <f aca="false">ROUNDUP(F29/Inputs!$B$10,0)</f>
        <v>60</v>
      </c>
      <c r="I29" s="0" t="s">
        <v>432</v>
      </c>
    </row>
    <row r="30" customFormat="false" ht="15" hidden="false" customHeight="false" outlineLevel="0" collapsed="false">
      <c r="A30" s="0" t="s">
        <v>433</v>
      </c>
      <c r="B30" s="0" t="s">
        <v>374</v>
      </c>
      <c r="C30" s="0" t="n">
        <v>246.62</v>
      </c>
      <c r="D30" s="0" t="n">
        <f aca="false">Inputs!$B$5</f>
        <v>0.15</v>
      </c>
      <c r="E30" s="0" t="n">
        <f aca="false">C30*D30</f>
        <v>36.993</v>
      </c>
      <c r="F30" s="0" t="n">
        <f aca="false">C30+E30</f>
        <v>283.613</v>
      </c>
      <c r="G30" s="0" t="s">
        <v>384</v>
      </c>
      <c r="H30" s="0" t="n">
        <f aca="false">ROUNDUP(F30/Inputs!$B$11,0)</f>
        <v>29</v>
      </c>
      <c r="I30" s="0" t="s">
        <v>434</v>
      </c>
    </row>
    <row r="31" customFormat="false" ht="15" hidden="false" customHeight="false" outlineLevel="0" collapsed="false">
      <c r="A31" s="0" t="s">
        <v>435</v>
      </c>
      <c r="B31" s="0" t="s">
        <v>374</v>
      </c>
      <c r="C31" s="0" t="n">
        <v>297.86</v>
      </c>
      <c r="D31" s="0" t="n">
        <f aca="false">Inputs!$B$5</f>
        <v>0.15</v>
      </c>
      <c r="E31" s="0" t="n">
        <f aca="false">C31*D31</f>
        <v>44.679</v>
      </c>
      <c r="F31" s="0" t="n">
        <f aca="false">C31+E31</f>
        <v>342.539</v>
      </c>
      <c r="G31" s="0" t="s">
        <v>384</v>
      </c>
      <c r="H31" s="0" t="n">
        <f aca="false">ROUNDUP(F31/Inputs!$B$11,0)</f>
        <v>35</v>
      </c>
      <c r="I31" s="0" t="s">
        <v>434</v>
      </c>
    </row>
    <row r="32" customFormat="false" ht="15" hidden="false" customHeight="false" outlineLevel="0" collapsed="false">
      <c r="A32" s="0" t="s">
        <v>436</v>
      </c>
      <c r="B32" s="0" t="s">
        <v>374</v>
      </c>
      <c r="C32" s="0" t="n">
        <v>290.49</v>
      </c>
      <c r="D32" s="0" t="n">
        <f aca="false">Inputs!$B$5</f>
        <v>0.15</v>
      </c>
      <c r="E32" s="0" t="n">
        <f aca="false">C32*D32</f>
        <v>43.5735</v>
      </c>
      <c r="F32" s="0" t="n">
        <f aca="false">C32+E32</f>
        <v>334.0635</v>
      </c>
      <c r="G32" s="0" t="s">
        <v>384</v>
      </c>
      <c r="H32" s="0" t="n">
        <f aca="false">ROUNDUP(F32/Inputs!$B$11,0)</f>
        <v>34</v>
      </c>
      <c r="I32" s="0" t="s">
        <v>434</v>
      </c>
    </row>
    <row r="33" customFormat="false" ht="15" hidden="false" customHeight="false" outlineLevel="0" collapsed="false">
      <c r="A33" s="0" t="s">
        <v>437</v>
      </c>
      <c r="B33" s="0" t="s">
        <v>374</v>
      </c>
      <c r="C33" s="0" t="n">
        <v>177.25</v>
      </c>
      <c r="D33" s="0" t="n">
        <f aca="false">Inputs!$B$5</f>
        <v>0.15</v>
      </c>
      <c r="E33" s="0" t="n">
        <f aca="false">C33*D33</f>
        <v>26.5875</v>
      </c>
      <c r="F33" s="0" t="n">
        <f aca="false">C33+E33</f>
        <v>203.8375</v>
      </c>
      <c r="G33" s="0" t="s">
        <v>384</v>
      </c>
      <c r="H33" s="0" t="n">
        <f aca="false">ROUNDUP(F33/Inputs!$B$11,0)</f>
        <v>21</v>
      </c>
      <c r="I33" s="0" t="s">
        <v>434</v>
      </c>
    </row>
    <row r="34" customFormat="false" ht="15" hidden="false" customHeight="false" outlineLevel="0" collapsed="false">
      <c r="A34" s="0" t="s">
        <v>438</v>
      </c>
      <c r="B34" s="0" t="s">
        <v>374</v>
      </c>
      <c r="C34" s="0" t="n">
        <v>58.64</v>
      </c>
      <c r="D34" s="0" t="n">
        <f aca="false">Inputs!$B$5</f>
        <v>0.15</v>
      </c>
      <c r="E34" s="0" t="n">
        <f aca="false">C34*D34</f>
        <v>8.796</v>
      </c>
      <c r="F34" s="0" t="n">
        <f aca="false">C34+E34</f>
        <v>67.436</v>
      </c>
      <c r="G34" s="0" t="s">
        <v>384</v>
      </c>
      <c r="H34" s="0" t="n">
        <f aca="false">ROUNDUP(F34/Inputs!$B$11,0)</f>
        <v>7</v>
      </c>
      <c r="I34" s="0" t="s">
        <v>434</v>
      </c>
    </row>
    <row r="35" customFormat="false" ht="15" hidden="false" customHeight="false" outlineLevel="0" collapsed="false">
      <c r="A35" s="0" t="s">
        <v>439</v>
      </c>
      <c r="B35" s="0" t="s">
        <v>374</v>
      </c>
      <c r="C35" s="0" t="n">
        <v>269.21</v>
      </c>
      <c r="D35" s="0" t="n">
        <f aca="false">Inputs!$B$5</f>
        <v>0.15</v>
      </c>
      <c r="E35" s="0" t="n">
        <f aca="false">C35*D35</f>
        <v>40.3815</v>
      </c>
      <c r="F35" s="0" t="n">
        <f aca="false">C35+E35</f>
        <v>309.5915</v>
      </c>
      <c r="G35" s="0" t="s">
        <v>384</v>
      </c>
      <c r="H35" s="0" t="n">
        <f aca="false">ROUNDUP(F35/Inputs!$B$11,0)</f>
        <v>31</v>
      </c>
      <c r="I35" s="0" t="s">
        <v>434</v>
      </c>
    </row>
    <row r="36" customFormat="false" ht="15" hidden="false" customHeight="false" outlineLevel="0" collapsed="false">
      <c r="A36" s="0" t="s">
        <v>440</v>
      </c>
      <c r="B36" s="0" t="s">
        <v>374</v>
      </c>
      <c r="C36" s="0" t="n">
        <v>246.62</v>
      </c>
      <c r="D36" s="0" t="n">
        <f aca="false">Inputs!$B$5</f>
        <v>0.15</v>
      </c>
      <c r="E36" s="0" t="n">
        <f aca="false">C36*D36</f>
        <v>36.993</v>
      </c>
      <c r="F36" s="0" t="n">
        <f aca="false">C36+E36</f>
        <v>283.613</v>
      </c>
      <c r="G36" s="0" t="s">
        <v>384</v>
      </c>
      <c r="H36" s="0" t="n">
        <f aca="false">ROUNDUP(F36/Inputs!$B$11,0)</f>
        <v>29</v>
      </c>
      <c r="I36" s="0" t="s">
        <v>441</v>
      </c>
    </row>
    <row r="37" customFormat="false" ht="15" hidden="false" customHeight="false" outlineLevel="0" collapsed="false">
      <c r="A37" s="0" t="s">
        <v>442</v>
      </c>
      <c r="B37" s="0" t="s">
        <v>374</v>
      </c>
      <c r="C37" s="0" t="n">
        <v>297.86</v>
      </c>
      <c r="D37" s="0" t="n">
        <f aca="false">Inputs!$B$5</f>
        <v>0.15</v>
      </c>
      <c r="E37" s="0" t="n">
        <f aca="false">C37*D37</f>
        <v>44.679</v>
      </c>
      <c r="F37" s="0" t="n">
        <f aca="false">C37+E37</f>
        <v>342.539</v>
      </c>
      <c r="G37" s="0" t="s">
        <v>384</v>
      </c>
      <c r="H37" s="0" t="n">
        <f aca="false">ROUNDUP(F37/Inputs!$B$11,0)</f>
        <v>35</v>
      </c>
      <c r="I37" s="0" t="s">
        <v>441</v>
      </c>
    </row>
    <row r="38" customFormat="false" ht="15" hidden="false" customHeight="false" outlineLevel="0" collapsed="false">
      <c r="A38" s="0" t="s">
        <v>443</v>
      </c>
      <c r="B38" s="0" t="s">
        <v>374</v>
      </c>
      <c r="C38" s="0" t="n">
        <v>290.49</v>
      </c>
      <c r="D38" s="0" t="n">
        <f aca="false">Inputs!$B$5</f>
        <v>0.15</v>
      </c>
      <c r="E38" s="0" t="n">
        <f aca="false">C38*D38</f>
        <v>43.5735</v>
      </c>
      <c r="F38" s="0" t="n">
        <f aca="false">C38+E38</f>
        <v>334.0635</v>
      </c>
      <c r="G38" s="0" t="s">
        <v>384</v>
      </c>
      <c r="H38" s="0" t="n">
        <f aca="false">ROUNDUP(F38/Inputs!$B$11,0)</f>
        <v>34</v>
      </c>
      <c r="I38" s="0" t="s">
        <v>441</v>
      </c>
    </row>
    <row r="39" customFormat="false" ht="15" hidden="false" customHeight="false" outlineLevel="0" collapsed="false">
      <c r="A39" s="0" t="s">
        <v>444</v>
      </c>
      <c r="B39" s="0" t="s">
        <v>374</v>
      </c>
      <c r="C39" s="0" t="n">
        <v>177.25</v>
      </c>
      <c r="D39" s="0" t="n">
        <f aca="false">Inputs!$B$5</f>
        <v>0.15</v>
      </c>
      <c r="E39" s="0" t="n">
        <f aca="false">C39*D39</f>
        <v>26.5875</v>
      </c>
      <c r="F39" s="0" t="n">
        <f aca="false">C39+E39</f>
        <v>203.8375</v>
      </c>
      <c r="G39" s="0" t="s">
        <v>384</v>
      </c>
      <c r="H39" s="0" t="n">
        <f aca="false">ROUNDUP(F39/Inputs!$B$11,0)</f>
        <v>21</v>
      </c>
      <c r="I39" s="0" t="s">
        <v>441</v>
      </c>
    </row>
    <row r="40" customFormat="false" ht="15" hidden="false" customHeight="false" outlineLevel="0" collapsed="false">
      <c r="A40" s="0" t="s">
        <v>445</v>
      </c>
      <c r="B40" s="0" t="s">
        <v>374</v>
      </c>
      <c r="C40" s="0" t="n">
        <v>58.64</v>
      </c>
      <c r="D40" s="0" t="n">
        <f aca="false">Inputs!$B$5</f>
        <v>0.15</v>
      </c>
      <c r="E40" s="0" t="n">
        <f aca="false">C40*D40</f>
        <v>8.796</v>
      </c>
      <c r="F40" s="0" t="n">
        <f aca="false">C40+E40</f>
        <v>67.436</v>
      </c>
      <c r="G40" s="0" t="s">
        <v>384</v>
      </c>
      <c r="H40" s="0" t="n">
        <f aca="false">ROUNDUP(F40/Inputs!$B$11,0)</f>
        <v>7</v>
      </c>
      <c r="I40" s="0" t="s">
        <v>441</v>
      </c>
    </row>
    <row r="41" customFormat="false" ht="15" hidden="false" customHeight="false" outlineLevel="0" collapsed="false">
      <c r="A41" s="0" t="s">
        <v>446</v>
      </c>
      <c r="B41" s="0" t="s">
        <v>374</v>
      </c>
      <c r="C41" s="0" t="n">
        <v>269.21</v>
      </c>
      <c r="D41" s="0" t="n">
        <f aca="false">Inputs!$B$5</f>
        <v>0.15</v>
      </c>
      <c r="E41" s="0" t="n">
        <f aca="false">C41*D41</f>
        <v>40.3815</v>
      </c>
      <c r="F41" s="0" t="n">
        <f aca="false">C41+E41</f>
        <v>309.5915</v>
      </c>
      <c r="G41" s="0" t="s">
        <v>384</v>
      </c>
      <c r="H41" s="0" t="n">
        <f aca="false">ROUNDUP(F41/Inputs!$B$11,0)</f>
        <v>31</v>
      </c>
      <c r="I41" s="0" t="s">
        <v>441</v>
      </c>
    </row>
    <row r="42" customFormat="false" ht="15" hidden="false" customHeight="false" outlineLevel="0" collapsed="false">
      <c r="A42" s="0" t="s">
        <v>447</v>
      </c>
      <c r="B42" s="0" t="s">
        <v>374</v>
      </c>
      <c r="C42" s="0" t="n">
        <v>37.58</v>
      </c>
      <c r="D42" s="0" t="n">
        <f aca="false">Inputs!$B$5</f>
        <v>0.15</v>
      </c>
      <c r="E42" s="0" t="n">
        <f aca="false">C42*D42</f>
        <v>5.637</v>
      </c>
      <c r="F42" s="0" t="n">
        <f aca="false">C42+E42</f>
        <v>43.217</v>
      </c>
      <c r="G42" s="0" t="s">
        <v>375</v>
      </c>
      <c r="H42" s="0" t="n">
        <f aca="false">ROUNDUP(F42/Inputs!$B$10,0)</f>
        <v>3</v>
      </c>
      <c r="I42" s="0" t="s">
        <v>448</v>
      </c>
    </row>
    <row r="43" customFormat="false" ht="15" hidden="false" customHeight="false" outlineLevel="0" collapsed="false">
      <c r="A43" s="0" t="s">
        <v>449</v>
      </c>
      <c r="B43" s="0" t="s">
        <v>374</v>
      </c>
      <c r="C43" s="0" t="n">
        <v>4</v>
      </c>
      <c r="D43" s="0" t="n">
        <f aca="false">Inputs!$B$6</f>
        <v>0.06</v>
      </c>
      <c r="E43" s="0" t="n">
        <f aca="false">C43*D43</f>
        <v>0.24</v>
      </c>
      <c r="F43" s="0" t="n">
        <f aca="false">C43+E43</f>
        <v>4.24</v>
      </c>
      <c r="H43" s="0" t="n">
        <f aca="false">ROUNDUP(F43,0)</f>
        <v>5</v>
      </c>
      <c r="I43" s="0" t="s">
        <v>450</v>
      </c>
    </row>
    <row r="44" customFormat="false" ht="15" hidden="false" customHeight="false" outlineLevel="0" collapsed="false">
      <c r="A44" s="0" t="s">
        <v>451</v>
      </c>
      <c r="B44" s="0" t="s">
        <v>403</v>
      </c>
      <c r="C44" s="0" t="n">
        <v>1860.75</v>
      </c>
      <c r="D44" s="0" t="n">
        <f aca="false">Inputs!$B$6</f>
        <v>0.06</v>
      </c>
      <c r="E44" s="0" t="n">
        <f aca="false">C44*D44</f>
        <v>111.645</v>
      </c>
      <c r="F44" s="0" t="n">
        <f aca="false">C44+E44</f>
        <v>1972.395</v>
      </c>
      <c r="G44" s="0" t="s">
        <v>452</v>
      </c>
      <c r="H44" s="0" t="n">
        <f aca="false">ROUNDUP(F44/Inputs!$B$9,0)</f>
        <v>42</v>
      </c>
      <c r="I44" s="0" t="s">
        <v>453</v>
      </c>
    </row>
    <row r="45" customFormat="false" ht="15" hidden="false" customHeight="false" outlineLevel="0" collapsed="false">
      <c r="A45" s="0" t="s">
        <v>454</v>
      </c>
      <c r="B45" s="0" t="s">
        <v>403</v>
      </c>
      <c r="C45" s="0" t="n">
        <v>3984.12</v>
      </c>
      <c r="D45" s="0" t="n">
        <f aca="false">Inputs!$B$6</f>
        <v>0.06</v>
      </c>
      <c r="E45" s="0" t="n">
        <f aca="false">C45*D45</f>
        <v>239.0472</v>
      </c>
      <c r="F45" s="0" t="n">
        <f aca="false">C45+E45</f>
        <v>4223.1672</v>
      </c>
      <c r="G45" s="0" t="s">
        <v>452</v>
      </c>
      <c r="H45" s="0" t="n">
        <f aca="false">ROUNDUP(F45/Inputs!$B$9,0)</f>
        <v>88</v>
      </c>
      <c r="I45" s="0" t="s">
        <v>453</v>
      </c>
    </row>
    <row r="46" customFormat="false" ht="15" hidden="false" customHeight="false" outlineLevel="0" collapsed="false">
      <c r="A46" s="0" t="s">
        <v>455</v>
      </c>
      <c r="B46" s="0" t="s">
        <v>403</v>
      </c>
      <c r="C46" s="0" t="n">
        <v>619.34</v>
      </c>
      <c r="D46" s="0" t="n">
        <f aca="false">Inputs!$B$6</f>
        <v>0.06</v>
      </c>
      <c r="E46" s="0" t="n">
        <f aca="false">C46*D46</f>
        <v>37.1604</v>
      </c>
      <c r="F46" s="0" t="n">
        <f aca="false">C46+E46</f>
        <v>656.5004</v>
      </c>
      <c r="G46" s="0" t="s">
        <v>452</v>
      </c>
      <c r="H46" s="0" t="n">
        <f aca="false">ROUNDUP(F46/Inputs!$B$9,0)</f>
        <v>14</v>
      </c>
      <c r="I46" s="0" t="s">
        <v>453</v>
      </c>
    </row>
    <row r="47" customFormat="false" ht="15" hidden="false" customHeight="false" outlineLevel="0" collapsed="false">
      <c r="A47" s="0" t="s">
        <v>456</v>
      </c>
      <c r="B47" s="0" t="s">
        <v>403</v>
      </c>
      <c r="C47" s="0" t="n">
        <v>243.29</v>
      </c>
      <c r="D47" s="0" t="n">
        <f aca="false">Inputs!$B$6</f>
        <v>0.06</v>
      </c>
      <c r="E47" s="0" t="n">
        <f aca="false">C47*D47</f>
        <v>14.5974</v>
      </c>
      <c r="F47" s="0" t="n">
        <f aca="false">C47+E47</f>
        <v>257.8874</v>
      </c>
      <c r="G47" s="0" t="s">
        <v>452</v>
      </c>
      <c r="H47" s="0" t="n">
        <f aca="false">ROUNDUP(F47/Inputs!$B$9,0)</f>
        <v>6</v>
      </c>
      <c r="I47" s="0" t="s">
        <v>453</v>
      </c>
    </row>
    <row r="48" customFormat="false" ht="15" hidden="false" customHeight="false" outlineLevel="0" collapsed="false">
      <c r="A48" s="0" t="s">
        <v>457</v>
      </c>
      <c r="B48" s="0" t="s">
        <v>374</v>
      </c>
      <c r="C48" s="0" t="n">
        <v>205.47</v>
      </c>
      <c r="D48" s="0" t="n">
        <f aca="false">Inputs!$B$6</f>
        <v>0.06</v>
      </c>
      <c r="E48" s="0" t="n">
        <f aca="false">C48*D48</f>
        <v>12.3282</v>
      </c>
      <c r="F48" s="0" t="n">
        <f aca="false">C48+E48</f>
        <v>217.7982</v>
      </c>
      <c r="G48" s="0" t="s">
        <v>429</v>
      </c>
      <c r="H48" s="0" t="n">
        <f aca="false">ROUNDUP(F48/Inputs!$B$15,0)</f>
        <v>9</v>
      </c>
      <c r="I48" s="0" t="s">
        <v>458</v>
      </c>
    </row>
    <row r="49" customFormat="false" ht="15" hidden="false" customHeight="false" outlineLevel="0" collapsed="false">
      <c r="A49" s="0" t="s">
        <v>459</v>
      </c>
      <c r="B49" s="0" t="s">
        <v>460</v>
      </c>
      <c r="C49" s="0" t="n">
        <v>113</v>
      </c>
      <c r="D49" s="0" t="n">
        <v>0</v>
      </c>
      <c r="E49" s="0" t="n">
        <f aca="false">C49*D49</f>
        <v>0</v>
      </c>
      <c r="F49" s="0" t="n">
        <f aca="false">C49+E49</f>
        <v>113</v>
      </c>
      <c r="H49" s="0" t="n">
        <f aca="false">ROUNDUP(F49,0)</f>
        <v>113</v>
      </c>
      <c r="I49" s="0" t="s">
        <v>461</v>
      </c>
    </row>
    <row r="50" customFormat="false" ht="15" hidden="false" customHeight="false" outlineLevel="0" collapsed="false">
      <c r="A50" s="0" t="s">
        <v>462</v>
      </c>
      <c r="B50" s="0" t="s">
        <v>374</v>
      </c>
      <c r="C50" s="0" t="n">
        <v>56</v>
      </c>
      <c r="D50" s="0" t="n">
        <f aca="false">Inputs!$B$5</f>
        <v>0.15</v>
      </c>
      <c r="E50" s="0" t="n">
        <f aca="false">C50*D50</f>
        <v>8.4</v>
      </c>
      <c r="F50" s="0" t="n">
        <f aca="false">C50+E50</f>
        <v>64.4</v>
      </c>
      <c r="G50" s="0" t="s">
        <v>384</v>
      </c>
      <c r="H50" s="0" t="n">
        <f aca="false">ROUNDUP(F50/Inputs!$B$11,0)</f>
        <v>7</v>
      </c>
      <c r="I50" s="0" t="s">
        <v>463</v>
      </c>
    </row>
    <row r="51" customFormat="false" ht="15" hidden="false" customHeight="false" outlineLevel="0" collapsed="false">
      <c r="A51" s="0" t="s">
        <v>464</v>
      </c>
      <c r="B51" s="0" t="s">
        <v>460</v>
      </c>
      <c r="C51" s="0" t="n">
        <v>43</v>
      </c>
      <c r="D51" s="0" t="n">
        <v>0</v>
      </c>
      <c r="E51" s="0" t="n">
        <f aca="false">C51*D51</f>
        <v>0</v>
      </c>
      <c r="F51" s="0" t="n">
        <f aca="false">C51+E51</f>
        <v>43</v>
      </c>
      <c r="G51" s="0" t="s">
        <v>465</v>
      </c>
      <c r="H51" s="0" t="n">
        <f aca="false">ROUNDUP(F51,0)</f>
        <v>43</v>
      </c>
      <c r="I51" s="0" t="s">
        <v>466</v>
      </c>
    </row>
    <row r="52" customFormat="false" ht="15" hidden="false" customHeight="false" outlineLevel="0" collapsed="false">
      <c r="A52" s="0" t="s">
        <v>467</v>
      </c>
      <c r="B52" s="0" t="s">
        <v>374</v>
      </c>
      <c r="C52" s="0" t="n">
        <v>18</v>
      </c>
      <c r="D52" s="0" t="n">
        <f aca="false">Inputs!$B$5</f>
        <v>0.15</v>
      </c>
      <c r="E52" s="0" t="n">
        <f aca="false">C52*D52</f>
        <v>2.7</v>
      </c>
      <c r="F52" s="0" t="n">
        <f aca="false">C52+E52</f>
        <v>20.7</v>
      </c>
      <c r="G52" s="0" t="s">
        <v>375</v>
      </c>
      <c r="H52" s="0" t="n">
        <f aca="false">ROUNDUP(F52/Inputs!$B$10,0)</f>
        <v>2</v>
      </c>
      <c r="I52" s="0" t="s">
        <v>468</v>
      </c>
    </row>
    <row r="53" customFormat="false" ht="15" hidden="false" customHeight="false" outlineLevel="0" collapsed="false">
      <c r="A53" s="0" t="s">
        <v>469</v>
      </c>
      <c r="B53" s="0" t="s">
        <v>374</v>
      </c>
      <c r="C53" s="0" t="n">
        <v>10.43</v>
      </c>
      <c r="D53" s="0" t="n">
        <f aca="false">Inputs!$B$5</f>
        <v>0.15</v>
      </c>
      <c r="E53" s="0" t="n">
        <f aca="false">C53*D53</f>
        <v>1.5645</v>
      </c>
      <c r="F53" s="0" t="n">
        <f aca="false">C53+E53</f>
        <v>11.9945</v>
      </c>
      <c r="G53" s="0" t="s">
        <v>375</v>
      </c>
      <c r="H53" s="0" t="n">
        <f aca="false">ROUNDUP(F53/Inputs!$B$10,0)</f>
        <v>1</v>
      </c>
      <c r="I53" s="0" t="s">
        <v>470</v>
      </c>
    </row>
    <row r="54" customFormat="false" ht="15" hidden="false" customHeight="false" outlineLevel="0" collapsed="false">
      <c r="A54" s="0" t="s">
        <v>471</v>
      </c>
      <c r="B54" s="0" t="s">
        <v>403</v>
      </c>
      <c r="C54" s="0" t="n">
        <v>68.66</v>
      </c>
      <c r="D54" s="0" t="n">
        <f aca="false">Inputs!$B$6</f>
        <v>0.06</v>
      </c>
      <c r="E54" s="0" t="n">
        <f aca="false">C54*D54</f>
        <v>4.1196</v>
      </c>
      <c r="F54" s="0" t="n">
        <f aca="false">C54+E54</f>
        <v>72.7796</v>
      </c>
      <c r="G54" s="0" t="s">
        <v>452</v>
      </c>
      <c r="H54" s="0" t="n">
        <f aca="false">ROUNDUP(F54/Inputs!$B$9,0)</f>
        <v>2</v>
      </c>
      <c r="I54" s="0" t="s">
        <v>472</v>
      </c>
    </row>
    <row r="55" customFormat="false" ht="15" hidden="false" customHeight="false" outlineLevel="0" collapsed="false">
      <c r="A55" s="0" t="s">
        <v>473</v>
      </c>
      <c r="B55" s="0" t="s">
        <v>374</v>
      </c>
      <c r="C55" s="0" t="n">
        <v>211.17</v>
      </c>
      <c r="D55" s="0" t="n">
        <f aca="false">Inputs!$B$6</f>
        <v>0.06</v>
      </c>
      <c r="E55" s="0" t="n">
        <f aca="false">C55*D55</f>
        <v>12.6702</v>
      </c>
      <c r="F55" s="0" t="n">
        <f aca="false">C55+E55</f>
        <v>223.8402</v>
      </c>
      <c r="G55" s="0" t="s">
        <v>422</v>
      </c>
      <c r="H55" s="0" t="n">
        <f aca="false">ROUNDUP(F55/Inputs!$B$18,0)</f>
        <v>23</v>
      </c>
      <c r="I55" s="0" t="s">
        <v>474</v>
      </c>
    </row>
    <row r="56" customFormat="false" ht="15" hidden="false" customHeight="false" outlineLevel="0" collapsed="false">
      <c r="A56" s="0" t="s">
        <v>475</v>
      </c>
      <c r="B56" s="0" t="s">
        <v>460</v>
      </c>
      <c r="C56" s="0" t="n">
        <v>276</v>
      </c>
      <c r="D56" s="0" t="n">
        <v>0</v>
      </c>
      <c r="E56" s="0" t="n">
        <f aca="false">C56*D56</f>
        <v>0</v>
      </c>
      <c r="F56" s="0" t="n">
        <f aca="false">C56+E56</f>
        <v>276</v>
      </c>
      <c r="G56" s="0" t="s">
        <v>465</v>
      </c>
      <c r="H56" s="0" t="n">
        <f aca="false">ROUNDUP(F56,0)</f>
        <v>276</v>
      </c>
      <c r="I56" s="0" t="s">
        <v>476</v>
      </c>
    </row>
    <row r="57" customFormat="false" ht="15" hidden="false" customHeight="false" outlineLevel="0" collapsed="false">
      <c r="A57" s="0" t="s">
        <v>477</v>
      </c>
      <c r="B57" s="0" t="s">
        <v>460</v>
      </c>
      <c r="C57" s="0" t="n">
        <v>1</v>
      </c>
      <c r="D57" s="0" t="n">
        <v>0</v>
      </c>
      <c r="E57" s="0" t="n">
        <f aca="false">C57*D57</f>
        <v>0</v>
      </c>
      <c r="F57" s="0" t="n">
        <f aca="false">C57+E57</f>
        <v>1</v>
      </c>
      <c r="G57" s="0" t="s">
        <v>465</v>
      </c>
      <c r="H57" s="0" t="n">
        <f aca="false">ROUNDUP(F57,0)</f>
        <v>1</v>
      </c>
      <c r="I57" s="0" t="s">
        <v>478</v>
      </c>
    </row>
    <row r="58" customFormat="false" ht="15" hidden="false" customHeight="false" outlineLevel="0" collapsed="false">
      <c r="A58" s="0" t="s">
        <v>479</v>
      </c>
      <c r="B58" s="0" t="s">
        <v>460</v>
      </c>
      <c r="C58" s="0" t="n">
        <v>21172.03</v>
      </c>
      <c r="D58" s="0" t="n">
        <v>0</v>
      </c>
      <c r="E58" s="0" t="n">
        <f aca="false">C58*D58</f>
        <v>0</v>
      </c>
      <c r="F58" s="0" t="n">
        <f aca="false">C58+E58</f>
        <v>21172.03</v>
      </c>
      <c r="G58" s="0" t="s">
        <v>465</v>
      </c>
      <c r="H58" s="0" t="n">
        <f aca="false">ROUNDUP(F58,0)</f>
        <v>21173</v>
      </c>
      <c r="I58" s="0" t="s">
        <v>480</v>
      </c>
      <c r="J58" s="0" t="n">
        <f aca="false">Inputs!$B$20*17643.4</f>
        <v>21172.08</v>
      </c>
    </row>
    <row r="59" customFormat="false" ht="15" hidden="false" customHeight="false" outlineLevel="0" collapsed="false">
      <c r="A59" s="0" t="s">
        <v>481</v>
      </c>
      <c r="B59" s="0" t="s">
        <v>460</v>
      </c>
      <c r="C59" s="0" t="n">
        <v>7068</v>
      </c>
      <c r="D59" s="0" t="n">
        <v>0</v>
      </c>
      <c r="E59" s="0" t="n">
        <f aca="false">C59*D59</f>
        <v>0</v>
      </c>
      <c r="F59" s="0" t="n">
        <f aca="false">C59+E59</f>
        <v>7068</v>
      </c>
      <c r="G59" s="0" t="s">
        <v>465</v>
      </c>
      <c r="H59" s="0" t="n">
        <f aca="false">ROUNDUP(F59,0)</f>
        <v>7068</v>
      </c>
      <c r="I59" s="0" t="s">
        <v>482</v>
      </c>
      <c r="J59" s="0" t="n">
        <f aca="false">Inputs!$B$21*1767</f>
        <v>7068</v>
      </c>
    </row>
    <row r="60" customFormat="false" ht="15" hidden="false" customHeight="false" outlineLevel="0" collapsed="false">
      <c r="A60" s="0" t="s">
        <v>483</v>
      </c>
      <c r="B60" s="0" t="s">
        <v>460</v>
      </c>
      <c r="C60" s="0" t="n">
        <v>529.91</v>
      </c>
      <c r="D60" s="0" t="n">
        <v>0</v>
      </c>
      <c r="E60" s="0" t="n">
        <f aca="false">C60*D60</f>
        <v>0</v>
      </c>
      <c r="F60" s="0" t="n">
        <f aca="false">C60+E60</f>
        <v>529.91</v>
      </c>
      <c r="G60" s="0" t="s">
        <v>465</v>
      </c>
      <c r="H60" s="0" t="n">
        <f aca="false">ROUNDUP(F60,0)</f>
        <v>530</v>
      </c>
      <c r="I60" s="0" t="s">
        <v>484</v>
      </c>
      <c r="J60" s="0" t="n">
        <f aca="false">529.91/Inputs!$B$22</f>
        <v>529.91</v>
      </c>
    </row>
    <row r="61" customFormat="false" ht="15" hidden="false" customHeight="false" outlineLevel="0" collapsed="false">
      <c r="A61" s="0" t="s">
        <v>485</v>
      </c>
      <c r="B61" s="0" t="s">
        <v>460</v>
      </c>
      <c r="C61" s="0" t="n">
        <v>322.56</v>
      </c>
      <c r="D61" s="0" t="n">
        <v>0</v>
      </c>
      <c r="E61" s="0" t="n">
        <f aca="false">C61*D61</f>
        <v>0</v>
      </c>
      <c r="F61" s="0" t="n">
        <f aca="false">C61+E61</f>
        <v>322.56</v>
      </c>
      <c r="G61" s="0" t="s">
        <v>465</v>
      </c>
      <c r="H61" s="0" t="n">
        <f aca="false">ROUNDUP(F61,0)</f>
        <v>323</v>
      </c>
      <c r="I61" s="0" t="s">
        <v>486</v>
      </c>
      <c r="J61" s="0" t="n">
        <f aca="false">215.05/Inputs!$B$25</f>
        <v>322.558872056397</v>
      </c>
    </row>
    <row r="62" customFormat="false" ht="15" hidden="false" customHeight="false" outlineLevel="0" collapsed="false">
      <c r="A62" s="0" t="s">
        <v>487</v>
      </c>
      <c r="B62" s="0" t="s">
        <v>488</v>
      </c>
      <c r="C62" s="0" t="n">
        <v>1270.32</v>
      </c>
      <c r="D62" s="0" t="n">
        <v>0</v>
      </c>
      <c r="E62" s="0" t="n">
        <f aca="false">C62*D62</f>
        <v>0</v>
      </c>
      <c r="F62" s="0" t="n">
        <f aca="false">C62+E62</f>
        <v>1270.32</v>
      </c>
      <c r="G62" s="0" t="s">
        <v>489</v>
      </c>
      <c r="H62" s="0" t="n">
        <f aca="false">ROUNDUP(F62,0)</f>
        <v>1271</v>
      </c>
      <c r="I62" s="0" t="s">
        <v>490</v>
      </c>
      <c r="J62" s="0" t="n">
        <f aca="false">Inputs!$B$23*17643.4</f>
        <v>1270.3248</v>
      </c>
    </row>
    <row r="63" customFormat="false" ht="15" hidden="false" customHeight="false" outlineLevel="0" collapsed="false">
      <c r="A63" s="0" t="s">
        <v>491</v>
      </c>
      <c r="B63" s="0" t="s">
        <v>374</v>
      </c>
      <c r="C63" s="0" t="n">
        <v>6528.04</v>
      </c>
      <c r="D63" s="0" t="n">
        <v>0</v>
      </c>
      <c r="E63" s="0" t="n">
        <f aca="false">C63*D63</f>
        <v>0</v>
      </c>
      <c r="F63" s="0" t="n">
        <f aca="false">C63+E63</f>
        <v>6528.04</v>
      </c>
      <c r="G63" s="0" t="s">
        <v>374</v>
      </c>
      <c r="H63" s="0" t="n">
        <f aca="false">ROUNDUP(F63,0)</f>
        <v>6529</v>
      </c>
      <c r="I63" s="0" t="s">
        <v>492</v>
      </c>
      <c r="J63" s="0" t="n">
        <f aca="false">Inputs!$B$24*17643.4</f>
        <v>6528.058</v>
      </c>
    </row>
    <row r="64" customFormat="false" ht="15" hidden="false" customHeight="false" outlineLevel="0" collapsed="false">
      <c r="A64" s="0" t="s">
        <v>493</v>
      </c>
      <c r="B64" s="0" t="s">
        <v>403</v>
      </c>
      <c r="C64" s="0" t="n">
        <v>712.87</v>
      </c>
      <c r="D64" s="0" t="n">
        <f aca="false">Inputs!$B$6</f>
        <v>0.06</v>
      </c>
      <c r="E64" s="0" t="n">
        <f aca="false">C64*D64</f>
        <v>42.7722</v>
      </c>
      <c r="F64" s="0" t="n">
        <f aca="false">C64+E64</f>
        <v>755.6422</v>
      </c>
      <c r="G64" s="0" t="s">
        <v>403</v>
      </c>
      <c r="H64" s="0" t="n">
        <f aca="false">ROUNDUP(F64,0)</f>
        <v>756</v>
      </c>
      <c r="I64" s="0" t="s">
        <v>494</v>
      </c>
    </row>
    <row r="65" customFormat="false" ht="15" hidden="false" customHeight="false" outlineLevel="0" collapsed="false">
      <c r="A65" s="0" t="s">
        <v>495</v>
      </c>
      <c r="B65" s="0" t="s">
        <v>460</v>
      </c>
      <c r="C65" s="0" t="n">
        <v>0</v>
      </c>
      <c r="D65" s="0" t="n">
        <v>0</v>
      </c>
      <c r="E65" s="0" t="n">
        <f aca="false">C65*D65</f>
        <v>0</v>
      </c>
      <c r="F65" s="0" t="n">
        <f aca="false">C65+E65</f>
        <v>0</v>
      </c>
      <c r="G65" s="0" t="s">
        <v>465</v>
      </c>
      <c r="H65" s="0" t="n">
        <f aca="false">ROUNDUP(F65,0)</f>
        <v>0</v>
      </c>
      <c r="I65" s="0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497</v>
      </c>
      <c r="B1" s="2" t="s">
        <v>498</v>
      </c>
      <c r="C1" s="2" t="s">
        <v>499</v>
      </c>
    </row>
    <row r="2" customFormat="false" ht="15" hidden="false" customHeight="false" outlineLevel="0" collapsed="false">
      <c r="A2" s="0" t="s">
        <v>500</v>
      </c>
      <c r="B2" s="0" t="s">
        <v>501</v>
      </c>
      <c r="C2" s="0" t="s">
        <v>502</v>
      </c>
    </row>
    <row r="3" customFormat="false" ht="15" hidden="false" customHeight="false" outlineLevel="0" collapsed="false">
      <c r="A3" s="0" t="s">
        <v>503</v>
      </c>
      <c r="B3" s="0" t="s">
        <v>504</v>
      </c>
      <c r="C3" s="0" t="s">
        <v>505</v>
      </c>
    </row>
    <row r="4" customFormat="false" ht="15" hidden="false" customHeight="false" outlineLevel="0" collapsed="false">
      <c r="A4" s="0" t="s">
        <v>506</v>
      </c>
      <c r="B4" s="0" t="s">
        <v>507</v>
      </c>
      <c r="C4" s="0" t="s">
        <v>508</v>
      </c>
    </row>
    <row r="5" customFormat="false" ht="15" hidden="false" customHeight="false" outlineLevel="0" collapsed="false">
      <c r="A5" s="0" t="s">
        <v>509</v>
      </c>
      <c r="B5" s="0" t="s">
        <v>510</v>
      </c>
      <c r="C5" s="0" t="s">
        <v>511</v>
      </c>
    </row>
    <row r="6" customFormat="false" ht="15" hidden="false" customHeight="false" outlineLevel="0" collapsed="false">
      <c r="A6" s="0" t="s">
        <v>512</v>
      </c>
      <c r="B6" s="0" t="s">
        <v>513</v>
      </c>
      <c r="C6" s="0" t="s">
        <v>514</v>
      </c>
    </row>
    <row r="7" customFormat="false" ht="15" hidden="false" customHeight="false" outlineLevel="0" collapsed="false">
      <c r="A7" s="0" t="s">
        <v>515</v>
      </c>
      <c r="B7" s="0" t="s">
        <v>516</v>
      </c>
      <c r="C7" s="0" t="s">
        <v>517</v>
      </c>
    </row>
    <row r="8" customFormat="false" ht="15" hidden="false" customHeight="false" outlineLevel="0" collapsed="false">
      <c r="A8" s="0" t="s">
        <v>518</v>
      </c>
      <c r="B8" s="0" t="s">
        <v>519</v>
      </c>
      <c r="C8" s="0" t="s">
        <v>520</v>
      </c>
    </row>
    <row r="9" customFormat="false" ht="15" hidden="false" customHeight="false" outlineLevel="0" collapsed="false">
      <c r="A9" s="0" t="s">
        <v>521</v>
      </c>
      <c r="B9" s="0" t="s">
        <v>522</v>
      </c>
      <c r="C9" s="0" t="s">
        <v>523</v>
      </c>
    </row>
    <row r="10" customFormat="false" ht="15" hidden="false" customHeight="false" outlineLevel="0" collapsed="false">
      <c r="A10" s="0" t="s">
        <v>524</v>
      </c>
      <c r="B10" s="0" t="s">
        <v>525</v>
      </c>
      <c r="C10" s="0" t="s">
        <v>526</v>
      </c>
    </row>
    <row r="11" customFormat="false" ht="15" hidden="false" customHeight="false" outlineLevel="0" collapsed="false">
      <c r="A11" s="0" t="s">
        <v>527</v>
      </c>
      <c r="B11" s="0" t="s">
        <v>528</v>
      </c>
      <c r="C11" s="0" t="s">
        <v>529</v>
      </c>
    </row>
    <row r="12" customFormat="false" ht="15" hidden="false" customHeight="false" outlineLevel="0" collapsed="false">
      <c r="A12" s="0" t="s">
        <v>530</v>
      </c>
      <c r="B12" s="0" t="s">
        <v>531</v>
      </c>
      <c r="C12" s="0" t="s">
        <v>532</v>
      </c>
    </row>
    <row r="13" customFormat="false" ht="15" hidden="false" customHeight="false" outlineLevel="0" collapsed="false">
      <c r="A13" s="0" t="s">
        <v>533</v>
      </c>
      <c r="B13" s="0" t="s">
        <v>534</v>
      </c>
      <c r="C13" s="0" t="s">
        <v>535</v>
      </c>
    </row>
    <row r="14" customFormat="false" ht="15" hidden="false" customHeight="false" outlineLevel="0" collapsed="false">
      <c r="A14" s="0" t="s">
        <v>536</v>
      </c>
      <c r="B14" s="0" t="s">
        <v>537</v>
      </c>
      <c r="C14" s="0" t="s">
        <v>538</v>
      </c>
    </row>
    <row r="15" customFormat="false" ht="15" hidden="false" customHeight="false" outlineLevel="0" collapsed="false">
      <c r="A15" s="0" t="s">
        <v>539</v>
      </c>
      <c r="B15" s="0" t="s">
        <v>540</v>
      </c>
      <c r="C15" s="0" t="s">
        <v>541</v>
      </c>
    </row>
    <row r="16" customFormat="false" ht="15" hidden="false" customHeight="false" outlineLevel="0" collapsed="false">
      <c r="A16" s="0" t="s">
        <v>542</v>
      </c>
      <c r="B16" s="0" t="s">
        <v>543</v>
      </c>
      <c r="C16" s="0" t="s">
        <v>544</v>
      </c>
    </row>
    <row r="17" customFormat="false" ht="15" hidden="false" customHeight="false" outlineLevel="0" collapsed="false">
      <c r="A17" s="0" t="s">
        <v>545</v>
      </c>
      <c r="B17" s="0" t="s">
        <v>546</v>
      </c>
      <c r="C17" s="0" t="s">
        <v>547</v>
      </c>
    </row>
    <row r="18" customFormat="false" ht="15" hidden="false" customHeight="false" outlineLevel="0" collapsed="false">
      <c r="A18" s="0" t="s">
        <v>548</v>
      </c>
      <c r="B18" s="0" t="s">
        <v>549</v>
      </c>
      <c r="C18" s="0" t="s">
        <v>550</v>
      </c>
    </row>
    <row r="19" customFormat="false" ht="15" hidden="false" customHeight="false" outlineLevel="0" collapsed="false">
      <c r="A19" s="0" t="s">
        <v>551</v>
      </c>
      <c r="B19" s="0" t="s">
        <v>552</v>
      </c>
      <c r="C19" s="0" t="s">
        <v>553</v>
      </c>
    </row>
    <row r="20" customFormat="false" ht="15" hidden="false" customHeight="false" outlineLevel="0" collapsed="false">
      <c r="A20" s="0" t="s">
        <v>554</v>
      </c>
      <c r="B20" s="0" t="s">
        <v>555</v>
      </c>
      <c r="C20" s="0" t="s">
        <v>556</v>
      </c>
    </row>
    <row r="21" customFormat="false" ht="15" hidden="false" customHeight="false" outlineLevel="0" collapsed="false">
      <c r="A21" s="0" t="s">
        <v>557</v>
      </c>
      <c r="B21" s="0" t="s">
        <v>558</v>
      </c>
      <c r="C21" s="0" t="s">
        <v>559</v>
      </c>
    </row>
    <row r="22" customFormat="false" ht="15" hidden="false" customHeight="false" outlineLevel="0" collapsed="false">
      <c r="A22" s="0" t="s">
        <v>560</v>
      </c>
      <c r="B22" s="0" t="s">
        <v>561</v>
      </c>
      <c r="C22" s="0" t="s">
        <v>562</v>
      </c>
    </row>
    <row r="23" customFormat="false" ht="15" hidden="false" customHeight="false" outlineLevel="0" collapsed="false">
      <c r="A23" s="0" t="s">
        <v>563</v>
      </c>
      <c r="B23" s="0" t="s">
        <v>564</v>
      </c>
      <c r="C23" s="0" t="s">
        <v>565</v>
      </c>
    </row>
    <row r="24" customFormat="false" ht="15" hidden="false" customHeight="false" outlineLevel="0" collapsed="false">
      <c r="A24" s="0" t="s">
        <v>566</v>
      </c>
      <c r="B24" s="0" t="s">
        <v>567</v>
      </c>
      <c r="C24" s="0" t="s">
        <v>568</v>
      </c>
    </row>
    <row r="25" customFormat="false" ht="15" hidden="false" customHeight="false" outlineLevel="0" collapsed="false">
      <c r="A25" s="0" t="s">
        <v>569</v>
      </c>
      <c r="B25" s="0" t="s">
        <v>570</v>
      </c>
      <c r="C25" s="0" t="s">
        <v>571</v>
      </c>
    </row>
    <row r="26" customFormat="false" ht="15" hidden="false" customHeight="false" outlineLevel="0" collapsed="false">
      <c r="A26" s="0" t="s">
        <v>572</v>
      </c>
      <c r="B26" s="0" t="s">
        <v>573</v>
      </c>
      <c r="C26" s="0" t="s">
        <v>574</v>
      </c>
    </row>
    <row r="27" customFormat="false" ht="15" hidden="false" customHeight="false" outlineLevel="0" collapsed="false">
      <c r="A27" s="0" t="s">
        <v>575</v>
      </c>
      <c r="B27" s="0" t="s">
        <v>576</v>
      </c>
      <c r="C27" s="0" t="s">
        <v>577</v>
      </c>
    </row>
    <row r="28" customFormat="false" ht="15" hidden="false" customHeight="false" outlineLevel="0" collapsed="false">
      <c r="A28" s="0" t="s">
        <v>578</v>
      </c>
      <c r="B28" s="0" t="s">
        <v>579</v>
      </c>
      <c r="C28" s="0" t="s">
        <v>580</v>
      </c>
    </row>
    <row r="29" customFormat="false" ht="15" hidden="false" customHeight="false" outlineLevel="0" collapsed="false">
      <c r="A29" s="0" t="s">
        <v>581</v>
      </c>
      <c r="B29" s="0" t="s">
        <v>582</v>
      </c>
      <c r="C29" s="0" t="s">
        <v>583</v>
      </c>
    </row>
    <row r="30" customFormat="false" ht="15" hidden="false" customHeight="false" outlineLevel="0" collapsed="false">
      <c r="A30" s="0" t="s">
        <v>584</v>
      </c>
      <c r="B30" s="0" t="s">
        <v>585</v>
      </c>
      <c r="C30" s="0" t="s">
        <v>586</v>
      </c>
    </row>
    <row r="31" customFormat="false" ht="15" hidden="false" customHeight="false" outlineLevel="0" collapsed="false">
      <c r="A31" s="0" t="s">
        <v>587</v>
      </c>
      <c r="B31" s="0" t="s">
        <v>588</v>
      </c>
      <c r="C31" s="0" t="s">
        <v>589</v>
      </c>
    </row>
    <row r="32" customFormat="false" ht="15" hidden="false" customHeight="false" outlineLevel="0" collapsed="false">
      <c r="A32" s="0" t="s">
        <v>590</v>
      </c>
      <c r="B32" s="0" t="s">
        <v>591</v>
      </c>
      <c r="C32" s="0" t="s">
        <v>592</v>
      </c>
    </row>
    <row r="33" customFormat="false" ht="15" hidden="false" customHeight="false" outlineLevel="0" collapsed="false">
      <c r="A33" s="0" t="s">
        <v>593</v>
      </c>
      <c r="B33" s="0" t="s">
        <v>594</v>
      </c>
      <c r="C33" s="0" t="s">
        <v>595</v>
      </c>
    </row>
    <row r="34" customFormat="false" ht="15" hidden="false" customHeight="false" outlineLevel="0" collapsed="false">
      <c r="A34" s="0" t="s">
        <v>596</v>
      </c>
      <c r="B34" s="0" t="s">
        <v>597</v>
      </c>
      <c r="C34" s="0" t="s">
        <v>598</v>
      </c>
    </row>
    <row r="35" customFormat="false" ht="15" hidden="false" customHeight="false" outlineLevel="0" collapsed="false">
      <c r="A35" s="0" t="s">
        <v>599</v>
      </c>
      <c r="B35" s="0" t="s">
        <v>600</v>
      </c>
      <c r="C35" s="0" t="s">
        <v>601</v>
      </c>
    </row>
    <row r="36" customFormat="false" ht="15" hidden="false" customHeight="false" outlineLevel="0" collapsed="false">
      <c r="A36" s="0" t="s">
        <v>602</v>
      </c>
      <c r="B36" s="0" t="s">
        <v>603</v>
      </c>
      <c r="C36" s="0" t="s">
        <v>604</v>
      </c>
    </row>
    <row r="37" customFormat="false" ht="15" hidden="false" customHeight="false" outlineLevel="0" collapsed="false">
      <c r="A37" s="0" t="s">
        <v>605</v>
      </c>
      <c r="B37" s="0" t="s">
        <v>606</v>
      </c>
      <c r="C37" s="0" t="s">
        <v>607</v>
      </c>
    </row>
    <row r="38" customFormat="false" ht="15" hidden="false" customHeight="false" outlineLevel="0" collapsed="false">
      <c r="A38" s="0" t="s">
        <v>608</v>
      </c>
      <c r="B38" s="0" t="s">
        <v>609</v>
      </c>
      <c r="C38" s="0" t="s">
        <v>610</v>
      </c>
    </row>
    <row r="39" customFormat="false" ht="15" hidden="false" customHeight="false" outlineLevel="0" collapsed="false">
      <c r="A39" s="0" t="s">
        <v>611</v>
      </c>
      <c r="B39" s="0" t="s">
        <v>612</v>
      </c>
      <c r="C39" s="0" t="s">
        <v>613</v>
      </c>
    </row>
    <row r="40" customFormat="false" ht="15" hidden="false" customHeight="false" outlineLevel="0" collapsed="false">
      <c r="A40" s="0" t="s">
        <v>614</v>
      </c>
      <c r="B40" s="0" t="s">
        <v>615</v>
      </c>
      <c r="C40" s="0" t="s">
        <v>616</v>
      </c>
    </row>
    <row r="41" customFormat="false" ht="15" hidden="false" customHeight="false" outlineLevel="0" collapsed="false">
      <c r="A41" s="0" t="s">
        <v>617</v>
      </c>
      <c r="B41" s="0" t="s">
        <v>618</v>
      </c>
      <c r="C41" s="0" t="s">
        <v>619</v>
      </c>
    </row>
    <row r="42" customFormat="false" ht="15" hidden="false" customHeight="false" outlineLevel="0" collapsed="false">
      <c r="A42" s="0" t="s">
        <v>620</v>
      </c>
      <c r="B42" s="0" t="s">
        <v>621</v>
      </c>
      <c r="C42" s="0" t="s">
        <v>622</v>
      </c>
    </row>
    <row r="43" customFormat="false" ht="15" hidden="false" customHeight="false" outlineLevel="0" collapsed="false">
      <c r="A43" s="0" t="s">
        <v>623</v>
      </c>
      <c r="B43" s="0" t="s">
        <v>624</v>
      </c>
      <c r="C43" s="0" t="s">
        <v>625</v>
      </c>
    </row>
    <row r="44" customFormat="false" ht="15" hidden="false" customHeight="false" outlineLevel="0" collapsed="false">
      <c r="A44" s="0" t="s">
        <v>626</v>
      </c>
      <c r="B44" s="0" t="s">
        <v>627</v>
      </c>
      <c r="C44" s="0" t="s">
        <v>628</v>
      </c>
    </row>
    <row r="45" customFormat="false" ht="15" hidden="false" customHeight="false" outlineLevel="0" collapsed="false">
      <c r="A45" s="0" t="s">
        <v>629</v>
      </c>
      <c r="B45" s="0" t="s">
        <v>630</v>
      </c>
      <c r="C45" s="0" t="s">
        <v>631</v>
      </c>
    </row>
    <row r="46" customFormat="false" ht="15" hidden="false" customHeight="false" outlineLevel="0" collapsed="false">
      <c r="A46" s="0" t="s">
        <v>632</v>
      </c>
      <c r="B46" s="0" t="s">
        <v>633</v>
      </c>
      <c r="C46" s="0" t="s">
        <v>634</v>
      </c>
    </row>
    <row r="47" customFormat="false" ht="15" hidden="false" customHeight="false" outlineLevel="0" collapsed="false">
      <c r="A47" s="0" t="s">
        <v>635</v>
      </c>
      <c r="B47" s="0" t="s">
        <v>636</v>
      </c>
      <c r="C47" s="0" t="s">
        <v>637</v>
      </c>
    </row>
    <row r="48" customFormat="false" ht="15" hidden="false" customHeight="false" outlineLevel="0" collapsed="false">
      <c r="A48" s="0" t="s">
        <v>638</v>
      </c>
      <c r="B48" s="0" t="s">
        <v>639</v>
      </c>
      <c r="C48" s="0" t="s">
        <v>640</v>
      </c>
    </row>
    <row r="49" customFormat="false" ht="15" hidden="false" customHeight="false" outlineLevel="0" collapsed="false">
      <c r="A49" s="0" t="s">
        <v>641</v>
      </c>
      <c r="B49" s="0" t="s">
        <v>642</v>
      </c>
      <c r="C49" s="0" t="s">
        <v>643</v>
      </c>
    </row>
    <row r="50" customFormat="false" ht="15" hidden="false" customHeight="false" outlineLevel="0" collapsed="false">
      <c r="A50" s="0" t="s">
        <v>644</v>
      </c>
      <c r="B50" s="0" t="s">
        <v>645</v>
      </c>
      <c r="C50" s="0" t="s">
        <v>646</v>
      </c>
    </row>
    <row r="51" customFormat="false" ht="15" hidden="false" customHeight="false" outlineLevel="0" collapsed="false">
      <c r="A51" s="0" t="s">
        <v>647</v>
      </c>
      <c r="B51" s="0" t="s">
        <v>648</v>
      </c>
      <c r="C51" s="0" t="s">
        <v>649</v>
      </c>
    </row>
    <row r="52" customFormat="false" ht="15" hidden="false" customHeight="false" outlineLevel="0" collapsed="false">
      <c r="A52" s="0" t="s">
        <v>650</v>
      </c>
      <c r="B52" s="0" t="s">
        <v>651</v>
      </c>
      <c r="C52" s="0" t="s">
        <v>652</v>
      </c>
    </row>
    <row r="53" customFormat="false" ht="15" hidden="false" customHeight="false" outlineLevel="0" collapsed="false">
      <c r="A53" s="0" t="s">
        <v>653</v>
      </c>
      <c r="B53" s="0" t="s">
        <v>654</v>
      </c>
      <c r="C53" s="0" t="s">
        <v>655</v>
      </c>
    </row>
    <row r="54" customFormat="false" ht="15" hidden="false" customHeight="false" outlineLevel="0" collapsed="false">
      <c r="A54" s="0" t="s">
        <v>656</v>
      </c>
      <c r="B54" s="0" t="s">
        <v>657</v>
      </c>
      <c r="C54" s="0" t="s">
        <v>658</v>
      </c>
    </row>
    <row r="55" customFormat="false" ht="15" hidden="false" customHeight="false" outlineLevel="0" collapsed="false">
      <c r="A55" s="0" t="s">
        <v>659</v>
      </c>
      <c r="B55" s="0" t="s">
        <v>660</v>
      </c>
      <c r="C55" s="0" t="s">
        <v>661</v>
      </c>
    </row>
    <row r="56" customFormat="false" ht="15" hidden="false" customHeight="false" outlineLevel="0" collapsed="false">
      <c r="A56" s="0" t="s">
        <v>662</v>
      </c>
      <c r="B56" s="0" t="s">
        <v>663</v>
      </c>
      <c r="C56" s="0" t="s">
        <v>664</v>
      </c>
    </row>
    <row r="57" customFormat="false" ht="15" hidden="false" customHeight="false" outlineLevel="0" collapsed="false">
      <c r="A57" s="0" t="s">
        <v>665</v>
      </c>
      <c r="B57" s="0" t="s">
        <v>666</v>
      </c>
      <c r="C57" s="0" t="s">
        <v>667</v>
      </c>
    </row>
    <row r="58" customFormat="false" ht="15" hidden="false" customHeight="false" outlineLevel="0" collapsed="false">
      <c r="A58" s="0" t="s">
        <v>668</v>
      </c>
      <c r="B58" s="0" t="s">
        <v>669</v>
      </c>
      <c r="C58" s="0" t="s">
        <v>670</v>
      </c>
    </row>
    <row r="59" customFormat="false" ht="15" hidden="false" customHeight="false" outlineLevel="0" collapsed="false">
      <c r="A59" s="0" t="s">
        <v>671</v>
      </c>
      <c r="B59" s="0" t="s">
        <v>672</v>
      </c>
      <c r="C59" s="0" t="s">
        <v>673</v>
      </c>
    </row>
    <row r="60" customFormat="false" ht="15" hidden="false" customHeight="false" outlineLevel="0" collapsed="false">
      <c r="A60" s="0" t="s">
        <v>674</v>
      </c>
      <c r="B60" s="0" t="s">
        <v>675</v>
      </c>
      <c r="C60" s="0" t="s">
        <v>676</v>
      </c>
    </row>
    <row r="61" customFormat="false" ht="15" hidden="false" customHeight="false" outlineLevel="0" collapsed="false">
      <c r="A61" s="0" t="s">
        <v>677</v>
      </c>
      <c r="B61" s="0" t="s">
        <v>678</v>
      </c>
      <c r="C61" s="0" t="s">
        <v>679</v>
      </c>
    </row>
    <row r="62" customFormat="false" ht="15" hidden="false" customHeight="false" outlineLevel="0" collapsed="false">
      <c r="A62" s="0" t="s">
        <v>680</v>
      </c>
      <c r="B62" s="0" t="s">
        <v>681</v>
      </c>
      <c r="C62" s="0" t="s">
        <v>682</v>
      </c>
    </row>
    <row r="63" customFormat="false" ht="15" hidden="false" customHeight="false" outlineLevel="0" collapsed="false">
      <c r="A63" s="0" t="s">
        <v>683</v>
      </c>
      <c r="B63" s="0" t="s">
        <v>684</v>
      </c>
      <c r="C63" s="0" t="s">
        <v>685</v>
      </c>
    </row>
    <row r="64" customFormat="false" ht="15" hidden="false" customHeight="false" outlineLevel="0" collapsed="false">
      <c r="A64" s="0" t="s">
        <v>686</v>
      </c>
      <c r="B64" s="0" t="s">
        <v>687</v>
      </c>
      <c r="C64" s="0" t="s">
        <v>688</v>
      </c>
    </row>
    <row r="65" customFormat="false" ht="15" hidden="false" customHeight="false" outlineLevel="0" collapsed="false">
      <c r="A65" s="0" t="s">
        <v>689</v>
      </c>
      <c r="B65" s="0" t="s">
        <v>690</v>
      </c>
      <c r="C65" s="0" t="s">
        <v>691</v>
      </c>
    </row>
    <row r="66" customFormat="false" ht="15" hidden="false" customHeight="false" outlineLevel="0" collapsed="false">
      <c r="A66" s="0" t="s">
        <v>692</v>
      </c>
      <c r="B66" s="0" t="s">
        <v>693</v>
      </c>
      <c r="C66" s="0" t="s">
        <v>694</v>
      </c>
    </row>
    <row r="67" customFormat="false" ht="15" hidden="false" customHeight="false" outlineLevel="0" collapsed="false">
      <c r="A67" s="0" t="s">
        <v>695</v>
      </c>
      <c r="B67" s="0" t="s">
        <v>696</v>
      </c>
      <c r="C67" s="0" t="s">
        <v>697</v>
      </c>
    </row>
    <row r="68" customFormat="false" ht="15" hidden="false" customHeight="false" outlineLevel="0" collapsed="false">
      <c r="A68" s="0" t="s">
        <v>698</v>
      </c>
      <c r="B68" s="0" t="s">
        <v>699</v>
      </c>
      <c r="C68" s="0" t="s">
        <v>700</v>
      </c>
    </row>
    <row r="69" customFormat="false" ht="15" hidden="false" customHeight="false" outlineLevel="0" collapsed="false">
      <c r="A69" s="0" t="s">
        <v>701</v>
      </c>
      <c r="B69" s="0" t="s">
        <v>702</v>
      </c>
      <c r="C69" s="0" t="s">
        <v>703</v>
      </c>
    </row>
    <row r="70" customFormat="false" ht="15" hidden="false" customHeight="false" outlineLevel="0" collapsed="false">
      <c r="A70" s="0" t="s">
        <v>704</v>
      </c>
      <c r="B70" s="0" t="s">
        <v>705</v>
      </c>
      <c r="C70" s="0" t="s">
        <v>706</v>
      </c>
    </row>
    <row r="71" customFormat="false" ht="15" hidden="false" customHeight="false" outlineLevel="0" collapsed="false">
      <c r="A71" s="0" t="s">
        <v>707</v>
      </c>
      <c r="B71" s="0" t="s">
        <v>708</v>
      </c>
      <c r="C71" s="0" t="s">
        <v>709</v>
      </c>
    </row>
    <row r="72" customFormat="false" ht="15" hidden="false" customHeight="false" outlineLevel="0" collapsed="false">
      <c r="A72" s="0" t="s">
        <v>710</v>
      </c>
      <c r="B72" s="0" t="s">
        <v>711</v>
      </c>
      <c r="C72" s="0" t="s">
        <v>712</v>
      </c>
    </row>
    <row r="73" customFormat="false" ht="15" hidden="false" customHeight="false" outlineLevel="0" collapsed="false">
      <c r="A73" s="0" t="s">
        <v>713</v>
      </c>
      <c r="B73" s="0" t="s">
        <v>714</v>
      </c>
      <c r="C73" s="0" t="s">
        <v>715</v>
      </c>
    </row>
    <row r="74" customFormat="false" ht="15" hidden="false" customHeight="false" outlineLevel="0" collapsed="false">
      <c r="A74" s="0" t="s">
        <v>716</v>
      </c>
      <c r="B74" s="0" t="s">
        <v>717</v>
      </c>
      <c r="C74" s="0" t="s">
        <v>718</v>
      </c>
    </row>
    <row r="75" customFormat="false" ht="15" hidden="false" customHeight="false" outlineLevel="0" collapsed="false">
      <c r="A75" s="0" t="s">
        <v>719</v>
      </c>
      <c r="B75" s="0" t="s">
        <v>720</v>
      </c>
      <c r="C75" s="0" t="s">
        <v>721</v>
      </c>
    </row>
    <row r="76" customFormat="false" ht="15" hidden="false" customHeight="false" outlineLevel="0" collapsed="false">
      <c r="A76" s="0" t="s">
        <v>722</v>
      </c>
      <c r="B76" s="0" t="s">
        <v>723</v>
      </c>
      <c r="C76" s="0" t="s">
        <v>724</v>
      </c>
    </row>
    <row r="77" customFormat="false" ht="15" hidden="false" customHeight="false" outlineLevel="0" collapsed="false">
      <c r="A77" s="0" t="s">
        <v>725</v>
      </c>
      <c r="B77" s="0" t="s">
        <v>726</v>
      </c>
      <c r="C77" s="0" t="s">
        <v>727</v>
      </c>
    </row>
    <row r="78" customFormat="false" ht="15" hidden="false" customHeight="false" outlineLevel="0" collapsed="false">
      <c r="A78" s="0" t="s">
        <v>728</v>
      </c>
      <c r="B78" s="0" t="s">
        <v>729</v>
      </c>
      <c r="C78" s="0" t="s">
        <v>730</v>
      </c>
    </row>
    <row r="79" customFormat="false" ht="15" hidden="false" customHeight="false" outlineLevel="0" collapsed="false">
      <c r="A79" s="0" t="s">
        <v>731</v>
      </c>
      <c r="B79" s="0" t="s">
        <v>732</v>
      </c>
      <c r="C79" s="0" t="s">
        <v>733</v>
      </c>
    </row>
    <row r="80" customFormat="false" ht="15" hidden="false" customHeight="false" outlineLevel="0" collapsed="false">
      <c r="A80" s="0" t="s">
        <v>734</v>
      </c>
      <c r="B80" s="0" t="s">
        <v>735</v>
      </c>
      <c r="C80" s="0" t="s">
        <v>736</v>
      </c>
    </row>
    <row r="81" customFormat="false" ht="15" hidden="false" customHeight="false" outlineLevel="0" collapsed="false">
      <c r="A81" s="0" t="s">
        <v>737</v>
      </c>
      <c r="B81" s="0" t="s">
        <v>738</v>
      </c>
      <c r="C81" s="0" t="s">
        <v>739</v>
      </c>
    </row>
    <row r="82" customFormat="false" ht="15" hidden="false" customHeight="false" outlineLevel="0" collapsed="false">
      <c r="A82" s="0" t="s">
        <v>740</v>
      </c>
      <c r="B82" s="0" t="s">
        <v>741</v>
      </c>
      <c r="C82" s="0" t="s">
        <v>742</v>
      </c>
    </row>
    <row r="83" customFormat="false" ht="15" hidden="false" customHeight="false" outlineLevel="0" collapsed="false">
      <c r="A83" s="0" t="s">
        <v>743</v>
      </c>
      <c r="B83" s="0" t="s">
        <v>744</v>
      </c>
      <c r="C83" s="0" t="s">
        <v>745</v>
      </c>
    </row>
    <row r="84" customFormat="false" ht="15" hidden="false" customHeight="false" outlineLevel="0" collapsed="false">
      <c r="A84" s="0" t="s">
        <v>746</v>
      </c>
      <c r="B84" s="0" t="s">
        <v>747</v>
      </c>
      <c r="C84" s="0" t="s">
        <v>748</v>
      </c>
    </row>
    <row r="85" customFormat="false" ht="15" hidden="false" customHeight="false" outlineLevel="0" collapsed="false">
      <c r="A85" s="0" t="s">
        <v>749</v>
      </c>
      <c r="B85" s="0" t="s">
        <v>750</v>
      </c>
      <c r="C85" s="0" t="s">
        <v>751</v>
      </c>
    </row>
    <row r="86" customFormat="false" ht="15" hidden="false" customHeight="false" outlineLevel="0" collapsed="false">
      <c r="A86" s="0" t="s">
        <v>752</v>
      </c>
      <c r="B86" s="0" t="s">
        <v>753</v>
      </c>
      <c r="C86" s="0" t="s">
        <v>754</v>
      </c>
    </row>
    <row r="87" customFormat="false" ht="15" hidden="false" customHeight="false" outlineLevel="0" collapsed="false">
      <c r="A87" s="0" t="s">
        <v>755</v>
      </c>
      <c r="B87" s="0" t="s">
        <v>756</v>
      </c>
      <c r="C87" s="0" t="s">
        <v>757</v>
      </c>
    </row>
    <row r="88" customFormat="false" ht="15" hidden="false" customHeight="false" outlineLevel="0" collapsed="false">
      <c r="A88" s="0" t="s">
        <v>758</v>
      </c>
      <c r="B88" s="0" t="s">
        <v>759</v>
      </c>
      <c r="C88" s="0" t="s">
        <v>760</v>
      </c>
    </row>
    <row r="89" customFormat="false" ht="15" hidden="false" customHeight="false" outlineLevel="0" collapsed="false">
      <c r="A89" s="0" t="s">
        <v>761</v>
      </c>
      <c r="B89" s="0" t="s">
        <v>762</v>
      </c>
      <c r="C89" s="0" t="s">
        <v>763</v>
      </c>
    </row>
    <row r="90" customFormat="false" ht="15" hidden="false" customHeight="false" outlineLevel="0" collapsed="false">
      <c r="A90" s="0" t="s">
        <v>764</v>
      </c>
      <c r="B90" s="0" t="s">
        <v>765</v>
      </c>
      <c r="C90" s="0" t="s">
        <v>766</v>
      </c>
    </row>
    <row r="91" customFormat="false" ht="15" hidden="false" customHeight="false" outlineLevel="0" collapsed="false">
      <c r="A91" s="0" t="s">
        <v>767</v>
      </c>
      <c r="B91" s="0" t="s">
        <v>768</v>
      </c>
      <c r="C91" s="0" t="s">
        <v>769</v>
      </c>
    </row>
    <row r="92" customFormat="false" ht="15" hidden="false" customHeight="false" outlineLevel="0" collapsed="false">
      <c r="A92" s="0" t="s">
        <v>770</v>
      </c>
      <c r="B92" s="0" t="s">
        <v>771</v>
      </c>
      <c r="C92" s="0" t="s">
        <v>772</v>
      </c>
    </row>
    <row r="93" customFormat="false" ht="15" hidden="false" customHeight="false" outlineLevel="0" collapsed="false">
      <c r="A93" s="0" t="s">
        <v>773</v>
      </c>
      <c r="B93" s="0" t="s">
        <v>774</v>
      </c>
      <c r="C93" s="0" t="s">
        <v>775</v>
      </c>
    </row>
    <row r="94" customFormat="false" ht="15" hidden="false" customHeight="false" outlineLevel="0" collapsed="false">
      <c r="A94" s="0" t="s">
        <v>776</v>
      </c>
      <c r="B94" s="0" t="s">
        <v>777</v>
      </c>
      <c r="C94" s="0" t="s">
        <v>778</v>
      </c>
    </row>
    <row r="95" customFormat="false" ht="15" hidden="false" customHeight="false" outlineLevel="0" collapsed="false">
      <c r="A95" s="0" t="s">
        <v>779</v>
      </c>
      <c r="B95" s="0" t="s">
        <v>780</v>
      </c>
      <c r="C95" s="0" t="s">
        <v>781</v>
      </c>
    </row>
    <row r="96" customFormat="false" ht="15" hidden="false" customHeight="false" outlineLevel="0" collapsed="false">
      <c r="A96" s="0" t="s">
        <v>782</v>
      </c>
      <c r="B96" s="0" t="s">
        <v>783</v>
      </c>
      <c r="C96" s="0" t="s">
        <v>784</v>
      </c>
    </row>
    <row r="97" customFormat="false" ht="15" hidden="false" customHeight="false" outlineLevel="0" collapsed="false">
      <c r="A97" s="0" t="s">
        <v>785</v>
      </c>
      <c r="B97" s="0" t="s">
        <v>786</v>
      </c>
      <c r="C97" s="0" t="s">
        <v>787</v>
      </c>
    </row>
    <row r="98" customFormat="false" ht="15" hidden="false" customHeight="false" outlineLevel="0" collapsed="false">
      <c r="A98" s="0" t="s">
        <v>788</v>
      </c>
      <c r="B98" s="0" t="s">
        <v>789</v>
      </c>
      <c r="C98" s="0" t="s">
        <v>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60"/>
  </cols>
  <sheetData>
    <row r="1" customFormat="false" ht="15" hidden="false" customHeight="false" outlineLevel="0" collapsed="false">
      <c r="A1" s="0" t="s">
        <v>791</v>
      </c>
      <c r="B1" s="0" t="s">
        <v>792</v>
      </c>
      <c r="C1" s="0" t="s">
        <v>793</v>
      </c>
      <c r="D1" s="0" t="s">
        <v>794</v>
      </c>
    </row>
    <row r="2" customFormat="false" ht="15" hidden="false" customHeight="false" outlineLevel="0" collapsed="false">
      <c r="A2" s="0" t="n">
        <v>1</v>
      </c>
      <c r="B2" s="0" t="s">
        <v>795</v>
      </c>
      <c r="C2" s="0" t="s">
        <v>796</v>
      </c>
      <c r="D2" s="0" t="s">
        <v>797</v>
      </c>
    </row>
    <row r="3" customFormat="false" ht="15" hidden="false" customHeight="false" outlineLevel="0" collapsed="false">
      <c r="A3" s="0" t="n">
        <v>2</v>
      </c>
      <c r="B3" s="0" t="s">
        <v>798</v>
      </c>
      <c r="C3" s="0" t="s">
        <v>799</v>
      </c>
      <c r="D3" s="0" t="s">
        <v>800</v>
      </c>
    </row>
    <row r="4" customFormat="false" ht="15" hidden="false" customHeight="false" outlineLevel="0" collapsed="false">
      <c r="A4" s="0" t="n">
        <v>3</v>
      </c>
      <c r="B4" s="0" t="s">
        <v>801</v>
      </c>
      <c r="C4" s="0" t="s">
        <v>802</v>
      </c>
      <c r="D4" s="0" t="s">
        <v>803</v>
      </c>
    </row>
    <row r="5" customFormat="false" ht="15" hidden="false" customHeight="false" outlineLevel="0" collapsed="false">
      <c r="A5" s="0" t="n">
        <v>4</v>
      </c>
      <c r="B5" s="0" t="s">
        <v>804</v>
      </c>
      <c r="C5" s="0" t="s">
        <v>805</v>
      </c>
    </row>
    <row r="6" customFormat="false" ht="15" hidden="false" customHeight="false" outlineLevel="0" collapsed="false">
      <c r="A6" s="0" t="n">
        <v>5</v>
      </c>
      <c r="B6" s="0" t="s">
        <v>806</v>
      </c>
      <c r="C6" s="0" t="s">
        <v>805</v>
      </c>
    </row>
    <row r="7" customFormat="false" ht="15" hidden="false" customHeight="false" outlineLevel="0" collapsed="false">
      <c r="A7" s="0" t="n">
        <v>6</v>
      </c>
      <c r="B7" s="0" t="s">
        <v>807</v>
      </c>
      <c r="C7" s="0" t="s">
        <v>808</v>
      </c>
    </row>
    <row r="8" customFormat="false" ht="15" hidden="false" customHeight="false" outlineLevel="0" collapsed="false">
      <c r="A8" s="0" t="n">
        <v>7</v>
      </c>
      <c r="B8" s="0" t="s">
        <v>809</v>
      </c>
      <c r="C8" s="0" t="s">
        <v>347</v>
      </c>
      <c r="D8" s="0" t="s">
        <v>810</v>
      </c>
    </row>
    <row r="9" customFormat="false" ht="15" hidden="false" customHeight="false" outlineLevel="0" collapsed="false">
      <c r="A9" s="0" t="n">
        <v>8</v>
      </c>
      <c r="B9" s="0" t="s">
        <v>811</v>
      </c>
      <c r="C9" s="0" t="s">
        <v>812</v>
      </c>
      <c r="D9" s="0" t="s">
        <v>813</v>
      </c>
    </row>
    <row r="10" customFormat="false" ht="15" hidden="false" customHeight="false" outlineLevel="0" collapsed="false">
      <c r="A10" s="0" t="n">
        <v>9</v>
      </c>
      <c r="B10" s="0" t="s">
        <v>814</v>
      </c>
      <c r="C10" s="0" t="s">
        <v>808</v>
      </c>
    </row>
    <row r="11" customFormat="false" ht="15" hidden="false" customHeight="false" outlineLevel="0" collapsed="false">
      <c r="A11" s="0" t="n">
        <v>10</v>
      </c>
      <c r="B11" s="0" t="s">
        <v>815</v>
      </c>
      <c r="C11" s="0" t="s">
        <v>339</v>
      </c>
      <c r="D11" s="0" t="s">
        <v>816</v>
      </c>
    </row>
    <row r="12" customFormat="false" ht="15" hidden="false" customHeight="false" outlineLevel="0" collapsed="false">
      <c r="A12" s="0" t="n">
        <v>11</v>
      </c>
      <c r="B12" s="0" t="s">
        <v>817</v>
      </c>
      <c r="C12" s="0" t="s">
        <v>818</v>
      </c>
      <c r="D12" s="0" t="s">
        <v>819</v>
      </c>
    </row>
    <row r="13" customFormat="false" ht="15" hidden="false" customHeight="false" outlineLevel="0" collapsed="false">
      <c r="A13" s="0" t="n">
        <v>12</v>
      </c>
      <c r="B13" s="0" t="s">
        <v>820</v>
      </c>
      <c r="C13" s="0" t="s">
        <v>321</v>
      </c>
      <c r="D13" s="0" t="s">
        <v>821</v>
      </c>
    </row>
    <row r="14" customFormat="false" ht="15" hidden="false" customHeight="false" outlineLevel="0" collapsed="false">
      <c r="A14" s="0" t="n">
        <v>13</v>
      </c>
      <c r="B14" s="0" t="s">
        <v>822</v>
      </c>
      <c r="C14" s="0" t="s">
        <v>329</v>
      </c>
      <c r="D14" s="0" t="s">
        <v>823</v>
      </c>
    </row>
    <row r="15" customFormat="false" ht="15" hidden="false" customHeight="false" outlineLevel="0" collapsed="false">
      <c r="A15" s="0" t="n">
        <v>14</v>
      </c>
      <c r="B15" s="0" t="s">
        <v>824</v>
      </c>
      <c r="C15" s="0" t="s">
        <v>812</v>
      </c>
      <c r="D15" s="0" t="s">
        <v>825</v>
      </c>
    </row>
    <row r="16" customFormat="false" ht="15" hidden="false" customHeight="false" outlineLevel="0" collapsed="false">
      <c r="A16" s="0" t="n">
        <v>15</v>
      </c>
      <c r="B16" s="0" t="s">
        <v>826</v>
      </c>
      <c r="C16" s="0" t="s">
        <v>827</v>
      </c>
    </row>
    <row r="17" customFormat="false" ht="15" hidden="false" customHeight="false" outlineLevel="0" collapsed="false">
      <c r="A17" s="0" t="n">
        <v>16</v>
      </c>
      <c r="B17" s="0" t="s">
        <v>828</v>
      </c>
      <c r="C17" s="0" t="s">
        <v>829</v>
      </c>
    </row>
    <row r="18" customFormat="false" ht="15" hidden="false" customHeight="false" outlineLevel="0" collapsed="false">
      <c r="A18" s="0" t="n">
        <v>17</v>
      </c>
      <c r="B18" s="0" t="s">
        <v>830</v>
      </c>
      <c r="C18" s="0" t="s">
        <v>805</v>
      </c>
      <c r="D18" s="0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832</v>
      </c>
      <c r="B1" s="0" t="s">
        <v>833</v>
      </c>
      <c r="C1" s="0" t="s">
        <v>59</v>
      </c>
      <c r="D1" s="0" t="s">
        <v>834</v>
      </c>
    </row>
    <row r="2" customFormat="false" ht="15" hidden="false" customHeight="false" outlineLevel="0" collapsed="false">
      <c r="A2" s="0" t="s">
        <v>835</v>
      </c>
      <c r="B2" s="0" t="s">
        <v>836</v>
      </c>
      <c r="C2" s="0" t="s">
        <v>837</v>
      </c>
      <c r="D2" s="0" t="s">
        <v>838</v>
      </c>
    </row>
    <row r="3" customFormat="false" ht="15" hidden="false" customHeight="false" outlineLevel="0" collapsed="false">
      <c r="A3" s="0" t="s">
        <v>839</v>
      </c>
      <c r="B3" s="0" t="s">
        <v>840</v>
      </c>
      <c r="C3" s="0" t="s">
        <v>837</v>
      </c>
      <c r="D3" s="0" t="s">
        <v>841</v>
      </c>
    </row>
    <row r="4" customFormat="false" ht="15" hidden="false" customHeight="false" outlineLevel="0" collapsed="false">
      <c r="A4" s="0" t="s">
        <v>842</v>
      </c>
      <c r="B4" s="0" t="s">
        <v>843</v>
      </c>
      <c r="C4" s="0" t="s">
        <v>837</v>
      </c>
      <c r="D4" s="0" t="s">
        <v>844</v>
      </c>
    </row>
    <row r="5" customFormat="false" ht="15" hidden="false" customHeight="false" outlineLevel="0" collapsed="false">
      <c r="A5" s="0" t="s">
        <v>845</v>
      </c>
      <c r="B5" s="0" t="s">
        <v>846</v>
      </c>
      <c r="C5" s="0" t="s">
        <v>837</v>
      </c>
      <c r="D5" s="0" t="s">
        <v>847</v>
      </c>
    </row>
    <row r="6" customFormat="false" ht="15" hidden="false" customHeight="false" outlineLevel="0" collapsed="false">
      <c r="A6" s="0" t="s">
        <v>848</v>
      </c>
      <c r="B6" s="0" t="s">
        <v>849</v>
      </c>
      <c r="C6" s="0" t="s">
        <v>837</v>
      </c>
      <c r="D6" s="0" t="s">
        <v>850</v>
      </c>
    </row>
    <row r="7" customFormat="false" ht="15" hidden="false" customHeight="false" outlineLevel="0" collapsed="false">
      <c r="A7" s="0" t="s">
        <v>851</v>
      </c>
      <c r="B7" s="0" t="s">
        <v>852</v>
      </c>
      <c r="C7" s="0" t="s">
        <v>837</v>
      </c>
      <c r="D7" s="0" t="s">
        <v>853</v>
      </c>
    </row>
    <row r="8" customFormat="false" ht="15" hidden="false" customHeight="false" outlineLevel="0" collapsed="false">
      <c r="A8" s="0" t="s">
        <v>854</v>
      </c>
      <c r="B8" s="0" t="s">
        <v>855</v>
      </c>
      <c r="C8" s="0" t="s">
        <v>837</v>
      </c>
      <c r="D8" s="0" t="s">
        <v>856</v>
      </c>
    </row>
    <row r="9" customFormat="false" ht="15" hidden="false" customHeight="false" outlineLevel="0" collapsed="false">
      <c r="A9" s="0" t="s">
        <v>857</v>
      </c>
      <c r="B9" s="0" t="s">
        <v>858</v>
      </c>
      <c r="C9" s="0" t="s">
        <v>837</v>
      </c>
      <c r="D9" s="0" t="s">
        <v>859</v>
      </c>
    </row>
    <row r="10" customFormat="false" ht="15" hidden="false" customHeight="false" outlineLevel="0" collapsed="false">
      <c r="A10" s="0" t="s">
        <v>860</v>
      </c>
      <c r="B10" s="0" t="s">
        <v>861</v>
      </c>
      <c r="C10" s="0" t="s">
        <v>837</v>
      </c>
      <c r="D10" s="0" t="s">
        <v>862</v>
      </c>
    </row>
    <row r="11" customFormat="false" ht="15" hidden="false" customHeight="false" outlineLevel="0" collapsed="false">
      <c r="A11" s="0" t="s">
        <v>863</v>
      </c>
      <c r="B11" s="0" t="s">
        <v>864</v>
      </c>
      <c r="C11" s="0" t="s">
        <v>837</v>
      </c>
      <c r="D11" s="0" t="s">
        <v>865</v>
      </c>
    </row>
    <row r="12" customFormat="false" ht="15" hidden="false" customHeight="false" outlineLevel="0" collapsed="false">
      <c r="A12" s="0" t="s">
        <v>866</v>
      </c>
      <c r="B12" s="0" t="s">
        <v>867</v>
      </c>
      <c r="C12" s="0" t="s">
        <v>837</v>
      </c>
      <c r="D12" s="0" t="s">
        <v>868</v>
      </c>
    </row>
    <row r="13" customFormat="false" ht="15" hidden="false" customHeight="false" outlineLevel="0" collapsed="false">
      <c r="A13" s="0" t="s">
        <v>869</v>
      </c>
      <c r="B13" s="0" t="s">
        <v>870</v>
      </c>
      <c r="C13" s="0" t="s">
        <v>837</v>
      </c>
      <c r="D13" s="0" t="s">
        <v>871</v>
      </c>
    </row>
    <row r="14" customFormat="false" ht="15" hidden="false" customHeight="false" outlineLevel="0" collapsed="false">
      <c r="A14" s="0" t="s">
        <v>872</v>
      </c>
      <c r="B14" s="0" t="s">
        <v>873</v>
      </c>
      <c r="C14" s="0" t="s">
        <v>837</v>
      </c>
      <c r="D14" s="0" t="s">
        <v>874</v>
      </c>
    </row>
    <row r="15" customFormat="false" ht="15" hidden="false" customHeight="false" outlineLevel="0" collapsed="false">
      <c r="A15" s="0" t="s">
        <v>875</v>
      </c>
      <c r="B15" s="0" t="s">
        <v>876</v>
      </c>
      <c r="C15" s="0" t="s">
        <v>837</v>
      </c>
      <c r="D15" s="0" t="s">
        <v>877</v>
      </c>
    </row>
    <row r="16" customFormat="false" ht="15" hidden="false" customHeight="false" outlineLevel="0" collapsed="false">
      <c r="A16" s="0" t="s">
        <v>878</v>
      </c>
      <c r="B16" s="0" t="s">
        <v>879</v>
      </c>
      <c r="C16" s="0" t="s">
        <v>837</v>
      </c>
      <c r="D16" s="0" t="s">
        <v>880</v>
      </c>
    </row>
    <row r="17" customFormat="false" ht="15" hidden="false" customHeight="false" outlineLevel="0" collapsed="false">
      <c r="A17" s="0" t="s">
        <v>881</v>
      </c>
      <c r="B17" s="0" t="s">
        <v>882</v>
      </c>
      <c r="C17" s="0" t="s">
        <v>837</v>
      </c>
      <c r="D17" s="0" t="s">
        <v>883</v>
      </c>
    </row>
    <row r="18" customFormat="false" ht="15" hidden="false" customHeight="false" outlineLevel="0" collapsed="false">
      <c r="A18" s="0" t="s">
        <v>884</v>
      </c>
      <c r="B18" s="0" t="s">
        <v>885</v>
      </c>
      <c r="C18" s="0" t="s">
        <v>837</v>
      </c>
      <c r="D18" s="0" t="s">
        <v>886</v>
      </c>
    </row>
    <row r="19" customFormat="false" ht="15" hidden="false" customHeight="false" outlineLevel="0" collapsed="false">
      <c r="A19" s="0" t="s">
        <v>887</v>
      </c>
      <c r="B19" s="0" t="s">
        <v>888</v>
      </c>
      <c r="C19" s="0" t="s">
        <v>837</v>
      </c>
      <c r="D19" s="0" t="s">
        <v>889</v>
      </c>
    </row>
    <row r="20" customFormat="false" ht="15" hidden="false" customHeight="false" outlineLevel="0" collapsed="false">
      <c r="A20" s="0" t="s">
        <v>890</v>
      </c>
      <c r="B20" s="0" t="s">
        <v>891</v>
      </c>
      <c r="C20" s="0" t="s">
        <v>837</v>
      </c>
      <c r="D20" s="0" t="s">
        <v>892</v>
      </c>
    </row>
    <row r="21" customFormat="false" ht="15" hidden="false" customHeight="false" outlineLevel="0" collapsed="false">
      <c r="A21" s="0" t="s">
        <v>893</v>
      </c>
      <c r="B21" s="0" t="s">
        <v>894</v>
      </c>
      <c r="C21" s="0" t="s">
        <v>837</v>
      </c>
      <c r="D21" s="0" t="s">
        <v>895</v>
      </c>
    </row>
    <row r="22" customFormat="false" ht="15" hidden="false" customHeight="false" outlineLevel="0" collapsed="false">
      <c r="A22" s="0" t="s">
        <v>896</v>
      </c>
      <c r="B22" s="0" t="s">
        <v>897</v>
      </c>
      <c r="C22" s="0" t="s">
        <v>898</v>
      </c>
      <c r="D22" s="0" t="s">
        <v>899</v>
      </c>
    </row>
    <row r="23" customFormat="false" ht="15" hidden="false" customHeight="false" outlineLevel="0" collapsed="false">
      <c r="A23" s="0" t="s">
        <v>900</v>
      </c>
      <c r="B23" s="0" t="s">
        <v>901</v>
      </c>
      <c r="C23" s="0" t="s">
        <v>898</v>
      </c>
      <c r="D23" s="0" t="s">
        <v>902</v>
      </c>
    </row>
    <row r="24" customFormat="false" ht="15" hidden="false" customHeight="false" outlineLevel="0" collapsed="false">
      <c r="A24" s="0" t="s">
        <v>903</v>
      </c>
      <c r="B24" s="0" t="s">
        <v>904</v>
      </c>
      <c r="C24" s="0" t="s">
        <v>837</v>
      </c>
      <c r="D24" s="0" t="s">
        <v>905</v>
      </c>
    </row>
    <row r="25" customFormat="false" ht="15" hidden="false" customHeight="false" outlineLevel="0" collapsed="false">
      <c r="A25" s="0" t="s">
        <v>906</v>
      </c>
      <c r="B25" s="0" t="s">
        <v>907</v>
      </c>
      <c r="C25" s="0" t="s">
        <v>837</v>
      </c>
      <c r="D25" s="0" t="s">
        <v>908</v>
      </c>
    </row>
    <row r="26" customFormat="false" ht="15" hidden="false" customHeight="false" outlineLevel="0" collapsed="false">
      <c r="A26" s="0" t="s">
        <v>909</v>
      </c>
      <c r="B26" s="0" t="s">
        <v>910</v>
      </c>
      <c r="C26" s="0" t="s">
        <v>898</v>
      </c>
      <c r="D26" s="0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912</v>
      </c>
    </row>
    <row r="2" customFormat="false" ht="15" hidden="false" customHeight="false" outlineLevel="0" collapsed="false">
      <c r="A2" s="0" t="s">
        <v>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2026-10-20T21:38:44Z</dcterms:created>
  <dc:creator>openpyxl</dc:creator>
  <dc:description/>
  <dc:language>en-US</dc:language>
  <cp:lastModifiedBy/>
  <dcterms:modified xsi:type="dcterms:W3CDTF">2026-10-20T21:38:44Z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