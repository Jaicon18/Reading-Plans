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<sst xmlns="http://schemas.openxmlformats.org/spreadsheetml/2006/main" count="1064" uniqueCount="602">
  <si>
    <t xml:space="preserve">Bank of America - Broomfield, CO (CO1-111) - PRUEBA 12A v61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</si>
  <si>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</si>
  <si>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</si>
  <si>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</si>
  <si>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</si>
  <si>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</si>
  <si>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</si>
  <si>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</si>
  <si>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</si>
  <si>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</si>
  <si>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</si>
  <si>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</si>
  <si>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</si>
  <si>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</si>
  <si>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</si>
  <si>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 - PRUEBA 12A v61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</si>
  <si>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</si>
  <si>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</si>
  <si>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</si>
  <si>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</si>
  <si>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</si>
  <si>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</si>
  <si>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</si>
  <si>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</si>
  <si>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</si>
  <si>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</si>
  <si>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</si>
  <si>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</si>
  <si>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G1</t>
  </si>
  <si>
    <t xml:space="preserve">G1  #G1-105/106  -  A02.01 · 5/A12.01</t>
  </si>
  <si>
    <t xml:space="preserve">G1-105/106</t>
  </si>
  <si>
    <t xml:space="preserve">1-5/8"</t>
  </si>
  <si>
    <t xml:space="preserve">A02.01 · 5/A12.01</t>
  </si>
  <si>
    <t xml:space="preserve">5/A12.01</t>
  </si>
  <si>
    <t xml:space="preserve">[CONFIRMADO]</t>
  </si>
  <si>
    <t xml:space="preserve">G1  #G1-S6  -  A02.01 · 5/A12.01 · 10/A12.01</t>
  </si>
  <si>
    <t xml:space="preserve">G1-S6</t>
  </si>
  <si>
    <t xml:space="preserve">A02.01 · 5/A12.01 · 10/A12.01</t>
  </si>
  <si>
    <t xml:space="preserve">[DERIVADO]</t>
  </si>
  <si>
    <t xml:space="preserve">G1  #G1-S7  -  A02.01 · 5/A12.01 · 10/A12.01</t>
  </si>
  <si>
    <t xml:space="preserve">G1-S7</t>
  </si>
  <si>
    <t xml:space="preserve">TYPE G</t>
  </si>
  <si>
    <t xml:space="preserve">G  #G-106/107  -  A02.01 · 5/A12.01</t>
  </si>
  <si>
    <t xml:space="preserve">G-106/107</t>
  </si>
  <si>
    <t xml:space="preserve">G  #G-107/108  -  A02.01 · 5/A12.01</t>
  </si>
  <si>
    <t xml:space="preserve">G-107/108</t>
  </si>
  <si>
    <t xml:space="preserve">G  #G-108/116  -  A02.01 · 5/A12.01</t>
  </si>
  <si>
    <t xml:space="preserve">G-108/116</t>
  </si>
  <si>
    <t xml:space="preserve">G  #G-102/109  -  A02.01 · 5/A12.01</t>
  </si>
  <si>
    <t xml:space="preserve">G-102/109</t>
  </si>
  <si>
    <t xml:space="preserve">G  #G-109/110  -  A02.01 · 5/A12.01</t>
  </si>
  <si>
    <t xml:space="preserve">G-109/110</t>
  </si>
  <si>
    <t xml:space="preserve">G  #G-110/114  -  A02.01 · 5/A12.01</t>
  </si>
  <si>
    <t xml:space="preserve">G-110/114</t>
  </si>
  <si>
    <t xml:space="preserve">G  #G-S1  -  A02.01 · 5/A12.01 · 10/A12.01</t>
  </si>
  <si>
    <t xml:space="preserve">G-S1</t>
  </si>
  <si>
    <t xml:space="preserve">G  #G-S2  -  A02.01 · 5/A12.01 · 10/A12.01</t>
  </si>
  <si>
    <t xml:space="preserve">G-S2</t>
  </si>
  <si>
    <t xml:space="preserve">G  #G-S3  -  A02.01 · 5/A12.01 · 10/A12.01</t>
  </si>
  <si>
    <t xml:space="preserve">G-S3</t>
  </si>
  <si>
    <t xml:space="preserve">G  #G-S4  -  A02.01 · 5/A12.01 · 10/A12.01</t>
  </si>
  <si>
    <t xml:space="preserve">G-S4</t>
  </si>
  <si>
    <t xml:space="preserve">G  #G-S5  -  A02.01 · 5/A12.01 · 10/A12.01</t>
  </si>
  <si>
    <t xml:space="preserve">G-S5</t>
  </si>
  <si>
    <t xml:space="preserve">TYPE BULKHEAD</t>
  </si>
  <si>
    <t xml:space="preserve">BULKHEAD  #BH-105  -  A02.01 7'-6" HOLD CLEAR FINISHED OPENING · 8/A12.01 · 9/A12.01 · 2/A11.01</t>
  </si>
  <si>
    <t xml:space="preserve">BH-105</t>
  </si>
  <si>
    <t xml:space="preserve">A02.01 7'-6" HOLD CLEAR FINISHED OPENING · 8/A12.01 · 9/A12.01 · 2/A11.01</t>
  </si>
  <si>
    <t xml:space="preserve">8/A12.01</t>
  </si>
  <si>
    <t xml:space="preserve">BULKHEAD  #BH-106  -  A02.01 7'-6" HOLD CLEAR FINISHED OPENING · 8/A12.01 · 9/A12.01 · 2/A11.01</t>
  </si>
  <si>
    <t xml:space="preserve">BH-106</t>
  </si>
  <si>
    <t xml:space="preserve">BULKHEAD  #BH-107  -  A02.01 7'-6" HOLD CLEAR FINISHED OPENING · 8/A12.01 · 9/A12.01 · 2/A11.01</t>
  </si>
  <si>
    <t xml:space="preserve">BH-107</t>
  </si>
  <si>
    <t xml:space="preserve">BULKHEAD  #BH-108  -  A02.01 7'-6" HOLD CLEAR FINISHED OPENING · 8/A12.01 · 9/A12.01 · 2/A11.01</t>
  </si>
  <si>
    <t xml:space="preserve">BH-108</t>
  </si>
  <si>
    <t xml:space="preserve">BULKHEAD  #BH-109  -  A02.01 7'-6" HOLD CLEAR FINISHED OPENING · 8/A12.01 · 9/A12.01 · 2/A11.01</t>
  </si>
  <si>
    <t xml:space="preserve">BH-109</t>
  </si>
  <si>
    <t xml:space="preserve">BULKHEAD  #BH-110  -  A02.01 7'-6" HOLD CLEAR FINISHED OPENING · 8/A12.01 · 9/A12.01 · 2/A11.01</t>
  </si>
  <si>
    <t xml:space="preserve">BH-110</t>
  </si>
  <si>
    <t xml:space="preserve">TYPE A1K</t>
  </si>
  <si>
    <t xml:space="preserve">A1K  #A1K-N  -  A02.01 (3'-5" impreso) · 4/A12.01</t>
  </si>
  <si>
    <t xml:space="preserve">A1K-N</t>
  </si>
  <si>
    <t xml:space="preserve">3-5/8"</t>
  </si>
  <si>
    <t xml:space="preserve">A02.01 (3'-5" impreso) · 4/A12.01</t>
  </si>
  <si>
    <t xml:space="preserve">4/A12.01</t>
  </si>
  <si>
    <t xml:space="preserve">A1K  #A1K-SE  -  A02.01 · 4/A12.01</t>
  </si>
  <si>
    <t xml:space="preserve">A1K-SE</t>
  </si>
  <si>
    <t xml:space="preserve">A02.01 · 4/A12.01</t>
  </si>
  <si>
    <t xml:space="preserve">A1K  #A1K-SW  -  A02.01 · 4/A12.01</t>
  </si>
  <si>
    <t xml:space="preserve">A1K-SW</t>
  </si>
  <si>
    <t xml:space="preserve">A1K  #A1K-J  -  A02.01 · 4/A12.01</t>
  </si>
  <si>
    <t xml:space="preserve">A1K-J</t>
  </si>
  <si>
    <t xml:space="preserve">A1K  #A1K-NJ  -  A02.01 · 4/A12.01</t>
  </si>
  <si>
    <t xml:space="preserve">A1K-NJ</t>
  </si>
  <si>
    <t xml:space="preserve">TYPE B2K</t>
  </si>
  <si>
    <t xml:space="preserve">B2K  #B2K-1  -  A02.01 · 4/A12.01 (familia K: B2 + 3/8 = 7 5/8", medido 7.68")</t>
  </si>
  <si>
    <t xml:space="preserve">B2K-1</t>
  </si>
  <si>
    <t xml:space="preserve">6"</t>
  </si>
  <si>
    <t xml:space="preserve">A02.01 · 4/A12.01 (familia K: B2 + 3/8 = 7 5/8", medido 7.68")</t>
  </si>
  <si>
    <t xml:space="preserve">TYPE A5</t>
  </si>
  <si>
    <t xml:space="preserve">A5  #A5-122E  -  A02.01 (19'-0" impreso en total) · 3/A12.01 · A04.01 (cara E da a ACT-4 11'-6")</t>
  </si>
  <si>
    <t xml:space="preserve">A5-122E</t>
  </si>
  <si>
    <t xml:space="preserve">A02.01 (19'-0" impreso en total) · 3/A12.01 · A04.01 (cara E da a ACT-4 11'-6")</t>
  </si>
  <si>
    <t xml:space="preserve">3/A12.01</t>
  </si>
  <si>
    <t xml:space="preserve">A5  #A5-122Eb  -  A02.01 · 3/A12.01 · A04.01 (ACT-4 9'-0")</t>
  </si>
  <si>
    <t xml:space="preserve">A5-122Eb</t>
  </si>
  <si>
    <t xml:space="preserve">A02.01 · 3/A12.01 · A04.01 (ACT-4 9'-0")</t>
  </si>
  <si>
    <t xml:space="preserve">A5  #A5-122W  -  A02.01 · 3/A12.01 (FEC-1 recess 0.833 ft &lt;= stud bay)</t>
  </si>
  <si>
    <t xml:space="preserve">A5-122W</t>
  </si>
  <si>
    <t xml:space="preserve">A02.01 · 3/A12.01 (FEC-1 recess 0.833 ft &lt;= stud bay)</t>
  </si>
  <si>
    <t xml:space="preserve">A5  #A5-P122  -  A02.01 · 3/A12.01</t>
  </si>
  <si>
    <t xml:space="preserve">A5-P122</t>
  </si>
  <si>
    <t xml:space="preserve">A02.01 · 3/A12.01</t>
  </si>
  <si>
    <t xml:space="preserve">A5  #A5-118A  -  A02.01 · 3/A12.01</t>
  </si>
  <si>
    <t xml:space="preserve">A5-118A</t>
  </si>
  <si>
    <t xml:space="preserve">TYPE A1</t>
  </si>
  <si>
    <t xml:space="preserve">A1  #A1-122N  -  A02.01 · 3/A12.01</t>
  </si>
  <si>
    <t xml:space="preserve">A1-122N</t>
  </si>
  <si>
    <t xml:space="preserve">A1  #A1-MW01E  -  A02.01 · 3/A12.01</t>
  </si>
  <si>
    <t xml:space="preserve">A1-MW01E</t>
  </si>
  <si>
    <t xml:space="preserve">A1  #A1-MW01S  -  A02.01 · 3/A12.01</t>
  </si>
  <si>
    <t xml:space="preserve">A1-MW01S</t>
  </si>
  <si>
    <t xml:space="preserve">A1  #A1-122S  -  A02.01 · 3/A12.01</t>
  </si>
  <si>
    <t xml:space="preserve">A1-122S</t>
  </si>
  <si>
    <t xml:space="preserve">A1  #A1-111N  -  A02.01 (5'-0" impreso) · 3/A12.01 · A00.30</t>
  </si>
  <si>
    <t xml:space="preserve">A1-111N</t>
  </si>
  <si>
    <t xml:space="preserve">A02.01 (5'-0" impreso) · 3/A12.01 · A00.30</t>
  </si>
  <si>
    <t xml:space="preserve">A1  #A1-MW21E  -  A02.01 · 3/A12.01</t>
  </si>
  <si>
    <t xml:space="preserve">A1-MW21E</t>
  </si>
  <si>
    <t xml:space="preserve">A1  #A1-118N  -  A02.01 · 3/A12.01 · A00.30</t>
  </si>
  <si>
    <t xml:space="preserve">A1-118N</t>
  </si>
  <si>
    <t xml:space="preserve">A02.01 · 3/A12.01 · A00.30</t>
  </si>
  <si>
    <t xml:space="preserve">A1  #A1-W120  -  A02.01 · 3/A12.01</t>
  </si>
  <si>
    <t xml:space="preserve">A1-W120</t>
  </si>
  <si>
    <t xml:space="preserve">A1  #A1-119N  -  A02.01 · 3/A12.01 · A00.30</t>
  </si>
  <si>
    <t xml:space="preserve">A1-119N</t>
  </si>
  <si>
    <t xml:space="preserve">A1  #A1-ALC-B  -  A02.01 (sin tag -&gt; nota A) · 3/A12.01</t>
  </si>
  <si>
    <t xml:space="preserve">A1-ALC-B</t>
  </si>
  <si>
    <t xml:space="preserve">A02.01 (sin tag -&gt; nota A) · 3/A12.01</t>
  </si>
  <si>
    <t xml:space="preserve">A1  #A1-ALC-N  -  A02.01 (sin tag, nota A, 4 7/8" medido) · 3/A12.01</t>
  </si>
  <si>
    <t xml:space="preserve">A1-ALC-N</t>
  </si>
  <si>
    <t xml:space="preserve">A02.01 (sin tag, nota A, 4 7/8" medido) · 3/A12.01</t>
  </si>
  <si>
    <t xml:space="preserve">A1  #A1-ALC-S  -  A02.01 (sin tag, nota A) · 3/A12.01</t>
  </si>
  <si>
    <t xml:space="preserve">A1-ALC-S</t>
  </si>
  <si>
    <t xml:space="preserve">A02.01 (sin tag, nota A) · 3/A12.01</t>
  </si>
  <si>
    <t xml:space="preserve">TYPE B</t>
  </si>
  <si>
    <t xml:space="preserve">B  #B-120N  -  A02.01 (9'-7" impreso) · 1/A12.01</t>
  </si>
  <si>
    <t xml:space="preserve">B-120N</t>
  </si>
  <si>
    <t xml:space="preserve">A02.01 (9'-7" impreso) · 1/A12.01</t>
  </si>
  <si>
    <t xml:space="preserve">1/A12.01</t>
  </si>
  <si>
    <t xml:space="preserve">B  #B-120/121  -  A02.01 · 1/A12.01</t>
  </si>
  <si>
    <t xml:space="preserve">B-120/121</t>
  </si>
  <si>
    <t xml:space="preserve">A02.01 · 1/A12.01</t>
  </si>
  <si>
    <t xml:space="preserve">B  #B-E120  -  A02.01 · 1/A12.01 · A00.30</t>
  </si>
  <si>
    <t xml:space="preserve">B-E120</t>
  </si>
  <si>
    <t xml:space="preserve">A02.01 · 1/A12.01 · A00.30</t>
  </si>
  <si>
    <t xml:space="preserve">B  #B-113S  -  A02.01 (face 113 dibujada lw 0.6) · 1/A12.01 · A00.30</t>
  </si>
  <si>
    <t xml:space="preserve">B-113S</t>
  </si>
  <si>
    <t xml:space="preserve">A02.01 (face 113 dibujada lw 0.6) · 1/A12.01 · A00.30</t>
  </si>
  <si>
    <t xml:space="preserve">B  #B-115N  -  A02.01 · 1/A12.01</t>
  </si>
  <si>
    <t xml:space="preserve">B-115N</t>
  </si>
  <si>
    <t xml:space="preserve">B  #B-112/117  -  A02.01 · 1/A12.01</t>
  </si>
  <si>
    <t xml:space="preserve">B-112/117</t>
  </si>
  <si>
    <t xml:space="preserve">TYPE B2</t>
  </si>
  <si>
    <t xml:space="preserve">B2  #B2-102E  -  A02.01 · 1/A12.01 · A00.30</t>
  </si>
  <si>
    <t xml:space="preserve">B2-102E</t>
  </si>
  <si>
    <t xml:space="preserve">B2  #B2-RR-a  -  A02.01 · 1/A12.01 · A00.30</t>
  </si>
  <si>
    <t xml:space="preserve">B2-RR-a</t>
  </si>
  <si>
    <t xml:space="preserve">B2  #B2-RR-b  -  A02.01 · 1/A12.01 · A00.30</t>
  </si>
  <si>
    <t xml:space="preserve">B2-RR-b</t>
  </si>
  <si>
    <t xml:space="preserve">B2  #B2-119W  -  A02.01 · 1/A12.01</t>
  </si>
  <si>
    <t xml:space="preserve">B2-119W</t>
  </si>
  <si>
    <t xml:space="preserve">TYPE C1</t>
  </si>
  <si>
    <t xml:space="preserve">C1  #C1-104MON  -  A02.01 (10'-0" impreso) · 6/A12.01 · KN 7 A02.01</t>
  </si>
  <si>
    <t xml:space="preserve">C1-104MON</t>
  </si>
  <si>
    <t xml:space="preserve">A02.01 (10'-0" impreso) · 6/A12.01 · KN 7 A02.01</t>
  </si>
  <si>
    <t xml:space="preserve">6/A12.01</t>
  </si>
  <si>
    <t xml:space="preserve">C1  #C1-114  -  A02.01 · 6/A12.01 · F/A08.01 (MR detras de toilet/lavatory)</t>
  </si>
  <si>
    <t xml:space="preserve">C1-114</t>
  </si>
  <si>
    <t xml:space="preserve">A02.01 · 6/A12.01 · F/A08.01 (MR detras de toilet/lavatory)</t>
  </si>
  <si>
    <t xml:space="preserve">C1  #C1-113  -  A02.01 · 6/A12.01 · F/A08.01</t>
  </si>
  <si>
    <t xml:space="preserve">C1-113</t>
  </si>
  <si>
    <t xml:space="preserve">A02.01 · 6/A12.01 · F/A08.01</t>
  </si>
  <si>
    <t xml:space="preserve">C1  #C1-FCAM  -  A02.01 · 6/A12.01</t>
  </si>
  <si>
    <t xml:space="preserve">C1-FCAM</t>
  </si>
  <si>
    <t xml:space="preserve">A02.01 · 6/A12.01</t>
  </si>
  <si>
    <t xml:space="preserve">TYPE F</t>
  </si>
  <si>
    <t xml:space="preserve">F  #F-101/102  -  A02.01 (diagonal 60 deg, vector) · 12/A12.01 · 1,4/A08.11 (R.O. 2'-3" x 2'-8 1/4", sill 2'</t>
  </si>
  <si>
    <t xml:space="preserve">F-101/102</t>
  </si>
  <si>
    <t xml:space="preserve">A02.01 (diagonal 60 deg, vector) · 12/A12.01 · 1,4/A08.11 (R.O. 2'-3" x 2'-8 1/4", sill 2'</t>
  </si>
  <si>
    <t xml:space="preserve">12/A12.01</t>
  </si>
  <si>
    <t xml:space="preserve">TYPE EXT</t>
  </si>
  <si>
    <t xml:space="preserve">EXT  #EXT-E1  -  A02.01 · C/A09.21 · 10/S5.10 · S2.20 W12x19</t>
  </si>
  <si>
    <t xml:space="preserve">EXT-E1</t>
  </si>
  <si>
    <t xml:space="preserve">A02.01 · C/A09.21 · 10/S5.10 · S2.20 W12x19</t>
  </si>
  <si>
    <t xml:space="preserve">C/A09.21</t>
  </si>
  <si>
    <t xml:space="preserve">EXT  #EXT-E2  -  A02.01 · C/A09.21 · 10/S5.10 · S2.20 W14x22</t>
  </si>
  <si>
    <t xml:space="preserve">EXT-E2</t>
  </si>
  <si>
    <t xml:space="preserve">A02.01 · C/A09.21 · 10/S5.10 · S2.20 W14x22</t>
  </si>
  <si>
    <t xml:space="preserve">EXT  #EXT-S1  -  A02.01 · C/A09.21 · 10/S5.10 · S2.20 W18x35</t>
  </si>
  <si>
    <t xml:space="preserve">EXT-S1</t>
  </si>
  <si>
    <t xml:space="preserve">A02.01 · C/A09.21 · 10/S5.10 · S2.20 W18x35</t>
  </si>
  <si>
    <t xml:space="preserve">EXT  #EXT-S2  -  A02.01 · C/A09.21 · 10/S5.10 · S2.20 W14x22</t>
  </si>
  <si>
    <t xml:space="preserve">EXT-S2</t>
  </si>
  <si>
    <t xml:space="preserve">EXT  #EXT-W1  -  A02.01 · C/A09.21 · 10/S5.10 · S2.20 W12x19</t>
  </si>
  <si>
    <t xml:space="preserve">EXT-W1</t>
  </si>
  <si>
    <t xml:space="preserve">EXT  #EXT-W2  -  A02.01 · C/A09.21 · 10/S5.10 · S2.20 W14x22</t>
  </si>
  <si>
    <t xml:space="preserve">EXT-W2</t>
  </si>
  <si>
    <t xml:space="preserve">EXT  #EXT-WNW  -  A02.01 · C/A09.21 · 10/S5.10 · S2.20 W12x19</t>
  </si>
  <si>
    <t xml:space="preserve">EXT-WNW</t>
  </si>
  <si>
    <t xml:space="preserve">EXT  #EXT-WJ  -  A02.01 · C/A09.21 · 10/S5.10 · S2.20 W12x19</t>
  </si>
  <si>
    <t xml:space="preserve">EXT-WJ</t>
  </si>
  <si>
    <t xml:space="preserve">EXT  #EXT-NE  -  A02.01 · C/A09.21 · 10/S5.10 · S2.20 W12x19</t>
  </si>
  <si>
    <t xml:space="preserve">EXT-NE</t>
  </si>
  <si>
    <t xml:space="preserve">EXT  #EXT-N-SF  -  A02.01 26'-3" · 2/A09.26 STEEL HEADER FRAMING · A09.01</t>
  </si>
  <si>
    <t xml:space="preserve">EXT-N-SF</t>
  </si>
  <si>
    <t xml:space="preserve">A02.01 26'-3" · 2/A09.26 STEEL HEADER FRAMING · A09.01</t>
  </si>
  <si>
    <t xml:space="preserve">2/A09.26</t>
  </si>
  <si>
    <t xml:space="preserve">TYPE COLUMN_WRAP</t>
  </si>
  <si>
    <t xml:space="preserve">COLUMN_WRAP  #C1-WR1  -  A02.01 C1 tag · 6/A12.01 · vestibule 100 NW col (G/2)</t>
  </si>
  <si>
    <t xml:space="preserve">C1-WR1</t>
  </si>
  <si>
    <t xml:space="preserve">A02.01 C1 tag · 6/A12.01 · vestibule 100 NW col (G/2)</t>
  </si>
  <si>
    <t xml:space="preserve">COLUMN_WRAP  #C1-WR2  -  A02.01 C1 tag · 6/A12.01 · vestibule 100 NE col</t>
  </si>
  <si>
    <t xml:space="preserve">C1-WR2</t>
  </si>
  <si>
    <t xml:space="preserve">A02.01 C1 tag · 6/A12.01 · vestibule 100 NE col</t>
  </si>
  <si>
    <t xml:space="preserve">COLUMN_WRAP  #C1-WR3  -  A02.01 C1 tag · 6/A12.01 · grille 103 N jamb box 3/A08.21</t>
  </si>
  <si>
    <t xml:space="preserve">C1-WR3</t>
  </si>
  <si>
    <t xml:space="preserve">A02.01 C1 tag · 6/A12.01 · grille 103 N jamb box 3/A08.21</t>
  </si>
  <si>
    <t xml:space="preserve">COLUMN_WRAP  #C1-WR4  -  A02.01 C1 tag · 6/A12.01 · grille 103 S jamb box 3/A08.21</t>
  </si>
  <si>
    <t xml:space="preserve">C1-WR4</t>
  </si>
  <si>
    <t xml:space="preserve">A02.01 C1 tag · 6/A12.01 · grille 103 S jamb box 3/A08.21</t>
  </si>
  <si>
    <t xml:space="preserve">COLUMN_WRAP  #CANCOL-1  -  5/A09.25 FOS 1'-2 1/2" · A04.01/A02.01 4 columns grid 1 · 7/A09.26 B/STUD 10'-7 1/4"</t>
  </si>
  <si>
    <t xml:space="preserve">CANCOL-1</t>
  </si>
  <si>
    <t xml:space="preserve">5/A09.25 FOS 1'-2 1/2" · A04.01/A02.01 4 columns grid 1 · 7/A09.26 B/STUD 10'-7 1/4"</t>
  </si>
  <si>
    <t xml:space="preserve">5/A09.25</t>
  </si>
  <si>
    <t xml:space="preserve">COLUMN_WRAP  #CANCOL-2  -  5/A09.25 FOS 1'-2 1/2" · A04.01/A02.01 4 columns grid 1 · 7/A09.26 B/STUD 10'-7 1/4"</t>
  </si>
  <si>
    <t xml:space="preserve">CANCOL-2</t>
  </si>
  <si>
    <t xml:space="preserve">COLUMN_WRAP  #CANCOL-3  -  5/A09.25 FOS 1'-2 1/2" · A04.01/A02.01 4 columns grid 1 · 7/A09.26 B/STUD 10'-7 1/4"</t>
  </si>
  <si>
    <t xml:space="preserve">CANCOL-3</t>
  </si>
  <si>
    <t xml:space="preserve">COLUMN_WRAP  #CANCOL-4  -  5/A09.25 FOS 1'-2 1/2" · A04.01/A02.01 4 columns grid 1 · 7/A09.26 B/STUD 10'-7 1/4"</t>
  </si>
  <si>
    <t xml:space="preserve">CANCOL-4</t>
  </si>
  <si>
    <t xml:space="preserve">TYPE STOREFRONT_CRIPPLES</t>
  </si>
  <si>
    <t xml:space="preserve">STOREFRONT_CRIPPLES  #VEST-N  -  A02.01 · A/A09.21 (T/GLAZING 8'-6", T/STUD HP 19'-8") · 1/A09.25</t>
  </si>
  <si>
    <t xml:space="preserve">VEST-N</t>
  </si>
  <si>
    <t xml:space="preserve">A02.01 · A/A09.21 (T/GLAZING 8'-6", T/STUD HP 19'-8") · 1/A09.25</t>
  </si>
  <si>
    <t xml:space="preserve">STOREFRONT_CRIPPLES  #VEST-W  -  A02.01 · A/A09.21 · A09.01 W elevation</t>
  </si>
  <si>
    <t xml:space="preserve">VEST-W</t>
  </si>
  <si>
    <t xml:space="preserve">A02.01 · A/A09.21 · A09.01 W elevation</t>
  </si>
  <si>
    <t xml:space="preserve">TYPE DOOR_BULKHEAD</t>
  </si>
  <si>
    <t xml:space="preserve">DOOR_BULKHEAD  #BH-V101  -  A02.01 · 1/A12.10 · 3/A12.10 (10'-0") · 5,7/A12.10</t>
  </si>
  <si>
    <t xml:space="preserve">BH-V101</t>
  </si>
  <si>
    <t xml:space="preserve">A02.01 · 1/A12.10 · 3/A12.10 (10'-0") · 5,7/A12.10</t>
  </si>
  <si>
    <t xml:space="preserve">DOOR_BULKHEAD  #BH-V100E  -  A02.01 · 1/A12.10 · 4/A12.10</t>
  </si>
  <si>
    <t xml:space="preserve">BH-V100E</t>
  </si>
  <si>
    <t xml:space="preserve">A02.01 · 1/A12.10 · 4/A12.10</t>
  </si>
  <si>
    <t xml:space="preserve">TYPE GRILLE_HEAD</t>
  </si>
  <si>
    <t xml:space="preserve">GRILLE_HEAD  #GRILLE-103  -  A02.01 13'-4" R.O. · 1/A08.21 · 4/A08.21</t>
  </si>
  <si>
    <t xml:space="preserve">GRILLE-103</t>
  </si>
  <si>
    <t xml:space="preserve">2-1/2"</t>
  </si>
  <si>
    <t xml:space="preserve">A02.01 13'-4" R.O. · 1/A08.21 · 4/A08.21</t>
  </si>
  <si>
    <t xml:space="preserve">4/A08.21</t>
  </si>
  <si>
    <t xml:space="preserve">TYPE SOFFIT_SIDE</t>
  </si>
  <si>
    <t xml:space="preserve">SOFFIT_SIDE  #CSR-W  -  A04.01 GB 8'-0" (3'-5") · 10/A09.33</t>
  </si>
  <si>
    <t xml:space="preserve">CSR-W</t>
  </si>
  <si>
    <t xml:space="preserve">A04.01 GB 8'-0" (3'-5") · 10/A09.33</t>
  </si>
  <si>
    <t xml:space="preserve">10/A09.33</t>
  </si>
  <si>
    <t xml:space="preserve">SOFFIT_SIDE  #CSR-E  -  A04.01 GB 8'-0" (3'-5") · 10/A09.33</t>
  </si>
  <si>
    <t xml:space="preserve">CSR-E</t>
  </si>
  <si>
    <t xml:space="preserve">TYPE CEILING_TRANSITION</t>
  </si>
  <si>
    <t xml:space="preserve">CEILING_TRANSITION  #TR104-N  -  A04.01 (30'-0" impreso) · 7/A09.33</t>
  </si>
  <si>
    <t xml:space="preserve">TR104-N</t>
  </si>
  <si>
    <t xml:space="preserve">A04.01 (30'-0" impreso) · 7/A09.33</t>
  </si>
  <si>
    <t xml:space="preserve">7/A09.33</t>
  </si>
  <si>
    <t xml:space="preserve">CEILING_TRANSITION  #TR104-W  -  A04.01 (30'-0" impreso) · 7/A09.33</t>
  </si>
  <si>
    <t xml:space="preserve">TR104-W</t>
  </si>
  <si>
    <t xml:space="preserve">CEILING_TRANSITION  #TR104-E  -  A04.01 (30'-0" impreso) · 7/A09.33</t>
  </si>
  <si>
    <t xml:space="preserve">TR104-E</t>
  </si>
  <si>
    <t xml:space="preserve">CEILING_TRANSITION  #TR-EC  -  A04.01 (doble linea y 1110.72-1118.04, ACT-4 11'-6" -&gt; 9'-0") · 7/A09.33</t>
  </si>
  <si>
    <t xml:space="preserve">TR-EC</t>
  </si>
  <si>
    <t xml:space="preserve">A04.01 (doble linea y 1110.72-1118.04, ACT-4 11'-6" -&gt; 9'-0") · 7/A09.33</t>
  </si>
  <si>
    <t xml:space="preserve">TYPE ROOF_STEP</t>
  </si>
  <si>
    <t xml:space="preserve">ROOF_STEP  #RS-1  -  A02.02 KN13 · 4/A02.02 (corrida exterior sobre low roof)</t>
  </si>
  <si>
    <t xml:space="preserve">RS-1</t>
  </si>
  <si>
    <t xml:space="preserve">A02.02 KN13 · 4/A02.02 (corrida exterior sobre low roof)</t>
  </si>
  <si>
    <t xml:space="preserve">4/A02.02</t>
  </si>
  <si>
    <t xml:space="preserve">ROOF_STEP  #RS-2  -  A02.02 · 4/A02.02 (corrida interior high side)</t>
  </si>
  <si>
    <t xml:space="preserve">RS-2</t>
  </si>
  <si>
    <t xml:space="preserve">A02.02 · 4/A02.02 (corrida interior high side)</t>
  </si>
  <si>
    <t xml:space="preserve">ROOF_STEP  #RS-3  -  A02.02 · 4/A02.02 (5/8 GYP TIGHT TO DECK)</t>
  </si>
  <si>
    <t xml:space="preserve">RS-3</t>
  </si>
  <si>
    <t xml:space="preserve">A02.02 · 4/A02.02 (5/8 GYP TIGHT TO DECK)</t>
  </si>
  <si>
    <t xml:space="preserve">TYPE PARAPET</t>
  </si>
  <si>
    <t xml:space="preserve">PARAPET  #PAR-N-T  -  A02.02 · 4/A09.26 · 11/S5.10 · A09.21-23 T/STUD</t>
  </si>
  <si>
    <t xml:space="preserve">PAR-N-T</t>
  </si>
  <si>
    <t xml:space="preserve">6" parapet</t>
  </si>
  <si>
    <t xml:space="preserve">A02.02 · 4/A09.26 · 11/S5.10 · A09.21-23 T/STUD</t>
  </si>
  <si>
    <t xml:space="preserve">11/S5.10</t>
  </si>
  <si>
    <t xml:space="preserve">PARAPET  #PAR-N  -  A02.02 · 4/A09.26 · 11/S5.10 · A09.21-23 T/STUD</t>
  </si>
  <si>
    <t xml:space="preserve">PAR-N</t>
  </si>
  <si>
    <t xml:space="preserve">PARAPET  #PAR-E-FB  -  A02.02 · 4/A09.26 · 11/S5.10 · A09.21-23 T/STUD</t>
  </si>
  <si>
    <t xml:space="preserve">PAR-E-FB</t>
  </si>
  <si>
    <t xml:space="preserve">PARAPET  #PAR-E-BA  -  A02.02 · 4/A09.26 · 11/S5.10 · A09.21-23 T/STUD</t>
  </si>
  <si>
    <t xml:space="preserve">PAR-E-BA</t>
  </si>
  <si>
    <t xml:space="preserve">PARAPET  #PAR-S  -  A02.02 · 4/A09.26 · 11/S5.10 · A09.21-23 T/STUD</t>
  </si>
  <si>
    <t xml:space="preserve">PAR-S</t>
  </si>
  <si>
    <t xml:space="preserve">PARAPET  #PAR-W-BA  -  A02.02 · 4/A09.26 · 11/S5.10 · A09.21-23 T/STUD</t>
  </si>
  <si>
    <t xml:space="preserve">PAR-W-BA</t>
  </si>
  <si>
    <t xml:space="preserve">PARAPET  #PAR-W-DB  -  A02.02 · 4/A09.26 · 11/S5.10 · A09.21-23 T/STUD</t>
  </si>
  <si>
    <t xml:space="preserve">PAR-W-DB</t>
  </si>
  <si>
    <t xml:space="preserve">PARAPET  #PAR-W-J  -  A02.02 · 4/A09.26 · 11/S5.10 · A09.21-23 T/STUD</t>
  </si>
  <si>
    <t xml:space="preserve">PAR-W-J</t>
  </si>
  <si>
    <t xml:space="preserve">PARAPET  #PAR-W-FD  -  A02.02 · 4/A09.26 · 11/S5.10 · A09.21-23 T/STUD</t>
  </si>
  <si>
    <t xml:space="preserve">PAR-W-FD</t>
  </si>
  <si>
    <t xml:space="preserve">TYPE FASCIA_BOX</t>
  </si>
  <si>
    <t xml:space="preserve">FASCIA_BOX  #FA-N  -  A02.02 74'-6" + 3'-8" · 7/A09.26 · 7/S5.20</t>
  </si>
  <si>
    <t xml:space="preserve">FA-N</t>
  </si>
  <si>
    <t xml:space="preserve">A02.02 74'-6" + 3'-8" · 7/A09.26 · 7/S5.20</t>
  </si>
  <si>
    <t xml:space="preserve">7/A09.26</t>
  </si>
  <si>
    <t xml:space="preserve">FASCIA_BOX  #FA-W  -  A02.02 55'-10 3/4" · 7/A09.26 · 7/S5.20</t>
  </si>
  <si>
    <t xml:space="preserve">FA-W</t>
  </si>
  <si>
    <t xml:space="preserve">A02.02 55'-10 3/4" · 7/A09.26 · 7/S5.20</t>
  </si>
  <si>
    <t xml:space="preserve">FASCIA_BOX  #FA-WS  -  A02.02 4'-10 1/4" + 16'-7 3/4" · 7/A09.26 · 7/S5.20</t>
  </si>
  <si>
    <t xml:space="preserve">FA-WS</t>
  </si>
  <si>
    <t xml:space="preserve">A02.02 4'-10 1/4" + 16'-7 3/4" · 7/A09.26 · 7/S5.20</t>
  </si>
  <si>
    <t xml:space="preserve">FASCIA_BOX  #FA-E  -  A02.02 vector · 7/A09.26 · 7/S5.20</t>
  </si>
  <si>
    <t xml:space="preserve">FA-E</t>
  </si>
  <si>
    <t xml:space="preserve">A02.02 vector · 7/A09.26 · 7/S5.20</t>
  </si>
  <si>
    <t xml:space="preserve">FASCIA_BOX  #FA-ES  -  A02.02 3'-8" · 7/A09.26 · 7/S5.20</t>
  </si>
  <si>
    <t xml:space="preserve">FA-ES</t>
  </si>
  <si>
    <t xml:space="preserve">A02.02 3'-8" · 7/A09.26 · 7/S5.20</t>
  </si>
  <si>
    <t xml:space="preserve">FASCIA_BOX  #FA-S  -  A02.02 16'-2" + 6'-10" + 2 x 3'-0" · F/A09.22 · 7/A09.26 · 7/S5.20</t>
  </si>
  <si>
    <t xml:space="preserve">FA-S</t>
  </si>
  <si>
    <t xml:space="preserve">A02.02 16'-2" + 6'-10" + 2 x 3'-0" · F/A09.22 · 7/A09.26 · 7/S5.20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</si>
  <si>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</si>
  <si>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</si>
  <si>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</si>
  <si>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</si>
  <si>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</si>
  <si>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</si>
  <si>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</si>
  <si>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</si>
  <si>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</si>
  <si>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</si>
  <si>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</si>
  <si>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</si>
  <si>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600S137-33 (exterior @16" 7/S5.20; K walls 14 GA @24" 4/A12.01)</t>
  </si>
  <si>
    <t xml:space="preserve">LF</t>
  </si>
  <si>
    <t xml:space="preserve">stick 20 ft</t>
  </si>
  <si>
    <t xml:space="preserve">familias_out.json (canon.py v61.1): "6" stud (todos los gauges)"; 7/S5.20</t>
  </si>
  <si>
    <t xml:space="preserve">3-5/8" metal stud 362S137-33</t>
  </si>
  <si>
    <t xml:space="preserve">familias_out.json (canon.py v61.1): "3-5/8" stud (todos los gauges)"; 7/S5.20</t>
  </si>
  <si>
    <t xml:space="preserve">1-5/8" metal stud (G/G1 double row, bulkheads)</t>
  </si>
  <si>
    <t xml:space="preserve">familias_out.json (canon.py v61.1): "1-5/8" stud"; 5/A12.01</t>
  </si>
  <si>
    <t xml:space="preserve">2-1/2" metal stud (coiling grille head)</t>
  </si>
  <si>
    <t xml:space="preserve">stick 10 ft</t>
  </si>
  <si>
    <t xml:space="preserve">familias_out.json (canon.py v61.1): "2-1/2" stud"; 4/A08.21</t>
  </si>
  <si>
    <t xml:space="preserve">6" parapet stud 600S162-54 @16"</t>
  </si>
  <si>
    <t xml:space="preserve">familias_out.json (canon.py v61.1): "6" parapet stud"; 11/S5.10</t>
  </si>
  <si>
    <t xml:space="preserve">Bottom track 600T125-33 / 362T125-33</t>
  </si>
  <si>
    <t xml:space="preserve">piece 10 ft</t>
  </si>
  <si>
    <t xml:space="preserve">familias_out.json (canon.py v61.1): "bottom track (todos)"; 7/S5.20</t>
  </si>
  <si>
    <t xml:space="preserve">Top / deflection track 600T200-97 / slip track</t>
  </si>
  <si>
    <t xml:space="preserve">familias_out.json (canon.py v61.1): "top / deflection track (todos)"; 7/S5.20; 3/A12.01</t>
  </si>
  <si>
    <t xml:space="preserve">Ceiling / soffit track 362T125-33</t>
  </si>
  <si>
    <t xml:space="preserve">familias_out.json (canon.py v61.1): "track de ceilings / soffits"; 7/A09.33; 7/A09.26</t>
  </si>
  <si>
    <t xml:space="preserve">Bracing 1-1/2" C.R. channel @ 48" O.C.</t>
  </si>
  <si>
    <t xml:space="preserve">piece 20 ft</t>
  </si>
  <si>
    <t xml:space="preserve">familias_out.json (canon.py v61.1): "bracing C.R. channel"; F/1/S5.20</t>
  </si>
  <si>
    <t xml:space="preserve">Purlin 1x1 16 GA across min (2) flutes (track parallel to flute)</t>
  </si>
  <si>
    <t xml:space="preserve">familias_out.json (canon.py v61.1): "purlin (track to deck)"; 10/A09.33</t>
  </si>
  <si>
    <t xml:space="preserve">Header / box beam (7/S5.20 header schedule)</t>
  </si>
  <si>
    <t xml:space="preserve">familias_out.json (canon.py v61.1): "header / box beam"; 7/S5.20; 8/A12.01; 4/A08.21</t>
  </si>
  <si>
    <t xml:space="preserve">Sill track</t>
  </si>
  <si>
    <t xml:space="preserve">familias_out.json (canon.py v61.1): "sill track"; 10/A09.27</t>
  </si>
  <si>
    <t xml:space="preserve">7/8" furring channel @ 16" O.C.</t>
  </si>
  <si>
    <t xml:space="preserve">piece 12 ft</t>
  </si>
  <si>
    <t xml:space="preserve">familias_out.json (canon.py v61.1): "furring channel"; A04.01; RFI-05</t>
  </si>
  <si>
    <t xml:space="preserve">1-1/2" carrying channel @ 48" O.C.</t>
  </si>
  <si>
    <t xml:space="preserve">piece 16 ft</t>
  </si>
  <si>
    <t xml:space="preserve">familias_out.json (canon.py v61.1): "carrying channel"; A04.01; RFI-05</t>
  </si>
  <si>
    <t xml:space="preserve">12 GA hanger wire @ 48" O.C.</t>
  </si>
  <si>
    <t xml:space="preserve">EA</t>
  </si>
  <si>
    <t xml:space="preserve">familias_out.json (canon.py v61.1): "hanger wire"; 3/A09.33</t>
  </si>
  <si>
    <t xml:space="preserve">5/8" gypsum board, regular (walls + ceilings)</t>
  </si>
  <si>
    <t xml:space="preserve">SF</t>
  </si>
  <si>
    <t xml:space="preserve">4x12 sheet</t>
  </si>
  <si>
    <t xml:space="preserve">familias_out.json (canon.py v61.1): "5/8" gyp board regular (walls + ceilings)"</t>
  </si>
  <si>
    <t xml:space="preserve">5/8" moisture resistant gypsum board</t>
  </si>
  <si>
    <t xml:space="preserve">familias_out.json (canon.py v61.1): "5/8" gyp MOISTURE RESISTANT"; F/A08.01</t>
  </si>
  <si>
    <t xml:space="preserve">3/8" UL752 Level-2 ballistic fiberglass panel (customer side to 8'-0")</t>
  </si>
  <si>
    <t xml:space="preserve">4x8 sheet</t>
  </si>
  <si>
    <t xml:space="preserve">familias_out.json (canon.py v61.1): "ballistic panel"; 4/A12.01</t>
  </si>
  <si>
    <t xml:space="preserve">3/8" gypsum board (8'-0" to structure, customer side)</t>
  </si>
  <si>
    <t xml:space="preserve">familias_out.json (canon.py v61.1): "3/8" gyp board"; 4/A12.01</t>
  </si>
  <si>
    <t xml:space="preserve">5/8" glass mat sheathing (base 0'-6" + canopy band)</t>
  </si>
  <si>
    <t xml:space="preserve">familias_out.json (canon.py v61.1): "5/8" glass mat sheathing"; 9,12/A09.27; 7/A09.26</t>
  </si>
  <si>
    <t xml:space="preserve">5/8" exterior gypsum sheathing / dens deck (parapet roof side)</t>
  </si>
  <si>
    <t xml:space="preserve">familias_out.json (canon.py v61.1): "5/8" EXTERIOR gyp sheathing"; 4/A09.26</t>
  </si>
  <si>
    <t xml:space="preserve">5/8" FRT plywood (nailbase bonded polyiso, soffit/fascia, strips, backboards)</t>
  </si>
  <si>
    <t xml:space="preserve">familias_out.json (canon.py v61.1): "FRT plywood (SF)"; A09.21; 7/A09.26; 10/A09.27</t>
  </si>
  <si>
    <t xml:space="preserve">FRT blocking (parapet 2 plies, bulkhead, toilet accessories, roof step)</t>
  </si>
  <si>
    <t xml:space="preserve">piece 8 ft</t>
  </si>
  <si>
    <t xml:space="preserve">familias_out.json (canon.py v61.1): "FRT blocking"; 4/A09.26; A08.01 note E</t>
  </si>
  <si>
    <t xml:space="preserve">Metal stud blocking 362CR22 (edge of gypboard + accessories)</t>
  </si>
  <si>
    <t xml:space="preserve">familias_out.json (canon.py v61.1): "metal stud blocking (362CR / STUD BLOCKING)"; 4/S5.20</t>
  </si>
  <si>
    <t xml:space="preserve">Framed openings MEP (ceiling fixtures / access panel)</t>
  </si>
  <si>
    <t xml:space="preserve">framed_openings_out.json; E00.01; E02.01</t>
  </si>
  <si>
    <t xml:space="preserve">Acoustical sealant (beads per partition detail)</t>
  </si>
  <si>
    <t xml:space="preserve">gen_takeoff.py: sum L x beads (3/A12.01=2, 1/A12.01=4, 5/A12.01=2, 4/A12.01=4) - door R.O. bottom (55.5)</t>
  </si>
  <si>
    <t xml:space="preserve">Batt insulation in partitions (sound)</t>
  </si>
  <si>
    <t xml:space="preserve">gen_takeoff.py: sum L x stud H, partitions "INSULATION YES" A12.01</t>
  </si>
  <si>
    <t xml:space="preserve">FRP panel restrooms 113/114 (5'-0" above cove base)</t>
  </si>
  <si>
    <t xml:space="preserve">4x10 sheet</t>
  </si>
  <si>
    <t xml:space="preserve">gen_takeoff.py: perimetro 113 30.84 + 114 34.17 LF x 5.0; A-D/A08.01, 8/A08.01</t>
  </si>
  <si>
    <t xml:space="preserve">Cement board behind tile cove base (6")</t>
  </si>
  <si>
    <t xml:space="preserve">3x5 sheet</t>
  </si>
  <si>
    <t xml:space="preserve">gen_takeoff.py: mismo perimetro x 0.5 ft; 58.7; 8/A08.01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</si>
  <si>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</si>
  <si>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</si>
  <si>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</si>
  <si>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</si>
  <si>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A09.01 'SOUTH ELEVATION' draws the NORTH facade (grid 8 at left, entrance/vestibule) and A09.02 'NORTH ELEVATION' draws the SOUTH facade (rear egress door 123). Confirm labels; take-off uses facade per plan/grid order.</t>
  </si>
  <si>
    <t xml:space="preserve">0 (classification only; facades kept separate N/E/S/W)</t>
  </si>
  <si>
    <t xml:space="preserve">RFI-02</t>
  </si>
  <si>
    <t xml:space="preserve">Canopy band height at wall (7/A09.26): carried T/STUD 12'-7" - B/STUD 10'-7 1/4" = 1.979 ft; alternate to fascia B/STUD 10'-8 5/8" = 1.864 ft.</t>
  </si>
  <si>
    <t xml:space="preserve">glass mat -15.8 SF / FRT plywood nailbase +15.8 SF</t>
  </si>
  <si>
    <t xml:space="preserve">RFI-03</t>
  </si>
  <si>
    <t xml:space="preserve">Canopy soffit sheathing: 7/A09.26 &amp; 15/16/A09.27 say 5/8" EXT GRADE FRT PLYWOOD; 4,5/A09.33 say 5/8" EXTERIOR SHEATHING. Carried FRT plywood.</t>
  </si>
  <si>
    <t xml:space="preserve">alternate: -1491.4 SF FRT plywood / +1491.4 SF 5/8" exterior gyp sheathing</t>
  </si>
  <si>
    <t xml:space="preserve">RFI-05</t>
  </si>
  <si>
    <t xml:space="preserve">GWB ceiling suspension spacing not printed (furring 16" O.C., carrying 48" O.C., hangers 48" O.C. carried per ASTM C754 typical).</t>
  </si>
  <si>
    <t xml:space="preserve">furring @24": approx -1/3 furring channel LF</t>
  </si>
  <si>
    <t xml:space="preserve">RFI-06</t>
  </si>
  <si>
    <t xml:space="preserve">Window heads 11/A09.27: 'METAL STUD BOX BEAM OR STEEL FRAMING AS REQUIRED' - carried metal box beam (53.3).</t>
  </si>
  <si>
    <t xml:space="preserve">if steel by others: -55.33 LF header</t>
  </si>
  <si>
    <t xml:space="preserve">RFI-07</t>
  </si>
  <si>
    <t xml:space="preserve">North storefront head 2/A09.26 'STEEL HEADER FRAMING' - carried by others (no header LF); cripples above carried.</t>
  </si>
  <si>
    <t xml:space="preserve">if ours: +27.58 LF header (26.247 + 1.333)</t>
  </si>
  <si>
    <t xml:space="preserve">RFI-08</t>
  </si>
  <si>
    <t xml:space="preserve">Bracing rows cross openings without studs (53.4 literal, corridas.py).</t>
  </si>
  <si>
    <t xml:space="preserve">-98.59 LF C.R. channel if not crossing</t>
  </si>
  <si>
    <t xml:space="preserve">RFI-09</t>
  </si>
  <si>
    <t xml:space="preserve">Parapet 3/4" FRT plywood blocking 4/A09.26 'AS REQUIRED' - 2 plies carried (53.3).</t>
  </si>
  <si>
    <t xml:space="preserve">1 ply: -264.3 LF FRT blocking</t>
  </si>
  <si>
    <t xml:space="preserve">RFI-10</t>
  </si>
  <si>
    <t xml:space="preserve">Roof step 4/A02.02 stud heights not printed: measured on detail (1 1/2"=1'-0", scale validated with T/STEEL 15'-4 1/2" vs 13'-0 5/8"): R1 3.33 ft, R2 3.42 ft; R3 to ceiling below 8'-6" (53.3) 4.552 ft.</t>
  </si>
  <si>
    <t xml:space="preserve">+/- 1 ft height on 51.73 LF x 3 runs = +/-155 SF / studs prorated</t>
  </si>
  <si>
    <t xml:space="preserve">RFI-11</t>
  </si>
  <si>
    <t xml:space="preserve">Coiling grille 103 head (4/A08.21): 2-1/2" CFMF head framing height carried 1'-6"; framing above head to deck not detailed.</t>
  </si>
  <si>
    <t xml:space="preserve">if wall to deck above head: +13.33 LF x ~2.4 ft studs/board</t>
  </si>
  <si>
    <t xml:space="preserve">RFI-12</t>
  </si>
  <si>
    <t xml:space="preserve">Tower parapet (T.O. PARAPET 2 20'-0", T/STUD HP 19'-8") carried N grid 2-4 and W F-D only; S/W returns in elevations not on roof plan.</t>
  </si>
  <si>
    <t xml:space="preserve">+4.29 ft x return LF if additional</t>
  </si>
  <si>
    <t xml:space="preserve">RFI-13</t>
  </si>
  <si>
    <t xml:space="preserve">FEC-2 recessed cabinet in B wall (3'-0" recess measured) header + sill carried; FEC sizes not printed (A00.40).</t>
  </si>
  <si>
    <t xml:space="preserve">if semi-recessed fits bay: -8.67 LF header/sill</t>
  </si>
  <si>
    <t xml:space="preserve">RFI-14</t>
  </si>
  <si>
    <t xml:space="preserve">Recessed toilet accessories TA-2 (x2), TA-13 recess kit (x2), TA-14 (x2) - widths not printed: header/sill NOT carried (58.4 vs 59.8).</t>
  </si>
  <si>
    <t xml:space="preserve">+20.0 LF header, +20.0 LF sill track (2'-0" + 1'-4" each)</t>
  </si>
  <si>
    <t xml:space="preserve">RFI-15</t>
  </si>
  <si>
    <t xml:space="preserve">Blocking material at wall stops (A00.30 note D) and equipment (A02.01 note C) not specified - carried 362CR22 metal.</t>
  </si>
  <si>
    <t xml:space="preserve">alternate FRT 2x: same LF in FRT blocking</t>
  </si>
  <si>
    <t xml:space="preserve">RFI-16</t>
  </si>
  <si>
    <t xml:space="preserve">EPS-5 formed metal panel 7/8" hat channel (7/A09.26) = cladding substrate, EXCLUDED (alcance_filtro.py, 60.4).</t>
  </si>
  <si>
    <t xml:space="preserve">+450 LF hat channel if included</t>
  </si>
  <si>
    <t xml:space="preserve">RFI-17</t>
  </si>
  <si>
    <t xml:space="preserve">Purlin on top track parallel to flute: corridas.py counts L x rows; 59.1 says double row = one piece.</t>
  </si>
  <si>
    <t xml:space="preserve">-60.2 LF purlin if one piece per double-row G</t>
  </si>
  <si>
    <t xml:space="preserve">RFI-18</t>
  </si>
  <si>
    <t xml:space="preserve">R-11 / R-11A fixture widths not printed (FSM2L); 4" carried for framed opening ends. R-11C desc 12' vs catalog 20'-0" (60.9) carried 12'.</t>
  </si>
  <si>
    <t xml:space="preserve">R-11C at 20': +64 LF framed openings</t>
  </si>
  <si>
    <t xml:space="preserve">RFI-19</t>
  </si>
  <si>
    <t xml:space="preserve">ATM 9D drive-up 6/A08.11: '2 1/2" METAL STUD SISTERED TO 6" METAL STUD' and (2) layers 3/4" FRT plywood plinth - extents not dimensioned, not carried.</t>
  </si>
  <si>
    <t xml:space="preserve">approx +8 studs x 6 ft 2-1/2" (48 LF) + plinth plywood</t>
  </si>
  <si>
    <t xml:space="preserve">RFI-20</t>
  </si>
  <si>
    <t xml:space="preserve">Drive-up canopy columns at grid 1 (PT-3 stucco piers): no framing/sheathing detail found - not carried.</t>
  </si>
  <si>
    <t xml:space="preserve">per column wrap detail</t>
  </si>
  <si>
    <t xml:space="preserve">RFI-21</t>
  </si>
  <si>
    <t xml:space="preserve">Walls crossing grid B HI/LOW line (B2-RR-a, A5-122E, A1-122S...) carried at high side 15'-4 1/2" (53.2) instead of splitting.</t>
  </si>
  <si>
    <t xml:space="preserve">split at B: approx -2.3 ft x studs south of B</t>
  </si>
  <si>
    <t xml:space="preserve">RFI-22</t>
  </si>
  <si>
    <t xml:space="preserve">Metal trim (corner bead, J/L-bead 53.1) and shadow molding not quantified (no tool in v61).</t>
  </si>
  <si>
    <t xml:space="preserve">PENDING - add per 53.1</t>
  </si>
  <si>
    <t xml:space="preserve">RFI-23</t>
  </si>
  <si>
    <t xml:space="preserve">Electrical 120 / NER 121 KN6 3/4" FRT plywood backboards: 8'-0" high (one 4x8 course from 6" AFF) carried on walls marked 6 in A02.01.</t>
  </si>
  <si>
    <t xml:space="preserve">full height to 12'-6": +~180 SF</t>
  </si>
  <si>
    <t xml:space="preserve">RFI-24</t>
  </si>
  <si>
    <t xml:space="preserve">A1K north piece at teller line: ballistic face carried toward office 108 (north); confirm customer side.</t>
  </si>
  <si>
    <t xml:space="preserve">0 SF (location only)</t>
  </si>
  <si>
    <t xml:space="preserve">RFI-25</t>
  </si>
  <si>
    <t xml:space="preserve">MEP crossings at walls to deck (M01.01): ducts 8"x10", 10"x12", 12"x12", 14"x14" R-2 w/ FD fit the 14 3/8" stud bay (59.8 -&gt; no header/sill). FCU-1 21"x17" duct near ATM room 102 - confirm if it penetrates B2 wall 102E.</t>
  </si>
  <si>
    <t xml:space="preserve">+ (21"+2x1'-4") = 4.42 LF header + 4.42 LF sill if it penetrates</t>
  </si>
  <si>
    <t xml:space="preserve">RFI-26</t>
  </si>
  <si>
    <t xml:space="preserve">Storefront piers 1/A09.25 (grid 2) and 2/A09.25 (grid 4) carried as C1 column wraps (perimeter x height, 3-5/8"); detail shows 6" CFMF + 3-5/8" framing + 3/4" FRT plywood at jambs.</t>
  </si>
  <si>
    <t xml:space="preserve">+~2 x 6" studs x 11.75 ft per pier + jamb plywood ~25 SF</t>
  </si>
  <si>
    <t xml:space="preserve">RFI-27</t>
  </si>
  <si>
    <t xml:space="preserve">Millwork shelving standards MW05 (storage) and MW06A (janitor, x2 per 8/A08.01) - number of standards not dimensioned; blocking not carried.</t>
  </si>
  <si>
    <t xml:space="preserve">+ height x standards (e.g. 3 x 7 ft = 21 LF per unit)</t>
  </si>
  <si>
    <t xml:space="preserve">RFI-28</t>
  </si>
  <si>
    <t xml:space="preserve">G/G1 board height: 5/A12.01 draws both 2-layer faces to the top line (structure); carried to structure. Alternate ceiling + 6".</t>
  </si>
  <si>
    <t xml:space="preserve">approx -2,170 SF 5/8" regular (back-check RFI-BC-4)</t>
  </si>
  <si>
    <t xml:space="preserve">RFI-29</t>
  </si>
  <si>
    <t xml:space="preserve">S2.20 note 'BUILDING FOOTPRINT MIRRORED NORTH-SOUTH' vs elevation titles (RFI-01): perimeter beams assigned per S2.20 grid order = A02.01 grid order (no mirror found).</t>
  </si>
  <si>
    <t xml:space="preserve">approx +/-25 LF 6" stud if beams swap N/S</t>
  </si>
  <si>
    <t xml:space="preserve">RFI-30</t>
  </si>
  <si>
    <t xml:space="preserve">corridas.py carries bottom track = L x rows without deducting door R.O. (tool convention).</t>
  </si>
  <si>
    <t xml:space="preserve">bottom track approx -(sum door R.O.) = -63 LF</t>
  </si>
  <si>
    <t xml:space="preserve">RFI-31</t>
  </si>
  <si>
    <t xml:space="preserve">MW01 printer cabinet opening toward 103 (3'-1 1/2" printed): no header/cripples/board above cabinet carried; cabinet height in A12.03.</t>
  </si>
  <si>
    <t xml:space="preserve">+4.5 LF header, +16 SF board</t>
  </si>
  <si>
    <t xml:space="preserve">RFI-32</t>
  </si>
  <si>
    <t xml:space="preserve">3.3" cavity between G-108/116 (116 face, 2 layers) and A1K-N (north face, K panel): both faces carried.</t>
  </si>
  <si>
    <t xml:space="preserve">-52 to -92 SF if cavity faces omitted</t>
  </si>
  <si>
    <t xml:space="preserve">RFI-33</t>
  </si>
  <si>
    <t xml:space="preserve">S1.11: exterior studs 600S162-54 @16" and @12" within 6 ft of building corners vs 7/S5.20 600S137-33 @16" (56.2): carried 12" zones at building corners (more material).</t>
  </si>
  <si>
    <t xml:space="preserve">-~60 LF 6" stud if 16" throughout; gauge 54 vs 33 mil</t>
  </si>
  <si>
    <t xml:space="preserve">#</t>
  </si>
  <si>
    <t xml:space="preserve">Punto</t>
  </si>
  <si>
    <t xml:space="preserve">Hoja + detalle</t>
  </si>
  <si>
    <t xml:space="preserve">Imagen</t>
  </si>
  <si>
    <t xml:space="preserve">Confirmar el censo de 51 tags (A02.01) y las ubicaciones circuladas por tipo en Planos marcados/ (pausa de barrido en modo desatendido).</t>
  </si>
  <si>
    <t xml:space="preserve">A02.01</t>
  </si>
  <si>
    <t xml:space="preserve">Planos marcados/</t>
  </si>
  <si>
    <t xml:space="preserve">Rótulos de elevación transpuestos N/S (RFI-01): las fachadas se asignaron por planta y orden de ejes.</t>
  </si>
  <si>
    <t xml:space="preserve">Parapet infill: studs_nodos cuenta @16" continuo; 59.4 pide fórmula por bay entre HSS posts @5'-0". La tool no cubre el caso (delta estimado bajo).</t>
  </si>
  <si>
    <t xml:space="preserve">Purlin: la tool multiplica por rows en G doble fila; 59.1 dice una pieza (RFI-17).</t>
  </si>
  <si>
    <t xml:space="preserve">Roof step 4/A02.02: alturas medidas en el detalle (RFI-10).</t>
  </si>
  <si>
    <t xml:space="preserve">Canopy soffits: se agregó el caso canopy_joist a canon.py (v61.1) con test; revisar áreas de canopy W/N/E medidas en A02.02/A02.01.</t>
  </si>
  <si>
    <t xml:space="preserve">Glass mat: banda 1.979 ft vs 1.864 (RFI-02). Nailbase incluye parapet hasta T/STUD 17'-5".</t>
  </si>
  <si>
    <t xml:space="preserve">Bulkheads de office front: alto stud = B.O.D. - HOLD 8'-0 1/2" (2/A11.01); box beam como header; 3/4" FRT plywood blocking como FRT blocking.</t>
  </si>
  <si>
    <t xml:space="preserve">Millwork blocking: largos medidos en planta (A12.03-06 no abiertos detalle por detalle).</t>
  </si>
  <si>
    <t xml:space="preserve">Toilet accessory blocking FRT (nota E A08.01): largos por accesorio asumidos (lista en blocking_items).</t>
  </si>
  <si>
    <t xml:space="preserve">Trims (corner bead / J-bead) no cuantificados (RFI-22).</t>
  </si>
  <si>
    <t xml:space="preserve">alcances.py compuerta no puede correr: importa familias.py, que la prueba prohíbe bajar.</t>
  </si>
  <si>
    <t xml:space="preserve">Waiting 104 transiciones 7/A09.33 en 3 lados (0'-6" drop 11'-6" -&gt; 11'-0").</t>
  </si>
  <si>
    <t xml:space="preserve">CSR soffit 116 (GB 8'-0" 3'-5" ancho): lados soffit_side + fondo como ceiling furring.</t>
  </si>
  <si>
    <t xml:space="preserve">Adversarial #1 aplicado: F wall caras (102 a ceiling+6", 101 gyp sobre plywood), alcove A1, BH 109/110 7'-6" HOLD, C1 monitor 10'-0", A5-122E partido en y 1110.72, duplicados A1K, door 116 R.O. 3'-4", transicion 11'-6"-&gt;9'-0".</t>
  </si>
  <si>
    <t xml:space="preserve">Back-check/</t>
  </si>
  <si>
    <t xml:space="preserve">Adversarial #2 aplicado: alturas EXT-E2/W2 (11.907), S canopy door 123, walls 6" sobre storefront del vestibule a 19'-8" (A/A09.21), bulkheads A12.10, columnas canopy 5/A09.25, hatch/ladder/lockers, vestibule 100 7.66 ft, torre W desde G, CSR 9/A12.08, zonas @12" S1.11.</t>
  </si>
  <si>
    <t xml:space="preserve">No aplicado (para revisar): B2K hasta x1622.04 (regla del protocolo: 1.26 a cara del A1K); G1 stubs 109/110 extension; nodos B2-102E; A1-W120 cara 118B; C1-FCAM altura; FEC-2 R.O. (RFI-13).</t>
  </si>
  <si>
    <t xml:space="preserve">Back-check ciego: la mayoria de las diferencias son omisiones del revisor (bulkheads, canopy joists, 2 layers G). Quedan RFI-28 (altura board G), RFI-29 (planta espejada), RFI-30 (bottom track sin deducir doors).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</si>
  <si>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</si>
  <si>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</si>
  <si>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</si>
  <si>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</si>
  <si>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</si>
  <si>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</si>
  <si>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</si>
  <si>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familias_out.json</t>
  </si>
  <si>
    <t xml:space="preserve">ALC-02</t>
  </si>
  <si>
    <t xml:space="preserve">Exterior wall framing (CFMF)</t>
  </si>
  <si>
    <t xml:space="preserve">ALC-03</t>
  </si>
  <si>
    <t xml:space="preserve">Parapet framing</t>
  </si>
  <si>
    <t xml:space="preserve">ALC-04</t>
  </si>
  <si>
    <t xml:space="preserve">Top / deflection and bottom track</t>
  </si>
  <si>
    <t xml:space="preserve">ALC-05</t>
  </si>
  <si>
    <t xml:space="preserve">Headers, sills and jambs at openings</t>
  </si>
  <si>
    <t xml:space="preserve">ALC-06</t>
  </si>
  <si>
    <t xml:space="preserve">Bracing / bridging</t>
  </si>
  <si>
    <t xml:space="preserve">ALC-07</t>
  </si>
  <si>
    <t xml:space="preserve">Gypsum board on walls (layers per type)</t>
  </si>
  <si>
    <t xml:space="preserve">ALC-08</t>
  </si>
  <si>
    <t xml:space="preserve">Moisture / abuse / special board at wet zones</t>
  </si>
  <si>
    <t xml:space="preserve">ALC-09</t>
  </si>
  <si>
    <t xml:space="preserve">Exterior gypsum / glass mat sheathing</t>
  </si>
  <si>
    <t xml:space="preserve">ALC-10</t>
  </si>
  <si>
    <t xml:space="preserve">FRT plywood sheathing / substrate</t>
  </si>
  <si>
    <t xml:space="preserve">ALC-11</t>
  </si>
  <si>
    <t xml:space="preserve">Gypsum board ceilings</t>
  </si>
  <si>
    <t xml:space="preserve">ALC-12</t>
  </si>
  <si>
    <t xml:space="preserve">Ceiling suspension (furring / carrying channel / hanger wire / ceiling track)</t>
  </si>
  <si>
    <t xml:space="preserve">ALC-13</t>
  </si>
  <si>
    <t xml:space="preserve">Soffits and bulkheads (framing + board)</t>
  </si>
  <si>
    <t xml:space="preserve">ALC-14</t>
  </si>
  <si>
    <t xml:space="preserve">Canopy / marquee framing and sheathing</t>
  </si>
  <si>
    <t xml:space="preserve">ALC-15</t>
  </si>
  <si>
    <t xml:space="preserve">Column furring / wraps</t>
  </si>
  <si>
    <t xml:space="preserve">C1 column wraps (vestibule, grille jambs) 6/A12.01</t>
  </si>
  <si>
    <t xml:space="preserve">ALC-16</t>
  </si>
  <si>
    <t xml:space="preserve">Blocking (FRT wood / metal) for millwork and accessories</t>
  </si>
  <si>
    <t xml:space="preserve">ALC-17</t>
  </si>
  <si>
    <t xml:space="preserve">Framed openings (MEP, access panels, diffusers)</t>
  </si>
  <si>
    <t xml:space="preserve">ALC-18</t>
  </si>
  <si>
    <t xml:space="preserve">Trim: corner bead, casing bead, control joints, reveals</t>
  </si>
  <si>
    <t xml:space="preserve">RFI-22 metal trim not quantified</t>
  </si>
  <si>
    <t xml:space="preserve">ALC-19</t>
  </si>
  <si>
    <t xml:space="preserve">Acoustical sealant / sound attenuation</t>
  </si>
  <si>
    <t xml:space="preserve">ALC-20</t>
  </si>
  <si>
    <t xml:space="preserve">FRP / cement board / tile backer</t>
  </si>
  <si>
    <t xml:space="preserve">FRP 113/114 + cement board under tile cove base (A08.01, 58.7)</t>
  </si>
  <si>
    <t xml:space="preserve">ALC-21</t>
  </si>
  <si>
    <t xml:space="preserve">Shaft walls / area separation walls</t>
  </si>
  <si>
    <t xml:space="preserve">NO APLICA</t>
  </si>
  <si>
    <t xml:space="preserve">NO APLICA: A02.01 no shaft walls</t>
  </si>
  <si>
    <t xml:space="preserve">ALC-22</t>
  </si>
  <si>
    <t xml:space="preserve">Rated assemblies (UL designs) and their board type</t>
  </si>
  <si>
    <t xml:space="preserve">NO APLICA: A02.01 no rated partitions in A12.01 schedule (FIRE RATING --)</t>
  </si>
  <si>
    <t xml:space="preserve">ALC-23</t>
  </si>
  <si>
    <t xml:space="preserve">Special panels (ballistic, lead-lined, abuse)</t>
  </si>
  <si>
    <t xml:space="preserve">ALC-24</t>
  </si>
  <si>
    <t xml:space="preserve">Finish level (Level 4 / Level 5)</t>
  </si>
  <si>
    <t xml:space="preserve">RFI: finish level not specified in A00.40/A05.01 for drywall; Level 4 assumed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</si>
</sst>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11.771</v>
      </c>
      <c r="D6" s="0" t="n">
        <v>15.375</v>
      </c>
      <c r="E6" s="0" t="n">
        <v>4</v>
      </c>
      <c r="F6" s="0" t="s">
        <v>31</v>
      </c>
      <c r="G6" s="0" t="n">
        <v>16</v>
      </c>
      <c r="H6" s="0" t="n">
        <v>723.92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2.667</v>
      </c>
      <c r="D7" s="0" t="n">
        <v>15.375</v>
      </c>
      <c r="E7" s="0" t="n">
        <v>4</v>
      </c>
      <c r="F7" s="0" t="s">
        <v>31</v>
      </c>
      <c r="G7" s="0" t="n">
        <v>16</v>
      </c>
      <c r="H7" s="0" t="n">
        <v>164.02</v>
      </c>
      <c r="I7" s="0" t="s">
        <v>37</v>
      </c>
      <c r="J7" s="0" t="s">
        <v>33</v>
      </c>
      <c r="K7" s="0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v>2.667</v>
      </c>
      <c r="D8" s="0" t="n">
        <v>15.375</v>
      </c>
      <c r="E8" s="0" t="n">
        <v>4</v>
      </c>
      <c r="F8" s="0" t="s">
        <v>31</v>
      </c>
      <c r="G8" s="0" t="n">
        <v>16</v>
      </c>
      <c r="H8" s="0" t="n">
        <v>164.02</v>
      </c>
      <c r="I8" s="0" t="s">
        <v>37</v>
      </c>
      <c r="J8" s="0" t="s">
        <v>33</v>
      </c>
      <c r="K8" s="0" t="s">
        <v>38</v>
      </c>
    </row>
    <row r="9" customFormat="false" ht="15" hidden="false" customHeight="false" outlineLevel="0" collapsed="false">
      <c r="A9" s="5" t="s">
        <v>41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n">
        <v>11.771</v>
      </c>
      <c r="D10" s="0" t="n">
        <v>15.375</v>
      </c>
      <c r="E10" s="0" t="n">
        <v>4</v>
      </c>
      <c r="F10" s="0" t="s">
        <v>31</v>
      </c>
      <c r="G10" s="0" t="n">
        <v>16</v>
      </c>
      <c r="H10" s="0" t="n">
        <v>723.92</v>
      </c>
      <c r="I10" s="0" t="s">
        <v>32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n">
        <v>11.771</v>
      </c>
      <c r="D11" s="0" t="n">
        <v>15.375</v>
      </c>
      <c r="E11" s="0" t="n">
        <v>4</v>
      </c>
      <c r="F11" s="0" t="s">
        <v>31</v>
      </c>
      <c r="G11" s="0" t="n">
        <v>16</v>
      </c>
      <c r="H11" s="0" t="n">
        <v>723.92</v>
      </c>
      <c r="I11" s="0" t="s">
        <v>32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n">
        <v>10.073</v>
      </c>
      <c r="D12" s="0" t="n">
        <v>15.375</v>
      </c>
      <c r="E12" s="0" t="n">
        <v>4</v>
      </c>
      <c r="F12" s="0" t="s">
        <v>31</v>
      </c>
      <c r="G12" s="0" t="n">
        <v>16</v>
      </c>
      <c r="H12" s="0" t="n">
        <v>619.48</v>
      </c>
      <c r="I12" s="0" t="s">
        <v>32</v>
      </c>
      <c r="J12" s="0" t="s">
        <v>33</v>
      </c>
      <c r="K12" s="0" t="s">
        <v>38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n">
        <v>11.625</v>
      </c>
      <c r="D13" s="0" t="n">
        <v>15.375</v>
      </c>
      <c r="E13" s="0" t="n">
        <v>4</v>
      </c>
      <c r="F13" s="0" t="s">
        <v>31</v>
      </c>
      <c r="G13" s="0" t="n">
        <v>16</v>
      </c>
      <c r="H13" s="0" t="n">
        <v>714.94</v>
      </c>
      <c r="I13" s="0" t="s">
        <v>32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0" t="n">
        <v>11.625</v>
      </c>
      <c r="D14" s="0" t="n">
        <v>15.375</v>
      </c>
      <c r="E14" s="0" t="n">
        <v>4</v>
      </c>
      <c r="F14" s="0" t="s">
        <v>31</v>
      </c>
      <c r="G14" s="0" t="n">
        <v>16</v>
      </c>
      <c r="H14" s="0" t="n">
        <v>714.94</v>
      </c>
      <c r="I14" s="0" t="s">
        <v>32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0" t="n">
        <v>11.625</v>
      </c>
      <c r="D15" s="0" t="n">
        <v>15.375</v>
      </c>
      <c r="E15" s="0" t="n">
        <v>4</v>
      </c>
      <c r="F15" s="0" t="s">
        <v>31</v>
      </c>
      <c r="G15" s="0" t="n">
        <v>16</v>
      </c>
      <c r="H15" s="0" t="n">
        <v>714.94</v>
      </c>
      <c r="I15" s="0" t="s">
        <v>32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n">
        <v>2.42</v>
      </c>
      <c r="D16" s="0" t="n">
        <v>15.375</v>
      </c>
      <c r="E16" s="0" t="n">
        <v>4</v>
      </c>
      <c r="F16" s="0" t="s">
        <v>31</v>
      </c>
      <c r="G16" s="0" t="n">
        <v>16</v>
      </c>
      <c r="H16" s="0" t="n">
        <v>148.82</v>
      </c>
      <c r="I16" s="0" t="s">
        <v>37</v>
      </c>
      <c r="J16" s="0" t="s">
        <v>33</v>
      </c>
      <c r="K16" s="0" t="s">
        <v>38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0" t="n">
        <v>3.467</v>
      </c>
      <c r="D17" s="0" t="n">
        <v>15.375</v>
      </c>
      <c r="E17" s="0" t="n">
        <v>4</v>
      </c>
      <c r="F17" s="0" t="s">
        <v>31</v>
      </c>
      <c r="G17" s="0" t="n">
        <v>16</v>
      </c>
      <c r="H17" s="0" t="n">
        <v>213.22</v>
      </c>
      <c r="I17" s="0" t="s">
        <v>37</v>
      </c>
      <c r="J17" s="0" t="s">
        <v>33</v>
      </c>
      <c r="K17" s="0" t="s">
        <v>38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0" t="n">
        <v>3.253</v>
      </c>
      <c r="D18" s="0" t="n">
        <v>15.375</v>
      </c>
      <c r="E18" s="0" t="n">
        <v>4</v>
      </c>
      <c r="F18" s="0" t="s">
        <v>31</v>
      </c>
      <c r="G18" s="0" t="n">
        <v>16</v>
      </c>
      <c r="H18" s="0" t="n">
        <v>200.06</v>
      </c>
      <c r="I18" s="0" t="s">
        <v>37</v>
      </c>
      <c r="J18" s="0" t="s">
        <v>33</v>
      </c>
      <c r="K18" s="0" t="s">
        <v>38</v>
      </c>
    </row>
    <row r="19" customFormat="false" ht="15" hidden="false" customHeight="false" outlineLevel="0" collapsed="false">
      <c r="A19" s="0" t="s">
        <v>60</v>
      </c>
      <c r="B19" s="0" t="s">
        <v>61</v>
      </c>
      <c r="C19" s="0" t="n">
        <v>3.253</v>
      </c>
      <c r="D19" s="0" t="n">
        <v>15.375</v>
      </c>
      <c r="E19" s="0" t="n">
        <v>4</v>
      </c>
      <c r="F19" s="0" t="s">
        <v>31</v>
      </c>
      <c r="G19" s="0" t="n">
        <v>16</v>
      </c>
      <c r="H19" s="0" t="n">
        <v>200.06</v>
      </c>
      <c r="I19" s="0" t="s">
        <v>37</v>
      </c>
      <c r="J19" s="0" t="s">
        <v>33</v>
      </c>
      <c r="K19" s="0" t="s">
        <v>38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n">
        <v>0.973</v>
      </c>
      <c r="D20" s="0" t="n">
        <v>15.375</v>
      </c>
      <c r="E20" s="0" t="n">
        <v>4</v>
      </c>
      <c r="F20" s="0" t="s">
        <v>31</v>
      </c>
      <c r="G20" s="0" t="n">
        <v>16</v>
      </c>
      <c r="H20" s="0" t="n">
        <v>59.84</v>
      </c>
      <c r="I20" s="0" t="s">
        <v>37</v>
      </c>
      <c r="J20" s="0" t="s">
        <v>33</v>
      </c>
      <c r="K20" s="0" t="s">
        <v>38</v>
      </c>
    </row>
    <row r="21" customFormat="false" ht="15" hidden="false" customHeight="false" outlineLevel="0" collapsed="false">
      <c r="A21" s="5" t="s">
        <v>64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n">
        <v>7.5</v>
      </c>
      <c r="D22" s="0" t="n">
        <v>7.333</v>
      </c>
      <c r="E22" s="0" t="n">
        <v>4</v>
      </c>
      <c r="F22" s="0" t="s">
        <v>31</v>
      </c>
      <c r="G22" s="0" t="n">
        <v>16</v>
      </c>
      <c r="H22" s="0" t="n">
        <v>220</v>
      </c>
      <c r="I22" s="0" t="s">
        <v>67</v>
      </c>
      <c r="J22" s="0" t="s">
        <v>68</v>
      </c>
      <c r="K22" s="0" t="s">
        <v>34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n">
        <v>7.5</v>
      </c>
      <c r="D23" s="0" t="n">
        <v>7.333</v>
      </c>
      <c r="E23" s="0" t="n">
        <v>4</v>
      </c>
      <c r="F23" s="0" t="s">
        <v>31</v>
      </c>
      <c r="G23" s="0" t="n">
        <v>16</v>
      </c>
      <c r="H23" s="0" t="n">
        <v>220</v>
      </c>
      <c r="I23" s="0" t="s">
        <v>67</v>
      </c>
      <c r="J23" s="0" t="s">
        <v>68</v>
      </c>
      <c r="K23" s="0" t="s">
        <v>34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n">
        <v>7.5</v>
      </c>
      <c r="D24" s="0" t="n">
        <v>7.333</v>
      </c>
      <c r="E24" s="0" t="n">
        <v>4</v>
      </c>
      <c r="F24" s="0" t="s">
        <v>31</v>
      </c>
      <c r="G24" s="0" t="n">
        <v>16</v>
      </c>
      <c r="H24" s="0" t="n">
        <v>220</v>
      </c>
      <c r="I24" s="0" t="s">
        <v>67</v>
      </c>
      <c r="J24" s="0" t="s">
        <v>68</v>
      </c>
      <c r="K24" s="0" t="s">
        <v>34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n">
        <v>7.5</v>
      </c>
      <c r="D25" s="0" t="n">
        <v>7.333</v>
      </c>
      <c r="E25" s="0" t="n">
        <v>4</v>
      </c>
      <c r="F25" s="0" t="s">
        <v>31</v>
      </c>
      <c r="G25" s="0" t="n">
        <v>16</v>
      </c>
      <c r="H25" s="0" t="n">
        <v>220</v>
      </c>
      <c r="I25" s="0" t="s">
        <v>67</v>
      </c>
      <c r="J25" s="0" t="s">
        <v>68</v>
      </c>
      <c r="K25" s="0" t="s">
        <v>34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0" t="n">
        <v>7.5</v>
      </c>
      <c r="D26" s="0" t="n">
        <v>7.333</v>
      </c>
      <c r="E26" s="0" t="n">
        <v>4</v>
      </c>
      <c r="F26" s="0" t="s">
        <v>31</v>
      </c>
      <c r="G26" s="0" t="n">
        <v>16</v>
      </c>
      <c r="H26" s="0" t="n">
        <v>220</v>
      </c>
      <c r="I26" s="0" t="s">
        <v>67</v>
      </c>
      <c r="J26" s="0" t="s">
        <v>68</v>
      </c>
      <c r="K26" s="0" t="s">
        <v>34</v>
      </c>
    </row>
    <row r="27" customFormat="false" ht="15" hidden="false" customHeight="false" outlineLevel="0" collapsed="false">
      <c r="A27" s="0" t="s">
        <v>77</v>
      </c>
      <c r="B27" s="0" t="s">
        <v>78</v>
      </c>
      <c r="C27" s="0" t="n">
        <v>7.5</v>
      </c>
      <c r="D27" s="0" t="n">
        <v>7.333</v>
      </c>
      <c r="E27" s="0" t="n">
        <v>4</v>
      </c>
      <c r="F27" s="0" t="s">
        <v>31</v>
      </c>
      <c r="G27" s="0" t="n">
        <v>16</v>
      </c>
      <c r="H27" s="0" t="n">
        <v>220</v>
      </c>
      <c r="I27" s="0" t="s">
        <v>67</v>
      </c>
      <c r="J27" s="0" t="s">
        <v>68</v>
      </c>
      <c r="K27" s="0" t="s">
        <v>34</v>
      </c>
    </row>
    <row r="28" customFormat="false" ht="15" hidden="false" customHeight="false" outlineLevel="0" collapsed="false">
      <c r="A28" s="5" t="s">
        <v>79</v>
      </c>
    </row>
    <row r="29" customFormat="false" ht="15" hidden="false" customHeight="false" outlineLevel="0" collapsed="false">
      <c r="A29" s="0" t="s">
        <v>80</v>
      </c>
      <c r="B29" s="0" t="s">
        <v>81</v>
      </c>
      <c r="C29" s="0" t="n">
        <v>3.417</v>
      </c>
      <c r="D29" s="0" t="n">
        <v>15.375</v>
      </c>
      <c r="E29" s="0" t="n">
        <v>2</v>
      </c>
      <c r="F29" s="0" t="s">
        <v>82</v>
      </c>
      <c r="G29" s="0" t="n">
        <v>24</v>
      </c>
      <c r="H29" s="0" t="n">
        <v>105.08</v>
      </c>
      <c r="I29" s="0" t="s">
        <v>83</v>
      </c>
      <c r="J29" s="0" t="s">
        <v>84</v>
      </c>
      <c r="K29" s="0" t="s">
        <v>34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0" t="n">
        <v>2.98</v>
      </c>
      <c r="D30" s="0" t="n">
        <v>12.939</v>
      </c>
      <c r="E30" s="0" t="n">
        <v>2</v>
      </c>
      <c r="F30" s="0" t="s">
        <v>82</v>
      </c>
      <c r="G30" s="0" t="n">
        <v>24</v>
      </c>
      <c r="H30" s="0" t="n">
        <v>77.12</v>
      </c>
      <c r="I30" s="0" t="s">
        <v>87</v>
      </c>
      <c r="J30" s="0" t="s">
        <v>84</v>
      </c>
      <c r="K30" s="0" t="s">
        <v>38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0" t="n">
        <v>1.767</v>
      </c>
      <c r="D31" s="0" t="n">
        <v>12.927</v>
      </c>
      <c r="E31" s="0" t="n">
        <v>2</v>
      </c>
      <c r="F31" s="0" t="s">
        <v>82</v>
      </c>
      <c r="G31" s="0" t="n">
        <v>24</v>
      </c>
      <c r="H31" s="0" t="n">
        <v>45.68</v>
      </c>
      <c r="I31" s="0" t="s">
        <v>87</v>
      </c>
      <c r="J31" s="0" t="s">
        <v>84</v>
      </c>
      <c r="K31" s="0" t="s">
        <v>38</v>
      </c>
    </row>
    <row r="32" customFormat="false" ht="15" hidden="false" customHeight="false" outlineLevel="0" collapsed="false">
      <c r="A32" s="0" t="s">
        <v>90</v>
      </c>
      <c r="B32" s="0" t="s">
        <v>91</v>
      </c>
      <c r="C32" s="0" t="n">
        <v>0.587</v>
      </c>
      <c r="D32" s="0" t="n">
        <v>12.939</v>
      </c>
      <c r="E32" s="0" t="n">
        <v>2</v>
      </c>
      <c r="F32" s="0" t="s">
        <v>82</v>
      </c>
      <c r="G32" s="0" t="n">
        <v>24</v>
      </c>
      <c r="H32" s="0" t="n">
        <v>15.2</v>
      </c>
      <c r="I32" s="0" t="s">
        <v>87</v>
      </c>
      <c r="J32" s="0" t="s">
        <v>84</v>
      </c>
      <c r="K32" s="0" t="s">
        <v>38</v>
      </c>
    </row>
    <row r="33" customFormat="false" ht="15" hidden="false" customHeight="false" outlineLevel="0" collapsed="false">
      <c r="A33" s="0" t="s">
        <v>92</v>
      </c>
      <c r="B33" s="0" t="s">
        <v>93</v>
      </c>
      <c r="C33" s="0" t="n">
        <v>0.787</v>
      </c>
      <c r="D33" s="0" t="n">
        <v>15.375</v>
      </c>
      <c r="E33" s="0" t="n">
        <v>2</v>
      </c>
      <c r="F33" s="0" t="s">
        <v>82</v>
      </c>
      <c r="G33" s="0" t="n">
        <v>24</v>
      </c>
      <c r="H33" s="0" t="n">
        <v>24.2</v>
      </c>
      <c r="I33" s="0" t="s">
        <v>87</v>
      </c>
      <c r="J33" s="0" t="s">
        <v>84</v>
      </c>
      <c r="K33" s="0" t="s">
        <v>38</v>
      </c>
    </row>
    <row r="34" customFormat="false" ht="15" hidden="false" customHeight="false" outlineLevel="0" collapsed="false">
      <c r="A34" s="5" t="s">
        <v>94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n">
        <v>1.26</v>
      </c>
      <c r="D35" s="0" t="n">
        <v>15.375</v>
      </c>
      <c r="E35" s="0" t="n">
        <v>2</v>
      </c>
      <c r="F35" s="0" t="s">
        <v>97</v>
      </c>
      <c r="G35" s="0" t="n">
        <v>24</v>
      </c>
      <c r="H35" s="0" t="n">
        <v>38.74</v>
      </c>
      <c r="I35" s="0" t="s">
        <v>98</v>
      </c>
      <c r="J35" s="0" t="s">
        <v>84</v>
      </c>
      <c r="K35" s="0" t="s">
        <v>38</v>
      </c>
    </row>
    <row r="36" customFormat="false" ht="15" hidden="false" customHeight="false" outlineLevel="0" collapsed="false">
      <c r="A36" s="5" t="s">
        <v>99</v>
      </c>
    </row>
    <row r="37" customFormat="false" ht="15" hidden="false" customHeight="false" outlineLevel="0" collapsed="false">
      <c r="A37" s="0" t="s">
        <v>100</v>
      </c>
      <c r="B37" s="0" t="s">
        <v>101</v>
      </c>
      <c r="C37" s="0" t="n">
        <v>7.553</v>
      </c>
      <c r="D37" s="0" t="n">
        <v>15.375</v>
      </c>
      <c r="E37" s="0" t="n">
        <v>2</v>
      </c>
      <c r="F37" s="0" t="s">
        <v>97</v>
      </c>
      <c r="G37" s="0" t="n">
        <v>16</v>
      </c>
      <c r="H37" s="0" t="n">
        <v>158.62</v>
      </c>
      <c r="I37" s="0" t="s">
        <v>102</v>
      </c>
      <c r="J37" s="0" t="s">
        <v>103</v>
      </c>
      <c r="K37" s="0" t="s">
        <v>38</v>
      </c>
    </row>
    <row r="38" customFormat="false" ht="15" hidden="false" customHeight="false" outlineLevel="0" collapsed="false">
      <c r="A38" s="0" t="s">
        <v>104</v>
      </c>
      <c r="B38" s="0" t="s">
        <v>105</v>
      </c>
      <c r="C38" s="0" t="n">
        <v>11.447</v>
      </c>
      <c r="D38" s="0" t="n">
        <v>15.375</v>
      </c>
      <c r="E38" s="0" t="n">
        <v>2</v>
      </c>
      <c r="F38" s="0" t="s">
        <v>97</v>
      </c>
      <c r="G38" s="0" t="n">
        <v>16</v>
      </c>
      <c r="H38" s="0" t="n">
        <v>211.77</v>
      </c>
      <c r="I38" s="0" t="s">
        <v>106</v>
      </c>
      <c r="J38" s="0" t="s">
        <v>103</v>
      </c>
      <c r="K38" s="0" t="s">
        <v>38</v>
      </c>
    </row>
    <row r="39" customFormat="false" ht="15" hidden="false" customHeight="false" outlineLevel="0" collapsed="false">
      <c r="A39" s="0" t="s">
        <v>107</v>
      </c>
      <c r="B39" s="0" t="s">
        <v>108</v>
      </c>
      <c r="C39" s="0" t="n">
        <v>10.593</v>
      </c>
      <c r="D39" s="0" t="n">
        <v>15.375</v>
      </c>
      <c r="E39" s="0" t="n">
        <v>2</v>
      </c>
      <c r="F39" s="0" t="s">
        <v>97</v>
      </c>
      <c r="G39" s="0" t="n">
        <v>16</v>
      </c>
      <c r="H39" s="0" t="n">
        <v>222.46</v>
      </c>
      <c r="I39" s="0" t="s">
        <v>109</v>
      </c>
      <c r="J39" s="0" t="s">
        <v>103</v>
      </c>
      <c r="K39" s="0" t="s">
        <v>38</v>
      </c>
    </row>
    <row r="40" customFormat="false" ht="15" hidden="false" customHeight="false" outlineLevel="0" collapsed="false">
      <c r="A40" s="0" t="s">
        <v>110</v>
      </c>
      <c r="B40" s="0" t="s">
        <v>111</v>
      </c>
      <c r="C40" s="0" t="n">
        <v>1.373</v>
      </c>
      <c r="D40" s="0" t="n">
        <v>15.375</v>
      </c>
      <c r="E40" s="0" t="n">
        <v>2</v>
      </c>
      <c r="F40" s="0" t="s">
        <v>97</v>
      </c>
      <c r="G40" s="0" t="n">
        <v>16</v>
      </c>
      <c r="H40" s="0" t="n">
        <v>24.72</v>
      </c>
      <c r="I40" s="0" t="s">
        <v>112</v>
      </c>
      <c r="J40" s="0" t="s">
        <v>103</v>
      </c>
      <c r="K40" s="0" t="s">
        <v>38</v>
      </c>
    </row>
    <row r="41" customFormat="false" ht="15" hidden="false" customHeight="false" outlineLevel="0" collapsed="false">
      <c r="A41" s="0" t="s">
        <v>113</v>
      </c>
      <c r="B41" s="0" t="s">
        <v>114</v>
      </c>
      <c r="C41" s="0" t="n">
        <v>3.28</v>
      </c>
      <c r="D41" s="0" t="n">
        <v>12.918</v>
      </c>
      <c r="E41" s="0" t="n">
        <v>2</v>
      </c>
      <c r="F41" s="0" t="s">
        <v>97</v>
      </c>
      <c r="G41" s="0" t="n">
        <v>16</v>
      </c>
      <c r="H41" s="0" t="n">
        <v>60.68</v>
      </c>
      <c r="I41" s="0" t="s">
        <v>112</v>
      </c>
      <c r="J41" s="0" t="s">
        <v>103</v>
      </c>
      <c r="K41" s="0" t="s">
        <v>38</v>
      </c>
    </row>
    <row r="42" customFormat="false" ht="15" hidden="false" customHeight="false" outlineLevel="0" collapsed="false">
      <c r="A42" s="5" t="s">
        <v>115</v>
      </c>
    </row>
    <row r="43" customFormat="false" ht="15" hidden="false" customHeight="false" outlineLevel="0" collapsed="false">
      <c r="A43" s="0" t="s">
        <v>116</v>
      </c>
      <c r="B43" s="0" t="s">
        <v>117</v>
      </c>
      <c r="C43" s="0" t="n">
        <v>16.42</v>
      </c>
      <c r="D43" s="0" t="n">
        <v>15.375</v>
      </c>
      <c r="E43" s="0" t="n">
        <v>2</v>
      </c>
      <c r="F43" s="0" t="s">
        <v>82</v>
      </c>
      <c r="G43" s="0" t="n">
        <v>16</v>
      </c>
      <c r="H43" s="0" t="n">
        <v>336.61</v>
      </c>
      <c r="I43" s="0" t="s">
        <v>112</v>
      </c>
      <c r="J43" s="0" t="s">
        <v>103</v>
      </c>
      <c r="K43" s="0" t="s">
        <v>38</v>
      </c>
    </row>
    <row r="44" customFormat="false" ht="15" hidden="false" customHeight="false" outlineLevel="0" collapsed="false">
      <c r="A44" s="0" t="s">
        <v>118</v>
      </c>
      <c r="B44" s="0" t="s">
        <v>119</v>
      </c>
      <c r="C44" s="0" t="n">
        <v>3.533</v>
      </c>
      <c r="D44" s="0" t="n">
        <v>15.375</v>
      </c>
      <c r="E44" s="0" t="n">
        <v>2</v>
      </c>
      <c r="F44" s="0" t="s">
        <v>82</v>
      </c>
      <c r="G44" s="0" t="n">
        <v>16</v>
      </c>
      <c r="H44" s="0" t="n">
        <v>63.6</v>
      </c>
      <c r="I44" s="0" t="s">
        <v>112</v>
      </c>
      <c r="J44" s="0" t="s">
        <v>103</v>
      </c>
      <c r="K44" s="0" t="s">
        <v>38</v>
      </c>
    </row>
    <row r="45" customFormat="false" ht="15" hidden="false" customHeight="false" outlineLevel="0" collapsed="false">
      <c r="A45" s="0" t="s">
        <v>120</v>
      </c>
      <c r="B45" s="0" t="s">
        <v>121</v>
      </c>
      <c r="C45" s="0" t="n">
        <v>2.02</v>
      </c>
      <c r="D45" s="0" t="n">
        <v>15.375</v>
      </c>
      <c r="E45" s="0" t="n">
        <v>2</v>
      </c>
      <c r="F45" s="0" t="s">
        <v>82</v>
      </c>
      <c r="G45" s="0" t="n">
        <v>16</v>
      </c>
      <c r="H45" s="0" t="n">
        <v>36.36</v>
      </c>
      <c r="I45" s="0" t="s">
        <v>112</v>
      </c>
      <c r="J45" s="0" t="s">
        <v>103</v>
      </c>
      <c r="K45" s="0" t="s">
        <v>38</v>
      </c>
    </row>
    <row r="46" customFormat="false" ht="15" hidden="false" customHeight="false" outlineLevel="0" collapsed="false">
      <c r="A46" s="0" t="s">
        <v>122</v>
      </c>
      <c r="B46" s="0" t="s">
        <v>123</v>
      </c>
      <c r="C46" s="0" t="n">
        <v>15.833</v>
      </c>
      <c r="D46" s="0" t="n">
        <v>12.971</v>
      </c>
      <c r="E46" s="0" t="n">
        <v>2</v>
      </c>
      <c r="F46" s="0" t="s">
        <v>82</v>
      </c>
      <c r="G46" s="0" t="n">
        <v>16</v>
      </c>
      <c r="H46" s="0" t="n">
        <v>285</v>
      </c>
      <c r="I46" s="0" t="s">
        <v>112</v>
      </c>
      <c r="J46" s="0" t="s">
        <v>103</v>
      </c>
      <c r="K46" s="0" t="s">
        <v>38</v>
      </c>
    </row>
    <row r="47" customFormat="false" ht="15" hidden="false" customHeight="false" outlineLevel="0" collapsed="false">
      <c r="A47" s="0" t="s">
        <v>124</v>
      </c>
      <c r="B47" s="0" t="s">
        <v>125</v>
      </c>
      <c r="C47" s="0" t="n">
        <v>5</v>
      </c>
      <c r="D47" s="0" t="n">
        <v>15.375</v>
      </c>
      <c r="E47" s="0" t="n">
        <v>2</v>
      </c>
      <c r="F47" s="0" t="s">
        <v>82</v>
      </c>
      <c r="G47" s="0" t="n">
        <v>16</v>
      </c>
      <c r="H47" s="0" t="n">
        <v>51.68</v>
      </c>
      <c r="I47" s="0" t="s">
        <v>126</v>
      </c>
      <c r="J47" s="0" t="s">
        <v>103</v>
      </c>
      <c r="K47" s="0" t="s">
        <v>34</v>
      </c>
    </row>
    <row r="48" customFormat="false" ht="15" hidden="false" customHeight="false" outlineLevel="0" collapsed="false">
      <c r="A48" s="0" t="s">
        <v>127</v>
      </c>
      <c r="B48" s="0" t="s">
        <v>128</v>
      </c>
      <c r="C48" s="0" t="n">
        <v>1.733</v>
      </c>
      <c r="D48" s="0" t="n">
        <v>12.963</v>
      </c>
      <c r="E48" s="0" t="n">
        <v>2</v>
      </c>
      <c r="F48" s="0" t="s">
        <v>82</v>
      </c>
      <c r="G48" s="0" t="n">
        <v>16</v>
      </c>
      <c r="H48" s="0" t="n">
        <v>32.06</v>
      </c>
      <c r="I48" s="0" t="s">
        <v>112</v>
      </c>
      <c r="J48" s="0" t="s">
        <v>103</v>
      </c>
      <c r="K48" s="0" t="s">
        <v>38</v>
      </c>
    </row>
    <row r="49" customFormat="false" ht="15" hidden="false" customHeight="false" outlineLevel="0" collapsed="false">
      <c r="A49" s="0" t="s">
        <v>129</v>
      </c>
      <c r="B49" s="0" t="s">
        <v>130</v>
      </c>
      <c r="C49" s="0" t="n">
        <v>5.107</v>
      </c>
      <c r="D49" s="0" t="n">
        <v>12.927</v>
      </c>
      <c r="E49" s="0" t="n">
        <v>2</v>
      </c>
      <c r="F49" s="0" t="s">
        <v>82</v>
      </c>
      <c r="G49" s="0" t="n">
        <v>16</v>
      </c>
      <c r="H49" s="0" t="n">
        <v>41.16</v>
      </c>
      <c r="I49" s="0" t="s">
        <v>131</v>
      </c>
      <c r="J49" s="0" t="s">
        <v>103</v>
      </c>
      <c r="K49" s="0" t="s">
        <v>38</v>
      </c>
    </row>
    <row r="50" customFormat="false" ht="15" hidden="false" customHeight="false" outlineLevel="0" collapsed="false">
      <c r="A50" s="0" t="s">
        <v>132</v>
      </c>
      <c r="B50" s="0" t="s">
        <v>133</v>
      </c>
      <c r="C50" s="0" t="n">
        <v>17.06</v>
      </c>
      <c r="D50" s="0" t="n">
        <v>12.891</v>
      </c>
      <c r="E50" s="0" t="n">
        <v>2</v>
      </c>
      <c r="F50" s="0" t="s">
        <v>82</v>
      </c>
      <c r="G50" s="0" t="n">
        <v>16</v>
      </c>
      <c r="H50" s="0" t="n">
        <v>373.46</v>
      </c>
      <c r="I50" s="0" t="s">
        <v>112</v>
      </c>
      <c r="J50" s="0" t="s">
        <v>103</v>
      </c>
      <c r="K50" s="0" t="s">
        <v>38</v>
      </c>
    </row>
    <row r="51" customFormat="false" ht="15" hidden="false" customHeight="false" outlineLevel="0" collapsed="false">
      <c r="A51" s="0" t="s">
        <v>134</v>
      </c>
      <c r="B51" s="0" t="s">
        <v>135</v>
      </c>
      <c r="C51" s="0" t="n">
        <v>11.667</v>
      </c>
      <c r="D51" s="0" t="n">
        <v>12.775</v>
      </c>
      <c r="E51" s="0" t="n">
        <v>2</v>
      </c>
      <c r="F51" s="0" t="s">
        <v>82</v>
      </c>
      <c r="G51" s="0" t="n">
        <v>16</v>
      </c>
      <c r="H51" s="0" t="n">
        <v>169.18</v>
      </c>
      <c r="I51" s="0" t="s">
        <v>131</v>
      </c>
      <c r="J51" s="0" t="s">
        <v>103</v>
      </c>
      <c r="K51" s="0" t="s">
        <v>38</v>
      </c>
    </row>
    <row r="52" customFormat="false" ht="15" hidden="false" customHeight="false" outlineLevel="0" collapsed="false">
      <c r="A52" s="0" t="s">
        <v>136</v>
      </c>
      <c r="B52" s="0" t="s">
        <v>137</v>
      </c>
      <c r="C52" s="0" t="n">
        <v>4.887</v>
      </c>
      <c r="D52" s="0" t="n">
        <v>12.957</v>
      </c>
      <c r="E52" s="0" t="n">
        <v>2</v>
      </c>
      <c r="F52" s="0" t="s">
        <v>82</v>
      </c>
      <c r="G52" s="0" t="n">
        <v>16</v>
      </c>
      <c r="H52" s="0" t="n">
        <v>87.96</v>
      </c>
      <c r="I52" s="0" t="s">
        <v>138</v>
      </c>
      <c r="J52" s="0" t="s">
        <v>103</v>
      </c>
      <c r="K52" s="0" t="s">
        <v>38</v>
      </c>
    </row>
    <row r="53" customFormat="false" ht="15" hidden="false" customHeight="false" outlineLevel="0" collapsed="false">
      <c r="A53" s="0" t="s">
        <v>139</v>
      </c>
      <c r="B53" s="0" t="s">
        <v>140</v>
      </c>
      <c r="C53" s="0" t="n">
        <v>1.3</v>
      </c>
      <c r="D53" s="0" t="n">
        <v>12.957</v>
      </c>
      <c r="E53" s="0" t="n">
        <v>2</v>
      </c>
      <c r="F53" s="0" t="s">
        <v>82</v>
      </c>
      <c r="G53" s="0" t="n">
        <v>16</v>
      </c>
      <c r="H53" s="0" t="n">
        <v>23.4</v>
      </c>
      <c r="I53" s="0" t="s">
        <v>141</v>
      </c>
      <c r="J53" s="0" t="s">
        <v>103</v>
      </c>
      <c r="K53" s="0" t="s">
        <v>38</v>
      </c>
    </row>
    <row r="54" customFormat="false" ht="15" hidden="false" customHeight="false" outlineLevel="0" collapsed="false">
      <c r="A54" s="0" t="s">
        <v>142</v>
      </c>
      <c r="B54" s="0" t="s">
        <v>143</v>
      </c>
      <c r="C54" s="0" t="n">
        <v>1.3</v>
      </c>
      <c r="D54" s="0" t="n">
        <v>12.865</v>
      </c>
      <c r="E54" s="0" t="n">
        <v>2</v>
      </c>
      <c r="F54" s="0" t="s">
        <v>82</v>
      </c>
      <c r="G54" s="0" t="n">
        <v>16</v>
      </c>
      <c r="H54" s="0" t="n">
        <v>23.4</v>
      </c>
      <c r="I54" s="0" t="s">
        <v>144</v>
      </c>
      <c r="J54" s="0" t="s">
        <v>103</v>
      </c>
      <c r="K54" s="0" t="s">
        <v>38</v>
      </c>
    </row>
    <row r="55" customFormat="false" ht="15" hidden="false" customHeight="false" outlineLevel="0" collapsed="false">
      <c r="A55" s="5" t="s">
        <v>145</v>
      </c>
    </row>
    <row r="56" customFormat="false" ht="15" hidden="false" customHeight="false" outlineLevel="0" collapsed="false">
      <c r="A56" s="0" t="s">
        <v>146</v>
      </c>
      <c r="B56" s="0" t="s">
        <v>147</v>
      </c>
      <c r="C56" s="0" t="n">
        <v>9.583</v>
      </c>
      <c r="D56" s="0" t="n">
        <v>12.831</v>
      </c>
      <c r="E56" s="0" t="n">
        <v>2</v>
      </c>
      <c r="F56" s="0" t="s">
        <v>82</v>
      </c>
      <c r="G56" s="0" t="n">
        <v>16</v>
      </c>
      <c r="H56" s="0" t="n">
        <v>227.92</v>
      </c>
      <c r="I56" s="0" t="s">
        <v>148</v>
      </c>
      <c r="J56" s="0" t="s">
        <v>149</v>
      </c>
      <c r="K56" s="0" t="s">
        <v>34</v>
      </c>
    </row>
    <row r="57" customFormat="false" ht="15" hidden="false" customHeight="false" outlineLevel="0" collapsed="false">
      <c r="A57" s="0" t="s">
        <v>150</v>
      </c>
      <c r="B57" s="0" t="s">
        <v>151</v>
      </c>
      <c r="C57" s="0" t="n">
        <v>9.583</v>
      </c>
      <c r="D57" s="0" t="n">
        <v>12.702</v>
      </c>
      <c r="E57" s="0" t="n">
        <v>2</v>
      </c>
      <c r="F57" s="0" t="s">
        <v>82</v>
      </c>
      <c r="G57" s="0" t="n">
        <v>16</v>
      </c>
      <c r="H57" s="0" t="n">
        <v>243.44</v>
      </c>
      <c r="I57" s="0" t="s">
        <v>152</v>
      </c>
      <c r="J57" s="0" t="s">
        <v>149</v>
      </c>
      <c r="K57" s="0" t="s">
        <v>34</v>
      </c>
    </row>
    <row r="58" customFormat="false" ht="15" hidden="false" customHeight="false" outlineLevel="0" collapsed="false">
      <c r="A58" s="0" t="s">
        <v>153</v>
      </c>
      <c r="B58" s="0" t="s">
        <v>154</v>
      </c>
      <c r="C58" s="0" t="n">
        <v>14.147</v>
      </c>
      <c r="D58" s="0" t="n">
        <v>12.831</v>
      </c>
      <c r="E58" s="0" t="n">
        <v>2</v>
      </c>
      <c r="F58" s="0" t="s">
        <v>82</v>
      </c>
      <c r="G58" s="0" t="n">
        <v>16</v>
      </c>
      <c r="H58" s="0" t="n">
        <v>269.72</v>
      </c>
      <c r="I58" s="0" t="s">
        <v>155</v>
      </c>
      <c r="J58" s="0" t="s">
        <v>149</v>
      </c>
      <c r="K58" s="0" t="s">
        <v>38</v>
      </c>
    </row>
    <row r="59" customFormat="false" ht="15" hidden="false" customHeight="false" outlineLevel="0" collapsed="false">
      <c r="A59" s="0" t="s">
        <v>156</v>
      </c>
      <c r="B59" s="0" t="s">
        <v>157</v>
      </c>
      <c r="C59" s="0" t="n">
        <v>11.733</v>
      </c>
      <c r="D59" s="0" t="n">
        <v>12.751</v>
      </c>
      <c r="E59" s="0" t="n">
        <v>2</v>
      </c>
      <c r="F59" s="0" t="s">
        <v>82</v>
      </c>
      <c r="G59" s="0" t="n">
        <v>16</v>
      </c>
      <c r="H59" s="0" t="n">
        <v>252.56</v>
      </c>
      <c r="I59" s="0" t="s">
        <v>158</v>
      </c>
      <c r="J59" s="0" t="s">
        <v>149</v>
      </c>
      <c r="K59" s="0" t="s">
        <v>38</v>
      </c>
    </row>
    <row r="60" customFormat="false" ht="15" hidden="false" customHeight="false" outlineLevel="0" collapsed="false">
      <c r="A60" s="0" t="s">
        <v>159</v>
      </c>
      <c r="B60" s="0" t="s">
        <v>160</v>
      </c>
      <c r="C60" s="0" t="n">
        <v>11.733</v>
      </c>
      <c r="D60" s="0" t="n">
        <v>12.67</v>
      </c>
      <c r="E60" s="0" t="n">
        <v>2</v>
      </c>
      <c r="F60" s="0" t="s">
        <v>82</v>
      </c>
      <c r="G60" s="0" t="n">
        <v>16</v>
      </c>
      <c r="H60" s="0" t="n">
        <v>297.32</v>
      </c>
      <c r="I60" s="0" t="s">
        <v>152</v>
      </c>
      <c r="J60" s="0" t="s">
        <v>149</v>
      </c>
      <c r="K60" s="0" t="s">
        <v>38</v>
      </c>
    </row>
    <row r="61" customFormat="false" ht="15" hidden="false" customHeight="false" outlineLevel="0" collapsed="false">
      <c r="A61" s="0" t="s">
        <v>161</v>
      </c>
      <c r="B61" s="0" t="s">
        <v>162</v>
      </c>
      <c r="C61" s="0" t="n">
        <v>3.5</v>
      </c>
      <c r="D61" s="0" t="n">
        <v>12.743</v>
      </c>
      <c r="E61" s="0" t="n">
        <v>2</v>
      </c>
      <c r="F61" s="0" t="s">
        <v>82</v>
      </c>
      <c r="G61" s="0" t="n">
        <v>16</v>
      </c>
      <c r="H61" s="0" t="n">
        <v>89.2</v>
      </c>
      <c r="I61" s="0" t="s">
        <v>152</v>
      </c>
      <c r="J61" s="0" t="s">
        <v>149</v>
      </c>
      <c r="K61" s="0" t="s">
        <v>38</v>
      </c>
    </row>
    <row r="62" customFormat="false" ht="15" hidden="false" customHeight="false" outlineLevel="0" collapsed="false">
      <c r="A62" s="5" t="s">
        <v>163</v>
      </c>
    </row>
    <row r="63" customFormat="false" ht="15" hidden="false" customHeight="false" outlineLevel="0" collapsed="false">
      <c r="A63" s="0" t="s">
        <v>164</v>
      </c>
      <c r="B63" s="0" t="s">
        <v>165</v>
      </c>
      <c r="C63" s="0" t="n">
        <v>5.813</v>
      </c>
      <c r="D63" s="0" t="n">
        <v>15.375</v>
      </c>
      <c r="E63" s="0" t="n">
        <v>2</v>
      </c>
      <c r="F63" s="0" t="s">
        <v>97</v>
      </c>
      <c r="G63" s="0" t="n">
        <v>16</v>
      </c>
      <c r="H63" s="0" t="n">
        <v>117.42</v>
      </c>
      <c r="I63" s="0" t="s">
        <v>155</v>
      </c>
      <c r="J63" s="0" t="s">
        <v>149</v>
      </c>
      <c r="K63" s="0" t="s">
        <v>38</v>
      </c>
    </row>
    <row r="64" customFormat="false" ht="15" hidden="false" customHeight="false" outlineLevel="0" collapsed="false">
      <c r="A64" s="0" t="s">
        <v>166</v>
      </c>
      <c r="B64" s="0" t="s">
        <v>167</v>
      </c>
      <c r="C64" s="0" t="n">
        <v>5.533</v>
      </c>
      <c r="D64" s="0" t="n">
        <v>15.375</v>
      </c>
      <c r="E64" s="0" t="n">
        <v>2</v>
      </c>
      <c r="F64" s="0" t="s">
        <v>97</v>
      </c>
      <c r="G64" s="0" t="n">
        <v>16</v>
      </c>
      <c r="H64" s="0" t="n">
        <v>123.48</v>
      </c>
      <c r="I64" s="0" t="s">
        <v>155</v>
      </c>
      <c r="J64" s="0" t="s">
        <v>149</v>
      </c>
      <c r="K64" s="0" t="s">
        <v>38</v>
      </c>
    </row>
    <row r="65" customFormat="false" ht="15" hidden="false" customHeight="false" outlineLevel="0" collapsed="false">
      <c r="A65" s="0" t="s">
        <v>168</v>
      </c>
      <c r="B65" s="0" t="s">
        <v>169</v>
      </c>
      <c r="C65" s="0" t="n">
        <v>15.787</v>
      </c>
      <c r="D65" s="0" t="n">
        <v>12.865</v>
      </c>
      <c r="E65" s="0" t="n">
        <v>2</v>
      </c>
      <c r="F65" s="0" t="s">
        <v>97</v>
      </c>
      <c r="G65" s="0" t="n">
        <v>16</v>
      </c>
      <c r="H65" s="0" t="n">
        <v>266.22</v>
      </c>
      <c r="I65" s="0" t="s">
        <v>155</v>
      </c>
      <c r="J65" s="0" t="s">
        <v>149</v>
      </c>
      <c r="K65" s="0" t="s">
        <v>38</v>
      </c>
    </row>
    <row r="66" customFormat="false" ht="15" hidden="false" customHeight="false" outlineLevel="0" collapsed="false">
      <c r="A66" s="0" t="s">
        <v>170</v>
      </c>
      <c r="B66" s="0" t="s">
        <v>171</v>
      </c>
      <c r="C66" s="0" t="n">
        <v>11.74</v>
      </c>
      <c r="D66" s="0" t="n">
        <v>12.781</v>
      </c>
      <c r="E66" s="0" t="n">
        <v>2</v>
      </c>
      <c r="F66" s="0" t="s">
        <v>97</v>
      </c>
      <c r="G66" s="0" t="n">
        <v>16</v>
      </c>
      <c r="H66" s="0" t="n">
        <v>300.1</v>
      </c>
      <c r="I66" s="0" t="s">
        <v>152</v>
      </c>
      <c r="J66" s="0" t="s">
        <v>149</v>
      </c>
      <c r="K66" s="0" t="s">
        <v>38</v>
      </c>
    </row>
    <row r="67" customFormat="false" ht="15" hidden="false" customHeight="false" outlineLevel="0" collapsed="false">
      <c r="A67" s="5" t="s">
        <v>172</v>
      </c>
    </row>
    <row r="68" customFormat="false" ht="15" hidden="false" customHeight="false" outlineLevel="0" collapsed="false">
      <c r="A68" s="0" t="s">
        <v>173</v>
      </c>
      <c r="B68" s="0" t="s">
        <v>174</v>
      </c>
      <c r="C68" s="0" t="n">
        <v>10</v>
      </c>
      <c r="D68" s="0" t="n">
        <v>15.375</v>
      </c>
      <c r="E68" s="0" t="n">
        <v>1</v>
      </c>
      <c r="F68" s="0" t="s">
        <v>82</v>
      </c>
      <c r="G68" s="0" t="n">
        <v>16</v>
      </c>
      <c r="H68" s="0" t="n">
        <v>153.75</v>
      </c>
      <c r="I68" s="0" t="s">
        <v>175</v>
      </c>
      <c r="J68" s="0" t="s">
        <v>176</v>
      </c>
      <c r="K68" s="0" t="s">
        <v>34</v>
      </c>
    </row>
    <row r="69" customFormat="false" ht="15" hidden="false" customHeight="false" outlineLevel="0" collapsed="false">
      <c r="A69" s="0" t="s">
        <v>177</v>
      </c>
      <c r="B69" s="0" t="s">
        <v>178</v>
      </c>
      <c r="C69" s="0" t="n">
        <v>10.027</v>
      </c>
      <c r="D69" s="0" t="n">
        <v>12.918</v>
      </c>
      <c r="E69" s="0" t="n">
        <v>1</v>
      </c>
      <c r="F69" s="0" t="s">
        <v>82</v>
      </c>
      <c r="G69" s="0" t="n">
        <v>16</v>
      </c>
      <c r="H69" s="0" t="n">
        <v>129.53</v>
      </c>
      <c r="I69" s="0" t="s">
        <v>179</v>
      </c>
      <c r="J69" s="0" t="s">
        <v>176</v>
      </c>
      <c r="K69" s="0" t="s">
        <v>38</v>
      </c>
    </row>
    <row r="70" customFormat="false" ht="15" hidden="false" customHeight="false" outlineLevel="0" collapsed="false">
      <c r="A70" s="0" t="s">
        <v>180</v>
      </c>
      <c r="B70" s="0" t="s">
        <v>181</v>
      </c>
      <c r="C70" s="0" t="n">
        <v>10.027</v>
      </c>
      <c r="D70" s="0" t="n">
        <v>12.903</v>
      </c>
      <c r="E70" s="0" t="n">
        <v>1</v>
      </c>
      <c r="F70" s="0" t="s">
        <v>82</v>
      </c>
      <c r="G70" s="0" t="n">
        <v>16</v>
      </c>
      <c r="H70" s="0" t="n">
        <v>129.38</v>
      </c>
      <c r="I70" s="0" t="s">
        <v>182</v>
      </c>
      <c r="J70" s="0" t="s">
        <v>176</v>
      </c>
      <c r="K70" s="0" t="s">
        <v>38</v>
      </c>
    </row>
    <row r="71" customFormat="false" ht="15" hidden="false" customHeight="false" outlineLevel="0" collapsed="false">
      <c r="A71" s="0" t="s">
        <v>183</v>
      </c>
      <c r="B71" s="0" t="s">
        <v>184</v>
      </c>
      <c r="C71" s="0" t="n">
        <v>2.98</v>
      </c>
      <c r="D71" s="0" t="n">
        <v>12.925</v>
      </c>
      <c r="E71" s="0" t="n">
        <v>1</v>
      </c>
      <c r="F71" s="0" t="s">
        <v>82</v>
      </c>
      <c r="G71" s="0" t="n">
        <v>16</v>
      </c>
      <c r="H71" s="0" t="n">
        <v>28.31</v>
      </c>
      <c r="I71" s="0" t="s">
        <v>185</v>
      </c>
      <c r="J71" s="0" t="s">
        <v>176</v>
      </c>
      <c r="K71" s="0" t="s">
        <v>38</v>
      </c>
    </row>
    <row r="72" customFormat="false" ht="15" hidden="false" customHeight="false" outlineLevel="0" collapsed="false">
      <c r="A72" s="5" t="s">
        <v>186</v>
      </c>
    </row>
    <row r="73" customFormat="false" ht="15" hidden="false" customHeight="false" outlineLevel="0" collapsed="false">
      <c r="A73" s="0" t="s">
        <v>187</v>
      </c>
      <c r="B73" s="0" t="s">
        <v>188</v>
      </c>
      <c r="C73" s="0" t="n">
        <v>17.458</v>
      </c>
      <c r="D73" s="0" t="n">
        <v>15.375</v>
      </c>
      <c r="E73" s="0" t="n">
        <v>2</v>
      </c>
      <c r="F73" s="0" t="s">
        <v>82</v>
      </c>
      <c r="G73" s="0" t="n">
        <v>16</v>
      </c>
      <c r="H73" s="0" t="n">
        <v>413.44</v>
      </c>
      <c r="I73" s="0" t="s">
        <v>189</v>
      </c>
      <c r="J73" s="0" t="s">
        <v>190</v>
      </c>
      <c r="K73" s="0" t="s">
        <v>38</v>
      </c>
    </row>
    <row r="74" customFormat="false" ht="15" hidden="false" customHeight="false" outlineLevel="0" collapsed="false">
      <c r="A74" s="5" t="s">
        <v>191</v>
      </c>
    </row>
    <row r="75" customFormat="false" ht="15" hidden="false" customHeight="false" outlineLevel="0" collapsed="false">
      <c r="A75" s="0" t="s">
        <v>192</v>
      </c>
      <c r="B75" s="0" t="s">
        <v>193</v>
      </c>
      <c r="C75" s="0" t="n">
        <v>50.481</v>
      </c>
      <c r="D75" s="0" t="n">
        <v>14.362</v>
      </c>
      <c r="E75" s="0" t="n">
        <v>1</v>
      </c>
      <c r="F75" s="0" t="s">
        <v>97</v>
      </c>
      <c r="G75" s="0" t="n">
        <v>16</v>
      </c>
      <c r="H75" s="0" t="n">
        <v>712.15</v>
      </c>
      <c r="I75" s="0" t="s">
        <v>194</v>
      </c>
      <c r="J75" s="0" t="s">
        <v>195</v>
      </c>
      <c r="K75" s="0" t="s">
        <v>38</v>
      </c>
    </row>
    <row r="76" customFormat="false" ht="15" hidden="false" customHeight="false" outlineLevel="0" collapsed="false">
      <c r="A76" s="0" t="s">
        <v>196</v>
      </c>
      <c r="B76" s="0" t="s">
        <v>197</v>
      </c>
      <c r="C76" s="0" t="n">
        <v>24.852</v>
      </c>
      <c r="D76" s="0" t="n">
        <v>11.907</v>
      </c>
      <c r="E76" s="0" t="n">
        <v>1</v>
      </c>
      <c r="F76" s="0" t="s">
        <v>97</v>
      </c>
      <c r="G76" s="0" t="n">
        <v>16</v>
      </c>
      <c r="H76" s="0" t="n">
        <v>324.37</v>
      </c>
      <c r="I76" s="0" t="s">
        <v>198</v>
      </c>
      <c r="J76" s="0" t="s">
        <v>195</v>
      </c>
      <c r="K76" s="0" t="s">
        <v>38</v>
      </c>
    </row>
    <row r="77" customFormat="false" ht="15" hidden="false" customHeight="false" outlineLevel="0" collapsed="false">
      <c r="A77" s="0" t="s">
        <v>199</v>
      </c>
      <c r="B77" s="0" t="s">
        <v>200</v>
      </c>
      <c r="C77" s="0" t="n">
        <v>34.062</v>
      </c>
      <c r="D77" s="0" t="n">
        <v>11.064</v>
      </c>
      <c r="E77" s="0" t="n">
        <v>1</v>
      </c>
      <c r="F77" s="0" t="s">
        <v>97</v>
      </c>
      <c r="G77" s="0" t="n">
        <v>16</v>
      </c>
      <c r="H77" s="0" t="n">
        <v>399.88</v>
      </c>
      <c r="I77" s="0" t="s">
        <v>201</v>
      </c>
      <c r="J77" s="0" t="s">
        <v>195</v>
      </c>
      <c r="K77" s="0" t="s">
        <v>38</v>
      </c>
    </row>
    <row r="78" customFormat="false" ht="15" hidden="false" customHeight="false" outlineLevel="0" collapsed="false">
      <c r="A78" s="0" t="s">
        <v>202</v>
      </c>
      <c r="B78" s="0" t="s">
        <v>203</v>
      </c>
      <c r="C78" s="0" t="n">
        <v>17.671</v>
      </c>
      <c r="D78" s="0" t="n">
        <v>11.394</v>
      </c>
      <c r="E78" s="0" t="n">
        <v>1</v>
      </c>
      <c r="F78" s="0" t="s">
        <v>97</v>
      </c>
      <c r="G78" s="0" t="n">
        <v>16</v>
      </c>
      <c r="H78" s="0" t="n">
        <v>221.58</v>
      </c>
      <c r="I78" s="0" t="s">
        <v>198</v>
      </c>
      <c r="J78" s="0" t="s">
        <v>195</v>
      </c>
      <c r="K78" s="0" t="s">
        <v>38</v>
      </c>
    </row>
    <row r="79" customFormat="false" ht="15" hidden="false" customHeight="false" outlineLevel="0" collapsed="false">
      <c r="A79" s="0" t="s">
        <v>204</v>
      </c>
      <c r="B79" s="0" t="s">
        <v>205</v>
      </c>
      <c r="C79" s="0" t="n">
        <v>22.521</v>
      </c>
      <c r="D79" s="0" t="n">
        <v>14.362</v>
      </c>
      <c r="E79" s="0" t="n">
        <v>1</v>
      </c>
      <c r="F79" s="0" t="s">
        <v>97</v>
      </c>
      <c r="G79" s="0" t="n">
        <v>16</v>
      </c>
      <c r="H79" s="0" t="n">
        <v>315.59</v>
      </c>
      <c r="I79" s="0" t="s">
        <v>194</v>
      </c>
      <c r="J79" s="0" t="s">
        <v>195</v>
      </c>
      <c r="K79" s="0" t="s">
        <v>38</v>
      </c>
    </row>
    <row r="80" customFormat="false" ht="15" hidden="false" customHeight="false" outlineLevel="0" collapsed="false">
      <c r="A80" s="0" t="s">
        <v>206</v>
      </c>
      <c r="B80" s="0" t="s">
        <v>207</v>
      </c>
      <c r="C80" s="0" t="n">
        <v>24.852</v>
      </c>
      <c r="D80" s="0" t="n">
        <v>11.907</v>
      </c>
      <c r="E80" s="0" t="n">
        <v>1</v>
      </c>
      <c r="F80" s="0" t="s">
        <v>97</v>
      </c>
      <c r="G80" s="0" t="n">
        <v>16</v>
      </c>
      <c r="H80" s="0" t="n">
        <v>324.37</v>
      </c>
      <c r="I80" s="0" t="s">
        <v>198</v>
      </c>
      <c r="J80" s="0" t="s">
        <v>195</v>
      </c>
      <c r="K80" s="0" t="s">
        <v>38</v>
      </c>
    </row>
    <row r="81" customFormat="false" ht="15" hidden="false" customHeight="false" outlineLevel="0" collapsed="false">
      <c r="A81" s="0" t="s">
        <v>208</v>
      </c>
      <c r="B81" s="0" t="s">
        <v>209</v>
      </c>
      <c r="C81" s="0" t="n">
        <v>20.96</v>
      </c>
      <c r="D81" s="0" t="n">
        <v>14.362</v>
      </c>
      <c r="E81" s="0" t="n">
        <v>1</v>
      </c>
      <c r="F81" s="0" t="s">
        <v>97</v>
      </c>
      <c r="G81" s="0" t="n">
        <v>16</v>
      </c>
      <c r="H81" s="0" t="n">
        <v>316.59</v>
      </c>
      <c r="I81" s="0" t="s">
        <v>194</v>
      </c>
      <c r="J81" s="0" t="s">
        <v>195</v>
      </c>
      <c r="K81" s="0" t="s">
        <v>38</v>
      </c>
    </row>
    <row r="82" customFormat="false" ht="15" hidden="false" customHeight="false" outlineLevel="0" collapsed="false">
      <c r="A82" s="0" t="s">
        <v>210</v>
      </c>
      <c r="B82" s="0" t="s">
        <v>211</v>
      </c>
      <c r="C82" s="0" t="n">
        <v>3.407</v>
      </c>
      <c r="D82" s="0" t="n">
        <v>14.362</v>
      </c>
      <c r="E82" s="0" t="n">
        <v>1</v>
      </c>
      <c r="F82" s="0" t="s">
        <v>97</v>
      </c>
      <c r="G82" s="0" t="n">
        <v>16</v>
      </c>
      <c r="H82" s="0" t="n">
        <v>52.38</v>
      </c>
      <c r="I82" s="0" t="s">
        <v>194</v>
      </c>
      <c r="J82" s="0" t="s">
        <v>195</v>
      </c>
      <c r="K82" s="0" t="s">
        <v>38</v>
      </c>
    </row>
    <row r="83" customFormat="false" ht="15" hidden="false" customHeight="false" outlineLevel="0" collapsed="false">
      <c r="A83" s="0" t="s">
        <v>212</v>
      </c>
      <c r="B83" s="0" t="s">
        <v>213</v>
      </c>
      <c r="C83" s="0" t="n">
        <v>12.64</v>
      </c>
      <c r="D83" s="0" t="n">
        <v>14.362</v>
      </c>
      <c r="E83" s="0" t="n">
        <v>1</v>
      </c>
      <c r="F83" s="0" t="s">
        <v>97</v>
      </c>
      <c r="G83" s="0" t="n">
        <v>16</v>
      </c>
      <c r="H83" s="0" t="n">
        <v>194.34</v>
      </c>
      <c r="I83" s="0" t="s">
        <v>194</v>
      </c>
      <c r="J83" s="0" t="s">
        <v>195</v>
      </c>
      <c r="K83" s="0" t="s">
        <v>38</v>
      </c>
    </row>
    <row r="84" customFormat="false" ht="15" hidden="false" customHeight="false" outlineLevel="0" collapsed="false">
      <c r="A84" s="0" t="s">
        <v>214</v>
      </c>
      <c r="B84" s="0" t="s">
        <v>215</v>
      </c>
      <c r="C84" s="0" t="n">
        <v>26.247</v>
      </c>
      <c r="D84" s="0" t="n">
        <v>5.4</v>
      </c>
      <c r="E84" s="0" t="n">
        <v>1</v>
      </c>
      <c r="F84" s="0" t="s">
        <v>97</v>
      </c>
      <c r="G84" s="0" t="n">
        <v>16</v>
      </c>
      <c r="H84" s="0" t="n">
        <v>180.45</v>
      </c>
      <c r="I84" s="0" t="s">
        <v>216</v>
      </c>
      <c r="J84" s="0" t="s">
        <v>217</v>
      </c>
      <c r="K84" s="0" t="s">
        <v>38</v>
      </c>
    </row>
    <row r="85" customFormat="false" ht="15" hidden="false" customHeight="false" outlineLevel="0" collapsed="false">
      <c r="A85" s="5" t="s">
        <v>218</v>
      </c>
    </row>
    <row r="86" customFormat="false" ht="15" hidden="false" customHeight="false" outlineLevel="0" collapsed="false">
      <c r="A86" s="0" t="s">
        <v>219</v>
      </c>
      <c r="B86" s="0" t="s">
        <v>220</v>
      </c>
      <c r="C86" s="0" t="n">
        <v>9.14</v>
      </c>
      <c r="D86" s="0" t="n">
        <v>11.75</v>
      </c>
      <c r="E86" s="0" t="n">
        <v>1</v>
      </c>
      <c r="F86" s="0" t="s">
        <v>82</v>
      </c>
      <c r="G86" s="0" t="n">
        <v>16</v>
      </c>
      <c r="H86" s="0" t="n">
        <v>95.97</v>
      </c>
      <c r="I86" s="0" t="s">
        <v>221</v>
      </c>
      <c r="J86" s="0" t="s">
        <v>176</v>
      </c>
      <c r="K86" s="0" t="s">
        <v>38</v>
      </c>
    </row>
    <row r="87" customFormat="false" ht="15" hidden="false" customHeight="false" outlineLevel="0" collapsed="false">
      <c r="A87" s="0" t="s">
        <v>222</v>
      </c>
      <c r="B87" s="0" t="s">
        <v>223</v>
      </c>
      <c r="C87" s="0" t="n">
        <v>9.14</v>
      </c>
      <c r="D87" s="0" t="n">
        <v>11.75</v>
      </c>
      <c r="E87" s="0" t="n">
        <v>1</v>
      </c>
      <c r="F87" s="0" t="s">
        <v>82</v>
      </c>
      <c r="G87" s="0" t="n">
        <v>16</v>
      </c>
      <c r="H87" s="0" t="n">
        <v>95.97</v>
      </c>
      <c r="I87" s="0" t="s">
        <v>224</v>
      </c>
      <c r="J87" s="0" t="s">
        <v>176</v>
      </c>
      <c r="K87" s="0" t="s">
        <v>38</v>
      </c>
    </row>
    <row r="88" customFormat="false" ht="15" hidden="false" customHeight="false" outlineLevel="0" collapsed="false">
      <c r="A88" s="0" t="s">
        <v>225</v>
      </c>
      <c r="B88" s="0" t="s">
        <v>226</v>
      </c>
      <c r="C88" s="0" t="n">
        <v>5.02</v>
      </c>
      <c r="D88" s="0" t="n">
        <v>15.375</v>
      </c>
      <c r="E88" s="0" t="n">
        <v>1</v>
      </c>
      <c r="F88" s="0" t="s">
        <v>82</v>
      </c>
      <c r="G88" s="0" t="n">
        <v>16</v>
      </c>
      <c r="H88" s="0" t="n">
        <v>77.18</v>
      </c>
      <c r="I88" s="0" t="s">
        <v>227</v>
      </c>
      <c r="J88" s="0" t="s">
        <v>176</v>
      </c>
      <c r="K88" s="0" t="s">
        <v>38</v>
      </c>
    </row>
    <row r="89" customFormat="false" ht="15" hidden="false" customHeight="false" outlineLevel="0" collapsed="false">
      <c r="A89" s="0" t="s">
        <v>228</v>
      </c>
      <c r="B89" s="0" t="s">
        <v>229</v>
      </c>
      <c r="C89" s="0" t="n">
        <v>5</v>
      </c>
      <c r="D89" s="0" t="n">
        <v>15.375</v>
      </c>
      <c r="E89" s="0" t="n">
        <v>1</v>
      </c>
      <c r="F89" s="0" t="s">
        <v>82</v>
      </c>
      <c r="G89" s="0" t="n">
        <v>16</v>
      </c>
      <c r="H89" s="0" t="n">
        <v>76.88</v>
      </c>
      <c r="I89" s="0" t="s">
        <v>230</v>
      </c>
      <c r="J89" s="0" t="s">
        <v>176</v>
      </c>
      <c r="K89" s="0" t="s">
        <v>38</v>
      </c>
    </row>
    <row r="90" customFormat="false" ht="15" hidden="false" customHeight="false" outlineLevel="0" collapsed="false">
      <c r="A90" s="0" t="s">
        <v>231</v>
      </c>
      <c r="B90" s="0" t="s">
        <v>232</v>
      </c>
      <c r="C90" s="0" t="n">
        <v>4.832</v>
      </c>
      <c r="D90" s="0" t="n">
        <v>10.604</v>
      </c>
      <c r="E90" s="0" t="n">
        <v>0</v>
      </c>
      <c r="F90" s="0" t="s">
        <v>82</v>
      </c>
      <c r="G90" s="0" t="n">
        <v>16</v>
      </c>
      <c r="H90" s="0" t="n">
        <v>0</v>
      </c>
      <c r="I90" s="0" t="s">
        <v>233</v>
      </c>
      <c r="J90" s="0" t="s">
        <v>234</v>
      </c>
      <c r="K90" s="0" t="s">
        <v>38</v>
      </c>
    </row>
    <row r="91" customFormat="false" ht="15" hidden="false" customHeight="false" outlineLevel="0" collapsed="false">
      <c r="A91" s="0" t="s">
        <v>235</v>
      </c>
      <c r="B91" s="0" t="s">
        <v>236</v>
      </c>
      <c r="C91" s="0" t="n">
        <v>4.832</v>
      </c>
      <c r="D91" s="0" t="n">
        <v>10.604</v>
      </c>
      <c r="E91" s="0" t="n">
        <v>0</v>
      </c>
      <c r="F91" s="0" t="s">
        <v>82</v>
      </c>
      <c r="G91" s="0" t="n">
        <v>16</v>
      </c>
      <c r="H91" s="0" t="n">
        <v>0</v>
      </c>
      <c r="I91" s="0" t="s">
        <v>233</v>
      </c>
      <c r="J91" s="0" t="s">
        <v>234</v>
      </c>
      <c r="K91" s="0" t="s">
        <v>38</v>
      </c>
    </row>
    <row r="92" customFormat="false" ht="15" hidden="false" customHeight="false" outlineLevel="0" collapsed="false">
      <c r="A92" s="0" t="s">
        <v>237</v>
      </c>
      <c r="B92" s="0" t="s">
        <v>238</v>
      </c>
      <c r="C92" s="0" t="n">
        <v>4.832</v>
      </c>
      <c r="D92" s="0" t="n">
        <v>10.604</v>
      </c>
      <c r="E92" s="0" t="n">
        <v>0</v>
      </c>
      <c r="F92" s="0" t="s">
        <v>82</v>
      </c>
      <c r="G92" s="0" t="n">
        <v>16</v>
      </c>
      <c r="H92" s="0" t="n">
        <v>0</v>
      </c>
      <c r="I92" s="0" t="s">
        <v>233</v>
      </c>
      <c r="J92" s="0" t="s">
        <v>234</v>
      </c>
      <c r="K92" s="0" t="s">
        <v>38</v>
      </c>
    </row>
    <row r="93" customFormat="false" ht="15" hidden="false" customHeight="false" outlineLevel="0" collapsed="false">
      <c r="A93" s="0" t="s">
        <v>239</v>
      </c>
      <c r="B93" s="0" t="s">
        <v>240</v>
      </c>
      <c r="C93" s="0" t="n">
        <v>4.832</v>
      </c>
      <c r="D93" s="0" t="n">
        <v>10.604</v>
      </c>
      <c r="E93" s="0" t="n">
        <v>0</v>
      </c>
      <c r="F93" s="0" t="s">
        <v>82</v>
      </c>
      <c r="G93" s="0" t="n">
        <v>16</v>
      </c>
      <c r="H93" s="0" t="n">
        <v>0</v>
      </c>
      <c r="I93" s="0" t="s">
        <v>233</v>
      </c>
      <c r="J93" s="0" t="s">
        <v>234</v>
      </c>
      <c r="K93" s="0" t="s">
        <v>38</v>
      </c>
    </row>
    <row r="94" customFormat="false" ht="15" hidden="false" customHeight="false" outlineLevel="0" collapsed="false">
      <c r="A94" s="5" t="s">
        <v>241</v>
      </c>
    </row>
    <row r="95" customFormat="false" ht="15" hidden="false" customHeight="false" outlineLevel="0" collapsed="false">
      <c r="A95" s="0" t="s">
        <v>242</v>
      </c>
      <c r="B95" s="0" t="s">
        <v>243</v>
      </c>
      <c r="C95" s="0" t="n">
        <v>17.26</v>
      </c>
      <c r="D95" s="0" t="n">
        <v>11.167</v>
      </c>
      <c r="E95" s="0" t="n">
        <v>1</v>
      </c>
      <c r="F95" s="0" t="s">
        <v>97</v>
      </c>
      <c r="G95" s="0" t="n">
        <v>16</v>
      </c>
      <c r="H95" s="0" t="n">
        <v>56.1</v>
      </c>
      <c r="I95" s="0" t="s">
        <v>244</v>
      </c>
      <c r="J95" s="0" t="s">
        <v>195</v>
      </c>
      <c r="K95" s="0" t="s">
        <v>38</v>
      </c>
    </row>
    <row r="96" customFormat="false" ht="15" hidden="false" customHeight="false" outlineLevel="0" collapsed="false">
      <c r="A96" s="0" t="s">
        <v>245</v>
      </c>
      <c r="B96" s="0" t="s">
        <v>246</v>
      </c>
      <c r="C96" s="0" t="n">
        <v>6.333</v>
      </c>
      <c r="D96" s="0" t="n">
        <v>11.167</v>
      </c>
      <c r="E96" s="0" t="n">
        <v>1</v>
      </c>
      <c r="F96" s="0" t="s">
        <v>97</v>
      </c>
      <c r="G96" s="0" t="n">
        <v>16</v>
      </c>
      <c r="H96" s="0" t="n">
        <v>20.58</v>
      </c>
      <c r="I96" s="0" t="s">
        <v>247</v>
      </c>
      <c r="J96" s="0" t="s">
        <v>195</v>
      </c>
      <c r="K96" s="0" t="s">
        <v>38</v>
      </c>
    </row>
    <row r="97" customFormat="false" ht="15" hidden="false" customHeight="false" outlineLevel="0" collapsed="false">
      <c r="A97" s="5" t="s">
        <v>248</v>
      </c>
    </row>
    <row r="98" customFormat="false" ht="15" hidden="false" customHeight="false" outlineLevel="0" collapsed="false">
      <c r="A98" s="0" t="s">
        <v>249</v>
      </c>
      <c r="B98" s="0" t="s">
        <v>250</v>
      </c>
      <c r="C98" s="0" t="n">
        <v>16.13</v>
      </c>
      <c r="D98" s="0" t="n">
        <v>5.375</v>
      </c>
      <c r="E98" s="0" t="n">
        <v>2</v>
      </c>
      <c r="F98" s="0" t="s">
        <v>82</v>
      </c>
      <c r="G98" s="0" t="n">
        <v>16</v>
      </c>
      <c r="H98" s="0" t="n">
        <v>16.12</v>
      </c>
      <c r="I98" s="0" t="s">
        <v>251</v>
      </c>
      <c r="J98" s="0" t="s">
        <v>103</v>
      </c>
      <c r="K98" s="0" t="s">
        <v>38</v>
      </c>
    </row>
    <row r="99" customFormat="false" ht="15" hidden="false" customHeight="false" outlineLevel="0" collapsed="false">
      <c r="A99" s="0" t="s">
        <v>252</v>
      </c>
      <c r="B99" s="0" t="s">
        <v>253</v>
      </c>
      <c r="C99" s="0" t="n">
        <v>6.333</v>
      </c>
      <c r="D99" s="0" t="n">
        <v>1.75</v>
      </c>
      <c r="E99" s="0" t="n">
        <v>2</v>
      </c>
      <c r="F99" s="0" t="s">
        <v>82</v>
      </c>
      <c r="G99" s="0" t="n">
        <v>16</v>
      </c>
      <c r="H99" s="0" t="n">
        <v>14.25</v>
      </c>
      <c r="I99" s="0" t="s">
        <v>254</v>
      </c>
      <c r="J99" s="0" t="s">
        <v>103</v>
      </c>
      <c r="K99" s="0" t="s">
        <v>38</v>
      </c>
    </row>
    <row r="100" customFormat="false" ht="15" hidden="false" customHeight="false" outlineLevel="0" collapsed="false">
      <c r="A100" s="5" t="s">
        <v>255</v>
      </c>
    </row>
    <row r="101" customFormat="false" ht="15" hidden="false" customHeight="false" outlineLevel="0" collapsed="false">
      <c r="A101" s="0" t="s">
        <v>256</v>
      </c>
      <c r="B101" s="0" t="s">
        <v>257</v>
      </c>
      <c r="C101" s="0" t="n">
        <v>13.333</v>
      </c>
      <c r="D101" s="0" t="n">
        <v>1.5</v>
      </c>
      <c r="E101" s="0" t="n">
        <v>2</v>
      </c>
      <c r="F101" s="0" t="s">
        <v>258</v>
      </c>
      <c r="G101" s="0" t="n">
        <v>16</v>
      </c>
      <c r="H101" s="0" t="n">
        <v>40</v>
      </c>
      <c r="I101" s="0" t="s">
        <v>259</v>
      </c>
      <c r="J101" s="0" t="s">
        <v>260</v>
      </c>
      <c r="K101" s="0" t="s">
        <v>34</v>
      </c>
    </row>
    <row r="102" customFormat="false" ht="15" hidden="false" customHeight="false" outlineLevel="0" collapsed="false">
      <c r="A102" s="5" t="s">
        <v>261</v>
      </c>
    </row>
    <row r="103" customFormat="false" ht="15" hidden="false" customHeight="false" outlineLevel="0" collapsed="false">
      <c r="A103" s="0" t="s">
        <v>262</v>
      </c>
      <c r="B103" s="0" t="s">
        <v>263</v>
      </c>
      <c r="C103" s="0" t="n">
        <v>12.013</v>
      </c>
      <c r="D103" s="0" t="n">
        <v>7.375</v>
      </c>
      <c r="E103" s="0" t="n">
        <v>1</v>
      </c>
      <c r="F103" s="0" t="s">
        <v>82</v>
      </c>
      <c r="G103" s="0" t="n">
        <v>16</v>
      </c>
      <c r="H103" s="0" t="n">
        <v>18.02</v>
      </c>
      <c r="I103" s="0" t="s">
        <v>264</v>
      </c>
      <c r="J103" s="0" t="s">
        <v>265</v>
      </c>
      <c r="K103" s="0" t="s">
        <v>38</v>
      </c>
    </row>
    <row r="104" customFormat="false" ht="15" hidden="false" customHeight="false" outlineLevel="0" collapsed="false">
      <c r="A104" s="0" t="s">
        <v>266</v>
      </c>
      <c r="B104" s="0" t="s">
        <v>267</v>
      </c>
      <c r="C104" s="0" t="n">
        <v>12.013</v>
      </c>
      <c r="D104" s="0" t="n">
        <v>7.375</v>
      </c>
      <c r="E104" s="0" t="n">
        <v>1</v>
      </c>
      <c r="F104" s="0" t="s">
        <v>82</v>
      </c>
      <c r="G104" s="0" t="n">
        <v>16</v>
      </c>
      <c r="H104" s="0" t="n">
        <v>18.02</v>
      </c>
      <c r="I104" s="0" t="s">
        <v>264</v>
      </c>
      <c r="J104" s="0" t="s">
        <v>265</v>
      </c>
      <c r="K104" s="0" t="s">
        <v>38</v>
      </c>
    </row>
    <row r="105" customFormat="false" ht="15" hidden="false" customHeight="false" outlineLevel="0" collapsed="false">
      <c r="A105" s="5" t="s">
        <v>268</v>
      </c>
    </row>
    <row r="106" customFormat="false" ht="15" hidden="false" customHeight="false" outlineLevel="0" collapsed="false">
      <c r="A106" s="0" t="s">
        <v>269</v>
      </c>
      <c r="B106" s="0" t="s">
        <v>270</v>
      </c>
      <c r="C106" s="0" t="n">
        <v>17.027</v>
      </c>
      <c r="D106" s="0" t="n">
        <v>4.375</v>
      </c>
      <c r="E106" s="0" t="n">
        <v>1</v>
      </c>
      <c r="F106" s="0" t="s">
        <v>82</v>
      </c>
      <c r="G106" s="0" t="n">
        <v>16</v>
      </c>
      <c r="H106" s="0" t="n">
        <v>8.51</v>
      </c>
      <c r="I106" s="0" t="s">
        <v>271</v>
      </c>
      <c r="J106" s="0" t="s">
        <v>272</v>
      </c>
      <c r="K106" s="0" t="s">
        <v>38</v>
      </c>
    </row>
    <row r="107" customFormat="false" ht="15" hidden="false" customHeight="false" outlineLevel="0" collapsed="false">
      <c r="A107" s="0" t="s">
        <v>273</v>
      </c>
      <c r="B107" s="0" t="s">
        <v>274</v>
      </c>
      <c r="C107" s="0" t="n">
        <v>30</v>
      </c>
      <c r="D107" s="0" t="n">
        <v>4.375</v>
      </c>
      <c r="E107" s="0" t="n">
        <v>1</v>
      </c>
      <c r="F107" s="0" t="s">
        <v>82</v>
      </c>
      <c r="G107" s="0" t="n">
        <v>16</v>
      </c>
      <c r="H107" s="0" t="n">
        <v>15</v>
      </c>
      <c r="I107" s="0" t="s">
        <v>271</v>
      </c>
      <c r="J107" s="0" t="s">
        <v>272</v>
      </c>
      <c r="K107" s="0" t="s">
        <v>34</v>
      </c>
    </row>
    <row r="108" customFormat="false" ht="15" hidden="false" customHeight="false" outlineLevel="0" collapsed="false">
      <c r="A108" s="0" t="s">
        <v>275</v>
      </c>
      <c r="B108" s="0" t="s">
        <v>276</v>
      </c>
      <c r="C108" s="0" t="n">
        <v>30</v>
      </c>
      <c r="D108" s="0" t="n">
        <v>4.375</v>
      </c>
      <c r="E108" s="0" t="n">
        <v>1</v>
      </c>
      <c r="F108" s="0" t="s">
        <v>82</v>
      </c>
      <c r="G108" s="0" t="n">
        <v>16</v>
      </c>
      <c r="H108" s="0" t="n">
        <v>15</v>
      </c>
      <c r="I108" s="0" t="s">
        <v>271</v>
      </c>
      <c r="J108" s="0" t="s">
        <v>272</v>
      </c>
      <c r="K108" s="0" t="s">
        <v>34</v>
      </c>
    </row>
    <row r="109" customFormat="false" ht="15" hidden="false" customHeight="false" outlineLevel="0" collapsed="false">
      <c r="A109" s="0" t="s">
        <v>277</v>
      </c>
      <c r="B109" s="0" t="s">
        <v>278</v>
      </c>
      <c r="C109" s="0" t="n">
        <v>5.107</v>
      </c>
      <c r="D109" s="0" t="n">
        <v>6.375</v>
      </c>
      <c r="E109" s="0" t="n">
        <v>1</v>
      </c>
      <c r="F109" s="0" t="s">
        <v>82</v>
      </c>
      <c r="G109" s="0" t="n">
        <v>16</v>
      </c>
      <c r="H109" s="0" t="n">
        <v>12.77</v>
      </c>
      <c r="I109" s="0" t="s">
        <v>279</v>
      </c>
      <c r="J109" s="0" t="s">
        <v>272</v>
      </c>
      <c r="K109" s="0" t="s">
        <v>38</v>
      </c>
    </row>
    <row r="110" customFormat="false" ht="15" hidden="false" customHeight="false" outlineLevel="0" collapsed="false">
      <c r="A110" s="5" t="s">
        <v>280</v>
      </c>
    </row>
    <row r="111" customFormat="false" ht="15" hidden="false" customHeight="false" outlineLevel="0" collapsed="false">
      <c r="A111" s="0" t="s">
        <v>281</v>
      </c>
      <c r="B111" s="0" t="s">
        <v>282</v>
      </c>
      <c r="C111" s="0" t="n">
        <v>51.733</v>
      </c>
      <c r="D111" s="0" t="n">
        <v>3.33</v>
      </c>
      <c r="E111" s="0" t="n">
        <v>0</v>
      </c>
      <c r="F111" s="0" t="s">
        <v>82</v>
      </c>
      <c r="G111" s="0" t="n">
        <v>16</v>
      </c>
      <c r="H111" s="0" t="n">
        <v>0</v>
      </c>
      <c r="I111" s="0" t="s">
        <v>283</v>
      </c>
      <c r="J111" s="0" t="s">
        <v>284</v>
      </c>
      <c r="K111" s="0" t="s">
        <v>38</v>
      </c>
    </row>
    <row r="112" customFormat="false" ht="15" hidden="false" customHeight="false" outlineLevel="0" collapsed="false">
      <c r="A112" s="0" t="s">
        <v>285</v>
      </c>
      <c r="B112" s="0" t="s">
        <v>286</v>
      </c>
      <c r="C112" s="0" t="n">
        <v>51.733</v>
      </c>
      <c r="D112" s="0" t="n">
        <v>3.42</v>
      </c>
      <c r="E112" s="0" t="n">
        <v>0</v>
      </c>
      <c r="F112" s="0" t="s">
        <v>82</v>
      </c>
      <c r="G112" s="0" t="n">
        <v>16</v>
      </c>
      <c r="H112" s="0" t="n">
        <v>0</v>
      </c>
      <c r="I112" s="0" t="s">
        <v>287</v>
      </c>
      <c r="J112" s="0" t="s">
        <v>284</v>
      </c>
      <c r="K112" s="0" t="s">
        <v>38</v>
      </c>
    </row>
    <row r="113" customFormat="false" ht="15" hidden="false" customHeight="false" outlineLevel="0" collapsed="false">
      <c r="A113" s="0" t="s">
        <v>288</v>
      </c>
      <c r="B113" s="0" t="s">
        <v>289</v>
      </c>
      <c r="C113" s="0" t="n">
        <v>51.733</v>
      </c>
      <c r="D113" s="0" t="n">
        <v>4.552</v>
      </c>
      <c r="E113" s="0" t="n">
        <v>1</v>
      </c>
      <c r="F113" s="0" t="s">
        <v>82</v>
      </c>
      <c r="G113" s="0" t="n">
        <v>16</v>
      </c>
      <c r="H113" s="0" t="n">
        <v>235.49</v>
      </c>
      <c r="I113" s="0" t="s">
        <v>290</v>
      </c>
      <c r="J113" s="0" t="s">
        <v>284</v>
      </c>
      <c r="K113" s="0" t="s">
        <v>38</v>
      </c>
    </row>
    <row r="114" customFormat="false" ht="15" hidden="false" customHeight="false" outlineLevel="0" collapsed="false">
      <c r="A114" s="5" t="s">
        <v>291</v>
      </c>
    </row>
    <row r="115" customFormat="false" ht="15" hidden="false" customHeight="false" outlineLevel="0" collapsed="false">
      <c r="A115" s="0" t="s">
        <v>292</v>
      </c>
      <c r="B115" s="0" t="s">
        <v>293</v>
      </c>
      <c r="C115" s="0" t="n">
        <v>16.208</v>
      </c>
      <c r="D115" s="0" t="n">
        <v>4.292</v>
      </c>
      <c r="E115" s="0" t="n">
        <v>0</v>
      </c>
      <c r="F115" s="0" t="s">
        <v>294</v>
      </c>
      <c r="G115" s="0" t="n">
        <v>16</v>
      </c>
      <c r="H115" s="0" t="n">
        <v>0</v>
      </c>
      <c r="I115" s="0" t="s">
        <v>295</v>
      </c>
      <c r="J115" s="0" t="s">
        <v>296</v>
      </c>
      <c r="K115" s="0" t="s">
        <v>38</v>
      </c>
    </row>
    <row r="116" customFormat="false" ht="15" hidden="false" customHeight="false" outlineLevel="0" collapsed="false">
      <c r="A116" s="0" t="s">
        <v>297</v>
      </c>
      <c r="B116" s="0" t="s">
        <v>298</v>
      </c>
      <c r="C116" s="0" t="n">
        <v>40</v>
      </c>
      <c r="D116" s="0" t="n">
        <v>2.042</v>
      </c>
      <c r="E116" s="0" t="n">
        <v>0</v>
      </c>
      <c r="F116" s="0" t="s">
        <v>294</v>
      </c>
      <c r="G116" s="0" t="n">
        <v>16</v>
      </c>
      <c r="H116" s="0" t="n">
        <v>0</v>
      </c>
      <c r="I116" s="0" t="s">
        <v>295</v>
      </c>
      <c r="J116" s="0" t="s">
        <v>296</v>
      </c>
      <c r="K116" s="0" t="s">
        <v>38</v>
      </c>
    </row>
    <row r="117" customFormat="false" ht="15" hidden="false" customHeight="false" outlineLevel="0" collapsed="false">
      <c r="A117" s="0" t="s">
        <v>299</v>
      </c>
      <c r="B117" s="0" t="s">
        <v>300</v>
      </c>
      <c r="C117" s="0" t="n">
        <v>50.689</v>
      </c>
      <c r="D117" s="0" t="n">
        <v>2.042</v>
      </c>
      <c r="E117" s="0" t="n">
        <v>0</v>
      </c>
      <c r="F117" s="0" t="s">
        <v>294</v>
      </c>
      <c r="G117" s="0" t="n">
        <v>16</v>
      </c>
      <c r="H117" s="0" t="n">
        <v>0</v>
      </c>
      <c r="I117" s="0" t="s">
        <v>295</v>
      </c>
      <c r="J117" s="0" t="s">
        <v>296</v>
      </c>
      <c r="K117" s="0" t="s">
        <v>38</v>
      </c>
    </row>
    <row r="118" customFormat="false" ht="15" hidden="false" customHeight="false" outlineLevel="0" collapsed="false">
      <c r="A118" s="0" t="s">
        <v>301</v>
      </c>
      <c r="B118" s="0" t="s">
        <v>302</v>
      </c>
      <c r="C118" s="0" t="n">
        <v>25.244</v>
      </c>
      <c r="D118" s="0" t="n">
        <v>4.886</v>
      </c>
      <c r="E118" s="0" t="n">
        <v>0</v>
      </c>
      <c r="F118" s="0" t="s">
        <v>294</v>
      </c>
      <c r="G118" s="0" t="n">
        <v>16</v>
      </c>
      <c r="H118" s="0" t="n">
        <v>0</v>
      </c>
      <c r="I118" s="0" t="s">
        <v>295</v>
      </c>
      <c r="J118" s="0" t="s">
        <v>296</v>
      </c>
      <c r="K118" s="0" t="s">
        <v>38</v>
      </c>
    </row>
    <row r="119" customFormat="false" ht="15" hidden="false" customHeight="false" outlineLevel="0" collapsed="false">
      <c r="A119" s="0" t="s">
        <v>303</v>
      </c>
      <c r="B119" s="0" t="s">
        <v>304</v>
      </c>
      <c r="C119" s="0" t="n">
        <v>52.333</v>
      </c>
      <c r="D119" s="0" t="n">
        <v>4.886</v>
      </c>
      <c r="E119" s="0" t="n">
        <v>0</v>
      </c>
      <c r="F119" s="0" t="s">
        <v>294</v>
      </c>
      <c r="G119" s="0" t="n">
        <v>16</v>
      </c>
      <c r="H119" s="0" t="n">
        <v>0</v>
      </c>
      <c r="I119" s="0" t="s">
        <v>295</v>
      </c>
      <c r="J119" s="0" t="s">
        <v>296</v>
      </c>
      <c r="K119" s="0" t="s">
        <v>38</v>
      </c>
    </row>
    <row r="120" customFormat="false" ht="15" hidden="false" customHeight="false" outlineLevel="0" collapsed="false">
      <c r="A120" s="0" t="s">
        <v>305</v>
      </c>
      <c r="B120" s="0" t="s">
        <v>306</v>
      </c>
      <c r="C120" s="0" t="n">
        <v>25.244</v>
      </c>
      <c r="D120" s="0" t="n">
        <v>4.886</v>
      </c>
      <c r="E120" s="0" t="n">
        <v>0</v>
      </c>
      <c r="F120" s="0" t="s">
        <v>294</v>
      </c>
      <c r="G120" s="0" t="n">
        <v>16</v>
      </c>
      <c r="H120" s="0" t="n">
        <v>0</v>
      </c>
      <c r="I120" s="0" t="s">
        <v>295</v>
      </c>
      <c r="J120" s="0" t="s">
        <v>296</v>
      </c>
      <c r="K120" s="0" t="s">
        <v>38</v>
      </c>
    </row>
    <row r="121" customFormat="false" ht="15" hidden="false" customHeight="false" outlineLevel="0" collapsed="false">
      <c r="A121" s="0" t="s">
        <v>307</v>
      </c>
      <c r="B121" s="0" t="s">
        <v>308</v>
      </c>
      <c r="C121" s="0" t="n">
        <v>22.678</v>
      </c>
      <c r="D121" s="0" t="n">
        <v>2.042</v>
      </c>
      <c r="E121" s="0" t="n">
        <v>0</v>
      </c>
      <c r="F121" s="0" t="s">
        <v>294</v>
      </c>
      <c r="G121" s="0" t="n">
        <v>16</v>
      </c>
      <c r="H121" s="0" t="n">
        <v>0</v>
      </c>
      <c r="I121" s="0" t="s">
        <v>295</v>
      </c>
      <c r="J121" s="0" t="s">
        <v>296</v>
      </c>
      <c r="K121" s="0" t="s">
        <v>38</v>
      </c>
    </row>
    <row r="122" customFormat="false" ht="15" hidden="false" customHeight="false" outlineLevel="0" collapsed="false">
      <c r="A122" s="0" t="s">
        <v>309</v>
      </c>
      <c r="B122" s="0" t="s">
        <v>310</v>
      </c>
      <c r="C122" s="0" t="n">
        <v>3.875</v>
      </c>
      <c r="D122" s="0" t="n">
        <v>2.042</v>
      </c>
      <c r="E122" s="0" t="n">
        <v>0</v>
      </c>
      <c r="F122" s="0" t="s">
        <v>294</v>
      </c>
      <c r="G122" s="0" t="n">
        <v>16</v>
      </c>
      <c r="H122" s="0" t="n">
        <v>0</v>
      </c>
      <c r="I122" s="0" t="s">
        <v>295</v>
      </c>
      <c r="J122" s="0" t="s">
        <v>296</v>
      </c>
      <c r="K122" s="0" t="s">
        <v>38</v>
      </c>
    </row>
    <row r="123" customFormat="false" ht="15" hidden="false" customHeight="false" outlineLevel="0" collapsed="false">
      <c r="A123" s="0" t="s">
        <v>311</v>
      </c>
      <c r="B123" s="0" t="s">
        <v>312</v>
      </c>
      <c r="C123" s="0" t="n">
        <v>30</v>
      </c>
      <c r="D123" s="0" t="n">
        <v>4.292</v>
      </c>
      <c r="E123" s="0" t="n">
        <v>0</v>
      </c>
      <c r="F123" s="0" t="s">
        <v>294</v>
      </c>
      <c r="G123" s="0" t="n">
        <v>16</v>
      </c>
      <c r="H123" s="0" t="n">
        <v>0</v>
      </c>
      <c r="I123" s="0" t="s">
        <v>295</v>
      </c>
      <c r="J123" s="0" t="s">
        <v>296</v>
      </c>
      <c r="K123" s="0" t="s">
        <v>38</v>
      </c>
    </row>
    <row r="124" customFormat="false" ht="15" hidden="false" customHeight="false" outlineLevel="0" collapsed="false">
      <c r="A124" s="5" t="s">
        <v>313</v>
      </c>
    </row>
    <row r="125" customFormat="false" ht="15" hidden="false" customHeight="false" outlineLevel="0" collapsed="false">
      <c r="A125" s="0" t="s">
        <v>314</v>
      </c>
      <c r="B125" s="0" t="s">
        <v>315</v>
      </c>
      <c r="C125" s="0" t="n">
        <v>78.167</v>
      </c>
      <c r="D125" s="0" t="n">
        <v>1.864</v>
      </c>
      <c r="E125" s="0" t="n">
        <v>0</v>
      </c>
      <c r="F125" s="0" t="s">
        <v>82</v>
      </c>
      <c r="G125" s="0" t="n">
        <v>16</v>
      </c>
      <c r="H125" s="0" t="n">
        <v>0</v>
      </c>
      <c r="I125" s="0" t="s">
        <v>316</v>
      </c>
      <c r="J125" s="0" t="s">
        <v>317</v>
      </c>
      <c r="K125" s="0" t="s">
        <v>38</v>
      </c>
    </row>
    <row r="126" customFormat="false" ht="15" hidden="false" customHeight="false" outlineLevel="0" collapsed="false">
      <c r="A126" s="0" t="s">
        <v>318</v>
      </c>
      <c r="B126" s="0" t="s">
        <v>319</v>
      </c>
      <c r="C126" s="0" t="n">
        <v>55.896</v>
      </c>
      <c r="D126" s="0" t="n">
        <v>1.864</v>
      </c>
      <c r="E126" s="0" t="n">
        <v>0</v>
      </c>
      <c r="F126" s="0" t="s">
        <v>82</v>
      </c>
      <c r="G126" s="0" t="n">
        <v>16</v>
      </c>
      <c r="H126" s="0" t="n">
        <v>0</v>
      </c>
      <c r="I126" s="0" t="s">
        <v>320</v>
      </c>
      <c r="J126" s="0" t="s">
        <v>317</v>
      </c>
      <c r="K126" s="0" t="s">
        <v>38</v>
      </c>
    </row>
    <row r="127" customFormat="false" ht="15" hidden="false" customHeight="false" outlineLevel="0" collapsed="false">
      <c r="A127" s="0" t="s">
        <v>321</v>
      </c>
      <c r="B127" s="0" t="s">
        <v>322</v>
      </c>
      <c r="C127" s="0" t="n">
        <v>21.5</v>
      </c>
      <c r="D127" s="0" t="n">
        <v>1.864</v>
      </c>
      <c r="E127" s="0" t="n">
        <v>0</v>
      </c>
      <c r="F127" s="0" t="s">
        <v>82</v>
      </c>
      <c r="G127" s="0" t="n">
        <v>16</v>
      </c>
      <c r="H127" s="0" t="n">
        <v>0</v>
      </c>
      <c r="I127" s="0" t="s">
        <v>323</v>
      </c>
      <c r="J127" s="0" t="s">
        <v>317</v>
      </c>
      <c r="K127" s="0" t="s">
        <v>38</v>
      </c>
    </row>
    <row r="128" customFormat="false" ht="15" hidden="false" customHeight="false" outlineLevel="0" collapsed="false">
      <c r="A128" s="0" t="s">
        <v>324</v>
      </c>
      <c r="B128" s="0" t="s">
        <v>325</v>
      </c>
      <c r="C128" s="0" t="n">
        <v>56.483</v>
      </c>
      <c r="D128" s="0" t="n">
        <v>1.864</v>
      </c>
      <c r="E128" s="0" t="n">
        <v>0</v>
      </c>
      <c r="F128" s="0" t="s">
        <v>82</v>
      </c>
      <c r="G128" s="0" t="n">
        <v>16</v>
      </c>
      <c r="H128" s="0" t="n">
        <v>0</v>
      </c>
      <c r="I128" s="0" t="s">
        <v>326</v>
      </c>
      <c r="J128" s="0" t="s">
        <v>317</v>
      </c>
      <c r="K128" s="0" t="s">
        <v>38</v>
      </c>
    </row>
    <row r="129" customFormat="false" ht="15" hidden="false" customHeight="false" outlineLevel="0" collapsed="false">
      <c r="A129" s="0" t="s">
        <v>327</v>
      </c>
      <c r="B129" s="0" t="s">
        <v>328</v>
      </c>
      <c r="C129" s="0" t="n">
        <v>3.667</v>
      </c>
      <c r="D129" s="0" t="n">
        <v>1.864</v>
      </c>
      <c r="E129" s="0" t="n">
        <v>0</v>
      </c>
      <c r="F129" s="0" t="s">
        <v>82</v>
      </c>
      <c r="G129" s="0" t="n">
        <v>16</v>
      </c>
      <c r="H129" s="0" t="n">
        <v>0</v>
      </c>
      <c r="I129" s="0" t="s">
        <v>329</v>
      </c>
      <c r="J129" s="0" t="s">
        <v>317</v>
      </c>
      <c r="K129" s="0" t="s">
        <v>38</v>
      </c>
    </row>
    <row r="130" customFormat="false" ht="15" hidden="false" customHeight="false" outlineLevel="0" collapsed="false">
      <c r="A130" s="0" t="s">
        <v>330</v>
      </c>
      <c r="B130" s="0" t="s">
        <v>331</v>
      </c>
      <c r="C130" s="0" t="n">
        <v>29</v>
      </c>
      <c r="D130" s="0" t="n">
        <v>1.864</v>
      </c>
      <c r="E130" s="0" t="n">
        <v>0</v>
      </c>
      <c r="F130" s="0" t="s">
        <v>82</v>
      </c>
      <c r="G130" s="0" t="n">
        <v>16</v>
      </c>
      <c r="H130" s="0" t="n">
        <v>0</v>
      </c>
      <c r="I130" s="0" t="s">
        <v>332</v>
      </c>
      <c r="J130" s="0" t="s">
        <v>317</v>
      </c>
      <c r="K130" s="0" t="s">
        <v>38</v>
      </c>
    </row>
    <row r="131" customFormat="false" ht="15" hidden="false" customHeight="false" outlineLevel="0" collapsed="false">
      <c r="A131" s="6" t="s">
        <v>333</v>
      </c>
      <c r="C131" s="3" t="n">
        <f aca="false">SUM(C5:C130)</f>
        <v>1541.562</v>
      </c>
      <c r="H131" s="3" t="n">
        <f aca="false">SUM(H5:H130)</f>
        <v>16813.59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3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0" t="s">
        <v>335</v>
      </c>
    </row>
    <row r="3" customFormat="false" ht="15" hidden="false" customHeight="false" outlineLevel="0" collapsed="false">
      <c r="A3" s="4" t="s">
        <v>336</v>
      </c>
      <c r="B3" s="4" t="s">
        <v>337</v>
      </c>
      <c r="C3" s="4" t="s">
        <v>338</v>
      </c>
      <c r="D3" s="4" t="s">
        <v>339</v>
      </c>
      <c r="E3" s="4" t="s">
        <v>340</v>
      </c>
      <c r="F3" s="4" t="s">
        <v>341</v>
      </c>
      <c r="G3" s="4" t="s">
        <v>342</v>
      </c>
      <c r="H3" s="4" t="s">
        <v>343</v>
      </c>
      <c r="I3" s="4" t="s">
        <v>344</v>
      </c>
    </row>
    <row r="4" customFormat="false" ht="15" hidden="false" customHeight="false" outlineLevel="0" collapsed="false">
      <c r="A4" s="0" t="s">
        <v>345</v>
      </c>
      <c r="B4" s="0" t="s">
        <v>346</v>
      </c>
      <c r="C4" s="0" t="n">
        <v>4495.73</v>
      </c>
      <c r="D4" s="0" t="n">
        <f aca="false">Inputs!$B$4</f>
        <v>0.15</v>
      </c>
      <c r="E4" s="0" t="n">
        <f aca="false">C4*D4</f>
        <v>674.3595</v>
      </c>
      <c r="F4" s="0" t="n">
        <f aca="false">C4+E4</f>
        <v>5170.0895</v>
      </c>
      <c r="G4" s="0" t="s">
        <v>347</v>
      </c>
      <c r="H4" s="0" t="n">
        <f aca="false">ROUNDUP(ROUNDUP(F4/14.4,0)/MAX(1,INT(20/14.4)),0)</f>
        <v>360</v>
      </c>
      <c r="I4" s="0" t="s">
        <v>348</v>
      </c>
    </row>
    <row r="5" customFormat="false" ht="15" hidden="false" customHeight="false" outlineLevel="0" collapsed="false">
      <c r="A5" s="0" t="s">
        <v>349</v>
      </c>
      <c r="B5" s="0" t="s">
        <v>346</v>
      </c>
      <c r="C5" s="0" t="n">
        <v>6524.39</v>
      </c>
      <c r="D5" s="0" t="n">
        <f aca="false">Inputs!$B$4</f>
        <v>0.15</v>
      </c>
      <c r="E5" s="0" t="n">
        <f aca="false">C5*D5</f>
        <v>978.6585</v>
      </c>
      <c r="F5" s="0" t="n">
        <f aca="false">C5+E5</f>
        <v>7503.0485</v>
      </c>
      <c r="G5" s="0" t="s">
        <v>347</v>
      </c>
      <c r="H5" s="0" t="n">
        <f aca="false">ROUNDUP(ROUNDUP(F5/12.9,0)/MAX(1,INT(20/12.9)),0)</f>
        <v>582</v>
      </c>
      <c r="I5" s="0" t="s">
        <v>350</v>
      </c>
    </row>
    <row r="6" customFormat="false" ht="15" hidden="false" customHeight="false" outlineLevel="0" collapsed="false">
      <c r="A6" s="0" t="s">
        <v>351</v>
      </c>
      <c r="B6" s="0" t="s">
        <v>346</v>
      </c>
      <c r="C6" s="0" t="n">
        <v>4074.64</v>
      </c>
      <c r="D6" s="0" t="n">
        <f aca="false">Inputs!$B$4</f>
        <v>0.15</v>
      </c>
      <c r="E6" s="0" t="n">
        <f aca="false">C6*D6</f>
        <v>611.196</v>
      </c>
      <c r="F6" s="0" t="n">
        <f aca="false">C6+E6</f>
        <v>4685.836</v>
      </c>
      <c r="G6" s="0" t="s">
        <v>347</v>
      </c>
      <c r="H6" s="0" t="n">
        <f aca="false">ROUNDUP(ROUNDUP(F6/15.4,0)/MAX(1,INT(20/15.4)),0)</f>
        <v>305</v>
      </c>
      <c r="I6" s="0" t="s">
        <v>352</v>
      </c>
    </row>
    <row r="7" customFormat="false" ht="15" hidden="false" customHeight="false" outlineLevel="0" collapsed="false">
      <c r="A7" s="0" t="s">
        <v>353</v>
      </c>
      <c r="B7" s="0" t="s">
        <v>346</v>
      </c>
      <c r="C7" s="0" t="n">
        <v>16.5</v>
      </c>
      <c r="D7" s="0" t="n">
        <f aca="false">Inputs!$B$4</f>
        <v>0.15</v>
      </c>
      <c r="E7" s="0" t="n">
        <f aca="false">C7*D7</f>
        <v>2.475</v>
      </c>
      <c r="F7" s="0" t="n">
        <f aca="false">C7+E7</f>
        <v>18.975</v>
      </c>
      <c r="G7" s="0" t="s">
        <v>354</v>
      </c>
      <c r="H7" s="0" t="n">
        <f aca="false">ROUNDUP(ROUNDUP(F7/1.5,0)/MAX(1,INT(10/1.5)),0)</f>
        <v>3</v>
      </c>
      <c r="I7" s="0" t="s">
        <v>355</v>
      </c>
    </row>
    <row r="8" customFormat="false" ht="15" hidden="false" customHeight="false" outlineLevel="0" collapsed="false">
      <c r="A8" s="0" t="s">
        <v>356</v>
      </c>
      <c r="B8" s="0" t="s">
        <v>346</v>
      </c>
      <c r="C8" s="0" t="n">
        <v>750.82</v>
      </c>
      <c r="D8" s="0" t="n">
        <f aca="false">Inputs!$B$4</f>
        <v>0.15</v>
      </c>
      <c r="E8" s="0" t="n">
        <f aca="false">C8*D8</f>
        <v>112.623</v>
      </c>
      <c r="F8" s="0" t="n">
        <f aca="false">C8+E8</f>
        <v>863.443</v>
      </c>
      <c r="G8" s="0" t="s">
        <v>347</v>
      </c>
      <c r="H8" s="0" t="n">
        <f aca="false">ROUNDUP(ROUNDUP(F8/4.3,0)/MAX(1,INT(20/4.3)),0)</f>
        <v>51</v>
      </c>
      <c r="I8" s="0" t="s">
        <v>357</v>
      </c>
    </row>
    <row r="9" customFormat="false" ht="15" hidden="false" customHeight="false" outlineLevel="0" collapsed="false">
      <c r="A9" s="0" t="s">
        <v>358</v>
      </c>
      <c r="B9" s="0" t="s">
        <v>346</v>
      </c>
      <c r="C9" s="0" t="n">
        <v>1334.65</v>
      </c>
      <c r="D9" s="0" t="n">
        <f aca="false">Inputs!$B$4</f>
        <v>0.15</v>
      </c>
      <c r="E9" s="0" t="n">
        <f aca="false">C9*D9</f>
        <v>200.1975</v>
      </c>
      <c r="F9" s="0" t="n">
        <f aca="false">C9+E9</f>
        <v>1534.8475</v>
      </c>
      <c r="G9" s="0" t="s">
        <v>359</v>
      </c>
      <c r="H9" s="0" t="n">
        <f aca="false">ROUNDUP(F9/10,0)</f>
        <v>154</v>
      </c>
      <c r="I9" s="0" t="s">
        <v>360</v>
      </c>
    </row>
    <row r="10" customFormat="false" ht="15" hidden="false" customHeight="false" outlineLevel="0" collapsed="false">
      <c r="A10" s="0" t="s">
        <v>361</v>
      </c>
      <c r="B10" s="0" t="s">
        <v>346</v>
      </c>
      <c r="C10" s="0" t="n">
        <v>1334.65</v>
      </c>
      <c r="D10" s="0" t="n">
        <f aca="false">Inputs!$B$4</f>
        <v>0.15</v>
      </c>
      <c r="E10" s="0" t="n">
        <f aca="false">C10*D10</f>
        <v>200.1975</v>
      </c>
      <c r="F10" s="0" t="n">
        <f aca="false">C10+E10</f>
        <v>1534.8475</v>
      </c>
      <c r="G10" s="0" t="s">
        <v>359</v>
      </c>
      <c r="H10" s="0" t="n">
        <f aca="false">ROUNDUP(F10/10,0)</f>
        <v>154</v>
      </c>
      <c r="I10" s="0" t="s">
        <v>362</v>
      </c>
    </row>
    <row r="11" customFormat="false" ht="15" hidden="false" customHeight="false" outlineLevel="0" collapsed="false">
      <c r="A11" s="0" t="s">
        <v>363</v>
      </c>
      <c r="B11" s="0" t="s">
        <v>346</v>
      </c>
      <c r="C11" s="0" t="n">
        <v>1316.06</v>
      </c>
      <c r="D11" s="0" t="n">
        <f aca="false">Inputs!$B$4</f>
        <v>0.15</v>
      </c>
      <c r="E11" s="0" t="n">
        <f aca="false">C11*D11</f>
        <v>197.409</v>
      </c>
      <c r="F11" s="0" t="n">
        <f aca="false">C11+E11</f>
        <v>1513.469</v>
      </c>
      <c r="G11" s="0" t="s">
        <v>359</v>
      </c>
      <c r="H11" s="0" t="n">
        <f aca="false">ROUNDUP(F11/10,0)</f>
        <v>152</v>
      </c>
      <c r="I11" s="0" t="s">
        <v>364</v>
      </c>
    </row>
    <row r="12" customFormat="false" ht="15" hidden="false" customHeight="false" outlineLevel="0" collapsed="false">
      <c r="A12" s="0" t="s">
        <v>365</v>
      </c>
      <c r="B12" s="0" t="s">
        <v>346</v>
      </c>
      <c r="C12" s="0" t="n">
        <v>2560.07</v>
      </c>
      <c r="D12" s="0" t="n">
        <f aca="false">Inputs!$B$4</f>
        <v>0.15</v>
      </c>
      <c r="E12" s="0" t="n">
        <f aca="false">C12*D12</f>
        <v>384.0105</v>
      </c>
      <c r="F12" s="0" t="n">
        <f aca="false">C12+E12</f>
        <v>2944.0805</v>
      </c>
      <c r="G12" s="0" t="s">
        <v>366</v>
      </c>
      <c r="H12" s="0" t="n">
        <f aca="false">ROUNDUP(F12/20,0)</f>
        <v>148</v>
      </c>
      <c r="I12" s="0" t="s">
        <v>367</v>
      </c>
    </row>
    <row r="13" customFormat="false" ht="15" hidden="false" customHeight="false" outlineLevel="0" collapsed="false">
      <c r="A13" s="0" t="s">
        <v>368</v>
      </c>
      <c r="B13" s="0" t="s">
        <v>346</v>
      </c>
      <c r="C13" s="0" t="n">
        <v>228.19</v>
      </c>
      <c r="D13" s="0" t="n">
        <f aca="false">Inputs!$B$4</f>
        <v>0.15</v>
      </c>
      <c r="E13" s="0" t="n">
        <f aca="false">C13*D13</f>
        <v>34.2285</v>
      </c>
      <c r="F13" s="0" t="n">
        <f aca="false">C13+E13</f>
        <v>262.4185</v>
      </c>
      <c r="G13" s="0" t="s">
        <v>359</v>
      </c>
      <c r="H13" s="0" t="n">
        <f aca="false">ROUNDUP(F13/10,0)</f>
        <v>27</v>
      </c>
      <c r="I13" s="0" t="s">
        <v>369</v>
      </c>
    </row>
    <row r="14" customFormat="false" ht="15" hidden="false" customHeight="false" outlineLevel="0" collapsed="false">
      <c r="A14" s="0" t="s">
        <v>370</v>
      </c>
      <c r="B14" s="0" t="s">
        <v>346</v>
      </c>
      <c r="C14" s="0" t="n">
        <v>244.72</v>
      </c>
      <c r="D14" s="0" t="n">
        <f aca="false">Inputs!$B$4</f>
        <v>0.15</v>
      </c>
      <c r="E14" s="0" t="n">
        <f aca="false">C14*D14</f>
        <v>36.708</v>
      </c>
      <c r="F14" s="0" t="n">
        <f aca="false">C14+E14</f>
        <v>281.428</v>
      </c>
      <c r="G14" s="0" t="s">
        <v>359</v>
      </c>
      <c r="H14" s="0" t="n">
        <f aca="false">ROUNDUP(F14/10,0)</f>
        <v>29</v>
      </c>
      <c r="I14" s="0" t="s">
        <v>371</v>
      </c>
    </row>
    <row r="15" customFormat="false" ht="15" hidden="false" customHeight="false" outlineLevel="0" collapsed="false">
      <c r="A15" s="0" t="s">
        <v>372</v>
      </c>
      <c r="B15" s="0" t="s">
        <v>346</v>
      </c>
      <c r="C15" s="0" t="n">
        <v>66.76</v>
      </c>
      <c r="D15" s="0" t="n">
        <f aca="false">Inputs!$B$4</f>
        <v>0.15</v>
      </c>
      <c r="E15" s="0" t="n">
        <f aca="false">C15*D15</f>
        <v>10.014</v>
      </c>
      <c r="F15" s="0" t="n">
        <f aca="false">C15+E15</f>
        <v>76.774</v>
      </c>
      <c r="G15" s="0" t="s">
        <v>359</v>
      </c>
      <c r="H15" s="0" t="n">
        <f aca="false">ROUNDUP(F15/10,0)</f>
        <v>8</v>
      </c>
      <c r="I15" s="0" t="s">
        <v>373</v>
      </c>
    </row>
    <row r="16" customFormat="false" ht="15" hidden="false" customHeight="false" outlineLevel="0" collapsed="false">
      <c r="A16" s="0" t="s">
        <v>374</v>
      </c>
      <c r="B16" s="0" t="s">
        <v>346</v>
      </c>
      <c r="C16" s="0" t="n">
        <v>890.73</v>
      </c>
      <c r="D16" s="0" t="n">
        <f aca="false">Inputs!$B$4</f>
        <v>0.15</v>
      </c>
      <c r="E16" s="0" t="n">
        <f aca="false">C16*D16</f>
        <v>133.6095</v>
      </c>
      <c r="F16" s="0" t="n">
        <f aca="false">C16+E16</f>
        <v>1024.3395</v>
      </c>
      <c r="G16" s="0" t="s">
        <v>375</v>
      </c>
      <c r="H16" s="0" t="n">
        <f aca="false">ROUNDUP(F16/12,0)</f>
        <v>86</v>
      </c>
      <c r="I16" s="0" t="s">
        <v>376</v>
      </c>
    </row>
    <row r="17" customFormat="false" ht="15" hidden="false" customHeight="false" outlineLevel="0" collapsed="false">
      <c r="A17" s="0" t="s">
        <v>377</v>
      </c>
      <c r="B17" s="0" t="s">
        <v>346</v>
      </c>
      <c r="C17" s="0" t="n">
        <v>325.87</v>
      </c>
      <c r="D17" s="0" t="n">
        <f aca="false">Inputs!$B$4</f>
        <v>0.15</v>
      </c>
      <c r="E17" s="0" t="n">
        <f aca="false">C17*D17</f>
        <v>48.8805</v>
      </c>
      <c r="F17" s="0" t="n">
        <f aca="false">C17+E17</f>
        <v>374.7505</v>
      </c>
      <c r="G17" s="0" t="s">
        <v>378</v>
      </c>
      <c r="H17" s="0" t="n">
        <f aca="false">ROUNDUP(F17/16,0)</f>
        <v>24</v>
      </c>
      <c r="I17" s="0" t="s">
        <v>379</v>
      </c>
    </row>
    <row r="18" customFormat="false" ht="15" hidden="false" customHeight="false" outlineLevel="0" collapsed="false">
      <c r="A18" s="0" t="s">
        <v>380</v>
      </c>
      <c r="B18" s="0" t="s">
        <v>381</v>
      </c>
      <c r="C18" s="0" t="n">
        <v>121</v>
      </c>
      <c r="D18" s="0" t="n">
        <f aca="false">Inputs!$B$4</f>
        <v>0.15</v>
      </c>
      <c r="E18" s="0" t="n">
        <f aca="false">C18*D18</f>
        <v>18.15</v>
      </c>
      <c r="F18" s="0" t="n">
        <f aca="false">C18+E18</f>
        <v>139.15</v>
      </c>
      <c r="G18" s="0" t="s">
        <v>381</v>
      </c>
      <c r="H18" s="0" t="n">
        <f aca="false">ROUNDUP(F18,0)</f>
        <v>140</v>
      </c>
      <c r="I18" s="0" t="s">
        <v>382</v>
      </c>
    </row>
    <row r="19" customFormat="false" ht="15" hidden="false" customHeight="false" outlineLevel="0" collapsed="false">
      <c r="A19" s="0" t="s">
        <v>383</v>
      </c>
      <c r="B19" s="0" t="s">
        <v>384</v>
      </c>
      <c r="C19" s="0" t="n">
        <v>17562.17</v>
      </c>
      <c r="D19" s="0" t="n">
        <f aca="false">Inputs!$B$5</f>
        <v>0.06</v>
      </c>
      <c r="E19" s="0" t="n">
        <f aca="false">C19*D19</f>
        <v>1053.7302</v>
      </c>
      <c r="F19" s="0" t="n">
        <f aca="false">C19+E19</f>
        <v>18615.9002</v>
      </c>
      <c r="G19" s="0" t="s">
        <v>385</v>
      </c>
      <c r="H19" s="0" t="n">
        <f aca="false">ROUNDUP(F19/48,0)</f>
        <v>388</v>
      </c>
      <c r="I19" s="0" t="s">
        <v>386</v>
      </c>
    </row>
    <row r="20" customFormat="false" ht="15" hidden="false" customHeight="false" outlineLevel="0" collapsed="false">
      <c r="A20" s="0" t="s">
        <v>387</v>
      </c>
      <c r="B20" s="0" t="s">
        <v>384</v>
      </c>
      <c r="C20" s="0" t="n">
        <v>258.91</v>
      </c>
      <c r="D20" s="0" t="n">
        <f aca="false">Inputs!$B$5</f>
        <v>0.06</v>
      </c>
      <c r="E20" s="0" t="n">
        <f aca="false">C20*D20</f>
        <v>15.5346</v>
      </c>
      <c r="F20" s="0" t="n">
        <f aca="false">C20+E20</f>
        <v>274.4446</v>
      </c>
      <c r="G20" s="0" t="s">
        <v>385</v>
      </c>
      <c r="H20" s="0" t="n">
        <f aca="false">ROUNDUP(F20/48,0)</f>
        <v>6</v>
      </c>
      <c r="I20" s="0" t="s">
        <v>388</v>
      </c>
    </row>
    <row r="21" customFormat="false" ht="15" hidden="false" customHeight="false" outlineLevel="0" collapsed="false">
      <c r="A21" s="0" t="s">
        <v>389</v>
      </c>
      <c r="B21" s="0" t="s">
        <v>384</v>
      </c>
      <c r="C21" s="0" t="n">
        <v>86.38</v>
      </c>
      <c r="D21" s="0" t="n">
        <f aca="false">Inputs!$B$5</f>
        <v>0.06</v>
      </c>
      <c r="E21" s="0" t="n">
        <f aca="false">C21*D21</f>
        <v>5.1828</v>
      </c>
      <c r="F21" s="0" t="n">
        <f aca="false">C21+E21</f>
        <v>91.5628</v>
      </c>
      <c r="G21" s="0" t="s">
        <v>390</v>
      </c>
      <c r="H21" s="0" t="n">
        <f aca="false">ROUNDUP(F21/32,0)</f>
        <v>3</v>
      </c>
      <c r="I21" s="0" t="s">
        <v>391</v>
      </c>
    </row>
    <row r="22" customFormat="false" ht="15" hidden="false" customHeight="false" outlineLevel="0" collapsed="false">
      <c r="A22" s="0" t="s">
        <v>392</v>
      </c>
      <c r="B22" s="0" t="s">
        <v>384</v>
      </c>
      <c r="C22" s="0" t="n">
        <v>66.62</v>
      </c>
      <c r="D22" s="0" t="n">
        <f aca="false">Inputs!$B$5</f>
        <v>0.06</v>
      </c>
      <c r="E22" s="0" t="n">
        <f aca="false">C22*D22</f>
        <v>3.9972</v>
      </c>
      <c r="F22" s="0" t="n">
        <f aca="false">C22+E22</f>
        <v>70.6172</v>
      </c>
      <c r="G22" s="0" t="s">
        <v>390</v>
      </c>
      <c r="H22" s="0" t="n">
        <f aca="false">ROUNDUP(F22/32,0)</f>
        <v>3</v>
      </c>
      <c r="I22" s="0" t="s">
        <v>393</v>
      </c>
    </row>
    <row r="23" customFormat="false" ht="15" hidden="false" customHeight="false" outlineLevel="0" collapsed="false">
      <c r="A23" s="0" t="s">
        <v>394</v>
      </c>
      <c r="B23" s="0" t="s">
        <v>384</v>
      </c>
      <c r="C23" s="0" t="n">
        <v>455.31</v>
      </c>
      <c r="D23" s="0" t="n">
        <f aca="false">Inputs!$B$5</f>
        <v>0.06</v>
      </c>
      <c r="E23" s="0" t="n">
        <f aca="false">C23*D23</f>
        <v>27.3186</v>
      </c>
      <c r="F23" s="0" t="n">
        <f aca="false">C23+E23</f>
        <v>482.6286</v>
      </c>
      <c r="G23" s="0" t="s">
        <v>390</v>
      </c>
      <c r="H23" s="0" t="n">
        <f aca="false">ROUNDUP(F23/32,0)</f>
        <v>16</v>
      </c>
      <c r="I23" s="0" t="s">
        <v>395</v>
      </c>
    </row>
    <row r="24" customFormat="false" ht="15" hidden="false" customHeight="false" outlineLevel="0" collapsed="false">
      <c r="A24" s="0" t="s">
        <v>396</v>
      </c>
      <c r="B24" s="0" t="s">
        <v>384</v>
      </c>
      <c r="C24" s="0" t="n">
        <v>926.99</v>
      </c>
      <c r="D24" s="0" t="n">
        <f aca="false">Inputs!$B$5</f>
        <v>0.06</v>
      </c>
      <c r="E24" s="0" t="n">
        <f aca="false">C24*D24</f>
        <v>55.6194</v>
      </c>
      <c r="F24" s="0" t="n">
        <f aca="false">C24+E24</f>
        <v>982.6094</v>
      </c>
      <c r="G24" s="0" t="s">
        <v>390</v>
      </c>
      <c r="H24" s="0" t="n">
        <f aca="false">ROUNDUP(F24/32,0)</f>
        <v>31</v>
      </c>
      <c r="I24" s="0" t="s">
        <v>397</v>
      </c>
    </row>
    <row r="25" customFormat="false" ht="15" hidden="false" customHeight="false" outlineLevel="0" collapsed="false">
      <c r="A25" s="0" t="s">
        <v>398</v>
      </c>
      <c r="B25" s="0" t="s">
        <v>384</v>
      </c>
      <c r="C25" s="0" t="n">
        <v>6465.79</v>
      </c>
      <c r="D25" s="0" t="n">
        <f aca="false">Inputs!$B$5</f>
        <v>0.06</v>
      </c>
      <c r="E25" s="0" t="n">
        <f aca="false">C25*D25</f>
        <v>387.9474</v>
      </c>
      <c r="F25" s="0" t="n">
        <f aca="false">C25+E25</f>
        <v>6853.7374</v>
      </c>
      <c r="G25" s="0" t="s">
        <v>390</v>
      </c>
      <c r="H25" s="0" t="n">
        <f aca="false">ROUNDUP(F25/32,0)</f>
        <v>215</v>
      </c>
      <c r="I25" s="0" t="s">
        <v>399</v>
      </c>
    </row>
    <row r="26" customFormat="false" ht="15" hidden="false" customHeight="false" outlineLevel="0" collapsed="false">
      <c r="A26" s="0" t="s">
        <v>400</v>
      </c>
      <c r="B26" s="0" t="s">
        <v>346</v>
      </c>
      <c r="C26" s="0" t="n">
        <v>699.8</v>
      </c>
      <c r="D26" s="0" t="n">
        <f aca="false">Inputs!$B$5</f>
        <v>0.06</v>
      </c>
      <c r="E26" s="0" t="n">
        <f aca="false">C26*D26</f>
        <v>41.988</v>
      </c>
      <c r="F26" s="0" t="n">
        <f aca="false">C26+E26</f>
        <v>741.788</v>
      </c>
      <c r="G26" s="0" t="s">
        <v>401</v>
      </c>
      <c r="H26" s="0" t="n">
        <f aca="false">ROUNDUP(F26/8,0)</f>
        <v>93</v>
      </c>
      <c r="I26" s="0" t="s">
        <v>402</v>
      </c>
    </row>
    <row r="27" customFormat="false" ht="15" hidden="false" customHeight="false" outlineLevel="0" collapsed="false">
      <c r="A27" s="0" t="s">
        <v>403</v>
      </c>
      <c r="B27" s="0" t="s">
        <v>346</v>
      </c>
      <c r="C27" s="0" t="n">
        <v>735.45</v>
      </c>
      <c r="D27" s="0" t="n">
        <f aca="false">Inputs!$B$4</f>
        <v>0.15</v>
      </c>
      <c r="E27" s="0" t="n">
        <f aca="false">C27*D27</f>
        <v>110.3175</v>
      </c>
      <c r="F27" s="0" t="n">
        <f aca="false">C27+E27</f>
        <v>845.7675</v>
      </c>
      <c r="G27" s="0" t="s">
        <v>359</v>
      </c>
      <c r="H27" s="0" t="n">
        <f aca="false">ROUNDUP(ROUNDUP(F27/1.33,0)/MAX(1,INT(10/1.33)),0)</f>
        <v>91</v>
      </c>
      <c r="I27" s="0" t="s">
        <v>404</v>
      </c>
    </row>
    <row r="28" customFormat="false" ht="15" hidden="false" customHeight="false" outlineLevel="0" collapsed="false">
      <c r="A28" s="0" t="s">
        <v>405</v>
      </c>
      <c r="B28" s="0" t="s">
        <v>346</v>
      </c>
      <c r="C28" s="0" t="n">
        <v>818.75</v>
      </c>
      <c r="D28" s="0" t="n">
        <f aca="false">Inputs!$B$4</f>
        <v>0.15</v>
      </c>
      <c r="E28" s="0" t="n">
        <f aca="false">C28*D28</f>
        <v>122.8125</v>
      </c>
      <c r="F28" s="0" t="n">
        <f aca="false">C28+E28</f>
        <v>941.5625</v>
      </c>
      <c r="G28" s="0" t="s">
        <v>359</v>
      </c>
      <c r="H28" s="0" t="n">
        <f aca="false">ROUNDUP(F28/10,0)</f>
        <v>95</v>
      </c>
      <c r="I28" s="0" t="s">
        <v>406</v>
      </c>
    </row>
    <row r="29" customFormat="false" ht="15" hidden="false" customHeight="false" outlineLevel="0" collapsed="false">
      <c r="A29" s="0" t="s">
        <v>407</v>
      </c>
      <c r="B29" s="0" t="s">
        <v>346</v>
      </c>
      <c r="C29" s="0" t="n">
        <v>813.61</v>
      </c>
      <c r="D29" s="0" t="n">
        <f aca="false">Inputs!$B$5</f>
        <v>0.06</v>
      </c>
      <c r="E29" s="0" t="n">
        <f aca="false">C29*D29</f>
        <v>48.8166</v>
      </c>
      <c r="F29" s="0" t="n">
        <f aca="false">C29+E29</f>
        <v>862.4266</v>
      </c>
      <c r="G29" s="0" t="s">
        <v>346</v>
      </c>
      <c r="H29" s="0" t="n">
        <f aca="false">ROUNDUP(F29,0)</f>
        <v>863</v>
      </c>
      <c r="I29" s="0" t="s">
        <v>408</v>
      </c>
    </row>
    <row r="30" customFormat="false" ht="15" hidden="false" customHeight="false" outlineLevel="0" collapsed="false">
      <c r="A30" s="0" t="s">
        <v>409</v>
      </c>
      <c r="B30" s="0" t="s">
        <v>384</v>
      </c>
      <c r="C30" s="0" t="n">
        <v>4932.5</v>
      </c>
      <c r="D30" s="0" t="n">
        <f aca="false">Inputs!$B$5</f>
        <v>0.06</v>
      </c>
      <c r="E30" s="0" t="n">
        <f aca="false">C30*D30</f>
        <v>295.95</v>
      </c>
      <c r="F30" s="0" t="n">
        <f aca="false">C30+E30</f>
        <v>5228.45</v>
      </c>
      <c r="G30" s="0" t="s">
        <v>384</v>
      </c>
      <c r="H30" s="0" t="n">
        <f aca="false">ROUNDUP(F30,0)</f>
        <v>5229</v>
      </c>
      <c r="I30" s="0" t="s">
        <v>410</v>
      </c>
    </row>
    <row r="31" customFormat="false" ht="15" hidden="false" customHeight="false" outlineLevel="0" collapsed="false">
      <c r="A31" s="0" t="s">
        <v>411</v>
      </c>
      <c r="B31" s="0" t="s">
        <v>384</v>
      </c>
      <c r="C31" s="0" t="n">
        <v>325.07</v>
      </c>
      <c r="D31" s="0" t="n">
        <f aca="false">Inputs!$B$5</f>
        <v>0.06</v>
      </c>
      <c r="E31" s="0" t="n">
        <f aca="false">C31*D31</f>
        <v>19.5042</v>
      </c>
      <c r="F31" s="0" t="n">
        <f aca="false">C31+E31</f>
        <v>344.5742</v>
      </c>
      <c r="G31" s="0" t="s">
        <v>412</v>
      </c>
      <c r="H31" s="0" t="n">
        <f aca="false">ROUNDUP(F31/40,0)</f>
        <v>9</v>
      </c>
      <c r="I31" s="0" t="s">
        <v>413</v>
      </c>
    </row>
    <row r="32" customFormat="false" ht="15" hidden="false" customHeight="false" outlineLevel="0" collapsed="false">
      <c r="A32" s="0" t="s">
        <v>414</v>
      </c>
      <c r="B32" s="0" t="s">
        <v>384</v>
      </c>
      <c r="C32" s="0" t="n">
        <v>32.51</v>
      </c>
      <c r="D32" s="0" t="n">
        <f aca="false">Inputs!$B$5</f>
        <v>0.06</v>
      </c>
      <c r="E32" s="0" t="n">
        <f aca="false">C32*D32</f>
        <v>1.9506</v>
      </c>
      <c r="F32" s="0" t="n">
        <f aca="false">C32+E32</f>
        <v>34.4606</v>
      </c>
      <c r="G32" s="0" t="s">
        <v>415</v>
      </c>
      <c r="H32" s="0" t="n">
        <f aca="false">ROUNDUP(F32/15,0)</f>
        <v>3</v>
      </c>
      <c r="I32" s="0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417</v>
      </c>
      <c r="B1" s="4" t="s">
        <v>418</v>
      </c>
      <c r="C1" s="4" t="s">
        <v>419</v>
      </c>
    </row>
    <row r="2" customFormat="false" ht="15" hidden="false" customHeight="false" outlineLevel="0" collapsed="false">
      <c r="A2" s="0" t="s">
        <v>420</v>
      </c>
      <c r="B2" s="0" t="s">
        <v>421</v>
      </c>
      <c r="C2" s="0" t="s">
        <v>422</v>
      </c>
    </row>
    <row r="3" customFormat="false" ht="15" hidden="false" customHeight="false" outlineLevel="0" collapsed="false">
      <c r="A3" s="0" t="s">
        <v>423</v>
      </c>
      <c r="B3" s="0" t="s">
        <v>424</v>
      </c>
      <c r="C3" s="0" t="s">
        <v>425</v>
      </c>
    </row>
    <row r="4" customFormat="false" ht="15" hidden="false" customHeight="false" outlineLevel="0" collapsed="false">
      <c r="A4" s="0" t="s">
        <v>426</v>
      </c>
      <c r="B4" s="0" t="s">
        <v>427</v>
      </c>
      <c r="C4" s="0" t="s">
        <v>428</v>
      </c>
    </row>
    <row r="5" customFormat="false" ht="15" hidden="false" customHeight="false" outlineLevel="0" collapsed="false">
      <c r="A5" s="0" t="s">
        <v>429</v>
      </c>
      <c r="B5" s="0" t="s">
        <v>430</v>
      </c>
      <c r="C5" s="0" t="s">
        <v>431</v>
      </c>
    </row>
    <row r="6" customFormat="false" ht="15" hidden="false" customHeight="false" outlineLevel="0" collapsed="false">
      <c r="A6" s="0" t="s">
        <v>432</v>
      </c>
      <c r="B6" s="0" t="s">
        <v>433</v>
      </c>
      <c r="C6" s="0" t="s">
        <v>434</v>
      </c>
    </row>
    <row r="7" customFormat="false" ht="15" hidden="false" customHeight="false" outlineLevel="0" collapsed="false">
      <c r="A7" s="0" t="s">
        <v>435</v>
      </c>
      <c r="B7" s="0" t="s">
        <v>436</v>
      </c>
      <c r="C7" s="0" t="s">
        <v>437</v>
      </c>
    </row>
    <row r="8" customFormat="false" ht="15" hidden="false" customHeight="false" outlineLevel="0" collapsed="false">
      <c r="A8" s="0" t="s">
        <v>438</v>
      </c>
      <c r="B8" s="0" t="s">
        <v>439</v>
      </c>
      <c r="C8" s="0" t="s">
        <v>440</v>
      </c>
    </row>
    <row r="9" customFormat="false" ht="15" hidden="false" customHeight="false" outlineLevel="0" collapsed="false">
      <c r="A9" s="0" t="s">
        <v>441</v>
      </c>
      <c r="B9" s="0" t="s">
        <v>442</v>
      </c>
      <c r="C9" s="0" t="s">
        <v>443</v>
      </c>
    </row>
    <row r="10" customFormat="false" ht="15" hidden="false" customHeight="false" outlineLevel="0" collapsed="false">
      <c r="A10" s="0" t="s">
        <v>444</v>
      </c>
      <c r="B10" s="0" t="s">
        <v>445</v>
      </c>
      <c r="C10" s="0" t="s">
        <v>446</v>
      </c>
    </row>
    <row r="11" customFormat="false" ht="15" hidden="false" customHeight="false" outlineLevel="0" collapsed="false">
      <c r="A11" s="0" t="s">
        <v>447</v>
      </c>
      <c r="B11" s="0" t="s">
        <v>448</v>
      </c>
      <c r="C11" s="0" t="s">
        <v>449</v>
      </c>
    </row>
    <row r="12" customFormat="false" ht="15" hidden="false" customHeight="false" outlineLevel="0" collapsed="false">
      <c r="A12" s="0" t="s">
        <v>450</v>
      </c>
      <c r="B12" s="0" t="s">
        <v>451</v>
      </c>
      <c r="C12" s="0" t="s">
        <v>452</v>
      </c>
    </row>
    <row r="13" customFormat="false" ht="15" hidden="false" customHeight="false" outlineLevel="0" collapsed="false">
      <c r="A13" s="0" t="s">
        <v>453</v>
      </c>
      <c r="B13" s="0" t="s">
        <v>454</v>
      </c>
      <c r="C13" s="0" t="s">
        <v>455</v>
      </c>
    </row>
    <row r="14" customFormat="false" ht="15" hidden="false" customHeight="false" outlineLevel="0" collapsed="false">
      <c r="A14" s="0" t="s">
        <v>456</v>
      </c>
      <c r="B14" s="0" t="s">
        <v>457</v>
      </c>
      <c r="C14" s="0" t="s">
        <v>458</v>
      </c>
    </row>
    <row r="15" customFormat="false" ht="15" hidden="false" customHeight="false" outlineLevel="0" collapsed="false">
      <c r="A15" s="0" t="s">
        <v>459</v>
      </c>
      <c r="B15" s="0" t="s">
        <v>460</v>
      </c>
      <c r="C15" s="0" t="s">
        <v>461</v>
      </c>
    </row>
    <row r="16" customFormat="false" ht="15" hidden="false" customHeight="false" outlineLevel="0" collapsed="false">
      <c r="A16" s="0" t="s">
        <v>462</v>
      </c>
      <c r="B16" s="0" t="s">
        <v>463</v>
      </c>
      <c r="C16" s="0" t="s">
        <v>464</v>
      </c>
    </row>
    <row r="17" customFormat="false" ht="15" hidden="false" customHeight="false" outlineLevel="0" collapsed="false">
      <c r="A17" s="0" t="s">
        <v>465</v>
      </c>
      <c r="B17" s="0" t="s">
        <v>466</v>
      </c>
      <c r="C17" s="0" t="s">
        <v>467</v>
      </c>
    </row>
    <row r="18" customFormat="false" ht="15" hidden="false" customHeight="false" outlineLevel="0" collapsed="false">
      <c r="A18" s="0" t="s">
        <v>468</v>
      </c>
      <c r="B18" s="0" t="s">
        <v>469</v>
      </c>
      <c r="C18" s="0" t="s">
        <v>470</v>
      </c>
    </row>
    <row r="19" customFormat="false" ht="15" hidden="false" customHeight="false" outlineLevel="0" collapsed="false">
      <c r="A19" s="0" t="s">
        <v>471</v>
      </c>
      <c r="B19" s="0" t="s">
        <v>472</v>
      </c>
      <c r="C19" s="0" t="s">
        <v>473</v>
      </c>
    </row>
    <row r="20" customFormat="false" ht="15" hidden="false" customHeight="false" outlineLevel="0" collapsed="false">
      <c r="A20" s="0" t="s">
        <v>474</v>
      </c>
      <c r="B20" s="0" t="s">
        <v>475</v>
      </c>
      <c r="C20" s="0" t="s">
        <v>476</v>
      </c>
    </row>
    <row r="21" customFormat="false" ht="15" hidden="false" customHeight="false" outlineLevel="0" collapsed="false">
      <c r="A21" s="0" t="s">
        <v>477</v>
      </c>
      <c r="B21" s="0" t="s">
        <v>478</v>
      </c>
      <c r="C21" s="0" t="s">
        <v>479</v>
      </c>
    </row>
    <row r="22" customFormat="false" ht="15" hidden="false" customHeight="false" outlineLevel="0" collapsed="false">
      <c r="A22" s="0" t="s">
        <v>480</v>
      </c>
      <c r="B22" s="0" t="s">
        <v>481</v>
      </c>
      <c r="C22" s="0" t="s">
        <v>482</v>
      </c>
    </row>
    <row r="23" customFormat="false" ht="15" hidden="false" customHeight="false" outlineLevel="0" collapsed="false">
      <c r="A23" s="0" t="s">
        <v>483</v>
      </c>
      <c r="B23" s="0" t="s">
        <v>484</v>
      </c>
      <c r="C23" s="0" t="s">
        <v>485</v>
      </c>
    </row>
    <row r="24" customFormat="false" ht="15" hidden="false" customHeight="false" outlineLevel="0" collapsed="false">
      <c r="A24" s="0" t="s">
        <v>486</v>
      </c>
      <c r="B24" s="0" t="s">
        <v>487</v>
      </c>
      <c r="C24" s="0" t="s">
        <v>488</v>
      </c>
    </row>
    <row r="25" customFormat="false" ht="15" hidden="false" customHeight="false" outlineLevel="0" collapsed="false">
      <c r="A25" s="0" t="s">
        <v>489</v>
      </c>
      <c r="B25" s="0" t="s">
        <v>490</v>
      </c>
      <c r="C25" s="0" t="s">
        <v>491</v>
      </c>
    </row>
    <row r="26" customFormat="false" ht="15" hidden="false" customHeight="false" outlineLevel="0" collapsed="false">
      <c r="A26" s="0" t="s">
        <v>492</v>
      </c>
      <c r="B26" s="0" t="s">
        <v>493</v>
      </c>
      <c r="C26" s="0" t="s">
        <v>494</v>
      </c>
    </row>
    <row r="27" customFormat="false" ht="15" hidden="false" customHeight="false" outlineLevel="0" collapsed="false">
      <c r="A27" s="0" t="s">
        <v>495</v>
      </c>
      <c r="B27" s="0" t="s">
        <v>496</v>
      </c>
      <c r="C27" s="0" t="s">
        <v>497</v>
      </c>
    </row>
    <row r="28" customFormat="false" ht="15" hidden="false" customHeight="false" outlineLevel="0" collapsed="false">
      <c r="A28" s="0" t="s">
        <v>498</v>
      </c>
      <c r="B28" s="0" t="s">
        <v>499</v>
      </c>
      <c r="C28" s="0" t="s">
        <v>500</v>
      </c>
    </row>
    <row r="29" customFormat="false" ht="15" hidden="false" customHeight="false" outlineLevel="0" collapsed="false">
      <c r="A29" s="0" t="s">
        <v>501</v>
      </c>
      <c r="B29" s="0" t="s">
        <v>502</v>
      </c>
      <c r="C29" s="0" t="s">
        <v>503</v>
      </c>
    </row>
    <row r="30" customFormat="false" ht="15" hidden="false" customHeight="false" outlineLevel="0" collapsed="false">
      <c r="A30" s="0" t="s">
        <v>504</v>
      </c>
      <c r="B30" s="0" t="s">
        <v>505</v>
      </c>
      <c r="C30" s="0" t="s">
        <v>506</v>
      </c>
    </row>
    <row r="31" customFormat="false" ht="15" hidden="false" customHeight="false" outlineLevel="0" collapsed="false">
      <c r="A31" s="0" t="s">
        <v>507</v>
      </c>
      <c r="B31" s="0" t="s">
        <v>508</v>
      </c>
      <c r="C31" s="0" t="s">
        <v>509</v>
      </c>
    </row>
    <row r="32" customFormat="false" ht="15" hidden="false" customHeight="false" outlineLevel="0" collapsed="false">
      <c r="A32" s="0" t="s">
        <v>510</v>
      </c>
      <c r="B32" s="0" t="s">
        <v>511</v>
      </c>
      <c r="C32" s="0" t="s">
        <v>512</v>
      </c>
    </row>
    <row r="33" customFormat="false" ht="15" hidden="false" customHeight="false" outlineLevel="0" collapsed="false">
      <c r="A33" s="0" t="s">
        <v>513</v>
      </c>
      <c r="B33" s="0" t="s">
        <v>514</v>
      </c>
      <c r="C33" s="0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0" t="s">
        <v>516</v>
      </c>
      <c r="B1" s="0" t="s">
        <v>517</v>
      </c>
      <c r="C1" s="0" t="s">
        <v>518</v>
      </c>
      <c r="D1" s="0" t="s">
        <v>519</v>
      </c>
    </row>
    <row r="2" customFormat="false" ht="15" hidden="false" customHeight="false" outlineLevel="0" collapsed="false">
      <c r="A2" s="0" t="n">
        <v>1</v>
      </c>
      <c r="B2" s="0" t="s">
        <v>520</v>
      </c>
      <c r="C2" s="0" t="s">
        <v>521</v>
      </c>
      <c r="D2" s="0" t="s">
        <v>522</v>
      </c>
    </row>
    <row r="3" customFormat="false" ht="15" hidden="false" customHeight="false" outlineLevel="0" collapsed="false">
      <c r="A3" s="0" t="n">
        <v>2</v>
      </c>
      <c r="B3" s="0" t="s">
        <v>523</v>
      </c>
      <c r="C3" s="0" t="s">
        <v>521</v>
      </c>
      <c r="D3" s="0" t="s">
        <v>522</v>
      </c>
    </row>
    <row r="4" customFormat="false" ht="15" hidden="false" customHeight="false" outlineLevel="0" collapsed="false">
      <c r="A4" s="0" t="n">
        <v>3</v>
      </c>
      <c r="B4" s="0" t="s">
        <v>524</v>
      </c>
      <c r="C4" s="0" t="s">
        <v>521</v>
      </c>
      <c r="D4" s="0" t="s">
        <v>522</v>
      </c>
    </row>
    <row r="5" customFormat="false" ht="15" hidden="false" customHeight="false" outlineLevel="0" collapsed="false">
      <c r="A5" s="0" t="n">
        <v>4</v>
      </c>
      <c r="B5" s="0" t="s">
        <v>525</v>
      </c>
      <c r="C5" s="0" t="s">
        <v>521</v>
      </c>
      <c r="D5" s="0" t="s">
        <v>522</v>
      </c>
    </row>
    <row r="6" customFormat="false" ht="15" hidden="false" customHeight="false" outlineLevel="0" collapsed="false">
      <c r="A6" s="0" t="n">
        <v>5</v>
      </c>
      <c r="B6" s="0" t="s">
        <v>526</v>
      </c>
      <c r="C6" s="0" t="s">
        <v>521</v>
      </c>
      <c r="D6" s="0" t="s">
        <v>522</v>
      </c>
    </row>
    <row r="7" customFormat="false" ht="15" hidden="false" customHeight="false" outlineLevel="0" collapsed="false">
      <c r="A7" s="0" t="n">
        <v>6</v>
      </c>
      <c r="B7" s="0" t="s">
        <v>527</v>
      </c>
      <c r="C7" s="0" t="s">
        <v>521</v>
      </c>
      <c r="D7" s="0" t="s">
        <v>522</v>
      </c>
    </row>
    <row r="8" customFormat="false" ht="15" hidden="false" customHeight="false" outlineLevel="0" collapsed="false">
      <c r="A8" s="0" t="n">
        <v>7</v>
      </c>
      <c r="B8" s="0" t="s">
        <v>528</v>
      </c>
      <c r="C8" s="0" t="s">
        <v>521</v>
      </c>
      <c r="D8" s="0" t="s">
        <v>522</v>
      </c>
    </row>
    <row r="9" customFormat="false" ht="15" hidden="false" customHeight="false" outlineLevel="0" collapsed="false">
      <c r="A9" s="0" t="n">
        <v>8</v>
      </c>
      <c r="B9" s="0" t="s">
        <v>529</v>
      </c>
      <c r="C9" s="0" t="s">
        <v>521</v>
      </c>
      <c r="D9" s="0" t="s">
        <v>522</v>
      </c>
    </row>
    <row r="10" customFormat="false" ht="15" hidden="false" customHeight="false" outlineLevel="0" collapsed="false">
      <c r="A10" s="0" t="n">
        <v>9</v>
      </c>
      <c r="B10" s="0" t="s">
        <v>530</v>
      </c>
      <c r="C10" s="0" t="s">
        <v>521</v>
      </c>
      <c r="D10" s="0" t="s">
        <v>522</v>
      </c>
    </row>
    <row r="11" customFormat="false" ht="15" hidden="false" customHeight="false" outlineLevel="0" collapsed="false">
      <c r="A11" s="0" t="n">
        <v>10</v>
      </c>
      <c r="B11" s="0" t="s">
        <v>531</v>
      </c>
      <c r="C11" s="0" t="s">
        <v>521</v>
      </c>
      <c r="D11" s="0" t="s">
        <v>522</v>
      </c>
    </row>
    <row r="12" customFormat="false" ht="15" hidden="false" customHeight="false" outlineLevel="0" collapsed="false">
      <c r="A12" s="0" t="n">
        <v>11</v>
      </c>
      <c r="B12" s="0" t="s">
        <v>532</v>
      </c>
      <c r="C12" s="0" t="s">
        <v>521</v>
      </c>
      <c r="D12" s="0" t="s">
        <v>522</v>
      </c>
    </row>
    <row r="13" customFormat="false" ht="15" hidden="false" customHeight="false" outlineLevel="0" collapsed="false">
      <c r="A13" s="0" t="n">
        <v>12</v>
      </c>
      <c r="B13" s="0" t="s">
        <v>533</v>
      </c>
      <c r="C13" s="0" t="s">
        <v>521</v>
      </c>
      <c r="D13" s="0" t="s">
        <v>522</v>
      </c>
    </row>
    <row r="14" customFormat="false" ht="15" hidden="false" customHeight="false" outlineLevel="0" collapsed="false">
      <c r="A14" s="0" t="n">
        <v>13</v>
      </c>
      <c r="B14" s="0" t="s">
        <v>534</v>
      </c>
      <c r="C14" s="0" t="s">
        <v>521</v>
      </c>
      <c r="D14" s="0" t="s">
        <v>522</v>
      </c>
    </row>
    <row r="15" customFormat="false" ht="15" hidden="false" customHeight="false" outlineLevel="0" collapsed="false">
      <c r="A15" s="0" t="n">
        <v>14</v>
      </c>
      <c r="B15" s="0" t="s">
        <v>535</v>
      </c>
      <c r="C15" s="0" t="s">
        <v>521</v>
      </c>
      <c r="D15" s="0" t="s">
        <v>522</v>
      </c>
    </row>
    <row r="16" customFormat="false" ht="15" hidden="false" customHeight="false" outlineLevel="0" collapsed="false">
      <c r="A16" s="0" t="n">
        <v>15</v>
      </c>
      <c r="B16" s="0" t="s">
        <v>536</v>
      </c>
      <c r="C16" s="0" t="s">
        <v>521</v>
      </c>
      <c r="D16" s="0" t="s">
        <v>537</v>
      </c>
    </row>
    <row r="17" customFormat="false" ht="15" hidden="false" customHeight="false" outlineLevel="0" collapsed="false">
      <c r="A17" s="0" t="n">
        <v>16</v>
      </c>
      <c r="B17" s="0" t="s">
        <v>538</v>
      </c>
      <c r="C17" s="0" t="s">
        <v>521</v>
      </c>
      <c r="D17" s="0" t="s">
        <v>537</v>
      </c>
    </row>
    <row r="18" customFormat="false" ht="15" hidden="false" customHeight="false" outlineLevel="0" collapsed="false">
      <c r="A18" s="0" t="n">
        <v>17</v>
      </c>
      <c r="B18" s="0" t="s">
        <v>539</v>
      </c>
      <c r="C18" s="0" t="s">
        <v>521</v>
      </c>
      <c r="D18" s="0" t="s">
        <v>537</v>
      </c>
    </row>
    <row r="19" customFormat="false" ht="15" hidden="false" customHeight="false" outlineLevel="0" collapsed="false">
      <c r="A19" s="0" t="n">
        <v>18</v>
      </c>
      <c r="B19" s="0" t="s">
        <v>540</v>
      </c>
      <c r="C19" s="0" t="s">
        <v>521</v>
      </c>
      <c r="D19" s="0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541</v>
      </c>
      <c r="B1" s="0" t="s">
        <v>542</v>
      </c>
      <c r="C1" s="0" t="s">
        <v>543</v>
      </c>
      <c r="D1" s="0" t="s">
        <v>544</v>
      </c>
    </row>
    <row r="2" customFormat="false" ht="15" hidden="false" customHeight="false" outlineLevel="0" collapsed="false">
      <c r="A2" s="0" t="s">
        <v>545</v>
      </c>
      <c r="B2" s="0" t="s">
        <v>546</v>
      </c>
      <c r="C2" s="0" t="s">
        <v>547</v>
      </c>
      <c r="D2" s="0" t="s">
        <v>548</v>
      </c>
    </row>
    <row r="3" customFormat="false" ht="15" hidden="false" customHeight="false" outlineLevel="0" collapsed="false">
      <c r="A3" s="0" t="s">
        <v>549</v>
      </c>
      <c r="B3" s="0" t="s">
        <v>550</v>
      </c>
      <c r="C3" s="0" t="s">
        <v>547</v>
      </c>
      <c r="D3" s="0" t="s">
        <v>548</v>
      </c>
    </row>
    <row r="4" customFormat="false" ht="15" hidden="false" customHeight="false" outlineLevel="0" collapsed="false">
      <c r="A4" s="0" t="s">
        <v>551</v>
      </c>
      <c r="B4" s="0" t="s">
        <v>552</v>
      </c>
      <c r="C4" s="0" t="s">
        <v>547</v>
      </c>
      <c r="D4" s="0" t="s">
        <v>548</v>
      </c>
    </row>
    <row r="5" customFormat="false" ht="15" hidden="false" customHeight="false" outlineLevel="0" collapsed="false">
      <c r="A5" s="0" t="s">
        <v>553</v>
      </c>
      <c r="B5" s="0" t="s">
        <v>554</v>
      </c>
      <c r="C5" s="0" t="s">
        <v>547</v>
      </c>
      <c r="D5" s="0" t="s">
        <v>548</v>
      </c>
    </row>
    <row r="6" customFormat="false" ht="15" hidden="false" customHeight="false" outlineLevel="0" collapsed="false">
      <c r="A6" s="0" t="s">
        <v>555</v>
      </c>
      <c r="B6" s="0" t="s">
        <v>556</v>
      </c>
      <c r="C6" s="0" t="s">
        <v>547</v>
      </c>
      <c r="D6" s="0" t="s">
        <v>548</v>
      </c>
    </row>
    <row r="7" customFormat="false" ht="15" hidden="false" customHeight="false" outlineLevel="0" collapsed="false">
      <c r="A7" s="0" t="s">
        <v>557</v>
      </c>
      <c r="B7" s="0" t="s">
        <v>558</v>
      </c>
      <c r="C7" s="0" t="s">
        <v>547</v>
      </c>
      <c r="D7" s="0" t="s">
        <v>548</v>
      </c>
    </row>
    <row r="8" customFormat="false" ht="15" hidden="false" customHeight="false" outlineLevel="0" collapsed="false">
      <c r="A8" s="0" t="s">
        <v>559</v>
      </c>
      <c r="B8" s="0" t="s">
        <v>560</v>
      </c>
      <c r="C8" s="0" t="s">
        <v>547</v>
      </c>
      <c r="D8" s="0" t="s">
        <v>548</v>
      </c>
    </row>
    <row r="9" customFormat="false" ht="15" hidden="false" customHeight="false" outlineLevel="0" collapsed="false">
      <c r="A9" s="0" t="s">
        <v>561</v>
      </c>
      <c r="B9" s="0" t="s">
        <v>562</v>
      </c>
      <c r="C9" s="0" t="s">
        <v>547</v>
      </c>
      <c r="D9" s="0" t="s">
        <v>548</v>
      </c>
    </row>
    <row r="10" customFormat="false" ht="15" hidden="false" customHeight="false" outlineLevel="0" collapsed="false">
      <c r="A10" s="0" t="s">
        <v>563</v>
      </c>
      <c r="B10" s="0" t="s">
        <v>564</v>
      </c>
      <c r="C10" s="0" t="s">
        <v>547</v>
      </c>
      <c r="D10" s="0" t="s">
        <v>548</v>
      </c>
    </row>
    <row r="11" customFormat="false" ht="15" hidden="false" customHeight="false" outlineLevel="0" collapsed="false">
      <c r="A11" s="0" t="s">
        <v>565</v>
      </c>
      <c r="B11" s="0" t="s">
        <v>566</v>
      </c>
      <c r="C11" s="0" t="s">
        <v>547</v>
      </c>
      <c r="D11" s="0" t="s">
        <v>548</v>
      </c>
    </row>
    <row r="12" customFormat="false" ht="15" hidden="false" customHeight="false" outlineLevel="0" collapsed="false">
      <c r="A12" s="0" t="s">
        <v>567</v>
      </c>
      <c r="B12" s="0" t="s">
        <v>568</v>
      </c>
      <c r="C12" s="0" t="s">
        <v>547</v>
      </c>
      <c r="D12" s="0" t="s">
        <v>548</v>
      </c>
    </row>
    <row r="13" customFormat="false" ht="15" hidden="false" customHeight="false" outlineLevel="0" collapsed="false">
      <c r="A13" s="0" t="s">
        <v>569</v>
      </c>
      <c r="B13" s="0" t="s">
        <v>570</v>
      </c>
      <c r="C13" s="0" t="s">
        <v>547</v>
      </c>
      <c r="D13" s="0" t="s">
        <v>548</v>
      </c>
    </row>
    <row r="14" customFormat="false" ht="15" hidden="false" customHeight="false" outlineLevel="0" collapsed="false">
      <c r="A14" s="0" t="s">
        <v>571</v>
      </c>
      <c r="B14" s="0" t="s">
        <v>572</v>
      </c>
      <c r="C14" s="0" t="s">
        <v>547</v>
      </c>
      <c r="D14" s="0" t="s">
        <v>548</v>
      </c>
    </row>
    <row r="15" customFormat="false" ht="15" hidden="false" customHeight="false" outlineLevel="0" collapsed="false">
      <c r="A15" s="0" t="s">
        <v>573</v>
      </c>
      <c r="B15" s="0" t="s">
        <v>574</v>
      </c>
      <c r="C15" s="0" t="s">
        <v>547</v>
      </c>
      <c r="D15" s="0" t="s">
        <v>548</v>
      </c>
    </row>
    <row r="16" customFormat="false" ht="15" hidden="false" customHeight="false" outlineLevel="0" collapsed="false">
      <c r="A16" s="0" t="s">
        <v>575</v>
      </c>
      <c r="B16" s="0" t="s">
        <v>576</v>
      </c>
      <c r="C16" s="0" t="s">
        <v>547</v>
      </c>
      <c r="D16" s="0" t="s">
        <v>577</v>
      </c>
    </row>
    <row r="17" customFormat="false" ht="15" hidden="false" customHeight="false" outlineLevel="0" collapsed="false">
      <c r="A17" s="0" t="s">
        <v>578</v>
      </c>
      <c r="B17" s="0" t="s">
        <v>579</v>
      </c>
      <c r="C17" s="0" t="s">
        <v>547</v>
      </c>
      <c r="D17" s="0" t="s">
        <v>548</v>
      </c>
    </row>
    <row r="18" customFormat="false" ht="15" hidden="false" customHeight="false" outlineLevel="0" collapsed="false">
      <c r="A18" s="0" t="s">
        <v>580</v>
      </c>
      <c r="B18" s="0" t="s">
        <v>581</v>
      </c>
      <c r="C18" s="0" t="s">
        <v>547</v>
      </c>
      <c r="D18" s="0" t="s">
        <v>548</v>
      </c>
    </row>
    <row r="19" customFormat="false" ht="15" hidden="false" customHeight="false" outlineLevel="0" collapsed="false">
      <c r="A19" s="0" t="s">
        <v>582</v>
      </c>
      <c r="B19" s="0" t="s">
        <v>583</v>
      </c>
      <c r="C19" s="0" t="s">
        <v>417</v>
      </c>
      <c r="D19" s="0" t="s">
        <v>584</v>
      </c>
    </row>
    <row r="20" customFormat="false" ht="15" hidden="false" customHeight="false" outlineLevel="0" collapsed="false">
      <c r="A20" s="0" t="s">
        <v>585</v>
      </c>
      <c r="B20" s="0" t="s">
        <v>586</v>
      </c>
      <c r="C20" s="0" t="s">
        <v>547</v>
      </c>
      <c r="D20" s="0" t="s">
        <v>548</v>
      </c>
    </row>
    <row r="21" customFormat="false" ht="15" hidden="false" customHeight="false" outlineLevel="0" collapsed="false">
      <c r="A21" s="0" t="s">
        <v>587</v>
      </c>
      <c r="B21" s="0" t="s">
        <v>588</v>
      </c>
      <c r="C21" s="0" t="s">
        <v>547</v>
      </c>
      <c r="D21" s="0" t="s">
        <v>589</v>
      </c>
    </row>
    <row r="22" customFormat="false" ht="15" hidden="false" customHeight="false" outlineLevel="0" collapsed="false">
      <c r="A22" s="0" t="s">
        <v>590</v>
      </c>
      <c r="B22" s="0" t="s">
        <v>591</v>
      </c>
      <c r="C22" s="0" t="s">
        <v>592</v>
      </c>
      <c r="D22" s="0" t="s">
        <v>593</v>
      </c>
    </row>
    <row r="23" customFormat="false" ht="15" hidden="false" customHeight="false" outlineLevel="0" collapsed="false">
      <c r="A23" s="0" t="s">
        <v>594</v>
      </c>
      <c r="B23" s="0" t="s">
        <v>595</v>
      </c>
      <c r="C23" s="0" t="s">
        <v>592</v>
      </c>
      <c r="D23" s="0" t="s">
        <v>596</v>
      </c>
    </row>
    <row r="24" customFormat="false" ht="15" hidden="false" customHeight="false" outlineLevel="0" collapsed="false">
      <c r="A24" s="0" t="s">
        <v>597</v>
      </c>
      <c r="B24" s="0" t="s">
        <v>598</v>
      </c>
      <c r="C24" s="0" t="s">
        <v>547</v>
      </c>
      <c r="D24" s="0" t="s">
        <v>548</v>
      </c>
    </row>
    <row r="25" customFormat="false" ht="15" hidden="false" customHeight="false" outlineLevel="0" collapsed="false">
      <c r="A25" s="0" t="s">
        <v>599</v>
      </c>
      <c r="B25" s="0" t="s">
        <v>600</v>
      </c>
      <c r="C25" s="0" t="s">
        <v>417</v>
      </c>
      <c r="D25" s="0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2026-10-16T16:48:15Z</dcterms:created>
  <dc:creator>openpyxl</dc:creator>
  <dc:description/>
  <dc:language>en-US</dc:language>
  <cp:lastModifiedBy/>
  <dcterms:modified xsi:type="dcterms:W3CDTF">2026-10-16T16:48:15Z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