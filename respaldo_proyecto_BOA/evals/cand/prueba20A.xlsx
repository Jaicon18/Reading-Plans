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<sst xmlns="http://schemas.openxmlformats.org/spreadsheetml/2006/main" count="1298" uniqueCount="844">
  <si>
    <t xml:space="preserve">Bank of America - Broomfield, CO (CO1-111)   |   METAL FRAMING &amp; DRYWALL TAKEOFF</t>
  </si>
  <si>
    <t xml:space="preserve">Bid set: 2025.08.26_CO1-111_Broomfield_PERMIT SET_BID SET.pdf   ·   2026-10-19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</si>
  <si>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</si>
  <si>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</si>
  <si>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</si>
  <si>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</si>
  <si>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</si>
  <si>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</si>
  <si>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</si>
  <si>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</si>
  <si>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</si>
  <si>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</si>
  <si>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</si>
  <si>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</si>
  <si>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</si>
  <si>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</si>
  <si>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</si>
  <si>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</si>
  <si>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</si>
  <si>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</si>
  <si>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</si>
  <si>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</si>
  <si>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</si>
  <si>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</si>
  <si>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</si>
  <si>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</si>
  <si>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</si>
  <si>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</si>
  <si>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</si>
  <si>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</si>
  <si>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</si>
  <si>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</si>
  <si>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</si>
  <si>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</si>
  <si>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</si>
  <si>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</si>
  <si>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</si>
  <si>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</si>
  <si>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</si>
  <si>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</si>
  <si>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</si>
  <si>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</si>
  <si>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</si>
  <si>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</si>
  <si>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</si>
  <si>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</si>
  <si>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</si>
  <si>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</si>
  <si>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</si>
  <si>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</si>
  <si>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</si>
  <si>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</si>
  <si>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</si>
  <si>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</si>
  <si>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</si>
  <si>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</si>
  <si>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</si>
  <si>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</si>
  <si>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</si>
  <si>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</si>
  <si>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#AEXT-01  -  West exterior wall on grid 2, from the south end of SF-W1 (24 HR vestibule 101) to the jog at grid D (ATM room 102); exterior = drive-thru lane</t>
  </si>
  <si>
    <t xml:space="preserve">AEXT-01</t>
  </si>
  <si>
    <t xml:space="preserve">6"</t>
  </si>
  <si>
    <t xml:space="preserve">West exterior wall on grid 2, from the south end of SF-W1 (24 HR vestibule 101) to the jog at grid D (ATM room 102); exterior = drive-thru lane</t>
  </si>
  <si>
    <t xml:space="preserve">A/A09.21</t>
  </si>
  <si>
    <t xml:space="preserve">[DERIVED]</t>
  </si>
  <si>
    <t xml:space="preserve">EXT-6CFMF  #AEXT-02  -  Exterior jog wall on grid D between grid 2 and grid 3 (south wall of ATM room 102; faces south to the drive-thru canopy)</t>
  </si>
  <si>
    <t xml:space="preserve">AEXT-02</t>
  </si>
  <si>
    <t xml:space="preserve">Exterior jog wall on grid D between grid 2 and grid 3 (south wall of ATM room 102; faces south to the drive-thru canopy)</t>
  </si>
  <si>
    <t xml:space="preserve">EXT-6CFMF  #AEXT-03+AEXT-04  -  West exterior wall on grid 3, grid D to grid B (offices 109, 110, women's 114) + West exterior wall on grid 3, grid B to grid A (women's 114, plumbing chase, men's 113, janitor 112, wellness 115)</t>
  </si>
  <si>
    <t xml:space="preserve">AEXT-03+AEXT-04</t>
  </si>
  <si>
    <t xml:space="preserve">West exterior wall on grid 3, grid D to grid B (offices 109, 110, women's 114) + West exterior wall on grid 3, grid B to grid A (women's 114, plumbing chase, men's 113, janitor 112, wellness 115)</t>
  </si>
  <si>
    <t xml:space="preserve">EXT-6CFMF  #AEXT-05+AEXT-06  -  South exterior wall on grid A, grid 3 to grid 6 (wellness 115, corridor 111 with HM door 123, NER 121, break room 118 west part) + South exterior wall on grid A, grid 6 to grid 8 (break room 118 east part, work room 119)</t>
  </si>
  <si>
    <t xml:space="preserve">AEXT-05+AEXT-06</t>
  </si>
  <si>
    <t xml:space="preserve">South exterior wall on grid A, grid 3 to grid 6 (wellness 115, corridor 111 with HM door 123, NER 121, break room 118 west part) + South exterior wall on grid A, grid 6 to grid 8 (break room 118 east part, work room 119)</t>
  </si>
  <si>
    <t xml:space="preserve">EXT-6CFMF  #AEXT-07+AEXT-08  -  East exterior wall on grid 8, grid F to grid B (offices 105-108 with clerestory windows W-E1..W-E4, cash window 116 north part) + East exterior wall on grid 8, grid B to grid A (cash window 116 south part, work room 119)</t>
  </si>
  <si>
    <t xml:space="preserve">AEXT-07+AEXT-08</t>
  </si>
  <si>
    <t xml:space="preserve">East exterior wall on grid 8, grid F to grid B (offices 105-108 with clerestory windows W-E1..W-E4, cash window 116 north part) + East exterior wall on grid 8, grid B to grid A (cash window 116 south part, work room 119)</t>
  </si>
  <si>
    <t xml:space="preserve">EXT-6CFMF  #AEXT-09  -  North exterior wall on grid F over office 105 (grid 7 to grid 8); west end = SF-N2 storefront jamb</t>
  </si>
  <si>
    <t xml:space="preserve">AEXT-09</t>
  </si>
  <si>
    <t xml:space="preserve">North exterior wall on grid F over office 105 (grid 7 to grid 8); west end = SF-N2 storefront jamb</t>
  </si>
  <si>
    <t xml:space="preserve">EXT-6CFMF  #AEXT-16  -  NW storefront pier at grid 2 / G (vestibule 100): exterior 6" CFMF L (north + west faces)</t>
  </si>
  <si>
    <t xml:space="preserve">AEXT-16</t>
  </si>
  <si>
    <t xml:space="preserve">NW storefront pier at grid 2 / G (vestibule 100): exterior 6" CFMF L (north + west faces)</t>
  </si>
  <si>
    <t xml:space="preserve">1/A09.25</t>
  </si>
  <si>
    <t xml:space="preserve">EXT-6CFMF  #AEXT-17  -  NE storefront pier at grid 4 / G-F (vestibule 100 / central zone 103): exterior 6" CFMF L (north + east faces)</t>
  </si>
  <si>
    <t xml:space="preserve">AEXT-17</t>
  </si>
  <si>
    <t xml:space="preserve">NE storefront pier at grid 4 / G-F (vestibule 100 / central zone 103): exterior 6" CFMF L (north + east faces)</t>
  </si>
  <si>
    <t xml:space="preserve">2/A09.25</t>
  </si>
  <si>
    <t xml:space="preserve">TYPE CANOPY-COL</t>
  </si>
  <si>
    <t xml:space="preserve">CANOPY-COL  #AEXT-18  -  Drive-thru canopy column #1 (north to south) on grid 1 (west of the ATM drive lane)</t>
  </si>
  <si>
    <t xml:space="preserve">AEXT-18</t>
  </si>
  <si>
    <t xml:space="preserve">3-5/8"</t>
  </si>
  <si>
    <t xml:space="preserve">Drive-thru canopy column #1 (north to south) on grid 1 (west of the ATM drive lane)</t>
  </si>
  <si>
    <t xml:space="preserve">5/A09.25</t>
  </si>
  <si>
    <t xml:space="preserve">CANOPY-COL  #AEXT-19  -  Drive-thru canopy column #2 (north to south) on grid 1 (west of the ATM drive lane)</t>
  </si>
  <si>
    <t xml:space="preserve">AEXT-19</t>
  </si>
  <si>
    <t xml:space="preserve">Drive-thru canopy column #2 (north to south) on grid 1 (west of the ATM drive lane)</t>
  </si>
  <si>
    <t xml:space="preserve">CANOPY-COL  #AEXT-20  -  Drive-thru canopy column #3 (north to south) on grid 1 (west of the ATM drive lane)</t>
  </si>
  <si>
    <t xml:space="preserve">AEXT-20</t>
  </si>
  <si>
    <t xml:space="preserve">Drive-thru canopy column #3 (north to south) on grid 1 (west of the ATM drive lane)</t>
  </si>
  <si>
    <t xml:space="preserve">CANOPY-COL  #AEXT-21  -  Drive-thru canopy column #4 (north to south) on grid 1 (west of the ATM drive lane)</t>
  </si>
  <si>
    <t xml:space="preserve">AEXT-21</t>
  </si>
  <si>
    <t xml:space="preserve">Drive-thru canopy column #4 (north to south) on grid 1 (west of the ATM drive lane)</t>
  </si>
  <si>
    <t xml:space="preserve">TYPE EXT-PARAPET</t>
  </si>
  <si>
    <t xml:space="preserve">EXT-PARAPET  #AEXT-27  -  tower (parapet 2) west run on grid 2, G to D</t>
  </si>
  <si>
    <t xml:space="preserve">AEXT-27</t>
  </si>
  <si>
    <t xml:space="preserve">6" parapet</t>
  </si>
  <si>
    <t xml:space="preserve">tower (parapet 2) west run on grid 2, G to D</t>
  </si>
  <si>
    <t xml:space="preserve">11/S5.10</t>
  </si>
  <si>
    <t xml:space="preserve">EXT-PARAPET  #AEXT-28  -  tower (parapet 2) jog run on grid D, grid 2 to grid 3</t>
  </si>
  <si>
    <t xml:space="preserve">AEXT-28</t>
  </si>
  <si>
    <t xml:space="preserve">tower (parapet 2) jog run on grid D, grid 2 to grid 3</t>
  </si>
  <si>
    <t xml:space="preserve">EXT-PARAPET  #AEXT-29+AEXT-30  -  parapet 1 on grid 3, D to B (high deck) + parapet 1 on grid 3, B to A (sloped low deck)</t>
  </si>
  <si>
    <t xml:space="preserve">AEXT-29+AEXT-30</t>
  </si>
  <si>
    <t xml:space="preserve">parapet 1 on grid 3, D to B (high deck) + parapet 1 on grid 3, B to A (sloped low deck)</t>
  </si>
  <si>
    <t xml:space="preserve">EXT-PARAPET  #AEXT-31  -  parapet 1 on grid A, grid 3 to grid 8 (eave)</t>
  </si>
  <si>
    <t xml:space="preserve">AEXT-31</t>
  </si>
  <si>
    <t xml:space="preserve">parapet 1 on grid A, grid 3 to grid 8 (eave)</t>
  </si>
  <si>
    <t xml:space="preserve">EXT-PARAPET  #AEXT-33+AEXT-32  -  parapet 1 on grid 8, F to B (high deck) + parapet 1 on grid 8, B to A (sloped low deck)</t>
  </si>
  <si>
    <t xml:space="preserve">AEXT-33+AEXT-32</t>
  </si>
  <si>
    <t xml:space="preserve">parapet 1 on grid 8, F to B (high deck) + parapet 1 on grid 8, B to A (sloped low deck)</t>
  </si>
  <si>
    <t xml:space="preserve">EXT-PARAPET  #AEXT-34  -  parapet 1 on grid F, grid 4 return to grid 8</t>
  </si>
  <si>
    <t xml:space="preserve">AEXT-34</t>
  </si>
  <si>
    <t xml:space="preserve">parapet 1 on grid F, grid 4 return to grid 8</t>
  </si>
  <si>
    <t xml:space="preserve">EXT-PARAPET  #AEXT-35  -  tower (parapet 2) north run on grid G, grid 2 to grid 4</t>
  </si>
  <si>
    <t xml:space="preserve">AEXT-35</t>
  </si>
  <si>
    <t xml:space="preserve">tower (parapet 2) north run on grid G, grid 2 to grid 4</t>
  </si>
  <si>
    <t xml:space="preserve">EXT-PARAPET  #AEXT-36  -  tower (parapet 2) east return on grid 4 (free end on the roof, A02.02 key note 10 ACM coping)</t>
  </si>
  <si>
    <t xml:space="preserve">AEXT-36</t>
  </si>
  <si>
    <t xml:space="preserve">tower (parapet 2) east return on grid 4 (free end on the roof, A02.02 key note 10 ACM coping)</t>
  </si>
  <si>
    <t xml:space="preserve">TYPE A1</t>
  </si>
  <si>
    <t xml:space="preserve">A1  #AI1-01  -  Calling Cubes 122 north wall / Waiting 104 (grid 5-6, between C.5 and C, y 971 pt)</t>
  </si>
  <si>
    <t xml:space="preserve">AI1-01</t>
  </si>
  <si>
    <t xml:space="preserve">Calling Cubes 122 north wall / Waiting 104 (grid 5-6, between C.5 and C, y 971 pt)</t>
  </si>
  <si>
    <t xml:space="preserve">3/A12.01</t>
  </si>
  <si>
    <t xml:space="preserve">A1  #AI1-02  -  MW01 printer closet east wall / Calling Cubes 122 (grid 5-6)</t>
  </si>
  <si>
    <t xml:space="preserve">AI1-02</t>
  </si>
  <si>
    <t xml:space="preserve">MW01 printer closet east wall / Calling Cubes 122 (grid 5-6)</t>
  </si>
  <si>
    <t xml:space="preserve">A1  #AI1-03  -  MW01 printer closet south wall / MW07 millwork in Calling Cubes 122</t>
  </si>
  <si>
    <t xml:space="preserve">AI1-03</t>
  </si>
  <si>
    <t xml:space="preserve">MW01 printer closet south wall / MW07 millwork in Calling Cubes 122</t>
  </si>
  <si>
    <t xml:space="preserve">A1  #AI1-07  -  Corridor 111 north wall (door 111) / Central Zone 103 strip, between grid 4 and 5 just north of grid B</t>
  </si>
  <si>
    <t xml:space="preserve">AI1-07</t>
  </si>
  <si>
    <t xml:space="preserve">Corridor 111 north wall (door 111) / Central Zone 103 strip, between grid 4 and 5 just north of grid B</t>
  </si>
  <si>
    <t xml:space="preserve">A1  #AI1-10  -  Calling Cubes 122 south wall / Break Room 118 (MW21), grid 5-6 south of grid B</t>
  </si>
  <si>
    <t xml:space="preserve">AI1-10</t>
  </si>
  <si>
    <t xml:space="preserve">Calling Cubes 122 south wall / Break Room 118 (MW21), grid 5-6 south of grid B</t>
  </si>
  <si>
    <t xml:space="preserve">A1  #AI1-11  -  Short N-S wall at MW21 east end, Break Room 118 / CSR customer queue (grid 6)</t>
  </si>
  <si>
    <t xml:space="preserve">AI1-11</t>
  </si>
  <si>
    <t xml:space="preserve">Short N-S wall at MW21 east end, Break Room 118 / CSR customer queue (grid 6)</t>
  </si>
  <si>
    <t xml:space="preserve">A1  #AI1-12  -  Break Room 118 north wall (door 118A) / CSR customer queue, grid 6-7</t>
  </si>
  <si>
    <t xml:space="preserve">AI1-12</t>
  </si>
  <si>
    <t xml:space="preserve">Break Room 118 north wall (door 118A) / CSR customer queue, grid 6-7</t>
  </si>
  <si>
    <t xml:space="preserve">[CONFIRMED]</t>
  </si>
  <si>
    <t xml:space="preserve">A1  #AI1-14  -  Work Room 119 north wall (door 119) / Cash Window 116, grid 7-8</t>
  </si>
  <si>
    <t xml:space="preserve">AI1-14</t>
  </si>
  <si>
    <t xml:space="preserve">Work Room 119 north wall (door 119) / Cash Window 116, grid 7-8</t>
  </si>
  <si>
    <t xml:space="preserve">A1  #AI1-15  -  Corridor 111 east wall on grid 5 (door 118B; Electrical 120 and NER 121 west wall, FD-1/FD-2)</t>
  </si>
  <si>
    <t xml:space="preserve">AI1-15</t>
  </si>
  <si>
    <t xml:space="preserve">Corridor 111 east wall on grid 5 (door 118B; Electrical 120 and NER 121 west wall, FD-1/FD-2)</t>
  </si>
  <si>
    <t xml:space="preserve">A1  #RES-01+RES-01N+RES-01S  -  Drinking-fountain alcove on grid 4, Corridor 111 (between women's 114 and men's 113 B2 walls)</t>
  </si>
  <si>
    <t xml:space="preserve">RES-01+RES-01N+RES-01S</t>
  </si>
  <si>
    <t xml:space="preserve">Drinking-fountain alcove on grid 4, Corridor 111 (between women's 114 and men's 113 B2 walls)</t>
  </si>
  <si>
    <t xml:space="preserve">TYPE A5</t>
  </si>
  <si>
    <t xml:space="preserve">A5  #AI1-04  -  Calling Cubes 122 west wall (upper) / Central Zone 103 strip east of office front grid 4 (FEC-1 on W face)</t>
  </si>
  <si>
    <t xml:space="preserve">AI1-04</t>
  </si>
  <si>
    <t xml:space="preserve">Calling Cubes 122 west wall (upper) / Central Zone 103 strip east of office front grid 4 (FEC-1 on W face)</t>
  </si>
  <si>
    <t xml:space="preserve">A5  #AI1-05+AI1-06  -  Calling Cubes 122 west wall (lower line, north of grid B) / Corridor 111 + Calling Cubes 122 west wall (lower line, south of grid B, door 122) / Corridor 111</t>
  </si>
  <si>
    <t xml:space="preserve">AI1-05+AI1-06</t>
  </si>
  <si>
    <t xml:space="preserve">Calling Cubes 122 west wall (lower line, north of grid B) / Corridor 111 + Calling Cubes 122 west wall (lower line, south of grid B, door 122) / Corridor 111</t>
  </si>
  <si>
    <t xml:space="preserve">A5  #AI1-08+AI1-09  -  Calling Cubes 122 east wall (north of grid B) / Central Zone 103 &amp; CSR customer queue (grid 6) + Calling Cubes 122 east wall (south of grid B) / CSR customer queue (grid 6)</t>
  </si>
  <si>
    <t xml:space="preserve">AI1-08+AI1-09</t>
  </si>
  <si>
    <t xml:space="preserve">Calling Cubes 122 east wall (north of grid B) / Central Zone 103 &amp; CSR customer queue (grid 6) + Calling Cubes 122 east wall (south of grid B) / CSR customer queue (grid 6)</t>
  </si>
  <si>
    <t xml:space="preserve">A5  #AI1-13  -  Break Room 118 east wall (door 116) / Cash Window 116 incl. FUTURE FCAM (grid 7)</t>
  </si>
  <si>
    <t xml:space="preserve">AI1-13</t>
  </si>
  <si>
    <t xml:space="preserve">Break Room 118 east wall (door 116) / Cash Window 116 incl. FUTURE FCAM (grid 7)</t>
  </si>
  <si>
    <t xml:space="preserve">TYPE A1K</t>
  </si>
  <si>
    <t xml:space="preserve">A1K  #AI1-16  -  A1K stub at north end of CSR teller line, Cash Window 116 (below office 108 G wall), grid 7-8</t>
  </si>
  <si>
    <t xml:space="preserve">AI1-16</t>
  </si>
  <si>
    <t xml:space="preserve">A1K stub at north end of CSR teller line, Cash Window 116 (below office 108 G wall), grid 7-8</t>
  </si>
  <si>
    <t xml:space="preserve">4/A12.01</t>
  </si>
  <si>
    <t xml:space="preserve">A1K  #AI1-17  -  A1K stub at south end of CSR teller line (east piece), Cash Window 116 / FUTURE FCAM, grid 7-8</t>
  </si>
  <si>
    <t xml:space="preserve">AI1-17</t>
  </si>
  <si>
    <t xml:space="preserve">A1K stub at south end of CSR teller line (east piece), Cash Window 116 / FUTURE FCAM, grid 7-8</t>
  </si>
  <si>
    <t xml:space="preserve">A1K  #AI1-18  -  A1K stub at south end of CSR teller line (west piece incl. jog column, under counter), Cash Window 116 / FUTURE FCAM, grid 7</t>
  </si>
  <si>
    <t xml:space="preserve">AI1-18</t>
  </si>
  <si>
    <t xml:space="preserve">A1K stub at south end of CSR teller line (west piece incl. jog column, under counter), Cash Window 116 / FUTURE FCAM, grid 7</t>
  </si>
  <si>
    <t xml:space="preserve">TYPE B2</t>
  </si>
  <si>
    <t xml:space="preserve">B2  #AI2-01+AI2-02  -  Corridor 111 west wall / women's restroom 114 east wall, grid 4, north end between the G wall and grid B (high deck zone) + Corridor 111 west wall / women's restroom 114 east wall, grid 4, from grid B to the drinking fountain alcove</t>
  </si>
  <si>
    <t xml:space="preserve">AI2-01+AI2-02</t>
  </si>
  <si>
    <t xml:space="preserve">Corridor 111 west wall / women's restroom 114 east wall, grid 4, north end between the G wall and grid B (high deck zone) + Corridor 111 west wall / women's restroom 114 east wall, grid 4, from grid B to the drinking fountain alcove</t>
  </si>
  <si>
    <t xml:space="preserve">1/A12.01</t>
  </si>
  <si>
    <t xml:space="preserve">B2  #AI2-03  -  Corridor 111 west wall, grid 4: east wall of men's 113, storage 117 and wellness 115</t>
  </si>
  <si>
    <t xml:space="preserve">AI2-03</t>
  </si>
  <si>
    <t xml:space="preserve">Corridor 111 west wall, grid 4: east wall of men's 113, storage 117 and wellness 115</t>
  </si>
  <si>
    <t xml:space="preserve">B2  #AI2-04  -  ATM room 102 east wall on grid 4 (central zone 103 east side), between the grille south jamb box and the G wall</t>
  </si>
  <si>
    <t xml:space="preserve">AI2-04</t>
  </si>
  <si>
    <t xml:space="preserve">ATM room 102 east wall on grid 4 (central zone 103 east side), between the grille south jamb box and the G wall</t>
  </si>
  <si>
    <t xml:space="preserve">B2  #RES-02  -  Break room 118 / work room 119 wall on grid 7, south of door 116</t>
  </si>
  <si>
    <t xml:space="preserve">RES-02</t>
  </si>
  <si>
    <t xml:space="preserve">Break room 118 / work room 119 wall on grid 7, south of door 116</t>
  </si>
  <si>
    <t xml:space="preserve">TYPE B2K</t>
  </si>
  <si>
    <t xml:space="preserve">B2K  #AI2-06  -  Ballistic stub at the NW corner of cash window 116: south wall of office 108 west end / north end of the CSR teller line (grid 7, B.2)</t>
  </si>
  <si>
    <t xml:space="preserve">AI2-06</t>
  </si>
  <si>
    <t xml:space="preserve">Ballistic stub at the NW corner of cash window 116: south wall of office 108 west end / north end of the CSR teller line (grid 7, B.2)</t>
  </si>
  <si>
    <t xml:space="preserve">TYPE F</t>
  </si>
  <si>
    <t xml:space="preserve">F  #AI2-07  -  Diagonal ATM partition (60 deg to grid 2) between 24 HR vestibule 101 (NE) and ATM room 102 (SW), grid 2 to grid 4 / E</t>
  </si>
  <si>
    <t xml:space="preserve">AI2-07</t>
  </si>
  <si>
    <t xml:space="preserve">Diagonal ATM partition (60 deg to grid 2) between 24 HR vestibule 101 (NE) and ATM room 102 (SW), grid 2 to grid 4 / E</t>
  </si>
  <si>
    <t xml:space="preserve">12/A12.01</t>
  </si>
  <si>
    <t xml:space="preserve">TYPE B</t>
  </si>
  <si>
    <t xml:space="preserve">B  #AI2-08  -  Electrical 120 north wall / break room 118 (between grid 5 and AI2-10)</t>
  </si>
  <si>
    <t xml:space="preserve">AI2-08</t>
  </si>
  <si>
    <t xml:space="preserve">Electrical 120 north wall / break room 118 (between grid 5 and AI2-10)</t>
  </si>
  <si>
    <t xml:space="preserve">B  #AI2-09  -  Electrical 120 / NER 121 separation wall (grid 5 to AI2-10)</t>
  </si>
  <si>
    <t xml:space="preserve">AI2-09</t>
  </si>
  <si>
    <t xml:space="preserve">Electrical 120 / NER 121 separation wall (grid 5 to AI2-10)</t>
  </si>
  <si>
    <t xml:space="preserve">B  #AI2-10  -  East wall of electrical 120 and NER 121 / break room 118 (between grids 5 and 6)</t>
  </si>
  <si>
    <t xml:space="preserve">AI2-10</t>
  </si>
  <si>
    <t xml:space="preserve">East wall of electrical 120 and NER 121 / break room 118 (between grids 5 and 6)</t>
  </si>
  <si>
    <t xml:space="preserve">B  #AI2-11  -  Men's restroom 113 south wall / janitor closet 112 and storage 117 north wall (grid 3 to grid 4)</t>
  </si>
  <si>
    <t xml:space="preserve">AI2-11</t>
  </si>
  <si>
    <t xml:space="preserve">Men's restroom 113 south wall / janitor closet 112 and storage 117 north wall (grid 3 to grid 4)</t>
  </si>
  <si>
    <t xml:space="preserve">B  #AI2-12  -  Janitor closet 112 and storage 117 south wall / wellness 115 north wall (grid 3 to grid 4)</t>
  </si>
  <si>
    <t xml:space="preserve">AI2-12</t>
  </si>
  <si>
    <t xml:space="preserve">Janitor closet 112 and storage 117 south wall / wellness 115 north wall (grid 3 to grid 4)</t>
  </si>
  <si>
    <t xml:space="preserve">B  #AI2-13  -  Janitor closet 112 / storage 117 separation wall (between MW06A and MW05)</t>
  </si>
  <si>
    <t xml:space="preserve">AI2-13</t>
  </si>
  <si>
    <t xml:space="preserve">Janitor closet 112 / storage 117 separation wall (between MW06A and MW05)</t>
  </si>
  <si>
    <t xml:space="preserve">TYPE C1</t>
  </si>
  <si>
    <t xml:space="preserve">C1  #AI2-14  -  Plumbing chase between women's 114 and men's 113: women's side face (toilet + lavatory wall, A08.01 elevation A)</t>
  </si>
  <si>
    <t xml:space="preserve">AI2-14</t>
  </si>
  <si>
    <t xml:space="preserve">Plumbing chase between women's 114 and men's 113: women's side face (toilet + lavatory wall, A08.01 elevation A)</t>
  </si>
  <si>
    <t xml:space="preserve">6/A12.01</t>
  </si>
  <si>
    <t xml:space="preserve">C1  #AI2-15  -  Plumbing chase between women's 114 and men's 113: men's side face (toilet + lavatory wall, A08.01 elevation A)</t>
  </si>
  <si>
    <t xml:space="preserve">AI2-15</t>
  </si>
  <si>
    <t xml:space="preserve">Plumbing chase between women's 114 and men's 113: men's side face (toilet + lavatory wall, A08.01 elevation A)</t>
  </si>
  <si>
    <t xml:space="preserve">C1  #AI2-16  -  C1 lining on the south (FUTURE FCAM) side of the A1K stub at the south end of the CSR teller line (cash window 116, grid 7)</t>
  </si>
  <si>
    <t xml:space="preserve">AI2-16</t>
  </si>
  <si>
    <t xml:space="preserve">C1 lining on the south (FUTURE FCAM) side of the A1K stub at the south end of the CSR teller line (cash window 116, grid 7)</t>
  </si>
  <si>
    <t xml:space="preserve">C1  #AI2-17+RES-04+RES-05  -  C1 furring for the 85" display monitor (A02.01 construction key note 7) on the north face of the calling cubes 122 north wall, waiting 104 side (grids 5-6) + end return of the C1 display-monitor furring (waiting 104)</t>
  </si>
  <si>
    <t xml:space="preserve">AI2-17+RES-04+RES-05</t>
  </si>
  <si>
    <t xml:space="preserve">C1 furring for the 85" display monitor (A02.01 construction key note 7) on the north face of the calling cubes 122 north wall, waiting 104 side (grids 5-6) + end return of the C1 display-monitor furring (waiting 104)</t>
  </si>
  <si>
    <t xml:space="preserve">C1  #AI2-19  -  NW vestibule storefront pier at grid 2 / F-G (vestibule 100): interior L lining</t>
  </si>
  <si>
    <t xml:space="preserve">AI2-19</t>
  </si>
  <si>
    <t xml:space="preserve">NW vestibule storefront pier at grid 2 / F-G (vestibule 100): interior L lining</t>
  </si>
  <si>
    <t xml:space="preserve">C1  #AI2-20  -  Coiling grille (door 103) north jamb box / 1'-0" post on grid 4 at the vestibule south glass (vestibule 100, 24 HR vestibule 101, central zone 103)</t>
  </si>
  <si>
    <t xml:space="preserve">AI2-20</t>
  </si>
  <si>
    <t xml:space="preserve">Coiling grille (door 103) north jamb box / 1'-0" post on grid 4 at the vestibule south glass (vestibule 100, 24 HR vestibule 101, central zone 103)</t>
  </si>
  <si>
    <t xml:space="preserve">C1  #AI2-21  -  Coiling grille (door 103) south jamb box around the HSS column at grid 4 / E (24 HR vestibule 101, central zone 103); F wall and B2 die into it</t>
  </si>
  <si>
    <t xml:space="preserve">AI2-21</t>
  </si>
  <si>
    <t xml:space="preserve">Coiling grille (door 103) south jamb box around the HSS column at grid 4 / E (24 HR vestibule 101, central zone 103); F wall and B2 die into it</t>
  </si>
  <si>
    <t xml:space="preserve">C1  #RES-03  -  NE vestibule storefront pier at grid 4 / F-G (vestibule 100, central zone 103): interior L lining</t>
  </si>
  <si>
    <t xml:space="preserve">RES-03</t>
  </si>
  <si>
    <t xml:space="preserve">NE vestibule storefront pier at grid 4 / F-G (vestibule 100, central zone 103): interior L lining</t>
  </si>
  <si>
    <t xml:space="preserve">TYPE G</t>
  </si>
  <si>
    <t xml:space="preserve">G  #AI3-01  -  Office front stub north of office 105 front (grid 7 line, between F and E.4): Central Zone 103 west / Office 1 ME 105 east</t>
  </si>
  <si>
    <t xml:space="preserve">AI3-01</t>
  </si>
  <si>
    <t xml:space="preserve">1-5/8"</t>
  </si>
  <si>
    <t xml:space="preserve">Office front stub north of office 105 front (grid 7 line, between F and E.4): Central Zone 103 west / Office 1 ME 105 east</t>
  </si>
  <si>
    <t xml:space="preserve">5/A12.01</t>
  </si>
  <si>
    <t xml:space="preserve">G  #AI3-02  -  Office front stub between fronts of offices 105 and 106 (grid 7 line): Central Zone 103 west / offices 105-106 east</t>
  </si>
  <si>
    <t xml:space="preserve">AI3-02</t>
  </si>
  <si>
    <t xml:space="preserve">Office front stub between fronts of offices 105 and 106 (grid 7 line): Central Zone 103 west / offices 105-106 east</t>
  </si>
  <si>
    <t xml:space="preserve">G  #AI3-03  -  Office front stub between fronts of offices 106 and 107 (grid 7 line): Central Zone 103 / Waiting 104 west / offices 106-107 east</t>
  </si>
  <si>
    <t xml:space="preserve">AI3-03</t>
  </si>
  <si>
    <t xml:space="preserve">Office front stub between fronts of offices 106 and 107 (grid 7 line): Central Zone 103 / Waiting 104 west / offices 106-107 east</t>
  </si>
  <si>
    <t xml:space="preserve">G  #AI3-04  -  Office front stub between fronts of offices 107 and 108 (grid 7 line): Waiting 104 west / offices 107-108 east</t>
  </si>
  <si>
    <t xml:space="preserve">AI3-04</t>
  </si>
  <si>
    <t xml:space="preserve">Office front stub between fronts of offices 107 and 108 (grid 7 line): Waiting 104 west / offices 107-108 east</t>
  </si>
  <si>
    <t xml:space="preserve">G  #AI3-05  -  4" office front end stub south of office 108 front (grid 7 line, A02.01 '4"' dimension): Waiting 104 west / Office 108 east</t>
  </si>
  <si>
    <t xml:space="preserve">AI3-05</t>
  </si>
  <si>
    <t xml:space="preserve">4" office front end stub south of office 108 front (grid 7 line, A02.01 '4"' dimension): Waiting 104 west / Office 108 east</t>
  </si>
  <si>
    <t xml:space="preserve">G  #AI3-07  -  Demising wall between Office 2 CL 106 (north) and Office 3 SB 107 (south), grid 7 to grid 8</t>
  </si>
  <si>
    <t xml:space="preserve">AI3-07</t>
  </si>
  <si>
    <t xml:space="preserve">Demising wall between Office 2 CL 106 (north) and Office 3 SB 107 (south), grid 7 to grid 8</t>
  </si>
  <si>
    <t xml:space="preserve">G  #AI3-08  -  Demising wall between Office 3 SB 107 (north) and Office 4 CB 108 (south), grid 7 to grid 8</t>
  </si>
  <si>
    <t xml:space="preserve">AI3-08</t>
  </si>
  <si>
    <t xml:space="preserve">Demising wall between Office 3 SB 107 (north) and Office 4 CB 108 (south), grid 7 to grid 8</t>
  </si>
  <si>
    <t xml:space="preserve">G  #AI3-09  -  Wall between Office 4 CB 108 (north) and Cash Window 116 (south), east of the B2K hatch to grid 8</t>
  </si>
  <si>
    <t xml:space="preserve">AI3-09</t>
  </si>
  <si>
    <t xml:space="preserve">Wall between Office 4 CB 108 (north) and Cash Window 116 (south), east of the B2K hatch to grid 8</t>
  </si>
  <si>
    <t xml:space="preserve">G  #AI3-14  -  Wall between ATM Room 102 (north) and Office 5 CB 109 (south), grid 3 to the grid 4 office-front line (grid D)</t>
  </si>
  <si>
    <t xml:space="preserve">AI3-14</t>
  </si>
  <si>
    <t xml:space="preserve">Wall between ATM Room 102 (north) and Office 5 CB 109 (south), grid 3 to the grid 4 office-front line (grid D)</t>
  </si>
  <si>
    <t xml:space="preserve">G  #AI3-18  -  Demising wall between Office 5 CB 109 (north) and Office 6 CB 110 (south), grid 3 to grid 4 front line</t>
  </si>
  <si>
    <t xml:space="preserve">AI3-18</t>
  </si>
  <si>
    <t xml:space="preserve">Demising wall between Office 5 CB 109 (north) and Office 6 CB 110 (south), grid 3 to grid 4 front line</t>
  </si>
  <si>
    <t xml:space="preserve">G  #AI3-19  -  Wall between Office 6 CB 110 (north) and Women's Restroom 114 (south), grid 3 to grid 4 front line</t>
  </si>
  <si>
    <t xml:space="preserve">AI3-19</t>
  </si>
  <si>
    <t xml:space="preserve">Wall between Office 6 CB 110 (north) and Women's Restroom 114 (south), grid 3 to grid 4 front line</t>
  </si>
  <si>
    <t xml:space="preserve">TYPE G1</t>
  </si>
  <si>
    <t xml:space="preserve">G1  #AI3-06  -  Demising wall between Office 1 ME 105 (north) and Office 2 CL 106 (south), grid 7 to grid 8</t>
  </si>
  <si>
    <t xml:space="preserve">AI3-06</t>
  </si>
  <si>
    <t xml:space="preserve">Demising wall between Office 1 ME 105 (north) and Office 2 CL 106 (south), grid 7 to grid 8</t>
  </si>
  <si>
    <t xml:space="preserve">G1  #AI3-15  -  4" office front end stub north of office 109 front (grid 4 line): Office 109 west / Waiting 104 east</t>
  </si>
  <si>
    <t xml:space="preserve">AI3-15</t>
  </si>
  <si>
    <t xml:space="preserve">4" office front end stub north of office 109 front (grid 4 line): Office 109 west / Waiting 104 east</t>
  </si>
  <si>
    <t xml:space="preserve">G1  #AI3-16  -  Office front stub between fronts of offices 109 and 110 (grid 4 line): offices 109-110 west / Waiting 104 east</t>
  </si>
  <si>
    <t xml:space="preserve">AI3-16</t>
  </si>
  <si>
    <t xml:space="preserve">Office front stub between fronts of offices 109 and 110 (grid 4 line): offices 109-110 west / Waiting 104 east</t>
  </si>
  <si>
    <t xml:space="preserve">G1  #AI3-17  -  Office front stub south of office 110 front (grid 4 line, between C and B.2): Office 110 west / Waiting 104 east</t>
  </si>
  <si>
    <t xml:space="preserve">AI3-17</t>
  </si>
  <si>
    <t xml:space="preserve">Office front stub south of office 110 front (grid 4 line, between C and B.2): Office 110 west / Waiting 104 east</t>
  </si>
  <si>
    <t xml:space="preserve">TYPE BULKHEAD-G</t>
  </si>
  <si>
    <t xml:space="preserve">BULKHEAD-G  #AI3-10+AI3-11+AI3-12+AI3-13  -  Bulkhead over office front DFC-1A of Office 105 (jamb to jamb between the G/G1 stubs), Central Zone 103 side / Office 105 side + Bulkhead over office front DFC-1A of Office 106 (jamb to jamb between the G/G1 stubs), Central Zone 103 side / Office 106 side + Bulkhead over office front DFC-1A of Office 107 (jamb to jamb between the G/G1 stubs), Waiting 104 (central zone) side / Office 107 side + Bulkhead over office front DFC-1A of Office 108 (jamb to jamb between the G/G1 stubs), Waiting 104 (central zone) side / Office 108 side</t>
  </si>
  <si>
    <t xml:space="preserve">AI3-10+AI3-11+AI3-12+AI3-13</t>
  </si>
  <si>
    <t xml:space="preserve">Bulkhead over office front DFC-1A of Office 105 (jamb to jamb between the G/G1 stubs), Central Zone 103 side / Office 105 side + Bulkhead over office front DFC-1A of Office 106 (jamb to jamb between the G/G1 stubs), Central Zone 103 side / Office 106 side + Bulkhead over office front DFC-1A of Office 107 (jamb to jamb between the G/G1 stubs), Waiting 104 (central zone) side / Office 107 side + Bulkhead over office front DFC-1A of Office 108 (jamb to jamb between the G/G1 stubs), Waiting 104 (central zone) side / Office 108 side</t>
  </si>
  <si>
    <t xml:space="preserve">9/A12.01</t>
  </si>
  <si>
    <t xml:space="preserve">BULKHEAD-G  #AI3-20+AI3-21  -  Bulkhead over office front DFC-1A of Office 109 (jamb to jamb between the G/G1 stubs), Waiting 104 (central zone) side / Office 109 side + Bulkhead over office front DFC-1A of Office 110 (jamb to jamb between the G/G1 stubs), Waiting 104 (central zone) side / Office 110 side</t>
  </si>
  <si>
    <t xml:space="preserve">AI3-20+AI3-21</t>
  </si>
  <si>
    <t xml:space="preserve">Bulkhead over office front DFC-1A of Office 109 (jamb to jamb between the G/G1 stubs), Waiting 104 (central zone) side / Office 109 side + Bulkhead over office front DFC-1A of Office 110 (jamb to jamb between the G/G1 stubs), Waiting 104 (central zone) side / Office 110 side</t>
  </si>
  <si>
    <t xml:space="preserve">TOTAL - PARTITIONS</t>
  </si>
  <si>
    <t xml:space="preserve">TYPE OTHER FRAMING (NOT A PARTITION)</t>
  </si>
  <si>
    <t xml:space="preserve">grille_head  #AACC1-GH1  -  Coiling grille door 103 head on grid 4 between the jamb boxes AI2-20 (north) and AI2-21 (south): 24 HR vestibule 101 (W) / central zone 103 (E)</t>
  </si>
  <si>
    <t xml:space="preserve">AACC1-GH1</t>
  </si>
  <si>
    <t xml:space="preserve">2-1/2"</t>
  </si>
  <si>
    <t xml:space="preserve">Coiling grille door 103 head on grid 4 between the jamb boxes AI2-20 (north) and AI2-21 (south): 24 HR vestibule 101 (W) / central zone 103 (E)</t>
  </si>
  <si>
    <t xml:space="preserve">4/A08.21</t>
  </si>
  <si>
    <t xml:space="preserve">storefront_cripples  #AEXT-10  -  Framing above SF-N1 (north entrance storefront, vestibule 100), lower piece: HSS lintel to canopy beam</t>
  </si>
  <si>
    <t xml:space="preserve">AEXT-10</t>
  </si>
  <si>
    <t xml:space="preserve">Framing above SF-N1 (north entrance storefront, vestibule 100), lower piece: HSS lintel to canopy beam</t>
  </si>
  <si>
    <t xml:space="preserve">2/A09.26</t>
  </si>
  <si>
    <t xml:space="preserve">storefront_cripples  #AEXT-11  -  Framing above SF-N1, upper piece: canopy beam to the perimeter roof beam</t>
  </si>
  <si>
    <t xml:space="preserve">AEXT-11</t>
  </si>
  <si>
    <t xml:space="preserve">Framing above SF-N1, upper piece: canopy beam to the perimeter roof beam</t>
  </si>
  <si>
    <t xml:space="preserve">storefront_cripples  #AEXT-12  -  Framing above SF-N2 (central zone 103 storefront, grid 4 to grid 7), lower piece</t>
  </si>
  <si>
    <t xml:space="preserve">AEXT-12</t>
  </si>
  <si>
    <t xml:space="preserve">Framing above SF-N2 (central zone 103 storefront, grid 4 to grid 7), lower piece</t>
  </si>
  <si>
    <t xml:space="preserve">storefront_cripples  #AEXT-13  -  Framing above SF-N2, upper piece: canopy beam to the W18x35 roof beam</t>
  </si>
  <si>
    <t xml:space="preserve">AEXT-13</t>
  </si>
  <si>
    <t xml:space="preserve">Framing above SF-N2, upper piece: canopy beam to the W18x35 roof beam</t>
  </si>
  <si>
    <t xml:space="preserve">storefront_cripples  #AEXT-14  -  Framing above SF-W1 (vestibule 100 west glazing on grid 2), lower piece</t>
  </si>
  <si>
    <t xml:space="preserve">AEXT-14</t>
  </si>
  <si>
    <t xml:space="preserve">Framing above SF-W1 (vestibule 100 west glazing on grid 2), lower piece</t>
  </si>
  <si>
    <t xml:space="preserve">storefront_cripples  #AEXT-15  -  Framing above SF-W1, upper piece</t>
  </si>
  <si>
    <t xml:space="preserve">AEXT-15</t>
  </si>
  <si>
    <t xml:space="preserve">Framing above SF-W1, upper piece</t>
  </si>
  <si>
    <t xml:space="preserve">vestibule_head  #AEXT-22  -  Vestibule head over the south all-glass front (GL-3/GL-4 + door 101 pair) between vestibule 100 and 24 HR vestibule 101, grid 2 to the 1'-0" post at grid 4</t>
  </si>
  <si>
    <t xml:space="preserve">AEXT-22</t>
  </si>
  <si>
    <t xml:space="preserve">Vestibule head over the south all-glass front (GL-3/GL-4 + door 101 pair) between vestibule 100 and 24 HR vestibule 101, grid 2 to the 1'-0" post at grid 4</t>
  </si>
  <si>
    <t xml:space="preserve">4/A12.10</t>
  </si>
  <si>
    <t xml:space="preserve">vestibule_head  #AEXT-23  -  Vestibule head over the east glass front on grid 4 (door 100A + sidelite) between vestibule 100 and central zone 103</t>
  </si>
  <si>
    <t xml:space="preserve">AEXT-23</t>
  </si>
  <si>
    <t xml:space="preserve">Vestibule head over the east glass front on grid 4 (door 100A + sidelite) between vestibule 100 and central zone 103</t>
  </si>
  <si>
    <t xml:space="preserve">roof_step  #AEXT-24  -  Roof step on grid B, grid 3 to grid 8: upper outboard row (roof side of the step): from the low deck to the high deck level</t>
  </si>
  <si>
    <t xml:space="preserve">AEXT-24</t>
  </si>
  <si>
    <t xml:space="preserve">Roof step on grid B, grid 3 to grid 8: upper outboard row (roof side of the step): from the low deck to the high deck level</t>
  </si>
  <si>
    <t xml:space="preserve">4/A02.02</t>
  </si>
  <si>
    <t xml:space="preserve">roof_step  #AEXT-25  -  Roof step on grid B, grid 3 to grid 8: inboard row under the high deck: from the bottom of the W14x22 (LOW) to the high deck</t>
  </si>
  <si>
    <t xml:space="preserve">AEXT-25</t>
  </si>
  <si>
    <t xml:space="preserve">Roof step on grid B, grid 3 to grid 8: inboard row under the high deck: from the bottom of the W14x22 (LOW) to the high deck</t>
  </si>
  <si>
    <t xml:space="preserve">roof_step  #AEXT-26  -  Roof step on grid B, grid 3 to grid 8: short outboard row below the low deck (closes the soffit box under the W14x22 LOW)</t>
  </si>
  <si>
    <t xml:space="preserve">AEXT-26</t>
  </si>
  <si>
    <t xml:space="preserve">Roof step on grid B, grid 3 to grid 8: short outboard row below the low deck (closes the soffit box under the W14x22 LOW)</t>
  </si>
  <si>
    <t xml:space="preserve">ceiling_transition  #ARCP-T1  -  Waiting 104 GB island N edge vs Central Zone 103 ACT-4 11'-6", grids 5-6 / E.4-E</t>
  </si>
  <si>
    <t xml:space="preserve">ARCP-T1</t>
  </si>
  <si>
    <t xml:space="preserve">Waiting 104 GB island N edge vs Central Zone 103 ACT-4 11'-6", grids 5-6 / E.4-E</t>
  </si>
  <si>
    <t xml:space="preserve">8/A09.33</t>
  </si>
  <si>
    <t xml:space="preserve">ceiling_transition  #ARCP-T2  -  Waiting 104 GB island W edge vs Central Zone 103 ACT-4 11'-6", near grid 5, E.4-C</t>
  </si>
  <si>
    <t xml:space="preserve">ARCP-T2</t>
  </si>
  <si>
    <t xml:space="preserve">Waiting 104 GB island W edge vs Central Zone 103 ACT-4 11'-6", near grid 5, E.4-C</t>
  </si>
  <si>
    <t xml:space="preserve">ceiling_transition  #ARCP-T3  -  Waiting 104 GB island E edge vs Central Zone 103 ACT-4 11'-6", near grid 6, E.4-C</t>
  </si>
  <si>
    <t xml:space="preserve">ARCP-T3</t>
  </si>
  <si>
    <t xml:space="preserve">Waiting 104 GB island E edge vs Central Zone 103 ACT-4 11'-6", near grid 6, E.4-C</t>
  </si>
  <si>
    <t xml:space="preserve">ceiling_transition  #ARCP-T4  -  Central Zone 103 step ACT-4 11'-6" to ACT-4 9'-0" west of CSR soffit, grids 6-7 / B.2</t>
  </si>
  <si>
    <t xml:space="preserve">ARCP-T4</t>
  </si>
  <si>
    <t xml:space="preserve">Central Zone 103 step ACT-4 11'-6" to ACT-4 9'-0" west of CSR soffit, grids 6-7 / B.2</t>
  </si>
  <si>
    <t xml:space="preserve">7/A09.33</t>
  </si>
  <si>
    <t xml:space="preserve">ceiling_transition  #ARCP-T5  -  Central Zone 103 step ACT-4 11'-6" to Corridor 111 ACT-4 8'-6", grids 4-5 just north of grid B</t>
  </si>
  <si>
    <t xml:space="preserve">ARCP-T5</t>
  </si>
  <si>
    <t xml:space="preserve">Central Zone 103 step ACT-4 11'-6" to Corridor 111 ACT-4 8'-6", grids 4-5 just north of grid B</t>
  </si>
  <si>
    <t xml:space="preserve">soffit_side  #ARCP-D1  -  CSR line soffit W drop line (Central Zone 103 side), north of grid B, near grid 7</t>
  </si>
  <si>
    <t xml:space="preserve">ARCP-D1</t>
  </si>
  <si>
    <t xml:space="preserve">CSR line soffit W drop line (Central Zone 103 side), north of grid B, near grid 7</t>
  </si>
  <si>
    <t xml:space="preserve">10/A09.33</t>
  </si>
  <si>
    <t xml:space="preserve">soffit_side  #ARCP-D2  -  CSR line soffit W drop line (Central Zone 103 side), south of grid B, near grid 7</t>
  </si>
  <si>
    <t xml:space="preserve">ARCP-D2</t>
  </si>
  <si>
    <t xml:space="preserve">CSR line soffit W drop line (Central Zone 103 side), south of grid B, near grid 7</t>
  </si>
  <si>
    <t xml:space="preserve">soffit_side  #ARCP-D3  -  CSR line soffit E drop line (Cash Window 116 side), north of grid B, near grid 7</t>
  </si>
  <si>
    <t xml:space="preserve">ARCP-D3</t>
  </si>
  <si>
    <t xml:space="preserve">CSR line soffit E drop line (Cash Window 116 side), north of grid B, near grid 7</t>
  </si>
  <si>
    <t xml:space="preserve">soffit_side  #ARCP-D4  -  CSR line soffit E drop line (Cash Window 116 side), south of grid B, near grid 7</t>
  </si>
  <si>
    <t xml:space="preserve">ARCP-D4</t>
  </si>
  <si>
    <t xml:space="preserve">CSR line soffit E drop line (Cash Window 116 side), south of grid B, near grid 7</t>
  </si>
  <si>
    <t xml:space="preserve">fascia_box  #ARCP-F1  -  north canopy fascia, grid F/G line from grid 1 to past grid 8 (owns NW and NE corners)</t>
  </si>
  <si>
    <t xml:space="preserve">ARCP-F1</t>
  </si>
  <si>
    <t xml:space="preserve">north canopy fascia, grid F/G line from grid 1 to past grid 8 (owns NW and NE corners)</t>
  </si>
  <si>
    <t xml:space="preserve">3/A09.26</t>
  </si>
  <si>
    <t xml:space="preserve">fascia_box  #ARCP-F2  -  drive-thru canopy fascia along grid 1 (owns SW corner)</t>
  </si>
  <si>
    <t xml:space="preserve">ARCP-F2</t>
  </si>
  <si>
    <t xml:space="preserve">drive-thru canopy fascia along grid 1 (owns SW corner)</t>
  </si>
  <si>
    <t xml:space="preserve">16/A09.27</t>
  </si>
  <si>
    <t xml:space="preserve">fascia_box  #ARCP-F3  -  drive-thru canopy south return fascia at grid B, grid 1 to exterior wall at grid 2</t>
  </si>
  <si>
    <t xml:space="preserve">ARCP-F3</t>
  </si>
  <si>
    <t xml:space="preserve">drive-thru canopy south return fascia at grid B, grid 1 to exterior wall at grid 2</t>
  </si>
  <si>
    <t xml:space="preserve">fascia_box  #ARCP-F4  -  east side canopy fascia along grid 8 (owns SE corner)</t>
  </si>
  <si>
    <t xml:space="preserve">ARCP-F4</t>
  </si>
  <si>
    <t xml:space="preserve">east side canopy fascia along grid 8 (owns SE corner)</t>
  </si>
  <si>
    <t xml:space="preserve">7/A09.26</t>
  </si>
  <si>
    <t xml:space="preserve">fascia_box  #ARCP-F5  -  east canopy south return fascia near grid B.2</t>
  </si>
  <si>
    <t xml:space="preserve">ARCP-F5</t>
  </si>
  <si>
    <t xml:space="preserve">east canopy south return fascia near grid B.2</t>
  </si>
  <si>
    <t xml:space="preserve">fascia_box  #ARCP-F6  -  south entrance canopy front fascia, grids 3-5 at grid A (owns both corners)</t>
  </si>
  <si>
    <t xml:space="preserve">ARCP-F6</t>
  </si>
  <si>
    <t xml:space="preserve">south entrance canopy front fascia, grids 3-5 at grid A (owns both corners)</t>
  </si>
  <si>
    <t xml:space="preserve">fascia_box  #ARCP-F7  -  south entrance canopy west return fascia</t>
  </si>
  <si>
    <t xml:space="preserve">ARCP-F7</t>
  </si>
  <si>
    <t xml:space="preserve">south entrance canopy west return fascia</t>
  </si>
  <si>
    <t xml:space="preserve">fascia_box  #ARCP-F8  -  south entrance canopy east return fascia</t>
  </si>
  <si>
    <t xml:space="preserve">ARCP-F8</t>
  </si>
  <si>
    <t xml:space="preserve">south entrance canopy east return fascia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</si>
  <si>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</si>
  <si>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</si>
  <si>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</si>
  <si>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</si>
  <si>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</si>
  <si>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</si>
  <si>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</si>
  <si>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</si>
  <si>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</si>
  <si>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</si>
  <si>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</si>
  <si>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</si>
  <si>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600S162-54 / 600S137-33 (exterior CFMF, A5 / B2 / B2K interior)</t>
  </si>
  <si>
    <t xml:space="preserve">LF</t>
  </si>
  <si>
    <t xml:space="preserve">stick 20 ft</t>
  </si>
  <si>
    <t xml:space="preserve">familias_out.json '6" stud (all gauges)'; S1.11 note 5, 7/S5.20, 1/A12.01, 4/A12.01</t>
  </si>
  <si>
    <t xml:space="preserve">3-5/8" metal stud 362S137-33 (A1, A1K, B, C1, ceilings, soffits, canopy)</t>
  </si>
  <si>
    <t xml:space="preserve">familias_out.json '3-5/8" stud (all gauges)'; 7/S5.20, 3/A12.01, 6/A12.01, 7/A09.26</t>
  </si>
  <si>
    <t xml:space="preserve">1-5/8" metal stud (G / G1 double row)</t>
  </si>
  <si>
    <t xml:space="preserve">familias_out.json '1-5/8" stud'; 5/A12.01, 10/A12.01</t>
  </si>
  <si>
    <t xml:space="preserve">6" parapet stud 600S162-54 (parapet infill, bay by bay)</t>
  </si>
  <si>
    <t xml:space="preserve">familias_out.json '6" parapet stud'; 11/S5.10, 6/S5.10</t>
  </si>
  <si>
    <t xml:space="preserve">Ceiling / soffit track 3-5/8" (ceiling perimeter, soffits, transitions, canopy joists, fascia)</t>
  </si>
  <si>
    <t xml:space="preserve">familias_out.json 'ceiling / soffit track'; 7/A09.33, 8/A09.33, 10/A09.33, 7/A09.26</t>
  </si>
  <si>
    <t xml:space="preserve">Bracing 1-1/2" C.R. channel @ 48" O.C.</t>
  </si>
  <si>
    <t xml:space="preserve">C.R. channel 16 ft</t>
  </si>
  <si>
    <t xml:space="preserve">familias_out.json 'bracing C.R. channel'; F/1/S5.20</t>
  </si>
  <si>
    <t xml:space="preserve">Purlin 1x1x1 16 ga (top track to deck parallel to flute)</t>
  </si>
  <si>
    <t xml:space="preserve">run 10 ft</t>
  </si>
  <si>
    <t xml:space="preserve">familias_out.json 'purlin (track to deck)'; 10/A09.33, 8/A09.33</t>
  </si>
  <si>
    <t xml:space="preserve">Header / box beam (metal stud, by pieces)</t>
  </si>
  <si>
    <t xml:space="preserve">familias_out.json 'header / box beam'; 7/S5.20, 2/S5.20, 11/A09.27, 6/A08.11, 4/A08.21, 8/A12.01, 4/A12.10</t>
  </si>
  <si>
    <t xml:space="preserve">Sill track (double over 4'-0")</t>
  </si>
  <si>
    <t xml:space="preserve">familias_out.json 'sill track'; 2/S5.20</t>
  </si>
  <si>
    <t xml:space="preserve">Furring channel 7/8" (suspended GWB ceilings)</t>
  </si>
  <si>
    <t xml:space="preserve">hat channel 12 ft</t>
  </si>
  <si>
    <t xml:space="preserve">familias_out.json 'furring channel'; A04.01; RFI-ARCP-03</t>
  </si>
  <si>
    <t xml:space="preserve">Carrying channel 1-1/2" C.R. (suspended GWB ceilings)</t>
  </si>
  <si>
    <t xml:space="preserve">familias_out.json 'carrying channel'; A04.01; RFI-ARCP-03</t>
  </si>
  <si>
    <t xml:space="preserve">Hanger wire 12 ga (height per room)</t>
  </si>
  <si>
    <t xml:space="preserve">familias_out.json 'hanger wire'; A04.01, S2.20</t>
  </si>
  <si>
    <t xml:space="preserve">5/8" gypsum board regular (walls + ceilings)</t>
  </si>
  <si>
    <t xml:space="preserve">SF</t>
  </si>
  <si>
    <t xml:space="preserve">4x12 sheet</t>
  </si>
  <si>
    <t xml:space="preserve">familias_out.json '5/8" gyp board regular (walls + ceilings)'; A12.01, A04.01</t>
  </si>
  <si>
    <t xml:space="preserve">5/8" moisture resistant gypsum board (behind toilet / lavatory)</t>
  </si>
  <si>
    <t xml:space="preserve">familias_out.json '5/8" gyp MOISTURE RESISTANT'; note F/A08.01</t>
  </si>
  <si>
    <t xml:space="preserve">Ballistic panel 3/8" UL752 Level 2 fiberglass (customer side to 8'-0")</t>
  </si>
  <si>
    <t xml:space="preserve">4x8 sheet</t>
  </si>
  <si>
    <t xml:space="preserve">familias_out.json 'ballistic panel'; 4/A12.01</t>
  </si>
  <si>
    <t xml:space="preserve">3/8" gypsum board (above the ballistic panel to structure)</t>
  </si>
  <si>
    <t xml:space="preserve">familias_out.json '3/8" gyp board'; 4/A12.01</t>
  </si>
  <si>
    <t xml:space="preserve">5/8" glass mat sheathing (base and canopy bands)</t>
  </si>
  <si>
    <t xml:space="preserve">familias_out.json '5/8" glass mat sheathing'; 5/A09.26, 9/A09.27, 7/A09.26, 3/A09.26</t>
  </si>
  <si>
    <t xml:space="preserve">5/8" exterior gypsum sheathing (parapet roof side)</t>
  </si>
  <si>
    <t xml:space="preserve">familias_out.json '5/8" EXTERIOR gyp sheathing'; A/A09.21, 4/A09.26; RFI-FAC-8</t>
  </si>
  <si>
    <t xml:space="preserve">FRT blocking (labeled FRT / FRTW / plywood)</t>
  </si>
  <si>
    <t xml:space="preserve">familias_out.json 'FRT blocking'; 4/A09.26, 8/A12.01, 13/A12.02, 3/A08.21</t>
  </si>
  <si>
    <t xml:space="preserve">Metal stud blocking 362CR / stud blocking</t>
  </si>
  <si>
    <t xml:space="preserve">familias_out.json 'metal stud blocking (362CR / STUD BLOCKING)'; 4/S5.20, note C/A02.01</t>
  </si>
  <si>
    <t xml:space="preserve">Metal trim - corner bead, casing bead, shadow molding, edge trim</t>
  </si>
  <si>
    <t xml:space="preserve">trim stick 10 ft</t>
  </si>
  <si>
    <t xml:space="preserve">familias_out.json 'metal trim (corner bead, casing, shadow molding)'; 7/A09.33, 8/A09.33, 9/A12.01, 10/A12.01</t>
  </si>
  <si>
    <t xml:space="preserve">Cement board (tile cove base)</t>
  </si>
  <si>
    <t xml:space="preserve">3x5 sheet</t>
  </si>
  <si>
    <t xml:space="preserve">familias_out.json 'cement board'; A08.01</t>
  </si>
  <si>
    <t xml:space="preserve">FRP panel (restrooms to 5'-0", mop sink)</t>
  </si>
  <si>
    <t xml:space="preserve">4x10 sheet</t>
  </si>
  <si>
    <t xml:space="preserve">familias_out.json 'FRP'; A/A08.01, 8/A08.01, 5/A08.01</t>
  </si>
  <si>
    <t xml:space="preserve">Acoustical sealant (partition top / bottom beads per type detail)</t>
  </si>
  <si>
    <t xml:space="preserve">tube (25 LF per tube)</t>
  </si>
  <si>
    <t xml:space="preserve">familias_out.json 'acoustical sealant'; A12.01 details</t>
  </si>
  <si>
    <t xml:space="preserve">Framed openings MEP (recessed fixtures, slot diffusers, access panel) - 3-5/8" stud</t>
  </si>
  <si>
    <t xml:space="preserve">framed_openings_out.json 'framed openings MEP'; E02.01, E00.01, M01.01, A04.01</t>
  </si>
  <si>
    <t xml:space="preserve">Bottom track 6" 54 mil 600T125-54 (exterior CFMF)</t>
  </si>
  <si>
    <t xml:space="preserve">track_por_tamano.py (familias_out.json bottom / top family 1393.33 LF) walls 6" 54 mil</t>
  </si>
  <si>
    <t xml:space="preserve">Bottom track 6" 600T125-33 (B2, gauge per 7/S5.20)</t>
  </si>
  <si>
    <t xml:space="preserve">track_por_tamano.py (familias_out.json bottom / top family 1393.33 LF) walls 6"</t>
  </si>
  <si>
    <t xml:space="preserve">Bottom track 3-5/8" 362T125-33 (A1, B, C1)</t>
  </si>
  <si>
    <t xml:space="preserve">track_por_tamano.py (familias_out.json bottom / top family 1393.33 LF) walls 3-5/8"</t>
  </si>
  <si>
    <t xml:space="preserve">Bottom track 3-5/8" 33 mil 362T125-33 (A1, A5 group)</t>
  </si>
  <si>
    <t xml:space="preserve">track_por_tamano.py (familias_out.json bottom / top family 1393.33 LF) walls 3-5/8" 33 mil</t>
  </si>
  <si>
    <t xml:space="preserve">Bottom track 6" 33 mil 600T125-33 (A5)</t>
  </si>
  <si>
    <t xml:space="preserve">track_por_tamano.py (familias_out.json bottom / top family 1393.33 LF) walls 6" 33 mil</t>
  </si>
  <si>
    <t xml:space="preserve">Bottom track 3-5/8" 14 GA 362T 14 ga (A1K, 4/A12.01)</t>
  </si>
  <si>
    <t xml:space="preserve">track_por_tamano.py (familias_out.json bottom / top family 1393.33 LF) walls 3-5/8" 14 GA</t>
  </si>
  <si>
    <t xml:space="preserve">Bottom track 6" 14 GA 600T 14 ga (B2K, 4/A12.01)</t>
  </si>
  <si>
    <t xml:space="preserve">track_por_tamano.py (familias_out.json bottom / top family 1393.33 LF) walls 6" 14 GA</t>
  </si>
  <si>
    <t xml:space="preserve">Bottom track 1-5/8" 162T (G / G1 double row)</t>
  </si>
  <si>
    <t xml:space="preserve">track_por_tamano.py (familias_out.json bottom / top family 1393.33 LF) walls 1-5/8"</t>
  </si>
  <si>
    <t xml:space="preserve">Bottom track 2-1/2" - grille head</t>
  </si>
  <si>
    <t xml:space="preserve">corridas_out.json element grille_head (4/A08.21)</t>
  </si>
  <si>
    <t xml:space="preserve">Bottom track 6" 54 mil - parapet</t>
  </si>
  <si>
    <t xml:space="preserve">corridas_out.json element parapet (11/S5.10)</t>
  </si>
  <si>
    <t xml:space="preserve">Bottom track 3-5/8" - roof step</t>
  </si>
  <si>
    <t xml:space="preserve">corridas_out.json element roof_step (4/A02.02)</t>
  </si>
  <si>
    <t xml:space="preserve">Bottom track 6" - storefront cripples</t>
  </si>
  <si>
    <t xml:space="preserve">corridas_out.json element storefront_cripples (2/A09.26)</t>
  </si>
  <si>
    <t xml:space="preserve">Bottom track 3-5/8" - vestibule head</t>
  </si>
  <si>
    <t xml:space="preserve">corridas_out.json element vestibule_head (4/A12.10)</t>
  </si>
  <si>
    <t xml:space="preserve">Top / deflection track 6" 54 mil 600T125-54 (exterior CFMF)</t>
  </si>
  <si>
    <t xml:space="preserve">Top / deflection track 6" 600T125-33 (B2, gauge per 7/S5.20)</t>
  </si>
  <si>
    <t xml:space="preserve">Top / deflection track 3-5/8" 362T125-33 (A1, B, C1)</t>
  </si>
  <si>
    <t xml:space="preserve">Top / deflection track 3-5/8" 33 mil 362T125-33 (A1, A5 group)</t>
  </si>
  <si>
    <t xml:space="preserve">Top / deflection track 6" 33 mil 600T125-33 (A5)</t>
  </si>
  <si>
    <t xml:space="preserve">Top / deflection track 3-5/8" 14 GA 362T 14 ga (A1K, 4/A12.01)</t>
  </si>
  <si>
    <t xml:space="preserve">Top / deflection track 6" 14 GA 600T 14 ga (B2K, 4/A12.01)</t>
  </si>
  <si>
    <t xml:space="preserve">Top / deflection track 1-5/8" 162T (G / G1 double row)</t>
  </si>
  <si>
    <t xml:space="preserve">Top / deflection track 2-1/2" - grille head</t>
  </si>
  <si>
    <t xml:space="preserve">Top / deflection track 6" 54 mil - parapet</t>
  </si>
  <si>
    <t xml:space="preserve">Top / deflection track 3-5/8" - roof step</t>
  </si>
  <si>
    <t xml:space="preserve">Top / deflection track 6" - storefront cripples</t>
  </si>
  <si>
    <t xml:space="preserve">Top / deflection track 3-5/8" - vestibule head</t>
  </si>
  <si>
    <t xml:space="preserve">5/8" exterior grade FRT plywood (canopy soffits, fascia, column wraps)</t>
  </si>
  <si>
    <t xml:space="preserve">4x12 ft sheet (Inputs)</t>
  </si>
  <si>
    <t xml:space="preserve">familias_out.json FRT plywood by material; 2/A09.26; 10/A09.27; 11/A09.27; 7/A09.26; 5/A09.25</t>
  </si>
  <si>
    <t xml:space="preserve">5/8" FRT plywood bonded to 2-1/2" polyiso (exterior sheathing / nailbase)</t>
  </si>
  <si>
    <t xml:space="preserve">3/4"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</si>
  <si>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</si>
  <si>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</si>
  <si>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</si>
  <si>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</si>
  <si>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</si>
  <si>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</si>
  <si>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</si>
  <si>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</si>
  <si>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</si>
  <si>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grille tag '14x14' + 'FD' (FD = FIRE DAMPER, M00.01 abbreviations); 6/S5.20; M01.01 grille tag '12x8' + 'FD' (FD = FIRE DAMPER, M00.01 abbreviations); 6/S5.20; M01.01 grille tag '12x12' + 'FD' (FD = FIRE DAMPER, M00.01 abbre</t>
  </si>
  <si>
    <t xml:space="preserve">Extra framing - sistered stud and furring at the ATM recess</t>
  </si>
  <si>
    <t xml:space="preserve">accesorios.py [CRITERION]: 6/A08.11 sistered 2 1/2" studs; 4/A08.11</t>
  </si>
  <si>
    <t xml:space="preserve">2-1/2" CFMF @ 16" O.C. at coiling grille head (4/A08.21)</t>
  </si>
  <si>
    <t xml:space="preserve">accesorios.py [DERIVED]: 4/A08.21 COILING GRILLE HEAD DETAIL: two '6" CFMF BOX BEAM HEADER' (vector 54 pt = 6" at 1 1/2"=1'-0"), '2 1/2" CFMF @ 16" O.C.' between, '5/8" GYP. BD., TYP.'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</si>
  <si>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</si>
  <si>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</si>
  <si>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</si>
  <si>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RESTROOM ELEVATIONS A-D/A08.01 '5'-0" TO TOP OF FRP' (WC-3 FRP, A00.40); A02.01 / 1/A08.01 rectangle; A05.01 finish key note 6 'FRP FROM FLOOR TO 4'-0" AFF, WIDTH TO MATCH WIDTH OF MOP SINK AT BOTH SIDES' + 5/A08.01; width 2'-0" from P00.01</t>
  </si>
  <si>
    <t xml:space="preserve">Power-driven fasteners and duct sleeves</t>
  </si>
  <si>
    <t xml:space="preserve">accesorios.py [DERIVED]: Parapet infill: PAFs SPACED AT 12" O.C. MAX to the steel beam; 6/S5.20; M01.01 (registered to A02.01, dx -572.0 / dy 22.0 pt) 10"x12" duct over the vestibule east glass head; pair 15 pt = 10"; 6/S5.20; M01.01 (registered to A02.01, dx -572.</t>
  </si>
  <si>
    <t xml:space="preserve">Access panel 2'x2'</t>
  </si>
  <si>
    <t xml:space="preserve">accesorios.py [CONFIRMED]: A04.01 RCP key note 4 '2' X 2' LOCKING ACCESS PANEL. KEYED TO MATCH MAIN ENTRY.' (one marker, vestibule 100 GB 10'-0")</t>
  </si>
  <si>
    <t xml:space="preserve">Drywall screws 1-1/4" bugle head</t>
  </si>
  <si>
    <t xml:space="preserve">accesorios.py [DERIVED]: Inputs!B20 (Drywall screws per SF of board = 1.2) x 18039 SF of board</t>
  </si>
  <si>
    <t xml:space="preserve">Framing screws, pan head self-drilling</t>
  </si>
  <si>
    <t xml:space="preserve">accesorios.py [DERIVED]: Inputs!B21 (Framing screws per stud piece = 4) x 1815 stud pieces</t>
  </si>
  <si>
    <t xml:space="preserve">Power-driven fasteners, slab pins for the bottom track</t>
  </si>
  <si>
    <t xml:space="preserve">accesorios.py [DERIVED]: 530.81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</si>
  <si>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</si>
  <si>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221.88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</si>
  <si>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</si>
  <si>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</si>
  <si>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</si>
  <si>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18039 SF of board</t>
  </si>
  <si>
    <t xml:space="preserve">Joint tape, paper</t>
  </si>
  <si>
    <t xml:space="preserve">accesorios.py [DERIVED]: Inputs!B24 (Joint tape (LF per SF) = 0.37) x 18039 SF of board</t>
  </si>
  <si>
    <t xml:space="preserve">Level 5 finish</t>
  </si>
  <si>
    <t xml:space="preserve">accesorios.py [DERIVED]: A00.40 WC-18 'WALL SURFACE TO BE LEVEL 5' + A05.01 WC-18 tag; L = 1/A11.04 '11'-9 1/4" V.I.F.'; h = office ACT 9'-0" (A04.01; elevation WC-18 324 pt / 36 = 9.0); A00.40 WC-18 'WALL SURFACE TO BE LEVEL 5' + A05.01 WC-18 tag; L = 6/A11.01 '11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</si>
  <si>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</si>
  <si>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</si>
  <si>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</si>
  <si>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</si>
  <si>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</si>
  <si>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100.55 lf</t>
  </si>
  <si>
    <t xml:space="preserve">RFI-ACC-gypsum-board-jamb-return</t>
  </si>
  <si>
    <t xml:space="preserve">gypsum board jamb return: jamb return width not dimensioned</t>
  </si>
  <si>
    <t xml:space="preserve">-40.29 sf</t>
  </si>
  <si>
    <t xml:space="preserve">RFI-ACC-slab-pins</t>
  </si>
  <si>
    <t xml:space="preserve">slab pins: pin spacing: 12" (interior anchorage) vs 16" (fastener schedule) vs 24" (type K box)</t>
  </si>
  <si>
    <t xml:space="preserve">16in: -132.7 pcs; 24in: -265.4 pcs</t>
  </si>
  <si>
    <t xml:space="preserve">RFI-ACC-extra-framing-atm</t>
  </si>
  <si>
    <t xml:space="preserve">extra framing ATM: 6/A08.11 does not dimension the sistered stud count nor the furring rows; furring under the fiber cement panel taken as cladding (excluded)</t>
  </si>
  <si>
    <t xml:space="preserve">+2.208 LF per furring row; +6.0 LF per extra sistered stud</t>
  </si>
  <si>
    <t xml:space="preserve">RFI-ACC-access-panel</t>
  </si>
  <si>
    <t xml:space="preserve">access panel: M00.01 general note 16 and P00.01 require access panels for dampers / valves requiring access above ceilings; none is located over a GB ceiling on the M/P plans (only A04.01 key note 4)</t>
  </si>
  <si>
    <t xml:space="preserve">+1 pcs per device found above GB ceilings (vestibules 100/101, waiting 104, restrooms 113/114, CSR soffit)</t>
  </si>
  <si>
    <t xml:space="preserve">RFI-ACC-level-5-finish</t>
  </si>
  <si>
    <t xml:space="preserve">Level 5 finish: A05.01 key note 9 asks Level 5 for wallcovering WC-20, but no WC-20 tag exists on A05.01 nor a WC-20 row in the A00.40 legend</t>
  </si>
  <si>
    <t xml:space="preserve">+ L x (H - base) of the WC-20 wall if it exists (unknown)</t>
  </si>
  <si>
    <t xml:space="preserve">RFI-ACC-pvc-trim-at-frp</t>
  </si>
  <si>
    <t xml:space="preserve">PVC trim at FRP: restrooms 113/114 taken as rectangles; the chase-end hand dryer niche (TA-13) may add 2 inside + 2 outside corners per room; mop sink width from the plumbing model (TSH-24), not printed on A08.01</t>
  </si>
  <si>
    <t xml:space="preserve">+2 x 5.0 = +10 LF per room if the niche is lined with FRP</t>
  </si>
  <si>
    <t xml:space="preserve">RFI-ACC-2-1-2-cfmf-coiling-grill</t>
  </si>
  <si>
    <t xml:space="preserve">2-1/2" CFMF coiling grille head: A00.30 door 103 HEIGHT 13'-6 1/2" vs 4/A08.21: framed head taken = 6" + 1'-6" between the two box beams; the 2'-4 1/2" link above is the vendor spool zone</t>
  </si>
  <si>
    <t xml:space="preserve">if the 2'-4 1/2" zone were framed: +11 studs x 2.375 = +26.1 LF</t>
  </si>
  <si>
    <t xml:space="preserve">RFI-01</t>
  </si>
  <si>
    <t xml:space="preserve">Elevation titles A09.01 'SOUTH' / A09.02 'NORTH' are transposed against the A02.01 north arrow (R71.1); facade letters follow the arrow.</t>
  </si>
  <si>
    <t xml:space="preserve">n/a: no quantity delta</t>
  </si>
  <si>
    <t xml:space="preserve">RFI-02</t>
  </si>
  <si>
    <t xml:space="preserve">Storefront heads SF-N1 / SF-N2 / SF-W1 carry HSS9x5x5/8 lintels (S2.20, 2/A09.26 STEEL HEADER FRAMING) -&gt; 0 metal stud header (E16). Is a CFS box required under the HSS?</t>
  </si>
  <si>
    <t xml:space="preserve">+197.24 LF 6" box header (55.58 + 110.33 + 31.33)</t>
  </si>
  <si>
    <t xml:space="preserve">RFI-03</t>
  </si>
  <si>
    <t xml:space="preserve">Interior HM door R.O. = 3'-4" sits exactly on the SINGLE / DOUBLE TRACK boundary of 7/S5.20.</t>
  </si>
  <si>
    <t xml:space="preserve">+60.67 LF 18 ga track if DOUBLE</t>
  </si>
  <si>
    <t xml:space="preserve">RFI-04</t>
  </si>
  <si>
    <t xml:space="preserve">Office front CONT. BOX BEAM run ends (8, 9/A12.01, R71.11): loaded jamb to jamb (east 39.98 / west 18.51 ft).</t>
  </si>
  <si>
    <t xml:space="preserve">per bulkhead only: -53.92 LF; wall to wall: +23.04 LF</t>
  </si>
  <si>
    <t xml:space="preserve">RFI-05</t>
  </si>
  <si>
    <t xml:space="preserve">Vestibule heads 4-7/A12.10 'BOX HEADER AS NEEDED': box size and stud size not printed (loaded 3-5/8" @ 16", box = 4 pieces).</t>
  </si>
  <si>
    <t xml:space="preserve">n/a: size only; header LF already counted (E11)</t>
  </si>
  <si>
    <t xml:space="preserve">RFI-06</t>
  </si>
  <si>
    <t xml:space="preserve">CSR line (cash window 116) 12'-0 1/4" open counter: no header called (R71.10, loaded 0).</t>
  </si>
  <si>
    <t xml:space="preserve">+53.42 LF if a CFS box beam is required</t>
  </si>
  <si>
    <t xml:space="preserve">RFI-07</t>
  </si>
  <si>
    <t xml:space="preserve">Recessed accessories FEC-1, TA-2, TA-13, TA-14: width not printed (R71.6, loaded 0).</t>
  </si>
  <si>
    <t xml:space="preserve">per item wider than 14.625": 4 jamb studs + 2 x (W + 1'-4") track</t>
  </si>
  <si>
    <t xml:space="preserve">RFI-08</t>
  </si>
  <si>
    <t xml:space="preserve">ATM 1 drive-up: R.O. 2'-2 1/2" (7/A08.11) vs 2'-2 1/8" (5, 6/A08.11); head / sill dimensioned from the drive lane, datum to slab not printed.</t>
  </si>
  <si>
    <t xml:space="preserve">0.13 LF header; cripples unchanged</t>
  </si>
  <si>
    <t xml:space="preserve">RFI-09</t>
  </si>
  <si>
    <t xml:space="preserve">Exterior stud gauge: S1.11 note 5 600S162-54 vs 7/S5.20 600S137-33 (loaded 54 mil as the minimum).</t>
  </si>
  <si>
    <t xml:space="preserve">n/a: gauge only, no LF change</t>
  </si>
  <si>
    <t xml:space="preserve">RFI-10</t>
  </si>
  <si>
    <t xml:space="preserve">Exterior studs carried full height past the canopy beams (W16x26 / W12x19 in the wall plane, sections A, B, J).</t>
  </si>
  <si>
    <t xml:space="preserve">- canopy beam depth (1.0 to 1.3 ft) x studs over the canopy length</t>
  </si>
  <si>
    <t xml:space="preserve">RFI-11</t>
  </si>
  <si>
    <t xml:space="preserve">Interior face board of exterior walls to deck (A/A09.21, J/A09.23 'TO DECK') vs to stud top under the perimeter beam.</t>
  </si>
  <si>
    <t xml:space="preserve">-1.0 to -1.5 ft x face LF of 5/8" board</t>
  </si>
  <si>
    <t xml:space="preserve">RFI-12</t>
  </si>
  <si>
    <t xml:space="preserve">Drive-thru canopy column wraps (5/A09.25): height taken to B/CANOPY 10'-6"; to T/CANOPY 12'-8" if the framing continues.</t>
  </si>
  <si>
    <t xml:space="preserve">+104 LF 3-5/8" stud</t>
  </si>
  <si>
    <t xml:space="preserve">RFI-13</t>
  </si>
  <si>
    <t xml:space="preserve">Parapet 2 extent: grid D jog run carried at the tower height (4.292 ft).</t>
  </si>
  <si>
    <t xml:space="preserve">-11.25 LF 6" parapet stud if parapet 1</t>
  </si>
  <si>
    <t xml:space="preserve">RFI-14</t>
  </si>
  <si>
    <t xml:space="preserve">Roof step upper row height above the high deck not dimensioned (loaded 2.323 ft, drawn ~3.0 ft).</t>
  </si>
  <si>
    <t xml:space="preserve">+0.7 ft x studs of the upper row</t>
  </si>
  <si>
    <t xml:space="preserve">RFI-15</t>
  </si>
  <si>
    <t xml:space="preserve">Glass mat band height 7/A09.26: B/STUD 10'-7 1/4" (loaded) vs 10'-8 5/8".</t>
  </si>
  <si>
    <t xml:space="preserve">-21.14 SF glass mat (+21.14 SF nailbase)</t>
  </si>
  <si>
    <t xml:space="preserve">RFI-16</t>
  </si>
  <si>
    <t xml:space="preserve">Drive-up canopy band on the west facade (15/A09.27) drawn but not labeled glass mat (loaded glass mat by similarity).</t>
  </si>
  <si>
    <t xml:space="preserve">-112.54 SF glass mat, +112.54 SF nailbase</t>
  </si>
  <si>
    <t xml:space="preserve">RFI-17</t>
  </si>
  <si>
    <t xml:space="preserve">FRT plywood strip widths at openings not dimensioned (loaded 9 1/8" / 6"; storefront heads 5.08" pending).</t>
  </si>
  <si>
    <t xml:space="preserve">-77.26 SF if all 6"; +15.27 SF storefront heads at 9 1/8"</t>
  </si>
  <si>
    <t xml:space="preserve">RFI-18</t>
  </si>
  <si>
    <t xml:space="preserve">Plywood plies at openings and parapet blocking counted from the drawn hatch (2 plies).</t>
  </si>
  <si>
    <t xml:space="preserve">-128.03 SF strips and -1 ply x parapet LF if one ply</t>
  </si>
  <si>
    <t xml:space="preserve">RFI-19</t>
  </si>
  <si>
    <t xml:space="preserve">Parapet roof-side '5/8" DENS DECK OR EQUAL' (4/A09.26): loaded as exterior gypsum sheathing (53.5); may be by the roofer.</t>
  </si>
  <si>
    <t xml:space="preserve">-920.94 SF exterior gypsum sheathing</t>
  </si>
  <si>
    <t xml:space="preserve">RFI-20</t>
  </si>
  <si>
    <t xml:space="preserve">Cladding substrates (7/8" hat channel at EPS-5, metal lath, stucco) EXCLUDED as cladding installer scope (60.4).</t>
  </si>
  <si>
    <t xml:space="preserve">n/a: not quantified (by cladding installer)</t>
  </si>
  <si>
    <t xml:space="preserve">RFI-21</t>
  </si>
  <si>
    <t xml:space="preserve">A1K customer side not marked on plan (assumed face away from the teller stations).</t>
  </si>
  <si>
    <t xml:space="preserve">+4.9 SF ballistic panel if the teller-line side is the customer side</t>
  </si>
  <si>
    <t xml:space="preserve">RFI-22</t>
  </si>
  <si>
    <t xml:space="preserve">B2K is not in the A12.01 schedule; derived as B2 + 3/8" K panel (= A5K, 4/A12.01, measured 7.68").</t>
  </si>
  <si>
    <t xml:space="preserve">n/a: confirm type; ballistic 13.76 SF either way</t>
  </si>
  <si>
    <t xml:space="preserve">RFI-23</t>
  </si>
  <si>
    <t xml:space="preserve">A5 / B2 6" interior studs: 7/S5.20 lists 600S137-33 only for exterior walls (assumed 600S137-33 @ 16").</t>
  </si>
  <si>
    <t xml:space="preserve">n/a: gauge only</t>
  </si>
  <si>
    <t xml:space="preserve">RFI-24</t>
  </si>
  <si>
    <t xml:space="preserve">1-5/8" studs of G / G1 to deck 15'-4 1/2": no spacing / gauge printed (loaded 16" O.C.).</t>
  </si>
  <si>
    <t xml:space="preserve">about +33% 1-5/8" studs at 12" O.C.</t>
  </si>
  <si>
    <t xml:space="preserve">RFI-25</t>
  </si>
  <si>
    <t xml:space="preserve">Shared vendor_end stud between door bulkhead and office front stub (R71.16): loaded once on the stub.</t>
  </si>
  <si>
    <t xml:space="preserve">+176.3 LF 1-5/8" stud if counted separately</t>
  </si>
  <si>
    <t xml:space="preserve">RFI-26</t>
  </si>
  <si>
    <t xml:space="preserve">Deck south of grid E labeled '@ LOW ROOF' on S2.20 with no elevation (loaded 15'-4 1/2" to grid B).</t>
  </si>
  <si>
    <t xml:space="preserve">about -2.35 ft per stud / hanger in zone E-B if low</t>
  </si>
  <si>
    <t xml:space="preserve">RFI-27</t>
  </si>
  <si>
    <t xml:space="preserve">C1 board height: carried to deck (6/A12.01 draws no ceiling) vs ceiling + 6".</t>
  </si>
  <si>
    <t xml:space="preserve">about -170 SF (chases, lining, monitor furring, wraps)</t>
  </si>
  <si>
    <t xml:space="preserve">RFI-28</t>
  </si>
  <si>
    <t xml:space="preserve">C1 display monitor furring printed 8" deep (A02.01) vs C1 4 1/4" (6/A12.01).</t>
  </si>
  <si>
    <t xml:space="preserve">n/a: stud size / offset only</t>
  </si>
  <si>
    <t xml:space="preserve">RFI-29</t>
  </si>
  <si>
    <t xml:space="preserve">GWB ceiling suspension spacing not printed (furring 16", carrying 48", hanger 48", carrying E-W = estimator criterion).</t>
  </si>
  <si>
    <t xml:space="preserve">N-S carrying: +34.0 LF furring, -4.9 LF carrying</t>
  </si>
  <si>
    <t xml:space="preserve">RFI-30</t>
  </si>
  <si>
    <t xml:space="preserve">CSR soffit drop lines: 10/A09.33 draws one; RCP shows ACT on both long edges (loaded 2).</t>
  </si>
  <si>
    <t xml:space="preserve">-12.01 ft soffit side (about -10 studs, -24 LF track, -18 SF GWB)</t>
  </si>
  <si>
    <t xml:space="preserve">RFI-31</t>
  </si>
  <si>
    <t xml:space="preserve">CSR soffit blocking: 10/A09.33 FRTW members (loaded) vs 9/A12.08 5/8" fire treated plywood.</t>
  </si>
  <si>
    <t xml:space="preserve">+41.0 SF 5/8" FRT plywood in place of 24.02 LF FRTW</t>
  </si>
  <si>
    <t xml:space="preserve">RFI-32</t>
  </si>
  <si>
    <t xml:space="preserve">Millwork blocking cleat layout not dimensioned (A12.03-A12.06): rule 1 row counters, 2 rows uppers, standards x height.</t>
  </si>
  <si>
    <t xml:space="preserve">n/a: confirm with millwork shop drawings</t>
  </si>
  <si>
    <t xml:space="preserve">RFI-33</t>
  </si>
  <si>
    <t xml:space="preserve">Artwork 4'-0" x 4'-0" in offices 105-110 not listed as equipment (loaded note C blocking).</t>
  </si>
  <si>
    <t xml:space="preserve">-48.0 LF blocking if not required</t>
  </si>
  <si>
    <t xml:space="preserve">RFI-34</t>
  </si>
  <si>
    <t xml:space="preserve">Blocking with no printed material (lockers, wall stops, note C equipment, roof ladder) loaded as metal stud blocking 362CR22 (58.6).</t>
  </si>
  <si>
    <t xml:space="preserve">n/a: material only</t>
  </si>
  <si>
    <t xml:space="preserve">RFI-35</t>
  </si>
  <si>
    <t xml:space="preserve">Grille jamb FRT blocking height 10.0 ft (ACT 11'-6" - 1'-6" head) vs A00.30 door 103 HEIGHT 13'-6 1/2".</t>
  </si>
  <si>
    <t xml:space="preserve">+14.2 LF FRT blocking</t>
  </si>
  <si>
    <t xml:space="preserve">RFI-36</t>
  </si>
  <si>
    <t xml:space="preserve">R-11C / R-11CE length: description 12' vs catalog 20' (carried 12', drawn).</t>
  </si>
  <si>
    <t xml:space="preserve">+64 LF framed openings MEP</t>
  </si>
  <si>
    <t xml:space="preserve">RFI-37</t>
  </si>
  <si>
    <t xml:space="preserve">Canopy fixtures UU1-UU6 in CFMF canopy soffits included as framed openings (54.1).</t>
  </si>
  <si>
    <t xml:space="preserve">-694.76 LF framed openings MEP if limited to interior GWB ceilings</t>
  </si>
  <si>
    <t xml:space="preserve">RFI-38</t>
  </si>
  <si>
    <t xml:space="preserve">Recessed wall hydrant and chase supply branches not counted as stud plates.</t>
  </si>
  <si>
    <t xml:space="preserve">+3 PCS stud reinforcement</t>
  </si>
  <si>
    <t xml:space="preserve">RFI-39</t>
  </si>
  <si>
    <t xml:space="preserve">Storefront cripples split in two pieces at the canopy beam (2/A09.26) while exterior walls run continuous.</t>
  </si>
  <si>
    <t xml:space="preserve">-90.62 LF bottom and -90.62 LF top track if one piece</t>
  </si>
  <si>
    <t xml:space="preserve">RFI-41</t>
  </si>
  <si>
    <t xml:space="preserve">Office front G stubs AI3-03/04/05 and bulkheads AI3-12/13: W14x30 axis 1.56 pt outside the band (R71.14 strict -&gt; to deck); the bottom flange reaches the band.</t>
  </si>
  <si>
    <t xml:space="preserve">-60.95 LF 1-5/8" stud if they stop under the beam</t>
  </si>
  <si>
    <t xml:space="preserve">RFI-42</t>
  </si>
  <si>
    <t xml:space="preserve">Fire rated 3/4" plywood backboards Electrical 120 (A02.01 key note 6, A11.03): no trade assigned (NER board by electrical per E02.02 note 29). Not loaded.</t>
  </si>
  <si>
    <t xml:space="preserve">+200 SF 3/4" FRT plywood if by the framing contractor</t>
  </si>
  <si>
    <t xml:space="preserve">RFI-43</t>
  </si>
  <si>
    <t xml:space="preserve">ATM plinths (6/A08.11, 3/A08.11): (2) layers 3/4" FRT plywood and 2x4 / 4x4 FRT framing = Div 06 rough carpentry, EXCLUDED.</t>
  </si>
  <si>
    <t xml:space="preserve">+37 SF 3/4" FRT plywood, +17 LF 2x4, +4.75 LF 4x4 if included</t>
  </si>
  <si>
    <t xml:space="preserve">RFI-44</t>
  </si>
  <si>
    <t xml:space="preserve">Fascia box FRT plywood over the top and bottom of the 6" box (7/A09.26) is not generated by canon.py (outer face only; tool gap).</t>
  </si>
  <si>
    <t xml:space="preserve">+237.7 SF 5/8" ext. grade FRT plywood</t>
  </si>
  <si>
    <t xml:space="preserve">RFI-45</t>
  </si>
  <si>
    <t xml:space="preserve">85" monitor backing: A03.01 key note 24 asks 18" high 3/4" FRT plywood vs 11" in 13/A12.02 (loaded 11").</t>
  </si>
  <si>
    <t xml:space="preserve">+2.15 SF FRT plywood</t>
  </si>
  <si>
    <t xml:space="preserve">RFI-46</t>
  </si>
  <si>
    <t xml:space="preserve">Tower parapet return on grid 4: end and east faces (east face clad in metal panel) not loaded.</t>
  </si>
  <si>
    <t xml:space="preserve">+13.2 SF exterior sheathing</t>
  </si>
  <si>
    <t xml:space="preserve">RFI-47</t>
  </si>
  <si>
    <t xml:space="preserve">Water heater platform blocking (3/P00.01): width not printed, loaded 3 rows x 2'-8" = 8.0 LF.</t>
  </si>
  <si>
    <t xml:space="preserve">-4.0 LF if 3 rows x 1'-4"</t>
  </si>
  <si>
    <t xml:space="preserve">RFI-40</t>
  </si>
  <si>
    <t xml:space="preserve">Parapet grid G and grid 4 return: reading A 16.686 / 4.092 ft vs reading B 16.20 / 3.927 ft (A kept, more material); the return may stop at grid F.</t>
  </si>
  <si>
    <t xml:space="preserve">-0.65 LF parapet run (-2.9 LF more if the return stops at F)</t>
  </si>
  <si>
    <t xml:space="preserve">#</t>
  </si>
  <si>
    <t xml:space="preserve">Item</t>
  </si>
  <si>
    <t xml:space="preserve">Sheet + detail</t>
  </si>
  <si>
    <t xml:space="preserve">Image</t>
  </si>
  <si>
    <t xml:space="preserve">Tag inventory (Stage 1): 49 partition tags counted on A02.01 (A1 10, A1K 3, A5 4, B 6, B2 6, C1 8, F 1, G 9, G1 2) + B2K (out of schedule) + PA0034 'B' accepted; please confirm the list (inventario.md, one circled image per tag).</t>
  </si>
  <si>
    <t xml:space="preserve">A02.01</t>
  </si>
  <si>
    <t xml:space="preserve">1_inventario/recortes/OVERVIEW_A02.01_p24.png</t>
  </si>
  <si>
    <t xml:space="preserve">Double reading: 49 walls matched, 15 differed, 13 only in A, 11 only in B; 35 decided with image, 4 parapet items left to the estimator (see resolucion.md).</t>
  </si>
  <si>
    <t xml:space="preserve">3_revision/img</t>
  </si>
  <si>
    <t xml:space="preserve">Parapet grid G and grid 4 return lengths: estimator to choose A or B (RFI-40).</t>
  </si>
  <si>
    <t xml:space="preserve">3_revision/img/R32_parapet_BEXT-16_A02.01_p24.png</t>
  </si>
  <si>
    <t xml:space="preserve">Drinking-fountain alcove walls (RES-01, 7.487 LF A1 untagged) were missed by both readings and added at Stage 3.</t>
  </si>
  <si>
    <t xml:space="preserve">Exterior corners closed on the reading A band thickness (vertical walls own the corners, R70.2): exterior LF 215.61 vs reading B 189.29 + piers.</t>
  </si>
  <si>
    <t xml:space="preserve">4_canon/conciliacion_log.md</t>
  </si>
  <si>
    <t xml:space="preserve">Face segments short at T-joints were extended behind the abutting partitions (board continuous to deck); 23 walls (conciliacion_log.md).</t>
  </si>
  <si>
    <t xml:space="preserve">C1 monitor furring end returns (2 x 0.667 ft x 15.375 ft) are carried as RES-04 / RES-05 records; board_caras takes faces only on sides A/B (tool gap proposal in PARA REVISAR).</t>
  </si>
  <si>
    <t xml:space="preserve">Walls partly under a beam (AI2-11, AI2-12, AI3-06, AI3-14) keep the deck height; split at the beam end if wanted.</t>
  </si>
  <si>
    <t xml:space="preserve">S2.20</t>
  </si>
  <si>
    <t xml:space="preserve">2_lectura/trabajo_A/ANODOS/img</t>
  </si>
  <si>
    <t xml:space="preserve">Grille head bottom soffit board (11.1 SF, 4/A08.21) and the 5" bottom return of 7/A09.33 transitions are not in the faces model (tool gap).</t>
  </si>
  <si>
    <t xml:space="preserve">2_lectura/trabajo_A/AACC1/img</t>
  </si>
  <si>
    <t xml:space="preserve">Adversarial back-check: 11 findings accepted and applied (ADV1-F1/F2, ADV2-F1/F2, ADV3-G1/G2/G4/G6), 6 left as RFIs (RFI-41 to RFI-47), 1 rejected as against a rule (ADV2-F3 west glass mat, canon v63 rule; RFI-16 stays). See Back-check folder.</t>
  </si>
  <si>
    <t xml:space="preserve">A02.02</t>
  </si>
  <si>
    <t xml:space="preserve">backcheck/img</t>
  </si>
  <si>
    <t xml:space="preserve">MEP registration: mep.py registro fails on P01.01 / P01.02 (offset MediaBox) and E02.01 (thin background); the sweep used in-run scripts with the same rules (tool gap proposal).</t>
  </si>
  <si>
    <t xml:space="preserve">M01.01</t>
  </si>
  <si>
    <t xml:space="preserve">2_lectura/trabajo_A/AACC2/img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</si>
  <si>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</si>
  <si>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</si>
  <si>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</si>
  <si>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</si>
  <si>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</si>
  <si>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</si>
  <si>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Material Summary studs / tracks; A12.01, 7/S5.20</t>
  </si>
  <si>
    <t xml:space="preserve">ALC-02</t>
  </si>
  <si>
    <t xml:space="preserve">Exterior wall framing (CFMF)</t>
  </si>
  <si>
    <t xml:space="preserve">EXT-6CFMF; A/A09.21, S1.11, 10/S5.10</t>
  </si>
  <si>
    <t xml:space="preserve">ALC-03</t>
  </si>
  <si>
    <t xml:space="preserve">Parapet framing</t>
  </si>
  <si>
    <t xml:space="preserve">6" parapet stud; 11/S5.10</t>
  </si>
  <si>
    <t xml:space="preserve">ALC-04</t>
  </si>
  <si>
    <t xml:space="preserve">Top / deflection and bottom track</t>
  </si>
  <si>
    <t xml:space="preserve">track rows by stud size (R71.8)</t>
  </si>
  <si>
    <t xml:space="preserve">ALC-05</t>
  </si>
  <si>
    <t xml:space="preserve">Headers, sills and jambs at openings</t>
  </si>
  <si>
    <t xml:space="preserve">header / box beam, sill track; 7/S5.20, 2/S5.20</t>
  </si>
  <si>
    <t xml:space="preserve">ALC-06</t>
  </si>
  <si>
    <t xml:space="preserve">Bracing / bridging</t>
  </si>
  <si>
    <t xml:space="preserve">1-1/2" C.R. channel; F/1/S5.20</t>
  </si>
  <si>
    <t xml:space="preserve">ALC-07</t>
  </si>
  <si>
    <t xml:space="preserve">Gypsum board on walls (layers per type)</t>
  </si>
  <si>
    <t xml:space="preserve">5/8" board; A12.01</t>
  </si>
  <si>
    <t xml:space="preserve">ALC-08</t>
  </si>
  <si>
    <t xml:space="preserve">Moisture / abuse / special board at wet zones</t>
  </si>
  <si>
    <t xml:space="preserve">5/8" MR behind toilet / lavatory; note F/A08.01</t>
  </si>
  <si>
    <t xml:space="preserve">ALC-09</t>
  </si>
  <si>
    <t xml:space="preserve">Exterior gypsum / glass mat sheathing</t>
  </si>
  <si>
    <t xml:space="preserve">glass mat + exterior gyp sheathing; 5/A09.26, A/A09.21</t>
  </si>
  <si>
    <t xml:space="preserve">ALC-10</t>
  </si>
  <si>
    <t xml:space="preserve">FRT plywood sheathing / substrate</t>
  </si>
  <si>
    <t xml:space="preserve">FRT plywood by material; 2/A09.26, 10/A09.27</t>
  </si>
  <si>
    <t xml:space="preserve">ALC-11</t>
  </si>
  <si>
    <t xml:space="preserve">Gypsum board ceilings</t>
  </si>
  <si>
    <t xml:space="preserve">5/8" board on GWB ceilings; A04.01</t>
  </si>
  <si>
    <t xml:space="preserve">ALC-12</t>
  </si>
  <si>
    <t xml:space="preserve">Ceiling suspension (furring / carrying channel / hanger wire / track)</t>
  </si>
  <si>
    <t xml:space="preserve">furring, carrying, hanger wire, ceiling track; A04.01</t>
  </si>
  <si>
    <t xml:space="preserve">ALC-13</t>
  </si>
  <si>
    <t xml:space="preserve">Soffits and bulkheads (framing + board)</t>
  </si>
  <si>
    <t xml:space="preserve">CSR soffit 10/A09.33, transitions 7, 8/A09.33, door bulkheads 8/A12.01</t>
  </si>
  <si>
    <t xml:space="preserve">ALC-14</t>
  </si>
  <si>
    <t xml:space="preserve">Canopy / marquee framing and sheathing</t>
  </si>
  <si>
    <t xml:space="preserve">canopy joists, fascia, FRT plywood; 7/A09.26, 3/A09.26</t>
  </si>
  <si>
    <t xml:space="preserve">ALC-15</t>
  </si>
  <si>
    <t xml:space="preserve">Column furring / wraps</t>
  </si>
  <si>
    <t xml:space="preserve">CANOPY-COL 5/A09.25, C1 wraps 3/A08.21</t>
  </si>
  <si>
    <t xml:space="preserve">ALC-16</t>
  </si>
  <si>
    <t xml:space="preserve">Blocking (FRT wood / metal) for millwork and accessories</t>
  </si>
  <si>
    <t xml:space="preserve">FRT blocking + metal stud blocking</t>
  </si>
  <si>
    <t xml:space="preserve">ALC-17</t>
  </si>
  <si>
    <t xml:space="preserve">Framed openings (MEP, access panels, diffusers)</t>
  </si>
  <si>
    <t xml:space="preserve">framed openings MEP; E02.01, M01.01</t>
  </si>
  <si>
    <t xml:space="preserve">ALC-18</t>
  </si>
  <si>
    <t xml:space="preserve">Trim: corner bead, casing bead, control joints, reveals</t>
  </si>
  <si>
    <t xml:space="preserve">metal trim; control joints not labeled for gypsum</t>
  </si>
  <si>
    <t xml:space="preserve">ALC-19</t>
  </si>
  <si>
    <t xml:space="preserve">Acoustical sealant / sound attenuation</t>
  </si>
  <si>
    <t xml:space="preserve">acoustical sealant per type detail A12.01</t>
  </si>
  <si>
    <t xml:space="preserve">ALC-20</t>
  </si>
  <si>
    <t xml:space="preserve">FRP / cement board / tile backer</t>
  </si>
  <si>
    <t xml:space="preserve">FRP + cement board; A08.01</t>
  </si>
  <si>
    <t xml:space="preserve">ALC-21</t>
  </si>
  <si>
    <t xml:space="preserve">Shaft walls / area separation walls</t>
  </si>
  <si>
    <t xml:space="preserve">NOT APPLICABLE</t>
  </si>
  <si>
    <t xml:space="preserve">NOT APPLICABLE: A02.01 has no shaft or area separation walls (escaneo sin hallazgos)</t>
  </si>
  <si>
    <t xml:space="preserve">ALC-22</t>
  </si>
  <si>
    <t xml:space="preserve">Rated assemblies (UL designs) and their board type</t>
  </si>
  <si>
    <t xml:space="preserve">NOT APPLICABLE: A02.01 'FIRE RATED' only refers to the 3/4" plywood backboard (key note 6); A12.01 partition schedule RATING column '--' for every type</t>
  </si>
  <si>
    <t xml:space="preserve">ALC-23</t>
  </si>
  <si>
    <t xml:space="preserve">Special panels (ballistic, lead-lined, abuse)</t>
  </si>
  <si>
    <t xml:space="preserve">ballistic panel + 3/8" gyp; 4/A12.01</t>
  </si>
  <si>
    <t xml:space="preserve">ALC-24</t>
  </si>
  <si>
    <t xml:space="preserve">Finish level (Level 4 / Level 5)</t>
  </si>
  <si>
    <t xml:space="preserve">Level 5 finish WC-18 / WC-22; A00.40, A05.01</t>
  </si>
  <si>
    <t xml:space="preserve">ALC-X25</t>
  </si>
  <si>
    <t xml:space="preserve">batt insulation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</si>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</sst>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3" t="n">
        <v>19.667</v>
      </c>
      <c r="C14" s="4" t="s">
        <v>20</v>
      </c>
    </row>
    <row r="15" customFormat="false" ht="15" hidden="false" customHeight="false" outlineLevel="0" collapsed="false">
      <c r="A15" s="0" t="s">
        <v>23</v>
      </c>
      <c r="B15" s="3" t="n">
        <v>25</v>
      </c>
      <c r="C15" s="4" t="s">
        <v>24</v>
      </c>
    </row>
    <row r="16" customFormat="false" ht="15" hidden="false" customHeight="false" outlineLevel="0" collapsed="false">
      <c r="A16" s="0" t="s">
        <v>25</v>
      </c>
      <c r="B16" s="3" t="n">
        <v>16</v>
      </c>
      <c r="C16" s="4" t="s">
        <v>26</v>
      </c>
    </row>
    <row r="17" customFormat="false" ht="15" hidden="false" customHeight="false" outlineLevel="0" collapsed="false">
      <c r="A17" s="0" t="s">
        <v>27</v>
      </c>
      <c r="B17" s="3" t="n">
        <v>12</v>
      </c>
      <c r="C17" s="4" t="s">
        <v>28</v>
      </c>
    </row>
    <row r="18" customFormat="false" ht="15" hidden="false" customHeight="false" outlineLevel="0" collapsed="false">
      <c r="A18" s="0" t="s">
        <v>29</v>
      </c>
      <c r="B18" s="3" t="n">
        <v>10</v>
      </c>
      <c r="C18" s="4" t="s">
        <v>30</v>
      </c>
    </row>
    <row r="19" customFormat="false" ht="15" hidden="false" customHeight="false" outlineLevel="0" collapsed="false">
      <c r="A19" s="0" t="s">
        <v>31</v>
      </c>
      <c r="B19" s="3" t="s">
        <v>32</v>
      </c>
      <c r="C19" s="4" t="s">
        <v>33</v>
      </c>
    </row>
    <row r="20" customFormat="false" ht="15" hidden="false" customHeight="false" outlineLevel="0" collapsed="false">
      <c r="A20" s="0" t="s">
        <v>34</v>
      </c>
      <c r="B20" s="3" t="n">
        <v>1.2</v>
      </c>
      <c r="C20" s="4" t="s">
        <v>35</v>
      </c>
    </row>
    <row r="21" customFormat="false" ht="15" hidden="false" customHeight="false" outlineLevel="0" collapsed="false">
      <c r="A21" s="0" t="s">
        <v>36</v>
      </c>
      <c r="B21" s="3" t="n">
        <v>4</v>
      </c>
      <c r="C21" s="4" t="s">
        <v>37</v>
      </c>
    </row>
    <row r="22" customFormat="false" ht="15" hidden="false" customHeight="false" outlineLevel="0" collapsed="false">
      <c r="A22" s="0" t="s">
        <v>38</v>
      </c>
      <c r="B22" s="3" t="n">
        <v>1</v>
      </c>
      <c r="C22" s="4" t="s">
        <v>39</v>
      </c>
    </row>
    <row r="23" customFormat="false" ht="15" hidden="false" customHeight="false" outlineLevel="0" collapsed="false">
      <c r="A23" s="0" t="s">
        <v>40</v>
      </c>
      <c r="B23" s="3" t="n">
        <v>0.072</v>
      </c>
      <c r="C23" s="4" t="s">
        <v>41</v>
      </c>
    </row>
    <row r="24" customFormat="false" ht="15" hidden="false" customHeight="false" outlineLevel="0" collapsed="false">
      <c r="A24" s="0" t="s">
        <v>42</v>
      </c>
      <c r="B24" s="3" t="n">
        <v>0.37</v>
      </c>
      <c r="C24" s="4" t="s">
        <v>43</v>
      </c>
    </row>
    <row r="25" customFormat="false" ht="15" hidden="false" customHeight="false" outlineLevel="0" collapsed="false">
      <c r="A25" s="0" t="s">
        <v>44</v>
      </c>
      <c r="B25" s="3" t="n">
        <v>0.6667</v>
      </c>
      <c r="C25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0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</row>
    <row r="5" customFormat="false" ht="15" hidden="false" customHeight="false" outlineLevel="0" collapsed="false">
      <c r="A5" s="5" t="s">
        <v>59</v>
      </c>
    </row>
    <row r="6" customFormat="false" ht="15" hidden="false" customHeight="false" outlineLevel="0" collapsed="false">
      <c r="A6" s="0" t="s">
        <v>60</v>
      </c>
      <c r="B6" s="0" t="s">
        <v>61</v>
      </c>
      <c r="C6" s="0" t="n">
        <v>21.889</v>
      </c>
      <c r="D6" s="0" t="n">
        <v>14.358</v>
      </c>
      <c r="E6" s="0" t="n">
        <v>1</v>
      </c>
      <c r="F6" s="0" t="s">
        <v>62</v>
      </c>
      <c r="G6" s="0" t="n">
        <v>16</v>
      </c>
      <c r="H6" s="0" t="n">
        <v>330.79</v>
      </c>
      <c r="I6" s="0" t="s">
        <v>63</v>
      </c>
      <c r="J6" s="0" t="s">
        <v>64</v>
      </c>
      <c r="K6" s="0" t="s">
        <v>65</v>
      </c>
    </row>
    <row r="7" customFormat="false" ht="15" hidden="false" customHeight="false" outlineLevel="0" collapsed="false">
      <c r="A7" s="0" t="s">
        <v>66</v>
      </c>
      <c r="B7" s="0" t="s">
        <v>67</v>
      </c>
      <c r="C7" s="0" t="n">
        <v>3.353</v>
      </c>
      <c r="D7" s="0" t="n">
        <v>14.358</v>
      </c>
      <c r="E7" s="0" t="n">
        <v>1</v>
      </c>
      <c r="F7" s="0" t="s">
        <v>62</v>
      </c>
      <c r="G7" s="0" t="n">
        <v>16</v>
      </c>
      <c r="H7" s="0" t="n">
        <v>51.55</v>
      </c>
      <c r="I7" s="0" t="s">
        <v>68</v>
      </c>
      <c r="J7" s="0" t="s">
        <v>64</v>
      </c>
      <c r="K7" s="0" t="s">
        <v>65</v>
      </c>
    </row>
    <row r="8" customFormat="false" ht="15" hidden="false" customHeight="false" outlineLevel="0" collapsed="false">
      <c r="A8" s="0" t="s">
        <v>69</v>
      </c>
      <c r="B8" s="0" t="s">
        <v>70</v>
      </c>
      <c r="C8" s="0" t="n">
        <v>48.811</v>
      </c>
      <c r="D8" s="0" t="n">
        <v>13.067</v>
      </c>
      <c r="E8" s="0" t="n">
        <v>1</v>
      </c>
      <c r="F8" s="0" t="s">
        <v>62</v>
      </c>
      <c r="G8" s="0" t="n">
        <v>16</v>
      </c>
      <c r="H8" s="0" t="n">
        <v>658.68</v>
      </c>
      <c r="I8" s="0" t="s">
        <v>71</v>
      </c>
      <c r="J8" s="0" t="s">
        <v>64</v>
      </c>
      <c r="K8" s="0" t="s">
        <v>65</v>
      </c>
    </row>
    <row r="9" customFormat="false" ht="15" hidden="false" customHeight="false" outlineLevel="0" collapsed="false">
      <c r="A9" s="0" t="s">
        <v>72</v>
      </c>
      <c r="B9" s="0" t="s">
        <v>73</v>
      </c>
      <c r="C9" s="0" t="n">
        <v>51.733</v>
      </c>
      <c r="D9" s="0" t="n">
        <v>11.17</v>
      </c>
      <c r="E9" s="0" t="n">
        <v>1</v>
      </c>
      <c r="F9" s="0" t="s">
        <v>62</v>
      </c>
      <c r="G9" s="0" t="n">
        <v>16</v>
      </c>
      <c r="H9" s="0" t="n">
        <v>621.04</v>
      </c>
      <c r="I9" s="0" t="s">
        <v>74</v>
      </c>
      <c r="J9" s="0" t="s">
        <v>64</v>
      </c>
      <c r="K9" s="0" t="s">
        <v>65</v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n">
        <v>77.189</v>
      </c>
      <c r="D10" s="0" t="n">
        <v>13.542</v>
      </c>
      <c r="E10" s="0" t="n">
        <v>1</v>
      </c>
      <c r="F10" s="0" t="s">
        <v>62</v>
      </c>
      <c r="G10" s="0" t="n">
        <v>16</v>
      </c>
      <c r="H10" s="0" t="n">
        <v>1063</v>
      </c>
      <c r="I10" s="0" t="s">
        <v>77</v>
      </c>
      <c r="J10" s="0" t="s">
        <v>64</v>
      </c>
      <c r="K10" s="0" t="s">
        <v>65</v>
      </c>
    </row>
    <row r="11" customFormat="false" ht="15" hidden="false" customHeight="false" outlineLevel="0" collapsed="false">
      <c r="A11" s="0" t="s">
        <v>78</v>
      </c>
      <c r="B11" s="0" t="s">
        <v>79</v>
      </c>
      <c r="C11" s="0" t="n">
        <v>12.639</v>
      </c>
      <c r="D11" s="0" t="n">
        <v>14.358</v>
      </c>
      <c r="E11" s="0" t="n">
        <v>1</v>
      </c>
      <c r="F11" s="0" t="s">
        <v>62</v>
      </c>
      <c r="G11" s="0" t="n">
        <v>16</v>
      </c>
      <c r="H11" s="0" t="n">
        <v>194.32</v>
      </c>
      <c r="I11" s="0" t="s">
        <v>80</v>
      </c>
      <c r="J11" s="0" t="s">
        <v>64</v>
      </c>
      <c r="K11" s="0" t="s">
        <v>65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n">
        <v>3.375</v>
      </c>
      <c r="D12" s="0" t="n">
        <v>14.358</v>
      </c>
      <c r="E12" s="0" t="n">
        <v>0</v>
      </c>
      <c r="F12" s="0" t="s">
        <v>62</v>
      </c>
      <c r="G12" s="0" t="n">
        <v>16</v>
      </c>
      <c r="H12" s="0" t="n">
        <v>0</v>
      </c>
      <c r="I12" s="0" t="s">
        <v>83</v>
      </c>
      <c r="J12" s="0" t="s">
        <v>84</v>
      </c>
      <c r="K12" s="0" t="s">
        <v>65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2.896</v>
      </c>
      <c r="D13" s="0" t="n">
        <v>14.358</v>
      </c>
      <c r="E13" s="0" t="n">
        <v>0</v>
      </c>
      <c r="F13" s="0" t="s">
        <v>62</v>
      </c>
      <c r="G13" s="0" t="n">
        <v>16</v>
      </c>
      <c r="H13" s="0" t="n">
        <v>0</v>
      </c>
      <c r="I13" s="0" t="s">
        <v>87</v>
      </c>
      <c r="J13" s="0" t="s">
        <v>88</v>
      </c>
      <c r="K13" s="0" t="s">
        <v>65</v>
      </c>
    </row>
    <row r="14" customFormat="false" ht="15" hidden="false" customHeight="false" outlineLevel="0" collapsed="false">
      <c r="A14" s="5" t="s">
        <v>89</v>
      </c>
    </row>
    <row r="15" customFormat="false" ht="15" hidden="false" customHeight="false" outlineLevel="0" collapsed="false">
      <c r="A15" s="0" t="s">
        <v>90</v>
      </c>
      <c r="B15" s="0" t="s">
        <v>91</v>
      </c>
      <c r="C15" s="0" t="n">
        <v>5.667</v>
      </c>
      <c r="D15" s="0" t="n">
        <v>10.5</v>
      </c>
      <c r="E15" s="0" t="n">
        <v>0</v>
      </c>
      <c r="F15" s="0" t="s">
        <v>92</v>
      </c>
      <c r="G15" s="0" t="n">
        <v>16</v>
      </c>
      <c r="H15" s="0" t="n">
        <v>0</v>
      </c>
      <c r="I15" s="0" t="s">
        <v>93</v>
      </c>
      <c r="J15" s="0" t="s">
        <v>94</v>
      </c>
      <c r="K15" s="0" t="s">
        <v>65</v>
      </c>
    </row>
    <row r="16" customFormat="false" ht="15" hidden="false" customHeight="false" outlineLevel="0" collapsed="false">
      <c r="A16" s="0" t="s">
        <v>95</v>
      </c>
      <c r="B16" s="0" t="s">
        <v>96</v>
      </c>
      <c r="C16" s="0" t="n">
        <v>5.667</v>
      </c>
      <c r="D16" s="0" t="n">
        <v>10.5</v>
      </c>
      <c r="E16" s="0" t="n">
        <v>0</v>
      </c>
      <c r="F16" s="0" t="s">
        <v>92</v>
      </c>
      <c r="G16" s="0" t="n">
        <v>16</v>
      </c>
      <c r="H16" s="0" t="n">
        <v>0</v>
      </c>
      <c r="I16" s="0" t="s">
        <v>97</v>
      </c>
      <c r="J16" s="0" t="s">
        <v>94</v>
      </c>
      <c r="K16" s="0" t="s">
        <v>65</v>
      </c>
    </row>
    <row r="17" customFormat="false" ht="15" hidden="false" customHeight="false" outlineLevel="0" collapsed="false">
      <c r="A17" s="0" t="s">
        <v>98</v>
      </c>
      <c r="B17" s="0" t="s">
        <v>99</v>
      </c>
      <c r="C17" s="0" t="n">
        <v>5.667</v>
      </c>
      <c r="D17" s="0" t="n">
        <v>10.5</v>
      </c>
      <c r="E17" s="0" t="n">
        <v>0</v>
      </c>
      <c r="F17" s="0" t="s">
        <v>92</v>
      </c>
      <c r="G17" s="0" t="n">
        <v>16</v>
      </c>
      <c r="H17" s="0" t="n">
        <v>0</v>
      </c>
      <c r="I17" s="0" t="s">
        <v>100</v>
      </c>
      <c r="J17" s="0" t="s">
        <v>94</v>
      </c>
      <c r="K17" s="0" t="s">
        <v>65</v>
      </c>
    </row>
    <row r="18" customFormat="false" ht="15" hidden="false" customHeight="false" outlineLevel="0" collapsed="false">
      <c r="A18" s="0" t="s">
        <v>101</v>
      </c>
      <c r="B18" s="0" t="s">
        <v>102</v>
      </c>
      <c r="C18" s="0" t="n">
        <v>5.667</v>
      </c>
      <c r="D18" s="0" t="n">
        <v>10.5</v>
      </c>
      <c r="E18" s="0" t="n">
        <v>0</v>
      </c>
      <c r="F18" s="0" t="s">
        <v>92</v>
      </c>
      <c r="G18" s="0" t="n">
        <v>16</v>
      </c>
      <c r="H18" s="0" t="n">
        <v>0</v>
      </c>
      <c r="I18" s="0" t="s">
        <v>103</v>
      </c>
      <c r="J18" s="0" t="s">
        <v>94</v>
      </c>
      <c r="K18" s="0" t="s">
        <v>65</v>
      </c>
    </row>
    <row r="19" customFormat="false" ht="15" hidden="false" customHeight="false" outlineLevel="0" collapsed="false">
      <c r="A19" s="5" t="s">
        <v>104</v>
      </c>
    </row>
    <row r="20" customFormat="false" ht="15" hidden="false" customHeight="false" outlineLevel="0" collapsed="false">
      <c r="A20" s="0" t="s">
        <v>105</v>
      </c>
      <c r="B20" s="0" t="s">
        <v>106</v>
      </c>
      <c r="C20" s="0" t="n">
        <v>29</v>
      </c>
      <c r="D20" s="0" t="n">
        <v>4.292</v>
      </c>
      <c r="E20" s="0" t="n">
        <v>0</v>
      </c>
      <c r="F20" s="0" t="s">
        <v>107</v>
      </c>
      <c r="G20" s="0" t="n">
        <v>16</v>
      </c>
      <c r="H20" s="0" t="n">
        <v>0</v>
      </c>
      <c r="I20" s="0" t="s">
        <v>108</v>
      </c>
      <c r="J20" s="0" t="s">
        <v>109</v>
      </c>
      <c r="K20" s="0" t="s">
        <v>65</v>
      </c>
    </row>
    <row r="21" customFormat="false" ht="15" hidden="false" customHeight="false" outlineLevel="0" collapsed="false">
      <c r="A21" s="0" t="s">
        <v>110</v>
      </c>
      <c r="B21" s="0" t="s">
        <v>111</v>
      </c>
      <c r="C21" s="0" t="n">
        <v>3.867</v>
      </c>
      <c r="D21" s="0" t="n">
        <v>4.292</v>
      </c>
      <c r="E21" s="0" t="n">
        <v>0</v>
      </c>
      <c r="F21" s="0" t="s">
        <v>107</v>
      </c>
      <c r="G21" s="0" t="n">
        <v>16</v>
      </c>
      <c r="H21" s="0" t="n">
        <v>0</v>
      </c>
      <c r="I21" s="0" t="s">
        <v>112</v>
      </c>
      <c r="J21" s="0" t="s">
        <v>109</v>
      </c>
      <c r="K21" s="0" t="s">
        <v>65</v>
      </c>
    </row>
    <row r="22" customFormat="false" ht="15" hidden="false" customHeight="false" outlineLevel="0" collapsed="false">
      <c r="A22" s="0" t="s">
        <v>113</v>
      </c>
      <c r="B22" s="0" t="s">
        <v>114</v>
      </c>
      <c r="C22" s="0" t="n">
        <v>47.927</v>
      </c>
      <c r="D22" s="0" t="n">
        <v>3.406</v>
      </c>
      <c r="E22" s="0" t="n">
        <v>0</v>
      </c>
      <c r="F22" s="0" t="s">
        <v>107</v>
      </c>
      <c r="G22" s="0" t="n">
        <v>16</v>
      </c>
      <c r="H22" s="0" t="n">
        <v>0</v>
      </c>
      <c r="I22" s="0" t="s">
        <v>115</v>
      </c>
      <c r="J22" s="0" t="s">
        <v>109</v>
      </c>
      <c r="K22" s="0" t="s">
        <v>65</v>
      </c>
    </row>
    <row r="23" customFormat="false" ht="15" hidden="false" customHeight="false" outlineLevel="0" collapsed="false">
      <c r="A23" s="0" t="s">
        <v>116</v>
      </c>
      <c r="B23" s="0" t="s">
        <v>117</v>
      </c>
      <c r="C23" s="0" t="n">
        <v>52.333</v>
      </c>
      <c r="D23" s="0" t="n">
        <v>4.886</v>
      </c>
      <c r="E23" s="0" t="n">
        <v>0</v>
      </c>
      <c r="F23" s="0" t="s">
        <v>107</v>
      </c>
      <c r="G23" s="0" t="n">
        <v>16</v>
      </c>
      <c r="H23" s="0" t="n">
        <v>0</v>
      </c>
      <c r="I23" s="0" t="s">
        <v>118</v>
      </c>
      <c r="J23" s="0" t="s">
        <v>109</v>
      </c>
      <c r="K23" s="0" t="s">
        <v>65</v>
      </c>
    </row>
    <row r="24" customFormat="false" ht="15" hidden="false" customHeight="false" outlineLevel="0" collapsed="false">
      <c r="A24" s="0" t="s">
        <v>119</v>
      </c>
      <c r="B24" s="0" t="s">
        <v>120</v>
      </c>
      <c r="C24" s="0" t="n">
        <v>75.933</v>
      </c>
      <c r="D24" s="0" t="n">
        <v>2.899</v>
      </c>
      <c r="E24" s="0" t="n">
        <v>0</v>
      </c>
      <c r="F24" s="0" t="s">
        <v>107</v>
      </c>
      <c r="G24" s="0" t="n">
        <v>16</v>
      </c>
      <c r="H24" s="0" t="n">
        <v>0</v>
      </c>
      <c r="I24" s="0" t="s">
        <v>121</v>
      </c>
      <c r="J24" s="0" t="s">
        <v>109</v>
      </c>
      <c r="K24" s="0" t="s">
        <v>65</v>
      </c>
    </row>
    <row r="25" customFormat="false" ht="15" hidden="false" customHeight="false" outlineLevel="0" collapsed="false">
      <c r="A25" s="0" t="s">
        <v>122</v>
      </c>
      <c r="B25" s="0" t="s">
        <v>123</v>
      </c>
      <c r="C25" s="0" t="n">
        <v>40</v>
      </c>
      <c r="D25" s="0" t="n">
        <v>2.042</v>
      </c>
      <c r="E25" s="0" t="n">
        <v>0</v>
      </c>
      <c r="F25" s="0" t="s">
        <v>107</v>
      </c>
      <c r="G25" s="0" t="n">
        <v>16</v>
      </c>
      <c r="H25" s="0" t="n">
        <v>0</v>
      </c>
      <c r="I25" s="0" t="s">
        <v>124</v>
      </c>
      <c r="J25" s="0" t="s">
        <v>109</v>
      </c>
      <c r="K25" s="0" t="s">
        <v>65</v>
      </c>
    </row>
    <row r="26" customFormat="false" ht="15" hidden="false" customHeight="false" outlineLevel="0" collapsed="false">
      <c r="A26" s="0" t="s">
        <v>125</v>
      </c>
      <c r="B26" s="0" t="s">
        <v>126</v>
      </c>
      <c r="C26" s="0" t="n">
        <v>16.686</v>
      </c>
      <c r="D26" s="0" t="n">
        <v>4.292</v>
      </c>
      <c r="E26" s="0" t="n">
        <v>0</v>
      </c>
      <c r="F26" s="0" t="s">
        <v>107</v>
      </c>
      <c r="G26" s="0" t="n">
        <v>16</v>
      </c>
      <c r="H26" s="0" t="n">
        <v>0</v>
      </c>
      <c r="I26" s="0" t="s">
        <v>127</v>
      </c>
      <c r="J26" s="0" t="s">
        <v>109</v>
      </c>
      <c r="K26" s="0" t="s">
        <v>65</v>
      </c>
    </row>
    <row r="27" customFormat="false" ht="15" hidden="false" customHeight="false" outlineLevel="0" collapsed="false">
      <c r="A27" s="0" t="s">
        <v>128</v>
      </c>
      <c r="B27" s="0" t="s">
        <v>129</v>
      </c>
      <c r="C27" s="0" t="n">
        <v>4.092</v>
      </c>
      <c r="D27" s="0" t="n">
        <v>4.292</v>
      </c>
      <c r="E27" s="0" t="n">
        <v>0</v>
      </c>
      <c r="F27" s="0" t="s">
        <v>107</v>
      </c>
      <c r="G27" s="0" t="n">
        <v>16</v>
      </c>
      <c r="H27" s="0" t="n">
        <v>0</v>
      </c>
      <c r="I27" s="0" t="s">
        <v>130</v>
      </c>
      <c r="J27" s="0" t="s">
        <v>109</v>
      </c>
      <c r="K27" s="0" t="s">
        <v>65</v>
      </c>
    </row>
    <row r="28" customFormat="false" ht="15" hidden="false" customHeight="false" outlineLevel="0" collapsed="false">
      <c r="A28" s="5" t="s">
        <v>131</v>
      </c>
    </row>
    <row r="29" customFormat="false" ht="15" hidden="false" customHeight="false" outlineLevel="0" collapsed="false">
      <c r="A29" s="0" t="s">
        <v>132</v>
      </c>
      <c r="B29" s="0" t="s">
        <v>133</v>
      </c>
      <c r="C29" s="0" t="n">
        <v>17.02</v>
      </c>
      <c r="D29" s="0" t="n">
        <v>15.375</v>
      </c>
      <c r="E29" s="0" t="n">
        <v>1.98</v>
      </c>
      <c r="F29" s="0" t="s">
        <v>92</v>
      </c>
      <c r="G29" s="0" t="n">
        <v>16</v>
      </c>
      <c r="H29" s="0" t="n">
        <v>361.95</v>
      </c>
      <c r="I29" s="0" t="s">
        <v>134</v>
      </c>
      <c r="J29" s="0" t="s">
        <v>135</v>
      </c>
      <c r="K29" s="0" t="s">
        <v>65</v>
      </c>
    </row>
    <row r="30" customFormat="false" ht="15" hidden="false" customHeight="false" outlineLevel="0" collapsed="false">
      <c r="A30" s="0" t="s">
        <v>136</v>
      </c>
      <c r="B30" s="0" t="s">
        <v>137</v>
      </c>
      <c r="C30" s="0" t="n">
        <v>3.533</v>
      </c>
      <c r="D30" s="0" t="n">
        <v>15.375</v>
      </c>
      <c r="E30" s="0" t="n">
        <v>1.9</v>
      </c>
      <c r="F30" s="0" t="s">
        <v>92</v>
      </c>
      <c r="G30" s="0" t="n">
        <v>16</v>
      </c>
      <c r="H30" s="0" t="n">
        <v>80.69</v>
      </c>
      <c r="I30" s="0" t="s">
        <v>138</v>
      </c>
      <c r="J30" s="0" t="s">
        <v>135</v>
      </c>
      <c r="K30" s="0" t="s">
        <v>65</v>
      </c>
    </row>
    <row r="31" customFormat="false" ht="15" hidden="false" customHeight="false" outlineLevel="0" collapsed="false">
      <c r="A31" s="0" t="s">
        <v>139</v>
      </c>
      <c r="B31" s="0" t="s">
        <v>140</v>
      </c>
      <c r="C31" s="0" t="n">
        <v>2.02</v>
      </c>
      <c r="D31" s="0" t="n">
        <v>15.375</v>
      </c>
      <c r="E31" s="0" t="n">
        <v>2</v>
      </c>
      <c r="F31" s="0" t="s">
        <v>92</v>
      </c>
      <c r="G31" s="0" t="n">
        <v>16</v>
      </c>
      <c r="H31" s="0" t="n">
        <v>49.24</v>
      </c>
      <c r="I31" s="0" t="s">
        <v>141</v>
      </c>
      <c r="J31" s="0" t="s">
        <v>135</v>
      </c>
      <c r="K31" s="0" t="s">
        <v>65</v>
      </c>
    </row>
    <row r="32" customFormat="false" ht="15" hidden="false" customHeight="false" outlineLevel="0" collapsed="false">
      <c r="A32" s="0" t="s">
        <v>142</v>
      </c>
      <c r="B32" s="0" t="s">
        <v>143</v>
      </c>
      <c r="C32" s="0" t="n">
        <v>5.587</v>
      </c>
      <c r="D32" s="0" t="n">
        <v>15.375</v>
      </c>
      <c r="E32" s="0" t="n">
        <v>1.89</v>
      </c>
      <c r="F32" s="0" t="s">
        <v>92</v>
      </c>
      <c r="G32" s="0" t="n">
        <v>16</v>
      </c>
      <c r="H32" s="0" t="n">
        <v>55.84</v>
      </c>
      <c r="I32" s="0" t="s">
        <v>144</v>
      </c>
      <c r="J32" s="0" t="s">
        <v>135</v>
      </c>
      <c r="K32" s="0" t="s">
        <v>65</v>
      </c>
    </row>
    <row r="33" customFormat="false" ht="15" hidden="false" customHeight="false" outlineLevel="0" collapsed="false">
      <c r="A33" s="0" t="s">
        <v>145</v>
      </c>
      <c r="B33" s="0" t="s">
        <v>146</v>
      </c>
      <c r="C33" s="0" t="n">
        <v>15.812</v>
      </c>
      <c r="D33" s="0" t="n">
        <v>13.052</v>
      </c>
      <c r="E33" s="0" t="n">
        <v>1.98</v>
      </c>
      <c r="F33" s="0" t="s">
        <v>92</v>
      </c>
      <c r="G33" s="0" t="n">
        <v>16</v>
      </c>
      <c r="H33" s="0" t="n">
        <v>281.14</v>
      </c>
      <c r="I33" s="0" t="s">
        <v>147</v>
      </c>
      <c r="J33" s="0" t="s">
        <v>135</v>
      </c>
      <c r="K33" s="0" t="s">
        <v>65</v>
      </c>
    </row>
    <row r="34" customFormat="false" ht="15" hidden="false" customHeight="false" outlineLevel="0" collapsed="false">
      <c r="A34" s="0" t="s">
        <v>148</v>
      </c>
      <c r="B34" s="0" t="s">
        <v>149</v>
      </c>
      <c r="C34" s="0" t="n">
        <v>1.733</v>
      </c>
      <c r="D34" s="0" t="n">
        <v>11.91</v>
      </c>
      <c r="E34" s="0" t="n">
        <v>1.8</v>
      </c>
      <c r="F34" s="0" t="s">
        <v>92</v>
      </c>
      <c r="G34" s="0" t="n">
        <v>16</v>
      </c>
      <c r="H34" s="0" t="n">
        <v>28.88</v>
      </c>
      <c r="I34" s="0" t="s">
        <v>150</v>
      </c>
      <c r="J34" s="0" t="s">
        <v>135</v>
      </c>
      <c r="K34" s="0" t="s">
        <v>65</v>
      </c>
    </row>
    <row r="35" customFormat="false" ht="15" hidden="false" customHeight="false" outlineLevel="0" collapsed="false">
      <c r="A35" s="0" t="s">
        <v>151</v>
      </c>
      <c r="B35" s="0" t="s">
        <v>152</v>
      </c>
      <c r="C35" s="0" t="n">
        <v>5.5</v>
      </c>
      <c r="D35" s="0" t="n">
        <v>13.052</v>
      </c>
      <c r="E35" s="0" t="n">
        <v>1.93</v>
      </c>
      <c r="F35" s="0" t="s">
        <v>92</v>
      </c>
      <c r="G35" s="0" t="n">
        <v>16</v>
      </c>
      <c r="H35" s="0" t="n">
        <v>43.44</v>
      </c>
      <c r="I35" s="0" t="s">
        <v>153</v>
      </c>
      <c r="J35" s="0" t="s">
        <v>135</v>
      </c>
      <c r="K35" s="0" t="s">
        <v>154</v>
      </c>
    </row>
    <row r="36" customFormat="false" ht="15" hidden="false" customHeight="false" outlineLevel="0" collapsed="false">
      <c r="A36" s="0" t="s">
        <v>155</v>
      </c>
      <c r="B36" s="0" t="s">
        <v>156</v>
      </c>
      <c r="C36" s="0" t="n">
        <v>11.667</v>
      </c>
      <c r="D36" s="0" t="n">
        <v>13.052</v>
      </c>
      <c r="E36" s="0" t="n">
        <v>2</v>
      </c>
      <c r="F36" s="0" t="s">
        <v>92</v>
      </c>
      <c r="G36" s="0" t="n">
        <v>16</v>
      </c>
      <c r="H36" s="0" t="n">
        <v>168.06</v>
      </c>
      <c r="I36" s="0" t="s">
        <v>157</v>
      </c>
      <c r="J36" s="0" t="s">
        <v>135</v>
      </c>
      <c r="K36" s="0" t="s">
        <v>154</v>
      </c>
    </row>
    <row r="37" customFormat="false" ht="15" hidden="false" customHeight="false" outlineLevel="0" collapsed="false">
      <c r="A37" s="0" t="s">
        <v>158</v>
      </c>
      <c r="B37" s="0" t="s">
        <v>159</v>
      </c>
      <c r="C37" s="0" t="n">
        <v>20.521</v>
      </c>
      <c r="D37" s="0" t="n">
        <v>11.91</v>
      </c>
      <c r="E37" s="0" t="n">
        <v>1.94</v>
      </c>
      <c r="F37" s="0" t="s">
        <v>92</v>
      </c>
      <c r="G37" s="0" t="n">
        <v>16</v>
      </c>
      <c r="H37" s="0" t="n">
        <v>363.7</v>
      </c>
      <c r="I37" s="0" t="s">
        <v>160</v>
      </c>
      <c r="J37" s="0" t="s">
        <v>135</v>
      </c>
      <c r="K37" s="0" t="s">
        <v>65</v>
      </c>
    </row>
    <row r="38" customFormat="false" ht="15" hidden="false" customHeight="false" outlineLevel="0" collapsed="false">
      <c r="A38" s="0" t="s">
        <v>161</v>
      </c>
      <c r="B38" s="0" t="s">
        <v>162</v>
      </c>
      <c r="C38" s="0" t="n">
        <v>7.487</v>
      </c>
      <c r="D38" s="0" t="n">
        <v>13.052</v>
      </c>
      <c r="E38" s="0" t="n">
        <v>2</v>
      </c>
      <c r="F38" s="0" t="s">
        <v>92</v>
      </c>
      <c r="G38" s="0" t="n">
        <v>16</v>
      </c>
      <c r="H38" s="0" t="n">
        <v>134.76</v>
      </c>
      <c r="I38" s="0" t="s">
        <v>163</v>
      </c>
      <c r="J38" s="0" t="s">
        <v>135</v>
      </c>
      <c r="K38" s="0" t="s">
        <v>65</v>
      </c>
    </row>
    <row r="39" customFormat="false" ht="15" hidden="false" customHeight="false" outlineLevel="0" collapsed="false">
      <c r="A39" s="5" t="s">
        <v>164</v>
      </c>
    </row>
    <row r="40" customFormat="false" ht="15" hidden="false" customHeight="false" outlineLevel="0" collapsed="false">
      <c r="A40" s="0" t="s">
        <v>165</v>
      </c>
      <c r="B40" s="0" t="s">
        <v>166</v>
      </c>
      <c r="C40" s="0" t="n">
        <v>11</v>
      </c>
      <c r="D40" s="0" t="n">
        <v>15.375</v>
      </c>
      <c r="E40" s="0" t="n">
        <v>1.97</v>
      </c>
      <c r="F40" s="0" t="s">
        <v>62</v>
      </c>
      <c r="G40" s="0" t="n">
        <v>16</v>
      </c>
      <c r="H40" s="0" t="n">
        <v>227.82</v>
      </c>
      <c r="I40" s="0" t="s">
        <v>167</v>
      </c>
      <c r="J40" s="0" t="s">
        <v>135</v>
      </c>
      <c r="K40" s="0" t="s">
        <v>65</v>
      </c>
    </row>
    <row r="41" customFormat="false" ht="15" hidden="false" customHeight="false" outlineLevel="0" collapsed="false">
      <c r="A41" s="0" t="s">
        <v>168</v>
      </c>
      <c r="B41" s="0" t="s">
        <v>169</v>
      </c>
      <c r="C41" s="0" t="n">
        <v>4.875</v>
      </c>
      <c r="D41" s="0" t="n">
        <v>12.587</v>
      </c>
      <c r="E41" s="0" t="n">
        <v>1.93</v>
      </c>
      <c r="F41" s="0" t="s">
        <v>62</v>
      </c>
      <c r="G41" s="0" t="n">
        <v>16</v>
      </c>
      <c r="H41" s="0" t="n">
        <v>36.8</v>
      </c>
      <c r="I41" s="0" t="s">
        <v>170</v>
      </c>
      <c r="J41" s="0" t="s">
        <v>135</v>
      </c>
      <c r="K41" s="0" t="s">
        <v>65</v>
      </c>
    </row>
    <row r="42" customFormat="false" ht="15" hidden="false" customHeight="false" outlineLevel="0" collapsed="false">
      <c r="A42" s="0" t="s">
        <v>171</v>
      </c>
      <c r="B42" s="0" t="s">
        <v>172</v>
      </c>
      <c r="C42" s="0" t="n">
        <v>19.405</v>
      </c>
      <c r="D42" s="0" t="n">
        <v>13.709</v>
      </c>
      <c r="E42" s="0" t="n">
        <v>1.98</v>
      </c>
      <c r="F42" s="0" t="s">
        <v>62</v>
      </c>
      <c r="G42" s="0" t="n">
        <v>16</v>
      </c>
      <c r="H42" s="0" t="n">
        <v>374.67</v>
      </c>
      <c r="I42" s="0" t="s">
        <v>173</v>
      </c>
      <c r="J42" s="0" t="s">
        <v>135</v>
      </c>
      <c r="K42" s="0" t="s">
        <v>65</v>
      </c>
    </row>
    <row r="43" customFormat="false" ht="15" hidden="false" customHeight="false" outlineLevel="0" collapsed="false">
      <c r="A43" s="0" t="s">
        <v>174</v>
      </c>
      <c r="B43" s="0" t="s">
        <v>175</v>
      </c>
      <c r="C43" s="0" t="n">
        <v>6.947</v>
      </c>
      <c r="D43" s="0" t="n">
        <v>11.91</v>
      </c>
      <c r="E43" s="0" t="n">
        <v>2</v>
      </c>
      <c r="F43" s="0" t="s">
        <v>62</v>
      </c>
      <c r="G43" s="0" t="n">
        <v>16</v>
      </c>
      <c r="H43" s="0" t="n">
        <v>80.74</v>
      </c>
      <c r="I43" s="0" t="s">
        <v>176</v>
      </c>
      <c r="J43" s="0" t="s">
        <v>135</v>
      </c>
      <c r="K43" s="0" t="s">
        <v>65</v>
      </c>
    </row>
    <row r="44" customFormat="false" ht="15" hidden="false" customHeight="false" outlineLevel="0" collapsed="false">
      <c r="A44" s="5" t="s">
        <v>177</v>
      </c>
    </row>
    <row r="45" customFormat="false" ht="15" hidden="false" customHeight="false" outlineLevel="0" collapsed="false">
      <c r="A45" s="0" t="s">
        <v>178</v>
      </c>
      <c r="B45" s="0" t="s">
        <v>179</v>
      </c>
      <c r="C45" s="0" t="n">
        <v>3.417</v>
      </c>
      <c r="D45" s="0" t="n">
        <v>15.375</v>
      </c>
      <c r="E45" s="0" t="n">
        <v>2</v>
      </c>
      <c r="F45" s="0" t="s">
        <v>92</v>
      </c>
      <c r="G45" s="0" t="n">
        <v>24</v>
      </c>
      <c r="H45" s="0" t="n">
        <v>105.08</v>
      </c>
      <c r="I45" s="0" t="s">
        <v>180</v>
      </c>
      <c r="J45" s="0" t="s">
        <v>181</v>
      </c>
      <c r="K45" s="0" t="s">
        <v>154</v>
      </c>
    </row>
    <row r="46" customFormat="false" ht="15" hidden="false" customHeight="false" outlineLevel="0" collapsed="false">
      <c r="A46" s="0" t="s">
        <v>182</v>
      </c>
      <c r="B46" s="0" t="s">
        <v>183</v>
      </c>
      <c r="C46" s="0" t="n">
        <v>2.98</v>
      </c>
      <c r="D46" s="0" t="n">
        <v>13.052</v>
      </c>
      <c r="E46" s="0" t="n">
        <v>2</v>
      </c>
      <c r="F46" s="0" t="s">
        <v>92</v>
      </c>
      <c r="G46" s="0" t="n">
        <v>24</v>
      </c>
      <c r="H46" s="0" t="n">
        <v>77.78</v>
      </c>
      <c r="I46" s="0" t="s">
        <v>184</v>
      </c>
      <c r="J46" s="0" t="s">
        <v>181</v>
      </c>
      <c r="K46" s="0" t="s">
        <v>65</v>
      </c>
    </row>
    <row r="47" customFormat="false" ht="15" hidden="false" customHeight="false" outlineLevel="0" collapsed="false">
      <c r="A47" s="0" t="s">
        <v>185</v>
      </c>
      <c r="B47" s="0" t="s">
        <v>186</v>
      </c>
      <c r="C47" s="0" t="n">
        <v>2.2</v>
      </c>
      <c r="D47" s="0" t="n">
        <v>13.052</v>
      </c>
      <c r="E47" s="0" t="n">
        <v>1.72</v>
      </c>
      <c r="F47" s="0" t="s">
        <v>92</v>
      </c>
      <c r="G47" s="0" t="n">
        <v>24</v>
      </c>
      <c r="H47" s="0" t="n">
        <v>49.5</v>
      </c>
      <c r="I47" s="0" t="s">
        <v>187</v>
      </c>
      <c r="J47" s="0" t="s">
        <v>181</v>
      </c>
      <c r="K47" s="0" t="s">
        <v>65</v>
      </c>
    </row>
    <row r="48" customFormat="false" ht="15" hidden="false" customHeight="false" outlineLevel="0" collapsed="false">
      <c r="A48" s="5" t="s">
        <v>188</v>
      </c>
    </row>
    <row r="49" customFormat="false" ht="15" hidden="false" customHeight="false" outlineLevel="0" collapsed="false">
      <c r="A49" s="0" t="s">
        <v>189</v>
      </c>
      <c r="B49" s="0" t="s">
        <v>190</v>
      </c>
      <c r="C49" s="0" t="n">
        <v>5.542</v>
      </c>
      <c r="D49" s="0" t="n">
        <v>13.281</v>
      </c>
      <c r="E49" s="0" t="n">
        <v>2</v>
      </c>
      <c r="F49" s="0" t="s">
        <v>62</v>
      </c>
      <c r="G49" s="0" t="n">
        <v>16</v>
      </c>
      <c r="H49" s="0" t="n">
        <v>99.44</v>
      </c>
      <c r="I49" s="0" t="s">
        <v>191</v>
      </c>
      <c r="J49" s="0" t="s">
        <v>192</v>
      </c>
      <c r="K49" s="0" t="s">
        <v>65</v>
      </c>
    </row>
    <row r="50" customFormat="false" ht="15" hidden="false" customHeight="false" outlineLevel="0" collapsed="false">
      <c r="A50" s="0" t="s">
        <v>193</v>
      </c>
      <c r="B50" s="0" t="s">
        <v>194</v>
      </c>
      <c r="C50" s="0" t="n">
        <v>15.787</v>
      </c>
      <c r="D50" s="0" t="n">
        <v>13.052</v>
      </c>
      <c r="E50" s="0" t="n">
        <v>2</v>
      </c>
      <c r="F50" s="0" t="s">
        <v>62</v>
      </c>
      <c r="G50" s="0" t="n">
        <v>16</v>
      </c>
      <c r="H50" s="0" t="n">
        <v>268.78</v>
      </c>
      <c r="I50" s="0" t="s">
        <v>195</v>
      </c>
      <c r="J50" s="0" t="s">
        <v>192</v>
      </c>
      <c r="K50" s="0" t="s">
        <v>65</v>
      </c>
    </row>
    <row r="51" customFormat="false" ht="15" hidden="false" customHeight="false" outlineLevel="0" collapsed="false">
      <c r="A51" s="0" t="s">
        <v>196</v>
      </c>
      <c r="B51" s="0" t="s">
        <v>197</v>
      </c>
      <c r="C51" s="0" t="n">
        <v>5.667</v>
      </c>
      <c r="D51" s="0" t="n">
        <v>15.375</v>
      </c>
      <c r="E51" s="0" t="n">
        <v>2</v>
      </c>
      <c r="F51" s="0" t="s">
        <v>62</v>
      </c>
      <c r="G51" s="0" t="n">
        <v>16</v>
      </c>
      <c r="H51" s="0" t="n">
        <v>111.66</v>
      </c>
      <c r="I51" s="0" t="s">
        <v>198</v>
      </c>
      <c r="J51" s="0" t="s">
        <v>192</v>
      </c>
      <c r="K51" s="0" t="s">
        <v>154</v>
      </c>
    </row>
    <row r="52" customFormat="false" ht="15" hidden="false" customHeight="false" outlineLevel="0" collapsed="false">
      <c r="A52" s="0" t="s">
        <v>199</v>
      </c>
      <c r="B52" s="0" t="s">
        <v>200</v>
      </c>
      <c r="C52" s="0" t="n">
        <v>11.407</v>
      </c>
      <c r="D52" s="0" t="n">
        <v>11.91</v>
      </c>
      <c r="E52" s="0" t="n">
        <v>2</v>
      </c>
      <c r="F52" s="0" t="s">
        <v>62</v>
      </c>
      <c r="G52" s="0" t="n">
        <v>16</v>
      </c>
      <c r="H52" s="0" t="n">
        <v>297.76</v>
      </c>
      <c r="I52" s="0" t="s">
        <v>201</v>
      </c>
      <c r="J52" s="0" t="s">
        <v>192</v>
      </c>
      <c r="K52" s="0" t="s">
        <v>65</v>
      </c>
    </row>
    <row r="53" customFormat="false" ht="15" hidden="false" customHeight="false" outlineLevel="0" collapsed="false">
      <c r="A53" s="5" t="s">
        <v>202</v>
      </c>
    </row>
    <row r="54" customFormat="false" ht="15" hidden="false" customHeight="false" outlineLevel="0" collapsed="false">
      <c r="A54" s="0" t="s">
        <v>203</v>
      </c>
      <c r="B54" s="0" t="s">
        <v>204</v>
      </c>
      <c r="C54" s="0" t="n">
        <v>2.207</v>
      </c>
      <c r="D54" s="0" t="n">
        <v>15.375</v>
      </c>
      <c r="E54" s="0" t="n">
        <v>2</v>
      </c>
      <c r="F54" s="0" t="s">
        <v>62</v>
      </c>
      <c r="G54" s="0" t="n">
        <v>24</v>
      </c>
      <c r="H54" s="0" t="n">
        <v>67.87</v>
      </c>
      <c r="I54" s="0" t="s">
        <v>205</v>
      </c>
      <c r="J54" s="0" t="s">
        <v>181</v>
      </c>
      <c r="K54" s="0" t="s">
        <v>65</v>
      </c>
    </row>
    <row r="55" customFormat="false" ht="15" hidden="false" customHeight="false" outlineLevel="0" collapsed="false">
      <c r="A55" s="5" t="s">
        <v>206</v>
      </c>
    </row>
    <row r="56" customFormat="false" ht="15" hidden="false" customHeight="false" outlineLevel="0" collapsed="false">
      <c r="A56" s="0" t="s">
        <v>207</v>
      </c>
      <c r="B56" s="0" t="s">
        <v>208</v>
      </c>
      <c r="C56" s="0" t="n">
        <v>16.913</v>
      </c>
      <c r="D56" s="0" t="n">
        <v>15.375</v>
      </c>
      <c r="E56" s="0" t="n">
        <v>2</v>
      </c>
      <c r="F56" s="0" t="s">
        <v>92</v>
      </c>
      <c r="G56" s="0" t="n">
        <v>16</v>
      </c>
      <c r="H56" s="0" t="n">
        <v>309.25</v>
      </c>
      <c r="I56" s="0" t="s">
        <v>209</v>
      </c>
      <c r="J56" s="0" t="s">
        <v>210</v>
      </c>
      <c r="K56" s="0" t="s">
        <v>65</v>
      </c>
    </row>
    <row r="57" customFormat="false" ht="15" hidden="false" customHeight="false" outlineLevel="0" collapsed="false">
      <c r="A57" s="5" t="s">
        <v>211</v>
      </c>
    </row>
    <row r="58" customFormat="false" ht="15" hidden="false" customHeight="false" outlineLevel="0" collapsed="false">
      <c r="A58" s="0" t="s">
        <v>212</v>
      </c>
      <c r="B58" s="0" t="s">
        <v>213</v>
      </c>
      <c r="C58" s="0" t="n">
        <v>9.987</v>
      </c>
      <c r="D58" s="0" t="n">
        <v>13.052</v>
      </c>
      <c r="E58" s="0" t="n">
        <v>2</v>
      </c>
      <c r="F58" s="0" t="s">
        <v>92</v>
      </c>
      <c r="G58" s="0" t="n">
        <v>16</v>
      </c>
      <c r="H58" s="0" t="n">
        <v>260.7</v>
      </c>
      <c r="I58" s="0" t="s">
        <v>214</v>
      </c>
      <c r="J58" s="0" t="s">
        <v>192</v>
      </c>
      <c r="K58" s="0" t="s">
        <v>65</v>
      </c>
    </row>
    <row r="59" customFormat="false" ht="15" hidden="false" customHeight="false" outlineLevel="0" collapsed="false">
      <c r="A59" s="0" t="s">
        <v>215</v>
      </c>
      <c r="B59" s="0" t="s">
        <v>216</v>
      </c>
      <c r="C59" s="0" t="n">
        <v>9.583</v>
      </c>
      <c r="D59" s="0" t="n">
        <v>13.052</v>
      </c>
      <c r="E59" s="0" t="n">
        <v>2</v>
      </c>
      <c r="F59" s="0" t="s">
        <v>92</v>
      </c>
      <c r="G59" s="0" t="n">
        <v>16</v>
      </c>
      <c r="H59" s="0" t="n">
        <v>250.16</v>
      </c>
      <c r="I59" s="0" t="s">
        <v>217</v>
      </c>
      <c r="J59" s="0" t="s">
        <v>192</v>
      </c>
      <c r="K59" s="0" t="s">
        <v>154</v>
      </c>
    </row>
    <row r="60" customFormat="false" ht="15" hidden="false" customHeight="false" outlineLevel="0" collapsed="false">
      <c r="A60" s="0" t="s">
        <v>218</v>
      </c>
      <c r="B60" s="0" t="s">
        <v>219</v>
      </c>
      <c r="C60" s="0" t="n">
        <v>13.74</v>
      </c>
      <c r="D60" s="0" t="n">
        <v>13.052</v>
      </c>
      <c r="E60" s="0" t="n">
        <v>2</v>
      </c>
      <c r="F60" s="0" t="s">
        <v>92</v>
      </c>
      <c r="G60" s="0" t="n">
        <v>16</v>
      </c>
      <c r="H60" s="0" t="n">
        <v>263.11</v>
      </c>
      <c r="I60" s="0" t="s">
        <v>220</v>
      </c>
      <c r="J60" s="0" t="s">
        <v>192</v>
      </c>
      <c r="K60" s="0" t="s">
        <v>65</v>
      </c>
    </row>
    <row r="61" customFormat="false" ht="15" hidden="false" customHeight="false" outlineLevel="0" collapsed="false">
      <c r="A61" s="0" t="s">
        <v>221</v>
      </c>
      <c r="B61" s="0" t="s">
        <v>222</v>
      </c>
      <c r="C61" s="0" t="n">
        <v>11.733</v>
      </c>
      <c r="D61" s="0" t="n">
        <v>13.052</v>
      </c>
      <c r="E61" s="0" t="n">
        <v>2</v>
      </c>
      <c r="F61" s="0" t="s">
        <v>92</v>
      </c>
      <c r="G61" s="0" t="n">
        <v>16</v>
      </c>
      <c r="H61" s="0" t="n">
        <v>258.5</v>
      </c>
      <c r="I61" s="0" t="s">
        <v>223</v>
      </c>
      <c r="J61" s="0" t="s">
        <v>192</v>
      </c>
      <c r="K61" s="0" t="s">
        <v>65</v>
      </c>
    </row>
    <row r="62" customFormat="false" ht="15" hidden="false" customHeight="false" outlineLevel="0" collapsed="false">
      <c r="A62" s="0" t="s">
        <v>224</v>
      </c>
      <c r="B62" s="0" t="s">
        <v>225</v>
      </c>
      <c r="C62" s="0" t="n">
        <v>11.733</v>
      </c>
      <c r="D62" s="0" t="n">
        <v>13.052</v>
      </c>
      <c r="E62" s="0" t="n">
        <v>2</v>
      </c>
      <c r="F62" s="0" t="s">
        <v>92</v>
      </c>
      <c r="G62" s="0" t="n">
        <v>16</v>
      </c>
      <c r="H62" s="0" t="n">
        <v>306.28</v>
      </c>
      <c r="I62" s="0" t="s">
        <v>226</v>
      </c>
      <c r="J62" s="0" t="s">
        <v>192</v>
      </c>
      <c r="K62" s="0" t="s">
        <v>65</v>
      </c>
    </row>
    <row r="63" customFormat="false" ht="15" hidden="false" customHeight="false" outlineLevel="0" collapsed="false">
      <c r="A63" s="0" t="s">
        <v>227</v>
      </c>
      <c r="B63" s="0" t="s">
        <v>228</v>
      </c>
      <c r="C63" s="0" t="n">
        <v>3.5</v>
      </c>
      <c r="D63" s="0" t="n">
        <v>13.052</v>
      </c>
      <c r="E63" s="0" t="n">
        <v>2</v>
      </c>
      <c r="F63" s="0" t="s">
        <v>92</v>
      </c>
      <c r="G63" s="0" t="n">
        <v>16</v>
      </c>
      <c r="H63" s="0" t="n">
        <v>91.36</v>
      </c>
      <c r="I63" s="0" t="s">
        <v>229</v>
      </c>
      <c r="J63" s="0" t="s">
        <v>192</v>
      </c>
      <c r="K63" s="0" t="s">
        <v>154</v>
      </c>
    </row>
    <row r="64" customFormat="false" ht="15" hidden="false" customHeight="false" outlineLevel="0" collapsed="false">
      <c r="A64" s="5" t="s">
        <v>230</v>
      </c>
    </row>
    <row r="65" customFormat="false" ht="15" hidden="false" customHeight="false" outlineLevel="0" collapsed="false">
      <c r="A65" s="0" t="s">
        <v>231</v>
      </c>
      <c r="B65" s="0" t="s">
        <v>232</v>
      </c>
      <c r="C65" s="0" t="n">
        <v>10.027</v>
      </c>
      <c r="D65" s="0" t="n">
        <v>13.052</v>
      </c>
      <c r="E65" s="0" t="n">
        <v>1</v>
      </c>
      <c r="F65" s="0" t="s">
        <v>92</v>
      </c>
      <c r="G65" s="0" t="n">
        <v>16</v>
      </c>
      <c r="H65" s="0" t="n">
        <v>130.87</v>
      </c>
      <c r="I65" s="0" t="s">
        <v>233</v>
      </c>
      <c r="J65" s="0" t="s">
        <v>234</v>
      </c>
      <c r="K65" s="0" t="s">
        <v>65</v>
      </c>
    </row>
    <row r="66" customFormat="false" ht="15" hidden="false" customHeight="false" outlineLevel="0" collapsed="false">
      <c r="A66" s="0" t="s">
        <v>235</v>
      </c>
      <c r="B66" s="0" t="s">
        <v>236</v>
      </c>
      <c r="C66" s="0" t="n">
        <v>10.027</v>
      </c>
      <c r="D66" s="0" t="n">
        <v>13.052</v>
      </c>
      <c r="E66" s="0" t="n">
        <v>1</v>
      </c>
      <c r="F66" s="0" t="s">
        <v>92</v>
      </c>
      <c r="G66" s="0" t="n">
        <v>16</v>
      </c>
      <c r="H66" s="0" t="n">
        <v>130.87</v>
      </c>
      <c r="I66" s="0" t="s">
        <v>237</v>
      </c>
      <c r="J66" s="0" t="s">
        <v>234</v>
      </c>
      <c r="K66" s="0" t="s">
        <v>65</v>
      </c>
    </row>
    <row r="67" customFormat="false" ht="15" hidden="false" customHeight="false" outlineLevel="0" collapsed="false">
      <c r="A67" s="0" t="s">
        <v>238</v>
      </c>
      <c r="B67" s="0" t="s">
        <v>239</v>
      </c>
      <c r="C67" s="0" t="n">
        <v>2.927</v>
      </c>
      <c r="D67" s="0" t="n">
        <v>13.052</v>
      </c>
      <c r="E67" s="0" t="n">
        <v>1</v>
      </c>
      <c r="F67" s="0" t="s">
        <v>92</v>
      </c>
      <c r="G67" s="0" t="n">
        <v>16</v>
      </c>
      <c r="H67" s="0" t="n">
        <v>38.2</v>
      </c>
      <c r="I67" s="0" t="s">
        <v>240</v>
      </c>
      <c r="J67" s="0" t="s">
        <v>234</v>
      </c>
      <c r="K67" s="0" t="s">
        <v>65</v>
      </c>
    </row>
    <row r="68" customFormat="false" ht="15" hidden="false" customHeight="false" outlineLevel="0" collapsed="false">
      <c r="A68" s="0" t="s">
        <v>241</v>
      </c>
      <c r="B68" s="0" t="s">
        <v>242</v>
      </c>
      <c r="C68" s="0" t="n">
        <v>10.626</v>
      </c>
      <c r="D68" s="0" t="n">
        <v>15.375</v>
      </c>
      <c r="E68" s="0" t="n">
        <v>1</v>
      </c>
      <c r="F68" s="0" t="s">
        <v>92</v>
      </c>
      <c r="G68" s="0" t="n">
        <v>16</v>
      </c>
      <c r="H68" s="0" t="n">
        <v>163.37</v>
      </c>
      <c r="I68" s="0" t="s">
        <v>243</v>
      </c>
      <c r="J68" s="0" t="s">
        <v>234</v>
      </c>
      <c r="K68" s="0" t="s">
        <v>65</v>
      </c>
    </row>
    <row r="69" customFormat="false" ht="15" hidden="false" customHeight="false" outlineLevel="0" collapsed="false">
      <c r="A69" s="0" t="s">
        <v>244</v>
      </c>
      <c r="B69" s="0" t="s">
        <v>245</v>
      </c>
      <c r="C69" s="0" t="n">
        <v>3.06</v>
      </c>
      <c r="D69" s="0" t="n">
        <v>15.375</v>
      </c>
      <c r="E69" s="0" t="n">
        <v>1</v>
      </c>
      <c r="F69" s="0" t="s">
        <v>92</v>
      </c>
      <c r="G69" s="0" t="n">
        <v>16</v>
      </c>
      <c r="H69" s="0" t="n">
        <v>47.05</v>
      </c>
      <c r="I69" s="0" t="s">
        <v>246</v>
      </c>
      <c r="J69" s="0" t="s">
        <v>234</v>
      </c>
      <c r="K69" s="0" t="s">
        <v>65</v>
      </c>
    </row>
    <row r="70" customFormat="false" ht="15" hidden="false" customHeight="false" outlineLevel="0" collapsed="false">
      <c r="A70" s="0" t="s">
        <v>247</v>
      </c>
      <c r="B70" s="0" t="s">
        <v>248</v>
      </c>
      <c r="C70" s="0" t="n">
        <v>4</v>
      </c>
      <c r="D70" s="0" t="n">
        <v>15.375</v>
      </c>
      <c r="E70" s="0" t="n">
        <v>1</v>
      </c>
      <c r="F70" s="0" t="s">
        <v>92</v>
      </c>
      <c r="G70" s="0" t="n">
        <v>16</v>
      </c>
      <c r="H70" s="0" t="n">
        <v>61.52</v>
      </c>
      <c r="I70" s="0" t="s">
        <v>249</v>
      </c>
      <c r="J70" s="0" t="s">
        <v>234</v>
      </c>
      <c r="K70" s="0" t="s">
        <v>65</v>
      </c>
    </row>
    <row r="71" customFormat="false" ht="15" hidden="false" customHeight="false" outlineLevel="0" collapsed="false">
      <c r="A71" s="0" t="s">
        <v>250</v>
      </c>
      <c r="B71" s="0" t="s">
        <v>251</v>
      </c>
      <c r="C71" s="0" t="n">
        <v>2.893</v>
      </c>
      <c r="D71" s="0" t="n">
        <v>15.375</v>
      </c>
      <c r="E71" s="0" t="n">
        <v>1</v>
      </c>
      <c r="F71" s="0" t="s">
        <v>92</v>
      </c>
      <c r="G71" s="0" t="n">
        <v>16</v>
      </c>
      <c r="H71" s="0" t="n">
        <v>44.48</v>
      </c>
      <c r="I71" s="0" t="s">
        <v>252</v>
      </c>
      <c r="J71" s="0" t="s">
        <v>234</v>
      </c>
      <c r="K71" s="0" t="s">
        <v>65</v>
      </c>
    </row>
    <row r="72" customFormat="false" ht="15" hidden="false" customHeight="false" outlineLevel="0" collapsed="false">
      <c r="A72" s="0" t="s">
        <v>253</v>
      </c>
      <c r="B72" s="0" t="s">
        <v>254</v>
      </c>
      <c r="C72" s="0" t="n">
        <v>3.646</v>
      </c>
      <c r="D72" s="0" t="n">
        <v>15.375</v>
      </c>
      <c r="E72" s="0" t="n">
        <v>1</v>
      </c>
      <c r="F72" s="0" t="s">
        <v>92</v>
      </c>
      <c r="G72" s="0" t="n">
        <v>16</v>
      </c>
      <c r="H72" s="0" t="n">
        <v>56.06</v>
      </c>
      <c r="I72" s="0" t="s">
        <v>255</v>
      </c>
      <c r="J72" s="0" t="s">
        <v>234</v>
      </c>
      <c r="K72" s="0" t="s">
        <v>65</v>
      </c>
    </row>
    <row r="73" customFormat="false" ht="15" hidden="false" customHeight="false" outlineLevel="0" collapsed="false">
      <c r="A73" s="5" t="s">
        <v>256</v>
      </c>
    </row>
    <row r="74" customFormat="false" ht="15" hidden="false" customHeight="false" outlineLevel="0" collapsed="false">
      <c r="A74" s="0" t="s">
        <v>257</v>
      </c>
      <c r="B74" s="0" t="s">
        <v>258</v>
      </c>
      <c r="C74" s="0" t="n">
        <v>2.42</v>
      </c>
      <c r="D74" s="0" t="n">
        <v>14.383</v>
      </c>
      <c r="E74" s="0" t="n">
        <v>4</v>
      </c>
      <c r="F74" s="0" t="s">
        <v>259</v>
      </c>
      <c r="G74" s="0" t="n">
        <v>16</v>
      </c>
      <c r="H74" s="0" t="n">
        <v>148.82</v>
      </c>
      <c r="I74" s="0" t="s">
        <v>260</v>
      </c>
      <c r="J74" s="0" t="s">
        <v>261</v>
      </c>
      <c r="K74" s="0" t="s">
        <v>65</v>
      </c>
    </row>
    <row r="75" customFormat="false" ht="15" hidden="false" customHeight="false" outlineLevel="0" collapsed="false">
      <c r="A75" s="0" t="s">
        <v>262</v>
      </c>
      <c r="B75" s="0" t="s">
        <v>263</v>
      </c>
      <c r="C75" s="0" t="n">
        <v>3.467</v>
      </c>
      <c r="D75" s="0" t="n">
        <v>14.383</v>
      </c>
      <c r="E75" s="0" t="n">
        <v>4</v>
      </c>
      <c r="F75" s="0" t="s">
        <v>259</v>
      </c>
      <c r="G75" s="0" t="n">
        <v>16</v>
      </c>
      <c r="H75" s="0" t="n">
        <v>213.22</v>
      </c>
      <c r="I75" s="0" t="s">
        <v>264</v>
      </c>
      <c r="J75" s="0" t="s">
        <v>261</v>
      </c>
      <c r="K75" s="0" t="s">
        <v>65</v>
      </c>
    </row>
    <row r="76" customFormat="false" ht="15" hidden="false" customHeight="false" outlineLevel="0" collapsed="false">
      <c r="A76" s="0" t="s">
        <v>265</v>
      </c>
      <c r="B76" s="0" t="s">
        <v>266</v>
      </c>
      <c r="C76" s="0" t="n">
        <v>3.253</v>
      </c>
      <c r="D76" s="0" t="n">
        <v>15.375</v>
      </c>
      <c r="E76" s="0" t="n">
        <v>4</v>
      </c>
      <c r="F76" s="0" t="s">
        <v>259</v>
      </c>
      <c r="G76" s="0" t="n">
        <v>16</v>
      </c>
      <c r="H76" s="0" t="n">
        <v>200.06</v>
      </c>
      <c r="I76" s="0" t="s">
        <v>267</v>
      </c>
      <c r="J76" s="0" t="s">
        <v>261</v>
      </c>
      <c r="K76" s="0" t="s">
        <v>65</v>
      </c>
    </row>
    <row r="77" customFormat="false" ht="15" hidden="false" customHeight="false" outlineLevel="0" collapsed="false">
      <c r="A77" s="0" t="s">
        <v>268</v>
      </c>
      <c r="B77" s="0" t="s">
        <v>269</v>
      </c>
      <c r="C77" s="0" t="n">
        <v>3.253</v>
      </c>
      <c r="D77" s="0" t="n">
        <v>15.375</v>
      </c>
      <c r="E77" s="0" t="n">
        <v>4</v>
      </c>
      <c r="F77" s="0" t="s">
        <v>259</v>
      </c>
      <c r="G77" s="0" t="n">
        <v>16</v>
      </c>
      <c r="H77" s="0" t="n">
        <v>200.06</v>
      </c>
      <c r="I77" s="0" t="s">
        <v>270</v>
      </c>
      <c r="J77" s="0" t="s">
        <v>261</v>
      </c>
      <c r="K77" s="0" t="s">
        <v>65</v>
      </c>
    </row>
    <row r="78" customFormat="false" ht="15" hidden="false" customHeight="false" outlineLevel="0" collapsed="false">
      <c r="A78" s="0" t="s">
        <v>271</v>
      </c>
      <c r="B78" s="0" t="s">
        <v>272</v>
      </c>
      <c r="C78" s="0" t="n">
        <v>0.333</v>
      </c>
      <c r="D78" s="0" t="n">
        <v>15.375</v>
      </c>
      <c r="E78" s="0" t="n">
        <v>4</v>
      </c>
      <c r="F78" s="0" t="s">
        <v>259</v>
      </c>
      <c r="G78" s="0" t="n">
        <v>16</v>
      </c>
      <c r="H78" s="0" t="n">
        <v>20.48</v>
      </c>
      <c r="I78" s="0" t="s">
        <v>273</v>
      </c>
      <c r="J78" s="0" t="s">
        <v>261</v>
      </c>
      <c r="K78" s="0" t="s">
        <v>65</v>
      </c>
    </row>
    <row r="79" customFormat="false" ht="15" hidden="false" customHeight="false" outlineLevel="0" collapsed="false">
      <c r="A79" s="0" t="s">
        <v>274</v>
      </c>
      <c r="B79" s="0" t="s">
        <v>275</v>
      </c>
      <c r="C79" s="0" t="n">
        <v>11.771</v>
      </c>
      <c r="D79" s="0" t="n">
        <v>15.375</v>
      </c>
      <c r="E79" s="0" t="n">
        <v>4</v>
      </c>
      <c r="F79" s="0" t="s">
        <v>259</v>
      </c>
      <c r="G79" s="0" t="n">
        <v>16</v>
      </c>
      <c r="H79" s="0" t="n">
        <v>723.92</v>
      </c>
      <c r="I79" s="0" t="s">
        <v>276</v>
      </c>
      <c r="J79" s="0" t="s">
        <v>261</v>
      </c>
      <c r="K79" s="0" t="s">
        <v>65</v>
      </c>
    </row>
    <row r="80" customFormat="false" ht="15" hidden="false" customHeight="false" outlineLevel="0" collapsed="false">
      <c r="A80" s="0" t="s">
        <v>277</v>
      </c>
      <c r="B80" s="0" t="s">
        <v>278</v>
      </c>
      <c r="C80" s="0" t="n">
        <v>11.771</v>
      </c>
      <c r="D80" s="0" t="n">
        <v>15.375</v>
      </c>
      <c r="E80" s="0" t="n">
        <v>4</v>
      </c>
      <c r="F80" s="0" t="s">
        <v>259</v>
      </c>
      <c r="G80" s="0" t="n">
        <v>16</v>
      </c>
      <c r="H80" s="0" t="n">
        <v>723.92</v>
      </c>
      <c r="I80" s="0" t="s">
        <v>279</v>
      </c>
      <c r="J80" s="0" t="s">
        <v>261</v>
      </c>
      <c r="K80" s="0" t="s">
        <v>65</v>
      </c>
    </row>
    <row r="81" customFormat="false" ht="15" hidden="false" customHeight="false" outlineLevel="0" collapsed="false">
      <c r="A81" s="0" t="s">
        <v>280</v>
      </c>
      <c r="B81" s="0" t="s">
        <v>281</v>
      </c>
      <c r="C81" s="0" t="n">
        <v>10.073</v>
      </c>
      <c r="D81" s="0" t="n">
        <v>15.375</v>
      </c>
      <c r="E81" s="0" t="n">
        <v>4</v>
      </c>
      <c r="F81" s="0" t="s">
        <v>259</v>
      </c>
      <c r="G81" s="0" t="n">
        <v>16</v>
      </c>
      <c r="H81" s="0" t="n">
        <v>619.48</v>
      </c>
      <c r="I81" s="0" t="s">
        <v>282</v>
      </c>
      <c r="J81" s="0" t="s">
        <v>261</v>
      </c>
      <c r="K81" s="0" t="s">
        <v>65</v>
      </c>
    </row>
    <row r="82" customFormat="false" ht="15" hidden="false" customHeight="false" outlineLevel="0" collapsed="false">
      <c r="A82" s="0" t="s">
        <v>283</v>
      </c>
      <c r="B82" s="0" t="s">
        <v>284</v>
      </c>
      <c r="C82" s="0" t="n">
        <v>12.333</v>
      </c>
      <c r="D82" s="0" t="n">
        <v>15.375</v>
      </c>
      <c r="E82" s="0" t="n">
        <v>4</v>
      </c>
      <c r="F82" s="0" t="s">
        <v>259</v>
      </c>
      <c r="G82" s="0" t="n">
        <v>16</v>
      </c>
      <c r="H82" s="0" t="n">
        <v>758.48</v>
      </c>
      <c r="I82" s="0" t="s">
        <v>285</v>
      </c>
      <c r="J82" s="0" t="s">
        <v>261</v>
      </c>
      <c r="K82" s="0" t="s">
        <v>65</v>
      </c>
    </row>
    <row r="83" customFormat="false" ht="15" hidden="false" customHeight="false" outlineLevel="0" collapsed="false">
      <c r="A83" s="0" t="s">
        <v>286</v>
      </c>
      <c r="B83" s="0" t="s">
        <v>287</v>
      </c>
      <c r="C83" s="0" t="n">
        <v>11.625</v>
      </c>
      <c r="D83" s="0" t="n">
        <v>15.375</v>
      </c>
      <c r="E83" s="0" t="n">
        <v>4</v>
      </c>
      <c r="F83" s="0" t="s">
        <v>259</v>
      </c>
      <c r="G83" s="0" t="n">
        <v>16</v>
      </c>
      <c r="H83" s="0" t="n">
        <v>714.94</v>
      </c>
      <c r="I83" s="0" t="s">
        <v>288</v>
      </c>
      <c r="J83" s="0" t="s">
        <v>261</v>
      </c>
      <c r="K83" s="0" t="s">
        <v>65</v>
      </c>
    </row>
    <row r="84" customFormat="false" ht="15" hidden="false" customHeight="false" outlineLevel="0" collapsed="false">
      <c r="A84" s="0" t="s">
        <v>289</v>
      </c>
      <c r="B84" s="0" t="s">
        <v>290</v>
      </c>
      <c r="C84" s="0" t="n">
        <v>11.625</v>
      </c>
      <c r="D84" s="0" t="n">
        <v>15.375</v>
      </c>
      <c r="E84" s="0" t="n">
        <v>4</v>
      </c>
      <c r="F84" s="0" t="s">
        <v>259</v>
      </c>
      <c r="G84" s="0" t="n">
        <v>16</v>
      </c>
      <c r="H84" s="0" t="n">
        <v>714.94</v>
      </c>
      <c r="I84" s="0" t="s">
        <v>291</v>
      </c>
      <c r="J84" s="0" t="s">
        <v>261</v>
      </c>
      <c r="K84" s="0" t="s">
        <v>65</v>
      </c>
    </row>
    <row r="85" customFormat="false" ht="15" hidden="false" customHeight="false" outlineLevel="0" collapsed="false">
      <c r="A85" s="5" t="s">
        <v>292</v>
      </c>
    </row>
    <row r="86" customFormat="false" ht="15" hidden="false" customHeight="false" outlineLevel="0" collapsed="false">
      <c r="A86" s="0" t="s">
        <v>293</v>
      </c>
      <c r="B86" s="0" t="s">
        <v>294</v>
      </c>
      <c r="C86" s="0" t="n">
        <v>11.771</v>
      </c>
      <c r="D86" s="0" t="n">
        <v>15.375</v>
      </c>
      <c r="E86" s="0" t="n">
        <v>4</v>
      </c>
      <c r="F86" s="0" t="s">
        <v>259</v>
      </c>
      <c r="G86" s="0" t="n">
        <v>16</v>
      </c>
      <c r="H86" s="0" t="n">
        <v>723.92</v>
      </c>
      <c r="I86" s="0" t="s">
        <v>295</v>
      </c>
      <c r="J86" s="0" t="s">
        <v>261</v>
      </c>
      <c r="K86" s="0" t="s">
        <v>65</v>
      </c>
    </row>
    <row r="87" customFormat="false" ht="15" hidden="false" customHeight="false" outlineLevel="0" collapsed="false">
      <c r="A87" s="0" t="s">
        <v>296</v>
      </c>
      <c r="B87" s="0" t="s">
        <v>297</v>
      </c>
      <c r="C87" s="0" t="n">
        <v>0.333</v>
      </c>
      <c r="D87" s="0" t="n">
        <v>15.375</v>
      </c>
      <c r="E87" s="0" t="n">
        <v>4</v>
      </c>
      <c r="F87" s="0" t="s">
        <v>259</v>
      </c>
      <c r="G87" s="0" t="n">
        <v>16</v>
      </c>
      <c r="H87" s="0" t="n">
        <v>20.48</v>
      </c>
      <c r="I87" s="0" t="s">
        <v>298</v>
      </c>
      <c r="J87" s="0" t="s">
        <v>261</v>
      </c>
      <c r="K87" s="0" t="s">
        <v>65</v>
      </c>
    </row>
    <row r="88" customFormat="false" ht="15" hidden="false" customHeight="false" outlineLevel="0" collapsed="false">
      <c r="A88" s="0" t="s">
        <v>299</v>
      </c>
      <c r="B88" s="0" t="s">
        <v>300</v>
      </c>
      <c r="C88" s="0" t="n">
        <v>3.507</v>
      </c>
      <c r="D88" s="0" t="n">
        <v>15.375</v>
      </c>
      <c r="E88" s="0" t="n">
        <v>4</v>
      </c>
      <c r="F88" s="0" t="s">
        <v>259</v>
      </c>
      <c r="G88" s="0" t="n">
        <v>16</v>
      </c>
      <c r="H88" s="0" t="n">
        <v>215.68</v>
      </c>
      <c r="I88" s="0" t="s">
        <v>301</v>
      </c>
      <c r="J88" s="0" t="s">
        <v>261</v>
      </c>
      <c r="K88" s="0" t="s">
        <v>65</v>
      </c>
    </row>
    <row r="89" customFormat="false" ht="15" hidden="false" customHeight="false" outlineLevel="0" collapsed="false">
      <c r="A89" s="0" t="s">
        <v>302</v>
      </c>
      <c r="B89" s="0" t="s">
        <v>303</v>
      </c>
      <c r="C89" s="0" t="n">
        <v>3.18</v>
      </c>
      <c r="D89" s="0" t="n">
        <v>15.375</v>
      </c>
      <c r="E89" s="0" t="n">
        <v>4</v>
      </c>
      <c r="F89" s="0" t="s">
        <v>259</v>
      </c>
      <c r="G89" s="0" t="n">
        <v>16</v>
      </c>
      <c r="H89" s="0" t="n">
        <v>195.58</v>
      </c>
      <c r="I89" s="0" t="s">
        <v>304</v>
      </c>
      <c r="J89" s="0" t="s">
        <v>261</v>
      </c>
      <c r="K89" s="0" t="s">
        <v>65</v>
      </c>
    </row>
    <row r="90" customFormat="false" ht="15" hidden="false" customHeight="false" outlineLevel="0" collapsed="false">
      <c r="A90" s="5" t="s">
        <v>305</v>
      </c>
    </row>
    <row r="91" customFormat="false" ht="15" hidden="false" customHeight="false" outlineLevel="0" collapsed="false">
      <c r="A91" s="0" t="s">
        <v>306</v>
      </c>
      <c r="B91" s="0" t="s">
        <v>307</v>
      </c>
      <c r="C91" s="0" t="n">
        <v>30</v>
      </c>
      <c r="D91" s="0" t="n">
        <v>6.837</v>
      </c>
      <c r="E91" s="0" t="n">
        <v>4</v>
      </c>
      <c r="F91" s="0" t="s">
        <v>259</v>
      </c>
      <c r="G91" s="0" t="n">
        <v>16</v>
      </c>
      <c r="H91" s="0" t="n">
        <v>880</v>
      </c>
      <c r="I91" s="0" t="s">
        <v>308</v>
      </c>
      <c r="J91" s="0" t="s">
        <v>309</v>
      </c>
      <c r="K91" s="0" t="s">
        <v>65</v>
      </c>
    </row>
    <row r="92" customFormat="false" ht="15" hidden="false" customHeight="false" outlineLevel="0" collapsed="false">
      <c r="A92" s="0" t="s">
        <v>310</v>
      </c>
      <c r="B92" s="0" t="s">
        <v>311</v>
      </c>
      <c r="C92" s="0" t="n">
        <v>15</v>
      </c>
      <c r="D92" s="0" t="n">
        <v>7.375</v>
      </c>
      <c r="E92" s="0" t="n">
        <v>4</v>
      </c>
      <c r="F92" s="0" t="s">
        <v>259</v>
      </c>
      <c r="G92" s="0" t="n">
        <v>16</v>
      </c>
      <c r="H92" s="0" t="n">
        <v>442.48</v>
      </c>
      <c r="I92" s="0" t="s">
        <v>312</v>
      </c>
      <c r="J92" s="0" t="s">
        <v>309</v>
      </c>
      <c r="K92" s="0" t="s">
        <v>65</v>
      </c>
    </row>
    <row r="93" customFormat="false" ht="15" hidden="false" customHeight="false" outlineLevel="0" collapsed="false">
      <c r="B93" s="6" t="s">
        <v>313</v>
      </c>
      <c r="C93" s="4" t="n">
        <f aca="false">SUM(C5:C92)</f>
        <v>966.815</v>
      </c>
      <c r="H93" s="4" t="n">
        <f aca="false">SUM(H5:H92)</f>
        <v>16213.22</v>
      </c>
    </row>
    <row r="95" customFormat="false" ht="15" hidden="false" customHeight="false" outlineLevel="0" collapsed="false">
      <c r="A95" s="5" t="s">
        <v>314</v>
      </c>
    </row>
    <row r="96" customFormat="false" ht="15" hidden="false" customHeight="false" outlineLevel="0" collapsed="false">
      <c r="A96" s="0" t="s">
        <v>315</v>
      </c>
      <c r="B96" s="0" t="s">
        <v>316</v>
      </c>
      <c r="C96" s="0" t="n">
        <v>13.333</v>
      </c>
      <c r="D96" s="0" t="n">
        <v>2</v>
      </c>
      <c r="E96" s="0" t="n">
        <v>2</v>
      </c>
      <c r="F96" s="0" t="s">
        <v>317</v>
      </c>
      <c r="G96" s="0" t="n">
        <v>16</v>
      </c>
      <c r="H96" s="0" t="n">
        <v>53.34</v>
      </c>
      <c r="I96" s="0" t="s">
        <v>318</v>
      </c>
      <c r="J96" s="0" t="s">
        <v>319</v>
      </c>
      <c r="K96" s="0" t="s">
        <v>65</v>
      </c>
    </row>
    <row r="97" customFormat="false" ht="15" hidden="false" customHeight="false" outlineLevel="0" collapsed="false">
      <c r="A97" s="0" t="s">
        <v>320</v>
      </c>
      <c r="B97" s="0" t="s">
        <v>321</v>
      </c>
      <c r="C97" s="0" t="n">
        <v>12.563</v>
      </c>
      <c r="D97" s="0" t="n">
        <v>1.556</v>
      </c>
      <c r="E97" s="0" t="n">
        <v>1</v>
      </c>
      <c r="F97" s="0" t="s">
        <v>62</v>
      </c>
      <c r="G97" s="0" t="n">
        <v>16</v>
      </c>
      <c r="H97" s="0" t="n">
        <v>86.37</v>
      </c>
      <c r="I97" s="0" t="s">
        <v>322</v>
      </c>
      <c r="J97" s="0" t="s">
        <v>323</v>
      </c>
      <c r="K97" s="0" t="s">
        <v>65</v>
      </c>
    </row>
    <row r="98" customFormat="false" ht="15" hidden="false" customHeight="false" outlineLevel="0" collapsed="false">
      <c r="A98" s="0" t="s">
        <v>324</v>
      </c>
      <c r="B98" s="0" t="s">
        <v>325</v>
      </c>
      <c r="C98" s="0" t="n">
        <v>12.563</v>
      </c>
      <c r="D98" s="0" t="n">
        <v>2.41</v>
      </c>
      <c r="E98" s="0" t="n">
        <v>0</v>
      </c>
      <c r="F98" s="0" t="s">
        <v>62</v>
      </c>
      <c r="G98" s="0" t="n">
        <v>16</v>
      </c>
      <c r="H98" s="0" t="n">
        <v>0</v>
      </c>
      <c r="I98" s="0" t="s">
        <v>326</v>
      </c>
      <c r="J98" s="0" t="s">
        <v>323</v>
      </c>
      <c r="K98" s="0" t="s">
        <v>65</v>
      </c>
    </row>
    <row r="99" customFormat="false" ht="15" hidden="false" customHeight="false" outlineLevel="0" collapsed="false">
      <c r="A99" s="0" t="s">
        <v>327</v>
      </c>
      <c r="B99" s="0" t="s">
        <v>328</v>
      </c>
      <c r="C99" s="0" t="n">
        <v>26.25</v>
      </c>
      <c r="D99" s="0" t="n">
        <v>1.546</v>
      </c>
      <c r="E99" s="0" t="n">
        <v>1</v>
      </c>
      <c r="F99" s="0" t="s">
        <v>62</v>
      </c>
      <c r="G99" s="0" t="n">
        <v>16</v>
      </c>
      <c r="H99" s="0" t="n">
        <v>180.47</v>
      </c>
      <c r="I99" s="0" t="s">
        <v>329</v>
      </c>
      <c r="J99" s="0" t="s">
        <v>323</v>
      </c>
      <c r="K99" s="0" t="s">
        <v>65</v>
      </c>
    </row>
    <row r="100" customFormat="false" ht="15" hidden="false" customHeight="false" outlineLevel="0" collapsed="false">
      <c r="A100" s="0" t="s">
        <v>330</v>
      </c>
      <c r="B100" s="0" t="s">
        <v>331</v>
      </c>
      <c r="C100" s="0" t="n">
        <v>26.25</v>
      </c>
      <c r="D100" s="0" t="n">
        <v>1.671</v>
      </c>
      <c r="E100" s="0" t="n">
        <v>0</v>
      </c>
      <c r="F100" s="0" t="s">
        <v>62</v>
      </c>
      <c r="G100" s="0" t="n">
        <v>16</v>
      </c>
      <c r="H100" s="0" t="n">
        <v>0</v>
      </c>
      <c r="I100" s="0" t="s">
        <v>332</v>
      </c>
      <c r="J100" s="0" t="s">
        <v>323</v>
      </c>
      <c r="K100" s="0" t="s">
        <v>65</v>
      </c>
    </row>
    <row r="101" customFormat="false" ht="15" hidden="false" customHeight="false" outlineLevel="0" collapsed="false">
      <c r="A101" s="0" t="s">
        <v>333</v>
      </c>
      <c r="B101" s="0" t="s">
        <v>334</v>
      </c>
      <c r="C101" s="0" t="n">
        <v>6.5</v>
      </c>
      <c r="D101" s="0" t="n">
        <v>1.067</v>
      </c>
      <c r="E101" s="0" t="n">
        <v>1</v>
      </c>
      <c r="F101" s="0" t="s">
        <v>62</v>
      </c>
      <c r="G101" s="0" t="n">
        <v>16</v>
      </c>
      <c r="H101" s="0" t="n">
        <v>44.69</v>
      </c>
      <c r="I101" s="0" t="s">
        <v>335</v>
      </c>
      <c r="J101" s="0" t="s">
        <v>323</v>
      </c>
      <c r="K101" s="0" t="s">
        <v>65</v>
      </c>
    </row>
    <row r="102" customFormat="false" ht="15" hidden="false" customHeight="false" outlineLevel="0" collapsed="false">
      <c r="A102" s="0" t="s">
        <v>336</v>
      </c>
      <c r="B102" s="0" t="s">
        <v>337</v>
      </c>
      <c r="C102" s="0" t="n">
        <v>6.5</v>
      </c>
      <c r="D102" s="0" t="n">
        <v>2.608</v>
      </c>
      <c r="E102" s="0" t="n">
        <v>0</v>
      </c>
      <c r="F102" s="0" t="s">
        <v>62</v>
      </c>
      <c r="G102" s="0" t="n">
        <v>16</v>
      </c>
      <c r="H102" s="0" t="n">
        <v>0</v>
      </c>
      <c r="I102" s="0" t="s">
        <v>338</v>
      </c>
      <c r="J102" s="0" t="s">
        <v>323</v>
      </c>
      <c r="K102" s="0" t="s">
        <v>65</v>
      </c>
    </row>
    <row r="103" customFormat="false" ht="15" hidden="false" customHeight="false" outlineLevel="0" collapsed="false">
      <c r="A103" s="0" t="s">
        <v>339</v>
      </c>
      <c r="B103" s="0" t="s">
        <v>340</v>
      </c>
      <c r="C103" s="0" t="n">
        <v>15.646</v>
      </c>
      <c r="D103" s="0" t="n">
        <v>5.375</v>
      </c>
      <c r="E103" s="0" t="n">
        <v>0</v>
      </c>
      <c r="F103" s="0" t="s">
        <v>92</v>
      </c>
      <c r="G103" s="0" t="n">
        <v>16</v>
      </c>
      <c r="H103" s="0" t="n">
        <v>0</v>
      </c>
      <c r="I103" s="0" t="s">
        <v>341</v>
      </c>
      <c r="J103" s="0" t="s">
        <v>342</v>
      </c>
      <c r="K103" s="0" t="s">
        <v>65</v>
      </c>
    </row>
    <row r="104" customFormat="false" ht="15" hidden="false" customHeight="false" outlineLevel="0" collapsed="false">
      <c r="A104" s="0" t="s">
        <v>343</v>
      </c>
      <c r="B104" s="0" t="s">
        <v>344</v>
      </c>
      <c r="C104" s="0" t="n">
        <v>6.417</v>
      </c>
      <c r="D104" s="0" t="n">
        <v>4.383</v>
      </c>
      <c r="E104" s="0" t="n">
        <v>1</v>
      </c>
      <c r="F104" s="0" t="s">
        <v>92</v>
      </c>
      <c r="G104" s="0" t="n">
        <v>16</v>
      </c>
      <c r="H104" s="0" t="n">
        <v>9.63</v>
      </c>
      <c r="I104" s="0" t="s">
        <v>345</v>
      </c>
      <c r="J104" s="0" t="s">
        <v>342</v>
      </c>
      <c r="K104" s="0" t="s">
        <v>65</v>
      </c>
    </row>
    <row r="105" customFormat="false" ht="15" hidden="false" customHeight="false" outlineLevel="0" collapsed="false">
      <c r="A105" s="0" t="s">
        <v>346</v>
      </c>
      <c r="B105" s="0" t="s">
        <v>347</v>
      </c>
      <c r="C105" s="0" t="n">
        <v>51.594</v>
      </c>
      <c r="D105" s="0" t="n">
        <v>2.323</v>
      </c>
      <c r="E105" s="0" t="n">
        <v>0</v>
      </c>
      <c r="F105" s="0" t="s">
        <v>92</v>
      </c>
      <c r="G105" s="0" t="n">
        <v>16</v>
      </c>
      <c r="H105" s="0" t="n">
        <v>0</v>
      </c>
      <c r="I105" s="0" t="s">
        <v>348</v>
      </c>
      <c r="J105" s="0" t="s">
        <v>349</v>
      </c>
      <c r="K105" s="0" t="s">
        <v>65</v>
      </c>
    </row>
    <row r="106" customFormat="false" ht="15" hidden="false" customHeight="false" outlineLevel="0" collapsed="false">
      <c r="A106" s="0" t="s">
        <v>350</v>
      </c>
      <c r="B106" s="0" t="s">
        <v>351</v>
      </c>
      <c r="C106" s="0" t="n">
        <v>51.594</v>
      </c>
      <c r="D106" s="0" t="n">
        <v>3.465</v>
      </c>
      <c r="E106" s="0" t="n">
        <v>1</v>
      </c>
      <c r="F106" s="0" t="s">
        <v>92</v>
      </c>
      <c r="G106" s="0" t="n">
        <v>16</v>
      </c>
      <c r="H106" s="0" t="n">
        <v>178.77</v>
      </c>
      <c r="I106" s="0" t="s">
        <v>352</v>
      </c>
      <c r="J106" s="0" t="s">
        <v>349</v>
      </c>
      <c r="K106" s="0" t="s">
        <v>65</v>
      </c>
    </row>
    <row r="107" customFormat="false" ht="15" hidden="false" customHeight="false" outlineLevel="0" collapsed="false">
      <c r="A107" s="0" t="s">
        <v>353</v>
      </c>
      <c r="B107" s="0" t="s">
        <v>354</v>
      </c>
      <c r="C107" s="0" t="n">
        <v>51.594</v>
      </c>
      <c r="D107" s="0" t="n">
        <v>1.142</v>
      </c>
      <c r="E107" s="0" t="n">
        <v>1</v>
      </c>
      <c r="F107" s="0" t="s">
        <v>92</v>
      </c>
      <c r="G107" s="0" t="n">
        <v>16</v>
      </c>
      <c r="H107" s="0" t="n">
        <v>58.92</v>
      </c>
      <c r="I107" s="0" t="s">
        <v>355</v>
      </c>
      <c r="J107" s="0" t="s">
        <v>349</v>
      </c>
      <c r="K107" s="0" t="s">
        <v>65</v>
      </c>
    </row>
    <row r="108" customFormat="false" ht="15" hidden="false" customHeight="false" outlineLevel="0" collapsed="false">
      <c r="A108" s="0" t="s">
        <v>356</v>
      </c>
      <c r="B108" s="0" t="s">
        <v>357</v>
      </c>
      <c r="C108" s="0" t="n">
        <v>17.028</v>
      </c>
      <c r="D108" s="0" t="n">
        <v>4.375</v>
      </c>
      <c r="E108" s="0" t="n">
        <v>1</v>
      </c>
      <c r="F108" s="0" t="s">
        <v>92</v>
      </c>
      <c r="G108" s="0" t="n">
        <v>16</v>
      </c>
      <c r="H108" s="0" t="n">
        <v>17.03</v>
      </c>
      <c r="I108" s="0" t="s">
        <v>358</v>
      </c>
      <c r="J108" s="0" t="s">
        <v>359</v>
      </c>
      <c r="K108" s="0" t="s">
        <v>65</v>
      </c>
    </row>
    <row r="109" customFormat="false" ht="15" hidden="false" customHeight="false" outlineLevel="0" collapsed="false">
      <c r="A109" s="0" t="s">
        <v>360</v>
      </c>
      <c r="B109" s="0" t="s">
        <v>361</v>
      </c>
      <c r="C109" s="0" t="n">
        <v>30</v>
      </c>
      <c r="D109" s="0" t="n">
        <v>4.375</v>
      </c>
      <c r="E109" s="0" t="n">
        <v>1</v>
      </c>
      <c r="F109" s="0" t="s">
        <v>92</v>
      </c>
      <c r="G109" s="0" t="n">
        <v>16</v>
      </c>
      <c r="H109" s="0" t="n">
        <v>30</v>
      </c>
      <c r="I109" s="0" t="s">
        <v>362</v>
      </c>
      <c r="J109" s="0" t="s">
        <v>359</v>
      </c>
      <c r="K109" s="0" t="s">
        <v>65</v>
      </c>
    </row>
    <row r="110" customFormat="false" ht="15" hidden="false" customHeight="false" outlineLevel="0" collapsed="false">
      <c r="A110" s="0" t="s">
        <v>363</v>
      </c>
      <c r="B110" s="0" t="s">
        <v>364</v>
      </c>
      <c r="C110" s="0" t="n">
        <v>30</v>
      </c>
      <c r="D110" s="0" t="n">
        <v>4.375</v>
      </c>
      <c r="E110" s="0" t="n">
        <v>1</v>
      </c>
      <c r="F110" s="0" t="s">
        <v>92</v>
      </c>
      <c r="G110" s="0" t="n">
        <v>16</v>
      </c>
      <c r="H110" s="0" t="n">
        <v>30</v>
      </c>
      <c r="I110" s="0" t="s">
        <v>365</v>
      </c>
      <c r="J110" s="0" t="s">
        <v>359</v>
      </c>
      <c r="K110" s="0" t="s">
        <v>65</v>
      </c>
    </row>
    <row r="111" customFormat="false" ht="15" hidden="false" customHeight="false" outlineLevel="0" collapsed="false">
      <c r="A111" s="0" t="s">
        <v>366</v>
      </c>
      <c r="B111" s="0" t="s">
        <v>367</v>
      </c>
      <c r="C111" s="0" t="n">
        <v>5.089</v>
      </c>
      <c r="D111" s="0" t="n">
        <v>6.375</v>
      </c>
      <c r="E111" s="0" t="n">
        <v>2</v>
      </c>
      <c r="F111" s="0" t="s">
        <v>92</v>
      </c>
      <c r="G111" s="0" t="n">
        <v>16</v>
      </c>
      <c r="H111" s="0" t="n">
        <v>17.81</v>
      </c>
      <c r="I111" s="0" t="s">
        <v>368</v>
      </c>
      <c r="J111" s="0" t="s">
        <v>369</v>
      </c>
      <c r="K111" s="0" t="s">
        <v>65</v>
      </c>
    </row>
    <row r="112" customFormat="false" ht="15" hidden="false" customHeight="false" outlineLevel="0" collapsed="false">
      <c r="A112" s="0" t="s">
        <v>370</v>
      </c>
      <c r="B112" s="0" t="s">
        <v>371</v>
      </c>
      <c r="C112" s="0" t="n">
        <v>5.583</v>
      </c>
      <c r="D112" s="0" t="n">
        <v>6.875</v>
      </c>
      <c r="E112" s="0" t="n">
        <v>2</v>
      </c>
      <c r="F112" s="0" t="s">
        <v>92</v>
      </c>
      <c r="G112" s="0" t="n">
        <v>16</v>
      </c>
      <c r="H112" s="0" t="n">
        <v>22.33</v>
      </c>
      <c r="I112" s="0" t="s">
        <v>372</v>
      </c>
      <c r="J112" s="0" t="s">
        <v>369</v>
      </c>
      <c r="K112" s="0" t="s">
        <v>65</v>
      </c>
    </row>
    <row r="113" customFormat="false" ht="15" hidden="false" customHeight="false" outlineLevel="0" collapsed="false">
      <c r="A113" s="0" t="s">
        <v>373</v>
      </c>
      <c r="B113" s="0" t="s">
        <v>374</v>
      </c>
      <c r="C113" s="0" t="n">
        <v>6.539</v>
      </c>
      <c r="D113" s="0" t="n">
        <v>7.375</v>
      </c>
      <c r="E113" s="0" t="n">
        <v>1</v>
      </c>
      <c r="F113" s="0" t="s">
        <v>92</v>
      </c>
      <c r="G113" s="0" t="n">
        <v>16</v>
      </c>
      <c r="H113" s="0" t="n">
        <v>9.81</v>
      </c>
      <c r="I113" s="0" t="s">
        <v>375</v>
      </c>
      <c r="J113" s="0" t="s">
        <v>376</v>
      </c>
      <c r="K113" s="0" t="s">
        <v>65</v>
      </c>
    </row>
    <row r="114" customFormat="false" ht="15" hidden="false" customHeight="false" outlineLevel="0" collapsed="false">
      <c r="A114" s="0" t="s">
        <v>377</v>
      </c>
      <c r="B114" s="0" t="s">
        <v>378</v>
      </c>
      <c r="C114" s="0" t="n">
        <v>5.472</v>
      </c>
      <c r="D114" s="0" t="n">
        <v>5.052</v>
      </c>
      <c r="E114" s="0" t="n">
        <v>1</v>
      </c>
      <c r="F114" s="0" t="s">
        <v>92</v>
      </c>
      <c r="G114" s="0" t="n">
        <v>16</v>
      </c>
      <c r="H114" s="0" t="n">
        <v>8.21</v>
      </c>
      <c r="I114" s="0" t="s">
        <v>379</v>
      </c>
      <c r="J114" s="0" t="s">
        <v>376</v>
      </c>
      <c r="K114" s="0" t="s">
        <v>65</v>
      </c>
    </row>
    <row r="115" customFormat="false" ht="15" hidden="false" customHeight="false" outlineLevel="0" collapsed="false">
      <c r="A115" s="0" t="s">
        <v>380</v>
      </c>
      <c r="B115" s="0" t="s">
        <v>381</v>
      </c>
      <c r="C115" s="0" t="n">
        <v>6.539</v>
      </c>
      <c r="D115" s="0" t="n">
        <v>7.375</v>
      </c>
      <c r="E115" s="0" t="n">
        <v>1</v>
      </c>
      <c r="F115" s="0" t="s">
        <v>92</v>
      </c>
      <c r="G115" s="0" t="n">
        <v>16</v>
      </c>
      <c r="H115" s="0" t="n">
        <v>9.81</v>
      </c>
      <c r="I115" s="0" t="s">
        <v>382</v>
      </c>
      <c r="J115" s="0" t="s">
        <v>376</v>
      </c>
      <c r="K115" s="0" t="s">
        <v>65</v>
      </c>
    </row>
    <row r="116" customFormat="false" ht="15" hidden="false" customHeight="false" outlineLevel="0" collapsed="false">
      <c r="A116" s="0" t="s">
        <v>383</v>
      </c>
      <c r="B116" s="0" t="s">
        <v>384</v>
      </c>
      <c r="C116" s="0" t="n">
        <v>5.472</v>
      </c>
      <c r="D116" s="0" t="n">
        <v>5.052</v>
      </c>
      <c r="E116" s="0" t="n">
        <v>1</v>
      </c>
      <c r="F116" s="0" t="s">
        <v>92</v>
      </c>
      <c r="G116" s="0" t="n">
        <v>16</v>
      </c>
      <c r="H116" s="0" t="n">
        <v>8.21</v>
      </c>
      <c r="I116" s="0" t="s">
        <v>385</v>
      </c>
      <c r="J116" s="0" t="s">
        <v>376</v>
      </c>
      <c r="K116" s="0" t="s">
        <v>65</v>
      </c>
    </row>
    <row r="117" customFormat="false" ht="15" hidden="false" customHeight="false" outlineLevel="0" collapsed="false">
      <c r="A117" s="0" t="s">
        <v>386</v>
      </c>
      <c r="B117" s="0" t="s">
        <v>387</v>
      </c>
      <c r="C117" s="0" t="n">
        <v>78.161</v>
      </c>
      <c r="D117" s="0" t="n">
        <v>1.865</v>
      </c>
      <c r="E117" s="0" t="n">
        <v>0</v>
      </c>
      <c r="F117" s="0" t="s">
        <v>92</v>
      </c>
      <c r="G117" s="0" t="n">
        <v>16</v>
      </c>
      <c r="H117" s="0" t="n">
        <v>0</v>
      </c>
      <c r="I117" s="0" t="s">
        <v>388</v>
      </c>
      <c r="J117" s="0" t="s">
        <v>389</v>
      </c>
      <c r="K117" s="0" t="s">
        <v>65</v>
      </c>
    </row>
    <row r="118" customFormat="false" ht="15" hidden="false" customHeight="false" outlineLevel="0" collapsed="false">
      <c r="A118" s="0" t="s">
        <v>390</v>
      </c>
      <c r="B118" s="0" t="s">
        <v>391</v>
      </c>
      <c r="C118" s="0" t="n">
        <v>56.022</v>
      </c>
      <c r="D118" s="0" t="n">
        <v>1.865</v>
      </c>
      <c r="E118" s="0" t="n">
        <v>0</v>
      </c>
      <c r="F118" s="0" t="s">
        <v>92</v>
      </c>
      <c r="G118" s="0" t="n">
        <v>16</v>
      </c>
      <c r="H118" s="0" t="n">
        <v>0</v>
      </c>
      <c r="I118" s="0" t="s">
        <v>392</v>
      </c>
      <c r="J118" s="0" t="s">
        <v>393</v>
      </c>
      <c r="K118" s="0" t="s">
        <v>65</v>
      </c>
    </row>
    <row r="119" customFormat="false" ht="15" hidden="false" customHeight="false" outlineLevel="0" collapsed="false">
      <c r="A119" s="0" t="s">
        <v>394</v>
      </c>
      <c r="B119" s="0" t="s">
        <v>395</v>
      </c>
      <c r="C119" s="0" t="n">
        <v>21</v>
      </c>
      <c r="D119" s="0" t="n">
        <v>1.865</v>
      </c>
      <c r="E119" s="0" t="n">
        <v>0</v>
      </c>
      <c r="F119" s="0" t="s">
        <v>92</v>
      </c>
      <c r="G119" s="0" t="n">
        <v>16</v>
      </c>
      <c r="H119" s="0" t="n">
        <v>0</v>
      </c>
      <c r="I119" s="0" t="s">
        <v>396</v>
      </c>
      <c r="J119" s="0" t="s">
        <v>393</v>
      </c>
      <c r="K119" s="0" t="s">
        <v>65</v>
      </c>
    </row>
    <row r="120" customFormat="false" ht="15" hidden="false" customHeight="false" outlineLevel="0" collapsed="false">
      <c r="A120" s="0" t="s">
        <v>397</v>
      </c>
      <c r="B120" s="0" t="s">
        <v>398</v>
      </c>
      <c r="C120" s="0" t="n">
        <v>52.083</v>
      </c>
      <c r="D120" s="0" t="n">
        <v>1.865</v>
      </c>
      <c r="E120" s="0" t="n">
        <v>0</v>
      </c>
      <c r="F120" s="0" t="s">
        <v>92</v>
      </c>
      <c r="G120" s="0" t="n">
        <v>16</v>
      </c>
      <c r="H120" s="0" t="n">
        <v>0</v>
      </c>
      <c r="I120" s="0" t="s">
        <v>399</v>
      </c>
      <c r="J120" s="0" t="s">
        <v>400</v>
      </c>
      <c r="K120" s="0" t="s">
        <v>65</v>
      </c>
    </row>
    <row r="121" customFormat="false" ht="15" hidden="false" customHeight="false" outlineLevel="0" collapsed="false">
      <c r="A121" s="0" t="s">
        <v>401</v>
      </c>
      <c r="B121" s="0" t="s">
        <v>402</v>
      </c>
      <c r="C121" s="0" t="n">
        <v>2.494</v>
      </c>
      <c r="D121" s="0" t="n">
        <v>1.865</v>
      </c>
      <c r="E121" s="0" t="n">
        <v>0</v>
      </c>
      <c r="F121" s="0" t="s">
        <v>92</v>
      </c>
      <c r="G121" s="0" t="n">
        <v>16</v>
      </c>
      <c r="H121" s="0" t="n">
        <v>0</v>
      </c>
      <c r="I121" s="0" t="s">
        <v>403</v>
      </c>
      <c r="J121" s="0" t="s">
        <v>400</v>
      </c>
      <c r="K121" s="0" t="s">
        <v>65</v>
      </c>
    </row>
    <row r="122" customFormat="false" ht="15" hidden="false" customHeight="false" outlineLevel="0" collapsed="false">
      <c r="A122" s="0" t="s">
        <v>404</v>
      </c>
      <c r="B122" s="0" t="s">
        <v>405</v>
      </c>
      <c r="C122" s="0" t="n">
        <v>23</v>
      </c>
      <c r="D122" s="0" t="n">
        <v>1.865</v>
      </c>
      <c r="E122" s="0" t="n">
        <v>0</v>
      </c>
      <c r="F122" s="0" t="s">
        <v>92</v>
      </c>
      <c r="G122" s="0" t="n">
        <v>16</v>
      </c>
      <c r="H122" s="0" t="n">
        <v>0</v>
      </c>
      <c r="I122" s="0" t="s">
        <v>406</v>
      </c>
      <c r="J122" s="0" t="s">
        <v>400</v>
      </c>
      <c r="K122" s="0" t="s">
        <v>65</v>
      </c>
    </row>
    <row r="123" customFormat="false" ht="15" hidden="false" customHeight="false" outlineLevel="0" collapsed="false">
      <c r="A123" s="0" t="s">
        <v>407</v>
      </c>
      <c r="B123" s="0" t="s">
        <v>408</v>
      </c>
      <c r="C123" s="0" t="n">
        <v>2.472</v>
      </c>
      <c r="D123" s="0" t="n">
        <v>1.865</v>
      </c>
      <c r="E123" s="0" t="n">
        <v>0</v>
      </c>
      <c r="F123" s="0" t="s">
        <v>92</v>
      </c>
      <c r="G123" s="0" t="n">
        <v>16</v>
      </c>
      <c r="H123" s="0" t="n">
        <v>0</v>
      </c>
      <c r="I123" s="0" t="s">
        <v>409</v>
      </c>
      <c r="J123" s="0" t="s">
        <v>400</v>
      </c>
      <c r="K123" s="0" t="s">
        <v>65</v>
      </c>
    </row>
    <row r="124" customFormat="false" ht="15" hidden="false" customHeight="false" outlineLevel="0" collapsed="false">
      <c r="A124" s="0" t="s">
        <v>410</v>
      </c>
      <c r="B124" s="0" t="s">
        <v>411</v>
      </c>
      <c r="C124" s="0" t="n">
        <v>2.472</v>
      </c>
      <c r="D124" s="0" t="n">
        <v>1.865</v>
      </c>
      <c r="E124" s="0" t="n">
        <v>0</v>
      </c>
      <c r="F124" s="0" t="s">
        <v>92</v>
      </c>
      <c r="G124" s="0" t="n">
        <v>16</v>
      </c>
      <c r="H124" s="0" t="n">
        <v>0</v>
      </c>
      <c r="I124" s="0" t="s">
        <v>412</v>
      </c>
      <c r="J124" s="0" t="s">
        <v>400</v>
      </c>
      <c r="K124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413</v>
      </c>
    </row>
    <row r="2" customFormat="false" ht="15" hidden="false" customHeight="false" outlineLevel="0" collapsed="false">
      <c r="A2" s="0" t="s">
        <v>414</v>
      </c>
    </row>
    <row r="3" customFormat="false" ht="15" hidden="false" customHeight="false" outlineLevel="0" collapsed="false">
      <c r="A3" s="2" t="s">
        <v>415</v>
      </c>
      <c r="B3" s="2" t="s">
        <v>416</v>
      </c>
      <c r="C3" s="2" t="s">
        <v>417</v>
      </c>
      <c r="D3" s="2" t="s">
        <v>418</v>
      </c>
      <c r="E3" s="2" t="s">
        <v>419</v>
      </c>
      <c r="F3" s="2" t="s">
        <v>420</v>
      </c>
      <c r="G3" s="2" t="s">
        <v>421</v>
      </c>
      <c r="H3" s="2" t="s">
        <v>422</v>
      </c>
      <c r="I3" s="2" t="s">
        <v>423</v>
      </c>
      <c r="J3" s="2" t="s">
        <v>424</v>
      </c>
    </row>
    <row r="4" customFormat="false" ht="15" hidden="false" customHeight="false" outlineLevel="0" collapsed="false">
      <c r="A4" s="0" t="s">
        <v>425</v>
      </c>
      <c r="B4" s="0" t="s">
        <v>426</v>
      </c>
      <c r="C4" s="0" t="n">
        <v>4587.69</v>
      </c>
      <c r="D4" s="0" t="n">
        <f aca="false">Inputs!$B$5</f>
        <v>0.15</v>
      </c>
      <c r="E4" s="0" t="n">
        <f aca="false">C4*D4</f>
        <v>688.1535</v>
      </c>
      <c r="F4" s="0" t="n">
        <f aca="false">C4+E4</f>
        <v>5275.8435</v>
      </c>
      <c r="G4" s="0" t="s">
        <v>427</v>
      </c>
      <c r="H4" s="0" t="n">
        <f aca="false">ROUNDUP(F4/Inputs!$B$10,0)</f>
        <v>264</v>
      </c>
      <c r="I4" s="0" t="s">
        <v>428</v>
      </c>
    </row>
    <row r="5" customFormat="false" ht="15" hidden="false" customHeight="false" outlineLevel="0" collapsed="false">
      <c r="A5" s="0" t="s">
        <v>429</v>
      </c>
      <c r="B5" s="0" t="s">
        <v>426</v>
      </c>
      <c r="C5" s="0" t="n">
        <v>6879.25</v>
      </c>
      <c r="D5" s="0" t="n">
        <f aca="false">Inputs!$B$5</f>
        <v>0.15</v>
      </c>
      <c r="E5" s="0" t="n">
        <f aca="false">C5*D5</f>
        <v>1031.8875</v>
      </c>
      <c r="F5" s="0" t="n">
        <f aca="false">C5+E5</f>
        <v>7911.1375</v>
      </c>
      <c r="G5" s="0" t="s">
        <v>427</v>
      </c>
      <c r="H5" s="0" t="n">
        <f aca="false">ROUNDUP(F5/Inputs!$B$10,0)</f>
        <v>396</v>
      </c>
      <c r="I5" s="0" t="s">
        <v>430</v>
      </c>
    </row>
    <row r="6" customFormat="false" ht="15" hidden="false" customHeight="false" outlineLevel="0" collapsed="false">
      <c r="A6" s="0" t="s">
        <v>431</v>
      </c>
      <c r="B6" s="0" t="s">
        <v>426</v>
      </c>
      <c r="C6" s="0" t="n">
        <v>3983.76</v>
      </c>
      <c r="D6" s="0" t="n">
        <f aca="false">Inputs!$B$5</f>
        <v>0.15</v>
      </c>
      <c r="E6" s="0" t="n">
        <f aca="false">C6*D6</f>
        <v>597.564</v>
      </c>
      <c r="F6" s="0" t="n">
        <f aca="false">C6+E6</f>
        <v>4581.324</v>
      </c>
      <c r="G6" s="0" t="s">
        <v>427</v>
      </c>
      <c r="H6" s="0" t="n">
        <f aca="false">ROUNDUP(F6/Inputs!$B$10,0)</f>
        <v>230</v>
      </c>
      <c r="I6" s="0" t="s">
        <v>432</v>
      </c>
    </row>
    <row r="7" customFormat="false" ht="15" hidden="false" customHeight="false" outlineLevel="0" collapsed="false">
      <c r="A7" s="0" t="s">
        <v>433</v>
      </c>
      <c r="B7" s="0" t="s">
        <v>426</v>
      </c>
      <c r="C7" s="0" t="n">
        <v>1001.58</v>
      </c>
      <c r="D7" s="0" t="n">
        <f aca="false">Inputs!$B$5</f>
        <v>0.15</v>
      </c>
      <c r="E7" s="0" t="n">
        <f aca="false">C7*D7</f>
        <v>150.237</v>
      </c>
      <c r="F7" s="0" t="n">
        <f aca="false">C7+E7</f>
        <v>1151.817</v>
      </c>
      <c r="G7" s="0" t="s">
        <v>427</v>
      </c>
      <c r="H7" s="0" t="n">
        <f aca="false">ROUNDUP(F7/Inputs!$B$10,0)</f>
        <v>58</v>
      </c>
      <c r="I7" s="0" t="s">
        <v>434</v>
      </c>
    </row>
    <row r="8" customFormat="false" ht="15" hidden="false" customHeight="false" outlineLevel="0" collapsed="false">
      <c r="A8" s="0" t="s">
        <v>435</v>
      </c>
      <c r="B8" s="0" t="s">
        <v>426</v>
      </c>
      <c r="C8" s="0" t="n">
        <v>1254.43</v>
      </c>
      <c r="D8" s="0" t="n">
        <f aca="false">Inputs!$B$5</f>
        <v>0.15</v>
      </c>
      <c r="E8" s="0" t="n">
        <f aca="false">C8*D8</f>
        <v>188.1645</v>
      </c>
      <c r="F8" s="0" t="n">
        <f aca="false">C8+E8</f>
        <v>1442.5945</v>
      </c>
      <c r="G8" s="0" t="s">
        <v>427</v>
      </c>
      <c r="H8" s="0" t="n">
        <f aca="false">ROUNDUP(F8/Inputs!$B$10,0)</f>
        <v>73</v>
      </c>
      <c r="I8" s="0" t="s">
        <v>436</v>
      </c>
    </row>
    <row r="9" customFormat="false" ht="15" hidden="false" customHeight="false" outlineLevel="0" collapsed="false">
      <c r="A9" s="0" t="s">
        <v>437</v>
      </c>
      <c r="B9" s="0" t="s">
        <v>426</v>
      </c>
      <c r="C9" s="0" t="n">
        <v>2463.62</v>
      </c>
      <c r="D9" s="0" t="n">
        <f aca="false">Inputs!$B$5</f>
        <v>0.15</v>
      </c>
      <c r="E9" s="0" t="n">
        <f aca="false">C9*D9</f>
        <v>369.543</v>
      </c>
      <c r="F9" s="0" t="n">
        <f aca="false">C9+E9</f>
        <v>2833.163</v>
      </c>
      <c r="G9" s="0" t="s">
        <v>438</v>
      </c>
      <c r="H9" s="0" t="n">
        <f aca="false">ROUNDUP(F9/Inputs!$B$16,0)</f>
        <v>178</v>
      </c>
      <c r="I9" s="0" t="s">
        <v>439</v>
      </c>
    </row>
    <row r="10" customFormat="false" ht="15" hidden="false" customHeight="false" outlineLevel="0" collapsed="false">
      <c r="A10" s="0" t="s">
        <v>440</v>
      </c>
      <c r="B10" s="0" t="s">
        <v>426</v>
      </c>
      <c r="C10" s="0" t="n">
        <v>202.03</v>
      </c>
      <c r="D10" s="0" t="n">
        <f aca="false">Inputs!$B$5</f>
        <v>0.15</v>
      </c>
      <c r="E10" s="0" t="n">
        <f aca="false">C10*D10</f>
        <v>30.3045</v>
      </c>
      <c r="F10" s="0" t="n">
        <f aca="false">C10+E10</f>
        <v>232.3345</v>
      </c>
      <c r="G10" s="0" t="s">
        <v>441</v>
      </c>
      <c r="H10" s="0" t="n">
        <f aca="false">ROUNDUP(F10/Inputs!$B$11,0)</f>
        <v>24</v>
      </c>
      <c r="I10" s="0" t="s">
        <v>442</v>
      </c>
    </row>
    <row r="11" customFormat="false" ht="15" hidden="false" customHeight="false" outlineLevel="0" collapsed="false">
      <c r="A11" s="0" t="s">
        <v>443</v>
      </c>
      <c r="B11" s="0" t="s">
        <v>426</v>
      </c>
      <c r="C11" s="0" t="n">
        <v>792.29</v>
      </c>
      <c r="D11" s="0" t="n">
        <f aca="false">Inputs!$B$5</f>
        <v>0.15</v>
      </c>
      <c r="E11" s="0" t="n">
        <f aca="false">C11*D11</f>
        <v>118.8435</v>
      </c>
      <c r="F11" s="0" t="n">
        <f aca="false">C11+E11</f>
        <v>911.1335</v>
      </c>
      <c r="G11" s="0" t="s">
        <v>427</v>
      </c>
      <c r="H11" s="0" t="n">
        <f aca="false">ROUNDUP(F11/Inputs!$B$10,0)</f>
        <v>46</v>
      </c>
      <c r="I11" s="0" t="s">
        <v>444</v>
      </c>
    </row>
    <row r="12" customFormat="false" ht="15" hidden="false" customHeight="false" outlineLevel="0" collapsed="false">
      <c r="A12" s="0" t="s">
        <v>445</v>
      </c>
      <c r="B12" s="0" t="s">
        <v>426</v>
      </c>
      <c r="C12" s="0" t="n">
        <v>119.12</v>
      </c>
      <c r="D12" s="0" t="n">
        <f aca="false">Inputs!$B$5</f>
        <v>0.15</v>
      </c>
      <c r="E12" s="0" t="n">
        <f aca="false">C12*D12</f>
        <v>17.868</v>
      </c>
      <c r="F12" s="0" t="n">
        <f aca="false">C12+E12</f>
        <v>136.988</v>
      </c>
      <c r="G12" s="0" t="s">
        <v>441</v>
      </c>
      <c r="H12" s="0" t="n">
        <f aca="false">ROUNDUP(F12/Inputs!$B$11,0)</f>
        <v>14</v>
      </c>
      <c r="I12" s="0" t="s">
        <v>446</v>
      </c>
    </row>
    <row r="13" customFormat="false" ht="15" hidden="false" customHeight="false" outlineLevel="0" collapsed="false">
      <c r="A13" s="0" t="s">
        <v>447</v>
      </c>
      <c r="B13" s="0" t="s">
        <v>426</v>
      </c>
      <c r="C13" s="0" t="n">
        <v>777.07</v>
      </c>
      <c r="D13" s="0" t="n">
        <f aca="false">Inputs!$B$5</f>
        <v>0.15</v>
      </c>
      <c r="E13" s="0" t="n">
        <f aca="false">C13*D13</f>
        <v>116.5605</v>
      </c>
      <c r="F13" s="0" t="n">
        <f aca="false">C13+E13</f>
        <v>893.6305</v>
      </c>
      <c r="G13" s="0" t="s">
        <v>448</v>
      </c>
      <c r="H13" s="0" t="n">
        <f aca="false">ROUNDUP(F13/Inputs!$B$17,0)</f>
        <v>75</v>
      </c>
      <c r="I13" s="0" t="s">
        <v>449</v>
      </c>
    </row>
    <row r="14" customFormat="false" ht="15" hidden="false" customHeight="false" outlineLevel="0" collapsed="false">
      <c r="A14" s="0" t="s">
        <v>450</v>
      </c>
      <c r="B14" s="0" t="s">
        <v>426</v>
      </c>
      <c r="C14" s="0" t="n">
        <v>324.17</v>
      </c>
      <c r="D14" s="0" t="n">
        <f aca="false">Inputs!$B$5</f>
        <v>0.15</v>
      </c>
      <c r="E14" s="0" t="n">
        <f aca="false">C14*D14</f>
        <v>48.6255</v>
      </c>
      <c r="F14" s="0" t="n">
        <f aca="false">C14+E14</f>
        <v>372.7955</v>
      </c>
      <c r="G14" s="0" t="s">
        <v>438</v>
      </c>
      <c r="H14" s="0" t="n">
        <f aca="false">ROUNDUP(F14/Inputs!$B$16,0)</f>
        <v>24</v>
      </c>
      <c r="I14" s="0" t="s">
        <v>451</v>
      </c>
    </row>
    <row r="15" customFormat="false" ht="15" hidden="false" customHeight="false" outlineLevel="0" collapsed="false">
      <c r="A15" s="0" t="s">
        <v>452</v>
      </c>
      <c r="B15" s="0" t="s">
        <v>426</v>
      </c>
      <c r="C15" s="0" t="n">
        <v>533.62</v>
      </c>
      <c r="D15" s="0" t="n">
        <f aca="false">Inputs!$B$5</f>
        <v>0.15</v>
      </c>
      <c r="E15" s="0" t="n">
        <f aca="false">C15*D15</f>
        <v>80.043</v>
      </c>
      <c r="F15" s="0" t="n">
        <f aca="false">C15+E15</f>
        <v>613.663</v>
      </c>
      <c r="G15" s="0" t="s">
        <v>32</v>
      </c>
      <c r="H15" s="0" t="n">
        <f aca="false">ROUNDUP(F15,0)</f>
        <v>614</v>
      </c>
      <c r="I15" s="0" t="s">
        <v>453</v>
      </c>
    </row>
    <row r="16" customFormat="false" ht="15" hidden="false" customHeight="false" outlineLevel="0" collapsed="false">
      <c r="A16" s="0" t="s">
        <v>454</v>
      </c>
      <c r="B16" s="0" t="s">
        <v>455</v>
      </c>
      <c r="C16" s="0" t="n">
        <v>17713.32</v>
      </c>
      <c r="D16" s="0" t="n">
        <f aca="false">Inputs!$B$6</f>
        <v>0.06</v>
      </c>
      <c r="E16" s="0" t="n">
        <f aca="false">C16*D16</f>
        <v>1062.7992</v>
      </c>
      <c r="F16" s="0" t="n">
        <f aca="false">C16+E16</f>
        <v>18776.1192</v>
      </c>
      <c r="G16" s="0" t="s">
        <v>456</v>
      </c>
      <c r="H16" s="0" t="n">
        <f aca="false">ROUNDUP(F16/Inputs!$B$9,0)</f>
        <v>392</v>
      </c>
      <c r="I16" s="0" t="s">
        <v>457</v>
      </c>
    </row>
    <row r="17" customFormat="false" ht="15" hidden="false" customHeight="false" outlineLevel="0" collapsed="false">
      <c r="A17" s="0" t="s">
        <v>458</v>
      </c>
      <c r="B17" s="0" t="s">
        <v>455</v>
      </c>
      <c r="C17" s="0" t="n">
        <v>261.74</v>
      </c>
      <c r="D17" s="0" t="n">
        <f aca="false">Inputs!$B$6</f>
        <v>0.06</v>
      </c>
      <c r="E17" s="0" t="n">
        <f aca="false">C17*D17</f>
        <v>15.7044</v>
      </c>
      <c r="F17" s="0" t="n">
        <f aca="false">C17+E17</f>
        <v>277.4444</v>
      </c>
      <c r="G17" s="0" t="s">
        <v>456</v>
      </c>
      <c r="H17" s="0" t="n">
        <f aca="false">ROUNDUP(F17/Inputs!$B$9,0)</f>
        <v>6</v>
      </c>
      <c r="I17" s="0" t="s">
        <v>459</v>
      </c>
    </row>
    <row r="18" customFormat="false" ht="15" hidden="false" customHeight="false" outlineLevel="0" collapsed="false">
      <c r="A18" s="0" t="s">
        <v>460</v>
      </c>
      <c r="B18" s="0" t="s">
        <v>455</v>
      </c>
      <c r="C18" s="0" t="n">
        <v>82.32</v>
      </c>
      <c r="D18" s="0" t="n">
        <f aca="false">Inputs!$B$6</f>
        <v>0.06</v>
      </c>
      <c r="E18" s="0" t="n">
        <f aca="false">C18*D18</f>
        <v>4.9392</v>
      </c>
      <c r="F18" s="0" t="n">
        <f aca="false">C18+E18</f>
        <v>87.2592</v>
      </c>
      <c r="G18" s="0" t="s">
        <v>461</v>
      </c>
      <c r="H18" s="0" t="n">
        <f aca="false">ROUNDUP(F18/32,0)</f>
        <v>3</v>
      </c>
      <c r="I18" s="0" t="s">
        <v>462</v>
      </c>
    </row>
    <row r="19" customFormat="false" ht="15" hidden="false" customHeight="false" outlineLevel="0" collapsed="false">
      <c r="A19" s="0" t="s">
        <v>463</v>
      </c>
      <c r="B19" s="0" t="s">
        <v>455</v>
      </c>
      <c r="C19" s="0" t="n">
        <v>63.92</v>
      </c>
      <c r="D19" s="0" t="n">
        <f aca="false">Inputs!$B$6</f>
        <v>0.06</v>
      </c>
      <c r="E19" s="0" t="n">
        <f aca="false">C19*D19</f>
        <v>3.8352</v>
      </c>
      <c r="F19" s="0" t="n">
        <f aca="false">C19+E19</f>
        <v>67.7552</v>
      </c>
      <c r="G19" s="0" t="s">
        <v>461</v>
      </c>
      <c r="H19" s="0" t="n">
        <f aca="false">ROUNDUP(F19/32,0)</f>
        <v>3</v>
      </c>
      <c r="I19" s="0" t="s">
        <v>464</v>
      </c>
    </row>
    <row r="20" customFormat="false" ht="15" hidden="false" customHeight="false" outlineLevel="0" collapsed="false">
      <c r="A20" s="0" t="s">
        <v>465</v>
      </c>
      <c r="B20" s="0" t="s">
        <v>455</v>
      </c>
      <c r="C20" s="0" t="n">
        <v>477.95</v>
      </c>
      <c r="D20" s="0" t="n">
        <f aca="false">Inputs!$B$6</f>
        <v>0.06</v>
      </c>
      <c r="E20" s="0" t="n">
        <f aca="false">C20*D20</f>
        <v>28.677</v>
      </c>
      <c r="F20" s="0" t="n">
        <f aca="false">C20+E20</f>
        <v>506.627</v>
      </c>
      <c r="G20" s="0" t="s">
        <v>461</v>
      </c>
      <c r="H20" s="0" t="n">
        <f aca="false">ROUNDUP(F20/32,0)</f>
        <v>16</v>
      </c>
      <c r="I20" s="0" t="s">
        <v>466</v>
      </c>
    </row>
    <row r="21" customFormat="false" ht="15" hidden="false" customHeight="false" outlineLevel="0" collapsed="false">
      <c r="A21" s="0" t="s">
        <v>467</v>
      </c>
      <c r="B21" s="0" t="s">
        <v>455</v>
      </c>
      <c r="C21" s="0" t="n">
        <v>935.76</v>
      </c>
      <c r="D21" s="0" t="n">
        <f aca="false">Inputs!$B$6</f>
        <v>0.06</v>
      </c>
      <c r="E21" s="0" t="n">
        <f aca="false">C21*D21</f>
        <v>56.1456</v>
      </c>
      <c r="F21" s="0" t="n">
        <f aca="false">C21+E21</f>
        <v>991.9056</v>
      </c>
      <c r="G21" s="0" t="s">
        <v>461</v>
      </c>
      <c r="H21" s="0" t="n">
        <f aca="false">ROUNDUP(F21/32,0)</f>
        <v>31</v>
      </c>
      <c r="I21" s="0" t="s">
        <v>468</v>
      </c>
    </row>
    <row r="22" customFormat="false" ht="15" hidden="false" customHeight="false" outlineLevel="0" collapsed="false">
      <c r="A22" s="0" t="s">
        <v>469</v>
      </c>
      <c r="B22" s="0" t="s">
        <v>426</v>
      </c>
      <c r="C22" s="0" t="n">
        <v>1049.55</v>
      </c>
      <c r="D22" s="0" t="n">
        <f aca="false">Inputs!$B$6</f>
        <v>0.06</v>
      </c>
      <c r="E22" s="0" t="n">
        <f aca="false">C22*D22</f>
        <v>62.973</v>
      </c>
      <c r="F22" s="0" t="n">
        <f aca="false">C22+E22</f>
        <v>1112.523</v>
      </c>
      <c r="H22" s="0" t="n">
        <f aca="false">ROUNDUP(F22,0)</f>
        <v>1113</v>
      </c>
      <c r="I22" s="0" t="s">
        <v>470</v>
      </c>
    </row>
    <row r="23" customFormat="false" ht="15" hidden="false" customHeight="false" outlineLevel="0" collapsed="false">
      <c r="A23" s="0" t="s">
        <v>471</v>
      </c>
      <c r="B23" s="0" t="s">
        <v>426</v>
      </c>
      <c r="C23" s="0" t="n">
        <v>722.33</v>
      </c>
      <c r="D23" s="0" t="n">
        <f aca="false">Inputs!$B$5</f>
        <v>0.15</v>
      </c>
      <c r="E23" s="0" t="n">
        <f aca="false">C23*D23</f>
        <v>108.3495</v>
      </c>
      <c r="F23" s="0" t="n">
        <f aca="false">C23+E23</f>
        <v>830.6795</v>
      </c>
      <c r="G23" s="0" t="s">
        <v>427</v>
      </c>
      <c r="H23" s="0" t="n">
        <f aca="false">ROUNDUP(F23/Inputs!$B$10,0)</f>
        <v>42</v>
      </c>
      <c r="I23" s="0" t="s">
        <v>472</v>
      </c>
    </row>
    <row r="24" customFormat="false" ht="15" hidden="false" customHeight="false" outlineLevel="0" collapsed="false">
      <c r="A24" s="0" t="s">
        <v>473</v>
      </c>
      <c r="B24" s="0" t="s">
        <v>426</v>
      </c>
      <c r="C24" s="0" t="n">
        <v>1107.75</v>
      </c>
      <c r="D24" s="0" t="n">
        <f aca="false">Inputs!$B$5</f>
        <v>0.15</v>
      </c>
      <c r="E24" s="0" t="n">
        <f aca="false">C24*D24</f>
        <v>166.1625</v>
      </c>
      <c r="F24" s="0" t="n">
        <f aca="false">C24+E24</f>
        <v>1273.9125</v>
      </c>
      <c r="G24" s="0" t="s">
        <v>474</v>
      </c>
      <c r="H24" s="0" t="n">
        <f aca="false">ROUNDUP(F24/Inputs!$B$18,0)</f>
        <v>128</v>
      </c>
      <c r="I24" s="0" t="s">
        <v>475</v>
      </c>
    </row>
    <row r="25" customFormat="false" ht="15" hidden="false" customHeight="false" outlineLevel="0" collapsed="false">
      <c r="A25" s="0" t="s">
        <v>476</v>
      </c>
      <c r="B25" s="0" t="s">
        <v>455</v>
      </c>
      <c r="C25" s="0" t="n">
        <v>31.8</v>
      </c>
      <c r="D25" s="0" t="n">
        <f aca="false">Inputs!$B$6</f>
        <v>0.06</v>
      </c>
      <c r="E25" s="0" t="n">
        <f aca="false">C25*D25</f>
        <v>1.908</v>
      </c>
      <c r="F25" s="0" t="n">
        <f aca="false">C25+E25</f>
        <v>33.708</v>
      </c>
      <c r="G25" s="0" t="s">
        <v>477</v>
      </c>
      <c r="H25" s="0" t="n">
        <f aca="false">ROUNDUP(F25/15,0)</f>
        <v>3</v>
      </c>
      <c r="I25" s="0" t="s">
        <v>478</v>
      </c>
    </row>
    <row r="26" customFormat="false" ht="15" hidden="false" customHeight="false" outlineLevel="0" collapsed="false">
      <c r="A26" s="0" t="s">
        <v>479</v>
      </c>
      <c r="B26" s="0" t="s">
        <v>455</v>
      </c>
      <c r="C26" s="0" t="n">
        <v>334</v>
      </c>
      <c r="D26" s="0" t="n">
        <f aca="false">Inputs!$B$6</f>
        <v>0.06</v>
      </c>
      <c r="E26" s="0" t="n">
        <f aca="false">C26*D26</f>
        <v>20.04</v>
      </c>
      <c r="F26" s="0" t="n">
        <f aca="false">C26+E26</f>
        <v>354.04</v>
      </c>
      <c r="G26" s="0" t="s">
        <v>480</v>
      </c>
      <c r="H26" s="0" t="n">
        <f aca="false">ROUNDUP(F26/40,0)</f>
        <v>9</v>
      </c>
      <c r="I26" s="0" t="s">
        <v>481</v>
      </c>
    </row>
    <row r="27" customFormat="false" ht="15" hidden="false" customHeight="false" outlineLevel="0" collapsed="false">
      <c r="A27" s="0" t="s">
        <v>482</v>
      </c>
      <c r="B27" s="0" t="s">
        <v>426</v>
      </c>
      <c r="C27" s="0" t="n">
        <v>1173.93</v>
      </c>
      <c r="D27" s="0" t="n">
        <f aca="false">Inputs!$B$6</f>
        <v>0.06</v>
      </c>
      <c r="E27" s="0" t="n">
        <f aca="false">C27*D27</f>
        <v>70.4358</v>
      </c>
      <c r="F27" s="0" t="n">
        <f aca="false">C27+E27</f>
        <v>1244.3658</v>
      </c>
      <c r="G27" s="0" t="s">
        <v>483</v>
      </c>
      <c r="H27" s="0" t="n">
        <f aca="false">ROUNDUP(F27/Inputs!$B$15,0)</f>
        <v>50</v>
      </c>
      <c r="I27" s="0" t="s">
        <v>484</v>
      </c>
    </row>
    <row r="28" customFormat="false" ht="15" hidden="false" customHeight="false" outlineLevel="0" collapsed="false">
      <c r="A28" s="0" t="s">
        <v>485</v>
      </c>
      <c r="B28" s="0" t="s">
        <v>426</v>
      </c>
      <c r="C28" s="0" t="n">
        <v>940.27</v>
      </c>
      <c r="D28" s="0" t="n">
        <f aca="false">Inputs!$B$5</f>
        <v>0.15</v>
      </c>
      <c r="E28" s="0" t="n">
        <f aca="false">C28*D28</f>
        <v>141.0405</v>
      </c>
      <c r="F28" s="0" t="n">
        <f aca="false">C28+E28</f>
        <v>1081.3105</v>
      </c>
      <c r="G28" s="0" t="s">
        <v>427</v>
      </c>
      <c r="H28" s="0" t="n">
        <f aca="false">ROUNDUP(F28/Inputs!$B$10,0)</f>
        <v>55</v>
      </c>
      <c r="I28" s="0" t="s">
        <v>486</v>
      </c>
    </row>
    <row r="29" customFormat="false" ht="15" hidden="false" customHeight="false" outlineLevel="0" collapsed="false">
      <c r="A29" s="0" t="s">
        <v>487</v>
      </c>
      <c r="B29" s="0" t="s">
        <v>426</v>
      </c>
      <c r="C29" s="0" t="n">
        <v>215.61</v>
      </c>
      <c r="D29" s="0" t="n">
        <f aca="false">Inputs!$B$5</f>
        <v>0.15</v>
      </c>
      <c r="E29" s="0" t="n">
        <f aca="false">C29*D29</f>
        <v>32.3415</v>
      </c>
      <c r="F29" s="0" t="n">
        <f aca="false">C29+E29</f>
        <v>247.9515</v>
      </c>
      <c r="G29" s="0" t="s">
        <v>427</v>
      </c>
      <c r="H29" s="0" t="n">
        <f aca="false">ROUNDUP(F29/Inputs!$B$10,0)</f>
        <v>13</v>
      </c>
      <c r="I29" s="0" t="s">
        <v>488</v>
      </c>
    </row>
    <row r="30" customFormat="false" ht="15" hidden="false" customHeight="false" outlineLevel="0" collapsed="false">
      <c r="A30" s="0" t="s">
        <v>489</v>
      </c>
      <c r="B30" s="0" t="s">
        <v>426</v>
      </c>
      <c r="C30" s="0" t="n">
        <v>44.67</v>
      </c>
      <c r="D30" s="0" t="n">
        <f aca="false">Inputs!$B$5</f>
        <v>0.15</v>
      </c>
      <c r="E30" s="0" t="n">
        <f aca="false">C30*D30</f>
        <v>6.7005</v>
      </c>
      <c r="F30" s="0" t="n">
        <f aca="false">C30+E30</f>
        <v>51.3705</v>
      </c>
      <c r="G30" s="0" t="s">
        <v>441</v>
      </c>
      <c r="H30" s="0" t="n">
        <f aca="false">ROUNDUP(F30/Inputs!$B$11,0)</f>
        <v>6</v>
      </c>
      <c r="I30" s="0" t="s">
        <v>490</v>
      </c>
    </row>
    <row r="31" customFormat="false" ht="15" hidden="false" customHeight="false" outlineLevel="0" collapsed="false">
      <c r="A31" s="0" t="s">
        <v>491</v>
      </c>
      <c r="B31" s="0" t="s">
        <v>426</v>
      </c>
      <c r="C31" s="0" t="n">
        <v>147.06</v>
      </c>
      <c r="D31" s="0" t="n">
        <f aca="false">Inputs!$B$5</f>
        <v>0.15</v>
      </c>
      <c r="E31" s="0" t="n">
        <f aca="false">C31*D31</f>
        <v>22.059</v>
      </c>
      <c r="F31" s="0" t="n">
        <f aca="false">C31+E31</f>
        <v>169.119</v>
      </c>
      <c r="G31" s="0" t="s">
        <v>441</v>
      </c>
      <c r="H31" s="0" t="n">
        <f aca="false">ROUNDUP(F31/Inputs!$B$11,0)</f>
        <v>17</v>
      </c>
      <c r="I31" s="0" t="s">
        <v>492</v>
      </c>
    </row>
    <row r="32" customFormat="false" ht="15" hidden="false" customHeight="false" outlineLevel="0" collapsed="false">
      <c r="A32" s="0" t="s">
        <v>493</v>
      </c>
      <c r="B32" s="0" t="s">
        <v>426</v>
      </c>
      <c r="C32" s="0" t="n">
        <v>90.88</v>
      </c>
      <c r="D32" s="0" t="n">
        <f aca="false">Inputs!$B$5</f>
        <v>0.15</v>
      </c>
      <c r="E32" s="0" t="n">
        <f aca="false">C32*D32</f>
        <v>13.632</v>
      </c>
      <c r="F32" s="0" t="n">
        <f aca="false">C32+E32</f>
        <v>104.512</v>
      </c>
      <c r="G32" s="0" t="s">
        <v>441</v>
      </c>
      <c r="H32" s="0" t="n">
        <f aca="false">ROUNDUP(F32/Inputs!$B$11,0)</f>
        <v>11</v>
      </c>
      <c r="I32" s="0" t="s">
        <v>494</v>
      </c>
    </row>
    <row r="33" customFormat="false" ht="15" hidden="false" customHeight="false" outlineLevel="0" collapsed="false">
      <c r="A33" s="0" t="s">
        <v>495</v>
      </c>
      <c r="B33" s="0" t="s">
        <v>426</v>
      </c>
      <c r="C33" s="0" t="n">
        <v>42.23</v>
      </c>
      <c r="D33" s="0" t="n">
        <f aca="false">Inputs!$B$5</f>
        <v>0.15</v>
      </c>
      <c r="E33" s="0" t="n">
        <f aca="false">C33*D33</f>
        <v>6.3345</v>
      </c>
      <c r="F33" s="0" t="n">
        <f aca="false">C33+E33</f>
        <v>48.5645</v>
      </c>
      <c r="G33" s="0" t="s">
        <v>441</v>
      </c>
      <c r="H33" s="0" t="n">
        <f aca="false">ROUNDUP(F33/Inputs!$B$11,0)</f>
        <v>5</v>
      </c>
      <c r="I33" s="0" t="s">
        <v>496</v>
      </c>
    </row>
    <row r="34" customFormat="false" ht="15" hidden="false" customHeight="false" outlineLevel="0" collapsed="false">
      <c r="A34" s="0" t="s">
        <v>497</v>
      </c>
      <c r="B34" s="0" t="s">
        <v>426</v>
      </c>
      <c r="C34" s="0" t="n">
        <v>8.6</v>
      </c>
      <c r="D34" s="0" t="n">
        <f aca="false">Inputs!$B$5</f>
        <v>0.15</v>
      </c>
      <c r="E34" s="0" t="n">
        <f aca="false">C34*D34</f>
        <v>1.29</v>
      </c>
      <c r="F34" s="0" t="n">
        <f aca="false">C34+E34</f>
        <v>9.89</v>
      </c>
      <c r="G34" s="0" t="s">
        <v>441</v>
      </c>
      <c r="H34" s="0" t="n">
        <f aca="false">ROUNDUP(F34/Inputs!$B$11,0)</f>
        <v>1</v>
      </c>
      <c r="I34" s="0" t="s">
        <v>498</v>
      </c>
    </row>
    <row r="35" customFormat="false" ht="15" hidden="false" customHeight="false" outlineLevel="0" collapsed="false">
      <c r="A35" s="0" t="s">
        <v>499</v>
      </c>
      <c r="B35" s="0" t="s">
        <v>426</v>
      </c>
      <c r="C35" s="0" t="n">
        <v>2.21</v>
      </c>
      <c r="D35" s="0" t="n">
        <f aca="false">Inputs!$B$5</f>
        <v>0.15</v>
      </c>
      <c r="E35" s="0" t="n">
        <f aca="false">C35*D35</f>
        <v>0.3315</v>
      </c>
      <c r="F35" s="0" t="n">
        <f aca="false">C35+E35</f>
        <v>2.5415</v>
      </c>
      <c r="G35" s="0" t="s">
        <v>441</v>
      </c>
      <c r="H35" s="0" t="n">
        <f aca="false">ROUNDUP(F35/Inputs!$B$11,0)</f>
        <v>1</v>
      </c>
      <c r="I35" s="0" t="s">
        <v>500</v>
      </c>
    </row>
    <row r="36" customFormat="false" ht="15" hidden="false" customHeight="false" outlineLevel="0" collapsed="false">
      <c r="A36" s="0" t="s">
        <v>501</v>
      </c>
      <c r="B36" s="0" t="s">
        <v>426</v>
      </c>
      <c r="C36" s="0" t="n">
        <v>291.43</v>
      </c>
      <c r="D36" s="0" t="n">
        <f aca="false">Inputs!$B$5</f>
        <v>0.15</v>
      </c>
      <c r="E36" s="0" t="n">
        <f aca="false">C36*D36</f>
        <v>43.7145</v>
      </c>
      <c r="F36" s="0" t="n">
        <f aca="false">C36+E36</f>
        <v>335.1445</v>
      </c>
      <c r="G36" s="0" t="s">
        <v>441</v>
      </c>
      <c r="H36" s="0" t="n">
        <f aca="false">ROUNDUP(F36/Inputs!$B$11,0)</f>
        <v>34</v>
      </c>
      <c r="I36" s="0" t="s">
        <v>502</v>
      </c>
    </row>
    <row r="37" customFormat="false" ht="15" hidden="false" customHeight="false" outlineLevel="0" collapsed="false">
      <c r="A37" s="0" t="s">
        <v>503</v>
      </c>
      <c r="B37" s="0" t="s">
        <v>426</v>
      </c>
      <c r="C37" s="0" t="n">
        <v>13.33</v>
      </c>
      <c r="D37" s="0" t="n">
        <f aca="false">Inputs!$B$5</f>
        <v>0.15</v>
      </c>
      <c r="E37" s="0" t="n">
        <f aca="false">C37*D37</f>
        <v>1.9995</v>
      </c>
      <c r="F37" s="0" t="n">
        <f aca="false">C37+E37</f>
        <v>15.3295</v>
      </c>
      <c r="G37" s="0" t="s">
        <v>441</v>
      </c>
      <c r="H37" s="0" t="n">
        <f aca="false">ROUNDUP(F37/Inputs!$B$11,0)</f>
        <v>2</v>
      </c>
      <c r="I37" s="0" t="s">
        <v>504</v>
      </c>
    </row>
    <row r="38" customFormat="false" ht="15" hidden="false" customHeight="false" outlineLevel="0" collapsed="false">
      <c r="A38" s="0" t="s">
        <v>505</v>
      </c>
      <c r="B38" s="0" t="s">
        <v>426</v>
      </c>
      <c r="C38" s="0" t="n">
        <v>269.84</v>
      </c>
      <c r="D38" s="0" t="n">
        <f aca="false">Inputs!$B$5</f>
        <v>0.15</v>
      </c>
      <c r="E38" s="0" t="n">
        <f aca="false">C38*D38</f>
        <v>40.476</v>
      </c>
      <c r="F38" s="0" t="n">
        <f aca="false">C38+E38</f>
        <v>310.316</v>
      </c>
      <c r="G38" s="0" t="s">
        <v>441</v>
      </c>
      <c r="H38" s="0" t="n">
        <f aca="false">ROUNDUP(F38/Inputs!$B$11,0)</f>
        <v>32</v>
      </c>
      <c r="I38" s="0" t="s">
        <v>506</v>
      </c>
    </row>
    <row r="39" customFormat="false" ht="15" hidden="false" customHeight="false" outlineLevel="0" collapsed="false">
      <c r="A39" s="0" t="s">
        <v>507</v>
      </c>
      <c r="B39" s="0" t="s">
        <v>426</v>
      </c>
      <c r="C39" s="0" t="n">
        <v>154.77</v>
      </c>
      <c r="D39" s="0" t="n">
        <f aca="false">Inputs!$B$5</f>
        <v>0.15</v>
      </c>
      <c r="E39" s="0" t="n">
        <f aca="false">C39*D39</f>
        <v>23.2155</v>
      </c>
      <c r="F39" s="0" t="n">
        <f aca="false">C39+E39</f>
        <v>177.9855</v>
      </c>
      <c r="G39" s="0" t="s">
        <v>441</v>
      </c>
      <c r="H39" s="0" t="n">
        <f aca="false">ROUNDUP(F39/Inputs!$B$11,0)</f>
        <v>18</v>
      </c>
      <c r="I39" s="0" t="s">
        <v>508</v>
      </c>
    </row>
    <row r="40" customFormat="false" ht="15" hidden="false" customHeight="false" outlineLevel="0" collapsed="false">
      <c r="A40" s="0" t="s">
        <v>509</v>
      </c>
      <c r="B40" s="0" t="s">
        <v>426</v>
      </c>
      <c r="C40" s="0" t="n">
        <v>90.62</v>
      </c>
      <c r="D40" s="0" t="n">
        <f aca="false">Inputs!$B$5</f>
        <v>0.15</v>
      </c>
      <c r="E40" s="0" t="n">
        <f aca="false">C40*D40</f>
        <v>13.593</v>
      </c>
      <c r="F40" s="0" t="n">
        <f aca="false">C40+E40</f>
        <v>104.213</v>
      </c>
      <c r="G40" s="0" t="s">
        <v>441</v>
      </c>
      <c r="H40" s="0" t="n">
        <f aca="false">ROUNDUP(F40/Inputs!$B$11,0)</f>
        <v>11</v>
      </c>
      <c r="I40" s="0" t="s">
        <v>510</v>
      </c>
    </row>
    <row r="41" customFormat="false" ht="15" hidden="false" customHeight="false" outlineLevel="0" collapsed="false">
      <c r="A41" s="0" t="s">
        <v>511</v>
      </c>
      <c r="B41" s="0" t="s">
        <v>426</v>
      </c>
      <c r="C41" s="0" t="n">
        <v>22.07</v>
      </c>
      <c r="D41" s="0" t="n">
        <f aca="false">Inputs!$B$5</f>
        <v>0.15</v>
      </c>
      <c r="E41" s="0" t="n">
        <f aca="false">C41*D41</f>
        <v>3.3105</v>
      </c>
      <c r="F41" s="0" t="n">
        <f aca="false">C41+E41</f>
        <v>25.3805</v>
      </c>
      <c r="G41" s="0" t="s">
        <v>441</v>
      </c>
      <c r="H41" s="0" t="n">
        <f aca="false">ROUNDUP(F41/Inputs!$B$11,0)</f>
        <v>3</v>
      </c>
      <c r="I41" s="0" t="s">
        <v>512</v>
      </c>
    </row>
    <row r="42" customFormat="false" ht="15" hidden="false" customHeight="false" outlineLevel="0" collapsed="false">
      <c r="A42" s="0" t="s">
        <v>513</v>
      </c>
      <c r="B42" s="0" t="s">
        <v>426</v>
      </c>
      <c r="C42" s="0" t="n">
        <v>215.61</v>
      </c>
      <c r="D42" s="0" t="n">
        <f aca="false">Inputs!$B$5</f>
        <v>0.15</v>
      </c>
      <c r="E42" s="0" t="n">
        <f aca="false">C42*D42</f>
        <v>32.3415</v>
      </c>
      <c r="F42" s="0" t="n">
        <f aca="false">C42+E42</f>
        <v>247.9515</v>
      </c>
      <c r="G42" s="0" t="s">
        <v>427</v>
      </c>
      <c r="H42" s="0" t="n">
        <f aca="false">ROUNDUP(F42/Inputs!$B$10,0)</f>
        <v>13</v>
      </c>
      <c r="I42" s="0" t="s">
        <v>488</v>
      </c>
    </row>
    <row r="43" customFormat="false" ht="15" hidden="false" customHeight="false" outlineLevel="0" collapsed="false">
      <c r="A43" s="0" t="s">
        <v>514</v>
      </c>
      <c r="B43" s="0" t="s">
        <v>426</v>
      </c>
      <c r="C43" s="0" t="n">
        <v>44.67</v>
      </c>
      <c r="D43" s="0" t="n">
        <f aca="false">Inputs!$B$5</f>
        <v>0.15</v>
      </c>
      <c r="E43" s="0" t="n">
        <f aca="false">C43*D43</f>
        <v>6.7005</v>
      </c>
      <c r="F43" s="0" t="n">
        <f aca="false">C43+E43</f>
        <v>51.3705</v>
      </c>
      <c r="G43" s="0" t="s">
        <v>441</v>
      </c>
      <c r="H43" s="0" t="n">
        <f aca="false">ROUNDUP(F43/Inputs!$B$11,0)</f>
        <v>6</v>
      </c>
      <c r="I43" s="0" t="s">
        <v>490</v>
      </c>
    </row>
    <row r="44" customFormat="false" ht="15" hidden="false" customHeight="false" outlineLevel="0" collapsed="false">
      <c r="A44" s="0" t="s">
        <v>515</v>
      </c>
      <c r="B44" s="0" t="s">
        <v>426</v>
      </c>
      <c r="C44" s="0" t="n">
        <v>147.06</v>
      </c>
      <c r="D44" s="0" t="n">
        <f aca="false">Inputs!$B$5</f>
        <v>0.15</v>
      </c>
      <c r="E44" s="0" t="n">
        <f aca="false">C44*D44</f>
        <v>22.059</v>
      </c>
      <c r="F44" s="0" t="n">
        <f aca="false">C44+E44</f>
        <v>169.119</v>
      </c>
      <c r="G44" s="0" t="s">
        <v>441</v>
      </c>
      <c r="H44" s="0" t="n">
        <f aca="false">ROUNDUP(F44/Inputs!$B$11,0)</f>
        <v>17</v>
      </c>
      <c r="I44" s="0" t="s">
        <v>492</v>
      </c>
    </row>
    <row r="45" customFormat="false" ht="15" hidden="false" customHeight="false" outlineLevel="0" collapsed="false">
      <c r="A45" s="0" t="s">
        <v>516</v>
      </c>
      <c r="B45" s="0" t="s">
        <v>426</v>
      </c>
      <c r="C45" s="0" t="n">
        <v>90.88</v>
      </c>
      <c r="D45" s="0" t="n">
        <f aca="false">Inputs!$B$5</f>
        <v>0.15</v>
      </c>
      <c r="E45" s="0" t="n">
        <f aca="false">C45*D45</f>
        <v>13.632</v>
      </c>
      <c r="F45" s="0" t="n">
        <f aca="false">C45+E45</f>
        <v>104.512</v>
      </c>
      <c r="G45" s="0" t="s">
        <v>441</v>
      </c>
      <c r="H45" s="0" t="n">
        <f aca="false">ROUNDUP(F45/Inputs!$B$11,0)</f>
        <v>11</v>
      </c>
      <c r="I45" s="0" t="s">
        <v>494</v>
      </c>
    </row>
    <row r="46" customFormat="false" ht="15" hidden="false" customHeight="false" outlineLevel="0" collapsed="false">
      <c r="A46" s="0" t="s">
        <v>517</v>
      </c>
      <c r="B46" s="0" t="s">
        <v>426</v>
      </c>
      <c r="C46" s="0" t="n">
        <v>42.23</v>
      </c>
      <c r="D46" s="0" t="n">
        <f aca="false">Inputs!$B$5</f>
        <v>0.15</v>
      </c>
      <c r="E46" s="0" t="n">
        <f aca="false">C46*D46</f>
        <v>6.3345</v>
      </c>
      <c r="F46" s="0" t="n">
        <f aca="false">C46+E46</f>
        <v>48.5645</v>
      </c>
      <c r="G46" s="0" t="s">
        <v>441</v>
      </c>
      <c r="H46" s="0" t="n">
        <f aca="false">ROUNDUP(F46/Inputs!$B$11,0)</f>
        <v>5</v>
      </c>
      <c r="I46" s="0" t="s">
        <v>496</v>
      </c>
    </row>
    <row r="47" customFormat="false" ht="15" hidden="false" customHeight="false" outlineLevel="0" collapsed="false">
      <c r="A47" s="0" t="s">
        <v>518</v>
      </c>
      <c r="B47" s="0" t="s">
        <v>426</v>
      </c>
      <c r="C47" s="0" t="n">
        <v>8.6</v>
      </c>
      <c r="D47" s="0" t="n">
        <f aca="false">Inputs!$B$5</f>
        <v>0.15</v>
      </c>
      <c r="E47" s="0" t="n">
        <f aca="false">C47*D47</f>
        <v>1.29</v>
      </c>
      <c r="F47" s="0" t="n">
        <f aca="false">C47+E47</f>
        <v>9.89</v>
      </c>
      <c r="G47" s="0" t="s">
        <v>441</v>
      </c>
      <c r="H47" s="0" t="n">
        <f aca="false">ROUNDUP(F47/Inputs!$B$11,0)</f>
        <v>1</v>
      </c>
      <c r="I47" s="0" t="s">
        <v>498</v>
      </c>
    </row>
    <row r="48" customFormat="false" ht="15" hidden="false" customHeight="false" outlineLevel="0" collapsed="false">
      <c r="A48" s="0" t="s">
        <v>519</v>
      </c>
      <c r="B48" s="0" t="s">
        <v>426</v>
      </c>
      <c r="C48" s="0" t="n">
        <v>2.21</v>
      </c>
      <c r="D48" s="0" t="n">
        <f aca="false">Inputs!$B$5</f>
        <v>0.15</v>
      </c>
      <c r="E48" s="0" t="n">
        <f aca="false">C48*D48</f>
        <v>0.3315</v>
      </c>
      <c r="F48" s="0" t="n">
        <f aca="false">C48+E48</f>
        <v>2.5415</v>
      </c>
      <c r="G48" s="0" t="s">
        <v>441</v>
      </c>
      <c r="H48" s="0" t="n">
        <f aca="false">ROUNDUP(F48/Inputs!$B$11,0)</f>
        <v>1</v>
      </c>
      <c r="I48" s="0" t="s">
        <v>500</v>
      </c>
    </row>
    <row r="49" customFormat="false" ht="15" hidden="false" customHeight="false" outlineLevel="0" collapsed="false">
      <c r="A49" s="0" t="s">
        <v>520</v>
      </c>
      <c r="B49" s="0" t="s">
        <v>426</v>
      </c>
      <c r="C49" s="0" t="n">
        <v>291.43</v>
      </c>
      <c r="D49" s="0" t="n">
        <f aca="false">Inputs!$B$5</f>
        <v>0.15</v>
      </c>
      <c r="E49" s="0" t="n">
        <f aca="false">C49*D49</f>
        <v>43.7145</v>
      </c>
      <c r="F49" s="0" t="n">
        <f aca="false">C49+E49</f>
        <v>335.1445</v>
      </c>
      <c r="G49" s="0" t="s">
        <v>441</v>
      </c>
      <c r="H49" s="0" t="n">
        <f aca="false">ROUNDUP(F49/Inputs!$B$11,0)</f>
        <v>34</v>
      </c>
      <c r="I49" s="0" t="s">
        <v>502</v>
      </c>
    </row>
    <row r="50" customFormat="false" ht="15" hidden="false" customHeight="false" outlineLevel="0" collapsed="false">
      <c r="A50" s="0" t="s">
        <v>521</v>
      </c>
      <c r="B50" s="0" t="s">
        <v>426</v>
      </c>
      <c r="C50" s="0" t="n">
        <v>13.33</v>
      </c>
      <c r="D50" s="0" t="n">
        <f aca="false">Inputs!$B$5</f>
        <v>0.15</v>
      </c>
      <c r="E50" s="0" t="n">
        <f aca="false">C50*D50</f>
        <v>1.9995</v>
      </c>
      <c r="F50" s="0" t="n">
        <f aca="false">C50+E50</f>
        <v>15.3295</v>
      </c>
      <c r="G50" s="0" t="s">
        <v>441</v>
      </c>
      <c r="H50" s="0" t="n">
        <f aca="false">ROUNDUP(F50/Inputs!$B$11,0)</f>
        <v>2</v>
      </c>
      <c r="I50" s="0" t="s">
        <v>504</v>
      </c>
    </row>
    <row r="51" customFormat="false" ht="15" hidden="false" customHeight="false" outlineLevel="0" collapsed="false">
      <c r="A51" s="0" t="s">
        <v>522</v>
      </c>
      <c r="B51" s="0" t="s">
        <v>426</v>
      </c>
      <c r="C51" s="0" t="n">
        <v>269.84</v>
      </c>
      <c r="D51" s="0" t="n">
        <f aca="false">Inputs!$B$5</f>
        <v>0.15</v>
      </c>
      <c r="E51" s="0" t="n">
        <f aca="false">C51*D51</f>
        <v>40.476</v>
      </c>
      <c r="F51" s="0" t="n">
        <f aca="false">C51+E51</f>
        <v>310.316</v>
      </c>
      <c r="G51" s="0" t="s">
        <v>441</v>
      </c>
      <c r="H51" s="0" t="n">
        <f aca="false">ROUNDUP(F51/Inputs!$B$11,0)</f>
        <v>32</v>
      </c>
      <c r="I51" s="0" t="s">
        <v>506</v>
      </c>
    </row>
    <row r="52" customFormat="false" ht="15" hidden="false" customHeight="false" outlineLevel="0" collapsed="false">
      <c r="A52" s="0" t="s">
        <v>523</v>
      </c>
      <c r="B52" s="0" t="s">
        <v>426</v>
      </c>
      <c r="C52" s="0" t="n">
        <v>154.77</v>
      </c>
      <c r="D52" s="0" t="n">
        <f aca="false">Inputs!$B$5</f>
        <v>0.15</v>
      </c>
      <c r="E52" s="0" t="n">
        <f aca="false">C52*D52</f>
        <v>23.2155</v>
      </c>
      <c r="F52" s="0" t="n">
        <f aca="false">C52+E52</f>
        <v>177.9855</v>
      </c>
      <c r="G52" s="0" t="s">
        <v>441</v>
      </c>
      <c r="H52" s="0" t="n">
        <f aca="false">ROUNDUP(F52/Inputs!$B$11,0)</f>
        <v>18</v>
      </c>
      <c r="I52" s="0" t="s">
        <v>508</v>
      </c>
    </row>
    <row r="53" customFormat="false" ht="15" hidden="false" customHeight="false" outlineLevel="0" collapsed="false">
      <c r="A53" s="0" t="s">
        <v>524</v>
      </c>
      <c r="B53" s="0" t="s">
        <v>426</v>
      </c>
      <c r="C53" s="0" t="n">
        <v>90.62</v>
      </c>
      <c r="D53" s="0" t="n">
        <f aca="false">Inputs!$B$5</f>
        <v>0.15</v>
      </c>
      <c r="E53" s="0" t="n">
        <f aca="false">C53*D53</f>
        <v>13.593</v>
      </c>
      <c r="F53" s="0" t="n">
        <f aca="false">C53+E53</f>
        <v>104.213</v>
      </c>
      <c r="G53" s="0" t="s">
        <v>441</v>
      </c>
      <c r="H53" s="0" t="n">
        <f aca="false">ROUNDUP(F53/Inputs!$B$11,0)</f>
        <v>11</v>
      </c>
      <c r="I53" s="0" t="s">
        <v>510</v>
      </c>
    </row>
    <row r="54" customFormat="false" ht="15" hidden="false" customHeight="false" outlineLevel="0" collapsed="false">
      <c r="A54" s="0" t="s">
        <v>525</v>
      </c>
      <c r="B54" s="0" t="s">
        <v>426</v>
      </c>
      <c r="C54" s="0" t="n">
        <v>22.07</v>
      </c>
      <c r="D54" s="0" t="n">
        <f aca="false">Inputs!$B$5</f>
        <v>0.15</v>
      </c>
      <c r="E54" s="0" t="n">
        <f aca="false">C54*D54</f>
        <v>3.3105</v>
      </c>
      <c r="F54" s="0" t="n">
        <f aca="false">C54+E54</f>
        <v>25.3805</v>
      </c>
      <c r="G54" s="0" t="s">
        <v>441</v>
      </c>
      <c r="H54" s="0" t="n">
        <f aca="false">ROUNDUP(F54/Inputs!$B$11,0)</f>
        <v>3</v>
      </c>
      <c r="I54" s="0" t="s">
        <v>512</v>
      </c>
    </row>
    <row r="55" customFormat="false" ht="15" hidden="false" customHeight="false" outlineLevel="0" collapsed="false">
      <c r="A55" s="0" t="s">
        <v>526</v>
      </c>
      <c r="B55" s="0" t="s">
        <v>455</v>
      </c>
      <c r="C55" s="0" t="n">
        <v>2154.14</v>
      </c>
      <c r="D55" s="0" t="n">
        <f aca="false">Inputs!$B$6</f>
        <v>0.06</v>
      </c>
      <c r="E55" s="0" t="n">
        <f aca="false">C55*D55</f>
        <v>129.2484</v>
      </c>
      <c r="F55" s="0" t="n">
        <f aca="false">C55+E55</f>
        <v>2283.3884</v>
      </c>
      <c r="G55" s="0" t="s">
        <v>527</v>
      </c>
      <c r="H55" s="0" t="n">
        <f aca="false">ROUNDUP(F55/Inputs!$B$9,0)</f>
        <v>48</v>
      </c>
      <c r="I55" s="0" t="s">
        <v>528</v>
      </c>
    </row>
    <row r="56" customFormat="false" ht="15" hidden="false" customHeight="false" outlineLevel="0" collapsed="false">
      <c r="A56" s="0" t="s">
        <v>529</v>
      </c>
      <c r="B56" s="0" t="s">
        <v>455</v>
      </c>
      <c r="C56" s="0" t="n">
        <v>3955.15</v>
      </c>
      <c r="D56" s="0" t="n">
        <f aca="false">Inputs!$B$6</f>
        <v>0.06</v>
      </c>
      <c r="E56" s="0" t="n">
        <f aca="false">C56*D56</f>
        <v>237.309</v>
      </c>
      <c r="F56" s="0" t="n">
        <f aca="false">C56+E56</f>
        <v>4192.459</v>
      </c>
      <c r="G56" s="0" t="s">
        <v>527</v>
      </c>
      <c r="H56" s="0" t="n">
        <f aca="false">ROUNDUP(F56/Inputs!$B$9,0)</f>
        <v>88</v>
      </c>
      <c r="I56" s="0" t="s">
        <v>528</v>
      </c>
    </row>
    <row r="57" customFormat="false" ht="15" hidden="false" customHeight="false" outlineLevel="0" collapsed="false">
      <c r="A57" s="0" t="s">
        <v>530</v>
      </c>
      <c r="B57" s="0" t="s">
        <v>455</v>
      </c>
      <c r="C57" s="0" t="n">
        <v>277.13</v>
      </c>
      <c r="D57" s="0" t="n">
        <f aca="false">Inputs!$B$6</f>
        <v>0.06</v>
      </c>
      <c r="E57" s="0" t="n">
        <f aca="false">C57*D57</f>
        <v>16.6278</v>
      </c>
      <c r="F57" s="0" t="n">
        <f aca="false">C57+E57</f>
        <v>293.7578</v>
      </c>
      <c r="G57" s="0" t="s">
        <v>527</v>
      </c>
      <c r="H57" s="0" t="n">
        <f aca="false">ROUNDUP(F57/Inputs!$B$9,0)</f>
        <v>7</v>
      </c>
      <c r="I57" s="0" t="s">
        <v>528</v>
      </c>
    </row>
    <row r="58" customFormat="false" ht="15" hidden="false" customHeight="false" outlineLevel="0" collapsed="false">
      <c r="A58" s="0" t="s">
        <v>531</v>
      </c>
      <c r="B58" s="0" t="s">
        <v>426</v>
      </c>
      <c r="C58" s="0" t="n">
        <v>209.11</v>
      </c>
      <c r="D58" s="0" t="n">
        <f aca="false">Inputs!$B$6</f>
        <v>0.06</v>
      </c>
      <c r="E58" s="0" t="n">
        <f aca="false">C58*D58</f>
        <v>12.5466</v>
      </c>
      <c r="F58" s="0" t="n">
        <f aca="false">C58+E58</f>
        <v>221.6566</v>
      </c>
      <c r="G58" s="0" t="s">
        <v>483</v>
      </c>
      <c r="H58" s="0" t="n">
        <f aca="false">ROUNDUP(F58/Inputs!$B$15,0)</f>
        <v>9</v>
      </c>
      <c r="I58" s="0" t="s">
        <v>532</v>
      </c>
    </row>
    <row r="59" customFormat="false" ht="15" hidden="false" customHeight="false" outlineLevel="0" collapsed="false">
      <c r="A59" s="0" t="s">
        <v>533</v>
      </c>
      <c r="B59" s="0" t="s">
        <v>534</v>
      </c>
      <c r="C59" s="0" t="n">
        <v>113</v>
      </c>
      <c r="D59" s="0" t="n">
        <v>0</v>
      </c>
      <c r="E59" s="0" t="n">
        <f aca="false">C59*D59</f>
        <v>0</v>
      </c>
      <c r="F59" s="0" t="n">
        <f aca="false">C59+E59</f>
        <v>113</v>
      </c>
      <c r="H59" s="0" t="n">
        <f aca="false">ROUNDUP(F59,0)</f>
        <v>113</v>
      </c>
      <c r="I59" s="0" t="s">
        <v>535</v>
      </c>
    </row>
    <row r="60" customFormat="false" ht="15" hidden="false" customHeight="false" outlineLevel="0" collapsed="false">
      <c r="A60" s="0" t="s">
        <v>536</v>
      </c>
      <c r="B60" s="0" t="s">
        <v>426</v>
      </c>
      <c r="C60" s="0" t="n">
        <v>56</v>
      </c>
      <c r="D60" s="0" t="n">
        <f aca="false">Inputs!$B$5</f>
        <v>0.15</v>
      </c>
      <c r="E60" s="0" t="n">
        <f aca="false">C60*D60</f>
        <v>8.4</v>
      </c>
      <c r="F60" s="0" t="n">
        <f aca="false">C60+E60</f>
        <v>64.4</v>
      </c>
      <c r="G60" s="0" t="s">
        <v>441</v>
      </c>
      <c r="H60" s="0" t="n">
        <f aca="false">ROUNDUP(F60/Inputs!$B$11,0)</f>
        <v>7</v>
      </c>
      <c r="I60" s="0" t="s">
        <v>537</v>
      </c>
    </row>
    <row r="61" customFormat="false" ht="15" hidden="false" customHeight="false" outlineLevel="0" collapsed="false">
      <c r="A61" s="0" t="s">
        <v>538</v>
      </c>
      <c r="B61" s="0" t="s">
        <v>534</v>
      </c>
      <c r="C61" s="0" t="n">
        <v>71</v>
      </c>
      <c r="D61" s="0" t="n">
        <v>0</v>
      </c>
      <c r="E61" s="0" t="n">
        <f aca="false">C61*D61</f>
        <v>0</v>
      </c>
      <c r="F61" s="0" t="n">
        <f aca="false">C61+E61</f>
        <v>71</v>
      </c>
      <c r="G61" s="0" t="s">
        <v>539</v>
      </c>
      <c r="H61" s="0" t="n">
        <f aca="false">ROUNDUP(F61,0)</f>
        <v>71</v>
      </c>
      <c r="I61" s="0" t="s">
        <v>540</v>
      </c>
    </row>
    <row r="62" customFormat="false" ht="15" hidden="false" customHeight="false" outlineLevel="0" collapsed="false">
      <c r="A62" s="0" t="s">
        <v>541</v>
      </c>
      <c r="B62" s="0" t="s">
        <v>426</v>
      </c>
      <c r="C62" s="0" t="n">
        <v>18</v>
      </c>
      <c r="D62" s="0" t="n">
        <f aca="false">Inputs!$B$5</f>
        <v>0.15</v>
      </c>
      <c r="E62" s="0" t="n">
        <f aca="false">C62*D62</f>
        <v>2.7</v>
      </c>
      <c r="F62" s="0" t="n">
        <f aca="false">C62+E62</f>
        <v>20.7</v>
      </c>
      <c r="G62" s="0" t="s">
        <v>427</v>
      </c>
      <c r="H62" s="0" t="n">
        <f aca="false">ROUNDUP(F62/Inputs!$B$10,0)</f>
        <v>2</v>
      </c>
      <c r="I62" s="0" t="s">
        <v>542</v>
      </c>
    </row>
    <row r="63" customFormat="false" ht="15" hidden="false" customHeight="false" outlineLevel="0" collapsed="false">
      <c r="A63" s="0" t="s">
        <v>543</v>
      </c>
      <c r="B63" s="0" t="s">
        <v>426</v>
      </c>
      <c r="C63" s="0" t="n">
        <v>10.43</v>
      </c>
      <c r="D63" s="0" t="n">
        <f aca="false">Inputs!$B$5</f>
        <v>0.15</v>
      </c>
      <c r="E63" s="0" t="n">
        <f aca="false">C63*D63</f>
        <v>1.5645</v>
      </c>
      <c r="F63" s="0" t="n">
        <f aca="false">C63+E63</f>
        <v>11.9945</v>
      </c>
      <c r="G63" s="0" t="s">
        <v>427</v>
      </c>
      <c r="H63" s="0" t="n">
        <f aca="false">ROUNDUP(F63/Inputs!$B$10,0)</f>
        <v>1</v>
      </c>
      <c r="I63" s="0" t="s">
        <v>544</v>
      </c>
    </row>
    <row r="64" customFormat="false" ht="15" hidden="false" customHeight="false" outlineLevel="0" collapsed="false">
      <c r="A64" s="0" t="s">
        <v>545</v>
      </c>
      <c r="B64" s="0" t="s">
        <v>455</v>
      </c>
      <c r="C64" s="0" t="n">
        <v>67.16</v>
      </c>
      <c r="D64" s="0" t="n">
        <f aca="false">Inputs!$B$6</f>
        <v>0.06</v>
      </c>
      <c r="E64" s="0" t="n">
        <f aca="false">C64*D64</f>
        <v>4.0296</v>
      </c>
      <c r="F64" s="0" t="n">
        <f aca="false">C64+E64</f>
        <v>71.1896</v>
      </c>
      <c r="G64" s="0" t="s">
        <v>527</v>
      </c>
      <c r="H64" s="0" t="n">
        <f aca="false">ROUNDUP(F64/Inputs!$B$9,0)</f>
        <v>2</v>
      </c>
      <c r="I64" s="0" t="s">
        <v>546</v>
      </c>
    </row>
    <row r="65" customFormat="false" ht="15" hidden="false" customHeight="false" outlineLevel="0" collapsed="false">
      <c r="A65" s="0" t="s">
        <v>547</v>
      </c>
      <c r="B65" s="0" t="s">
        <v>426</v>
      </c>
      <c r="C65" s="0" t="n">
        <v>213.2</v>
      </c>
      <c r="D65" s="0" t="n">
        <f aca="false">Inputs!$B$6</f>
        <v>0.06</v>
      </c>
      <c r="E65" s="0" t="n">
        <f aca="false">C65*D65</f>
        <v>12.792</v>
      </c>
      <c r="F65" s="0" t="n">
        <f aca="false">C65+E65</f>
        <v>225.992</v>
      </c>
      <c r="G65" s="0" t="s">
        <v>474</v>
      </c>
      <c r="H65" s="0" t="n">
        <f aca="false">ROUNDUP(F65/Inputs!$B$18,0)</f>
        <v>23</v>
      </c>
      <c r="I65" s="0" t="s">
        <v>548</v>
      </c>
    </row>
    <row r="66" customFormat="false" ht="15" hidden="false" customHeight="false" outlineLevel="0" collapsed="false">
      <c r="A66" s="0" t="s">
        <v>549</v>
      </c>
      <c r="B66" s="0" t="s">
        <v>534</v>
      </c>
      <c r="C66" s="0" t="n">
        <v>316</v>
      </c>
      <c r="D66" s="0" t="n">
        <v>0</v>
      </c>
      <c r="E66" s="0" t="n">
        <f aca="false">C66*D66</f>
        <v>0</v>
      </c>
      <c r="F66" s="0" t="n">
        <f aca="false">C66+E66</f>
        <v>316</v>
      </c>
      <c r="G66" s="0" t="s">
        <v>539</v>
      </c>
      <c r="H66" s="0" t="n">
        <f aca="false">ROUNDUP(F66,0)</f>
        <v>316</v>
      </c>
      <c r="I66" s="0" t="s">
        <v>550</v>
      </c>
    </row>
    <row r="67" customFormat="false" ht="15" hidden="false" customHeight="false" outlineLevel="0" collapsed="false">
      <c r="A67" s="0" t="s">
        <v>551</v>
      </c>
      <c r="B67" s="0" t="s">
        <v>534</v>
      </c>
      <c r="C67" s="0" t="n">
        <v>1</v>
      </c>
      <c r="D67" s="0" t="n">
        <v>0</v>
      </c>
      <c r="E67" s="0" t="n">
        <f aca="false">C67*D67</f>
        <v>0</v>
      </c>
      <c r="F67" s="0" t="n">
        <f aca="false">C67+E67</f>
        <v>1</v>
      </c>
      <c r="G67" s="0" t="s">
        <v>539</v>
      </c>
      <c r="H67" s="0" t="n">
        <f aca="false">ROUNDUP(F67,0)</f>
        <v>1</v>
      </c>
      <c r="I67" s="0" t="s">
        <v>552</v>
      </c>
    </row>
    <row r="68" customFormat="false" ht="15" hidden="false" customHeight="false" outlineLevel="0" collapsed="false">
      <c r="A68" s="0" t="s">
        <v>553</v>
      </c>
      <c r="B68" s="0" t="s">
        <v>534</v>
      </c>
      <c r="C68" s="0" t="n">
        <v>21646.78</v>
      </c>
      <c r="D68" s="0" t="n">
        <v>0</v>
      </c>
      <c r="E68" s="0" t="n">
        <f aca="false">C68*D68</f>
        <v>0</v>
      </c>
      <c r="F68" s="0" t="n">
        <f aca="false">C68+E68</f>
        <v>21646.78</v>
      </c>
      <c r="G68" s="0" t="s">
        <v>539</v>
      </c>
      <c r="H68" s="0" t="n">
        <f aca="false">ROUNDUP(F68,0)</f>
        <v>21647</v>
      </c>
      <c r="I68" s="0" t="s">
        <v>554</v>
      </c>
      <c r="J68" s="0" t="n">
        <f aca="false">Inputs!$B$20*18039</f>
        <v>21646.8</v>
      </c>
    </row>
    <row r="69" customFormat="false" ht="15" hidden="false" customHeight="false" outlineLevel="0" collapsed="false">
      <c r="A69" s="0" t="s">
        <v>555</v>
      </c>
      <c r="B69" s="0" t="s">
        <v>534</v>
      </c>
      <c r="C69" s="0" t="n">
        <v>7260</v>
      </c>
      <c r="D69" s="0" t="n">
        <v>0</v>
      </c>
      <c r="E69" s="0" t="n">
        <f aca="false">C69*D69</f>
        <v>0</v>
      </c>
      <c r="F69" s="0" t="n">
        <f aca="false">C69+E69</f>
        <v>7260</v>
      </c>
      <c r="G69" s="0" t="s">
        <v>539</v>
      </c>
      <c r="H69" s="0" t="n">
        <f aca="false">ROUNDUP(F69,0)</f>
        <v>7260</v>
      </c>
      <c r="I69" s="0" t="s">
        <v>556</v>
      </c>
      <c r="J69" s="0" t="n">
        <f aca="false">Inputs!$B$21*1815</f>
        <v>7260</v>
      </c>
    </row>
    <row r="70" customFormat="false" ht="15" hidden="false" customHeight="false" outlineLevel="0" collapsed="false">
      <c r="A70" s="0" t="s">
        <v>557</v>
      </c>
      <c r="B70" s="0" t="s">
        <v>534</v>
      </c>
      <c r="C70" s="0" t="n">
        <v>530.81</v>
      </c>
      <c r="D70" s="0" t="n">
        <v>0</v>
      </c>
      <c r="E70" s="0" t="n">
        <f aca="false">C70*D70</f>
        <v>0</v>
      </c>
      <c r="F70" s="0" t="n">
        <f aca="false">C70+E70</f>
        <v>530.81</v>
      </c>
      <c r="G70" s="0" t="s">
        <v>539</v>
      </c>
      <c r="H70" s="0" t="n">
        <f aca="false">ROUNDUP(F70,0)</f>
        <v>531</v>
      </c>
      <c r="I70" s="0" t="s">
        <v>558</v>
      </c>
      <c r="J70" s="0" t="n">
        <f aca="false">530.81/Inputs!$B$22</f>
        <v>530.81</v>
      </c>
    </row>
    <row r="71" customFormat="false" ht="15" hidden="false" customHeight="false" outlineLevel="0" collapsed="false">
      <c r="A71" s="0" t="s">
        <v>559</v>
      </c>
      <c r="B71" s="0" t="s">
        <v>534</v>
      </c>
      <c r="C71" s="0" t="n">
        <v>332.83</v>
      </c>
      <c r="D71" s="0" t="n">
        <v>0</v>
      </c>
      <c r="E71" s="0" t="n">
        <f aca="false">C71*D71</f>
        <v>0</v>
      </c>
      <c r="F71" s="0" t="n">
        <f aca="false">C71+E71</f>
        <v>332.83</v>
      </c>
      <c r="G71" s="0" t="s">
        <v>539</v>
      </c>
      <c r="H71" s="0" t="n">
        <f aca="false">ROUNDUP(F71,0)</f>
        <v>333</v>
      </c>
      <c r="I71" s="0" t="s">
        <v>560</v>
      </c>
      <c r="J71" s="0" t="n">
        <f aca="false">221.88/Inputs!$B$25</f>
        <v>332.803359832008</v>
      </c>
    </row>
    <row r="72" customFormat="false" ht="15" hidden="false" customHeight="false" outlineLevel="0" collapsed="false">
      <c r="A72" s="0" t="s">
        <v>561</v>
      </c>
      <c r="B72" s="0" t="s">
        <v>562</v>
      </c>
      <c r="C72" s="0" t="n">
        <v>1298.81</v>
      </c>
      <c r="D72" s="0" t="n">
        <v>0</v>
      </c>
      <c r="E72" s="0" t="n">
        <f aca="false">C72*D72</f>
        <v>0</v>
      </c>
      <c r="F72" s="0" t="n">
        <f aca="false">C72+E72</f>
        <v>1298.81</v>
      </c>
      <c r="G72" s="0" t="s">
        <v>563</v>
      </c>
      <c r="H72" s="0" t="n">
        <f aca="false">ROUNDUP(F72,0)</f>
        <v>1299</v>
      </c>
      <c r="I72" s="0" t="s">
        <v>564</v>
      </c>
      <c r="J72" s="0" t="n">
        <f aca="false">Inputs!$B$23*18039</f>
        <v>1298.808</v>
      </c>
    </row>
    <row r="73" customFormat="false" ht="15" hidden="false" customHeight="false" outlineLevel="0" collapsed="false">
      <c r="A73" s="0" t="s">
        <v>565</v>
      </c>
      <c r="B73" s="0" t="s">
        <v>426</v>
      </c>
      <c r="C73" s="0" t="n">
        <v>6674.42</v>
      </c>
      <c r="D73" s="0" t="n">
        <v>0</v>
      </c>
      <c r="E73" s="0" t="n">
        <f aca="false">C73*D73</f>
        <v>0</v>
      </c>
      <c r="F73" s="0" t="n">
        <f aca="false">C73+E73</f>
        <v>6674.42</v>
      </c>
      <c r="G73" s="0" t="s">
        <v>426</v>
      </c>
      <c r="H73" s="0" t="n">
        <f aca="false">ROUNDUP(F73,0)</f>
        <v>6675</v>
      </c>
      <c r="I73" s="0" t="s">
        <v>566</v>
      </c>
      <c r="J73" s="0" t="n">
        <f aca="false">Inputs!$B$24*18039</f>
        <v>6674.43</v>
      </c>
    </row>
    <row r="74" customFormat="false" ht="15" hidden="false" customHeight="false" outlineLevel="0" collapsed="false">
      <c r="A74" s="0" t="s">
        <v>567</v>
      </c>
      <c r="B74" s="0" t="s">
        <v>455</v>
      </c>
      <c r="C74" s="0" t="n">
        <v>712.88</v>
      </c>
      <c r="D74" s="0" t="n">
        <f aca="false">Inputs!$B$6</f>
        <v>0.06</v>
      </c>
      <c r="E74" s="0" t="n">
        <f aca="false">C74*D74</f>
        <v>42.7728</v>
      </c>
      <c r="F74" s="0" t="n">
        <f aca="false">C74+E74</f>
        <v>755.6528</v>
      </c>
      <c r="G74" s="0" t="s">
        <v>455</v>
      </c>
      <c r="H74" s="0" t="n">
        <f aca="false">ROUNDUP(F74,0)</f>
        <v>756</v>
      </c>
      <c r="I74" s="0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569</v>
      </c>
      <c r="B1" s="2" t="s">
        <v>570</v>
      </c>
      <c r="C1" s="2" t="s">
        <v>571</v>
      </c>
    </row>
    <row r="2" customFormat="false" ht="15" hidden="false" customHeight="false" outlineLevel="0" collapsed="false">
      <c r="A2" s="0" t="s">
        <v>572</v>
      </c>
      <c r="B2" s="0" t="s">
        <v>573</v>
      </c>
      <c r="C2" s="0" t="s">
        <v>574</v>
      </c>
    </row>
    <row r="3" customFormat="false" ht="15" hidden="false" customHeight="false" outlineLevel="0" collapsed="false">
      <c r="A3" s="0" t="s">
        <v>575</v>
      </c>
      <c r="B3" s="0" t="s">
        <v>576</v>
      </c>
      <c r="C3" s="0" t="s">
        <v>577</v>
      </c>
    </row>
    <row r="4" customFormat="false" ht="15" hidden="false" customHeight="false" outlineLevel="0" collapsed="false">
      <c r="A4" s="0" t="s">
        <v>578</v>
      </c>
      <c r="B4" s="0" t="s">
        <v>579</v>
      </c>
      <c r="C4" s="0" t="s">
        <v>580</v>
      </c>
    </row>
    <row r="5" customFormat="false" ht="15" hidden="false" customHeight="false" outlineLevel="0" collapsed="false">
      <c r="A5" s="0" t="s">
        <v>581</v>
      </c>
      <c r="B5" s="0" t="s">
        <v>582</v>
      </c>
      <c r="C5" s="0" t="s">
        <v>583</v>
      </c>
    </row>
    <row r="6" customFormat="false" ht="15" hidden="false" customHeight="false" outlineLevel="0" collapsed="false">
      <c r="A6" s="0" t="s">
        <v>584</v>
      </c>
      <c r="B6" s="0" t="s">
        <v>585</v>
      </c>
      <c r="C6" s="0" t="s">
        <v>586</v>
      </c>
    </row>
    <row r="7" customFormat="false" ht="15" hidden="false" customHeight="false" outlineLevel="0" collapsed="false">
      <c r="A7" s="0" t="s">
        <v>587</v>
      </c>
      <c r="B7" s="0" t="s">
        <v>588</v>
      </c>
      <c r="C7" s="0" t="s">
        <v>589</v>
      </c>
    </row>
    <row r="8" customFormat="false" ht="15" hidden="false" customHeight="false" outlineLevel="0" collapsed="false">
      <c r="A8" s="0" t="s">
        <v>590</v>
      </c>
      <c r="B8" s="0" t="s">
        <v>591</v>
      </c>
      <c r="C8" s="0" t="s">
        <v>592</v>
      </c>
    </row>
    <row r="9" customFormat="false" ht="15" hidden="false" customHeight="false" outlineLevel="0" collapsed="false">
      <c r="A9" s="0" t="s">
        <v>593</v>
      </c>
      <c r="B9" s="0" t="s">
        <v>594</v>
      </c>
      <c r="C9" s="0" t="s">
        <v>595</v>
      </c>
    </row>
    <row r="10" customFormat="false" ht="15" hidden="false" customHeight="false" outlineLevel="0" collapsed="false">
      <c r="A10" s="0" t="s">
        <v>596</v>
      </c>
      <c r="B10" s="0" t="s">
        <v>597</v>
      </c>
      <c r="C10" s="0" t="s">
        <v>598</v>
      </c>
    </row>
    <row r="11" customFormat="false" ht="15" hidden="false" customHeight="false" outlineLevel="0" collapsed="false">
      <c r="A11" s="0" t="s">
        <v>599</v>
      </c>
      <c r="B11" s="0" t="s">
        <v>600</v>
      </c>
      <c r="C11" s="0" t="s">
        <v>601</v>
      </c>
    </row>
    <row r="12" customFormat="false" ht="15" hidden="false" customHeight="false" outlineLevel="0" collapsed="false">
      <c r="A12" s="0" t="s">
        <v>602</v>
      </c>
      <c r="B12" s="0" t="s">
        <v>603</v>
      </c>
      <c r="C12" s="0" t="s">
        <v>604</v>
      </c>
    </row>
    <row r="13" customFormat="false" ht="15" hidden="false" customHeight="false" outlineLevel="0" collapsed="false">
      <c r="A13" s="0" t="s">
        <v>605</v>
      </c>
      <c r="B13" s="0" t="s">
        <v>606</v>
      </c>
      <c r="C13" s="0" t="s">
        <v>607</v>
      </c>
    </row>
    <row r="14" customFormat="false" ht="15" hidden="false" customHeight="false" outlineLevel="0" collapsed="false">
      <c r="A14" s="0" t="s">
        <v>608</v>
      </c>
      <c r="B14" s="0" t="s">
        <v>609</v>
      </c>
      <c r="C14" s="0" t="s">
        <v>610</v>
      </c>
    </row>
    <row r="15" customFormat="false" ht="15" hidden="false" customHeight="false" outlineLevel="0" collapsed="false">
      <c r="A15" s="0" t="s">
        <v>611</v>
      </c>
      <c r="B15" s="0" t="s">
        <v>612</v>
      </c>
      <c r="C15" s="0" t="s">
        <v>613</v>
      </c>
    </row>
    <row r="16" customFormat="false" ht="15" hidden="false" customHeight="false" outlineLevel="0" collapsed="false">
      <c r="A16" s="0" t="s">
        <v>614</v>
      </c>
      <c r="B16" s="0" t="s">
        <v>615</v>
      </c>
      <c r="C16" s="0" t="s">
        <v>616</v>
      </c>
    </row>
    <row r="17" customFormat="false" ht="15" hidden="false" customHeight="false" outlineLevel="0" collapsed="false">
      <c r="A17" s="0" t="s">
        <v>617</v>
      </c>
      <c r="B17" s="0" t="s">
        <v>618</v>
      </c>
      <c r="C17" s="0" t="s">
        <v>619</v>
      </c>
    </row>
    <row r="18" customFormat="false" ht="15" hidden="false" customHeight="false" outlineLevel="0" collapsed="false">
      <c r="A18" s="0" t="s">
        <v>620</v>
      </c>
      <c r="B18" s="0" t="s">
        <v>621</v>
      </c>
      <c r="C18" s="0" t="s">
        <v>622</v>
      </c>
    </row>
    <row r="19" customFormat="false" ht="15" hidden="false" customHeight="false" outlineLevel="0" collapsed="false">
      <c r="A19" s="0" t="s">
        <v>623</v>
      </c>
      <c r="B19" s="0" t="s">
        <v>624</v>
      </c>
      <c r="C19" s="0" t="s">
        <v>625</v>
      </c>
    </row>
    <row r="20" customFormat="false" ht="15" hidden="false" customHeight="false" outlineLevel="0" collapsed="false">
      <c r="A20" s="0" t="s">
        <v>626</v>
      </c>
      <c r="B20" s="0" t="s">
        <v>627</v>
      </c>
      <c r="C20" s="0" t="s">
        <v>628</v>
      </c>
    </row>
    <row r="21" customFormat="false" ht="15" hidden="false" customHeight="false" outlineLevel="0" collapsed="false">
      <c r="A21" s="0" t="s">
        <v>629</v>
      </c>
      <c r="B21" s="0" t="s">
        <v>630</v>
      </c>
      <c r="C21" s="0" t="s">
        <v>631</v>
      </c>
    </row>
    <row r="22" customFormat="false" ht="15" hidden="false" customHeight="false" outlineLevel="0" collapsed="false">
      <c r="A22" s="0" t="s">
        <v>632</v>
      </c>
      <c r="B22" s="0" t="s">
        <v>633</v>
      </c>
      <c r="C22" s="0" t="s">
        <v>634</v>
      </c>
    </row>
    <row r="23" customFormat="false" ht="15" hidden="false" customHeight="false" outlineLevel="0" collapsed="false">
      <c r="A23" s="0" t="s">
        <v>635</v>
      </c>
      <c r="B23" s="0" t="s">
        <v>636</v>
      </c>
      <c r="C23" s="0" t="s">
        <v>637</v>
      </c>
    </row>
    <row r="24" customFormat="false" ht="15" hidden="false" customHeight="false" outlineLevel="0" collapsed="false">
      <c r="A24" s="0" t="s">
        <v>638</v>
      </c>
      <c r="B24" s="0" t="s">
        <v>639</v>
      </c>
      <c r="C24" s="0" t="s">
        <v>640</v>
      </c>
    </row>
    <row r="25" customFormat="false" ht="15" hidden="false" customHeight="false" outlineLevel="0" collapsed="false">
      <c r="A25" s="0" t="s">
        <v>641</v>
      </c>
      <c r="B25" s="0" t="s">
        <v>642</v>
      </c>
      <c r="C25" s="0" t="s">
        <v>643</v>
      </c>
    </row>
    <row r="26" customFormat="false" ht="15" hidden="false" customHeight="false" outlineLevel="0" collapsed="false">
      <c r="A26" s="0" t="s">
        <v>644</v>
      </c>
      <c r="B26" s="0" t="s">
        <v>645</v>
      </c>
      <c r="C26" s="0" t="s">
        <v>646</v>
      </c>
    </row>
    <row r="27" customFormat="false" ht="15" hidden="false" customHeight="false" outlineLevel="0" collapsed="false">
      <c r="A27" s="0" t="s">
        <v>647</v>
      </c>
      <c r="B27" s="0" t="s">
        <v>648</v>
      </c>
      <c r="C27" s="0" t="s">
        <v>649</v>
      </c>
    </row>
    <row r="28" customFormat="false" ht="15" hidden="false" customHeight="false" outlineLevel="0" collapsed="false">
      <c r="A28" s="0" t="s">
        <v>650</v>
      </c>
      <c r="B28" s="0" t="s">
        <v>651</v>
      </c>
      <c r="C28" s="0" t="s">
        <v>652</v>
      </c>
    </row>
    <row r="29" customFormat="false" ht="15" hidden="false" customHeight="false" outlineLevel="0" collapsed="false">
      <c r="A29" s="0" t="s">
        <v>653</v>
      </c>
      <c r="B29" s="0" t="s">
        <v>654</v>
      </c>
      <c r="C29" s="0" t="s">
        <v>655</v>
      </c>
    </row>
    <row r="30" customFormat="false" ht="15" hidden="false" customHeight="false" outlineLevel="0" collapsed="false">
      <c r="A30" s="0" t="s">
        <v>656</v>
      </c>
      <c r="B30" s="0" t="s">
        <v>657</v>
      </c>
      <c r="C30" s="0" t="s">
        <v>658</v>
      </c>
    </row>
    <row r="31" customFormat="false" ht="15" hidden="false" customHeight="false" outlineLevel="0" collapsed="false">
      <c r="A31" s="0" t="s">
        <v>659</v>
      </c>
      <c r="B31" s="0" t="s">
        <v>660</v>
      </c>
      <c r="C31" s="0" t="s">
        <v>661</v>
      </c>
    </row>
    <row r="32" customFormat="false" ht="15" hidden="false" customHeight="false" outlineLevel="0" collapsed="false">
      <c r="A32" s="0" t="s">
        <v>662</v>
      </c>
      <c r="B32" s="0" t="s">
        <v>663</v>
      </c>
      <c r="C32" s="0" t="s">
        <v>664</v>
      </c>
    </row>
    <row r="33" customFormat="false" ht="15" hidden="false" customHeight="false" outlineLevel="0" collapsed="false">
      <c r="A33" s="0" t="s">
        <v>665</v>
      </c>
      <c r="B33" s="0" t="s">
        <v>666</v>
      </c>
      <c r="C33" s="0" t="s">
        <v>667</v>
      </c>
    </row>
    <row r="34" customFormat="false" ht="15" hidden="false" customHeight="false" outlineLevel="0" collapsed="false">
      <c r="A34" s="0" t="s">
        <v>668</v>
      </c>
      <c r="B34" s="0" t="s">
        <v>669</v>
      </c>
      <c r="C34" s="0" t="s">
        <v>670</v>
      </c>
    </row>
    <row r="35" customFormat="false" ht="15" hidden="false" customHeight="false" outlineLevel="0" collapsed="false">
      <c r="A35" s="0" t="s">
        <v>671</v>
      </c>
      <c r="B35" s="0" t="s">
        <v>672</v>
      </c>
      <c r="C35" s="0" t="s">
        <v>673</v>
      </c>
    </row>
    <row r="36" customFormat="false" ht="15" hidden="false" customHeight="false" outlineLevel="0" collapsed="false">
      <c r="A36" s="0" t="s">
        <v>674</v>
      </c>
      <c r="B36" s="0" t="s">
        <v>675</v>
      </c>
      <c r="C36" s="0" t="s">
        <v>676</v>
      </c>
    </row>
    <row r="37" customFormat="false" ht="15" hidden="false" customHeight="false" outlineLevel="0" collapsed="false">
      <c r="A37" s="0" t="s">
        <v>677</v>
      </c>
      <c r="B37" s="0" t="s">
        <v>678</v>
      </c>
      <c r="C37" s="0" t="s">
        <v>679</v>
      </c>
    </row>
    <row r="38" customFormat="false" ht="15" hidden="false" customHeight="false" outlineLevel="0" collapsed="false">
      <c r="A38" s="0" t="s">
        <v>680</v>
      </c>
      <c r="B38" s="0" t="s">
        <v>681</v>
      </c>
      <c r="C38" s="0" t="s">
        <v>682</v>
      </c>
    </row>
    <row r="39" customFormat="false" ht="15" hidden="false" customHeight="false" outlineLevel="0" collapsed="false">
      <c r="A39" s="0" t="s">
        <v>683</v>
      </c>
      <c r="B39" s="0" t="s">
        <v>684</v>
      </c>
      <c r="C39" s="0" t="s">
        <v>685</v>
      </c>
    </row>
    <row r="40" customFormat="false" ht="15" hidden="false" customHeight="false" outlineLevel="0" collapsed="false">
      <c r="A40" s="0" t="s">
        <v>686</v>
      </c>
      <c r="B40" s="0" t="s">
        <v>687</v>
      </c>
      <c r="C40" s="0" t="s">
        <v>688</v>
      </c>
    </row>
    <row r="41" customFormat="false" ht="15" hidden="false" customHeight="false" outlineLevel="0" collapsed="false">
      <c r="A41" s="0" t="s">
        <v>689</v>
      </c>
      <c r="B41" s="0" t="s">
        <v>690</v>
      </c>
      <c r="C41" s="0" t="s">
        <v>691</v>
      </c>
    </row>
    <row r="42" customFormat="false" ht="15" hidden="false" customHeight="false" outlineLevel="0" collapsed="false">
      <c r="A42" s="0" t="s">
        <v>692</v>
      </c>
      <c r="B42" s="0" t="s">
        <v>693</v>
      </c>
      <c r="C42" s="0" t="s">
        <v>694</v>
      </c>
    </row>
    <row r="43" customFormat="false" ht="15" hidden="false" customHeight="false" outlineLevel="0" collapsed="false">
      <c r="A43" s="0" t="s">
        <v>695</v>
      </c>
      <c r="B43" s="0" t="s">
        <v>696</v>
      </c>
      <c r="C43" s="0" t="s">
        <v>697</v>
      </c>
    </row>
    <row r="44" customFormat="false" ht="15" hidden="false" customHeight="false" outlineLevel="0" collapsed="false">
      <c r="A44" s="0" t="s">
        <v>698</v>
      </c>
      <c r="B44" s="0" t="s">
        <v>699</v>
      </c>
      <c r="C44" s="0" t="s">
        <v>700</v>
      </c>
    </row>
    <row r="45" customFormat="false" ht="15" hidden="false" customHeight="false" outlineLevel="0" collapsed="false">
      <c r="A45" s="0" t="s">
        <v>701</v>
      </c>
      <c r="B45" s="0" t="s">
        <v>702</v>
      </c>
      <c r="C45" s="0" t="s">
        <v>703</v>
      </c>
    </row>
    <row r="46" customFormat="false" ht="15" hidden="false" customHeight="false" outlineLevel="0" collapsed="false">
      <c r="A46" s="0" t="s">
        <v>704</v>
      </c>
      <c r="B46" s="0" t="s">
        <v>705</v>
      </c>
      <c r="C46" s="0" t="s">
        <v>706</v>
      </c>
    </row>
    <row r="47" customFormat="false" ht="15" hidden="false" customHeight="false" outlineLevel="0" collapsed="false">
      <c r="A47" s="0" t="s">
        <v>707</v>
      </c>
      <c r="B47" s="0" t="s">
        <v>708</v>
      </c>
      <c r="C47" s="0" t="s">
        <v>709</v>
      </c>
    </row>
    <row r="48" customFormat="false" ht="15" hidden="false" customHeight="false" outlineLevel="0" collapsed="false">
      <c r="A48" s="0" t="s">
        <v>710</v>
      </c>
      <c r="B48" s="0" t="s">
        <v>711</v>
      </c>
      <c r="C48" s="0" t="s">
        <v>712</v>
      </c>
    </row>
    <row r="49" customFormat="false" ht="15" hidden="false" customHeight="false" outlineLevel="0" collapsed="false">
      <c r="A49" s="0" t="s">
        <v>713</v>
      </c>
      <c r="B49" s="0" t="s">
        <v>714</v>
      </c>
      <c r="C49" s="0" t="s">
        <v>715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718</v>
      </c>
    </row>
    <row r="51" customFormat="false" ht="15" hidden="false" customHeight="false" outlineLevel="0" collapsed="false">
      <c r="A51" s="0" t="s">
        <v>719</v>
      </c>
      <c r="B51" s="0" t="s">
        <v>720</v>
      </c>
      <c r="C51" s="0" t="s">
        <v>721</v>
      </c>
    </row>
    <row r="52" customFormat="false" ht="15" hidden="false" customHeight="false" outlineLevel="0" collapsed="false">
      <c r="A52" s="0" t="s">
        <v>722</v>
      </c>
      <c r="B52" s="0" t="s">
        <v>723</v>
      </c>
      <c r="C52" s="0" t="s">
        <v>724</v>
      </c>
    </row>
    <row r="53" customFormat="false" ht="15" hidden="false" customHeight="false" outlineLevel="0" collapsed="false">
      <c r="A53" s="0" t="s">
        <v>725</v>
      </c>
      <c r="B53" s="0" t="s">
        <v>726</v>
      </c>
      <c r="C53" s="0" t="s">
        <v>727</v>
      </c>
    </row>
    <row r="54" customFormat="false" ht="15" hidden="false" customHeight="false" outlineLevel="0" collapsed="false">
      <c r="A54" s="0" t="s">
        <v>728</v>
      </c>
      <c r="B54" s="0" t="s">
        <v>729</v>
      </c>
      <c r="C54" s="0" t="s">
        <v>730</v>
      </c>
    </row>
    <row r="55" customFormat="false" ht="15" hidden="false" customHeight="false" outlineLevel="0" collapsed="false">
      <c r="A55" s="0" t="s">
        <v>731</v>
      </c>
      <c r="B55" s="0" t="s">
        <v>732</v>
      </c>
      <c r="C55" s="0" t="s">
        <v>733</v>
      </c>
    </row>
    <row r="56" customFormat="false" ht="15" hidden="false" customHeight="false" outlineLevel="0" collapsed="false">
      <c r="A56" s="0" t="s">
        <v>734</v>
      </c>
      <c r="B56" s="0" t="s">
        <v>735</v>
      </c>
      <c r="C56" s="0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51"/>
  </cols>
  <sheetData>
    <row r="1" customFormat="false" ht="15" hidden="false" customHeight="false" outlineLevel="0" collapsed="false">
      <c r="A1" s="0" t="s">
        <v>737</v>
      </c>
      <c r="B1" s="0" t="s">
        <v>738</v>
      </c>
      <c r="C1" s="0" t="s">
        <v>739</v>
      </c>
      <c r="D1" s="0" t="s">
        <v>740</v>
      </c>
    </row>
    <row r="2" customFormat="false" ht="15" hidden="false" customHeight="false" outlineLevel="0" collapsed="false">
      <c r="A2" s="0" t="n">
        <v>1</v>
      </c>
      <c r="B2" s="0" t="s">
        <v>741</v>
      </c>
      <c r="C2" s="0" t="s">
        <v>742</v>
      </c>
      <c r="D2" s="0" t="s">
        <v>743</v>
      </c>
    </row>
    <row r="3" customFormat="false" ht="15" hidden="false" customHeight="false" outlineLevel="0" collapsed="false">
      <c r="A3" s="0" t="n">
        <v>2</v>
      </c>
      <c r="B3" s="0" t="s">
        <v>744</v>
      </c>
      <c r="C3" s="0" t="s">
        <v>742</v>
      </c>
      <c r="D3" s="0" t="s">
        <v>745</v>
      </c>
    </row>
    <row r="4" customFormat="false" ht="15" hidden="false" customHeight="false" outlineLevel="0" collapsed="false">
      <c r="A4" s="0" t="n">
        <v>3</v>
      </c>
      <c r="B4" s="0" t="s">
        <v>746</v>
      </c>
      <c r="C4" s="0" t="s">
        <v>109</v>
      </c>
      <c r="D4" s="0" t="s">
        <v>747</v>
      </c>
    </row>
    <row r="5" customFormat="false" ht="15" hidden="false" customHeight="false" outlineLevel="0" collapsed="false">
      <c r="A5" s="0" t="n">
        <v>4</v>
      </c>
      <c r="B5" s="0" t="s">
        <v>748</v>
      </c>
      <c r="C5" s="0" t="s">
        <v>135</v>
      </c>
      <c r="D5" s="0" t="s">
        <v>745</v>
      </c>
    </row>
    <row r="6" customFormat="false" ht="15" hidden="false" customHeight="false" outlineLevel="0" collapsed="false">
      <c r="A6" s="0" t="n">
        <v>5</v>
      </c>
      <c r="B6" s="0" t="s">
        <v>749</v>
      </c>
      <c r="C6" s="0" t="s">
        <v>64</v>
      </c>
      <c r="D6" s="0" t="s">
        <v>750</v>
      </c>
    </row>
    <row r="7" customFormat="false" ht="15" hidden="false" customHeight="false" outlineLevel="0" collapsed="false">
      <c r="A7" s="0" t="n">
        <v>6</v>
      </c>
      <c r="B7" s="0" t="s">
        <v>751</v>
      </c>
      <c r="C7" s="0" t="s">
        <v>64</v>
      </c>
      <c r="D7" s="0" t="s">
        <v>750</v>
      </c>
    </row>
    <row r="8" customFormat="false" ht="15" hidden="false" customHeight="false" outlineLevel="0" collapsed="false">
      <c r="A8" s="0" t="n">
        <v>7</v>
      </c>
      <c r="B8" s="0" t="s">
        <v>752</v>
      </c>
      <c r="C8" s="0" t="s">
        <v>234</v>
      </c>
      <c r="D8" s="0" t="s">
        <v>745</v>
      </c>
    </row>
    <row r="9" customFormat="false" ht="15" hidden="false" customHeight="false" outlineLevel="0" collapsed="false">
      <c r="A9" s="0" t="n">
        <v>8</v>
      </c>
      <c r="B9" s="0" t="s">
        <v>753</v>
      </c>
      <c r="C9" s="0" t="s">
        <v>754</v>
      </c>
      <c r="D9" s="0" t="s">
        <v>755</v>
      </c>
    </row>
    <row r="10" customFormat="false" ht="15" hidden="false" customHeight="false" outlineLevel="0" collapsed="false">
      <c r="A10" s="0" t="n">
        <v>9</v>
      </c>
      <c r="B10" s="0" t="s">
        <v>756</v>
      </c>
      <c r="C10" s="0" t="s">
        <v>319</v>
      </c>
      <c r="D10" s="0" t="s">
        <v>757</v>
      </c>
    </row>
    <row r="11" customFormat="false" ht="15" hidden="false" customHeight="false" outlineLevel="0" collapsed="false">
      <c r="A11" s="0" t="n">
        <v>11</v>
      </c>
      <c r="B11" s="0" t="s">
        <v>758</v>
      </c>
      <c r="C11" s="0" t="s">
        <v>759</v>
      </c>
      <c r="D11" s="0" t="s">
        <v>760</v>
      </c>
    </row>
    <row r="12" customFormat="false" ht="15" hidden="false" customHeight="false" outlineLevel="0" collapsed="false">
      <c r="A12" s="0" t="n">
        <v>10</v>
      </c>
      <c r="B12" s="0" t="s">
        <v>761</v>
      </c>
      <c r="C12" s="0" t="s">
        <v>762</v>
      </c>
      <c r="D12" s="0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764</v>
      </c>
      <c r="B1" s="0" t="s">
        <v>765</v>
      </c>
      <c r="C1" s="0" t="s">
        <v>58</v>
      </c>
      <c r="D1" s="0" t="s">
        <v>766</v>
      </c>
    </row>
    <row r="2" customFormat="false" ht="15" hidden="false" customHeight="false" outlineLevel="0" collapsed="false">
      <c r="A2" s="0" t="s">
        <v>767</v>
      </c>
      <c r="B2" s="0" t="s">
        <v>768</v>
      </c>
      <c r="C2" s="0" t="s">
        <v>769</v>
      </c>
      <c r="D2" s="0" t="s">
        <v>770</v>
      </c>
    </row>
    <row r="3" customFormat="false" ht="15" hidden="false" customHeight="false" outlineLevel="0" collapsed="false">
      <c r="A3" s="0" t="s">
        <v>771</v>
      </c>
      <c r="B3" s="0" t="s">
        <v>772</v>
      </c>
      <c r="C3" s="0" t="s">
        <v>769</v>
      </c>
      <c r="D3" s="0" t="s">
        <v>773</v>
      </c>
    </row>
    <row r="4" customFormat="false" ht="15" hidden="false" customHeight="false" outlineLevel="0" collapsed="false">
      <c r="A4" s="0" t="s">
        <v>774</v>
      </c>
      <c r="B4" s="0" t="s">
        <v>775</v>
      </c>
      <c r="C4" s="0" t="s">
        <v>769</v>
      </c>
      <c r="D4" s="0" t="s">
        <v>776</v>
      </c>
    </row>
    <row r="5" customFormat="false" ht="15" hidden="false" customHeight="false" outlineLevel="0" collapsed="false">
      <c r="A5" s="0" t="s">
        <v>777</v>
      </c>
      <c r="B5" s="0" t="s">
        <v>778</v>
      </c>
      <c r="C5" s="0" t="s">
        <v>769</v>
      </c>
      <c r="D5" s="0" t="s">
        <v>779</v>
      </c>
    </row>
    <row r="6" customFormat="false" ht="15" hidden="false" customHeight="false" outlineLevel="0" collapsed="false">
      <c r="A6" s="0" t="s">
        <v>780</v>
      </c>
      <c r="B6" s="0" t="s">
        <v>781</v>
      </c>
      <c r="C6" s="0" t="s">
        <v>769</v>
      </c>
      <c r="D6" s="0" t="s">
        <v>782</v>
      </c>
    </row>
    <row r="7" customFormat="false" ht="15" hidden="false" customHeight="false" outlineLevel="0" collapsed="false">
      <c r="A7" s="0" t="s">
        <v>783</v>
      </c>
      <c r="B7" s="0" t="s">
        <v>784</v>
      </c>
      <c r="C7" s="0" t="s">
        <v>769</v>
      </c>
      <c r="D7" s="0" t="s">
        <v>785</v>
      </c>
    </row>
    <row r="8" customFormat="false" ht="15" hidden="false" customHeight="false" outlineLevel="0" collapsed="false">
      <c r="A8" s="0" t="s">
        <v>786</v>
      </c>
      <c r="B8" s="0" t="s">
        <v>787</v>
      </c>
      <c r="C8" s="0" t="s">
        <v>769</v>
      </c>
      <c r="D8" s="0" t="s">
        <v>788</v>
      </c>
    </row>
    <row r="9" customFormat="false" ht="15" hidden="false" customHeight="false" outlineLevel="0" collapsed="false">
      <c r="A9" s="0" t="s">
        <v>789</v>
      </c>
      <c r="B9" s="0" t="s">
        <v>790</v>
      </c>
      <c r="C9" s="0" t="s">
        <v>769</v>
      </c>
      <c r="D9" s="0" t="s">
        <v>791</v>
      </c>
    </row>
    <row r="10" customFormat="false" ht="15" hidden="false" customHeight="false" outlineLevel="0" collapsed="false">
      <c r="A10" s="0" t="s">
        <v>792</v>
      </c>
      <c r="B10" s="0" t="s">
        <v>793</v>
      </c>
      <c r="C10" s="0" t="s">
        <v>769</v>
      </c>
      <c r="D10" s="0" t="s">
        <v>794</v>
      </c>
    </row>
    <row r="11" customFormat="false" ht="15" hidden="false" customHeight="false" outlineLevel="0" collapsed="false">
      <c r="A11" s="0" t="s">
        <v>795</v>
      </c>
      <c r="B11" s="0" t="s">
        <v>796</v>
      </c>
      <c r="C11" s="0" t="s">
        <v>769</v>
      </c>
      <c r="D11" s="0" t="s">
        <v>797</v>
      </c>
    </row>
    <row r="12" customFormat="false" ht="15" hidden="false" customHeight="false" outlineLevel="0" collapsed="false">
      <c r="A12" s="0" t="s">
        <v>798</v>
      </c>
      <c r="B12" s="0" t="s">
        <v>799</v>
      </c>
      <c r="C12" s="0" t="s">
        <v>769</v>
      </c>
      <c r="D12" s="0" t="s">
        <v>800</v>
      </c>
    </row>
    <row r="13" customFormat="false" ht="15" hidden="false" customHeight="false" outlineLevel="0" collapsed="false">
      <c r="A13" s="0" t="s">
        <v>801</v>
      </c>
      <c r="B13" s="0" t="s">
        <v>802</v>
      </c>
      <c r="C13" s="0" t="s">
        <v>769</v>
      </c>
      <c r="D13" s="0" t="s">
        <v>803</v>
      </c>
    </row>
    <row r="14" customFormat="false" ht="15" hidden="false" customHeight="false" outlineLevel="0" collapsed="false">
      <c r="A14" s="0" t="s">
        <v>804</v>
      </c>
      <c r="B14" s="0" t="s">
        <v>805</v>
      </c>
      <c r="C14" s="0" t="s">
        <v>769</v>
      </c>
      <c r="D14" s="0" t="s">
        <v>806</v>
      </c>
    </row>
    <row r="15" customFormat="false" ht="15" hidden="false" customHeight="false" outlineLevel="0" collapsed="false">
      <c r="A15" s="0" t="s">
        <v>807</v>
      </c>
      <c r="B15" s="0" t="s">
        <v>808</v>
      </c>
      <c r="C15" s="0" t="s">
        <v>769</v>
      </c>
      <c r="D15" s="0" t="s">
        <v>809</v>
      </c>
    </row>
    <row r="16" customFormat="false" ht="15" hidden="false" customHeight="false" outlineLevel="0" collapsed="false">
      <c r="A16" s="0" t="s">
        <v>810</v>
      </c>
      <c r="B16" s="0" t="s">
        <v>811</v>
      </c>
      <c r="C16" s="0" t="s">
        <v>769</v>
      </c>
      <c r="D16" s="0" t="s">
        <v>812</v>
      </c>
    </row>
    <row r="17" customFormat="false" ht="15" hidden="false" customHeight="false" outlineLevel="0" collapsed="false">
      <c r="A17" s="0" t="s">
        <v>813</v>
      </c>
      <c r="B17" s="0" t="s">
        <v>814</v>
      </c>
      <c r="C17" s="0" t="s">
        <v>769</v>
      </c>
      <c r="D17" s="0" t="s">
        <v>815</v>
      </c>
    </row>
    <row r="18" customFormat="false" ht="15" hidden="false" customHeight="false" outlineLevel="0" collapsed="false">
      <c r="A18" s="0" t="s">
        <v>816</v>
      </c>
      <c r="B18" s="0" t="s">
        <v>817</v>
      </c>
      <c r="C18" s="0" t="s">
        <v>769</v>
      </c>
      <c r="D18" s="0" t="s">
        <v>818</v>
      </c>
    </row>
    <row r="19" customFormat="false" ht="15" hidden="false" customHeight="false" outlineLevel="0" collapsed="false">
      <c r="A19" s="0" t="s">
        <v>819</v>
      </c>
      <c r="B19" s="0" t="s">
        <v>820</v>
      </c>
      <c r="C19" s="0" t="s">
        <v>769</v>
      </c>
      <c r="D19" s="0" t="s">
        <v>821</v>
      </c>
    </row>
    <row r="20" customFormat="false" ht="15" hidden="false" customHeight="false" outlineLevel="0" collapsed="false">
      <c r="A20" s="0" t="s">
        <v>822</v>
      </c>
      <c r="B20" s="0" t="s">
        <v>823</v>
      </c>
      <c r="C20" s="0" t="s">
        <v>769</v>
      </c>
      <c r="D20" s="0" t="s">
        <v>824</v>
      </c>
    </row>
    <row r="21" customFormat="false" ht="15" hidden="false" customHeight="false" outlineLevel="0" collapsed="false">
      <c r="A21" s="0" t="s">
        <v>825</v>
      </c>
      <c r="B21" s="0" t="s">
        <v>826</v>
      </c>
      <c r="C21" s="0" t="s">
        <v>769</v>
      </c>
      <c r="D21" s="0" t="s">
        <v>827</v>
      </c>
    </row>
    <row r="22" customFormat="false" ht="15" hidden="false" customHeight="false" outlineLevel="0" collapsed="false">
      <c r="A22" s="0" t="s">
        <v>828</v>
      </c>
      <c r="B22" s="0" t="s">
        <v>829</v>
      </c>
      <c r="C22" s="0" t="s">
        <v>830</v>
      </c>
      <c r="D22" s="0" t="s">
        <v>831</v>
      </c>
    </row>
    <row r="23" customFormat="false" ht="15" hidden="false" customHeight="false" outlineLevel="0" collapsed="false">
      <c r="A23" s="0" t="s">
        <v>832</v>
      </c>
      <c r="B23" s="0" t="s">
        <v>833</v>
      </c>
      <c r="C23" s="0" t="s">
        <v>830</v>
      </c>
      <c r="D23" s="0" t="s">
        <v>834</v>
      </c>
    </row>
    <row r="24" customFormat="false" ht="15" hidden="false" customHeight="false" outlineLevel="0" collapsed="false">
      <c r="A24" s="0" t="s">
        <v>835</v>
      </c>
      <c r="B24" s="0" t="s">
        <v>836</v>
      </c>
      <c r="C24" s="0" t="s">
        <v>769</v>
      </c>
      <c r="D24" s="0" t="s">
        <v>837</v>
      </c>
    </row>
    <row r="25" customFormat="false" ht="15" hidden="false" customHeight="false" outlineLevel="0" collapsed="false">
      <c r="A25" s="0" t="s">
        <v>838</v>
      </c>
      <c r="B25" s="0" t="s">
        <v>839</v>
      </c>
      <c r="C25" s="0" t="s">
        <v>769</v>
      </c>
      <c r="D25" s="0" t="s">
        <v>840</v>
      </c>
    </row>
    <row r="26" customFormat="false" ht="15" hidden="false" customHeight="false" outlineLevel="0" collapsed="false">
      <c r="A26" s="0" t="s">
        <v>841</v>
      </c>
      <c r="B26" s="0" t="s">
        <v>842</v>
      </c>
      <c r="C26" s="0" t="s">
        <v>830</v>
      </c>
      <c r="D26" s="0" t="s"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2026-10-19T11:18:58Z</dcterms:created>
  <dc:creator>openpyxl</dc:creator>
  <dc:description/>
  <dc:language>en-US</dc:language>
  <cp:lastModifiedBy/>
  <dcterms:modified xsi:type="dcterms:W3CDTF">2026-10-19T11:18:58Z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