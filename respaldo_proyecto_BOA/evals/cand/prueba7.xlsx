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<sst xmlns="http://schemas.openxmlformats.org/spreadsheetml/2006/main" count="924" uniqueCount="628">
  <si>
    <t xml:space="preserve">Bank of America - Broomfield, CO (CO1-111)   |   METAL FRAMING &amp; DRYWALL TAKEOFF</t>
  </si>
  <si>
    <t xml:space="preserve">Bid set: 2025.08.26_CO1-111_Broomfield_PERMIT SET_BID SET.pdf   ·   2026-10-15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</si>
  <si>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</si>
  <si>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</si>
  <si>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</si>
  <si>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</si>
  <si>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</si>
  <si>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</si>
  <si>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</si>
  <si>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</si>
  <si>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</si>
  <si>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</si>
  <si>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</si>
  <si>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</si>
  <si>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</si>
  <si>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</si>
  <si>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</si>
  <si>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</si>
  <si>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</si>
  <si>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</si>
  <si>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</si>
  <si>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</si>
  <si>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</si>
  <si>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</si>
  <si>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</si>
  <si>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</si>
  <si>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</si>
  <si>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</si>
  <si>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</si>
  <si>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#1  -  Calling Cubes 122 north wall (incl. MW01 niche back) || 122 Calling Cubes: 1 x 5/8" GB to 9.0 ft | 104 Waiting (GB island): 1 x 5/8" GB to 11.5 ft || sello d0071506edff939d</t>
  </si>
  <si>
    <t xml:space="preserve">1</t>
  </si>
  <si>
    <t xml:space="preserve">3-5/8"</t>
  </si>
  <si>
    <t xml:space="preserve">Calling Cubes 122 north wall (incl. MW01 niche back) || 122 Calling Cubes: 1 x 5/8" GB to 9.0 ft | 104 Waiting (GB island): 1 x 5/8" GB to 11.5 ft || sello d0071506edff939d</t>
  </si>
  <si>
    <t xml:space="preserve">A02.01 -&gt; 3/A12.01 -&gt; 7/S5.20 -&gt; 1/S5.20</t>
  </si>
  <si>
    <t xml:space="preserve">[DERIVADO]</t>
  </si>
  <si>
    <t xml:space="preserve">A1  #2  -  MW01 niche east wall || 122 Calling Cubes: 1 x 5/8" GB to 9.0 ft | 103 Central Zone: 1 x 5/8" GB to 12.0 ft || sello c8b927050a8b0ac4</t>
  </si>
  <si>
    <t xml:space="preserve">2</t>
  </si>
  <si>
    <t xml:space="preserve">MW01 niche east wall || 122 Calling Cubes: 1 x 5/8" GB to 9.0 ft | 103 Central Zone: 1 x 5/8" GB to 12.0 ft || sello c8b927050a8b0ac4</t>
  </si>
  <si>
    <t xml:space="preserve">A1  #3  -  MW01 niche south wall at FEC-1 || 122 Calling Cubes: 1 x 5/8" GB to 9.0 ft | 103 Central Zone: 1 x 5/8" GB to 12.0 ft || sello 5cd642dbe1dd5c6e</t>
  </si>
  <si>
    <t xml:space="preserve">3</t>
  </si>
  <si>
    <t xml:space="preserve">MW01 niche south wall at FEC-1 || 122 Calling Cubes: 1 x 5/8" GB to 9.0 ft | 103 Central Zone: 1 x 5/8" GB to 12.0 ft || sello 5cd642dbe1dd5c6e</t>
  </si>
  <si>
    <t xml:space="preserve">A1  #4  -  Corridor 111 stub east of Restroom 114 door || 103 Central Zone: 1 x 5/8" GB to 12.0 ft | 111 Corridor: 1 x 5/8" GB to 9.0 ft || sello 7d2691b56bc90b22</t>
  </si>
  <si>
    <t xml:space="preserve">4</t>
  </si>
  <si>
    <t xml:space="preserve">Corridor 111 stub east of Restroom 114 door || 103 Central Zone: 1 x 5/8" GB to 12.0 ft | 111 Corridor: 1 x 5/8" GB to 9.0 ft || sello 7d2691b56bc90b22</t>
  </si>
  <si>
    <t xml:space="preserve">A1  #5  -  Calling Cubes 122 south wall / Corridor 111 / Break Room 118 || 122 Calling Cubes: 1 x 5/8" GB to 9.0 ft | 118 Break Room: 1 x 5/8" GB to 9.0 ft || sello ac8dc76f483eac60</t>
  </si>
  <si>
    <t xml:space="preserve">5</t>
  </si>
  <si>
    <t xml:space="preserve">Calling Cubes 122 south wall / Corridor 111 / Break Room 118 || 122 Calling Cubes: 1 x 5/8" GB to 9.0 ft | 118 Break Room: 1 x 5/8" GB to 9.0 ft || sello ac8dc76f483eac60</t>
  </si>
  <si>
    <t xml:space="preserve">A1  #6  -  Break Room 118 north jog at door 118A (vertical) || 118 Break Room: 1 x 5/8" GB to 9.0 ft | Corridor at 116/118A (ACT-4 9 ft): 1 x 5/8" GB to 9.5 ft || sello 4cedc9b9c55fbf77</t>
  </si>
  <si>
    <t xml:space="preserve">6</t>
  </si>
  <si>
    <t xml:space="preserve">Break Room 118 north jog at door 118A (vertical) || 118 Break Room: 1 x 5/8" GB to 9.0 ft | Corridor at 116/118A (ACT-4 9 ft): 1 x 5/8" GB to 9.5 ft || sello 4cedc9b9c55fbf77</t>
  </si>
  <si>
    <t xml:space="preserve">A1  #7  -  Break Room 118 north jog at door 118A (horizontal) || 118 Break Room: 1 x 5/8" GB to 9.0 ft | Corridor at 116/118A (ACT-4 9 ft): 1 x 5/8" GB to 9.5 ft || sello 1d1fa2607700450e</t>
  </si>
  <si>
    <t xml:space="preserve">7</t>
  </si>
  <si>
    <t xml:space="preserve">Break Room 118 north jog at door 118A (horizontal) || 118 Break Room: 1 x 5/8" GB to 9.0 ft | Corridor at 116/118A (ACT-4 9 ft): 1 x 5/8" GB to 9.5 ft || sello 1d1fa2607700450e</t>
  </si>
  <si>
    <t xml:space="preserve">A1  #8  -  Corridor 111 east = Electrical 120 / NER 121 west wall || 111 Corridor: 1 x 5/8" GB to 9.0 ft | 120 Electrical: 1 x 5/8" GB to 13.05 ft || sello b822229dc2452645</t>
  </si>
  <si>
    <t xml:space="preserve">8</t>
  </si>
  <si>
    <t xml:space="preserve">Corridor 111 east = Electrical 120 / NER 121 west wall || 111 Corridor: 1 x 5/8" GB to 9.0 ft | 120 Electrical: 1 x 5/8" GB to 13.05 ft || sello b822229dc2452645</t>
  </si>
  <si>
    <t xml:space="preserve">A1  #9  -  Work Room 119 north wall || 119 Work Room: 1 x 5/8" GB to 9.0 ft | Corridor at 116/118A (ACT-4 9 ft): 1 x 5/8" GB to 9.5 ft || sello 36e13db3828c15d3</t>
  </si>
  <si>
    <t xml:space="preserve">9</t>
  </si>
  <si>
    <t xml:space="preserve">Work Room 119 north wall || 119 Work Room: 1 x 5/8" GB to 9.0 ft | Corridor at 116/118A (ACT-4 9 ft): 1 x 5/8" GB to 9.5 ft || sello 36e13db3828c15d3</t>
  </si>
  <si>
    <t xml:space="preserve">A1  #10  -  Men's Restroom 113 urinal wall at chase east end (untagged, note A) || 113 Men: 1 x 5/8" GB to 9.0 ft | 114 Women: 1 x 5/8" GB to 9.0 ft || sello c92485a88154cc00</t>
  </si>
  <si>
    <t xml:space="preserve">10</t>
  </si>
  <si>
    <t xml:space="preserve">Men's Restroom 113 urinal wall at chase east end (untagged, note A) || 113 Men: 1 x 5/8" GB to 9.0 ft | 114 Women: 1 x 5/8" GB to 9.0 ft || sello c92485a88154cc00</t>
  </si>
  <si>
    <t xml:space="preserve">A1  #11  -  Restroom 114 jog to B2 at urinal niche north (untagged) || 114 Women: 1 x 5/8" GB to 9.0 ft | 111 Corridor: 1 x 5/8" GB to 9.0 ft || sello d70ac06450239353</t>
  </si>
  <si>
    <t xml:space="preserve">11</t>
  </si>
  <si>
    <t xml:space="preserve">Restroom 114 jog to B2 at urinal niche north (untagged) || 114 Women: 1 x 5/8" GB to 9.0 ft | 111 Corridor: 1 x 5/8" GB to 9.0 ft || sello d70ac06450239353</t>
  </si>
  <si>
    <t xml:space="preserve">A1  #12  -  Restroom 113 jog to B2 at urinal niche south (untagged) || 113 Men: 1 x 5/8" GB to 9.0 ft | 111 Corridor: 1 x 5/8" GB to 9.0 ft || sello 3fff140bddcb3578</t>
  </si>
  <si>
    <t xml:space="preserve">12</t>
  </si>
  <si>
    <t xml:space="preserve">Restroom 113 jog to B2 at urinal niche south (untagged) || 113 Men: 1 x 5/8" GB to 9.0 ft | 111 Corridor: 1 x 5/8" GB to 9.0 ft || sello 3fff140bddcb3578</t>
  </si>
  <si>
    <t xml:space="preserve">TYPE A1K</t>
  </si>
  <si>
    <t xml:space="preserve">A1K  #13  -  Cash Window 116 north (Kevlar) || 116 Cash Window (teller side): 1 x 5/8" GB to 15.38 ft | Customer side (behind G #41): 1 x 5/8" GB to 15.38 ft || sello f4be4d34b2d3145f</t>
  </si>
  <si>
    <t xml:space="preserve">13</t>
  </si>
  <si>
    <t xml:space="preserve">Cash Window 116 north (Kevlar) || 116 Cash Window (teller side): 1 x 5/8" GB to 15.38 ft | Customer side (behind G #41): 1 x 5/8" GB to 15.38 ft || sello f4be4d34b2d3145f</t>
  </si>
  <si>
    <t xml:space="preserve">A02.01 -&gt; 4/A12.01 -&gt; 7/S5.20 -&gt; 1/S5.20</t>
  </si>
  <si>
    <t xml:space="preserve">A1K  #14  -  Cash Window 116 south (Kevlar) || 116 Cash Window (teller side): 1 x 5/8" GB to 13.05 ft | Customer side (Future FCAM / 118A): 1 x 5/8" GB to 13.05 ft || sello 254a7bd2f04507c7</t>
  </si>
  <si>
    <t xml:space="preserve">14</t>
  </si>
  <si>
    <t xml:space="preserve">Cash Window 116 south (Kevlar) || 116 Cash Window (teller side): 1 x 5/8" GB to 13.05 ft | Customer side (Future FCAM / 118A): 1 x 5/8" GB to 13.05 ft || sello 254a7bd2f04507c7</t>
  </si>
  <si>
    <t xml:space="preserve">A1K  #15  -  Cash Window 116 south-west leg at door 118A (Kevlar) || Corridor at 116/118A (ACT-4 9 ft) customer side N: 1 x 5/8" GB to 13.05 ft | Customer side (118A) S: 1 x 5/8" GB to 13.05 ft || sello d06eaf155297aac8</t>
  </si>
  <si>
    <t xml:space="preserve">15</t>
  </si>
  <si>
    <t xml:space="preserve">Cash Window 116 south-west leg at door 118A (Kevlar) || Corridor at 116/118A (ACT-4 9 ft) customer side N: 1 x 5/8" GB to 13.05 ft | Customer side (118A) S: 1 x 5/8" GB to 13.05 ft || sello d06eaf155297aac8</t>
  </si>
  <si>
    <t xml:space="preserve">TYPE A5</t>
  </si>
  <si>
    <t xml:space="preserve">A5  #16  -  Calling Cubes 122 east wall || 122 Calling Cubes: 1 x 5/8" GB to 9.0 ft | 103 Central Zone: 1 x 5/8" GB to 12.0 ft | Corridor at 116/118A (ACT-4 9 ft): 1 x 5/8" GB to 9.5 ft || sello f9cf1182ba9a23a2</t>
  </si>
  <si>
    <t xml:space="preserve">16</t>
  </si>
  <si>
    <t xml:space="preserve">6"</t>
  </si>
  <si>
    <t xml:space="preserve">Calling Cubes 122 east wall || 122 Calling Cubes: 1 x 5/8" GB to 9.0 ft | 103 Central Zone: 1 x 5/8" GB to 12.0 ft | Corridor at 116/118A (ACT-4 9 ft): 1 x 5/8" GB to 9.5 ft || sello f9cf1182ba9a23a2</t>
  </si>
  <si>
    <t xml:space="preserve">A5  #17  -  Calling Cubes 122 west wall at MW07 || 122 Calling Cubes: 1 x 5/8" GB to 9.0 ft | 103 Central Zone: 1 x 5/8" GB to 12.0 ft || sello 2620f487fabd6d7f</t>
  </si>
  <si>
    <t xml:space="preserve">17</t>
  </si>
  <si>
    <t xml:space="preserve">Calling Cubes 122 west wall at MW07 || 122 Calling Cubes: 1 x 5/8" GB to 9.0 ft | 103 Central Zone: 1 x 5/8" GB to 12.0 ft || sello 2620f487fabd6d7f</t>
  </si>
  <si>
    <t xml:space="preserve">A5  #18  -  Corridor 111 jamb wall at door 111 || 122 Calling Cubes: 1 x 5/8" GB to 9.0 ft | 111 Corridor: 1 x 5/8" GB to 9.0 ft || sello e369e8d4a29f07d4</t>
  </si>
  <si>
    <t xml:space="preserve">18</t>
  </si>
  <si>
    <t xml:space="preserve">Corridor 111 jamb wall at door 111 || 122 Calling Cubes: 1 x 5/8" GB to 9.0 ft | 111 Corridor: 1 x 5/8" GB to 9.0 ft || sello e369e8d4a29f07d4</t>
  </si>
  <si>
    <t xml:space="preserve">A5  #19  -  Break Room 118 east at Future FCAM || 118 Break Room: 1 x 5/8" GB to 9.0 ft | Corridor at 116/118A (ACT-4 9 ft): 1 x 5/8" GB to 9.5 ft || sello c54617a6c1f43042</t>
  </si>
  <si>
    <t xml:space="preserve">19</t>
  </si>
  <si>
    <t xml:space="preserve">Break Room 118 east at Future FCAM || 118 Break Room: 1 x 5/8" GB to 9.0 ft | Corridor at 116/118A (ACT-4 9 ft): 1 x 5/8" GB to 9.5 ft || sello c54617a6c1f43042</t>
  </si>
  <si>
    <t xml:space="preserve">TYPE B</t>
  </si>
  <si>
    <t xml:space="preserve">B  #20  -  Electrical 120 north wall (FEC-2 recess) || 118 Break Room: 1 x 5/8" GB to 13.05 ft | 120 Electrical: 1 x 5/8" GB to 13.05 ft || sello 4d6091bda8059fdb</t>
  </si>
  <si>
    <t xml:space="preserve">20</t>
  </si>
  <si>
    <t xml:space="preserve">Electrical 120 north wall (FEC-2 recess) || 118 Break Room: 1 x 5/8" GB to 13.05 ft | 120 Electrical: 1 x 5/8" GB to 13.05 ft || sello 4d6091bda8059fdb</t>
  </si>
  <si>
    <t xml:space="preserve">A02.01 -&gt; 1/A12.01 -&gt; 7/S5.20 -&gt; 1/S5.20</t>
  </si>
  <si>
    <t xml:space="preserve">B  #21  -  Electrical 120 / NER 121 demising || 120 Electrical: 1 x 5/8" GB to 13.05 ft | 121 NER: 1 x 5/8" GB to 13.05 ft || sello bd64610576e40fe6</t>
  </si>
  <si>
    <t xml:space="preserve">21</t>
  </si>
  <si>
    <t xml:space="preserve">Electrical 120 / NER 121 demising || 120 Electrical: 1 x 5/8" GB to 13.05 ft | 121 NER: 1 x 5/8" GB to 13.05 ft || sello bd64610576e40fe6</t>
  </si>
  <si>
    <t xml:space="preserve">B  #22  -  Electrical 120 / NER 121 east wall (doors 120,121) || 120 Electrical / 121 NER: 1 x 5/8" GB to 13.05 ft | 118 Break Room: 1 x 5/8" GB to 13.05 ft || sello 85e5b987cebcf74e</t>
  </si>
  <si>
    <t xml:space="preserve">22</t>
  </si>
  <si>
    <t xml:space="preserve">Electrical 120 / NER 121 east wall (doors 120,121) || 120 Electrical / 121 NER: 1 x 5/8" GB to 13.05 ft | 118 Break Room: 1 x 5/8" GB to 13.05 ft || sello 85e5b987cebcf74e</t>
  </si>
  <si>
    <t xml:space="preserve">B  #23  -  Restroom 113 south / Janitor-Storage north (door 112) || 113 Men: 1 x 5/8" GB to 13.05 ft | 112 Janitor: 1 x 5/8" GB to 13.05 ft || sello a8515e3d163b67ac</t>
  </si>
  <si>
    <t xml:space="preserve">23</t>
  </si>
  <si>
    <t xml:space="preserve">Restroom 113 south / Janitor-Storage north (door 112) || 113 Men: 1 x 5/8" GB to 13.05 ft | 112 Janitor: 1 x 5/8" GB to 13.05 ft || sello a8515e3d163b67ac</t>
  </si>
  <si>
    <t xml:space="preserve">B  #24  -  Janitor 112 / Storage 117 demising || 112 Janitor: 1 x 5/8" GB to 13.05 ft | 117 Storage: 1 x 5/8" GB to 13.05 ft || sello 1ed3f131e7a04e96</t>
  </si>
  <si>
    <t xml:space="preserve">24</t>
  </si>
  <si>
    <t xml:space="preserve">Janitor 112 / Storage 117 demising || 112 Janitor: 1 x 5/8" GB to 13.05 ft | 117 Storage: 1 x 5/8" GB to 13.05 ft || sello 1ed3f131e7a04e96</t>
  </si>
  <si>
    <t xml:space="preserve">B  #25  -  Janitor 112-Storage 117 south / Wellness 115 north || 112 Janitor: 1 x 5/8" GB to 13.05 ft | 115 Wellness: 1 x 5/8" GB to 13.05 ft || sello 7fe690636750ca33</t>
  </si>
  <si>
    <t xml:space="preserve">25</t>
  </si>
  <si>
    <t xml:space="preserve">Janitor 112-Storage 117 south / Wellness 115 north || 112 Janitor: 1 x 5/8" GB to 13.05 ft | 115 Wellness: 1 x 5/8" GB to 13.05 ft || sello 7fe690636750ca33</t>
  </si>
  <si>
    <t xml:space="preserve">TYPE B2</t>
  </si>
  <si>
    <t xml:space="preserve">B2  #26  -  ATM Room 102 east jamb wall at door 102 || 102 ATM Room: 1 x 5/8" GB to 15.38 ft | 103 Central Zone: 1 x 5/8" GB to 15.38 ft || sello 677005bf85f414eb</t>
  </si>
  <si>
    <t xml:space="preserve">26</t>
  </si>
  <si>
    <t xml:space="preserve">ATM Room 102 east jamb wall at door 102 || 102 ATM Room: 1 x 5/8" GB to 15.38 ft | 103 Central Zone: 1 x 5/8" GB to 15.38 ft || sello 677005bf85f414eb</t>
  </si>
  <si>
    <t xml:space="preserve">B2  #27  -  Women's Restroom 114 east (south of door 114) || 114 Women: 1 x 5/8" GB to 13.05 ft | 111 Corridor: 1 x 5/8" GB to 13.05 ft || sello da1e7a931f0156de</t>
  </si>
  <si>
    <t xml:space="preserve">27</t>
  </si>
  <si>
    <t xml:space="preserve">Women's Restroom 114 east (south of door 114) || 114 Women: 1 x 5/8" GB to 13.05 ft | 111 Corridor: 1 x 5/8" GB to 13.05 ft || sello da1e7a931f0156de</t>
  </si>
  <si>
    <t xml:space="preserve">B2  #28  -  Men's Restroom 113 east (north of door 113) || 113 Men: 1 x 5/8" GB to 13.05 ft | 111 Corridor: 1 x 5/8" GB to 13.05 ft || sello 6e3cd3f0628a8276</t>
  </si>
  <si>
    <t xml:space="preserve">28</t>
  </si>
  <si>
    <t xml:space="preserve">Men's Restroom 113 east (north of door 113) || 113 Men: 1 x 5/8" GB to 13.05 ft | 111 Corridor: 1 x 5/8" GB to 13.05 ft || sello 6e3cd3f0628a8276</t>
  </si>
  <si>
    <t xml:space="preserve">B2  #29  -  Wellness 115 east (between doors 117 and 115) || 115 Wellness: 1 x 5/8" GB to 13.05 ft | 111 Corridor: 1 x 5/8" GB to 13.05 ft || sello 7bc90b2d65064489</t>
  </si>
  <si>
    <t xml:space="preserve">29</t>
  </si>
  <si>
    <t xml:space="preserve">Wellness 115 east (between doors 117 and 115) || 115 Wellness: 1 x 5/8" GB to 13.05 ft | 111 Corridor: 1 x 5/8" GB to 13.05 ft || sello 7bc90b2d65064489</t>
  </si>
  <si>
    <t xml:space="preserve">B2  #30  -  Work Room 119 west / Break Room 118 east || 119 Work Room: 1 x 5/8" GB to 13.05 ft | 118 Break Room: 1 x 5/8" GB to 13.05 ft || sello 57a022443a1f5c72</t>
  </si>
  <si>
    <t xml:space="preserve">30</t>
  </si>
  <si>
    <t xml:space="preserve">Work Room 119 west / Break Room 118 east || 119 Work Room: 1 x 5/8" GB to 13.05 ft | 118 Break Room: 1 x 5/8" GB to 13.05 ft || sello 57a022443a1f5c72</t>
  </si>
  <si>
    <t xml:space="preserve">TYPE B2K</t>
  </si>
  <si>
    <t xml:space="preserve">B2K  #31  -  Cash Window 116 north-west corner at office front (Kevlar) || 116 Cash Window (teller side): 1 x 5/8" GB to 15.38 ft | Customer side (Office 108 front): 1 x 5/8" GB to 15.38 ft || sello 4ab59348315582d9</t>
  </si>
  <si>
    <t xml:space="preserve">31</t>
  </si>
  <si>
    <t xml:space="preserve">Cash Window 116 north-west corner at office front (Kevlar) || 116 Cash Window (teller side): 1 x 5/8" GB to 15.38 ft | Customer side (Office 108 front): 1 x 5/8" GB to 15.38 ft || sello 4ab59348315582d9</t>
  </si>
  <si>
    <t xml:space="preserve">A02.01 -&gt; 4/A12.01 + 1/A12.01 -&gt; 7/S5.20 -&gt; 1/S5.20</t>
  </si>
  <si>
    <t xml:space="preserve">TYPE C1</t>
  </si>
  <si>
    <t xml:space="preserve">C1  #32  -  Calling Cubes 122 north furring for display monitor (keynote 7) || 103 Central Zone: 1 x 5/8" GB to 15.38 ft || sello 123130922b441be0</t>
  </si>
  <si>
    <t xml:space="preserve">32</t>
  </si>
  <si>
    <t xml:space="preserve">Calling Cubes 122 north furring for display monitor (keynote 7) || 103 Central Zone: 1 x 5/8" GB to 15.38 ft || sello 123130922b441be0</t>
  </si>
  <si>
    <t xml:space="preserve">A02.01 -&gt; 6/A12.01 -&gt; 7/S5.20 -&gt; 1/S5.20</t>
  </si>
  <si>
    <t xml:space="preserve">C1  #33  -  Restroom 114 side of plumbing chase || 114 Women: 1 x 5/8" GB to 13.05 ft || sello 2cc3cd8162e1b748</t>
  </si>
  <si>
    <t xml:space="preserve">33</t>
  </si>
  <si>
    <t xml:space="preserve">Restroom 114 side of plumbing chase || 114 Women: 1 x 5/8" GB to 13.05 ft || sello 2cc3cd8162e1b748</t>
  </si>
  <si>
    <t xml:space="preserve">C1  #34  -  Restroom 113 side of plumbing chase || 113 Men: 1 x 5/8" GB to 13.05 ft || sello 5415bd09afb494ed</t>
  </si>
  <si>
    <t xml:space="preserve">34</t>
  </si>
  <si>
    <t xml:space="preserve">Restroom 113 side of plumbing chase || 113 Men: 1 x 5/8" GB to 13.05 ft || sello 5415bd09afb494ed</t>
  </si>
  <si>
    <t xml:space="preserve">TYPE F</t>
  </si>
  <si>
    <t xml:space="preserve">F  #35  -  24 HR Vestibule 101 / ATM Room 102 diagonal ATM wall (30 deg) || 101 24 HR Vestibule: 1 x 5/8" GB to 10.0 ft | 102 ATM Room: 1 x 5/8" GB to 9.0 ft || sello ea9cc18c72bf4a4c</t>
  </si>
  <si>
    <t xml:space="preserve">35</t>
  </si>
  <si>
    <t xml:space="preserve">24 HR Vestibule 101 / ATM Room 102 diagonal ATM wall (30 deg) || 101 24 HR Vestibule: 1 x 5/8" GB to 10.0 ft | 102 ATM Room: 1 x 5/8" GB to 9.0 ft || sello ea9cc18c72bf4a4c</t>
  </si>
  <si>
    <t xml:space="preserve">A02.01 -&gt; 12/A12.01 -&gt; 7/S5.20 -&gt; 1/S5.20</t>
  </si>
  <si>
    <t xml:space="preserve">TYPE G</t>
  </si>
  <si>
    <t xml:space="preserve">G  #36  -  ATM Room 102 south / Office 5 109 north || 102 ATM Room: 2 x 5/8" GB to 15.38 ft | 105-110 Offices: 2 x 5/8" GB to 15.38 ft || sello eb62d57e6e8c7bc5</t>
  </si>
  <si>
    <t xml:space="preserve">36</t>
  </si>
  <si>
    <t xml:space="preserve">1-5/8" x2 rows</t>
  </si>
  <si>
    <t xml:space="preserve">ATM Room 102 south / Office 5 109 north || 102 ATM Room: 2 x 5/8" GB to 15.38 ft | 105-110 Offices: 2 x 5/8" GB to 15.38 ft || sello eb62d57e6e8c7bc5</t>
  </si>
  <si>
    <t xml:space="preserve">A02.01 -&gt; 5/A12.01 -&gt; 7/S5.20 -&gt; 1/S5.20</t>
  </si>
  <si>
    <t xml:space="preserve">G  #37  -  Office 109 / Office 110 || 105-110 Offices: 2 x 5/8" GB to 15.38 ft | 105-110 Offices (110): 2 x 5/8" GB to 15.38 ft || sello 957078a430d3ca4a</t>
  </si>
  <si>
    <t xml:space="preserve">37</t>
  </si>
  <si>
    <t xml:space="preserve">Office 109 / Office 110 || 105-110 Offices: 2 x 5/8" GB to 15.38 ft | 105-110 Offices (110): 2 x 5/8" GB to 15.38 ft || sello 957078a430d3ca4a</t>
  </si>
  <si>
    <t xml:space="preserve">G  #38  -  Office 110 / Women's Restroom 114 || 105-110 Offices: 2 x 5/8" GB to 15.38 ft | 114 Women: 2 x 5/8" GB to 15.38 ft || sello 393063883965f812</t>
  </si>
  <si>
    <t xml:space="preserve">38</t>
  </si>
  <si>
    <t xml:space="preserve">Office 110 / Women's Restroom 114 || 105-110 Offices: 2 x 5/8" GB to 15.38 ft | 114 Women: 2 x 5/8" GB to 15.38 ft || sello 393063883965f812</t>
  </si>
  <si>
    <t xml:space="preserve">G  #39  -  Office 106 / Office 107 || 105-110 Offices: 2 x 5/8" GB to 15.38 ft | 105-110 Offices (107): 2 x 5/8" GB to 15.38 ft || sello 64374ce8596f20af</t>
  </si>
  <si>
    <t xml:space="preserve">39</t>
  </si>
  <si>
    <t xml:space="preserve">Office 106 / Office 107 || 105-110 Offices: 2 x 5/8" GB to 15.38 ft | 105-110 Offices (107): 2 x 5/8" GB to 15.38 ft || sello 64374ce8596f20af</t>
  </si>
  <si>
    <t xml:space="preserve">G  #40  -  Office 107 / Office 108 || 105-110 Offices: 2 x 5/8" GB to 15.38 ft | 105-110 Offices (108): 2 x 5/8" GB to 15.38 ft || sello 7dd28eea3904579b</t>
  </si>
  <si>
    <t xml:space="preserve">40</t>
  </si>
  <si>
    <t xml:space="preserve">Office 107 / Office 108 || 105-110 Offices: 2 x 5/8" GB to 15.38 ft | 105-110 Offices (108): 2 x 5/8" GB to 15.38 ft || sello 7dd28eea3904579b</t>
  </si>
  <si>
    <t xml:space="preserve">G  #41  -  Office 108 / Cash Window 116 || 105-110 Offices: 2 x 5/8" GB to 15.38 ft | 116 Cash Window: 2 x 5/8" GB to 15.38 ft || sello 5a8a18e066c63157</t>
  </si>
  <si>
    <t xml:space="preserve">41</t>
  </si>
  <si>
    <t xml:space="preserve">Office 108 / Cash Window 116 || 105-110 Offices: 2 x 5/8" GB to 15.38 ft | 116 Cash Window: 2 x 5/8" GB to 15.38 ft || sello 5a8a18e066c63157</t>
  </si>
  <si>
    <t xml:space="preserve">G  #42  -  Office 105 office-front pier (north jamb) || 105-110 Offices: 2 x 5/8" GB to 15.38 ft | 103 Central Zone: 2 x 5/8" GB to 15.38 ft || sello cf45f77c7c816672</t>
  </si>
  <si>
    <t xml:space="preserve">42</t>
  </si>
  <si>
    <t xml:space="preserve">Office 105 office-front pier (north jamb) || 105-110 Offices: 2 x 5/8" GB to 15.38 ft | 103 Central Zone: 2 x 5/8" GB to 15.38 ft || sello cf45f77c7c816672</t>
  </si>
  <si>
    <t xml:space="preserve">G  #43  -  Office 105/106 office-front pier || 105-110 Offices: 2 x 5/8" GB to 15.38 ft | 103 Central Zone: 2 x 5/8" GB to 15.38 ft || sello c5770cfd8d9497fc</t>
  </si>
  <si>
    <t xml:space="preserve">43</t>
  </si>
  <si>
    <t xml:space="preserve">Office 105/106 office-front pier || 105-110 Offices: 2 x 5/8" GB to 15.38 ft | 103 Central Zone: 2 x 5/8" GB to 15.38 ft || sello c5770cfd8d9497fc</t>
  </si>
  <si>
    <t xml:space="preserve">G  #44  -  Office 106/107 office-front pier || 105-110 Offices: 2 x 5/8" GB to 15.38 ft | 103 Central Zone: 2 x 5/8" GB to 15.38 ft || sello 13d14f8f6d1f8bca</t>
  </si>
  <si>
    <t xml:space="preserve">44</t>
  </si>
  <si>
    <t xml:space="preserve">Office 106/107 office-front pier || 105-110 Offices: 2 x 5/8" GB to 15.38 ft | 103 Central Zone: 2 x 5/8" GB to 15.38 ft || sello 13d14f8f6d1f8bca</t>
  </si>
  <si>
    <t xml:space="preserve">G  #45  -  Office 107/108 office-front pier || 105-110 Offices: 2 x 5/8" GB to 15.38 ft | 103 Central Zone: 2 x 5/8" GB to 15.38 ft || sello 90c000f467244c3d</t>
  </si>
  <si>
    <t xml:space="preserve">45</t>
  </si>
  <si>
    <t xml:space="preserve">Office 107/108 office-front pier || 105-110 Offices: 2 x 5/8" GB to 15.38 ft | 103 Central Zone: 2 x 5/8" GB to 15.38 ft || sello 90c000f467244c3d</t>
  </si>
  <si>
    <t xml:space="preserve">TYPE G1</t>
  </si>
  <si>
    <t xml:space="preserve">G1  #46  -  Office 105 / Office 106 || 105-110 Offices: 2 x 5/8" GB to 15.38 ft | 105-110 Offices (106): 2 x 5/8" GB to 15.38 ft || sello ed715c6b7edcca90</t>
  </si>
  <si>
    <t xml:space="preserve">46</t>
  </si>
  <si>
    <t xml:space="preserve">Office 105 / Office 106 || 105-110 Offices: 2 x 5/8" GB to 15.38 ft | 105-110 Offices (106): 2 x 5/8" GB to 15.38 ft || sello ed715c6b7edcca90</t>
  </si>
  <si>
    <t xml:space="preserve">G1  #47  -  Office 109/110 office-front pier || 105-110 Offices: 2 x 5/8" GB to 15.38 ft | 103 Central Zone: 2 x 5/8" GB to 15.38 ft || sello 21bdb5ecee5d58e4</t>
  </si>
  <si>
    <t xml:space="preserve">47</t>
  </si>
  <si>
    <t xml:space="preserve">Office 109/110 office-front pier || 105-110 Offices: 2 x 5/8" GB to 15.38 ft | 103 Central Zone: 2 x 5/8" GB to 15.38 ft || sello 21bdb5ecee5d58e4</t>
  </si>
  <si>
    <t xml:space="preserve">G1  #48  -  Office 110 / Restroom 114 office-front pier || 105-110 Offices: 2 x 5/8" GB to 15.38 ft | 103 Central Zone: 2 x 5/8" GB to 15.38 ft || sello 6e74c7612e079d65</t>
  </si>
  <si>
    <t xml:space="preserve">48</t>
  </si>
  <si>
    <t xml:space="preserve">Office 110 / Restroom 114 office-front pier || 105-110 Offices: 2 x 5/8" GB to 15.38 ft | 103 Central Zone: 2 x 5/8" GB to 15.38 ft || sello 6e74c7612e079d65</t>
  </si>
  <si>
    <t xml:space="preserve">TYPE EXTERIOR</t>
  </si>
  <si>
    <t xml:space="preserve">EXTERIOR  #EXT-E1H  -  East - grid 8 high roof zone (y 337.44-1246.4), 4 windows || Interior: 1 x 5/8" GB to deck | Exterior: 5/8" FRT plywood bonded to polyiso to T/STUD || sello f54836a66c76482b</t>
  </si>
  <si>
    <t xml:space="preserve">EXT-E1H</t>
  </si>
  <si>
    <t xml:space="preserve">East - grid 8 high roof zone (y 337.44-1246.4), 4 windows || Interior: 1 x 5/8" GB to deck | Exterior: 5/8" FRT plywood bonded to polyiso to T/STUD || sello f54836a66c76482b</t>
  </si>
  <si>
    <t xml:space="preserve">A02.01 -&gt; C/A09.21 -&gt; 5/A09.26 -&gt; 10/S5.10 -&gt; 11/S5.10 -&gt; S1.11</t>
  </si>
  <si>
    <t xml:space="preserve">EXTERIOR  #EXT-E1L  -  East - grid 8 low roof zone (y 1246.4-1693.44) || Interior: 1 x 5/8" GB to deck | Exterior: 5/8" FRT plywood bonded to polyiso to T/STUD || sello 8d51bb46c8bdd0a8</t>
  </si>
  <si>
    <t xml:space="preserve">EXT-E1L</t>
  </si>
  <si>
    <t xml:space="preserve">East - grid 8 low roof zone (y 1246.4-1693.44) || Interior: 1 x 5/8" GB to deck | Exterior: 5/8" FRT plywood bonded to polyiso to T/STUD || sello 8d51bb46c8bdd0a8</t>
  </si>
  <si>
    <t xml:space="preserve">EXTERIOR  #EXT-N1  -  North - Office 105 solid wall (grid F/G, x 1631.28-1843.08) || Interior: 1 x 5/8" GB to deck | Exterior: 5/8" FRT plywood bonded to polyiso to T/STUD || sello 9ff0e3d5babe8317</t>
  </si>
  <si>
    <t xml:space="preserve">EXT-N1</t>
  </si>
  <si>
    <t xml:space="preserve">North - Office 105 solid wall (grid F/G, x 1631.28-1843.08) || Interior: 1 x 5/8" GB to deck | Exterior: 5/8" FRT plywood bonded to polyiso to T/STUD || sello 9ff0e3d5babe8317</t>
  </si>
  <si>
    <t xml:space="preserve">EXTERIOR  #EXT-N2  -  North - Central Zone 103 storefront head wall (26'-3" storefront) || Interior: 1 x 5/8" GB to deck | Exterior: 5/8" FRT plywood bonded to polyiso to T/STUD || sello edae409dd8741f00</t>
  </si>
  <si>
    <t xml:space="preserve">EXT-N2</t>
  </si>
  <si>
    <t xml:space="preserve">North - Central Zone 103 storefront head wall (26'-3" storefront) || Interior: 1 x 5/8" GB to deck | Exterior: 5/8" FRT plywood bonded to polyiso to T/STUD || sello edae409dd8741f00</t>
  </si>
  <si>
    <t xml:space="preserve">EXTERIOR  #EXT-N3  -  North - Vestibule 100 storefront head wall (tower) || Interior: 1 x 5/8" GB to deck | Exterior: 5/8" FRT plywood bonded to polyiso to T/STUD || sello 721accabfeec42f6</t>
  </si>
  <si>
    <t xml:space="preserve">EXT-N3</t>
  </si>
  <si>
    <t xml:space="preserve">North - Vestibule 100 storefront head wall (tower) || Interior: 1 x 5/8" GB to deck | Exterior: 5/8" FRT plywood bonded to polyiso to T/STUD || sello 721accabfeec42f6</t>
  </si>
  <si>
    <t xml:space="preserve">EXTERIOR  #EXT-S1  -  South - grid A (x 911.88-1843.08), door 123 || Interior: 1 x 5/8" GB to deck | Exterior: 5/8" FRT plywood bonded to polyiso to T/STUD || sello aa8c5b76f3a0f8ba</t>
  </si>
  <si>
    <t xml:space="preserve">EXT-S1</t>
  </si>
  <si>
    <t xml:space="preserve">South - grid A (x 911.88-1843.08), door 123 || Interior: 1 x 5/8" GB to deck | Exterior: 5/8" FRT plywood bonded to polyiso to T/STUD || sello aa8c5b76f3a0f8ba</t>
  </si>
  <si>
    <t xml:space="preserve">EXTERIOR  #EXT-W1  -  West - Vestibule 100 storefront head wall (tower) || Interior: 1 x 5/8" GB to deck | Exterior: 5/8" FRT plywood bonded to polyiso to T/STUD || sello 01b1a9e6dd9fe18e</t>
  </si>
  <si>
    <t xml:space="preserve">EXT-W1</t>
  </si>
  <si>
    <t xml:space="preserve">West - Vestibule 100 storefront head wall (tower) || Interior: 1 x 5/8" GB to deck | Exterior: 5/8" FRT plywood bonded to polyiso to T/STUD || sello 01b1a9e6dd9fe18e</t>
  </si>
  <si>
    <t xml:space="preserve">EXTERIOR  #EXT-W2  -  West - 24 HR Vestibule 101 / ATM Room 102 (grid 2, tower, Day 1 ATM drive-up) || Interior: 1 x 5/8" GB to deck | Exterior: 5/8" FRT plywood bonded to polyiso to T/STUD || sello ae2c98ecb6449dc4</t>
  </si>
  <si>
    <t xml:space="preserve">EXT-W2</t>
  </si>
  <si>
    <t xml:space="preserve">West - 24 HR Vestibule 101 / ATM Room 102 (grid 2, tower, Day 1 ATM drive-up) || Interior: 1 x 5/8" GB to deck | Exterior: 5/8" FRT plywood bonded to polyiso to T/STUD || sello ae2c98ecb6449dc4</t>
  </si>
  <si>
    <t xml:space="preserve">EXTERIOR  #EXT-W3  -  West - jog at grid C.5 (ATM Room south exterior return) || Interior: 1 x 5/8" GB to deck | Exterior: 5/8" FRT plywood bonded to polyiso to T/STUD || sello b7c04c839f338bc1</t>
  </si>
  <si>
    <t xml:space="preserve">EXT-W3</t>
  </si>
  <si>
    <t xml:space="preserve">West - jog at grid C.5 (ATM Room south exterior return) || Interior: 1 x 5/8" GB to deck | Exterior: 5/8" FRT plywood bonded to polyiso to T/STUD || sello b7c04c839f338bc1</t>
  </si>
  <si>
    <t xml:space="preserve">EXTERIOR  #EXT-W4H  -  West - Offices 109/110 (grid 3, high roof zone, y 840.0-1246.4) || Interior: 1 x 5/8" GB to deck | Exterior: 5/8" FRT plywood bonded to polyiso to T/STUD || sello 348e53766143332c</t>
  </si>
  <si>
    <t xml:space="preserve">EXT-W4H</t>
  </si>
  <si>
    <t xml:space="preserve">West - Offices 109/110 (grid 3, high roof zone, y 840.0-1246.4) || Interior: 1 x 5/8" GB to deck | Exterior: 5/8" FRT plywood bonded to polyiso to T/STUD || sello 348e53766143332c</t>
  </si>
  <si>
    <t xml:space="preserve">EXTERIOR  #EXT-W4L  -  West - Restrooms/Janitor/Wellness (grid 3, low roof zone, y 1246.4-1693.44) || Interior: 1 x 5/8" GB to deck | Exterior: 5/8" FRT plywood bonded to polyiso to T/STUD || sello 63d275f959373272</t>
  </si>
  <si>
    <t xml:space="preserve">EXT-W4L</t>
  </si>
  <si>
    <t xml:space="preserve">West - Restrooms/Janitor/Wellness (grid 3, low roof zone, y 1246.4-1693.44) || Interior: 1 x 5/8" GB to deck | Exterior: 5/8" FRT plywood bonded to polyiso to T/STUD || sello 63d275f959373272</t>
  </si>
  <si>
    <t xml:space="preserve">TYPE BULKHEAD</t>
  </si>
  <si>
    <t xml:space="preserve">BULKHEAD  #BH-01..06  -  Office front bulkheads over DFC-1A, offices 105-110 (6 x 7'-6"); both faces 2 x 5/8" GB to deck</t>
  </si>
  <si>
    <t xml:space="preserve">BH-01..06</t>
  </si>
  <si>
    <t xml:space="preserve">Office front bulkheads over DFC-1A, offices 105-110 (6 x 7'-6"); both faces 2 x 5/8" GB to deck</t>
  </si>
  <si>
    <t xml:space="preserve">A02.01 -&gt; 2/A11.01 HOLD -&gt; 9/A12.01 -&gt; 8/A12.01 -&gt; 10/A12.01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</si>
  <si>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</si>
  <si>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</si>
  <si>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</si>
  <si>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</si>
  <si>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</si>
  <si>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</si>
  <si>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</si>
  <si>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</si>
  <si>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</si>
  <si>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</si>
  <si>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</si>
  <si>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</si>
  <si>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3-5/8" metal stud 362S137-68 (14 GA) - Kevlar A1K</t>
  </si>
  <si>
    <t xml:space="preserve">LF</t>
  </si>
  <si>
    <t xml:space="preserve">stick 20 ft</t>
  </si>
  <si>
    <t xml:space="preserve">6 renglones: 4/A12.01; 6/S5.20</t>
  </si>
  <si>
    <t xml:space="preserve">6" metal stud 600S137-68 (14 GA) - Kevlar B2K</t>
  </si>
  <si>
    <t xml:space="preserve">1 renglones: 4/A12.01 + 1/A12.01</t>
  </si>
  <si>
    <t xml:space="preserve">6" parapet infill stud 600S162-54 @ 16" O.C.</t>
  </si>
  <si>
    <t xml:space="preserve">11 renglones: 11/S5.10</t>
  </si>
  <si>
    <t xml:space="preserve">6" exterior metal stud 600S162-54 (S1.11; RFI vs 600S137-33)</t>
  </si>
  <si>
    <t xml:space="preserve">13 renglones: 1/A09.25; S1.11 note 5</t>
  </si>
  <si>
    <t xml:space="preserve">6" metal stud 600S137-33 (interior A5/B2)</t>
  </si>
  <si>
    <t xml:space="preserve">17 renglones: 1/A12.01; 3/A12.01; 6/S5.20</t>
  </si>
  <si>
    <t xml:space="preserve">1-5/8" metal stud 162S125-33 (double row G/G1, office bulkheads)</t>
  </si>
  <si>
    <t xml:space="preserve">29 renglones: 5/A12.01; 6/S5.20; 8/A12.01</t>
  </si>
  <si>
    <t xml:space="preserve">2-1/2" metal stud (coiling grille head) 250S125-33</t>
  </si>
  <si>
    <t xml:space="preserve">1 renglones: 4/A08.21</t>
  </si>
  <si>
    <t xml:space="preserve">3-5/8" metal stud 362S137-33 (20 GA)</t>
  </si>
  <si>
    <t xml:space="preserve">59 renglones: 1/A12.01; 12/A12.01; 3/A08.21; 3/A09.26; 3/A12.01; 4/A02.02; 4/A12.10; 5/A09.25; 6/A12.01; 6/S5.20; 8/A09.33 3 5/8" METAL STUD BRACING @ 48" O.C.; 8/A09.33 3 5/8" METAL STUD FRAMING AND TRACK @ 16" O.C.; 9/A12.08; S2.20 B.O.D. 11'-9" TYP @ CANOPY</t>
  </si>
  <si>
    <t xml:space="preserve">6" parapet bottom track 600T125-54</t>
  </si>
  <si>
    <t xml:space="preserve">10 ft</t>
  </si>
  <si>
    <t xml:space="preserve">11 renglones: 11/S5.10 TOP &amp; BOT. (54.2)</t>
  </si>
  <si>
    <t xml:space="preserve">6" parapet top track 600T125-54</t>
  </si>
  <si>
    <t xml:space="preserve">6" bottom track 600T125-68 (B2K)</t>
  </si>
  <si>
    <t xml:space="preserve">3-5/8" bottom track 362T125-68 (A1K)</t>
  </si>
  <si>
    <t xml:space="preserve">3 renglones: 4/A12.01</t>
  </si>
  <si>
    <t xml:space="preserve">6" bottom track 600T125-33</t>
  </si>
  <si>
    <t xml:space="preserve">17 renglones: 1/A12.01; 3/A12.01; 7/S5.20</t>
  </si>
  <si>
    <t xml:space="preserve">6" top deflection track 600T200-97</t>
  </si>
  <si>
    <t xml:space="preserve">28 renglones: 1/A12.01; 3/A12.01; 4/A12.01 + 1/A12.01; 7/S5.20</t>
  </si>
  <si>
    <t xml:space="preserve">3-5/8" bottom track 362T125-33</t>
  </si>
  <si>
    <t xml:space="preserve">22 renglones: 1/A12.01; 12/A12.01; 3/A12.01; 6/A12.01</t>
  </si>
  <si>
    <t xml:space="preserve">3-5/8" top deflection track 362T200-97</t>
  </si>
  <si>
    <t xml:space="preserve">28 renglones: 1/A12.01; 3/A12.01; 4/A12.01; 6/A12.01</t>
  </si>
  <si>
    <t xml:space="preserve">3-5/8" top track 362T125-33 at deck (F)</t>
  </si>
  <si>
    <t xml:space="preserve">1 renglones: 12/A12.01</t>
  </si>
  <si>
    <t xml:space="preserve">1-5/8" bottom track 162T125-33</t>
  </si>
  <si>
    <t xml:space="preserve">14 renglones: 5/A12.01; 8/A12.01</t>
  </si>
  <si>
    <t xml:space="preserve">1-5/8" top slip track 162T200-97</t>
  </si>
  <si>
    <t xml:space="preserve">14 renglones: 5/A12.01; 8/A12.01 CONT. SLIP TRACK</t>
  </si>
  <si>
    <t xml:space="preserve">3-5/8" track - ceilings / soffits / canopy / bulkheads</t>
  </si>
  <si>
    <t xml:space="preserve">24 renglones: 1/A09.25; 10/A09.33 CONT. TRACK; 3/A08.21; 3/A09.26; 4/A02.02; 4/A12.10; 5/A09.25; 6/A12.01; 8/A09.33; A04.01 (wall angle where GB ceiling meets wall)</t>
  </si>
  <si>
    <t xml:space="preserve">sill track 600T125-54 at windows / ATM</t>
  </si>
  <si>
    <t xml:space="preserve">48 renglones: 10/A09.27; 6/S5.20; A00.40 #1 KNOXBOX 3200 RECESSED MOUNT; A02.01 FEC-1, FEC-2; A08.01 A/A08.01</t>
  </si>
  <si>
    <t xml:space="preserve">header + sill track at ATM walk-up framed opening</t>
  </si>
  <si>
    <t xml:space="preserve">1 renglones: 1/A08.11</t>
  </si>
  <si>
    <t xml:space="preserve">bracing 1-1/2" C.R. channel @ 48" O.C.</t>
  </si>
  <si>
    <t xml:space="preserve">16 ft</t>
  </si>
  <si>
    <t xml:space="preserve">66 renglones: 1/S5.20 (F)</t>
  </si>
  <si>
    <t xml:space="preserve">1-1/2" carrying channel @ 48" O.C. (GB ceilings)</t>
  </si>
  <si>
    <t xml:space="preserve">5 renglones: A04.01 legend NEW SUSPENDED GYPSUM WALL BOARD CEILING</t>
  </si>
  <si>
    <t xml:space="preserve">7/8" furring channel @ 16" O.C. (GB ceilings)</t>
  </si>
  <si>
    <t xml:space="preserve">12 ft</t>
  </si>
  <si>
    <t xml:space="preserve">5 renglones: A04.01 legend</t>
  </si>
  <si>
    <t xml:space="preserve">hanger wire 12 GA</t>
  </si>
  <si>
    <t xml:space="preserve">5 renglones: 3/A09.33 TYPICAL 12 GAUGE HANGER WIRE</t>
  </si>
  <si>
    <t xml:space="preserve">1x1x1 16 GA purlin across flutes</t>
  </si>
  <si>
    <t xml:space="preserve">1 renglones: 10/A09.33 ALTERNATE CEILING DETAIL</t>
  </si>
  <si>
    <t xml:space="preserve">framed opening for recessed fixture / access panel (metal framing)</t>
  </si>
  <si>
    <t xml:space="preserve">11 renglones: 5/A09.33 FIXTURE LENGTH + 1/4"; 6/A09.33; A04.01; A04.01 key note 4; E00.01</t>
  </si>
  <si>
    <t xml:space="preserve">metal stud blocking 362CR22 (STUD BLOCKING) at edge of gypboard</t>
  </si>
  <si>
    <t xml:space="preserve">1 renglones: 4/S5.20 PROVIDE BLOCKING AT THE EDGE OF GYPBOARD</t>
  </si>
  <si>
    <t xml:space="preserve">PAFs @ 12" O.C. parapet / power driven fasteners (Kevlar track)</t>
  </si>
  <si>
    <t xml:space="preserve">EA</t>
  </si>
  <si>
    <t xml:space="preserve">15 renglones: 11/S5.10; 4/A12.01</t>
  </si>
  <si>
    <t xml:space="preserve">joint tape &amp; compound - Level 5 finish</t>
  </si>
  <si>
    <t xml:space="preserve">SF</t>
  </si>
  <si>
    <t xml:space="preserve">1 renglones: A05.01 key notes 9,10</t>
  </si>
  <si>
    <t xml:space="preserve">joint tape &amp; compound - Level 4 finish</t>
  </si>
  <si>
    <t xml:space="preserve">1 renglones: A00.40 finish legend</t>
  </si>
  <si>
    <t xml:space="preserve">5/8" moisture resistant gypsum board (restroom chase)</t>
  </si>
  <si>
    <t xml:space="preserve">4x12 sheet</t>
  </si>
  <si>
    <t xml:space="preserve">1 renglones: F/A08.01</t>
  </si>
  <si>
    <t xml:space="preserve">3/8" gypsum board (Kevlar customer side above 8'-0")</t>
  </si>
  <si>
    <t xml:space="preserve">4 renglones: 4/A12.01</t>
  </si>
  <si>
    <t xml:space="preserve">3/8" UL752 Level-2 fiberglass ballistic panel (Kevlar)</t>
  </si>
  <si>
    <t xml:space="preserve">4x8 panel</t>
  </si>
  <si>
    <t xml:space="preserve">5/8" exterior gypsum sheathing - parapet roof side</t>
  </si>
  <si>
    <t xml:space="preserve">4x8 sheet</t>
  </si>
  <si>
    <t xml:space="preserve">11 renglones: B/A09.21</t>
  </si>
  <si>
    <t xml:space="preserve">5/8" glass mat sheathing (base band + canopy band)</t>
  </si>
  <si>
    <t xml:space="preserve">11 renglones: 5/A09.26</t>
  </si>
  <si>
    <t xml:space="preserve">5/8" FRT plywood bonded to 2-1/2" polyiso (exterior sheathing/insulation system)</t>
  </si>
  <si>
    <t xml:space="preserve">14 renglones: 1/A09.25; 4/A02.02; C/A09.21</t>
  </si>
  <si>
    <t xml:space="preserve">5/8" ext. grade FRT plywood sheathing (canopy, column wraps)</t>
  </si>
  <si>
    <t xml:space="preserve">9 renglones: 3/A09.26; 5/A09.25</t>
  </si>
  <si>
    <t xml:space="preserve">3/4" FRT plywood (backboards, F wall public side, openings, blocking)</t>
  </si>
  <si>
    <t xml:space="preserve">30 renglones: 1/A09.25; 10/A12.01; 11/A09.27; 12/A12.01; 13/A12.02; 2/A09.26; 2/A11.03; 4/A09.26 (54.3); 5/A11.03; 8/A12.01</t>
  </si>
  <si>
    <t xml:space="preserve">5/8" gypsum board regular (walls, ceilings, soffits, bulkheads)</t>
  </si>
  <si>
    <t xml:space="preserve">147 renglones: 1/A08.11; 1/A09.25; 1/A12.01; 10/A09.33; 11/A09.27; 12/A12.01; 2/A09.26; 3/A08.21; 3/A12.01; 4/A02.02 RUN GYP BD TIGHT TO DECK ABOVE; 4/A08.21; 4/A12.01; 4/A12.01 + 1/A12.01; 4/A12.10 GB TO SCHEDULED CEILING; 5/A12.01; 6/A12.01; 8/A09.33; 8/A12.01; 9</t>
  </si>
  <si>
    <t xml:space="preserve">FRP panel (WC-3 restrooms, WC-2 janitor)</t>
  </si>
  <si>
    <t xml:space="preserve">2 renglones: 6/A12.04; A/A08.01</t>
  </si>
  <si>
    <t xml:space="preserve">head track (additional, openings &gt; 4'-0")</t>
  </si>
  <si>
    <t xml:space="preserve">1 renglones: 9/S5.20 ADD FULL LENGTH ADDL HEAD TRACK @ OPNG &gt;4'-0"</t>
  </si>
  <si>
    <t xml:space="preserve">header / box beam (S5.20 header schedule; box beam per CFS engineer)</t>
  </si>
  <si>
    <t xml:space="preserve">26 renglones: 11/A09.27; 4/A08.21 6" CFMF BOX BEAM HEADER; 4/A12.10 BOX HEADER AS NEEDED; 7/S5.20; 8/A12.01; 9/S5.20</t>
  </si>
  <si>
    <t xml:space="preserve">metal trim - corner bead</t>
  </si>
  <si>
    <t xml:space="preserve">19 renglones: 10/A09.33 CONT. CORNER BEAD; 10/A12.01 CORNER BEAD - TYPICAL; 11/A09.27; 2/A09.26; 3/A08.21; 4/A02.02; 4/A08.21 CORNER BEAD TYP.; 8/A09.33 CORNER L BEAD; 8/A12.01 CORNER BEAD, TYPICAL</t>
  </si>
  <si>
    <t xml:space="preserve">metal trim - J-bead / casing bead (criterio 53.1)</t>
  </si>
  <si>
    <t xml:space="preserve">11 renglones: 11/A09.27; 2/A09.26</t>
  </si>
  <si>
    <t xml:space="preserve">metal trim - shadow molding</t>
  </si>
  <si>
    <t xml:space="preserve">2 renglones: 8/A09.33 SHADOW MOLDING; 8/A12.01 SHADOW MOLDING - AS SPECIFIED</t>
  </si>
  <si>
    <t xml:space="preserve">metal trim - gypsum edge trim</t>
  </si>
  <si>
    <t xml:space="preserve">2 renglones: 6/A09.33; 6/A09.33 GYPSUM EDGE TRIM</t>
  </si>
  <si>
    <t xml:space="preserve">acoustical sealant</t>
  </si>
  <si>
    <t xml:space="preserve">tube</t>
  </si>
  <si>
    <t xml:space="preserve">51 renglones: 1/A12.01; 3/A12.01; 4/A12.01; 4/A12.01 + 1/A12.01; 5/A12.01; 8/A12.01</t>
  </si>
  <si>
    <t xml:space="preserve">Hilti 1/4" Kwik Bolt II @ 8" O.C. - exterior bottom track anchorage</t>
  </si>
  <si>
    <t xml:space="preserve">1 renglones: 7/S5.20 SILL TRACK ANCHORAGE</t>
  </si>
  <si>
    <t xml:space="preserve">Hilti DNI 32 P8 @ 12" O.C. - interior bottom track anchorage</t>
  </si>
  <si>
    <t xml:space="preserve">metal slip clip (roof step)</t>
  </si>
  <si>
    <t xml:space="preserve">1 renglones: 4/A02.02 METAL SLIP CLIP</t>
  </si>
  <si>
    <t xml:space="preserve">PVC trim for FRP (edge + inside corner)</t>
  </si>
  <si>
    <t xml:space="preserve">1 renglones: 7/A08.01</t>
  </si>
  <si>
    <t xml:space="preserve">joint tape &amp; compound - Level 1 above ceiling (plenum)</t>
  </si>
  <si>
    <t xml:space="preserve">1 renglones: A04.01</t>
  </si>
  <si>
    <t xml:space="preserve">sealant at base of gypsum (exterior)</t>
  </si>
  <si>
    <t xml:space="preserve">8 renglones: 5/A09.26</t>
  </si>
  <si>
    <t xml:space="preserve">batt insulation (sound) in partitions and bulkheads</t>
  </si>
  <si>
    <t xml:space="preserve">59 renglones: 1/A12.01; 12/A12.01; 3/A12.01; 4/A02.02 W/ MINERAL WOOL INSULATION; 4/A12.01; 4/A12.01 + 1/A12.01; 5/A12.01; 9/A12.01; A04.01 key note 11</t>
  </si>
  <si>
    <t xml:space="preserve">FRT blocking (2x FRT wood / FRTW)</t>
  </si>
  <si>
    <t xml:space="preserve">26 renglones: 1/A09.30; 3/A08.21 FRT WOOD BLOCKING TYP.; 3/A09.30; 3/P00.01; 4/A02.02 2X FRT BLOCKING; 5/A11.02; 8/A12.10; 9/A12.08; A/A08.01; A00.30 sheet note D; A00.40; A02.01 note C; A08.01; A12.03-A12.06 sheet note D; A12.04; D/A08.01; P00.01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</si>
  <si>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</si>
  <si>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</si>
  <si>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</si>
  <si>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</si>
  <si>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stud gauge/spacing: S1.11 note 5 = 600S162-54 @16" (@12" within 6 ft of corners) vs 7/S5.20 = 600S137-33 @16". Take-off carries S1.11 (more material, 56.2).</t>
  </si>
  <si>
    <t xml:space="preserve">Same LF in both; gauge 54 vs 33 mil; S5.20 option deletes ~2 studs per corner end (~16 studs x 15.4 ft = -246 LF of 12" O.C. extras).</t>
  </si>
  <si>
    <t xml:space="preserve">RFI-02</t>
  </si>
  <si>
    <t xml:space="preserve">10/S5.10: exterior studs end at deflection track UNDER perimeter beam; beam depth per segment not shown in the detail. Carried studs to B.O.D. (53.3 more material).</t>
  </si>
  <si>
    <t xml:space="preserve">Deduct beam depth (C10 ~10" to W14 ~14") x ~250 exterior studs = approx -210 to -290 LF of 600S162-54.</t>
  </si>
  <si>
    <t xml:space="preserve">RFI-03</t>
  </si>
  <si>
    <t xml:space="preserve">Exterior elevation titles N/S are transposed: 1/A09.01 'SOUTH ELEVATION' shows the grid F/G (north, entrance) facade; 2/A09.02 'NORTH ELEVATION' shows grid A. Take-off follows the plan (north = grid F/G).</t>
  </si>
  <si>
    <t xml:space="preserve">No quantity change if confirmed; otherwise canopy/parapet assignments swap N/S.</t>
  </si>
  <si>
    <t xml:space="preserve">RFI-04</t>
  </si>
  <si>
    <t xml:space="preserve">C1 (6/A12.01) board height not shown (break line). Carried to deck (53.3).</t>
  </si>
  <si>
    <t xml:space="preserve">To ceiling+6": #32 -33.75 SF; #33/#34 -127.9 SF MR board.</t>
  </si>
  <si>
    <t xml:space="preserve">RFI-05</t>
  </si>
  <si>
    <t xml:space="preserve">Tag B2K on A02.01 has no row in the partition schedule. Derived as B2 (1/A12.01) + Kevlar layers (4/A12.01); measured thickness 7.68" vs A5K 7 5/8".</t>
  </si>
  <si>
    <t xml:space="preserve">If B2K = A5K: no change. If plain B2: -14 SF ballistic panel, studs 14 GA -&gt; 20 GA.</t>
  </si>
  <si>
    <t xml:space="preserve">RFI-06</t>
  </si>
  <si>
    <t xml:space="preserve">Interior slip track designation: only 600T200-97 is scheduled (7/S5.20). 362T200-97 and 162T200-97 derived.</t>
  </si>
  <si>
    <t xml:space="preserve">Price delta per LF of 2" flange 97 mil vs 1-1/4" 33 mil track (177 + 299 LF).</t>
  </si>
  <si>
    <t xml:space="preserve">RFI-07</t>
  </si>
  <si>
    <t xml:space="preserve">G / G1 / office bulkhead 1-5/8" stud gauge not shown; 162S125-33 derived.</t>
  </si>
  <si>
    <t xml:space="preserve">4,337 LF; heavier gauge raises price only.</t>
  </si>
  <si>
    <t xml:space="preserve">RFI-08</t>
  </si>
  <si>
    <t xml:space="preserve">GB ceiling suspension not detailed (only 1/A09.33 for lay-in). Standard C754 system carried (1-1/2" CRC @48", 7/8" furring @16", 12 GA hangers @48").</t>
  </si>
  <si>
    <t xml:space="preserve">Grid system alternative would delete 235 LF CRC + 706 LF furring channel.</t>
  </si>
  <si>
    <t xml:space="preserve">RFI-09</t>
  </si>
  <si>
    <t xml:space="preserve">Storefront head: 2/A09.26 says STEEL HEADER FRAMING, 11/A09.27 says METAL STUD BOX BEAM OR STEEL. Carried box beam LF in base.</t>
  </si>
  <si>
    <t xml:space="preserve">If steel by Div 05: -49.3 LF box beam (N2 27.58, N3 13.89, W1 7.83).</t>
  </si>
  <si>
    <t xml:space="preserve">RFI-10</t>
  </si>
  <si>
    <t xml:space="preserve">3/4" FRT plywood strip width at window/door/storefront perimeter not dimensioned (10, 11, 14/A09.27; 1-3/A09.25). Carried 6" (stud depth).</t>
  </si>
  <si>
    <t xml:space="preserve">+/- per inch of width: about +/-12 SF per inch overall.</t>
  </si>
  <si>
    <t xml:space="preserve">RFI-11</t>
  </si>
  <si>
    <t xml:space="preserve">Electrical 120 / NER 121 backboards: carried 7'-6" high from 6" AFF (5/A11.03); confirm the 8'-0" in 2-4/A11.03 is the top elevation, not the height.</t>
  </si>
  <si>
    <t xml:space="preserve">8'-0" high option: +12.5 SF (120) +3.75 SF (121).</t>
  </si>
  <si>
    <t xml:space="preserve">RFI-36</t>
  </si>
  <si>
    <t xml:space="preserve">Office front HOLD: 7/A11.01 (offices 105-108) prints 8'-0 1/2" HOLD TYP. FROM SLAB; 8/A11.01 (offices 109/110) prints 8'-0" CLEAR FINISHED OPENING without HOLD. Carried 8'-0 1/2" for all 6 bulkheads (56.7).</t>
  </si>
  <si>
    <t xml:space="preserve">109/110 at 8'-0": +0.042 ft band x 15 LF x 4 layers = +2.5 SF.</t>
  </si>
  <si>
    <t xml:space="preserve">RFI-37</t>
  </si>
  <si>
    <t xml:space="preserve">E00.01 R-11C: description says 12' LINEAR, catalog string says -20'-0". Carried 12' (matches RCP 4 x 11.99 ft).</t>
  </si>
  <si>
    <t xml:space="preserve">20' option: +4 x 2 x 8 = +64 LF framed opening (and does not fit the 17 ft island).</t>
  </si>
  <si>
    <t xml:space="preserve">RFI-38</t>
  </si>
  <si>
    <t xml:space="preserve">CSR soffit (9/A12.08) crosses the roof step at grid B (W14x22 HI/LOW, S2.20): soffit framing hangs from two deck elevations and the beam crosses it.</t>
  </si>
  <si>
    <t xml:space="preserve">Carried studs by zone (134.4 LF); beam wrap/notch not carried.</t>
  </si>
  <si>
    <t xml:space="preserve">RFI-12</t>
  </si>
  <si>
    <t xml:space="preserve">CSR soffit blocking: 9/A12.08 = 5/8" FRT plywood; 10/A09.33 = 2x FRTW. Carried 2x FRTW LF.</t>
  </si>
  <si>
    <t xml:space="preserve">Plywood option: ~41 SF of 5/8" FRT plywood instead of 24 LF 2x.</t>
  </si>
  <si>
    <t xml:space="preserve">RFI-13</t>
  </si>
  <si>
    <t xml:space="preserve">Coiling grille 103 height 13'-6 1/2" only in the door schedule; head bulkhead carried per 4/A08.21 (1'-6" below ACT to deck).</t>
  </si>
  <si>
    <t xml:space="preserve">If coil box higher: board band changes +/-14.25 SF per foot both faces x2.</t>
  </si>
  <si>
    <t xml:space="preserve">RFI-14</t>
  </si>
  <si>
    <t xml:space="preserve">Framed-opening ENDS for recessed linear fixtures (UU1-6, R-11A/C) need cutsheet width (4/A09.33 COORD. W/ FIXTURE CUTSHEET). Sides carried: 834 LF; ends PENDING.</t>
  </si>
  <si>
    <t xml:space="preserve">Ends: 2 x width per fixture (29 fixtures).</t>
  </si>
  <si>
    <t xml:space="preserve">RFI-15</t>
  </si>
  <si>
    <t xml:space="preserve">Roof step 4/A02.02: stud heights not dimensioned; derived from S2.20 HI 15'-4 1/2" / LOW 13'-0 5/8" + 6" insulation.</t>
  </si>
  <si>
    <t xml:space="preserve">+/- 51.7 LF per foot of height on each stud row.</t>
  </si>
  <si>
    <t xml:space="preserve">RFI-16</t>
  </si>
  <si>
    <t xml:space="preserve">4/S5.20 'PROVIDE BLOCKING AT THE EDGE OF GYPBOARD' is NTS with no location. Carried 1 row of 362CR22 at the horizontal board joint where faces exceed 12 ft (603.56 LF) (56.8).</t>
  </si>
  <si>
    <t xml:space="preserve">Option 0 rows: -603.56 LF; option 2 rows: +603.56 LF.</t>
  </si>
  <si>
    <t xml:space="preserve">RFI-17</t>
  </si>
  <si>
    <t xml:space="preserve">Day-1 ATM drive-up: R.O. width 2'-2 1/8" (5/A08.11) vs 2'-2 1/2" (7/A08.11); 2 1/2" sistered studs length not dimensioned (6/A08.11) - PENDING.</t>
  </si>
  <si>
    <t xml:space="preserve">Sistered studs not carried; header/sill +/-0.03 LF.</t>
  </si>
  <si>
    <t xml:space="preserve">RFI-18</t>
  </si>
  <si>
    <t xml:space="preserve">Tower parapet T/STUD HP 19'-8" (A/A09.21) assumed on vestibule/ATM block perimeter walls (N3, W1, W2, W3). Inside tower faces above the roof and returns not shown in plan.</t>
  </si>
  <si>
    <t xml:space="preserve">If tower has roof-side returns: + parapet framing and ext. gyp sheathing both sides (~30 LF x 4.3 ft).</t>
  </si>
  <si>
    <t xml:space="preserve">RFI-19</t>
  </si>
  <si>
    <t xml:space="preserve">Control joints for gypsum board not shown anywhere (CJ appears only for stucco, A09.01/A09.02 legend). Excluded.</t>
  </si>
  <si>
    <t xml:space="preserve">ASTM C840: joints at &gt;30 ft runs; east wall 75 ft interrupted by windows.</t>
  </si>
  <si>
    <t xml:space="preserve">RFI-20</t>
  </si>
  <si>
    <t xml:space="preserve">Wall height zones by S2.20 roof step at grid B: walls north = 15'-4 1/2", south = 13'-0 5/8" (high side of slope); wall A5 #16 split at grid B; G #38 (10" north of grid B) carried high.</t>
  </si>
  <si>
    <t xml:space="preserve">#38 low option: -2.32 ft x 11.63 LF x 4 layers = -108 SF.</t>
  </si>
  <si>
    <t xml:space="preserve">RFI-21</t>
  </si>
  <si>
    <t xml:space="preserve">MR board: note F/A08.01 'behind toilet and lavatory' - carried full chase faces (#33/#34) to deck, 308 SF reclassified.</t>
  </si>
  <si>
    <t xml:space="preserve">If MR only at fixture zones to 4'-0": approx -228 SF MR (+228 regular).</t>
  </si>
  <si>
    <t xml:space="preserve">RFI-22</t>
  </si>
  <si>
    <t xml:space="preserve">Millwork, locker, combo board blocking rows not drawn (sheet notes only). Criterio: base 1 run, uppers 2 runs, standards vertical.</t>
  </si>
  <si>
    <t xml:space="preserve">Each extra run = unit length (6-14 LF).</t>
  </si>
  <si>
    <t xml:space="preserve">RFI-23</t>
  </si>
  <si>
    <t xml:space="preserve">Drive-thru canopy soffit hangers/kickers from B.O.D. 11'-9" (S2.20) to soffit 10'-7 1/4" not detailed.</t>
  </si>
  <si>
    <t xml:space="preserve">Not carried; ~1'-2" hangers @48" each way over 1,029 SF ~ 65 ea.</t>
  </si>
  <si>
    <t xml:space="preserve">RFI-24</t>
  </si>
  <si>
    <t xml:space="preserve">Wall stop blocking size not specified (A00.30 note D). Carried 2'-0" per stop x 9.</t>
  </si>
  <si>
    <t xml:space="preserve">+/- 9 LF per foot.</t>
  </si>
  <si>
    <t xml:space="preserve">RFI-25</t>
  </si>
  <si>
    <t xml:space="preserve">Exterior track gauge: 7/S5.20 600T125-33 / 600T200-97 vs 54 mil studs per S1.11.</t>
  </si>
  <si>
    <t xml:space="preserve">Upgrade 309 LF bottom track to 600T125-54 if required.</t>
  </si>
  <si>
    <t xml:space="preserve">RFI-26</t>
  </si>
  <si>
    <t xml:space="preserve">Hardware group 04A (keypad, alarmed panic, electrified hinge) assigned to interior wood door 111.</t>
  </si>
  <si>
    <t xml:space="preserve">Blocking unchanged.</t>
  </si>
  <si>
    <t xml:space="preserve">RFI-28</t>
  </si>
  <si>
    <t xml:space="preserve">Parapet roof side: A09.21/A09.22 label 5/8" EXTERIOR GYPSUM SHEATHING; 4/A09.26 says ROOF MEMBRANE ON 5/8" DENS DECK OR EQUAL (often roofer, Div 07). Carried in base from finished roof (printed PARAPET HEIGHT @ LOWER ROOF).</t>
  </si>
  <si>
    <t xml:space="preserve">If by roofer: -0 SF exterior gyp sheathing.</t>
  </si>
  <si>
    <t xml:space="preserve">RFI-29</t>
  </si>
  <si>
    <t xml:space="preserve">Break Room 118 sink (MW08, PF-04): no FRP / MR / tile called on A05.01 or A08.01 (v30 contrast with mop sink note 6). Not carried.</t>
  </si>
  <si>
    <t xml:space="preserve">Alternate MR board behind sink: ~7.6 LF x 4 ft = 30 SF.</t>
  </si>
  <si>
    <t xml:space="preserve">RFI-30</t>
  </si>
  <si>
    <t xml:space="preserve">S1.10 note 7 DELEGATED STRUCTURAL DESIGN ... COLD FORMED STEEL FRAMING; S1.11 note 4 shop drawings + calcs sealed by engineer. Not a material quantity - lump sum to be priced.</t>
  </si>
  <si>
    <t xml:space="preserve">Engineering + shop drawings + submittal (lump sum).</t>
  </si>
  <si>
    <t xml:space="preserve">RFI-31</t>
  </si>
  <si>
    <t xml:space="preserve">7/8" hat channel @ 16" O.C. behind EPS-5 formed metal wall panel (1/A09.25, 7/A09.26, 9,10,14,15/A09.27, 1,2/A09.31): usually by panel installer. Excluded pending confirmation; EPS-5 area not measured.</t>
  </si>
  <si>
    <t xml:space="preserve">If ours: EPS-5 area (A09.01/A09.02) x 0.75 LF/SF of hat channel.</t>
  </si>
  <si>
    <t xml:space="preserve">RFI-32</t>
  </si>
  <si>
    <t xml:space="preserve">S1.11 note 2 calls vertical deflection CLIPS at non-load-bearing walls; 10/S5.10 and 1,3,4/A12.01 call deflection / slip TRACK. Track carried.</t>
  </si>
  <si>
    <t xml:space="preserve">Clip option: 1 clip per stud at top of exterior + interior walls (~700 ea) instead of 2" flange slip track.</t>
  </si>
  <si>
    <t xml:space="preserve">RFI-33</t>
  </si>
  <si>
    <t xml:space="preserve">Cavities of ~3" between G #41 and A1K #13 and between A1K #14 and C1-FCAM: board carried on both faces per 4/A12.01; inaccessible face may be omitted.</t>
  </si>
  <si>
    <t xml:space="preserve">-52.5 SF (A1K #13 customer face) and similar at #14.</t>
  </si>
  <si>
    <t xml:space="preserve">RFI-34</t>
  </si>
  <si>
    <t xml:space="preserve">G #36 west 3.96 ft (x 840.6-911.88): south face abuts exterior jog band (W3), not Office 109; 2 layers carried.</t>
  </si>
  <si>
    <t xml:space="preserve">-121.8 SF if that face is not boarded.</t>
  </si>
  <si>
    <t xml:space="preserve">RFI-35</t>
  </si>
  <si>
    <t xml:space="preserve">Access panels in walls (P00.01 PRV access panels; M00.01 note 16 access panels for dampers/equipment) - quantities not shown. Not carried; 4 framed openings for FD dampers at B walls carried in MEP.</t>
  </si>
  <si>
    <t xml:space="preserve">Each wall access panel framed opening ~5.3 LF.</t>
  </si>
  <si>
    <t xml:space="preserve">RFI-27</t>
  </si>
  <si>
    <t xml:space="preserve">General finish level not specified; Level 5 only at WC-18, WC-20, WC-22 (A05.01 notes 9-10, A00.40). Level 4 assumed elsewhere.</t>
  </si>
  <si>
    <t xml:space="preserve">Level 5 everywhere: +17,223 SF skim coat.</t>
  </si>
  <si>
    <t xml:space="preserve">RFI-MEP1</t>
  </si>
  <si>
    <t xml:space="preserve">6/S5.20 says MAXIMUM d = 2" FOR 8 5/8" STUDS (probable typo for 3 5/8"); D13, D14, D15 duct heights not labeled on M01.01; clashes W7, W10, W15, W17, W18 (ducts riding on wall faces) and 2 x 8" branches crossing B2 line at y 1377-1405 outside measured walls.</t>
  </si>
  <si>
    <t xml:space="preserve">Framed opening header/sill by width carried (43 crossings, 49 openings with G double rows); heights not needed for header/sill LF. Clash walls may need offsets.</t>
  </si>
  <si>
    <t xml:space="preserve">#</t>
  </si>
  <si>
    <t xml:space="preserve">Punto</t>
  </si>
  <si>
    <t xml:space="preserve">Hoja + detalle</t>
  </si>
  <si>
    <t xml:space="preserve">Imagen</t>
  </si>
  <si>
    <t xml:space="preserve">Confirmar walls interiores (48) por tipo en las hojas marcadas; en especial piers G #42 (sin tag) y G1 #48 (sin tag), y walls A1 #10-12 sin tag (default nota A)</t>
  </si>
  <si>
    <t xml:space="preserve">A02.01; nota A/A02.01</t>
  </si>
  <si>
    <t xml:space="preserve">Planos marcados/01..10_PLANO_&lt;tipo&gt;_*.png</t>
  </si>
  <si>
    <t xml:space="preserve">Calibre exterior S1.11 600S162-54 vs S5.20 600S137-33 (RFI-01)</t>
  </si>
  <si>
    <t xml:space="preserve">S1.11 nota 5; 7/S5.20</t>
  </si>
  <si>
    <t xml:space="preserve">revisar/R01_S1.11_note5_exterior_studs.png; R01b</t>
  </si>
  <si>
    <t xml:space="preserve">Studs exteriores a B.O.D. vs bajo la viga (RFI-02)</t>
  </si>
  <si>
    <t xml:space="preserve">10/S5.10</t>
  </si>
  <si>
    <t xml:space="preserve">revisar/R02_10-S5.10_section_at_perimeter.png</t>
  </si>
  <si>
    <t xml:space="preserve">Titulos N/S transpuestos en elevaciones (RFI-03)</t>
  </si>
  <si>
    <t xml:space="preserve">1/A09.01; 2/A09.02</t>
  </si>
  <si>
    <t xml:space="preserve">revisar/R03_1-A09.01_SOUTH_title_shows_north_facade.png</t>
  </si>
  <si>
    <t xml:space="preserve">B2K sin fila en schedule (RFI-05)</t>
  </si>
  <si>
    <t xml:space="preserve">A02.01; 4/A12.01</t>
  </si>
  <si>
    <t xml:space="preserve">revisar/R04_A02.01_B2K_tag.png</t>
  </si>
  <si>
    <t xml:space="preserve">Altura de board de C1 (RFI-04)</t>
  </si>
  <si>
    <t xml:space="preserve">6/A12.01</t>
  </si>
  <si>
    <t xml:space="preserve">revisar/R05_6-A12.01_C1_board_height.png</t>
  </si>
  <si>
    <t xml:space="preserve">Storefront head: steel header vs box beam (RFI-09)</t>
  </si>
  <si>
    <t xml:space="preserve">2/A09.26; 11/A09.27</t>
  </si>
  <si>
    <t xml:space="preserve">revisar/R06_2-A09.26_storefront_head_steel_header.png</t>
  </si>
  <si>
    <t xml:space="preserve">Roof step grid B (RFI-15)</t>
  </si>
  <si>
    <t xml:space="preserve">4/A02.02</t>
  </si>
  <si>
    <t xml:space="preserve">revisar/R07_4-A02.02_roof_step.png</t>
  </si>
  <si>
    <t xml:space="preserve">Stud blocking 362CR22 sin ubicacion (RFI-16)</t>
  </si>
  <si>
    <t xml:space="preserve">4/S5.20</t>
  </si>
  <si>
    <t xml:space="preserve">revisar/R08_4-S5.20_stud_blocking_NTS.png</t>
  </si>
  <si>
    <t xml:space="preserve">Backboards FRT plywood Electrical/NER (RFI-11)</t>
  </si>
  <si>
    <t xml:space="preserve">2-5/A11.03</t>
  </si>
  <si>
    <t xml:space="preserve">revisar/R09_A11.03_FRT_backboards.png</t>
  </si>
  <si>
    <t xml:space="preserve">CSR soffit = mismo elemento 9/A12.08 y 10/A09.33 (55.2); blocking plywood vs FRTW (RFI-12)</t>
  </si>
  <si>
    <t xml:space="preserve">9/A12.08; 10/A09.33</t>
  </si>
  <si>
    <t xml:space="preserve">revisar/R10_A12.08_CSR_line.png</t>
  </si>
  <si>
    <t xml:space="preserve">ATM drive-up y walk-up R.O. (RFI-17)</t>
  </si>
  <si>
    <t xml:space="preserve">5,6,7/A08.11</t>
  </si>
  <si>
    <t xml:space="preserve">revisar/R11_A08.11_ATM.png</t>
  </si>
  <si>
    <t xml:space="preserve">Coiling grille head y pilasters (RFI-13)</t>
  </si>
  <si>
    <t xml:space="preserve">3,4/A08.21</t>
  </si>
  <si>
    <t xml:space="preserve">revisar/R12_A08.21_coiling_grille.png</t>
  </si>
  <si>
    <t xml:space="preserve">Extension de la torre T/STUD HP (RFI-18)</t>
  </si>
  <si>
    <t xml:space="preserve">A/A09.21; 1/A09.01</t>
  </si>
  <si>
    <t xml:space="preserve">revisar/R13_A-A09.21_tower_TSTUD_HP.png</t>
  </si>
  <si>
    <t xml:space="preserve">MR board y FRP restrooms (RFI-21)</t>
  </si>
  <si>
    <t xml:space="preserve">F/A08.01; A-D/A08.01</t>
  </si>
  <si>
    <t xml:space="preserve">revisar/R14_A08.01_restrooms_MR_FRP.png</t>
  </si>
  <si>
    <t xml:space="preserve">Bulkhead office front por HOLD 8'-0 1/2" (56.7)</t>
  </si>
  <si>
    <t xml:space="preserve">7/A11.01; 8/A11.01; 8,9/A12.01 (RFI-36)</t>
  </si>
  <si>
    <t xml:space="preserve">revisar/R15_7-A11.01_HOLD_8-0.5.png; 11_PLANO_BULKHEAD_office_front_6ea_45.00LF.png</t>
  </si>
  <si>
    <t xml:space="preserve">Fachadas exteriores: 11 tramos por fachada, sin juntar ejes</t>
  </si>
  <si>
    <t xml:space="preserve">A02.01; C/A09.21</t>
  </si>
  <si>
    <t xml:space="preserve">Planos marcados/13_PLANO_EXTERIORES_11facades_255.96LF.png</t>
  </si>
  <si>
    <t xml:space="preserve">Canopy: largos y profundidades derivados de A02.02 (soffit drive-thru 1,029 SF)</t>
  </si>
  <si>
    <t xml:space="preserve">A02.02; 3,7/A09.26; 16/A09.27</t>
  </si>
  <si>
    <t xml:space="preserve">revisar/R03 (elevaciones) y A02.02</t>
  </si>
  <si>
    <t xml:space="preserve">Fixtures empotrados: largos del schedule E00.01, conteo E02.01; extremos PENDIENTES (RFI-14)</t>
  </si>
  <si>
    <t xml:space="preserve">E00.01; E02.01; 4,5,6/A09.33</t>
  </si>
  <si>
    <t xml:space="preserve">--</t>
  </si>
  <si>
    <t xml:space="preserve">Cruce MEP: 40 ductos + 3 tuberias (43 cruces, 49 framed openings), registro M01.01 a A02.01 con 138 pares</t>
  </si>
  <si>
    <t xml:space="preserve">M01.01; P01.01; 6/S5.20</t>
  </si>
  <si>
    <t xml:space="preserve">/img/mep/D01..D40_*.png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</si>
  <si>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</si>
  <si>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</si>
  <si>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</si>
  <si>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</si>
  <si>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</si>
  <si>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</si>
  <si>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</si>
  <si>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48 walls sellados (closer.py); Material Summary studs/tracks; 1-6,12/A12.01</t>
  </si>
  <si>
    <t xml:space="preserve">ALC-02</t>
  </si>
  <si>
    <t xml:space="preserve">Exterior wall framing (CFMF)</t>
  </si>
  <si>
    <t xml:space="preserve">11 fachadas EXT-* selladas; 6" exterior metal stud 600S162-54; C/A09.21, S1.11</t>
  </si>
  <si>
    <t xml:space="preserve">ALC-03</t>
  </si>
  <si>
    <t xml:space="preserve">Parapet framing</t>
  </si>
  <si>
    <t xml:space="preserve">6" parapet infill stud 600S162-54 + tracks + PAFs; 11/S5.10, 4/A09.26</t>
  </si>
  <si>
    <t xml:space="preserve">ALC-04</t>
  </si>
  <si>
    <t xml:space="preserve">Top / deflection and bottom track</t>
  </si>
  <si>
    <t xml:space="preserve">bottom y top/deflection en renglones separados; 7/S5.20, 10/S5.10</t>
  </si>
  <si>
    <t xml:space="preserve">ALC-05</t>
  </si>
  <si>
    <t xml:space="preserve">Headers, sills and jambs at openings</t>
  </si>
  <si>
    <t xml:space="preserve">header / box beam, sill track, jamb studs en STUD; 9/S5.20, 10-11/A09.27</t>
  </si>
  <si>
    <t xml:space="preserve">ALC-06</t>
  </si>
  <si>
    <t xml:space="preserve">Bracing / bridging</t>
  </si>
  <si>
    <t xml:space="preserve">bracing 1-1/2" C.R. channel @48"; F/1/S5.20 (53.4)</t>
  </si>
  <si>
    <t xml:space="preserve">ALC-07</t>
  </si>
  <si>
    <t xml:space="preserve">Gypsum board on walls (layers per type)</t>
  </si>
  <si>
    <t xml:space="preserve">5/8" gypsum board regular por face; A12.01</t>
  </si>
  <si>
    <t xml:space="preserve">ALC-08</t>
  </si>
  <si>
    <t xml:space="preserve">Moisture / abuse / special board at wet zones</t>
  </si>
  <si>
    <t xml:space="preserve">5/8" moisture resistant gypsum board chase C1 #33/#34; F/A08.01</t>
  </si>
  <si>
    <t xml:space="preserve">ALC-09</t>
  </si>
  <si>
    <t xml:space="preserve">Exterior gypsum / glass mat sheathing</t>
  </si>
  <si>
    <t xml:space="preserve">5/8" exterior gypsum sheathing parapet roof side + 5/8" glass mat sheathing; C/A09.21, 5/A09.26</t>
  </si>
  <si>
    <t xml:space="preserve">ALC-10</t>
  </si>
  <si>
    <t xml:space="preserve">FRT plywood sheathing / substrate</t>
  </si>
  <si>
    <t xml:space="preserve">FRT plywood bonded to polyiso, ext. grade FRT plywood canopy, 3/4" FRT plywood; C/A09.21, 3/A09.26, A11.03</t>
  </si>
  <si>
    <t xml:space="preserve">ALC-11</t>
  </si>
  <si>
    <t xml:space="preserve">Gypsum board ceilings</t>
  </si>
  <si>
    <t xml:space="preserve">CLG-01..05 (Vestibule 100, 24HR 101, Waiting 104, 113, 114); A04.01</t>
  </si>
  <si>
    <t xml:space="preserve">ALC-12</t>
  </si>
  <si>
    <t xml:space="preserve">Ceiling suspension</t>
  </si>
  <si>
    <t xml:space="preserve">carrying channel, furring channel, hanger wire, ceiling track; A04.01, 1/A09.33 (RFI-08)</t>
  </si>
  <si>
    <t xml:space="preserve">ALC-13</t>
  </si>
  <si>
    <t xml:space="preserve">Soffits and bulkheads (framing + board)</t>
  </si>
  <si>
    <t xml:space="preserve">CSR soffit SOF-01, office bulkheads BH-01..06, waiting transition, grille head, vestibule heads; 8,9/A12.01, 10/A09.33, 4/A08.21</t>
  </si>
  <si>
    <t xml:space="preserve">ALC-14</t>
  </si>
  <si>
    <t xml:space="preserve">Canopy / marquee framing and sheathing</t>
  </si>
  <si>
    <t xml:space="preserve">CAN-N/W/E/S fascia + soffit framing and ext. grade FRT plywood (canopy); 3,7/A09.26, 16/A09.27</t>
  </si>
  <si>
    <t xml:space="preserve">ALC-15</t>
  </si>
  <si>
    <t xml:space="preserve">Column furring / wraps</t>
  </si>
  <si>
    <t xml:space="preserve">4 canopy column wraps 5/A09.25 (ext. grade FRT plywood ... column wraps) + piers 1,2/A09.25</t>
  </si>
  <si>
    <t xml:space="preserve">ALC-16</t>
  </si>
  <si>
    <t xml:space="preserve">Blocking (FRT wood / metal)</t>
  </si>
  <si>
    <t xml:space="preserve">FRT blocking, 3/4" FRT plywood backboards, metal stud blocking 362CR22; A00.30 note D, A08.01 E, A11.03, 4/S5.20</t>
  </si>
  <si>
    <t xml:space="preserve">ALC-17</t>
  </si>
  <si>
    <t xml:space="preserve">Framed openings (MEP, access panels, diffusers)</t>
  </si>
  <si>
    <t xml:space="preserve">framed opening for recessed fixture / access panel (+ MEP); A04.01 key note 4, 4-6/A09.33</t>
  </si>
  <si>
    <t xml:space="preserve">ALC-18</t>
  </si>
  <si>
    <t xml:space="preserve">Trim: corner bead, casing bead, control joints, reveals</t>
  </si>
  <si>
    <t xml:space="preserve">metal trim corner bead, J-bead (criterio 53.1), shadow molding, gypsum edge trim; control joints excluded RFI-19</t>
  </si>
  <si>
    <t xml:space="preserve">ALC-19</t>
  </si>
  <si>
    <t xml:space="preserve">Acoustical sealant / sound attenuation</t>
  </si>
  <si>
    <t xml:space="preserve">acoustical sealant por beads dibujados (56.6) + batt insulation; A12.01</t>
  </si>
  <si>
    <t xml:space="preserve">ALC-20</t>
  </si>
  <si>
    <t xml:space="preserve">FRP / cement board / tile backer</t>
  </si>
  <si>
    <t xml:space="preserve">FRP panel WC-3/WC-2; cement board NO APLICA: tile solo cove base en mortar bed 3/A08.01</t>
  </si>
  <si>
    <t xml:space="preserve">ALC-21</t>
  </si>
  <si>
    <t xml:space="preserve">Shaft walls / area separation walls</t>
  </si>
  <si>
    <t xml:space="preserve">NO APLICA</t>
  </si>
  <si>
    <t xml:space="preserve">NO APLICA: A02.01 edificio de 1 nivel sin shafts; escaneo de texto 0 hojas con SHAFTWALL/AREA SEPARATION</t>
  </si>
  <si>
    <t xml:space="preserve">ALC-22</t>
  </si>
  <si>
    <t xml:space="preserve">Rated assemblies (UL designs) and their board type</t>
  </si>
  <si>
    <t xml:space="preserve">NO APLICA: A12.01 schedule FIRE RATING '--' y U.L. NUMBER '--' en todos los tipos; A02.01 key note 6 'FIRE RATED 3/4" PLYWOOD BACKBOARD' es un producto de plywood (cuantificado), no un assembly</t>
  </si>
  <si>
    <t xml:space="preserve">ALC-23</t>
  </si>
  <si>
    <t xml:space="preserve">Special panels (ballistic, lead-lined, abuse)</t>
  </si>
  <si>
    <t xml:space="preserve">3/8" UL752 Level-2 fiberglass ballistic panel A1K/B2K; 4/A12.01</t>
  </si>
  <si>
    <t xml:space="preserve">ALC-24</t>
  </si>
  <si>
    <t xml:space="preserve">Finish level (Level 4 / Level 5)</t>
  </si>
  <si>
    <t xml:space="preserve">Level 5 at WC-18/20/22 (A05.01 notes 9-10, A00.40); Level 4 balance (RFI-27)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</si>
</sst>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16.42</v>
      </c>
      <c r="D6" s="0" t="n">
        <v>15.375</v>
      </c>
      <c r="E6" s="0" t="n">
        <v>2</v>
      </c>
      <c r="F6" s="0" t="s">
        <v>31</v>
      </c>
      <c r="G6" s="0" t="n">
        <v>16</v>
      </c>
      <c r="H6" s="0" t="n">
        <v>336.61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3.53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74.2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3.03</v>
      </c>
      <c r="D8" s="0" t="n">
        <v>15.375</v>
      </c>
      <c r="E8" s="0" t="n">
        <v>2</v>
      </c>
      <c r="F8" s="0" t="s">
        <v>31</v>
      </c>
      <c r="G8" s="0" t="n">
        <v>16</v>
      </c>
      <c r="H8" s="0" t="n">
        <v>63.7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1.47</v>
      </c>
      <c r="D9" s="0" t="n">
        <v>15.375</v>
      </c>
      <c r="E9" s="0" t="n">
        <v>2</v>
      </c>
      <c r="F9" s="0" t="s">
        <v>31</v>
      </c>
      <c r="G9" s="0" t="n">
        <v>16</v>
      </c>
      <c r="H9" s="0" t="n">
        <v>30.94</v>
      </c>
      <c r="I9" s="0" t="s">
        <v>43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15.62</v>
      </c>
      <c r="D10" s="0" t="n">
        <v>13.052</v>
      </c>
      <c r="E10" s="0" t="n">
        <v>2</v>
      </c>
      <c r="F10" s="0" t="s">
        <v>31</v>
      </c>
      <c r="G10" s="0" t="n">
        <v>16</v>
      </c>
      <c r="H10" s="0" t="n">
        <v>281.16</v>
      </c>
      <c r="I10" s="0" t="s">
        <v>46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2.14</v>
      </c>
      <c r="D11" s="0" t="n">
        <v>13.052</v>
      </c>
      <c r="E11" s="0" t="n">
        <v>2</v>
      </c>
      <c r="F11" s="0" t="s">
        <v>31</v>
      </c>
      <c r="G11" s="0" t="n">
        <v>16</v>
      </c>
      <c r="H11" s="0" t="n">
        <v>39.59</v>
      </c>
      <c r="I11" s="0" t="s">
        <v>49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n">
        <v>1.3</v>
      </c>
      <c r="D12" s="0" t="n">
        <v>13.052</v>
      </c>
      <c r="E12" s="0" t="n">
        <v>2</v>
      </c>
      <c r="F12" s="0" t="s">
        <v>31</v>
      </c>
      <c r="G12" s="0" t="n">
        <v>16</v>
      </c>
      <c r="H12" s="0" t="n">
        <v>24.05</v>
      </c>
      <c r="I12" s="0" t="s">
        <v>52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n">
        <v>17.06</v>
      </c>
      <c r="D13" s="0" t="n">
        <v>13.052</v>
      </c>
      <c r="E13" s="0" t="n">
        <v>2</v>
      </c>
      <c r="F13" s="0" t="s">
        <v>31</v>
      </c>
      <c r="G13" s="0" t="n">
        <v>16</v>
      </c>
      <c r="H13" s="0" t="n">
        <v>376.21</v>
      </c>
      <c r="I13" s="0" t="s">
        <v>55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n">
        <v>8.17</v>
      </c>
      <c r="D14" s="0" t="n">
        <v>13.052</v>
      </c>
      <c r="E14" s="0" t="n">
        <v>2</v>
      </c>
      <c r="F14" s="0" t="s">
        <v>31</v>
      </c>
      <c r="G14" s="0" t="n">
        <v>16</v>
      </c>
      <c r="H14" s="0" t="n">
        <v>151.09</v>
      </c>
      <c r="I14" s="0" t="s">
        <v>58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n">
        <v>4.89</v>
      </c>
      <c r="D15" s="0" t="n">
        <v>13.052</v>
      </c>
      <c r="E15" s="0" t="n">
        <v>1.63</v>
      </c>
      <c r="F15" s="0" t="s">
        <v>31</v>
      </c>
      <c r="G15" s="0" t="n">
        <v>16</v>
      </c>
      <c r="H15" s="0" t="n">
        <v>71.88</v>
      </c>
      <c r="I15" s="0" t="s">
        <v>61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n">
        <v>1.9</v>
      </c>
      <c r="D16" s="0" t="n">
        <v>13.052</v>
      </c>
      <c r="E16" s="0" t="n">
        <v>2</v>
      </c>
      <c r="F16" s="0" t="s">
        <v>31</v>
      </c>
      <c r="G16" s="0" t="n">
        <v>16</v>
      </c>
      <c r="H16" s="0" t="n">
        <v>34.2</v>
      </c>
      <c r="I16" s="0" t="s">
        <v>64</v>
      </c>
      <c r="J16" s="0" t="s">
        <v>33</v>
      </c>
      <c r="K16" s="0" t="s">
        <v>34</v>
      </c>
    </row>
    <row r="17" customFormat="false" ht="15" hidden="false" customHeight="false" outlineLevel="0" collapsed="false">
      <c r="A17" s="0" t="s">
        <v>65</v>
      </c>
      <c r="B17" s="0" t="s">
        <v>66</v>
      </c>
      <c r="C17" s="0" t="n">
        <v>1.9</v>
      </c>
      <c r="D17" s="0" t="n">
        <v>13.052</v>
      </c>
      <c r="E17" s="0" t="n">
        <v>2</v>
      </c>
      <c r="F17" s="0" t="s">
        <v>31</v>
      </c>
      <c r="G17" s="0" t="n">
        <v>16</v>
      </c>
      <c r="H17" s="0" t="n">
        <v>34.2</v>
      </c>
      <c r="I17" s="0" t="s">
        <v>67</v>
      </c>
      <c r="J17" s="0" t="s">
        <v>33</v>
      </c>
      <c r="K17" s="0" t="s">
        <v>34</v>
      </c>
    </row>
    <row r="18" customFormat="false" ht="15" hidden="false" customHeight="false" outlineLevel="0" collapsed="false">
      <c r="A18" s="5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n">
        <v>3.41</v>
      </c>
      <c r="D19" s="0" t="n">
        <v>15.375</v>
      </c>
      <c r="E19" s="0" t="n">
        <v>2</v>
      </c>
      <c r="F19" s="0" t="s">
        <v>31</v>
      </c>
      <c r="G19" s="0" t="n">
        <v>24</v>
      </c>
      <c r="H19" s="0" t="n">
        <v>104.94</v>
      </c>
      <c r="I19" s="0" t="s">
        <v>71</v>
      </c>
      <c r="J19" s="0" t="s">
        <v>72</v>
      </c>
      <c r="K19" s="0" t="s">
        <v>34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0" t="n">
        <v>3.41</v>
      </c>
      <c r="D20" s="0" t="n">
        <v>13.052</v>
      </c>
      <c r="E20" s="0" t="n">
        <v>2</v>
      </c>
      <c r="F20" s="0" t="s">
        <v>31</v>
      </c>
      <c r="G20" s="0" t="n">
        <v>24</v>
      </c>
      <c r="H20" s="0" t="n">
        <v>89.1</v>
      </c>
      <c r="I20" s="0" t="s">
        <v>75</v>
      </c>
      <c r="J20" s="0" t="s">
        <v>72</v>
      </c>
      <c r="K20" s="0" t="s">
        <v>34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0" t="n">
        <v>2.24</v>
      </c>
      <c r="D21" s="0" t="n">
        <v>13.052</v>
      </c>
      <c r="E21" s="0" t="n">
        <v>2</v>
      </c>
      <c r="F21" s="0" t="s">
        <v>31</v>
      </c>
      <c r="G21" s="0" t="n">
        <v>24</v>
      </c>
      <c r="H21" s="0" t="n">
        <v>58.48</v>
      </c>
      <c r="I21" s="0" t="s">
        <v>78</v>
      </c>
      <c r="J21" s="0" t="s">
        <v>72</v>
      </c>
      <c r="K21" s="0" t="s">
        <v>34</v>
      </c>
    </row>
    <row r="22" customFormat="false" ht="15" hidden="false" customHeight="false" outlineLevel="0" collapsed="false">
      <c r="A22" s="5" t="s">
        <v>79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n">
        <v>19</v>
      </c>
      <c r="D23" s="0" t="n">
        <v>14.897</v>
      </c>
      <c r="E23" s="0" t="n">
        <v>2</v>
      </c>
      <c r="F23" s="0" t="s">
        <v>82</v>
      </c>
      <c r="G23" s="0" t="n">
        <v>16</v>
      </c>
      <c r="H23" s="0" t="n">
        <v>371.34</v>
      </c>
      <c r="I23" s="0" t="s">
        <v>83</v>
      </c>
      <c r="J23" s="0" t="s">
        <v>33</v>
      </c>
      <c r="K23" s="0" t="s">
        <v>34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n">
        <v>10.59</v>
      </c>
      <c r="D24" s="0" t="n">
        <v>15.375</v>
      </c>
      <c r="E24" s="0" t="n">
        <v>2</v>
      </c>
      <c r="F24" s="0" t="s">
        <v>82</v>
      </c>
      <c r="G24" s="0" t="n">
        <v>16</v>
      </c>
      <c r="H24" s="0" t="n">
        <v>222.46</v>
      </c>
      <c r="I24" s="0" t="s">
        <v>86</v>
      </c>
      <c r="J24" s="0" t="s">
        <v>33</v>
      </c>
      <c r="K24" s="0" t="s">
        <v>34</v>
      </c>
    </row>
    <row r="25" customFormat="false" ht="15" hidden="false" customHeight="false" outlineLevel="0" collapsed="false">
      <c r="A25" s="0" t="s">
        <v>87</v>
      </c>
      <c r="B25" s="0" t="s">
        <v>88</v>
      </c>
      <c r="C25" s="0" t="n">
        <v>0.97</v>
      </c>
      <c r="D25" s="0" t="n">
        <v>15.375</v>
      </c>
      <c r="E25" s="0" t="n">
        <v>2</v>
      </c>
      <c r="F25" s="0" t="s">
        <v>82</v>
      </c>
      <c r="G25" s="0" t="n">
        <v>16</v>
      </c>
      <c r="H25" s="0" t="n">
        <v>17.4</v>
      </c>
      <c r="I25" s="0" t="s">
        <v>89</v>
      </c>
      <c r="J25" s="0" t="s">
        <v>33</v>
      </c>
      <c r="K25" s="0" t="s">
        <v>34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0" t="n">
        <v>3.28</v>
      </c>
      <c r="D26" s="0" t="n">
        <v>13.052</v>
      </c>
      <c r="E26" s="0" t="n">
        <v>2</v>
      </c>
      <c r="F26" s="0" t="s">
        <v>82</v>
      </c>
      <c r="G26" s="0" t="n">
        <v>16</v>
      </c>
      <c r="H26" s="0" t="n">
        <v>60.68</v>
      </c>
      <c r="I26" s="0" t="s">
        <v>92</v>
      </c>
      <c r="J26" s="0" t="s">
        <v>33</v>
      </c>
      <c r="K26" s="0" t="s">
        <v>34</v>
      </c>
    </row>
    <row r="27" customFormat="false" ht="15" hidden="false" customHeight="false" outlineLevel="0" collapsed="false">
      <c r="A27" s="5" t="s">
        <v>93</v>
      </c>
    </row>
    <row r="28" customFormat="false" ht="15" hidden="false" customHeight="false" outlineLevel="0" collapsed="false">
      <c r="A28" s="0" t="s">
        <v>94</v>
      </c>
      <c r="B28" s="0" t="s">
        <v>95</v>
      </c>
      <c r="C28" s="0" t="n">
        <v>9.99</v>
      </c>
      <c r="D28" s="0" t="n">
        <v>13.052</v>
      </c>
      <c r="E28" s="0" t="n">
        <v>2</v>
      </c>
      <c r="F28" s="0" t="s">
        <v>31</v>
      </c>
      <c r="G28" s="0" t="n">
        <v>16</v>
      </c>
      <c r="H28" s="0" t="n">
        <v>260.7</v>
      </c>
      <c r="I28" s="0" t="s">
        <v>96</v>
      </c>
      <c r="J28" s="0" t="s">
        <v>97</v>
      </c>
      <c r="K28" s="0" t="s">
        <v>34</v>
      </c>
    </row>
    <row r="29" customFormat="false" ht="15" hidden="false" customHeight="false" outlineLevel="0" collapsed="false">
      <c r="A29" s="0" t="s">
        <v>98</v>
      </c>
      <c r="B29" s="0" t="s">
        <v>99</v>
      </c>
      <c r="C29" s="0" t="n">
        <v>9.58</v>
      </c>
      <c r="D29" s="0" t="n">
        <v>13.052</v>
      </c>
      <c r="E29" s="0" t="n">
        <v>2</v>
      </c>
      <c r="F29" s="0" t="s">
        <v>31</v>
      </c>
      <c r="G29" s="0" t="n">
        <v>16</v>
      </c>
      <c r="H29" s="0" t="n">
        <v>250.08</v>
      </c>
      <c r="I29" s="0" t="s">
        <v>100</v>
      </c>
      <c r="J29" s="0" t="s">
        <v>97</v>
      </c>
      <c r="K29" s="0" t="s">
        <v>34</v>
      </c>
    </row>
    <row r="30" customFormat="false" ht="15" hidden="false" customHeight="false" outlineLevel="0" collapsed="false">
      <c r="A30" s="0" t="s">
        <v>101</v>
      </c>
      <c r="B30" s="0" t="s">
        <v>102</v>
      </c>
      <c r="C30" s="0" t="n">
        <v>13.74</v>
      </c>
      <c r="D30" s="0" t="n">
        <v>13.052</v>
      </c>
      <c r="E30" s="0" t="n">
        <v>2</v>
      </c>
      <c r="F30" s="0" t="s">
        <v>31</v>
      </c>
      <c r="G30" s="0" t="n">
        <v>16</v>
      </c>
      <c r="H30" s="0" t="n">
        <v>263.12</v>
      </c>
      <c r="I30" s="0" t="s">
        <v>103</v>
      </c>
      <c r="J30" s="0" t="s">
        <v>97</v>
      </c>
      <c r="K30" s="0" t="s">
        <v>34</v>
      </c>
    </row>
    <row r="31" customFormat="false" ht="15" hidden="false" customHeight="false" outlineLevel="0" collapsed="false">
      <c r="A31" s="0" t="s">
        <v>104</v>
      </c>
      <c r="B31" s="0" t="s">
        <v>105</v>
      </c>
      <c r="C31" s="0" t="n">
        <v>12.33</v>
      </c>
      <c r="D31" s="0" t="n">
        <v>13.052</v>
      </c>
      <c r="E31" s="0" t="n">
        <v>2</v>
      </c>
      <c r="F31" s="0" t="s">
        <v>31</v>
      </c>
      <c r="G31" s="0" t="n">
        <v>16</v>
      </c>
      <c r="H31" s="0" t="n">
        <v>274.16</v>
      </c>
      <c r="I31" s="0" t="s">
        <v>106</v>
      </c>
      <c r="J31" s="0" t="s">
        <v>97</v>
      </c>
      <c r="K31" s="0" t="s">
        <v>34</v>
      </c>
    </row>
    <row r="32" customFormat="false" ht="15" hidden="false" customHeight="false" outlineLevel="0" collapsed="false">
      <c r="A32" s="0" t="s">
        <v>107</v>
      </c>
      <c r="B32" s="0" t="s">
        <v>108</v>
      </c>
      <c r="C32" s="0" t="n">
        <v>3.5</v>
      </c>
      <c r="D32" s="0" t="n">
        <v>13.052</v>
      </c>
      <c r="E32" s="0" t="n">
        <v>2</v>
      </c>
      <c r="F32" s="0" t="s">
        <v>31</v>
      </c>
      <c r="G32" s="0" t="n">
        <v>16</v>
      </c>
      <c r="H32" s="0" t="n">
        <v>91.36</v>
      </c>
      <c r="I32" s="0" t="s">
        <v>109</v>
      </c>
      <c r="J32" s="0" t="s">
        <v>97</v>
      </c>
      <c r="K32" s="0" t="s">
        <v>34</v>
      </c>
    </row>
    <row r="33" customFormat="false" ht="15" hidden="false" customHeight="false" outlineLevel="0" collapsed="false">
      <c r="A33" s="0" t="s">
        <v>110</v>
      </c>
      <c r="B33" s="0" t="s">
        <v>111</v>
      </c>
      <c r="C33" s="0" t="n">
        <v>11.73</v>
      </c>
      <c r="D33" s="0" t="n">
        <v>13.052</v>
      </c>
      <c r="E33" s="0" t="n">
        <v>2</v>
      </c>
      <c r="F33" s="0" t="s">
        <v>31</v>
      </c>
      <c r="G33" s="0" t="n">
        <v>16</v>
      </c>
      <c r="H33" s="0" t="n">
        <v>306.28</v>
      </c>
      <c r="I33" s="0" t="s">
        <v>112</v>
      </c>
      <c r="J33" s="0" t="s">
        <v>97</v>
      </c>
      <c r="K33" s="0" t="s">
        <v>34</v>
      </c>
    </row>
    <row r="34" customFormat="false" ht="15" hidden="false" customHeight="false" outlineLevel="0" collapsed="false">
      <c r="A34" s="5" t="s">
        <v>113</v>
      </c>
    </row>
    <row r="35" customFormat="false" ht="15" hidden="false" customHeight="false" outlineLevel="0" collapsed="false">
      <c r="A35" s="0" t="s">
        <v>114</v>
      </c>
      <c r="B35" s="0" t="s">
        <v>115</v>
      </c>
      <c r="C35" s="0" t="n">
        <v>1.5</v>
      </c>
      <c r="D35" s="0" t="n">
        <v>15.375</v>
      </c>
      <c r="E35" s="0" t="n">
        <v>2</v>
      </c>
      <c r="F35" s="0" t="s">
        <v>82</v>
      </c>
      <c r="G35" s="0" t="n">
        <v>16</v>
      </c>
      <c r="H35" s="0" t="n">
        <v>46.12</v>
      </c>
      <c r="I35" s="0" t="s">
        <v>116</v>
      </c>
      <c r="J35" s="0" t="s">
        <v>97</v>
      </c>
      <c r="K35" s="0" t="s">
        <v>34</v>
      </c>
    </row>
    <row r="36" customFormat="false" ht="15" hidden="false" customHeight="false" outlineLevel="0" collapsed="false">
      <c r="A36" s="0" t="s">
        <v>117</v>
      </c>
      <c r="B36" s="0" t="s">
        <v>118</v>
      </c>
      <c r="C36" s="0" t="n">
        <v>1.82</v>
      </c>
      <c r="D36" s="0" t="n">
        <v>13.052</v>
      </c>
      <c r="E36" s="0" t="n">
        <v>2</v>
      </c>
      <c r="F36" s="0" t="s">
        <v>82</v>
      </c>
      <c r="G36" s="0" t="n">
        <v>16</v>
      </c>
      <c r="H36" s="0" t="n">
        <v>47.5</v>
      </c>
      <c r="I36" s="0" t="s">
        <v>119</v>
      </c>
      <c r="J36" s="0" t="s">
        <v>97</v>
      </c>
      <c r="K36" s="0" t="s">
        <v>34</v>
      </c>
    </row>
    <row r="37" customFormat="false" ht="15" hidden="false" customHeight="false" outlineLevel="0" collapsed="false">
      <c r="A37" s="0" t="s">
        <v>120</v>
      </c>
      <c r="B37" s="0" t="s">
        <v>121</v>
      </c>
      <c r="C37" s="0" t="n">
        <v>1.8</v>
      </c>
      <c r="D37" s="0" t="n">
        <v>13.052</v>
      </c>
      <c r="E37" s="0" t="n">
        <v>2</v>
      </c>
      <c r="F37" s="0" t="s">
        <v>82</v>
      </c>
      <c r="G37" s="0" t="n">
        <v>16</v>
      </c>
      <c r="H37" s="0" t="n">
        <v>46.98</v>
      </c>
      <c r="I37" s="0" t="s">
        <v>122</v>
      </c>
      <c r="J37" s="0" t="s">
        <v>97</v>
      </c>
      <c r="K37" s="0" t="s">
        <v>34</v>
      </c>
    </row>
    <row r="38" customFormat="false" ht="15" hidden="false" customHeight="false" outlineLevel="0" collapsed="false">
      <c r="A38" s="0" t="s">
        <v>123</v>
      </c>
      <c r="B38" s="0" t="s">
        <v>124</v>
      </c>
      <c r="C38" s="0" t="n">
        <v>2.69</v>
      </c>
      <c r="D38" s="0" t="n">
        <v>13.052</v>
      </c>
      <c r="E38" s="0" t="n">
        <v>2</v>
      </c>
      <c r="F38" s="0" t="s">
        <v>82</v>
      </c>
      <c r="G38" s="0" t="n">
        <v>16</v>
      </c>
      <c r="H38" s="0" t="n">
        <v>70.3</v>
      </c>
      <c r="I38" s="0" t="s">
        <v>125</v>
      </c>
      <c r="J38" s="0" t="s">
        <v>97</v>
      </c>
      <c r="K38" s="0" t="s">
        <v>34</v>
      </c>
    </row>
    <row r="39" customFormat="false" ht="15" hidden="false" customHeight="false" outlineLevel="0" collapsed="false">
      <c r="A39" s="0" t="s">
        <v>126</v>
      </c>
      <c r="B39" s="0" t="s">
        <v>127</v>
      </c>
      <c r="C39" s="0" t="n">
        <v>11.74</v>
      </c>
      <c r="D39" s="0" t="n">
        <v>13.052</v>
      </c>
      <c r="E39" s="0" t="n">
        <v>2</v>
      </c>
      <c r="F39" s="0" t="s">
        <v>82</v>
      </c>
      <c r="G39" s="0" t="n">
        <v>16</v>
      </c>
      <c r="H39" s="0" t="n">
        <v>306.46</v>
      </c>
      <c r="I39" s="0" t="s">
        <v>128</v>
      </c>
      <c r="J39" s="0" t="s">
        <v>97</v>
      </c>
      <c r="K39" s="0" t="s">
        <v>34</v>
      </c>
    </row>
    <row r="40" customFormat="false" ht="15" hidden="false" customHeight="false" outlineLevel="0" collapsed="false">
      <c r="A40" s="5" t="s">
        <v>129</v>
      </c>
    </row>
    <row r="41" customFormat="false" ht="15" hidden="false" customHeight="false" outlineLevel="0" collapsed="false">
      <c r="A41" s="0" t="s">
        <v>130</v>
      </c>
      <c r="B41" s="0" t="s">
        <v>131</v>
      </c>
      <c r="C41" s="0" t="n">
        <v>1.77</v>
      </c>
      <c r="D41" s="0" t="n">
        <v>15.375</v>
      </c>
      <c r="E41" s="0" t="n">
        <v>2</v>
      </c>
      <c r="F41" s="0" t="s">
        <v>82</v>
      </c>
      <c r="G41" s="0" t="n">
        <v>24</v>
      </c>
      <c r="H41" s="0" t="n">
        <v>54.52</v>
      </c>
      <c r="I41" s="0" t="s">
        <v>132</v>
      </c>
      <c r="J41" s="0" t="s">
        <v>133</v>
      </c>
      <c r="K41" s="0" t="s">
        <v>34</v>
      </c>
    </row>
    <row r="42" customFormat="false" ht="15" hidden="false" customHeight="false" outlineLevel="0" collapsed="false">
      <c r="A42" s="5" t="s">
        <v>134</v>
      </c>
    </row>
    <row r="43" customFormat="false" ht="15" hidden="false" customHeight="false" outlineLevel="0" collapsed="false">
      <c r="A43" s="0" t="s">
        <v>135</v>
      </c>
      <c r="B43" s="0" t="s">
        <v>136</v>
      </c>
      <c r="C43" s="0" t="n">
        <v>10</v>
      </c>
      <c r="D43" s="0" t="n">
        <v>15.375</v>
      </c>
      <c r="E43" s="0" t="n">
        <v>1</v>
      </c>
      <c r="F43" s="0" t="s">
        <v>31</v>
      </c>
      <c r="G43" s="0" t="n">
        <v>16</v>
      </c>
      <c r="H43" s="0" t="n">
        <v>153.75</v>
      </c>
      <c r="I43" s="0" t="s">
        <v>137</v>
      </c>
      <c r="J43" s="0" t="s">
        <v>138</v>
      </c>
      <c r="K43" s="0" t="s">
        <v>34</v>
      </c>
    </row>
    <row r="44" customFormat="false" ht="15" hidden="false" customHeight="false" outlineLevel="0" collapsed="false">
      <c r="A44" s="0" t="s">
        <v>139</v>
      </c>
      <c r="B44" s="0" t="s">
        <v>140</v>
      </c>
      <c r="C44" s="0" t="n">
        <v>10.03</v>
      </c>
      <c r="D44" s="0" t="n">
        <v>13.052</v>
      </c>
      <c r="E44" s="0" t="n">
        <v>1</v>
      </c>
      <c r="F44" s="0" t="s">
        <v>31</v>
      </c>
      <c r="G44" s="0" t="n">
        <v>16</v>
      </c>
      <c r="H44" s="0" t="n">
        <v>130.87</v>
      </c>
      <c r="I44" s="0" t="s">
        <v>141</v>
      </c>
      <c r="J44" s="0" t="s">
        <v>138</v>
      </c>
      <c r="K44" s="0" t="s">
        <v>34</v>
      </c>
    </row>
    <row r="45" customFormat="false" ht="15" hidden="false" customHeight="false" outlineLevel="0" collapsed="false">
      <c r="A45" s="0" t="s">
        <v>142</v>
      </c>
      <c r="B45" s="0" t="s">
        <v>143</v>
      </c>
      <c r="C45" s="0" t="n">
        <v>10.03</v>
      </c>
      <c r="D45" s="0" t="n">
        <v>13.052</v>
      </c>
      <c r="E45" s="0" t="n">
        <v>1</v>
      </c>
      <c r="F45" s="0" t="s">
        <v>31</v>
      </c>
      <c r="G45" s="0" t="n">
        <v>16</v>
      </c>
      <c r="H45" s="0" t="n">
        <v>130.87</v>
      </c>
      <c r="I45" s="0" t="s">
        <v>144</v>
      </c>
      <c r="J45" s="0" t="s">
        <v>138</v>
      </c>
      <c r="K45" s="0" t="s">
        <v>34</v>
      </c>
    </row>
    <row r="46" customFormat="false" ht="15" hidden="false" customHeight="false" outlineLevel="0" collapsed="false">
      <c r="A46" s="5" t="s">
        <v>145</v>
      </c>
    </row>
    <row r="47" customFormat="false" ht="15" hidden="false" customHeight="false" outlineLevel="0" collapsed="false">
      <c r="A47" s="0" t="s">
        <v>146</v>
      </c>
      <c r="B47" s="0" t="s">
        <v>147</v>
      </c>
      <c r="C47" s="0" t="n">
        <v>17.46</v>
      </c>
      <c r="D47" s="0" t="n">
        <v>15.375</v>
      </c>
      <c r="E47" s="0" t="n">
        <v>2</v>
      </c>
      <c r="F47" s="0" t="s">
        <v>31</v>
      </c>
      <c r="G47" s="0" t="n">
        <v>16</v>
      </c>
      <c r="H47" s="0" t="n">
        <v>331.72</v>
      </c>
      <c r="I47" s="0" t="s">
        <v>148</v>
      </c>
      <c r="J47" s="0" t="s">
        <v>149</v>
      </c>
      <c r="K47" s="0" t="s">
        <v>34</v>
      </c>
    </row>
    <row r="48" customFormat="false" ht="15" hidden="false" customHeight="false" outlineLevel="0" collapsed="false">
      <c r="A48" s="5" t="s">
        <v>150</v>
      </c>
    </row>
    <row r="49" customFormat="false" ht="15" hidden="false" customHeight="false" outlineLevel="0" collapsed="false">
      <c r="A49" s="0" t="s">
        <v>151</v>
      </c>
      <c r="B49" s="0" t="s">
        <v>152</v>
      </c>
      <c r="C49" s="0" t="n">
        <v>15.59</v>
      </c>
      <c r="D49" s="0" t="n">
        <v>15.375</v>
      </c>
      <c r="E49" s="0" t="n">
        <v>4</v>
      </c>
      <c r="F49" s="0" t="s">
        <v>153</v>
      </c>
      <c r="G49" s="0" t="n">
        <v>16</v>
      </c>
      <c r="H49" s="0" t="n">
        <v>958.6</v>
      </c>
      <c r="I49" s="0" t="s">
        <v>154</v>
      </c>
      <c r="J49" s="0" t="s">
        <v>155</v>
      </c>
      <c r="K49" s="0" t="s">
        <v>34</v>
      </c>
    </row>
    <row r="50" customFormat="false" ht="15" hidden="false" customHeight="false" outlineLevel="0" collapsed="false">
      <c r="A50" s="0" t="s">
        <v>156</v>
      </c>
      <c r="B50" s="0" t="s">
        <v>157</v>
      </c>
      <c r="C50" s="0" t="n">
        <v>11.63</v>
      </c>
      <c r="D50" s="0" t="n">
        <v>15.375</v>
      </c>
      <c r="E50" s="0" t="n">
        <v>4</v>
      </c>
      <c r="F50" s="0" t="s">
        <v>153</v>
      </c>
      <c r="G50" s="0" t="n">
        <v>16</v>
      </c>
      <c r="H50" s="0" t="n">
        <v>715.06</v>
      </c>
      <c r="I50" s="0" t="s">
        <v>158</v>
      </c>
      <c r="J50" s="0" t="s">
        <v>155</v>
      </c>
      <c r="K50" s="0" t="s">
        <v>34</v>
      </c>
    </row>
    <row r="51" customFormat="false" ht="15" hidden="false" customHeight="false" outlineLevel="0" collapsed="false">
      <c r="A51" s="0" t="s">
        <v>159</v>
      </c>
      <c r="B51" s="0" t="s">
        <v>160</v>
      </c>
      <c r="C51" s="0" t="n">
        <v>11.63</v>
      </c>
      <c r="D51" s="0" t="n">
        <v>15.375</v>
      </c>
      <c r="E51" s="0" t="n">
        <v>4</v>
      </c>
      <c r="F51" s="0" t="s">
        <v>153</v>
      </c>
      <c r="G51" s="0" t="n">
        <v>16</v>
      </c>
      <c r="H51" s="0" t="n">
        <v>715.06</v>
      </c>
      <c r="I51" s="0" t="s">
        <v>161</v>
      </c>
      <c r="J51" s="0" t="s">
        <v>155</v>
      </c>
      <c r="K51" s="0" t="s">
        <v>34</v>
      </c>
    </row>
    <row r="52" customFormat="false" ht="15" hidden="false" customHeight="false" outlineLevel="0" collapsed="false">
      <c r="A52" s="0" t="s">
        <v>162</v>
      </c>
      <c r="B52" s="0" t="s">
        <v>163</v>
      </c>
      <c r="C52" s="0" t="n">
        <v>11.77</v>
      </c>
      <c r="D52" s="0" t="n">
        <v>15.375</v>
      </c>
      <c r="E52" s="0" t="n">
        <v>4</v>
      </c>
      <c r="F52" s="0" t="s">
        <v>153</v>
      </c>
      <c r="G52" s="0" t="n">
        <v>16</v>
      </c>
      <c r="H52" s="0" t="n">
        <v>723.68</v>
      </c>
      <c r="I52" s="0" t="s">
        <v>164</v>
      </c>
      <c r="J52" s="0" t="s">
        <v>155</v>
      </c>
      <c r="K52" s="0" t="s">
        <v>34</v>
      </c>
    </row>
    <row r="53" customFormat="false" ht="15" hidden="false" customHeight="false" outlineLevel="0" collapsed="false">
      <c r="A53" s="0" t="s">
        <v>165</v>
      </c>
      <c r="B53" s="0" t="s">
        <v>166</v>
      </c>
      <c r="C53" s="0" t="n">
        <v>11.77</v>
      </c>
      <c r="D53" s="0" t="n">
        <v>15.375</v>
      </c>
      <c r="E53" s="0" t="n">
        <v>4</v>
      </c>
      <c r="F53" s="0" t="s">
        <v>153</v>
      </c>
      <c r="G53" s="0" t="n">
        <v>16</v>
      </c>
      <c r="H53" s="0" t="n">
        <v>723.68</v>
      </c>
      <c r="I53" s="0" t="s">
        <v>167</v>
      </c>
      <c r="J53" s="0" t="s">
        <v>155</v>
      </c>
      <c r="K53" s="0" t="s">
        <v>34</v>
      </c>
    </row>
    <row r="54" customFormat="false" ht="15" hidden="false" customHeight="false" outlineLevel="0" collapsed="false">
      <c r="A54" s="0" t="s">
        <v>168</v>
      </c>
      <c r="B54" s="0" t="s">
        <v>169</v>
      </c>
      <c r="C54" s="0" t="n">
        <v>10.51</v>
      </c>
      <c r="D54" s="0" t="n">
        <v>15.375</v>
      </c>
      <c r="E54" s="0" t="n">
        <v>4</v>
      </c>
      <c r="F54" s="0" t="s">
        <v>153</v>
      </c>
      <c r="G54" s="0" t="n">
        <v>16</v>
      </c>
      <c r="H54" s="0" t="n">
        <v>646.18</v>
      </c>
      <c r="I54" s="0" t="s">
        <v>170</v>
      </c>
      <c r="J54" s="0" t="s">
        <v>155</v>
      </c>
      <c r="K54" s="0" t="s">
        <v>34</v>
      </c>
    </row>
    <row r="55" customFormat="false" ht="15" hidden="false" customHeight="false" outlineLevel="0" collapsed="false">
      <c r="A55" s="0" t="s">
        <v>171</v>
      </c>
      <c r="B55" s="0" t="s">
        <v>172</v>
      </c>
      <c r="C55" s="0" t="n">
        <v>2.42</v>
      </c>
      <c r="D55" s="0" t="n">
        <v>15.375</v>
      </c>
      <c r="E55" s="0" t="n">
        <v>4</v>
      </c>
      <c r="F55" s="0" t="s">
        <v>153</v>
      </c>
      <c r="G55" s="0" t="n">
        <v>16</v>
      </c>
      <c r="H55" s="0" t="n">
        <v>148.82</v>
      </c>
      <c r="I55" s="0" t="s">
        <v>173</v>
      </c>
      <c r="J55" s="0" t="s">
        <v>155</v>
      </c>
      <c r="K55" s="0" t="s">
        <v>34</v>
      </c>
    </row>
    <row r="56" customFormat="false" ht="15" hidden="false" customHeight="false" outlineLevel="0" collapsed="false">
      <c r="A56" s="0" t="s">
        <v>174</v>
      </c>
      <c r="B56" s="0" t="s">
        <v>175</v>
      </c>
      <c r="C56" s="0" t="n">
        <v>3.47</v>
      </c>
      <c r="D56" s="0" t="n">
        <v>15.375</v>
      </c>
      <c r="E56" s="0" t="n">
        <v>4</v>
      </c>
      <c r="F56" s="0" t="s">
        <v>153</v>
      </c>
      <c r="G56" s="0" t="n">
        <v>16</v>
      </c>
      <c r="H56" s="0" t="n">
        <v>213.22</v>
      </c>
      <c r="I56" s="0" t="s">
        <v>176</v>
      </c>
      <c r="J56" s="0" t="s">
        <v>155</v>
      </c>
      <c r="K56" s="0" t="s">
        <v>34</v>
      </c>
    </row>
    <row r="57" customFormat="false" ht="15" hidden="false" customHeight="false" outlineLevel="0" collapsed="false">
      <c r="A57" s="0" t="s">
        <v>177</v>
      </c>
      <c r="B57" s="0" t="s">
        <v>178</v>
      </c>
      <c r="C57" s="0" t="n">
        <v>3.25</v>
      </c>
      <c r="D57" s="0" t="n">
        <v>15.375</v>
      </c>
      <c r="E57" s="0" t="n">
        <v>4</v>
      </c>
      <c r="F57" s="0" t="s">
        <v>153</v>
      </c>
      <c r="G57" s="0" t="n">
        <v>16</v>
      </c>
      <c r="H57" s="0" t="n">
        <v>200.06</v>
      </c>
      <c r="I57" s="0" t="s">
        <v>179</v>
      </c>
      <c r="J57" s="0" t="s">
        <v>155</v>
      </c>
      <c r="K57" s="0" t="s">
        <v>34</v>
      </c>
    </row>
    <row r="58" customFormat="false" ht="15" hidden="false" customHeight="false" outlineLevel="0" collapsed="false">
      <c r="A58" s="0" t="s">
        <v>180</v>
      </c>
      <c r="B58" s="0" t="s">
        <v>181</v>
      </c>
      <c r="C58" s="0" t="n">
        <v>3.25</v>
      </c>
      <c r="D58" s="0" t="n">
        <v>15.375</v>
      </c>
      <c r="E58" s="0" t="n">
        <v>4</v>
      </c>
      <c r="F58" s="0" t="s">
        <v>153</v>
      </c>
      <c r="G58" s="0" t="n">
        <v>16</v>
      </c>
      <c r="H58" s="0" t="n">
        <v>200.06</v>
      </c>
      <c r="I58" s="0" t="s">
        <v>182</v>
      </c>
      <c r="J58" s="0" t="s">
        <v>155</v>
      </c>
      <c r="K58" s="0" t="s">
        <v>34</v>
      </c>
    </row>
    <row r="59" customFormat="false" ht="15" hidden="false" customHeight="false" outlineLevel="0" collapsed="false">
      <c r="A59" s="5" t="s">
        <v>183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0" t="n">
        <v>11.77</v>
      </c>
      <c r="D60" s="0" t="n">
        <v>15.375</v>
      </c>
      <c r="E60" s="0" t="n">
        <v>4</v>
      </c>
      <c r="F60" s="0" t="s">
        <v>153</v>
      </c>
      <c r="G60" s="0" t="n">
        <v>16</v>
      </c>
      <c r="H60" s="0" t="n">
        <v>723.68</v>
      </c>
      <c r="I60" s="0" t="s">
        <v>186</v>
      </c>
      <c r="J60" s="0" t="s">
        <v>155</v>
      </c>
      <c r="K60" s="0" t="s">
        <v>34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0" t="n">
        <v>3.84</v>
      </c>
      <c r="D61" s="0" t="n">
        <v>15.375</v>
      </c>
      <c r="E61" s="0" t="n">
        <v>4</v>
      </c>
      <c r="F61" s="0" t="s">
        <v>153</v>
      </c>
      <c r="G61" s="0" t="n">
        <v>16</v>
      </c>
      <c r="H61" s="0" t="n">
        <v>236.16</v>
      </c>
      <c r="I61" s="0" t="s">
        <v>189</v>
      </c>
      <c r="J61" s="0" t="s">
        <v>155</v>
      </c>
      <c r="K61" s="0" t="s">
        <v>34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0" t="n">
        <v>3.73</v>
      </c>
      <c r="D62" s="0" t="n">
        <v>15.375</v>
      </c>
      <c r="E62" s="0" t="n">
        <v>4</v>
      </c>
      <c r="F62" s="0" t="s">
        <v>153</v>
      </c>
      <c r="G62" s="0" t="n">
        <v>16</v>
      </c>
      <c r="H62" s="0" t="n">
        <v>229.22</v>
      </c>
      <c r="I62" s="0" t="s">
        <v>192</v>
      </c>
      <c r="J62" s="0" t="s">
        <v>155</v>
      </c>
      <c r="K62" s="0" t="s">
        <v>34</v>
      </c>
    </row>
    <row r="63" customFormat="false" ht="15" hidden="false" customHeight="false" outlineLevel="0" collapsed="false">
      <c r="A63" s="5" t="s">
        <v>193</v>
      </c>
    </row>
    <row r="64" customFormat="false" ht="15" hidden="false" customHeight="false" outlineLevel="0" collapsed="false">
      <c r="A64" s="0" t="s">
        <v>194</v>
      </c>
      <c r="B64" s="0" t="s">
        <v>195</v>
      </c>
      <c r="C64" s="0" t="n">
        <v>50.498</v>
      </c>
      <c r="D64" s="0" t="n">
        <v>15.375</v>
      </c>
      <c r="E64" s="0" t="n">
        <v>2</v>
      </c>
      <c r="F64" s="0" t="s">
        <v>82</v>
      </c>
      <c r="G64" s="0" t="n">
        <v>16</v>
      </c>
      <c r="H64" s="0" t="n">
        <v>1417.59</v>
      </c>
      <c r="I64" s="0" t="s">
        <v>196</v>
      </c>
      <c r="J64" s="0" t="s">
        <v>197</v>
      </c>
      <c r="K64" s="0" t="s">
        <v>34</v>
      </c>
    </row>
    <row r="65" customFormat="false" ht="15" hidden="false" customHeight="false" outlineLevel="0" collapsed="false">
      <c r="A65" s="0" t="s">
        <v>198</v>
      </c>
      <c r="B65" s="0" t="s">
        <v>199</v>
      </c>
      <c r="C65" s="0" t="n">
        <v>24.836</v>
      </c>
      <c r="D65" s="0" t="n">
        <v>12.792</v>
      </c>
      <c r="E65" s="0" t="n">
        <v>2</v>
      </c>
      <c r="F65" s="0" t="s">
        <v>82</v>
      </c>
      <c r="G65" s="0" t="n">
        <v>16</v>
      </c>
      <c r="H65" s="0" t="n">
        <v>754.2</v>
      </c>
      <c r="I65" s="0" t="s">
        <v>200</v>
      </c>
      <c r="J65" s="0" t="s">
        <v>197</v>
      </c>
      <c r="K65" s="0" t="s">
        <v>34</v>
      </c>
    </row>
    <row r="66" customFormat="false" ht="15" hidden="false" customHeight="false" outlineLevel="0" collapsed="false">
      <c r="A66" s="0" t="s">
        <v>201</v>
      </c>
      <c r="B66" s="0" t="s">
        <v>202</v>
      </c>
      <c r="C66" s="0" t="n">
        <v>11.767</v>
      </c>
      <c r="D66" s="0" t="n">
        <v>15.375</v>
      </c>
      <c r="E66" s="0" t="n">
        <v>2</v>
      </c>
      <c r="F66" s="0" t="s">
        <v>82</v>
      </c>
      <c r="G66" s="0" t="n">
        <v>16</v>
      </c>
      <c r="H66" s="0" t="n">
        <v>370.82</v>
      </c>
      <c r="I66" s="0" t="s">
        <v>203</v>
      </c>
      <c r="J66" s="0" t="s">
        <v>197</v>
      </c>
      <c r="K66" s="0" t="s">
        <v>34</v>
      </c>
    </row>
    <row r="67" customFormat="false" ht="15" hidden="false" customHeight="false" outlineLevel="0" collapsed="false">
      <c r="A67" s="0" t="s">
        <v>204</v>
      </c>
      <c r="B67" s="0" t="s">
        <v>205</v>
      </c>
      <c r="C67" s="0" t="n">
        <v>26.25</v>
      </c>
      <c r="D67" s="0" t="n">
        <v>6.875</v>
      </c>
      <c r="E67" s="0" t="n">
        <v>2</v>
      </c>
      <c r="F67" s="0" t="s">
        <v>82</v>
      </c>
      <c r="G67" s="0" t="n">
        <v>16</v>
      </c>
      <c r="H67" s="0" t="n">
        <v>357.66</v>
      </c>
      <c r="I67" s="0" t="s">
        <v>206</v>
      </c>
      <c r="J67" s="0" t="s">
        <v>197</v>
      </c>
      <c r="K67" s="0" t="s">
        <v>34</v>
      </c>
    </row>
    <row r="68" customFormat="false" ht="15" hidden="false" customHeight="false" outlineLevel="0" collapsed="false">
      <c r="A68" s="0" t="s">
        <v>207</v>
      </c>
      <c r="B68" s="0" t="s">
        <v>208</v>
      </c>
      <c r="C68" s="0" t="n">
        <v>12.56</v>
      </c>
      <c r="D68" s="0" t="n">
        <v>6.875</v>
      </c>
      <c r="E68" s="0" t="n">
        <v>2</v>
      </c>
      <c r="F68" s="0" t="s">
        <v>82</v>
      </c>
      <c r="G68" s="0" t="n">
        <v>16</v>
      </c>
      <c r="H68" s="0" t="n">
        <v>199.39</v>
      </c>
      <c r="I68" s="0" t="s">
        <v>209</v>
      </c>
      <c r="J68" s="0" t="s">
        <v>197</v>
      </c>
      <c r="K68" s="0" t="s">
        <v>34</v>
      </c>
    </row>
    <row r="69" customFormat="false" ht="15" hidden="false" customHeight="false" outlineLevel="0" collapsed="false">
      <c r="A69" s="0" t="s">
        <v>210</v>
      </c>
      <c r="B69" s="0" t="s">
        <v>211</v>
      </c>
      <c r="C69" s="0" t="n">
        <v>51.733</v>
      </c>
      <c r="D69" s="0" t="n">
        <v>12.531</v>
      </c>
      <c r="E69" s="0" t="n">
        <v>2</v>
      </c>
      <c r="F69" s="0" t="s">
        <v>82</v>
      </c>
      <c r="G69" s="0" t="n">
        <v>16</v>
      </c>
      <c r="H69" s="0" t="n">
        <v>1451.88</v>
      </c>
      <c r="I69" s="0" t="s">
        <v>212</v>
      </c>
      <c r="J69" s="0" t="s">
        <v>197</v>
      </c>
      <c r="K69" s="0" t="s">
        <v>34</v>
      </c>
    </row>
    <row r="70" customFormat="false" ht="15" hidden="false" customHeight="false" outlineLevel="0" collapsed="false">
      <c r="A70" s="0" t="s">
        <v>213</v>
      </c>
      <c r="B70" s="0" t="s">
        <v>214</v>
      </c>
      <c r="C70" s="0" t="n">
        <v>6.5</v>
      </c>
      <c r="D70" s="0" t="n">
        <v>6.875</v>
      </c>
      <c r="E70" s="0" t="n">
        <v>2</v>
      </c>
      <c r="F70" s="0" t="s">
        <v>82</v>
      </c>
      <c r="G70" s="0" t="n">
        <v>16</v>
      </c>
      <c r="H70" s="0" t="n">
        <v>103.19</v>
      </c>
      <c r="I70" s="0" t="s">
        <v>215</v>
      </c>
      <c r="J70" s="0" t="s">
        <v>197</v>
      </c>
      <c r="K70" s="0" t="s">
        <v>34</v>
      </c>
    </row>
    <row r="71" customFormat="false" ht="15" hidden="false" customHeight="false" outlineLevel="0" collapsed="false">
      <c r="A71" s="0" t="s">
        <v>216</v>
      </c>
      <c r="B71" s="0" t="s">
        <v>217</v>
      </c>
      <c r="C71" s="0" t="n">
        <v>21.46</v>
      </c>
      <c r="D71" s="0" t="n">
        <v>15.375</v>
      </c>
      <c r="E71" s="0" t="n">
        <v>2</v>
      </c>
      <c r="F71" s="0" t="s">
        <v>82</v>
      </c>
      <c r="G71" s="0" t="n">
        <v>16</v>
      </c>
      <c r="H71" s="0" t="n">
        <v>660.5</v>
      </c>
      <c r="I71" s="0" t="s">
        <v>218</v>
      </c>
      <c r="J71" s="0" t="s">
        <v>197</v>
      </c>
      <c r="K71" s="0" t="s">
        <v>34</v>
      </c>
    </row>
    <row r="72" customFormat="false" ht="15" hidden="false" customHeight="false" outlineLevel="0" collapsed="false">
      <c r="A72" s="0" t="s">
        <v>219</v>
      </c>
      <c r="B72" s="0" t="s">
        <v>220</v>
      </c>
      <c r="C72" s="0" t="n">
        <v>2.94</v>
      </c>
      <c r="D72" s="0" t="n">
        <v>15.375</v>
      </c>
      <c r="E72" s="0" t="n">
        <v>2</v>
      </c>
      <c r="F72" s="0" t="s">
        <v>82</v>
      </c>
      <c r="G72" s="0" t="n">
        <v>16</v>
      </c>
      <c r="H72" s="0" t="n">
        <v>113.71</v>
      </c>
      <c r="I72" s="0" t="s">
        <v>221</v>
      </c>
      <c r="J72" s="0" t="s">
        <v>197</v>
      </c>
      <c r="K72" s="0" t="s">
        <v>34</v>
      </c>
    </row>
    <row r="73" customFormat="false" ht="15" hidden="false" customHeight="false" outlineLevel="0" collapsed="false">
      <c r="A73" s="0" t="s">
        <v>222</v>
      </c>
      <c r="B73" s="0" t="s">
        <v>223</v>
      </c>
      <c r="C73" s="0" t="n">
        <v>22.578</v>
      </c>
      <c r="D73" s="0" t="n">
        <v>15.375</v>
      </c>
      <c r="E73" s="0" t="n">
        <v>2</v>
      </c>
      <c r="F73" s="0" t="s">
        <v>82</v>
      </c>
      <c r="G73" s="0" t="n">
        <v>16</v>
      </c>
      <c r="H73" s="0" t="n">
        <v>616.15</v>
      </c>
      <c r="I73" s="0" t="s">
        <v>224</v>
      </c>
      <c r="J73" s="0" t="s">
        <v>197</v>
      </c>
      <c r="K73" s="0" t="s">
        <v>34</v>
      </c>
    </row>
    <row r="74" customFormat="false" ht="15" hidden="false" customHeight="false" outlineLevel="0" collapsed="false">
      <c r="A74" s="0" t="s">
        <v>225</v>
      </c>
      <c r="B74" s="0" t="s">
        <v>226</v>
      </c>
      <c r="C74" s="0" t="n">
        <v>24.836</v>
      </c>
      <c r="D74" s="0" t="n">
        <v>12.792</v>
      </c>
      <c r="E74" s="0" t="n">
        <v>2</v>
      </c>
      <c r="F74" s="0" t="s">
        <v>82</v>
      </c>
      <c r="G74" s="0" t="n">
        <v>16</v>
      </c>
      <c r="H74" s="0" t="n">
        <v>754.2</v>
      </c>
      <c r="I74" s="0" t="s">
        <v>227</v>
      </c>
      <c r="J74" s="0" t="s">
        <v>197</v>
      </c>
      <c r="K74" s="0" t="s">
        <v>34</v>
      </c>
    </row>
    <row r="75" customFormat="false" ht="15" hidden="false" customHeight="false" outlineLevel="0" collapsed="false">
      <c r="A75" s="5" t="s">
        <v>228</v>
      </c>
    </row>
    <row r="76" customFormat="false" ht="15" hidden="false" customHeight="false" outlineLevel="0" collapsed="false">
      <c r="A76" s="0" t="s">
        <v>229</v>
      </c>
      <c r="B76" s="0" t="s">
        <v>230</v>
      </c>
      <c r="C76" s="0" t="n">
        <v>45</v>
      </c>
      <c r="D76" s="0" t="n">
        <v>7.333</v>
      </c>
      <c r="E76" s="0" t="n">
        <v>4</v>
      </c>
      <c r="F76" s="0" t="s">
        <v>153</v>
      </c>
      <c r="G76" s="0" t="n">
        <v>16</v>
      </c>
      <c r="H76" s="0" t="n">
        <v>1319.94</v>
      </c>
      <c r="I76" s="0" t="s">
        <v>231</v>
      </c>
      <c r="J76" s="0" t="s">
        <v>232</v>
      </c>
      <c r="K76" s="0" t="s">
        <v>34</v>
      </c>
    </row>
    <row r="77" customFormat="false" ht="15" hidden="false" customHeight="false" outlineLevel="0" collapsed="false">
      <c r="A77" s="6" t="s">
        <v>233</v>
      </c>
      <c r="C77" s="3" t="n">
        <f aca="false">SUM(C5:C76)</f>
        <v>655.628</v>
      </c>
      <c r="H77" s="3" t="n">
        <f aca="false">SUM(H5:H76)</f>
        <v>19759.73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29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0" t="s">
        <v>235</v>
      </c>
    </row>
    <row r="3" customFormat="false" ht="15" hidden="false" customHeight="false" outlineLevel="0" collapsed="false">
      <c r="A3" s="4" t="s">
        <v>236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  <c r="H3" s="4" t="s">
        <v>243</v>
      </c>
      <c r="I3" s="4" t="s">
        <v>244</v>
      </c>
    </row>
    <row r="4" customFormat="false" ht="15" hidden="false" customHeight="false" outlineLevel="0" collapsed="false">
      <c r="A4" s="0" t="s">
        <v>245</v>
      </c>
      <c r="B4" s="0" t="s">
        <v>246</v>
      </c>
      <c r="C4" s="0" t="n">
        <v>285.7</v>
      </c>
      <c r="D4" s="0" t="n">
        <f aca="false">Inputs!$B$4</f>
        <v>0.15</v>
      </c>
      <c r="E4" s="0" t="n">
        <f aca="false">C4*D4</f>
        <v>42.855</v>
      </c>
      <c r="F4" s="0" t="n">
        <f aca="false">C4+E4</f>
        <v>328.555</v>
      </c>
      <c r="G4" s="0" t="s">
        <v>247</v>
      </c>
      <c r="H4" s="0" t="n">
        <f aca="false">ROUNDUP(F4/20,0)</f>
        <v>17</v>
      </c>
      <c r="I4" s="0" t="s">
        <v>248</v>
      </c>
    </row>
    <row r="5" customFormat="false" ht="15" hidden="false" customHeight="false" outlineLevel="0" collapsed="false">
      <c r="A5" s="0" t="s">
        <v>249</v>
      </c>
      <c r="B5" s="0" t="s">
        <v>246</v>
      </c>
      <c r="C5" s="0" t="n">
        <v>61.5</v>
      </c>
      <c r="D5" s="0" t="n">
        <f aca="false">Inputs!$B$4</f>
        <v>0.15</v>
      </c>
      <c r="E5" s="0" t="n">
        <f aca="false">C5*D5</f>
        <v>9.225</v>
      </c>
      <c r="F5" s="0" t="n">
        <f aca="false">C5+E5</f>
        <v>70.725</v>
      </c>
      <c r="G5" s="0" t="s">
        <v>247</v>
      </c>
      <c r="H5" s="0" t="n">
        <f aca="false">ROUNDUP(F5/20,0)</f>
        <v>4</v>
      </c>
      <c r="I5" s="0" t="s">
        <v>250</v>
      </c>
    </row>
    <row r="6" customFormat="false" ht="15" hidden="false" customHeight="false" outlineLevel="0" collapsed="false">
      <c r="A6" s="0" t="s">
        <v>251</v>
      </c>
      <c r="B6" s="0" t="s">
        <v>246</v>
      </c>
      <c r="C6" s="0" t="n">
        <v>1116.45</v>
      </c>
      <c r="D6" s="0" t="n">
        <f aca="false">Inputs!$B$4</f>
        <v>0.15</v>
      </c>
      <c r="E6" s="0" t="n">
        <f aca="false">C6*D6</f>
        <v>167.4675</v>
      </c>
      <c r="F6" s="0" t="n">
        <f aca="false">C6+E6</f>
        <v>1283.9175</v>
      </c>
      <c r="G6" s="0" t="s">
        <v>247</v>
      </c>
      <c r="H6" s="0" t="n">
        <f aca="false">ROUNDUP(F6/20,0)</f>
        <v>65</v>
      </c>
      <c r="I6" s="0" t="s">
        <v>252</v>
      </c>
    </row>
    <row r="7" customFormat="false" ht="15" hidden="false" customHeight="false" outlineLevel="0" collapsed="false">
      <c r="A7" s="0" t="s">
        <v>253</v>
      </c>
      <c r="B7" s="0" t="s">
        <v>246</v>
      </c>
      <c r="C7" s="0" t="n">
        <v>3550.63</v>
      </c>
      <c r="D7" s="0" t="n">
        <f aca="false">Inputs!$B$4</f>
        <v>0.15</v>
      </c>
      <c r="E7" s="0" t="n">
        <f aca="false">C7*D7</f>
        <v>532.5945</v>
      </c>
      <c r="F7" s="0" t="n">
        <f aca="false">C7+E7</f>
        <v>4083.2245</v>
      </c>
      <c r="G7" s="0" t="s">
        <v>247</v>
      </c>
      <c r="H7" s="0" t="n">
        <f aca="false">ROUNDUP(F7/20,0)</f>
        <v>205</v>
      </c>
      <c r="I7" s="0" t="s">
        <v>254</v>
      </c>
    </row>
    <row r="8" customFormat="false" ht="15" hidden="false" customHeight="false" outlineLevel="0" collapsed="false">
      <c r="A8" s="0" t="s">
        <v>255</v>
      </c>
      <c r="B8" s="0" t="s">
        <v>246</v>
      </c>
      <c r="C8" s="0" t="n">
        <v>1624.26</v>
      </c>
      <c r="D8" s="0" t="n">
        <f aca="false">Inputs!$B$4</f>
        <v>0.15</v>
      </c>
      <c r="E8" s="0" t="n">
        <f aca="false">C8*D8</f>
        <v>243.639</v>
      </c>
      <c r="F8" s="0" t="n">
        <f aca="false">C8+E8</f>
        <v>1867.899</v>
      </c>
      <c r="G8" s="0" t="s">
        <v>247</v>
      </c>
      <c r="H8" s="0" t="n">
        <f aca="false">ROUNDUP(F8/20,0)</f>
        <v>94</v>
      </c>
      <c r="I8" s="0" t="s">
        <v>256</v>
      </c>
    </row>
    <row r="9" customFormat="false" ht="15" hidden="false" customHeight="false" outlineLevel="0" collapsed="false">
      <c r="A9" s="0" t="s">
        <v>257</v>
      </c>
      <c r="B9" s="0" t="s">
        <v>246</v>
      </c>
      <c r="C9" s="0" t="n">
        <v>5259.22</v>
      </c>
      <c r="D9" s="0" t="n">
        <f aca="false">Inputs!$B$4</f>
        <v>0.15</v>
      </c>
      <c r="E9" s="0" t="n">
        <f aca="false">C9*D9</f>
        <v>788.883</v>
      </c>
      <c r="F9" s="0" t="n">
        <f aca="false">C9+E9</f>
        <v>6048.103</v>
      </c>
      <c r="G9" s="0" t="s">
        <v>247</v>
      </c>
      <c r="H9" s="0" t="n">
        <f aca="false">ROUNDUP(F9/20,0)</f>
        <v>303</v>
      </c>
      <c r="I9" s="0" t="s">
        <v>258</v>
      </c>
    </row>
    <row r="10" customFormat="false" ht="15" hidden="false" customHeight="false" outlineLevel="0" collapsed="false">
      <c r="A10" s="0" t="s">
        <v>259</v>
      </c>
      <c r="B10" s="0" t="s">
        <v>246</v>
      </c>
      <c r="C10" s="0" t="n">
        <v>12</v>
      </c>
      <c r="D10" s="0" t="n">
        <f aca="false">Inputs!$B$4</f>
        <v>0.15</v>
      </c>
      <c r="E10" s="0" t="n">
        <f aca="false">C10*D10</f>
        <v>1.8</v>
      </c>
      <c r="F10" s="0" t="n">
        <f aca="false">C10+E10</f>
        <v>13.8</v>
      </c>
      <c r="G10" s="0" t="s">
        <v>247</v>
      </c>
      <c r="H10" s="0" t="n">
        <f aca="false">ROUNDUP(F10/20,0)</f>
        <v>1</v>
      </c>
      <c r="I10" s="0" t="s">
        <v>260</v>
      </c>
    </row>
    <row r="11" customFormat="false" ht="15" hidden="false" customHeight="false" outlineLevel="0" collapsed="false">
      <c r="A11" s="0" t="s">
        <v>261</v>
      </c>
      <c r="B11" s="0" t="s">
        <v>246</v>
      </c>
      <c r="C11" s="0" t="n">
        <v>6751.88</v>
      </c>
      <c r="D11" s="0" t="n">
        <f aca="false">Inputs!$B$4</f>
        <v>0.15</v>
      </c>
      <c r="E11" s="0" t="n">
        <f aca="false">C11*D11</f>
        <v>1012.782</v>
      </c>
      <c r="F11" s="0" t="n">
        <f aca="false">C11+E11</f>
        <v>7764.662</v>
      </c>
      <c r="G11" s="0" t="s">
        <v>247</v>
      </c>
      <c r="H11" s="0" t="n">
        <f aca="false">ROUNDUP(F11/20,0)</f>
        <v>389</v>
      </c>
      <c r="I11" s="0" t="s">
        <v>262</v>
      </c>
    </row>
    <row r="12" customFormat="false" ht="15" hidden="false" customHeight="false" outlineLevel="0" collapsed="false">
      <c r="A12" s="0" t="s">
        <v>263</v>
      </c>
      <c r="B12" s="0" t="s">
        <v>246</v>
      </c>
      <c r="C12" s="0" t="n">
        <v>263.69</v>
      </c>
      <c r="D12" s="0" t="n">
        <f aca="false">Inputs!$B$4</f>
        <v>0.15</v>
      </c>
      <c r="E12" s="0" t="n">
        <f aca="false">C12*D12</f>
        <v>39.5535</v>
      </c>
      <c r="F12" s="0" t="n">
        <f aca="false">C12+E12</f>
        <v>303.2435</v>
      </c>
      <c r="G12" s="0" t="s">
        <v>264</v>
      </c>
      <c r="H12" s="0" t="n">
        <f aca="false">ROUNDUP(F12/10,0)</f>
        <v>31</v>
      </c>
      <c r="I12" s="0" t="s">
        <v>265</v>
      </c>
    </row>
    <row r="13" customFormat="false" ht="15" hidden="false" customHeight="false" outlineLevel="0" collapsed="false">
      <c r="A13" s="0" t="s">
        <v>266</v>
      </c>
      <c r="B13" s="0" t="s">
        <v>246</v>
      </c>
      <c r="C13" s="0" t="n">
        <v>263.69</v>
      </c>
      <c r="D13" s="0" t="n">
        <f aca="false">Inputs!$B$4</f>
        <v>0.15</v>
      </c>
      <c r="E13" s="0" t="n">
        <f aca="false">C13*D13</f>
        <v>39.5535</v>
      </c>
      <c r="F13" s="0" t="n">
        <f aca="false">C13+E13</f>
        <v>303.2435</v>
      </c>
      <c r="G13" s="0" t="s">
        <v>264</v>
      </c>
      <c r="H13" s="0" t="n">
        <f aca="false">ROUNDUP(F13/10,0)</f>
        <v>31</v>
      </c>
      <c r="I13" s="0" t="s">
        <v>265</v>
      </c>
    </row>
    <row r="14" customFormat="false" ht="15" hidden="false" customHeight="false" outlineLevel="0" collapsed="false">
      <c r="A14" s="0" t="s">
        <v>267</v>
      </c>
      <c r="B14" s="0" t="s">
        <v>246</v>
      </c>
      <c r="C14" s="0" t="n">
        <v>1.77</v>
      </c>
      <c r="D14" s="0" t="n">
        <f aca="false">Inputs!$B$4</f>
        <v>0.15</v>
      </c>
      <c r="E14" s="0" t="n">
        <f aca="false">C14*D14</f>
        <v>0.2655</v>
      </c>
      <c r="F14" s="0" t="n">
        <f aca="false">C14+E14</f>
        <v>2.0355</v>
      </c>
      <c r="G14" s="0" t="s">
        <v>264</v>
      </c>
      <c r="H14" s="0" t="n">
        <f aca="false">ROUNDUP(F14/10,0)</f>
        <v>1</v>
      </c>
      <c r="I14" s="0" t="s">
        <v>250</v>
      </c>
    </row>
    <row r="15" customFormat="false" ht="15" hidden="false" customHeight="false" outlineLevel="0" collapsed="false">
      <c r="A15" s="0" t="s">
        <v>268</v>
      </c>
      <c r="B15" s="0" t="s">
        <v>246</v>
      </c>
      <c r="C15" s="0" t="n">
        <v>9.06</v>
      </c>
      <c r="D15" s="0" t="n">
        <f aca="false">Inputs!$B$4</f>
        <v>0.15</v>
      </c>
      <c r="E15" s="0" t="n">
        <f aca="false">C15*D15</f>
        <v>1.359</v>
      </c>
      <c r="F15" s="0" t="n">
        <f aca="false">C15+E15</f>
        <v>10.419</v>
      </c>
      <c r="G15" s="0" t="s">
        <v>264</v>
      </c>
      <c r="H15" s="0" t="n">
        <f aca="false">ROUNDUP(F15/10,0)</f>
        <v>2</v>
      </c>
      <c r="I15" s="0" t="s">
        <v>269</v>
      </c>
    </row>
    <row r="16" customFormat="false" ht="15" hidden="false" customHeight="false" outlineLevel="0" collapsed="false">
      <c r="A16" s="0" t="s">
        <v>270</v>
      </c>
      <c r="B16" s="0" t="s">
        <v>246</v>
      </c>
      <c r="C16" s="0" t="n">
        <v>264.05</v>
      </c>
      <c r="D16" s="0" t="n">
        <f aca="false">Inputs!$B$4</f>
        <v>0.15</v>
      </c>
      <c r="E16" s="0" t="n">
        <f aca="false">C16*D16</f>
        <v>39.6075</v>
      </c>
      <c r="F16" s="0" t="n">
        <f aca="false">C16+E16</f>
        <v>303.6575</v>
      </c>
      <c r="G16" s="0" t="s">
        <v>264</v>
      </c>
      <c r="H16" s="0" t="n">
        <f aca="false">ROUNDUP(F16/10,0)</f>
        <v>31</v>
      </c>
      <c r="I16" s="0" t="s">
        <v>271</v>
      </c>
    </row>
    <row r="17" customFormat="false" ht="15" hidden="false" customHeight="false" outlineLevel="0" collapsed="false">
      <c r="A17" s="0" t="s">
        <v>272</v>
      </c>
      <c r="B17" s="0" t="s">
        <v>246</v>
      </c>
      <c r="C17" s="0" t="n">
        <v>334.94</v>
      </c>
      <c r="D17" s="0" t="n">
        <f aca="false">Inputs!$B$4</f>
        <v>0.15</v>
      </c>
      <c r="E17" s="0" t="n">
        <f aca="false">C17*D17</f>
        <v>50.241</v>
      </c>
      <c r="F17" s="0" t="n">
        <f aca="false">C17+E17</f>
        <v>385.181</v>
      </c>
      <c r="G17" s="0" t="s">
        <v>264</v>
      </c>
      <c r="H17" s="0" t="n">
        <f aca="false">ROUNDUP(F17/10,0)</f>
        <v>39</v>
      </c>
      <c r="I17" s="0" t="s">
        <v>273</v>
      </c>
    </row>
    <row r="18" customFormat="false" ht="15" hidden="false" customHeight="false" outlineLevel="0" collapsed="false">
      <c r="A18" s="0" t="s">
        <v>274</v>
      </c>
      <c r="B18" s="0" t="s">
        <v>246</v>
      </c>
      <c r="C18" s="0" t="n">
        <v>185.82</v>
      </c>
      <c r="D18" s="0" t="n">
        <f aca="false">Inputs!$B$4</f>
        <v>0.15</v>
      </c>
      <c r="E18" s="0" t="n">
        <f aca="false">C18*D18</f>
        <v>27.873</v>
      </c>
      <c r="F18" s="0" t="n">
        <f aca="false">C18+E18</f>
        <v>213.693</v>
      </c>
      <c r="G18" s="0" t="s">
        <v>264</v>
      </c>
      <c r="H18" s="0" t="n">
        <f aca="false">ROUNDUP(F18/10,0)</f>
        <v>22</v>
      </c>
      <c r="I18" s="0" t="s">
        <v>275</v>
      </c>
    </row>
    <row r="19" customFormat="false" ht="15" hidden="false" customHeight="false" outlineLevel="0" collapsed="false">
      <c r="A19" s="0" t="s">
        <v>276</v>
      </c>
      <c r="B19" s="0" t="s">
        <v>246</v>
      </c>
      <c r="C19" s="0" t="n">
        <v>190.74</v>
      </c>
      <c r="D19" s="0" t="n">
        <f aca="false">Inputs!$B$4</f>
        <v>0.15</v>
      </c>
      <c r="E19" s="0" t="n">
        <f aca="false">C19*D19</f>
        <v>28.611</v>
      </c>
      <c r="F19" s="0" t="n">
        <f aca="false">C19+E19</f>
        <v>219.351</v>
      </c>
      <c r="G19" s="0" t="s">
        <v>264</v>
      </c>
      <c r="H19" s="0" t="n">
        <f aca="false">ROUNDUP(F19/10,0)</f>
        <v>22</v>
      </c>
      <c r="I19" s="0" t="s">
        <v>277</v>
      </c>
    </row>
    <row r="20" customFormat="false" ht="15" hidden="false" customHeight="false" outlineLevel="0" collapsed="false">
      <c r="A20" s="0" t="s">
        <v>278</v>
      </c>
      <c r="B20" s="0" t="s">
        <v>246</v>
      </c>
      <c r="C20" s="0" t="n">
        <v>17.46</v>
      </c>
      <c r="D20" s="0" t="n">
        <f aca="false">Inputs!$B$4</f>
        <v>0.15</v>
      </c>
      <c r="E20" s="0" t="n">
        <f aca="false">C20*D20</f>
        <v>2.619</v>
      </c>
      <c r="F20" s="0" t="n">
        <f aca="false">C20+E20</f>
        <v>20.079</v>
      </c>
      <c r="G20" s="0" t="s">
        <v>264</v>
      </c>
      <c r="H20" s="0" t="n">
        <f aca="false">ROUNDUP(F20/10,0)</f>
        <v>3</v>
      </c>
      <c r="I20" s="0" t="s">
        <v>279</v>
      </c>
    </row>
    <row r="21" customFormat="false" ht="15" hidden="false" customHeight="false" outlineLevel="0" collapsed="false">
      <c r="A21" s="0" t="s">
        <v>280</v>
      </c>
      <c r="B21" s="0" t="s">
        <v>246</v>
      </c>
      <c r="C21" s="0" t="n">
        <v>299.19</v>
      </c>
      <c r="D21" s="0" t="n">
        <f aca="false">Inputs!$B$4</f>
        <v>0.15</v>
      </c>
      <c r="E21" s="0" t="n">
        <f aca="false">C21*D21</f>
        <v>44.8785</v>
      </c>
      <c r="F21" s="0" t="n">
        <f aca="false">C21+E21</f>
        <v>344.0685</v>
      </c>
      <c r="G21" s="0" t="s">
        <v>264</v>
      </c>
      <c r="H21" s="0" t="n">
        <f aca="false">ROUNDUP(F21/10,0)</f>
        <v>35</v>
      </c>
      <c r="I21" s="0" t="s">
        <v>281</v>
      </c>
    </row>
    <row r="22" customFormat="false" ht="15" hidden="false" customHeight="false" outlineLevel="0" collapsed="false">
      <c r="A22" s="0" t="s">
        <v>282</v>
      </c>
      <c r="B22" s="0" t="s">
        <v>246</v>
      </c>
      <c r="C22" s="0" t="n">
        <v>299.19</v>
      </c>
      <c r="D22" s="0" t="n">
        <f aca="false">Inputs!$B$4</f>
        <v>0.15</v>
      </c>
      <c r="E22" s="0" t="n">
        <f aca="false">C22*D22</f>
        <v>44.8785</v>
      </c>
      <c r="F22" s="0" t="n">
        <f aca="false">C22+E22</f>
        <v>344.0685</v>
      </c>
      <c r="G22" s="0" t="s">
        <v>264</v>
      </c>
      <c r="H22" s="0" t="n">
        <f aca="false">ROUNDUP(F22/10,0)</f>
        <v>35</v>
      </c>
      <c r="I22" s="0" t="s">
        <v>283</v>
      </c>
    </row>
    <row r="23" customFormat="false" ht="15" hidden="false" customHeight="false" outlineLevel="0" collapsed="false">
      <c r="A23" s="0" t="s">
        <v>284</v>
      </c>
      <c r="B23" s="0" t="s">
        <v>246</v>
      </c>
      <c r="C23" s="0" t="n">
        <v>1703.9</v>
      </c>
      <c r="D23" s="0" t="n">
        <f aca="false">Inputs!$B$4</f>
        <v>0.15</v>
      </c>
      <c r="E23" s="0" t="n">
        <f aca="false">C23*D23</f>
        <v>255.585</v>
      </c>
      <c r="F23" s="0" t="n">
        <f aca="false">C23+E23</f>
        <v>1959.485</v>
      </c>
      <c r="G23" s="0" t="s">
        <v>264</v>
      </c>
      <c r="H23" s="0" t="n">
        <f aca="false">ROUNDUP(F23/10,0)</f>
        <v>196</v>
      </c>
      <c r="I23" s="0" t="s">
        <v>285</v>
      </c>
    </row>
    <row r="24" customFormat="false" ht="15" hidden="false" customHeight="false" outlineLevel="0" collapsed="false">
      <c r="A24" s="0" t="s">
        <v>286</v>
      </c>
      <c r="B24" s="0" t="s">
        <v>246</v>
      </c>
      <c r="C24" s="0" t="n">
        <v>284.35</v>
      </c>
      <c r="D24" s="0" t="n">
        <f aca="false">Inputs!$B$4</f>
        <v>0.15</v>
      </c>
      <c r="E24" s="0" t="n">
        <f aca="false">C24*D24</f>
        <v>42.6525</v>
      </c>
      <c r="F24" s="0" t="n">
        <f aca="false">C24+E24</f>
        <v>327.0025</v>
      </c>
      <c r="G24" s="0" t="s">
        <v>264</v>
      </c>
      <c r="H24" s="0" t="n">
        <f aca="false">ROUNDUP(F24/10,0)</f>
        <v>33</v>
      </c>
      <c r="I24" s="0" t="s">
        <v>287</v>
      </c>
    </row>
    <row r="25" customFormat="false" ht="15" hidden="false" customHeight="false" outlineLevel="0" collapsed="false">
      <c r="A25" s="0" t="s">
        <v>288</v>
      </c>
      <c r="B25" s="0" t="s">
        <v>246</v>
      </c>
      <c r="C25" s="0" t="n">
        <v>7.17</v>
      </c>
      <c r="D25" s="0" t="n">
        <f aca="false">Inputs!$B$4</f>
        <v>0.15</v>
      </c>
      <c r="E25" s="0" t="n">
        <f aca="false">C25*D25</f>
        <v>1.0755</v>
      </c>
      <c r="F25" s="0" t="n">
        <f aca="false">C25+E25</f>
        <v>8.2455</v>
      </c>
      <c r="G25" s="0" t="s">
        <v>246</v>
      </c>
      <c r="H25" s="0" t="n">
        <f aca="false">ROUNDUP(F25,0)</f>
        <v>9</v>
      </c>
      <c r="I25" s="0" t="s">
        <v>289</v>
      </c>
    </row>
    <row r="26" customFormat="false" ht="15" hidden="false" customHeight="false" outlineLevel="0" collapsed="false">
      <c r="A26" s="0" t="s">
        <v>290</v>
      </c>
      <c r="B26" s="0" t="s">
        <v>246</v>
      </c>
      <c r="C26" s="0" t="n">
        <v>2205.72</v>
      </c>
      <c r="D26" s="0" t="n">
        <f aca="false">Inputs!$B$4</f>
        <v>0.15</v>
      </c>
      <c r="E26" s="0" t="n">
        <f aca="false">C26*D26</f>
        <v>330.858</v>
      </c>
      <c r="F26" s="0" t="n">
        <f aca="false">C26+E26</f>
        <v>2536.578</v>
      </c>
      <c r="G26" s="0" t="s">
        <v>291</v>
      </c>
      <c r="H26" s="0" t="n">
        <f aca="false">ROUNDUP(F26/16,0)</f>
        <v>159</v>
      </c>
      <c r="I26" s="0" t="s">
        <v>292</v>
      </c>
    </row>
    <row r="27" customFormat="false" ht="15" hidden="false" customHeight="false" outlineLevel="0" collapsed="false">
      <c r="A27" s="0" t="s">
        <v>293</v>
      </c>
      <c r="B27" s="0" t="s">
        <v>246</v>
      </c>
      <c r="C27" s="0" t="n">
        <v>233.87</v>
      </c>
      <c r="D27" s="0" t="n">
        <f aca="false">Inputs!$B$4</f>
        <v>0.15</v>
      </c>
      <c r="E27" s="0" t="n">
        <f aca="false">C27*D27</f>
        <v>35.0805</v>
      </c>
      <c r="F27" s="0" t="n">
        <f aca="false">C27+E27</f>
        <v>268.9505</v>
      </c>
      <c r="G27" s="0" t="s">
        <v>291</v>
      </c>
      <c r="H27" s="0" t="n">
        <f aca="false">ROUNDUP(F27/16,0)</f>
        <v>17</v>
      </c>
      <c r="I27" s="0" t="s">
        <v>294</v>
      </c>
    </row>
    <row r="28" customFormat="false" ht="15" hidden="false" customHeight="false" outlineLevel="0" collapsed="false">
      <c r="A28" s="0" t="s">
        <v>295</v>
      </c>
      <c r="B28" s="0" t="s">
        <v>246</v>
      </c>
      <c r="C28" s="0" t="n">
        <v>701.81</v>
      </c>
      <c r="D28" s="0" t="n">
        <f aca="false">Inputs!$B$4</f>
        <v>0.15</v>
      </c>
      <c r="E28" s="0" t="n">
        <f aca="false">C28*D28</f>
        <v>105.2715</v>
      </c>
      <c r="F28" s="0" t="n">
        <f aca="false">C28+E28</f>
        <v>807.0815</v>
      </c>
      <c r="G28" s="0" t="s">
        <v>296</v>
      </c>
      <c r="H28" s="0" t="n">
        <f aca="false">ROUNDUP(F28/12,0)</f>
        <v>68</v>
      </c>
      <c r="I28" s="0" t="s">
        <v>297</v>
      </c>
    </row>
    <row r="29" customFormat="false" ht="15" hidden="false" customHeight="false" outlineLevel="0" collapsed="false">
      <c r="A29" s="0" t="s">
        <v>298</v>
      </c>
      <c r="B29" s="0" t="s">
        <v>246</v>
      </c>
      <c r="C29" s="0" t="n">
        <v>342.27</v>
      </c>
      <c r="D29" s="0" t="n">
        <f aca="false">Inputs!$B$4</f>
        <v>0.15</v>
      </c>
      <c r="E29" s="0" t="n">
        <f aca="false">C29*D29</f>
        <v>51.3405</v>
      </c>
      <c r="F29" s="0" t="n">
        <f aca="false">C29+E29</f>
        <v>393.6105</v>
      </c>
      <c r="G29" s="0" t="s">
        <v>246</v>
      </c>
      <c r="H29" s="0" t="n">
        <f aca="false">ROUNDUP(F29,0)</f>
        <v>394</v>
      </c>
      <c r="I29" s="0" t="s">
        <v>299</v>
      </c>
    </row>
    <row r="30" customFormat="false" ht="15" hidden="false" customHeight="false" outlineLevel="0" collapsed="false">
      <c r="A30" s="0" t="s">
        <v>300</v>
      </c>
      <c r="B30" s="0" t="s">
        <v>246</v>
      </c>
      <c r="C30" s="0" t="n">
        <v>18.02</v>
      </c>
      <c r="D30" s="0" t="n">
        <f aca="false">Inputs!$B$4</f>
        <v>0.15</v>
      </c>
      <c r="E30" s="0" t="n">
        <f aca="false">C30*D30</f>
        <v>2.703</v>
      </c>
      <c r="F30" s="0" t="n">
        <f aca="false">C30+E30</f>
        <v>20.723</v>
      </c>
      <c r="G30" s="0" t="s">
        <v>264</v>
      </c>
      <c r="H30" s="0" t="n">
        <f aca="false">ROUNDUP(F30/10,0)</f>
        <v>3</v>
      </c>
      <c r="I30" s="0" t="s">
        <v>301</v>
      </c>
    </row>
    <row r="31" customFormat="false" ht="15" hidden="false" customHeight="false" outlineLevel="0" collapsed="false">
      <c r="A31" s="0" t="s">
        <v>302</v>
      </c>
      <c r="B31" s="0" t="s">
        <v>246</v>
      </c>
      <c r="C31" s="0" t="n">
        <v>847.34</v>
      </c>
      <c r="D31" s="0" t="n">
        <f aca="false">Inputs!$B$4</f>
        <v>0.15</v>
      </c>
      <c r="E31" s="0" t="n">
        <f aca="false">C31*D31</f>
        <v>127.101</v>
      </c>
      <c r="F31" s="0" t="n">
        <f aca="false">C31+E31</f>
        <v>974.441</v>
      </c>
      <c r="G31" s="0" t="s">
        <v>246</v>
      </c>
      <c r="H31" s="0" t="n">
        <f aca="false">ROUNDUP(F31,0)</f>
        <v>975</v>
      </c>
      <c r="I31" s="0" t="s">
        <v>303</v>
      </c>
    </row>
    <row r="32" customFormat="false" ht="15" hidden="false" customHeight="false" outlineLevel="0" collapsed="false">
      <c r="A32" s="0" t="s">
        <v>304</v>
      </c>
      <c r="B32" s="0" t="s">
        <v>246</v>
      </c>
      <c r="C32" s="0" t="n">
        <v>603.56</v>
      </c>
      <c r="D32" s="0" t="n">
        <f aca="false">Inputs!$B$4</f>
        <v>0.15</v>
      </c>
      <c r="E32" s="0" t="n">
        <f aca="false">C32*D32</f>
        <v>90.534</v>
      </c>
      <c r="F32" s="0" t="n">
        <f aca="false">C32+E32</f>
        <v>694.094</v>
      </c>
      <c r="G32" s="0" t="s">
        <v>264</v>
      </c>
      <c r="H32" s="0" t="n">
        <f aca="false">ROUNDUP(F32/10,0)</f>
        <v>70</v>
      </c>
      <c r="I32" s="0" t="s">
        <v>305</v>
      </c>
    </row>
    <row r="33" customFormat="false" ht="15" hidden="false" customHeight="false" outlineLevel="0" collapsed="false">
      <c r="A33" s="0" t="s">
        <v>306</v>
      </c>
      <c r="B33" s="0" t="s">
        <v>307</v>
      </c>
      <c r="C33" s="0" t="n">
        <v>290</v>
      </c>
      <c r="D33" s="0" t="n">
        <f aca="false">Inputs!$B$4</f>
        <v>0.15</v>
      </c>
      <c r="E33" s="0" t="n">
        <f aca="false">C33*D33</f>
        <v>43.5</v>
      </c>
      <c r="F33" s="0" t="n">
        <f aca="false">C33+E33</f>
        <v>333.5</v>
      </c>
      <c r="G33" s="0" t="s">
        <v>307</v>
      </c>
      <c r="H33" s="0" t="n">
        <f aca="false">ROUNDUP(F33,0)</f>
        <v>334</v>
      </c>
      <c r="I33" s="0" t="s">
        <v>308</v>
      </c>
    </row>
    <row r="34" customFormat="false" ht="15" hidden="false" customHeight="false" outlineLevel="0" collapsed="false">
      <c r="A34" s="0" t="s">
        <v>309</v>
      </c>
      <c r="B34" s="0" t="s">
        <v>310</v>
      </c>
      <c r="C34" s="0" t="n">
        <v>922.49</v>
      </c>
      <c r="D34" s="0" t="n">
        <f aca="false">Inputs!$B$5</f>
        <v>0.06</v>
      </c>
      <c r="E34" s="0" t="n">
        <f aca="false">C34*D34</f>
        <v>55.3494</v>
      </c>
      <c r="F34" s="0" t="n">
        <f aca="false">C34+E34</f>
        <v>977.8394</v>
      </c>
      <c r="G34" s="0" t="s">
        <v>310</v>
      </c>
      <c r="H34" s="0" t="n">
        <f aca="false">ROUNDUP(F34/Inputs!$B$8,0)</f>
        <v>21</v>
      </c>
      <c r="I34" s="0" t="s">
        <v>311</v>
      </c>
    </row>
    <row r="35" customFormat="false" ht="15" hidden="false" customHeight="false" outlineLevel="0" collapsed="false">
      <c r="A35" s="0" t="s">
        <v>312</v>
      </c>
      <c r="B35" s="0" t="s">
        <v>310</v>
      </c>
      <c r="C35" s="0" t="n">
        <v>12753.19</v>
      </c>
      <c r="D35" s="0" t="n">
        <f aca="false">Inputs!$B$5</f>
        <v>0.06</v>
      </c>
      <c r="E35" s="0" t="n">
        <f aca="false">C35*D35</f>
        <v>765.1914</v>
      </c>
      <c r="F35" s="0" t="n">
        <f aca="false">C35+E35</f>
        <v>13518.3814</v>
      </c>
      <c r="G35" s="0" t="s">
        <v>310</v>
      </c>
      <c r="H35" s="0" t="n">
        <f aca="false">ROUNDUP(F35/Inputs!$B$8,0)</f>
        <v>282</v>
      </c>
      <c r="I35" s="0" t="s">
        <v>313</v>
      </c>
    </row>
    <row r="36" customFormat="false" ht="15" hidden="false" customHeight="false" outlineLevel="0" collapsed="false">
      <c r="A36" s="0" t="s">
        <v>314</v>
      </c>
      <c r="B36" s="0" t="s">
        <v>310</v>
      </c>
      <c r="C36" s="0" t="n">
        <v>261.74</v>
      </c>
      <c r="D36" s="0" t="n">
        <f aca="false">Inputs!$B$5</f>
        <v>0.06</v>
      </c>
      <c r="E36" s="0" t="n">
        <f aca="false">C36*D36</f>
        <v>15.7044</v>
      </c>
      <c r="F36" s="0" t="n">
        <f aca="false">C36+E36</f>
        <v>277.4444</v>
      </c>
      <c r="G36" s="0" t="s">
        <v>315</v>
      </c>
      <c r="H36" s="0" t="n">
        <f aca="false">ROUNDUP(F36/Inputs!$B$8,0)</f>
        <v>6</v>
      </c>
      <c r="I36" s="0" t="s">
        <v>316</v>
      </c>
    </row>
    <row r="37" customFormat="false" ht="15" hidden="false" customHeight="false" outlineLevel="0" collapsed="false">
      <c r="A37" s="0" t="s">
        <v>317</v>
      </c>
      <c r="B37" s="0" t="s">
        <v>310</v>
      </c>
      <c r="C37" s="0" t="n">
        <v>66.81</v>
      </c>
      <c r="D37" s="0" t="n">
        <f aca="false">Inputs!$B$5</f>
        <v>0.06</v>
      </c>
      <c r="E37" s="0" t="n">
        <f aca="false">C37*D37</f>
        <v>4.0086</v>
      </c>
      <c r="F37" s="0" t="n">
        <f aca="false">C37+E37</f>
        <v>70.8186</v>
      </c>
      <c r="G37" s="0" t="s">
        <v>315</v>
      </c>
      <c r="H37" s="0" t="n">
        <f aca="false">ROUNDUP(F37/Inputs!$B$8,0)</f>
        <v>2</v>
      </c>
      <c r="I37" s="0" t="s">
        <v>318</v>
      </c>
    </row>
    <row r="38" customFormat="false" ht="15" hidden="false" customHeight="false" outlineLevel="0" collapsed="false">
      <c r="A38" s="0" t="s">
        <v>319</v>
      </c>
      <c r="B38" s="0" t="s">
        <v>310</v>
      </c>
      <c r="C38" s="0" t="n">
        <v>86.7</v>
      </c>
      <c r="D38" s="0" t="n">
        <f aca="false">Inputs!$B$5</f>
        <v>0.06</v>
      </c>
      <c r="E38" s="0" t="n">
        <f aca="false">C38*D38</f>
        <v>5.202</v>
      </c>
      <c r="F38" s="0" t="n">
        <f aca="false">C38+E38</f>
        <v>91.902</v>
      </c>
      <c r="G38" s="0" t="s">
        <v>320</v>
      </c>
      <c r="H38" s="0" t="n">
        <f aca="false">ROUNDUP(F38/Inputs!$B$8,0)</f>
        <v>2</v>
      </c>
      <c r="I38" s="0" t="s">
        <v>318</v>
      </c>
    </row>
    <row r="39" customFormat="false" ht="15" hidden="false" customHeight="false" outlineLevel="0" collapsed="false">
      <c r="A39" s="0" t="s">
        <v>321</v>
      </c>
      <c r="B39" s="0" t="s">
        <v>310</v>
      </c>
      <c r="C39" s="0" t="n">
        <v>807.98</v>
      </c>
      <c r="D39" s="0" t="n">
        <f aca="false">Inputs!$B$5</f>
        <v>0.06</v>
      </c>
      <c r="E39" s="0" t="n">
        <f aca="false">C39*D39</f>
        <v>48.4788</v>
      </c>
      <c r="F39" s="0" t="n">
        <f aca="false">C39+E39</f>
        <v>856.4588</v>
      </c>
      <c r="G39" s="0" t="s">
        <v>322</v>
      </c>
      <c r="H39" s="0" t="n">
        <f aca="false">ROUNDUP(F39/Inputs!$B$8,0)</f>
        <v>18</v>
      </c>
      <c r="I39" s="0" t="s">
        <v>323</v>
      </c>
    </row>
    <row r="40" customFormat="false" ht="15" hidden="false" customHeight="false" outlineLevel="0" collapsed="false">
      <c r="A40" s="0" t="s">
        <v>324</v>
      </c>
      <c r="B40" s="0" t="s">
        <v>310</v>
      </c>
      <c r="C40" s="0" t="n">
        <v>482.1</v>
      </c>
      <c r="D40" s="0" t="n">
        <f aca="false">Inputs!$B$5</f>
        <v>0.06</v>
      </c>
      <c r="E40" s="0" t="n">
        <f aca="false">C40*D40</f>
        <v>28.926</v>
      </c>
      <c r="F40" s="0" t="n">
        <f aca="false">C40+E40</f>
        <v>511.026</v>
      </c>
      <c r="G40" s="0" t="s">
        <v>322</v>
      </c>
      <c r="H40" s="0" t="n">
        <f aca="false">ROUNDUP(F40/Inputs!$B$8,0)</f>
        <v>11</v>
      </c>
      <c r="I40" s="0" t="s">
        <v>325</v>
      </c>
    </row>
    <row r="41" customFormat="false" ht="15" hidden="false" customHeight="false" outlineLevel="0" collapsed="false">
      <c r="A41" s="0" t="s">
        <v>326</v>
      </c>
      <c r="B41" s="0" t="s">
        <v>310</v>
      </c>
      <c r="C41" s="0" t="n">
        <v>3963.18</v>
      </c>
      <c r="D41" s="0" t="n">
        <f aca="false">Inputs!$B$5</f>
        <v>0.06</v>
      </c>
      <c r="E41" s="0" t="n">
        <f aca="false">C41*D41</f>
        <v>237.7908</v>
      </c>
      <c r="F41" s="0" t="n">
        <f aca="false">C41+E41</f>
        <v>4200.9708</v>
      </c>
      <c r="G41" s="0" t="s">
        <v>320</v>
      </c>
      <c r="H41" s="0" t="n">
        <f aca="false">ROUNDUP(F41/Inputs!$B$8,0)</f>
        <v>88</v>
      </c>
      <c r="I41" s="0" t="s">
        <v>327</v>
      </c>
    </row>
    <row r="42" customFormat="false" ht="15" hidden="false" customHeight="false" outlineLevel="0" collapsed="false">
      <c r="A42" s="0" t="s">
        <v>328</v>
      </c>
      <c r="B42" s="0" t="s">
        <v>310</v>
      </c>
      <c r="C42" s="0" t="n">
        <v>2133.8</v>
      </c>
      <c r="D42" s="0" t="n">
        <f aca="false">Inputs!$B$5</f>
        <v>0.06</v>
      </c>
      <c r="E42" s="0" t="n">
        <f aca="false">C42*D42</f>
        <v>128.028</v>
      </c>
      <c r="F42" s="0" t="n">
        <f aca="false">C42+E42</f>
        <v>2261.828</v>
      </c>
      <c r="G42" s="0" t="s">
        <v>322</v>
      </c>
      <c r="H42" s="0" t="n">
        <f aca="false">ROUNDUP(F42/Inputs!$B$8,0)</f>
        <v>48</v>
      </c>
      <c r="I42" s="0" t="s">
        <v>329</v>
      </c>
    </row>
    <row r="43" customFormat="false" ht="15" hidden="false" customHeight="false" outlineLevel="0" collapsed="false">
      <c r="A43" s="0" t="s">
        <v>330</v>
      </c>
      <c r="B43" s="0" t="s">
        <v>310</v>
      </c>
      <c r="C43" s="0" t="n">
        <v>952.36</v>
      </c>
      <c r="D43" s="0" t="n">
        <f aca="false">Inputs!$B$5</f>
        <v>0.06</v>
      </c>
      <c r="E43" s="0" t="n">
        <f aca="false">C43*D43</f>
        <v>57.1416</v>
      </c>
      <c r="F43" s="0" t="n">
        <f aca="false">C43+E43</f>
        <v>1009.5016</v>
      </c>
      <c r="G43" s="0" t="s">
        <v>322</v>
      </c>
      <c r="H43" s="0" t="n">
        <f aca="false">ROUNDUP(F43/Inputs!$B$8,0)</f>
        <v>22</v>
      </c>
      <c r="I43" s="0" t="s">
        <v>331</v>
      </c>
    </row>
    <row r="44" customFormat="false" ht="15" hidden="false" customHeight="false" outlineLevel="0" collapsed="false">
      <c r="A44" s="0" t="s">
        <v>332</v>
      </c>
      <c r="B44" s="0" t="s">
        <v>310</v>
      </c>
      <c r="C44" s="0" t="n">
        <v>17947.65</v>
      </c>
      <c r="D44" s="0" t="n">
        <f aca="false">Inputs!$B$5</f>
        <v>0.06</v>
      </c>
      <c r="E44" s="0" t="n">
        <f aca="false">C44*D44</f>
        <v>1076.859</v>
      </c>
      <c r="F44" s="0" t="n">
        <f aca="false">C44+E44</f>
        <v>19024.509</v>
      </c>
      <c r="G44" s="0" t="s">
        <v>315</v>
      </c>
      <c r="H44" s="0" t="n">
        <f aca="false">ROUNDUP(F44/Inputs!$B$8,0)</f>
        <v>397</v>
      </c>
      <c r="I44" s="0" t="s">
        <v>333</v>
      </c>
    </row>
    <row r="45" customFormat="false" ht="15" hidden="false" customHeight="false" outlineLevel="0" collapsed="false">
      <c r="A45" s="0" t="s">
        <v>334</v>
      </c>
      <c r="B45" s="0" t="s">
        <v>310</v>
      </c>
      <c r="C45" s="0" t="n">
        <v>354.66</v>
      </c>
      <c r="D45" s="0" t="n">
        <f aca="false">Inputs!$B$5</f>
        <v>0.06</v>
      </c>
      <c r="E45" s="0" t="n">
        <f aca="false">C45*D45</f>
        <v>21.2796</v>
      </c>
      <c r="F45" s="0" t="n">
        <f aca="false">C45+E45</f>
        <v>375.9396</v>
      </c>
      <c r="G45" s="0" t="s">
        <v>320</v>
      </c>
      <c r="H45" s="0" t="n">
        <f aca="false">ROUNDUP(F45/Inputs!$B$8,0)</f>
        <v>8</v>
      </c>
      <c r="I45" s="0" t="s">
        <v>335</v>
      </c>
    </row>
    <row r="46" customFormat="false" ht="15" hidden="false" customHeight="false" outlineLevel="0" collapsed="false">
      <c r="A46" s="0" t="s">
        <v>336</v>
      </c>
      <c r="B46" s="0" t="s">
        <v>246</v>
      </c>
      <c r="C46" s="0" t="n">
        <v>178.7</v>
      </c>
      <c r="D46" s="0" t="n">
        <f aca="false">Inputs!$B$4</f>
        <v>0.15</v>
      </c>
      <c r="E46" s="0" t="n">
        <f aca="false">C46*D46</f>
        <v>26.805</v>
      </c>
      <c r="F46" s="0" t="n">
        <f aca="false">C46+E46</f>
        <v>205.505</v>
      </c>
      <c r="G46" s="0" t="s">
        <v>264</v>
      </c>
      <c r="H46" s="0" t="n">
        <f aca="false">ROUNDUP(F46/10,0)</f>
        <v>21</v>
      </c>
      <c r="I46" s="0" t="s">
        <v>337</v>
      </c>
    </row>
    <row r="47" customFormat="false" ht="15" hidden="false" customHeight="false" outlineLevel="0" collapsed="false">
      <c r="A47" s="0" t="s">
        <v>338</v>
      </c>
      <c r="B47" s="0" t="s">
        <v>246</v>
      </c>
      <c r="C47" s="0" t="n">
        <v>334.12</v>
      </c>
      <c r="D47" s="0" t="n">
        <f aca="false">Inputs!$B$4</f>
        <v>0.15</v>
      </c>
      <c r="E47" s="0" t="n">
        <f aca="false">C47*D47</f>
        <v>50.118</v>
      </c>
      <c r="F47" s="0" t="n">
        <f aca="false">C47+E47</f>
        <v>384.238</v>
      </c>
      <c r="G47" s="0" t="s">
        <v>246</v>
      </c>
      <c r="H47" s="0" t="n">
        <f aca="false">ROUNDUP(F47,0)</f>
        <v>385</v>
      </c>
      <c r="I47" s="0" t="s">
        <v>339</v>
      </c>
    </row>
    <row r="48" customFormat="false" ht="15" hidden="false" customHeight="false" outlineLevel="0" collapsed="false">
      <c r="A48" s="0" t="s">
        <v>340</v>
      </c>
      <c r="B48" s="0" t="s">
        <v>246</v>
      </c>
      <c r="C48" s="0" t="n">
        <v>699.41</v>
      </c>
      <c r="D48" s="0" t="n">
        <f aca="false">Inputs!$B$4</f>
        <v>0.15</v>
      </c>
      <c r="E48" s="0" t="n">
        <f aca="false">C48*D48</f>
        <v>104.9115</v>
      </c>
      <c r="F48" s="0" t="n">
        <f aca="false">C48+E48</f>
        <v>804.3215</v>
      </c>
      <c r="G48" s="0" t="s">
        <v>264</v>
      </c>
      <c r="H48" s="0" t="n">
        <f aca="false">ROUNDUP(F48/10,0)</f>
        <v>81</v>
      </c>
      <c r="I48" s="0" t="s">
        <v>341</v>
      </c>
    </row>
    <row r="49" customFormat="false" ht="15" hidden="false" customHeight="false" outlineLevel="0" collapsed="false">
      <c r="A49" s="0" t="s">
        <v>342</v>
      </c>
      <c r="B49" s="0" t="s">
        <v>246</v>
      </c>
      <c r="C49" s="0" t="n">
        <v>218.38</v>
      </c>
      <c r="D49" s="0" t="n">
        <f aca="false">Inputs!$B$4</f>
        <v>0.15</v>
      </c>
      <c r="E49" s="0" t="n">
        <f aca="false">C49*D49</f>
        <v>32.757</v>
      </c>
      <c r="F49" s="0" t="n">
        <f aca="false">C49+E49</f>
        <v>251.137</v>
      </c>
      <c r="G49" s="0" t="s">
        <v>264</v>
      </c>
      <c r="H49" s="0" t="n">
        <f aca="false">ROUNDUP(F49/10,0)</f>
        <v>26</v>
      </c>
      <c r="I49" s="0" t="s">
        <v>343</v>
      </c>
    </row>
    <row r="50" customFormat="false" ht="15" hidden="false" customHeight="false" outlineLevel="0" collapsed="false">
      <c r="A50" s="0" t="s">
        <v>344</v>
      </c>
      <c r="B50" s="0" t="s">
        <v>246</v>
      </c>
      <c r="C50" s="0" t="n">
        <v>167.03</v>
      </c>
      <c r="D50" s="0" t="n">
        <f aca="false">Inputs!$B$4</f>
        <v>0.15</v>
      </c>
      <c r="E50" s="0" t="n">
        <f aca="false">C50*D50</f>
        <v>25.0545</v>
      </c>
      <c r="F50" s="0" t="n">
        <f aca="false">C50+E50</f>
        <v>192.0845</v>
      </c>
      <c r="G50" s="0" t="s">
        <v>264</v>
      </c>
      <c r="H50" s="0" t="n">
        <f aca="false">ROUNDUP(F50/10,0)</f>
        <v>20</v>
      </c>
      <c r="I50" s="0" t="s">
        <v>345</v>
      </c>
    </row>
    <row r="51" customFormat="false" ht="15" hidden="false" customHeight="false" outlineLevel="0" collapsed="false">
      <c r="A51" s="0" t="s">
        <v>346</v>
      </c>
      <c r="B51" s="0" t="s">
        <v>246</v>
      </c>
      <c r="C51" s="0" t="n">
        <v>112</v>
      </c>
      <c r="D51" s="0" t="n">
        <f aca="false">Inputs!$B$4</f>
        <v>0.15</v>
      </c>
      <c r="E51" s="0" t="n">
        <f aca="false">C51*D51</f>
        <v>16.8</v>
      </c>
      <c r="F51" s="0" t="n">
        <f aca="false">C51+E51</f>
        <v>128.8</v>
      </c>
      <c r="G51" s="0" t="s">
        <v>264</v>
      </c>
      <c r="H51" s="0" t="n">
        <f aca="false">ROUNDUP(F51/10,0)</f>
        <v>13</v>
      </c>
      <c r="I51" s="0" t="s">
        <v>347</v>
      </c>
    </row>
    <row r="52" customFormat="false" ht="15" hidden="false" customHeight="false" outlineLevel="0" collapsed="false">
      <c r="A52" s="0" t="s">
        <v>348</v>
      </c>
      <c r="B52" s="0" t="s">
        <v>246</v>
      </c>
      <c r="C52" s="0" t="n">
        <v>997.82</v>
      </c>
      <c r="D52" s="0" t="n">
        <f aca="false">Inputs!$B$5</f>
        <v>0.06</v>
      </c>
      <c r="E52" s="0" t="n">
        <f aca="false">C52*D52</f>
        <v>59.8692</v>
      </c>
      <c r="F52" s="0" t="n">
        <f aca="false">C52+E52</f>
        <v>1057.6892</v>
      </c>
      <c r="G52" s="0" t="s">
        <v>349</v>
      </c>
      <c r="H52" s="0" t="n">
        <f aca="false">ROUNDUP(F52,0)</f>
        <v>1058</v>
      </c>
      <c r="I52" s="0" t="s">
        <v>350</v>
      </c>
    </row>
    <row r="53" customFormat="false" ht="15" hidden="false" customHeight="false" outlineLevel="0" collapsed="false">
      <c r="A53" s="0" t="s">
        <v>351</v>
      </c>
      <c r="B53" s="0" t="s">
        <v>307</v>
      </c>
      <c r="C53" s="0" t="n">
        <v>324</v>
      </c>
      <c r="D53" s="0" t="n">
        <f aca="false">Inputs!$B$4</f>
        <v>0.15</v>
      </c>
      <c r="E53" s="0" t="n">
        <f aca="false">C53*D53</f>
        <v>48.6</v>
      </c>
      <c r="F53" s="0" t="n">
        <f aca="false">C53+E53</f>
        <v>372.6</v>
      </c>
      <c r="G53" s="0" t="s">
        <v>307</v>
      </c>
      <c r="H53" s="0" t="n">
        <f aca="false">ROUNDUP(F53,0)</f>
        <v>373</v>
      </c>
      <c r="I53" s="0" t="s">
        <v>352</v>
      </c>
    </row>
    <row r="54" customFormat="false" ht="15" hidden="false" customHeight="false" outlineLevel="0" collapsed="false">
      <c r="A54" s="0" t="s">
        <v>353</v>
      </c>
      <c r="B54" s="0" t="s">
        <v>307</v>
      </c>
      <c r="C54" s="0" t="n">
        <v>508</v>
      </c>
      <c r="D54" s="0" t="n">
        <f aca="false">Inputs!$B$4</f>
        <v>0.15</v>
      </c>
      <c r="E54" s="0" t="n">
        <f aca="false">C54*D54</f>
        <v>76.2</v>
      </c>
      <c r="F54" s="0" t="n">
        <f aca="false">C54+E54</f>
        <v>584.2</v>
      </c>
      <c r="G54" s="0" t="s">
        <v>307</v>
      </c>
      <c r="H54" s="0" t="n">
        <f aca="false">ROUNDUP(F54,0)</f>
        <v>585</v>
      </c>
      <c r="I54" s="0" t="s">
        <v>352</v>
      </c>
    </row>
    <row r="55" customFormat="false" ht="15" hidden="false" customHeight="false" outlineLevel="0" collapsed="false">
      <c r="A55" s="0" t="s">
        <v>354</v>
      </c>
      <c r="B55" s="0" t="s">
        <v>307</v>
      </c>
      <c r="C55" s="0" t="n">
        <v>40</v>
      </c>
      <c r="D55" s="0" t="n">
        <f aca="false">Inputs!$B$4</f>
        <v>0.15</v>
      </c>
      <c r="E55" s="0" t="n">
        <f aca="false">C55*D55</f>
        <v>6</v>
      </c>
      <c r="F55" s="0" t="n">
        <f aca="false">C55+E55</f>
        <v>46</v>
      </c>
      <c r="G55" s="0" t="s">
        <v>307</v>
      </c>
      <c r="H55" s="0" t="n">
        <f aca="false">ROUNDUP(F55,0)</f>
        <v>46</v>
      </c>
      <c r="I55" s="0" t="s">
        <v>355</v>
      </c>
    </row>
    <row r="56" customFormat="false" ht="15" hidden="false" customHeight="false" outlineLevel="0" collapsed="false">
      <c r="A56" s="0" t="s">
        <v>356</v>
      </c>
      <c r="B56" s="0" t="s">
        <v>246</v>
      </c>
      <c r="C56" s="0" t="n">
        <v>119.97</v>
      </c>
      <c r="D56" s="0" t="n">
        <f aca="false">Inputs!$B$5</f>
        <v>0.06</v>
      </c>
      <c r="E56" s="0" t="n">
        <f aca="false">C56*D56</f>
        <v>7.1982</v>
      </c>
      <c r="F56" s="0" t="n">
        <f aca="false">C56+E56</f>
        <v>127.1682</v>
      </c>
      <c r="G56" s="0" t="s">
        <v>264</v>
      </c>
      <c r="H56" s="0" t="n">
        <f aca="false">ROUNDUP(F56/10,0)</f>
        <v>13</v>
      </c>
      <c r="I56" s="0" t="s">
        <v>357</v>
      </c>
    </row>
    <row r="57" customFormat="false" ht="15" hidden="false" customHeight="false" outlineLevel="0" collapsed="false">
      <c r="A57" s="0" t="s">
        <v>358</v>
      </c>
      <c r="B57" s="0" t="s">
        <v>310</v>
      </c>
      <c r="C57" s="0" t="n">
        <v>4718.61</v>
      </c>
      <c r="D57" s="0" t="n">
        <f aca="false">Inputs!$B$5</f>
        <v>0.06</v>
      </c>
      <c r="E57" s="0" t="n">
        <f aca="false">C57*D57</f>
        <v>283.1166</v>
      </c>
      <c r="F57" s="0" t="n">
        <f aca="false">C57+E57</f>
        <v>5001.7266</v>
      </c>
      <c r="G57" s="0" t="s">
        <v>310</v>
      </c>
      <c r="H57" s="0" t="n">
        <f aca="false">ROUNDUP(F57/Inputs!$B$8,0)</f>
        <v>105</v>
      </c>
      <c r="I57" s="0" t="s">
        <v>359</v>
      </c>
    </row>
    <row r="58" customFormat="false" ht="15" hidden="false" customHeight="false" outlineLevel="0" collapsed="false">
      <c r="A58" s="0" t="s">
        <v>360</v>
      </c>
      <c r="B58" s="0" t="s">
        <v>246</v>
      </c>
      <c r="C58" s="0" t="n">
        <v>210.64</v>
      </c>
      <c r="D58" s="0" t="n">
        <f aca="false">Inputs!$B$5</f>
        <v>0.06</v>
      </c>
      <c r="E58" s="0" t="n">
        <f aca="false">C58*D58</f>
        <v>12.6384</v>
      </c>
      <c r="F58" s="0" t="n">
        <f aca="false">C58+E58</f>
        <v>223.2784</v>
      </c>
      <c r="G58" s="0" t="s">
        <v>349</v>
      </c>
      <c r="H58" s="0" t="n">
        <f aca="false">ROUNDUP(F58,0)</f>
        <v>224</v>
      </c>
      <c r="I58" s="0" t="s">
        <v>361</v>
      </c>
    </row>
    <row r="59" customFormat="false" ht="15" hidden="false" customHeight="false" outlineLevel="0" collapsed="false">
      <c r="A59" s="0" t="s">
        <v>362</v>
      </c>
      <c r="B59" s="0" t="s">
        <v>310</v>
      </c>
      <c r="C59" s="0" t="n">
        <v>5637.69</v>
      </c>
      <c r="D59" s="0" t="n">
        <f aca="false">Inputs!$B$5</f>
        <v>0.06</v>
      </c>
      <c r="E59" s="0" t="n">
        <f aca="false">C59*D59</f>
        <v>338.2614</v>
      </c>
      <c r="F59" s="0" t="n">
        <f aca="false">C59+E59</f>
        <v>5975.9514</v>
      </c>
      <c r="G59" s="0" t="s">
        <v>310</v>
      </c>
      <c r="H59" s="0" t="n">
        <f aca="false">ROUNDUP(F59/Inputs!$B$8,0)</f>
        <v>125</v>
      </c>
      <c r="I59" s="0" t="s">
        <v>363</v>
      </c>
    </row>
    <row r="60" customFormat="false" ht="15" hidden="false" customHeight="false" outlineLevel="0" collapsed="false">
      <c r="A60" s="0" t="s">
        <v>364</v>
      </c>
      <c r="B60" s="0" t="s">
        <v>246</v>
      </c>
      <c r="C60" s="0" t="n">
        <v>422.38</v>
      </c>
      <c r="D60" s="0" t="n">
        <f aca="false">Inputs!$B$5</f>
        <v>0.06</v>
      </c>
      <c r="E60" s="0" t="n">
        <f aca="false">C60*D60</f>
        <v>25.3428</v>
      </c>
      <c r="F60" s="0" t="n">
        <f aca="false">C60+E60</f>
        <v>447.7228</v>
      </c>
      <c r="G60" s="0" t="s">
        <v>246</v>
      </c>
      <c r="H60" s="0" t="n">
        <f aca="false">ROUNDUP(F60,0)</f>
        <v>448</v>
      </c>
      <c r="I60" s="0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366</v>
      </c>
      <c r="B1" s="4" t="s">
        <v>367</v>
      </c>
      <c r="C1" s="4" t="s">
        <v>368</v>
      </c>
    </row>
    <row r="2" customFormat="false" ht="15" hidden="false" customHeight="false" outlineLevel="0" collapsed="false">
      <c r="A2" s="0" t="s">
        <v>369</v>
      </c>
      <c r="B2" s="0" t="s">
        <v>370</v>
      </c>
      <c r="C2" s="0" t="s">
        <v>371</v>
      </c>
    </row>
    <row r="3" customFormat="false" ht="15" hidden="false" customHeight="false" outlineLevel="0" collapsed="false">
      <c r="A3" s="0" t="s">
        <v>372</v>
      </c>
      <c r="B3" s="0" t="s">
        <v>373</v>
      </c>
      <c r="C3" s="0" t="s">
        <v>374</v>
      </c>
    </row>
    <row r="4" customFormat="false" ht="15" hidden="false" customHeight="false" outlineLevel="0" collapsed="false">
      <c r="A4" s="0" t="s">
        <v>375</v>
      </c>
      <c r="B4" s="0" t="s">
        <v>376</v>
      </c>
      <c r="C4" s="0" t="s">
        <v>377</v>
      </c>
    </row>
    <row r="5" customFormat="false" ht="15" hidden="false" customHeight="false" outlineLevel="0" collapsed="false">
      <c r="A5" s="0" t="s">
        <v>378</v>
      </c>
      <c r="B5" s="0" t="s">
        <v>379</v>
      </c>
      <c r="C5" s="0" t="s">
        <v>380</v>
      </c>
    </row>
    <row r="6" customFormat="false" ht="15" hidden="false" customHeight="false" outlineLevel="0" collapsed="false">
      <c r="A6" s="0" t="s">
        <v>381</v>
      </c>
      <c r="B6" s="0" t="s">
        <v>382</v>
      </c>
      <c r="C6" s="0" t="s">
        <v>383</v>
      </c>
    </row>
    <row r="7" customFormat="false" ht="15" hidden="false" customHeight="false" outlineLevel="0" collapsed="false">
      <c r="A7" s="0" t="s">
        <v>384</v>
      </c>
      <c r="B7" s="0" t="s">
        <v>385</v>
      </c>
      <c r="C7" s="0" t="s">
        <v>386</v>
      </c>
    </row>
    <row r="8" customFormat="false" ht="15" hidden="false" customHeight="false" outlineLevel="0" collapsed="false">
      <c r="A8" s="0" t="s">
        <v>387</v>
      </c>
      <c r="B8" s="0" t="s">
        <v>388</v>
      </c>
      <c r="C8" s="0" t="s">
        <v>389</v>
      </c>
    </row>
    <row r="9" customFormat="false" ht="15" hidden="false" customHeight="false" outlineLevel="0" collapsed="false">
      <c r="A9" s="0" t="s">
        <v>390</v>
      </c>
      <c r="B9" s="0" t="s">
        <v>391</v>
      </c>
      <c r="C9" s="0" t="s">
        <v>392</v>
      </c>
    </row>
    <row r="10" customFormat="false" ht="15" hidden="false" customHeight="false" outlineLevel="0" collapsed="false">
      <c r="A10" s="0" t="s">
        <v>393</v>
      </c>
      <c r="B10" s="0" t="s">
        <v>394</v>
      </c>
      <c r="C10" s="0" t="s">
        <v>395</v>
      </c>
    </row>
    <row r="11" customFormat="false" ht="15" hidden="false" customHeight="false" outlineLevel="0" collapsed="false">
      <c r="A11" s="0" t="s">
        <v>396</v>
      </c>
      <c r="B11" s="0" t="s">
        <v>397</v>
      </c>
      <c r="C11" s="0" t="s">
        <v>398</v>
      </c>
    </row>
    <row r="12" customFormat="false" ht="15" hidden="false" customHeight="false" outlineLevel="0" collapsed="false">
      <c r="A12" s="0" t="s">
        <v>399</v>
      </c>
      <c r="B12" s="0" t="s">
        <v>400</v>
      </c>
      <c r="C12" s="0" t="s">
        <v>401</v>
      </c>
    </row>
    <row r="13" customFormat="false" ht="15" hidden="false" customHeight="false" outlineLevel="0" collapsed="false">
      <c r="A13" s="0" t="s">
        <v>402</v>
      </c>
      <c r="B13" s="0" t="s">
        <v>403</v>
      </c>
      <c r="C13" s="0" t="s">
        <v>404</v>
      </c>
    </row>
    <row r="14" customFormat="false" ht="15" hidden="false" customHeight="false" outlineLevel="0" collapsed="false">
      <c r="A14" s="0" t="s">
        <v>405</v>
      </c>
      <c r="B14" s="0" t="s">
        <v>406</v>
      </c>
      <c r="C14" s="0" t="s">
        <v>407</v>
      </c>
    </row>
    <row r="15" customFormat="false" ht="15" hidden="false" customHeight="false" outlineLevel="0" collapsed="false">
      <c r="A15" s="0" t="s">
        <v>408</v>
      </c>
      <c r="B15" s="0" t="s">
        <v>409</v>
      </c>
      <c r="C15" s="0" t="s">
        <v>410</v>
      </c>
    </row>
    <row r="16" customFormat="false" ht="15" hidden="false" customHeight="false" outlineLevel="0" collapsed="false">
      <c r="A16" s="0" t="s">
        <v>411</v>
      </c>
      <c r="B16" s="0" t="s">
        <v>412</v>
      </c>
      <c r="C16" s="0" t="s">
        <v>413</v>
      </c>
    </row>
    <row r="17" customFormat="false" ht="15" hidden="false" customHeight="false" outlineLevel="0" collapsed="false">
      <c r="A17" s="0" t="s">
        <v>414</v>
      </c>
      <c r="B17" s="0" t="s">
        <v>415</v>
      </c>
      <c r="C17" s="0" t="s">
        <v>416</v>
      </c>
    </row>
    <row r="18" customFormat="false" ht="15" hidden="false" customHeight="false" outlineLevel="0" collapsed="false">
      <c r="A18" s="0" t="s">
        <v>417</v>
      </c>
      <c r="B18" s="0" t="s">
        <v>418</v>
      </c>
      <c r="C18" s="0" t="s">
        <v>419</v>
      </c>
    </row>
    <row r="19" customFormat="false" ht="15" hidden="false" customHeight="false" outlineLevel="0" collapsed="false">
      <c r="A19" s="0" t="s">
        <v>420</v>
      </c>
      <c r="B19" s="0" t="s">
        <v>421</v>
      </c>
      <c r="C19" s="0" t="s">
        <v>422</v>
      </c>
    </row>
    <row r="20" customFormat="false" ht="15" hidden="false" customHeight="false" outlineLevel="0" collapsed="false">
      <c r="A20" s="0" t="s">
        <v>423</v>
      </c>
      <c r="B20" s="0" t="s">
        <v>424</v>
      </c>
      <c r="C20" s="0" t="s">
        <v>425</v>
      </c>
    </row>
    <row r="21" customFormat="false" ht="15" hidden="false" customHeight="false" outlineLevel="0" collapsed="false">
      <c r="A21" s="0" t="s">
        <v>426</v>
      </c>
      <c r="B21" s="0" t="s">
        <v>427</v>
      </c>
      <c r="C21" s="0" t="s">
        <v>428</v>
      </c>
    </row>
    <row r="22" customFormat="false" ht="15" hidden="false" customHeight="false" outlineLevel="0" collapsed="false">
      <c r="A22" s="0" t="s">
        <v>429</v>
      </c>
      <c r="B22" s="0" t="s">
        <v>430</v>
      </c>
      <c r="C22" s="0" t="s">
        <v>431</v>
      </c>
    </row>
    <row r="23" customFormat="false" ht="15" hidden="false" customHeight="false" outlineLevel="0" collapsed="false">
      <c r="A23" s="0" t="s">
        <v>432</v>
      </c>
      <c r="B23" s="0" t="s">
        <v>433</v>
      </c>
      <c r="C23" s="0" t="s">
        <v>434</v>
      </c>
    </row>
    <row r="24" customFormat="false" ht="15" hidden="false" customHeight="false" outlineLevel="0" collapsed="false">
      <c r="A24" s="0" t="s">
        <v>435</v>
      </c>
      <c r="B24" s="0" t="s">
        <v>436</v>
      </c>
      <c r="C24" s="0" t="s">
        <v>437</v>
      </c>
    </row>
    <row r="25" customFormat="false" ht="15" hidden="false" customHeight="false" outlineLevel="0" collapsed="false">
      <c r="A25" s="0" t="s">
        <v>438</v>
      </c>
      <c r="B25" s="0" t="s">
        <v>439</v>
      </c>
      <c r="C25" s="0" t="s">
        <v>440</v>
      </c>
    </row>
    <row r="26" customFormat="false" ht="15" hidden="false" customHeight="false" outlineLevel="0" collapsed="false">
      <c r="A26" s="0" t="s">
        <v>441</v>
      </c>
      <c r="B26" s="0" t="s">
        <v>442</v>
      </c>
      <c r="C26" s="0" t="s">
        <v>443</v>
      </c>
    </row>
    <row r="27" customFormat="false" ht="15" hidden="false" customHeight="false" outlineLevel="0" collapsed="false">
      <c r="A27" s="0" t="s">
        <v>444</v>
      </c>
      <c r="B27" s="0" t="s">
        <v>445</v>
      </c>
      <c r="C27" s="0" t="s">
        <v>446</v>
      </c>
    </row>
    <row r="28" customFormat="false" ht="15" hidden="false" customHeight="false" outlineLevel="0" collapsed="false">
      <c r="A28" s="0" t="s">
        <v>447</v>
      </c>
      <c r="B28" s="0" t="s">
        <v>448</v>
      </c>
      <c r="C28" s="0" t="s">
        <v>449</v>
      </c>
    </row>
    <row r="29" customFormat="false" ht="15" hidden="false" customHeight="false" outlineLevel="0" collapsed="false">
      <c r="A29" s="0" t="s">
        <v>450</v>
      </c>
      <c r="B29" s="0" t="s">
        <v>451</v>
      </c>
      <c r="C29" s="0" t="s">
        <v>452</v>
      </c>
    </row>
    <row r="30" customFormat="false" ht="15" hidden="false" customHeight="false" outlineLevel="0" collapsed="false">
      <c r="A30" s="0" t="s">
        <v>453</v>
      </c>
      <c r="B30" s="0" t="s">
        <v>454</v>
      </c>
      <c r="C30" s="0" t="s">
        <v>455</v>
      </c>
    </row>
    <row r="31" customFormat="false" ht="15" hidden="false" customHeight="false" outlineLevel="0" collapsed="false">
      <c r="A31" s="0" t="s">
        <v>456</v>
      </c>
      <c r="B31" s="0" t="s">
        <v>457</v>
      </c>
      <c r="C31" s="0" t="s">
        <v>458</v>
      </c>
    </row>
    <row r="32" customFormat="false" ht="15" hidden="false" customHeight="false" outlineLevel="0" collapsed="false">
      <c r="A32" s="0" t="s">
        <v>459</v>
      </c>
      <c r="B32" s="0" t="s">
        <v>460</v>
      </c>
      <c r="C32" s="0" t="s">
        <v>461</v>
      </c>
    </row>
    <row r="33" customFormat="false" ht="15" hidden="false" customHeight="false" outlineLevel="0" collapsed="false">
      <c r="A33" s="0" t="s">
        <v>462</v>
      </c>
      <c r="B33" s="0" t="s">
        <v>463</v>
      </c>
      <c r="C33" s="0" t="s">
        <v>464</v>
      </c>
    </row>
    <row r="34" customFormat="false" ht="15" hidden="false" customHeight="false" outlineLevel="0" collapsed="false">
      <c r="A34" s="0" t="s">
        <v>465</v>
      </c>
      <c r="B34" s="0" t="s">
        <v>466</v>
      </c>
      <c r="C34" s="0" t="s">
        <v>467</v>
      </c>
    </row>
    <row r="35" customFormat="false" ht="15" hidden="false" customHeight="false" outlineLevel="0" collapsed="false">
      <c r="A35" s="0" t="s">
        <v>468</v>
      </c>
      <c r="B35" s="0" t="s">
        <v>469</v>
      </c>
      <c r="C35" s="0" t="s">
        <v>470</v>
      </c>
    </row>
    <row r="36" customFormat="false" ht="15" hidden="false" customHeight="false" outlineLevel="0" collapsed="false">
      <c r="A36" s="0" t="s">
        <v>471</v>
      </c>
      <c r="B36" s="0" t="s">
        <v>472</v>
      </c>
      <c r="C36" s="0" t="s">
        <v>473</v>
      </c>
    </row>
    <row r="37" customFormat="false" ht="15" hidden="false" customHeight="false" outlineLevel="0" collapsed="false">
      <c r="A37" s="0" t="s">
        <v>474</v>
      </c>
      <c r="B37" s="0" t="s">
        <v>475</v>
      </c>
      <c r="C37" s="0" t="s">
        <v>476</v>
      </c>
    </row>
    <row r="38" customFormat="false" ht="15" hidden="false" customHeight="false" outlineLevel="0" collapsed="false">
      <c r="A38" s="0" t="s">
        <v>477</v>
      </c>
      <c r="B38" s="0" t="s">
        <v>478</v>
      </c>
      <c r="C38" s="0" t="s">
        <v>479</v>
      </c>
    </row>
    <row r="39" customFormat="false" ht="15" hidden="false" customHeight="false" outlineLevel="0" collapsed="false">
      <c r="A39" s="0" t="s">
        <v>480</v>
      </c>
      <c r="B39" s="0" t="s">
        <v>481</v>
      </c>
      <c r="C39" s="0" t="s">
        <v>482</v>
      </c>
    </row>
    <row r="40" customFormat="false" ht="15" hidden="false" customHeight="false" outlineLevel="0" collapsed="false">
      <c r="A40" s="0" t="s">
        <v>483</v>
      </c>
      <c r="B40" s="0" t="s">
        <v>484</v>
      </c>
      <c r="C40" s="0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41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486</v>
      </c>
      <c r="B1" s="0" t="s">
        <v>487</v>
      </c>
      <c r="C1" s="0" t="s">
        <v>488</v>
      </c>
      <c r="D1" s="0" t="s">
        <v>489</v>
      </c>
    </row>
    <row r="2" customFormat="false" ht="15" hidden="false" customHeight="false" outlineLevel="0" collapsed="false">
      <c r="A2" s="0" t="n">
        <v>1</v>
      </c>
      <c r="B2" s="0" t="s">
        <v>490</v>
      </c>
      <c r="C2" s="0" t="s">
        <v>491</v>
      </c>
      <c r="D2" s="0" t="s">
        <v>492</v>
      </c>
    </row>
    <row r="3" customFormat="false" ht="15" hidden="false" customHeight="false" outlineLevel="0" collapsed="false">
      <c r="A3" s="0" t="n">
        <v>2</v>
      </c>
      <c r="B3" s="0" t="s">
        <v>493</v>
      </c>
      <c r="C3" s="0" t="s">
        <v>494</v>
      </c>
      <c r="D3" s="0" t="s">
        <v>495</v>
      </c>
    </row>
    <row r="4" customFormat="false" ht="15" hidden="false" customHeight="false" outlineLevel="0" collapsed="false">
      <c r="A4" s="0" t="n">
        <v>3</v>
      </c>
      <c r="B4" s="0" t="s">
        <v>496</v>
      </c>
      <c r="C4" s="0" t="s">
        <v>497</v>
      </c>
      <c r="D4" s="0" t="s">
        <v>498</v>
      </c>
    </row>
    <row r="5" customFormat="false" ht="15" hidden="false" customHeight="false" outlineLevel="0" collapsed="false">
      <c r="A5" s="0" t="n">
        <v>4</v>
      </c>
      <c r="B5" s="0" t="s">
        <v>499</v>
      </c>
      <c r="C5" s="0" t="s">
        <v>500</v>
      </c>
      <c r="D5" s="0" t="s">
        <v>501</v>
      </c>
    </row>
    <row r="6" customFormat="false" ht="15" hidden="false" customHeight="false" outlineLevel="0" collapsed="false">
      <c r="A6" s="0" t="n">
        <v>5</v>
      </c>
      <c r="B6" s="0" t="s">
        <v>502</v>
      </c>
      <c r="C6" s="0" t="s">
        <v>503</v>
      </c>
      <c r="D6" s="0" t="s">
        <v>504</v>
      </c>
    </row>
    <row r="7" customFormat="false" ht="15" hidden="false" customHeight="false" outlineLevel="0" collapsed="false">
      <c r="A7" s="0" t="n">
        <v>6</v>
      </c>
      <c r="B7" s="0" t="s">
        <v>505</v>
      </c>
      <c r="C7" s="0" t="s">
        <v>506</v>
      </c>
      <c r="D7" s="0" t="s">
        <v>507</v>
      </c>
    </row>
    <row r="8" customFormat="false" ht="15" hidden="false" customHeight="false" outlineLevel="0" collapsed="false">
      <c r="A8" s="0" t="n">
        <v>7</v>
      </c>
      <c r="B8" s="0" t="s">
        <v>508</v>
      </c>
      <c r="C8" s="0" t="s">
        <v>509</v>
      </c>
      <c r="D8" s="0" t="s">
        <v>510</v>
      </c>
    </row>
    <row r="9" customFormat="false" ht="15" hidden="false" customHeight="false" outlineLevel="0" collapsed="false">
      <c r="A9" s="0" t="n">
        <v>8</v>
      </c>
      <c r="B9" s="0" t="s">
        <v>511</v>
      </c>
      <c r="C9" s="0" t="s">
        <v>512</v>
      </c>
      <c r="D9" s="0" t="s">
        <v>513</v>
      </c>
    </row>
    <row r="10" customFormat="false" ht="15" hidden="false" customHeight="false" outlineLevel="0" collapsed="false">
      <c r="A10" s="0" t="n">
        <v>9</v>
      </c>
      <c r="B10" s="0" t="s">
        <v>514</v>
      </c>
      <c r="C10" s="0" t="s">
        <v>515</v>
      </c>
      <c r="D10" s="0" t="s">
        <v>516</v>
      </c>
    </row>
    <row r="11" customFormat="false" ht="15" hidden="false" customHeight="false" outlineLevel="0" collapsed="false">
      <c r="A11" s="0" t="n">
        <v>10</v>
      </c>
      <c r="B11" s="0" t="s">
        <v>517</v>
      </c>
      <c r="C11" s="0" t="s">
        <v>518</v>
      </c>
      <c r="D11" s="0" t="s">
        <v>519</v>
      </c>
    </row>
    <row r="12" customFormat="false" ht="15" hidden="false" customHeight="false" outlineLevel="0" collapsed="false">
      <c r="A12" s="0" t="n">
        <v>11</v>
      </c>
      <c r="B12" s="0" t="s">
        <v>520</v>
      </c>
      <c r="C12" s="0" t="s">
        <v>521</v>
      </c>
      <c r="D12" s="0" t="s">
        <v>522</v>
      </c>
    </row>
    <row r="13" customFormat="false" ht="15" hidden="false" customHeight="false" outlineLevel="0" collapsed="false">
      <c r="A13" s="0" t="n">
        <v>12</v>
      </c>
      <c r="B13" s="0" t="s">
        <v>523</v>
      </c>
      <c r="C13" s="0" t="s">
        <v>524</v>
      </c>
      <c r="D13" s="0" t="s">
        <v>525</v>
      </c>
    </row>
    <row r="14" customFormat="false" ht="15" hidden="false" customHeight="false" outlineLevel="0" collapsed="false">
      <c r="A14" s="0" t="n">
        <v>13</v>
      </c>
      <c r="B14" s="0" t="s">
        <v>526</v>
      </c>
      <c r="C14" s="0" t="s">
        <v>527</v>
      </c>
      <c r="D14" s="0" t="s">
        <v>528</v>
      </c>
    </row>
    <row r="15" customFormat="false" ht="15" hidden="false" customHeight="false" outlineLevel="0" collapsed="false">
      <c r="A15" s="0" t="n">
        <v>14</v>
      </c>
      <c r="B15" s="0" t="s">
        <v>529</v>
      </c>
      <c r="C15" s="0" t="s">
        <v>530</v>
      </c>
      <c r="D15" s="0" t="s">
        <v>531</v>
      </c>
    </row>
    <row r="16" customFormat="false" ht="15" hidden="false" customHeight="false" outlineLevel="0" collapsed="false">
      <c r="A16" s="0" t="n">
        <v>15</v>
      </c>
      <c r="B16" s="0" t="s">
        <v>532</v>
      </c>
      <c r="C16" s="0" t="s">
        <v>533</v>
      </c>
      <c r="D16" s="0" t="s">
        <v>534</v>
      </c>
    </row>
    <row r="17" customFormat="false" ht="15" hidden="false" customHeight="false" outlineLevel="0" collapsed="false">
      <c r="A17" s="0" t="n">
        <v>16</v>
      </c>
      <c r="B17" s="0" t="s">
        <v>535</v>
      </c>
      <c r="C17" s="0" t="s">
        <v>536</v>
      </c>
      <c r="D17" s="0" t="s">
        <v>537</v>
      </c>
    </row>
    <row r="18" customFormat="false" ht="15" hidden="false" customHeight="false" outlineLevel="0" collapsed="false">
      <c r="A18" s="0" t="n">
        <v>17</v>
      </c>
      <c r="B18" s="0" t="s">
        <v>538</v>
      </c>
      <c r="C18" s="0" t="s">
        <v>539</v>
      </c>
      <c r="D18" s="0" t="s">
        <v>540</v>
      </c>
    </row>
    <row r="19" customFormat="false" ht="15" hidden="false" customHeight="false" outlineLevel="0" collapsed="false">
      <c r="A19" s="0" t="n">
        <v>18</v>
      </c>
      <c r="B19" s="0" t="s">
        <v>541</v>
      </c>
      <c r="C19" s="0" t="s">
        <v>542</v>
      </c>
      <c r="D19" s="0" t="s">
        <v>543</v>
      </c>
    </row>
    <row r="20" customFormat="false" ht="15" hidden="false" customHeight="false" outlineLevel="0" collapsed="false">
      <c r="A20" s="0" t="n">
        <v>19</v>
      </c>
      <c r="B20" s="0" t="s">
        <v>544</v>
      </c>
      <c r="C20" s="0" t="s">
        <v>545</v>
      </c>
      <c r="D20" s="0" t="s">
        <v>546</v>
      </c>
    </row>
    <row r="21" customFormat="false" ht="15" hidden="false" customHeight="false" outlineLevel="0" collapsed="false">
      <c r="A21" s="0" t="n">
        <v>20</v>
      </c>
      <c r="B21" s="0" t="s">
        <v>547</v>
      </c>
      <c r="C21" s="0" t="s">
        <v>548</v>
      </c>
      <c r="D21" s="0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7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550</v>
      </c>
      <c r="B1" s="0" t="s">
        <v>551</v>
      </c>
      <c r="C1" s="0" t="s">
        <v>552</v>
      </c>
      <c r="D1" s="0" t="s">
        <v>553</v>
      </c>
    </row>
    <row r="2" customFormat="false" ht="15" hidden="false" customHeight="false" outlineLevel="0" collapsed="false">
      <c r="A2" s="0" t="s">
        <v>554</v>
      </c>
      <c r="B2" s="0" t="s">
        <v>555</v>
      </c>
      <c r="C2" s="0" t="s">
        <v>556</v>
      </c>
      <c r="D2" s="0" t="s">
        <v>557</v>
      </c>
    </row>
    <row r="3" customFormat="false" ht="15" hidden="false" customHeight="false" outlineLevel="0" collapsed="false">
      <c r="A3" s="0" t="s">
        <v>558</v>
      </c>
      <c r="B3" s="0" t="s">
        <v>559</v>
      </c>
      <c r="C3" s="0" t="s">
        <v>556</v>
      </c>
      <c r="D3" s="0" t="s">
        <v>560</v>
      </c>
    </row>
    <row r="4" customFormat="false" ht="15" hidden="false" customHeight="false" outlineLevel="0" collapsed="false">
      <c r="A4" s="0" t="s">
        <v>561</v>
      </c>
      <c r="B4" s="0" t="s">
        <v>562</v>
      </c>
      <c r="C4" s="0" t="s">
        <v>556</v>
      </c>
      <c r="D4" s="0" t="s">
        <v>563</v>
      </c>
    </row>
    <row r="5" customFormat="false" ht="15" hidden="false" customHeight="false" outlineLevel="0" collapsed="false">
      <c r="A5" s="0" t="s">
        <v>564</v>
      </c>
      <c r="B5" s="0" t="s">
        <v>565</v>
      </c>
      <c r="C5" s="0" t="s">
        <v>556</v>
      </c>
      <c r="D5" s="0" t="s">
        <v>566</v>
      </c>
    </row>
    <row r="6" customFormat="false" ht="15" hidden="false" customHeight="false" outlineLevel="0" collapsed="false">
      <c r="A6" s="0" t="s">
        <v>567</v>
      </c>
      <c r="B6" s="0" t="s">
        <v>568</v>
      </c>
      <c r="C6" s="0" t="s">
        <v>556</v>
      </c>
      <c r="D6" s="0" t="s">
        <v>569</v>
      </c>
    </row>
    <row r="7" customFormat="false" ht="15" hidden="false" customHeight="false" outlineLevel="0" collapsed="false">
      <c r="A7" s="0" t="s">
        <v>570</v>
      </c>
      <c r="B7" s="0" t="s">
        <v>571</v>
      </c>
      <c r="C7" s="0" t="s">
        <v>556</v>
      </c>
      <c r="D7" s="0" t="s">
        <v>572</v>
      </c>
    </row>
    <row r="8" customFormat="false" ht="15" hidden="false" customHeight="false" outlineLevel="0" collapsed="false">
      <c r="A8" s="0" t="s">
        <v>573</v>
      </c>
      <c r="B8" s="0" t="s">
        <v>574</v>
      </c>
      <c r="C8" s="0" t="s">
        <v>556</v>
      </c>
      <c r="D8" s="0" t="s">
        <v>575</v>
      </c>
    </row>
    <row r="9" customFormat="false" ht="15" hidden="false" customHeight="false" outlineLevel="0" collapsed="false">
      <c r="A9" s="0" t="s">
        <v>576</v>
      </c>
      <c r="B9" s="0" t="s">
        <v>577</v>
      </c>
      <c r="C9" s="0" t="s">
        <v>556</v>
      </c>
      <c r="D9" s="0" t="s">
        <v>578</v>
      </c>
    </row>
    <row r="10" customFormat="false" ht="15" hidden="false" customHeight="false" outlineLevel="0" collapsed="false">
      <c r="A10" s="0" t="s">
        <v>579</v>
      </c>
      <c r="B10" s="0" t="s">
        <v>580</v>
      </c>
      <c r="C10" s="0" t="s">
        <v>556</v>
      </c>
      <c r="D10" s="0" t="s">
        <v>581</v>
      </c>
    </row>
    <row r="11" customFormat="false" ht="15" hidden="false" customHeight="false" outlineLevel="0" collapsed="false">
      <c r="A11" s="0" t="s">
        <v>582</v>
      </c>
      <c r="B11" s="0" t="s">
        <v>583</v>
      </c>
      <c r="C11" s="0" t="s">
        <v>556</v>
      </c>
      <c r="D11" s="0" t="s">
        <v>584</v>
      </c>
    </row>
    <row r="12" customFormat="false" ht="15" hidden="false" customHeight="false" outlineLevel="0" collapsed="false">
      <c r="A12" s="0" t="s">
        <v>585</v>
      </c>
      <c r="B12" s="0" t="s">
        <v>586</v>
      </c>
      <c r="C12" s="0" t="s">
        <v>556</v>
      </c>
      <c r="D12" s="0" t="s">
        <v>587</v>
      </c>
    </row>
    <row r="13" customFormat="false" ht="15" hidden="false" customHeight="false" outlineLevel="0" collapsed="false">
      <c r="A13" s="0" t="s">
        <v>588</v>
      </c>
      <c r="B13" s="0" t="s">
        <v>589</v>
      </c>
      <c r="C13" s="0" t="s">
        <v>556</v>
      </c>
      <c r="D13" s="0" t="s">
        <v>590</v>
      </c>
    </row>
    <row r="14" customFormat="false" ht="15" hidden="false" customHeight="false" outlineLevel="0" collapsed="false">
      <c r="A14" s="0" t="s">
        <v>591</v>
      </c>
      <c r="B14" s="0" t="s">
        <v>592</v>
      </c>
      <c r="C14" s="0" t="s">
        <v>556</v>
      </c>
      <c r="D14" s="0" t="s">
        <v>593</v>
      </c>
    </row>
    <row r="15" customFormat="false" ht="15" hidden="false" customHeight="false" outlineLevel="0" collapsed="false">
      <c r="A15" s="0" t="s">
        <v>594</v>
      </c>
      <c r="B15" s="0" t="s">
        <v>595</v>
      </c>
      <c r="C15" s="0" t="s">
        <v>556</v>
      </c>
      <c r="D15" s="0" t="s">
        <v>596</v>
      </c>
    </row>
    <row r="16" customFormat="false" ht="15" hidden="false" customHeight="false" outlineLevel="0" collapsed="false">
      <c r="A16" s="0" t="s">
        <v>597</v>
      </c>
      <c r="B16" s="0" t="s">
        <v>598</v>
      </c>
      <c r="C16" s="0" t="s">
        <v>556</v>
      </c>
      <c r="D16" s="0" t="s">
        <v>599</v>
      </c>
    </row>
    <row r="17" customFormat="false" ht="15" hidden="false" customHeight="false" outlineLevel="0" collapsed="false">
      <c r="A17" s="0" t="s">
        <v>600</v>
      </c>
      <c r="B17" s="0" t="s">
        <v>601</v>
      </c>
      <c r="C17" s="0" t="s">
        <v>556</v>
      </c>
      <c r="D17" s="0" t="s">
        <v>602</v>
      </c>
    </row>
    <row r="18" customFormat="false" ht="15" hidden="false" customHeight="false" outlineLevel="0" collapsed="false">
      <c r="A18" s="0" t="s">
        <v>603</v>
      </c>
      <c r="B18" s="0" t="s">
        <v>604</v>
      </c>
      <c r="C18" s="0" t="s">
        <v>556</v>
      </c>
      <c r="D18" s="0" t="s">
        <v>605</v>
      </c>
    </row>
    <row r="19" customFormat="false" ht="15" hidden="false" customHeight="false" outlineLevel="0" collapsed="false">
      <c r="A19" s="0" t="s">
        <v>606</v>
      </c>
      <c r="B19" s="0" t="s">
        <v>607</v>
      </c>
      <c r="C19" s="0" t="s">
        <v>556</v>
      </c>
      <c r="D19" s="0" t="s">
        <v>608</v>
      </c>
    </row>
    <row r="20" customFormat="false" ht="15" hidden="false" customHeight="false" outlineLevel="0" collapsed="false">
      <c r="A20" s="0" t="s">
        <v>609</v>
      </c>
      <c r="B20" s="0" t="s">
        <v>610</v>
      </c>
      <c r="C20" s="0" t="s">
        <v>556</v>
      </c>
      <c r="D20" s="0" t="s">
        <v>611</v>
      </c>
    </row>
    <row r="21" customFormat="false" ht="15" hidden="false" customHeight="false" outlineLevel="0" collapsed="false">
      <c r="A21" s="0" t="s">
        <v>612</v>
      </c>
      <c r="B21" s="0" t="s">
        <v>613</v>
      </c>
      <c r="C21" s="0" t="s">
        <v>556</v>
      </c>
      <c r="D21" s="0" t="s">
        <v>614</v>
      </c>
    </row>
    <row r="22" customFormat="false" ht="15" hidden="false" customHeight="false" outlineLevel="0" collapsed="false">
      <c r="A22" s="0" t="s">
        <v>615</v>
      </c>
      <c r="B22" s="0" t="s">
        <v>616</v>
      </c>
      <c r="C22" s="0" t="s">
        <v>617</v>
      </c>
      <c r="D22" s="0" t="s">
        <v>618</v>
      </c>
    </row>
    <row r="23" customFormat="false" ht="15" hidden="false" customHeight="false" outlineLevel="0" collapsed="false">
      <c r="A23" s="0" t="s">
        <v>619</v>
      </c>
      <c r="B23" s="0" t="s">
        <v>620</v>
      </c>
      <c r="C23" s="0" t="s">
        <v>617</v>
      </c>
      <c r="D23" s="0" t="s">
        <v>621</v>
      </c>
    </row>
    <row r="24" customFormat="false" ht="15" hidden="false" customHeight="false" outlineLevel="0" collapsed="false">
      <c r="A24" s="0" t="s">
        <v>622</v>
      </c>
      <c r="B24" s="0" t="s">
        <v>623</v>
      </c>
      <c r="C24" s="0" t="s">
        <v>556</v>
      </c>
      <c r="D24" s="0" t="s">
        <v>624</v>
      </c>
    </row>
    <row r="25" customFormat="false" ht="15" hidden="false" customHeight="false" outlineLevel="0" collapsed="false">
      <c r="A25" s="0" t="s">
        <v>625</v>
      </c>
      <c r="B25" s="0" t="s">
        <v>626</v>
      </c>
      <c r="C25" s="0" t="s">
        <v>556</v>
      </c>
      <c r="D25" s="0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2026-10-15T21:24:25Z</dcterms:created>
  <dc:creator>openpyxl</dc:creator>
  <dc:description/>
  <dc:language>en-US</dc:language>
  <cp:lastModifiedBy/>
  <dcterms:modified xsi:type="dcterms:W3CDTF">2026-10-15T21:24:25Z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