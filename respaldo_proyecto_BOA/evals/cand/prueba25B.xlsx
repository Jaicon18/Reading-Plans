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<sst xmlns="http://schemas.openxmlformats.org/spreadsheetml/2006/main" count="1340" uniqueCount="869">
  <si>
    <t xml:space="preserve">Bank of America Broomfield CO1-111, Broomfield CO   |   METAL FRAMING &amp; DRYWALL TAKEOFF</t>
  </si>
  <si>
    <t xml:space="preserve">Bid set: 2025.08.26_CO1-111_Broomfield_PERMIT SET_BID SET.pdf (measured on a copy with markups removed)   ·   2026-10-20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</si>
  <si>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</si>
  <si>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</si>
  <si>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</si>
  <si>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</si>
  <si>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</si>
  <si>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</si>
  <si>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</si>
  <si>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</si>
  <si>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</si>
  <si>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</si>
  <si>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</si>
  <si>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</si>
  <si>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</si>
  <si>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</si>
  <si>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</si>
  <si>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</si>
  <si>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</si>
  <si>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</si>
  <si>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</si>
  <si>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</si>
  <si>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T.O. Parapet (ft)</t>
  </si>
  <si>
    <t xml:space="preserve">n/a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</si>
  <si>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</si>
  <si>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</si>
  <si>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</si>
  <si>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</si>
  <si>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</si>
  <si>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</si>
  <si>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</si>
  <si>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</si>
  <si>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</si>
  <si>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</si>
  <si>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</si>
  <si>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</si>
  <si>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</si>
  <si>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</si>
  <si>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</si>
  <si>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</si>
  <si>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</si>
  <si>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</si>
  <si>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</si>
  <si>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</si>
  <si>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</si>
  <si>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</si>
  <si>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</si>
  <si>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Broomfield CO1-111, Broomfield CO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</si>
  <si>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</si>
  <si>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</si>
  <si>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</si>
  <si>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</si>
  <si>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</si>
  <si>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</si>
  <si>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</si>
  <si>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</si>
  <si>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</si>
  <si>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</si>
  <si>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</si>
  <si>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</si>
  <si>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</si>
  <si>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#W1-PT0001  -  104 / 122</t>
  </si>
  <si>
    <t xml:space="preserve">W1-PT0001</t>
  </si>
  <si>
    <t xml:space="preserve">3-5/8"</t>
  </si>
  <si>
    <t xml:space="preserve">104 / 122</t>
  </si>
  <si>
    <t xml:space="preserve">3/A12.01</t>
  </si>
  <si>
    <t xml:space="preserve">[DERIVED]</t>
  </si>
  <si>
    <t xml:space="preserve">A1  #W1-PT0002  -  103 / 122</t>
  </si>
  <si>
    <t xml:space="preserve">W1-PT0002</t>
  </si>
  <si>
    <t xml:space="preserve">103 / 122</t>
  </si>
  <si>
    <t xml:space="preserve">A1  #W1-PT0003  -  103 / 122</t>
  </si>
  <si>
    <t xml:space="preserve">W1-PT0003</t>
  </si>
  <si>
    <t xml:space="preserve">A1  #W1-PT0004  -  103 / 111</t>
  </si>
  <si>
    <t xml:space="preserve">W1-PT0004</t>
  </si>
  <si>
    <t xml:space="preserve">103 / 111</t>
  </si>
  <si>
    <t xml:space="preserve">A1  #W1-PT0005  -  122 / 118</t>
  </si>
  <si>
    <t xml:space="preserve">W1-PT0005</t>
  </si>
  <si>
    <t xml:space="preserve">122 / 118</t>
  </si>
  <si>
    <t xml:space="preserve">A1  #W1-PT0007  -  118 / 103-9</t>
  </si>
  <si>
    <t xml:space="preserve">W1-PT0007</t>
  </si>
  <si>
    <t xml:space="preserve">118 / 103-9</t>
  </si>
  <si>
    <t xml:space="preserve">A1  #W1-PT0006  -  103-9 / 118</t>
  </si>
  <si>
    <t xml:space="preserve">W1-PT0006</t>
  </si>
  <si>
    <t xml:space="preserve">103-9 / 118</t>
  </si>
  <si>
    <t xml:space="preserve">A1  #W1-PT0008  -  111 / 118 / 120 / 121</t>
  </si>
  <si>
    <t xml:space="preserve">W1-PT0008</t>
  </si>
  <si>
    <t xml:space="preserve">111 / 118 / 120 / 121</t>
  </si>
  <si>
    <t xml:space="preserve">A1  #W1-PT0009  -  116 / 119</t>
  </si>
  <si>
    <t xml:space="preserve">W1-PT0009</t>
  </si>
  <si>
    <t xml:space="preserve">116 / 119</t>
  </si>
  <si>
    <t xml:space="preserve">[CONFIRMED]</t>
  </si>
  <si>
    <t xml:space="preserve">TYPE A5</t>
  </si>
  <si>
    <t xml:space="preserve">A5  #W1-PT0015  -  103 / 122</t>
  </si>
  <si>
    <t xml:space="preserve">W1-PT0015</t>
  </si>
  <si>
    <t xml:space="preserve">6"</t>
  </si>
  <si>
    <t xml:space="preserve">A5  #W1-PT0016N+W1-PT0016S  -  111 / 122</t>
  </si>
  <si>
    <t xml:space="preserve">W1-PT0016N+W1-PT0016S</t>
  </si>
  <si>
    <t xml:space="preserve">111 / 122</t>
  </si>
  <si>
    <t xml:space="preserve">A5  #W1-PT0014N+W1-PT0014S  -  122 / 103 / 103-9 + 122 / 103-9</t>
  </si>
  <si>
    <t xml:space="preserve">W1-PT0014N+W1-PT0014S</t>
  </si>
  <si>
    <t xml:space="preserve">122 / 103 / 103-9 + 122 / 103-9</t>
  </si>
  <si>
    <t xml:space="preserve">A5  #W1-PT0017  -  118 / 116</t>
  </si>
  <si>
    <t xml:space="preserve">W1-PT0017</t>
  </si>
  <si>
    <t xml:space="preserve">118 / 116</t>
  </si>
  <si>
    <t xml:space="preserve">TYPE A1K</t>
  </si>
  <si>
    <t xml:space="preserve">A1K  #W1-PT0011  -  108 / 116</t>
  </si>
  <si>
    <t xml:space="preserve">W1-PT0011</t>
  </si>
  <si>
    <t xml:space="preserve">108 / 116</t>
  </si>
  <si>
    <t xml:space="preserve">4/A12.01</t>
  </si>
  <si>
    <t xml:space="preserve">A1K  #W1-PT0012  -  116 / 118</t>
  </si>
  <si>
    <t xml:space="preserve">W1-PT0012</t>
  </si>
  <si>
    <t xml:space="preserve">116 / 118</t>
  </si>
  <si>
    <t xml:space="preserve">A1K  #W1-PT0013  -  103-9 / 118</t>
  </si>
  <si>
    <t xml:space="preserve">W1-PT0013</t>
  </si>
  <si>
    <t xml:space="preserve">TYPE B</t>
  </si>
  <si>
    <t xml:space="preserve">B  #A-W2-B-PT0018  -  BREAK ROOM 118 / ELECTRICAL 120</t>
  </si>
  <si>
    <t xml:space="preserve">A-W2-B-PT0018</t>
  </si>
  <si>
    <t xml:space="preserve">BREAK ROOM 118 / ELECTRICAL 120</t>
  </si>
  <si>
    <t xml:space="preserve">1/A12.01</t>
  </si>
  <si>
    <t xml:space="preserve">B  #A-W2-B-PT0022  -  ELECTRICAL 120 / NER 121 / BREAK ROOM 118</t>
  </si>
  <si>
    <t xml:space="preserve">A-W2-B-PT0022</t>
  </si>
  <si>
    <t xml:space="preserve">ELECTRICAL 120 / NER 121 / BREAK ROOM 118</t>
  </si>
  <si>
    <t xml:space="preserve">B  #A-W2-B-PT0021  -  ELECTRICAL 120 / NER 121</t>
  </si>
  <si>
    <t xml:space="preserve">A-W2-B-PT0021</t>
  </si>
  <si>
    <t xml:space="preserve">ELECTRICAL 120 / NER 121</t>
  </si>
  <si>
    <t xml:space="preserve">B  #A-W2-B-PT0019W+A-W2-B-PT0019  -  MEN'S RESTROOM 113 / JANITOR CLOSET 112 + MEN'S RESTROOM 113 / JANITOR CLOSET 112 / STORAGE 117</t>
  </si>
  <si>
    <t xml:space="preserve">A-W2-B-PT0019W+A-W2-B-PT0019</t>
  </si>
  <si>
    <t xml:space="preserve">MEN'S RESTROOM 113 / JANITOR CLOSET 112 + MEN'S RESTROOM 113 / JANITOR CLOSET 112 / STORAGE 117</t>
  </si>
  <si>
    <t xml:space="preserve">B  #A-W2-B-PA0034  -  JANITOR CLOSET 112 / STORAGE 117</t>
  </si>
  <si>
    <t xml:space="preserve">A-W2-B-PA0034</t>
  </si>
  <si>
    <t xml:space="preserve">JANITOR CLOSET 112 / STORAGE 117</t>
  </si>
  <si>
    <t xml:space="preserve">B  #A-W2-B-PT0023  -  JANITOR CLOSET 112 / STORAGE 117 / WELLNESS 115</t>
  </si>
  <si>
    <t xml:space="preserve">A-W2-B-PT0023</t>
  </si>
  <si>
    <t xml:space="preserve">JANITOR CLOSET 112 / STORAGE 117 / WELLNESS 115</t>
  </si>
  <si>
    <t xml:space="preserve">TYPE B2</t>
  </si>
  <si>
    <t xml:space="preserve">B2  #A-W2-B2-PT0024  -  ATM ROOM 102 / CENTRAL ZONE 103</t>
  </si>
  <si>
    <t xml:space="preserve">A-W2-B2-PT0024</t>
  </si>
  <si>
    <t xml:space="preserve">ATM ROOM 102 / CENTRAL ZONE 103</t>
  </si>
  <si>
    <t xml:space="preserve">B2  #A-W2-B2-N114+A-W2-B2-PT0025  -  WOMEN'S RESTROOM 114 / CORRIDOR 111</t>
  </si>
  <si>
    <t xml:space="preserve">A-W2-B2-N114+A-W2-B2-PT0025</t>
  </si>
  <si>
    <t xml:space="preserve">WOMEN'S RESTROOM 114 / CORRIDOR 111</t>
  </si>
  <si>
    <t xml:space="preserve">B2  #A-W2-B2-PT0026  -  MEN'S RESTROOM 113 / STORAGE 117 / WELLNESS 115 / CORRIDOR 111</t>
  </si>
  <si>
    <t xml:space="preserve">A-W2-B2-PT0026</t>
  </si>
  <si>
    <t xml:space="preserve">MEN'S RESTROOM 113 / STORAGE 117 / WELLNESS 115 / CORRIDOR 111</t>
  </si>
  <si>
    <t xml:space="preserve">B2  #A-W2-B2-PT0027  -  BREAK ROOM 118 / WORK ROOM 119</t>
  </si>
  <si>
    <t xml:space="preserve">A-W2-B2-PT0027</t>
  </si>
  <si>
    <t xml:space="preserve">BREAK ROOM 118 / WORK ROOM 119</t>
  </si>
  <si>
    <t xml:space="preserve">TYPE B2K</t>
  </si>
  <si>
    <t xml:space="preserve">B2K  #A-W2-B2K-PC0011  -  OFFICE 4 CB 108 / CENTRAL ZONE 103</t>
  </si>
  <si>
    <t xml:space="preserve">A-W2-B2K-PC0011</t>
  </si>
  <si>
    <t xml:space="preserve">OFFICE 4 CB 108 / CENTRAL ZONE 103</t>
  </si>
  <si>
    <t xml:space="preserve">TYPE C1</t>
  </si>
  <si>
    <t xml:space="preserve">C1  #A-W2-C1-PT0035  -  WOMEN'S RESTROOM 114</t>
  </si>
  <si>
    <t xml:space="preserve">A-W2-C1-PT0035</t>
  </si>
  <si>
    <t xml:space="preserve">WOMEN'S RESTROOM 114</t>
  </si>
  <si>
    <t xml:space="preserve">6/A12.01</t>
  </si>
  <si>
    <t xml:space="preserve">C1  #A-W2-C1-PT0037  -  MEN'S RESTROOM 113</t>
  </si>
  <si>
    <t xml:space="preserve">A-W2-C1-PT0037</t>
  </si>
  <si>
    <t xml:space="preserve">MEN'S RESTROOM 113</t>
  </si>
  <si>
    <t xml:space="preserve">C1  #A-W2-C1-PT0034+A-W2-C1-PT0034-RW+A-W2-C1-PT0034-RE  -  WAITING 104</t>
  </si>
  <si>
    <t xml:space="preserve">A-W2-C1-PT0034+A-W2-C1-PT0034-RW+A-W2-C1-PT0034-RE</t>
  </si>
  <si>
    <t xml:space="preserve">WAITING 104</t>
  </si>
  <si>
    <t xml:space="preserve">C1  #A-W2-C1-PT0036  -  CASH WINDOW 116 (FUTURE FCAM area)</t>
  </si>
  <si>
    <t xml:space="preserve">A-W2-C1-PT0036</t>
  </si>
  <si>
    <t xml:space="preserve">CASH WINDOW 116 (FUTURE FCAM area)</t>
  </si>
  <si>
    <t xml:space="preserve">C1  #A-W2-PT0031  -  VESTIBULE 100</t>
  </si>
  <si>
    <t xml:space="preserve">A-W2-PT0031</t>
  </si>
  <si>
    <t xml:space="preserve">VESTIBULE 100</t>
  </si>
  <si>
    <t xml:space="preserve">C1  #A-W2-PT0030  -  VESTIBULE 100 / CENTRAL ZONE 103</t>
  </si>
  <si>
    <t xml:space="preserve">A-W2-PT0030</t>
  </si>
  <si>
    <t xml:space="preserve">VESTIBULE 100 / CENTRAL ZONE 103</t>
  </si>
  <si>
    <t xml:space="preserve">C1  #A-W2-PT0032  -  VESTIBULE 100 / CENTRAL ZONE 103 / 24 HR VESTIBULE 101</t>
  </si>
  <si>
    <t xml:space="preserve">A-W2-PT0032</t>
  </si>
  <si>
    <t xml:space="preserve">VESTIBULE 100 / CENTRAL ZONE 103 / 24 HR VESTIBULE 101</t>
  </si>
  <si>
    <t xml:space="preserve">C1  #A-W2-PT0033  -  24 HR VESTIBULE 101 / CENTRAL ZONE 103</t>
  </si>
  <si>
    <t xml:space="preserve">A-W2-PT0033</t>
  </si>
  <si>
    <t xml:space="preserve">24 HR VESTIBULE 101 / CENTRAL ZONE 103</t>
  </si>
  <si>
    <t xml:space="preserve">TYPE F</t>
  </si>
  <si>
    <t xml:space="preserve">F  #A-W2-F-PT0038  -  24 HR VESTIBULE 101 / ATM ROOM 102</t>
  </si>
  <si>
    <t xml:space="preserve">A-W2-F-PT0038</t>
  </si>
  <si>
    <t xml:space="preserve">24 HR VESTIBULE 101 / ATM ROOM 102</t>
  </si>
  <si>
    <t xml:space="preserve">12/A12.01</t>
  </si>
  <si>
    <t xml:space="preserve">TYPE G</t>
  </si>
  <si>
    <t xml:space="preserve">G  #A-W3-G-V105  -  CENTRAL ZONE 103 / OFFICE 1 ME 105</t>
  </si>
  <si>
    <t xml:space="preserve">A-W3-G-V105</t>
  </si>
  <si>
    <t xml:space="preserve">1-5/8"</t>
  </si>
  <si>
    <t xml:space="preserve">CENTRAL ZONE 103 / OFFICE 1 ME 105</t>
  </si>
  <si>
    <t xml:space="preserve">5/A12.01</t>
  </si>
  <si>
    <t xml:space="preserve">G  #A-W3-G-PT0039  -  CENTRAL ZONE 103 / OFFICE 2 CL 106</t>
  </si>
  <si>
    <t xml:space="preserve">A-W3-G-PT0039</t>
  </si>
  <si>
    <t xml:space="preserve">CENTRAL ZONE 103 / OFFICE 2 CL 106</t>
  </si>
  <si>
    <t xml:space="preserve">G  #A-W3-G-PT0041  -  CENTRAL ZONE 103 / OFFICE 3 SB 107</t>
  </si>
  <si>
    <t xml:space="preserve">A-W3-G-PT0041</t>
  </si>
  <si>
    <t xml:space="preserve">CENTRAL ZONE 103 / OFFICE 3 SB 107</t>
  </si>
  <si>
    <t xml:space="preserve">G  #A-W3-G-PT0044  -  CENTRAL ZONE 103 / OFFICE 4 CB 108</t>
  </si>
  <si>
    <t xml:space="preserve">A-W3-G-PT0044</t>
  </si>
  <si>
    <t xml:space="preserve">CENTRAL ZONE 103 / OFFICE 4 CB 108</t>
  </si>
  <si>
    <t xml:space="preserve">G  #A-W3-G-PT0040  -  OFFICE 2 CL 106 / OFFICE 3 SB 107</t>
  </si>
  <si>
    <t xml:space="preserve">A-W3-G-PT0040</t>
  </si>
  <si>
    <t xml:space="preserve">OFFICE 2 CL 106 / OFFICE 3 SB 107</t>
  </si>
  <si>
    <t xml:space="preserve">G  #A-W3-G-PT0043  -  OFFICE 3 SB 107 / OFFICE 4 CB 108</t>
  </si>
  <si>
    <t xml:space="preserve">A-W3-G-PT0043</t>
  </si>
  <si>
    <t xml:space="preserve">OFFICE 3 SB 107 / OFFICE 4 CB 108</t>
  </si>
  <si>
    <t xml:space="preserve">G  #A-W3-G-PT0046  -  OFFICE 4 CB 108 / CASH WINDOW 116</t>
  </si>
  <si>
    <t xml:space="preserve">A-W3-G-PT0046</t>
  </si>
  <si>
    <t xml:space="preserve">OFFICE 4 CB 108 / CASH WINDOW 116</t>
  </si>
  <si>
    <t xml:space="preserve">G  #A-W3-G-PT0042  -  ATM ROOM 102 / OFFICE 5 CB 109</t>
  </si>
  <si>
    <t xml:space="preserve">A-W3-G-PT0042</t>
  </si>
  <si>
    <t xml:space="preserve">ATM ROOM 102 / OFFICE 5 CB 109</t>
  </si>
  <si>
    <t xml:space="preserve">G  #A-W3-G-PT0045  -  OFFICE 5 CB 109 / OFFICE 6 CB 110</t>
  </si>
  <si>
    <t xml:space="preserve">A-W3-G-PT0045</t>
  </si>
  <si>
    <t xml:space="preserve">OFFICE 5 CB 109 / OFFICE 6 CB 110</t>
  </si>
  <si>
    <t xml:space="preserve">G  #A-W3-G-PT0047  -  OFFICE 6 CB 110 / WOMEN'S RESTROOM 114</t>
  </si>
  <si>
    <t xml:space="preserve">A-W3-G-PT0047</t>
  </si>
  <si>
    <t xml:space="preserve">OFFICE 6 CB 110 / WOMEN'S RESTROOM 114</t>
  </si>
  <si>
    <t xml:space="preserve">TYPE G1</t>
  </si>
  <si>
    <t xml:space="preserve">G1  #A-W3-G1-PT0048  -  OFFICE 1 ME 105 / OFFICE 2 CL 106</t>
  </si>
  <si>
    <t xml:space="preserve">A-W3-G1-PT0048</t>
  </si>
  <si>
    <t xml:space="preserve">OFFICE 1 ME 105 / OFFICE 2 CL 106</t>
  </si>
  <si>
    <t xml:space="preserve">G1  #A-W3-G1-PT0049  -  OFFICE 5 CB 109 / CENTRAL ZONE 103</t>
  </si>
  <si>
    <t xml:space="preserve">A-W3-G1-PT0049</t>
  </si>
  <si>
    <t xml:space="preserve">OFFICE 5 CB 109 / CENTRAL ZONE 103</t>
  </si>
  <si>
    <t xml:space="preserve">G1  #A-W3-G1-V110S  -  OFFICE 6 CB 110 / CENTRAL ZONE 103</t>
  </si>
  <si>
    <t xml:space="preserve">A-W3-G1-V110S</t>
  </si>
  <si>
    <t xml:space="preserve">OFFICE 6 CB 110 / CENTRAL ZONE 103</t>
  </si>
  <si>
    <t xml:space="preserve">TYPE BULKHEAD-G</t>
  </si>
  <si>
    <t xml:space="preserve">BULKHEAD-G  #A-W3-BH-105+A-W3-BH-106+A-W3-BH-107+A-W3-BH-108  -  CENTRAL ZONE 103 / OFFICE 1 ME 105 + CENTRAL ZONE 103 / OFFICE 2 CL 106 + CENTRAL ZONE 103 / OFFICE 3 SB 107 + CENTRAL ZONE 103 / OFFICE 4 CB 108</t>
  </si>
  <si>
    <t xml:space="preserve">A-W3-BH-105+A-W3-BH-106+A-W3-BH-107+A-W3-BH-108</t>
  </si>
  <si>
    <t xml:space="preserve">CENTRAL ZONE 103 / OFFICE 1 ME 105 + CENTRAL ZONE 103 / OFFICE 2 CL 106 + CENTRAL ZONE 103 / OFFICE 3 SB 107 + CENTRAL ZONE 103 / OFFICE 4 CB 108</t>
  </si>
  <si>
    <t xml:space="preserve">9/A12.01</t>
  </si>
  <si>
    <t xml:space="preserve">BULKHEAD-G  #A-W3-BH-109+A-W3-BH-110  -  OFFICE 5 CB 109 / CENTRAL ZONE 103 + OFFICE 6 CB 110 / CENTRAL ZONE 103</t>
  </si>
  <si>
    <t xml:space="preserve">A-W3-BH-109+A-W3-BH-110</t>
  </si>
  <si>
    <t xml:space="preserve">OFFICE 5 CB 109 / CENTRAL ZONE 103 + OFFICE 6 CB 110 / CENTRAL ZONE 103</t>
  </si>
  <si>
    <t xml:space="preserve">TYPE EXT-6CFMF</t>
  </si>
  <si>
    <t xml:space="preserve">EXT-6CFMF  #A-X-W1  -  24 HR VESTIBULE 101 / ATM ROOM 102</t>
  </si>
  <si>
    <t xml:space="preserve">A-X-W1</t>
  </si>
  <si>
    <t xml:space="preserve">9/A09.27</t>
  </si>
  <si>
    <t xml:space="preserve">EXT-6CFMF  #A-X-J  -  ATM ROOM 102</t>
  </si>
  <si>
    <t xml:space="preserve">A-X-J</t>
  </si>
  <si>
    <t xml:space="preserve">ATM ROOM 102</t>
  </si>
  <si>
    <t xml:space="preserve">EXT-6CFMF  #A-X-W2N+A-X-W2S  -  OFFICE 5 CB 109 / OFFICE 6 CB 110 / CORRIDOR + WOMENS RESTROOM 114 / MENS RESTROOM 113 / JANITOR CLOSET 112 / WELLNESS 115</t>
  </si>
  <si>
    <t xml:space="preserve">A-X-W2N+A-X-W2S</t>
  </si>
  <si>
    <t xml:space="preserve">OFFICE 5 CB 109 / OFFICE 6 CB 110 / CORRIDOR + WOMENS RESTROOM 114 / MENS RESTROOM 113 / JANITOR CLOSET 112 / WELLNESS 115</t>
  </si>
  <si>
    <t xml:space="preserve">EXT-6CFMF  #A-X-SW+A-X-SE  -  WELLNESS 115 / CORRIDOR 111 / NER 121 / ELECTRICAL 120 + BREAK ROOM 118 / WORK ROOM 119</t>
  </si>
  <si>
    <t xml:space="preserve">A-X-SW+A-X-SE</t>
  </si>
  <si>
    <t xml:space="preserve">WELLNESS 115 / CORRIDOR 111 / NER 121 / ELECTRICAL 120 + BREAK ROOM 118 / WORK ROOM 119</t>
  </si>
  <si>
    <t xml:space="preserve">EXT-6CFMF  #A-X-EN+A-X-ES  -  OFFICES 105 106 107 108 / CASH WINDOW 116 + WORK ROOM 119 / CASH WINDOW 116</t>
  </si>
  <si>
    <t xml:space="preserve">A-X-EN+A-X-ES</t>
  </si>
  <si>
    <t xml:space="preserve">OFFICES 105 106 107 108 / CASH WINDOW 116 + WORK ROOM 119 / CASH WINDOW 116</t>
  </si>
  <si>
    <t xml:space="preserve">EXT-6CFMF  #A-X-N  -  OFFICE 1 ME 105</t>
  </si>
  <si>
    <t xml:space="preserve">A-X-N</t>
  </si>
  <si>
    <t xml:space="preserve">OFFICE 1 ME 105</t>
  </si>
  <si>
    <t xml:space="preserve">TYPE CANOPY-COL</t>
  </si>
  <si>
    <t xml:space="preserve">CANOPY-COL  #A-X-CW1  -  A-X-CW1</t>
  </si>
  <si>
    <t xml:space="preserve">A-X-CW1</t>
  </si>
  <si>
    <t xml:space="preserve">5/A09.25</t>
  </si>
  <si>
    <t xml:space="preserve">CANOPY-COL  #A-X-CW2  -  A-X-CW2</t>
  </si>
  <si>
    <t xml:space="preserve">A-X-CW2</t>
  </si>
  <si>
    <t xml:space="preserve">CANOPY-COL  #A-X-CW3  -  A-X-CW3</t>
  </si>
  <si>
    <t xml:space="preserve">A-X-CW3</t>
  </si>
  <si>
    <t xml:space="preserve">CANOPY-COL  #A-X-CW4  -  A-X-CW4</t>
  </si>
  <si>
    <t xml:space="preserve">A-X-CW4</t>
  </si>
  <si>
    <t xml:space="preserve">TYPE EXT-PARAPET</t>
  </si>
  <si>
    <t xml:space="preserve">EXT-PARAPET  #A-X-P-G  -  A-X-P-G</t>
  </si>
  <si>
    <t xml:space="preserve">A-X-P-G</t>
  </si>
  <si>
    <t xml:space="preserve">6" (600S162-54 parapet infill)</t>
  </si>
  <si>
    <t xml:space="preserve">4/A09.26</t>
  </si>
  <si>
    <t xml:space="preserve">EXT-PARAPET  #A-X-P-4  -  A-X-P-4</t>
  </si>
  <si>
    <t xml:space="preserve">A-X-P-4</t>
  </si>
  <si>
    <t xml:space="preserve">EXT-PARAPET  #A-X-P-2  -  A-X-P-2</t>
  </si>
  <si>
    <t xml:space="preserve">A-X-P-2</t>
  </si>
  <si>
    <t xml:space="preserve">EXT-PARAPET  #A-X-P-D  -  A-X-P-D</t>
  </si>
  <si>
    <t xml:space="preserve">A-X-P-D</t>
  </si>
  <si>
    <t xml:space="preserve">EXT-PARAPET  #A-X-P-3N+A-X-P-3S  -  A-X-P-3N + A-X-P-3S</t>
  </si>
  <si>
    <t xml:space="preserve">A-X-P-3N+A-X-P-3S</t>
  </si>
  <si>
    <t xml:space="preserve">A-X-P-3N + A-X-P-3S</t>
  </si>
  <si>
    <t xml:space="preserve">EXT-PARAPET  #A-X-P-A  -  A-X-P-A</t>
  </si>
  <si>
    <t xml:space="preserve">A-X-P-A</t>
  </si>
  <si>
    <t xml:space="preserve">EXT-PARAPET  #A-X-P-8N+A-X-P-8S  -  A-X-P-8N + A-X-P-8S</t>
  </si>
  <si>
    <t xml:space="preserve">A-X-P-8N+A-X-P-8S</t>
  </si>
  <si>
    <t xml:space="preserve">A-X-P-8N + A-X-P-8S</t>
  </si>
  <si>
    <t xml:space="preserve">EXT-PARAPET  #A-X-P-F  -  A-X-P-F</t>
  </si>
  <si>
    <t xml:space="preserve">A-X-P-F</t>
  </si>
  <si>
    <t xml:space="preserve">TOTAL - PARTITIONS</t>
  </si>
  <si>
    <t xml:space="preserve">TYPE OTHER FRAMING (NOT A PARTITION)</t>
  </si>
  <si>
    <t xml:space="preserve">pier_part  #A-X-PNW  -  A-X-PNW</t>
  </si>
  <si>
    <t xml:space="preserve">A-X-PNW</t>
  </si>
  <si>
    <t xml:space="preserve">1/A09.25</t>
  </si>
  <si>
    <t xml:space="preserve">pier_part  #A-X-PNE  -  A-X-PNE</t>
  </si>
  <si>
    <t xml:space="preserve">A-X-PNE</t>
  </si>
  <si>
    <t xml:space="preserve">2/A09.25</t>
  </si>
  <si>
    <t xml:space="preserve">storefront_cripples  #A-X-SC1  -  VESTIBULE 100</t>
  </si>
  <si>
    <t xml:space="preserve">A-X-SC1</t>
  </si>
  <si>
    <t xml:space="preserve">2/A09.26</t>
  </si>
  <si>
    <t xml:space="preserve">storefront_cripples  #A-X-SC2  -  CENTRAL ZONE 103</t>
  </si>
  <si>
    <t xml:space="preserve">A-X-SC2</t>
  </si>
  <si>
    <t xml:space="preserve">CENTRAL ZONE 103</t>
  </si>
  <si>
    <t xml:space="preserve">storefront_cripples  #A-X-SC3  -  VESTIBULE 100</t>
  </si>
  <si>
    <t xml:space="preserve">A-X-SC3</t>
  </si>
  <si>
    <t xml:space="preserve">vestibule_head  #A-X-VH101  -  A-X-VH101</t>
  </si>
  <si>
    <t xml:space="preserve">A-X-VH101</t>
  </si>
  <si>
    <t xml:space="preserve">6/A12.10</t>
  </si>
  <si>
    <t xml:space="preserve">vestibule_head  #A-X-VH100A  -  CENTRAL ZONE 103</t>
  </si>
  <si>
    <t xml:space="preserve">A-X-VH100A</t>
  </si>
  <si>
    <t xml:space="preserve">4/A12.10</t>
  </si>
  <si>
    <t xml:space="preserve">grille_head  #A-X-GH103  -  CENTRAL ZONE 103 / 24 HR VESTIBULE 101 (soffit of head)</t>
  </si>
  <si>
    <t xml:space="preserve">A-X-GH103</t>
  </si>
  <si>
    <t xml:space="preserve">2-1/2"</t>
  </si>
  <si>
    <t xml:space="preserve">CENTRAL ZONE 103 / 24 HR VESTIBULE 101 (soffit of head)</t>
  </si>
  <si>
    <t xml:space="preserve">4/A08.21</t>
  </si>
  <si>
    <t xml:space="preserve">roof_step  #A-X-RS1  -  A-X-RS1</t>
  </si>
  <si>
    <t xml:space="preserve">A-X-RS1</t>
  </si>
  <si>
    <t xml:space="preserve">4/A02.02</t>
  </si>
  <si>
    <t xml:space="preserve">roof_step  #A-X-RS2  -  rooms north of grid B (above ceiling, HI side)</t>
  </si>
  <si>
    <t xml:space="preserve">A-X-RS2</t>
  </si>
  <si>
    <t xml:space="preserve">rooms north of grid B (above ceiling, HI side)</t>
  </si>
  <si>
    <t xml:space="preserve">roof_step  #A-X-RS3  -  rooms south of grid B (above ceiling, LOW side)</t>
  </si>
  <si>
    <t xml:space="preserve">A-X-RS3</t>
  </si>
  <si>
    <t xml:space="preserve">rooms south of grid B (above ceiling, LOW side)</t>
  </si>
  <si>
    <t xml:space="preserve">ceiling_transition  #A-C-TR104-N  -  103</t>
  </si>
  <si>
    <t xml:space="preserve">A-C-TR104-N</t>
  </si>
  <si>
    <t xml:space="preserve">103</t>
  </si>
  <si>
    <t xml:space="preserve">7/A09.33</t>
  </si>
  <si>
    <t xml:space="preserve">ceiling_transition  #A-C-TR104-W  -  103</t>
  </si>
  <si>
    <t xml:space="preserve">A-C-TR104-W</t>
  </si>
  <si>
    <t xml:space="preserve">ceiling_transition  #A-C-TR104-E  -  103</t>
  </si>
  <si>
    <t xml:space="preserve">A-C-TR104-E</t>
  </si>
  <si>
    <t xml:space="preserve">soffit_side  #A-C-CSR-WN  -  103</t>
  </si>
  <si>
    <t xml:space="preserve">A-C-CSR-WN</t>
  </si>
  <si>
    <t xml:space="preserve">10/A09.33</t>
  </si>
  <si>
    <t xml:space="preserve">soffit_side  #A-C-CSR-WS  -  103</t>
  </si>
  <si>
    <t xml:space="preserve">A-C-CSR-WS</t>
  </si>
  <si>
    <t xml:space="preserve">soffit_side  #A-C-CSR-EN  -  116</t>
  </si>
  <si>
    <t xml:space="preserve">A-C-CSR-EN</t>
  </si>
  <si>
    <t xml:space="preserve">116</t>
  </si>
  <si>
    <t xml:space="preserve">soffit_side  #A-C-CSR-ES  -  116</t>
  </si>
  <si>
    <t xml:space="preserve">A-C-CSR-ES</t>
  </si>
  <si>
    <t xml:space="preserve">fascia_box  #A-C-FB-N  -  A-C-FB-N</t>
  </si>
  <si>
    <t xml:space="preserve">A-C-FB-N</t>
  </si>
  <si>
    <t xml:space="preserve">3/A09.26</t>
  </si>
  <si>
    <t xml:space="preserve">fascia_box  #A-C-FB-W  -  A-C-FB-W</t>
  </si>
  <si>
    <t xml:space="preserve">A-C-FB-W</t>
  </si>
  <si>
    <t xml:space="preserve">16/A09.27</t>
  </si>
  <si>
    <t xml:space="preserve">fascia_box  #A-C-FB-WR  -  A-C-FB-WR</t>
  </si>
  <si>
    <t xml:space="preserve">A-C-FB-WR</t>
  </si>
  <si>
    <t xml:space="preserve">fascia_box  #A-C-FB-E  -  A-C-FB-E</t>
  </si>
  <si>
    <t xml:space="preserve">A-C-FB-E</t>
  </si>
  <si>
    <t xml:space="preserve">7/A09.26</t>
  </si>
  <si>
    <t xml:space="preserve">fascia_box  #A-C-FB-ER  -  A-C-FB-ER</t>
  </si>
  <si>
    <t xml:space="preserve">A-C-FB-ER</t>
  </si>
  <si>
    <t xml:space="preserve">fascia_box  #A-C-FB-S  -  A-C-FB-S</t>
  </si>
  <si>
    <t xml:space="preserve">A-C-FB-S</t>
  </si>
  <si>
    <t xml:space="preserve">fascia_box  #A-C-FB-SRW  -  A-C-FB-SRW</t>
  </si>
  <si>
    <t xml:space="preserve">A-C-FB-SRW</t>
  </si>
  <si>
    <t xml:space="preserve">fascia_box  #A-C-FB-SRE  -  A-C-FB-SRE</t>
  </si>
  <si>
    <t xml:space="preserve">A-C-FB-SRE</t>
  </si>
  <si>
    <t xml:space="preserve">ceiling_transition  #A-C-TR103-ALC  -  103</t>
  </si>
  <si>
    <t xml:space="preserve">A-C-TR103-ALC</t>
  </si>
  <si>
    <t xml:space="preserve">stub  #W1-U-STUB-K  -  116</t>
  </si>
  <si>
    <t xml:space="preserve">W1-U-STUB-K</t>
  </si>
  <si>
    <t xml:space="preserve">alcove  #W1-U-ALC-BACK+W1-U-ALC-N+W1-U-ALC-S  -  114 / 113 / 111 + 114 / 111 + 111 / 113</t>
  </si>
  <si>
    <t xml:space="preserve">W1-U-ALC-BACK+W1-U-ALC-N+W1-U-ALC-S</t>
  </si>
  <si>
    <t xml:space="preserve">114 / 113 / 111 + 114 / 111 + 111 / 113</t>
  </si>
  <si>
    <t xml:space="preserve">stub  #A-W3-G-V108S  -  CENTRAL ZONE 103 / OFFICE 4 CB 108</t>
  </si>
  <si>
    <t xml:space="preserve">A-W3-G-V108S</t>
  </si>
  <si>
    <t xml:space="preserve">stub  #A-W3-G1-S109N  -  OFFICE 5 CB 109 / CENTRAL ZONE 103</t>
  </si>
  <si>
    <t xml:space="preserve">A-W3-G1-S109N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</si>
  <si>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</si>
  <si>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</si>
  <si>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</si>
  <si>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</si>
  <si>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</si>
  <si>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</si>
  <si>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</si>
  <si>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</si>
  <si>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</si>
  <si>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</si>
  <si>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</si>
  <si>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</si>
  <si>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(LF of material)</t>
  </si>
  <si>
    <t xml:space="preserve">LF</t>
  </si>
  <si>
    <t xml:space="preserve">stick 20 ft</t>
  </si>
  <si>
    <t xml:space="preserve">familias_out.json '6" stud (all gauges)' (canon.py on takeoff_canon.json)</t>
  </si>
  <si>
    <t xml:space="preserve">3-5/8" metal stud (LF of material)</t>
  </si>
  <si>
    <t xml:space="preserve">familias_out.json '3-5/8" stud (all gauges)' (canon.py on takeoff_canon.json)</t>
  </si>
  <si>
    <t xml:space="preserve">1-5/8" metal stud (LF of material)</t>
  </si>
  <si>
    <t xml:space="preserve">familias_out.json '1-5/8" stud' (canon.py on takeoff_canon.json)</t>
  </si>
  <si>
    <t xml:space="preserve">6" parapet infill stud (LF of material)</t>
  </si>
  <si>
    <t xml:space="preserve">familias_out.json '6" parapet stud' (canon.py on takeoff_canon.json)</t>
  </si>
  <si>
    <t xml:space="preserve">Track, ceilings / soffits / canopy</t>
  </si>
  <si>
    <t xml:space="preserve">run 10 ft</t>
  </si>
  <si>
    <t xml:space="preserve">familias_out.json 'ceiling / soffit track' (canon.py on takeoff_canon.json)</t>
  </si>
  <si>
    <t xml:space="preserve">Bracing 1-1/2" C.R. channel @ 48" O.C.</t>
  </si>
  <si>
    <t xml:space="preserve">C.R. channel 16 ft</t>
  </si>
  <si>
    <t xml:space="preserve">familias_out.json 'bracing C.R. channel' (canon.py on takeoff_canon.json)</t>
  </si>
  <si>
    <t xml:space="preserve">Purlin, top track to deck</t>
  </si>
  <si>
    <t xml:space="preserve">familias_out.json 'purlin (track to deck)' (canon.py on takeoff_canon.json)</t>
  </si>
  <si>
    <t xml:space="preserve">Header / metal stud box beam</t>
  </si>
  <si>
    <t xml:space="preserve">familias_out.json 'header / box beam' (canon.py on takeoff_canon.json)</t>
  </si>
  <si>
    <t xml:space="preserve">Sill track</t>
  </si>
  <si>
    <t xml:space="preserve">familias_out.json 'sill track' (canon.py on takeoff_canon.json)</t>
  </si>
  <si>
    <t xml:space="preserve">Furring channel (ceilings)</t>
  </si>
  <si>
    <t xml:space="preserve">hat channel 12 ft</t>
  </si>
  <si>
    <t xml:space="preserve">familias_out.json 'furring channel' (canon.py on takeoff_canon.json)</t>
  </si>
  <si>
    <t xml:space="preserve">Carrying channel (ceilings)</t>
  </si>
  <si>
    <t xml:space="preserve">familias_out.json 'carrying channel' (canon.py on takeoff_canon.json)</t>
  </si>
  <si>
    <t xml:space="preserve">Hanger wire</t>
  </si>
  <si>
    <t xml:space="preserve">familias_out.json 'hanger wire' (canon.py on takeoff_canon.json)</t>
  </si>
  <si>
    <t xml:space="preserve">5/8" gypsum board, regular</t>
  </si>
  <si>
    <t xml:space="preserve">SF</t>
  </si>
  <si>
    <t xml:space="preserve">4x12 ft sheet (Inputs)</t>
  </si>
  <si>
    <t xml:space="preserve">familias_out.json '5/8" gyp board regular (walls + ceilings)' (canon.py on takeoff_canon.json)</t>
  </si>
  <si>
    <t xml:space="preserve">5/8" gypsum board, MOISTURE RESISTANT</t>
  </si>
  <si>
    <t xml:space="preserve">familias_out.json '5/8" gyp MOISTURE RESISTANT' (canon.py on takeoff_canon.json)</t>
  </si>
  <si>
    <t xml:space="preserve">Ballistic panel 3/8" UL752</t>
  </si>
  <si>
    <t xml:space="preserve">familias_out.json 'ballistic panel' (canon.py on takeoff_canon.json)</t>
  </si>
  <si>
    <t xml:space="preserve">3/8" gypsum board</t>
  </si>
  <si>
    <t xml:space="preserve">familias_out.json '3/8" gyp board' (canon.py on takeoff_canon.json)</t>
  </si>
  <si>
    <t xml:space="preserve">5/8" glass mat sheathing (exterior face of the stud)</t>
  </si>
  <si>
    <t xml:space="preserve">familias_out.json '5/8" glass mat sheathing' (canon.py on takeoff_canon.json)</t>
  </si>
  <si>
    <t xml:space="preserve">5/8" EXTERIOR gypsum sheathing</t>
  </si>
  <si>
    <t xml:space="preserve">familias_out.json '5/8" EXTERIOR gyp sheathing' (canon.py on takeoff_canon.json)</t>
  </si>
  <si>
    <t xml:space="preserve">Blocking FRT / 2X FRT wood</t>
  </si>
  <si>
    <t xml:space="preserve">familias_out.json 'FRT blocking' (canon.py on takeoff_canon.json)</t>
  </si>
  <si>
    <t xml:space="preserve">Stud blocking at edge of gypboard (structural detail)</t>
  </si>
  <si>
    <t xml:space="preserve">familias_out.json metal_blocking_by_origin 'metal stud blocking (362CR / STUD BLOCKING)' (edge)</t>
  </si>
  <si>
    <t xml:space="preserve">Metal stud blocking at wall-mounted items (notes)</t>
  </si>
  <si>
    <t xml:space="preserve">familias_out.json metal_blocking_by_origin 'metal stud blocking (362CR / STUD BLOCKING)' (items)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</si>
  <si>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</si>
  <si>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</si>
  <si>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 (canon.py on takeoff_canon.json)</t>
  </si>
  <si>
    <t xml:space="preserve">Cement board (substrate under the FRP cove base band)</t>
  </si>
  <si>
    <t xml:space="preserve">familias_out.json 'cement board' (canon.py on takeoff_canon.json)</t>
  </si>
  <si>
    <t xml:space="preserve">FRP panels</t>
  </si>
  <si>
    <t xml:space="preserve">familias_out.json 'FRP' (canon.py on takeoff_canon.json)</t>
  </si>
  <si>
    <t xml:space="preserve">Acoustical sealant</t>
  </si>
  <si>
    <t xml:space="preserve">tube (25 LF per tube)</t>
  </si>
  <si>
    <t xml:space="preserve">familias_out.json 'acoustical sealant' (canon.py on takeoff_canon.json)</t>
  </si>
  <si>
    <t xml:space="preserve">Framed openings - MEP, light slots and diffusers</t>
  </si>
  <si>
    <t xml:space="preserve">framed_openings_out.json 'framed openings MEP' (framed_openings.py on fo_in.json)</t>
  </si>
  <si>
    <t xml:space="preserve">Bottom track 3-5/8"</t>
  </si>
  <si>
    <t xml:space="preserve">familias_out.json track_by_element 'bottom track (all)' (R73.3)</t>
  </si>
  <si>
    <t xml:space="preserve">Bottom track 6"</t>
  </si>
  <si>
    <t xml:space="preserve">Bottom track 1-5/8"</t>
  </si>
  <si>
    <t xml:space="preserve">Bottom track - other framing (not a partition type, see source)</t>
  </si>
  <si>
    <t xml:space="preserve">Bottom track - roof step and heads (vestibule / bulkhead)</t>
  </si>
  <si>
    <t xml:space="preserve">Parapet bottom track</t>
  </si>
  <si>
    <t xml:space="preserve">Top / deflection track 3-5/8"</t>
  </si>
  <si>
    <t xml:space="preserve">familias_out.json track_by_element 'top / deflection track (all)' (R73.3)</t>
  </si>
  <si>
    <t xml:space="preserve">Top / deflection track 6"</t>
  </si>
  <si>
    <t xml:space="preserve">Top / deflection track 1-5/8"</t>
  </si>
  <si>
    <t xml:space="preserve">Top / deflection track - other framing (not a partition type, see source)</t>
  </si>
  <si>
    <t xml:space="preserve">Top track - roof step and heads (vestibule / bulkhead)</t>
  </si>
  <si>
    <t xml:space="preserve">Parapet top track</t>
  </si>
  <si>
    <t xml:space="preserve">3-5/8" stud, framed soffit 9/A12.08 (LF)</t>
  </si>
  <si>
    <t xml:space="preserve">familias_out.json stud_by_element '3-5/8" stud (all gauges)' (v76)</t>
  </si>
  <si>
    <t xml:space="preserve">Blocking 2X wood (not labeled FRT)</t>
  </si>
  <si>
    <t xml:space="preserve">familias_out.json wood_blocking_lf 'FRT blocking' (v76)</t>
  </si>
  <si>
    <t xml:space="preserve">5/8" FRT plywood sheathing (canopy and soffits)</t>
  </si>
  <si>
    <t xml:space="preserve">familias_out.json FRT plywood by material; canon rows</t>
  </si>
  <si>
    <t xml:space="preserve">Exterior sheathing 5/8" FRT plywood bonded to 2-1/2" polyiso</t>
  </si>
  <si>
    <t xml:space="preserve">FRT plywood substrate (3/4 in.)</t>
  </si>
  <si>
    <t xml:space="preserve">3/4" FRT plywood at storefront piers</t>
  </si>
  <si>
    <t xml:space="preserve">5/8" FRT plywood at canopy column wraps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</si>
  <si>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</si>
  <si>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</si>
  <si>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</si>
  <si>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</si>
  <si>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</si>
  <si>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</si>
  <si>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</si>
  <si>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</si>
  <si>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</si>
  <si>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 (mep.cruces on the A02.01 band, registered dx -571.92 dy 21.84); 6/S5.20; P01.02 (3/4in HW, crossing read on the image); 6/S5.20; P01.02 (1in CW, crossing read on the image); 6/S5.20; P01.01 (2in ST, crossing read on the ima</t>
  </si>
  <si>
    <t xml:space="preserve">Extra framing - sistered stud and furring at the ATM recess</t>
  </si>
  <si>
    <t xml:space="preserve">accesorios.py [CRITERION]: 6/A08.11</t>
  </si>
  <si>
    <t xml:space="preserve">2-1/2" CFMF @ 16" O.C. at coiling grille head (4/A08.21)</t>
  </si>
  <si>
    <t xml:space="preserve">accesorios.py [DERIVED]: 4/A08.21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</si>
  <si>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</si>
  <si>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</si>
  <si>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</si>
  <si>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A/A08.01 - D/A08.01 (5ft-0in TO TOP OF FRP, measured above the cove base, rule 53.9); A02.01 (L-shaped room); A/A08.01 - D/A08.01 (5ft-0in TO TOP OF FRP, measured above the cove base, rule 53.9); A02.01 (L-shaped room: step at the drinking </t>
  </si>
  <si>
    <t xml:space="preserve">Power-driven fasteners and duct sleeves</t>
  </si>
  <si>
    <t xml:space="preserve">accesorios.py [DERIVED]: Parapet infill: PAFs SPACED AT 12" O.C. MAX to the steel beam; M01.01</t>
  </si>
  <si>
    <t xml:space="preserve">Access panel 2'x2'</t>
  </si>
  <si>
    <t xml:space="preserve">accesorios.py [CONFIRMED]: A04.01 (key note 4: 2ft X 2ft LOCKING ACCESS PANEL, KEYED TO MATCH MAIN ENTRY, in GB ceiling vestibule 100)</t>
  </si>
  <si>
    <t xml:space="preserve">Drywall screws 1-1/4" bugle head</t>
  </si>
  <si>
    <t xml:space="preserve">accesorios.py [DERIVED]: Inputs!B20 (Drywall screws per SF of board = 1.2) x 17744.5 SF of board</t>
  </si>
  <si>
    <t xml:space="preserve">Framing screws, pan head self-drilling</t>
  </si>
  <si>
    <t xml:space="preserve">accesorios.py [DERIVED]: Inputs!B21 (Framing screws per stud piece = 4) x 1733 stud pieces</t>
  </si>
  <si>
    <t xml:space="preserve">Power-driven fasteners, slab pins for the bottom track</t>
  </si>
  <si>
    <t xml:space="preserve">accesorios.py [DERIVED]: 534.62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</si>
  <si>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</si>
  <si>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214.09 LF of exterior bottom track on slab / Inputs!B25 (Expansion anchor spacing (ft) = 0.667)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</si>
  <si>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</si>
  <si>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</si>
  <si>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</si>
  <si>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17744.5 SF of board</t>
  </si>
  <si>
    <t xml:space="preserve">Joint tape, paper</t>
  </si>
  <si>
    <t xml:space="preserve">accesorios.py [DERIVED]: Inputs!B24 (Joint tape (LF per SF) = 0.37) x 17744.5 SF of board</t>
  </si>
  <si>
    <t xml:space="preserve">Level 5 finish</t>
  </si>
  <si>
    <t xml:space="preserve">accesorios.py [DERIVED]: A05.01 (WC-18 B-11 tag on the OFFICE 1 ME 105 wall, extent arrows corner to corner); A00.40 (WC-18 LEVEL 5); A05.01 (WC-18 B-11 tag on the OFFICE 2 CL 106 wall, extent arrows corner to corner); A00.40 (WC-18 LEVEL 5); A05.01 (WC-18 B-11 tag</t>
  </si>
  <si>
    <t xml:space="preserve">Deflection clips at non-load-bearing walls to structure</t>
  </si>
  <si>
    <t xml:space="preserve">accesorios.py [CRITERION]: S1.11 (LIGHT GAUGE STEEL FRAMING note 2: PROVIDE MANUFACTURER'S STANDARD VERTICAL DEFLECTION CLIPS AT NON-LOAD-BEARING WALLS, max 1 inch movement); 3/A12.01 (CONTINUOUS SLIP TRACK also 1/A12.01, 4/A12.01, 9/A12.01; exterior DEFLECTION TRACK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</si>
  <si>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</si>
  <si>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</si>
  <si>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</si>
  <si>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</si>
  <si>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</si>
  <si>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100.54 lf</t>
  </si>
  <si>
    <t xml:space="preserve">RFI-ACC-stud-reinforcement-mep</t>
  </si>
  <si>
    <t xml:space="preserve">stud reinforcement MEP: plates at double-row stud walls: one per cut row (R72.9) vs one per crossing</t>
  </si>
  <si>
    <t xml:space="preserve">-9 pcs</t>
  </si>
  <si>
    <t xml:space="preserve">RFI-ACC-stud-reinforcement-mep-2</t>
  </si>
  <si>
    <t xml:space="preserve">stud reinforcement MEP: crossings read by hand (not found by mep.cruces): confirm each one on the M / P sheets (R73.5)</t>
  </si>
  <si>
    <t xml:space="preserve">8 pcs</t>
  </si>
  <si>
    <t xml:space="preserve">RFI-ACC-stud-reinforcement-mep-3</t>
  </si>
  <si>
    <t xml:space="preserve">stud reinforcement MEP: duct / fire damper openings listed outside the registered MEP sweep (R73.5)</t>
  </si>
  <si>
    <t xml:space="preserve">4 pcs</t>
  </si>
  <si>
    <t xml:space="preserve">RFI-ACC-extra-framing-atm</t>
  </si>
  <si>
    <t xml:space="preserve">extra framing ATM: ATM-2: ATM recess not fully dimensioned (width CONFIRMED, sistered height CRITERION, furring rows CRITERION)</t>
  </si>
  <si>
    <t xml:space="preserve">-0 lf</t>
  </si>
  <si>
    <t xml:space="preserve">RFI-ACC-gypsum-board-jamb-return</t>
  </si>
  <si>
    <t xml:space="preserve">gypsum board jamb return: jamb return width not dimensioned</t>
  </si>
  <si>
    <t xml:space="preserve">-40.29 sf</t>
  </si>
  <si>
    <t xml:space="preserve">RFI-ACC-expansion-anchors</t>
  </si>
  <si>
    <t xml:space="preserve">expansion anchors: untagged parts of piers / boxes (A-X-PNW, A-X-PNE) without anchorage in the schedule (R72.8)</t>
  </si>
  <si>
    <t xml:space="preserve">9.21 pcs</t>
  </si>
  <si>
    <t xml:space="preserve">RFI-ACC-slab-pins</t>
  </si>
  <si>
    <t xml:space="preserve">slab pins: pin spacing: 12" (interior anchorage) vs 16" (fastener schedule) vs 24" (type K box)</t>
  </si>
  <si>
    <t xml:space="preserve">16in: -133.66 pcs; 24in: -267.31 pcs</t>
  </si>
  <si>
    <t xml:space="preserve">RFI-ACC-deflection-clips</t>
  </si>
  <si>
    <t xml:space="preserve">deflection clips: deflection clips: the general note asks for them at non-load-bearing walls and the partition details draw a slip / deflection track (R73.6)</t>
  </si>
  <si>
    <t xml:space="preserve">720 pcs</t>
  </si>
  <si>
    <t xml:space="preserve">A00-RFI-01</t>
  </si>
  <si>
    <t xml:space="preserve">B2K tag on A02.01 is not in the A12.01 partition schedule; derived as B2 + ballistic K (7 5/8in, measured 7.68in) [A02.01]</t>
  </si>
  <si>
    <t xml:space="preserve">alternatives: B2K as B2 + 3/8in fiberglass panel to 8ft-0in + 3/8in gyp above on customer face (carried) vs plain B2 (no ballistic, no 3/8in gyp): delta = segment LF x 8.0 ft ballistic SF and LF x (H - 8.0) 3/8in gyp SF</t>
  </si>
  <si>
    <t xml:space="preserve">A00-RFI-02</t>
  </si>
  <si>
    <t xml:space="preserve">Canopy B.O.D. printed 111ft-9in TYP. @ CANOPY on S2.20 [S2.20]</t>
  </si>
  <si>
    <t xml:space="preserve">read 11ft-9in (printed top-of-steel elevation 11ft-9in at canopy beams, T/ STEEL 11ft-9in on A09.23); any other value changes canopy framing heights by (value - 11.75) ft</t>
  </si>
  <si>
    <t xml:space="preserve">A00-RFI-03</t>
  </si>
  <si>
    <t xml:space="preserve">Loose text @ LOW ROOF inside the E-B bay on S2.20 while the grid B beams are labeled (HI) on the north side and (LOW) on the south side [S2.20]</t>
  </si>
  <si>
    <t xml:space="preserve">zone E-B carried as HI 15ft-4 1/2in (no HI/LOW at grid E); if LOW, walls in E-B lose 15.375 - 13.052 = 2.323 ft of height each</t>
  </si>
  <si>
    <t xml:space="preserve">A00-RFI-04</t>
  </si>
  <si>
    <t xml:space="preserve">Exterior studs: S1.11 note 5 600S162-54 @ 12in within 6 ft of building corners / @ 16in elsewhere vs 7/S5.20 600S137-33 @ 16in [S1.11]</t>
  </si>
  <si>
    <t xml:space="preserve">carried S1.11 (54 mil, extra studs at 12in in 6 ft corner zones); alternative 33 mil @ 16in: delta = studs in corner zones (ROUNDUP(6/1.0) - ROUNDUP(6/1.333)) per corner face and gauge change</t>
  </si>
  <si>
    <t xml:space="preserve">A00-RFI-05</t>
  </si>
  <si>
    <t xml:space="preserve">A1K / A5K: 4/A12.01 14 GA metal studs @ 24in O.C. MAX vs 7/S5.20 interior 362S137-33 @ 16in O.C. [4/A12.01]</t>
  </si>
  <si>
    <t xml:space="preserve">carried 16in O.C. (more studs) with 14 GA per detail; alternative 24in: delta = ROUNDUP(L/1.333) - ROUNDUP(L/2.0) studs per K wall</t>
  </si>
  <si>
    <t xml:space="preserve">A00-RFI-06</t>
  </si>
  <si>
    <t xml:space="preserve">G / G1 1 5/8in studs: gauge and O.C. not printed; 5/A12.01 top line not labeled [5/A12.01]</t>
  </si>
  <si>
    <t xml:space="preserve">carried 16in O.C. double row, to underside of deck with slip track per 9/A12.01 and 10/A12.01; alternative to ceiling height changes stud/board height per G wall by (B.O.D. - ceiling) ft</t>
  </si>
  <si>
    <t xml:space="preserve">A00-RFI-07</t>
  </si>
  <si>
    <t xml:space="preserve">Interior 6in studs (A5, A5K, A8, B2) and 3 5/8in / 6in interior track designations not printed (7/S5.20 lists 362S137-33 interior, 600S137-33 exterior, 600T125-33 / 600T200-97 tracks) [7/S5.20]</t>
  </si>
  <si>
    <t xml:space="preserve">carried 600S137-33 studs and matching 33 mil tracks; no quantity delta, material description only</t>
  </si>
  <si>
    <t xml:space="preserve">A00-RFI-08</t>
  </si>
  <si>
    <t xml:space="preserve">Deflection clips at non-load-bearing walls (S1.11 note 2) while partition details draw continuous slip track [S1.11]</t>
  </si>
  <si>
    <t xml:space="preserve">accesorios: 0 carried + RFI one clip per full-height stud of walls to structure</t>
  </si>
  <si>
    <t xml:space="preserve">A00-RFI-09</t>
  </si>
  <si>
    <t xml:space="preserve">Interior bottom track fastening: 7/S5.20 HILTI DNI @ 12in O.C. vs 3/S5.20 fastener schedule level 1-3 @ 16in O.C. vs 4/A12.01 PAF @ 2ft-0in O.C. (K walls) [7/S5.20]</t>
  </si>
  <si>
    <t xml:space="preserve">carried 12in (most pins); alternative 16in: delta = LF/1.0 - LF/1.333 pins</t>
  </si>
  <si>
    <t xml:space="preserve">A00-RFI-10</t>
  </si>
  <si>
    <t xml:space="preserve">Deck flute direction: derived H (E-W) from S2.20 supports; 10/A09.33 alternate detail says VIF flute direction [S2.20]</t>
  </si>
  <si>
    <t xml:space="preserve">purlin on H tracks to deck carried; if flutes ran V the purlin would move to V tracks (delta = LF of H vs V tracks to deck x 0.75)</t>
  </si>
  <si>
    <t xml:space="preserve">A00-RFI-11</t>
  </si>
  <si>
    <t xml:space="preserve">Header schedule 7/S5.20 has no row for exterior non-load-bearing walls nor for spans &gt; 8ft-0in [7/S5.20]</t>
  </si>
  <si>
    <t xml:space="preserve">openings outside the schedule: header = 0 LF + RFI with (R.O. + 1ft-4in) x pieces of the alternative</t>
  </si>
  <si>
    <t xml:space="preserve">A00-RFI-12</t>
  </si>
  <si>
    <t xml:space="preserve">C1 (6/A12.01) stud and board top not shown (break line) [6/A12.01]</t>
  </si>
  <si>
    <t xml:space="preserve">carried to deck (53.3 / 60.11); alternative ceiling + 6in: delta = LF x (B.O.D. - ceiling - 0.5) SF board and stud length</t>
  </si>
  <si>
    <t xml:space="preserve">A00-RFI-13</t>
  </si>
  <si>
    <t xml:space="preserve">Stud bay module: rule 59.8 14 3/8in vs printed 362S137-33 flange 1 3/8in (16 - 1.375 = 14.625 in) [7/S5.20]</t>
  </si>
  <si>
    <t xml:space="preserve">affects only openings 14.375 &lt; R.O. &lt;= 14.625 in (header/sill 0 vs (R.O. + 1ft-4in) x pieces)</t>
  </si>
  <si>
    <t xml:space="preserve">RFI-O1</t>
  </si>
  <si>
    <t xml:space="preserve">Vestibule fronts VB-101 / VB-100A: METAL STUD FRAMING &amp; BOX HEADER AS NEEDED, size not printed (E11) [6/A12.10]</t>
  </si>
  <si>
    <t xml:space="preserve">VB-101 (15.6458 + 1.3333) x 4 = 67.92 LF; VB-100A (6.4167 + 1.3333) x 4 = 31.0 LF of box header</t>
  </si>
  <si>
    <t xml:space="preserve">RFI-O2</t>
  </si>
  <si>
    <t xml:space="preserve">CSR-116 teller line opening 12ft-0 1/4in R.O.: no header called (9/A12.08 soffit only); span beyond 7/S5.20 (8ft-0in max) [9/A12.08]</t>
  </si>
  <si>
    <t xml:space="preserve">0 header (soffit framing only, as drawn): 0 LF; box beam 4 pieces: 53.42 LF</t>
  </si>
  <si>
    <t xml:space="preserve">RFI-O3</t>
  </si>
  <si>
    <t xml:space="preserve">ATM-2 R.O. width: 2ft-2 1/2in (7/A08.11 plan) vs 2ft-2 1/8in (5/A08.11 elevation) [7/A08.11]</t>
  </si>
  <si>
    <t xml:space="preserve">2ft-2 1/2in (kept): 0 LF; 2ft-2 1/8in: -0.125 LF</t>
  </si>
  <si>
    <t xml:space="preserve">RFI-O4</t>
  </si>
  <si>
    <t xml:space="preserve">ATM-2 recess: sistered stud height and furring rows not dimensioned (6/A08.11); R72.11 alternatives in atm_recess [6/A08.11]</t>
  </si>
  <si>
    <t xml:space="preserve">see ATM-2 atm_recess.alternativas (accesorios computes the delta per alternative)</t>
  </si>
  <si>
    <t xml:space="preserve">RFI-O5</t>
  </si>
  <si>
    <t xml:space="preserve">Office fronts CONT. BOX BEAM run length: continuous jamb-to-jamb run per front line (declared) vs one run per office front [8/A12.01]</t>
  </si>
  <si>
    <t xml:space="preserve">continuous per line (declared): OF-EAST (39.9733 + 1.3333) x 4 = 165.23 LF; OF-WEST (18.5067 + 1.3333) x 4 = 79.36 LF: 0 LF; per office front 7ft-6in: 6 x (7.5 + 1.3333) x 4 = 212.0 LF: -32.59 LF</t>
  </si>
  <si>
    <t xml:space="preserve">RFI-O6</t>
  </si>
  <si>
    <t xml:space="preserve">FEC-1 recessed fire extinguisher cabinet: cabinet width not printed (A00.40, spec 10 44 00); framed opening if wider than 14 3/8in [A00.40]</t>
  </si>
  <si>
    <t xml:space="preserve">if wider than the stud bay: 1 framed opening (2 jamb studs + head and sill track); counted 0 until the width is confirmed (R71.6)</t>
  </si>
  <si>
    <t xml:space="preserve">RFI-O7</t>
  </si>
  <si>
    <t xml:space="preserve">TA-2 / TA-13 / TA-14 recessed toilet accessories: widths not printed (A08.01 legend 'refer to elevation') [A08.01]</t>
  </si>
  <si>
    <t xml:space="preserve">per unit wider than 14 3/8in: one framed opening; counted 0 until confirmed (R71.6)</t>
  </si>
  <si>
    <t xml:space="preserve">A-W1-RFI-01</t>
  </si>
  <si>
    <t xml:space="preserve">Customer (ballistic) side of the A1K returns of the CASH WINDOW 116 teller pod not labeled on A02.01; carried by the contour (B2K south face -&gt; jog -&gt; A1K PT0011 north face; PT0013 north face -&gt; jog -&gt; PT0012 south face) [A02.01; 4/A12.01]</t>
  </si>
  <si>
    <t xml:space="preserve">switching PT0011 / PT0012 customer face to the 116 side changes no ballistic LF (same lengths); it only moves the 3/8in panel to the teller face</t>
  </si>
  <si>
    <t xml:space="preserve">A-W1-RFI-02</t>
  </si>
  <si>
    <t xml:space="preserve">A1K stud O.C.: 4/A12.01 24in O.C. MAX vs 7/S5.20 16in; 16in carried (A00-RFI-05). Note 00_constants details[4/A12.01].oc_in = 24 differs from stud_designations (carry 16) [4/A12.01; 7/S5.20]</t>
  </si>
  <si>
    <t xml:space="preserve">PT0011 + PT0012 + PT0013 = 8.597 LF: 16in vs 24in O.C. = about 3 studs less per wall x 3 walls x 13-15 ft</t>
  </si>
  <si>
    <t xml:space="preserve">A-W2-RFI-01</t>
  </si>
  <si>
    <t xml:space="preserve">B2K (PC0011) customer side and contour closure [A02.01]</t>
  </si>
  <si>
    <t xml:space="preserve">customer face carried = CENTRAL ZONE 103 (south). Alternative north face (OFFICE 4 CB 108): ballistic SF identical (1.7733 x 8.0 = 14.19 SF either way), only the face that receives 3/8in gyp above 8 ft changes; the jog block horizontal coordinate 1653.96-1661.76 pt / vertical coordinate 1118.04-1120.68 pt (2.64 pt = 0.147 ft) to the A1K line belongs to the K contour owner</t>
  </si>
  <si>
    <t xml:space="preserve">A-W2-RFI-02</t>
  </si>
  <si>
    <t xml:space="preserve">Roof hatch beam without W mark on S2.20 over the B wall PT0020 / PT0023 (janitor / storage south wall) [S2.20]</t>
  </si>
  <si>
    <t xml:space="preserve">carried B.O.D. over the whole wall (tool found no mark within its search; a W14x22 text is printed just below this beam line on S2.20, ownership unclear). If W8X10 like the twin over PT0019: 5.29 ft of wall stop 0.6575 ft lower -&gt; about 3.3 LF studs and 6.96 SF board (2 faces) less; if W14X22: 1.1417 ft lower -&gt; about 5.7 LF studs and 12.08 SF board less</t>
  </si>
  <si>
    <t xml:space="preserve">A-W2-RFI-03</t>
  </si>
  <si>
    <t xml:space="preserve">Exterior L of the vestibule 100 storefront corner piers (C1 tags PT0030, PT0031): no printed FOS chain (R71.2) [A02.01]</t>
  </si>
  <si>
    <t xml:space="preserve">C1 carries only the interior faces with board; the exterior faces (NW pier north 46.08 pt = 2.56 ft + west 35.52 pt = 1.97 ft; NE pier north 46.2 pt = 2.57 ft + east above the storefront 24.12 pt = 1.34 ft; total 8.44 LF x B.O.D. 15.375 ft = 129.8 SF) belong to the exterior system and are not quantified here</t>
  </si>
  <si>
    <t xml:space="preserve">A-W3-RFI-02</t>
  </si>
  <si>
    <t xml:space="preserve">G1 PT0048 and G PT0045 partly under W8x10 infill beams (S2.20): carried to B.O.D. [S2.20]</t>
  </si>
  <si>
    <t xml:space="preserve">if the studs stop under the W8x10 over the covered length: 3.354 ft (PT0048) and 3.36 ft (PT0045) x 0.6575 ft lower; board 2 faces x 2 layers: (3.354 + 3.36) x 0.6575 x 4 = 17.66 SF less; studs ROUNDUP(3.36 / 1.3333) x 2 rows = 6 per wall x 0.6575 ft = 7.89 LF less in total</t>
  </si>
  <si>
    <t xml:space="preserve">A-W3-RFI-03</t>
  </si>
  <si>
    <t xml:space="preserve">G PT0042 (ATM room 102 / office 109) under two collinear beams with different marks (W12x19 (HI) and W8x10, S2.20) over part of its length; carried to B.O.D. [S2.20]</t>
  </si>
  <si>
    <t xml:space="preserve">stop under beams: 3.015 ft x 1.0167 ft (W12x19) + 3.82 ft x 0.6575 ft (W8x10) less height; board x 4 = (3.065 + 2.512) x 4 = 22.31 SF less</t>
  </si>
  <si>
    <t xml:space="preserve">A-W3-RFI-04</t>
  </si>
  <si>
    <t xml:space="preserve">Corner of the east office front line with the hatched B2K wall (PC0011) south of office 108: unhatched G-thickness piece 1100.52 to 1118.04 pt carried as a G segment [A02.01]</t>
  </si>
  <si>
    <t xml:space="preserve">if B2K owns the corner, the G piece is a 4in stub (R74.2): 0.9733 - 0.3333 = 0.64 LF of G less (and B2K + 0.51 LF)</t>
  </si>
  <si>
    <t xml:space="preserve">A-W3-RFI-05</t>
  </si>
  <si>
    <t xml:space="preserve">R71.16: vendor end of office front 109 shared by the 4in G1 stub (A-W3-G1-S109N) and the bulkhead A-W3-BH-109 [10/A12.01]</t>
  </si>
  <si>
    <t xml:space="preserve">carried: stub with its own studs (1 per row field + vendor_end +1); alternative: closure stud only (vendor_end on the bulkhead side): -2 studs x 15.375 ft = -30.75 LF of 1 5/8in stud</t>
  </si>
  <si>
    <t xml:space="preserve">X-RFI-01</t>
  </si>
  <si>
    <t xml:space="preserve">Exterior elevation titles transposed: 1/A09.01 titled SOUTH ELEVATION is the north face (A02.01 callout at the top, arrow south) and 2/A09.02 titled NORTH ELEVATION is the south face; the north arrow governs (R71.1) [A02.01]</t>
  </si>
  <si>
    <t xml:space="preserve">no quantity delta; facade letters N / S taken from the arrow</t>
  </si>
  <si>
    <t xml:space="preserve">X-RFI-02</t>
  </si>
  <si>
    <t xml:space="preserve">Canopy beams (W16x26 / W12x19 (CANOPY), S2.20) run inside the 6in stud cavity of the exterior walls on the canopy facades (15/A09.27, 3/A09.26); studs carried full height slab to under the roof edge beam [15/A09.27]</t>
  </si>
  <si>
    <t xml:space="preserve">carried continuous (inventario.py canopy_beam_split rule: one decision per project, continuous). Alternative split at the canopy beams (S2.20 (CANOPY) W12x19 d 1.0167 / W16x26 d 1.3083 / HSS10x3 d 0.833 on grids 2, D, 3, F and 8): every stud on those lines loses the beam depth and 2 track lines are added along each beam (about EN 2 x 47.2, W2N 2 x 22.4, W1 2 x 21.5, N 2 x 13.2, J 2 x 3.9 LF); storefront cripples SC1 4.98 -&gt; 3.97, SC2 4.525 -&gt; 3.22, SC3 4.98 -&gt; 3.68 ft (ADV1-F4)</t>
  </si>
  <si>
    <t xml:space="preserve">X-RFI-03</t>
  </si>
  <si>
    <t xml:space="preserve">SF-2 cripples: W16x26 (CANOPY) T.O.S. 12ft-2 3/4in lies between the HSS lintel and the W18x35 (HI) on grid F (S2.20); cripples carried 4.525 ft continuous [S2.20]</t>
  </si>
  <si>
    <t xml:space="preserve">alternative two short runs: minus 1.3083 ft x studs of A-X-SC2 (ROUNDUP(26.25/1.333)+1 = 21 studs -&gt; -27.5 LF) and +2 x 26.25 LF track</t>
  </si>
  <si>
    <t xml:space="preserve">X-RFI-04</t>
  </si>
  <si>
    <t xml:space="preserve">Interior 5/8in gyp of exterior walls labeled TO DECK while the studs stop at the deflection track under the perimeter beam (10/S5.10); board carried to B.O.D. [C/A09.21]</t>
  </si>
  <si>
    <t xml:space="preserve">alternative board to stud top: minus L x d per wall (e.g. A-X-EN 50.39 x 1.0167 = 51.2 SF; A-X-SW 34.01 x 1.475 = 50.2 SF)</t>
  </si>
  <si>
    <t xml:space="preserve">X-RFI-05</t>
  </si>
  <si>
    <t xml:space="preserve">Roof step 4/A02.02 heights not dimensioned (T/STEEL - SEE STRUCTURAL): run heights derived from S2.20 B.O.D. HI 15ft-4 1/2in, LOW 13ft-0 5/8in and W14x22 (LOW) d [4/A02.02]</t>
  </si>
  <si>
    <t xml:space="preserve">RS1 carried 3.1133 ft from the 4/A02.02 vector (LOW deck to the underside of the 2X FRT blocking above the HI tapered insulation); alternative stop at the HI deck 15.375 - 13.052 = 2.323 ft: -0.79 ft x 51.59 LF = -40.8 SF nailbase and -0.79 LF per 3 5/8in stud (ROUNDUP(51.59/1.333)+1 = 40 studs, -31.6 LF); RS2 3.465 ft; RS3 1.142 ft</t>
  </si>
  <si>
    <t xml:space="preserve">X-RFI-07</t>
  </si>
  <si>
    <t xml:space="preserve">Tower parapet return at grid 4 (A02.02 key note 10, ACM coping) stands above the roof on both faces; roof-side 5/8in exterior gyp carried on both faces plus the end [A02.02]</t>
  </si>
  <si>
    <t xml:space="preserve">if one face only: minus 3.82 x 4.29 = 16.4 SF exterior gyp</t>
  </si>
  <si>
    <t xml:space="preserve">X-RFI-08</t>
  </si>
  <si>
    <t xml:space="preserve">Vestibule heads VB-101 / VB-100A: stud size and box header depth not printed (A12.10 METAL STUD FRAMING &amp; BOX HEADER AS NEEDED); 3 5/8in carried, studs from the header bottom (10ft-0in) to structure [6/A12.10]</t>
  </si>
  <si>
    <t xml:space="preserve">6in alternative changes 22.06 LF of head to the 6in family; box depth (not printed) would shorten the head studs</t>
  </si>
  <si>
    <t xml:space="preserve">X-RFI-09</t>
  </si>
  <si>
    <t xml:space="preserve">Canopy column wraps 5/A09.25: wrap height to the canopy framing B/STUD 10ft-7 1/4in (16/A09.27) carried; B/CANOPY finish 10ft-6in on the elevations [5/A09.25]</t>
  </si>
  <si>
    <t xml:space="preserve">alternative 10.5 ft: minus 0.104 ft x 12 studs x 4 wraps = 5.0 LF and 0.104 x 5.667 x 4 = 2.4 SF FRT plywood</t>
  </si>
  <si>
    <t xml:space="preserve">X-RFI-10</t>
  </si>
  <si>
    <t xml:space="preserve">S1.11 note 5 12in O.C. within 6 ft of building corners applied at the convex corners (NE, SE, SW, grid 2 / jog); the re-entrant corner jog / grid 3 not treated as a building corner [S1.11]</t>
  </si>
  <si>
    <t xml:space="preserve">if re-entrant included: + ROUNDUP(6/1.0) - ROUNDUP(6/1.333) = 1 stud on A-X-W2N and 0 on A-X-J (already 12in) x 14.36 ft</t>
  </si>
  <si>
    <t xml:space="preserve">X-RFI-11</t>
  </si>
  <si>
    <t xml:space="preserve">Grid 2 exterior wall at ATM ROOM 102 (vertical coordinate 744-840 pt) drawn with its inner face at x 833.40 (ATM surround 6/A08.11) vs 841.56 on the 24 HR vestibule part; one axis wall A-X-W1 carried with 6in studs over its full length [A02.01]</t>
  </si>
  <si>
    <t xml:space="preserve">no LF delta; framing of the ATM recess in 01_openings ATM-2 atm_recess</t>
  </si>
  <si>
    <t xml:space="preserve">X-RFI-12</t>
  </si>
  <si>
    <t xml:space="preserve">Roof step lower run A-X-RS3 also tops at the LOW deck; one purlin piece per roof-step line (59.1) carried on A-X-RS2 [4/A02.02]</t>
  </si>
  <si>
    <t xml:space="preserve">if a second purlin: + 0.75 x 51.59 = 38.7 LF purlin</t>
  </si>
  <si>
    <t xml:space="preserve">A-C-RFI-01</t>
  </si>
  <si>
    <t xml:space="preserve">None [E00.01]</t>
  </si>
  <si>
    <t xml:space="preserve">R-11C/R-11CE: E00.01 description 12ft linear vs catalog FSM2L...-20ft-0in; drawn 12ft (A04.01 R-11 (12') bars 215.88 pt = 11.99 ft); carried 12 ft; delta = 2 x (20 - 12) x 4 = 64 LF framed opening</t>
  </si>
  <si>
    <t xml:space="preserve">A-C-RFI-03</t>
  </si>
  <si>
    <t xml:space="preserve">None [M01.01]</t>
  </si>
  <si>
    <t xml:space="preserve">Restrooms 113/114: A04.01 draws 2'x2' HVAC diffuser symbols (2 per room) while M01.01 draws 2ft slot devices (SD, outer 2.29 ft x 7.8in, 75 / 60 CFM); carried M01.01; alternative 2'x2': delta = 4 x (2 x (2 + 2) - 2 x (2.293 + 0.647)) = 8.5 LF</t>
  </si>
  <si>
    <t xml:space="preserve">A-C-RFI-04</t>
  </si>
  <si>
    <t xml:space="preserve">None [7/A09.33]</t>
  </si>
  <si>
    <t xml:space="preserve">Transition 7/A09.33 vertical studs to structure: spacing not printed; carried @ 48in with kickers; @ 16in would add (ROUNDUP(L/1.333)+1 - (ROUNDUP(L/4)+1)) x 4.375 ft per transition (N 17.03 ft: +9 x 4.375 = 39.4 LF; W/E 30 ft: +15 x 4.375 = 65.6 LF each)</t>
  </si>
  <si>
    <t xml:space="preserve">A-C-RFI-05</t>
  </si>
  <si>
    <t xml:space="preserve">None [10/A09.33]</t>
  </si>
  <si>
    <t xml:space="preserve">CSR soffit blocking: 10/A09.33 PROVIDE FRTW BLOCKING FOR FUTURE (2x members 3 1/2in + 5 1/2in) vs 9/A12.08 5/8in FIRE TREATED PLYWOOD BLOCKING; carried FRT 12.01 LF one run; alternative plywood strip 12.01 LF x 9in = 9.0 SF</t>
  </si>
  <si>
    <t xml:space="preserve">A-C-RFI-06</t>
  </si>
  <si>
    <t xml:space="preserve">None [16/A09.27]</t>
  </si>
  <si>
    <t xml:space="preserve">Drive-up canopy key note 12 SA-4 SCREEN VENT AS SPECIFIED (continuous vents along column line, 16/A09.27 SOFFIT VENT (SA-4)): not framed as openings (plaster accessory); if framing is required the delta is 2 x vent length per vent line (3 lines ~ 4 x 2 ft spacing per A04.01)</t>
  </si>
  <si>
    <t xml:space="preserve">A-C-RFI-08</t>
  </si>
  <si>
    <t xml:space="preserve">None [A04.01]</t>
  </si>
  <si>
    <t xml:space="preserve">Carrying channel direction not drawn for suspended GWB ceilings; carried along the longer room dimension (fewer carrying lines); alternative across: delta per room = carrying LF difference (e.g. waiting 104: 5 x 30.0 = 150 LF vs 9 x 17.03 = 153.3 LF)</t>
  </si>
  <si>
    <t xml:space="preserve">A-C-RFI-09</t>
  </si>
  <si>
    <t xml:space="preserve">None [S2.20]</t>
  </si>
  <si>
    <t xml:space="preserve">CSR soffit crosses grid B (HI / LOW roof): drop studs carried to HI B.O.D. 15ft-4 1/2in north of grid B and 13ft-0 5/8in south (double W14x22 beam at grid B); if the drop framing stops under the grid B beams the height changes by the beam depth on 0.17 ft of line</t>
  </si>
  <si>
    <t xml:space="preserve">A-I-RFI-01</t>
  </si>
  <si>
    <t xml:space="preserve">P01.01 / P01.02 MEP registration below 25 votes (mep.registro vy 14 after the MediaBox origin correction): the 9 pipe crossings (2in storm through exterior walls, 3/4in HW, 1in CW) are listed manual and stay out of stud reinforcement (R73.5) [P01.01]</t>
  </si>
  <si>
    <t xml:space="preserve">+5 plates if the 2in storm pipes through stud webs take a plate (pipes &lt;= 1in: 0)</t>
  </si>
  <si>
    <t xml:space="preserve">A-I-RFI-02</t>
  </si>
  <si>
    <t xml:space="preserve">toilet accessory blocking: TA-7 / TA-13 / TA-16 widths measured on the A08.01 elevations; TA-6/8/9/10/17 widths not printed, one 16in stud bay each [A08.01]</t>
  </si>
  <si>
    <t xml:space="preserve">each of TA-6/8/9/10/17 that needs 2 bays instead of 1: +1.3333 LF FRT blocking (up to +6.67 LF per room)</t>
  </si>
  <si>
    <t xml:space="preserve">A-I-RFI-03</t>
  </si>
  <si>
    <t xml:space="preserve">millwork blocking material: A12.04 / A12.06 shelving notes ask PRESSURE TREATED blocking while general note D asks FRTW (FRT carried); upper cabinets MW07 / MW12 carried with 2 runs each (SKILL millwork rule) [A12.05]</t>
  </si>
  <si>
    <t xml:space="preserve">material only: 147.91 LF of millwork blocking (A-I-BLK-MW* lines, A12.03-A12.06) moves from FRT to pressure-treated wood if the shelving note governs; no LF change</t>
  </si>
  <si>
    <t xml:space="preserve">A-I-RFI-04</t>
  </si>
  <si>
    <t xml:space="preserve">blocking without printed material (A02.01 note C artwork and wall-mounted equipment, key note 5 lockers, A00.30 note D wall stops): metal stud blocking carried (rule 58.6) [A02.01]</t>
  </si>
  <si>
    <t xml:space="preserve">63.9466 LF move from metal stud blocking to FRT / wood blocking</t>
  </si>
  <si>
    <t xml:space="preserve">A-I-RFI-05</t>
  </si>
  <si>
    <t xml:space="preserve">office front shadow molding: label on one side of 9/A12.01, both ceilings drawn; 2 faces carried [9/A12.01]</t>
  </si>
  <si>
    <t xml:space="preserve">-45.0 LF</t>
  </si>
  <si>
    <t xml:space="preserve">A-I-RFI-06</t>
  </si>
  <si>
    <t xml:space="preserve">mop sink FRP width = mop sink width (A05.01 key note 6): 24in taken from the scheduled model TSH-24 (P01.01 PF-07), not a printed dimension [A05.01]</t>
  </si>
  <si>
    <t xml:space="preserve">each +6in of sink width = +4 SF FRP</t>
  </si>
  <si>
    <t xml:space="preserve">A-I-RFI-07</t>
  </si>
  <si>
    <t xml:space="preserve">8/A12.10 wall termination (FRT blocking + 1/4in sealant) is called once on 3/A12.10; carried at the 4 glass-front ends [8/A12.10]</t>
  </si>
  <si>
    <t xml:space="preserve">-30 LF FRT blocking and -30 LF sealant if only the called end applies</t>
  </si>
  <si>
    <t xml:space="preserve">A-I-RFI-09</t>
  </si>
  <si>
    <t xml:space="preserve">4/S5.20 PROVIDE BLOCKING AT THE EDGE OF GYPBOARD (NTS, no location): carried (b) one row of STUD BLOCKING 362CR22 per stud row on every wall with a board face taller than 12 ft = 560.55 LF (canon.py 'blocking edge'); alternative (a) exterior walls + double-layer walls only = 415.52 LF (rule 59.14; both recomputed on this canon by scripts/F/F_rfi09.py) [4/S5.20]</t>
  </si>
  <si>
    <t xml:space="preserve">-145.03 LF</t>
  </si>
  <si>
    <t xml:space="preserve">E3-REV-01</t>
  </si>
  <si>
    <t xml:space="preserve">Estimator review (Etapa 3): A-W2-PT0030 C1 LF, readings differ and the plan does not decide [2/A09.25]</t>
  </si>
  <si>
    <t xml:space="preserve">A 3.58 ft (carried) vs B 2.2333 ft: delta = -1.3467 LF; reference 3.7644 ft (2/A09.25 gypsum board lines (278.40 + 128.16) / 108 = 3.7644 (detail does not show the VB-100A frame on the south face))</t>
  </si>
  <si>
    <t xml:space="preserve">E3-REV-02</t>
  </si>
  <si>
    <t xml:space="preserve">Estimator review (Etapa 3): A-X-P-G EXT-PARAPET LF, readings differ and the plan does not decide [A02.02]</t>
  </si>
  <si>
    <t xml:space="preserve">A 16.6867 ft (carried) vs B 16.3334 ft: delta = -0.3533 LF</t>
  </si>
  <si>
    <t xml:space="preserve">E3-REV-03</t>
  </si>
  <si>
    <t xml:space="preserve">Estimator review (Etapa 3): A-X-P-4 EXT-PARAPET LF, readings differ and the plan does not decide [A02.02]</t>
  </si>
  <si>
    <t xml:space="preserve">A 4.0933 ft (carried) vs B 3.93 ft: delta = -0.1633 LF</t>
  </si>
  <si>
    <t xml:space="preserve">A-W3-RFI-07</t>
  </si>
  <si>
    <t xml:space="preserve">Office front bulkhead bottom board width: carried the drawn plan thickness (G 6.16in, G1 8.48in, A02.01) x 1 layer (9/A12.01); 9/A12.01 typical detail draws the bulkhead 7.5in wide [9/A12.01]</t>
  </si>
  <si>
    <t xml:space="preserve">7.5in typical width on all 6: 4 x 7.5 x (0.625 - 0.5133) + 2 x 7.5 x (0.625 - 0.7067) = +2.13 SF</t>
  </si>
  <si>
    <t xml:space="preserve">A-I-RFI-10</t>
  </si>
  <si>
    <t xml:space="preserve">Roof ladder (3/A09.30) and water heater WH-1 (3/P00.01) blocking: rows drawn (3 each, break line / NTS) and width not dimensioned; carried 3 rows x 2 stud bays each (53.3) [3/A09.30]</t>
  </si>
  <si>
    <t xml:space="preserve">one bay per row: -4.0 LF FRT (ladder) and -4.0 LF wood (WH-1); a 4th ladder row for the 12.67 ft wall: +2.67 LF FRT</t>
  </si>
  <si>
    <t xml:space="preserve">A-W1-RFI-03</t>
  </si>
  <si>
    <t xml:space="preserve">Hatched K corner squares at the two teller-pod jogs (x 1653.96-1661.76): B2K A-W2-B2K-PC0011 and A1K W1-PT0013 end at 1653.96 and the jogs are carried as panel only (R76.3); the squares have no framing owner [A02.01]</t>
  </si>
  <si>
    <t xml:space="preserve">if the K lines own the squares: B2K 1.7733 -&gt; 2.2067 (+0.4333 LF) and PT0013 1.7667 -&gt; 2.2 (+0.4333 LF) of K framing, +1 to +3 node studs</t>
  </si>
  <si>
    <t xml:space="preserve">A-I-RFI-11</t>
  </si>
  <si>
    <t xml:space="preserve">WC-20 (A05.01 key note 9, Level 5 prep) is not in the A00.40 finish schedule; Level 5 carried on the 24 HR VESTIBULE 101 face of the diagonal F wall [A05.01]</t>
  </si>
  <si>
    <t xml:space="preserve">-161.98 SF Level 5 if WC-20 is not installed</t>
  </si>
  <si>
    <t xml:space="preserve">X-RFI-13</t>
  </si>
  <si>
    <t xml:space="preserve">Cladding substrate (7/8in hat channel @ 16in O.C. of the metal panels, 2/A09.31; cement plaster lath / screed, 4-5/A09.31) excluded as cladding installer scope (60.4); confirm [2/A09.31]</t>
  </si>
  <si>
    <t xml:space="preserve">n/a: excluded scope by the cladding trade (rule 60.4), quantity to be priced by the cladding installer if included</t>
  </si>
  <si>
    <t xml:space="preserve">X-CLAR-01</t>
  </si>
  <si>
    <t xml:space="preserve">CLARIFICATION: cold-formed steel framing is a DELEGATED DESIGN / deferred submittal (S1.10 general note 7 item 2 COLD FORMED STEEL FRAMING, item 3 METAL CANOPIES; S1.11 LGSF note 4 supplier shop drawings with calculations); gauges, O.C., bridging, bracing, strapping and clips in this take-off follow the printed drawings and are subject to the engineered submittal [S1.10]</t>
  </si>
  <si>
    <t xml:space="preserve">n/a: clarification, quantities per the printed drawings</t>
  </si>
  <si>
    <t xml:space="preserve">RFI-CJ-01</t>
  </si>
  <si>
    <t xml:space="preserve">Confirm that no gypsum board control joints are required. The set shows only stucco control joints (A04.01 PT-4 soffits, A09.01 / A09.02 legend CJ) and paving / slab joints (C7.4, S2.10). Per ASTM C840 / GA-216 none appears to be required: no interior run over 30 ft between intersections, and no GWB ceiling over 50 ft or 2,500 SF. [A04.01]</t>
  </si>
  <si>
    <t xml:space="preserve">If joints are required: 1 site-formed control joint per location, LF = face height (15.375 LF per full-height interior face joint) or room width for a ceiling joint (17.03 LF across WAITING 104). The base bid carries 0.</t>
  </si>
  <si>
    <t xml:space="preserve">RFI-ACT-01</t>
  </si>
  <si>
    <t xml:space="preserve">Scope split for the acoustical ceiling: 3/A09.33 LIGHT FIXTURE INSTALLATION requires lateral bracing of the suspended ceiling ('CEILING BRACING SHALL BE PROVIDED BY FOUR No 12 ... SPLAYED 90 DEGREES', horizontal restraint points, first point within 4'-0" of the wall, two additional wires at fixtures). It is drawn on the ACT grid (main runners / heavy duty cross runners). This take-off carries only the suspended GWB system (furring channel, carrying channel, hanger wire). The ACT grid, its tiles and its bracing are not quantified. [3/A09.33]</t>
  </si>
  <si>
    <t xml:space="preserve">If the ACT grid and its bracing are in the drywall contract, add a separate ACT line item (ACT-4 / ACT-5 areas per A04.01) with splay-wire sets per the 3/A09.33 restraint spacing. Clarification only in the base bid.</t>
  </si>
  <si>
    <t xml:space="preserve">X-CLAR-02</t>
  </si>
  <si>
    <t xml:space="preserve">CLARIFICATION: no fire tape note above the ceilings in the set (text search of all 94 pages of the clean PDF for FIRE TAPE: 0 hits; A04.01 general notes and key notes read) and A12.01 shows FIRE RATING -- and U.L. NUMBER -- on every partition type; fire taping above the ceilings is not carried [A12.01]</t>
  </si>
  <si>
    <t xml:space="preserve">n/a: clarification, no rated assembly and no fire tape note; if the authority requires fire taping above the ceilings it is an added finishing operation on the board already carried</t>
  </si>
  <si>
    <t xml:space="preserve">RFI-FO-R-11C</t>
  </si>
  <si>
    <t xml:space="preserve">RFI R-11C: schedule description 12.0 ft vs catalog 20.0 ft; carried 12.0 ft (desc = drawn); alternate 20.0 ft [E00.01 (R-11C 12' LINEAR GYP RECESSED SLOT); E02.01 count; A04.01 waiting 104 GB (drawn 215.88 pt / 18 = 11.993)]</t>
  </si>
  <si>
    <t xml:space="preserve">+32.0 LF</t>
  </si>
  <si>
    <t xml:space="preserve">RFI-FO-R-11CE</t>
  </si>
  <si>
    <t xml:space="preserve">RFI R-11CE: schedule description 12.0 ft vs catalog 20.0 ft; carried 12.0 ft (desc = drawn); alternate 20.0 ft [E00.01 (R-11CE same as R-11C with battery); E02.01 count; A04.01 waiting 104]</t>
  </si>
  <si>
    <t xml:space="preserve">RFI-TRACK-DOORS</t>
  </si>
  <si>
    <t xml:space="preserve">Bottom track at door R.O.: not deducted (criterion); confirm [corridas_out.json rfi_doors]</t>
  </si>
  <si>
    <t xml:space="preserve">-50.5 LF if deducted</t>
  </si>
  <si>
    <t xml:space="preserve">RFI-BRACING-GAPS</t>
  </si>
  <si>
    <t xml:space="preserve">C.R. channel bracing carried across openings without studs (53.4 literal) [corridas_out.json rfi_bracing_huecos_lf; F/1/S5.20]</t>
  </si>
  <si>
    <t xml:space="preserve">-123.04 LF if not carried across</t>
  </si>
  <si>
    <t xml:space="preserve">#</t>
  </si>
  <si>
    <t xml:space="preserve">Item</t>
  </si>
  <si>
    <t xml:space="preserve">Sheet + detail</t>
  </si>
  <si>
    <t xml:space="preserve">Image</t>
  </si>
  <si>
    <t xml:space="preserve">Estimator review (Etapa 3): A-W2-PT0030 C1 LF, readings differ and the plan does not decide: A 3.58 ft (carried) vs B 2.2333 ft: delta = -1.3467 LF; reference 3.7644 ft (2/A09.25 gypsum board lines (278.40 + 128.16) / 108 = 3.7644 (detail does not show the VB-100A frame on the south face))</t>
  </si>
  <si>
    <t xml:space="preserve">/home/user/boa25b/work/etapas/3_revision/res_img/R14_C1_PT0030.png</t>
  </si>
  <si>
    <t xml:space="preserve">Estimator review (Etapa 3): A-X-P-G EXT-PARAPET LF, readings differ and the plan does not decide: A 16.6867 ft (carried) vs B 16.3334 ft: delta = -0.3533 LF</t>
  </si>
  <si>
    <t xml:space="preserve">A02.02</t>
  </si>
  <si>
    <t xml:space="preserve">/home/user/boa25b/work/etapas/3_revision/res_img/R12_PAR_G.png</t>
  </si>
  <si>
    <t xml:space="preserve">Estimator review (Etapa 3): A-X-P-4 EXT-PARAPET LF, readings differ and the plan does not decide: A 4.0933 ft (carried) vs B 3.93 ft: delta = -0.1633 LF</t>
  </si>
  <si>
    <t xml:space="preserve">/home/user/boa25b/work/etapas/3_revision/res_img/R20_PAR_ST4.png</t>
  </si>
  <si>
    <t xml:space="preserve">A-W2-C1-PT0034 (C1 furring box, WAITING 104) split in Etapa 4 into the drawn front (10ft-0in, single slash ticks) + two 8in returns (R75.7, corners_ok declared); C1 LF unchanged 11.33; studs +5 pcs (+76.87 LF 3-5/8in) from the two return segments (studs_nodos)</t>
  </si>
  <si>
    <t xml:space="preserve">A02.01</t>
  </si>
  <si>
    <t xml:space="preserve">/home/user/boa25b/work/etapas/4_canon/img/E_PT0034_cadena_ticks.png</t>
  </si>
  <si>
    <t xml:space="preserve">canon.py warning R74.5: A-X-PNW / A-X-PNE (untagged EXT pier parts) share the footprint of the tagged C1 boxes A-W2-PT0031 / A-W2-PT0030 without part_of; partition_types keeps them out of the wall count (R72.3), their material stays in the canon - confirm no double count</t>
  </si>
  <si>
    <t xml:space="preserve">/home/user/boa25b/work/etapas/3_revision/res_img/R13_C1_PT0031_detail_1_A09.25.png</t>
  </si>
  <si>
    <t xml:space="preserve">partition_types warning R11: A-X-P-2 enters 0.46 ft into the band of A-W3-G-PT0042 and A-X-P-3S 0.46 ft into A-X-SW (parapet on A02.02 vs walls on A02.01, different sheets)</t>
  </si>
  <si>
    <t xml:space="preserve">/home/user/boa25b/out/planos_marcados/14_PLANO_TYPE_EXT-PARAPET_A02.02.jpg</t>
  </si>
  <si>
    <t xml:space="preserve">Deflection clips carried 0 (type details draw a continuous slip track) while S1.11 note 2 asks for vertical deflection clips at non-load-bearing walls: see RFI-ACC deflection clips</t>
  </si>
  <si>
    <t xml:space="preserve">S1.11</t>
  </si>
  <si>
    <t xml:space="preserve">/home/user/boa25b/work/etapas/2_lectura/A/img/K_lgsf_notes_S1.11.png</t>
  </si>
  <si>
    <t xml:space="preserve">PASO 8 adversarial findings not applied (against a binding rule, project decision or unconfirmed): see the list with reason and delta</t>
  </si>
  <si>
    <t xml:space="preserve">Back-check folder: adversarial_not_applied.md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</si>
  <si>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</si>
  <si>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</si>
  <si>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</si>
  <si>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</si>
  <si>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</si>
  <si>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</si>
  <si>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3-5/8in stud (all gauges) 6611.71; 1-5/8in stud 3983.2; bottom track (all) 1350.51</t>
  </si>
  <si>
    <t xml:space="preserve">ALC-02</t>
  </si>
  <si>
    <t xml:space="preserve">Exterior wall framing (CFMF)</t>
  </si>
  <si>
    <t xml:space="preserve">6in stud (all gauges) 4621.34</t>
  </si>
  <si>
    <t xml:space="preserve">ALC-03</t>
  </si>
  <si>
    <t xml:space="preserve">Parapet framing</t>
  </si>
  <si>
    <t xml:space="preserve">6in parapet stud 1002.06</t>
  </si>
  <si>
    <t xml:space="preserve">ALC-04</t>
  </si>
  <si>
    <t xml:space="preserve">Top / deflection and bottom track</t>
  </si>
  <si>
    <t xml:space="preserve">bottom track (all) 1350.51; top / deflection track (all) 1350.51</t>
  </si>
  <si>
    <t xml:space="preserve">ALC-05</t>
  </si>
  <si>
    <t xml:space="preserve">Headers, sills and jambs at openings</t>
  </si>
  <si>
    <t xml:space="preserve">header / box beam 796.71; sill track 115.58</t>
  </si>
  <si>
    <t xml:space="preserve">ALC-06</t>
  </si>
  <si>
    <t xml:space="preserve">Bracing / bridging</t>
  </si>
  <si>
    <t xml:space="preserve">bracing C.R. channel 2505.43</t>
  </si>
  <si>
    <t xml:space="preserve">ALC-07</t>
  </si>
  <si>
    <t xml:space="preserve">Gypsum board on walls (layers per type)</t>
  </si>
  <si>
    <t xml:space="preserve">5/8in gyp board regular (walls + ceilings) 17420.04</t>
  </si>
  <si>
    <t xml:space="preserve">ALC-08</t>
  </si>
  <si>
    <t xml:space="preserve">Moisture / abuse / special board at wet zones</t>
  </si>
  <si>
    <t xml:space="preserve">5/8in gyp MOISTURE RESISTANT 258.87</t>
  </si>
  <si>
    <t xml:space="preserve">ALC-09</t>
  </si>
  <si>
    <t xml:space="preserve">Exterior gypsum / glass mat sheathing</t>
  </si>
  <si>
    <t xml:space="preserve">5/8in EXTERIOR gyp sheathing 960.33; 5/8in glass mat sheathing 476.48</t>
  </si>
  <si>
    <t xml:space="preserve">ALC-10</t>
  </si>
  <si>
    <t xml:space="preserve">FRT plywood sheathing / substrate</t>
  </si>
  <si>
    <t xml:space="preserve">FRT plywood (SF) 6805.53</t>
  </si>
  <si>
    <t xml:space="preserve">ALC-11</t>
  </si>
  <si>
    <t xml:space="preserve">Gypsum board ceilings</t>
  </si>
  <si>
    <t xml:space="preserve">5/8in gyp board regular (walls + ceilings) 17420.04 incl. GWB ceilings 100/101/104/113/114 (A04.01)</t>
  </si>
  <si>
    <t xml:space="preserve">ALC-12</t>
  </si>
  <si>
    <t xml:space="preserve">Ceiling suspension (furring / carrying channel / hanger wire / ceiling track)</t>
  </si>
  <si>
    <t xml:space="preserve">furring channel 768.25; carrying channel 353.1; hanger wire 530.1; ceiling / soffit track 1294.1</t>
  </si>
  <si>
    <t xml:space="preserve">ALC-13</t>
  </si>
  <si>
    <t xml:space="preserve">Soffits and bulkheads (framing + board)</t>
  </si>
  <si>
    <t xml:space="preserve">ceiling / soffit track 1294.1 (CSR framed soffit 9/A12.08, transitions, fascia boxes)</t>
  </si>
  <si>
    <t xml:space="preserve">ALC-14</t>
  </si>
  <si>
    <t xml:space="preserve">Canopy / marquee framing and sheathing</t>
  </si>
  <si>
    <t xml:space="preserve">canopy soffits A-C-CAN-W/N/E/S canopy_joist (A04.01) and fascia boxes; FRT plywood (SF) 6805.53</t>
  </si>
  <si>
    <t xml:space="preserve">ALC-15</t>
  </si>
  <si>
    <t xml:space="preserve">Column furring / wraps</t>
  </si>
  <si>
    <t xml:space="preserve">CANOPY-COL column wraps A-X-CW1..CW4 (5/A09.25), 4 x 12 studs (familias_out.json '3-5/8in stud' rows)</t>
  </si>
  <si>
    <t xml:space="preserve">ALC-16</t>
  </si>
  <si>
    <t xml:space="preserve">Blocking (FRT wood / metal) for millwork and accessories</t>
  </si>
  <si>
    <t xml:space="preserve">FRT blocking 1036.13; metal stud blocking (362CR / STUD BLOCKING) 624.5</t>
  </si>
  <si>
    <t xml:space="preserve">ALC-17</t>
  </si>
  <si>
    <t xml:space="preserve">Framed openings (MEP, access panels, diffusers)</t>
  </si>
  <si>
    <t xml:space="preserve">framed openings MEP 957.08 (framed_openings_out.json); access panel 1.0</t>
  </si>
  <si>
    <t xml:space="preserve">ALC-18</t>
  </si>
  <si>
    <t xml:space="preserve">Trim: corner bead, casing bead, control joints, reveals</t>
  </si>
  <si>
    <t xml:space="preserve">metal trim (corner bead, casing, shadow molding) 1056.2; control joints: CJ on A09.01 is the stucco control joint (not gypsum)</t>
  </si>
  <si>
    <t xml:space="preserve">ALC-19</t>
  </si>
  <si>
    <t xml:space="preserve">Acoustical sealant / sound attenuation</t>
  </si>
  <si>
    <t xml:space="preserve">acoustical sealant 1437.39</t>
  </si>
  <si>
    <t xml:space="preserve">ALC-20</t>
  </si>
  <si>
    <t xml:space="preserve">FRP / cement board / tile backer</t>
  </si>
  <si>
    <t xml:space="preserve">FRP 332.93; cement board 31.69</t>
  </si>
  <si>
    <t xml:space="preserve">ALC-21</t>
  </si>
  <si>
    <t xml:space="preserve">Shaft walls / area separation walls</t>
  </si>
  <si>
    <t xml:space="preserve">NOT APPLICABLE</t>
  </si>
  <si>
    <t xml:space="preserve">A12.01 partition schedule has no shaft wall / area separation type; A02.01 shows no shaft enclosure</t>
  </si>
  <si>
    <t xml:space="preserve">ALC-22</t>
  </si>
  <si>
    <t xml:space="preserve">Rated assemblies (UL designs) and their board type</t>
  </si>
  <si>
    <t xml:space="preserve">no rated assembly: A12.01 FIRE RATING -- and U.L. NUMBER -- on every type (EXCL-RATED); the FIRE RATED 3/4in plywood backboards (A02.01 key note 6, 2-5/A11.03) are quantified as FRT plywood substrate 246.65 SF</t>
  </si>
  <si>
    <t xml:space="preserve">ALC-23</t>
  </si>
  <si>
    <t xml:space="preserve">Special panels (ballistic, lead-lined, abuse)</t>
  </si>
  <si>
    <t xml:space="preserve">ballistic panel 85.31; 3/8in gyp board 65.63</t>
  </si>
  <si>
    <t xml:space="preserve">ALC-24</t>
  </si>
  <si>
    <t xml:space="preserve">Finish level (Level 4 / Level 5)</t>
  </si>
  <si>
    <t xml:space="preserve">Level 5 finish 874.85 SF (accesorios.py; A05.01 notes 9 / 10)</t>
  </si>
  <si>
    <t xml:space="preserve">ALC-X25</t>
  </si>
  <si>
    <t xml:space="preserve">EXCL-INSULATION</t>
  </si>
  <si>
    <t xml:space="preserve">EXCLUDED: Insulation EXCLUDED (estimator criterion): batt insulation in every partition type, sound batt above ceilings, spray foam / XPS / polyiso of the exterior assemblies [A12.01 (INSULATION column = YES on every type); A04.01 key note 11 (INSTALL SOUND BATT INSULATION ABOVE CEILING); 2/A09.26 (PACK W/ BATT INSULATION); A09.25; A09.27]</t>
  </si>
  <si>
    <t xml:space="preserve">ALC-X26</t>
  </si>
  <si>
    <t xml:space="preserve">EXCL-CLADDING-SUBSTRATE</t>
  </si>
  <si>
    <t xml:space="preserve">EXCLUDED: Cladding substrate EXCLUDED + RFI (60.4): 7/8in vertical hat channel @ 16in O.C. of the metal panel and the 7/8in cement plaster over metal lath, narrow channel screed and control joints are by the cladding installer [2/A09.31 (7/8in VERTICAL HAT CHANNEL @ 16in O.C.); 4/A09.31, 5/A09.31 (CEMENT PLASTER OVER METAL LATH, screed, control joint); A09.25; A09.27]</t>
  </si>
  <si>
    <t xml:space="preserve">ALC-X27</t>
  </si>
  <si>
    <t xml:space="preserve">EXCL-DEMOLITION</t>
  </si>
  <si>
    <t xml:space="preserve">EXCLUDED: No demolition: ground-up new building [A00.00 (PROJECT TYPE GROUND UP - NEW FINANCIAL CENTER)]</t>
  </si>
  <si>
    <t xml:space="preserve">ALC-X28</t>
  </si>
  <si>
    <t xml:space="preserve">EXCL-RATED</t>
  </si>
  <si>
    <t xml:space="preserve">EXCLUDED: No rated assemblies / firestopping in our scope: no fire rating nor U.L. number on any type; E04.02 / P00.01 firestop details are generic (MEP trades) [A12.01 (FIRE RATING --, U.L. NUMBER --)]</t>
  </si>
  <si>
    <t xml:space="preserve">ALC-X29</t>
  </si>
  <si>
    <t xml:space="preserve">EXCL-ROOF-STEEL</t>
  </si>
  <si>
    <t xml:space="preserve">EXCLUDED: Roof tie-off post / anchor and roof hatch curb 2x FRT blocking: structural steel / roofing, not metal frame or drywall [2/A02.02, 3/A02.02, 1/A09.30]</t>
  </si>
  <si>
    <t xml:space="preserve">ALC-X30</t>
  </si>
  <si>
    <t xml:space="preserve">EXCL-CONTROL-JOINT-GWB</t>
  </si>
  <si>
    <t xml:space="preserve">EXCLUDED: Gypsum control joints EXCLUDED (adenda v26). No gypsum control joint is shown or specified. The CJ labels on A04.01 (16, all on the exterior PT-4 stucco soffits / canopy band) and on A09.01 / A09.02 are stucco control joints ('CJ CONTROL JOINT; PAINT TO MATCH STUCCO FINISH COLOR') by the plaster / cladding installer. The details do label corner bead and shadow molding one by one (8, 9, 10/A12.01; 9/A12.08; A09.33). Per ASTM C840 / GA-216 no interior wall run exceeds 30 ft between intersections and no interior GWB ceiling exceeds 50 ft or 2,500 SF (largest A-C-CLG-104 = 30.0 x 17.03 ft, 510.8 SF). [A04.01; A09.01; A09.02; 5/A09.31; C7.4; A12.01]</t>
  </si>
  <si>
    <t xml:space="preserve">ALC-X31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</si>
  <si>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</si>
  <si>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</si>
  <si>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</si>
  <si>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"de7cdfe11bbb844cd62789a911f01a40baa57c3c1f9e911a931223525733c10b", "evidencias": "e57c2224dd8f86485a3ba9808f664eb53dc48e460d7bc66fcc944e659bd4c1e4", "familias_out": "41b0f3dfac72e7eaf531375e57cf8f0d29e88740867d1396feeecf4a43f166bc", "reglas": "b5364234d31af79257befa41e74608ffc614c84bf6f8266ac92799fdae6e4deb",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</si>
</sst>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3" t="n">
        <v>15.375</v>
      </c>
      <c r="C13" s="4" t="s">
        <v>20</v>
      </c>
    </row>
    <row r="14" customFormat="false" ht="15" hidden="false" customHeight="false" outlineLevel="0" collapsed="false">
      <c r="A14" s="0" t="s">
        <v>22</v>
      </c>
      <c r="B14" s="0" t="s">
        <v>23</v>
      </c>
      <c r="C14" s="0" t="s">
        <v>20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17.021</v>
      </c>
      <c r="D6" s="0" t="n">
        <v>15.375</v>
      </c>
      <c r="E6" s="0" t="n">
        <v>2</v>
      </c>
      <c r="F6" s="0" t="s">
        <v>63</v>
      </c>
      <c r="G6" s="0" t="n">
        <v>16</v>
      </c>
      <c r="H6" s="0" t="n">
        <v>348.93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3.533</v>
      </c>
      <c r="D7" s="0" t="n">
        <v>15.375</v>
      </c>
      <c r="E7" s="0" t="n">
        <v>2</v>
      </c>
      <c r="F7" s="0" t="s">
        <v>63</v>
      </c>
      <c r="G7" s="0" t="n">
        <v>16</v>
      </c>
      <c r="H7" s="0" t="n">
        <v>74.2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2.021</v>
      </c>
      <c r="D8" s="0" t="n">
        <v>15.375</v>
      </c>
      <c r="E8" s="0" t="n">
        <v>2</v>
      </c>
      <c r="F8" s="0" t="s">
        <v>63</v>
      </c>
      <c r="G8" s="0" t="n">
        <v>16</v>
      </c>
      <c r="H8" s="0" t="n">
        <v>42.44</v>
      </c>
      <c r="I8" s="0" t="s">
        <v>69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72</v>
      </c>
      <c r="B9" s="0" t="s">
        <v>73</v>
      </c>
      <c r="C9" s="0" t="n">
        <v>5.587</v>
      </c>
      <c r="D9" s="0" t="n">
        <v>15.375</v>
      </c>
      <c r="E9" s="0" t="n">
        <v>2</v>
      </c>
      <c r="F9" s="0" t="s">
        <v>63</v>
      </c>
      <c r="G9" s="0" t="n">
        <v>16</v>
      </c>
      <c r="H9" s="0" t="n">
        <v>62.88</v>
      </c>
      <c r="I9" s="0" t="s">
        <v>74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75</v>
      </c>
      <c r="B10" s="0" t="s">
        <v>76</v>
      </c>
      <c r="C10" s="0" t="n">
        <v>15.233</v>
      </c>
      <c r="D10" s="0" t="n">
        <v>12.969</v>
      </c>
      <c r="E10" s="0" t="n">
        <v>2</v>
      </c>
      <c r="F10" s="0" t="s">
        <v>63</v>
      </c>
      <c r="G10" s="0" t="n">
        <v>16</v>
      </c>
      <c r="H10" s="0" t="n">
        <v>274.2</v>
      </c>
      <c r="I10" s="0" t="s">
        <v>77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78</v>
      </c>
      <c r="B11" s="0" t="s">
        <v>79</v>
      </c>
      <c r="C11" s="0" t="n">
        <v>2.14</v>
      </c>
      <c r="D11" s="0" t="n">
        <v>11.819</v>
      </c>
      <c r="E11" s="0" t="n">
        <v>2</v>
      </c>
      <c r="F11" s="0" t="s">
        <v>63</v>
      </c>
      <c r="G11" s="0" t="n">
        <v>16</v>
      </c>
      <c r="H11" s="0" t="n">
        <v>39.59</v>
      </c>
      <c r="I11" s="0" t="s">
        <v>80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81</v>
      </c>
      <c r="B12" s="0" t="s">
        <v>82</v>
      </c>
      <c r="C12" s="0" t="n">
        <v>5.094</v>
      </c>
      <c r="D12" s="0" t="n">
        <v>12.925</v>
      </c>
      <c r="E12" s="0" t="n">
        <v>2</v>
      </c>
      <c r="F12" s="0" t="s">
        <v>63</v>
      </c>
      <c r="G12" s="0" t="n">
        <v>16</v>
      </c>
      <c r="H12" s="0" t="n">
        <v>39.79</v>
      </c>
      <c r="I12" s="0" t="s">
        <v>83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84</v>
      </c>
      <c r="B13" s="0" t="s">
        <v>85</v>
      </c>
      <c r="C13" s="0" t="n">
        <v>20.521</v>
      </c>
      <c r="D13" s="0" t="n">
        <v>11.819</v>
      </c>
      <c r="E13" s="0" t="n">
        <v>2</v>
      </c>
      <c r="F13" s="0" t="s">
        <v>63</v>
      </c>
      <c r="G13" s="0" t="n">
        <v>16</v>
      </c>
      <c r="H13" s="0" t="n">
        <v>360.9</v>
      </c>
      <c r="I13" s="0" t="s">
        <v>86</v>
      </c>
      <c r="J13" s="0" t="s">
        <v>65</v>
      </c>
      <c r="K13" s="0" t="s">
        <v>66</v>
      </c>
    </row>
    <row r="14" customFormat="false" ht="15" hidden="false" customHeight="false" outlineLevel="0" collapsed="false">
      <c r="A14" s="0" t="s">
        <v>87</v>
      </c>
      <c r="B14" s="0" t="s">
        <v>88</v>
      </c>
      <c r="C14" s="0" t="n">
        <v>11.667</v>
      </c>
      <c r="D14" s="0" t="n">
        <v>12.772</v>
      </c>
      <c r="E14" s="0" t="n">
        <v>2</v>
      </c>
      <c r="F14" s="0" t="s">
        <v>63</v>
      </c>
      <c r="G14" s="0" t="n">
        <v>16</v>
      </c>
      <c r="H14" s="0" t="n">
        <v>168.05</v>
      </c>
      <c r="I14" s="0" t="s">
        <v>89</v>
      </c>
      <c r="J14" s="0" t="s">
        <v>65</v>
      </c>
      <c r="K14" s="0" t="s">
        <v>90</v>
      </c>
    </row>
    <row r="15" customFormat="false" ht="15" hidden="false" customHeight="false" outlineLevel="0" collapsed="false">
      <c r="A15" s="5" t="s">
        <v>91</v>
      </c>
    </row>
    <row r="16" customFormat="false" ht="15" hidden="false" customHeight="false" outlineLevel="0" collapsed="false">
      <c r="A16" s="0" t="s">
        <v>92</v>
      </c>
      <c r="B16" s="0" t="s">
        <v>93</v>
      </c>
      <c r="C16" s="0" t="n">
        <v>14.127</v>
      </c>
      <c r="D16" s="0" t="n">
        <v>15.375</v>
      </c>
      <c r="E16" s="0" t="n">
        <v>2</v>
      </c>
      <c r="F16" s="0" t="s">
        <v>94</v>
      </c>
      <c r="G16" s="0" t="n">
        <v>16</v>
      </c>
      <c r="H16" s="0" t="n">
        <v>244.58</v>
      </c>
      <c r="I16" s="0" t="s">
        <v>69</v>
      </c>
      <c r="J16" s="0" t="s">
        <v>65</v>
      </c>
      <c r="K16" s="0" t="s">
        <v>66</v>
      </c>
    </row>
    <row r="17" customFormat="false" ht="15" hidden="false" customHeight="false" outlineLevel="0" collapsed="false">
      <c r="A17" s="0" t="s">
        <v>95</v>
      </c>
      <c r="B17" s="0" t="s">
        <v>96</v>
      </c>
      <c r="C17" s="0" t="n">
        <v>5.28</v>
      </c>
      <c r="D17" s="0" t="n">
        <v>12.47</v>
      </c>
      <c r="E17" s="0" t="n">
        <v>2</v>
      </c>
      <c r="F17" s="0" t="s">
        <v>94</v>
      </c>
      <c r="G17" s="0" t="n">
        <v>16</v>
      </c>
      <c r="H17" s="0" t="n">
        <v>47.26</v>
      </c>
      <c r="I17" s="0" t="s">
        <v>97</v>
      </c>
      <c r="J17" s="0" t="s">
        <v>65</v>
      </c>
      <c r="K17" s="0" t="s">
        <v>66</v>
      </c>
    </row>
    <row r="18" customFormat="false" ht="15" hidden="false" customHeight="false" outlineLevel="0" collapsed="false">
      <c r="A18" s="0" t="s">
        <v>98</v>
      </c>
      <c r="B18" s="0" t="s">
        <v>99</v>
      </c>
      <c r="C18" s="0" t="n">
        <v>19.407</v>
      </c>
      <c r="D18" s="0" t="n">
        <v>13.697</v>
      </c>
      <c r="E18" s="0" t="n">
        <v>2</v>
      </c>
      <c r="F18" s="0" t="s">
        <v>94</v>
      </c>
      <c r="G18" s="0" t="n">
        <v>16</v>
      </c>
      <c r="H18" s="0" t="n">
        <v>378.93</v>
      </c>
      <c r="I18" s="0" t="s">
        <v>100</v>
      </c>
      <c r="J18" s="0" t="s">
        <v>65</v>
      </c>
      <c r="K18" s="0" t="s">
        <v>66</v>
      </c>
    </row>
    <row r="19" customFormat="false" ht="15" hidden="false" customHeight="false" outlineLevel="0" collapsed="false">
      <c r="A19" s="0" t="s">
        <v>101</v>
      </c>
      <c r="B19" s="0" t="s">
        <v>102</v>
      </c>
      <c r="C19" s="0" t="n">
        <v>6.938</v>
      </c>
      <c r="D19" s="0" t="n">
        <v>11.774</v>
      </c>
      <c r="E19" s="0" t="n">
        <v>2</v>
      </c>
      <c r="F19" s="0" t="s">
        <v>94</v>
      </c>
      <c r="G19" s="0" t="n">
        <v>16</v>
      </c>
      <c r="H19" s="0" t="n">
        <v>80.57</v>
      </c>
      <c r="I19" s="0" t="s">
        <v>103</v>
      </c>
      <c r="J19" s="0" t="s">
        <v>65</v>
      </c>
      <c r="K19" s="0" t="s">
        <v>66</v>
      </c>
    </row>
    <row r="20" customFormat="false" ht="15" hidden="false" customHeight="false" outlineLevel="0" collapsed="false">
      <c r="A20" s="5" t="s">
        <v>104</v>
      </c>
    </row>
    <row r="21" customFormat="false" ht="15" hidden="false" customHeight="false" outlineLevel="0" collapsed="false">
      <c r="A21" s="0" t="s">
        <v>105</v>
      </c>
      <c r="B21" s="0" t="s">
        <v>106</v>
      </c>
      <c r="C21" s="0" t="n">
        <v>3.417</v>
      </c>
      <c r="D21" s="0" t="n">
        <v>15.375</v>
      </c>
      <c r="E21" s="0" t="n">
        <v>2</v>
      </c>
      <c r="F21" s="0" t="s">
        <v>63</v>
      </c>
      <c r="G21" s="0" t="n">
        <v>16</v>
      </c>
      <c r="H21" s="0" t="n">
        <v>105.06</v>
      </c>
      <c r="I21" s="0" t="s">
        <v>107</v>
      </c>
      <c r="J21" s="0" t="s">
        <v>108</v>
      </c>
      <c r="K21" s="0" t="s">
        <v>90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n">
        <v>3.413</v>
      </c>
      <c r="D22" s="0" t="n">
        <v>12.937</v>
      </c>
      <c r="E22" s="0" t="n">
        <v>2</v>
      </c>
      <c r="F22" s="0" t="s">
        <v>63</v>
      </c>
      <c r="G22" s="0" t="n">
        <v>16</v>
      </c>
      <c r="H22" s="0" t="n">
        <v>88.32</v>
      </c>
      <c r="I22" s="0" t="s">
        <v>111</v>
      </c>
      <c r="J22" s="0" t="s">
        <v>108</v>
      </c>
      <c r="K22" s="0" t="s">
        <v>66</v>
      </c>
    </row>
    <row r="23" customFormat="false" ht="15" hidden="false" customHeight="false" outlineLevel="0" collapsed="false">
      <c r="A23" s="0" t="s">
        <v>112</v>
      </c>
      <c r="B23" s="0" t="s">
        <v>113</v>
      </c>
      <c r="C23" s="0" t="n">
        <v>1.767</v>
      </c>
      <c r="D23" s="0" t="n">
        <v>12.925</v>
      </c>
      <c r="E23" s="0" t="n">
        <v>2</v>
      </c>
      <c r="F23" s="0" t="s">
        <v>63</v>
      </c>
      <c r="G23" s="0" t="n">
        <v>16</v>
      </c>
      <c r="H23" s="0" t="n">
        <v>45.66</v>
      </c>
      <c r="I23" s="0" t="s">
        <v>83</v>
      </c>
      <c r="J23" s="0" t="s">
        <v>108</v>
      </c>
      <c r="K23" s="0" t="s">
        <v>66</v>
      </c>
    </row>
    <row r="24" customFormat="false" ht="15" hidden="false" customHeight="false" outlineLevel="0" collapsed="false">
      <c r="A24" s="5" t="s">
        <v>114</v>
      </c>
    </row>
    <row r="25" customFormat="false" ht="15" hidden="false" customHeight="false" outlineLevel="0" collapsed="false">
      <c r="A25" s="0" t="s">
        <v>115</v>
      </c>
      <c r="B25" s="0" t="s">
        <v>116</v>
      </c>
      <c r="C25" s="0" t="n">
        <v>9.99</v>
      </c>
      <c r="D25" s="0" t="n">
        <v>12.829</v>
      </c>
      <c r="E25" s="0" t="n">
        <v>2</v>
      </c>
      <c r="F25" s="0" t="s">
        <v>63</v>
      </c>
      <c r="G25" s="0" t="n">
        <v>16</v>
      </c>
      <c r="H25" s="0" t="n">
        <v>256.32</v>
      </c>
      <c r="I25" s="0" t="s">
        <v>117</v>
      </c>
      <c r="J25" s="0" t="s">
        <v>118</v>
      </c>
      <c r="K25" s="0" t="s">
        <v>66</v>
      </c>
    </row>
    <row r="26" customFormat="false" ht="15" hidden="false" customHeight="false" outlineLevel="0" collapsed="false">
      <c r="A26" s="0" t="s">
        <v>119</v>
      </c>
      <c r="B26" s="0" t="s">
        <v>120</v>
      </c>
      <c r="C26" s="0" t="n">
        <v>13.74</v>
      </c>
      <c r="D26" s="0" t="n">
        <v>12.82</v>
      </c>
      <c r="E26" s="0" t="n">
        <v>2</v>
      </c>
      <c r="F26" s="0" t="s">
        <v>63</v>
      </c>
      <c r="G26" s="0" t="n">
        <v>16</v>
      </c>
      <c r="H26" s="0" t="n">
        <v>256.75</v>
      </c>
      <c r="I26" s="0" t="s">
        <v>121</v>
      </c>
      <c r="J26" s="0" t="s">
        <v>118</v>
      </c>
      <c r="K26" s="0" t="s">
        <v>66</v>
      </c>
    </row>
    <row r="27" customFormat="false" ht="15" hidden="false" customHeight="false" outlineLevel="0" collapsed="false">
      <c r="A27" s="0" t="s">
        <v>122</v>
      </c>
      <c r="B27" s="0" t="s">
        <v>123</v>
      </c>
      <c r="C27" s="0" t="n">
        <v>9.58</v>
      </c>
      <c r="D27" s="0" t="n">
        <v>12.7</v>
      </c>
      <c r="E27" s="0" t="n">
        <v>2</v>
      </c>
      <c r="F27" s="0" t="s">
        <v>63</v>
      </c>
      <c r="G27" s="0" t="n">
        <v>16</v>
      </c>
      <c r="H27" s="0" t="n">
        <v>243.34</v>
      </c>
      <c r="I27" s="0" t="s">
        <v>124</v>
      </c>
      <c r="J27" s="0" t="s">
        <v>118</v>
      </c>
      <c r="K27" s="0" t="s">
        <v>66</v>
      </c>
    </row>
    <row r="28" customFormat="false" ht="15" hidden="false" customHeight="false" outlineLevel="0" collapsed="false">
      <c r="A28" s="0" t="s">
        <v>125</v>
      </c>
      <c r="B28" s="0" t="s">
        <v>126</v>
      </c>
      <c r="C28" s="0" t="n">
        <v>11.719</v>
      </c>
      <c r="D28" s="0" t="n">
        <v>12.531</v>
      </c>
      <c r="E28" s="0" t="n">
        <v>2</v>
      </c>
      <c r="F28" s="0" t="s">
        <v>63</v>
      </c>
      <c r="G28" s="0" t="n">
        <v>16</v>
      </c>
      <c r="H28" s="0" t="n">
        <v>245.92</v>
      </c>
      <c r="I28" s="0" t="s">
        <v>127</v>
      </c>
      <c r="J28" s="0" t="s">
        <v>118</v>
      </c>
      <c r="K28" s="0" t="s">
        <v>66</v>
      </c>
    </row>
    <row r="29" customFormat="false" ht="15" hidden="false" customHeight="false" outlineLevel="0" collapsed="false">
      <c r="A29" s="0" t="s">
        <v>128</v>
      </c>
      <c r="B29" s="0" t="s">
        <v>129</v>
      </c>
      <c r="C29" s="0" t="n">
        <v>3.5</v>
      </c>
      <c r="D29" s="0" t="n">
        <v>12.741</v>
      </c>
      <c r="E29" s="0" t="n">
        <v>2</v>
      </c>
      <c r="F29" s="0" t="s">
        <v>63</v>
      </c>
      <c r="G29" s="0" t="n">
        <v>16</v>
      </c>
      <c r="H29" s="0" t="n">
        <v>89.18</v>
      </c>
      <c r="I29" s="0" t="s">
        <v>130</v>
      </c>
      <c r="J29" s="0" t="s">
        <v>118</v>
      </c>
      <c r="K29" s="0" t="s">
        <v>66</v>
      </c>
    </row>
    <row r="30" customFormat="false" ht="15" hidden="false" customHeight="false" outlineLevel="0" collapsed="false">
      <c r="A30" s="0" t="s">
        <v>131</v>
      </c>
      <c r="B30" s="0" t="s">
        <v>132</v>
      </c>
      <c r="C30" s="0" t="n">
        <v>11.719</v>
      </c>
      <c r="D30" s="0" t="n">
        <v>12.668</v>
      </c>
      <c r="E30" s="0" t="n">
        <v>2</v>
      </c>
      <c r="F30" s="0" t="s">
        <v>63</v>
      </c>
      <c r="G30" s="0" t="n">
        <v>16</v>
      </c>
      <c r="H30" s="0" t="n">
        <v>296.92</v>
      </c>
      <c r="I30" s="0" t="s">
        <v>133</v>
      </c>
      <c r="J30" s="0" t="s">
        <v>118</v>
      </c>
      <c r="K30" s="0" t="s">
        <v>66</v>
      </c>
    </row>
    <row r="31" customFormat="false" ht="15" hidden="false" customHeight="false" outlineLevel="0" collapsed="false">
      <c r="A31" s="5" t="s">
        <v>134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5.667</v>
      </c>
      <c r="D32" s="0" t="n">
        <v>15.375</v>
      </c>
      <c r="E32" s="0" t="n">
        <v>2</v>
      </c>
      <c r="F32" s="0" t="s">
        <v>94</v>
      </c>
      <c r="G32" s="0" t="n">
        <v>16</v>
      </c>
      <c r="H32" s="0" t="n">
        <v>111.64</v>
      </c>
      <c r="I32" s="0" t="s">
        <v>137</v>
      </c>
      <c r="J32" s="0" t="s">
        <v>118</v>
      </c>
      <c r="K32" s="0" t="s">
        <v>90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0" t="n">
        <v>5.542</v>
      </c>
      <c r="D33" s="0" t="n">
        <v>13.239</v>
      </c>
      <c r="E33" s="0" t="n">
        <v>2</v>
      </c>
      <c r="F33" s="0" t="s">
        <v>94</v>
      </c>
      <c r="G33" s="0" t="n">
        <v>16</v>
      </c>
      <c r="H33" s="0" t="n">
        <v>98.96</v>
      </c>
      <c r="I33" s="0" t="s">
        <v>140</v>
      </c>
      <c r="J33" s="0" t="s">
        <v>118</v>
      </c>
      <c r="K33" s="0" t="s">
        <v>66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n">
        <v>15.787</v>
      </c>
      <c r="D34" s="0" t="n">
        <v>12.863</v>
      </c>
      <c r="E34" s="0" t="n">
        <v>2</v>
      </c>
      <c r="F34" s="0" t="s">
        <v>94</v>
      </c>
      <c r="G34" s="0" t="n">
        <v>16</v>
      </c>
      <c r="H34" s="0" t="n">
        <v>262.78</v>
      </c>
      <c r="I34" s="0" t="s">
        <v>143</v>
      </c>
      <c r="J34" s="0" t="s">
        <v>118</v>
      </c>
      <c r="K34" s="0" t="s">
        <v>66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n">
        <v>11.407</v>
      </c>
      <c r="D35" s="0" t="n">
        <v>11.631</v>
      </c>
      <c r="E35" s="0" t="n">
        <v>2</v>
      </c>
      <c r="F35" s="0" t="s">
        <v>94</v>
      </c>
      <c r="G35" s="0" t="n">
        <v>16</v>
      </c>
      <c r="H35" s="0" t="n">
        <v>265.34</v>
      </c>
      <c r="I35" s="0" t="s">
        <v>146</v>
      </c>
      <c r="J35" s="0" t="s">
        <v>118</v>
      </c>
      <c r="K35" s="0" t="s">
        <v>66</v>
      </c>
    </row>
    <row r="36" customFormat="false" ht="15" hidden="false" customHeight="false" outlineLevel="0" collapsed="false">
      <c r="A36" s="5" t="s">
        <v>147</v>
      </c>
    </row>
    <row r="37" customFormat="false" ht="15" hidden="false" customHeight="false" outlineLevel="0" collapsed="false">
      <c r="A37" s="0" t="s">
        <v>148</v>
      </c>
      <c r="B37" s="0" t="s">
        <v>149</v>
      </c>
      <c r="C37" s="0" t="n">
        <v>1.773</v>
      </c>
      <c r="D37" s="0" t="n">
        <v>15.375</v>
      </c>
      <c r="E37" s="0" t="n">
        <v>2</v>
      </c>
      <c r="F37" s="0" t="s">
        <v>94</v>
      </c>
      <c r="G37" s="0" t="n">
        <v>16</v>
      </c>
      <c r="H37" s="0" t="n">
        <v>54.52</v>
      </c>
      <c r="I37" s="0" t="s">
        <v>150</v>
      </c>
      <c r="J37" s="0" t="s">
        <v>108</v>
      </c>
      <c r="K37" s="0" t="s">
        <v>66</v>
      </c>
    </row>
    <row r="38" customFormat="false" ht="15" hidden="false" customHeight="false" outlineLevel="0" collapsed="false">
      <c r="A38" s="5" t="s">
        <v>151</v>
      </c>
    </row>
    <row r="39" customFormat="false" ht="15" hidden="false" customHeight="false" outlineLevel="0" collapsed="false">
      <c r="A39" s="0" t="s">
        <v>152</v>
      </c>
      <c r="B39" s="0" t="s">
        <v>153</v>
      </c>
      <c r="C39" s="0" t="n">
        <v>10.027</v>
      </c>
      <c r="D39" s="0" t="n">
        <v>12.925</v>
      </c>
      <c r="E39" s="0" t="n">
        <v>1</v>
      </c>
      <c r="F39" s="0" t="s">
        <v>63</v>
      </c>
      <c r="G39" s="0" t="n">
        <v>16</v>
      </c>
      <c r="H39" s="0" t="n">
        <v>129.59</v>
      </c>
      <c r="I39" s="0" t="s">
        <v>154</v>
      </c>
      <c r="J39" s="0" t="s">
        <v>155</v>
      </c>
      <c r="K39" s="0" t="s">
        <v>66</v>
      </c>
    </row>
    <row r="40" customFormat="false" ht="15" hidden="false" customHeight="false" outlineLevel="0" collapsed="false">
      <c r="A40" s="0" t="s">
        <v>156</v>
      </c>
      <c r="B40" s="0" t="s">
        <v>157</v>
      </c>
      <c r="C40" s="0" t="n">
        <v>10.027</v>
      </c>
      <c r="D40" s="0" t="n">
        <v>12.894</v>
      </c>
      <c r="E40" s="0" t="n">
        <v>1</v>
      </c>
      <c r="F40" s="0" t="s">
        <v>63</v>
      </c>
      <c r="G40" s="0" t="n">
        <v>16</v>
      </c>
      <c r="H40" s="0" t="n">
        <v>129.28</v>
      </c>
      <c r="I40" s="0" t="s">
        <v>158</v>
      </c>
      <c r="J40" s="0" t="s">
        <v>155</v>
      </c>
      <c r="K40" s="0" t="s">
        <v>66</v>
      </c>
    </row>
    <row r="41" customFormat="false" ht="15" hidden="false" customHeight="false" outlineLevel="0" collapsed="false">
      <c r="A41" s="0" t="s">
        <v>159</v>
      </c>
      <c r="B41" s="0" t="s">
        <v>160</v>
      </c>
      <c r="C41" s="0" t="n">
        <v>11.333</v>
      </c>
      <c r="D41" s="0" t="n">
        <v>15.375</v>
      </c>
      <c r="E41" s="0" t="n">
        <v>1</v>
      </c>
      <c r="F41" s="0" t="s">
        <v>63</v>
      </c>
      <c r="G41" s="0" t="n">
        <v>16</v>
      </c>
      <c r="H41" s="0" t="n">
        <v>174.25</v>
      </c>
      <c r="I41" s="0" t="s">
        <v>161</v>
      </c>
      <c r="J41" s="0" t="s">
        <v>155</v>
      </c>
      <c r="K41" s="0" t="s">
        <v>66</v>
      </c>
    </row>
    <row r="42" customFormat="false" ht="15" hidden="false" customHeight="false" outlineLevel="0" collapsed="false">
      <c r="A42" s="0" t="s">
        <v>162</v>
      </c>
      <c r="B42" s="0" t="s">
        <v>163</v>
      </c>
      <c r="C42" s="0" t="n">
        <v>2.98</v>
      </c>
      <c r="D42" s="0" t="n">
        <v>12.923</v>
      </c>
      <c r="E42" s="0" t="n">
        <v>1.19</v>
      </c>
      <c r="F42" s="0" t="s">
        <v>63</v>
      </c>
      <c r="G42" s="0" t="n">
        <v>16</v>
      </c>
      <c r="H42" s="0" t="n">
        <v>46.01</v>
      </c>
      <c r="I42" s="0" t="s">
        <v>164</v>
      </c>
      <c r="J42" s="0" t="s">
        <v>155</v>
      </c>
      <c r="K42" s="0" t="s">
        <v>66</v>
      </c>
    </row>
    <row r="43" customFormat="false" ht="15" hidden="false" customHeight="false" outlineLevel="0" collapsed="false">
      <c r="A43" s="0" t="s">
        <v>165</v>
      </c>
      <c r="B43" s="0" t="s">
        <v>166</v>
      </c>
      <c r="C43" s="0" t="n">
        <v>3.132</v>
      </c>
      <c r="D43" s="0" t="n">
        <v>15.375</v>
      </c>
      <c r="E43" s="0" t="n">
        <v>1</v>
      </c>
      <c r="F43" s="0" t="s">
        <v>63</v>
      </c>
      <c r="G43" s="0" t="n">
        <v>16</v>
      </c>
      <c r="H43" s="0" t="n">
        <v>48.15</v>
      </c>
      <c r="I43" s="0" t="s">
        <v>167</v>
      </c>
      <c r="J43" s="0" t="s">
        <v>155</v>
      </c>
      <c r="K43" s="0" t="s">
        <v>66</v>
      </c>
    </row>
    <row r="44" customFormat="false" ht="15" hidden="false" customHeight="false" outlineLevel="0" collapsed="false">
      <c r="A44" s="0" t="s">
        <v>168</v>
      </c>
      <c r="B44" s="0" t="s">
        <v>169</v>
      </c>
      <c r="C44" s="0" t="n">
        <v>3.58</v>
      </c>
      <c r="D44" s="0" t="n">
        <v>15.375</v>
      </c>
      <c r="E44" s="0" t="n">
        <v>1</v>
      </c>
      <c r="F44" s="0" t="s">
        <v>63</v>
      </c>
      <c r="G44" s="0" t="n">
        <v>16</v>
      </c>
      <c r="H44" s="0" t="n">
        <v>55.04</v>
      </c>
      <c r="I44" s="0" t="s">
        <v>170</v>
      </c>
      <c r="J44" s="0" t="s">
        <v>155</v>
      </c>
      <c r="K44" s="0" t="s">
        <v>66</v>
      </c>
    </row>
    <row r="45" customFormat="false" ht="15" hidden="false" customHeight="false" outlineLevel="0" collapsed="false">
      <c r="A45" s="0" t="s">
        <v>171</v>
      </c>
      <c r="B45" s="0" t="s">
        <v>172</v>
      </c>
      <c r="C45" s="0" t="n">
        <v>3.446</v>
      </c>
      <c r="D45" s="0" t="n">
        <v>15.375</v>
      </c>
      <c r="E45" s="0" t="n">
        <v>1</v>
      </c>
      <c r="F45" s="0" t="s">
        <v>63</v>
      </c>
      <c r="G45" s="0" t="n">
        <v>16</v>
      </c>
      <c r="H45" s="0" t="n">
        <v>52.99</v>
      </c>
      <c r="I45" s="0" t="s">
        <v>173</v>
      </c>
      <c r="J45" s="0" t="s">
        <v>155</v>
      </c>
      <c r="K45" s="0" t="s">
        <v>66</v>
      </c>
    </row>
    <row r="46" customFormat="false" ht="15" hidden="false" customHeight="false" outlineLevel="0" collapsed="false">
      <c r="A46" s="0" t="s">
        <v>174</v>
      </c>
      <c r="B46" s="0" t="s">
        <v>175</v>
      </c>
      <c r="C46" s="0" t="n">
        <v>2.887</v>
      </c>
      <c r="D46" s="0" t="n">
        <v>15.375</v>
      </c>
      <c r="E46" s="0" t="n">
        <v>1</v>
      </c>
      <c r="F46" s="0" t="s">
        <v>63</v>
      </c>
      <c r="G46" s="0" t="n">
        <v>16</v>
      </c>
      <c r="H46" s="0" t="n">
        <v>44.39</v>
      </c>
      <c r="I46" s="0" t="s">
        <v>176</v>
      </c>
      <c r="J46" s="0" t="s">
        <v>155</v>
      </c>
      <c r="K46" s="0" t="s">
        <v>66</v>
      </c>
    </row>
    <row r="47" customFormat="false" ht="15" hidden="false" customHeight="false" outlineLevel="0" collapsed="false">
      <c r="A47" s="5" t="s">
        <v>177</v>
      </c>
    </row>
    <row r="48" customFormat="false" ht="15" hidden="false" customHeight="false" outlineLevel="0" collapsed="false">
      <c r="A48" s="0" t="s">
        <v>178</v>
      </c>
      <c r="B48" s="0" t="s">
        <v>179</v>
      </c>
      <c r="C48" s="0" t="n">
        <v>17.762</v>
      </c>
      <c r="D48" s="0" t="n">
        <v>15.375</v>
      </c>
      <c r="E48" s="0" t="n">
        <v>2</v>
      </c>
      <c r="F48" s="0" t="s">
        <v>63</v>
      </c>
      <c r="G48" s="0" t="n">
        <v>16</v>
      </c>
      <c r="H48" s="0" t="n">
        <v>325.39</v>
      </c>
      <c r="I48" s="0" t="s">
        <v>180</v>
      </c>
      <c r="J48" s="0" t="s">
        <v>181</v>
      </c>
      <c r="K48" s="0" t="s">
        <v>66</v>
      </c>
    </row>
    <row r="49" customFormat="false" ht="15" hidden="false" customHeight="false" outlineLevel="0" collapsed="false">
      <c r="A49" s="5" t="s">
        <v>182</v>
      </c>
    </row>
    <row r="50" customFormat="false" ht="15" hidden="false" customHeight="false" outlineLevel="0" collapsed="false">
      <c r="A50" s="0" t="s">
        <v>183</v>
      </c>
      <c r="B50" s="0" t="s">
        <v>184</v>
      </c>
      <c r="C50" s="0" t="n">
        <v>2.42</v>
      </c>
      <c r="D50" s="0" t="n">
        <v>14.383</v>
      </c>
      <c r="E50" s="0" t="n">
        <v>4</v>
      </c>
      <c r="F50" s="0" t="s">
        <v>185</v>
      </c>
      <c r="G50" s="0" t="n">
        <v>16</v>
      </c>
      <c r="H50" s="0" t="n">
        <v>139.24</v>
      </c>
      <c r="I50" s="0" t="s">
        <v>186</v>
      </c>
      <c r="J50" s="0" t="s">
        <v>187</v>
      </c>
      <c r="K50" s="0" t="s">
        <v>66</v>
      </c>
    </row>
    <row r="51" customFormat="false" ht="15" hidden="false" customHeight="false" outlineLevel="0" collapsed="false">
      <c r="A51" s="0" t="s">
        <v>188</v>
      </c>
      <c r="B51" s="0" t="s">
        <v>189</v>
      </c>
      <c r="C51" s="0" t="n">
        <v>3.467</v>
      </c>
      <c r="D51" s="0" t="n">
        <v>14.383</v>
      </c>
      <c r="E51" s="0" t="n">
        <v>4</v>
      </c>
      <c r="F51" s="0" t="s">
        <v>185</v>
      </c>
      <c r="G51" s="0" t="n">
        <v>16</v>
      </c>
      <c r="H51" s="0" t="n">
        <v>199.46</v>
      </c>
      <c r="I51" s="0" t="s">
        <v>190</v>
      </c>
      <c r="J51" s="0" t="s">
        <v>187</v>
      </c>
      <c r="K51" s="0" t="s">
        <v>66</v>
      </c>
    </row>
    <row r="52" customFormat="false" ht="15" hidden="false" customHeight="false" outlineLevel="0" collapsed="false">
      <c r="A52" s="0" t="s">
        <v>191</v>
      </c>
      <c r="B52" s="0" t="s">
        <v>192</v>
      </c>
      <c r="C52" s="0" t="n">
        <v>3.253</v>
      </c>
      <c r="D52" s="0" t="n">
        <v>14.225</v>
      </c>
      <c r="E52" s="0" t="n">
        <v>4</v>
      </c>
      <c r="F52" s="0" t="s">
        <v>185</v>
      </c>
      <c r="G52" s="0" t="n">
        <v>16</v>
      </c>
      <c r="H52" s="0" t="n">
        <v>185.12</v>
      </c>
      <c r="I52" s="0" t="s">
        <v>193</v>
      </c>
      <c r="J52" s="0" t="s">
        <v>187</v>
      </c>
      <c r="K52" s="0" t="s">
        <v>66</v>
      </c>
    </row>
    <row r="53" customFormat="false" ht="15" hidden="false" customHeight="false" outlineLevel="0" collapsed="false">
      <c r="A53" s="0" t="s">
        <v>194</v>
      </c>
      <c r="B53" s="0" t="s">
        <v>195</v>
      </c>
      <c r="C53" s="0" t="n">
        <v>3.253</v>
      </c>
      <c r="D53" s="0" t="n">
        <v>14.225</v>
      </c>
      <c r="E53" s="0" t="n">
        <v>4</v>
      </c>
      <c r="F53" s="0" t="s">
        <v>185</v>
      </c>
      <c r="G53" s="0" t="n">
        <v>16</v>
      </c>
      <c r="H53" s="0" t="n">
        <v>185.12</v>
      </c>
      <c r="I53" s="0" t="s">
        <v>196</v>
      </c>
      <c r="J53" s="0" t="s">
        <v>187</v>
      </c>
      <c r="K53" s="0" t="s">
        <v>66</v>
      </c>
    </row>
    <row r="54" customFormat="false" ht="15" hidden="false" customHeight="false" outlineLevel="0" collapsed="false">
      <c r="A54" s="0" t="s">
        <v>197</v>
      </c>
      <c r="B54" s="0" t="s">
        <v>198</v>
      </c>
      <c r="C54" s="0" t="n">
        <v>11.771</v>
      </c>
      <c r="D54" s="0" t="n">
        <v>15.375</v>
      </c>
      <c r="E54" s="0" t="n">
        <v>4</v>
      </c>
      <c r="F54" s="0" t="s">
        <v>185</v>
      </c>
      <c r="G54" s="0" t="n">
        <v>16</v>
      </c>
      <c r="H54" s="0" t="n">
        <v>723.9</v>
      </c>
      <c r="I54" s="0" t="s">
        <v>199</v>
      </c>
      <c r="J54" s="0" t="s">
        <v>187</v>
      </c>
      <c r="K54" s="0" t="s">
        <v>90</v>
      </c>
    </row>
    <row r="55" customFormat="false" ht="15" hidden="false" customHeight="false" outlineLevel="0" collapsed="false">
      <c r="A55" s="0" t="s">
        <v>200</v>
      </c>
      <c r="B55" s="0" t="s">
        <v>201</v>
      </c>
      <c r="C55" s="0" t="n">
        <v>11.771</v>
      </c>
      <c r="D55" s="0" t="n">
        <v>15.375</v>
      </c>
      <c r="E55" s="0" t="n">
        <v>4</v>
      </c>
      <c r="F55" s="0" t="s">
        <v>185</v>
      </c>
      <c r="G55" s="0" t="n">
        <v>16</v>
      </c>
      <c r="H55" s="0" t="n">
        <v>723.9</v>
      </c>
      <c r="I55" s="0" t="s">
        <v>202</v>
      </c>
      <c r="J55" s="0" t="s">
        <v>187</v>
      </c>
      <c r="K55" s="0" t="s">
        <v>90</v>
      </c>
    </row>
    <row r="56" customFormat="false" ht="15" hidden="false" customHeight="false" outlineLevel="0" collapsed="false">
      <c r="A56" s="0" t="s">
        <v>203</v>
      </c>
      <c r="B56" s="0" t="s">
        <v>204</v>
      </c>
      <c r="C56" s="0" t="n">
        <v>10.073</v>
      </c>
      <c r="D56" s="0" t="n">
        <v>15.375</v>
      </c>
      <c r="E56" s="0" t="n">
        <v>4</v>
      </c>
      <c r="F56" s="0" t="s">
        <v>185</v>
      </c>
      <c r="G56" s="0" t="n">
        <v>16</v>
      </c>
      <c r="H56" s="0" t="n">
        <v>619.5</v>
      </c>
      <c r="I56" s="0" t="s">
        <v>205</v>
      </c>
      <c r="J56" s="0" t="s">
        <v>187</v>
      </c>
      <c r="K56" s="0" t="s">
        <v>66</v>
      </c>
    </row>
    <row r="57" customFormat="false" ht="15" hidden="false" customHeight="false" outlineLevel="0" collapsed="false">
      <c r="A57" s="0" t="s">
        <v>206</v>
      </c>
      <c r="B57" s="0" t="s">
        <v>207</v>
      </c>
      <c r="C57" s="0" t="n">
        <v>12.333</v>
      </c>
      <c r="D57" s="0" t="n">
        <v>15.375</v>
      </c>
      <c r="E57" s="0" t="n">
        <v>4</v>
      </c>
      <c r="F57" s="0" t="s">
        <v>185</v>
      </c>
      <c r="G57" s="0" t="n">
        <v>16</v>
      </c>
      <c r="H57" s="0" t="n">
        <v>758.5</v>
      </c>
      <c r="I57" s="0" t="s">
        <v>208</v>
      </c>
      <c r="J57" s="0" t="s">
        <v>187</v>
      </c>
      <c r="K57" s="0" t="s">
        <v>66</v>
      </c>
    </row>
    <row r="58" customFormat="false" ht="15" hidden="false" customHeight="false" outlineLevel="0" collapsed="false">
      <c r="A58" s="0" t="s">
        <v>209</v>
      </c>
      <c r="B58" s="0" t="s">
        <v>210</v>
      </c>
      <c r="C58" s="0" t="n">
        <v>11.625</v>
      </c>
      <c r="D58" s="0" t="n">
        <v>15.375</v>
      </c>
      <c r="E58" s="0" t="n">
        <v>4</v>
      </c>
      <c r="F58" s="0" t="s">
        <v>185</v>
      </c>
      <c r="G58" s="0" t="n">
        <v>16</v>
      </c>
      <c r="H58" s="0" t="n">
        <v>714.94</v>
      </c>
      <c r="I58" s="0" t="s">
        <v>211</v>
      </c>
      <c r="J58" s="0" t="s">
        <v>187</v>
      </c>
      <c r="K58" s="0" t="s">
        <v>90</v>
      </c>
    </row>
    <row r="59" customFormat="false" ht="15" hidden="false" customHeight="false" outlineLevel="0" collapsed="false">
      <c r="A59" s="0" t="s">
        <v>212</v>
      </c>
      <c r="B59" s="0" t="s">
        <v>213</v>
      </c>
      <c r="C59" s="0" t="n">
        <v>11.625</v>
      </c>
      <c r="D59" s="0" t="n">
        <v>15.375</v>
      </c>
      <c r="E59" s="0" t="n">
        <v>4</v>
      </c>
      <c r="F59" s="0" t="s">
        <v>185</v>
      </c>
      <c r="G59" s="0" t="n">
        <v>16</v>
      </c>
      <c r="H59" s="0" t="n">
        <v>714.94</v>
      </c>
      <c r="I59" s="0" t="s">
        <v>214</v>
      </c>
      <c r="J59" s="0" t="s">
        <v>187</v>
      </c>
      <c r="K59" s="0" t="s">
        <v>90</v>
      </c>
    </row>
    <row r="60" customFormat="false" ht="15" hidden="false" customHeight="false" outlineLevel="0" collapsed="false">
      <c r="A60" s="5" t="s">
        <v>215</v>
      </c>
    </row>
    <row r="61" customFormat="false" ht="15" hidden="false" customHeight="false" outlineLevel="0" collapsed="false">
      <c r="A61" s="0" t="s">
        <v>216</v>
      </c>
      <c r="B61" s="0" t="s">
        <v>217</v>
      </c>
      <c r="C61" s="0" t="n">
        <v>11.771</v>
      </c>
      <c r="D61" s="0" t="n">
        <v>15.375</v>
      </c>
      <c r="E61" s="0" t="n">
        <v>4</v>
      </c>
      <c r="F61" s="0" t="s">
        <v>185</v>
      </c>
      <c r="G61" s="0" t="n">
        <v>16</v>
      </c>
      <c r="H61" s="0" t="n">
        <v>723.9</v>
      </c>
      <c r="I61" s="0" t="s">
        <v>218</v>
      </c>
      <c r="J61" s="0" t="s">
        <v>187</v>
      </c>
      <c r="K61" s="0" t="s">
        <v>90</v>
      </c>
    </row>
    <row r="62" customFormat="false" ht="15" hidden="false" customHeight="false" outlineLevel="0" collapsed="false">
      <c r="A62" s="0" t="s">
        <v>219</v>
      </c>
      <c r="B62" s="0" t="s">
        <v>220</v>
      </c>
      <c r="C62" s="0" t="n">
        <v>3.507</v>
      </c>
      <c r="D62" s="0" t="n">
        <v>15.375</v>
      </c>
      <c r="E62" s="0" t="n">
        <v>4</v>
      </c>
      <c r="F62" s="0" t="s">
        <v>185</v>
      </c>
      <c r="G62" s="0" t="n">
        <v>16</v>
      </c>
      <c r="H62" s="0" t="n">
        <v>215.66</v>
      </c>
      <c r="I62" s="0" t="s">
        <v>221</v>
      </c>
      <c r="J62" s="0" t="s">
        <v>187</v>
      </c>
      <c r="K62" s="0" t="s">
        <v>66</v>
      </c>
    </row>
    <row r="63" customFormat="false" ht="15" hidden="false" customHeight="false" outlineLevel="0" collapsed="false">
      <c r="A63" s="0" t="s">
        <v>222</v>
      </c>
      <c r="B63" s="0" t="s">
        <v>223</v>
      </c>
      <c r="C63" s="0" t="n">
        <v>3.18</v>
      </c>
      <c r="D63" s="0" t="n">
        <v>15.375</v>
      </c>
      <c r="E63" s="0" t="n">
        <v>4</v>
      </c>
      <c r="F63" s="0" t="s">
        <v>185</v>
      </c>
      <c r="G63" s="0" t="n">
        <v>16</v>
      </c>
      <c r="H63" s="0" t="n">
        <v>195.58</v>
      </c>
      <c r="I63" s="0" t="s">
        <v>224</v>
      </c>
      <c r="J63" s="0" t="s">
        <v>187</v>
      </c>
      <c r="K63" s="0" t="s">
        <v>66</v>
      </c>
    </row>
    <row r="64" customFormat="false" ht="15" hidden="false" customHeight="false" outlineLevel="0" collapsed="false">
      <c r="A64" s="5" t="s">
        <v>225</v>
      </c>
    </row>
    <row r="65" customFormat="false" ht="15" hidden="false" customHeight="false" outlineLevel="0" collapsed="false">
      <c r="A65" s="0" t="s">
        <v>226</v>
      </c>
      <c r="B65" s="0" t="s">
        <v>227</v>
      </c>
      <c r="C65" s="0" t="n">
        <v>30</v>
      </c>
      <c r="D65" s="0" t="n">
        <v>6.262</v>
      </c>
      <c r="E65" s="0" t="n">
        <v>4</v>
      </c>
      <c r="F65" s="0" t="s">
        <v>185</v>
      </c>
      <c r="G65" s="0" t="n">
        <v>16</v>
      </c>
      <c r="H65" s="0" t="n">
        <v>766.88</v>
      </c>
      <c r="I65" s="0" t="s">
        <v>228</v>
      </c>
      <c r="J65" s="0" t="s">
        <v>229</v>
      </c>
      <c r="K65" s="0" t="s">
        <v>90</v>
      </c>
    </row>
    <row r="66" customFormat="false" ht="15" hidden="false" customHeight="false" outlineLevel="0" collapsed="false">
      <c r="A66" s="0" t="s">
        <v>230</v>
      </c>
      <c r="B66" s="0" t="s">
        <v>231</v>
      </c>
      <c r="C66" s="0" t="n">
        <v>15</v>
      </c>
      <c r="D66" s="0" t="n">
        <v>7.333</v>
      </c>
      <c r="E66" s="0" t="n">
        <v>4</v>
      </c>
      <c r="F66" s="0" t="s">
        <v>185</v>
      </c>
      <c r="G66" s="0" t="n">
        <v>16</v>
      </c>
      <c r="H66" s="0" t="n">
        <v>450.6</v>
      </c>
      <c r="I66" s="0" t="s">
        <v>232</v>
      </c>
      <c r="J66" s="0" t="s">
        <v>229</v>
      </c>
      <c r="K66" s="0" t="s">
        <v>90</v>
      </c>
    </row>
    <row r="67" customFormat="false" ht="15" hidden="false" customHeight="false" outlineLevel="0" collapsed="false">
      <c r="A67" s="5" t="s">
        <v>233</v>
      </c>
    </row>
    <row r="68" customFormat="false" ht="15" hidden="false" customHeight="false" outlineLevel="0" collapsed="false">
      <c r="A68" s="0" t="s">
        <v>234</v>
      </c>
      <c r="B68" s="0" t="s">
        <v>235</v>
      </c>
      <c r="C68" s="0" t="n">
        <v>21.46</v>
      </c>
      <c r="D68" s="0" t="n">
        <v>14.358</v>
      </c>
      <c r="E68" s="0" t="n">
        <v>1</v>
      </c>
      <c r="F68" s="0" t="s">
        <v>94</v>
      </c>
      <c r="G68" s="0" t="n">
        <v>16</v>
      </c>
      <c r="H68" s="0" t="n">
        <v>316.42</v>
      </c>
      <c r="I68" s="0" t="s">
        <v>180</v>
      </c>
      <c r="J68" s="0" t="s">
        <v>236</v>
      </c>
      <c r="K68" s="0" t="s">
        <v>66</v>
      </c>
    </row>
    <row r="69" customFormat="false" ht="15" hidden="false" customHeight="false" outlineLevel="0" collapsed="false">
      <c r="A69" s="0" t="s">
        <v>237</v>
      </c>
      <c r="B69" s="0" t="s">
        <v>238</v>
      </c>
      <c r="C69" s="0" t="n">
        <v>3.907</v>
      </c>
      <c r="D69" s="0" t="n">
        <v>14.358</v>
      </c>
      <c r="E69" s="0" t="n">
        <v>1</v>
      </c>
      <c r="F69" s="0" t="s">
        <v>94</v>
      </c>
      <c r="G69" s="0" t="n">
        <v>16</v>
      </c>
      <c r="H69" s="0" t="n">
        <v>60.07</v>
      </c>
      <c r="I69" s="0" t="s">
        <v>239</v>
      </c>
      <c r="J69" s="0" t="s">
        <v>236</v>
      </c>
      <c r="K69" s="0" t="s">
        <v>66</v>
      </c>
    </row>
    <row r="70" customFormat="false" ht="15" hidden="false" customHeight="false" outlineLevel="0" collapsed="false">
      <c r="A70" s="0" t="s">
        <v>240</v>
      </c>
      <c r="B70" s="0" t="s">
        <v>241</v>
      </c>
      <c r="C70" s="0" t="n">
        <v>47.927</v>
      </c>
      <c r="D70" s="0" t="n">
        <v>13.056</v>
      </c>
      <c r="E70" s="0" t="n">
        <v>1</v>
      </c>
      <c r="F70" s="0" t="s">
        <v>94</v>
      </c>
      <c r="G70" s="0" t="n">
        <v>16</v>
      </c>
      <c r="H70" s="0" t="n">
        <v>645.64</v>
      </c>
      <c r="I70" s="0" t="s">
        <v>242</v>
      </c>
      <c r="J70" s="0" t="s">
        <v>236</v>
      </c>
      <c r="K70" s="0" t="s">
        <v>66</v>
      </c>
    </row>
    <row r="71" customFormat="false" ht="15" hidden="false" customHeight="false" outlineLevel="0" collapsed="false">
      <c r="A71" s="0" t="s">
        <v>243</v>
      </c>
      <c r="B71" s="0" t="s">
        <v>244</v>
      </c>
      <c r="C71" s="0" t="n">
        <v>52.28</v>
      </c>
      <c r="D71" s="0" t="n">
        <v>11.172</v>
      </c>
      <c r="E71" s="0" t="n">
        <v>1</v>
      </c>
      <c r="F71" s="0" t="s">
        <v>94</v>
      </c>
      <c r="G71" s="0" t="n">
        <v>16</v>
      </c>
      <c r="H71" s="0" t="n">
        <v>627.9</v>
      </c>
      <c r="I71" s="0" t="s">
        <v>245</v>
      </c>
      <c r="J71" s="0" t="s">
        <v>236</v>
      </c>
      <c r="K71" s="0" t="s">
        <v>66</v>
      </c>
    </row>
    <row r="72" customFormat="false" ht="15" hidden="false" customHeight="false" outlineLevel="0" collapsed="false">
      <c r="A72" s="0" t="s">
        <v>246</v>
      </c>
      <c r="B72" s="0" t="s">
        <v>247</v>
      </c>
      <c r="C72" s="0" t="n">
        <v>75.333</v>
      </c>
      <c r="D72" s="0" t="n">
        <v>13.548</v>
      </c>
      <c r="E72" s="0" t="n">
        <v>1</v>
      </c>
      <c r="F72" s="0" t="s">
        <v>94</v>
      </c>
      <c r="G72" s="0" t="n">
        <v>16</v>
      </c>
      <c r="H72" s="0" t="n">
        <v>1036.3</v>
      </c>
      <c r="I72" s="0" t="s">
        <v>248</v>
      </c>
      <c r="J72" s="0" t="s">
        <v>236</v>
      </c>
      <c r="K72" s="0" t="s">
        <v>66</v>
      </c>
    </row>
    <row r="73" customFormat="false" ht="15" hidden="false" customHeight="false" outlineLevel="0" collapsed="false">
      <c r="A73" s="0" t="s">
        <v>249</v>
      </c>
      <c r="B73" s="0" t="s">
        <v>250</v>
      </c>
      <c r="C73" s="0" t="n">
        <v>13.187</v>
      </c>
      <c r="D73" s="0" t="n">
        <v>14.358</v>
      </c>
      <c r="E73" s="0" t="n">
        <v>1</v>
      </c>
      <c r="F73" s="0" t="s">
        <v>94</v>
      </c>
      <c r="G73" s="0" t="n">
        <v>16</v>
      </c>
      <c r="H73" s="0" t="n">
        <v>202.75</v>
      </c>
      <c r="I73" s="0" t="s">
        <v>251</v>
      </c>
      <c r="J73" s="0" t="s">
        <v>236</v>
      </c>
      <c r="K73" s="0" t="s">
        <v>66</v>
      </c>
    </row>
    <row r="74" customFormat="false" ht="15" hidden="false" customHeight="false" outlineLevel="0" collapsed="false">
      <c r="A74" s="5" t="s">
        <v>252</v>
      </c>
    </row>
    <row r="75" customFormat="false" ht="15" hidden="false" customHeight="false" outlineLevel="0" collapsed="false">
      <c r="A75" s="0" t="s">
        <v>253</v>
      </c>
      <c r="B75" s="0" t="s">
        <v>254</v>
      </c>
      <c r="C75" s="0" t="n">
        <v>5.667</v>
      </c>
      <c r="D75" s="0" t="n">
        <v>10.604</v>
      </c>
      <c r="E75" s="0" t="n">
        <v>0</v>
      </c>
      <c r="F75" s="0" t="s">
        <v>63</v>
      </c>
      <c r="G75" s="0" t="n">
        <v>16</v>
      </c>
      <c r="H75" s="0" t="n">
        <v>0</v>
      </c>
      <c r="I75" s="0" t="s">
        <v>254</v>
      </c>
      <c r="J75" s="0" t="s">
        <v>255</v>
      </c>
      <c r="K75" s="0" t="s">
        <v>66</v>
      </c>
    </row>
    <row r="76" customFormat="false" ht="15" hidden="false" customHeight="false" outlineLevel="0" collapsed="false">
      <c r="A76" s="0" t="s">
        <v>256</v>
      </c>
      <c r="B76" s="0" t="s">
        <v>257</v>
      </c>
      <c r="C76" s="0" t="n">
        <v>5.667</v>
      </c>
      <c r="D76" s="0" t="n">
        <v>10.604</v>
      </c>
      <c r="E76" s="0" t="n">
        <v>0</v>
      </c>
      <c r="F76" s="0" t="s">
        <v>63</v>
      </c>
      <c r="G76" s="0" t="n">
        <v>16</v>
      </c>
      <c r="H76" s="0" t="n">
        <v>0</v>
      </c>
      <c r="I76" s="0" t="s">
        <v>257</v>
      </c>
      <c r="J76" s="0" t="s">
        <v>255</v>
      </c>
      <c r="K76" s="0" t="s">
        <v>66</v>
      </c>
    </row>
    <row r="77" customFormat="false" ht="15" hidden="false" customHeight="false" outlineLevel="0" collapsed="false">
      <c r="A77" s="0" t="s">
        <v>258</v>
      </c>
      <c r="B77" s="0" t="s">
        <v>259</v>
      </c>
      <c r="C77" s="0" t="n">
        <v>5.667</v>
      </c>
      <c r="D77" s="0" t="n">
        <v>10.604</v>
      </c>
      <c r="E77" s="0" t="n">
        <v>0</v>
      </c>
      <c r="F77" s="0" t="s">
        <v>63</v>
      </c>
      <c r="G77" s="0" t="n">
        <v>16</v>
      </c>
      <c r="H77" s="0" t="n">
        <v>0</v>
      </c>
      <c r="I77" s="0" t="s">
        <v>259</v>
      </c>
      <c r="J77" s="0" t="s">
        <v>255</v>
      </c>
      <c r="K77" s="0" t="s">
        <v>66</v>
      </c>
    </row>
    <row r="78" customFormat="false" ht="15" hidden="false" customHeight="false" outlineLevel="0" collapsed="false">
      <c r="A78" s="0" t="s">
        <v>260</v>
      </c>
      <c r="B78" s="0" t="s">
        <v>261</v>
      </c>
      <c r="C78" s="0" t="n">
        <v>5.667</v>
      </c>
      <c r="D78" s="0" t="n">
        <v>10.604</v>
      </c>
      <c r="E78" s="0" t="n">
        <v>0</v>
      </c>
      <c r="F78" s="0" t="s">
        <v>63</v>
      </c>
      <c r="G78" s="0" t="n">
        <v>16</v>
      </c>
      <c r="H78" s="0" t="n">
        <v>0</v>
      </c>
      <c r="I78" s="0" t="s">
        <v>261</v>
      </c>
      <c r="J78" s="0" t="s">
        <v>255</v>
      </c>
      <c r="K78" s="0" t="s">
        <v>66</v>
      </c>
    </row>
    <row r="79" customFormat="false" ht="15" hidden="false" customHeight="false" outlineLevel="0" collapsed="false">
      <c r="A79" s="5" t="s">
        <v>262</v>
      </c>
    </row>
    <row r="80" customFormat="false" ht="15" hidden="false" customHeight="false" outlineLevel="0" collapsed="false">
      <c r="A80" s="0" t="s">
        <v>263</v>
      </c>
      <c r="B80" s="0" t="s">
        <v>264</v>
      </c>
      <c r="C80" s="0" t="n">
        <v>16.687</v>
      </c>
      <c r="D80" s="0" t="n">
        <v>4.292</v>
      </c>
      <c r="E80" s="0" t="n">
        <v>0</v>
      </c>
      <c r="F80" s="0" t="s">
        <v>265</v>
      </c>
      <c r="G80" s="0" t="n">
        <v>16</v>
      </c>
      <c r="H80" s="0" t="n">
        <v>0</v>
      </c>
      <c r="I80" s="0" t="s">
        <v>264</v>
      </c>
      <c r="J80" s="0" t="s">
        <v>266</v>
      </c>
      <c r="K80" s="0" t="s">
        <v>66</v>
      </c>
    </row>
    <row r="81" customFormat="false" ht="15" hidden="false" customHeight="false" outlineLevel="0" collapsed="false">
      <c r="A81" s="0" t="s">
        <v>267</v>
      </c>
      <c r="B81" s="0" t="s">
        <v>268</v>
      </c>
      <c r="C81" s="0" t="n">
        <v>4.093</v>
      </c>
      <c r="D81" s="0" t="n">
        <v>4.292</v>
      </c>
      <c r="E81" s="0" t="n">
        <v>0</v>
      </c>
      <c r="F81" s="0" t="s">
        <v>265</v>
      </c>
      <c r="G81" s="0" t="n">
        <v>16</v>
      </c>
      <c r="H81" s="0" t="n">
        <v>0</v>
      </c>
      <c r="I81" s="0" t="s">
        <v>268</v>
      </c>
      <c r="J81" s="0" t="s">
        <v>266</v>
      </c>
      <c r="K81" s="0" t="s">
        <v>66</v>
      </c>
    </row>
    <row r="82" customFormat="false" ht="15" hidden="false" customHeight="false" outlineLevel="0" collapsed="false">
      <c r="A82" s="0" t="s">
        <v>269</v>
      </c>
      <c r="B82" s="0" t="s">
        <v>270</v>
      </c>
      <c r="C82" s="0" t="n">
        <v>29.327</v>
      </c>
      <c r="D82" s="0" t="n">
        <v>4.292</v>
      </c>
      <c r="E82" s="0" t="n">
        <v>0</v>
      </c>
      <c r="F82" s="0" t="s">
        <v>265</v>
      </c>
      <c r="G82" s="0" t="n">
        <v>16</v>
      </c>
      <c r="H82" s="0" t="n">
        <v>0</v>
      </c>
      <c r="I82" s="0" t="s">
        <v>270</v>
      </c>
      <c r="J82" s="0" t="s">
        <v>266</v>
      </c>
      <c r="K82" s="0" t="s">
        <v>66</v>
      </c>
    </row>
    <row r="83" customFormat="false" ht="15" hidden="false" customHeight="false" outlineLevel="0" collapsed="false">
      <c r="A83" s="0" t="s">
        <v>271</v>
      </c>
      <c r="B83" s="0" t="s">
        <v>272</v>
      </c>
      <c r="C83" s="0" t="n">
        <v>3.907</v>
      </c>
      <c r="D83" s="0" t="n">
        <v>4.292</v>
      </c>
      <c r="E83" s="0" t="n">
        <v>0</v>
      </c>
      <c r="F83" s="0" t="s">
        <v>265</v>
      </c>
      <c r="G83" s="0" t="n">
        <v>16</v>
      </c>
      <c r="H83" s="0" t="n">
        <v>0</v>
      </c>
      <c r="I83" s="0" t="s">
        <v>272</v>
      </c>
      <c r="J83" s="0" t="s">
        <v>266</v>
      </c>
      <c r="K83" s="0" t="s">
        <v>66</v>
      </c>
    </row>
    <row r="84" customFormat="false" ht="15" hidden="false" customHeight="false" outlineLevel="0" collapsed="false">
      <c r="A84" s="0" t="s">
        <v>273</v>
      </c>
      <c r="B84" s="0" t="s">
        <v>274</v>
      </c>
      <c r="C84" s="0" t="n">
        <v>47.927</v>
      </c>
      <c r="D84" s="0" t="n">
        <v>3.411</v>
      </c>
      <c r="E84" s="0" t="n">
        <v>0</v>
      </c>
      <c r="F84" s="0" t="s">
        <v>265</v>
      </c>
      <c r="G84" s="0" t="n">
        <v>16</v>
      </c>
      <c r="H84" s="0" t="n">
        <v>0</v>
      </c>
      <c r="I84" s="0" t="s">
        <v>275</v>
      </c>
      <c r="J84" s="0" t="s">
        <v>266</v>
      </c>
      <c r="K84" s="0" t="s">
        <v>66</v>
      </c>
    </row>
    <row r="85" customFormat="false" ht="15" hidden="false" customHeight="false" outlineLevel="0" collapsed="false">
      <c r="A85" s="0" t="s">
        <v>276</v>
      </c>
      <c r="B85" s="0" t="s">
        <v>277</v>
      </c>
      <c r="C85" s="0" t="n">
        <v>52.637</v>
      </c>
      <c r="D85" s="0" t="n">
        <v>4.886</v>
      </c>
      <c r="E85" s="0" t="n">
        <v>0</v>
      </c>
      <c r="F85" s="0" t="s">
        <v>265</v>
      </c>
      <c r="G85" s="0" t="n">
        <v>16</v>
      </c>
      <c r="H85" s="0" t="n">
        <v>0</v>
      </c>
      <c r="I85" s="0" t="s">
        <v>277</v>
      </c>
      <c r="J85" s="0" t="s">
        <v>266</v>
      </c>
      <c r="K85" s="0" t="s">
        <v>66</v>
      </c>
    </row>
    <row r="86" customFormat="false" ht="15" hidden="false" customHeight="false" outlineLevel="0" collapsed="false">
      <c r="A86" s="0" t="s">
        <v>278</v>
      </c>
      <c r="B86" s="0" t="s">
        <v>279</v>
      </c>
      <c r="C86" s="0" t="n">
        <v>76.253</v>
      </c>
      <c r="D86" s="0" t="n">
        <v>2.902</v>
      </c>
      <c r="E86" s="0" t="n">
        <v>0</v>
      </c>
      <c r="F86" s="0" t="s">
        <v>265</v>
      </c>
      <c r="G86" s="0" t="n">
        <v>16</v>
      </c>
      <c r="H86" s="0" t="n">
        <v>0</v>
      </c>
      <c r="I86" s="0" t="s">
        <v>280</v>
      </c>
      <c r="J86" s="0" t="s">
        <v>266</v>
      </c>
      <c r="K86" s="0" t="s">
        <v>66</v>
      </c>
    </row>
    <row r="87" customFormat="false" ht="15" hidden="false" customHeight="false" outlineLevel="0" collapsed="false">
      <c r="A87" s="0" t="s">
        <v>281</v>
      </c>
      <c r="B87" s="0" t="s">
        <v>282</v>
      </c>
      <c r="C87" s="0" t="n">
        <v>39.337</v>
      </c>
      <c r="D87" s="0" t="n">
        <v>2.042</v>
      </c>
      <c r="E87" s="0" t="n">
        <v>0</v>
      </c>
      <c r="F87" s="0" t="s">
        <v>265</v>
      </c>
      <c r="G87" s="0" t="n">
        <v>16</v>
      </c>
      <c r="H87" s="0" t="n">
        <v>0</v>
      </c>
      <c r="I87" s="0" t="s">
        <v>282</v>
      </c>
      <c r="J87" s="0" t="s">
        <v>266</v>
      </c>
      <c r="K87" s="0" t="s">
        <v>66</v>
      </c>
    </row>
    <row r="88" customFormat="false" ht="15" hidden="false" customHeight="false" outlineLevel="0" collapsed="false">
      <c r="B88" s="6" t="s">
        <v>283</v>
      </c>
      <c r="C88" s="4" t="n">
        <f aca="false">SUM(C5:C87)</f>
        <v>954.743</v>
      </c>
      <c r="H88" s="4" t="n">
        <f aca="false">SUM(H5:H87)</f>
        <v>15794.44</v>
      </c>
    </row>
    <row r="90" customFormat="false" ht="15" hidden="false" customHeight="false" outlineLevel="0" collapsed="false">
      <c r="A90" s="5" t="s">
        <v>284</v>
      </c>
    </row>
    <row r="91" customFormat="false" ht="15" hidden="false" customHeight="false" outlineLevel="0" collapsed="false">
      <c r="A91" s="0" t="s">
        <v>285</v>
      </c>
      <c r="B91" s="0" t="s">
        <v>286</v>
      </c>
      <c r="C91" s="0" t="n">
        <v>3.25</v>
      </c>
      <c r="D91" s="0" t="n">
        <v>14.358</v>
      </c>
      <c r="E91" s="0" t="n">
        <v>0</v>
      </c>
      <c r="F91" s="0" t="s">
        <v>94</v>
      </c>
      <c r="G91" s="0" t="n">
        <v>16</v>
      </c>
      <c r="H91" s="0" t="n">
        <v>0</v>
      </c>
      <c r="I91" s="0" t="s">
        <v>286</v>
      </c>
      <c r="J91" s="0" t="s">
        <v>287</v>
      </c>
      <c r="K91" s="0" t="s">
        <v>66</v>
      </c>
    </row>
    <row r="92" customFormat="false" ht="15" hidden="false" customHeight="false" outlineLevel="0" collapsed="false">
      <c r="A92" s="0" t="s">
        <v>288</v>
      </c>
      <c r="B92" s="0" t="s">
        <v>289</v>
      </c>
      <c r="C92" s="0" t="n">
        <v>2.896</v>
      </c>
      <c r="D92" s="0" t="n">
        <v>14.358</v>
      </c>
      <c r="E92" s="0" t="n">
        <v>0</v>
      </c>
      <c r="F92" s="0" t="s">
        <v>94</v>
      </c>
      <c r="G92" s="0" t="n">
        <v>16</v>
      </c>
      <c r="H92" s="0" t="n">
        <v>0</v>
      </c>
      <c r="I92" s="0" t="s">
        <v>289</v>
      </c>
      <c r="J92" s="0" t="s">
        <v>290</v>
      </c>
      <c r="K92" s="0" t="s">
        <v>66</v>
      </c>
    </row>
    <row r="93" customFormat="false" ht="15" hidden="false" customHeight="false" outlineLevel="0" collapsed="false">
      <c r="A93" s="0" t="s">
        <v>291</v>
      </c>
      <c r="B93" s="0" t="s">
        <v>292</v>
      </c>
      <c r="C93" s="0" t="n">
        <v>12.562</v>
      </c>
      <c r="D93" s="0" t="n">
        <v>4.983</v>
      </c>
      <c r="E93" s="0" t="n">
        <v>1</v>
      </c>
      <c r="F93" s="0" t="s">
        <v>94</v>
      </c>
      <c r="G93" s="0" t="n">
        <v>16</v>
      </c>
      <c r="H93" s="0" t="n">
        <v>86.37</v>
      </c>
      <c r="I93" s="0" t="s">
        <v>167</v>
      </c>
      <c r="J93" s="0" t="s">
        <v>293</v>
      </c>
      <c r="K93" s="0" t="s">
        <v>66</v>
      </c>
    </row>
    <row r="94" customFormat="false" ht="15" hidden="false" customHeight="false" outlineLevel="0" collapsed="false">
      <c r="A94" s="0" t="s">
        <v>294</v>
      </c>
      <c r="B94" s="0" t="s">
        <v>295</v>
      </c>
      <c r="C94" s="0" t="n">
        <v>26.25</v>
      </c>
      <c r="D94" s="0" t="n">
        <v>4.525</v>
      </c>
      <c r="E94" s="0" t="n">
        <v>1</v>
      </c>
      <c r="F94" s="0" t="s">
        <v>94</v>
      </c>
      <c r="G94" s="0" t="n">
        <v>16</v>
      </c>
      <c r="H94" s="0" t="n">
        <v>180.47</v>
      </c>
      <c r="I94" s="0" t="s">
        <v>296</v>
      </c>
      <c r="J94" s="0" t="s">
        <v>293</v>
      </c>
      <c r="K94" s="0" t="s">
        <v>66</v>
      </c>
    </row>
    <row r="95" customFormat="false" ht="15" hidden="false" customHeight="false" outlineLevel="0" collapsed="false">
      <c r="A95" s="0" t="s">
        <v>297</v>
      </c>
      <c r="B95" s="0" t="s">
        <v>298</v>
      </c>
      <c r="C95" s="0" t="n">
        <v>6.5</v>
      </c>
      <c r="D95" s="0" t="n">
        <v>4.983</v>
      </c>
      <c r="E95" s="0" t="n">
        <v>1</v>
      </c>
      <c r="F95" s="0" t="s">
        <v>94</v>
      </c>
      <c r="G95" s="0" t="n">
        <v>16</v>
      </c>
      <c r="H95" s="0" t="n">
        <v>44.69</v>
      </c>
      <c r="I95" s="0" t="s">
        <v>167</v>
      </c>
      <c r="J95" s="0" t="s">
        <v>293</v>
      </c>
      <c r="K95" s="0" t="s">
        <v>66</v>
      </c>
    </row>
    <row r="96" customFormat="false" ht="15" hidden="false" customHeight="false" outlineLevel="0" collapsed="false">
      <c r="A96" s="0" t="s">
        <v>299</v>
      </c>
      <c r="B96" s="0" t="s">
        <v>300</v>
      </c>
      <c r="C96" s="0" t="n">
        <v>15.646</v>
      </c>
      <c r="D96" s="0" t="n">
        <v>5.375</v>
      </c>
      <c r="E96" s="0" t="n">
        <v>0</v>
      </c>
      <c r="F96" s="0" t="s">
        <v>63</v>
      </c>
      <c r="G96" s="0" t="n">
        <v>16</v>
      </c>
      <c r="H96" s="0" t="n">
        <v>0</v>
      </c>
      <c r="I96" s="0" t="s">
        <v>300</v>
      </c>
      <c r="J96" s="0" t="s">
        <v>301</v>
      </c>
      <c r="K96" s="0" t="s">
        <v>66</v>
      </c>
    </row>
    <row r="97" customFormat="false" ht="15" hidden="false" customHeight="false" outlineLevel="0" collapsed="false">
      <c r="A97" s="0" t="s">
        <v>302</v>
      </c>
      <c r="B97" s="0" t="s">
        <v>303</v>
      </c>
      <c r="C97" s="0" t="n">
        <v>6.417</v>
      </c>
      <c r="D97" s="0" t="n">
        <v>4.383</v>
      </c>
      <c r="E97" s="0" t="n">
        <v>1</v>
      </c>
      <c r="F97" s="0" t="s">
        <v>63</v>
      </c>
      <c r="G97" s="0" t="n">
        <v>16</v>
      </c>
      <c r="H97" s="0" t="n">
        <v>9.63</v>
      </c>
      <c r="I97" s="0" t="s">
        <v>296</v>
      </c>
      <c r="J97" s="0" t="s">
        <v>304</v>
      </c>
      <c r="K97" s="0" t="s">
        <v>66</v>
      </c>
    </row>
    <row r="98" customFormat="false" ht="15" hidden="false" customHeight="false" outlineLevel="0" collapsed="false">
      <c r="A98" s="0" t="s">
        <v>305</v>
      </c>
      <c r="B98" s="0" t="s">
        <v>306</v>
      </c>
      <c r="C98" s="0" t="n">
        <v>13.333</v>
      </c>
      <c r="D98" s="0" t="n">
        <v>2</v>
      </c>
      <c r="E98" s="0" t="n">
        <v>2</v>
      </c>
      <c r="F98" s="0" t="s">
        <v>307</v>
      </c>
      <c r="G98" s="0" t="n">
        <v>16</v>
      </c>
      <c r="H98" s="0" t="n">
        <v>30</v>
      </c>
      <c r="I98" s="0" t="s">
        <v>308</v>
      </c>
      <c r="J98" s="0" t="s">
        <v>309</v>
      </c>
      <c r="K98" s="0" t="s">
        <v>66</v>
      </c>
    </row>
    <row r="99" customFormat="false" ht="15" hidden="false" customHeight="false" outlineLevel="0" collapsed="false">
      <c r="A99" s="0" t="s">
        <v>310</v>
      </c>
      <c r="B99" s="0" t="s">
        <v>311</v>
      </c>
      <c r="C99" s="0" t="n">
        <v>51.593</v>
      </c>
      <c r="D99" s="0" t="n">
        <v>3.113</v>
      </c>
      <c r="E99" s="0" t="n">
        <v>0</v>
      </c>
      <c r="F99" s="0" t="s">
        <v>63</v>
      </c>
      <c r="G99" s="0" t="n">
        <v>16</v>
      </c>
      <c r="H99" s="0" t="n">
        <v>0</v>
      </c>
      <c r="I99" s="0" t="s">
        <v>311</v>
      </c>
      <c r="J99" s="0" t="s">
        <v>312</v>
      </c>
      <c r="K99" s="0" t="s">
        <v>66</v>
      </c>
    </row>
    <row r="100" customFormat="false" ht="15" hidden="false" customHeight="false" outlineLevel="0" collapsed="false">
      <c r="A100" s="0" t="s">
        <v>313</v>
      </c>
      <c r="B100" s="0" t="s">
        <v>314</v>
      </c>
      <c r="C100" s="0" t="n">
        <v>51.593</v>
      </c>
      <c r="D100" s="0" t="n">
        <v>3.465</v>
      </c>
      <c r="E100" s="0" t="n">
        <v>1</v>
      </c>
      <c r="F100" s="0" t="s">
        <v>63</v>
      </c>
      <c r="G100" s="0" t="n">
        <v>16</v>
      </c>
      <c r="H100" s="0" t="n">
        <v>178.76</v>
      </c>
      <c r="I100" s="0" t="s">
        <v>315</v>
      </c>
      <c r="J100" s="0" t="s">
        <v>312</v>
      </c>
      <c r="K100" s="0" t="s">
        <v>66</v>
      </c>
    </row>
    <row r="101" customFormat="false" ht="15" hidden="false" customHeight="false" outlineLevel="0" collapsed="false">
      <c r="A101" s="0" t="s">
        <v>316</v>
      </c>
      <c r="B101" s="0" t="s">
        <v>317</v>
      </c>
      <c r="C101" s="0" t="n">
        <v>51.593</v>
      </c>
      <c r="D101" s="0" t="n">
        <v>1.142</v>
      </c>
      <c r="E101" s="0" t="n">
        <v>1</v>
      </c>
      <c r="F101" s="0" t="s">
        <v>63</v>
      </c>
      <c r="G101" s="0" t="n">
        <v>16</v>
      </c>
      <c r="H101" s="0" t="n">
        <v>58.9</v>
      </c>
      <c r="I101" s="0" t="s">
        <v>318</v>
      </c>
      <c r="J101" s="0" t="s">
        <v>312</v>
      </c>
      <c r="K101" s="0" t="s">
        <v>66</v>
      </c>
    </row>
    <row r="102" customFormat="false" ht="15" hidden="false" customHeight="false" outlineLevel="0" collapsed="false">
      <c r="A102" s="0" t="s">
        <v>319</v>
      </c>
      <c r="B102" s="0" t="s">
        <v>320</v>
      </c>
      <c r="C102" s="0" t="n">
        <v>17.027</v>
      </c>
      <c r="D102" s="0" t="n">
        <v>4.375</v>
      </c>
      <c r="E102" s="0" t="n">
        <v>1</v>
      </c>
      <c r="F102" s="0" t="s">
        <v>63</v>
      </c>
      <c r="G102" s="0" t="n">
        <v>48</v>
      </c>
      <c r="H102" s="0" t="n">
        <v>17.03</v>
      </c>
      <c r="I102" s="0" t="s">
        <v>321</v>
      </c>
      <c r="J102" s="0" t="s">
        <v>322</v>
      </c>
      <c r="K102" s="0" t="s">
        <v>66</v>
      </c>
    </row>
    <row r="103" customFormat="false" ht="15" hidden="false" customHeight="false" outlineLevel="0" collapsed="false">
      <c r="A103" s="0" t="s">
        <v>323</v>
      </c>
      <c r="B103" s="0" t="s">
        <v>324</v>
      </c>
      <c r="C103" s="0" t="n">
        <v>30</v>
      </c>
      <c r="D103" s="0" t="n">
        <v>4.375</v>
      </c>
      <c r="E103" s="0" t="n">
        <v>1</v>
      </c>
      <c r="F103" s="0" t="s">
        <v>63</v>
      </c>
      <c r="G103" s="0" t="n">
        <v>48</v>
      </c>
      <c r="H103" s="0" t="n">
        <v>30</v>
      </c>
      <c r="I103" s="0" t="s">
        <v>321</v>
      </c>
      <c r="J103" s="0" t="s">
        <v>322</v>
      </c>
      <c r="K103" s="0" t="s">
        <v>66</v>
      </c>
    </row>
    <row r="104" customFormat="false" ht="15" hidden="false" customHeight="false" outlineLevel="0" collapsed="false">
      <c r="A104" s="0" t="s">
        <v>325</v>
      </c>
      <c r="B104" s="0" t="s">
        <v>326</v>
      </c>
      <c r="C104" s="0" t="n">
        <v>30</v>
      </c>
      <c r="D104" s="0" t="n">
        <v>4.375</v>
      </c>
      <c r="E104" s="0" t="n">
        <v>1</v>
      </c>
      <c r="F104" s="0" t="s">
        <v>63</v>
      </c>
      <c r="G104" s="0" t="n">
        <v>48</v>
      </c>
      <c r="H104" s="0" t="n">
        <v>30</v>
      </c>
      <c r="I104" s="0" t="s">
        <v>321</v>
      </c>
      <c r="J104" s="0" t="s">
        <v>322</v>
      </c>
      <c r="K104" s="0" t="s">
        <v>66</v>
      </c>
    </row>
    <row r="105" customFormat="false" ht="15" hidden="false" customHeight="false" outlineLevel="0" collapsed="false">
      <c r="A105" s="0" t="s">
        <v>327</v>
      </c>
      <c r="B105" s="0" t="s">
        <v>328</v>
      </c>
      <c r="C105" s="0" t="n">
        <v>6.44</v>
      </c>
      <c r="D105" s="0" t="n">
        <v>7.375</v>
      </c>
      <c r="E105" s="0" t="n">
        <v>1</v>
      </c>
      <c r="F105" s="0" t="s">
        <v>63</v>
      </c>
      <c r="G105" s="0" t="n">
        <v>16</v>
      </c>
      <c r="H105" s="0" t="n">
        <v>9.66</v>
      </c>
      <c r="I105" s="0" t="s">
        <v>321</v>
      </c>
      <c r="J105" s="0" t="s">
        <v>329</v>
      </c>
      <c r="K105" s="0" t="s">
        <v>66</v>
      </c>
    </row>
    <row r="106" customFormat="false" ht="15" hidden="false" customHeight="false" outlineLevel="0" collapsed="false">
      <c r="A106" s="0" t="s">
        <v>330</v>
      </c>
      <c r="B106" s="0" t="s">
        <v>331</v>
      </c>
      <c r="C106" s="0" t="n">
        <v>5.573</v>
      </c>
      <c r="D106" s="0" t="n">
        <v>5.052</v>
      </c>
      <c r="E106" s="0" t="n">
        <v>1</v>
      </c>
      <c r="F106" s="0" t="s">
        <v>63</v>
      </c>
      <c r="G106" s="0" t="n">
        <v>16</v>
      </c>
      <c r="H106" s="0" t="n">
        <v>8.36</v>
      </c>
      <c r="I106" s="0" t="s">
        <v>321</v>
      </c>
      <c r="J106" s="0" t="s">
        <v>329</v>
      </c>
      <c r="K106" s="0" t="s">
        <v>66</v>
      </c>
    </row>
    <row r="107" customFormat="false" ht="15" hidden="false" customHeight="false" outlineLevel="0" collapsed="false">
      <c r="A107" s="0" t="s">
        <v>332</v>
      </c>
      <c r="B107" s="0" t="s">
        <v>333</v>
      </c>
      <c r="C107" s="0" t="n">
        <v>6.44</v>
      </c>
      <c r="D107" s="0" t="n">
        <v>7.375</v>
      </c>
      <c r="E107" s="0" t="n">
        <v>1</v>
      </c>
      <c r="F107" s="0" t="s">
        <v>63</v>
      </c>
      <c r="G107" s="0" t="n">
        <v>16</v>
      </c>
      <c r="H107" s="0" t="n">
        <v>9.66</v>
      </c>
      <c r="I107" s="0" t="s">
        <v>334</v>
      </c>
      <c r="J107" s="0" t="s">
        <v>329</v>
      </c>
      <c r="K107" s="0" t="s">
        <v>66</v>
      </c>
    </row>
    <row r="108" customFormat="false" ht="15" hidden="false" customHeight="false" outlineLevel="0" collapsed="false">
      <c r="A108" s="0" t="s">
        <v>335</v>
      </c>
      <c r="B108" s="0" t="s">
        <v>336</v>
      </c>
      <c r="C108" s="0" t="n">
        <v>5.573</v>
      </c>
      <c r="D108" s="0" t="n">
        <v>5.052</v>
      </c>
      <c r="E108" s="0" t="n">
        <v>1</v>
      </c>
      <c r="F108" s="0" t="s">
        <v>63</v>
      </c>
      <c r="G108" s="0" t="n">
        <v>16</v>
      </c>
      <c r="H108" s="0" t="n">
        <v>8.36</v>
      </c>
      <c r="I108" s="0" t="s">
        <v>334</v>
      </c>
      <c r="J108" s="0" t="s">
        <v>329</v>
      </c>
      <c r="K108" s="0" t="s">
        <v>66</v>
      </c>
    </row>
    <row r="109" customFormat="false" ht="15" hidden="false" customHeight="false" outlineLevel="0" collapsed="false">
      <c r="A109" s="0" t="s">
        <v>337</v>
      </c>
      <c r="B109" s="0" t="s">
        <v>338</v>
      </c>
      <c r="C109" s="0" t="n">
        <v>78.16</v>
      </c>
      <c r="D109" s="0" t="n">
        <v>1.865</v>
      </c>
      <c r="E109" s="0" t="n">
        <v>0</v>
      </c>
      <c r="F109" s="0" t="s">
        <v>63</v>
      </c>
      <c r="G109" s="0" t="n">
        <v>16</v>
      </c>
      <c r="H109" s="0" t="n">
        <v>0</v>
      </c>
      <c r="I109" s="0" t="s">
        <v>338</v>
      </c>
      <c r="J109" s="0" t="s">
        <v>339</v>
      </c>
      <c r="K109" s="0" t="s">
        <v>66</v>
      </c>
    </row>
    <row r="110" customFormat="false" ht="15" hidden="false" customHeight="false" outlineLevel="0" collapsed="false">
      <c r="A110" s="0" t="s">
        <v>340</v>
      </c>
      <c r="B110" s="0" t="s">
        <v>341</v>
      </c>
      <c r="C110" s="0" t="n">
        <v>55.993</v>
      </c>
      <c r="D110" s="0" t="n">
        <v>1.865</v>
      </c>
      <c r="E110" s="0" t="n">
        <v>0</v>
      </c>
      <c r="F110" s="0" t="s">
        <v>63</v>
      </c>
      <c r="G110" s="0" t="n">
        <v>16</v>
      </c>
      <c r="H110" s="0" t="n">
        <v>0</v>
      </c>
      <c r="I110" s="0" t="s">
        <v>341</v>
      </c>
      <c r="J110" s="0" t="s">
        <v>342</v>
      </c>
      <c r="K110" s="0" t="s">
        <v>66</v>
      </c>
    </row>
    <row r="111" customFormat="false" ht="15" hidden="false" customHeight="false" outlineLevel="0" collapsed="false">
      <c r="A111" s="0" t="s">
        <v>343</v>
      </c>
      <c r="B111" s="0" t="s">
        <v>344</v>
      </c>
      <c r="C111" s="0" t="n">
        <v>21.033</v>
      </c>
      <c r="D111" s="0" t="n">
        <v>1.865</v>
      </c>
      <c r="E111" s="0" t="n">
        <v>0</v>
      </c>
      <c r="F111" s="0" t="s">
        <v>63</v>
      </c>
      <c r="G111" s="0" t="n">
        <v>16</v>
      </c>
      <c r="H111" s="0" t="n">
        <v>0</v>
      </c>
      <c r="I111" s="0" t="s">
        <v>344</v>
      </c>
      <c r="J111" s="0" t="s">
        <v>342</v>
      </c>
      <c r="K111" s="0" t="s">
        <v>66</v>
      </c>
    </row>
    <row r="112" customFormat="false" ht="15" hidden="false" customHeight="false" outlineLevel="0" collapsed="false">
      <c r="A112" s="0" t="s">
        <v>345</v>
      </c>
      <c r="B112" s="0" t="s">
        <v>346</v>
      </c>
      <c r="C112" s="0" t="n">
        <v>52.053</v>
      </c>
      <c r="D112" s="0" t="n">
        <v>1.865</v>
      </c>
      <c r="E112" s="0" t="n">
        <v>0</v>
      </c>
      <c r="F112" s="0" t="s">
        <v>63</v>
      </c>
      <c r="G112" s="0" t="n">
        <v>16</v>
      </c>
      <c r="H112" s="0" t="n">
        <v>0</v>
      </c>
      <c r="I112" s="0" t="s">
        <v>346</v>
      </c>
      <c r="J112" s="0" t="s">
        <v>347</v>
      </c>
      <c r="K112" s="0" t="s">
        <v>66</v>
      </c>
    </row>
    <row r="113" customFormat="false" ht="15" hidden="false" customHeight="false" outlineLevel="0" collapsed="false">
      <c r="A113" s="0" t="s">
        <v>348</v>
      </c>
      <c r="B113" s="0" t="s">
        <v>349</v>
      </c>
      <c r="C113" s="0" t="n">
        <v>2.467</v>
      </c>
      <c r="D113" s="0" t="n">
        <v>1.865</v>
      </c>
      <c r="E113" s="0" t="n">
        <v>0</v>
      </c>
      <c r="F113" s="0" t="s">
        <v>63</v>
      </c>
      <c r="G113" s="0" t="n">
        <v>16</v>
      </c>
      <c r="H113" s="0" t="n">
        <v>0</v>
      </c>
      <c r="I113" s="0" t="s">
        <v>349</v>
      </c>
      <c r="J113" s="0" t="s">
        <v>347</v>
      </c>
      <c r="K113" s="0" t="s">
        <v>66</v>
      </c>
    </row>
    <row r="114" customFormat="false" ht="15" hidden="false" customHeight="false" outlineLevel="0" collapsed="false">
      <c r="A114" s="0" t="s">
        <v>350</v>
      </c>
      <c r="B114" s="0" t="s">
        <v>351</v>
      </c>
      <c r="C114" s="0" t="n">
        <v>23</v>
      </c>
      <c r="D114" s="0" t="n">
        <v>1.865</v>
      </c>
      <c r="E114" s="0" t="n">
        <v>0</v>
      </c>
      <c r="F114" s="0" t="s">
        <v>63</v>
      </c>
      <c r="G114" s="0" t="n">
        <v>16</v>
      </c>
      <c r="H114" s="0" t="n">
        <v>0</v>
      </c>
      <c r="I114" s="0" t="s">
        <v>351</v>
      </c>
      <c r="J114" s="0" t="s">
        <v>347</v>
      </c>
      <c r="K114" s="0" t="s">
        <v>66</v>
      </c>
    </row>
    <row r="115" customFormat="false" ht="15" hidden="false" customHeight="false" outlineLevel="0" collapsed="false">
      <c r="A115" s="0" t="s">
        <v>352</v>
      </c>
      <c r="B115" s="0" t="s">
        <v>353</v>
      </c>
      <c r="C115" s="0" t="n">
        <v>2.48</v>
      </c>
      <c r="D115" s="0" t="n">
        <v>1.865</v>
      </c>
      <c r="E115" s="0" t="n">
        <v>0</v>
      </c>
      <c r="F115" s="0" t="s">
        <v>63</v>
      </c>
      <c r="G115" s="0" t="n">
        <v>16</v>
      </c>
      <c r="H115" s="0" t="n">
        <v>0</v>
      </c>
      <c r="I115" s="0" t="s">
        <v>353</v>
      </c>
      <c r="J115" s="0" t="s">
        <v>347</v>
      </c>
      <c r="K115" s="0" t="s">
        <v>66</v>
      </c>
    </row>
    <row r="116" customFormat="false" ht="15" hidden="false" customHeight="false" outlineLevel="0" collapsed="false">
      <c r="A116" s="0" t="s">
        <v>354</v>
      </c>
      <c r="B116" s="0" t="s">
        <v>355</v>
      </c>
      <c r="C116" s="0" t="n">
        <v>2.48</v>
      </c>
      <c r="D116" s="0" t="n">
        <v>1.865</v>
      </c>
      <c r="E116" s="0" t="n">
        <v>0</v>
      </c>
      <c r="F116" s="0" t="s">
        <v>63</v>
      </c>
      <c r="G116" s="0" t="n">
        <v>16</v>
      </c>
      <c r="H116" s="0" t="n">
        <v>0</v>
      </c>
      <c r="I116" s="0" t="s">
        <v>355</v>
      </c>
      <c r="J116" s="0" t="s">
        <v>347</v>
      </c>
      <c r="K116" s="0" t="s">
        <v>66</v>
      </c>
    </row>
    <row r="117" customFormat="false" ht="15" hidden="false" customHeight="false" outlineLevel="0" collapsed="false">
      <c r="A117" s="0" t="s">
        <v>356</v>
      </c>
      <c r="B117" s="0" t="s">
        <v>357</v>
      </c>
      <c r="C117" s="0" t="n">
        <v>5.093</v>
      </c>
      <c r="D117" s="0" t="n">
        <v>6.375</v>
      </c>
      <c r="E117" s="0" t="n">
        <v>1</v>
      </c>
      <c r="F117" s="0" t="s">
        <v>63</v>
      </c>
      <c r="G117" s="0" t="n">
        <v>48</v>
      </c>
      <c r="H117" s="0" t="n">
        <v>19.63</v>
      </c>
      <c r="I117" s="0" t="s">
        <v>321</v>
      </c>
      <c r="J117" s="0" t="s">
        <v>322</v>
      </c>
      <c r="K117" s="0" t="s">
        <v>66</v>
      </c>
    </row>
    <row r="118" customFormat="false" ht="15" hidden="false" customHeight="false" outlineLevel="0" collapsed="false">
      <c r="A118" s="0" t="s">
        <v>358</v>
      </c>
      <c r="B118" s="0" t="s">
        <v>359</v>
      </c>
      <c r="C118" s="0" t="n">
        <v>0.273</v>
      </c>
      <c r="D118" s="0" t="n">
        <v>15.375</v>
      </c>
      <c r="E118" s="0" t="n">
        <v>1</v>
      </c>
      <c r="F118" s="0" t="s">
        <v>63</v>
      </c>
      <c r="G118" s="0" t="n">
        <v>16</v>
      </c>
      <c r="H118" s="0" t="n">
        <v>2.6</v>
      </c>
      <c r="I118" s="0" t="s">
        <v>334</v>
      </c>
      <c r="J118" s="0" t="s">
        <v>65</v>
      </c>
      <c r="K118" s="0" t="s">
        <v>66</v>
      </c>
    </row>
    <row r="119" customFormat="false" ht="15" hidden="false" customHeight="false" outlineLevel="0" collapsed="false">
      <c r="A119" s="0" t="s">
        <v>360</v>
      </c>
      <c r="B119" s="0" t="s">
        <v>361</v>
      </c>
      <c r="C119" s="0" t="n">
        <v>7.487</v>
      </c>
      <c r="D119" s="0" t="n">
        <v>12.194</v>
      </c>
      <c r="E119" s="0" t="n">
        <v>2</v>
      </c>
      <c r="F119" s="0" t="s">
        <v>63</v>
      </c>
      <c r="G119" s="0" t="n">
        <v>16</v>
      </c>
      <c r="H119" s="0" t="n">
        <v>134.76</v>
      </c>
      <c r="I119" s="0" t="s">
        <v>362</v>
      </c>
      <c r="J119" s="0" t="s">
        <v>65</v>
      </c>
      <c r="K119" s="0" t="s">
        <v>66</v>
      </c>
    </row>
    <row r="120" customFormat="false" ht="15" hidden="false" customHeight="false" outlineLevel="0" collapsed="false">
      <c r="A120" s="0" t="s">
        <v>363</v>
      </c>
      <c r="B120" s="0" t="s">
        <v>364</v>
      </c>
      <c r="C120" s="0" t="n">
        <v>0.333</v>
      </c>
      <c r="D120" s="0" t="n">
        <v>14.225</v>
      </c>
      <c r="E120" s="0" t="n">
        <v>4</v>
      </c>
      <c r="F120" s="0" t="s">
        <v>185</v>
      </c>
      <c r="G120" s="0" t="n">
        <v>16</v>
      </c>
      <c r="H120" s="0" t="n">
        <v>18.96</v>
      </c>
      <c r="I120" s="0" t="s">
        <v>196</v>
      </c>
      <c r="J120" s="0" t="s">
        <v>187</v>
      </c>
      <c r="K120" s="0" t="s">
        <v>66</v>
      </c>
    </row>
    <row r="121" customFormat="false" ht="15" hidden="false" customHeight="false" outlineLevel="0" collapsed="false">
      <c r="A121" s="0" t="s">
        <v>365</v>
      </c>
      <c r="B121" s="0" t="s">
        <v>366</v>
      </c>
      <c r="C121" s="0" t="n">
        <v>0.333</v>
      </c>
      <c r="D121" s="0" t="n">
        <v>15.375</v>
      </c>
      <c r="E121" s="0" t="n">
        <v>4</v>
      </c>
      <c r="F121" s="0" t="s">
        <v>185</v>
      </c>
      <c r="G121" s="0" t="n">
        <v>16</v>
      </c>
      <c r="H121" s="0" t="n">
        <v>20.5</v>
      </c>
      <c r="I121" s="0" t="s">
        <v>221</v>
      </c>
      <c r="J121" s="0" t="s">
        <v>187</v>
      </c>
      <c r="K121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367</v>
      </c>
    </row>
    <row r="2" customFormat="false" ht="15" hidden="false" customHeight="false" outlineLevel="0" collapsed="false">
      <c r="A2" s="0" t="s">
        <v>368</v>
      </c>
    </row>
    <row r="3" customFormat="false" ht="15" hidden="false" customHeight="false" outlineLevel="0" collapsed="false">
      <c r="A3" s="2" t="s">
        <v>369</v>
      </c>
      <c r="B3" s="2" t="s">
        <v>370</v>
      </c>
      <c r="C3" s="2" t="s">
        <v>371</v>
      </c>
      <c r="D3" s="2" t="s">
        <v>372</v>
      </c>
      <c r="E3" s="2" t="s">
        <v>373</v>
      </c>
      <c r="F3" s="2" t="s">
        <v>374</v>
      </c>
      <c r="G3" s="2" t="s">
        <v>375</v>
      </c>
      <c r="H3" s="2" t="s">
        <v>376</v>
      </c>
      <c r="I3" s="2" t="s">
        <v>377</v>
      </c>
      <c r="J3" s="2" t="s">
        <v>378</v>
      </c>
    </row>
    <row r="4" customFormat="false" ht="15" hidden="false" customHeight="false" outlineLevel="0" collapsed="false">
      <c r="A4" s="0" t="s">
        <v>379</v>
      </c>
      <c r="B4" s="0" t="s">
        <v>380</v>
      </c>
      <c r="C4" s="0" t="n">
        <v>4621.34</v>
      </c>
      <c r="D4" s="0" t="n">
        <f aca="false">Inputs!$B$5</f>
        <v>0.15</v>
      </c>
      <c r="E4" s="0" t="n">
        <f aca="false">C4*D4</f>
        <v>693.201</v>
      </c>
      <c r="F4" s="0" t="n">
        <f aca="false">C4+E4</f>
        <v>5314.541</v>
      </c>
      <c r="G4" s="0" t="s">
        <v>381</v>
      </c>
      <c r="H4" s="0" t="n">
        <f aca="false">ROUNDUP(F4/Inputs!$B$10,0)</f>
        <v>266</v>
      </c>
      <c r="I4" s="0" t="s">
        <v>382</v>
      </c>
    </row>
    <row r="5" customFormat="false" ht="15" hidden="false" customHeight="false" outlineLevel="0" collapsed="false">
      <c r="A5" s="0" t="s">
        <v>383</v>
      </c>
      <c r="B5" s="0" t="s">
        <v>380</v>
      </c>
      <c r="C5" s="0" t="n">
        <v>6574.17</v>
      </c>
      <c r="D5" s="0" t="n">
        <f aca="false">Inputs!$B$5</f>
        <v>0.15</v>
      </c>
      <c r="E5" s="0" t="n">
        <f aca="false">C5*D5</f>
        <v>986.1255</v>
      </c>
      <c r="F5" s="0" t="n">
        <f aca="false">C5+E5</f>
        <v>7560.2955</v>
      </c>
      <c r="G5" s="0" t="s">
        <v>381</v>
      </c>
      <c r="H5" s="0" t="n">
        <f aca="false">ROUNDUP(F5/Inputs!$B$10,0)</f>
        <v>379</v>
      </c>
      <c r="I5" s="0" t="s">
        <v>384</v>
      </c>
    </row>
    <row r="6" customFormat="false" ht="15" hidden="false" customHeight="false" outlineLevel="0" collapsed="false">
      <c r="A6" s="0" t="s">
        <v>385</v>
      </c>
      <c r="B6" s="0" t="s">
        <v>380</v>
      </c>
      <c r="C6" s="0" t="n">
        <v>3983.2</v>
      </c>
      <c r="D6" s="0" t="n">
        <f aca="false">Inputs!$B$5</f>
        <v>0.15</v>
      </c>
      <c r="E6" s="0" t="n">
        <f aca="false">C6*D6</f>
        <v>597.48</v>
      </c>
      <c r="F6" s="0" t="n">
        <f aca="false">C6+E6</f>
        <v>4580.68</v>
      </c>
      <c r="G6" s="0" t="s">
        <v>381</v>
      </c>
      <c r="H6" s="0" t="n">
        <f aca="false">ROUNDUP(F6/Inputs!$B$10,0)</f>
        <v>230</v>
      </c>
      <c r="I6" s="0" t="s">
        <v>386</v>
      </c>
    </row>
    <row r="7" customFormat="false" ht="15" hidden="false" customHeight="false" outlineLevel="0" collapsed="false">
      <c r="A7" s="0" t="s">
        <v>387</v>
      </c>
      <c r="B7" s="0" t="s">
        <v>380</v>
      </c>
      <c r="C7" s="0" t="n">
        <v>1002.06</v>
      </c>
      <c r="D7" s="0" t="n">
        <f aca="false">Inputs!$B$5</f>
        <v>0.15</v>
      </c>
      <c r="E7" s="0" t="n">
        <f aca="false">C7*D7</f>
        <v>150.309</v>
      </c>
      <c r="F7" s="0" t="n">
        <f aca="false">C7+E7</f>
        <v>1152.369</v>
      </c>
      <c r="G7" s="0" t="s">
        <v>381</v>
      </c>
      <c r="H7" s="0" t="n">
        <f aca="false">ROUNDUP(F7/Inputs!$B$10,0)</f>
        <v>58</v>
      </c>
      <c r="I7" s="0" t="s">
        <v>388</v>
      </c>
    </row>
    <row r="8" customFormat="false" ht="15" hidden="false" customHeight="false" outlineLevel="0" collapsed="false">
      <c r="A8" s="0" t="s">
        <v>389</v>
      </c>
      <c r="B8" s="0" t="s">
        <v>380</v>
      </c>
      <c r="C8" s="0" t="n">
        <v>1294.1</v>
      </c>
      <c r="D8" s="0" t="n">
        <f aca="false">Inputs!$B$5</f>
        <v>0.15</v>
      </c>
      <c r="E8" s="0" t="n">
        <f aca="false">C8*D8</f>
        <v>194.115</v>
      </c>
      <c r="F8" s="0" t="n">
        <f aca="false">C8+E8</f>
        <v>1488.215</v>
      </c>
      <c r="G8" s="0" t="s">
        <v>390</v>
      </c>
      <c r="H8" s="0" t="n">
        <f aca="false">ROUNDUP(F8/Inputs!$B$11,0)</f>
        <v>149</v>
      </c>
      <c r="I8" s="0" t="s">
        <v>391</v>
      </c>
    </row>
    <row r="9" customFormat="false" ht="15" hidden="false" customHeight="false" outlineLevel="0" collapsed="false">
      <c r="A9" s="0" t="s">
        <v>392</v>
      </c>
      <c r="B9" s="0" t="s">
        <v>380</v>
      </c>
      <c r="C9" s="0" t="n">
        <v>2505.43</v>
      </c>
      <c r="D9" s="0" t="n">
        <f aca="false">Inputs!$B$5</f>
        <v>0.15</v>
      </c>
      <c r="E9" s="0" t="n">
        <f aca="false">C9*D9</f>
        <v>375.8145</v>
      </c>
      <c r="F9" s="0" t="n">
        <f aca="false">C9+E9</f>
        <v>2881.2445</v>
      </c>
      <c r="G9" s="0" t="s">
        <v>393</v>
      </c>
      <c r="H9" s="0" t="n">
        <f aca="false">ROUNDUP(F9/Inputs!$B$16,0)</f>
        <v>181</v>
      </c>
      <c r="I9" s="0" t="s">
        <v>394</v>
      </c>
    </row>
    <row r="10" customFormat="false" ht="15" hidden="false" customHeight="false" outlineLevel="0" collapsed="false">
      <c r="A10" s="0" t="s">
        <v>395</v>
      </c>
      <c r="B10" s="0" t="s">
        <v>380</v>
      </c>
      <c r="C10" s="0" t="n">
        <v>234.06</v>
      </c>
      <c r="D10" s="0" t="n">
        <f aca="false">Inputs!$B$5</f>
        <v>0.15</v>
      </c>
      <c r="E10" s="0" t="n">
        <f aca="false">C10*D10</f>
        <v>35.109</v>
      </c>
      <c r="F10" s="0" t="n">
        <f aca="false">C10+E10</f>
        <v>269.169</v>
      </c>
      <c r="G10" s="0" t="s">
        <v>390</v>
      </c>
      <c r="H10" s="0" t="n">
        <f aca="false">ROUNDUP(F10/Inputs!$B$11,0)</f>
        <v>27</v>
      </c>
      <c r="I10" s="0" t="s">
        <v>396</v>
      </c>
    </row>
    <row r="11" customFormat="false" ht="15" hidden="false" customHeight="false" outlineLevel="0" collapsed="false">
      <c r="A11" s="0" t="s">
        <v>397</v>
      </c>
      <c r="B11" s="0" t="s">
        <v>380</v>
      </c>
      <c r="C11" s="0" t="n">
        <v>796.71</v>
      </c>
      <c r="D11" s="0" t="n">
        <f aca="false">Inputs!$B$5</f>
        <v>0.15</v>
      </c>
      <c r="E11" s="0" t="n">
        <f aca="false">C11*D11</f>
        <v>119.5065</v>
      </c>
      <c r="F11" s="0" t="n">
        <f aca="false">C11+E11</f>
        <v>916.2165</v>
      </c>
      <c r="G11" s="0" t="s">
        <v>381</v>
      </c>
      <c r="H11" s="0" t="n">
        <f aca="false">ROUNDUP(F11/Inputs!$B$10,0)</f>
        <v>46</v>
      </c>
      <c r="I11" s="0" t="s">
        <v>398</v>
      </c>
    </row>
    <row r="12" customFormat="false" ht="15" hidden="false" customHeight="false" outlineLevel="0" collapsed="false">
      <c r="A12" s="0" t="s">
        <v>399</v>
      </c>
      <c r="B12" s="0" t="s">
        <v>380</v>
      </c>
      <c r="C12" s="0" t="n">
        <v>115.58</v>
      </c>
      <c r="D12" s="0" t="n">
        <f aca="false">Inputs!$B$5</f>
        <v>0.15</v>
      </c>
      <c r="E12" s="0" t="n">
        <f aca="false">C12*D12</f>
        <v>17.337</v>
      </c>
      <c r="F12" s="0" t="n">
        <f aca="false">C12+E12</f>
        <v>132.917</v>
      </c>
      <c r="G12" s="0" t="s">
        <v>390</v>
      </c>
      <c r="H12" s="0" t="n">
        <f aca="false">ROUNDUP(F12/Inputs!$B$11,0)</f>
        <v>14</v>
      </c>
      <c r="I12" s="0" t="s">
        <v>400</v>
      </c>
    </row>
    <row r="13" customFormat="false" ht="15" hidden="false" customHeight="false" outlineLevel="0" collapsed="false">
      <c r="A13" s="0" t="s">
        <v>401</v>
      </c>
      <c r="B13" s="0" t="s">
        <v>380</v>
      </c>
      <c r="C13" s="0" t="n">
        <v>768.25</v>
      </c>
      <c r="D13" s="0" t="n">
        <f aca="false">Inputs!$B$5</f>
        <v>0.15</v>
      </c>
      <c r="E13" s="0" t="n">
        <f aca="false">C13*D13</f>
        <v>115.2375</v>
      </c>
      <c r="F13" s="0" t="n">
        <f aca="false">C13+E13</f>
        <v>883.4875</v>
      </c>
      <c r="G13" s="0" t="s">
        <v>402</v>
      </c>
      <c r="H13" s="0" t="n">
        <f aca="false">ROUNDUP(F13/Inputs!$B$17,0)</f>
        <v>74</v>
      </c>
      <c r="I13" s="0" t="s">
        <v>403</v>
      </c>
    </row>
    <row r="14" customFormat="false" ht="15" hidden="false" customHeight="false" outlineLevel="0" collapsed="false">
      <c r="A14" s="0" t="s">
        <v>404</v>
      </c>
      <c r="B14" s="0" t="s">
        <v>380</v>
      </c>
      <c r="C14" s="0" t="n">
        <v>353.1</v>
      </c>
      <c r="D14" s="0" t="n">
        <f aca="false">Inputs!$B$5</f>
        <v>0.15</v>
      </c>
      <c r="E14" s="0" t="n">
        <f aca="false">C14*D14</f>
        <v>52.965</v>
      </c>
      <c r="F14" s="0" t="n">
        <f aca="false">C14+E14</f>
        <v>406.065</v>
      </c>
      <c r="G14" s="0" t="s">
        <v>393</v>
      </c>
      <c r="H14" s="0" t="n">
        <f aca="false">ROUNDUP(F14/Inputs!$B$16,0)</f>
        <v>26</v>
      </c>
      <c r="I14" s="0" t="s">
        <v>405</v>
      </c>
    </row>
    <row r="15" customFormat="false" ht="15" hidden="false" customHeight="false" outlineLevel="0" collapsed="false">
      <c r="A15" s="0" t="s">
        <v>406</v>
      </c>
      <c r="B15" s="0" t="s">
        <v>380</v>
      </c>
      <c r="C15" s="0" t="n">
        <v>530.1</v>
      </c>
      <c r="D15" s="0" t="n">
        <f aca="false">Inputs!$B$5</f>
        <v>0.15</v>
      </c>
      <c r="E15" s="0" t="n">
        <f aca="false">C15*D15</f>
        <v>79.515</v>
      </c>
      <c r="F15" s="0" t="n">
        <f aca="false">C15+E15</f>
        <v>609.615</v>
      </c>
      <c r="G15" s="0" t="s">
        <v>33</v>
      </c>
      <c r="H15" s="0" t="n">
        <f aca="false">ROUNDUP(F15,0)</f>
        <v>610</v>
      </c>
      <c r="I15" s="0" t="s">
        <v>407</v>
      </c>
    </row>
    <row r="16" customFormat="false" ht="15" hidden="false" customHeight="false" outlineLevel="0" collapsed="false">
      <c r="A16" s="0" t="s">
        <v>408</v>
      </c>
      <c r="B16" s="0" t="s">
        <v>409</v>
      </c>
      <c r="C16" s="0" t="n">
        <v>17420.04</v>
      </c>
      <c r="D16" s="0" t="n">
        <f aca="false">Inputs!$B$6</f>
        <v>0.06</v>
      </c>
      <c r="E16" s="0" t="n">
        <f aca="false">C16*D16</f>
        <v>1045.2024</v>
      </c>
      <c r="F16" s="0" t="n">
        <f aca="false">C16+E16</f>
        <v>18465.2424</v>
      </c>
      <c r="G16" s="0" t="s">
        <v>410</v>
      </c>
      <c r="H16" s="0" t="n">
        <f aca="false">ROUNDUP(F16/Inputs!$B$9,0)</f>
        <v>385</v>
      </c>
      <c r="I16" s="0" t="s">
        <v>411</v>
      </c>
    </row>
    <row r="17" customFormat="false" ht="15" hidden="false" customHeight="false" outlineLevel="0" collapsed="false">
      <c r="A17" s="0" t="s">
        <v>412</v>
      </c>
      <c r="B17" s="0" t="s">
        <v>409</v>
      </c>
      <c r="C17" s="0" t="n">
        <v>258.87</v>
      </c>
      <c r="D17" s="0" t="n">
        <f aca="false">Inputs!$B$6</f>
        <v>0.06</v>
      </c>
      <c r="E17" s="0" t="n">
        <f aca="false">C17*D17</f>
        <v>15.5322</v>
      </c>
      <c r="F17" s="0" t="n">
        <f aca="false">C17+E17</f>
        <v>274.4022</v>
      </c>
      <c r="G17" s="0" t="s">
        <v>410</v>
      </c>
      <c r="H17" s="0" t="n">
        <f aca="false">ROUNDUP(F17/Inputs!$B$9,0)</f>
        <v>6</v>
      </c>
      <c r="I17" s="0" t="s">
        <v>413</v>
      </c>
    </row>
    <row r="18" customFormat="false" ht="15" hidden="false" customHeight="false" outlineLevel="0" collapsed="false">
      <c r="A18" s="0" t="s">
        <v>414</v>
      </c>
      <c r="B18" s="0" t="s">
        <v>409</v>
      </c>
      <c r="C18" s="0" t="n">
        <v>85.31</v>
      </c>
      <c r="D18" s="0" t="n">
        <f aca="false">Inputs!$B$6</f>
        <v>0.06</v>
      </c>
      <c r="E18" s="0" t="n">
        <f aca="false">C18*D18</f>
        <v>5.1186</v>
      </c>
      <c r="F18" s="0" t="n">
        <f aca="false">C18+E18</f>
        <v>90.4286</v>
      </c>
      <c r="G18" s="0" t="s">
        <v>409</v>
      </c>
      <c r="H18" s="0" t="n">
        <f aca="false">ROUNDUP(F18,0)</f>
        <v>91</v>
      </c>
      <c r="I18" s="0" t="s">
        <v>415</v>
      </c>
    </row>
    <row r="19" customFormat="false" ht="15" hidden="false" customHeight="false" outlineLevel="0" collapsed="false">
      <c r="A19" s="0" t="s">
        <v>416</v>
      </c>
      <c r="B19" s="0" t="s">
        <v>409</v>
      </c>
      <c r="C19" s="0" t="n">
        <v>65.63</v>
      </c>
      <c r="D19" s="0" t="n">
        <f aca="false">Inputs!$B$6</f>
        <v>0.06</v>
      </c>
      <c r="E19" s="0" t="n">
        <f aca="false">C19*D19</f>
        <v>3.9378</v>
      </c>
      <c r="F19" s="0" t="n">
        <f aca="false">C19+E19</f>
        <v>69.5678</v>
      </c>
      <c r="G19" s="0" t="s">
        <v>410</v>
      </c>
      <c r="H19" s="0" t="n">
        <f aca="false">ROUNDUP(F19/Inputs!$B$9,0)</f>
        <v>2</v>
      </c>
      <c r="I19" s="0" t="s">
        <v>417</v>
      </c>
    </row>
    <row r="20" customFormat="false" ht="15" hidden="false" customHeight="false" outlineLevel="0" collapsed="false">
      <c r="A20" s="0" t="s">
        <v>418</v>
      </c>
      <c r="B20" s="0" t="s">
        <v>409</v>
      </c>
      <c r="C20" s="0" t="n">
        <v>476.48</v>
      </c>
      <c r="D20" s="0" t="n">
        <f aca="false">Inputs!$B$6</f>
        <v>0.06</v>
      </c>
      <c r="E20" s="0" t="n">
        <f aca="false">C20*D20</f>
        <v>28.5888</v>
      </c>
      <c r="F20" s="0" t="n">
        <f aca="false">C20+E20</f>
        <v>505.0688</v>
      </c>
      <c r="G20" s="0" t="s">
        <v>410</v>
      </c>
      <c r="H20" s="0" t="n">
        <f aca="false">ROUNDUP(F20/Inputs!$B$9,0)</f>
        <v>11</v>
      </c>
      <c r="I20" s="0" t="s">
        <v>419</v>
      </c>
    </row>
    <row r="21" customFormat="false" ht="15" hidden="false" customHeight="false" outlineLevel="0" collapsed="false">
      <c r="A21" s="0" t="s">
        <v>420</v>
      </c>
      <c r="B21" s="0" t="s">
        <v>409</v>
      </c>
      <c r="C21" s="0" t="n">
        <v>960.33</v>
      </c>
      <c r="D21" s="0" t="n">
        <f aca="false">Inputs!$B$6</f>
        <v>0.06</v>
      </c>
      <c r="E21" s="0" t="n">
        <f aca="false">C21*D21</f>
        <v>57.6198</v>
      </c>
      <c r="F21" s="0" t="n">
        <f aca="false">C21+E21</f>
        <v>1017.9498</v>
      </c>
      <c r="G21" s="0" t="s">
        <v>410</v>
      </c>
      <c r="H21" s="0" t="n">
        <f aca="false">ROUNDUP(F21/Inputs!$B$9,0)</f>
        <v>22</v>
      </c>
      <c r="I21" s="0" t="s">
        <v>421</v>
      </c>
    </row>
    <row r="22" customFormat="false" ht="15" hidden="false" customHeight="false" outlineLevel="0" collapsed="false">
      <c r="A22" s="0" t="s">
        <v>422</v>
      </c>
      <c r="B22" s="0" t="s">
        <v>380</v>
      </c>
      <c r="C22" s="0" t="n">
        <v>1028.13</v>
      </c>
      <c r="D22" s="0" t="n">
        <f aca="false">Inputs!$B$6</f>
        <v>0.06</v>
      </c>
      <c r="E22" s="0" t="n">
        <f aca="false">C22*D22</f>
        <v>61.6878</v>
      </c>
      <c r="F22" s="0" t="n">
        <f aca="false">C22+E22</f>
        <v>1089.8178</v>
      </c>
      <c r="H22" s="0" t="n">
        <f aca="false">ROUNDUP(F22,0)</f>
        <v>1090</v>
      </c>
      <c r="I22" s="0" t="s">
        <v>423</v>
      </c>
    </row>
    <row r="23" customFormat="false" ht="15" hidden="false" customHeight="false" outlineLevel="0" collapsed="false">
      <c r="A23" s="0" t="s">
        <v>424</v>
      </c>
      <c r="B23" s="0" t="s">
        <v>380</v>
      </c>
      <c r="C23" s="0" t="n">
        <v>560.55</v>
      </c>
      <c r="D23" s="0" t="n">
        <f aca="false">Inputs!$B$5</f>
        <v>0.15</v>
      </c>
      <c r="E23" s="0" t="n">
        <f aca="false">C23*D23</f>
        <v>84.0825</v>
      </c>
      <c r="F23" s="0" t="n">
        <f aca="false">C23+E23</f>
        <v>644.6325</v>
      </c>
      <c r="G23" s="0" t="s">
        <v>381</v>
      </c>
      <c r="H23" s="0" t="n">
        <f aca="false">ROUNDUP(F23/Inputs!$B$10,0)</f>
        <v>33</v>
      </c>
      <c r="I23" s="0" t="s">
        <v>425</v>
      </c>
    </row>
    <row r="24" customFormat="false" ht="15" hidden="false" customHeight="false" outlineLevel="0" collapsed="false">
      <c r="A24" s="0" t="s">
        <v>426</v>
      </c>
      <c r="B24" s="0" t="s">
        <v>380</v>
      </c>
      <c r="C24" s="0" t="n">
        <v>63.95</v>
      </c>
      <c r="D24" s="0" t="n">
        <f aca="false">Inputs!$B$5</f>
        <v>0.15</v>
      </c>
      <c r="E24" s="0" t="n">
        <f aca="false">C24*D24</f>
        <v>9.5925</v>
      </c>
      <c r="F24" s="0" t="n">
        <f aca="false">C24+E24</f>
        <v>73.5425</v>
      </c>
      <c r="G24" s="0" t="s">
        <v>381</v>
      </c>
      <c r="H24" s="0" t="n">
        <f aca="false">ROUNDUP(F24/Inputs!$B$10,0)</f>
        <v>4</v>
      </c>
      <c r="I24" s="0" t="s">
        <v>427</v>
      </c>
    </row>
    <row r="25" customFormat="false" ht="15" hidden="false" customHeight="false" outlineLevel="0" collapsed="false">
      <c r="A25" s="0" t="s">
        <v>428</v>
      </c>
      <c r="B25" s="0" t="s">
        <v>380</v>
      </c>
      <c r="C25" s="0" t="n">
        <v>1056.2</v>
      </c>
      <c r="D25" s="0" t="n">
        <f aca="false">Inputs!$B$5</f>
        <v>0.15</v>
      </c>
      <c r="E25" s="0" t="n">
        <f aca="false">C25*D25</f>
        <v>158.43</v>
      </c>
      <c r="F25" s="0" t="n">
        <f aca="false">C25+E25</f>
        <v>1214.63</v>
      </c>
      <c r="G25" s="0" t="s">
        <v>429</v>
      </c>
      <c r="H25" s="0" t="n">
        <f aca="false">ROUNDUP(F25/Inputs!$B$18,0)</f>
        <v>122</v>
      </c>
      <c r="I25" s="0" t="s">
        <v>430</v>
      </c>
    </row>
    <row r="26" customFormat="false" ht="15" hidden="false" customHeight="false" outlineLevel="0" collapsed="false">
      <c r="A26" s="0" t="s">
        <v>431</v>
      </c>
      <c r="B26" s="0" t="s">
        <v>409</v>
      </c>
      <c r="C26" s="0" t="n">
        <v>31.69</v>
      </c>
      <c r="D26" s="0" t="n">
        <f aca="false">Inputs!$B$6</f>
        <v>0.06</v>
      </c>
      <c r="E26" s="0" t="n">
        <f aca="false">C26*D26</f>
        <v>1.9014</v>
      </c>
      <c r="F26" s="0" t="n">
        <f aca="false">C26+E26</f>
        <v>33.5914</v>
      </c>
      <c r="G26" s="0" t="s">
        <v>409</v>
      </c>
      <c r="H26" s="0" t="n">
        <f aca="false">ROUNDUP(F26,0)</f>
        <v>34</v>
      </c>
      <c r="I26" s="0" t="s">
        <v>432</v>
      </c>
    </row>
    <row r="27" customFormat="false" ht="15" hidden="false" customHeight="false" outlineLevel="0" collapsed="false">
      <c r="A27" s="0" t="s">
        <v>433</v>
      </c>
      <c r="B27" s="0" t="s">
        <v>409</v>
      </c>
      <c r="C27" s="0" t="n">
        <v>332.93</v>
      </c>
      <c r="D27" s="0" t="n">
        <f aca="false">Inputs!$B$6</f>
        <v>0.06</v>
      </c>
      <c r="E27" s="0" t="n">
        <f aca="false">C27*D27</f>
        <v>19.9758</v>
      </c>
      <c r="F27" s="0" t="n">
        <f aca="false">C27+E27</f>
        <v>352.9058</v>
      </c>
      <c r="G27" s="0" t="s">
        <v>409</v>
      </c>
      <c r="H27" s="0" t="n">
        <f aca="false">ROUNDUP(F27,0)</f>
        <v>353</v>
      </c>
      <c r="I27" s="0" t="s">
        <v>434</v>
      </c>
    </row>
    <row r="28" customFormat="false" ht="15" hidden="false" customHeight="false" outlineLevel="0" collapsed="false">
      <c r="A28" s="0" t="s">
        <v>435</v>
      </c>
      <c r="B28" s="0" t="s">
        <v>380</v>
      </c>
      <c r="C28" s="0" t="n">
        <v>1228.84</v>
      </c>
      <c r="D28" s="0" t="n">
        <f aca="false">Inputs!$B$6</f>
        <v>0.06</v>
      </c>
      <c r="E28" s="0" t="n">
        <f aca="false">C28*D28</f>
        <v>73.7304</v>
      </c>
      <c r="F28" s="0" t="n">
        <f aca="false">C28+E28</f>
        <v>1302.5704</v>
      </c>
      <c r="G28" s="0" t="s">
        <v>436</v>
      </c>
      <c r="H28" s="0" t="n">
        <f aca="false">ROUNDUP(F28/Inputs!$B$15,0)</f>
        <v>53</v>
      </c>
      <c r="I28" s="0" t="s">
        <v>437</v>
      </c>
    </row>
    <row r="29" customFormat="false" ht="15" hidden="false" customHeight="false" outlineLevel="0" collapsed="false">
      <c r="A29" s="0" t="s">
        <v>438</v>
      </c>
      <c r="B29" s="0" t="s">
        <v>380</v>
      </c>
      <c r="C29" s="0" t="n">
        <v>957.08</v>
      </c>
      <c r="D29" s="0" t="n">
        <f aca="false">Inputs!$B$5</f>
        <v>0.15</v>
      </c>
      <c r="E29" s="0" t="n">
        <f aca="false">C29*D29</f>
        <v>143.562</v>
      </c>
      <c r="F29" s="0" t="n">
        <f aca="false">C29+E29</f>
        <v>1100.642</v>
      </c>
      <c r="G29" s="0" t="s">
        <v>381</v>
      </c>
      <c r="H29" s="0" t="n">
        <f aca="false">ROUNDUP(F29/Inputs!$B$10,0)</f>
        <v>56</v>
      </c>
      <c r="I29" s="0" t="s">
        <v>439</v>
      </c>
    </row>
    <row r="30" customFormat="false" ht="15" hidden="false" customHeight="false" outlineLevel="0" collapsed="false">
      <c r="A30" s="0" t="s">
        <v>440</v>
      </c>
      <c r="B30" s="0" t="s">
        <v>380</v>
      </c>
      <c r="C30" s="0" t="n">
        <v>247.29</v>
      </c>
      <c r="D30" s="0" t="n">
        <f aca="false">Inputs!$B$5</f>
        <v>0.15</v>
      </c>
      <c r="E30" s="0" t="n">
        <f aca="false">C30*D30</f>
        <v>37.0935</v>
      </c>
      <c r="F30" s="0" t="n">
        <f aca="false">C30+E30</f>
        <v>284.3835</v>
      </c>
      <c r="G30" s="0" t="s">
        <v>390</v>
      </c>
      <c r="H30" s="0" t="n">
        <f aca="false">ROUNDUP(F30/Inputs!$B$11,0)</f>
        <v>29</v>
      </c>
      <c r="I30" s="0" t="s">
        <v>441</v>
      </c>
    </row>
    <row r="31" customFormat="false" ht="15" hidden="false" customHeight="false" outlineLevel="0" collapsed="false">
      <c r="A31" s="0" t="s">
        <v>442</v>
      </c>
      <c r="B31" s="0" t="s">
        <v>380</v>
      </c>
      <c r="C31" s="0" t="n">
        <v>300.05</v>
      </c>
      <c r="D31" s="0" t="n">
        <f aca="false">Inputs!$B$5</f>
        <v>0.15</v>
      </c>
      <c r="E31" s="0" t="n">
        <f aca="false">C31*D31</f>
        <v>45.0075</v>
      </c>
      <c r="F31" s="0" t="n">
        <f aca="false">C31+E31</f>
        <v>345.0575</v>
      </c>
      <c r="G31" s="0" t="s">
        <v>390</v>
      </c>
      <c r="H31" s="0" t="n">
        <f aca="false">ROUNDUP(F31/Inputs!$B$11,0)</f>
        <v>35</v>
      </c>
      <c r="I31" s="0" t="s">
        <v>441</v>
      </c>
    </row>
    <row r="32" customFormat="false" ht="15" hidden="false" customHeight="false" outlineLevel="0" collapsed="false">
      <c r="A32" s="0" t="s">
        <v>443</v>
      </c>
      <c r="B32" s="0" t="s">
        <v>380</v>
      </c>
      <c r="C32" s="0" t="n">
        <v>291.44</v>
      </c>
      <c r="D32" s="0" t="n">
        <f aca="false">Inputs!$B$5</f>
        <v>0.15</v>
      </c>
      <c r="E32" s="0" t="n">
        <f aca="false">C32*D32</f>
        <v>43.716</v>
      </c>
      <c r="F32" s="0" t="n">
        <f aca="false">C32+E32</f>
        <v>335.156</v>
      </c>
      <c r="G32" s="0" t="s">
        <v>390</v>
      </c>
      <c r="H32" s="0" t="n">
        <f aca="false">ROUNDUP(F32/Inputs!$B$11,0)</f>
        <v>34</v>
      </c>
      <c r="I32" s="0" t="s">
        <v>441</v>
      </c>
    </row>
    <row r="33" customFormat="false" ht="15" hidden="false" customHeight="false" outlineLevel="0" collapsed="false">
      <c r="A33" s="0" t="s">
        <v>444</v>
      </c>
      <c r="B33" s="0" t="s">
        <v>380</v>
      </c>
      <c r="C33" s="0" t="n">
        <v>64.79</v>
      </c>
      <c r="D33" s="0" t="n">
        <f aca="false">Inputs!$B$5</f>
        <v>0.15</v>
      </c>
      <c r="E33" s="0" t="n">
        <f aca="false">C33*D33</f>
        <v>9.7185</v>
      </c>
      <c r="F33" s="0" t="n">
        <f aca="false">C33+E33</f>
        <v>74.5085</v>
      </c>
      <c r="G33" s="0" t="s">
        <v>390</v>
      </c>
      <c r="H33" s="0" t="n">
        <f aca="false">ROUNDUP(F33/Inputs!$B$11,0)</f>
        <v>8</v>
      </c>
      <c r="I33" s="0" t="s">
        <v>441</v>
      </c>
    </row>
    <row r="34" customFormat="false" ht="15" hidden="false" customHeight="false" outlineLevel="0" collapsed="false">
      <c r="A34" s="0" t="s">
        <v>445</v>
      </c>
      <c r="B34" s="0" t="s">
        <v>380</v>
      </c>
      <c r="C34" s="0" t="n">
        <v>176.84</v>
      </c>
      <c r="D34" s="0" t="n">
        <f aca="false">Inputs!$B$5</f>
        <v>0.15</v>
      </c>
      <c r="E34" s="0" t="n">
        <f aca="false">C34*D34</f>
        <v>26.526</v>
      </c>
      <c r="F34" s="0" t="n">
        <f aca="false">C34+E34</f>
        <v>203.366</v>
      </c>
      <c r="G34" s="0" t="s">
        <v>390</v>
      </c>
      <c r="H34" s="0" t="n">
        <f aca="false">ROUNDUP(F34/Inputs!$B$11,0)</f>
        <v>21</v>
      </c>
      <c r="I34" s="0" t="s">
        <v>441</v>
      </c>
    </row>
    <row r="35" customFormat="false" ht="15" hidden="false" customHeight="false" outlineLevel="0" collapsed="false">
      <c r="A35" s="0" t="s">
        <v>446</v>
      </c>
      <c r="B35" s="0" t="s">
        <v>380</v>
      </c>
      <c r="C35" s="0" t="n">
        <v>270.19</v>
      </c>
      <c r="D35" s="0" t="n">
        <f aca="false">Inputs!$B$5</f>
        <v>0.15</v>
      </c>
      <c r="E35" s="0" t="n">
        <f aca="false">C35*D35</f>
        <v>40.5285</v>
      </c>
      <c r="F35" s="0" t="n">
        <f aca="false">C35+E35</f>
        <v>310.7185</v>
      </c>
      <c r="G35" s="0" t="s">
        <v>390</v>
      </c>
      <c r="H35" s="0" t="n">
        <f aca="false">ROUNDUP(F35/Inputs!$B$11,0)</f>
        <v>32</v>
      </c>
      <c r="I35" s="0" t="s">
        <v>441</v>
      </c>
    </row>
    <row r="36" customFormat="false" ht="15" hidden="false" customHeight="false" outlineLevel="0" collapsed="false">
      <c r="A36" s="0" t="s">
        <v>447</v>
      </c>
      <c r="B36" s="0" t="s">
        <v>380</v>
      </c>
      <c r="C36" s="0" t="n">
        <v>247.29</v>
      </c>
      <c r="D36" s="0" t="n">
        <f aca="false">Inputs!$B$5</f>
        <v>0.15</v>
      </c>
      <c r="E36" s="0" t="n">
        <f aca="false">C36*D36</f>
        <v>37.0935</v>
      </c>
      <c r="F36" s="0" t="n">
        <f aca="false">C36+E36</f>
        <v>284.3835</v>
      </c>
      <c r="G36" s="0" t="s">
        <v>390</v>
      </c>
      <c r="H36" s="0" t="n">
        <f aca="false">ROUNDUP(F36/Inputs!$B$11,0)</f>
        <v>29</v>
      </c>
      <c r="I36" s="0" t="s">
        <v>448</v>
      </c>
    </row>
    <row r="37" customFormat="false" ht="15" hidden="false" customHeight="false" outlineLevel="0" collapsed="false">
      <c r="A37" s="0" t="s">
        <v>449</v>
      </c>
      <c r="B37" s="0" t="s">
        <v>380</v>
      </c>
      <c r="C37" s="0" t="n">
        <v>300.05</v>
      </c>
      <c r="D37" s="0" t="n">
        <f aca="false">Inputs!$B$5</f>
        <v>0.15</v>
      </c>
      <c r="E37" s="0" t="n">
        <f aca="false">C37*D37</f>
        <v>45.0075</v>
      </c>
      <c r="F37" s="0" t="n">
        <f aca="false">C37+E37</f>
        <v>345.0575</v>
      </c>
      <c r="G37" s="0" t="s">
        <v>390</v>
      </c>
      <c r="H37" s="0" t="n">
        <f aca="false">ROUNDUP(F37/Inputs!$B$11,0)</f>
        <v>35</v>
      </c>
      <c r="I37" s="0" t="s">
        <v>448</v>
      </c>
    </row>
    <row r="38" customFormat="false" ht="15" hidden="false" customHeight="false" outlineLevel="0" collapsed="false">
      <c r="A38" s="0" t="s">
        <v>450</v>
      </c>
      <c r="B38" s="0" t="s">
        <v>380</v>
      </c>
      <c r="C38" s="0" t="n">
        <v>291.44</v>
      </c>
      <c r="D38" s="0" t="n">
        <f aca="false">Inputs!$B$5</f>
        <v>0.15</v>
      </c>
      <c r="E38" s="0" t="n">
        <f aca="false">C38*D38</f>
        <v>43.716</v>
      </c>
      <c r="F38" s="0" t="n">
        <f aca="false">C38+E38</f>
        <v>335.156</v>
      </c>
      <c r="G38" s="0" t="s">
        <v>390</v>
      </c>
      <c r="H38" s="0" t="n">
        <f aca="false">ROUNDUP(F38/Inputs!$B$11,0)</f>
        <v>34</v>
      </c>
      <c r="I38" s="0" t="s">
        <v>448</v>
      </c>
    </row>
    <row r="39" customFormat="false" ht="15" hidden="false" customHeight="false" outlineLevel="0" collapsed="false">
      <c r="A39" s="0" t="s">
        <v>451</v>
      </c>
      <c r="B39" s="0" t="s">
        <v>380</v>
      </c>
      <c r="C39" s="0" t="n">
        <v>64.79</v>
      </c>
      <c r="D39" s="0" t="n">
        <f aca="false">Inputs!$B$5</f>
        <v>0.15</v>
      </c>
      <c r="E39" s="0" t="n">
        <f aca="false">C39*D39</f>
        <v>9.7185</v>
      </c>
      <c r="F39" s="0" t="n">
        <f aca="false">C39+E39</f>
        <v>74.5085</v>
      </c>
      <c r="G39" s="0" t="s">
        <v>390</v>
      </c>
      <c r="H39" s="0" t="n">
        <f aca="false">ROUNDUP(F39/Inputs!$B$11,0)</f>
        <v>8</v>
      </c>
      <c r="I39" s="0" t="s">
        <v>448</v>
      </c>
    </row>
    <row r="40" customFormat="false" ht="15" hidden="false" customHeight="false" outlineLevel="0" collapsed="false">
      <c r="A40" s="0" t="s">
        <v>452</v>
      </c>
      <c r="B40" s="0" t="s">
        <v>380</v>
      </c>
      <c r="C40" s="0" t="n">
        <v>176.84</v>
      </c>
      <c r="D40" s="0" t="n">
        <f aca="false">Inputs!$B$5</f>
        <v>0.15</v>
      </c>
      <c r="E40" s="0" t="n">
        <f aca="false">C40*D40</f>
        <v>26.526</v>
      </c>
      <c r="F40" s="0" t="n">
        <f aca="false">C40+E40</f>
        <v>203.366</v>
      </c>
      <c r="G40" s="0" t="s">
        <v>390</v>
      </c>
      <c r="H40" s="0" t="n">
        <f aca="false">ROUNDUP(F40/Inputs!$B$11,0)</f>
        <v>21</v>
      </c>
      <c r="I40" s="0" t="s">
        <v>448</v>
      </c>
    </row>
    <row r="41" customFormat="false" ht="15" hidden="false" customHeight="false" outlineLevel="0" collapsed="false">
      <c r="A41" s="0" t="s">
        <v>453</v>
      </c>
      <c r="B41" s="0" t="s">
        <v>380</v>
      </c>
      <c r="C41" s="0" t="n">
        <v>270.19</v>
      </c>
      <c r="D41" s="0" t="n">
        <f aca="false">Inputs!$B$5</f>
        <v>0.15</v>
      </c>
      <c r="E41" s="0" t="n">
        <f aca="false">C41*D41</f>
        <v>40.5285</v>
      </c>
      <c r="F41" s="0" t="n">
        <f aca="false">C41+E41</f>
        <v>310.7185</v>
      </c>
      <c r="G41" s="0" t="s">
        <v>390</v>
      </c>
      <c r="H41" s="0" t="n">
        <f aca="false">ROUNDUP(F41/Inputs!$B$11,0)</f>
        <v>32</v>
      </c>
      <c r="I41" s="0" t="s">
        <v>448</v>
      </c>
    </row>
    <row r="42" customFormat="false" ht="15" hidden="false" customHeight="false" outlineLevel="0" collapsed="false">
      <c r="A42" s="0" t="s">
        <v>454</v>
      </c>
      <c r="B42" s="0" t="s">
        <v>380</v>
      </c>
      <c r="C42" s="0" t="n">
        <v>37.54</v>
      </c>
      <c r="D42" s="0" t="n">
        <f aca="false">Inputs!$B$5</f>
        <v>0.15</v>
      </c>
      <c r="E42" s="0" t="n">
        <f aca="false">C42*D42</f>
        <v>5.631</v>
      </c>
      <c r="F42" s="0" t="n">
        <f aca="false">C42+E42</f>
        <v>43.171</v>
      </c>
      <c r="G42" s="0" t="s">
        <v>381</v>
      </c>
      <c r="H42" s="0" t="n">
        <f aca="false">ROUNDUP(F42/Inputs!$B$10,0)</f>
        <v>3</v>
      </c>
      <c r="I42" s="0" t="s">
        <v>455</v>
      </c>
    </row>
    <row r="43" customFormat="false" ht="15" hidden="false" customHeight="false" outlineLevel="0" collapsed="false">
      <c r="A43" s="0" t="s">
        <v>456</v>
      </c>
      <c r="B43" s="0" t="s">
        <v>380</v>
      </c>
      <c r="C43" s="0" t="n">
        <v>8</v>
      </c>
      <c r="D43" s="0" t="n">
        <f aca="false">Inputs!$B$6</f>
        <v>0.06</v>
      </c>
      <c r="E43" s="0" t="n">
        <f aca="false">C43*D43</f>
        <v>0.48</v>
      </c>
      <c r="F43" s="0" t="n">
        <f aca="false">C43+E43</f>
        <v>8.48</v>
      </c>
      <c r="H43" s="0" t="n">
        <f aca="false">ROUNDUP(F43,0)</f>
        <v>9</v>
      </c>
      <c r="I43" s="0" t="s">
        <v>457</v>
      </c>
    </row>
    <row r="44" customFormat="false" ht="15" hidden="false" customHeight="false" outlineLevel="0" collapsed="false">
      <c r="A44" s="0" t="s">
        <v>458</v>
      </c>
      <c r="B44" s="0" t="s">
        <v>409</v>
      </c>
      <c r="C44" s="0" t="n">
        <v>1873.88</v>
      </c>
      <c r="D44" s="0" t="n">
        <f aca="false">Inputs!$B$6</f>
        <v>0.06</v>
      </c>
      <c r="E44" s="0" t="n">
        <f aca="false">C44*D44</f>
        <v>112.4328</v>
      </c>
      <c r="F44" s="0" t="n">
        <f aca="false">C44+E44</f>
        <v>1986.3128</v>
      </c>
      <c r="G44" s="0" t="s">
        <v>410</v>
      </c>
      <c r="H44" s="0" t="n">
        <f aca="false">ROUNDUP(F44/Inputs!$B$9,0)</f>
        <v>42</v>
      </c>
      <c r="I44" s="0" t="s">
        <v>459</v>
      </c>
    </row>
    <row r="45" customFormat="false" ht="15" hidden="false" customHeight="false" outlineLevel="0" collapsed="false">
      <c r="A45" s="0" t="s">
        <v>460</v>
      </c>
      <c r="B45" s="0" t="s">
        <v>409</v>
      </c>
      <c r="C45" s="0" t="n">
        <v>4017.88</v>
      </c>
      <c r="D45" s="0" t="n">
        <f aca="false">Inputs!$B$6</f>
        <v>0.06</v>
      </c>
      <c r="E45" s="0" t="n">
        <f aca="false">C45*D45</f>
        <v>241.0728</v>
      </c>
      <c r="F45" s="0" t="n">
        <f aca="false">C45+E45</f>
        <v>4258.9528</v>
      </c>
      <c r="G45" s="0" t="s">
        <v>410</v>
      </c>
      <c r="H45" s="0" t="n">
        <f aca="false">ROUNDUP(F45/Inputs!$B$9,0)</f>
        <v>89</v>
      </c>
      <c r="I45" s="0" t="s">
        <v>459</v>
      </c>
    </row>
    <row r="46" customFormat="false" ht="15" hidden="false" customHeight="false" outlineLevel="0" collapsed="false">
      <c r="A46" s="0" t="s">
        <v>461</v>
      </c>
      <c r="B46" s="0" t="s">
        <v>409</v>
      </c>
      <c r="C46" s="0" t="n">
        <v>662.07</v>
      </c>
      <c r="D46" s="0" t="n">
        <f aca="false">Inputs!$B$6</f>
        <v>0.06</v>
      </c>
      <c r="E46" s="0" t="n">
        <f aca="false">C46*D46</f>
        <v>39.7242</v>
      </c>
      <c r="F46" s="0" t="n">
        <f aca="false">C46+E46</f>
        <v>701.7942</v>
      </c>
      <c r="G46" s="0" t="s">
        <v>410</v>
      </c>
      <c r="H46" s="0" t="n">
        <f aca="false">ROUNDUP(F46/Inputs!$B$9,0)</f>
        <v>15</v>
      </c>
      <c r="I46" s="0" t="s">
        <v>459</v>
      </c>
    </row>
    <row r="47" customFormat="false" ht="15" hidden="false" customHeight="false" outlineLevel="0" collapsed="false">
      <c r="A47" s="0" t="s">
        <v>462</v>
      </c>
      <c r="B47" s="0" t="s">
        <v>409</v>
      </c>
      <c r="C47" s="0" t="n">
        <v>11.33</v>
      </c>
      <c r="D47" s="0" t="n">
        <f aca="false">Inputs!$B$6</f>
        <v>0.06</v>
      </c>
      <c r="E47" s="0" t="n">
        <f aca="false">C47*D47</f>
        <v>0.6798</v>
      </c>
      <c r="F47" s="0" t="n">
        <f aca="false">C47+E47</f>
        <v>12.0098</v>
      </c>
      <c r="G47" s="0" t="s">
        <v>410</v>
      </c>
      <c r="H47" s="0" t="n">
        <f aca="false">ROUNDUP(F47/Inputs!$B$9,0)</f>
        <v>1</v>
      </c>
      <c r="I47" s="0" t="s">
        <v>459</v>
      </c>
    </row>
    <row r="48" customFormat="false" ht="15" hidden="false" customHeight="false" outlineLevel="0" collapsed="false">
      <c r="A48" s="0" t="s">
        <v>463</v>
      </c>
      <c r="B48" s="0" t="s">
        <v>409</v>
      </c>
      <c r="C48" s="0" t="n">
        <v>240.37</v>
      </c>
      <c r="D48" s="0" t="n">
        <f aca="false">Inputs!$B$6</f>
        <v>0.06</v>
      </c>
      <c r="E48" s="0" t="n">
        <f aca="false">C48*D48</f>
        <v>14.4222</v>
      </c>
      <c r="F48" s="0" t="n">
        <f aca="false">C48+E48</f>
        <v>254.7922</v>
      </c>
      <c r="G48" s="0" t="s">
        <v>410</v>
      </c>
      <c r="H48" s="0" t="n">
        <f aca="false">ROUNDUP(F48/Inputs!$B$9,0)</f>
        <v>6</v>
      </c>
      <c r="I48" s="0" t="s">
        <v>459</v>
      </c>
    </row>
    <row r="49" customFormat="false" ht="15" hidden="false" customHeight="false" outlineLevel="0" collapsed="false">
      <c r="A49" s="0" t="s">
        <v>464</v>
      </c>
      <c r="B49" s="0" t="s">
        <v>380</v>
      </c>
      <c r="C49" s="0" t="n">
        <v>208.55</v>
      </c>
      <c r="D49" s="0" t="n">
        <f aca="false">Inputs!$B$6</f>
        <v>0.06</v>
      </c>
      <c r="E49" s="0" t="n">
        <f aca="false">C49*D49</f>
        <v>12.513</v>
      </c>
      <c r="F49" s="0" t="n">
        <f aca="false">C49+E49</f>
        <v>221.063</v>
      </c>
      <c r="G49" s="0" t="s">
        <v>436</v>
      </c>
      <c r="H49" s="0" t="n">
        <f aca="false">ROUNDUP(F49/Inputs!$B$15,0)</f>
        <v>9</v>
      </c>
      <c r="I49" s="0" t="s">
        <v>465</v>
      </c>
    </row>
    <row r="50" customFormat="false" ht="15" hidden="false" customHeight="false" outlineLevel="0" collapsed="false">
      <c r="A50" s="0" t="s">
        <v>466</v>
      </c>
      <c r="B50" s="0" t="s">
        <v>467</v>
      </c>
      <c r="C50" s="0" t="n">
        <v>113</v>
      </c>
      <c r="D50" s="0" t="n">
        <v>0</v>
      </c>
      <c r="E50" s="0" t="n">
        <f aca="false">C50*D50</f>
        <v>0</v>
      </c>
      <c r="F50" s="0" t="n">
        <f aca="false">C50+E50</f>
        <v>113</v>
      </c>
      <c r="H50" s="0" t="n">
        <f aca="false">ROUNDUP(F50,0)</f>
        <v>113</v>
      </c>
      <c r="I50" s="0" t="s">
        <v>468</v>
      </c>
    </row>
    <row r="51" customFormat="false" ht="15" hidden="false" customHeight="false" outlineLevel="0" collapsed="false">
      <c r="A51" s="0" t="s">
        <v>469</v>
      </c>
      <c r="B51" s="0" t="s">
        <v>380</v>
      </c>
      <c r="C51" s="0" t="n">
        <v>56</v>
      </c>
      <c r="D51" s="0" t="n">
        <f aca="false">Inputs!$B$5</f>
        <v>0.15</v>
      </c>
      <c r="E51" s="0" t="n">
        <f aca="false">C51*D51</f>
        <v>8.4</v>
      </c>
      <c r="F51" s="0" t="n">
        <f aca="false">C51+E51</f>
        <v>64.4</v>
      </c>
      <c r="G51" s="0" t="s">
        <v>390</v>
      </c>
      <c r="H51" s="0" t="n">
        <f aca="false">ROUNDUP(F51/Inputs!$B$11,0)</f>
        <v>7</v>
      </c>
      <c r="I51" s="0" t="s">
        <v>470</v>
      </c>
    </row>
    <row r="52" customFormat="false" ht="15" hidden="false" customHeight="false" outlineLevel="0" collapsed="false">
      <c r="A52" s="0" t="s">
        <v>471</v>
      </c>
      <c r="B52" s="0" t="s">
        <v>467</v>
      </c>
      <c r="C52" s="0" t="n">
        <v>37</v>
      </c>
      <c r="D52" s="0" t="n">
        <v>0</v>
      </c>
      <c r="E52" s="0" t="n">
        <f aca="false">C52*D52</f>
        <v>0</v>
      </c>
      <c r="F52" s="0" t="n">
        <f aca="false">C52+E52</f>
        <v>37</v>
      </c>
      <c r="G52" s="0" t="s">
        <v>472</v>
      </c>
      <c r="H52" s="0" t="n">
        <f aca="false">ROUNDUP(F52,0)</f>
        <v>37</v>
      </c>
      <c r="I52" s="0" t="s">
        <v>473</v>
      </c>
    </row>
    <row r="53" customFormat="false" ht="15" hidden="false" customHeight="false" outlineLevel="0" collapsed="false">
      <c r="A53" s="0" t="s">
        <v>474</v>
      </c>
      <c r="B53" s="0" t="s">
        <v>380</v>
      </c>
      <c r="C53" s="0" t="n">
        <v>22.42</v>
      </c>
      <c r="D53" s="0" t="n">
        <f aca="false">Inputs!$B$5</f>
        <v>0.15</v>
      </c>
      <c r="E53" s="0" t="n">
        <f aca="false">C53*D53</f>
        <v>3.363</v>
      </c>
      <c r="F53" s="0" t="n">
        <f aca="false">C53+E53</f>
        <v>25.783</v>
      </c>
      <c r="G53" s="0" t="s">
        <v>381</v>
      </c>
      <c r="H53" s="0" t="n">
        <f aca="false">ROUNDUP(F53/Inputs!$B$10,0)</f>
        <v>2</v>
      </c>
      <c r="I53" s="0" t="s">
        <v>475</v>
      </c>
    </row>
    <row r="54" customFormat="false" ht="15" hidden="false" customHeight="false" outlineLevel="0" collapsed="false">
      <c r="A54" s="0" t="s">
        <v>476</v>
      </c>
      <c r="B54" s="0" t="s">
        <v>380</v>
      </c>
      <c r="C54" s="0" t="n">
        <v>10.43</v>
      </c>
      <c r="D54" s="0" t="n">
        <f aca="false">Inputs!$B$5</f>
        <v>0.15</v>
      </c>
      <c r="E54" s="0" t="n">
        <f aca="false">C54*D54</f>
        <v>1.5645</v>
      </c>
      <c r="F54" s="0" t="n">
        <f aca="false">C54+E54</f>
        <v>11.9945</v>
      </c>
      <c r="G54" s="0" t="s">
        <v>381</v>
      </c>
      <c r="H54" s="0" t="n">
        <f aca="false">ROUNDUP(F54/Inputs!$B$10,0)</f>
        <v>1</v>
      </c>
      <c r="I54" s="0" t="s">
        <v>477</v>
      </c>
    </row>
    <row r="55" customFormat="false" ht="15" hidden="false" customHeight="false" outlineLevel="0" collapsed="false">
      <c r="A55" s="0" t="s">
        <v>478</v>
      </c>
      <c r="B55" s="0" t="s">
        <v>409</v>
      </c>
      <c r="C55" s="0" t="n">
        <v>67.16</v>
      </c>
      <c r="D55" s="0" t="n">
        <f aca="false">Inputs!$B$6</f>
        <v>0.06</v>
      </c>
      <c r="E55" s="0" t="n">
        <f aca="false">C55*D55</f>
        <v>4.0296</v>
      </c>
      <c r="F55" s="0" t="n">
        <f aca="false">C55+E55</f>
        <v>71.1896</v>
      </c>
      <c r="G55" s="0" t="s">
        <v>410</v>
      </c>
      <c r="H55" s="0" t="n">
        <f aca="false">ROUNDUP(F55/Inputs!$B$9,0)</f>
        <v>2</v>
      </c>
      <c r="I55" s="0" t="s">
        <v>479</v>
      </c>
    </row>
    <row r="56" customFormat="false" ht="15" hidden="false" customHeight="false" outlineLevel="0" collapsed="false">
      <c r="A56" s="0" t="s">
        <v>480</v>
      </c>
      <c r="B56" s="0" t="s">
        <v>380</v>
      </c>
      <c r="C56" s="0" t="n">
        <v>222.77</v>
      </c>
      <c r="D56" s="0" t="n">
        <f aca="false">Inputs!$B$6</f>
        <v>0.06</v>
      </c>
      <c r="E56" s="0" t="n">
        <f aca="false">C56*D56</f>
        <v>13.3662</v>
      </c>
      <c r="F56" s="0" t="n">
        <f aca="false">C56+E56</f>
        <v>236.1362</v>
      </c>
      <c r="G56" s="0" t="s">
        <v>429</v>
      </c>
      <c r="H56" s="0" t="n">
        <f aca="false">ROUNDUP(F56/Inputs!$B$18,0)</f>
        <v>24</v>
      </c>
      <c r="I56" s="0" t="s">
        <v>481</v>
      </c>
    </row>
    <row r="57" customFormat="false" ht="15" hidden="false" customHeight="false" outlineLevel="0" collapsed="false">
      <c r="A57" s="0" t="s">
        <v>482</v>
      </c>
      <c r="B57" s="0" t="s">
        <v>467</v>
      </c>
      <c r="C57" s="0" t="n">
        <v>278</v>
      </c>
      <c r="D57" s="0" t="n">
        <v>0</v>
      </c>
      <c r="E57" s="0" t="n">
        <f aca="false">C57*D57</f>
        <v>0</v>
      </c>
      <c r="F57" s="0" t="n">
        <f aca="false">C57+E57</f>
        <v>278</v>
      </c>
      <c r="G57" s="0" t="s">
        <v>472</v>
      </c>
      <c r="H57" s="0" t="n">
        <f aca="false">ROUNDUP(F57,0)</f>
        <v>278</v>
      </c>
      <c r="I57" s="0" t="s">
        <v>483</v>
      </c>
    </row>
    <row r="58" customFormat="false" ht="15" hidden="false" customHeight="false" outlineLevel="0" collapsed="false">
      <c r="A58" s="0" t="s">
        <v>484</v>
      </c>
      <c r="B58" s="0" t="s">
        <v>467</v>
      </c>
      <c r="C58" s="0" t="n">
        <v>1</v>
      </c>
      <c r="D58" s="0" t="n">
        <v>0</v>
      </c>
      <c r="E58" s="0" t="n">
        <f aca="false">C58*D58</f>
        <v>0</v>
      </c>
      <c r="F58" s="0" t="n">
        <f aca="false">C58+E58</f>
        <v>1</v>
      </c>
      <c r="G58" s="0" t="s">
        <v>472</v>
      </c>
      <c r="H58" s="0" t="n">
        <f aca="false">ROUNDUP(F58,0)</f>
        <v>1</v>
      </c>
      <c r="I58" s="0" t="s">
        <v>485</v>
      </c>
    </row>
    <row r="59" customFormat="false" ht="15" hidden="false" customHeight="false" outlineLevel="0" collapsed="false">
      <c r="A59" s="0" t="s">
        <v>486</v>
      </c>
      <c r="B59" s="0" t="s">
        <v>467</v>
      </c>
      <c r="C59" s="0" t="n">
        <v>21293.45</v>
      </c>
      <c r="D59" s="0" t="n">
        <v>0</v>
      </c>
      <c r="E59" s="0" t="n">
        <f aca="false">C59*D59</f>
        <v>0</v>
      </c>
      <c r="F59" s="0" t="n">
        <f aca="false">C59+E59</f>
        <v>21293.45</v>
      </c>
      <c r="G59" s="0" t="s">
        <v>472</v>
      </c>
      <c r="H59" s="0" t="n">
        <f aca="false">ROUNDUP(F59,0)</f>
        <v>21294</v>
      </c>
      <c r="I59" s="0" t="s">
        <v>487</v>
      </c>
      <c r="J59" s="0" t="n">
        <f aca="false">Inputs!$B$20*17744.5</f>
        <v>21293.4</v>
      </c>
    </row>
    <row r="60" customFormat="false" ht="15" hidden="false" customHeight="false" outlineLevel="0" collapsed="false">
      <c r="A60" s="0" t="s">
        <v>488</v>
      </c>
      <c r="B60" s="0" t="s">
        <v>467</v>
      </c>
      <c r="C60" s="0" t="n">
        <v>6932</v>
      </c>
      <c r="D60" s="0" t="n">
        <v>0</v>
      </c>
      <c r="E60" s="0" t="n">
        <f aca="false">C60*D60</f>
        <v>0</v>
      </c>
      <c r="F60" s="0" t="n">
        <f aca="false">C60+E60</f>
        <v>6932</v>
      </c>
      <c r="G60" s="0" t="s">
        <v>472</v>
      </c>
      <c r="H60" s="0" t="n">
        <f aca="false">ROUNDUP(F60,0)</f>
        <v>6932</v>
      </c>
      <c r="I60" s="0" t="s">
        <v>489</v>
      </c>
      <c r="J60" s="0" t="n">
        <f aca="false">Inputs!$B$21*1733</f>
        <v>6932</v>
      </c>
    </row>
    <row r="61" customFormat="false" ht="15" hidden="false" customHeight="false" outlineLevel="0" collapsed="false">
      <c r="A61" s="0" t="s">
        <v>490</v>
      </c>
      <c r="B61" s="0" t="s">
        <v>467</v>
      </c>
      <c r="C61" s="0" t="n">
        <v>534.62</v>
      </c>
      <c r="D61" s="0" t="n">
        <v>0</v>
      </c>
      <c r="E61" s="0" t="n">
        <f aca="false">C61*D61</f>
        <v>0</v>
      </c>
      <c r="F61" s="0" t="n">
        <f aca="false">C61+E61</f>
        <v>534.62</v>
      </c>
      <c r="G61" s="0" t="s">
        <v>472</v>
      </c>
      <c r="H61" s="0" t="n">
        <f aca="false">ROUNDUP(F61,0)</f>
        <v>535</v>
      </c>
      <c r="I61" s="0" t="s">
        <v>491</v>
      </c>
      <c r="J61" s="0" t="n">
        <f aca="false">534.62/Inputs!$B$22</f>
        <v>534.62</v>
      </c>
    </row>
    <row r="62" customFormat="false" ht="15" hidden="false" customHeight="false" outlineLevel="0" collapsed="false">
      <c r="A62" s="0" t="s">
        <v>492</v>
      </c>
      <c r="B62" s="0" t="s">
        <v>467</v>
      </c>
      <c r="C62" s="0" t="n">
        <v>320.98</v>
      </c>
      <c r="D62" s="0" t="n">
        <v>0</v>
      </c>
      <c r="E62" s="0" t="n">
        <f aca="false">C62*D62</f>
        <v>0</v>
      </c>
      <c r="F62" s="0" t="n">
        <f aca="false">C62+E62</f>
        <v>320.98</v>
      </c>
      <c r="G62" s="0" t="s">
        <v>472</v>
      </c>
      <c r="H62" s="0" t="n">
        <f aca="false">ROUNDUP(F62,0)</f>
        <v>321</v>
      </c>
      <c r="I62" s="0" t="s">
        <v>493</v>
      </c>
      <c r="J62" s="0" t="n">
        <f aca="false">214.09/Inputs!$B$25</f>
        <v>320.974512743628</v>
      </c>
    </row>
    <row r="63" customFormat="false" ht="15" hidden="false" customHeight="false" outlineLevel="0" collapsed="false">
      <c r="A63" s="0" t="s">
        <v>494</v>
      </c>
      <c r="B63" s="0" t="s">
        <v>495</v>
      </c>
      <c r="C63" s="0" t="n">
        <v>1277.61</v>
      </c>
      <c r="D63" s="0" t="n">
        <v>0</v>
      </c>
      <c r="E63" s="0" t="n">
        <f aca="false">C63*D63</f>
        <v>0</v>
      </c>
      <c r="F63" s="0" t="n">
        <f aca="false">C63+E63</f>
        <v>1277.61</v>
      </c>
      <c r="G63" s="0" t="s">
        <v>496</v>
      </c>
      <c r="H63" s="0" t="n">
        <f aca="false">ROUNDUP(F63,0)</f>
        <v>1278</v>
      </c>
      <c r="I63" s="0" t="s">
        <v>497</v>
      </c>
      <c r="J63" s="0" t="n">
        <f aca="false">Inputs!$B$23*17744.5</f>
        <v>1277.604</v>
      </c>
    </row>
    <row r="64" customFormat="false" ht="15" hidden="false" customHeight="false" outlineLevel="0" collapsed="false">
      <c r="A64" s="0" t="s">
        <v>498</v>
      </c>
      <c r="B64" s="0" t="s">
        <v>380</v>
      </c>
      <c r="C64" s="0" t="n">
        <v>6565.48</v>
      </c>
      <c r="D64" s="0" t="n">
        <v>0</v>
      </c>
      <c r="E64" s="0" t="n">
        <f aca="false">C64*D64</f>
        <v>0</v>
      </c>
      <c r="F64" s="0" t="n">
        <f aca="false">C64+E64</f>
        <v>6565.48</v>
      </c>
      <c r="G64" s="0" t="s">
        <v>380</v>
      </c>
      <c r="H64" s="0" t="n">
        <f aca="false">ROUNDUP(F64,0)</f>
        <v>6566</v>
      </c>
      <c r="I64" s="0" t="s">
        <v>499</v>
      </c>
      <c r="J64" s="0" t="n">
        <f aca="false">Inputs!$B$24*17744.5</f>
        <v>6565.465</v>
      </c>
    </row>
    <row r="65" customFormat="false" ht="15" hidden="false" customHeight="false" outlineLevel="0" collapsed="false">
      <c r="A65" s="0" t="s">
        <v>500</v>
      </c>
      <c r="B65" s="0" t="s">
        <v>409</v>
      </c>
      <c r="C65" s="0" t="n">
        <v>874.85</v>
      </c>
      <c r="D65" s="0" t="n">
        <f aca="false">Inputs!$B$6</f>
        <v>0.06</v>
      </c>
      <c r="E65" s="0" t="n">
        <f aca="false">C65*D65</f>
        <v>52.491</v>
      </c>
      <c r="F65" s="0" t="n">
        <f aca="false">C65+E65</f>
        <v>927.341</v>
      </c>
      <c r="G65" s="0" t="s">
        <v>409</v>
      </c>
      <c r="H65" s="0" t="n">
        <f aca="false">ROUNDUP(F65,0)</f>
        <v>928</v>
      </c>
      <c r="I65" s="0" t="s">
        <v>501</v>
      </c>
    </row>
    <row r="66" customFormat="false" ht="15" hidden="false" customHeight="false" outlineLevel="0" collapsed="false">
      <c r="A66" s="0" t="s">
        <v>502</v>
      </c>
      <c r="B66" s="0" t="s">
        <v>467</v>
      </c>
      <c r="C66" s="0" t="n">
        <v>0</v>
      </c>
      <c r="D66" s="0" t="n">
        <v>0</v>
      </c>
      <c r="E66" s="0" t="n">
        <f aca="false">C66*D66</f>
        <v>0</v>
      </c>
      <c r="F66" s="0" t="n">
        <f aca="false">C66+E66</f>
        <v>0</v>
      </c>
      <c r="G66" s="0" t="s">
        <v>472</v>
      </c>
      <c r="H66" s="0" t="n">
        <f aca="false">ROUNDUP(F66,0)</f>
        <v>0</v>
      </c>
      <c r="I66" s="0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504</v>
      </c>
      <c r="B1" s="2" t="s">
        <v>505</v>
      </c>
      <c r="C1" s="2" t="s">
        <v>506</v>
      </c>
    </row>
    <row r="2" customFormat="false" ht="15" hidden="false" customHeight="false" outlineLevel="0" collapsed="false">
      <c r="A2" s="0" t="s">
        <v>507</v>
      </c>
      <c r="B2" s="0" t="s">
        <v>508</v>
      </c>
      <c r="C2" s="0" t="s">
        <v>509</v>
      </c>
    </row>
    <row r="3" customFormat="false" ht="15" hidden="false" customHeight="false" outlineLevel="0" collapsed="false">
      <c r="A3" s="0" t="s">
        <v>510</v>
      </c>
      <c r="B3" s="0" t="s">
        <v>511</v>
      </c>
      <c r="C3" s="0" t="s">
        <v>512</v>
      </c>
    </row>
    <row r="4" customFormat="false" ht="15" hidden="false" customHeight="false" outlineLevel="0" collapsed="false">
      <c r="A4" s="0" t="s">
        <v>513</v>
      </c>
      <c r="B4" s="0" t="s">
        <v>514</v>
      </c>
      <c r="C4" s="0" t="s">
        <v>515</v>
      </c>
    </row>
    <row r="5" customFormat="false" ht="15" hidden="false" customHeight="false" outlineLevel="0" collapsed="false">
      <c r="A5" s="0" t="s">
        <v>516</v>
      </c>
      <c r="B5" s="0" t="s">
        <v>517</v>
      </c>
      <c r="C5" s="0" t="s">
        <v>518</v>
      </c>
    </row>
    <row r="6" customFormat="false" ht="15" hidden="false" customHeight="false" outlineLevel="0" collapsed="false">
      <c r="A6" s="0" t="s">
        <v>519</v>
      </c>
      <c r="B6" s="0" t="s">
        <v>520</v>
      </c>
      <c r="C6" s="0" t="s">
        <v>521</v>
      </c>
    </row>
    <row r="7" customFormat="false" ht="15" hidden="false" customHeight="false" outlineLevel="0" collapsed="false">
      <c r="A7" s="0" t="s">
        <v>522</v>
      </c>
      <c r="B7" s="0" t="s">
        <v>523</v>
      </c>
      <c r="C7" s="0" t="s">
        <v>524</v>
      </c>
    </row>
    <row r="8" customFormat="false" ht="15" hidden="false" customHeight="false" outlineLevel="0" collapsed="false">
      <c r="A8" s="0" t="s">
        <v>525</v>
      </c>
      <c r="B8" s="0" t="s">
        <v>526</v>
      </c>
      <c r="C8" s="0" t="s">
        <v>527</v>
      </c>
    </row>
    <row r="9" customFormat="false" ht="15" hidden="false" customHeight="false" outlineLevel="0" collapsed="false">
      <c r="A9" s="0" t="s">
        <v>528</v>
      </c>
      <c r="B9" s="0" t="s">
        <v>529</v>
      </c>
      <c r="C9" s="0" t="s">
        <v>530</v>
      </c>
    </row>
    <row r="10" customFormat="false" ht="15" hidden="false" customHeight="false" outlineLevel="0" collapsed="false">
      <c r="A10" s="0" t="s">
        <v>531</v>
      </c>
      <c r="B10" s="0" t="s">
        <v>532</v>
      </c>
      <c r="C10" s="0" t="s">
        <v>533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536</v>
      </c>
    </row>
    <row r="12" customFormat="false" ht="15" hidden="false" customHeight="false" outlineLevel="0" collapsed="false">
      <c r="A12" s="0" t="s">
        <v>537</v>
      </c>
      <c r="B12" s="0" t="s">
        <v>538</v>
      </c>
      <c r="C12" s="0" t="s">
        <v>539</v>
      </c>
    </row>
    <row r="13" customFormat="false" ht="15" hidden="false" customHeight="false" outlineLevel="0" collapsed="false">
      <c r="A13" s="0" t="s">
        <v>540</v>
      </c>
      <c r="B13" s="0" t="s">
        <v>541</v>
      </c>
      <c r="C13" s="0" t="s">
        <v>542</v>
      </c>
    </row>
    <row r="14" customFormat="false" ht="15" hidden="false" customHeight="false" outlineLevel="0" collapsed="false">
      <c r="A14" s="0" t="s">
        <v>543</v>
      </c>
      <c r="B14" s="0" t="s">
        <v>544</v>
      </c>
      <c r="C14" s="0" t="s">
        <v>545</v>
      </c>
    </row>
    <row r="15" customFormat="false" ht="15" hidden="false" customHeight="false" outlineLevel="0" collapsed="false">
      <c r="A15" s="0" t="s">
        <v>546</v>
      </c>
      <c r="B15" s="0" t="s">
        <v>547</v>
      </c>
      <c r="C15" s="0" t="s">
        <v>548</v>
      </c>
    </row>
    <row r="16" customFormat="false" ht="15" hidden="false" customHeight="false" outlineLevel="0" collapsed="false">
      <c r="A16" s="0" t="s">
        <v>549</v>
      </c>
      <c r="B16" s="0" t="s">
        <v>550</v>
      </c>
      <c r="C16" s="0" t="s">
        <v>551</v>
      </c>
    </row>
    <row r="17" customFormat="false" ht="15" hidden="false" customHeight="false" outlineLevel="0" collapsed="false">
      <c r="A17" s="0" t="s">
        <v>552</v>
      </c>
      <c r="B17" s="0" t="s">
        <v>553</v>
      </c>
      <c r="C17" s="0" t="s">
        <v>554</v>
      </c>
    </row>
    <row r="18" customFormat="false" ht="15" hidden="false" customHeight="false" outlineLevel="0" collapsed="false">
      <c r="A18" s="0" t="s">
        <v>555</v>
      </c>
      <c r="B18" s="0" t="s">
        <v>556</v>
      </c>
      <c r="C18" s="0" t="s">
        <v>557</v>
      </c>
    </row>
    <row r="19" customFormat="false" ht="15" hidden="false" customHeight="false" outlineLevel="0" collapsed="false">
      <c r="A19" s="0" t="s">
        <v>558</v>
      </c>
      <c r="B19" s="0" t="s">
        <v>559</v>
      </c>
      <c r="C19" s="0" t="s">
        <v>560</v>
      </c>
    </row>
    <row r="20" customFormat="false" ht="15" hidden="false" customHeight="false" outlineLevel="0" collapsed="false">
      <c r="A20" s="0" t="s">
        <v>561</v>
      </c>
      <c r="B20" s="0" t="s">
        <v>562</v>
      </c>
      <c r="C20" s="0" t="s">
        <v>563</v>
      </c>
    </row>
    <row r="21" customFormat="false" ht="15" hidden="false" customHeight="false" outlineLevel="0" collapsed="false">
      <c r="A21" s="0" t="s">
        <v>564</v>
      </c>
      <c r="B21" s="0" t="s">
        <v>565</v>
      </c>
      <c r="C21" s="0" t="s">
        <v>566</v>
      </c>
    </row>
    <row r="22" customFormat="false" ht="15" hidden="false" customHeight="false" outlineLevel="0" collapsed="false">
      <c r="A22" s="0" t="s">
        <v>567</v>
      </c>
      <c r="B22" s="0" t="s">
        <v>568</v>
      </c>
      <c r="C22" s="0" t="s">
        <v>569</v>
      </c>
    </row>
    <row r="23" customFormat="false" ht="15" hidden="false" customHeight="false" outlineLevel="0" collapsed="false">
      <c r="A23" s="0" t="s">
        <v>570</v>
      </c>
      <c r="B23" s="0" t="s">
        <v>571</v>
      </c>
      <c r="C23" s="0" t="s">
        <v>572</v>
      </c>
    </row>
    <row r="24" customFormat="false" ht="15" hidden="false" customHeight="false" outlineLevel="0" collapsed="false">
      <c r="A24" s="0" t="s">
        <v>573</v>
      </c>
      <c r="B24" s="0" t="s">
        <v>574</v>
      </c>
      <c r="C24" s="0" t="s">
        <v>575</v>
      </c>
    </row>
    <row r="25" customFormat="false" ht="15" hidden="false" customHeight="false" outlineLevel="0" collapsed="false">
      <c r="A25" s="0" t="s">
        <v>576</v>
      </c>
      <c r="B25" s="0" t="s">
        <v>577</v>
      </c>
      <c r="C25" s="0" t="s">
        <v>578</v>
      </c>
    </row>
    <row r="26" customFormat="false" ht="15" hidden="false" customHeight="false" outlineLevel="0" collapsed="false">
      <c r="A26" s="0" t="s">
        <v>579</v>
      </c>
      <c r="B26" s="0" t="s">
        <v>580</v>
      </c>
      <c r="C26" s="0" t="s">
        <v>581</v>
      </c>
    </row>
    <row r="27" customFormat="false" ht="15" hidden="false" customHeight="false" outlineLevel="0" collapsed="false">
      <c r="A27" s="0" t="s">
        <v>582</v>
      </c>
      <c r="B27" s="0" t="s">
        <v>583</v>
      </c>
      <c r="C27" s="0" t="s">
        <v>584</v>
      </c>
    </row>
    <row r="28" customFormat="false" ht="15" hidden="false" customHeight="false" outlineLevel="0" collapsed="false">
      <c r="A28" s="0" t="s">
        <v>585</v>
      </c>
      <c r="B28" s="0" t="s">
        <v>586</v>
      </c>
      <c r="C28" s="0" t="s">
        <v>587</v>
      </c>
    </row>
    <row r="29" customFormat="false" ht="15" hidden="false" customHeight="false" outlineLevel="0" collapsed="false">
      <c r="A29" s="0" t="s">
        <v>588</v>
      </c>
      <c r="B29" s="0" t="s">
        <v>589</v>
      </c>
      <c r="C29" s="0" t="s">
        <v>590</v>
      </c>
    </row>
    <row r="30" customFormat="false" ht="15" hidden="false" customHeight="false" outlineLevel="0" collapsed="false">
      <c r="A30" s="0" t="s">
        <v>591</v>
      </c>
      <c r="B30" s="0" t="s">
        <v>592</v>
      </c>
      <c r="C30" s="0" t="s">
        <v>593</v>
      </c>
    </row>
    <row r="31" customFormat="false" ht="15" hidden="false" customHeight="false" outlineLevel="0" collapsed="false">
      <c r="A31" s="0" t="s">
        <v>594</v>
      </c>
      <c r="B31" s="0" t="s">
        <v>595</v>
      </c>
      <c r="C31" s="0" t="s">
        <v>596</v>
      </c>
    </row>
    <row r="32" customFormat="false" ht="15" hidden="false" customHeight="false" outlineLevel="0" collapsed="false">
      <c r="A32" s="0" t="s">
        <v>597</v>
      </c>
      <c r="B32" s="0" t="s">
        <v>598</v>
      </c>
      <c r="C32" s="0" t="s">
        <v>599</v>
      </c>
    </row>
    <row r="33" customFormat="false" ht="15" hidden="false" customHeight="false" outlineLevel="0" collapsed="false">
      <c r="A33" s="0" t="s">
        <v>600</v>
      </c>
      <c r="B33" s="0" t="s">
        <v>601</v>
      </c>
      <c r="C33" s="0" t="s">
        <v>602</v>
      </c>
    </row>
    <row r="34" customFormat="false" ht="15" hidden="false" customHeight="false" outlineLevel="0" collapsed="false">
      <c r="A34" s="0" t="s">
        <v>603</v>
      </c>
      <c r="B34" s="0" t="s">
        <v>604</v>
      </c>
      <c r="C34" s="0" t="s">
        <v>605</v>
      </c>
    </row>
    <row r="35" customFormat="false" ht="15" hidden="false" customHeight="false" outlineLevel="0" collapsed="false">
      <c r="A35" s="0" t="s">
        <v>606</v>
      </c>
      <c r="B35" s="0" t="s">
        <v>607</v>
      </c>
      <c r="C35" s="0" t="s">
        <v>608</v>
      </c>
    </row>
    <row r="36" customFormat="false" ht="15" hidden="false" customHeight="false" outlineLevel="0" collapsed="false">
      <c r="A36" s="0" t="s">
        <v>609</v>
      </c>
      <c r="B36" s="0" t="s">
        <v>610</v>
      </c>
      <c r="C36" s="0" t="s">
        <v>611</v>
      </c>
    </row>
    <row r="37" customFormat="false" ht="15" hidden="false" customHeight="false" outlineLevel="0" collapsed="false">
      <c r="A37" s="0" t="s">
        <v>612</v>
      </c>
      <c r="B37" s="0" t="s">
        <v>613</v>
      </c>
      <c r="C37" s="0" t="s">
        <v>614</v>
      </c>
    </row>
    <row r="38" customFormat="false" ht="15" hidden="false" customHeight="false" outlineLevel="0" collapsed="false">
      <c r="A38" s="0" t="s">
        <v>615</v>
      </c>
      <c r="B38" s="0" t="s">
        <v>616</v>
      </c>
      <c r="C38" s="0" t="s">
        <v>617</v>
      </c>
    </row>
    <row r="39" customFormat="false" ht="15" hidden="false" customHeight="false" outlineLevel="0" collapsed="false">
      <c r="A39" s="0" t="s">
        <v>618</v>
      </c>
      <c r="B39" s="0" t="s">
        <v>619</v>
      </c>
      <c r="C39" s="0" t="s">
        <v>620</v>
      </c>
    </row>
    <row r="40" customFormat="false" ht="15" hidden="false" customHeight="false" outlineLevel="0" collapsed="false">
      <c r="A40" s="0" t="s">
        <v>621</v>
      </c>
      <c r="B40" s="0" t="s">
        <v>622</v>
      </c>
      <c r="C40" s="0" t="s">
        <v>623</v>
      </c>
    </row>
    <row r="41" customFormat="false" ht="15" hidden="false" customHeight="false" outlineLevel="0" collapsed="false">
      <c r="A41" s="0" t="s">
        <v>624</v>
      </c>
      <c r="B41" s="0" t="s">
        <v>625</v>
      </c>
      <c r="C41" s="0" t="s">
        <v>626</v>
      </c>
    </row>
    <row r="42" customFormat="false" ht="15" hidden="false" customHeight="false" outlineLevel="0" collapsed="false">
      <c r="A42" s="0" t="s">
        <v>627</v>
      </c>
      <c r="B42" s="0" t="s">
        <v>628</v>
      </c>
      <c r="C42" s="0" t="s">
        <v>629</v>
      </c>
    </row>
    <row r="43" customFormat="false" ht="15" hidden="false" customHeight="false" outlineLevel="0" collapsed="false">
      <c r="A43" s="0" t="s">
        <v>630</v>
      </c>
      <c r="B43" s="0" t="s">
        <v>631</v>
      </c>
      <c r="C43" s="0" t="s">
        <v>632</v>
      </c>
    </row>
    <row r="44" customFormat="false" ht="15" hidden="false" customHeight="false" outlineLevel="0" collapsed="false">
      <c r="A44" s="0" t="s">
        <v>633</v>
      </c>
      <c r="B44" s="0" t="s">
        <v>634</v>
      </c>
      <c r="C44" s="0" t="s">
        <v>635</v>
      </c>
    </row>
    <row r="45" customFormat="false" ht="15" hidden="false" customHeight="false" outlineLevel="0" collapsed="false">
      <c r="A45" s="0" t="s">
        <v>636</v>
      </c>
      <c r="B45" s="0" t="s">
        <v>637</v>
      </c>
      <c r="C45" s="0" t="s">
        <v>638</v>
      </c>
    </row>
    <row r="46" customFormat="false" ht="15" hidden="false" customHeight="false" outlineLevel="0" collapsed="false">
      <c r="A46" s="0" t="s">
        <v>639</v>
      </c>
      <c r="B46" s="0" t="s">
        <v>640</v>
      </c>
      <c r="C46" s="0" t="s">
        <v>641</v>
      </c>
    </row>
    <row r="47" customFormat="false" ht="15" hidden="false" customHeight="false" outlineLevel="0" collapsed="false">
      <c r="A47" s="0" t="s">
        <v>642</v>
      </c>
      <c r="B47" s="0" t="s">
        <v>643</v>
      </c>
      <c r="C47" s="0" t="s">
        <v>644</v>
      </c>
    </row>
    <row r="48" customFormat="false" ht="15" hidden="false" customHeight="false" outlineLevel="0" collapsed="false">
      <c r="A48" s="0" t="s">
        <v>645</v>
      </c>
      <c r="B48" s="0" t="s">
        <v>646</v>
      </c>
      <c r="C48" s="0" t="s">
        <v>647</v>
      </c>
    </row>
    <row r="49" customFormat="false" ht="15" hidden="false" customHeight="false" outlineLevel="0" collapsed="false">
      <c r="A49" s="0" t="s">
        <v>648</v>
      </c>
      <c r="B49" s="0" t="s">
        <v>649</v>
      </c>
      <c r="C49" s="0" t="s">
        <v>650</v>
      </c>
    </row>
    <row r="50" customFormat="false" ht="15" hidden="false" customHeight="false" outlineLevel="0" collapsed="false">
      <c r="A50" s="0" t="s">
        <v>651</v>
      </c>
      <c r="B50" s="0" t="s">
        <v>652</v>
      </c>
      <c r="C50" s="0" t="s">
        <v>653</v>
      </c>
    </row>
    <row r="51" customFormat="false" ht="15" hidden="false" customHeight="false" outlineLevel="0" collapsed="false">
      <c r="A51" s="0" t="s">
        <v>654</v>
      </c>
      <c r="B51" s="0" t="s">
        <v>655</v>
      </c>
      <c r="C51" s="0" t="s">
        <v>656</v>
      </c>
    </row>
    <row r="52" customFormat="false" ht="15" hidden="false" customHeight="false" outlineLevel="0" collapsed="false">
      <c r="A52" s="0" t="s">
        <v>657</v>
      </c>
      <c r="B52" s="0" t="s">
        <v>658</v>
      </c>
      <c r="C52" s="0" t="s">
        <v>659</v>
      </c>
    </row>
    <row r="53" customFormat="false" ht="15" hidden="false" customHeight="false" outlineLevel="0" collapsed="false">
      <c r="A53" s="0" t="s">
        <v>660</v>
      </c>
      <c r="B53" s="0" t="s">
        <v>661</v>
      </c>
      <c r="C53" s="0" t="s">
        <v>662</v>
      </c>
    </row>
    <row r="54" customFormat="false" ht="15" hidden="false" customHeight="false" outlineLevel="0" collapsed="false">
      <c r="A54" s="0" t="s">
        <v>663</v>
      </c>
      <c r="B54" s="0" t="s">
        <v>664</v>
      </c>
      <c r="C54" s="0" t="s">
        <v>665</v>
      </c>
    </row>
    <row r="55" customFormat="false" ht="15" hidden="false" customHeight="false" outlineLevel="0" collapsed="false">
      <c r="A55" s="0" t="s">
        <v>666</v>
      </c>
      <c r="B55" s="0" t="s">
        <v>667</v>
      </c>
      <c r="C55" s="0" t="s">
        <v>668</v>
      </c>
    </row>
    <row r="56" customFormat="false" ht="15" hidden="false" customHeight="false" outlineLevel="0" collapsed="false">
      <c r="A56" s="0" t="s">
        <v>669</v>
      </c>
      <c r="B56" s="0" t="s">
        <v>670</v>
      </c>
      <c r="C56" s="0" t="s">
        <v>671</v>
      </c>
    </row>
    <row r="57" customFormat="false" ht="15" hidden="false" customHeight="false" outlineLevel="0" collapsed="false">
      <c r="A57" s="0" t="s">
        <v>672</v>
      </c>
      <c r="B57" s="0" t="s">
        <v>673</v>
      </c>
      <c r="C57" s="0" t="s">
        <v>674</v>
      </c>
    </row>
    <row r="58" customFormat="false" ht="15" hidden="false" customHeight="false" outlineLevel="0" collapsed="false">
      <c r="A58" s="0" t="s">
        <v>675</v>
      </c>
      <c r="B58" s="0" t="s">
        <v>676</v>
      </c>
      <c r="C58" s="0" t="s">
        <v>677</v>
      </c>
    </row>
    <row r="59" customFormat="false" ht="15" hidden="false" customHeight="false" outlineLevel="0" collapsed="false">
      <c r="A59" s="0" t="s">
        <v>678</v>
      </c>
      <c r="B59" s="0" t="s">
        <v>679</v>
      </c>
      <c r="C59" s="0" t="s">
        <v>680</v>
      </c>
    </row>
    <row r="60" customFormat="false" ht="15" hidden="false" customHeight="false" outlineLevel="0" collapsed="false">
      <c r="A60" s="0" t="s">
        <v>681</v>
      </c>
      <c r="B60" s="0" t="s">
        <v>682</v>
      </c>
      <c r="C60" s="0" t="s">
        <v>683</v>
      </c>
    </row>
    <row r="61" customFormat="false" ht="15" hidden="false" customHeight="false" outlineLevel="0" collapsed="false">
      <c r="A61" s="0" t="s">
        <v>684</v>
      </c>
      <c r="B61" s="0" t="s">
        <v>685</v>
      </c>
      <c r="C61" s="0" t="s">
        <v>686</v>
      </c>
    </row>
    <row r="62" customFormat="false" ht="15" hidden="false" customHeight="false" outlineLevel="0" collapsed="false">
      <c r="A62" s="0" t="s">
        <v>687</v>
      </c>
      <c r="B62" s="0" t="s">
        <v>688</v>
      </c>
      <c r="C62" s="0" t="s">
        <v>689</v>
      </c>
    </row>
    <row r="63" customFormat="false" ht="15" hidden="false" customHeight="false" outlineLevel="0" collapsed="false">
      <c r="A63" s="0" t="s">
        <v>690</v>
      </c>
      <c r="B63" s="0" t="s">
        <v>691</v>
      </c>
      <c r="C63" s="0" t="s">
        <v>692</v>
      </c>
    </row>
    <row r="64" customFormat="false" ht="15" hidden="false" customHeight="false" outlineLevel="0" collapsed="false">
      <c r="A64" s="0" t="s">
        <v>693</v>
      </c>
      <c r="B64" s="0" t="s">
        <v>694</v>
      </c>
      <c r="C64" s="0" t="s">
        <v>695</v>
      </c>
    </row>
    <row r="65" customFormat="false" ht="15" hidden="false" customHeight="false" outlineLevel="0" collapsed="false">
      <c r="A65" s="0" t="s">
        <v>696</v>
      </c>
      <c r="B65" s="0" t="s">
        <v>697</v>
      </c>
      <c r="C65" s="0" t="s">
        <v>698</v>
      </c>
    </row>
    <row r="66" customFormat="false" ht="15" hidden="false" customHeight="false" outlineLevel="0" collapsed="false">
      <c r="A66" s="0" t="s">
        <v>699</v>
      </c>
      <c r="B66" s="0" t="s">
        <v>700</v>
      </c>
      <c r="C66" s="0" t="s">
        <v>701</v>
      </c>
    </row>
    <row r="67" customFormat="false" ht="15" hidden="false" customHeight="false" outlineLevel="0" collapsed="false">
      <c r="A67" s="0" t="s">
        <v>702</v>
      </c>
      <c r="B67" s="0" t="s">
        <v>703</v>
      </c>
      <c r="C67" s="0" t="s">
        <v>704</v>
      </c>
    </row>
    <row r="68" customFormat="false" ht="15" hidden="false" customHeight="false" outlineLevel="0" collapsed="false">
      <c r="A68" s="0" t="s">
        <v>705</v>
      </c>
      <c r="B68" s="0" t="s">
        <v>706</v>
      </c>
      <c r="C68" s="0" t="s">
        <v>707</v>
      </c>
    </row>
    <row r="69" customFormat="false" ht="15" hidden="false" customHeight="false" outlineLevel="0" collapsed="false">
      <c r="A69" s="0" t="s">
        <v>708</v>
      </c>
      <c r="B69" s="0" t="s">
        <v>709</v>
      </c>
      <c r="C69" s="0" t="s">
        <v>710</v>
      </c>
    </row>
    <row r="70" customFormat="false" ht="15" hidden="false" customHeight="false" outlineLevel="0" collapsed="false">
      <c r="A70" s="0" t="s">
        <v>711</v>
      </c>
      <c r="B70" s="0" t="s">
        <v>712</v>
      </c>
      <c r="C70" s="0" t="s">
        <v>713</v>
      </c>
    </row>
    <row r="71" customFormat="false" ht="15" hidden="false" customHeight="false" outlineLevel="0" collapsed="false">
      <c r="A71" s="0" t="s">
        <v>714</v>
      </c>
      <c r="B71" s="0" t="s">
        <v>715</v>
      </c>
      <c r="C71" s="0" t="s">
        <v>716</v>
      </c>
    </row>
    <row r="72" customFormat="false" ht="15" hidden="false" customHeight="false" outlineLevel="0" collapsed="false">
      <c r="A72" s="0" t="s">
        <v>717</v>
      </c>
      <c r="B72" s="0" t="s">
        <v>718</v>
      </c>
      <c r="C72" s="0" t="s">
        <v>719</v>
      </c>
    </row>
    <row r="73" customFormat="false" ht="15" hidden="false" customHeight="false" outlineLevel="0" collapsed="false">
      <c r="A73" s="0" t="s">
        <v>720</v>
      </c>
      <c r="B73" s="0" t="s">
        <v>721</v>
      </c>
      <c r="C73" s="0" t="s">
        <v>722</v>
      </c>
    </row>
    <row r="74" customFormat="false" ht="15" hidden="false" customHeight="false" outlineLevel="0" collapsed="false">
      <c r="A74" s="0" t="s">
        <v>723</v>
      </c>
      <c r="B74" s="0" t="s">
        <v>724</v>
      </c>
      <c r="C74" s="0" t="s">
        <v>725</v>
      </c>
    </row>
    <row r="75" customFormat="false" ht="15" hidden="false" customHeight="false" outlineLevel="0" collapsed="false">
      <c r="A75" s="0" t="s">
        <v>726</v>
      </c>
      <c r="B75" s="0" t="s">
        <v>727</v>
      </c>
      <c r="C75" s="0" t="s">
        <v>728</v>
      </c>
    </row>
    <row r="76" customFormat="false" ht="15" hidden="false" customHeight="false" outlineLevel="0" collapsed="false">
      <c r="A76" s="0" t="s">
        <v>729</v>
      </c>
      <c r="B76" s="0" t="s">
        <v>730</v>
      </c>
      <c r="C76" s="0" t="s">
        <v>731</v>
      </c>
    </row>
    <row r="77" customFormat="false" ht="15" hidden="false" customHeight="false" outlineLevel="0" collapsed="false">
      <c r="A77" s="0" t="s">
        <v>732</v>
      </c>
      <c r="B77" s="0" t="s">
        <v>733</v>
      </c>
      <c r="C77" s="0" t="s">
        <v>734</v>
      </c>
    </row>
    <row r="78" customFormat="false" ht="15" hidden="false" customHeight="false" outlineLevel="0" collapsed="false">
      <c r="A78" s="0" t="s">
        <v>735</v>
      </c>
      <c r="B78" s="0" t="s">
        <v>736</v>
      </c>
      <c r="C78" s="0" t="s">
        <v>737</v>
      </c>
    </row>
    <row r="79" customFormat="false" ht="15" hidden="false" customHeight="false" outlineLevel="0" collapsed="false">
      <c r="A79" s="0" t="s">
        <v>738</v>
      </c>
      <c r="B79" s="0" t="s">
        <v>739</v>
      </c>
      <c r="C79" s="0" t="s">
        <v>737</v>
      </c>
    </row>
    <row r="80" customFormat="false" ht="15" hidden="false" customHeight="false" outlineLevel="0" collapsed="false">
      <c r="A80" s="0" t="s">
        <v>740</v>
      </c>
      <c r="B80" s="0" t="s">
        <v>741</v>
      </c>
      <c r="C80" s="0" t="s">
        <v>742</v>
      </c>
    </row>
    <row r="81" customFormat="false" ht="15" hidden="false" customHeight="false" outlineLevel="0" collapsed="false">
      <c r="A81" s="0" t="s">
        <v>743</v>
      </c>
      <c r="B81" s="0" t="s">
        <v>744</v>
      </c>
      <c r="C81" s="0" t="s">
        <v>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746</v>
      </c>
      <c r="B1" s="0" t="s">
        <v>747</v>
      </c>
      <c r="C1" s="0" t="s">
        <v>748</v>
      </c>
      <c r="D1" s="0" t="s">
        <v>749</v>
      </c>
    </row>
    <row r="2" customFormat="false" ht="15" hidden="false" customHeight="false" outlineLevel="0" collapsed="false">
      <c r="A2" s="0" t="n">
        <v>1</v>
      </c>
      <c r="B2" s="0" t="s">
        <v>750</v>
      </c>
      <c r="C2" s="0" t="s">
        <v>290</v>
      </c>
      <c r="D2" s="0" t="s">
        <v>751</v>
      </c>
    </row>
    <row r="3" customFormat="false" ht="15" hidden="false" customHeight="false" outlineLevel="0" collapsed="false">
      <c r="A3" s="0" t="n">
        <v>2</v>
      </c>
      <c r="B3" s="0" t="s">
        <v>752</v>
      </c>
      <c r="C3" s="0" t="s">
        <v>753</v>
      </c>
      <c r="D3" s="0" t="s">
        <v>754</v>
      </c>
    </row>
    <row r="4" customFormat="false" ht="15" hidden="false" customHeight="false" outlineLevel="0" collapsed="false">
      <c r="A4" s="0" t="n">
        <v>3</v>
      </c>
      <c r="B4" s="0" t="s">
        <v>755</v>
      </c>
      <c r="C4" s="0" t="s">
        <v>753</v>
      </c>
      <c r="D4" s="0" t="s">
        <v>756</v>
      </c>
    </row>
    <row r="5" customFormat="false" ht="15" hidden="false" customHeight="false" outlineLevel="0" collapsed="false">
      <c r="A5" s="0" t="n">
        <v>4</v>
      </c>
      <c r="B5" s="0" t="s">
        <v>757</v>
      </c>
      <c r="C5" s="0" t="s">
        <v>758</v>
      </c>
      <c r="D5" s="0" t="s">
        <v>759</v>
      </c>
    </row>
    <row r="6" customFormat="false" ht="15" hidden="false" customHeight="false" outlineLevel="0" collapsed="false">
      <c r="A6" s="0" t="n">
        <v>5</v>
      </c>
      <c r="B6" s="0" t="s">
        <v>760</v>
      </c>
      <c r="C6" s="0" t="s">
        <v>758</v>
      </c>
      <c r="D6" s="0" t="s">
        <v>761</v>
      </c>
    </row>
    <row r="7" customFormat="false" ht="15" hidden="false" customHeight="false" outlineLevel="0" collapsed="false">
      <c r="A7" s="0" t="n">
        <v>6</v>
      </c>
      <c r="B7" s="0" t="s">
        <v>762</v>
      </c>
      <c r="C7" s="0" t="s">
        <v>753</v>
      </c>
      <c r="D7" s="0" t="s">
        <v>763</v>
      </c>
    </row>
    <row r="8" customFormat="false" ht="15" hidden="false" customHeight="false" outlineLevel="0" collapsed="false">
      <c r="A8" s="0" t="n">
        <v>7</v>
      </c>
      <c r="B8" s="0" t="s">
        <v>764</v>
      </c>
      <c r="C8" s="0" t="s">
        <v>765</v>
      </c>
      <c r="D8" s="0" t="s">
        <v>766</v>
      </c>
    </row>
    <row r="9" customFormat="false" ht="15" hidden="false" customHeight="false" outlineLevel="0" collapsed="false">
      <c r="A9" s="0" t="n">
        <v>8</v>
      </c>
      <c r="B9" s="0" t="s">
        <v>767</v>
      </c>
      <c r="C9" s="0" t="s">
        <v>758</v>
      </c>
      <c r="D9" s="0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769</v>
      </c>
      <c r="B1" s="0" t="s">
        <v>770</v>
      </c>
      <c r="C1" s="0" t="s">
        <v>59</v>
      </c>
      <c r="D1" s="0" t="s">
        <v>771</v>
      </c>
    </row>
    <row r="2" customFormat="false" ht="15" hidden="false" customHeight="false" outlineLevel="0" collapsed="false">
      <c r="A2" s="0" t="s">
        <v>772</v>
      </c>
      <c r="B2" s="0" t="s">
        <v>773</v>
      </c>
      <c r="C2" s="0" t="s">
        <v>774</v>
      </c>
      <c r="D2" s="0" t="s">
        <v>775</v>
      </c>
    </row>
    <row r="3" customFormat="false" ht="15" hidden="false" customHeight="false" outlineLevel="0" collapsed="false">
      <c r="A3" s="0" t="s">
        <v>776</v>
      </c>
      <c r="B3" s="0" t="s">
        <v>777</v>
      </c>
      <c r="C3" s="0" t="s">
        <v>774</v>
      </c>
      <c r="D3" s="0" t="s">
        <v>778</v>
      </c>
    </row>
    <row r="4" customFormat="false" ht="15" hidden="false" customHeight="false" outlineLevel="0" collapsed="false">
      <c r="A4" s="0" t="s">
        <v>779</v>
      </c>
      <c r="B4" s="0" t="s">
        <v>780</v>
      </c>
      <c r="C4" s="0" t="s">
        <v>774</v>
      </c>
      <c r="D4" s="0" t="s">
        <v>781</v>
      </c>
    </row>
    <row r="5" customFormat="false" ht="15" hidden="false" customHeight="false" outlineLevel="0" collapsed="false">
      <c r="A5" s="0" t="s">
        <v>782</v>
      </c>
      <c r="B5" s="0" t="s">
        <v>783</v>
      </c>
      <c r="C5" s="0" t="s">
        <v>774</v>
      </c>
      <c r="D5" s="0" t="s">
        <v>784</v>
      </c>
    </row>
    <row r="6" customFormat="false" ht="15" hidden="false" customHeight="false" outlineLevel="0" collapsed="false">
      <c r="A6" s="0" t="s">
        <v>785</v>
      </c>
      <c r="B6" s="0" t="s">
        <v>786</v>
      </c>
      <c r="C6" s="0" t="s">
        <v>774</v>
      </c>
      <c r="D6" s="0" t="s">
        <v>787</v>
      </c>
    </row>
    <row r="7" customFormat="false" ht="15" hidden="false" customHeight="false" outlineLevel="0" collapsed="false">
      <c r="A7" s="0" t="s">
        <v>788</v>
      </c>
      <c r="B7" s="0" t="s">
        <v>789</v>
      </c>
      <c r="C7" s="0" t="s">
        <v>774</v>
      </c>
      <c r="D7" s="0" t="s">
        <v>790</v>
      </c>
    </row>
    <row r="8" customFormat="false" ht="15" hidden="false" customHeight="false" outlineLevel="0" collapsed="false">
      <c r="A8" s="0" t="s">
        <v>791</v>
      </c>
      <c r="B8" s="0" t="s">
        <v>792</v>
      </c>
      <c r="C8" s="0" t="s">
        <v>774</v>
      </c>
      <c r="D8" s="0" t="s">
        <v>793</v>
      </c>
    </row>
    <row r="9" customFormat="false" ht="15" hidden="false" customHeight="false" outlineLevel="0" collapsed="false">
      <c r="A9" s="0" t="s">
        <v>794</v>
      </c>
      <c r="B9" s="0" t="s">
        <v>795</v>
      </c>
      <c r="C9" s="0" t="s">
        <v>774</v>
      </c>
      <c r="D9" s="0" t="s">
        <v>796</v>
      </c>
    </row>
    <row r="10" customFormat="false" ht="15" hidden="false" customHeight="false" outlineLevel="0" collapsed="false">
      <c r="A10" s="0" t="s">
        <v>797</v>
      </c>
      <c r="B10" s="0" t="s">
        <v>798</v>
      </c>
      <c r="C10" s="0" t="s">
        <v>774</v>
      </c>
      <c r="D10" s="0" t="s">
        <v>799</v>
      </c>
    </row>
    <row r="11" customFormat="false" ht="15" hidden="false" customHeight="false" outlineLevel="0" collapsed="false">
      <c r="A11" s="0" t="s">
        <v>800</v>
      </c>
      <c r="B11" s="0" t="s">
        <v>801</v>
      </c>
      <c r="C11" s="0" t="s">
        <v>774</v>
      </c>
      <c r="D11" s="0" t="s">
        <v>802</v>
      </c>
    </row>
    <row r="12" customFormat="false" ht="15" hidden="false" customHeight="false" outlineLevel="0" collapsed="false">
      <c r="A12" s="0" t="s">
        <v>803</v>
      </c>
      <c r="B12" s="0" t="s">
        <v>804</v>
      </c>
      <c r="C12" s="0" t="s">
        <v>774</v>
      </c>
      <c r="D12" s="0" t="s">
        <v>805</v>
      </c>
    </row>
    <row r="13" customFormat="false" ht="15" hidden="false" customHeight="false" outlineLevel="0" collapsed="false">
      <c r="A13" s="0" t="s">
        <v>806</v>
      </c>
      <c r="B13" s="0" t="s">
        <v>807</v>
      </c>
      <c r="C13" s="0" t="s">
        <v>774</v>
      </c>
      <c r="D13" s="0" t="s">
        <v>808</v>
      </c>
    </row>
    <row r="14" customFormat="false" ht="15" hidden="false" customHeight="false" outlineLevel="0" collapsed="false">
      <c r="A14" s="0" t="s">
        <v>809</v>
      </c>
      <c r="B14" s="0" t="s">
        <v>810</v>
      </c>
      <c r="C14" s="0" t="s">
        <v>774</v>
      </c>
      <c r="D14" s="0" t="s">
        <v>811</v>
      </c>
    </row>
    <row r="15" customFormat="false" ht="15" hidden="false" customHeight="false" outlineLevel="0" collapsed="false">
      <c r="A15" s="0" t="s">
        <v>812</v>
      </c>
      <c r="B15" s="0" t="s">
        <v>813</v>
      </c>
      <c r="C15" s="0" t="s">
        <v>774</v>
      </c>
      <c r="D15" s="0" t="s">
        <v>814</v>
      </c>
    </row>
    <row r="16" customFormat="false" ht="15" hidden="false" customHeight="false" outlineLevel="0" collapsed="false">
      <c r="A16" s="0" t="s">
        <v>815</v>
      </c>
      <c r="B16" s="0" t="s">
        <v>816</v>
      </c>
      <c r="C16" s="0" t="s">
        <v>774</v>
      </c>
      <c r="D16" s="0" t="s">
        <v>817</v>
      </c>
    </row>
    <row r="17" customFormat="false" ht="15" hidden="false" customHeight="false" outlineLevel="0" collapsed="false">
      <c r="A17" s="0" t="s">
        <v>818</v>
      </c>
      <c r="B17" s="0" t="s">
        <v>819</v>
      </c>
      <c r="C17" s="0" t="s">
        <v>774</v>
      </c>
      <c r="D17" s="0" t="s">
        <v>820</v>
      </c>
    </row>
    <row r="18" customFormat="false" ht="15" hidden="false" customHeight="false" outlineLevel="0" collapsed="false">
      <c r="A18" s="0" t="s">
        <v>821</v>
      </c>
      <c r="B18" s="0" t="s">
        <v>822</v>
      </c>
      <c r="C18" s="0" t="s">
        <v>774</v>
      </c>
      <c r="D18" s="0" t="s">
        <v>823</v>
      </c>
    </row>
    <row r="19" customFormat="false" ht="15" hidden="false" customHeight="false" outlineLevel="0" collapsed="false">
      <c r="A19" s="0" t="s">
        <v>824</v>
      </c>
      <c r="B19" s="0" t="s">
        <v>825</v>
      </c>
      <c r="C19" s="0" t="s">
        <v>774</v>
      </c>
      <c r="D19" s="0" t="s">
        <v>826</v>
      </c>
    </row>
    <row r="20" customFormat="false" ht="15" hidden="false" customHeight="false" outlineLevel="0" collapsed="false">
      <c r="A20" s="0" t="s">
        <v>827</v>
      </c>
      <c r="B20" s="0" t="s">
        <v>828</v>
      </c>
      <c r="C20" s="0" t="s">
        <v>774</v>
      </c>
      <c r="D20" s="0" t="s">
        <v>829</v>
      </c>
    </row>
    <row r="21" customFormat="false" ht="15" hidden="false" customHeight="false" outlineLevel="0" collapsed="false">
      <c r="A21" s="0" t="s">
        <v>830</v>
      </c>
      <c r="B21" s="0" t="s">
        <v>831</v>
      </c>
      <c r="C21" s="0" t="s">
        <v>774</v>
      </c>
      <c r="D21" s="0" t="s">
        <v>832</v>
      </c>
    </row>
    <row r="22" customFormat="false" ht="15" hidden="false" customHeight="false" outlineLevel="0" collapsed="false">
      <c r="A22" s="0" t="s">
        <v>833</v>
      </c>
      <c r="B22" s="0" t="s">
        <v>834</v>
      </c>
      <c r="C22" s="0" t="s">
        <v>835</v>
      </c>
      <c r="D22" s="0" t="s">
        <v>836</v>
      </c>
    </row>
    <row r="23" customFormat="false" ht="15" hidden="false" customHeight="false" outlineLevel="0" collapsed="false">
      <c r="A23" s="0" t="s">
        <v>837</v>
      </c>
      <c r="B23" s="0" t="s">
        <v>838</v>
      </c>
      <c r="C23" s="0" t="s">
        <v>835</v>
      </c>
      <c r="D23" s="0" t="s">
        <v>839</v>
      </c>
    </row>
    <row r="24" customFormat="false" ht="15" hidden="false" customHeight="false" outlineLevel="0" collapsed="false">
      <c r="A24" s="0" t="s">
        <v>840</v>
      </c>
      <c r="B24" s="0" t="s">
        <v>841</v>
      </c>
      <c r="C24" s="0" t="s">
        <v>774</v>
      </c>
      <c r="D24" s="0" t="s">
        <v>842</v>
      </c>
    </row>
    <row r="25" customFormat="false" ht="15" hidden="false" customHeight="false" outlineLevel="0" collapsed="false">
      <c r="A25" s="0" t="s">
        <v>843</v>
      </c>
      <c r="B25" s="0" t="s">
        <v>844</v>
      </c>
      <c r="C25" s="0" t="s">
        <v>774</v>
      </c>
      <c r="D25" s="0" t="s">
        <v>845</v>
      </c>
    </row>
    <row r="26" customFormat="false" ht="15" hidden="false" customHeight="false" outlineLevel="0" collapsed="false">
      <c r="A26" s="0" t="s">
        <v>846</v>
      </c>
      <c r="B26" s="0" t="s">
        <v>847</v>
      </c>
      <c r="C26" s="0" t="s">
        <v>835</v>
      </c>
      <c r="D26" s="0" t="s">
        <v>848</v>
      </c>
    </row>
    <row r="27" customFormat="false" ht="15" hidden="false" customHeight="false" outlineLevel="0" collapsed="false">
      <c r="A27" s="0" t="s">
        <v>849</v>
      </c>
      <c r="B27" s="0" t="s">
        <v>850</v>
      </c>
      <c r="C27" s="0" t="s">
        <v>835</v>
      </c>
      <c r="D27" s="0" t="s">
        <v>851</v>
      </c>
    </row>
    <row r="28" customFormat="false" ht="15" hidden="false" customHeight="false" outlineLevel="0" collapsed="false">
      <c r="A28" s="0" t="s">
        <v>852</v>
      </c>
      <c r="B28" s="0" t="s">
        <v>853</v>
      </c>
      <c r="C28" s="0" t="s">
        <v>835</v>
      </c>
      <c r="D28" s="0" t="s">
        <v>854</v>
      </c>
    </row>
    <row r="29" customFormat="false" ht="15" hidden="false" customHeight="false" outlineLevel="0" collapsed="false">
      <c r="A29" s="0" t="s">
        <v>855</v>
      </c>
      <c r="B29" s="0" t="s">
        <v>856</v>
      </c>
      <c r="C29" s="0" t="s">
        <v>835</v>
      </c>
      <c r="D29" s="0" t="s">
        <v>857</v>
      </c>
    </row>
    <row r="30" customFormat="false" ht="15" hidden="false" customHeight="false" outlineLevel="0" collapsed="false">
      <c r="A30" s="0" t="s">
        <v>858</v>
      </c>
      <c r="B30" s="0" t="s">
        <v>859</v>
      </c>
      <c r="C30" s="0" t="s">
        <v>835</v>
      </c>
      <c r="D30" s="0" t="s">
        <v>860</v>
      </c>
    </row>
    <row r="31" customFormat="false" ht="15" hidden="false" customHeight="false" outlineLevel="0" collapsed="false">
      <c r="A31" s="0" t="s">
        <v>861</v>
      </c>
      <c r="B31" s="0" t="s">
        <v>862</v>
      </c>
      <c r="C31" s="0" t="s">
        <v>835</v>
      </c>
      <c r="D31" s="0" t="s">
        <v>863</v>
      </c>
    </row>
    <row r="32" customFormat="false" ht="15" hidden="false" customHeight="false" outlineLevel="0" collapsed="false">
      <c r="A32" s="0" t="s">
        <v>864</v>
      </c>
      <c r="B32" s="0" t="s">
        <v>865</v>
      </c>
      <c r="C32" s="0" t="s">
        <v>835</v>
      </c>
      <c r="D32" s="0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867</v>
      </c>
    </row>
    <row r="2" customFormat="false" ht="15" hidden="false" customHeight="false" outlineLevel="0" collapsed="false">
      <c r="A2" s="0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2026-10-20T22:13:54Z</dcterms:created>
  <dc:creator>openpyxl</dc:creator>
  <dc:description/>
  <dc:language>en-US</dc:language>
  <cp:lastModifiedBy/>
  <dcterms:modified xsi:type="dcterms:W3CDTF">2026-10-20T22:13:54Z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