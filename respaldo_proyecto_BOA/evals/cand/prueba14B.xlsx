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Partition Takeoff" sheetId="2" state="visible" r:id="rId4"/>
    <sheet name="Material Summary" sheetId="3" state="visible" r:id="rId5"/>
    <sheet name="Pending Items" sheetId="4" state="visible" r:id="rId6"/>
    <sheet name="PARA REVISAR EN LA MANANA" sheetId="5" state="visible" r:id="rId7"/>
    <sheet name="Alcanc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<sst xmlns="http://schemas.openxmlformats.org/spreadsheetml/2006/main" count="1183" uniqueCount="692">
  <si>
    <t xml:space="preserve">Bank of America - Broomfield, CO (CO1-111)   |   METAL FRAMING &amp; DRYWALL TAKEOFF</t>
  </si>
  <si>
    <t xml:space="preserve">Bid set: 2025.08.26_CO1-111_Broomfield_PERMIT SET_BID SET.pdf   ·   2026-10-17   ·   Edit ONLY the yellow cells.</t>
  </si>
  <si>
    <t xml:space="preserve">PARAMETER</t>
  </si>
  <si>
    <t xml:space="preserve">VALUE</t>
  </si>
  <si>
    <t xml:space="preserve">NOTE / SOURCE</t>
  </si>
  <si>
    <t xml:space="preserve">Waste - ALL METAL, any type</t>
  </si>
  <si>
    <t xml:space="preserve">Estimator standing rule.</t>
  </si>
  <si>
    <t xml:space="preserve">Waste - EVERYTHING THAT IS NOT METAL</t>
  </si>
  <si>
    <t xml:space="preserve">Same figure as board.</t>
  </si>
  <si>
    <t xml:space="preserve">Board sheet width (ft)</t>
  </si>
  <si>
    <t xml:space="preserve">Board sheet length (ft)</t>
  </si>
  <si>
    <t xml:space="preserve">SF per board sheet</t>
  </si>
  <si>
    <t xml:space="preserve">Width x length.</t>
  </si>
  <si>
    <t xml:space="preserve">Stud stock length (ft)</t>
  </si>
  <si>
    <t xml:space="preserve">Track stock length (ft)</t>
  </si>
  <si>
    <t xml:space="preserve">ORGANIZED PARTITION TAKEOFF - Bank of America - Broomfield, CO (CO1-111)</t>
  </si>
  <si>
    <t xml:space="preserve">Grouped by partition type. Every row cites its DETAIL/SHEET and its status.</t>
  </si>
  <si>
    <t xml:space="preserve">Partition / Scope</t>
  </si>
  <si>
    <t xml:space="preserve">Wall #</t>
  </si>
  <si>
    <t xml:space="preserve">Length (LF)</t>
  </si>
  <si>
    <t xml:space="preserve">Height (FT)</t>
  </si>
  <si>
    <t xml:space="preserve">Layers</t>
  </si>
  <si>
    <t xml:space="preserve">Stud Size</t>
  </si>
  <si>
    <t xml:space="preserve">Stud O.C. (in)</t>
  </si>
  <si>
    <t xml:space="preserve">Board (SF)</t>
  </si>
  <si>
    <t xml:space="preserve">Location</t>
  </si>
  <si>
    <t xml:space="preserve">Source (DETAIL/SHEET)</t>
  </si>
  <si>
    <t xml:space="preserve">Status</t>
  </si>
  <si>
    <t xml:space="preserve">TYPE G1</t>
  </si>
  <si>
    <t xml:space="preserve">G1  #I-G1-1  -  wall: A02.01 tag G1; 5/A12.01; cota 11'-9 1/4" A02.01</t>
  </si>
  <si>
    <t xml:space="preserve">I-G1-1</t>
  </si>
  <si>
    <t xml:space="preserve">1-5/8"</t>
  </si>
  <si>
    <t xml:space="preserve">wall: A02.01 tag G1; 5/A12.01; cota 11'-9 1/4" A02.01</t>
  </si>
  <si>
    <t xml:space="preserve">A02.01; 5/A12.01</t>
  </si>
  <si>
    <t xml:space="preserve">[DERIVADO]</t>
  </si>
  <si>
    <t xml:space="preserve">G1  #I-G1-2  -  wall: A02.01 tag G1; 5/A12.01; jamb 4" office front 109 norte, sin tag -&gt; G1 por espesor 8.48"</t>
  </si>
  <si>
    <t xml:space="preserve">I-G1-2</t>
  </si>
  <si>
    <t xml:space="preserve">wall: A02.01 tag G1; 5/A12.01; jamb 4" office front 109 norte, sin tag -&gt; G1 por espesor 8.48"</t>
  </si>
  <si>
    <t xml:space="preserve">G1  #I-G1-3  -  wall: 109/110, corridor</t>
  </si>
  <si>
    <t xml:space="preserve">I-G1-3</t>
  </si>
  <si>
    <t xml:space="preserve">wall: 109/110, corridor</t>
  </si>
  <si>
    <t xml:space="preserve">A02.01 tag G1; 5/A12.01</t>
  </si>
  <si>
    <t xml:space="preserve">G1  #I-G1-4  -  wall: A02.01 tag G1; 5/A12.01; sin tag -&gt; G1 por espesor</t>
  </si>
  <si>
    <t xml:space="preserve">I-G1-4</t>
  </si>
  <si>
    <t xml:space="preserve">wall: A02.01 tag G1; 5/A12.01; sin tag -&gt; G1 por espesor</t>
  </si>
  <si>
    <t xml:space="preserve">G1  #I-BH-109  -  door_bulkhead: A02.01 tag G1; 5/A12.01; office bulkhead 8/9/A12.01; 7'-6" HOLD CLEAR FINISHED OPENING A02.01; desde 8'-0</t>
  </si>
  <si>
    <t xml:space="preserve">I-BH-109</t>
  </si>
  <si>
    <t xml:space="preserve">door_bulkhead: A02.01 tag G1; 5/A12.01; office bulkhead 8/9/A12.01; 7'-6" HOLD CLEAR FINISHED OPENING A02.01; desde 8'-0</t>
  </si>
  <si>
    <t xml:space="preserve">A02.01; 5/A12.01; 8/9/A12.01; A11.01; 9/A12.01</t>
  </si>
  <si>
    <t xml:space="preserve">G1  #I-BH-110  -  door_bulkhead: A02.01 tag G1; 5/A12.01; office bulkhead 8/9/A12.01; 7'-6" HOLD CLEAR FINISHED OPENING A02.01; desde 8'-0</t>
  </si>
  <si>
    <t xml:space="preserve">I-BH-110</t>
  </si>
  <si>
    <t xml:space="preserve">TYPE G</t>
  </si>
  <si>
    <t xml:space="preserve">G  #I-G-1  -  wall: A02.01 tag G; 5/A12.01; cota 11'-9 1/4" A02.01</t>
  </si>
  <si>
    <t xml:space="preserve">I-G-1</t>
  </si>
  <si>
    <t xml:space="preserve">wall: A02.01 tag G; 5/A12.01; cota 11'-9 1/4" A02.01</t>
  </si>
  <si>
    <t xml:space="preserve">G  #I-G-2  -  wall: A02.01 tag G; 5/A12.01; cota 11'-9 1/4" A02.01</t>
  </si>
  <si>
    <t xml:space="preserve">I-G-2</t>
  </si>
  <si>
    <t xml:space="preserve">G  #I-G-3  -  wall: 108, 116</t>
  </si>
  <si>
    <t xml:space="preserve">I-G-3</t>
  </si>
  <si>
    <t xml:space="preserve">wall: 108, 116</t>
  </si>
  <si>
    <t xml:space="preserve">A02.01 tag G; 5/A12.01</t>
  </si>
  <si>
    <t xml:space="preserve">G  #I-G-4  -  wall: A02.01 tag G; 5/A12.01; stub norte office 105, sin tag -&gt; G por espesor 55.4</t>
  </si>
  <si>
    <t xml:space="preserve">I-G-4</t>
  </si>
  <si>
    <t xml:space="preserve">wall: A02.01 tag G; 5/A12.01; stub norte office 105, sin tag -&gt; G por espesor 55.4</t>
  </si>
  <si>
    <t xml:space="preserve">G  #I-G-5  -  wall: 105/106, 103 central zone</t>
  </si>
  <si>
    <t xml:space="preserve">I-G-5</t>
  </si>
  <si>
    <t xml:space="preserve">wall: 105/106, 103 central zone</t>
  </si>
  <si>
    <t xml:space="preserve">G  #I-G-6  -  wall: 106/107, 103 central zone</t>
  </si>
  <si>
    <t xml:space="preserve">I-G-6</t>
  </si>
  <si>
    <t xml:space="preserve">wall: 106/107, 103 central zone</t>
  </si>
  <si>
    <t xml:space="preserve">G  #I-G-7  -  wall: 107/108, 104 waiting</t>
  </si>
  <si>
    <t xml:space="preserve">I-G-7</t>
  </si>
  <si>
    <t xml:space="preserve">wall: 107/108, 104 waiting</t>
  </si>
  <si>
    <t xml:space="preserve">G  #I-G-8  -  wall: A02.01 tag G; 5/A12.01; stub sur office 108, sin tag -&gt; G por espesor</t>
  </si>
  <si>
    <t xml:space="preserve">I-G-8</t>
  </si>
  <si>
    <t xml:space="preserve">wall: A02.01 tag G; 5/A12.01; stub sur office 108, sin tag -&gt; G por espesor</t>
  </si>
  <si>
    <t xml:space="preserve">G  #I-G-9  -  wall: 102 ATM room, 109</t>
  </si>
  <si>
    <t xml:space="preserve">I-G-9</t>
  </si>
  <si>
    <t xml:space="preserve">wall: 102 ATM room, 109</t>
  </si>
  <si>
    <t xml:space="preserve">G  #I-G-10  -  wall: A02.01 tag G; 5/A12.01; cota 11'-7 1/2" A02.01</t>
  </si>
  <si>
    <t xml:space="preserve">I-G-10</t>
  </si>
  <si>
    <t xml:space="preserve">wall: A02.01 tag G; 5/A12.01; cota 11'-7 1/2" A02.01</t>
  </si>
  <si>
    <t xml:space="preserve">G  #I-G-11  -  wall: A02.01 tag G; 5/A12.01; cota 11'-7 1/2" (office 110) A02.01</t>
  </si>
  <si>
    <t xml:space="preserve">I-G-11</t>
  </si>
  <si>
    <t xml:space="preserve">wall: A02.01 tag G; 5/A12.01; cota 11'-7 1/2" (office 110) A02.01</t>
  </si>
  <si>
    <t xml:space="preserve">G  #I-BH-105  -  door_bulkhead: A02.01 tag G; 5/A12.01; office bulkhead 8/9/A12.01; 7'-6" HOLD CLEAR FINISHED OPENING A02.01; desde 8'-0 </t>
  </si>
  <si>
    <t xml:space="preserve">I-BH-105</t>
  </si>
  <si>
    <t xml:space="preserve">door_bulkhead: A02.01 tag G; 5/A12.01; office bulkhead 8/9/A12.01; 7'-6" HOLD CLEAR FINISHED OPENING A02.01; desde 8'-0 </t>
  </si>
  <si>
    <t xml:space="preserve">G  #I-BH-106  -  door_bulkhead: A02.01 tag G; 5/A12.01; office bulkhead 8/9/A12.01; 7'-6" HOLD CLEAR FINISHED OPENING A02.01; desde 8'-0 </t>
  </si>
  <si>
    <t xml:space="preserve">I-BH-106</t>
  </si>
  <si>
    <t xml:space="preserve">G  #I-BH-107  -  door_bulkhead: A02.01 tag G; 5/A12.01; office bulkhead 8/9/A12.01; 7'-6" HOLD CLEAR FINISHED OPENING A02.01; desde 8'-0 </t>
  </si>
  <si>
    <t xml:space="preserve">I-BH-107</t>
  </si>
  <si>
    <t xml:space="preserve">G  #I-BH-108  -  door_bulkhead: A02.01 tag G; 5/A12.01; office bulkhead 8/9/A12.01; 7'-6" HOLD CLEAR FINISHED OPENING A02.01; desde 8'-0 </t>
  </si>
  <si>
    <t xml:space="preserve">I-BH-108</t>
  </si>
  <si>
    <t xml:space="preserve">TYPE B2</t>
  </si>
  <si>
    <t xml:space="preserve">B2  #I-B2-1  -  wall: 102 ATM room, 103 central zone</t>
  </si>
  <si>
    <t xml:space="preserve">I-B2-1</t>
  </si>
  <si>
    <t xml:space="preserve">6"</t>
  </si>
  <si>
    <t xml:space="preserve">wall: 102 ATM room, 103 central zone</t>
  </si>
  <si>
    <t xml:space="preserve">A02.01 tag B2; 1/A12.01</t>
  </si>
  <si>
    <t xml:space="preserve">B2  #I-B2-2  -  wall: 118 break room, 119 work room</t>
  </si>
  <si>
    <t xml:space="preserve">I-B2-2</t>
  </si>
  <si>
    <t xml:space="preserve">wall: 118 break room, 119 work room</t>
  </si>
  <si>
    <t xml:space="preserve">B2  #I-B2-3  -  wall: A02.01 tag B2; 1/A12.01; jamb norte door 114 (HI)</t>
  </si>
  <si>
    <t xml:space="preserve">I-B2-3</t>
  </si>
  <si>
    <t xml:space="preserve">wall: A02.01 tag B2; 1/A12.01; jamb norte door 114 (HI)</t>
  </si>
  <si>
    <t xml:space="preserve">A02.01; 1/A12.01</t>
  </si>
  <si>
    <t xml:space="preserve">B2  #I-B2-4  -  wall: A02.01 tag B2; 1/A12.01; LOW</t>
  </si>
  <si>
    <t xml:space="preserve">I-B2-4</t>
  </si>
  <si>
    <t xml:space="preserve">wall: A02.01 tag B2; 1/A12.01; LOW</t>
  </si>
  <si>
    <t xml:space="preserve">B2  #I-B2-5  -  wall: 113 / 117 / 115, 111 corridor</t>
  </si>
  <si>
    <t xml:space="preserve">I-B2-5</t>
  </si>
  <si>
    <t xml:space="preserve">wall: 113 / 117 / 115, 111 corridor</t>
  </si>
  <si>
    <t xml:space="preserve">TYPE F</t>
  </si>
  <si>
    <t xml:space="preserve">F  #I-F-1  -  wall: A02.01 tag F; 12/A12.01; diagonal 30 deg: promedio de faces vectoriales 17.459/16.374 (P3 §9)</t>
  </si>
  <si>
    <t xml:space="preserve">I-F-1</t>
  </si>
  <si>
    <t xml:space="preserve">3-5/8"</t>
  </si>
  <si>
    <t xml:space="preserve">wall: A02.01 tag F; 12/A12.01; diagonal 30 deg: promedio de faces vectoriales 17.459/16.374 (P3 §9)</t>
  </si>
  <si>
    <t xml:space="preserve">A02.01; 12/A12.01</t>
  </si>
  <si>
    <t xml:space="preserve">TYPE A1</t>
  </si>
  <si>
    <t xml:space="preserve">A1  #I-A1-1  -  wall: 104 waiting, 122 calling cubes</t>
  </si>
  <si>
    <t xml:space="preserve">I-A1-1</t>
  </si>
  <si>
    <t xml:space="preserve">wall: 104 waiting, 122 calling cubes</t>
  </si>
  <si>
    <t xml:space="preserve">A02.01 tag A1; 3/A12.01</t>
  </si>
  <si>
    <t xml:space="preserve">A1  #I-A1-2  -  wall: 122 calling cubes, MW01 niche</t>
  </si>
  <si>
    <t xml:space="preserve">I-A1-2</t>
  </si>
  <si>
    <t xml:space="preserve">wall: 122 calling cubes, MW01 niche</t>
  </si>
  <si>
    <t xml:space="preserve">A1  #I-A1-3  -  wall: A02.01 tag A1; 3/A12.01; cota 2'-7 1/2" A02.01</t>
  </si>
  <si>
    <t xml:space="preserve">I-A1-3</t>
  </si>
  <si>
    <t xml:space="preserve">wall: A02.01 tag A1; 3/A12.01; cota 2'-7 1/2" A02.01</t>
  </si>
  <si>
    <t xml:space="preserve">A02.01; 3/A12.01</t>
  </si>
  <si>
    <t xml:space="preserve">A1  #I-A1-4  -  wall: 122 calling cubes, 118 break room</t>
  </si>
  <si>
    <t xml:space="preserve">I-A1-4</t>
  </si>
  <si>
    <t xml:space="preserve">wall: 122 calling cubes, 118 break room</t>
  </si>
  <si>
    <t xml:space="preserve">A1  #I-A1-5  -  wall: 103 central zone, 111 corridor</t>
  </si>
  <si>
    <t xml:space="preserve">I-A1-5</t>
  </si>
  <si>
    <t xml:space="preserve">wall: 103 central zone, 111 corridor</t>
  </si>
  <si>
    <t xml:space="preserve">A1  #I-A1-6  -  wall: 111 corridor, 118 break room</t>
  </si>
  <si>
    <t xml:space="preserve">I-A1-6</t>
  </si>
  <si>
    <t xml:space="preserve">wall: 111 corridor, 118 break room</t>
  </si>
  <si>
    <t xml:space="preserve">A1  #I-A1-7  -  wall: A02.01 tag A1; 3/A12.01; split en la junta con I-B-1 (cambio de face este: open to structure, A04.01 key note 1)</t>
  </si>
  <si>
    <t xml:space="preserve">I-A1-7</t>
  </si>
  <si>
    <t xml:space="preserve">wall: A02.01 tag A1; 3/A12.01; split en la junta con I-B-1 (cambio de face este: open to structure, A04.01 key note 1)</t>
  </si>
  <si>
    <t xml:space="preserve">A02.01; 3/A12.01; A04.01</t>
  </si>
  <si>
    <t xml:space="preserve">A1  #I-A1-8  -  wall: 118 break room, 104 lobby</t>
  </si>
  <si>
    <t xml:space="preserve">I-A1-8</t>
  </si>
  <si>
    <t xml:space="preserve">wall: 118 break room, 104 lobby</t>
  </si>
  <si>
    <t xml:space="preserve">A1  #I-A1-9  -  wall: 104 lobby, 118 break room</t>
  </si>
  <si>
    <t xml:space="preserve">I-A1-9</t>
  </si>
  <si>
    <t xml:space="preserve">wall: 104 lobby, 118 break room</t>
  </si>
  <si>
    <t xml:space="preserve">A1  #I-A1-10  -  wall: 116 cash window S, 119 work room</t>
  </si>
  <si>
    <t xml:space="preserve">I-A1-10</t>
  </si>
  <si>
    <t xml:space="preserve">wall: 116 cash window S, 119 work room</t>
  </si>
  <si>
    <t xml:space="preserve">A1  #I-A1-11  -  wall: A02.01 tag A1; 3/A12.01; retorno alcove drinking fountain, sin tag -&gt; A1 (nota A)</t>
  </si>
  <si>
    <t xml:space="preserve">I-A1-11</t>
  </si>
  <si>
    <t xml:space="preserve">wall: A02.01 tag A1; 3/A12.01; retorno alcove drinking fountain, sin tag -&gt; A1 (nota A)</t>
  </si>
  <si>
    <t xml:space="preserve">A1  #I-A1-12  -  wall: A02.01 tag A1; 3/A12.01; fondo alcove, sin tag -&gt; A1</t>
  </si>
  <si>
    <t xml:space="preserve">I-A1-12</t>
  </si>
  <si>
    <t xml:space="preserve">wall: A02.01 tag A1; 3/A12.01; fondo alcove, sin tag -&gt; A1</t>
  </si>
  <si>
    <t xml:space="preserve">A1  #I-A1-13  -  wall: A02.01 tag A1; 3/A12.01; retorno alcove, sin tag -&gt; A1</t>
  </si>
  <si>
    <t xml:space="preserve">I-A1-13</t>
  </si>
  <si>
    <t xml:space="preserve">wall: A02.01 tag A1; 3/A12.01; retorno alcove, sin tag -&gt; A1</t>
  </si>
  <si>
    <t xml:space="preserve">TYPE A5</t>
  </si>
  <si>
    <t xml:space="preserve">A5  #I-A5-1  -  wall: 103 central zone, 122 calling cubes</t>
  </si>
  <si>
    <t xml:space="preserve">I-A5-1</t>
  </si>
  <si>
    <t xml:space="preserve">wall: 103 central zone, 122 calling cubes</t>
  </si>
  <si>
    <t xml:space="preserve">A02.01 tag A5; 3/A12.01</t>
  </si>
  <si>
    <t xml:space="preserve">A5  #I-A5-2  -  wall: 111 corridor, 122 calling cubes</t>
  </si>
  <si>
    <t xml:space="preserve">I-A5-2</t>
  </si>
  <si>
    <t xml:space="preserve">wall: 111 corridor, 122 calling cubes</t>
  </si>
  <si>
    <t xml:space="preserve">A5  #I-A5-3  -  wall: A02.01 tag A5; 3/A12.01; parte HI, split en grid B</t>
  </si>
  <si>
    <t xml:space="preserve">I-A5-3</t>
  </si>
  <si>
    <t xml:space="preserve">wall: A02.01 tag A5; 3/A12.01; parte HI, split en grid B</t>
  </si>
  <si>
    <t xml:space="preserve">A5  #I-A5-4  -  wall: A02.01 tag A5; 3/A12.01; parte LOW, split en grid B</t>
  </si>
  <si>
    <t xml:space="preserve">I-A5-4</t>
  </si>
  <si>
    <t xml:space="preserve">wall: A02.01 tag A5; 3/A12.01; parte LOW, split en grid B</t>
  </si>
  <si>
    <t xml:space="preserve">A5  #I-A5-5  -  wall: 118 break room, 116 cash window S (ACT-4 9'-0")</t>
  </si>
  <si>
    <t xml:space="preserve">I-A5-5</t>
  </si>
  <si>
    <t xml:space="preserve">wall: 118 break room, 116 cash window S (ACT-4 9'-0")</t>
  </si>
  <si>
    <t xml:space="preserve">TYPE C1</t>
  </si>
  <si>
    <t xml:space="preserve">C1  #I-C1-1  -  wall: A02.01 tag C1; 6/A12.01; caja monitor key note 7, cota 10'-0" y 8" A02.01</t>
  </si>
  <si>
    <t xml:space="preserve">I-C1-1</t>
  </si>
  <si>
    <t xml:space="preserve">wall: A02.01 tag C1; 6/A12.01; caja monitor key note 7, cota 10'-0" y 8" A02.01</t>
  </si>
  <si>
    <t xml:space="preserve">A02.01; 6/A12.01</t>
  </si>
  <si>
    <t xml:space="preserve">C1  #I-C1-2  -  wall: A02.01 tag C1; 6/A12.01; retorno caja C1</t>
  </si>
  <si>
    <t xml:space="preserve">I-C1-2</t>
  </si>
  <si>
    <t xml:space="preserve">wall: A02.01 tag C1; 6/A12.01; retorno caja C1</t>
  </si>
  <si>
    <t xml:space="preserve">C1  #I-C1-3  -  wall: A02.01 tag C1; 6/A12.01; retorno caja C1</t>
  </si>
  <si>
    <t xml:space="preserve">I-C1-3</t>
  </si>
  <si>
    <t xml:space="preserve">C1  #I-C1-4  -  wall: A02.01 tag C1; 6/A12.01; FUTURE FCAM, furring C1 pegado a I-A1K-3</t>
  </si>
  <si>
    <t xml:space="preserve">I-C1-4</t>
  </si>
  <si>
    <t xml:space="preserve">wall: A02.01 tag C1; 6/A12.01; FUTURE FCAM, furring C1 pegado a I-A1K-3</t>
  </si>
  <si>
    <t xml:space="preserve">C1  #I-C1-5  -  chase: A02.01 tag C1; 6/A12.01; chase plomeria entre restrooms, 2 rows back-to-back (12.96" medido), MR F/A08.01</t>
  </si>
  <si>
    <t xml:space="preserve">I-C1-5</t>
  </si>
  <si>
    <t xml:space="preserve">chase: A02.01 tag C1; 6/A12.01; chase plomeria entre restrooms, 2 rows back-to-back (12.96" medido), MR F/A08.01</t>
  </si>
  <si>
    <t xml:space="preserve">A02.01; 6/A12.01; F/A08.01</t>
  </si>
  <si>
    <t xml:space="preserve">C1  #I-C1-6  -  column_wrap: A02.01 tag C1; 6/A12.01; poste storefront vestibule 100/101, caja 1'-0" x 1'-0" medida</t>
  </si>
  <si>
    <t xml:space="preserve">I-C1-6</t>
  </si>
  <si>
    <t xml:space="preserve">column_wrap: A02.01 tag C1; 6/A12.01; poste storefront vestibule 100/101, caja 1'-0" x 1'-0" medida</t>
  </si>
  <si>
    <t xml:space="preserve">C1  #I-C1-7  -  column_wrap: A02.01 tag C1; 6/A12.01; caja en extremo de F / B2 ATM, faces expuestas N 1.533 + E 0.953 + S 0.407</t>
  </si>
  <si>
    <t xml:space="preserve">I-C1-7</t>
  </si>
  <si>
    <t xml:space="preserve">column_wrap: A02.01 tag C1; 6/A12.01; caja en extremo de F / B2 ATM, faces expuestas N 1.533 + E 0.953 + S 0.407</t>
  </si>
  <si>
    <t xml:space="preserve">TYPE B</t>
  </si>
  <si>
    <t xml:space="preserve">B  #I-B-1  -  wall: A02.01 tag B; 1/A12.01; cota 9'-7" A02.01</t>
  </si>
  <si>
    <t xml:space="preserve">I-B-1</t>
  </si>
  <si>
    <t xml:space="preserve">wall: A02.01 tag B; 1/A12.01; cota 9'-7" A02.01</t>
  </si>
  <si>
    <t xml:space="preserve">B  #I-B-2  -  wall: A02.01 tag B; 1/A12.01; cota 9'-7" A02.01</t>
  </si>
  <si>
    <t xml:space="preserve">I-B-2</t>
  </si>
  <si>
    <t xml:space="preserve">B  #I-B-3  -  wall: 120/121, 118 break room</t>
  </si>
  <si>
    <t xml:space="preserve">I-B-3</t>
  </si>
  <si>
    <t xml:space="preserve">wall: 120/121, 118 break room</t>
  </si>
  <si>
    <t xml:space="preserve">A02.01 tag B; 1/A12.01</t>
  </si>
  <si>
    <t xml:space="preserve">B  #I-B-4  -  wall: 113, 112 / 117</t>
  </si>
  <si>
    <t xml:space="preserve">I-B-4</t>
  </si>
  <si>
    <t xml:space="preserve">wall: 113, 112 / 117</t>
  </si>
  <si>
    <t xml:space="preserve">B  #I-B-5  -  wall: 112 janitor, 117 storage</t>
  </si>
  <si>
    <t xml:space="preserve">I-B-5</t>
  </si>
  <si>
    <t xml:space="preserve">wall: 112 janitor, 117 storage</t>
  </si>
  <si>
    <t xml:space="preserve">B  #I-B-6  -  wall: 112 / 117, 115 wellness</t>
  </si>
  <si>
    <t xml:space="preserve">I-B-6</t>
  </si>
  <si>
    <t xml:space="preserve">wall: 112 / 117, 115 wellness</t>
  </si>
  <si>
    <t xml:space="preserve">TYPE B2K</t>
  </si>
  <si>
    <t xml:space="preserve">B2K  #I-B2K-1  -  wall: A02.01 tag B2K; 4/A12.01; largo neto a la cara del stub I-G-8</t>
  </si>
  <si>
    <t xml:space="preserve">I-B2K-1</t>
  </si>
  <si>
    <t xml:space="preserve">wall: A02.01 tag B2K; 4/A12.01; largo neto a la cara del stub I-G-8</t>
  </si>
  <si>
    <t xml:space="preserve">A02.01; 4/A12.01</t>
  </si>
  <si>
    <t xml:space="preserve">TYPE A1K</t>
  </si>
  <si>
    <t xml:space="preserve">A1K  #I-A1K-1  -  wall: A02.01 tag A1K; 4/A12.01; jog sin tag que sigue el contorno ballistic (E5)</t>
  </si>
  <si>
    <t xml:space="preserve">I-A1K-1</t>
  </si>
  <si>
    <t xml:space="preserve">wall: A02.01 tag A1K; 4/A12.01; jog sin tag que sigue el contorno ballistic (E5)</t>
  </si>
  <si>
    <t xml:space="preserve">A1K  #I-A1K-2  -  wall: A02.01 tag A1K; 4/A12.01; cota 3'-5" A02.01 incluye el jog I-A1K-1</t>
  </si>
  <si>
    <t xml:space="preserve">I-A1K-2</t>
  </si>
  <si>
    <t xml:space="preserve">wall: A02.01 tag A1K; 4/A12.01; cota 3'-5" A02.01 incluye el jog I-A1K-1</t>
  </si>
  <si>
    <t xml:space="preserve">A1K  #I-A1K-3  -  wall: teller 116, south (FCAM)</t>
  </si>
  <si>
    <t xml:space="preserve">I-A1K-3</t>
  </si>
  <si>
    <t xml:space="preserve">wall: teller 116, south (FCAM)</t>
  </si>
  <si>
    <t xml:space="preserve">A02.01 tag A1K; 4/A12.01</t>
  </si>
  <si>
    <t xml:space="preserve">A1K  #I-A1K-4  -  wall: A02.01 tag A1K; 4/A12.01; jog sin tag (E5)</t>
  </si>
  <si>
    <t xml:space="preserve">I-A1K-4</t>
  </si>
  <si>
    <t xml:space="preserve">wall: A02.01 tag A1K; 4/A12.01; jog sin tag (E5)</t>
  </si>
  <si>
    <t xml:space="preserve">A1K  #I-A1K-5  -  wall: 116 cash window S, customer pocket</t>
  </si>
  <si>
    <t xml:space="preserve">I-A1K-5</t>
  </si>
  <si>
    <t xml:space="preserve">wall: 116 cash window S, customer pocket</t>
  </si>
  <si>
    <t xml:space="preserve">TYPE EXT</t>
  </si>
  <si>
    <t xml:space="preserve">EXT  #X-S-1  -  wall: Office 105</t>
  </si>
  <si>
    <t xml:space="preserve">X-S-1</t>
  </si>
  <si>
    <t xml:space="preserve">wall: Office 105</t>
  </si>
  <si>
    <t xml:space="preserve">C/A09.21; A02.01</t>
  </si>
  <si>
    <t xml:space="preserve">EXT  #X-E-1  -  wall: Offices 105-108 / Cash Window 116</t>
  </si>
  <si>
    <t xml:space="preserve">X-E-1</t>
  </si>
  <si>
    <t xml:space="preserve">wall: Offices 105-108 / Cash Window 116</t>
  </si>
  <si>
    <t xml:space="preserve">EXT  #X-E-2  -  wall: Cash Window 116 / Work Room 119</t>
  </si>
  <si>
    <t xml:space="preserve">X-E-2</t>
  </si>
  <si>
    <t xml:space="preserve">wall: Cash Window 116 / Work Room 119</t>
  </si>
  <si>
    <t xml:space="preserve">EXT  #X-N-1  -  wall: Janitor 112 / Wellness 115 / Corridor 111 / NER 121 / Break 118</t>
  </si>
  <si>
    <t xml:space="preserve">X-N-1</t>
  </si>
  <si>
    <t xml:space="preserve">wall: Janitor 112 / Wellness 115 / Corridor 111 / NER 121 / Break 118</t>
  </si>
  <si>
    <t xml:space="preserve">EXT  #X-N-2  -  wall: Break 118 / Work Room 119</t>
  </si>
  <si>
    <t xml:space="preserve">X-N-2</t>
  </si>
  <si>
    <t xml:space="preserve">wall: Break 118 / Work Room 119</t>
  </si>
  <si>
    <t xml:space="preserve">EXT  #X-W-1  -  wall: Vestibule 101 / ATM Room 102</t>
  </si>
  <si>
    <t xml:space="preserve">X-W-1</t>
  </si>
  <si>
    <t xml:space="preserve">wall: Vestibule 101 / ATM Room 102</t>
  </si>
  <si>
    <t xml:space="preserve">EXT  #X-W-2  -  wall: Office 109</t>
  </si>
  <si>
    <t xml:space="preserve">X-W-2</t>
  </si>
  <si>
    <t xml:space="preserve">wall: Office 109</t>
  </si>
  <si>
    <t xml:space="preserve">EXT  #X-W-3a  -  wall: Offices 109 / 110</t>
  </si>
  <si>
    <t xml:space="preserve">X-W-3a</t>
  </si>
  <si>
    <t xml:space="preserve">wall: Offices 109 / 110</t>
  </si>
  <si>
    <t xml:space="preserve">EXT  #X-W-3b  -  wall: Restrooms 114/113 / Janitor 112</t>
  </si>
  <si>
    <t xml:space="preserve">X-W-3b</t>
  </si>
  <si>
    <t xml:space="preserve">wall: Restrooms 114/113 / Janitor 112</t>
  </si>
  <si>
    <t xml:space="preserve">EXT  #SC-S-HP  -  storefront_cripples: Vestibule 100</t>
  </si>
  <si>
    <t xml:space="preserve">SC-S-HP</t>
  </si>
  <si>
    <t xml:space="preserve">storefront_cripples: Vestibule 100</t>
  </si>
  <si>
    <t xml:space="preserve">2/A09.26; B/A09.21; S2.20</t>
  </si>
  <si>
    <t xml:space="preserve">EXT  #SC-S-LP  -  storefront_cripples: Central Zone 103</t>
  </si>
  <si>
    <t xml:space="preserve">SC-S-LP</t>
  </si>
  <si>
    <t xml:space="preserve">storefront_cripples: Central Zone 103</t>
  </si>
  <si>
    <t xml:space="preserve">EXT  #SC-W  -  storefront_cripples: Vestibule 100</t>
  </si>
  <si>
    <t xml:space="preserve">SC-W</t>
  </si>
  <si>
    <t xml:space="preserve">2/A09.26; S2.20</t>
  </si>
  <si>
    <t xml:space="preserve">EXT  #PIER-1  -  pier: Vestibule 100 (pier face)</t>
  </si>
  <si>
    <t xml:space="preserve">PIER-1</t>
  </si>
  <si>
    <t xml:space="preserve">pier: Vestibule 100 (pier face)</t>
  </si>
  <si>
    <t xml:space="preserve">1/A09.25; A02.01</t>
  </si>
  <si>
    <t xml:space="preserve">EXT  #PIER-2  -  pier: Vestibule 100 (pier face)</t>
  </si>
  <si>
    <t xml:space="preserve">PIER-2</t>
  </si>
  <si>
    <t xml:space="preserve">2/A09.25; A02.01</t>
  </si>
  <si>
    <t xml:space="preserve">EXT  #ATM-JAMB  -  pier: pier</t>
  </si>
  <si>
    <t xml:space="preserve">ATM-JAMB</t>
  </si>
  <si>
    <t xml:space="preserve">2-1/2"</t>
  </si>
  <si>
    <t xml:space="preserve">pier: pier</t>
  </si>
  <si>
    <t xml:space="preserve">6/A08.11 '2 1/2" METAL STUD SISTERED TO 6" METAL STUD'</t>
  </si>
  <si>
    <t xml:space="preserve">TYPE CANOPY-COL</t>
  </si>
  <si>
    <t xml:space="preserve">CANOPY-COL  #CW-1  -  column_wrap: column_wrap</t>
  </si>
  <si>
    <t xml:space="preserve">CW-1</t>
  </si>
  <si>
    <t xml:space="preserve">column_wrap: column_wrap</t>
  </si>
  <si>
    <t xml:space="preserve">5/A09.25; A02.01</t>
  </si>
  <si>
    <t xml:space="preserve">CANOPY-COL  #CW-2  -  column_wrap: column_wrap</t>
  </si>
  <si>
    <t xml:space="preserve">CW-2</t>
  </si>
  <si>
    <t xml:space="preserve">CANOPY-COL  #CW-3  -  column_wrap: column_wrap</t>
  </si>
  <si>
    <t xml:space="preserve">CW-3</t>
  </si>
  <si>
    <t xml:space="preserve">CANOPY-COL  #CW-4  -  column_wrap: column_wrap</t>
  </si>
  <si>
    <t xml:space="preserve">CW-4</t>
  </si>
  <si>
    <t xml:space="preserve">TYPE CANOPY</t>
  </si>
  <si>
    <t xml:space="preserve">CANOPY  #FB-W  -  fascia_box: fascia_box</t>
  </si>
  <si>
    <t xml:space="preserve">FB-W</t>
  </si>
  <si>
    <t xml:space="preserve">fascia_box: fascia_box</t>
  </si>
  <si>
    <t xml:space="preserve">16/A09.27; A04.01</t>
  </si>
  <si>
    <t xml:space="preserve">CANOPY  #FB-S  -  fascia_box: fascia_box</t>
  </si>
  <si>
    <t xml:space="preserve">FB-S</t>
  </si>
  <si>
    <t xml:space="preserve">7/A09.26; A04.01</t>
  </si>
  <si>
    <t xml:space="preserve">CANOPY  #FB-E  -  fascia_box: fascia_box</t>
  </si>
  <si>
    <t xml:space="preserve">FB-E</t>
  </si>
  <si>
    <t xml:space="preserve">CANOPY  #FB-N  -  fascia_box: fascia_box</t>
  </si>
  <si>
    <t xml:space="preserve">FB-N</t>
  </si>
  <si>
    <t xml:space="preserve">3/A09.26; A04.01</t>
  </si>
  <si>
    <t xml:space="preserve">TYPE ROOF STEP</t>
  </si>
  <si>
    <t xml:space="preserve">ROOF STEP  #RS-1  -  roof_step: roof_step</t>
  </si>
  <si>
    <t xml:space="preserve">RS-1</t>
  </si>
  <si>
    <t xml:space="preserve">roof_step: roof_step</t>
  </si>
  <si>
    <t xml:space="preserve">4/A02.02</t>
  </si>
  <si>
    <t xml:space="preserve">ROOF STEP  #RS-2  -  roof_step: Interior (roof step)</t>
  </si>
  <si>
    <t xml:space="preserve">RS-2</t>
  </si>
  <si>
    <t xml:space="preserve">roof_step: Interior (roof step)</t>
  </si>
  <si>
    <t xml:space="preserve">ROOF STEP  #RS-3  -  roof_step: Interior (roof step), roof step bulkhead bottom (width 1.291 ft, 4/A02.02)</t>
  </si>
  <si>
    <t xml:space="preserve">RS-3</t>
  </si>
  <si>
    <t xml:space="preserve">roof_step: Interior (roof step), roof step bulkhead bottom (width 1.291 ft, 4/A02.02)</t>
  </si>
  <si>
    <t xml:space="preserve">TYPE PARAPET</t>
  </si>
  <si>
    <t xml:space="preserve">PARAPET  #PAR-S-HP  -  parapet: parapet</t>
  </si>
  <si>
    <t xml:space="preserve">PAR-S-HP</t>
  </si>
  <si>
    <t xml:space="preserve">6" parapet</t>
  </si>
  <si>
    <t xml:space="preserve">parapet: parapet</t>
  </si>
  <si>
    <t xml:space="preserve">11/S5.10; 6/S5.10; 4/A09.26; A02.02</t>
  </si>
  <si>
    <t xml:space="preserve">PARAPET  #PAR-S-LP  -  parapet: parapet</t>
  </si>
  <si>
    <t xml:space="preserve">PAR-S-LP</t>
  </si>
  <si>
    <t xml:space="preserve">PARAPET  #PAR-W-HP  -  parapet: parapet</t>
  </si>
  <si>
    <t xml:space="preserve">PAR-W-HP</t>
  </si>
  <si>
    <t xml:space="preserve">PARAPET  #PAR-W-D  -  parapet: parapet</t>
  </si>
  <si>
    <t xml:space="preserve">PAR-W-D</t>
  </si>
  <si>
    <t xml:space="preserve">PARAPET  #PAR-W-LP1  -  parapet: parapet</t>
  </si>
  <si>
    <t xml:space="preserve">PAR-W-LP1</t>
  </si>
  <si>
    <t xml:space="preserve">PARAPET  #PAR-W-LP2  -  parapet: parapet</t>
  </si>
  <si>
    <t xml:space="preserve">PAR-W-LP2</t>
  </si>
  <si>
    <t xml:space="preserve">PARAPET  #PAR-N  -  parapet: parapet</t>
  </si>
  <si>
    <t xml:space="preserve">PAR-N</t>
  </si>
  <si>
    <t xml:space="preserve">PARAPET  #PAR-E-1  -  parapet: parapet</t>
  </si>
  <si>
    <t xml:space="preserve">PAR-E-1</t>
  </si>
  <si>
    <t xml:space="preserve">PARAPET  #PAR-E-2  -  parapet: parapet</t>
  </si>
  <si>
    <t xml:space="preserve">PAR-E-2</t>
  </si>
  <si>
    <t xml:space="preserve">PARAPET  #PAR-STUB4  -  parapet: parapet</t>
  </si>
  <si>
    <t xml:space="preserve">PAR-STUB4</t>
  </si>
  <si>
    <t xml:space="preserve">TYPE OTHER</t>
  </si>
  <si>
    <t xml:space="preserve">OTHER  #TR104  -  ceiling_transition: 7/A09.33; A04.01 104 bordes N 17.027 + W 30'-0" + E 30'-0" contra ACT-4 11'-6" (sur contra wall 122)</t>
  </si>
  <si>
    <t xml:space="preserve">TR104</t>
  </si>
  <si>
    <t xml:space="preserve">ceiling_transition: 7/A09.33; A04.01 104 bordes N 17.027 + W 30'-0" + E 30'-0" contra ACT-4 11'-6" (sur contra wall 122)</t>
  </si>
  <si>
    <t xml:space="preserve">7/A09.33; A04.01</t>
  </si>
  <si>
    <t xml:space="preserve">TYPE CSR</t>
  </si>
  <si>
    <t xml:space="preserve">CSR  #CSR-W-N  -  soffit_side: 10/A09.33; 9/A12.08; tramo norte de grid B (RCP y 1128.48-1244.4); H 15.375-8.0</t>
  </si>
  <si>
    <t xml:space="preserve">CSR-W-N</t>
  </si>
  <si>
    <t xml:space="preserve">soffit_side: 10/A09.33; 9/A12.08; tramo norte de grid B (RCP y 1128.48-1244.4); H 15.375-8.0</t>
  </si>
  <si>
    <t xml:space="preserve">10/A09.33; 9/A12.08</t>
  </si>
  <si>
    <t xml:space="preserve">CSR  #CSR-W-S  -  soffit_side: 10/A09.33; 9/A12.08; tramo sur de grid B (y 1244.4-1344.72); H 13.052-8.0 (zona LOW)</t>
  </si>
  <si>
    <t xml:space="preserve">CSR-W-S</t>
  </si>
  <si>
    <t xml:space="preserve">soffit_side: 10/A09.33; 9/A12.08; tramo sur de grid B (y 1244.4-1344.72); H 13.052-8.0 (zona LOW)</t>
  </si>
  <si>
    <t xml:space="preserve">CSR  #CSR-E-N  -  soffit_side: 10/A09.33; 9/A12.08; tramo norte de grid B; H 15.375-8.0</t>
  </si>
  <si>
    <t xml:space="preserve">CSR-E-N</t>
  </si>
  <si>
    <t xml:space="preserve">soffit_side: 10/A09.33; 9/A12.08; tramo norte de grid B; H 15.375-8.0</t>
  </si>
  <si>
    <t xml:space="preserve">CSR  #CSR-E-S  -  soffit_side: 10/A09.33; 9/A12.08; tramo sur de grid B; H 13.052-8.0</t>
  </si>
  <si>
    <t xml:space="preserve">CSR-E-S</t>
  </si>
  <si>
    <t xml:space="preserve">soffit_side: 10/A09.33; 9/A12.08; tramo sur de grid B; H 13.052-8.0</t>
  </si>
  <si>
    <t xml:space="preserve">TOTAL - PARTITIONS</t>
  </si>
  <si>
    <t xml:space="preserve">MATERIAL SUMMARY - NET / WASTE / PURCHASE</t>
  </si>
  <si>
    <t xml:space="preserve">Waste lives HERE, in its own column, never inside the net quantity.</t>
  </si>
  <si>
    <t xml:space="preserve">Material</t>
  </si>
  <si>
    <t xml:space="preserve">Unit</t>
  </si>
  <si>
    <t xml:space="preserve">Net</t>
  </si>
  <si>
    <t xml:space="preserve">Waste %</t>
  </si>
  <si>
    <t xml:space="preserve">Waste</t>
  </si>
  <si>
    <t xml:space="preserve">Purchase</t>
  </si>
  <si>
    <t xml:space="preserve">Selling unit</t>
  </si>
  <si>
    <t xml:space="preserve">Pieces to buy</t>
  </si>
  <si>
    <t xml:space="preserve">Where it comes from</t>
  </si>
  <si>
    <t xml:space="preserve">6" metal stud 600S162 (S5.20 / S1.11 n.5; gauge per 7/S5.20)</t>
  </si>
  <si>
    <t xml:space="preserve">LF</t>
  </si>
  <si>
    <t xml:space="preserve">stick 20 ft</t>
  </si>
  <si>
    <t xml:space="preserve">familias_out.json "6" stud (todos los gauges)"; studs_nodos + kickers/transitions</t>
  </si>
  <si>
    <t xml:space="preserve">3-5/8" metal stud 362S (A12.01 types A1/B/F; A1K 14 GA @24"; incl. canopy column wraps 5/A09.25, roof step, transitions)</t>
  </si>
  <si>
    <t xml:space="preserve">familias_out.json "3-5/8" stud (todos los gauges)"; studs_nodos + kickers/transitions</t>
  </si>
  <si>
    <t xml:space="preserve">1-5/8" metal stud 162S (5/A12.01 G/G1 double row)</t>
  </si>
  <si>
    <t xml:space="preserve">familias_out.json "1-5/8" stud"; studs_nodos + kickers/transitions</t>
  </si>
  <si>
    <t xml:space="preserve">2-1/2" metal stud (ATM 2 1/2" sistered)</t>
  </si>
  <si>
    <t xml:space="preserve">familias_out.json "2-1/2" stud"; studs_nodos + kickers/transitions</t>
  </si>
  <si>
    <t xml:space="preserve">6" parapet stud 600S162-54 @16" (11/S5.10 infill, by bay)</t>
  </si>
  <si>
    <t xml:space="preserve">familias_out.json "6\" parapet stud"; 11/S5.10, 6/S5.10</t>
  </si>
  <si>
    <t xml:space="preserve">Bottom track 6" (600T)</t>
  </si>
  <si>
    <t xml:space="preserve">piece 10 ft</t>
  </si>
  <si>
    <t xml:space="preserve">familias_out.json "bottom track (todos)" split by stud size (corridas_out.json); E10 no door deduct</t>
  </si>
  <si>
    <t xml:space="preserve">Bottom track 3-5/8" (362T)</t>
  </si>
  <si>
    <t xml:space="preserve">Bottom track 1-5/8" (162T)</t>
  </si>
  <si>
    <t xml:space="preserve">Bottom track 2-1/2" (250T)</t>
  </si>
  <si>
    <t xml:space="preserve">Bottom track 6" parapet 600T125-54 (11/S5.10)</t>
  </si>
  <si>
    <t xml:space="preserve">Top / deflection track 6" (600T)</t>
  </si>
  <si>
    <t xml:space="preserve">familias_out.json "top / deflection track (todos)" split by stud size (corridas_out.json); E10 no door deduct</t>
  </si>
  <si>
    <t xml:space="preserve">Top / deflection track 3-5/8" (362T)</t>
  </si>
  <si>
    <t xml:space="preserve">Top / deflection track 1-5/8" (162T)</t>
  </si>
  <si>
    <t xml:space="preserve">Top / deflection track 2-1/2" (250T)</t>
  </si>
  <si>
    <t xml:space="preserve">Top / deflection track 6" parapet 600T125-54 (11/S5.10)</t>
  </si>
  <si>
    <t xml:space="preserve">Ceiling / soffit track (ceiling perimeter, transitions 7/A09.33, CSR 10/A09.33, canopy soffit/fascia 7/A09.26)</t>
  </si>
  <si>
    <t xml:space="preserve">familias_out.json "track de ceilings / soffits"</t>
  </si>
  <si>
    <t xml:space="preserve">Bracing 1-1/2" C.R. channel @48" (F/1/S5.20, 53.4)</t>
  </si>
  <si>
    <t xml:space="preserve">piece 16 ft</t>
  </si>
  <si>
    <t xml:space="preserve">familias_out.json "bracing C.R. channel"</t>
  </si>
  <si>
    <t xml:space="preserve">Purlin 1x1x1 16GA across min (2) flutes (10/A09.33)</t>
  </si>
  <si>
    <t xml:space="preserve">familias_out.json "purlin (track to deck)"; 59.1</t>
  </si>
  <si>
    <t xml:space="preserve">Header / box beam - track 18 ga (E1/E2: (R.O.+1'-4") x pieces)</t>
  </si>
  <si>
    <t xml:space="preserve">familias_out.json header_por_pieza; 7/S5.20, 9/A12.01, 11/A09.27, 7/A12.10, 4/A08.21</t>
  </si>
  <si>
    <t xml:space="preserve">Header / box beam - 6in C box (E1/E2: (R.O.+1'-4") x pieces)</t>
  </si>
  <si>
    <t xml:space="preserve">Header / box beam - 6in CFMF box (E1/E2: (R.O.+1'-4") x pieces)</t>
  </si>
  <si>
    <t xml:space="preserve">Header / box beam - C box office front (E1/E2: (R.O.+1'-4") x pieces)</t>
  </si>
  <si>
    <t xml:space="preserve">Header / box beam - C box vestibule (E1/E2: (R.O.+1'-4") x pieces)</t>
  </si>
  <si>
    <t xml:space="preserve">Sill track (2/S5.20 invert for sill, double &gt; 4'-0")</t>
  </si>
  <si>
    <t xml:space="preserve">familias_out.json "sill track"</t>
  </si>
  <si>
    <t xml:space="preserve">Furring channel 7/8" hat @16" (A04.01 suspended GWB)</t>
  </si>
  <si>
    <t xml:space="preserve">piece 12 ft</t>
  </si>
  <si>
    <t xml:space="preserve">familias_out.json "furring channel"</t>
  </si>
  <si>
    <t xml:space="preserve">Carrying channel 1-1/2" C.R. @48"</t>
  </si>
  <si>
    <t xml:space="preserve">familias_out.json "carrying channel"</t>
  </si>
  <si>
    <t xml:space="preserve">Hanger wire 12 ga (LF DERIVED = PCS x height per room, E4)</t>
  </si>
  <si>
    <t xml:space="preserve">roll LF</t>
  </si>
  <si>
    <t xml:space="preserve">familias_out.json hanger_pcs.lf_derivado</t>
  </si>
  <si>
    <t xml:space="preserve">Hanger wire 12 ga - hangers (PCS; heights per room: 100 Vestibule 15 pcs @ 5.375 ft; 101 24 HR Vestibule 20 pcs @ 5.375 ft; 104 Waiting 54 pcs @ 4.375 ft; 114 Women's Restroom 12 pcs @ 4.552 ft; 113 Men's Restroom 12 pcs @ 4.382 ft)</t>
  </si>
  <si>
    <t xml:space="preserve">PCS</t>
  </si>
  <si>
    <t xml:space="preserve">familias_out.json hanger_pcs (canon.py)</t>
  </si>
  <si>
    <t xml:space="preserve">Framed openings MEP (light fixtures / diffusers / access panels in GWB ceilings &amp; canopy soffit)</t>
  </si>
  <si>
    <t xml:space="preserve">framed_openings_out.json; E00.01, E02.01, M01.01</t>
  </si>
  <si>
    <t xml:space="preserve">5/8" gypsum board regular (walls + ceilings)</t>
  </si>
  <si>
    <t xml:space="preserve">SF</t>
  </si>
  <si>
    <t xml:space="preserve">4x12 sheet</t>
  </si>
  <si>
    <t xml:space="preserve">familias_out.json; board_caras + ceilings</t>
  </si>
  <si>
    <t xml:space="preserve">5/8" gypsum board moisture resistant (F/A08.01 behind toilet &amp; lavatory)</t>
  </si>
  <si>
    <t xml:space="preserve">familias_out.json</t>
  </si>
  <si>
    <t xml:space="preserve">Ballistic panel 3/8" UL752 Level-2 fiberglass to 8'-0" (4/A12.01)</t>
  </si>
  <si>
    <t xml:space="preserve">4x8 sheet</t>
  </si>
  <si>
    <t xml:space="preserve">3/8" gyp board above ballistic panel to structure (4/A12.01)</t>
  </si>
  <si>
    <t xml:space="preserve">5/8" glass mat sheathing (5/A09.26, 9/A09.27 base strip + canopy band 7/A09.26)</t>
  </si>
  <si>
    <t xml:space="preserve">5/8" EXTERIOR gyp sheathing - parapet roof side (4/A09.26)</t>
  </si>
  <si>
    <t xml:space="preserve">FRT plywood (nailbase, canopy soffit/fascia, backboards, opening strips)</t>
  </si>
  <si>
    <t xml:space="preserve">FRT blocking (millwork, accessories, parapet 2 plies 4/A09.26, bulkhead 9/A12.01)</t>
  </si>
  <si>
    <t xml:space="preserve">piece 8 ft</t>
  </si>
  <si>
    <t xml:space="preserve">Metal stud blocking 362CR22 / STUD BLOCKING (4/S5.20 edge of gypboard + devices)</t>
  </si>
  <si>
    <t xml:space="preserve">familias_out.json; cut between studs @16" O.C. (4/S5.20)</t>
  </si>
  <si>
    <t xml:space="preserve">Metal trim - corner bead, casing bead, shadow molding, gypsum edge trim</t>
  </si>
  <si>
    <t xml:space="preserve">Cement board (cove base CT, 58.7)</t>
  </si>
  <si>
    <t xml:space="preserve">3x5 sheet</t>
  </si>
  <si>
    <t xml:space="preserve">RFI</t>
  </si>
  <si>
    <t xml:space="preserve">Question / condition</t>
  </si>
  <si>
    <t xml:space="preserve">Delta of each alternative</t>
  </si>
  <si>
    <t xml:space="preserve">RFI-INT-1</t>
  </si>
  <si>
    <t xml:space="preserve">G1: schedule 8", dibujado 8.48" (12.72 pt) en los 4 G1 y en I-G1-1. Sin delta de cantidad (mismo stud y layers); confirmar ancho del isolator.</t>
  </si>
  <si>
    <t xml:space="preserve">delta de cantidad (mismo stud y layers)</t>
  </si>
  <si>
    <t xml:space="preserve">RFI-INT-2</t>
  </si>
  <si>
    <t xml:space="preserve">C1 altura de board no impresa (6/A12.01 con break line): cargado a deck (53.3). Delta si para a ceiling + 6": −96 SF 5/8" regular (I-C1-1 −38.75, retornos −2.43, I-C1-4 −17.26, I-C1-6 −19.50, I-C1-7 −18.44); chase I-C1-5 MR a deck vs ceiling GB 8'-6" + 6": −79.9 SF MR (60.11).</t>
  </si>
  <si>
    <t xml:space="preserve">Delta si para a ceiling + 6": −96 SF 5/8" regular (I-C1-1 −38</t>
  </si>
  <si>
    <t xml:space="preserve">RFI-INT-3</t>
  </si>
  <si>
    <t xml:space="preserve">F 3/4" FRT plywood public side a deck: va como plywood_strip (FRT plywood SF) 16.916 × 15.017 = 254.0 SF (bruto 260.1 − ATM R.O. 6.05). Board_caras no tiene familia plywood; decidir si queda en plywood_strips.</t>
  </si>
  <si>
    <t xml:space="preserve">ver pregunta (delta 0 / informativo)</t>
  </si>
  <si>
    <t xml:space="preserve">RFI-INT-4</t>
  </si>
  <si>
    <t xml:space="preserve">Niche MW01: los faces 974.76/1031.04 corren de x 1195.68 (puertas) a 1271.16 y la línea x 1223.88 atraviesa el nicho; se cargó I-A5-1 desde 1038.36 (debajo del nicho) y la caja (I-A1-2, I-A1-3). Si el A5 corre hasta el north wall: +3.95 ft A5 (+~4 studs 6" × 15.375 = +61.5 LF, +62 SF board). PARA REVISAR con imagen `img/z_cc1.png`.</t>
  </si>
  <si>
    <t xml:space="preserve">RFI-INT-5</t>
  </si>
  <si>
    <t xml:space="preserve">Cajas C1 en la línea del storefront norte (tags C1 (859,356) y (1082,327), con burbuja 2 en la esquina NW → A09.25 jambs): NO cuantificadas por INT para no duplicar con EXT (piers 59.6). Si EXT no las tomó: ~2 cajas × ~4 ft perímetro × 15.375 = ~123 SF + 8 studs.</t>
  </si>
  <si>
    <t xml:space="preserve">RFI-INT-6</t>
  </si>
  <si>
    <t xml:space="preserve">Línea HI/LOW tomada en la burbuja de grid B (y 1246.1) y B.O.D. entre grid B y el primer marcador (y &lt; 1301.2) sostenido en 13'-0 5/8" (sin extrapolar). Delta si se extrapola a grid B (13.112): +0.06 ft en I-A5-4, I-B2-4, I-A1-4, I-A1-6, I-A1-8 (~+8 LF de stud total).</t>
  </si>
  <si>
    <t xml:space="preserve">Delta si se extrapola a grid B (13</t>
  </si>
  <si>
    <t xml:space="preserve">RFI-INT-7</t>
  </si>
  <si>
    <t xml:space="preserve">Lado customer de los walls K (A1K/B2K): asignado hacia el bolsillo de clientes / fuera del teller; contorno ballistic 9.98 LF (B2K 1.26 + jog 0.58 + 2.98 + 2.98 + jog 0.59 + 1.59). Detalle 4/A12.01 "14 GA @24" O.C." cargado (oc 24); B2K stud 6" por familia (B2 + K, espesor medido 7.68" ≈ 7 5/8").</t>
  </si>
  <si>
    <t xml:space="preserve">RFI-INT-8</t>
  </si>
  <si>
    <t xml:space="preserve">F: face del 24 HR vestibule 101 con board hasta el GB ceiling 10'-0" (12/A12.01 dibuja el board muriendo en el ceiling); face ATM room a ceiling 8'-6" + 6". Delta si la face 101 sube a ceiling + 6": +8.46 SF.</t>
  </si>
  <si>
    <t xml:space="preserve">Delta si la face 101 sube a ceiling + 6": +8</t>
  </si>
  <si>
    <t xml:space="preserve">RFI-INT-9</t>
  </si>
  <si>
    <t xml:space="preserve">Puertas: head R.O. = alto de door + 2" de frame (7.167 / 8.167) [DERIVADO]; 10/A12.02 no abierto por INT. Delta por 1" de head en 16 doors: despreciable en studs (cripples).</t>
  </si>
  <si>
    <t xml:space="preserve">Delta por 1" de head en 16 doors: despreciable en studs (cripples)</t>
  </si>
  <si>
    <t xml:space="preserve">RFI-INT-10</t>
  </si>
  <si>
    <t xml:space="preserve">FEC-1 (recess 10" en I-A5-1, cabe en stud bay → nada) y FEC-2 (≈3'-0" en la face norte de I-B-1, x 1291–1345): accesorio recessed → protocolo v62 "nunca header"; lo resuelve OPN.</t>
  </si>
  <si>
    <t xml:space="preserve">RFI-EXT-01</t>
  </si>
  <si>
    <t xml:space="preserve">Headers de ventanas GL-2, door 123 y ATM: 11/A09.27 / 14/A09.27 "METAL STUD BOX BEAM OR STEEL FRAMING AS REQUIRED" sin lintel en S2.20 → cargado metal box 2 piezas (E16). Delta si es steel by others: −128.40 LF header (−59.53 LF sill si también el sill es steel). [REEMPLAZADO por RFI-M03: se cargaron 4 piezas]</t>
  </si>
  <si>
    <t xml:space="preserve">Delta si es steel by others: −128</t>
  </si>
  <si>
    <t xml:space="preserve">RFI-EXT-02</t>
  </si>
  <si>
    <t xml:space="preserve">Ancho de 3/4" FRT plywood en head/sill/jambs no impreso: cargado 9.08" medido (0.757 ft). Delta ±20.5 SF por cada 1" (245.6 LF de strip).</t>
  </si>
  <si>
    <t xml:space="preserve">Delta ±20</t>
  </si>
  <si>
    <t xml:space="preserve">RFI-EXT-03</t>
  </si>
  <si>
    <t xml:space="preserve">Alto de banda glass mat: cargado 1.979 (T/STUD − B/STUD impresos, 59.2); en vector la cavidad mide 1.31 ft. Delta −124.1 SF glass mat / +124.1 SF FRT plywood.</t>
  </si>
  <si>
    <t xml:space="preserve">Delta −124</t>
  </si>
  <si>
    <t xml:space="preserve">RFI-EXT-04</t>
  </si>
  <si>
    <t xml:space="preserve">Canopy beam en la cavidad: wall continuo (cargado). Si se parte: +111.01 LF bottom, +111.01 LF top, −102.96 LF 6" stud (inventario.py).</t>
  </si>
  <si>
    <t xml:space="preserve">RFI-EXT-05</t>
  </si>
  <si>
    <t xml:space="preserve">S1.11 n.5 "within 6 ft of building corners": cargado también en las esquinas del step D (interior y exterior). Delta si solo esquinas exteriores del rectángulo: ≈ −28.7 LF 6" stud.</t>
  </si>
  <si>
    <t xml:space="preserve">Delta si solo esquinas exteriores del rectángulo: ≈ −28</t>
  </si>
  <si>
    <t xml:space="preserve">RFI-EXT-06</t>
  </si>
  <si>
    <t xml:space="preserve">Column wraps (lazo cerrado): studs_nodos da 5 studs/columna; regla de lazo (floor(P×12/16)+4) da 7. Delta +84.0 LF 3-5/8".</t>
  </si>
  <si>
    <t xml:space="preserve">Delta +84</t>
  </si>
  <si>
    <t xml:space="preserve">RFI-EXT-07</t>
  </si>
  <si>
    <t xml:space="preserve">Piers 1, 2/A09.25: perímetro de framing derivado (no impreso) y todo como 6" (el detalle mezcla 6" CFMF y 3-5/8"). Delta ≈ ±15 LF.</t>
  </si>
  <si>
    <t xml:space="preserve">Delta ≈ ±15 LF</t>
  </si>
  <si>
    <t xml:space="preserve">RFI-EXT-08</t>
  </si>
  <si>
    <t xml:space="preserve">Roof step RS-1 3.30 ft y RS-3 1.15 ft medidos (sin cota). Delta ±20 LF 3-5/8" por cada 0.5 ft.</t>
  </si>
  <si>
    <t xml:space="preserve">Delta ±20 LF 3-5/8" por cada 0</t>
  </si>
  <si>
    <t xml:space="preserve">RFI-EXT-09</t>
  </si>
  <si>
    <t xml:space="preserve">Cladding (7/8" hat channel de EPS-5, rainscreen ACM, lath/stucco PT-3/PT-4) EXCLUDED (60.4). Cota superior del delta: área nailbase 3,831 SF ÷ 1.333 ft ≈ 2,874 LF de hat channel si fuera nuestro.</t>
  </si>
  <si>
    <t xml:space="preserve">delta: área nailbase 3,831 SF ÷ 1</t>
  </si>
  <si>
    <t xml:space="preserve">RFI-EXT-10</t>
  </si>
  <si>
    <t xml:space="preserve">ATM DU sill 2'-8 1/8" medido desde "FINISHED DRIVE-LANE" (6/A08.11); si el datum es T/SLAB la cantidad no cambia (solo cripples): delta 0.</t>
  </si>
  <si>
    <t xml:space="preserve">delta 0</t>
  </si>
  <si>
    <t xml:space="preserve">RFI-EXT-11</t>
  </si>
  <si>
    <t xml:space="preserve">S2.20 "B.O.D. EL. 111'-9" TYP. @ CANOPY" (typo probable 11'-9"): no mueve cantidad (canopy usa datums de 7/A09.26).</t>
  </si>
  <si>
    <t xml:space="preserve">RFI-EXT-12</t>
  </si>
  <si>
    <t xml:space="preserve">Elevaciones con nombre N/S/E/W que no corresponden al norte habitual de la planta; se usan los títulos. Delta 0.</t>
  </si>
  <si>
    <t xml:space="preserve">Delta 0</t>
  </si>
  <si>
    <t xml:space="preserve">RFI-C01</t>
  </si>
  <si>
    <t xml:space="preserve">suspensión sin spec (furring 16", carrying 48", hanger 48" por ASTM C754). Alterno furring @24": furring -257.85 LF, 3-5/8" -10.25 LF.</t>
  </si>
  <si>
    <t xml:space="preserve">Alterno furring @24": furring -257</t>
  </si>
  <si>
    <t xml:space="preserve">RFI-C02</t>
  </si>
  <si>
    <t xml:space="preserve">dirección de carrying (N-S cargado). Alterno E-W: furring -40.21, carrying +7.22, 3-5/8" +10.50.</t>
  </si>
  <si>
    <t xml:space="preserve">Alterno E-W: furring -40</t>
  </si>
  <si>
    <t xml:space="preserve">RFI-C03</t>
  </si>
  <si>
    <t xml:space="preserve">kicker 7/A09.33 sin largo impreso (5.31 ft derivado). Alterno 1.5 ft: 3-5/8" -80.01 LF.</t>
  </si>
  <si>
    <t xml:space="preserve">Alterno 1</t>
  </si>
  <si>
    <t xml:space="preserve">RFI-C04</t>
  </si>
  <si>
    <t xml:space="preserve">104: 7/A09.33 vs 8/A09.33 (bulkhead con framing @16" + bracing @48"). Si height de la transición = 4.375 (studs_nodos a estructura además de vertical_studs): 3-5/8" +199.12, bracing +77.03.</t>
  </si>
  <si>
    <t xml:space="preserve">RFI-C05</t>
  </si>
  <si>
    <t xml:space="preserve">perímetro de 104: ceiling track 94.05 incluye los 77.03 de transición que ya llevan track (E9). Sin solape: track ceilings/soffits -77.02.</t>
  </si>
  <si>
    <t xml:space="preserve">RFI-C06</t>
  </si>
  <si>
    <t xml:space="preserve">R-11C/CE largo 12' (desc = dibujo) vs catálogo 20'-0": +64.0 LF framed openings.</t>
  </si>
  <si>
    <t xml:space="preserve">RFI-C07</t>
  </si>
  <si>
    <t xml:space="preserve">ancho de R-11 (FSM2L) no impreso: 2.64" medido en 6/A09.33 sin cota validable; delta ±0.5" ≈ ±1 LF.</t>
  </si>
  <si>
    <t xml:space="preserve">delta ±0</t>
  </si>
  <si>
    <t xml:space="preserve">RFI-C08</t>
  </si>
  <si>
    <t xml:space="preserve">B.O.D. del vestíbulo 100/101 asumido zona HI 15'-4 1/2"; 113/114 en zona LOW sin extrapolar más allá de 13'-0 5/8".</t>
  </si>
  <si>
    <t xml:space="preserve">RFI-C09</t>
  </si>
  <si>
    <t xml:space="preserve">R-1/S-1 diffusers 24x24 de ATM 102 / Central Zone están en ACT (no framing); S-1A junto al CSR en ACT.</t>
  </si>
  <si>
    <t xml:space="preserve">RFI-OPN-01</t>
  </si>
  <si>
    <t xml:space="preserve">door 102 R.O. 3'-10": schedule DOUBLE (2 pc) vs 9/S5.20 single ≤4'-0" → delta -5.17 LF header.</t>
  </si>
  <si>
    <t xml:space="preserve">delta -5</t>
  </si>
  <si>
    <t xml:space="preserve">RFI-OPN-02</t>
  </si>
  <si>
    <t xml:space="preserve">door 123 "BOX BEAM AS REQUIRED" 4 pc → delta 2 pc -9.33 LF.</t>
  </si>
  <si>
    <t xml:space="preserve">delta 2 pc -9</t>
  </si>
  <si>
    <t xml:space="preserve">RFI-OPN-03</t>
  </si>
  <si>
    <t xml:space="preserve">GL-2 ×6 "BOX BEAM OR STEEL FRAMING AS REQUIRED" → metal 4 pc; delta 2 pc -112.0 LF; si steel by others -224.0 LF header.</t>
  </si>
  <si>
    <t xml:space="preserve">delta 2 pc -112</t>
  </si>
  <si>
    <t xml:space="preserve">RFI-OPN-04</t>
  </si>
  <si>
    <t xml:space="preserve">vestibule "BOX HEADER AS NEEDED" (E11) 4 pc → delta 2 pc -49.46 LF; si no se requiere -98.92 LF.</t>
  </si>
  <si>
    <t xml:space="preserve">delta 2 pc -49</t>
  </si>
  <si>
    <t xml:space="preserve">RFI-OPN-05</t>
  </si>
  <si>
    <t xml:space="preserve">blocking sin material (wall stops, artwork, boards, lockers, mirror) → 362CR22; delta artwork/boards 1 run en vez de 2: -36.0 LF.</t>
  </si>
  <si>
    <t xml:space="preserve">delta artwork/boards 1 run en vez de 2: -36</t>
  </si>
  <si>
    <t xml:space="preserve">RFI-OPN-06</t>
  </si>
  <si>
    <t xml:space="preserve">accesorios de baño: largo por accesorio / 2'-0" mín (criterio).</t>
  </si>
  <si>
    <t xml:space="preserve">RFI-OPN-07</t>
  </si>
  <si>
    <t xml:space="preserve">backboards 8'-0" vs 7'-6" (instalado 6" AFF): -16.19 SF.</t>
  </si>
  <si>
    <t xml:space="preserve">RFI-OPN-08</t>
  </si>
  <si>
    <t xml:space="preserve">ancho FRT plywood de aberturas no acotado (9.093" medido) — mismo RFI que v37.</t>
  </si>
  <si>
    <t xml:space="preserve">RFI-OPN-09</t>
  </si>
  <si>
    <t xml:space="preserve">MW05A y MW05B: elevación nombra dos unidades, planta A08.01 dibuja una → +21.0 LF FRT si son dos.</t>
  </si>
  <si>
    <t xml:space="preserve">RFI-M01</t>
  </si>
  <si>
    <t xml:space="preserve">A1K/B2K casing bead (4/A12.01 'APPROPRIATE METAL TRIM AND CASING BEADS'): cargado 1 run en la face customer al tope del ballistic (8'-0"), sum L customer faces; ubicación no dibujada.</t>
  </si>
  <si>
    <t xml:space="preserve">si además en bordes verticales: + 2 x 8.0 ft por wall K</t>
  </si>
  <si>
    <t xml:space="preserve">RFI-M02</t>
  </si>
  <si>
    <t xml:space="preserve">Acoustical sealant: v64 sin tool; corridas por tipo leídas (3/A12.01 A1/A5 4; 1/A12.01 B/B2 4; 4/A12.01 A1K 4; 5/A12.01 G/G1 2; 6 y 12/A12.01 C1/F 0). No se suma a mano (protocolo v64). Cantidad pendiente de tool.</t>
  </si>
  <si>
    <t xml:space="preserve">aprox. sum L x corridas de walls interiores (pendiente de cálculo por tool)</t>
  </si>
  <si>
    <t xml:space="preserve">RFI-M03</t>
  </si>
  <si>
    <t xml:space="preserve">Piezas del box beam en 11/A09.27 (GL-2), 14/A09.27 (door 123), 6/A08.11 (ATM DU), 7/A12.10 (vestíbulo): dos lecturas (2 C vs 2 C + 2 track). Cargado 4 piezas (vector + imagen OPN05).</t>
  </si>
  <si>
    <t xml:space="preserve">-177.81 LF header si 2 piezas</t>
  </si>
  <si>
    <t xml:space="preserve">RFI-M04</t>
  </si>
  <si>
    <t xml:space="preserve">Level 5 finish: A05.01 notas 9 y 10 'TO PREP FOR WALLCOVERING WC-20 / WC-22 PROVIDE LEVEL 5 FINISH'; A00.40 felt 'WALL SURFACE TO BE LEVEL 5'. Resto Level 4 supuesto. SF de Level 5 no cuantificado (sin tool).</t>
  </si>
  <si>
    <t xml:space="preserve">+ SF de walls con WC-20/WC-22 a Level 5</t>
  </si>
  <si>
    <t xml:space="preserve">RFI-M06</t>
  </si>
  <si>
    <t xml:space="preserve">WH-1 wall platform (3/P00.01) '2X BLOCKING BETWEEN STUDS' sin rótulo FRT: cargado metal 362CR22 (58.6); también blocking del curb del roof hatch 1/A09.30 'AS REQUIRED' sin tamaño de hatch impreso (no cuantificado).</t>
  </si>
  <si>
    <t xml:space="preserve">material 2x wood en vez de metal: 4.0 LF; roof hatch curb: + perímetro del hatch (pendiente)</t>
  </si>
  <si>
    <t xml:space="preserve">RFI-M07</t>
  </si>
  <si>
    <t xml:space="preserve">7/A09.33 dibuja 2 corner beads TYPICAL + shadow molding; el protocolo v64 §7 fija trim de transición = L x 2. Cargado x2 (protocolo).</t>
  </si>
  <si>
    <t xml:space="preserve">+77.03 LF metal trim si x3</t>
  </si>
  <si>
    <t xml:space="preserve">RFI-M08</t>
  </si>
  <si>
    <t xml:space="preserve">CSR soffit lado W: 10/A09.33 lo dibuja como SCHEDULED PARTITION con board a deck (2 capas dibujadas); cargado como soffit_side 1 capa.</t>
  </si>
  <si>
    <t xml:space="preserve">+57.66 SF (1 capa) a +133.3 SF (2 capas) 5/8" regular</t>
  </si>
  <si>
    <t xml:space="preserve">RFI-M05</t>
  </si>
  <si>
    <t xml:space="preserve">Cladding (7/8" hat channel EPS-5, ACM rainscreen, stucco lath) EXCLUDED por alcance_filtro.py (60.4).</t>
  </si>
  <si>
    <t xml:space="preserve">+2,874 LF si fuera nuestro</t>
  </si>
  <si>
    <t xml:space="preserve">#</t>
  </si>
  <si>
    <t xml:space="preserve">Punto</t>
  </si>
  <si>
    <t xml:space="preserve">Hoja + detalle</t>
  </si>
  <si>
    <t xml:space="preserve">Imagen</t>
  </si>
  <si>
    <t xml:space="preserve">[INT] Nicho MW01 (RFI-INT-4) — imagen img/z_cc1.png.</t>
  </si>
  <si>
    <t xml:space="preserve">A02.01</t>
  </si>
  <si>
    <t xml:space="preserve">out/evid/INT/</t>
  </si>
  <si>
    <t xml:space="preserve">[INT] Cajas C1 del storefront norte asignadas a EXT (RFI-INT-5).</t>
  </si>
  <si>
    <t xml:space="preserve">[INT] Lado customer y contorno de los walls K (RFI-INT-7) — img/z_cash.png.</t>
  </si>
  <si>
    <t xml:space="preserve">[INT] C1 y chase a deck (RFI-INT-2).</t>
  </si>
  <si>
    <t xml:space="preserve">[INT] Registro S2.20 ↔ A02.01 por burbujas (dy 15.3; G daba 19.0) y línea HI/LOW (RFI-INT-6).</t>
  </si>
  <si>
    <t xml:space="preserve">[INT] Face este de I-A1-6/7 partida en la junta con I-B-1 (break room vs open to structure).</t>
  </si>
  <si>
    <t xml:space="preserve">[EXT] Piers de vestíbulo llevan tag C1 en A02.01 (dos cajas en grid 2 y 4). Aquí se cuentan por su detalle 1, 2/A09.25 (53.8). El agente de interiores NO debe contarlos otra vez como C1.</t>
  </si>
  <si>
    <t xml:space="preserve">2/A09.25</t>
  </si>
  <si>
    <t xml:space="preserve">out/evid/EXT/</t>
  </si>
  <si>
    <t xml:space="preserve">[EXT] Coiling grille 103 (A08.21) está en interior (línea grid 4 entre 101 y 103): no se cargó aquí para no duplicar.</t>
  </si>
  <si>
    <t xml:space="preserve">[EXT] door 123 está en X-N-1 (ref "door 123"): si el agente de aberturas también la declara, dejar una.</t>
  </si>
  <si>
    <t xml:space="preserve">[EXT] Constantes de proyecto que pone otro agente: `sill_rule` (2/S5.20 double &gt; 4'-0" → sill de GL-2 = 2 piezas: +56.0 LF), `header_schedule`, `deck_flute_dir` (aquí to_deck false en exteriores), `carrying_direction` (canopy_joist trae ns/ew + span/run).</t>
  </si>
  <si>
    <t xml:space="preserve">2/S5.20</t>
  </si>
  <si>
    <t xml:space="preserve">[EXT] Torre HP: extensión leída en 4 elevaciones (G 2→4, line 2 G→D, step D). Retornos "beyond" no agregados (solo stub keynote 10).</t>
  </si>
  <si>
    <t xml:space="preserve">[EXT] Sheathing parapet sobre storefront incluido (53.5). ACM/EPS/stucco fuera.</t>
  </si>
  <si>
    <t xml:space="preserve">[CEIL] TR104 height_ft 1.0 (no 4.375 del ejemplo del protocolo) para no contar dos veces los studs a estructura — delta RFI-C04.</t>
  </si>
  <si>
    <t xml:space="preserve">out/evid/CEIL/</t>
  </si>
  <si>
    <t xml:space="preserve">[CEIL] 104 perimeter 94.05 completo (como el esquema) aunque solape con TR104 — RFI-C05.</t>
  </si>
  <si>
    <t xml:space="preserve">[CEIL] Canopy UU framed openings incluidos en fo_in (669.1 LF): confirmar que EXT no los repite.</t>
  </si>
  <si>
    <t xml:space="preserve">[CEIL] CSR blocking FRT y corner bead cargados en frag_CEIL (blocking_items / trim_items): BLK/OPEN no deben repetirlos.</t>
  </si>
  <si>
    <t xml:space="preserve">[CEIL] 101: hatch GB solo al norte del wall F; el sur es ATM 102 ACT-5.</t>
  </si>
  <si>
    <t xml:space="preserve">[OPN] Boxes de 4 piezas (2 C + 2 track) en 11/A09.27, 14/A09.27, 7/A12.10, 6/A08.11 contra boxes de 2 piezas (2 C) en 9/A12.01 y 4/A08.21 — leído del vector; el protocolo v64 cita para BOA "6" C box GL-2 112.00" y "vestibule box 49.46" (equivale a 2 pc). Delta total si todo es 2 pc: -177.81 LF (header 417.06).</t>
  </si>
  <si>
    <t xml:space="preserve">11/A09.27</t>
  </si>
  <si>
    <t xml:space="preserve">out/evid/OPN/</t>
  </si>
  <si>
    <t xml:space="preserve">[OPN] Storefront W vestibule ancho 6'-6" [PENDIENTE de EXT] (no mueve header: HSS).</t>
  </si>
  <si>
    <t xml:space="preserve">[OPN] CSR soffit corner bead puede duplicar con CEIL.</t>
  </si>
  <si>
    <t xml:space="preserve">[OPN] A1K casing beads sin número aquí (depende de largos INT).</t>
  </si>
  <si>
    <t xml:space="preserve">[OPN] Blocking: 2 runs para artwork/boards/lockers por 53.3.</t>
  </si>
  <si>
    <t xml:space="preserve">Auto mode bloqueó una acción al agregar acoustical sealant a canon.py; canon.py restaurado a v64; sealant queda como RFI-M02 sin cantidad.</t>
  </si>
  <si>
    <t xml:space="preserve">3/A12.01</t>
  </si>
  <si>
    <t xml:space="preserve">La prueba siguió tras el bloqueo por instrucción de la sesión orquestadora (el prompt original decía 'anótalo y termina'); decidir si la corrida vale.</t>
  </si>
  <si>
    <t xml:space="preserve">Piezas de box beam 4 vs 2 (RFI-M03).</t>
  </si>
  <si>
    <t xml:space="preserve">out/evid/OPN/OPN05_11-A09.27_box.jpg</t>
  </si>
  <si>
    <t xml:space="preserve">ADV3-H2 transición x3 trim (RFI-M07) va CONTRA §7 v64: no aplicado.</t>
  </si>
  <si>
    <t xml:space="preserve">7/A09.33</t>
  </si>
  <si>
    <t xml:space="preserve">ADV3-H3 CSR lado W como partition a deck (RFI-M08): no aplicado por riesgo de doble conteo con el A1K.</t>
  </si>
  <si>
    <t xml:space="preserve">10/A09.33</t>
  </si>
  <si>
    <t xml:space="preserve">ADV3-H9 TR104 vertical studs sin nodos L (+8.75 LF 3-5/8"): la tool no lo modela; no se modifica la tool.</t>
  </si>
  <si>
    <t xml:space="preserve">ADV2: track sobre cada box (+88.91 LF) y sill GL-2 1 pieza (-56.00 LF, contra 2/S5.20): no aplicados.</t>
  </si>
  <si>
    <t xml:space="preserve">10/A09.27</t>
  </si>
  <si>
    <t xml:space="preserve">ADV1: contorno ballistic con cota 3'-5" (+3.71 SF ballistic, +3.2 SF 3/8") y lado customer de I-A1K-2: no aplicado.</t>
  </si>
  <si>
    <t xml:space="preserve">4/A12.01</t>
  </si>
  <si>
    <t xml:space="preserve">Level 5 en WC-20/WC-22 sin SF (RFI-M04).</t>
  </si>
  <si>
    <t xml:space="preserve">A05.01</t>
  </si>
  <si>
    <t xml:space="preserve">ALC</t>
  </si>
  <si>
    <t xml:space="preserve">Alcance</t>
  </si>
  <si>
    <t xml:space="preserve">Estado</t>
  </si>
  <si>
    <t xml:space="preserve">Nota (cantidad, NO APLICA + hoja, o RFI)</t>
  </si>
  <si>
    <t xml:space="preserve">ALC-01</t>
  </si>
  <si>
    <t xml:space="preserve">CUANTIFICADO</t>
  </si>
  <si>
    <t xml:space="preserve">studs 6"/3-5/8"/1-5/8" (familias_out.json)</t>
  </si>
  <si>
    <t xml:space="preserve">ALC-02</t>
  </si>
  <si>
    <t xml:space="preserve">6" exterior CFMF</t>
  </si>
  <si>
    <t xml:space="preserve">ALC-03</t>
  </si>
  <si>
    <t xml:space="preserve">6" parapet stud 11/S5.10</t>
  </si>
  <si>
    <t xml:space="preserve">ALC-04</t>
  </si>
  <si>
    <t xml:space="preserve">bottom/top track</t>
  </si>
  <si>
    <t xml:space="preserve">ALC-05</t>
  </si>
  <si>
    <t xml:space="preserve">header/box beam + sill track</t>
  </si>
  <si>
    <t xml:space="preserve">ALC-06</t>
  </si>
  <si>
    <t xml:space="preserve">bracing C.R. channel</t>
  </si>
  <si>
    <t xml:space="preserve">ALC-07</t>
  </si>
  <si>
    <t xml:space="preserve">5/8" board walls</t>
  </si>
  <si>
    <t xml:space="preserve">ALC-08</t>
  </si>
  <si>
    <t xml:space="preserve">5/8" MR F/A08.01</t>
  </si>
  <si>
    <t xml:space="preserve">ALC-09</t>
  </si>
  <si>
    <t xml:space="preserve">glass mat + ext gyp sheathing</t>
  </si>
  <si>
    <t xml:space="preserve">ALC-10</t>
  </si>
  <si>
    <t xml:space="preserve">FRT plywood</t>
  </si>
  <si>
    <t xml:space="preserve">ALC-11</t>
  </si>
  <si>
    <t xml:space="preserve">GWB ceilings A04.01</t>
  </si>
  <si>
    <t xml:space="preserve">ALC-12</t>
  </si>
  <si>
    <t xml:space="preserve">furring, carrying, hanger wire, ceiling track</t>
  </si>
  <si>
    <t xml:space="preserve">ALC-13</t>
  </si>
  <si>
    <t xml:space="preserve">CSR soffit 10/A09.33, ceiling/soffit track</t>
  </si>
  <si>
    <t xml:space="preserve">ALC-14</t>
  </si>
  <si>
    <t xml:space="preserve">canopy soffit/fascia 7/A09.26 (FRT plywood, track)</t>
  </si>
  <si>
    <t xml:space="preserve">ALC-15</t>
  </si>
  <si>
    <t xml:space="preserve">canopy column wraps 5/A09.25 (3-5/8" stud, track)</t>
  </si>
  <si>
    <t xml:space="preserve">ALC-16</t>
  </si>
  <si>
    <t xml:space="preserve">FRT + metal blocking</t>
  </si>
  <si>
    <t xml:space="preserve">ALC-17</t>
  </si>
  <si>
    <t xml:space="preserve">framed openings MEP</t>
  </si>
  <si>
    <t xml:space="preserve">ALC-18</t>
  </si>
  <si>
    <t xml:space="preserve">metal trim</t>
  </si>
  <si>
    <t xml:space="preserve">ALC-19</t>
  </si>
  <si>
    <t xml:space="preserve">RFI-M02 acoustical sealant sin tool v64</t>
  </si>
  <si>
    <t xml:space="preserve">ALC-20</t>
  </si>
  <si>
    <t xml:space="preserve">cement board cove base 113/114 (FRP no nuestro: A05.01)</t>
  </si>
  <si>
    <t xml:space="preserve">ALC-21</t>
  </si>
  <si>
    <t xml:space="preserve">NO APLICA</t>
  </si>
  <si>
    <t xml:space="preserve">NO APLICA: A02.01 sin shaft walls ni area separation walls; escaneo sin hallazgos</t>
  </si>
  <si>
    <t xml:space="preserve">ALC-22</t>
  </si>
  <si>
    <t xml:space="preserve">NO APLICA: A02.01, A05.01 — A12.01 FIRE RATING/U.L. '--' en todos los tipos; 'FIRE RATED' solo nombra el plywood backboard (cuantificado en FRT plywood) y el stamp de NER</t>
  </si>
  <si>
    <t xml:space="preserve">ALC-23</t>
  </si>
  <si>
    <t xml:space="preserve">ballistic panel 4/A12.01</t>
  </si>
  <si>
    <t xml:space="preserve">ALC-24</t>
  </si>
  <si>
    <t xml:space="preserve">RFI-M04 Level 5 WC-20/WC-22 (A05.01 notas 9,10)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</si>
</sst>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0"/>
    <col collapsed="false" customWidth="true" hidden="false" outlineLevel="0" max="3" min="3" style="0" width="26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  <c r="B3" s="0" t="s">
        <v>3</v>
      </c>
      <c r="C3" s="0" t="s">
        <v>4</v>
      </c>
    </row>
    <row r="4" customFormat="false" ht="15" hidden="false" customHeight="false" outlineLevel="0" collapsed="false">
      <c r="A4" s="0" t="s">
        <v>5</v>
      </c>
      <c r="B4" s="2" t="n">
        <v>0.15</v>
      </c>
      <c r="C4" s="3" t="s">
        <v>6</v>
      </c>
    </row>
    <row r="5" customFormat="false" ht="15" hidden="false" customHeight="false" outlineLevel="0" collapsed="false">
      <c r="A5" s="0" t="s">
        <v>7</v>
      </c>
      <c r="B5" s="2" t="n">
        <v>0.06</v>
      </c>
      <c r="C5" s="3" t="s">
        <v>8</v>
      </c>
    </row>
    <row r="6" customFormat="false" ht="15" hidden="false" customHeight="false" outlineLevel="0" collapsed="false">
      <c r="A6" s="0" t="s">
        <v>9</v>
      </c>
      <c r="B6" s="2" t="n">
        <v>4</v>
      </c>
    </row>
    <row r="7" customFormat="false" ht="15" hidden="false" customHeight="false" outlineLevel="0" collapsed="false">
      <c r="A7" s="0" t="s">
        <v>10</v>
      </c>
      <c r="B7" s="2" t="n">
        <v>12</v>
      </c>
    </row>
    <row r="8" customFormat="false" ht="15" hidden="false" customHeight="false" outlineLevel="0" collapsed="false">
      <c r="A8" s="0" t="s">
        <v>11</v>
      </c>
      <c r="B8" s="2" t="n">
        <f aca="false">B6*B7</f>
        <v>48</v>
      </c>
      <c r="C8" s="3" t="s">
        <v>12</v>
      </c>
    </row>
    <row r="9" customFormat="false" ht="15" hidden="false" customHeight="false" outlineLevel="0" collapsed="false">
      <c r="A9" s="0" t="s">
        <v>13</v>
      </c>
      <c r="B9" s="2" t="n">
        <v>20</v>
      </c>
    </row>
    <row r="10" customFormat="false" ht="15" hidden="false" customHeight="false" outlineLevel="0" collapsed="false">
      <c r="A10" s="0" t="s">
        <v>14</v>
      </c>
      <c r="B10" s="2" t="n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1"/>
    <col collapsed="false" customWidth="true" hidden="false" outlineLevel="0" max="3" min="3" style="0" width="15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9" min="9" style="0" width="60"/>
    <col collapsed="false" customWidth="true" hidden="false" outlineLevel="0" max="10" min="10" style="0" width="56"/>
    <col collapsed="false" customWidth="true" hidden="false" outlineLevel="0" max="11" min="11" style="0" width="12"/>
  </cols>
  <sheetData>
    <row r="1" customFormat="false" ht="16.15" hidden="false" customHeight="false" outlineLevel="0" collapsed="false">
      <c r="A1" s="1" t="s">
        <v>15</v>
      </c>
    </row>
    <row r="2" customFormat="false" ht="15" hidden="false" customHeight="false" outlineLevel="0" collapsed="false">
      <c r="A2" s="0" t="s">
        <v>16</v>
      </c>
    </row>
    <row r="4" customFormat="false" ht="15" hidden="false" customHeight="false" outlineLevel="0" collapsed="false">
      <c r="A4" s="4" t="s">
        <v>17</v>
      </c>
      <c r="B4" s="4" t="s">
        <v>18</v>
      </c>
      <c r="C4" s="4" t="s">
        <v>19</v>
      </c>
      <c r="D4" s="4" t="s">
        <v>20</v>
      </c>
      <c r="E4" s="4" t="s">
        <v>21</v>
      </c>
      <c r="F4" s="4" t="s">
        <v>22</v>
      </c>
      <c r="G4" s="4" t="s">
        <v>23</v>
      </c>
      <c r="H4" s="4" t="s">
        <v>24</v>
      </c>
      <c r="I4" s="4" t="s">
        <v>25</v>
      </c>
      <c r="J4" s="4" t="s">
        <v>26</v>
      </c>
      <c r="K4" s="4" t="s">
        <v>27</v>
      </c>
    </row>
    <row r="5" customFormat="false" ht="15" hidden="false" customHeight="false" outlineLevel="0" collapsed="false">
      <c r="A5" s="5" t="s">
        <v>28</v>
      </c>
    </row>
    <row r="6" customFormat="false" ht="15" hidden="false" customHeight="false" outlineLevel="0" collapsed="false">
      <c r="A6" s="0" t="s">
        <v>29</v>
      </c>
      <c r="B6" s="0" t="s">
        <v>30</v>
      </c>
      <c r="C6" s="0" t="n">
        <v>11.771</v>
      </c>
      <c r="D6" s="0" t="n">
        <v>15.375</v>
      </c>
      <c r="E6" s="0" t="n">
        <v>2</v>
      </c>
      <c r="F6" s="0" t="s">
        <v>31</v>
      </c>
      <c r="G6" s="0" t="n">
        <v>16</v>
      </c>
      <c r="H6" s="0" t="n">
        <v>723.92</v>
      </c>
      <c r="I6" s="0" t="s">
        <v>32</v>
      </c>
      <c r="J6" s="0" t="s">
        <v>33</v>
      </c>
      <c r="K6" s="0" t="s">
        <v>34</v>
      </c>
    </row>
    <row r="7" customFormat="false" ht="15" hidden="false" customHeight="false" outlineLevel="0" collapsed="false">
      <c r="A7" s="0" t="s">
        <v>35</v>
      </c>
      <c r="B7" s="0" t="s">
        <v>36</v>
      </c>
      <c r="C7" s="0" t="n">
        <v>0.333</v>
      </c>
      <c r="D7" s="0" t="n">
        <v>15.375</v>
      </c>
      <c r="E7" s="0" t="n">
        <v>2</v>
      </c>
      <c r="F7" s="0" t="s">
        <v>31</v>
      </c>
      <c r="G7" s="0" t="n">
        <v>16</v>
      </c>
      <c r="H7" s="0" t="n">
        <v>20.48</v>
      </c>
      <c r="I7" s="0" t="s">
        <v>37</v>
      </c>
      <c r="J7" s="0" t="s">
        <v>33</v>
      </c>
      <c r="K7" s="0" t="s">
        <v>34</v>
      </c>
    </row>
    <row r="8" customFormat="false" ht="15" hidden="false" customHeight="false" outlineLevel="0" collapsed="false">
      <c r="A8" s="0" t="s">
        <v>38</v>
      </c>
      <c r="B8" s="0" t="s">
        <v>39</v>
      </c>
      <c r="C8" s="0" t="n">
        <v>3.507</v>
      </c>
      <c r="D8" s="0" t="n">
        <v>15.375</v>
      </c>
      <c r="E8" s="0" t="n">
        <v>2</v>
      </c>
      <c r="F8" s="0" t="s">
        <v>31</v>
      </c>
      <c r="G8" s="0" t="n">
        <v>16</v>
      </c>
      <c r="H8" s="0" t="n">
        <v>215.68</v>
      </c>
      <c r="I8" s="0" t="s">
        <v>40</v>
      </c>
      <c r="J8" s="0" t="s">
        <v>41</v>
      </c>
      <c r="K8" s="0" t="s">
        <v>34</v>
      </c>
    </row>
    <row r="9" customFormat="false" ht="15" hidden="false" customHeight="false" outlineLevel="0" collapsed="false">
      <c r="A9" s="0" t="s">
        <v>42</v>
      </c>
      <c r="B9" s="0" t="s">
        <v>43</v>
      </c>
      <c r="C9" s="0" t="n">
        <v>3.18</v>
      </c>
      <c r="D9" s="0" t="n">
        <v>15.375</v>
      </c>
      <c r="E9" s="0" t="n">
        <v>2</v>
      </c>
      <c r="F9" s="0" t="s">
        <v>31</v>
      </c>
      <c r="G9" s="0" t="n">
        <v>16</v>
      </c>
      <c r="H9" s="0" t="n">
        <v>195.58</v>
      </c>
      <c r="I9" s="0" t="s">
        <v>44</v>
      </c>
      <c r="J9" s="0" t="s">
        <v>33</v>
      </c>
      <c r="K9" s="0" t="s">
        <v>34</v>
      </c>
    </row>
    <row r="10" customFormat="false" ht="15" hidden="false" customHeight="false" outlineLevel="0" collapsed="false">
      <c r="A10" s="0" t="s">
        <v>45</v>
      </c>
      <c r="B10" s="0" t="s">
        <v>46</v>
      </c>
      <c r="C10" s="0" t="n">
        <v>7.5</v>
      </c>
      <c r="D10" s="0" t="n">
        <v>7.333</v>
      </c>
      <c r="E10" s="0" t="n">
        <v>2</v>
      </c>
      <c r="F10" s="0" t="s">
        <v>31</v>
      </c>
      <c r="G10" s="0" t="n">
        <v>16</v>
      </c>
      <c r="H10" s="0" t="n">
        <v>220</v>
      </c>
      <c r="I10" s="0" t="s">
        <v>47</v>
      </c>
      <c r="J10" s="0" t="s">
        <v>48</v>
      </c>
      <c r="K10" s="0" t="s">
        <v>34</v>
      </c>
    </row>
    <row r="11" customFormat="false" ht="15" hidden="false" customHeight="false" outlineLevel="0" collapsed="false">
      <c r="A11" s="0" t="s">
        <v>49</v>
      </c>
      <c r="B11" s="0" t="s">
        <v>50</v>
      </c>
      <c r="C11" s="0" t="n">
        <v>7.5</v>
      </c>
      <c r="D11" s="0" t="n">
        <v>7.333</v>
      </c>
      <c r="E11" s="0" t="n">
        <v>2</v>
      </c>
      <c r="F11" s="0" t="s">
        <v>31</v>
      </c>
      <c r="G11" s="0" t="n">
        <v>16</v>
      </c>
      <c r="H11" s="0" t="n">
        <v>220</v>
      </c>
      <c r="I11" s="0" t="s">
        <v>47</v>
      </c>
      <c r="J11" s="0" t="s">
        <v>48</v>
      </c>
      <c r="K11" s="0" t="s">
        <v>34</v>
      </c>
    </row>
    <row r="12" customFormat="false" ht="15" hidden="false" customHeight="false" outlineLevel="0" collapsed="false">
      <c r="A12" s="5" t="s">
        <v>51</v>
      </c>
    </row>
    <row r="13" customFormat="false" ht="15" hidden="false" customHeight="false" outlineLevel="0" collapsed="false">
      <c r="A13" s="0" t="s">
        <v>52</v>
      </c>
      <c r="B13" s="0" t="s">
        <v>53</v>
      </c>
      <c r="C13" s="0" t="n">
        <v>11.771</v>
      </c>
      <c r="D13" s="0" t="n">
        <v>15.375</v>
      </c>
      <c r="E13" s="0" t="n">
        <v>2</v>
      </c>
      <c r="F13" s="0" t="s">
        <v>31</v>
      </c>
      <c r="G13" s="0" t="n">
        <v>16</v>
      </c>
      <c r="H13" s="0" t="n">
        <v>723.92</v>
      </c>
      <c r="I13" s="0" t="s">
        <v>54</v>
      </c>
      <c r="J13" s="0" t="s">
        <v>33</v>
      </c>
      <c r="K13" s="0" t="s">
        <v>34</v>
      </c>
    </row>
    <row r="14" customFormat="false" ht="15" hidden="false" customHeight="false" outlineLevel="0" collapsed="false">
      <c r="A14" s="0" t="s">
        <v>55</v>
      </c>
      <c r="B14" s="0" t="s">
        <v>56</v>
      </c>
      <c r="C14" s="0" t="n">
        <v>11.771</v>
      </c>
      <c r="D14" s="0" t="n">
        <v>15.375</v>
      </c>
      <c r="E14" s="0" t="n">
        <v>2</v>
      </c>
      <c r="F14" s="0" t="s">
        <v>31</v>
      </c>
      <c r="G14" s="0" t="n">
        <v>16</v>
      </c>
      <c r="H14" s="0" t="n">
        <v>723.92</v>
      </c>
      <c r="I14" s="0" t="s">
        <v>54</v>
      </c>
      <c r="J14" s="0" t="s">
        <v>33</v>
      </c>
      <c r="K14" s="0" t="s">
        <v>34</v>
      </c>
    </row>
    <row r="15" customFormat="false" ht="15" hidden="false" customHeight="false" outlineLevel="0" collapsed="false">
      <c r="A15" s="0" t="s">
        <v>57</v>
      </c>
      <c r="B15" s="0" t="s">
        <v>58</v>
      </c>
      <c r="C15" s="0" t="n">
        <v>10.507</v>
      </c>
      <c r="D15" s="0" t="n">
        <v>15.375</v>
      </c>
      <c r="E15" s="0" t="n">
        <v>2</v>
      </c>
      <c r="F15" s="0" t="s">
        <v>31</v>
      </c>
      <c r="G15" s="0" t="n">
        <v>16</v>
      </c>
      <c r="H15" s="0" t="n">
        <v>646.18</v>
      </c>
      <c r="I15" s="0" t="s">
        <v>59</v>
      </c>
      <c r="J15" s="0" t="s">
        <v>60</v>
      </c>
      <c r="K15" s="0" t="s">
        <v>34</v>
      </c>
    </row>
    <row r="16" customFormat="false" ht="15" hidden="false" customHeight="false" outlineLevel="0" collapsed="false">
      <c r="A16" s="0" t="s">
        <v>61</v>
      </c>
      <c r="B16" s="0" t="s">
        <v>62</v>
      </c>
      <c r="C16" s="0" t="n">
        <v>2.42</v>
      </c>
      <c r="D16" s="0" t="n">
        <v>15.375</v>
      </c>
      <c r="E16" s="0" t="n">
        <v>2</v>
      </c>
      <c r="F16" s="0" t="s">
        <v>31</v>
      </c>
      <c r="G16" s="0" t="n">
        <v>16</v>
      </c>
      <c r="H16" s="0" t="n">
        <v>148.82</v>
      </c>
      <c r="I16" s="0" t="s">
        <v>63</v>
      </c>
      <c r="J16" s="0" t="s">
        <v>33</v>
      </c>
      <c r="K16" s="0" t="s">
        <v>34</v>
      </c>
    </row>
    <row r="17" customFormat="false" ht="15" hidden="false" customHeight="false" outlineLevel="0" collapsed="false">
      <c r="A17" s="0" t="s">
        <v>64</v>
      </c>
      <c r="B17" s="0" t="s">
        <v>65</v>
      </c>
      <c r="C17" s="0" t="n">
        <v>3.467</v>
      </c>
      <c r="D17" s="0" t="n">
        <v>15.375</v>
      </c>
      <c r="E17" s="0" t="n">
        <v>2</v>
      </c>
      <c r="F17" s="0" t="s">
        <v>31</v>
      </c>
      <c r="G17" s="0" t="n">
        <v>16</v>
      </c>
      <c r="H17" s="0" t="n">
        <v>213.22</v>
      </c>
      <c r="I17" s="0" t="s">
        <v>66</v>
      </c>
      <c r="J17" s="0" t="s">
        <v>60</v>
      </c>
      <c r="K17" s="0" t="s">
        <v>34</v>
      </c>
    </row>
    <row r="18" customFormat="false" ht="15" hidden="false" customHeight="false" outlineLevel="0" collapsed="false">
      <c r="A18" s="0" t="s">
        <v>67</v>
      </c>
      <c r="B18" s="0" t="s">
        <v>68</v>
      </c>
      <c r="C18" s="0" t="n">
        <v>3.253</v>
      </c>
      <c r="D18" s="0" t="n">
        <v>15.375</v>
      </c>
      <c r="E18" s="0" t="n">
        <v>2</v>
      </c>
      <c r="F18" s="0" t="s">
        <v>31</v>
      </c>
      <c r="G18" s="0" t="n">
        <v>16</v>
      </c>
      <c r="H18" s="0" t="n">
        <v>200.06</v>
      </c>
      <c r="I18" s="0" t="s">
        <v>69</v>
      </c>
      <c r="J18" s="0" t="s">
        <v>60</v>
      </c>
      <c r="K18" s="0" t="s">
        <v>34</v>
      </c>
    </row>
    <row r="19" customFormat="false" ht="15" hidden="false" customHeight="false" outlineLevel="0" collapsed="false">
      <c r="A19" s="0" t="s">
        <v>70</v>
      </c>
      <c r="B19" s="0" t="s">
        <v>71</v>
      </c>
      <c r="C19" s="0" t="n">
        <v>3.253</v>
      </c>
      <c r="D19" s="0" t="n">
        <v>15.375</v>
      </c>
      <c r="E19" s="0" t="n">
        <v>2</v>
      </c>
      <c r="F19" s="0" t="s">
        <v>31</v>
      </c>
      <c r="G19" s="0" t="n">
        <v>16</v>
      </c>
      <c r="H19" s="0" t="n">
        <v>200.06</v>
      </c>
      <c r="I19" s="0" t="s">
        <v>72</v>
      </c>
      <c r="J19" s="0" t="s">
        <v>60</v>
      </c>
      <c r="K19" s="0" t="s">
        <v>34</v>
      </c>
    </row>
    <row r="20" customFormat="false" ht="15" hidden="false" customHeight="false" outlineLevel="0" collapsed="false">
      <c r="A20" s="0" t="s">
        <v>73</v>
      </c>
      <c r="B20" s="0" t="s">
        <v>74</v>
      </c>
      <c r="C20" s="0" t="n">
        <v>0.973</v>
      </c>
      <c r="D20" s="0" t="n">
        <v>15.375</v>
      </c>
      <c r="E20" s="0" t="n">
        <v>2</v>
      </c>
      <c r="F20" s="0" t="s">
        <v>31</v>
      </c>
      <c r="G20" s="0" t="n">
        <v>16</v>
      </c>
      <c r="H20" s="0" t="n">
        <v>59.84</v>
      </c>
      <c r="I20" s="0" t="s">
        <v>75</v>
      </c>
      <c r="J20" s="0" t="s">
        <v>33</v>
      </c>
      <c r="K20" s="0" t="s">
        <v>34</v>
      </c>
    </row>
    <row r="21" customFormat="false" ht="15" hidden="false" customHeight="false" outlineLevel="0" collapsed="false">
      <c r="A21" s="0" t="s">
        <v>76</v>
      </c>
      <c r="B21" s="0" t="s">
        <v>77</v>
      </c>
      <c r="C21" s="0" t="n">
        <v>12.333</v>
      </c>
      <c r="D21" s="0" t="n">
        <v>15.375</v>
      </c>
      <c r="E21" s="0" t="n">
        <v>2</v>
      </c>
      <c r="F21" s="0" t="s">
        <v>31</v>
      </c>
      <c r="G21" s="0" t="n">
        <v>16</v>
      </c>
      <c r="H21" s="0" t="n">
        <v>758.48</v>
      </c>
      <c r="I21" s="0" t="s">
        <v>78</v>
      </c>
      <c r="J21" s="0" t="s">
        <v>60</v>
      </c>
      <c r="K21" s="0" t="s">
        <v>34</v>
      </c>
    </row>
    <row r="22" customFormat="false" ht="15" hidden="false" customHeight="false" outlineLevel="0" collapsed="false">
      <c r="A22" s="0" t="s">
        <v>79</v>
      </c>
      <c r="B22" s="0" t="s">
        <v>80</v>
      </c>
      <c r="C22" s="0" t="n">
        <v>11.625</v>
      </c>
      <c r="D22" s="0" t="n">
        <v>15.375</v>
      </c>
      <c r="E22" s="0" t="n">
        <v>2</v>
      </c>
      <c r="F22" s="0" t="s">
        <v>31</v>
      </c>
      <c r="G22" s="0" t="n">
        <v>16</v>
      </c>
      <c r="H22" s="0" t="n">
        <v>714.94</v>
      </c>
      <c r="I22" s="0" t="s">
        <v>81</v>
      </c>
      <c r="J22" s="0" t="s">
        <v>33</v>
      </c>
      <c r="K22" s="0" t="s">
        <v>34</v>
      </c>
    </row>
    <row r="23" customFormat="false" ht="15" hidden="false" customHeight="false" outlineLevel="0" collapsed="false">
      <c r="A23" s="0" t="s">
        <v>82</v>
      </c>
      <c r="B23" s="0" t="s">
        <v>83</v>
      </c>
      <c r="C23" s="0" t="n">
        <v>11.625</v>
      </c>
      <c r="D23" s="0" t="n">
        <v>15.375</v>
      </c>
      <c r="E23" s="0" t="n">
        <v>2</v>
      </c>
      <c r="F23" s="0" t="s">
        <v>31</v>
      </c>
      <c r="G23" s="0" t="n">
        <v>16</v>
      </c>
      <c r="H23" s="0" t="n">
        <v>714.94</v>
      </c>
      <c r="I23" s="0" t="s">
        <v>84</v>
      </c>
      <c r="J23" s="0" t="s">
        <v>33</v>
      </c>
      <c r="K23" s="0" t="s">
        <v>34</v>
      </c>
    </row>
    <row r="24" customFormat="false" ht="15" hidden="false" customHeight="false" outlineLevel="0" collapsed="false">
      <c r="A24" s="0" t="s">
        <v>85</v>
      </c>
      <c r="B24" s="0" t="s">
        <v>86</v>
      </c>
      <c r="C24" s="0" t="n">
        <v>7.5</v>
      </c>
      <c r="D24" s="0" t="n">
        <v>7.333</v>
      </c>
      <c r="E24" s="0" t="n">
        <v>2</v>
      </c>
      <c r="F24" s="0" t="s">
        <v>31</v>
      </c>
      <c r="G24" s="0" t="n">
        <v>16</v>
      </c>
      <c r="H24" s="0" t="n">
        <v>220</v>
      </c>
      <c r="I24" s="0" t="s">
        <v>87</v>
      </c>
      <c r="J24" s="0" t="s">
        <v>48</v>
      </c>
      <c r="K24" s="0" t="s">
        <v>34</v>
      </c>
    </row>
    <row r="25" customFormat="false" ht="15" hidden="false" customHeight="false" outlineLevel="0" collapsed="false">
      <c r="A25" s="0" t="s">
        <v>88</v>
      </c>
      <c r="B25" s="0" t="s">
        <v>89</v>
      </c>
      <c r="C25" s="0" t="n">
        <v>7.5</v>
      </c>
      <c r="D25" s="0" t="n">
        <v>7.333</v>
      </c>
      <c r="E25" s="0" t="n">
        <v>2</v>
      </c>
      <c r="F25" s="0" t="s">
        <v>31</v>
      </c>
      <c r="G25" s="0" t="n">
        <v>16</v>
      </c>
      <c r="H25" s="0" t="n">
        <v>220</v>
      </c>
      <c r="I25" s="0" t="s">
        <v>87</v>
      </c>
      <c r="J25" s="0" t="s">
        <v>48</v>
      </c>
      <c r="K25" s="0" t="s">
        <v>34</v>
      </c>
    </row>
    <row r="26" customFormat="false" ht="15" hidden="false" customHeight="false" outlineLevel="0" collapsed="false">
      <c r="A26" s="0" t="s">
        <v>90</v>
      </c>
      <c r="B26" s="0" t="s">
        <v>91</v>
      </c>
      <c r="C26" s="0" t="n">
        <v>7.5</v>
      </c>
      <c r="D26" s="0" t="n">
        <v>7.333</v>
      </c>
      <c r="E26" s="0" t="n">
        <v>2</v>
      </c>
      <c r="F26" s="0" t="s">
        <v>31</v>
      </c>
      <c r="G26" s="0" t="n">
        <v>16</v>
      </c>
      <c r="H26" s="0" t="n">
        <v>220</v>
      </c>
      <c r="I26" s="0" t="s">
        <v>87</v>
      </c>
      <c r="J26" s="0" t="s">
        <v>48</v>
      </c>
      <c r="K26" s="0" t="s">
        <v>34</v>
      </c>
    </row>
    <row r="27" customFormat="false" ht="15" hidden="false" customHeight="false" outlineLevel="0" collapsed="false">
      <c r="A27" s="0" t="s">
        <v>92</v>
      </c>
      <c r="B27" s="0" t="s">
        <v>93</v>
      </c>
      <c r="C27" s="0" t="n">
        <v>7.5</v>
      </c>
      <c r="D27" s="0" t="n">
        <v>7.333</v>
      </c>
      <c r="E27" s="0" t="n">
        <v>2</v>
      </c>
      <c r="F27" s="0" t="s">
        <v>31</v>
      </c>
      <c r="G27" s="0" t="n">
        <v>16</v>
      </c>
      <c r="H27" s="0" t="n">
        <v>220</v>
      </c>
      <c r="I27" s="0" t="s">
        <v>87</v>
      </c>
      <c r="J27" s="0" t="s">
        <v>48</v>
      </c>
      <c r="K27" s="0" t="s">
        <v>34</v>
      </c>
    </row>
    <row r="28" customFormat="false" ht="15" hidden="false" customHeight="false" outlineLevel="0" collapsed="false">
      <c r="A28" s="5" t="s">
        <v>94</v>
      </c>
    </row>
    <row r="29" customFormat="false" ht="15" hidden="false" customHeight="false" outlineLevel="0" collapsed="false">
      <c r="A29" s="0" t="s">
        <v>95</v>
      </c>
      <c r="B29" s="0" t="s">
        <v>96</v>
      </c>
      <c r="C29" s="0" t="n">
        <v>5.66</v>
      </c>
      <c r="D29" s="0" t="n">
        <v>15.375</v>
      </c>
      <c r="E29" s="0" t="n">
        <v>1</v>
      </c>
      <c r="F29" s="0" t="s">
        <v>97</v>
      </c>
      <c r="G29" s="0" t="n">
        <v>16</v>
      </c>
      <c r="H29" s="0" t="n">
        <v>111.44</v>
      </c>
      <c r="I29" s="0" t="s">
        <v>98</v>
      </c>
      <c r="J29" s="0" t="s">
        <v>99</v>
      </c>
      <c r="K29" s="0" t="s">
        <v>34</v>
      </c>
    </row>
    <row r="30" customFormat="false" ht="15" hidden="false" customHeight="false" outlineLevel="0" collapsed="false">
      <c r="A30" s="0" t="s">
        <v>100</v>
      </c>
      <c r="B30" s="0" t="s">
        <v>101</v>
      </c>
      <c r="C30" s="0" t="n">
        <v>11.74</v>
      </c>
      <c r="D30" s="0" t="n">
        <v>12.842</v>
      </c>
      <c r="E30" s="0" t="n">
        <v>1</v>
      </c>
      <c r="F30" s="0" t="s">
        <v>97</v>
      </c>
      <c r="G30" s="0" t="n">
        <v>16</v>
      </c>
      <c r="H30" s="0" t="n">
        <v>301.54</v>
      </c>
      <c r="I30" s="0" t="s">
        <v>102</v>
      </c>
      <c r="J30" s="0" t="s">
        <v>99</v>
      </c>
      <c r="K30" s="0" t="s">
        <v>34</v>
      </c>
    </row>
    <row r="31" customFormat="false" ht="15" hidden="false" customHeight="false" outlineLevel="0" collapsed="false">
      <c r="A31" s="0" t="s">
        <v>103</v>
      </c>
      <c r="B31" s="0" t="s">
        <v>104</v>
      </c>
      <c r="C31" s="0" t="n">
        <v>0.38</v>
      </c>
      <c r="D31" s="0" t="n">
        <v>15.375</v>
      </c>
      <c r="E31" s="0" t="n">
        <v>1</v>
      </c>
      <c r="F31" s="0" t="s">
        <v>97</v>
      </c>
      <c r="G31" s="0" t="n">
        <v>16</v>
      </c>
      <c r="H31" s="0" t="n">
        <v>11.68</v>
      </c>
      <c r="I31" s="0" t="s">
        <v>105</v>
      </c>
      <c r="J31" s="0" t="s">
        <v>106</v>
      </c>
      <c r="K31" s="0" t="s">
        <v>34</v>
      </c>
    </row>
    <row r="32" customFormat="false" ht="15" hidden="false" customHeight="false" outlineLevel="0" collapsed="false">
      <c r="A32" s="0" t="s">
        <v>107</v>
      </c>
      <c r="B32" s="0" t="s">
        <v>108</v>
      </c>
      <c r="C32" s="0" t="n">
        <v>4.747</v>
      </c>
      <c r="D32" s="0" t="n">
        <v>13.052</v>
      </c>
      <c r="E32" s="0" t="n">
        <v>1</v>
      </c>
      <c r="F32" s="0" t="s">
        <v>97</v>
      </c>
      <c r="G32" s="0" t="n">
        <v>16</v>
      </c>
      <c r="H32" s="0" t="n">
        <v>76.14</v>
      </c>
      <c r="I32" s="0" t="s">
        <v>109</v>
      </c>
      <c r="J32" s="0" t="s">
        <v>106</v>
      </c>
      <c r="K32" s="0" t="s">
        <v>34</v>
      </c>
    </row>
    <row r="33" customFormat="false" ht="15" hidden="false" customHeight="false" outlineLevel="0" collapsed="false">
      <c r="A33" s="0" t="s">
        <v>110</v>
      </c>
      <c r="B33" s="0" t="s">
        <v>111</v>
      </c>
      <c r="C33" s="0" t="n">
        <v>15.787</v>
      </c>
      <c r="D33" s="0" t="n">
        <v>12.927</v>
      </c>
      <c r="E33" s="0" t="n">
        <v>1</v>
      </c>
      <c r="F33" s="0" t="s">
        <v>97</v>
      </c>
      <c r="G33" s="0" t="n">
        <v>16</v>
      </c>
      <c r="H33" s="0" t="n">
        <v>264.84</v>
      </c>
      <c r="I33" s="0" t="s">
        <v>112</v>
      </c>
      <c r="J33" s="0" t="s">
        <v>99</v>
      </c>
      <c r="K33" s="0" t="s">
        <v>34</v>
      </c>
    </row>
    <row r="34" customFormat="false" ht="15" hidden="false" customHeight="false" outlineLevel="0" collapsed="false">
      <c r="A34" s="5" t="s">
        <v>113</v>
      </c>
    </row>
    <row r="35" customFormat="false" ht="15" hidden="false" customHeight="false" outlineLevel="0" collapsed="false">
      <c r="A35" s="0" t="s">
        <v>114</v>
      </c>
      <c r="B35" s="0" t="s">
        <v>115</v>
      </c>
      <c r="C35" s="0" t="n">
        <v>16.916</v>
      </c>
      <c r="D35" s="0" t="n">
        <v>15.375</v>
      </c>
      <c r="E35" s="0" t="n">
        <v>1</v>
      </c>
      <c r="F35" s="0" t="s">
        <v>116</v>
      </c>
      <c r="G35" s="0" t="n">
        <v>16</v>
      </c>
      <c r="H35" s="0" t="n">
        <v>309.3</v>
      </c>
      <c r="I35" s="0" t="s">
        <v>117</v>
      </c>
      <c r="J35" s="0" t="s">
        <v>118</v>
      </c>
      <c r="K35" s="0" t="s">
        <v>34</v>
      </c>
    </row>
    <row r="36" customFormat="false" ht="15" hidden="false" customHeight="false" outlineLevel="0" collapsed="false">
      <c r="A36" s="5" t="s">
        <v>119</v>
      </c>
    </row>
    <row r="37" customFormat="false" ht="15" hidden="false" customHeight="false" outlineLevel="0" collapsed="false">
      <c r="A37" s="0" t="s">
        <v>120</v>
      </c>
      <c r="B37" s="0" t="s">
        <v>121</v>
      </c>
      <c r="C37" s="0" t="n">
        <v>16.42</v>
      </c>
      <c r="D37" s="0" t="n">
        <v>15.375</v>
      </c>
      <c r="E37" s="0" t="n">
        <v>1</v>
      </c>
      <c r="F37" s="0" t="s">
        <v>116</v>
      </c>
      <c r="G37" s="0" t="n">
        <v>16</v>
      </c>
      <c r="H37" s="0" t="n">
        <v>353.36</v>
      </c>
      <c r="I37" s="0" t="s">
        <v>122</v>
      </c>
      <c r="J37" s="0" t="s">
        <v>123</v>
      </c>
      <c r="K37" s="0" t="s">
        <v>34</v>
      </c>
    </row>
    <row r="38" customFormat="false" ht="15" hidden="false" customHeight="false" outlineLevel="0" collapsed="false">
      <c r="A38" s="0" t="s">
        <v>124</v>
      </c>
      <c r="B38" s="0" t="s">
        <v>125</v>
      </c>
      <c r="C38" s="0" t="n">
        <v>3.533</v>
      </c>
      <c r="D38" s="0" t="n">
        <v>15.375</v>
      </c>
      <c r="E38" s="0" t="n">
        <v>1</v>
      </c>
      <c r="F38" s="0" t="s">
        <v>116</v>
      </c>
      <c r="G38" s="0" t="n">
        <v>16</v>
      </c>
      <c r="H38" s="0" t="n">
        <v>86.12</v>
      </c>
      <c r="I38" s="0" t="s">
        <v>126</v>
      </c>
      <c r="J38" s="0" t="s">
        <v>123</v>
      </c>
      <c r="K38" s="0" t="s">
        <v>34</v>
      </c>
    </row>
    <row r="39" customFormat="false" ht="15" hidden="false" customHeight="false" outlineLevel="0" collapsed="false">
      <c r="A39" s="0" t="s">
        <v>127</v>
      </c>
      <c r="B39" s="0" t="s">
        <v>128</v>
      </c>
      <c r="C39" s="0" t="n">
        <v>2.625</v>
      </c>
      <c r="D39" s="0" t="n">
        <v>15.375</v>
      </c>
      <c r="E39" s="0" t="n">
        <v>1</v>
      </c>
      <c r="F39" s="0" t="s">
        <v>116</v>
      </c>
      <c r="G39" s="0" t="n">
        <v>16</v>
      </c>
      <c r="H39" s="0" t="n">
        <v>63.98</v>
      </c>
      <c r="I39" s="0" t="s">
        <v>129</v>
      </c>
      <c r="J39" s="0" t="s">
        <v>130</v>
      </c>
      <c r="K39" s="0" t="s">
        <v>34</v>
      </c>
    </row>
    <row r="40" customFormat="false" ht="15" hidden="false" customHeight="false" outlineLevel="0" collapsed="false">
      <c r="A40" s="0" t="s">
        <v>131</v>
      </c>
      <c r="B40" s="0" t="s">
        <v>132</v>
      </c>
      <c r="C40" s="0" t="n">
        <v>15.427</v>
      </c>
      <c r="D40" s="0" t="n">
        <v>13.034</v>
      </c>
      <c r="E40" s="0" t="n">
        <v>1</v>
      </c>
      <c r="F40" s="0" t="s">
        <v>116</v>
      </c>
      <c r="G40" s="0" t="n">
        <v>16</v>
      </c>
      <c r="H40" s="0" t="n">
        <v>277.68</v>
      </c>
      <c r="I40" s="0" t="s">
        <v>133</v>
      </c>
      <c r="J40" s="0" t="s">
        <v>123</v>
      </c>
      <c r="K40" s="0" t="s">
        <v>34</v>
      </c>
    </row>
    <row r="41" customFormat="false" ht="15" hidden="false" customHeight="false" outlineLevel="0" collapsed="false">
      <c r="A41" s="0" t="s">
        <v>134</v>
      </c>
      <c r="B41" s="0" t="s">
        <v>135</v>
      </c>
      <c r="C41" s="0" t="n">
        <v>1.473</v>
      </c>
      <c r="D41" s="0" t="n">
        <v>15.375</v>
      </c>
      <c r="E41" s="0" t="n">
        <v>1</v>
      </c>
      <c r="F41" s="0" t="s">
        <v>116</v>
      </c>
      <c r="G41" s="0" t="n">
        <v>16</v>
      </c>
      <c r="H41" s="0" t="n">
        <v>30.94</v>
      </c>
      <c r="I41" s="0" t="s">
        <v>136</v>
      </c>
      <c r="J41" s="0" t="s">
        <v>123</v>
      </c>
      <c r="K41" s="0" t="s">
        <v>34</v>
      </c>
    </row>
    <row r="42" customFormat="false" ht="15" hidden="false" customHeight="false" outlineLevel="0" collapsed="false">
      <c r="A42" s="0" t="s">
        <v>137</v>
      </c>
      <c r="B42" s="0" t="s">
        <v>138</v>
      </c>
      <c r="C42" s="0" t="n">
        <v>6.947</v>
      </c>
      <c r="D42" s="0" t="n">
        <v>13.037</v>
      </c>
      <c r="E42" s="0" t="n">
        <v>1</v>
      </c>
      <c r="F42" s="0" t="s">
        <v>116</v>
      </c>
      <c r="G42" s="0" t="n">
        <v>16</v>
      </c>
      <c r="H42" s="0" t="n">
        <v>77.26</v>
      </c>
      <c r="I42" s="0" t="s">
        <v>139</v>
      </c>
      <c r="J42" s="0" t="s">
        <v>123</v>
      </c>
      <c r="K42" s="0" t="s">
        <v>34</v>
      </c>
    </row>
    <row r="43" customFormat="false" ht="15" hidden="false" customHeight="false" outlineLevel="0" collapsed="false">
      <c r="A43" s="0" t="s">
        <v>140</v>
      </c>
      <c r="B43" s="0" t="s">
        <v>141</v>
      </c>
      <c r="C43" s="0" t="n">
        <v>14.147</v>
      </c>
      <c r="D43" s="0" t="n">
        <v>12.892</v>
      </c>
      <c r="E43" s="0" t="n">
        <v>1</v>
      </c>
      <c r="F43" s="0" t="s">
        <v>116</v>
      </c>
      <c r="G43" s="0" t="n">
        <v>16</v>
      </c>
      <c r="H43" s="0" t="n">
        <v>309.7</v>
      </c>
      <c r="I43" s="0" t="s">
        <v>142</v>
      </c>
      <c r="J43" s="0" t="s">
        <v>143</v>
      </c>
      <c r="K43" s="0" t="s">
        <v>34</v>
      </c>
    </row>
    <row r="44" customFormat="false" ht="15" hidden="false" customHeight="false" outlineLevel="0" collapsed="false">
      <c r="A44" s="0" t="s">
        <v>144</v>
      </c>
      <c r="B44" s="0" t="s">
        <v>145</v>
      </c>
      <c r="C44" s="0" t="n">
        <v>1.733</v>
      </c>
      <c r="D44" s="0" t="n">
        <v>13.025</v>
      </c>
      <c r="E44" s="0" t="n">
        <v>1</v>
      </c>
      <c r="F44" s="0" t="s">
        <v>116</v>
      </c>
      <c r="G44" s="0" t="n">
        <v>16</v>
      </c>
      <c r="H44" s="0" t="n">
        <v>32.06</v>
      </c>
      <c r="I44" s="0" t="s">
        <v>146</v>
      </c>
      <c r="J44" s="0" t="s">
        <v>123</v>
      </c>
      <c r="K44" s="0" t="s">
        <v>34</v>
      </c>
    </row>
    <row r="45" customFormat="false" ht="15" hidden="false" customHeight="false" outlineLevel="0" collapsed="false">
      <c r="A45" s="0" t="s">
        <v>147</v>
      </c>
      <c r="B45" s="0" t="s">
        <v>148</v>
      </c>
      <c r="C45" s="0" t="n">
        <v>5.513</v>
      </c>
      <c r="D45" s="0" t="n">
        <v>12.989</v>
      </c>
      <c r="E45" s="0" t="n">
        <v>1</v>
      </c>
      <c r="F45" s="0" t="s">
        <v>116</v>
      </c>
      <c r="G45" s="0" t="n">
        <v>16</v>
      </c>
      <c r="H45" s="0" t="n">
        <v>47.55</v>
      </c>
      <c r="I45" s="0" t="s">
        <v>149</v>
      </c>
      <c r="J45" s="0" t="s">
        <v>123</v>
      </c>
      <c r="K45" s="0" t="s">
        <v>34</v>
      </c>
    </row>
    <row r="46" customFormat="false" ht="15" hidden="false" customHeight="false" outlineLevel="0" collapsed="false">
      <c r="A46" s="0" t="s">
        <v>150</v>
      </c>
      <c r="B46" s="0" t="s">
        <v>151</v>
      </c>
      <c r="C46" s="0" t="n">
        <v>8.167</v>
      </c>
      <c r="D46" s="0" t="n">
        <v>12.835</v>
      </c>
      <c r="E46" s="0" t="n">
        <v>1</v>
      </c>
      <c r="F46" s="0" t="s">
        <v>116</v>
      </c>
      <c r="G46" s="0" t="n">
        <v>16</v>
      </c>
      <c r="H46" s="0" t="n">
        <v>151.09</v>
      </c>
      <c r="I46" s="0" t="s">
        <v>152</v>
      </c>
      <c r="J46" s="0" t="s">
        <v>123</v>
      </c>
      <c r="K46" s="0" t="s">
        <v>34</v>
      </c>
    </row>
    <row r="47" customFormat="false" ht="15" hidden="false" customHeight="false" outlineLevel="0" collapsed="false">
      <c r="A47" s="0" t="s">
        <v>153</v>
      </c>
      <c r="B47" s="0" t="s">
        <v>154</v>
      </c>
      <c r="C47" s="0" t="n">
        <v>1.3</v>
      </c>
      <c r="D47" s="0" t="n">
        <v>13.02</v>
      </c>
      <c r="E47" s="0" t="n">
        <v>1</v>
      </c>
      <c r="F47" s="0" t="s">
        <v>116</v>
      </c>
      <c r="G47" s="0" t="n">
        <v>16</v>
      </c>
      <c r="H47" s="0" t="n">
        <v>23.4</v>
      </c>
      <c r="I47" s="0" t="s">
        <v>155</v>
      </c>
      <c r="J47" s="0" t="s">
        <v>130</v>
      </c>
      <c r="K47" s="0" t="s">
        <v>34</v>
      </c>
    </row>
    <row r="48" customFormat="false" ht="15" hidden="false" customHeight="false" outlineLevel="0" collapsed="false">
      <c r="A48" s="0" t="s">
        <v>156</v>
      </c>
      <c r="B48" s="0" t="s">
        <v>157</v>
      </c>
      <c r="C48" s="0" t="n">
        <v>4.887</v>
      </c>
      <c r="D48" s="0" t="n">
        <v>13.02</v>
      </c>
      <c r="E48" s="0" t="n">
        <v>1</v>
      </c>
      <c r="F48" s="0" t="s">
        <v>116</v>
      </c>
      <c r="G48" s="0" t="n">
        <v>16</v>
      </c>
      <c r="H48" s="0" t="n">
        <v>87.96</v>
      </c>
      <c r="I48" s="0" t="s">
        <v>158</v>
      </c>
      <c r="J48" s="0" t="s">
        <v>130</v>
      </c>
      <c r="K48" s="0" t="s">
        <v>34</v>
      </c>
    </row>
    <row r="49" customFormat="false" ht="15" hidden="false" customHeight="false" outlineLevel="0" collapsed="false">
      <c r="A49" s="0" t="s">
        <v>159</v>
      </c>
      <c r="B49" s="0" t="s">
        <v>160</v>
      </c>
      <c r="C49" s="0" t="n">
        <v>1.3</v>
      </c>
      <c r="D49" s="0" t="n">
        <v>12.927</v>
      </c>
      <c r="E49" s="0" t="n">
        <v>1</v>
      </c>
      <c r="F49" s="0" t="s">
        <v>116</v>
      </c>
      <c r="G49" s="0" t="n">
        <v>16</v>
      </c>
      <c r="H49" s="0" t="n">
        <v>23.4</v>
      </c>
      <c r="I49" s="0" t="s">
        <v>161</v>
      </c>
      <c r="J49" s="0" t="s">
        <v>130</v>
      </c>
      <c r="K49" s="0" t="s">
        <v>34</v>
      </c>
    </row>
    <row r="50" customFormat="false" ht="15" hidden="false" customHeight="false" outlineLevel="0" collapsed="false">
      <c r="A50" s="5" t="s">
        <v>162</v>
      </c>
    </row>
    <row r="51" customFormat="false" ht="15" hidden="false" customHeight="false" outlineLevel="0" collapsed="false">
      <c r="A51" s="0" t="s">
        <v>163</v>
      </c>
      <c r="B51" s="0" t="s">
        <v>164</v>
      </c>
      <c r="C51" s="0" t="n">
        <v>11</v>
      </c>
      <c r="D51" s="0" t="n">
        <v>15.375</v>
      </c>
      <c r="E51" s="0" t="n">
        <v>1</v>
      </c>
      <c r="F51" s="0" t="s">
        <v>97</v>
      </c>
      <c r="G51" s="0" t="n">
        <v>16</v>
      </c>
      <c r="H51" s="0" t="n">
        <v>231</v>
      </c>
      <c r="I51" s="0" t="s">
        <v>165</v>
      </c>
      <c r="J51" s="0" t="s">
        <v>166</v>
      </c>
      <c r="K51" s="0" t="s">
        <v>34</v>
      </c>
    </row>
    <row r="52" customFormat="false" ht="15" hidden="false" customHeight="false" outlineLevel="0" collapsed="false">
      <c r="A52" s="0" t="s">
        <v>167</v>
      </c>
      <c r="B52" s="0" t="s">
        <v>168</v>
      </c>
      <c r="C52" s="0" t="n">
        <v>0.967</v>
      </c>
      <c r="D52" s="0" t="n">
        <v>15.375</v>
      </c>
      <c r="E52" s="0" t="n">
        <v>1</v>
      </c>
      <c r="F52" s="0" t="s">
        <v>97</v>
      </c>
      <c r="G52" s="0" t="n">
        <v>16</v>
      </c>
      <c r="H52" s="0" t="n">
        <v>17.4</v>
      </c>
      <c r="I52" s="0" t="s">
        <v>169</v>
      </c>
      <c r="J52" s="0" t="s">
        <v>166</v>
      </c>
      <c r="K52" s="0" t="s">
        <v>34</v>
      </c>
    </row>
    <row r="53" customFormat="false" ht="15" hidden="false" customHeight="false" outlineLevel="0" collapsed="false">
      <c r="A53" s="0" t="s">
        <v>170</v>
      </c>
      <c r="B53" s="0" t="s">
        <v>171</v>
      </c>
      <c r="C53" s="0" t="n">
        <v>15.481</v>
      </c>
      <c r="D53" s="0" t="n">
        <v>15.375</v>
      </c>
      <c r="E53" s="0" t="n">
        <v>1</v>
      </c>
      <c r="F53" s="0" t="s">
        <v>97</v>
      </c>
      <c r="G53" s="0" t="n">
        <v>16</v>
      </c>
      <c r="H53" s="0" t="n">
        <v>306.3</v>
      </c>
      <c r="I53" s="0" t="s">
        <v>172</v>
      </c>
      <c r="J53" s="0" t="s">
        <v>130</v>
      </c>
      <c r="K53" s="0" t="s">
        <v>34</v>
      </c>
    </row>
    <row r="54" customFormat="false" ht="15" hidden="false" customHeight="false" outlineLevel="0" collapsed="false">
      <c r="A54" s="0" t="s">
        <v>173</v>
      </c>
      <c r="B54" s="0" t="s">
        <v>174</v>
      </c>
      <c r="C54" s="0" t="n">
        <v>4.332</v>
      </c>
      <c r="D54" s="0" t="n">
        <v>13.052</v>
      </c>
      <c r="E54" s="0" t="n">
        <v>1</v>
      </c>
      <c r="F54" s="0" t="s">
        <v>97</v>
      </c>
      <c r="G54" s="0" t="n">
        <v>16</v>
      </c>
      <c r="H54" s="0" t="n">
        <v>80.14</v>
      </c>
      <c r="I54" s="0" t="s">
        <v>175</v>
      </c>
      <c r="J54" s="0" t="s">
        <v>130</v>
      </c>
      <c r="K54" s="0" t="s">
        <v>34</v>
      </c>
    </row>
    <row r="55" customFormat="false" ht="15" hidden="false" customHeight="false" outlineLevel="0" collapsed="false">
      <c r="A55" s="0" t="s">
        <v>176</v>
      </c>
      <c r="B55" s="0" t="s">
        <v>177</v>
      </c>
      <c r="C55" s="0" t="n">
        <v>3.28</v>
      </c>
      <c r="D55" s="0" t="n">
        <v>12.98</v>
      </c>
      <c r="E55" s="0" t="n">
        <v>1</v>
      </c>
      <c r="F55" s="0" t="s">
        <v>97</v>
      </c>
      <c r="G55" s="0" t="n">
        <v>16</v>
      </c>
      <c r="H55" s="0" t="n">
        <v>60.68</v>
      </c>
      <c r="I55" s="0" t="s">
        <v>178</v>
      </c>
      <c r="J55" s="0" t="s">
        <v>166</v>
      </c>
      <c r="K55" s="0" t="s">
        <v>34</v>
      </c>
    </row>
    <row r="56" customFormat="false" ht="15" hidden="false" customHeight="false" outlineLevel="0" collapsed="false">
      <c r="A56" s="5" t="s">
        <v>179</v>
      </c>
    </row>
    <row r="57" customFormat="false" ht="15" hidden="false" customHeight="false" outlineLevel="0" collapsed="false">
      <c r="A57" s="0" t="s">
        <v>180</v>
      </c>
      <c r="B57" s="0" t="s">
        <v>181</v>
      </c>
      <c r="C57" s="0" t="n">
        <v>10</v>
      </c>
      <c r="D57" s="0" t="n">
        <v>15.375</v>
      </c>
      <c r="E57" s="0" t="n">
        <v>1</v>
      </c>
      <c r="F57" s="0" t="s">
        <v>116</v>
      </c>
      <c r="G57" s="0" t="n">
        <v>16</v>
      </c>
      <c r="H57" s="0" t="n">
        <v>153.75</v>
      </c>
      <c r="I57" s="0" t="s">
        <v>182</v>
      </c>
      <c r="J57" s="0" t="s">
        <v>183</v>
      </c>
      <c r="K57" s="0" t="s">
        <v>34</v>
      </c>
    </row>
    <row r="58" customFormat="false" ht="15" hidden="false" customHeight="false" outlineLevel="0" collapsed="false">
      <c r="A58" s="0" t="s">
        <v>184</v>
      </c>
      <c r="B58" s="0" t="s">
        <v>185</v>
      </c>
      <c r="C58" s="0" t="n">
        <v>0.313</v>
      </c>
      <c r="D58" s="0" t="n">
        <v>15.375</v>
      </c>
      <c r="E58" s="0" t="n">
        <v>1</v>
      </c>
      <c r="F58" s="0" t="s">
        <v>116</v>
      </c>
      <c r="G58" s="0" t="n">
        <v>16</v>
      </c>
      <c r="H58" s="0" t="n">
        <v>4.81</v>
      </c>
      <c r="I58" s="0" t="s">
        <v>186</v>
      </c>
      <c r="J58" s="0" t="s">
        <v>183</v>
      </c>
      <c r="K58" s="0" t="s">
        <v>34</v>
      </c>
    </row>
    <row r="59" customFormat="false" ht="15" hidden="false" customHeight="false" outlineLevel="0" collapsed="false">
      <c r="A59" s="0" t="s">
        <v>187</v>
      </c>
      <c r="B59" s="0" t="s">
        <v>188</v>
      </c>
      <c r="C59" s="0" t="n">
        <v>0.313</v>
      </c>
      <c r="D59" s="0" t="n">
        <v>15.375</v>
      </c>
      <c r="E59" s="0" t="n">
        <v>1</v>
      </c>
      <c r="F59" s="0" t="s">
        <v>116</v>
      </c>
      <c r="G59" s="0" t="n">
        <v>16</v>
      </c>
      <c r="H59" s="0" t="n">
        <v>4.81</v>
      </c>
      <c r="I59" s="0" t="s">
        <v>186</v>
      </c>
      <c r="J59" s="0" t="s">
        <v>183</v>
      </c>
      <c r="K59" s="0" t="s">
        <v>34</v>
      </c>
    </row>
    <row r="60" customFormat="false" ht="15" hidden="false" customHeight="false" outlineLevel="0" collapsed="false">
      <c r="A60" s="0" t="s">
        <v>189</v>
      </c>
      <c r="B60" s="0" t="s">
        <v>190</v>
      </c>
      <c r="C60" s="0" t="n">
        <v>2.927</v>
      </c>
      <c r="D60" s="0" t="n">
        <v>12.988</v>
      </c>
      <c r="E60" s="0" t="n">
        <v>1</v>
      </c>
      <c r="F60" s="0" t="s">
        <v>116</v>
      </c>
      <c r="G60" s="0" t="n">
        <v>16</v>
      </c>
      <c r="H60" s="0" t="n">
        <v>38.02</v>
      </c>
      <c r="I60" s="0" t="s">
        <v>191</v>
      </c>
      <c r="J60" s="0" t="s">
        <v>183</v>
      </c>
      <c r="K60" s="0" t="s">
        <v>34</v>
      </c>
    </row>
    <row r="61" customFormat="false" ht="15" hidden="false" customHeight="false" outlineLevel="0" collapsed="false">
      <c r="A61" s="0" t="s">
        <v>192</v>
      </c>
      <c r="B61" s="0" t="s">
        <v>193</v>
      </c>
      <c r="C61" s="0" t="n">
        <v>10.027</v>
      </c>
      <c r="D61" s="0" t="n">
        <v>12.981</v>
      </c>
      <c r="E61" s="0" t="n">
        <v>1</v>
      </c>
      <c r="F61" s="0" t="s">
        <v>116</v>
      </c>
      <c r="G61" s="0" t="n">
        <v>16</v>
      </c>
      <c r="H61" s="0" t="n">
        <v>260.32</v>
      </c>
      <c r="I61" s="0" t="s">
        <v>194</v>
      </c>
      <c r="J61" s="0" t="s">
        <v>195</v>
      </c>
      <c r="K61" s="0" t="s">
        <v>34</v>
      </c>
    </row>
    <row r="62" customFormat="false" ht="15" hidden="false" customHeight="false" outlineLevel="0" collapsed="false">
      <c r="A62" s="0" t="s">
        <v>196</v>
      </c>
      <c r="B62" s="0" t="s">
        <v>197</v>
      </c>
      <c r="C62" s="0" t="n">
        <v>4</v>
      </c>
      <c r="D62" s="0" t="n">
        <v>15.375</v>
      </c>
      <c r="E62" s="0" t="n">
        <v>1</v>
      </c>
      <c r="F62" s="0" t="s">
        <v>116</v>
      </c>
      <c r="G62" s="0" t="n">
        <v>16</v>
      </c>
      <c r="H62" s="0" t="n">
        <v>61.5</v>
      </c>
      <c r="I62" s="0" t="s">
        <v>198</v>
      </c>
      <c r="J62" s="0" t="s">
        <v>183</v>
      </c>
      <c r="K62" s="0" t="s">
        <v>34</v>
      </c>
    </row>
    <row r="63" customFormat="false" ht="15" hidden="false" customHeight="false" outlineLevel="0" collapsed="false">
      <c r="A63" s="0" t="s">
        <v>199</v>
      </c>
      <c r="B63" s="0" t="s">
        <v>200</v>
      </c>
      <c r="C63" s="0" t="n">
        <v>2.893</v>
      </c>
      <c r="D63" s="0" t="n">
        <v>15.375</v>
      </c>
      <c r="E63" s="0" t="n">
        <v>1</v>
      </c>
      <c r="F63" s="0" t="s">
        <v>116</v>
      </c>
      <c r="G63" s="0" t="n">
        <v>16</v>
      </c>
      <c r="H63" s="0" t="n">
        <v>44.48</v>
      </c>
      <c r="I63" s="0" t="s">
        <v>201</v>
      </c>
      <c r="J63" s="0" t="s">
        <v>183</v>
      </c>
      <c r="K63" s="0" t="s">
        <v>34</v>
      </c>
    </row>
    <row r="64" customFormat="false" ht="15" hidden="false" customHeight="false" outlineLevel="0" collapsed="false">
      <c r="A64" s="5" t="s">
        <v>202</v>
      </c>
    </row>
    <row r="65" customFormat="false" ht="15" hidden="false" customHeight="false" outlineLevel="0" collapsed="false">
      <c r="A65" s="0" t="s">
        <v>203</v>
      </c>
      <c r="B65" s="0" t="s">
        <v>204</v>
      </c>
      <c r="C65" s="0" t="n">
        <v>9.583</v>
      </c>
      <c r="D65" s="0" t="n">
        <v>12.892</v>
      </c>
      <c r="E65" s="0" t="n">
        <v>1</v>
      </c>
      <c r="F65" s="0" t="s">
        <v>116</v>
      </c>
      <c r="G65" s="0" t="n">
        <v>16</v>
      </c>
      <c r="H65" s="0" t="n">
        <v>247.08</v>
      </c>
      <c r="I65" s="0" t="s">
        <v>205</v>
      </c>
      <c r="J65" s="0" t="s">
        <v>106</v>
      </c>
      <c r="K65" s="0" t="s">
        <v>34</v>
      </c>
    </row>
    <row r="66" customFormat="false" ht="15" hidden="false" customHeight="false" outlineLevel="0" collapsed="false">
      <c r="A66" s="0" t="s">
        <v>206</v>
      </c>
      <c r="B66" s="0" t="s">
        <v>207</v>
      </c>
      <c r="C66" s="0" t="n">
        <v>9.583</v>
      </c>
      <c r="D66" s="0" t="n">
        <v>12.762</v>
      </c>
      <c r="E66" s="0" t="n">
        <v>1</v>
      </c>
      <c r="F66" s="0" t="s">
        <v>116</v>
      </c>
      <c r="G66" s="0" t="n">
        <v>16</v>
      </c>
      <c r="H66" s="0" t="n">
        <v>244.6</v>
      </c>
      <c r="I66" s="0" t="s">
        <v>205</v>
      </c>
      <c r="J66" s="0" t="s">
        <v>106</v>
      </c>
      <c r="K66" s="0" t="s">
        <v>34</v>
      </c>
    </row>
    <row r="67" customFormat="false" ht="15" hidden="false" customHeight="false" outlineLevel="0" collapsed="false">
      <c r="A67" s="0" t="s">
        <v>208</v>
      </c>
      <c r="B67" s="0" t="s">
        <v>209</v>
      </c>
      <c r="C67" s="0" t="n">
        <v>14.147</v>
      </c>
      <c r="D67" s="0" t="n">
        <v>12.892</v>
      </c>
      <c r="E67" s="0" t="n">
        <v>1</v>
      </c>
      <c r="F67" s="0" t="s">
        <v>116</v>
      </c>
      <c r="G67" s="0" t="n">
        <v>16</v>
      </c>
      <c r="H67" s="0" t="n">
        <v>269.2</v>
      </c>
      <c r="I67" s="0" t="s">
        <v>210</v>
      </c>
      <c r="J67" s="0" t="s">
        <v>211</v>
      </c>
      <c r="K67" s="0" t="s">
        <v>34</v>
      </c>
    </row>
    <row r="68" customFormat="false" ht="15" hidden="false" customHeight="false" outlineLevel="0" collapsed="false">
      <c r="A68" s="0" t="s">
        <v>212</v>
      </c>
      <c r="B68" s="0" t="s">
        <v>213</v>
      </c>
      <c r="C68" s="0" t="n">
        <v>11.733</v>
      </c>
      <c r="D68" s="0" t="n">
        <v>12.812</v>
      </c>
      <c r="E68" s="0" t="n">
        <v>1</v>
      </c>
      <c r="F68" s="0" t="s">
        <v>116</v>
      </c>
      <c r="G68" s="0" t="n">
        <v>16</v>
      </c>
      <c r="H68" s="0" t="n">
        <v>252.86</v>
      </c>
      <c r="I68" s="0" t="s">
        <v>214</v>
      </c>
      <c r="J68" s="0" t="s">
        <v>211</v>
      </c>
      <c r="K68" s="0" t="s">
        <v>34</v>
      </c>
    </row>
    <row r="69" customFormat="false" ht="15" hidden="false" customHeight="false" outlineLevel="0" collapsed="false">
      <c r="A69" s="0" t="s">
        <v>215</v>
      </c>
      <c r="B69" s="0" t="s">
        <v>216</v>
      </c>
      <c r="C69" s="0" t="n">
        <v>3.5</v>
      </c>
      <c r="D69" s="0" t="n">
        <v>12.803</v>
      </c>
      <c r="E69" s="0" t="n">
        <v>1</v>
      </c>
      <c r="F69" s="0" t="s">
        <v>116</v>
      </c>
      <c r="G69" s="0" t="n">
        <v>16</v>
      </c>
      <c r="H69" s="0" t="n">
        <v>89.62</v>
      </c>
      <c r="I69" s="0" t="s">
        <v>217</v>
      </c>
      <c r="J69" s="0" t="s">
        <v>211</v>
      </c>
      <c r="K69" s="0" t="s">
        <v>34</v>
      </c>
    </row>
    <row r="70" customFormat="false" ht="15" hidden="false" customHeight="false" outlineLevel="0" collapsed="false">
      <c r="A70" s="0" t="s">
        <v>218</v>
      </c>
      <c r="B70" s="0" t="s">
        <v>219</v>
      </c>
      <c r="C70" s="0" t="n">
        <v>11.733</v>
      </c>
      <c r="D70" s="0" t="n">
        <v>12.73</v>
      </c>
      <c r="E70" s="0" t="n">
        <v>1</v>
      </c>
      <c r="F70" s="0" t="s">
        <v>116</v>
      </c>
      <c r="G70" s="0" t="n">
        <v>16</v>
      </c>
      <c r="H70" s="0" t="n">
        <v>298.72</v>
      </c>
      <c r="I70" s="0" t="s">
        <v>220</v>
      </c>
      <c r="J70" s="0" t="s">
        <v>211</v>
      </c>
      <c r="K70" s="0" t="s">
        <v>34</v>
      </c>
    </row>
    <row r="71" customFormat="false" ht="15" hidden="false" customHeight="false" outlineLevel="0" collapsed="false">
      <c r="A71" s="5" t="s">
        <v>221</v>
      </c>
    </row>
    <row r="72" customFormat="false" ht="15" hidden="false" customHeight="false" outlineLevel="0" collapsed="false">
      <c r="A72" s="0" t="s">
        <v>222</v>
      </c>
      <c r="B72" s="0" t="s">
        <v>223</v>
      </c>
      <c r="C72" s="0" t="n">
        <v>1.26</v>
      </c>
      <c r="D72" s="0" t="n">
        <v>15.375</v>
      </c>
      <c r="E72" s="0" t="n">
        <v>1</v>
      </c>
      <c r="F72" s="0" t="s">
        <v>97</v>
      </c>
      <c r="G72" s="0" t="n">
        <v>24</v>
      </c>
      <c r="H72" s="0" t="n">
        <v>38.74</v>
      </c>
      <c r="I72" s="0" t="s">
        <v>224</v>
      </c>
      <c r="J72" s="0" t="s">
        <v>225</v>
      </c>
      <c r="K72" s="0" t="s">
        <v>34</v>
      </c>
    </row>
    <row r="73" customFormat="false" ht="15" hidden="false" customHeight="false" outlineLevel="0" collapsed="false">
      <c r="A73" s="5" t="s">
        <v>226</v>
      </c>
    </row>
    <row r="74" customFormat="false" ht="15" hidden="false" customHeight="false" outlineLevel="0" collapsed="false">
      <c r="A74" s="0" t="s">
        <v>227</v>
      </c>
      <c r="B74" s="0" t="s">
        <v>228</v>
      </c>
      <c r="C74" s="0" t="n">
        <v>0.58</v>
      </c>
      <c r="D74" s="0" t="n">
        <v>15.375</v>
      </c>
      <c r="E74" s="0" t="n">
        <v>1</v>
      </c>
      <c r="F74" s="0" t="s">
        <v>116</v>
      </c>
      <c r="G74" s="0" t="n">
        <v>24</v>
      </c>
      <c r="H74" s="0" t="n">
        <v>17.84</v>
      </c>
      <c r="I74" s="0" t="s">
        <v>229</v>
      </c>
      <c r="J74" s="0" t="s">
        <v>225</v>
      </c>
      <c r="K74" s="0" t="s">
        <v>34</v>
      </c>
    </row>
    <row r="75" customFormat="false" ht="15" hidden="false" customHeight="false" outlineLevel="0" collapsed="false">
      <c r="A75" s="0" t="s">
        <v>230</v>
      </c>
      <c r="B75" s="0" t="s">
        <v>231</v>
      </c>
      <c r="C75" s="0" t="n">
        <v>2.98</v>
      </c>
      <c r="D75" s="0" t="n">
        <v>15.375</v>
      </c>
      <c r="E75" s="0" t="n">
        <v>1</v>
      </c>
      <c r="F75" s="0" t="s">
        <v>116</v>
      </c>
      <c r="G75" s="0" t="n">
        <v>24</v>
      </c>
      <c r="H75" s="0" t="n">
        <v>91.64</v>
      </c>
      <c r="I75" s="0" t="s">
        <v>232</v>
      </c>
      <c r="J75" s="0" t="s">
        <v>225</v>
      </c>
      <c r="K75" s="0" t="s">
        <v>34</v>
      </c>
    </row>
    <row r="76" customFormat="false" ht="15" hidden="false" customHeight="false" outlineLevel="0" collapsed="false">
      <c r="A76" s="0" t="s">
        <v>233</v>
      </c>
      <c r="B76" s="0" t="s">
        <v>234</v>
      </c>
      <c r="C76" s="0" t="n">
        <v>2.98</v>
      </c>
      <c r="D76" s="0" t="n">
        <v>13.002</v>
      </c>
      <c r="E76" s="0" t="n">
        <v>1</v>
      </c>
      <c r="F76" s="0" t="s">
        <v>116</v>
      </c>
      <c r="G76" s="0" t="n">
        <v>24</v>
      </c>
      <c r="H76" s="0" t="n">
        <v>77.5</v>
      </c>
      <c r="I76" s="0" t="s">
        <v>235</v>
      </c>
      <c r="J76" s="0" t="s">
        <v>236</v>
      </c>
      <c r="K76" s="0" t="s">
        <v>34</v>
      </c>
    </row>
    <row r="77" customFormat="false" ht="15" hidden="false" customHeight="false" outlineLevel="0" collapsed="false">
      <c r="A77" s="0" t="s">
        <v>237</v>
      </c>
      <c r="B77" s="0" t="s">
        <v>238</v>
      </c>
      <c r="C77" s="0" t="n">
        <v>0.587</v>
      </c>
      <c r="D77" s="0" t="n">
        <v>13.002</v>
      </c>
      <c r="E77" s="0" t="n">
        <v>1</v>
      </c>
      <c r="F77" s="0" t="s">
        <v>116</v>
      </c>
      <c r="G77" s="0" t="n">
        <v>24</v>
      </c>
      <c r="H77" s="0" t="n">
        <v>15.26</v>
      </c>
      <c r="I77" s="0" t="s">
        <v>239</v>
      </c>
      <c r="J77" s="0" t="s">
        <v>225</v>
      </c>
      <c r="K77" s="0" t="s">
        <v>34</v>
      </c>
    </row>
    <row r="78" customFormat="false" ht="15" hidden="false" customHeight="false" outlineLevel="0" collapsed="false">
      <c r="A78" s="0" t="s">
        <v>240</v>
      </c>
      <c r="B78" s="0" t="s">
        <v>241</v>
      </c>
      <c r="C78" s="0" t="n">
        <v>1.593</v>
      </c>
      <c r="D78" s="0" t="n">
        <v>12.989</v>
      </c>
      <c r="E78" s="0" t="n">
        <v>1</v>
      </c>
      <c r="F78" s="0" t="s">
        <v>116</v>
      </c>
      <c r="G78" s="0" t="n">
        <v>24</v>
      </c>
      <c r="H78" s="0" t="n">
        <v>41.38</v>
      </c>
      <c r="I78" s="0" t="s">
        <v>242</v>
      </c>
      <c r="J78" s="0" t="s">
        <v>236</v>
      </c>
      <c r="K78" s="0" t="s">
        <v>34</v>
      </c>
    </row>
    <row r="79" customFormat="false" ht="15" hidden="false" customHeight="false" outlineLevel="0" collapsed="false">
      <c r="A79" s="5" t="s">
        <v>243</v>
      </c>
    </row>
    <row r="80" customFormat="false" ht="15" hidden="false" customHeight="false" outlineLevel="0" collapsed="false">
      <c r="A80" s="0" t="s">
        <v>244</v>
      </c>
      <c r="B80" s="0" t="s">
        <v>245</v>
      </c>
      <c r="C80" s="0" t="n">
        <v>12.638</v>
      </c>
      <c r="D80" s="0" t="n">
        <v>14.362</v>
      </c>
      <c r="E80" s="0" t="n">
        <v>1</v>
      </c>
      <c r="F80" s="0" t="s">
        <v>97</v>
      </c>
      <c r="G80" s="0" t="n">
        <v>16</v>
      </c>
      <c r="H80" s="0" t="n">
        <v>194.31</v>
      </c>
      <c r="I80" s="0" t="s">
        <v>246</v>
      </c>
      <c r="J80" s="0" t="s">
        <v>247</v>
      </c>
      <c r="K80" s="0" t="s">
        <v>34</v>
      </c>
    </row>
    <row r="81" customFormat="false" ht="15" hidden="false" customHeight="false" outlineLevel="0" collapsed="false">
      <c r="A81" s="0" t="s">
        <v>248</v>
      </c>
      <c r="B81" s="0" t="s">
        <v>249</v>
      </c>
      <c r="C81" s="0" t="n">
        <v>50.481</v>
      </c>
      <c r="D81" s="0" t="n">
        <v>14.362</v>
      </c>
      <c r="E81" s="0" t="n">
        <v>1</v>
      </c>
      <c r="F81" s="0" t="s">
        <v>97</v>
      </c>
      <c r="G81" s="0" t="n">
        <v>16</v>
      </c>
      <c r="H81" s="0" t="n">
        <v>712.15</v>
      </c>
      <c r="I81" s="0" t="s">
        <v>250</v>
      </c>
      <c r="J81" s="0" t="s">
        <v>247</v>
      </c>
      <c r="K81" s="0" t="s">
        <v>34</v>
      </c>
    </row>
    <row r="82" customFormat="false" ht="15" hidden="false" customHeight="false" outlineLevel="0" collapsed="false">
      <c r="A82" s="0" t="s">
        <v>251</v>
      </c>
      <c r="B82" s="0" t="s">
        <v>252</v>
      </c>
      <c r="C82" s="0" t="n">
        <v>24.852</v>
      </c>
      <c r="D82" s="0" t="n">
        <v>11.907</v>
      </c>
      <c r="E82" s="0" t="n">
        <v>1</v>
      </c>
      <c r="F82" s="0" t="s">
        <v>97</v>
      </c>
      <c r="G82" s="0" t="n">
        <v>16</v>
      </c>
      <c r="H82" s="0" t="n">
        <v>318.01</v>
      </c>
      <c r="I82" s="0" t="s">
        <v>253</v>
      </c>
      <c r="J82" s="0" t="s">
        <v>247</v>
      </c>
      <c r="K82" s="0" t="s">
        <v>34</v>
      </c>
    </row>
    <row r="83" customFormat="false" ht="15" hidden="false" customHeight="false" outlineLevel="0" collapsed="false">
      <c r="A83" s="0" t="s">
        <v>254</v>
      </c>
      <c r="B83" s="0" t="s">
        <v>255</v>
      </c>
      <c r="C83" s="0" t="n">
        <v>34.062</v>
      </c>
      <c r="D83" s="0" t="n">
        <v>11.056</v>
      </c>
      <c r="E83" s="0" t="n">
        <v>1</v>
      </c>
      <c r="F83" s="0" t="s">
        <v>97</v>
      </c>
      <c r="G83" s="0" t="n">
        <v>16</v>
      </c>
      <c r="H83" s="0" t="n">
        <v>399.61</v>
      </c>
      <c r="I83" s="0" t="s">
        <v>256</v>
      </c>
      <c r="J83" s="0" t="s">
        <v>247</v>
      </c>
      <c r="K83" s="0" t="s">
        <v>34</v>
      </c>
    </row>
    <row r="84" customFormat="false" ht="15" hidden="false" customHeight="false" outlineLevel="0" collapsed="false">
      <c r="A84" s="0" t="s">
        <v>257</v>
      </c>
      <c r="B84" s="0" t="s">
        <v>258</v>
      </c>
      <c r="C84" s="0" t="n">
        <v>17.671</v>
      </c>
      <c r="D84" s="0" t="n">
        <v>11.386</v>
      </c>
      <c r="E84" s="0" t="n">
        <v>1</v>
      </c>
      <c r="F84" s="0" t="s">
        <v>97</v>
      </c>
      <c r="G84" s="0" t="n">
        <v>16</v>
      </c>
      <c r="H84" s="0" t="n">
        <v>221.44</v>
      </c>
      <c r="I84" s="0" t="s">
        <v>259</v>
      </c>
      <c r="J84" s="0" t="s">
        <v>247</v>
      </c>
      <c r="K84" s="0" t="s">
        <v>34</v>
      </c>
    </row>
    <row r="85" customFormat="false" ht="15" hidden="false" customHeight="false" outlineLevel="0" collapsed="false">
      <c r="A85" s="0" t="s">
        <v>260</v>
      </c>
      <c r="B85" s="0" t="s">
        <v>261</v>
      </c>
      <c r="C85" s="0" t="n">
        <v>21.462</v>
      </c>
      <c r="D85" s="0" t="n">
        <v>14.362</v>
      </c>
      <c r="E85" s="0" t="n">
        <v>1</v>
      </c>
      <c r="F85" s="0" t="s">
        <v>97</v>
      </c>
      <c r="G85" s="0" t="n">
        <v>16</v>
      </c>
      <c r="H85" s="0" t="n">
        <v>324.24</v>
      </c>
      <c r="I85" s="0" t="s">
        <v>262</v>
      </c>
      <c r="J85" s="0" t="s">
        <v>247</v>
      </c>
      <c r="K85" s="0" t="s">
        <v>34</v>
      </c>
    </row>
    <row r="86" customFormat="false" ht="15" hidden="false" customHeight="false" outlineLevel="0" collapsed="false">
      <c r="A86" s="0" t="s">
        <v>263</v>
      </c>
      <c r="B86" s="0" t="s">
        <v>264</v>
      </c>
      <c r="C86" s="0" t="n">
        <v>3.907</v>
      </c>
      <c r="D86" s="0" t="n">
        <v>14.362</v>
      </c>
      <c r="E86" s="0" t="n">
        <v>1</v>
      </c>
      <c r="F86" s="0" t="s">
        <v>97</v>
      </c>
      <c r="G86" s="0" t="n">
        <v>16</v>
      </c>
      <c r="H86" s="0" t="n">
        <v>60.07</v>
      </c>
      <c r="I86" s="0" t="s">
        <v>265</v>
      </c>
      <c r="J86" s="0" t="s">
        <v>247</v>
      </c>
      <c r="K86" s="0" t="s">
        <v>34</v>
      </c>
    </row>
    <row r="87" customFormat="false" ht="15" hidden="false" customHeight="false" outlineLevel="0" collapsed="false">
      <c r="A87" s="0" t="s">
        <v>266</v>
      </c>
      <c r="B87" s="0" t="s">
        <v>267</v>
      </c>
      <c r="C87" s="0" t="n">
        <v>22.521</v>
      </c>
      <c r="D87" s="0" t="n">
        <v>14.362</v>
      </c>
      <c r="E87" s="0" t="n">
        <v>1</v>
      </c>
      <c r="F87" s="0" t="s">
        <v>97</v>
      </c>
      <c r="G87" s="0" t="n">
        <v>16</v>
      </c>
      <c r="H87" s="0" t="n">
        <v>314.26</v>
      </c>
      <c r="I87" s="0" t="s">
        <v>268</v>
      </c>
      <c r="J87" s="0" t="s">
        <v>247</v>
      </c>
      <c r="K87" s="0" t="s">
        <v>34</v>
      </c>
    </row>
    <row r="88" customFormat="false" ht="15" hidden="false" customHeight="false" outlineLevel="0" collapsed="false">
      <c r="A88" s="0" t="s">
        <v>269</v>
      </c>
      <c r="B88" s="0" t="s">
        <v>270</v>
      </c>
      <c r="C88" s="0" t="n">
        <v>24.852</v>
      </c>
      <c r="D88" s="0" t="n">
        <v>11.907</v>
      </c>
      <c r="E88" s="0" t="n">
        <v>1</v>
      </c>
      <c r="F88" s="0" t="s">
        <v>97</v>
      </c>
      <c r="G88" s="0" t="n">
        <v>16</v>
      </c>
      <c r="H88" s="0" t="n">
        <v>318.01</v>
      </c>
      <c r="I88" s="0" t="s">
        <v>271</v>
      </c>
      <c r="J88" s="0" t="s">
        <v>247</v>
      </c>
      <c r="K88" s="0" t="s">
        <v>34</v>
      </c>
    </row>
    <row r="89" customFormat="false" ht="15" hidden="false" customHeight="false" outlineLevel="0" collapsed="false">
      <c r="A89" s="0" t="s">
        <v>272</v>
      </c>
      <c r="B89" s="0" t="s">
        <v>273</v>
      </c>
      <c r="C89" s="0" t="n">
        <v>12.562</v>
      </c>
      <c r="D89" s="0" t="n">
        <v>4.987</v>
      </c>
      <c r="E89" s="0" t="n">
        <v>1</v>
      </c>
      <c r="F89" s="0" t="s">
        <v>97</v>
      </c>
      <c r="G89" s="0" t="n">
        <v>16</v>
      </c>
      <c r="H89" s="0" t="n">
        <v>86.37</v>
      </c>
      <c r="I89" s="0" t="s">
        <v>274</v>
      </c>
      <c r="J89" s="0" t="s">
        <v>275</v>
      </c>
      <c r="K89" s="0" t="s">
        <v>34</v>
      </c>
    </row>
    <row r="90" customFormat="false" ht="15" hidden="false" customHeight="false" outlineLevel="0" collapsed="false">
      <c r="A90" s="0" t="s">
        <v>276</v>
      </c>
      <c r="B90" s="0" t="s">
        <v>277</v>
      </c>
      <c r="C90" s="0" t="n">
        <v>26.25</v>
      </c>
      <c r="D90" s="0" t="n">
        <v>4.525</v>
      </c>
      <c r="E90" s="0" t="n">
        <v>1</v>
      </c>
      <c r="F90" s="0" t="s">
        <v>97</v>
      </c>
      <c r="G90" s="0" t="n">
        <v>16</v>
      </c>
      <c r="H90" s="0" t="n">
        <v>180.47</v>
      </c>
      <c r="I90" s="0" t="s">
        <v>278</v>
      </c>
      <c r="J90" s="0" t="s">
        <v>275</v>
      </c>
      <c r="K90" s="0" t="s">
        <v>34</v>
      </c>
    </row>
    <row r="91" customFormat="false" ht="15" hidden="false" customHeight="false" outlineLevel="0" collapsed="false">
      <c r="A91" s="0" t="s">
        <v>279</v>
      </c>
      <c r="B91" s="0" t="s">
        <v>280</v>
      </c>
      <c r="C91" s="0" t="n">
        <v>6.5</v>
      </c>
      <c r="D91" s="0" t="n">
        <v>4.987</v>
      </c>
      <c r="E91" s="0" t="n">
        <v>1</v>
      </c>
      <c r="F91" s="0" t="s">
        <v>97</v>
      </c>
      <c r="G91" s="0" t="n">
        <v>16</v>
      </c>
      <c r="H91" s="0" t="n">
        <v>44.69</v>
      </c>
      <c r="I91" s="0" t="s">
        <v>274</v>
      </c>
      <c r="J91" s="0" t="s">
        <v>281</v>
      </c>
      <c r="K91" s="0" t="s">
        <v>34</v>
      </c>
    </row>
    <row r="92" customFormat="false" ht="15" hidden="false" customHeight="false" outlineLevel="0" collapsed="false">
      <c r="A92" s="0" t="s">
        <v>282</v>
      </c>
      <c r="B92" s="0" t="s">
        <v>283</v>
      </c>
      <c r="C92" s="0" t="n">
        <v>7.42</v>
      </c>
      <c r="D92" s="0" t="n">
        <v>14.362</v>
      </c>
      <c r="E92" s="0" t="n">
        <v>1</v>
      </c>
      <c r="F92" s="0" t="s">
        <v>97</v>
      </c>
      <c r="G92" s="0" t="n">
        <v>16</v>
      </c>
      <c r="H92" s="0" t="n">
        <v>46.12</v>
      </c>
      <c r="I92" s="0" t="s">
        <v>284</v>
      </c>
      <c r="J92" s="0" t="s">
        <v>285</v>
      </c>
      <c r="K92" s="0" t="s">
        <v>34</v>
      </c>
    </row>
    <row r="93" customFormat="false" ht="15" hidden="false" customHeight="false" outlineLevel="0" collapsed="false">
      <c r="A93" s="0" t="s">
        <v>286</v>
      </c>
      <c r="B93" s="0" t="s">
        <v>287</v>
      </c>
      <c r="C93" s="0" t="n">
        <v>7.5</v>
      </c>
      <c r="D93" s="0" t="n">
        <v>14.362</v>
      </c>
      <c r="E93" s="0" t="n">
        <v>1</v>
      </c>
      <c r="F93" s="0" t="s">
        <v>97</v>
      </c>
      <c r="G93" s="0" t="n">
        <v>16</v>
      </c>
      <c r="H93" s="0" t="n">
        <v>57.96</v>
      </c>
      <c r="I93" s="0" t="s">
        <v>284</v>
      </c>
      <c r="J93" s="0" t="s">
        <v>288</v>
      </c>
      <c r="K93" s="0" t="s">
        <v>34</v>
      </c>
    </row>
    <row r="94" customFormat="false" ht="15" hidden="false" customHeight="false" outlineLevel="0" collapsed="false">
      <c r="A94" s="0" t="s">
        <v>289</v>
      </c>
      <c r="B94" s="0" t="s">
        <v>290</v>
      </c>
      <c r="C94" s="0" t="n">
        <v>1</v>
      </c>
      <c r="D94" s="0" t="n">
        <v>14.362</v>
      </c>
      <c r="E94" s="0" t="n">
        <v>0</v>
      </c>
      <c r="F94" s="0" t="s">
        <v>291</v>
      </c>
      <c r="G94" s="0" t="n">
        <v>16</v>
      </c>
      <c r="H94" s="0" t="n">
        <v>0</v>
      </c>
      <c r="I94" s="0" t="s">
        <v>292</v>
      </c>
      <c r="J94" s="0" t="s">
        <v>293</v>
      </c>
      <c r="K94" s="0" t="s">
        <v>34</v>
      </c>
    </row>
    <row r="95" customFormat="false" ht="15" hidden="false" customHeight="false" outlineLevel="0" collapsed="false">
      <c r="A95" s="5" t="s">
        <v>294</v>
      </c>
    </row>
    <row r="96" customFormat="false" ht="15" hidden="false" customHeight="false" outlineLevel="0" collapsed="false">
      <c r="A96" s="0" t="s">
        <v>295</v>
      </c>
      <c r="B96" s="0" t="s">
        <v>296</v>
      </c>
      <c r="C96" s="0" t="n">
        <v>4.833</v>
      </c>
      <c r="D96" s="0" t="n">
        <v>10.5</v>
      </c>
      <c r="E96" s="0" t="n">
        <v>0</v>
      </c>
      <c r="F96" s="0" t="s">
        <v>116</v>
      </c>
      <c r="G96" s="0" t="n">
        <v>16</v>
      </c>
      <c r="H96" s="0" t="n">
        <v>0</v>
      </c>
      <c r="I96" s="0" t="s">
        <v>297</v>
      </c>
      <c r="J96" s="0" t="s">
        <v>298</v>
      </c>
      <c r="K96" s="0" t="s">
        <v>34</v>
      </c>
    </row>
    <row r="97" customFormat="false" ht="15" hidden="false" customHeight="false" outlineLevel="0" collapsed="false">
      <c r="A97" s="0" t="s">
        <v>299</v>
      </c>
      <c r="B97" s="0" t="s">
        <v>300</v>
      </c>
      <c r="C97" s="0" t="n">
        <v>4.833</v>
      </c>
      <c r="D97" s="0" t="n">
        <v>10.5</v>
      </c>
      <c r="E97" s="0" t="n">
        <v>0</v>
      </c>
      <c r="F97" s="0" t="s">
        <v>116</v>
      </c>
      <c r="G97" s="0" t="n">
        <v>16</v>
      </c>
      <c r="H97" s="0" t="n">
        <v>0</v>
      </c>
      <c r="I97" s="0" t="s">
        <v>297</v>
      </c>
      <c r="J97" s="0" t="s">
        <v>298</v>
      </c>
      <c r="K97" s="0" t="s">
        <v>34</v>
      </c>
    </row>
    <row r="98" customFormat="false" ht="15" hidden="false" customHeight="false" outlineLevel="0" collapsed="false">
      <c r="A98" s="0" t="s">
        <v>301</v>
      </c>
      <c r="B98" s="0" t="s">
        <v>302</v>
      </c>
      <c r="C98" s="0" t="n">
        <v>4.833</v>
      </c>
      <c r="D98" s="0" t="n">
        <v>10.5</v>
      </c>
      <c r="E98" s="0" t="n">
        <v>0</v>
      </c>
      <c r="F98" s="0" t="s">
        <v>116</v>
      </c>
      <c r="G98" s="0" t="n">
        <v>16</v>
      </c>
      <c r="H98" s="0" t="n">
        <v>0</v>
      </c>
      <c r="I98" s="0" t="s">
        <v>297</v>
      </c>
      <c r="J98" s="0" t="s">
        <v>298</v>
      </c>
      <c r="K98" s="0" t="s">
        <v>34</v>
      </c>
    </row>
    <row r="99" customFormat="false" ht="15" hidden="false" customHeight="false" outlineLevel="0" collapsed="false">
      <c r="A99" s="0" t="s">
        <v>303</v>
      </c>
      <c r="B99" s="0" t="s">
        <v>304</v>
      </c>
      <c r="C99" s="0" t="n">
        <v>4.833</v>
      </c>
      <c r="D99" s="0" t="n">
        <v>10.5</v>
      </c>
      <c r="E99" s="0" t="n">
        <v>0</v>
      </c>
      <c r="F99" s="0" t="s">
        <v>116</v>
      </c>
      <c r="G99" s="0" t="n">
        <v>16</v>
      </c>
      <c r="H99" s="0" t="n">
        <v>0</v>
      </c>
      <c r="I99" s="0" t="s">
        <v>297</v>
      </c>
      <c r="J99" s="0" t="s">
        <v>298</v>
      </c>
      <c r="K99" s="0" t="s">
        <v>34</v>
      </c>
    </row>
    <row r="100" customFormat="false" ht="15" hidden="false" customHeight="false" outlineLevel="0" collapsed="false">
      <c r="A100" s="5" t="s">
        <v>305</v>
      </c>
    </row>
    <row r="101" customFormat="false" ht="15" hidden="false" customHeight="false" outlineLevel="0" collapsed="false">
      <c r="A101" s="0" t="s">
        <v>306</v>
      </c>
      <c r="B101" s="0" t="s">
        <v>307</v>
      </c>
      <c r="C101" s="0" t="n">
        <v>96.065</v>
      </c>
      <c r="D101" s="0" t="n">
        <v>1.865</v>
      </c>
      <c r="E101" s="0" t="n">
        <v>0</v>
      </c>
      <c r="F101" s="0" t="s">
        <v>116</v>
      </c>
      <c r="G101" s="0" t="n">
        <v>16</v>
      </c>
      <c r="H101" s="0" t="n">
        <v>0</v>
      </c>
      <c r="I101" s="0" t="s">
        <v>308</v>
      </c>
      <c r="J101" s="0" t="s">
        <v>309</v>
      </c>
      <c r="K101" s="0" t="s">
        <v>34</v>
      </c>
    </row>
    <row r="102" customFormat="false" ht="15" hidden="false" customHeight="false" outlineLevel="0" collapsed="false">
      <c r="A102" s="0" t="s">
        <v>310</v>
      </c>
      <c r="B102" s="0" t="s">
        <v>311</v>
      </c>
      <c r="C102" s="0" t="n">
        <v>60.533</v>
      </c>
      <c r="D102" s="0" t="n">
        <v>1.865</v>
      </c>
      <c r="E102" s="0" t="n">
        <v>0</v>
      </c>
      <c r="F102" s="0" t="s">
        <v>116</v>
      </c>
      <c r="G102" s="0" t="n">
        <v>16</v>
      </c>
      <c r="H102" s="0" t="n">
        <v>0</v>
      </c>
      <c r="I102" s="0" t="s">
        <v>308</v>
      </c>
      <c r="J102" s="0" t="s">
        <v>312</v>
      </c>
      <c r="K102" s="0" t="s">
        <v>34</v>
      </c>
    </row>
    <row r="103" customFormat="false" ht="15" hidden="false" customHeight="false" outlineLevel="0" collapsed="false">
      <c r="A103" s="0" t="s">
        <v>313</v>
      </c>
      <c r="B103" s="0" t="s">
        <v>314</v>
      </c>
      <c r="C103" s="0" t="n">
        <v>55.653</v>
      </c>
      <c r="D103" s="0" t="n">
        <v>1.865</v>
      </c>
      <c r="E103" s="0" t="n">
        <v>0</v>
      </c>
      <c r="F103" s="0" t="s">
        <v>116</v>
      </c>
      <c r="G103" s="0" t="n">
        <v>16</v>
      </c>
      <c r="H103" s="0" t="n">
        <v>0</v>
      </c>
      <c r="I103" s="0" t="s">
        <v>308</v>
      </c>
      <c r="J103" s="0" t="s">
        <v>312</v>
      </c>
      <c r="K103" s="0" t="s">
        <v>34</v>
      </c>
    </row>
    <row r="104" customFormat="false" ht="15" hidden="false" customHeight="false" outlineLevel="0" collapsed="false">
      <c r="A104" s="0" t="s">
        <v>315</v>
      </c>
      <c r="B104" s="0" t="s">
        <v>316</v>
      </c>
      <c r="C104" s="0" t="n">
        <v>28.986</v>
      </c>
      <c r="D104" s="0" t="n">
        <v>1.865</v>
      </c>
      <c r="E104" s="0" t="n">
        <v>0</v>
      </c>
      <c r="F104" s="0" t="s">
        <v>116</v>
      </c>
      <c r="G104" s="0" t="n">
        <v>16</v>
      </c>
      <c r="H104" s="0" t="n">
        <v>0</v>
      </c>
      <c r="I104" s="0" t="s">
        <v>308</v>
      </c>
      <c r="J104" s="0" t="s">
        <v>317</v>
      </c>
      <c r="K104" s="0" t="s">
        <v>34</v>
      </c>
    </row>
    <row r="105" customFormat="false" ht="15" hidden="false" customHeight="false" outlineLevel="0" collapsed="false">
      <c r="A105" s="5" t="s">
        <v>318</v>
      </c>
    </row>
    <row r="106" customFormat="false" ht="15" hidden="false" customHeight="false" outlineLevel="0" collapsed="false">
      <c r="A106" s="0" t="s">
        <v>319</v>
      </c>
      <c r="B106" s="0" t="s">
        <v>320</v>
      </c>
      <c r="C106" s="0" t="n">
        <v>51.733</v>
      </c>
      <c r="D106" s="0" t="n">
        <v>3.3</v>
      </c>
      <c r="E106" s="0" t="n">
        <v>0</v>
      </c>
      <c r="F106" s="0" t="s">
        <v>116</v>
      </c>
      <c r="G106" s="0" t="n">
        <v>16</v>
      </c>
      <c r="H106" s="0" t="n">
        <v>0</v>
      </c>
      <c r="I106" s="0" t="s">
        <v>321</v>
      </c>
      <c r="J106" s="0" t="s">
        <v>322</v>
      </c>
      <c r="K106" s="0" t="s">
        <v>34</v>
      </c>
    </row>
    <row r="107" customFormat="false" ht="15" hidden="false" customHeight="false" outlineLevel="0" collapsed="false">
      <c r="A107" s="0" t="s">
        <v>323</v>
      </c>
      <c r="B107" s="0" t="s">
        <v>324</v>
      </c>
      <c r="C107" s="0" t="n">
        <v>51.733</v>
      </c>
      <c r="D107" s="0" t="n">
        <v>3.473</v>
      </c>
      <c r="E107" s="0" t="n">
        <v>1</v>
      </c>
      <c r="F107" s="0" t="s">
        <v>116</v>
      </c>
      <c r="G107" s="0" t="n">
        <v>16</v>
      </c>
      <c r="H107" s="0" t="n">
        <v>179.67</v>
      </c>
      <c r="I107" s="0" t="s">
        <v>325</v>
      </c>
      <c r="J107" s="0" t="s">
        <v>322</v>
      </c>
      <c r="K107" s="0" t="s">
        <v>34</v>
      </c>
    </row>
    <row r="108" customFormat="false" ht="15" hidden="false" customHeight="false" outlineLevel="0" collapsed="false">
      <c r="A108" s="0" t="s">
        <v>326</v>
      </c>
      <c r="B108" s="0" t="s">
        <v>327</v>
      </c>
      <c r="C108" s="0" t="n">
        <v>51.733</v>
      </c>
      <c r="D108" s="0" t="n">
        <v>1.15</v>
      </c>
      <c r="E108" s="0" t="n">
        <v>1</v>
      </c>
      <c r="F108" s="0" t="s">
        <v>116</v>
      </c>
      <c r="G108" s="0" t="n">
        <v>16</v>
      </c>
      <c r="H108" s="0" t="n">
        <v>126.28</v>
      </c>
      <c r="I108" s="0" t="s">
        <v>328</v>
      </c>
      <c r="J108" s="0" t="s">
        <v>322</v>
      </c>
      <c r="K108" s="0" t="s">
        <v>34</v>
      </c>
    </row>
    <row r="109" customFormat="false" ht="15" hidden="false" customHeight="false" outlineLevel="0" collapsed="false">
      <c r="A109" s="5" t="s">
        <v>329</v>
      </c>
    </row>
    <row r="110" customFormat="false" ht="15" hidden="false" customHeight="false" outlineLevel="0" collapsed="false">
      <c r="A110" s="0" t="s">
        <v>330</v>
      </c>
      <c r="B110" s="0" t="s">
        <v>331</v>
      </c>
      <c r="C110" s="0" t="n">
        <v>16.186</v>
      </c>
      <c r="D110" s="0" t="n">
        <v>4.292</v>
      </c>
      <c r="E110" s="0" t="n">
        <v>0</v>
      </c>
      <c r="F110" s="0" t="s">
        <v>332</v>
      </c>
      <c r="G110" s="0" t="n">
        <v>16</v>
      </c>
      <c r="H110" s="0" t="n">
        <v>0</v>
      </c>
      <c r="I110" s="0" t="s">
        <v>333</v>
      </c>
      <c r="J110" s="0" t="s">
        <v>334</v>
      </c>
      <c r="K110" s="0" t="s">
        <v>34</v>
      </c>
    </row>
    <row r="111" customFormat="false" ht="15" hidden="false" customHeight="false" outlineLevel="0" collapsed="false">
      <c r="A111" s="0" t="s">
        <v>335</v>
      </c>
      <c r="B111" s="0" t="s">
        <v>336</v>
      </c>
      <c r="C111" s="0" t="n">
        <v>39.454</v>
      </c>
      <c r="D111" s="0" t="n">
        <v>2.042</v>
      </c>
      <c r="E111" s="0" t="n">
        <v>0</v>
      </c>
      <c r="F111" s="0" t="s">
        <v>332</v>
      </c>
      <c r="G111" s="0" t="n">
        <v>16</v>
      </c>
      <c r="H111" s="0" t="n">
        <v>0</v>
      </c>
      <c r="I111" s="0" t="s">
        <v>333</v>
      </c>
      <c r="J111" s="0" t="s">
        <v>334</v>
      </c>
      <c r="K111" s="0" t="s">
        <v>34</v>
      </c>
    </row>
    <row r="112" customFormat="false" ht="15" hidden="false" customHeight="false" outlineLevel="0" collapsed="false">
      <c r="A112" s="0" t="s">
        <v>337</v>
      </c>
      <c r="B112" s="0" t="s">
        <v>338</v>
      </c>
      <c r="C112" s="0" t="n">
        <v>27.96</v>
      </c>
      <c r="D112" s="0" t="n">
        <v>4.292</v>
      </c>
      <c r="E112" s="0" t="n">
        <v>0</v>
      </c>
      <c r="F112" s="0" t="s">
        <v>332</v>
      </c>
      <c r="G112" s="0" t="n">
        <v>16</v>
      </c>
      <c r="H112" s="0" t="n">
        <v>0</v>
      </c>
      <c r="I112" s="0" t="s">
        <v>333</v>
      </c>
      <c r="J112" s="0" t="s">
        <v>334</v>
      </c>
      <c r="K112" s="0" t="s">
        <v>34</v>
      </c>
    </row>
    <row r="113" customFormat="false" ht="15" hidden="false" customHeight="false" outlineLevel="0" collapsed="false">
      <c r="A113" s="0" t="s">
        <v>339</v>
      </c>
      <c r="B113" s="0" t="s">
        <v>340</v>
      </c>
      <c r="C113" s="0" t="n">
        <v>3.907</v>
      </c>
      <c r="D113" s="0" t="n">
        <v>4.292</v>
      </c>
      <c r="E113" s="0" t="n">
        <v>0</v>
      </c>
      <c r="F113" s="0" t="s">
        <v>332</v>
      </c>
      <c r="G113" s="0" t="n">
        <v>16</v>
      </c>
      <c r="H113" s="0" t="n">
        <v>0</v>
      </c>
      <c r="I113" s="0" t="s">
        <v>333</v>
      </c>
      <c r="J113" s="0" t="s">
        <v>334</v>
      </c>
      <c r="K113" s="0" t="s">
        <v>34</v>
      </c>
    </row>
    <row r="114" customFormat="false" ht="15" hidden="false" customHeight="false" outlineLevel="0" collapsed="false">
      <c r="A114" s="0" t="s">
        <v>341</v>
      </c>
      <c r="B114" s="0" t="s">
        <v>342</v>
      </c>
      <c r="C114" s="0" t="n">
        <v>22.521</v>
      </c>
      <c r="D114" s="0" t="n">
        <v>2.042</v>
      </c>
      <c r="E114" s="0" t="n">
        <v>0</v>
      </c>
      <c r="F114" s="0" t="s">
        <v>332</v>
      </c>
      <c r="G114" s="0" t="n">
        <v>16</v>
      </c>
      <c r="H114" s="0" t="n">
        <v>0</v>
      </c>
      <c r="I114" s="0" t="s">
        <v>333</v>
      </c>
      <c r="J114" s="0" t="s">
        <v>334</v>
      </c>
      <c r="K114" s="0" t="s">
        <v>34</v>
      </c>
    </row>
    <row r="115" customFormat="false" ht="15" hidden="false" customHeight="false" outlineLevel="0" collapsed="false">
      <c r="A115" s="0" t="s">
        <v>343</v>
      </c>
      <c r="B115" s="0" t="s">
        <v>344</v>
      </c>
      <c r="C115" s="0" t="n">
        <v>24.852</v>
      </c>
      <c r="D115" s="0" t="n">
        <v>4.621</v>
      </c>
      <c r="E115" s="0" t="n">
        <v>0</v>
      </c>
      <c r="F115" s="0" t="s">
        <v>332</v>
      </c>
      <c r="G115" s="0" t="n">
        <v>16</v>
      </c>
      <c r="H115" s="0" t="n">
        <v>0</v>
      </c>
      <c r="I115" s="0" t="s">
        <v>333</v>
      </c>
      <c r="J115" s="0" t="s">
        <v>334</v>
      </c>
      <c r="K115" s="0" t="s">
        <v>34</v>
      </c>
    </row>
    <row r="116" customFormat="false" ht="15" hidden="false" customHeight="false" outlineLevel="0" collapsed="false">
      <c r="A116" s="0" t="s">
        <v>345</v>
      </c>
      <c r="B116" s="0" t="s">
        <v>346</v>
      </c>
      <c r="C116" s="0" t="n">
        <v>51.733</v>
      </c>
      <c r="D116" s="0" t="n">
        <v>4.886</v>
      </c>
      <c r="E116" s="0" t="n">
        <v>0</v>
      </c>
      <c r="F116" s="0" t="s">
        <v>332</v>
      </c>
      <c r="G116" s="0" t="n">
        <v>16</v>
      </c>
      <c r="H116" s="0" t="n">
        <v>0</v>
      </c>
      <c r="I116" s="0" t="s">
        <v>333</v>
      </c>
      <c r="J116" s="0" t="s">
        <v>334</v>
      </c>
      <c r="K116" s="0" t="s">
        <v>34</v>
      </c>
    </row>
    <row r="117" customFormat="false" ht="15" hidden="false" customHeight="false" outlineLevel="0" collapsed="false">
      <c r="A117" s="0" t="s">
        <v>347</v>
      </c>
      <c r="B117" s="0" t="s">
        <v>348</v>
      </c>
      <c r="C117" s="0" t="n">
        <v>50.481</v>
      </c>
      <c r="D117" s="0" t="n">
        <v>2.042</v>
      </c>
      <c r="E117" s="0" t="n">
        <v>0</v>
      </c>
      <c r="F117" s="0" t="s">
        <v>332</v>
      </c>
      <c r="G117" s="0" t="n">
        <v>16</v>
      </c>
      <c r="H117" s="0" t="n">
        <v>0</v>
      </c>
      <c r="I117" s="0" t="s">
        <v>333</v>
      </c>
      <c r="J117" s="0" t="s">
        <v>334</v>
      </c>
      <c r="K117" s="0" t="s">
        <v>34</v>
      </c>
    </row>
    <row r="118" customFormat="false" ht="15" hidden="false" customHeight="false" outlineLevel="0" collapsed="false">
      <c r="A118" s="0" t="s">
        <v>349</v>
      </c>
      <c r="B118" s="0" t="s">
        <v>350</v>
      </c>
      <c r="C118" s="0" t="n">
        <v>24.852</v>
      </c>
      <c r="D118" s="0" t="n">
        <v>4.621</v>
      </c>
      <c r="E118" s="0" t="n">
        <v>0</v>
      </c>
      <c r="F118" s="0" t="s">
        <v>332</v>
      </c>
      <c r="G118" s="0" t="n">
        <v>16</v>
      </c>
      <c r="H118" s="0" t="n">
        <v>0</v>
      </c>
      <c r="I118" s="0" t="s">
        <v>333</v>
      </c>
      <c r="J118" s="0" t="s">
        <v>334</v>
      </c>
      <c r="K118" s="0" t="s">
        <v>34</v>
      </c>
    </row>
    <row r="119" customFormat="false" ht="15" hidden="false" customHeight="false" outlineLevel="0" collapsed="false">
      <c r="A119" s="0" t="s">
        <v>351</v>
      </c>
      <c r="B119" s="0" t="s">
        <v>352</v>
      </c>
      <c r="C119" s="0" t="n">
        <v>3.57</v>
      </c>
      <c r="D119" s="0" t="n">
        <v>4.292</v>
      </c>
      <c r="E119" s="0" t="n">
        <v>0</v>
      </c>
      <c r="F119" s="0" t="s">
        <v>332</v>
      </c>
      <c r="G119" s="0" t="n">
        <v>16</v>
      </c>
      <c r="H119" s="0" t="n">
        <v>0</v>
      </c>
      <c r="I119" s="0" t="s">
        <v>333</v>
      </c>
      <c r="J119" s="0" t="s">
        <v>334</v>
      </c>
      <c r="K119" s="0" t="s">
        <v>34</v>
      </c>
    </row>
    <row r="120" customFormat="false" ht="15" hidden="false" customHeight="false" outlineLevel="0" collapsed="false">
      <c r="A120" s="5" t="s">
        <v>353</v>
      </c>
    </row>
    <row r="121" customFormat="false" ht="15" hidden="false" customHeight="false" outlineLevel="0" collapsed="false">
      <c r="A121" s="0" t="s">
        <v>354</v>
      </c>
      <c r="B121" s="0" t="s">
        <v>355</v>
      </c>
      <c r="C121" s="0" t="n">
        <v>77.03</v>
      </c>
      <c r="D121" s="0" t="n">
        <v>1</v>
      </c>
      <c r="E121" s="0" t="n">
        <v>1</v>
      </c>
      <c r="F121" s="0" t="s">
        <v>116</v>
      </c>
      <c r="G121" s="0" t="n">
        <v>16</v>
      </c>
      <c r="H121" s="0" t="n">
        <v>138.81</v>
      </c>
      <c r="I121" s="0" t="s">
        <v>356</v>
      </c>
      <c r="J121" s="0" t="s">
        <v>357</v>
      </c>
      <c r="K121" s="0" t="s">
        <v>34</v>
      </c>
    </row>
    <row r="122" customFormat="false" ht="15" hidden="false" customHeight="false" outlineLevel="0" collapsed="false">
      <c r="A122" s="5" t="s">
        <v>358</v>
      </c>
    </row>
    <row r="123" customFormat="false" ht="15" hidden="false" customHeight="false" outlineLevel="0" collapsed="false">
      <c r="A123" s="0" t="s">
        <v>359</v>
      </c>
      <c r="B123" s="0" t="s">
        <v>360</v>
      </c>
      <c r="C123" s="0" t="n">
        <v>6.44</v>
      </c>
      <c r="D123" s="0" t="n">
        <v>7.375</v>
      </c>
      <c r="E123" s="0" t="n">
        <v>1</v>
      </c>
      <c r="F123" s="0" t="s">
        <v>116</v>
      </c>
      <c r="G123" s="0" t="n">
        <v>16</v>
      </c>
      <c r="H123" s="0" t="n">
        <v>9.66</v>
      </c>
      <c r="I123" s="0" t="s">
        <v>361</v>
      </c>
      <c r="J123" s="0" t="s">
        <v>362</v>
      </c>
      <c r="K123" s="0" t="s">
        <v>34</v>
      </c>
    </row>
    <row r="124" customFormat="false" ht="15" hidden="false" customHeight="false" outlineLevel="0" collapsed="false">
      <c r="A124" s="0" t="s">
        <v>363</v>
      </c>
      <c r="B124" s="0" t="s">
        <v>364</v>
      </c>
      <c r="C124" s="0" t="n">
        <v>5.58</v>
      </c>
      <c r="D124" s="0" t="n">
        <v>5.052</v>
      </c>
      <c r="E124" s="0" t="n">
        <v>1</v>
      </c>
      <c r="F124" s="0" t="s">
        <v>116</v>
      </c>
      <c r="G124" s="0" t="n">
        <v>16</v>
      </c>
      <c r="H124" s="0" t="n">
        <v>8.37</v>
      </c>
      <c r="I124" s="0" t="s">
        <v>365</v>
      </c>
      <c r="J124" s="0" t="s">
        <v>362</v>
      </c>
      <c r="K124" s="0" t="s">
        <v>34</v>
      </c>
    </row>
    <row r="125" customFormat="false" ht="15" hidden="false" customHeight="false" outlineLevel="0" collapsed="false">
      <c r="A125" s="0" t="s">
        <v>366</v>
      </c>
      <c r="B125" s="0" t="s">
        <v>367</v>
      </c>
      <c r="C125" s="0" t="n">
        <v>6.44</v>
      </c>
      <c r="D125" s="0" t="n">
        <v>7.375</v>
      </c>
      <c r="E125" s="0" t="n">
        <v>1</v>
      </c>
      <c r="F125" s="0" t="s">
        <v>116</v>
      </c>
      <c r="G125" s="0" t="n">
        <v>16</v>
      </c>
      <c r="H125" s="0" t="n">
        <v>9.66</v>
      </c>
      <c r="I125" s="0" t="s">
        <v>368</v>
      </c>
      <c r="J125" s="0" t="s">
        <v>362</v>
      </c>
      <c r="K125" s="0" t="s">
        <v>34</v>
      </c>
    </row>
    <row r="126" customFormat="false" ht="15" hidden="false" customHeight="false" outlineLevel="0" collapsed="false">
      <c r="A126" s="0" t="s">
        <v>369</v>
      </c>
      <c r="B126" s="0" t="s">
        <v>370</v>
      </c>
      <c r="C126" s="0" t="n">
        <v>5.58</v>
      </c>
      <c r="D126" s="0" t="n">
        <v>5.052</v>
      </c>
      <c r="E126" s="0" t="n">
        <v>1</v>
      </c>
      <c r="F126" s="0" t="s">
        <v>116</v>
      </c>
      <c r="G126" s="0" t="n">
        <v>16</v>
      </c>
      <c r="H126" s="0" t="n">
        <v>8.37</v>
      </c>
      <c r="I126" s="0" t="s">
        <v>371</v>
      </c>
      <c r="J126" s="0" t="s">
        <v>362</v>
      </c>
      <c r="K126" s="0" t="s">
        <v>34</v>
      </c>
    </row>
    <row r="127" customFormat="false" ht="15" hidden="false" customHeight="false" outlineLevel="0" collapsed="false">
      <c r="A127" s="6" t="s">
        <v>372</v>
      </c>
      <c r="C127" s="3" t="n">
        <f aca="false">SUM(C5:C126)</f>
        <v>1477.315</v>
      </c>
      <c r="H127" s="3" t="n">
        <f aca="false">SUM(H5:H126)</f>
        <v>16925.66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6" min="5" style="0" width="10"/>
    <col collapsed="false" customWidth="true" hidden="false" outlineLevel="0" max="7" min="7" style="0" width="14"/>
    <col collapsed="false" customWidth="true" hidden="false" outlineLevel="0" max="8" min="8" style="0" width="55"/>
    <col collapsed="false" customWidth="true" hidden="false" outlineLevel="0" max="9" min="9" style="0" width="60"/>
  </cols>
  <sheetData>
    <row r="1" customFormat="false" ht="16.15" hidden="false" customHeight="false" outlineLevel="0" collapsed="false">
      <c r="A1" s="1" t="s">
        <v>373</v>
      </c>
    </row>
    <row r="2" customFormat="false" ht="15" hidden="false" customHeight="false" outlineLevel="0" collapsed="false">
      <c r="A2" s="0" t="s">
        <v>374</v>
      </c>
    </row>
    <row r="3" customFormat="false" ht="15" hidden="false" customHeight="false" outlineLevel="0" collapsed="false">
      <c r="A3" s="4" t="s">
        <v>375</v>
      </c>
      <c r="B3" s="4" t="s">
        <v>376</v>
      </c>
      <c r="C3" s="4" t="s">
        <v>377</v>
      </c>
      <c r="D3" s="4" t="s">
        <v>378</v>
      </c>
      <c r="E3" s="4" t="s">
        <v>379</v>
      </c>
      <c r="F3" s="4" t="s">
        <v>380</v>
      </c>
      <c r="G3" s="4" t="s">
        <v>381</v>
      </c>
      <c r="H3" s="4" t="s">
        <v>382</v>
      </c>
      <c r="I3" s="4" t="s">
        <v>383</v>
      </c>
    </row>
    <row r="4" customFormat="false" ht="15" hidden="false" customHeight="false" outlineLevel="0" collapsed="false">
      <c r="A4" s="0" t="s">
        <v>384</v>
      </c>
      <c r="B4" s="0" t="s">
        <v>385</v>
      </c>
      <c r="C4" s="0" t="n">
        <v>4552.65</v>
      </c>
      <c r="D4" s="0" t="n">
        <f aca="false">Inputs!$B$4</f>
        <v>0.15</v>
      </c>
      <c r="E4" s="0" t="n">
        <f aca="false">C4*D4</f>
        <v>682.8975</v>
      </c>
      <c r="F4" s="0" t="n">
        <f aca="false">C4+E4</f>
        <v>5235.5475</v>
      </c>
      <c r="G4" s="0" t="s">
        <v>386</v>
      </c>
      <c r="H4" s="0" t="n">
        <f aca="false">ROUNDUP(ROUNDUP(F4/12.21,0)/MAX(1,INT(20/12.21)),0)</f>
        <v>429</v>
      </c>
      <c r="I4" s="0" t="s">
        <v>387</v>
      </c>
    </row>
    <row r="5" customFormat="false" ht="15" hidden="false" customHeight="false" outlineLevel="0" collapsed="false">
      <c r="A5" s="0" t="s">
        <v>388</v>
      </c>
      <c r="B5" s="0" t="s">
        <v>385</v>
      </c>
      <c r="C5" s="0" t="n">
        <v>6261.46</v>
      </c>
      <c r="D5" s="0" t="n">
        <f aca="false">Inputs!$B$4</f>
        <v>0.15</v>
      </c>
      <c r="E5" s="0" t="n">
        <f aca="false">C5*D5</f>
        <v>939.219</v>
      </c>
      <c r="F5" s="0" t="n">
        <f aca="false">C5+E5</f>
        <v>7200.679</v>
      </c>
      <c r="G5" s="0" t="s">
        <v>386</v>
      </c>
      <c r="H5" s="0" t="n">
        <f aca="false">ROUNDUP(ROUNDUP(F5/5.61,0)/MAX(1,INT(20/5.61)),0)</f>
        <v>428</v>
      </c>
      <c r="I5" s="0" t="s">
        <v>389</v>
      </c>
    </row>
    <row r="6" customFormat="false" ht="15" hidden="false" customHeight="false" outlineLevel="0" collapsed="false">
      <c r="A6" s="0" t="s">
        <v>390</v>
      </c>
      <c r="B6" s="0" t="s">
        <v>385</v>
      </c>
      <c r="C6" s="0" t="n">
        <v>4152.22</v>
      </c>
      <c r="D6" s="0" t="n">
        <f aca="false">Inputs!$B$4</f>
        <v>0.15</v>
      </c>
      <c r="E6" s="0" t="n">
        <f aca="false">C6*D6</f>
        <v>622.833</v>
      </c>
      <c r="F6" s="0" t="n">
        <f aca="false">C6+E6</f>
        <v>4775.053</v>
      </c>
      <c r="G6" s="0" t="s">
        <v>386</v>
      </c>
      <c r="H6" s="0" t="n">
        <f aca="false">ROUNDUP(ROUNDUP(F6/12.91,0)/MAX(1,INT(20/12.91)),0)</f>
        <v>370</v>
      </c>
      <c r="I6" s="0" t="s">
        <v>391</v>
      </c>
    </row>
    <row r="7" customFormat="false" ht="15" hidden="false" customHeight="false" outlineLevel="0" collapsed="false">
      <c r="A7" s="0" t="s">
        <v>392</v>
      </c>
      <c r="B7" s="0" t="s">
        <v>385</v>
      </c>
      <c r="C7" s="0" t="n">
        <v>28.72</v>
      </c>
      <c r="D7" s="0" t="n">
        <f aca="false">Inputs!$B$4</f>
        <v>0.15</v>
      </c>
      <c r="E7" s="0" t="n">
        <f aca="false">C7*D7</f>
        <v>4.308</v>
      </c>
      <c r="F7" s="0" t="n">
        <f aca="false">C7+E7</f>
        <v>33.028</v>
      </c>
      <c r="G7" s="0" t="s">
        <v>386</v>
      </c>
      <c r="H7" s="0" t="n">
        <f aca="false">ROUNDUP(ROUNDUP(F7/14.36,0)/MAX(1,INT(20/14.36)),0)</f>
        <v>3</v>
      </c>
      <c r="I7" s="0" t="s">
        <v>393</v>
      </c>
    </row>
    <row r="8" customFormat="false" ht="15" hidden="false" customHeight="false" outlineLevel="0" collapsed="false">
      <c r="A8" s="0" t="s">
        <v>394</v>
      </c>
      <c r="B8" s="0" t="s">
        <v>385</v>
      </c>
      <c r="C8" s="0" t="n">
        <v>994.79</v>
      </c>
      <c r="D8" s="0" t="n">
        <f aca="false">Inputs!$B$4</f>
        <v>0.15</v>
      </c>
      <c r="E8" s="0" t="n">
        <f aca="false">C8*D8</f>
        <v>149.2185</v>
      </c>
      <c r="F8" s="0" t="n">
        <f aca="false">C8+E8</f>
        <v>1144.0085</v>
      </c>
      <c r="G8" s="0" t="s">
        <v>386</v>
      </c>
      <c r="H8" s="0" t="n">
        <f aca="false">ROUNDUP(ROUNDUP(F8/3.52,0)/MAX(1,INT(20/3.52)),0)</f>
        <v>66</v>
      </c>
      <c r="I8" s="0" t="s">
        <v>395</v>
      </c>
    </row>
    <row r="9" customFormat="false" ht="15" hidden="false" customHeight="false" outlineLevel="0" collapsed="false">
      <c r="A9" s="0" t="s">
        <v>396</v>
      </c>
      <c r="B9" s="0" t="s">
        <v>385</v>
      </c>
      <c r="C9" s="0" t="n">
        <v>347.31</v>
      </c>
      <c r="D9" s="0" t="n">
        <f aca="false">Inputs!$B$4</f>
        <v>0.15</v>
      </c>
      <c r="E9" s="0" t="n">
        <f aca="false">C9*D9</f>
        <v>52.0965</v>
      </c>
      <c r="F9" s="0" t="n">
        <f aca="false">C9+E9</f>
        <v>399.4065</v>
      </c>
      <c r="G9" s="0" t="s">
        <v>397</v>
      </c>
      <c r="H9" s="0" t="n">
        <f aca="false">ROUNDUP(F9/10,0)</f>
        <v>40</v>
      </c>
      <c r="I9" s="0" t="s">
        <v>398</v>
      </c>
    </row>
    <row r="10" customFormat="false" ht="15" hidden="false" customHeight="false" outlineLevel="0" collapsed="false">
      <c r="A10" s="0" t="s">
        <v>399</v>
      </c>
      <c r="B10" s="0" t="s">
        <v>385</v>
      </c>
      <c r="C10" s="0" t="n">
        <v>384.38</v>
      </c>
      <c r="D10" s="0" t="n">
        <f aca="false">Inputs!$B$4</f>
        <v>0.15</v>
      </c>
      <c r="E10" s="0" t="n">
        <f aca="false">C10*D10</f>
        <v>57.657</v>
      </c>
      <c r="F10" s="0" t="n">
        <f aca="false">C10+E10</f>
        <v>442.037</v>
      </c>
      <c r="G10" s="0" t="s">
        <v>397</v>
      </c>
      <c r="H10" s="0" t="n">
        <f aca="false">ROUNDUP(F10/10,0)</f>
        <v>45</v>
      </c>
      <c r="I10" s="0" t="s">
        <v>398</v>
      </c>
    </row>
    <row r="11" customFormat="false" ht="15" hidden="false" customHeight="false" outlineLevel="0" collapsed="false">
      <c r="A11" s="0" t="s">
        <v>400</v>
      </c>
      <c r="B11" s="0" t="s">
        <v>385</v>
      </c>
      <c r="C11" s="0" t="n">
        <v>293.58</v>
      </c>
      <c r="D11" s="0" t="n">
        <f aca="false">Inputs!$B$4</f>
        <v>0.15</v>
      </c>
      <c r="E11" s="0" t="n">
        <f aca="false">C11*D11</f>
        <v>44.037</v>
      </c>
      <c r="F11" s="0" t="n">
        <f aca="false">C11+E11</f>
        <v>337.617</v>
      </c>
      <c r="G11" s="0" t="s">
        <v>397</v>
      </c>
      <c r="H11" s="0" t="n">
        <f aca="false">ROUNDUP(F11/10,0)</f>
        <v>34</v>
      </c>
      <c r="I11" s="0" t="s">
        <v>398</v>
      </c>
    </row>
    <row r="12" customFormat="false" ht="15" hidden="false" customHeight="false" outlineLevel="0" collapsed="false">
      <c r="A12" s="0" t="s">
        <v>401</v>
      </c>
      <c r="B12" s="0" t="s">
        <v>385</v>
      </c>
      <c r="C12" s="0" t="n">
        <v>1</v>
      </c>
      <c r="D12" s="0" t="n">
        <f aca="false">Inputs!$B$4</f>
        <v>0.15</v>
      </c>
      <c r="E12" s="0" t="n">
        <f aca="false">C12*D12</f>
        <v>0.15</v>
      </c>
      <c r="F12" s="0" t="n">
        <f aca="false">C12+E12</f>
        <v>1.15</v>
      </c>
      <c r="G12" s="0" t="s">
        <v>397</v>
      </c>
      <c r="H12" s="0" t="n">
        <f aca="false">ROUNDUP(F12/10,0)</f>
        <v>1</v>
      </c>
      <c r="I12" s="0" t="s">
        <v>398</v>
      </c>
    </row>
    <row r="13" customFormat="false" ht="15" hidden="false" customHeight="false" outlineLevel="0" collapsed="false">
      <c r="A13" s="0" t="s">
        <v>402</v>
      </c>
      <c r="B13" s="0" t="s">
        <v>385</v>
      </c>
      <c r="C13" s="0" t="n">
        <v>265.51</v>
      </c>
      <c r="D13" s="0" t="n">
        <f aca="false">Inputs!$B$4</f>
        <v>0.15</v>
      </c>
      <c r="E13" s="0" t="n">
        <f aca="false">C13*D13</f>
        <v>39.8265</v>
      </c>
      <c r="F13" s="0" t="n">
        <f aca="false">C13+E13</f>
        <v>305.3365</v>
      </c>
      <c r="G13" s="0" t="s">
        <v>397</v>
      </c>
      <c r="H13" s="0" t="n">
        <f aca="false">ROUNDUP(F13/10,0)</f>
        <v>31</v>
      </c>
      <c r="I13" s="0" t="s">
        <v>398</v>
      </c>
    </row>
    <row r="14" customFormat="false" ht="15" hidden="false" customHeight="false" outlineLevel="0" collapsed="false">
      <c r="A14" s="0" t="s">
        <v>403</v>
      </c>
      <c r="B14" s="0" t="s">
        <v>385</v>
      </c>
      <c r="C14" s="0" t="n">
        <v>347.31</v>
      </c>
      <c r="D14" s="0" t="n">
        <f aca="false">Inputs!$B$4</f>
        <v>0.15</v>
      </c>
      <c r="E14" s="0" t="n">
        <f aca="false">C14*D14</f>
        <v>52.0965</v>
      </c>
      <c r="F14" s="0" t="n">
        <f aca="false">C14+E14</f>
        <v>399.4065</v>
      </c>
      <c r="G14" s="0" t="s">
        <v>397</v>
      </c>
      <c r="H14" s="0" t="n">
        <f aca="false">ROUNDUP(F14/10,0)</f>
        <v>40</v>
      </c>
      <c r="I14" s="0" t="s">
        <v>404</v>
      </c>
    </row>
    <row r="15" customFormat="false" ht="15" hidden="false" customHeight="false" outlineLevel="0" collapsed="false">
      <c r="A15" s="0" t="s">
        <v>405</v>
      </c>
      <c r="B15" s="0" t="s">
        <v>385</v>
      </c>
      <c r="C15" s="0" t="n">
        <v>384.38</v>
      </c>
      <c r="D15" s="0" t="n">
        <f aca="false">Inputs!$B$4</f>
        <v>0.15</v>
      </c>
      <c r="E15" s="0" t="n">
        <f aca="false">C15*D15</f>
        <v>57.657</v>
      </c>
      <c r="F15" s="0" t="n">
        <f aca="false">C15+E15</f>
        <v>442.037</v>
      </c>
      <c r="G15" s="0" t="s">
        <v>397</v>
      </c>
      <c r="H15" s="0" t="n">
        <f aca="false">ROUNDUP(F15/10,0)</f>
        <v>45</v>
      </c>
      <c r="I15" s="0" t="s">
        <v>404</v>
      </c>
    </row>
    <row r="16" customFormat="false" ht="15" hidden="false" customHeight="false" outlineLevel="0" collapsed="false">
      <c r="A16" s="0" t="s">
        <v>406</v>
      </c>
      <c r="B16" s="0" t="s">
        <v>385</v>
      </c>
      <c r="C16" s="0" t="n">
        <v>293.58</v>
      </c>
      <c r="D16" s="0" t="n">
        <f aca="false">Inputs!$B$4</f>
        <v>0.15</v>
      </c>
      <c r="E16" s="0" t="n">
        <f aca="false">C16*D16</f>
        <v>44.037</v>
      </c>
      <c r="F16" s="0" t="n">
        <f aca="false">C16+E16</f>
        <v>337.617</v>
      </c>
      <c r="G16" s="0" t="s">
        <v>397</v>
      </c>
      <c r="H16" s="0" t="n">
        <f aca="false">ROUNDUP(F16/10,0)</f>
        <v>34</v>
      </c>
      <c r="I16" s="0" t="s">
        <v>404</v>
      </c>
    </row>
    <row r="17" customFormat="false" ht="15" hidden="false" customHeight="false" outlineLevel="0" collapsed="false">
      <c r="A17" s="0" t="s">
        <v>407</v>
      </c>
      <c r="B17" s="0" t="s">
        <v>385</v>
      </c>
      <c r="C17" s="0" t="n">
        <v>1</v>
      </c>
      <c r="D17" s="0" t="n">
        <f aca="false">Inputs!$B$4</f>
        <v>0.15</v>
      </c>
      <c r="E17" s="0" t="n">
        <f aca="false">C17*D17</f>
        <v>0.15</v>
      </c>
      <c r="F17" s="0" t="n">
        <f aca="false">C17+E17</f>
        <v>1.15</v>
      </c>
      <c r="G17" s="0" t="s">
        <v>397</v>
      </c>
      <c r="H17" s="0" t="n">
        <f aca="false">ROUNDUP(F17/10,0)</f>
        <v>1</v>
      </c>
      <c r="I17" s="0" t="s">
        <v>404</v>
      </c>
    </row>
    <row r="18" customFormat="false" ht="15" hidden="false" customHeight="false" outlineLevel="0" collapsed="false">
      <c r="A18" s="0" t="s">
        <v>408</v>
      </c>
      <c r="B18" s="0" t="s">
        <v>385</v>
      </c>
      <c r="C18" s="0" t="n">
        <v>265.51</v>
      </c>
      <c r="D18" s="0" t="n">
        <f aca="false">Inputs!$B$4</f>
        <v>0.15</v>
      </c>
      <c r="E18" s="0" t="n">
        <f aca="false">C18*D18</f>
        <v>39.8265</v>
      </c>
      <c r="F18" s="0" t="n">
        <f aca="false">C18+E18</f>
        <v>305.3365</v>
      </c>
      <c r="G18" s="0" t="s">
        <v>397</v>
      </c>
      <c r="H18" s="0" t="n">
        <f aca="false">ROUNDUP(F18/10,0)</f>
        <v>31</v>
      </c>
      <c r="I18" s="0" t="s">
        <v>404</v>
      </c>
    </row>
    <row r="19" customFormat="false" ht="15" hidden="false" customHeight="false" outlineLevel="0" collapsed="false">
      <c r="A19" s="0" t="s">
        <v>409</v>
      </c>
      <c r="B19" s="0" t="s">
        <v>385</v>
      </c>
      <c r="C19" s="0" t="n">
        <v>1321.88</v>
      </c>
      <c r="D19" s="0" t="n">
        <f aca="false">Inputs!$B$4</f>
        <v>0.15</v>
      </c>
      <c r="E19" s="0" t="n">
        <f aca="false">C19*D19</f>
        <v>198.282</v>
      </c>
      <c r="F19" s="0" t="n">
        <f aca="false">C19+E19</f>
        <v>1520.162</v>
      </c>
      <c r="G19" s="0" t="s">
        <v>397</v>
      </c>
      <c r="H19" s="0" t="n">
        <f aca="false">ROUNDUP(F19/10,0)</f>
        <v>153</v>
      </c>
      <c r="I19" s="0" t="s">
        <v>410</v>
      </c>
    </row>
    <row r="20" customFormat="false" ht="15" hidden="false" customHeight="false" outlineLevel="0" collapsed="false">
      <c r="A20" s="0" t="s">
        <v>411</v>
      </c>
      <c r="B20" s="0" t="s">
        <v>385</v>
      </c>
      <c r="C20" s="0" t="n">
        <v>2399.03</v>
      </c>
      <c r="D20" s="0" t="n">
        <f aca="false">Inputs!$B$4</f>
        <v>0.15</v>
      </c>
      <c r="E20" s="0" t="n">
        <f aca="false">C20*D20</f>
        <v>359.8545</v>
      </c>
      <c r="F20" s="0" t="n">
        <f aca="false">C20+E20</f>
        <v>2758.8845</v>
      </c>
      <c r="G20" s="0" t="s">
        <v>412</v>
      </c>
      <c r="H20" s="0" t="n">
        <f aca="false">ROUNDUP(F20/16,0)</f>
        <v>173</v>
      </c>
      <c r="I20" s="0" t="s">
        <v>413</v>
      </c>
    </row>
    <row r="21" customFormat="false" ht="15" hidden="false" customHeight="false" outlineLevel="0" collapsed="false">
      <c r="A21" s="0" t="s">
        <v>414</v>
      </c>
      <c r="B21" s="0" t="s">
        <v>385</v>
      </c>
      <c r="C21" s="0" t="n">
        <v>194.82</v>
      </c>
      <c r="D21" s="0" t="n">
        <f aca="false">Inputs!$B$4</f>
        <v>0.15</v>
      </c>
      <c r="E21" s="0" t="n">
        <f aca="false">C21*D21</f>
        <v>29.223</v>
      </c>
      <c r="F21" s="0" t="n">
        <f aca="false">C21+E21</f>
        <v>224.043</v>
      </c>
      <c r="G21" s="0" t="s">
        <v>397</v>
      </c>
      <c r="H21" s="0" t="n">
        <f aca="false">ROUNDUP(F21/10,0)</f>
        <v>23</v>
      </c>
      <c r="I21" s="0" t="s">
        <v>415</v>
      </c>
    </row>
    <row r="22" customFormat="false" ht="15" hidden="false" customHeight="false" outlineLevel="0" collapsed="false">
      <c r="A22" s="0" t="s">
        <v>416</v>
      </c>
      <c r="B22" s="0" t="s">
        <v>385</v>
      </c>
      <c r="C22" s="0" t="n">
        <v>74.58</v>
      </c>
      <c r="D22" s="0" t="n">
        <f aca="false">Inputs!$B$4</f>
        <v>0.15</v>
      </c>
      <c r="E22" s="0" t="n">
        <f aca="false">C22*D22</f>
        <v>11.187</v>
      </c>
      <c r="F22" s="0" t="n">
        <f aca="false">C22+E22</f>
        <v>85.767</v>
      </c>
      <c r="G22" s="0" t="s">
        <v>397</v>
      </c>
      <c r="H22" s="0" t="n">
        <f aca="false">ROUNDUP(F22/10,0)</f>
        <v>9</v>
      </c>
      <c r="I22" s="0" t="s">
        <v>417</v>
      </c>
    </row>
    <row r="23" customFormat="false" ht="15" hidden="false" customHeight="false" outlineLevel="0" collapsed="false">
      <c r="A23" s="0" t="s">
        <v>418</v>
      </c>
      <c r="B23" s="0" t="s">
        <v>385</v>
      </c>
      <c r="C23" s="0" t="n">
        <v>256.71</v>
      </c>
      <c r="D23" s="0" t="n">
        <f aca="false">Inputs!$B$4</f>
        <v>0.15</v>
      </c>
      <c r="E23" s="0" t="n">
        <f aca="false">C23*D23</f>
        <v>38.5065</v>
      </c>
      <c r="F23" s="0" t="n">
        <f aca="false">C23+E23</f>
        <v>295.2165</v>
      </c>
      <c r="G23" s="0" t="s">
        <v>397</v>
      </c>
      <c r="H23" s="0" t="n">
        <f aca="false">ROUNDUP(F23/10,0)</f>
        <v>30</v>
      </c>
      <c r="I23" s="0" t="s">
        <v>417</v>
      </c>
    </row>
    <row r="24" customFormat="false" ht="15" hidden="false" customHeight="false" outlineLevel="0" collapsed="false">
      <c r="A24" s="0" t="s">
        <v>419</v>
      </c>
      <c r="B24" s="0" t="s">
        <v>385</v>
      </c>
      <c r="C24" s="0" t="n">
        <v>58.67</v>
      </c>
      <c r="D24" s="0" t="n">
        <f aca="false">Inputs!$B$4</f>
        <v>0.15</v>
      </c>
      <c r="E24" s="0" t="n">
        <f aca="false">C24*D24</f>
        <v>8.8005</v>
      </c>
      <c r="F24" s="0" t="n">
        <f aca="false">C24+E24</f>
        <v>67.4705</v>
      </c>
      <c r="G24" s="0" t="s">
        <v>397</v>
      </c>
      <c r="H24" s="0" t="n">
        <f aca="false">ROUNDUP(F24/10,0)</f>
        <v>7</v>
      </c>
      <c r="I24" s="0" t="s">
        <v>417</v>
      </c>
    </row>
    <row r="25" customFormat="false" ht="15" hidden="false" customHeight="false" outlineLevel="0" collapsed="false">
      <c r="A25" s="0" t="s">
        <v>420</v>
      </c>
      <c r="B25" s="0" t="s">
        <v>385</v>
      </c>
      <c r="C25" s="0" t="n">
        <v>106</v>
      </c>
      <c r="D25" s="0" t="n">
        <f aca="false">Inputs!$B$4</f>
        <v>0.15</v>
      </c>
      <c r="E25" s="0" t="n">
        <f aca="false">C25*D25</f>
        <v>15.9</v>
      </c>
      <c r="F25" s="0" t="n">
        <f aca="false">C25+E25</f>
        <v>121.9</v>
      </c>
      <c r="G25" s="0" t="s">
        <v>397</v>
      </c>
      <c r="H25" s="0" t="n">
        <f aca="false">ROUNDUP(F25/10,0)</f>
        <v>13</v>
      </c>
      <c r="I25" s="0" t="s">
        <v>417</v>
      </c>
    </row>
    <row r="26" customFormat="false" ht="15" hidden="false" customHeight="false" outlineLevel="0" collapsed="false">
      <c r="A26" s="0" t="s">
        <v>421</v>
      </c>
      <c r="B26" s="0" t="s">
        <v>385</v>
      </c>
      <c r="C26" s="0" t="n">
        <v>98.92</v>
      </c>
      <c r="D26" s="0" t="n">
        <f aca="false">Inputs!$B$4</f>
        <v>0.15</v>
      </c>
      <c r="E26" s="0" t="n">
        <f aca="false">C26*D26</f>
        <v>14.838</v>
      </c>
      <c r="F26" s="0" t="n">
        <f aca="false">C26+E26</f>
        <v>113.758</v>
      </c>
      <c r="G26" s="0" t="s">
        <v>397</v>
      </c>
      <c r="H26" s="0" t="n">
        <f aca="false">ROUNDUP(F26/10,0)</f>
        <v>12</v>
      </c>
      <c r="I26" s="0" t="s">
        <v>417</v>
      </c>
    </row>
    <row r="27" customFormat="false" ht="15" hidden="false" customHeight="false" outlineLevel="0" collapsed="false">
      <c r="A27" s="0" t="s">
        <v>422</v>
      </c>
      <c r="B27" s="0" t="s">
        <v>385</v>
      </c>
      <c r="C27" s="0" t="n">
        <v>119.09</v>
      </c>
      <c r="D27" s="0" t="n">
        <f aca="false">Inputs!$B$4</f>
        <v>0.15</v>
      </c>
      <c r="E27" s="0" t="n">
        <f aca="false">C27*D27</f>
        <v>17.8635</v>
      </c>
      <c r="F27" s="0" t="n">
        <f aca="false">C27+E27</f>
        <v>136.9535</v>
      </c>
      <c r="G27" s="0" t="s">
        <v>397</v>
      </c>
      <c r="H27" s="0" t="n">
        <f aca="false">ROUNDUP(F27/10,0)</f>
        <v>14</v>
      </c>
      <c r="I27" s="0" t="s">
        <v>423</v>
      </c>
    </row>
    <row r="28" customFormat="false" ht="15" hidden="false" customHeight="false" outlineLevel="0" collapsed="false">
      <c r="A28" s="0" t="s">
        <v>424</v>
      </c>
      <c r="B28" s="0" t="s">
        <v>385</v>
      </c>
      <c r="C28" s="0" t="n">
        <v>807.02</v>
      </c>
      <c r="D28" s="0" t="n">
        <f aca="false">Inputs!$B$4</f>
        <v>0.15</v>
      </c>
      <c r="E28" s="0" t="n">
        <f aca="false">C28*D28</f>
        <v>121.053</v>
      </c>
      <c r="F28" s="0" t="n">
        <f aca="false">C28+E28</f>
        <v>928.073</v>
      </c>
      <c r="G28" s="0" t="s">
        <v>425</v>
      </c>
      <c r="H28" s="0" t="n">
        <f aca="false">ROUNDUP(F28/12,0)</f>
        <v>78</v>
      </c>
      <c r="I28" s="0" t="s">
        <v>426</v>
      </c>
    </row>
    <row r="29" customFormat="false" ht="15" hidden="false" customHeight="false" outlineLevel="0" collapsed="false">
      <c r="A29" s="0" t="s">
        <v>427</v>
      </c>
      <c r="B29" s="0" t="s">
        <v>385</v>
      </c>
      <c r="C29" s="0" t="n">
        <v>315.77</v>
      </c>
      <c r="D29" s="0" t="n">
        <f aca="false">Inputs!$B$4</f>
        <v>0.15</v>
      </c>
      <c r="E29" s="0" t="n">
        <f aca="false">C29*D29</f>
        <v>47.3655</v>
      </c>
      <c r="F29" s="0" t="n">
        <f aca="false">C29+E29</f>
        <v>363.1355</v>
      </c>
      <c r="G29" s="0" t="s">
        <v>412</v>
      </c>
      <c r="H29" s="0" t="n">
        <f aca="false">ROUNDUP(F29/16,0)</f>
        <v>23</v>
      </c>
      <c r="I29" s="0" t="s">
        <v>428</v>
      </c>
    </row>
    <row r="30" customFormat="false" ht="15" hidden="false" customHeight="false" outlineLevel="0" collapsed="false">
      <c r="A30" s="0" t="s">
        <v>429</v>
      </c>
      <c r="B30" s="0" t="s">
        <v>385</v>
      </c>
      <c r="C30" s="0" t="n">
        <v>531.58</v>
      </c>
      <c r="D30" s="0" t="n">
        <f aca="false">Inputs!$B$4</f>
        <v>0.15</v>
      </c>
      <c r="E30" s="0" t="n">
        <f aca="false">C30*D30</f>
        <v>79.737</v>
      </c>
      <c r="F30" s="0" t="n">
        <f aca="false">C30+E30</f>
        <v>611.317</v>
      </c>
      <c r="G30" s="0" t="s">
        <v>430</v>
      </c>
      <c r="H30" s="0" t="n">
        <f aca="false">ROUNDUP(F30,0)</f>
        <v>612</v>
      </c>
      <c r="I30" s="0" t="s">
        <v>431</v>
      </c>
    </row>
    <row r="31" customFormat="false" ht="15" hidden="false" customHeight="false" outlineLevel="0" collapsed="false">
      <c r="A31" s="0" t="s">
        <v>432</v>
      </c>
      <c r="B31" s="0" t="s">
        <v>433</v>
      </c>
      <c r="C31" s="0" t="n">
        <v>113</v>
      </c>
      <c r="D31" s="0" t="n">
        <v>0</v>
      </c>
      <c r="E31" s="0" t="n">
        <f aca="false">C31*D31</f>
        <v>0</v>
      </c>
      <c r="F31" s="0" t="n">
        <f aca="false">C31+E31</f>
        <v>113</v>
      </c>
      <c r="H31" s="0" t="n">
        <f aca="false">ROUNDUP(F31,0)</f>
        <v>113</v>
      </c>
      <c r="I31" s="0" t="s">
        <v>434</v>
      </c>
    </row>
    <row r="32" customFormat="false" ht="15" hidden="false" customHeight="false" outlineLevel="0" collapsed="false">
      <c r="A32" s="0" t="s">
        <v>435</v>
      </c>
      <c r="B32" s="0" t="s">
        <v>385</v>
      </c>
      <c r="C32" s="0" t="n">
        <v>940.91</v>
      </c>
      <c r="D32" s="0" t="n">
        <f aca="false">Inputs!$B$4</f>
        <v>0.15</v>
      </c>
      <c r="E32" s="0" t="n">
        <f aca="false">C32*D32</f>
        <v>141.1365</v>
      </c>
      <c r="F32" s="0" t="n">
        <f aca="false">C32+E32</f>
        <v>1082.0465</v>
      </c>
      <c r="G32" s="0" t="s">
        <v>397</v>
      </c>
      <c r="H32" s="0" t="n">
        <f aca="false">ROUNDUP(F32/10,0)</f>
        <v>109</v>
      </c>
      <c r="I32" s="0" t="s">
        <v>436</v>
      </c>
    </row>
    <row r="33" customFormat="false" ht="15" hidden="false" customHeight="false" outlineLevel="0" collapsed="false">
      <c r="A33" s="0" t="s">
        <v>437</v>
      </c>
      <c r="B33" s="0" t="s">
        <v>438</v>
      </c>
      <c r="C33" s="0" t="n">
        <v>17628.79</v>
      </c>
      <c r="D33" s="0" t="n">
        <f aca="false">Inputs!$B$5</f>
        <v>0.06</v>
      </c>
      <c r="E33" s="0" t="n">
        <f aca="false">C33*D33</f>
        <v>1057.7274</v>
      </c>
      <c r="F33" s="0" t="n">
        <f aca="false">C33+E33</f>
        <v>18686.5174</v>
      </c>
      <c r="G33" s="0" t="s">
        <v>439</v>
      </c>
      <c r="H33" s="0" t="n">
        <f aca="false">ROUNDUP(F33/48,0)</f>
        <v>390</v>
      </c>
      <c r="I33" s="0" t="s">
        <v>440</v>
      </c>
    </row>
    <row r="34" customFormat="false" ht="15" hidden="false" customHeight="false" outlineLevel="0" collapsed="false">
      <c r="A34" s="0" t="s">
        <v>441</v>
      </c>
      <c r="B34" s="0" t="s">
        <v>438</v>
      </c>
      <c r="C34" s="0" t="n">
        <v>260.32</v>
      </c>
      <c r="D34" s="0" t="n">
        <f aca="false">Inputs!$B$5</f>
        <v>0.06</v>
      </c>
      <c r="E34" s="0" t="n">
        <f aca="false">C34*D34</f>
        <v>15.6192</v>
      </c>
      <c r="F34" s="0" t="n">
        <f aca="false">C34+E34</f>
        <v>275.9392</v>
      </c>
      <c r="G34" s="0" t="s">
        <v>439</v>
      </c>
      <c r="H34" s="0" t="n">
        <f aca="false">ROUNDUP(F34/48,0)</f>
        <v>6</v>
      </c>
      <c r="I34" s="0" t="s">
        <v>442</v>
      </c>
    </row>
    <row r="35" customFormat="false" ht="15" hidden="false" customHeight="false" outlineLevel="0" collapsed="false">
      <c r="A35" s="0" t="s">
        <v>443</v>
      </c>
      <c r="B35" s="0" t="s">
        <v>438</v>
      </c>
      <c r="C35" s="0" t="n">
        <v>79.84</v>
      </c>
      <c r="D35" s="0" t="n">
        <f aca="false">Inputs!$B$5</f>
        <v>0.06</v>
      </c>
      <c r="E35" s="0" t="n">
        <f aca="false">C35*D35</f>
        <v>4.7904</v>
      </c>
      <c r="F35" s="0" t="n">
        <f aca="false">C35+E35</f>
        <v>84.6304</v>
      </c>
      <c r="G35" s="0" t="s">
        <v>444</v>
      </c>
      <c r="H35" s="0" t="n">
        <f aca="false">ROUNDUP(F35/32,0)</f>
        <v>3</v>
      </c>
      <c r="I35" s="0" t="s">
        <v>442</v>
      </c>
    </row>
    <row r="36" customFormat="false" ht="15" hidden="false" customHeight="false" outlineLevel="0" collapsed="false">
      <c r="A36" s="0" t="s">
        <v>445</v>
      </c>
      <c r="B36" s="0" t="s">
        <v>438</v>
      </c>
      <c r="C36" s="0" t="n">
        <v>61.34</v>
      </c>
      <c r="D36" s="0" t="n">
        <f aca="false">Inputs!$B$5</f>
        <v>0.06</v>
      </c>
      <c r="E36" s="0" t="n">
        <f aca="false">C36*D36</f>
        <v>3.6804</v>
      </c>
      <c r="F36" s="0" t="n">
        <f aca="false">C36+E36</f>
        <v>65.0204</v>
      </c>
      <c r="G36" s="0" t="s">
        <v>444</v>
      </c>
      <c r="H36" s="0" t="n">
        <f aca="false">ROUNDUP(F36/32,0)</f>
        <v>3</v>
      </c>
      <c r="I36" s="0" t="s">
        <v>442</v>
      </c>
    </row>
    <row r="37" customFormat="false" ht="15" hidden="false" customHeight="false" outlineLevel="0" collapsed="false">
      <c r="A37" s="0" t="s">
        <v>446</v>
      </c>
      <c r="B37" s="0" t="s">
        <v>438</v>
      </c>
      <c r="C37" s="0" t="n">
        <v>477.83</v>
      </c>
      <c r="D37" s="0" t="n">
        <f aca="false">Inputs!$B$5</f>
        <v>0.06</v>
      </c>
      <c r="E37" s="0" t="n">
        <f aca="false">C37*D37</f>
        <v>28.6698</v>
      </c>
      <c r="F37" s="0" t="n">
        <f aca="false">C37+E37</f>
        <v>506.4998</v>
      </c>
      <c r="G37" s="0" t="s">
        <v>444</v>
      </c>
      <c r="H37" s="0" t="n">
        <f aca="false">ROUNDUP(F37/32,0)</f>
        <v>16</v>
      </c>
      <c r="I37" s="0" t="s">
        <v>442</v>
      </c>
    </row>
    <row r="38" customFormat="false" ht="15" hidden="false" customHeight="false" outlineLevel="0" collapsed="false">
      <c r="A38" s="0" t="s">
        <v>447</v>
      </c>
      <c r="B38" s="0" t="s">
        <v>438</v>
      </c>
      <c r="C38" s="0" t="n">
        <v>953.44</v>
      </c>
      <c r="D38" s="0" t="n">
        <f aca="false">Inputs!$B$5</f>
        <v>0.06</v>
      </c>
      <c r="E38" s="0" t="n">
        <f aca="false">C38*D38</f>
        <v>57.2064</v>
      </c>
      <c r="F38" s="0" t="n">
        <f aca="false">C38+E38</f>
        <v>1010.6464</v>
      </c>
      <c r="G38" s="0" t="s">
        <v>444</v>
      </c>
      <c r="H38" s="0" t="n">
        <f aca="false">ROUNDUP(F38/32,0)</f>
        <v>32</v>
      </c>
      <c r="I38" s="0" t="s">
        <v>442</v>
      </c>
    </row>
    <row r="39" customFormat="false" ht="15" hidden="false" customHeight="false" outlineLevel="0" collapsed="false">
      <c r="A39" s="0" t="s">
        <v>448</v>
      </c>
      <c r="B39" s="0" t="s">
        <v>438</v>
      </c>
      <c r="C39" s="0" t="n">
        <v>6817.26</v>
      </c>
      <c r="D39" s="0" t="n">
        <f aca="false">Inputs!$B$5</f>
        <v>0.06</v>
      </c>
      <c r="E39" s="0" t="n">
        <f aca="false">C39*D39</f>
        <v>409.0356</v>
      </c>
      <c r="F39" s="0" t="n">
        <f aca="false">C39+E39</f>
        <v>7226.2956</v>
      </c>
      <c r="G39" s="0" t="s">
        <v>444</v>
      </c>
      <c r="H39" s="0" t="n">
        <f aca="false">ROUNDUP(F39/32,0)</f>
        <v>226</v>
      </c>
      <c r="I39" s="0" t="s">
        <v>442</v>
      </c>
    </row>
    <row r="40" customFormat="false" ht="15" hidden="false" customHeight="false" outlineLevel="0" collapsed="false">
      <c r="A40" s="0" t="s">
        <v>449</v>
      </c>
      <c r="B40" s="0" t="s">
        <v>385</v>
      </c>
      <c r="C40" s="0" t="n">
        <v>867.38</v>
      </c>
      <c r="D40" s="0" t="n">
        <f aca="false">Inputs!$B$5</f>
        <v>0.06</v>
      </c>
      <c r="E40" s="0" t="n">
        <f aca="false">C40*D40</f>
        <v>52.0428</v>
      </c>
      <c r="F40" s="0" t="n">
        <f aca="false">C40+E40</f>
        <v>919.4228</v>
      </c>
      <c r="G40" s="0" t="s">
        <v>450</v>
      </c>
      <c r="H40" s="0" t="n">
        <f aca="false">ROUNDUP(F40,0)</f>
        <v>920</v>
      </c>
      <c r="I40" s="0" t="s">
        <v>442</v>
      </c>
    </row>
    <row r="41" customFormat="false" ht="15" hidden="false" customHeight="false" outlineLevel="0" collapsed="false">
      <c r="A41" s="0" t="s">
        <v>451</v>
      </c>
      <c r="B41" s="0" t="s">
        <v>385</v>
      </c>
      <c r="C41" s="0" t="n">
        <v>723.38</v>
      </c>
      <c r="D41" s="0" t="n">
        <f aca="false">Inputs!$B$4</f>
        <v>0.15</v>
      </c>
      <c r="E41" s="0" t="n">
        <f aca="false">C41*D41</f>
        <v>108.507</v>
      </c>
      <c r="F41" s="0" t="n">
        <f aca="false">C41+E41</f>
        <v>831.887</v>
      </c>
      <c r="G41" s="0" t="s">
        <v>397</v>
      </c>
      <c r="H41" s="0" t="n">
        <f aca="false">ROUNDUP(ROUNDUP(F41/1.333,0)/MAX(1,INT(10/1.333)),0)</f>
        <v>90</v>
      </c>
      <c r="I41" s="0" t="s">
        <v>452</v>
      </c>
    </row>
    <row r="42" customFormat="false" ht="15" hidden="false" customHeight="false" outlineLevel="0" collapsed="false">
      <c r="A42" s="0" t="s">
        <v>453</v>
      </c>
      <c r="B42" s="0" t="s">
        <v>385</v>
      </c>
      <c r="C42" s="0" t="n">
        <v>1136.85</v>
      </c>
      <c r="D42" s="0" t="n">
        <f aca="false">Inputs!$B$4</f>
        <v>0.15</v>
      </c>
      <c r="E42" s="0" t="n">
        <f aca="false">C42*D42</f>
        <v>170.5275</v>
      </c>
      <c r="F42" s="0" t="n">
        <f aca="false">C42+E42</f>
        <v>1307.3775</v>
      </c>
      <c r="G42" s="0" t="s">
        <v>397</v>
      </c>
      <c r="H42" s="0" t="n">
        <f aca="false">ROUNDUP(F42/10,0)</f>
        <v>131</v>
      </c>
      <c r="I42" s="0" t="s">
        <v>442</v>
      </c>
    </row>
    <row r="43" customFormat="false" ht="15" hidden="false" customHeight="false" outlineLevel="0" collapsed="false">
      <c r="A43" s="0" t="s">
        <v>454</v>
      </c>
      <c r="B43" s="0" t="s">
        <v>438</v>
      </c>
      <c r="C43" s="0" t="n">
        <v>31.88</v>
      </c>
      <c r="D43" s="0" t="n">
        <f aca="false">Inputs!$B$5</f>
        <v>0.06</v>
      </c>
      <c r="E43" s="0" t="n">
        <f aca="false">C43*D43</f>
        <v>1.9128</v>
      </c>
      <c r="F43" s="0" t="n">
        <f aca="false">C43+E43</f>
        <v>33.7928</v>
      </c>
      <c r="G43" s="0" t="s">
        <v>455</v>
      </c>
      <c r="H43" s="0" t="n">
        <f aca="false">ROUNDUP(F43/15,0)</f>
        <v>3</v>
      </c>
      <c r="I43" s="0" t="s">
        <v>442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60"/>
  </cols>
  <sheetData>
    <row r="1" customFormat="false" ht="15" hidden="false" customHeight="false" outlineLevel="0" collapsed="false">
      <c r="A1" s="4" t="s">
        <v>456</v>
      </c>
      <c r="B1" s="4" t="s">
        <v>457</v>
      </c>
      <c r="C1" s="4" t="s">
        <v>458</v>
      </c>
    </row>
    <row r="2" customFormat="false" ht="15" hidden="false" customHeight="false" outlineLevel="0" collapsed="false">
      <c r="A2" s="0" t="s">
        <v>459</v>
      </c>
      <c r="B2" s="0" t="s">
        <v>460</v>
      </c>
      <c r="C2" s="0" t="s">
        <v>461</v>
      </c>
    </row>
    <row r="3" customFormat="false" ht="15" hidden="false" customHeight="false" outlineLevel="0" collapsed="false">
      <c r="A3" s="0" t="s">
        <v>462</v>
      </c>
      <c r="B3" s="0" t="s">
        <v>463</v>
      </c>
      <c r="C3" s="0" t="s">
        <v>464</v>
      </c>
    </row>
    <row r="4" customFormat="false" ht="15" hidden="false" customHeight="false" outlineLevel="0" collapsed="false">
      <c r="A4" s="0" t="s">
        <v>465</v>
      </c>
      <c r="B4" s="0" t="s">
        <v>466</v>
      </c>
      <c r="C4" s="0" t="s">
        <v>467</v>
      </c>
    </row>
    <row r="5" customFormat="false" ht="15" hidden="false" customHeight="false" outlineLevel="0" collapsed="false">
      <c r="A5" s="0" t="s">
        <v>468</v>
      </c>
      <c r="B5" s="0" t="s">
        <v>469</v>
      </c>
      <c r="C5" s="0" t="s">
        <v>467</v>
      </c>
    </row>
    <row r="6" customFormat="false" ht="15" hidden="false" customHeight="false" outlineLevel="0" collapsed="false">
      <c r="A6" s="0" t="s">
        <v>470</v>
      </c>
      <c r="B6" s="0" t="s">
        <v>471</v>
      </c>
      <c r="C6" s="0" t="s">
        <v>467</v>
      </c>
    </row>
    <row r="7" customFormat="false" ht="15" hidden="false" customHeight="false" outlineLevel="0" collapsed="false">
      <c r="A7" s="0" t="s">
        <v>472</v>
      </c>
      <c r="B7" s="0" t="s">
        <v>473</v>
      </c>
      <c r="C7" s="0" t="s">
        <v>474</v>
      </c>
    </row>
    <row r="8" customFormat="false" ht="15" hidden="false" customHeight="false" outlineLevel="0" collapsed="false">
      <c r="A8" s="0" t="s">
        <v>475</v>
      </c>
      <c r="B8" s="0" t="s">
        <v>476</v>
      </c>
      <c r="C8" s="0" t="s">
        <v>467</v>
      </c>
    </row>
    <row r="9" customFormat="false" ht="15" hidden="false" customHeight="false" outlineLevel="0" collapsed="false">
      <c r="A9" s="0" t="s">
        <v>477</v>
      </c>
      <c r="B9" s="0" t="s">
        <v>478</v>
      </c>
      <c r="C9" s="0" t="s">
        <v>479</v>
      </c>
    </row>
    <row r="10" customFormat="false" ht="15" hidden="false" customHeight="false" outlineLevel="0" collapsed="false">
      <c r="A10" s="0" t="s">
        <v>480</v>
      </c>
      <c r="B10" s="0" t="s">
        <v>481</v>
      </c>
      <c r="C10" s="0" t="s">
        <v>482</v>
      </c>
    </row>
    <row r="11" customFormat="false" ht="15" hidden="false" customHeight="false" outlineLevel="0" collapsed="false">
      <c r="A11" s="0" t="s">
        <v>483</v>
      </c>
      <c r="B11" s="0" t="s">
        <v>484</v>
      </c>
      <c r="C11" s="0" t="s">
        <v>467</v>
      </c>
    </row>
    <row r="12" customFormat="false" ht="15" hidden="false" customHeight="false" outlineLevel="0" collapsed="false">
      <c r="A12" s="0" t="s">
        <v>485</v>
      </c>
      <c r="B12" s="0" t="s">
        <v>486</v>
      </c>
      <c r="C12" s="0" t="s">
        <v>487</v>
      </c>
    </row>
    <row r="13" customFormat="false" ht="15" hidden="false" customHeight="false" outlineLevel="0" collapsed="false">
      <c r="A13" s="0" t="s">
        <v>488</v>
      </c>
      <c r="B13" s="0" t="s">
        <v>489</v>
      </c>
      <c r="C13" s="0" t="s">
        <v>490</v>
      </c>
    </row>
    <row r="14" customFormat="false" ht="15" hidden="false" customHeight="false" outlineLevel="0" collapsed="false">
      <c r="A14" s="0" t="s">
        <v>491</v>
      </c>
      <c r="B14" s="0" t="s">
        <v>492</v>
      </c>
      <c r="C14" s="0" t="s">
        <v>493</v>
      </c>
    </row>
    <row r="15" customFormat="false" ht="15" hidden="false" customHeight="false" outlineLevel="0" collapsed="false">
      <c r="A15" s="0" t="s">
        <v>494</v>
      </c>
      <c r="B15" s="0" t="s">
        <v>495</v>
      </c>
      <c r="C15" s="0" t="s">
        <v>467</v>
      </c>
    </row>
    <row r="16" customFormat="false" ht="15" hidden="false" customHeight="false" outlineLevel="0" collapsed="false">
      <c r="A16" s="0" t="s">
        <v>496</v>
      </c>
      <c r="B16" s="0" t="s">
        <v>497</v>
      </c>
      <c r="C16" s="0" t="s">
        <v>498</v>
      </c>
    </row>
    <row r="17" customFormat="false" ht="15" hidden="false" customHeight="false" outlineLevel="0" collapsed="false">
      <c r="A17" s="0" t="s">
        <v>499</v>
      </c>
      <c r="B17" s="0" t="s">
        <v>500</v>
      </c>
      <c r="C17" s="0" t="s">
        <v>501</v>
      </c>
    </row>
    <row r="18" customFormat="false" ht="15" hidden="false" customHeight="false" outlineLevel="0" collapsed="false">
      <c r="A18" s="0" t="s">
        <v>502</v>
      </c>
      <c r="B18" s="0" t="s">
        <v>503</v>
      </c>
      <c r="C18" s="0" t="s">
        <v>504</v>
      </c>
    </row>
    <row r="19" customFormat="false" ht="15" hidden="false" customHeight="false" outlineLevel="0" collapsed="false">
      <c r="A19" s="0" t="s">
        <v>505</v>
      </c>
      <c r="B19" s="0" t="s">
        <v>506</v>
      </c>
      <c r="C19" s="0" t="s">
        <v>507</v>
      </c>
    </row>
    <row r="20" customFormat="false" ht="15" hidden="false" customHeight="false" outlineLevel="0" collapsed="false">
      <c r="A20" s="0" t="s">
        <v>508</v>
      </c>
      <c r="B20" s="0" t="s">
        <v>509</v>
      </c>
      <c r="C20" s="0" t="s">
        <v>510</v>
      </c>
    </row>
    <row r="21" customFormat="false" ht="15" hidden="false" customHeight="false" outlineLevel="0" collapsed="false">
      <c r="A21" s="0" t="s">
        <v>511</v>
      </c>
      <c r="B21" s="0" t="s">
        <v>512</v>
      </c>
      <c r="C21" s="0" t="s">
        <v>513</v>
      </c>
    </row>
    <row r="22" customFormat="false" ht="15" hidden="false" customHeight="false" outlineLevel="0" collapsed="false">
      <c r="A22" s="0" t="s">
        <v>514</v>
      </c>
      <c r="B22" s="0" t="s">
        <v>515</v>
      </c>
      <c r="C22" s="0" t="s">
        <v>467</v>
      </c>
    </row>
    <row r="23" customFormat="false" ht="15" hidden="false" customHeight="false" outlineLevel="0" collapsed="false">
      <c r="A23" s="0" t="s">
        <v>516</v>
      </c>
      <c r="B23" s="0" t="s">
        <v>517</v>
      </c>
      <c r="C23" s="0" t="s">
        <v>518</v>
      </c>
    </row>
    <row r="24" customFormat="false" ht="15" hidden="false" customHeight="false" outlineLevel="0" collapsed="false">
      <c r="A24" s="0" t="s">
        <v>519</v>
      </c>
      <c r="B24" s="0" t="s">
        <v>520</v>
      </c>
      <c r="C24" s="0" t="s">
        <v>521</v>
      </c>
    </row>
    <row r="25" customFormat="false" ht="15" hidden="false" customHeight="false" outlineLevel="0" collapsed="false">
      <c r="A25" s="0" t="s">
        <v>522</v>
      </c>
      <c r="B25" s="0" t="s">
        <v>523</v>
      </c>
      <c r="C25" s="0" t="s">
        <v>524</v>
      </c>
    </row>
    <row r="26" customFormat="false" ht="15" hidden="false" customHeight="false" outlineLevel="0" collapsed="false">
      <c r="A26" s="0" t="s">
        <v>525</v>
      </c>
      <c r="B26" s="0" t="s">
        <v>526</v>
      </c>
      <c r="C26" s="0" t="s">
        <v>527</v>
      </c>
    </row>
    <row r="27" customFormat="false" ht="15" hidden="false" customHeight="false" outlineLevel="0" collapsed="false">
      <c r="A27" s="0" t="s">
        <v>528</v>
      </c>
      <c r="B27" s="0" t="s">
        <v>529</v>
      </c>
      <c r="C27" s="0" t="s">
        <v>467</v>
      </c>
    </row>
    <row r="28" customFormat="false" ht="15" hidden="false" customHeight="false" outlineLevel="0" collapsed="false">
      <c r="A28" s="0" t="s">
        <v>530</v>
      </c>
      <c r="B28" s="0" t="s">
        <v>531</v>
      </c>
      <c r="C28" s="0" t="s">
        <v>467</v>
      </c>
    </row>
    <row r="29" customFormat="false" ht="15" hidden="false" customHeight="false" outlineLevel="0" collapsed="false">
      <c r="A29" s="0" t="s">
        <v>532</v>
      </c>
      <c r="B29" s="0" t="s">
        <v>533</v>
      </c>
      <c r="C29" s="0" t="s">
        <v>467</v>
      </c>
    </row>
    <row r="30" customFormat="false" ht="15" hidden="false" customHeight="false" outlineLevel="0" collapsed="false">
      <c r="A30" s="0" t="s">
        <v>534</v>
      </c>
      <c r="B30" s="0" t="s">
        <v>535</v>
      </c>
      <c r="C30" s="0" t="s">
        <v>536</v>
      </c>
    </row>
    <row r="31" customFormat="false" ht="15" hidden="false" customHeight="false" outlineLevel="0" collapsed="false">
      <c r="A31" s="0" t="s">
        <v>537</v>
      </c>
      <c r="B31" s="0" t="s">
        <v>538</v>
      </c>
      <c r="C31" s="0" t="s">
        <v>467</v>
      </c>
    </row>
    <row r="32" customFormat="false" ht="15" hidden="false" customHeight="false" outlineLevel="0" collapsed="false">
      <c r="A32" s="0" t="s">
        <v>539</v>
      </c>
      <c r="B32" s="0" t="s">
        <v>540</v>
      </c>
      <c r="C32" s="0" t="s">
        <v>467</v>
      </c>
    </row>
    <row r="33" customFormat="false" ht="15" hidden="false" customHeight="false" outlineLevel="0" collapsed="false">
      <c r="A33" s="0" t="s">
        <v>541</v>
      </c>
      <c r="B33" s="0" t="s">
        <v>542</v>
      </c>
      <c r="C33" s="0" t="s">
        <v>543</v>
      </c>
    </row>
    <row r="34" customFormat="false" ht="15" hidden="false" customHeight="false" outlineLevel="0" collapsed="false">
      <c r="A34" s="0" t="s">
        <v>544</v>
      </c>
      <c r="B34" s="0" t="s">
        <v>545</v>
      </c>
      <c r="C34" s="0" t="s">
        <v>546</v>
      </c>
    </row>
    <row r="35" customFormat="false" ht="15" hidden="false" customHeight="false" outlineLevel="0" collapsed="false">
      <c r="A35" s="0" t="s">
        <v>547</v>
      </c>
      <c r="B35" s="0" t="s">
        <v>548</v>
      </c>
      <c r="C35" s="0" t="s">
        <v>549</v>
      </c>
    </row>
    <row r="36" customFormat="false" ht="15" hidden="false" customHeight="false" outlineLevel="0" collapsed="false">
      <c r="A36" s="0" t="s">
        <v>550</v>
      </c>
      <c r="B36" s="0" t="s">
        <v>551</v>
      </c>
      <c r="C36" s="0" t="s">
        <v>552</v>
      </c>
    </row>
    <row r="37" customFormat="false" ht="15" hidden="false" customHeight="false" outlineLevel="0" collapsed="false">
      <c r="A37" s="0" t="s">
        <v>553</v>
      </c>
      <c r="B37" s="0" t="s">
        <v>554</v>
      </c>
      <c r="C37" s="0" t="s">
        <v>555</v>
      </c>
    </row>
    <row r="38" customFormat="false" ht="15" hidden="false" customHeight="false" outlineLevel="0" collapsed="false">
      <c r="A38" s="0" t="s">
        <v>556</v>
      </c>
      <c r="B38" s="0" t="s">
        <v>557</v>
      </c>
      <c r="C38" s="0" t="s">
        <v>467</v>
      </c>
    </row>
    <row r="39" customFormat="false" ht="15" hidden="false" customHeight="false" outlineLevel="0" collapsed="false">
      <c r="A39" s="0" t="s">
        <v>558</v>
      </c>
      <c r="B39" s="0" t="s">
        <v>559</v>
      </c>
      <c r="C39" s="0" t="s">
        <v>467</v>
      </c>
    </row>
    <row r="40" customFormat="false" ht="15" hidden="false" customHeight="false" outlineLevel="0" collapsed="false">
      <c r="A40" s="0" t="s">
        <v>560</v>
      </c>
      <c r="B40" s="0" t="s">
        <v>561</v>
      </c>
      <c r="C40" s="0" t="s">
        <v>467</v>
      </c>
    </row>
    <row r="41" customFormat="false" ht="15" hidden="false" customHeight="false" outlineLevel="0" collapsed="false">
      <c r="A41" s="0" t="s">
        <v>562</v>
      </c>
      <c r="B41" s="0" t="s">
        <v>563</v>
      </c>
      <c r="C41" s="0" t="s">
        <v>467</v>
      </c>
    </row>
    <row r="42" customFormat="false" ht="15" hidden="false" customHeight="false" outlineLevel="0" collapsed="false">
      <c r="A42" s="0" t="s">
        <v>564</v>
      </c>
      <c r="B42" s="0" t="s">
        <v>565</v>
      </c>
      <c r="C42" s="0" t="s">
        <v>566</v>
      </c>
    </row>
    <row r="43" customFormat="false" ht="15" hidden="false" customHeight="false" outlineLevel="0" collapsed="false">
      <c r="A43" s="0" t="s">
        <v>567</v>
      </c>
      <c r="B43" s="0" t="s">
        <v>568</v>
      </c>
      <c r="C43" s="0" t="s">
        <v>569</v>
      </c>
    </row>
    <row r="44" customFormat="false" ht="15" hidden="false" customHeight="false" outlineLevel="0" collapsed="false">
      <c r="A44" s="0" t="s">
        <v>570</v>
      </c>
      <c r="B44" s="0" t="s">
        <v>571</v>
      </c>
      <c r="C44" s="0" t="s">
        <v>572</v>
      </c>
    </row>
    <row r="45" customFormat="false" ht="15" hidden="false" customHeight="false" outlineLevel="0" collapsed="false">
      <c r="A45" s="0" t="s">
        <v>573</v>
      </c>
      <c r="B45" s="0" t="s">
        <v>574</v>
      </c>
      <c r="C45" s="0" t="s">
        <v>575</v>
      </c>
    </row>
    <row r="46" customFormat="false" ht="15" hidden="false" customHeight="false" outlineLevel="0" collapsed="false">
      <c r="A46" s="0" t="s">
        <v>576</v>
      </c>
      <c r="B46" s="0" t="s">
        <v>577</v>
      </c>
      <c r="C46" s="0" t="s">
        <v>578</v>
      </c>
    </row>
    <row r="47" customFormat="false" ht="15" hidden="false" customHeight="false" outlineLevel="0" collapsed="false">
      <c r="A47" s="0" t="s">
        <v>579</v>
      </c>
      <c r="B47" s="0" t="s">
        <v>580</v>
      </c>
      <c r="C47" s="0" t="s">
        <v>581</v>
      </c>
    </row>
    <row r="48" customFormat="false" ht="15" hidden="false" customHeight="false" outlineLevel="0" collapsed="false">
      <c r="A48" s="0" t="s">
        <v>582</v>
      </c>
      <c r="B48" s="0" t="s">
        <v>583</v>
      </c>
      <c r="C48" s="0" t="s">
        <v>584</v>
      </c>
    </row>
    <row r="49" customFormat="false" ht="15" hidden="false" customHeight="false" outlineLevel="0" collapsed="false">
      <c r="A49" s="0" t="s">
        <v>585</v>
      </c>
      <c r="B49" s="0" t="s">
        <v>586</v>
      </c>
      <c r="C49" s="0" t="s">
        <v>587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0"/>
    <col collapsed="false" customWidth="true" hidden="false" outlineLevel="0" max="3" min="3" style="0" width="16"/>
    <col collapsed="false" customWidth="true" hidden="false" outlineLevel="0" max="4" min="4" style="0" width="38"/>
  </cols>
  <sheetData>
    <row r="1" customFormat="false" ht="15" hidden="false" customHeight="false" outlineLevel="0" collapsed="false">
      <c r="A1" s="0" t="s">
        <v>588</v>
      </c>
      <c r="B1" s="0" t="s">
        <v>589</v>
      </c>
      <c r="C1" s="0" t="s">
        <v>590</v>
      </c>
      <c r="D1" s="0" t="s">
        <v>591</v>
      </c>
    </row>
    <row r="2" customFormat="false" ht="15" hidden="false" customHeight="false" outlineLevel="0" collapsed="false">
      <c r="A2" s="0" t="n">
        <v>1</v>
      </c>
      <c r="B2" s="0" t="s">
        <v>592</v>
      </c>
      <c r="C2" s="0" t="s">
        <v>593</v>
      </c>
      <c r="D2" s="0" t="s">
        <v>594</v>
      </c>
    </row>
    <row r="3" customFormat="false" ht="15" hidden="false" customHeight="false" outlineLevel="0" collapsed="false">
      <c r="A3" s="0" t="n">
        <v>2</v>
      </c>
      <c r="B3" s="0" t="s">
        <v>595</v>
      </c>
      <c r="C3" s="0" t="s">
        <v>593</v>
      </c>
      <c r="D3" s="0" t="s">
        <v>594</v>
      </c>
    </row>
    <row r="4" customFormat="false" ht="15" hidden="false" customHeight="false" outlineLevel="0" collapsed="false">
      <c r="A4" s="0" t="n">
        <v>3</v>
      </c>
      <c r="B4" s="0" t="s">
        <v>596</v>
      </c>
      <c r="C4" s="0" t="s">
        <v>593</v>
      </c>
      <c r="D4" s="0" t="s">
        <v>594</v>
      </c>
    </row>
    <row r="5" customFormat="false" ht="15" hidden="false" customHeight="false" outlineLevel="0" collapsed="false">
      <c r="A5" s="0" t="n">
        <v>4</v>
      </c>
      <c r="B5" s="0" t="s">
        <v>597</v>
      </c>
      <c r="C5" s="0" t="s">
        <v>593</v>
      </c>
      <c r="D5" s="0" t="s">
        <v>594</v>
      </c>
    </row>
    <row r="6" customFormat="false" ht="15" hidden="false" customHeight="false" outlineLevel="0" collapsed="false">
      <c r="A6" s="0" t="n">
        <v>5</v>
      </c>
      <c r="B6" s="0" t="s">
        <v>598</v>
      </c>
      <c r="C6" s="0" t="s">
        <v>593</v>
      </c>
      <c r="D6" s="0" t="s">
        <v>594</v>
      </c>
    </row>
    <row r="7" customFormat="false" ht="15" hidden="false" customHeight="false" outlineLevel="0" collapsed="false">
      <c r="A7" s="0" t="n">
        <v>6</v>
      </c>
      <c r="B7" s="0" t="s">
        <v>599</v>
      </c>
      <c r="C7" s="0" t="s">
        <v>593</v>
      </c>
      <c r="D7" s="0" t="s">
        <v>594</v>
      </c>
    </row>
    <row r="8" customFormat="false" ht="15" hidden="false" customHeight="false" outlineLevel="0" collapsed="false">
      <c r="A8" s="0" t="n">
        <v>7</v>
      </c>
      <c r="B8" s="0" t="s">
        <v>600</v>
      </c>
      <c r="C8" s="0" t="s">
        <v>601</v>
      </c>
      <c r="D8" s="0" t="s">
        <v>602</v>
      </c>
    </row>
    <row r="9" customFormat="false" ht="15" hidden="false" customHeight="false" outlineLevel="0" collapsed="false">
      <c r="A9" s="0" t="n">
        <v>8</v>
      </c>
      <c r="B9" s="0" t="s">
        <v>603</v>
      </c>
      <c r="C9" s="0" t="s">
        <v>593</v>
      </c>
      <c r="D9" s="0" t="s">
        <v>602</v>
      </c>
    </row>
    <row r="10" customFormat="false" ht="15" hidden="false" customHeight="false" outlineLevel="0" collapsed="false">
      <c r="A10" s="0" t="n">
        <v>9</v>
      </c>
      <c r="B10" s="0" t="s">
        <v>604</v>
      </c>
      <c r="C10" s="0" t="s">
        <v>593</v>
      </c>
      <c r="D10" s="0" t="s">
        <v>602</v>
      </c>
    </row>
    <row r="11" customFormat="false" ht="15" hidden="false" customHeight="false" outlineLevel="0" collapsed="false">
      <c r="A11" s="0" t="n">
        <v>10</v>
      </c>
      <c r="B11" s="0" t="s">
        <v>605</v>
      </c>
      <c r="C11" s="0" t="s">
        <v>606</v>
      </c>
      <c r="D11" s="0" t="s">
        <v>602</v>
      </c>
    </row>
    <row r="12" customFormat="false" ht="15" hidden="false" customHeight="false" outlineLevel="0" collapsed="false">
      <c r="A12" s="0" t="n">
        <v>11</v>
      </c>
      <c r="B12" s="0" t="s">
        <v>607</v>
      </c>
      <c r="C12" s="0" t="s">
        <v>593</v>
      </c>
      <c r="D12" s="0" t="s">
        <v>602</v>
      </c>
    </row>
    <row r="13" customFormat="false" ht="15" hidden="false" customHeight="false" outlineLevel="0" collapsed="false">
      <c r="A13" s="0" t="n">
        <v>12</v>
      </c>
      <c r="B13" s="0" t="s">
        <v>608</v>
      </c>
      <c r="C13" s="0" t="s">
        <v>593</v>
      </c>
      <c r="D13" s="0" t="s">
        <v>602</v>
      </c>
    </row>
    <row r="14" customFormat="false" ht="15" hidden="false" customHeight="false" outlineLevel="0" collapsed="false">
      <c r="A14" s="0" t="n">
        <v>13</v>
      </c>
      <c r="B14" s="0" t="s">
        <v>609</v>
      </c>
      <c r="C14" s="0" t="s">
        <v>593</v>
      </c>
      <c r="D14" s="0" t="s">
        <v>610</v>
      </c>
    </row>
    <row r="15" customFormat="false" ht="15" hidden="false" customHeight="false" outlineLevel="0" collapsed="false">
      <c r="A15" s="0" t="n">
        <v>14</v>
      </c>
      <c r="B15" s="0" t="s">
        <v>611</v>
      </c>
      <c r="C15" s="0" t="s">
        <v>593</v>
      </c>
      <c r="D15" s="0" t="s">
        <v>610</v>
      </c>
    </row>
    <row r="16" customFormat="false" ht="15" hidden="false" customHeight="false" outlineLevel="0" collapsed="false">
      <c r="A16" s="0" t="n">
        <v>15</v>
      </c>
      <c r="B16" s="0" t="s">
        <v>612</v>
      </c>
      <c r="C16" s="0" t="s">
        <v>593</v>
      </c>
      <c r="D16" s="0" t="s">
        <v>610</v>
      </c>
    </row>
    <row r="17" customFormat="false" ht="15" hidden="false" customHeight="false" outlineLevel="0" collapsed="false">
      <c r="A17" s="0" t="n">
        <v>16</v>
      </c>
      <c r="B17" s="0" t="s">
        <v>613</v>
      </c>
      <c r="C17" s="0" t="s">
        <v>593</v>
      </c>
      <c r="D17" s="0" t="s">
        <v>610</v>
      </c>
    </row>
    <row r="18" customFormat="false" ht="15" hidden="false" customHeight="false" outlineLevel="0" collapsed="false">
      <c r="A18" s="0" t="n">
        <v>17</v>
      </c>
      <c r="B18" s="0" t="s">
        <v>614</v>
      </c>
      <c r="C18" s="0" t="s">
        <v>593</v>
      </c>
      <c r="D18" s="0" t="s">
        <v>610</v>
      </c>
    </row>
    <row r="19" customFormat="false" ht="15" hidden="false" customHeight="false" outlineLevel="0" collapsed="false">
      <c r="A19" s="0" t="n">
        <v>18</v>
      </c>
      <c r="B19" s="0" t="s">
        <v>615</v>
      </c>
      <c r="C19" s="0" t="s">
        <v>616</v>
      </c>
      <c r="D19" s="0" t="s">
        <v>617</v>
      </c>
    </row>
    <row r="20" customFormat="false" ht="15" hidden="false" customHeight="false" outlineLevel="0" collapsed="false">
      <c r="A20" s="0" t="n">
        <v>19</v>
      </c>
      <c r="B20" s="0" t="s">
        <v>618</v>
      </c>
      <c r="C20" s="0" t="s">
        <v>593</v>
      </c>
      <c r="D20" s="0" t="s">
        <v>617</v>
      </c>
    </row>
    <row r="21" customFormat="false" ht="15" hidden="false" customHeight="false" outlineLevel="0" collapsed="false">
      <c r="A21" s="0" t="n">
        <v>20</v>
      </c>
      <c r="B21" s="0" t="s">
        <v>619</v>
      </c>
      <c r="C21" s="0" t="s">
        <v>593</v>
      </c>
      <c r="D21" s="0" t="s">
        <v>617</v>
      </c>
    </row>
    <row r="22" customFormat="false" ht="15" hidden="false" customHeight="false" outlineLevel="0" collapsed="false">
      <c r="A22" s="0" t="n">
        <v>21</v>
      </c>
      <c r="B22" s="0" t="s">
        <v>620</v>
      </c>
      <c r="C22" s="0" t="s">
        <v>593</v>
      </c>
      <c r="D22" s="0" t="s">
        <v>617</v>
      </c>
    </row>
    <row r="23" customFormat="false" ht="15" hidden="false" customHeight="false" outlineLevel="0" collapsed="false">
      <c r="A23" s="0" t="n">
        <v>22</v>
      </c>
      <c r="B23" s="0" t="s">
        <v>621</v>
      </c>
      <c r="C23" s="0" t="s">
        <v>593</v>
      </c>
      <c r="D23" s="0" t="s">
        <v>617</v>
      </c>
    </row>
    <row r="24" customFormat="false" ht="15" hidden="false" customHeight="false" outlineLevel="0" collapsed="false">
      <c r="A24" s="0" t="n">
        <v>23</v>
      </c>
      <c r="B24" s="0" t="s">
        <v>622</v>
      </c>
      <c r="C24" s="0" t="s">
        <v>623</v>
      </c>
    </row>
    <row r="25" customFormat="false" ht="15" hidden="false" customHeight="false" outlineLevel="0" collapsed="false">
      <c r="A25" s="0" t="n">
        <v>24</v>
      </c>
      <c r="B25" s="0" t="s">
        <v>624</v>
      </c>
      <c r="C25" s="0" t="s">
        <v>593</v>
      </c>
    </row>
    <row r="26" customFormat="false" ht="15" hidden="false" customHeight="false" outlineLevel="0" collapsed="false">
      <c r="A26" s="0" t="n">
        <v>25</v>
      </c>
      <c r="B26" s="0" t="s">
        <v>625</v>
      </c>
      <c r="C26" s="0" t="s">
        <v>616</v>
      </c>
      <c r="D26" s="0" t="s">
        <v>626</v>
      </c>
    </row>
    <row r="27" customFormat="false" ht="15" hidden="false" customHeight="false" outlineLevel="0" collapsed="false">
      <c r="A27" s="0" t="n">
        <v>26</v>
      </c>
      <c r="B27" s="0" t="s">
        <v>627</v>
      </c>
      <c r="C27" s="0" t="s">
        <v>628</v>
      </c>
    </row>
    <row r="28" customFormat="false" ht="15" hidden="false" customHeight="false" outlineLevel="0" collapsed="false">
      <c r="A28" s="0" t="n">
        <v>27</v>
      </c>
      <c r="B28" s="0" t="s">
        <v>629</v>
      </c>
      <c r="C28" s="0" t="s">
        <v>630</v>
      </c>
    </row>
    <row r="29" customFormat="false" ht="15" hidden="false" customHeight="false" outlineLevel="0" collapsed="false">
      <c r="A29" s="0" t="n">
        <v>28</v>
      </c>
      <c r="B29" s="0" t="s">
        <v>631</v>
      </c>
      <c r="C29" s="0" t="s">
        <v>628</v>
      </c>
    </row>
    <row r="30" customFormat="false" ht="15" hidden="false" customHeight="false" outlineLevel="0" collapsed="false">
      <c r="A30" s="0" t="n">
        <v>29</v>
      </c>
      <c r="B30" s="0" t="s">
        <v>632</v>
      </c>
      <c r="C30" s="0" t="s">
        <v>633</v>
      </c>
      <c r="D30" s="0" t="s">
        <v>626</v>
      </c>
    </row>
    <row r="31" customFormat="false" ht="15" hidden="false" customHeight="false" outlineLevel="0" collapsed="false">
      <c r="A31" s="0" t="n">
        <v>30</v>
      </c>
      <c r="B31" s="0" t="s">
        <v>634</v>
      </c>
      <c r="C31" s="0" t="s">
        <v>635</v>
      </c>
    </row>
    <row r="32" customFormat="false" ht="15" hidden="false" customHeight="false" outlineLevel="0" collapsed="false">
      <c r="A32" s="0" t="n">
        <v>31</v>
      </c>
      <c r="B32" s="0" t="s">
        <v>636</v>
      </c>
      <c r="C32" s="0" t="s">
        <v>637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4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0" t="s">
        <v>638</v>
      </c>
      <c r="B1" s="0" t="s">
        <v>639</v>
      </c>
      <c r="C1" s="0" t="s">
        <v>640</v>
      </c>
      <c r="D1" s="0" t="s">
        <v>641</v>
      </c>
    </row>
    <row r="2" customFormat="false" ht="15" hidden="false" customHeight="false" outlineLevel="0" collapsed="false">
      <c r="A2" s="0" t="s">
        <v>642</v>
      </c>
      <c r="B2" s="0" t="s">
        <v>642</v>
      </c>
      <c r="C2" s="0" t="s">
        <v>643</v>
      </c>
      <c r="D2" s="0" t="s">
        <v>644</v>
      </c>
    </row>
    <row r="3" customFormat="false" ht="15" hidden="false" customHeight="false" outlineLevel="0" collapsed="false">
      <c r="A3" s="0" t="s">
        <v>645</v>
      </c>
      <c r="B3" s="0" t="s">
        <v>645</v>
      </c>
      <c r="C3" s="0" t="s">
        <v>643</v>
      </c>
      <c r="D3" s="0" t="s">
        <v>646</v>
      </c>
    </row>
    <row r="4" customFormat="false" ht="15" hidden="false" customHeight="false" outlineLevel="0" collapsed="false">
      <c r="A4" s="0" t="s">
        <v>647</v>
      </c>
      <c r="B4" s="0" t="s">
        <v>647</v>
      </c>
      <c r="C4" s="0" t="s">
        <v>643</v>
      </c>
      <c r="D4" s="0" t="s">
        <v>648</v>
      </c>
    </row>
    <row r="5" customFormat="false" ht="15" hidden="false" customHeight="false" outlineLevel="0" collapsed="false">
      <c r="A5" s="0" t="s">
        <v>649</v>
      </c>
      <c r="B5" s="0" t="s">
        <v>649</v>
      </c>
      <c r="C5" s="0" t="s">
        <v>643</v>
      </c>
      <c r="D5" s="0" t="s">
        <v>650</v>
      </c>
    </row>
    <row r="6" customFormat="false" ht="15" hidden="false" customHeight="false" outlineLevel="0" collapsed="false">
      <c r="A6" s="0" t="s">
        <v>651</v>
      </c>
      <c r="B6" s="0" t="s">
        <v>651</v>
      </c>
      <c r="C6" s="0" t="s">
        <v>643</v>
      </c>
      <c r="D6" s="0" t="s">
        <v>652</v>
      </c>
    </row>
    <row r="7" customFormat="false" ht="15" hidden="false" customHeight="false" outlineLevel="0" collapsed="false">
      <c r="A7" s="0" t="s">
        <v>653</v>
      </c>
      <c r="B7" s="0" t="s">
        <v>653</v>
      </c>
      <c r="C7" s="0" t="s">
        <v>643</v>
      </c>
      <c r="D7" s="0" t="s">
        <v>654</v>
      </c>
    </row>
    <row r="8" customFormat="false" ht="15" hidden="false" customHeight="false" outlineLevel="0" collapsed="false">
      <c r="A8" s="0" t="s">
        <v>655</v>
      </c>
      <c r="B8" s="0" t="s">
        <v>655</v>
      </c>
      <c r="C8" s="0" t="s">
        <v>643</v>
      </c>
      <c r="D8" s="0" t="s">
        <v>656</v>
      </c>
    </row>
    <row r="9" customFormat="false" ht="15" hidden="false" customHeight="false" outlineLevel="0" collapsed="false">
      <c r="A9" s="0" t="s">
        <v>657</v>
      </c>
      <c r="B9" s="0" t="s">
        <v>657</v>
      </c>
      <c r="C9" s="0" t="s">
        <v>643</v>
      </c>
      <c r="D9" s="0" t="s">
        <v>658</v>
      </c>
    </row>
    <row r="10" customFormat="false" ht="15" hidden="false" customHeight="false" outlineLevel="0" collapsed="false">
      <c r="A10" s="0" t="s">
        <v>659</v>
      </c>
      <c r="B10" s="0" t="s">
        <v>659</v>
      </c>
      <c r="C10" s="0" t="s">
        <v>643</v>
      </c>
      <c r="D10" s="0" t="s">
        <v>660</v>
      </c>
    </row>
    <row r="11" customFormat="false" ht="15" hidden="false" customHeight="false" outlineLevel="0" collapsed="false">
      <c r="A11" s="0" t="s">
        <v>661</v>
      </c>
      <c r="B11" s="0" t="s">
        <v>661</v>
      </c>
      <c r="C11" s="0" t="s">
        <v>643</v>
      </c>
      <c r="D11" s="0" t="s">
        <v>662</v>
      </c>
    </row>
    <row r="12" customFormat="false" ht="15" hidden="false" customHeight="false" outlineLevel="0" collapsed="false">
      <c r="A12" s="0" t="s">
        <v>663</v>
      </c>
      <c r="B12" s="0" t="s">
        <v>663</v>
      </c>
      <c r="C12" s="0" t="s">
        <v>643</v>
      </c>
      <c r="D12" s="0" t="s">
        <v>664</v>
      </c>
    </row>
    <row r="13" customFormat="false" ht="15" hidden="false" customHeight="false" outlineLevel="0" collapsed="false">
      <c r="A13" s="0" t="s">
        <v>665</v>
      </c>
      <c r="B13" s="0" t="s">
        <v>665</v>
      </c>
      <c r="C13" s="0" t="s">
        <v>643</v>
      </c>
      <c r="D13" s="0" t="s">
        <v>666</v>
      </c>
    </row>
    <row r="14" customFormat="false" ht="15" hidden="false" customHeight="false" outlineLevel="0" collapsed="false">
      <c r="A14" s="0" t="s">
        <v>667</v>
      </c>
      <c r="B14" s="0" t="s">
        <v>667</v>
      </c>
      <c r="C14" s="0" t="s">
        <v>643</v>
      </c>
      <c r="D14" s="0" t="s">
        <v>668</v>
      </c>
    </row>
    <row r="15" customFormat="false" ht="15" hidden="false" customHeight="false" outlineLevel="0" collapsed="false">
      <c r="A15" s="0" t="s">
        <v>669</v>
      </c>
      <c r="B15" s="0" t="s">
        <v>669</v>
      </c>
      <c r="C15" s="0" t="s">
        <v>643</v>
      </c>
      <c r="D15" s="0" t="s">
        <v>670</v>
      </c>
    </row>
    <row r="16" customFormat="false" ht="15" hidden="false" customHeight="false" outlineLevel="0" collapsed="false">
      <c r="A16" s="0" t="s">
        <v>671</v>
      </c>
      <c r="B16" s="0" t="s">
        <v>671</v>
      </c>
      <c r="C16" s="0" t="s">
        <v>643</v>
      </c>
      <c r="D16" s="0" t="s">
        <v>672</v>
      </c>
    </row>
    <row r="17" customFormat="false" ht="15" hidden="false" customHeight="false" outlineLevel="0" collapsed="false">
      <c r="A17" s="0" t="s">
        <v>673</v>
      </c>
      <c r="B17" s="0" t="s">
        <v>673</v>
      </c>
      <c r="C17" s="0" t="s">
        <v>643</v>
      </c>
      <c r="D17" s="0" t="s">
        <v>674</v>
      </c>
    </row>
    <row r="18" customFormat="false" ht="15" hidden="false" customHeight="false" outlineLevel="0" collapsed="false">
      <c r="A18" s="0" t="s">
        <v>675</v>
      </c>
      <c r="B18" s="0" t="s">
        <v>675</v>
      </c>
      <c r="C18" s="0" t="s">
        <v>643</v>
      </c>
      <c r="D18" s="0" t="s">
        <v>676</v>
      </c>
    </row>
    <row r="19" customFormat="false" ht="15" hidden="false" customHeight="false" outlineLevel="0" collapsed="false">
      <c r="A19" s="0" t="s">
        <v>677</v>
      </c>
      <c r="B19" s="0" t="s">
        <v>677</v>
      </c>
      <c r="C19" s="0" t="s">
        <v>643</v>
      </c>
      <c r="D19" s="0" t="s">
        <v>678</v>
      </c>
    </row>
    <row r="20" customFormat="false" ht="15" hidden="false" customHeight="false" outlineLevel="0" collapsed="false">
      <c r="A20" s="0" t="s">
        <v>679</v>
      </c>
      <c r="B20" s="0" t="s">
        <v>679</v>
      </c>
      <c r="C20" s="0" t="s">
        <v>456</v>
      </c>
      <c r="D20" s="0" t="s">
        <v>680</v>
      </c>
    </row>
    <row r="21" customFormat="false" ht="15" hidden="false" customHeight="false" outlineLevel="0" collapsed="false">
      <c r="A21" s="0" t="s">
        <v>681</v>
      </c>
      <c r="B21" s="0" t="s">
        <v>681</v>
      </c>
      <c r="C21" s="0" t="s">
        <v>643</v>
      </c>
      <c r="D21" s="0" t="s">
        <v>682</v>
      </c>
    </row>
    <row r="22" customFormat="false" ht="15" hidden="false" customHeight="false" outlineLevel="0" collapsed="false">
      <c r="A22" s="0" t="s">
        <v>683</v>
      </c>
      <c r="B22" s="0" t="s">
        <v>683</v>
      </c>
      <c r="C22" s="0" t="s">
        <v>684</v>
      </c>
      <c r="D22" s="0" t="s">
        <v>685</v>
      </c>
    </row>
    <row r="23" customFormat="false" ht="15" hidden="false" customHeight="false" outlineLevel="0" collapsed="false">
      <c r="A23" s="0" t="s">
        <v>686</v>
      </c>
      <c r="B23" s="0" t="s">
        <v>686</v>
      </c>
      <c r="C23" s="0" t="s">
        <v>684</v>
      </c>
      <c r="D23" s="0" t="s">
        <v>687</v>
      </c>
    </row>
    <row r="24" customFormat="false" ht="15" hidden="false" customHeight="false" outlineLevel="0" collapsed="false">
      <c r="A24" s="0" t="s">
        <v>688</v>
      </c>
      <c r="B24" s="0" t="s">
        <v>688</v>
      </c>
      <c r="C24" s="0" t="s">
        <v>643</v>
      </c>
      <c r="D24" s="0" t="s">
        <v>689</v>
      </c>
    </row>
    <row r="25" customFormat="false" ht="15" hidden="false" customHeight="false" outlineLevel="0" collapsed="false">
      <c r="A25" s="0" t="s">
        <v>690</v>
      </c>
      <c r="B25" s="0" t="s">
        <v>690</v>
      </c>
      <c r="C25" s="0" t="s">
        <v>456</v>
      </c>
      <c r="D25" s="0" t="s">
        <v>691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2026-10-17T02:07:37Z</dcterms:created>
  <dc:creator>openpyxl</dc:creator>
  <dc:description/>
  <dc:language>en-US</dc:language>
  <cp:lastModifiedBy/>
  <dcterms:modified xsi:type="dcterms:W3CDTF">2026-10-17T02:07:37Z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