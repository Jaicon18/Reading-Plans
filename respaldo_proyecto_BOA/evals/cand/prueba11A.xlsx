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<sst xmlns="http://schemas.openxmlformats.org/spreadsheetml/2006/main" count="1011" uniqueCount="730">
  <si>
    <t xml:space="preserve">Bank of America - Broomfield, CO (CO1-111)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</si>
  <si>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</si>
  <si>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</si>
  <si>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</si>
  <si>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</si>
  <si>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</si>
  <si>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</si>
  <si>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</si>
  <si>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</si>
  <si>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</si>
  <si>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</si>
  <si>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</si>
  <si>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</si>
  <si>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</si>
  <si>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</si>
  <si>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</si>
  <si>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</si>
  <si>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</si>
  <si>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</si>
  <si>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</si>
  <si>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</si>
  <si>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</si>
  <si>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</si>
  <si>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</si>
  <si>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</si>
  <si>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</si>
  <si>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</si>
  <si>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</si>
  <si>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</si>
  <si>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#8  -  Corridor 111 east wall (doors 122, 118B; Electrical/NER west)</t>
  </si>
  <si>
    <t xml:space="preserve">8</t>
  </si>
  <si>
    <t xml:space="preserve">3-5/8"</t>
  </si>
  <si>
    <t xml:space="preserve">Corridor 111 east wall (doors 122, 118B; Electrical/NER west)</t>
  </si>
  <si>
    <t xml:space="preserve">A02.01 -&gt; 3/A12.01 -&gt; 7/S5.20; studs_out.json + board_out.json (sello 22d49a8dd4d613ca)</t>
  </si>
  <si>
    <t xml:space="preserve">[DERIVADO]</t>
  </si>
  <si>
    <t xml:space="preserve">A1  #1  -  Calling Cubes 122 north wall (Waiting 104 side)</t>
  </si>
  <si>
    <t xml:space="preserve">1</t>
  </si>
  <si>
    <t xml:space="preserve">Calling Cubes 122 north wall (Waiting 104 side)</t>
  </si>
  <si>
    <t xml:space="preserve">A02.01 -&gt; 3/A12.01 -&gt; 7/S5.20; studs_out.json + board_out.json (sello fa85401fa082dde5)</t>
  </si>
  <si>
    <t xml:space="preserve">A1  #5  -  Calling Cubes 122 south wall (Break 118 side)</t>
  </si>
  <si>
    <t xml:space="preserve">5</t>
  </si>
  <si>
    <t xml:space="preserve">Calling Cubes 122 south wall (Break 118 side)</t>
  </si>
  <si>
    <t xml:space="preserve">A02.01 -&gt; 3/A12.01 -&gt; 7/S5.20; studs_out.json + board_out.json (sello cc07a484de5759f4)</t>
  </si>
  <si>
    <t xml:space="preserve">A1  #9  -  Work Room 119 north wall (door 119)</t>
  </si>
  <si>
    <t xml:space="preserve">9</t>
  </si>
  <si>
    <t xml:space="preserve">Work Room 119 north wall (door 119)</t>
  </si>
  <si>
    <t xml:space="preserve">A02.01 -&gt; 3/A12.01 -&gt; 7/S5.20; studs_out.json + board_out.json (sello ca4c1cd5094fd2d9)</t>
  </si>
  <si>
    <t xml:space="preserve">[CONFIRMADO]</t>
  </si>
  <si>
    <t xml:space="preserve">A1  #4  -  Corridor 111 north wall (door 111)</t>
  </si>
  <si>
    <t xml:space="preserve">4</t>
  </si>
  <si>
    <t xml:space="preserve">Corridor 111 north wall (door 111)</t>
  </si>
  <si>
    <t xml:space="preserve">A02.01 -&gt; 3/A12.01 -&gt; 7/S5.20; studs_out.json + board_out.json (sello 056c812e38804a4a)</t>
  </si>
  <si>
    <t xml:space="preserve">A1  #7  -  Break 118 north jog horizontal incl. door 118A</t>
  </si>
  <si>
    <t xml:space="preserve">7</t>
  </si>
  <si>
    <t xml:space="preserve">Break 118 north jog horizontal incl. door 118A</t>
  </si>
  <si>
    <t xml:space="preserve">A02.01 -&gt; 3/A12.01 -&gt; 7/S5.20; studs_out.json + board_out.json (sello 336c888287faf050)</t>
  </si>
  <si>
    <t xml:space="preserve">A1  #12  -  Drinking fountain alcove back wall (Note A)</t>
  </si>
  <si>
    <t xml:space="preserve">12</t>
  </si>
  <si>
    <t xml:space="preserve">Drinking fountain alcove back wall (Note A)</t>
  </si>
  <si>
    <t xml:space="preserve">A02.01 -&gt; 3/A12.01 -&gt; 7/S5.20; studs_out.json + board_out.json (sello 23ac04e9a7776dd0)</t>
  </si>
  <si>
    <t xml:space="preserve">A1  #2  -  MW01 printer closet east wall</t>
  </si>
  <si>
    <t xml:space="preserve">2</t>
  </si>
  <si>
    <t xml:space="preserve">MW01 printer closet east wall</t>
  </si>
  <si>
    <t xml:space="preserve">A02.01 -&gt; 3/A12.01 -&gt; 7/S5.20; studs_out.json + board_out.json (sello 29debe1f5d78043c)</t>
  </si>
  <si>
    <t xml:space="preserve">A1  #3  -  MW01 printer closet south wall</t>
  </si>
  <si>
    <t xml:space="preserve">3</t>
  </si>
  <si>
    <t xml:space="preserve">MW01 printer closet south wall</t>
  </si>
  <si>
    <t xml:space="preserve">A02.01 -&gt; 3/A12.01 -&gt; 7/S5.20; studs_out.json + board_out.json (sello 32a3f337a3fc712f)</t>
  </si>
  <si>
    <t xml:space="preserve">A1  #6  -  Break 118 north jog vertical</t>
  </si>
  <si>
    <t xml:space="preserve">6</t>
  </si>
  <si>
    <t xml:space="preserve">Break 118 north jog vertical</t>
  </si>
  <si>
    <t xml:space="preserve">A02.01 -&gt; 3/A12.01 -&gt; 7/S5.20; studs_out.json + board_out.json (sello 072d47116322c33a)</t>
  </si>
  <si>
    <t xml:space="preserve">A1  #13  -  DF alcove north return (Note A)</t>
  </si>
  <si>
    <t xml:space="preserve">13</t>
  </si>
  <si>
    <t xml:space="preserve">DF alcove north return (Note A)</t>
  </si>
  <si>
    <t xml:space="preserve">A02.01 -&gt; 3/A12.01 -&gt; 7/S5.20; studs_out.json + board_out.json (sello d9275ba2ebccc451)</t>
  </si>
  <si>
    <t xml:space="preserve">A1  #14  -  DF alcove south return (Note A)</t>
  </si>
  <si>
    <t xml:space="preserve">14</t>
  </si>
  <si>
    <t xml:space="preserve">DF alcove south return (Note A)</t>
  </si>
  <si>
    <t xml:space="preserve">A02.01 -&gt; 3/A12.01 -&gt; 7/S5.20; studs_out.json + board_out.json (sello d571e3d8f310cb39)</t>
  </si>
  <si>
    <t xml:space="preserve">TYPE A1K</t>
  </si>
  <si>
    <t xml:space="preserve">A1K  #20  -  Cash Window 116 north wall (Office 108 side)</t>
  </si>
  <si>
    <t xml:space="preserve">20</t>
  </si>
  <si>
    <t xml:space="preserve">3-5/8" 14ga</t>
  </si>
  <si>
    <t xml:space="preserve">Cash Window 116 north wall (Office 108 side)</t>
  </si>
  <si>
    <t xml:space="preserve">A02.01 -&gt; 4/A12.01 -&gt; 7/S5.20; studs_out.json + board_out.json (sello 5cb84c8f7185f0da)</t>
  </si>
  <si>
    <t xml:space="preserve">A1K  #21  -  Cash Window 116 south wall east segment (FCAM)</t>
  </si>
  <si>
    <t xml:space="preserve">21</t>
  </si>
  <si>
    <t xml:space="preserve">Cash Window 116 south wall east segment (FCAM)</t>
  </si>
  <si>
    <t xml:space="preserve">A02.01 -&gt; 4/A12.01 -&gt; 7/S5.20; studs_out.json + board_out.json (sello a37fa44efa20e1d8)</t>
  </si>
  <si>
    <t xml:space="preserve">A1K  #22  -  Cash Window 116 south wall west segment + jog</t>
  </si>
  <si>
    <t xml:space="preserve">22</t>
  </si>
  <si>
    <t xml:space="preserve">Cash Window 116 south wall west segment + jog</t>
  </si>
  <si>
    <t xml:space="preserve">A02.01 -&gt; 4/A12.01 -&gt; 7/S5.20; studs_out.json + board_out.json (sello 976d4b2413026ee4)</t>
  </si>
  <si>
    <t xml:space="preserve">TYPE A5</t>
  </si>
  <si>
    <t xml:space="preserve">A5  #30  -  Calling Cubes 122 east wall</t>
  </si>
  <si>
    <t xml:space="preserve">30</t>
  </si>
  <si>
    <t xml:space="preserve">6"</t>
  </si>
  <si>
    <t xml:space="preserve">Calling Cubes 122 east wall</t>
  </si>
  <si>
    <t xml:space="preserve">A02.01 -&gt; 3/A12.01 -&gt; 7/S5.20; studs_out.json + board_out.json (sello fe3cc374c8193d5d)</t>
  </si>
  <si>
    <t xml:space="preserve">A5  #31  -  Calling Cubes 122 west wall incl. MW01 closet doors (FEC-1)</t>
  </si>
  <si>
    <t xml:space="preserve">31</t>
  </si>
  <si>
    <t xml:space="preserve">Calling Cubes 122 west wall incl. MW01 closet doors (FEC-1)</t>
  </si>
  <si>
    <t xml:space="preserve">A02.01 -&gt; 3/A12.01 -&gt; 7/S5.20; studs_out.json + board_out.json (sello db29a5433bce1f9c)</t>
  </si>
  <si>
    <t xml:space="preserve">A5  #33  -  Break 118 / Cash 116 wall north of door 116 (A5)</t>
  </si>
  <si>
    <t xml:space="preserve">33</t>
  </si>
  <si>
    <t xml:space="preserve">Break 118 / Cash 116 wall north of door 116 (A5)</t>
  </si>
  <si>
    <t xml:space="preserve">A02.01 -&gt; 3/A12.01 -&gt; 7/S5.20; studs_out.json + board_out.json (sello d388643055b2f0d0)</t>
  </si>
  <si>
    <t xml:space="preserve">A5  #32  -  Corridor 111 east wall north segment (door 122)</t>
  </si>
  <si>
    <t xml:space="preserve">32</t>
  </si>
  <si>
    <t xml:space="preserve">Corridor 111 east wall north segment (door 122)</t>
  </si>
  <si>
    <t xml:space="preserve">A02.01 -&gt; 3/A12.01 -&gt; 7/S5.20; studs_out.json + board_out.json (sello 32f16c9da3f5c924)</t>
  </si>
  <si>
    <t xml:space="preserve">TYPE B</t>
  </si>
  <si>
    <t xml:space="preserve">B  #45  -  Electrical 120 + NER 121 east wall (doors 120, 121)</t>
  </si>
  <si>
    <t xml:space="preserve">45</t>
  </si>
  <si>
    <t xml:space="preserve">Electrical 120 + NER 121 east wall (doors 120, 121)</t>
  </si>
  <si>
    <t xml:space="preserve">A02.01 -&gt; 1/A12.01 -&gt; 7/S5.20; studs_out.json + board_out.json (sello 3d666e3bed30beed)</t>
  </si>
  <si>
    <t xml:space="preserve">B  #41  -  Men's 113 / Janitor 112 + Storage 117 wall (door 112)</t>
  </si>
  <si>
    <t xml:space="preserve">41</t>
  </si>
  <si>
    <t xml:space="preserve">Men's 113 / Janitor 112 + Storage 117 wall (door 112)</t>
  </si>
  <si>
    <t xml:space="preserve">A02.01 -&gt; 1/A12.01 -&gt; 7/S5.20; studs_out.json + board_out.json (sello 30d4976bf3ed837c)</t>
  </si>
  <si>
    <t xml:space="preserve">B  #43  -  Janitor 112 + Storage 117 / Wellness 115 wall</t>
  </si>
  <si>
    <t xml:space="preserve">43</t>
  </si>
  <si>
    <t xml:space="preserve">Janitor 112 + Storage 117 / Wellness 115 wall</t>
  </si>
  <si>
    <t xml:space="preserve">A02.01 -&gt; 1/A12.01 -&gt; 7/S5.20; studs_out.json + board_out.json (sello 9f5c6a351f57aa22)</t>
  </si>
  <si>
    <t xml:space="preserve">B  #40  -  Electrical 120 north wall</t>
  </si>
  <si>
    <t xml:space="preserve">40</t>
  </si>
  <si>
    <t xml:space="preserve">Electrical 120 north wall</t>
  </si>
  <si>
    <t xml:space="preserve">A02.01 -&gt; 1/A12.01 -&gt; 7/S5.20; studs_out.json + board_out.json (sello 4c9deb727e465eb1)</t>
  </si>
  <si>
    <t xml:space="preserve">B  #44  -  Electrical 120 / NER 121 wall</t>
  </si>
  <si>
    <t xml:space="preserve">44</t>
  </si>
  <si>
    <t xml:space="preserve">Electrical 120 / NER 121 wall</t>
  </si>
  <si>
    <t xml:space="preserve">A02.01 -&gt; 1/A12.01 -&gt; 7/S5.20; studs_out.json + board_out.json (sello edc2e65d10575798)</t>
  </si>
  <si>
    <t xml:space="preserve">B  #42  -  Janitor 112 / Storage 117 wall</t>
  </si>
  <si>
    <t xml:space="preserve">42</t>
  </si>
  <si>
    <t xml:space="preserve">Janitor 112 / Storage 117 wall</t>
  </si>
  <si>
    <t xml:space="preserve">A02.01 -&gt; 1/A12.01 -&gt; 7/S5.20; studs_out.json + board_out.json (sello ea85bbb87a618d1a)</t>
  </si>
  <si>
    <t xml:space="preserve">TYPE B2</t>
  </si>
  <si>
    <t xml:space="preserve">B2  #50  -  Corridor 111 west wall (Restrooms/Storage/Wellness; doors 114,113,117,115 + DF alcove)</t>
  </si>
  <si>
    <t xml:space="preserve">50</t>
  </si>
  <si>
    <t xml:space="preserve">Corridor 111 west wall (Restrooms/Storage/Wellness; doors 114,113,117,115 + DF alcove)</t>
  </si>
  <si>
    <t xml:space="preserve">A02.01 -&gt; 1/A12.01 -&gt; 7/S5.20; studs_out.json + board_out.json (sello 0eb59c4f549660fd)</t>
  </si>
  <si>
    <t xml:space="preserve">B2  #52  -  Break 118 / Cash 116 + Work 119 wall incl. door 116 (B2)</t>
  </si>
  <si>
    <t xml:space="preserve">52</t>
  </si>
  <si>
    <t xml:space="preserve">Break 118 / Cash 116 + Work 119 wall incl. door 116 (B2)</t>
  </si>
  <si>
    <t xml:space="preserve">A02.01 -&gt; 1/A12.01 -&gt; 7/S5.20; studs_out.json + board_out.json (sello bfad82bb81f892fc)</t>
  </si>
  <si>
    <t xml:space="preserve">B2  #51  -  ATM Room 102 east wall (door 102)</t>
  </si>
  <si>
    <t xml:space="preserve">51</t>
  </si>
  <si>
    <t xml:space="preserve">ATM Room 102 east wall (door 102)</t>
  </si>
  <si>
    <t xml:space="preserve">A02.01 -&gt; 1/A12.01 -&gt; 7/S5.20; studs_out.json + board_out.json (sello 7bd1629734a1d9e9)</t>
  </si>
  <si>
    <t xml:space="preserve">TYPE B2K</t>
  </si>
  <si>
    <t xml:space="preserve">B2K  #55  -  Office 108 south wall west segment</t>
  </si>
  <si>
    <t xml:space="preserve">55</t>
  </si>
  <si>
    <t xml:space="preserve">6" 14ga</t>
  </si>
  <si>
    <t xml:space="preserve">Office 108 south wall west segment</t>
  </si>
  <si>
    <t xml:space="preserve">A02.01 -&gt; 4/A12.01 -&gt; 7/S5.20; studs_out.json + board_out.json (sello b04081fbe386e4d8)</t>
  </si>
  <si>
    <t xml:space="preserve">TYPE BULKHEAD 9/A12.01</t>
  </si>
  <si>
    <t xml:space="preserve">BULKHEAD 9/A12.01  #BK105  -  Office 105 front bulkhead</t>
  </si>
  <si>
    <t xml:space="preserve">BK105</t>
  </si>
  <si>
    <t xml:space="preserve">1-5/8"</t>
  </si>
  <si>
    <t xml:space="preserve">Office 105 front bulkhead</t>
  </si>
  <si>
    <t xml:space="preserve">A02.01 -&gt; 9/A12.01 -&gt; 7/S5.20; studs_out.json + board_out.json (sello 3753db35d524e34f)</t>
  </si>
  <si>
    <t xml:space="preserve">BULKHEAD 9/A12.01  #BK106  -  Office 106 front bulkhead</t>
  </si>
  <si>
    <t xml:space="preserve">BK106</t>
  </si>
  <si>
    <t xml:space="preserve">Office 106 front bulkhead</t>
  </si>
  <si>
    <t xml:space="preserve">A02.01 -&gt; 9/A12.01 -&gt; 7/S5.20; studs_out.json + board_out.json (sello ed13d150c9e0e83a)</t>
  </si>
  <si>
    <t xml:space="preserve">BULKHEAD 9/A12.01  #BK107  -  Office 107 front bulkhead</t>
  </si>
  <si>
    <t xml:space="preserve">BK107</t>
  </si>
  <si>
    <t xml:space="preserve">Office 107 front bulkhead</t>
  </si>
  <si>
    <t xml:space="preserve">A02.01 -&gt; 9/A12.01 -&gt; 7/S5.20; studs_out.json + board_out.json (sello 1d2e241988409006)</t>
  </si>
  <si>
    <t xml:space="preserve">BULKHEAD 9/A12.01  #BK108  -  Office 108 front bulkhead</t>
  </si>
  <si>
    <t xml:space="preserve">BK108</t>
  </si>
  <si>
    <t xml:space="preserve">Office 108 front bulkhead</t>
  </si>
  <si>
    <t xml:space="preserve">A02.01 -&gt; 9/A12.01 -&gt; 7/S5.20; studs_out.json + board_out.json (sello fbfc7c5c64468be1)</t>
  </si>
  <si>
    <t xml:space="preserve">BULKHEAD 9/A12.01  #BK109  -  Office 109 front bulkhead</t>
  </si>
  <si>
    <t xml:space="preserve">BK109</t>
  </si>
  <si>
    <t xml:space="preserve">Office 109 front bulkhead</t>
  </si>
  <si>
    <t xml:space="preserve">A02.01 -&gt; 9/A12.01 -&gt; 7/S5.20; studs_out.json + board_out.json (sello db0c4155ec67ea63)</t>
  </si>
  <si>
    <t xml:space="preserve">BULKHEAD 9/A12.01  #BK110  -  Office 110 front bulkhead</t>
  </si>
  <si>
    <t xml:space="preserve">BK110</t>
  </si>
  <si>
    <t xml:space="preserve">Office 110 front bulkhead</t>
  </si>
  <si>
    <t xml:space="preserve">A02.01 -&gt; 9/A12.01 -&gt; 7/S5.20; studs_out.json + board_out.json (sello 615ab4935d1c7ef7)</t>
  </si>
  <si>
    <t xml:space="preserve">TYPE C1</t>
  </si>
  <si>
    <t xml:space="preserve">C1  #64  -  85in monitor recess furring, Waiting 104 side of wall 1 (keynote 7)</t>
  </si>
  <si>
    <t xml:space="preserve">64</t>
  </si>
  <si>
    <t xml:space="preserve">85in monitor recess furring, Waiting 104 side of wall 1 (keynote 7)</t>
  </si>
  <si>
    <t xml:space="preserve">A02.01 -&gt; 6/A12.01 -&gt; 7/S5.20; studs_out.json + board_out.json (sello 234798c3a9fbe871)</t>
  </si>
  <si>
    <t xml:space="preserve">C1  #65  -  Restroom chase north furring (Women's 114 face)</t>
  </si>
  <si>
    <t xml:space="preserve">65</t>
  </si>
  <si>
    <t xml:space="preserve">Restroom chase north furring (Women's 114 face)</t>
  </si>
  <si>
    <t xml:space="preserve">A02.01 -&gt; 6/A12.01 -&gt; 7/S5.20; studs_out.json + board_out.json (sello a5f09825aab5387e)</t>
  </si>
  <si>
    <t xml:space="preserve">C1  #66  -  Restroom chase south furring (Men's 113 face)</t>
  </si>
  <si>
    <t xml:space="preserve">66</t>
  </si>
  <si>
    <t xml:space="preserve">Restroom chase south furring (Men's 113 face)</t>
  </si>
  <si>
    <t xml:space="preserve">A02.01 -&gt; 6/A12.01 -&gt; 7/S5.20; studs_out.json + board_out.json (sello 394b4079c81d5922)</t>
  </si>
  <si>
    <t xml:space="preserve">C1  #61  -  NE vestibule corner box</t>
  </si>
  <si>
    <t xml:space="preserve">61</t>
  </si>
  <si>
    <t xml:space="preserve">NE vestibule corner box</t>
  </si>
  <si>
    <t xml:space="preserve">A02.01 -&gt; 6/A12.01 -&gt; 7/S5.20; studs_out.json + board_out.json (sello 9242de4592f4f37c)</t>
  </si>
  <si>
    <t xml:space="preserve">C1  #60  -  NW vestibule corner box (storefront post wrap)</t>
  </si>
  <si>
    <t xml:space="preserve">60</t>
  </si>
  <si>
    <t xml:space="preserve">NW vestibule corner box (storefront post wrap)</t>
  </si>
  <si>
    <t xml:space="preserve">A02.01 -&gt; 6/A12.01 -&gt; 7/S5.20; studs_out.json + board_out.json (sello 16a93fdf3f26d222)</t>
  </si>
  <si>
    <t xml:space="preserve">C1  #63  -  Box at F wall / B2 junction (24HR Vestibule SE)</t>
  </si>
  <si>
    <t xml:space="preserve">63</t>
  </si>
  <si>
    <t xml:space="preserve">Box at F wall / B2 junction (24HR Vestibule SE)</t>
  </si>
  <si>
    <t xml:space="preserve">A02.01 -&gt; 6/A12.01 -&gt; 7/S5.20; studs_out.json + board_out.json (sello d3c038a2e62bb79f)</t>
  </si>
  <si>
    <t xml:space="preserve">C1  #67  -  Future FCAM recess furring (Break 118 side of A1K 21)</t>
  </si>
  <si>
    <t xml:space="preserve">67</t>
  </si>
  <si>
    <t xml:space="preserve">Future FCAM recess furring (Break 118 side of A1K 21)</t>
  </si>
  <si>
    <t xml:space="preserve">A02.01 -&gt; 6/A12.01 -&gt; 7/S5.20; studs_out.json + board_out.json (sello 4f15bf8388b6785e)</t>
  </si>
  <si>
    <t xml:space="preserve">C1  #62  -  Storefront junction box east of vestibule 100/101</t>
  </si>
  <si>
    <t xml:space="preserve">62</t>
  </si>
  <si>
    <t xml:space="preserve">Storefront junction box east of vestibule 100/101</t>
  </si>
  <si>
    <t xml:space="preserve">A02.01 -&gt; 6/A12.01 -&gt; 7/S5.20; studs_out.json + board_out.json (sello b31b4042919d1b64)</t>
  </si>
  <si>
    <t xml:space="preserve">TYPE EXT</t>
  </si>
  <si>
    <t xml:space="preserve">EXT  #102  -  East north of grid B (Offices 105-108, Cash 116)</t>
  </si>
  <si>
    <t xml:space="preserve">102</t>
  </si>
  <si>
    <t xml:space="preserve">6" ext 600S162-54</t>
  </si>
  <si>
    <t xml:space="preserve">East north of grid B (Offices 105-108, Cash 116)</t>
  </si>
  <si>
    <t xml:space="preserve">A02.01 -&gt; C/A09.21 -&gt; 7/S5.20; studs_out.json + board_out.json (sello fb4fc7760c3b578c)</t>
  </si>
  <si>
    <t xml:space="preserve">EXT  #104  -  South grid 3-6 (W18x35)</t>
  </si>
  <si>
    <t xml:space="preserve">104</t>
  </si>
  <si>
    <t xml:space="preserve">South grid 3-6 (W18x35)</t>
  </si>
  <si>
    <t xml:space="preserve">A02.01 -&gt; C/A09.21 -&gt; 7/S5.20; studs_out.json + board_out.json (sello a363502fdd4da5ca)</t>
  </si>
  <si>
    <t xml:space="preserve">EXT  #108  -  West tower (Vestibules 100/101, Day-1 ATM)</t>
  </si>
  <si>
    <t xml:space="preserve">108</t>
  </si>
  <si>
    <t xml:space="preserve">West tower (Vestibules 100/101, Day-1 ATM)</t>
  </si>
  <si>
    <t xml:space="preserve">A02.01 -&gt; C/A09.21 -&gt; 7/S5.20; studs_out.json + board_out.json (sello 8ad2581d2e3be085)</t>
  </si>
  <si>
    <t xml:space="preserve">EXT  #100  -  North central storefront bay N2 (grid 4-7, W18x35)</t>
  </si>
  <si>
    <t xml:space="preserve">100</t>
  </si>
  <si>
    <t xml:space="preserve">North central storefront bay N2 (grid 4-7, W18x35)</t>
  </si>
  <si>
    <t xml:space="preserve">A02.01 -&gt; C/A09.21 -&gt; 7/S5.20; studs_out.json + board_out.json (sello 42515224b2898c75)</t>
  </si>
  <si>
    <t xml:space="preserve">EXT  #103  -  East south of grid B (Work 119)</t>
  </si>
  <si>
    <t xml:space="preserve">103</t>
  </si>
  <si>
    <t xml:space="preserve">East south of grid B (Work 119)</t>
  </si>
  <si>
    <t xml:space="preserve">A02.01 -&gt; C/A09.21 -&gt; 7/S5.20; studs_out.json + board_out.json (sello 6574ebe35ab90689)</t>
  </si>
  <si>
    <t xml:space="preserve">EXT  #106  -  West wing south of grid B (Restrooms, Janitor, Wellness)</t>
  </si>
  <si>
    <t xml:space="preserve">106</t>
  </si>
  <si>
    <t xml:space="preserve">West wing south of grid B (Restrooms, Janitor, Wellness)</t>
  </si>
  <si>
    <t xml:space="preserve">A02.01 -&gt; C/A09.21 -&gt; 7/S5.20; studs_out.json + board_out.json (sello f8a9ae9fc5475197)</t>
  </si>
  <si>
    <t xml:space="preserve">EXT  #105  -  West wing north of grid B (Offices 109-110, Women)</t>
  </si>
  <si>
    <t xml:space="preserve">105</t>
  </si>
  <si>
    <t xml:space="preserve">West wing north of grid B (Offices 109-110, Women)</t>
  </si>
  <si>
    <t xml:space="preserve">A02.01 -&gt; C/A09.21 -&gt; 7/S5.20; studs_out.json + board_out.json (sello 533bc87b706a5b16)</t>
  </si>
  <si>
    <t xml:space="preserve">EXT  #110  -  South grid 6-8 (W14x22)</t>
  </si>
  <si>
    <t xml:space="preserve">110</t>
  </si>
  <si>
    <t xml:space="preserve">South grid 6-8 (W14x22)</t>
  </si>
  <si>
    <t xml:space="preserve">A02.01 -&gt; C/A09.21 -&gt; 7/S5.20; studs_out.json + board_out.json (sello 83f0c47dabd0e43e)</t>
  </si>
  <si>
    <t xml:space="preserve">EXT  #101  -  North tower (vestibule 100)</t>
  </si>
  <si>
    <t xml:space="preserve">101</t>
  </si>
  <si>
    <t xml:space="preserve">North tower (vestibule 100)</t>
  </si>
  <si>
    <t xml:space="preserve">A02.01 -&gt; C/A09.21 -&gt; 7/S5.20; studs_out.json + board_out.json (sello c4d8dde9fc67fea0)</t>
  </si>
  <si>
    <t xml:space="preserve">EXT  #109  -  North Office 105 bay (grid 7-8, W12x19)</t>
  </si>
  <si>
    <t xml:space="preserve">109</t>
  </si>
  <si>
    <t xml:space="preserve">North Office 105 bay (grid 7-8, W12x19)</t>
  </si>
  <si>
    <t xml:space="preserve">A02.01 -&gt; C/A09.21 -&gt; 7/S5.20; studs_out.json + board_out.json (sello 36d56a8261962aea)</t>
  </si>
  <si>
    <t xml:space="preserve">EXT  #107  -  West jog (ATM Room 102 south)</t>
  </si>
  <si>
    <t xml:space="preserve">107</t>
  </si>
  <si>
    <t xml:space="preserve">West jog (ATM Room 102 south)</t>
  </si>
  <si>
    <t xml:space="preserve">A02.01 -&gt; C/A09.21 -&gt; 7/S5.20; studs_out.json + board_out.json (sello 9a46b23c475eb54a)</t>
  </si>
  <si>
    <t xml:space="preserve">TYPE F</t>
  </si>
  <si>
    <t xml:space="preserve">F  #70  -  ATM wall diagonal 24HR Vestibule 101 / ATM Room 102 (ATM opening)</t>
  </si>
  <si>
    <t xml:space="preserve">70</t>
  </si>
  <si>
    <t xml:space="preserve">ATM wall diagonal 24HR Vestibule 101 / ATM Room 102 (ATM opening)</t>
  </si>
  <si>
    <t xml:space="preserve">A02.01 -&gt; 12/A12.01 -&gt; 7/S5.20; studs_out.json + board_out.json (sello 28a07cb8c6afc6a2)</t>
  </si>
  <si>
    <t xml:space="preserve">TYPE G</t>
  </si>
  <si>
    <t xml:space="preserve">G  #82  -  Office 106/107 wall</t>
  </si>
  <si>
    <t xml:space="preserve">82</t>
  </si>
  <si>
    <t xml:space="preserve">Office 106/107 wall</t>
  </si>
  <si>
    <t xml:space="preserve">A02.01 -&gt; 5/A12.01 -&gt; 7/S5.20; studs_out.json + board_out.json (sello 923008a3c6bb0388)</t>
  </si>
  <si>
    <t xml:space="preserve">G  #84  -  Office 107/108 wall</t>
  </si>
  <si>
    <t xml:space="preserve">84</t>
  </si>
  <si>
    <t xml:space="preserve">Office 107/108 wall</t>
  </si>
  <si>
    <t xml:space="preserve">A02.01 -&gt; 5/A12.01 -&gt; 7/S5.20; studs_out.json + board_out.json (sello eb92eed60030b6ea)</t>
  </si>
  <si>
    <t xml:space="preserve">G  #90  -  Office 110 / Women's 114 wall</t>
  </si>
  <si>
    <t xml:space="preserve">90</t>
  </si>
  <si>
    <t xml:space="preserve">Office 110 / Women's 114 wall</t>
  </si>
  <si>
    <t xml:space="preserve">A02.01 -&gt; 5/A12.01 -&gt; 7/S5.20; studs_out.json + board_out.json (sello f9087b7f7230dae1)</t>
  </si>
  <si>
    <t xml:space="preserve">G  #88  -  ATM Room 102 / Office 109 wall</t>
  </si>
  <si>
    <t xml:space="preserve">88</t>
  </si>
  <si>
    <t xml:space="preserve">ATM Room 102 / Office 109 wall</t>
  </si>
  <si>
    <t xml:space="preserve">A02.01 -&gt; 5/A12.01 -&gt; 7/S5.20; studs_out.json + board_out.json (sello c2575ce76444ae26)</t>
  </si>
  <si>
    <t xml:space="preserve">G  #89  -  Office 109/110 wall</t>
  </si>
  <si>
    <t xml:space="preserve">89</t>
  </si>
  <si>
    <t xml:space="preserve">Office 109/110 wall</t>
  </si>
  <si>
    <t xml:space="preserve">A02.01 -&gt; 5/A12.01 -&gt; 7/S5.20; studs_out.json + board_out.json (sello 78c46ac1019c9b62)</t>
  </si>
  <si>
    <t xml:space="preserve">G  #87  -  Office 108 south wall east segment (Cash Window 116)</t>
  </si>
  <si>
    <t xml:space="preserve">87</t>
  </si>
  <si>
    <t xml:space="preserve">Office 108 south wall east segment (Cash Window 116)</t>
  </si>
  <si>
    <t xml:space="preserve">A02.01 -&gt; 5/A12.01 -&gt; 7/S5.20; studs_out.json + board_out.json (sello 1ccac8c9af5141cb)</t>
  </si>
  <si>
    <t xml:space="preserve">G  #81  -  Office 105/106 stub at office front</t>
  </si>
  <si>
    <t xml:space="preserve">81</t>
  </si>
  <si>
    <t xml:space="preserve">Office 105/106 stub at office front</t>
  </si>
  <si>
    <t xml:space="preserve">A02.01 -&gt; 5/A12.01 -&gt; 7/S5.20; studs_out.json + board_out.json (sello 618ac04867406963)</t>
  </si>
  <si>
    <t xml:space="preserve">G  #83  -  Office 106/107 stub at office front</t>
  </si>
  <si>
    <t xml:space="preserve">83</t>
  </si>
  <si>
    <t xml:space="preserve">Office 106/107 stub at office front</t>
  </si>
  <si>
    <t xml:space="preserve">A02.01 -&gt; 5/A12.01 -&gt; 7/S5.20; studs_out.json + board_out.json (sello 94030d1f496ee9fc)</t>
  </si>
  <si>
    <t xml:space="preserve">G  #85  -  Office 107/108 stub at office front</t>
  </si>
  <si>
    <t xml:space="preserve">85</t>
  </si>
  <si>
    <t xml:space="preserve">Office 107/108 stub at office front</t>
  </si>
  <si>
    <t xml:space="preserve">A02.01 -&gt; 5/A12.01 -&gt; 7/S5.20; studs_out.json + board_out.json (sello c541f7aac8263977)</t>
  </si>
  <si>
    <t xml:space="preserve">G  #80  -  Office 105 north stub at office front (untagged, thickness 6.16in)</t>
  </si>
  <si>
    <t xml:space="preserve">80</t>
  </si>
  <si>
    <t xml:space="preserve">Office 105 north stub at office front (untagged, thickness 6.16in)</t>
  </si>
  <si>
    <t xml:space="preserve">A02.01 -&gt; 5/A12.01 -&gt; 7/S5.20; studs_out.json + board_out.json (sello 114ed5879e7e5488)</t>
  </si>
  <si>
    <t xml:space="preserve">G  #86  -  Office 108 south stub at office front (untagged)</t>
  </si>
  <si>
    <t xml:space="preserve">86</t>
  </si>
  <si>
    <t xml:space="preserve">Office 108 south stub at office front (untagged)</t>
  </si>
  <si>
    <t xml:space="preserve">A02.01 -&gt; 5/A12.01 -&gt; 7/S5.20; studs_out.json + board_out.json (sello 7963e32e99531b05)</t>
  </si>
  <si>
    <t xml:space="preserve">TYPE G1</t>
  </si>
  <si>
    <t xml:space="preserve">G1  #95  -  Office 105/106 wall</t>
  </si>
  <si>
    <t xml:space="preserve">95</t>
  </si>
  <si>
    <t xml:space="preserve">Office 105/106 wall</t>
  </si>
  <si>
    <t xml:space="preserve">A02.01 -&gt; 5/A12.01 -&gt; 7/S5.20; studs_out.json + board_out.json (sello 87ccbce662a0c76f)</t>
  </si>
  <si>
    <t xml:space="preserve">G1  #96  -  Office 109/110 stub at office front</t>
  </si>
  <si>
    <t xml:space="preserve">96</t>
  </si>
  <si>
    <t xml:space="preserve">Office 109/110 stub at office front</t>
  </si>
  <si>
    <t xml:space="preserve">A02.01 -&gt; 5/A12.01 -&gt; 7/S5.20; studs_out.json + board_out.json (sello a1f8dfeee3a39c84)</t>
  </si>
  <si>
    <t xml:space="preserve">G1  #97  -  Office 110 south stub at office front (untagged, thickness 8.48in)</t>
  </si>
  <si>
    <t xml:space="preserve">97</t>
  </si>
  <si>
    <t xml:space="preserve">Office 110 south stub at office front (untagged, thickness 8.48in)</t>
  </si>
  <si>
    <t xml:space="preserve">A02.01 -&gt; 5/A12.01 -&gt; 7/S5.20; studs_out.json + board_out.json (sello ebc582bd19b355bd)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</si>
  <si>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</si>
  <si>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</si>
  <si>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</si>
  <si>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</si>
  <si>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</si>
  <si>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</si>
  <si>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</si>
  <si>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</si>
  <si>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</si>
  <si>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</si>
  <si>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</si>
  <si>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</si>
  <si>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3-5/8" metal stud 362S137-33 (A1, B, C1, F, CSR, transition bulkheads, vestibule heads, roof step)</t>
  </si>
  <si>
    <t xml:space="preserve">LF</t>
  </si>
  <si>
    <t xml:space="preserve">stick 16 ft</t>
  </si>
  <si>
    <t xml:space="preserve">studs_out.json (studs_nodos.py 60.1) total 3-5/8"; 3,1,6,12/A12.01; 7/S5.20</t>
  </si>
  <si>
    <t xml:space="preserve">3-5/8" metal stud 14 GA @ 24" O.C. (A1K ballistic)</t>
  </si>
  <si>
    <t xml:space="preserve">studs_out.json (studs_nodos.py 60.1); 4/A12.01 WALL CONSTRUCTION SHALL INCLUDE 14 GA @24"</t>
  </si>
  <si>
    <t xml:space="preserve">6" metal stud 600S137-33 interior (A5, B2)</t>
  </si>
  <si>
    <t xml:space="preserve">studs_out.json (studs_nodos.py 60.1); 3,1/A12.01; 7/S5.20 (interior 6" designation derived, RFI-10)</t>
  </si>
  <si>
    <t xml:space="preserve">6" metal stud 14 GA @ 24" O.C. (B2K ballistic, schedule row missing -&gt; A5K/4/A12.01, RFI-33)</t>
  </si>
  <si>
    <t xml:space="preserve">studs_out.json (studs_nodos.py 60.1); 4/A12.01</t>
  </si>
  <si>
    <t xml:space="preserve">1-5/8" metal stud 162S125-33 double row (G, G1, office bulkheads)</t>
  </si>
  <si>
    <t xml:space="preserve">studs_out.json (studs_nodos.py 60.1); 5/A12.01, 9/A12.01 (gauge not printed, RFI-10)</t>
  </si>
  <si>
    <t xml:space="preserve">6" metal stud 600S162-54 exterior @16" / @12" within 6 ft of corners</t>
  </si>
  <si>
    <t xml:space="preserve">studs_out.json (studs_nodos.py 60.1); S1.11 note 5 vs 7/S5.20 600S137-33 (56.2 more material, RFI-05); C/A09.21; 10/S5.10 stud stops at deflection track under W12x19</t>
  </si>
  <si>
    <t xml:space="preserve">6" parapet infill stud 600S162-54 @16"</t>
  </si>
  <si>
    <t xml:space="preserve">stick 20 ft</t>
  </si>
  <si>
    <t xml:space="preserve">studs_out.json (studs_nodos.py 60.1); 11/S5.10 bays @5'-0" max by 59.4</t>
  </si>
  <si>
    <t xml:space="preserve">2-1/2" metal stud (coiling grille fascia cripples)</t>
  </si>
  <si>
    <t xml:space="preserve">stick 10 ft</t>
  </si>
  <si>
    <t xml:space="preserve">studs_out.json (studs_nodos.py 60.1); 3/A08.21</t>
  </si>
  <si>
    <t xml:space="preserve">3-5/8" metal stud canopy fascia + column wraps</t>
  </si>
  <si>
    <t xml:space="preserve">stick 12 ft</t>
  </si>
  <si>
    <t xml:space="preserve">studs_out.json (studs_nodos.py 60.1); 7/A09.26, 5/A09.25</t>
  </si>
  <si>
    <t xml:space="preserve">3-5/8" metal stud canopy soffit joists @16"</t>
  </si>
  <si>
    <t xml:space="preserve">canopy soffit 1,433.9 SF (A04.01/A02.01 inner fascia line) / 1.333 ft spacing; 3,7/A09.26, 15,16/A09.27</t>
  </si>
  <si>
    <t xml:space="preserve">3-5/8" metal stud CSR soffit bottom framing @16"</t>
  </si>
  <si>
    <t xml:space="preserve">(ROUNDUP(12.02/1.333)+1)=11 x 3'-5" (9/A12.08, 10/A09.33)</t>
  </si>
  <si>
    <t xml:space="preserve">3-5/8" bottom track 362T125-33</t>
  </si>
  <si>
    <t xml:space="preserve">piece 10 ft</t>
  </si>
  <si>
    <t xml:space="preserve">sum TRACK_BOTTOM of sealed walls 1,12,13,14,2,3,4,40,41,42,43,44,45,5,6,60,61,62,63,64,65,66,67,7,70,8,9; 3,1,6,12/A12.01</t>
  </si>
  <si>
    <t xml:space="preserve">3-5/8" top track - continuous slip track 362T200-33 slip (designation not printed, RFI-10)</t>
  </si>
  <si>
    <t xml:space="preserve">sum TRACK_TOP sealed walls; CONT. SLIP TRACK 3,1,6,12/A12.01</t>
  </si>
  <si>
    <t xml:space="preserve">3-5/8" 14 GA bottom track 362T125-68</t>
  </si>
  <si>
    <t xml:space="preserve">sum TRACK_BOTTOM of sealed walls 20,21,22,55; 4/A12.01</t>
  </si>
  <si>
    <t xml:space="preserve">3-5/8" 14 GA top track - continuous slip track 362T200-68 slip (designation not printed, RFI-10)</t>
  </si>
  <si>
    <t xml:space="preserve">sum TRACK_TOP sealed walls; CONT. SLIP TRACK 4/A12.01</t>
  </si>
  <si>
    <t xml:space="preserve">6" interior bottom track 600T125-33</t>
  </si>
  <si>
    <t xml:space="preserve">sum TRACK_BOTTOM of sealed walls 30,31,32,33,50,51,52; 3,1/A12.01</t>
  </si>
  <si>
    <t xml:space="preserve">6" interior top track - continuous slip track 600T200-33 slip (designation not printed, RFI-10)</t>
  </si>
  <si>
    <t xml:space="preserve">sum TRACK_TOP sealed walls; CONT. SLIP TRACK 3,1/A12.01</t>
  </si>
  <si>
    <t xml:space="preserve">6" 14 GA bottom track 600T125-68</t>
  </si>
  <si>
    <t xml:space="preserve">sum TRACK_BOTTOM of sealed walls 55; 4/A12.01</t>
  </si>
  <si>
    <t xml:space="preserve">6" 14 GA top track - continuous slip track 600T200-68 slip (designation not printed, RFI-10)</t>
  </si>
  <si>
    <t xml:space="preserve">1-5/8" bottom track 162T125-33</t>
  </si>
  <si>
    <t xml:space="preserve">sum TRACK_BOTTOM of sealed walls 80,81,82,83,84,85,86,87,88,89,90,95,96,97,BK105,BK106,BK107,BK108,BK109,BK110; 5,9/A12.01</t>
  </si>
  <si>
    <t xml:space="preserve">1-5/8" top track - continuous slip track 162T200-33 slip (designation not printed, RFI-10)</t>
  </si>
  <si>
    <t xml:space="preserve">sum TRACK_TOP sealed walls; CONT. SLIP TRACK 5,9/A12.01</t>
  </si>
  <si>
    <t xml:space="preserve">6" exterior bottom track 600T125-33</t>
  </si>
  <si>
    <t xml:space="preserve">sum walls 100-108; 7/S5.20 BOTTOM TRACK 600T125-33</t>
  </si>
  <si>
    <t xml:space="preserve">6" exterior top deflection track 600T200-97 (under perimeter beam)</t>
  </si>
  <si>
    <t xml:space="preserve">sum walls 100-108; 7/S5.20 TOP TRACK 600T200-97; 10/S5.10</t>
  </si>
  <si>
    <t xml:space="preserve">6" parapet bottom track 600T125-54</t>
  </si>
  <si>
    <t xml:space="preserve">parapet outer LF 314.89 (10 segments incl. tower inboard returns); 11/S5.10 600T125-54 TOP &amp; BOT. (54.2)</t>
  </si>
  <si>
    <t xml:space="preserve">6" parapet top track 600T125-54</t>
  </si>
  <si>
    <t xml:space="preserve">11/S5.10 TOP &amp; BOT.</t>
  </si>
  <si>
    <t xml:space="preserve">3-5/8" bottom track other runs (CSR side walls, transition bulkheads, vestibule heads, roof step, canopy fascia, column wraps)</t>
  </si>
  <si>
    <t xml:space="preserve">sum of OTHER vertical runs in studs_in.json (CSR, T1, T2, TR104, VH1, VH2, roof step 3 runs, canopy fascia, 8 column wrap halves); 9/A12.08, 7,8/A09.33, A12.10, 4/A02.02, 7/A09.26, 5/A09.25 (60.6, 60.8)</t>
  </si>
  <si>
    <t xml:space="preserve">3-5/8" top track other runs (same runs, fixed to structure)</t>
  </si>
  <si>
    <t xml:space="preserve">same runs; 60.8 vertical studs -&gt; bottom/top</t>
  </si>
  <si>
    <t xml:space="preserve">Ceiling / soffit track - GWB ceiling perimeter (wall angle)</t>
  </si>
  <si>
    <t xml:space="preserve">A04.01 GWB ceilings 100 (47.8) + 101 (52.4) + 104 wall side (17.03) + 113 (37.5) + 114 (37.5); suspension not detailed RFI-11</t>
  </si>
  <si>
    <t xml:space="preserve">Ceiling / soffit track - canopy soffit joist ends + CSR soffit joist ends</t>
  </si>
  <si>
    <t xml:space="preserve">58.3 one track at each joist end measured on its own line: building line 161.4 + inner fascia 210 + south canopy 46 = 417.0 (adversarial v3) + CSR 2 x 12.021; 7/A09.26, 9/A12.08</t>
  </si>
  <si>
    <t xml:space="preserve">Header / box beam at openings (S5.20 header schedule; 8,9/A12.01 cont. box beam; 3/A08.21 grille box beams)</t>
  </si>
  <si>
    <t xml:space="preserve">sum HEADER of sealed walls (60.5 R.O.+1'-4" once per opening) + grille 103 box beams 2x(13'-4"+1'-4") + vestibule box headers A12.10 (15'-7 3/4"+1'-4") + (7'-5"+1'-4") + 16" duct over door 118A 1'-4"+1'-4" (M01.01); 9/S5.20, 11,14/A09.27</t>
  </si>
  <si>
    <t xml:space="preserve">Sill track at window / ATM openings / 16" duct</t>
  </si>
  <si>
    <t xml:space="preserve">sum SILL_TRACK sealed walls (53.7 R.O.+8" per side) + 16" duct wall 7 (M01.01, 53.7); 10/A09.27, A08.11</t>
  </si>
  <si>
    <t xml:space="preserve">Additional head track at openings &gt; 4'-0" (2/S5.20)</t>
  </si>
  <si>
    <t xml:space="preserve">2/S5.20 ADD FULL LENGTH ADDL HEAD TRACK @ OPNG &gt;4'-0": DF alcove, 6 windows, storefronts W3, N3, N2</t>
  </si>
  <si>
    <t xml:space="preserve">1-1/2" C.R. channel bracing @ 48" O.C. (53.4, 60.7)</t>
  </si>
  <si>
    <t xml:space="preserve">piece 16 ft</t>
  </si>
  <si>
    <t xml:space="preserve">sum BRACING sealed walls 2334.07 + parapet segments &gt;=4 ft x1 row 200.98 + OTHER runs floor(H/4) x L (CSR, T1, T2, TR104, VH1, VH2, wraps); F/S5.20</t>
  </si>
  <si>
    <t xml:space="preserve">Bracing clip / attachment at C.R. channel (F/S5.20 attach each side)</t>
  </si>
  <si>
    <t xml:space="preserve">EA</t>
  </si>
  <si>
    <t xml:space="preserve">sum CLIPS sealed walls = studs x rows x 2</t>
  </si>
  <si>
    <t xml:space="preserve">Vertical deflection clips at exterior studs (S1.11 note 2)</t>
  </si>
  <si>
    <t xml:space="preserve">one per full-height exterior stud (studs_out pcs_full walls 100-108); S1.11 note 2, 10/S5.10</t>
  </si>
  <si>
    <t xml:space="preserve">1x1x1 16 GA purlin across min (2) flutes at top track parallel to flutes (10/A09.33)</t>
  </si>
  <si>
    <t xml:space="preserve">59.1: top track of E-W walls 309.0 LF x (1'-6" piece / 2'-0" fastener spacing 4/A12.01) = 0.75; flutes E-W per S2.20 joist/beam direction [DERIVADO], VIF -&gt; RFI-12</t>
  </si>
  <si>
    <t xml:space="preserve">1-1/2" carrying channel @ 48" O.C. - GWB ceilings</t>
  </si>
  <si>
    <t xml:space="preserve">A04.01 GWB ceilings 940.7 SF / 4 ft; no suspension detail in set -&gt; industry standard Alt B [DERIVADO] RFI-11</t>
  </si>
  <si>
    <t xml:space="preserve">7/8" furring channel @ 16" O.C. - GWB ceilings</t>
  </si>
  <si>
    <t xml:space="preserve">piece 12 ft</t>
  </si>
  <si>
    <t xml:space="preserve">940.7 SF x 0.75 LF/SF (16" O.C.) [DERIVADO] RFI-11</t>
  </si>
  <si>
    <t xml:space="preserve">12 GA hanger wire @ 48" x 48" - GWB ceilings</t>
  </si>
  <si>
    <t xml:space="preserve">coil</t>
  </si>
  <si>
    <t xml:space="preserve">4x4 grid hangers (adversarial v3): 100 5x2=10 x (15.375-10.0) + 101 12 x 5.375 + 104 5x8=40 x (15.375-11.0) + 113/114 3x2=6 x (13.0-8.5) each [DERIVADO] RFI-11</t>
  </si>
  <si>
    <t xml:space="preserve">3-5/8" metal stud kickers @ 48" at GWB ceiling transition 104 (7/A09.33)</t>
  </si>
  <si>
    <t xml:space="preserve">77.0 LF / 4 = 20 kickers x 6.19 ft at 45 deg (adversarial v3) [DERIVADO] 7/A09.33</t>
  </si>
  <si>
    <t xml:space="preserve">Framed openings for recessed fixtures - canopy soffit (54.1)</t>
  </si>
  <si>
    <t xml:space="preserve">2 x schedule length: UU4 4x55' + UU1 20' + UU2 5x2' + UU3 9x3' + UU5 50' + UU6 16' (E00.01 / E02.01); ends width not printed -&gt; RFI-13; 4,5/A09.33</t>
  </si>
  <si>
    <t xml:space="preserve">Framed openings in GWB ceilings / CSR soffit (R-11C/CE x4, R-11A x2, access panel)</t>
  </si>
  <si>
    <t xml:space="preserve">R-11C/CE 4 x 2 x 12' (measured 215.9 pt = 12'-0", RFI-14) + R-11A 2 x 2 x 4' + access panel 2'x2' perimeter 8 + slot diffusers TBDI-10 vestibules 4 x 12' x 2 + restrooms 4 x 2' x 2 (M01.01, M00.03; adversarial v3); 6/A09.33; 3.5" R-14A and 10x10 exhaust fit module (60.10)</t>
  </si>
  <si>
    <t xml:space="preserve">5/8" gypsum board regular - walls</t>
  </si>
  <si>
    <t xml:space="preserve">SF</t>
  </si>
  <si>
    <t xml:space="preserve">4x12 sheet</t>
  </si>
  <si>
    <t xml:space="preserve">board_out.json (board_caras.py 60.2) total 5/8 regular; A12.01 details, C/A09.21</t>
  </si>
  <si>
    <t xml:space="preserve">5/8" gypsum board regular - GWB ceilings, CSR soffit, ceiling transitions/bulkheads</t>
  </si>
  <si>
    <t xml:space="preserve">A04.01 GWB 940.7 + CSR bottom 41.1 + faces 2x12.021x1.5 + 104 transition 77.06x1.35 + T1 21.8 + T2 19.7 (7,8/A09.33) + vestibule head 103 face 7.417x2.0 (A12.10) + roof step face tight to deck 51.729x2.30 + soffit bottom 51.729x1.29 (4/A02.02); 10/A09.33, 9/A12.08</t>
  </si>
  <si>
    <t xml:space="preserve">5/8" moisture resistant gypsum board (chase faces with fixtures, 59.9)</t>
  </si>
  <si>
    <t xml:space="preserve">board_out.json 5/8 MR: C1 #65 (Women 114) and #66 (Men 113) to deck (60.11); note F/A08.01</t>
  </si>
  <si>
    <t xml:space="preserve">3/8" UL752 level-2 fiberglass ballistic panel (A1K/B2K customer side to 8'-0")</t>
  </si>
  <si>
    <t xml:space="preserve">4x8 sheet</t>
  </si>
  <si>
    <t xml:space="preserve">board_out.json ballistic; 4/A12.01 WALL CONSTRUCTION SHALL INCLUDE</t>
  </si>
  <si>
    <t xml:space="preserve">3/8" gypsum board above ballistic panel 8'-0" to deck</t>
  </si>
  <si>
    <t xml:space="preserve">board_out.json 3/8; 4/A12.01</t>
  </si>
  <si>
    <t xml:space="preserve">5/8" glass mat sheathing (base strip slab-T/BASE 0'-6" + canopy beam band)</t>
  </si>
  <si>
    <t xml:space="preserve">outer solid LF 270.46-45.31 storefront-3.333 door = 221.82 x 0.5 (5/A09.26, 9,12/A09.27) + canopy band N+E 109.05 LF x (12'-7"-10'-8 5/8") (7/A09.26, 59.2) -&gt; extent RFI-07</t>
  </si>
  <si>
    <t xml:space="preserve">5/8" exterior gypsum sheathing - parapet roof side (DENS DECK, 4/A09.26)</t>
  </si>
  <si>
    <t xml:space="preserve">sum parapet LF x (T/STUD - B.O.D.) by segment = 1144.21 (55.3, 53.5)</t>
  </si>
  <si>
    <t xml:space="preserve">5/8" FRT plywood bonded to 2-1/2" polyiso nailbase - exterior (59.11)</t>
  </si>
  <si>
    <t xml:space="preserve">outer face per facade x (T/STUD - T/BASE 0'-6") 4,178.8 + west tower outer 30.36 (+8.2) - canopy band N+E 203.4 - west canopy band 56.77x1.865 (105.9, 15/A09.27) + roof step upper 51.729x3.1 (4/A02.02 5/8" FRT PLYWOOD BONDED TO POLYISO); C/A09.21, 5/A09.26 (RFI-07)</t>
  </si>
  <si>
    <t xml:space="preserve">3/4" FRT plywood (F wall public side to deck, backboards keynote 6, grille fascia)</t>
  </si>
  <si>
    <t xml:space="preserve">F 17.457x15.375-ATM 6.05 (12/A12.01) + Electrical 199 + NER 60 (keynote 6, A11.03) + grille 13.333x1.5 (A08.21)</t>
  </si>
  <si>
    <t xml:space="preserve">5/8" FRT plywood - canopy soffit, fascia and column wraps (substrate for plaster/ACM)</t>
  </si>
  <si>
    <t xml:space="preserve">soffit 1,433.9 + fascia 240.9x(12'-8"-10'-6") + 4 wraps 6.667x10.5 + drive-up ATM 10 SF (6/A08.11); 3,7/A09.26, 15,16/A09.27, 5/A09.25; vs 4,5/A09.33 "5/8" EXTERIOR SHEATHING" RFI-34</t>
  </si>
  <si>
    <t xml:space="preserve">FRP panel WC-3 (restrooms 5'-0" over 6" base; janitor mop sink 0-4'-0")</t>
  </si>
  <si>
    <t xml:space="preserve">restroom perimeter A08.01 11'-7 1/2" x 6.564: Men 36.378-3-3 (door 112, 59.10) + Women 36.378-3 = 63.76 LF x 5.0 (8/A08.01, 53.9.1; adversarial v4) + janitor 2 sides x 2'-0" (mop sink width not printed, RFI-15) x 4'-0" (A05.01 KN6)</t>
  </si>
  <si>
    <t xml:space="preserve">Cementitious backer board under tile cove base (58.7)</t>
  </si>
  <si>
    <t xml:space="preserve">3x5 sheet</t>
  </si>
  <si>
    <t xml:space="preserve">tile cove base LF 63.76 x 0.5 ft (58.7 standing order; A08.01 CT-12C 6" base)</t>
  </si>
  <si>
    <t xml:space="preserve">Level 5 finish (WC-18 office walls, WC-22 media wall, WC-20 vestibule F wall)</t>
  </si>
  <si>
    <t xml:space="preserve">A05.01 / A00.40: WC-18 4x11'-9 1/4" + 2x11'-7 1/2" to 9'-0" ceiling; WC-22 9'-3 1/2"x11'-0"; WC-20 F wall 17.457x10'-0" (not in legend RFI-16)</t>
  </si>
  <si>
    <t xml:space="preserve">Mineral wool insulation - roof step and drive-up ATM (4/A02.02, 6/A08.11)</t>
  </si>
  <si>
    <t xml:space="preserve">roof step upper 51.729x3.1 + high-side run 51.729x3.44 + ATM 15 SF (critic)</t>
  </si>
  <si>
    <t xml:space="preserve">Batt insulation in partitions + restroom ceiling sound batt (KN11)</t>
  </si>
  <si>
    <t xml:space="preserve">sum INSULATION sealed walls (schedule INSULATION YES, A12.01) + 113/114 ceilings 153.4 SF (A04.01 KN11)</t>
  </si>
  <si>
    <t xml:space="preserve">Corner bead (53.1)</t>
  </si>
  <si>
    <t xml:space="preserve">office bulkheads 2x45 + CSR 24.04 + 104 transition 2x77 (7/A09.33 CORNER BEAD TYPICAL x2) + T1 10 + T2 10.2 + 6 windows x 20 + storefront returns 96.31 + grille head 26.7 (4/A08.21) + office jambs 12x2x8.042 (10/A12.01 CORNER BEAD TYPICAL); 8,9/A12.01, 11/A09.27</t>
  </si>
  <si>
    <t xml:space="preserve">Casing bead / J-bead at board stops: exterior opening returns, grille jambs, vestibule heads (53.1)</t>
  </si>
  <si>
    <t xml:space="preserve">GWB jamb returns at frames 6 windows x 20 + N2 43.25 + N3 29.56 + W3 23.5 (10,11/A09.27) + grille jambs 2x13'-6" (A08.21) + vestibule heads both faces at GL-4 head (A12.10)</t>
  </si>
  <si>
    <t xml:space="preserve">Shadow molding (where drawn)</t>
  </si>
  <si>
    <t xml:space="preserve">office bulkheads both sides 2x45 (8,9/A12.01) + 104 transition 77 + T1/T2 2x5.0+2x5.1 (7,8/A09.33)</t>
  </si>
  <si>
    <t xml:space="preserve">Metal trim - gypsum edge trim at CSR soffit fixtures (6/A09.33)</t>
  </si>
  <si>
    <t xml:space="preserve">R-11A 2 x 2 x 4' (ends pending RFI-13)</t>
  </si>
  <si>
    <t xml:space="preserve">Acoustical sealant - partitions (54.4 run by run)</t>
  </si>
  <si>
    <t xml:space="preserve">tube</t>
  </si>
  <si>
    <t xml:space="preserve">sum SEALANT sealed interior walls + bulkheads (runs per detail 3,1,4,5,9/A12.01, doors deducted 55.5)</t>
  </si>
  <si>
    <t xml:space="preserve">Sealant at office front jambs (10/A12.01 SEALANT, 2 beads)</t>
  </si>
  <si>
    <t xml:space="preserve">12 jambs x 2 beads x 8'-0 1/2" (adversarial v4)</t>
  </si>
  <si>
    <t xml:space="preserve">Sealant at base of gypsum - exterior walls (53.9.3)</t>
  </si>
  <si>
    <t xml:space="preserve">sum SEALANT walls 100-108 (5/A09.26)</t>
  </si>
  <si>
    <t xml:space="preserve">FRT blocking - millwork, toilet accessories, roof ladder, grille jambs</t>
  </si>
  <si>
    <t xml:space="preserve">piece 8 ft</t>
  </si>
  <si>
    <t xml:space="preserve">millwork MW01 6.25 + MW05 21 + MW06A 18 + MW07 19.875 + MW08 7.583 + MW11 13.5 + MW12 3 runs 21.81 + MW13 35 + MW18 6 + MW21 10 (D/A12.03-06 FRTW) + toilet accessories 47 + 2 wall-hung lavatories 4 + TA-19 mirror 2 (E/A08.01) + roof ladder 2x13 (3/A09.30) + grille jambs 27 (A08.21) + water heater platform 2x blocking 8 (3/P00.01)</t>
  </si>
  <si>
    <t xml:space="preserve">3/4" FRT plywood blocking - parapet top under coping, 2 plies (4/A09.26)</t>
  </si>
  <si>
    <t xml:space="preserve">parapet LF 314.89 x 2 plies (two 6.72 pt plies drawn, 58.6; adversarial v4)</t>
  </si>
  <si>
    <t xml:space="preserve">3/4" FRT plywood blocking - office bulkheads and jambs (8,9,10/A12.01) + 85" monitor (keynote 7) + TV mount (A03.01 KN24)</t>
  </si>
  <si>
    <t xml:space="preserve">6 x 7'-6" + 12 jambs x 8'-0 1/2" + monitor 3'-8" + TV mount ATM 102 (A03.01 KN24 3/4" FIRE TREATED PLYWOOD BLOCKING) 4'-0"</t>
  </si>
  <si>
    <t xml:space="preserve">3/4" FRT plywood blocking - returns at exterior openings (10,11/A09.27)</t>
  </si>
  <si>
    <t xml:space="preserve">window sills 6x8 + window jambs/heads 6x12 + storefront N2 43.25, N3 29.56, W3 23.5 + door 123 19.67</t>
  </si>
  <si>
    <t xml:space="preserve">5/8" FRT plywood blocking - CSR soffit (9/A12.08)</t>
  </si>
  <si>
    <t xml:space="preserve">2 x 12'-0 1/4"</t>
  </si>
  <si>
    <t xml:space="preserve">Metal stud blocking 362CR22 - wall stops, artwork, wall equipment (58.6, material not specified)</t>
  </si>
  <si>
    <t xml:space="preserve">9 wall-stop doors x 2'-0" (D/A00.30, hardware groups) + 6 artwork x 2 runs x 4' + equipment 41 LF (security monitors, phones, boards, hooks, lockers keynote 5); 4/S5.20; material RFI-17</t>
  </si>
  <si>
    <t xml:space="preserve">Stud blocking 362CR22 at horizontal edge of gypboard (4/S5.20, 56.8, 59.14 option b)</t>
  </si>
  <si>
    <t xml:space="preserve">sum of face lengths with board height &gt; 12 ft (4x12 sheet) = 766.14; option (a) exterior + double-layer walls only -&gt; RFI-18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</si>
  <si>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</si>
  <si>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</si>
  <si>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</si>
  <si>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</si>
  <si>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elevation titles are view directions: 1/A09.01 'SOUTH' shows the NORTH facade, 2/A09.02 'NORTH' shows the SOUTH facade (grid order). Confirm.</t>
  </si>
  <si>
    <t xml:space="preserve">0 (assignment by grids already applied)</t>
  </si>
  <si>
    <t xml:space="preserve">RFI-02</t>
  </si>
  <si>
    <t xml:space="preserve">CLOSED (adversarial v1): S2.20 canopy B.O.D. '111'-9"' uses T.O. slab = EL. 100'-0" -&gt; 11'-9" (T/STEEL H,J/A09.23). Listed for record only.</t>
  </si>
  <si>
    <t xml:space="preserve">0</t>
  </si>
  <si>
    <t xml:space="preserve">RFI-03</t>
  </si>
  <si>
    <t xml:space="preserve">NW tower west face (x824.76/841.56): 23'-10 1/4" is drawn as framed wall up to T/STUD HP 19'-8" with only the 6'-6" Vestibule 100 bay glazed. Confirm framed vs storefront.</t>
  </si>
  <si>
    <t xml:space="preserve">if storefront: -480 LF 6" ext stud, -330 SF GWB, -440 SF nailbase</t>
  </si>
  <si>
    <t xml:space="preserve">RFI-04</t>
  </si>
  <si>
    <t xml:space="preserve">S1.11 note 5 '6 FT OF BUILDING CORNERS' @12" O.C.: confirm which corners (taken: NE, SE, SW, tower NW, tower SW; re-entrant and storefront transitions NOT counted).</t>
  </si>
  <si>
    <t xml:space="preserve">+/- 6 studs per added corner (~85 LF)</t>
  </si>
  <si>
    <t xml:space="preserve">RFI-05</t>
  </si>
  <si>
    <t xml:space="preserve">Exterior studs: S1.11 n.5 600S162-54 vs 7/S5.20 600S137-33 (carried 600S162-54, more material, 56.2). Studs stop at deflection track under perimeter W12x19 (6,10/S5.10) - beam depth not printed (12.2" AISC used); arch sections draw stud continuous to T/STUD 17'-5"; S1.11 n.2 1" vs 10/S5.10 +/-1/2".</t>
  </si>
  <si>
    <t xml:space="preserve">if continuous to T/STUD: +~600 LF 6" ext stud, parapet infill studs -940 LF; gauge 54 vs 33 mil price delta</t>
  </si>
  <si>
    <t xml:space="preserve">RFI-06</t>
  </si>
  <si>
    <t xml:space="preserve">Header over north storefront N2 (26'-3"): 11/A09.27 'metal stud box beam or steel framing as required'. Carried box beam (27.58 LF); tower storefronts N3/W3 taken as steel header 2/A09.26 (by others).</t>
  </si>
  <si>
    <t xml:space="preserve">-27.58 LF header if steel</t>
  </si>
  <si>
    <t xml:space="preserve">RFI-07</t>
  </si>
  <si>
    <t xml:space="preserve">Nailbase (5/8" FRT plywood bonded 2 1/2" polyiso) and glass mat sheathing: framer or envelope scope? Glass mat only at base strip and canopy band per 5/A09.26, 9,12/A09.27, 7/A09.26 (band LF along canopies not dimensioned).</t>
  </si>
  <si>
    <t xml:space="preserve">nailbase 3,975 SF; glass mat band 203 SF</t>
  </si>
  <si>
    <t xml:space="preserve">RFI-08</t>
  </si>
  <si>
    <t xml:space="preserve">B/A09.21 shows the vestibule inner GWB plane offset inboard, no dimension: separate stud line?</t>
  </si>
  <si>
    <t xml:space="preserve">unknown, ~30 LF 3-5/8" wall</t>
  </si>
  <si>
    <t xml:space="preserve">RFI-09</t>
  </si>
  <si>
    <t xml:space="preserve">Drive-up canopy extents: plan outline vs roof plan (55'-10 3/4", 4'-10 1/4"+16'-7 3/4").</t>
  </si>
  <si>
    <t xml:space="preserve">+/- 5% canopy framing / FRT plywood</t>
  </si>
  <si>
    <t xml:space="preserve">RFI-10</t>
  </si>
  <si>
    <t xml:space="preserve">Designations not printed: continuous slip track (A12.01 details), 1-5/8" stud/track gauge (G, G1), interior 6" stud (7/S5.20 lists 600S137-33 only for exterior). Carried 362T200-33 / 600T200-33 / 162S125-33 / 600S137-33.</t>
  </si>
  <si>
    <t xml:space="preserve">slip track 2" leg vs 1-1/4" leg price</t>
  </si>
  <si>
    <t xml:space="preserve">RFI-11</t>
  </si>
  <si>
    <t xml:space="preserve">No GWB ceiling suspension detail in the set (A04.01 note: 'NEW SUSPENDED GYPSUM WALL BOARD CEILING/SOFFIT'). Carried CRC @48", 7/8" furring @16", 12 ga hangers @48"x48".</t>
  </si>
  <si>
    <t xml:space="preserve">alt drywall grid system: replaces 235 LF CRC + 706 LF furring</t>
  </si>
  <si>
    <t xml:space="preserve">RFI-12</t>
  </si>
  <si>
    <t xml:space="preserve">Deck flute direction (VIF per 10/A09.33): taken E-W (infill beams N-S, S2.20); purlin on E-W top tracks.</t>
  </si>
  <si>
    <t xml:space="preserve">if N-S: purlin moves to N-S walls (~+60 LF)</t>
  </si>
  <si>
    <t xml:space="preserve">RFI-13</t>
  </si>
  <si>
    <t xml:space="preserve">Recessed fixture framed-opening END widths (canopy UU1-UU6, CSR R-11A) not printed (54.1).</t>
  </si>
  <si>
    <t xml:space="preserve">42 ends x width</t>
  </si>
  <si>
    <t xml:space="preserve">RFI-14</t>
  </si>
  <si>
    <t xml:space="preserve">R-11C/CE in Waiting 104: description '12'' vs model string '20'-0"' (E00.01). Carried 12' (60.9).</t>
  </si>
  <si>
    <t xml:space="preserve">+64 LF framed opening if 20'</t>
  </si>
  <si>
    <t xml:space="preserve">RFI-15</t>
  </si>
  <si>
    <t xml:space="preserve">Janitor mop sink width not printed (FRP 'width to match mop sink', A05.01 KN6). Carried 2'-0" each side.</t>
  </si>
  <si>
    <t xml:space="preserve">+/- 2.7 SF per 4"</t>
  </si>
  <si>
    <t xml:space="preserve">RFI-16</t>
  </si>
  <si>
    <t xml:space="preserve">WC-20 (keynote 9, 24HR Vestibule) not in the A00.40 legend; Level 5 carried on F wall to 10'-0".</t>
  </si>
  <si>
    <t xml:space="preserve">-174.6 SF Level 5</t>
  </si>
  <si>
    <t xml:space="preserve">RFI-17</t>
  </si>
  <si>
    <t xml:space="preserve">Blocking material: drawings mix FRTW, FRT, pressure treated (3/A12.04), FRT plywood and 362CR22. Where not specified, metal 362CR22 carried (58.6).</t>
  </si>
  <si>
    <t xml:space="preserve">material price only</t>
  </si>
  <si>
    <t xml:space="preserve">RFI-18</t>
  </si>
  <si>
    <t xml:space="preserve">4/S5.20 'PROVIDE BLOCKING AT THE EDGE OF GYPBOARD' NTS without location. Carried (b) every face &gt; 12 ft board = 781 LF; option (a) exterior + double-layer walls only.</t>
  </si>
  <si>
    <t xml:space="preserve">(a) ~ -330 LF</t>
  </si>
  <si>
    <t xml:space="preserve">RFI-19</t>
  </si>
  <si>
    <t xml:space="preserve">TA-13 recessed hand dryer (~17" scaled), TA-14 recessed waste (~14") x2 restrooms and TA-2 recessed paper towel (Break 118, Wellness 115): rough-in sizes not printed -&gt; header + sill track 2'-0" each PENDIENTE (58.4).</t>
  </si>
  <si>
    <t xml:space="preserve">+20.0 LF header + 20.0 LF sill track (6 items x 3'-4")</t>
  </si>
  <si>
    <t xml:space="preserve">RFI-20</t>
  </si>
  <si>
    <t xml:space="preserve">Door 123 (HM, exterior south) rough opening not printed; carried 3'-4" R.O. Face-line gap x1123.08-1241.76 = 6.59 ft (column/pier zone?).</t>
  </si>
  <si>
    <t xml:space="preserve">header +/- 3 LF</t>
  </si>
  <si>
    <t xml:space="preserve">RFI-21</t>
  </si>
  <si>
    <t xml:space="preserve">Drive-up ATM (exterior west tower, A08.11): sill height not printed; carried 3'-0". Box beam, sistered 2 1/2" studs, 5/8" FRT plywood and plinth not quantified in detail (plinth Div 06).</t>
  </si>
  <si>
    <t xml:space="preserve">2 1/2" sistered studs ~20 LF</t>
  </si>
  <si>
    <t xml:space="preserve">RFI-22</t>
  </si>
  <si>
    <t xml:space="preserve">Drinking fountain alcove (corridor 111) head height not printed; carried 7'-0" with header 5.41 LF.</t>
  </si>
  <si>
    <t xml:space="preserve">board +/- 4 SF</t>
  </si>
  <si>
    <t xml:space="preserve">RFI-23</t>
  </si>
  <si>
    <t xml:space="preserve">Office front bulkhead bottom: 8'-0 1/2" HOLD (7/A11.01) vs 8'-0" clear (8/A11.01); door DFC-1A 7'-10". Carried 8'-0 1/2".</t>
  </si>
  <si>
    <t xml:space="preserve">+/- 45 SF board</t>
  </si>
  <si>
    <t xml:space="preserve">RFI-24</t>
  </si>
  <si>
    <t xml:space="preserve">Roof step 4/A02.02 along grid B: length not dimensioned (carried 51.73 ft interior width) and box height (carried W14x22 depth 13.7").</t>
  </si>
  <si>
    <t xml:space="preserve">+/- 100 LF 3-5/8" stud</t>
  </si>
  <si>
    <t xml:space="preserve">RFI-25</t>
  </si>
  <si>
    <t xml:space="preserve">Moisture resistant board: note F/A08.01 'behind toilet and lavatory' - carried on chase faces C1 #65/#66 only (59.9); confirm elevation D side wall.</t>
  </si>
  <si>
    <t xml:space="preserve">+~90 SF MR reclassified</t>
  </si>
  <si>
    <t xml:space="preserve">RFI-26</t>
  </si>
  <si>
    <t xml:space="preserve">C1 boxes at storefront posts (#60-#63): C1 detail 6/A12.01 shows 3 5/8" stud + 5/8" GWB against BLOCK PARTITION; boxes carried as perimeter furring to deck.</t>
  </si>
  <si>
    <t xml:space="preserve">~27 LF perimeter x 15.4 ft</t>
  </si>
  <si>
    <t xml:space="preserve">RFI-27</t>
  </si>
  <si>
    <t xml:space="preserve">Wall #1 north face behind C1 #64 monitor furring (10'-0" x 8"): board behind furring deducted.</t>
  </si>
  <si>
    <t xml:space="preserve">+115 SF if boarded</t>
  </si>
  <si>
    <t xml:space="preserve">RFI-28</t>
  </si>
  <si>
    <t xml:space="preserve">FEC-1 recessed cabinet size not printed (10" gap in plan) -&gt; treated as stud-bay device, no header/sill (59.8).</t>
  </si>
  <si>
    <t xml:space="preserve">+2 x 4 LF if &gt; 14 3/8"</t>
  </si>
  <si>
    <t xml:space="preserve">RFI-29</t>
  </si>
  <si>
    <t xml:space="preserve">Tower (T.O. PARAPET 2 20'-0") inboard parapet returns above main roof (A09.02 keynote 7, grid D-G and grid 3-4) not dimensioned: carried 44 LF x 4'-3 1/2" [DERIVADO back-check C2].</t>
  </si>
  <si>
    <t xml:space="preserve">+/- 4 LF x 4.3 ft</t>
  </si>
  <si>
    <t xml:space="preserve">RFI-30</t>
  </si>
  <si>
    <t xml:space="preserve">Control joints: none rotulated for gypsum board in the set (only stucco CJ A09.31). Excluded; confirm per ASTM C840 (no wall run &gt; 30 ft without openings except East 50.5 ft).</t>
  </si>
  <si>
    <t xml:space="preserve">+ control joints if required</t>
  </si>
  <si>
    <t xml:space="preserve">RFI-31</t>
  </si>
  <si>
    <t xml:space="preserve">Lobe ceiling area in front of teller line (ACT-4 9'-0") has no room number; A02.01 legend lists no room 123 (door 123 exists).</t>
  </si>
  <si>
    <t xml:space="preserve">RFI-32</t>
  </si>
  <si>
    <t xml:space="preserve">S2.20 prints '@ LOW ROOF' near grid E: confirm the main roof B.O.D. 15'-4 1/2" governs from grid E to grid B (roof step at grid B per 4/A02.02, 9/S5.10).</t>
  </si>
  <si>
    <t xml:space="preserve">if low roof from E: interior studs/board between E and B -2.3 ft each (~ -900 LF studs, -1,500 SF board)</t>
  </si>
  <si>
    <t xml:space="preserve">RFI-33</t>
  </si>
  <si>
    <t xml:space="preserve">Tag B2K (wall #55) has no row in the A12.01 schedule; drawn 7.68" = A5K. Carried 6" 14 GA @ 24" per 4/A12.01.</t>
  </si>
  <si>
    <t xml:space="preserve">gauge only</t>
  </si>
  <si>
    <t xml:space="preserve">RFI-34</t>
  </si>
  <si>
    <t xml:space="preserve">Canopy soffit substrate: 4,5/A09.33 '5/8" EXTERIOR SHEATHING' vs 3,7/A09.26 and 15,16/A09.27 '5/8" EXT. GRADE FRT PLYWOOD'. Carried FRT plywood (more expensive).</t>
  </si>
  <si>
    <t xml:space="preserve">price delta on 2,236 SF</t>
  </si>
  <si>
    <t xml:space="preserve">RFI-35</t>
  </si>
  <si>
    <t xml:space="preserve">Access panels for equipment/dampers/PRV (M00.01 note 16, P00.01): count and locations not shown; only the 2'x2' panel in Vestibule 100 (A04.01 KN4) is carried.</t>
  </si>
  <si>
    <t xml:space="preserve">EA x unit price</t>
  </si>
  <si>
    <t xml:space="preserve">RFI-36</t>
  </si>
  <si>
    <t xml:space="preserve">Canopy soffit SA-4 vents (A04.01 KN12, A09.27): length not printed; framing openings not carried.</t>
  </si>
  <si>
    <t xml:space="preserve">LF of vent x 2 track</t>
  </si>
  <si>
    <t xml:space="preserve">RFI-37</t>
  </si>
  <si>
    <t xml:space="preserve">Braced frames S5.30 (3,5,6/S5.30) in exterior walls and grid B: extra cut studs and blocking around diagonals not carried.</t>
  </si>
  <si>
    <t xml:space="preserve">small</t>
  </si>
  <si>
    <t xml:space="preserve">RFI-38</t>
  </si>
  <si>
    <t xml:space="preserve">Canopy beams (W12x19 / W16x26 CANOPY, S2.20) sit in the exterior stud plane (7/A09.26, 15/A09.27): studs carried continuous (more material, 53.3).</t>
  </si>
  <si>
    <t xml:space="preserve">-195 LF 6" studs, +330 LF 600T track if interrupted (adversarial v1 estimate)</t>
  </si>
  <si>
    <t xml:space="preserve">RFI-39</t>
  </si>
  <si>
    <t xml:space="preserve">Office front G stubs (#80-86) on grid 7 may sit under steel members (S2.20): carried to deck 15'-4 1/2".</t>
  </si>
  <si>
    <t xml:space="preserve">-1.0 ft x stub studs (~ -60 LF)</t>
  </si>
  <si>
    <t xml:space="preserve">#</t>
  </si>
  <si>
    <t xml:space="preserve">Punto</t>
  </si>
  <si>
    <t xml:space="preserve">Hoja + detalle</t>
  </si>
  <si>
    <t xml:space="preserve">Imagen</t>
  </si>
  <si>
    <t xml:space="preserve">Barrido por tag: 51 tags con caja -&gt; 52 walls interiores numerados (1-97). Confirmar lista e imagenes por tipo.</t>
  </si>
  <si>
    <t xml:space="preserve">A02.01</t>
  </si>
  <si>
    <t xml:space="preserve">A02.01_tipo_*.png</t>
  </si>
  <si>
    <t xml:space="preserve">Walls sin tag por espesor/nota A (rojo): #10-14, #80, #86, #97 (G1 stub 8.48"), confirmar tipo.</t>
  </si>
  <si>
    <t xml:space="preserve">A02.01 / Note A</t>
  </si>
  <si>
    <t xml:space="preserve">A02.01_tipo_A1/G/G1</t>
  </si>
  <si>
    <t xml:space="preserve">Exteriores: 9 walls por fachada (#100-#108), alturas = B.O.D. - W12x19 (60.3). Confirmar zona baja al sur de grid B (S2.20 'BUILDING FOOTPRINT MIRRORED NORTH-SOUTH').</t>
  </si>
  <si>
    <t xml:space="preserve">S2.20, 10/S5.10</t>
  </si>
  <si>
    <t xml:space="preserve">S220_BOD_*.png (agentes/ext)</t>
  </si>
  <si>
    <t xml:space="preserve">Paneles de cada RFI-01..RFI-31 (ver hoja RFIs) con su delta.</t>
  </si>
  <si>
    <t xml:space="preserve">varios</t>
  </si>
  <si>
    <t xml:space="preserve">-</t>
  </si>
  <si>
    <t xml:space="preserve">Cruce MEP: 17 ductos en 13 walls, todos &lt;= 14 3/8" -&gt; sin framed opening (59.8). Revisar hoja de contacto.</t>
  </si>
  <si>
    <t xml:space="preserve">M01.01</t>
  </si>
  <si>
    <t xml:space="preserve">M01.01_cruces_contactsheet.png</t>
  </si>
  <si>
    <t xml:space="preserve">Canopy soffit 1,433.9 SF medido a la linea interior de fascia en A02.01/A04.01 (agente RCP); fascia 240.9 LF.</t>
  </si>
  <si>
    <t xml:space="preserve">A04.01, 7/A09.26</t>
  </si>
  <si>
    <t xml:space="preserve">A0401_NW_vestibules_west_canopy.png</t>
  </si>
  <si>
    <t xml:space="preserve">Parapet: 9 segmentos, alturas por segmento (LP 17'-5", HP 19'-8", zona baja promedio 55.3).</t>
  </si>
  <si>
    <t xml:space="preserve">11/S5.10, A/A09.21</t>
  </si>
  <si>
    <t xml:space="preserve">S510_det11_det7.png</t>
  </si>
  <si>
    <t xml:space="preserve">Board walls 16,624.84 SF sale de board_caras.py (layers por face, G/G1 2 por face, A1/A5 a ceiling+6").</t>
  </si>
  <si>
    <t xml:space="preserve">board_out.json</t>
  </si>
  <si>
    <t xml:space="preserve">Studs: totales de studs_nodos.py por medida (nodos L/T/X/free/vendor_end en nodos_int.py).</t>
  </si>
  <si>
    <t xml:space="preserve">studs_out.json</t>
  </si>
  <si>
    <t xml:space="preserve">Puertas con wall stop (9) y blocking 2'-0" c/u (D/A00.30).</t>
  </si>
  <si>
    <t xml:space="preserve">A00.30</t>
  </si>
  <si>
    <t xml:space="preserve">E01_A0030_door_schedule.png</t>
  </si>
  <si>
    <t xml:space="preserve">Adversarial NO aplicado (contradice regla o es estimacion): critico propone DensDeck/coping plywood/FRP/cement board como otro trade -&gt; se mantienen por 53.5, 54.3, 58.6, 58.7; revisar decision.</t>
  </si>
  <si>
    <t xml:space="preserve">4/A09.26, 8/A08.01</t>
  </si>
  <si>
    <t xml:space="preserve">adv/critico_completitud</t>
  </si>
  <si>
    <t xml:space="preserve">Adversarial NO aplicado: v1 C4 studs interrumpidos por canopy beam (RFI-38); v1 S4 stubs bajo vigas (RFI-39); v3 shadow molding 2o leader 7/A09.33 y cara izquierda CSR a deck; v2 nodos X (4/90/97/50) y 7/22 a tope (+-1 stud).</t>
  </si>
  <si>
    <t xml:space="preserve">7/A09.26, 7/A09.33</t>
  </si>
  <si>
    <t xml:space="preserve">adv/v1, v2, v3</t>
  </si>
  <si>
    <t xml:space="preserve">Correcciones aplicadas tras adversarial (ver adv/*/REPORTE.md): wall 87 10.07 ft, walls 101/108 netos, splits 100/109 y 104/110 por peralte de viga, wall 8/30/50 alturas, transicion 104, cabezales A12.10, slot diffusers, parapet blocking 2 plies, FRP 63.76 LF, sealant doors x2 runs, corner bead office jambs, J-bead returns.</t>
  </si>
  <si>
    <t xml:space="preserve">adv/*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</si>
  <si>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</si>
  <si>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</si>
  <si>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</si>
  <si>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</si>
  <si>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</si>
  <si>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Interior partition framing</t>
  </si>
  <si>
    <t xml:space="preserve">CUANTIFICADO</t>
  </si>
  <si>
    <t xml:space="preserve">Material Summary studs + tracks; A12.01</t>
  </si>
  <si>
    <t xml:space="preserve">ALC-02</t>
  </si>
  <si>
    <t xml:space="preserve">Exterior wall framing (CFMF)</t>
  </si>
  <si>
    <t xml:space="preserve">walls 100-108; C/A09.21, 7/S5.20</t>
  </si>
  <si>
    <t xml:space="preserve">ALC-03</t>
  </si>
  <si>
    <t xml:space="preserve">Parapet framing</t>
  </si>
  <si>
    <t xml:space="preserve">11/S5.10 parapet infill</t>
  </si>
  <si>
    <t xml:space="preserve">ALC-04</t>
  </si>
  <si>
    <t xml:space="preserve">Top / deflection and bottom track</t>
  </si>
  <si>
    <t xml:space="preserve">bottom/top/deflection rows</t>
  </si>
  <si>
    <t xml:space="preserve">ALC-05</t>
  </si>
  <si>
    <t xml:space="preserve">Headers, sills and jambs</t>
  </si>
  <si>
    <t xml:space="preserve">header, sill track, jamb studs in studs_nodos</t>
  </si>
  <si>
    <t xml:space="preserve">ALC-06</t>
  </si>
  <si>
    <t xml:space="preserve">Bracing / bridging</t>
  </si>
  <si>
    <t xml:space="preserve">C.R. channel F/S5.20</t>
  </si>
  <si>
    <t xml:space="preserve">ALC-07</t>
  </si>
  <si>
    <t xml:space="preserve">Gypsum board on walls</t>
  </si>
  <si>
    <t xml:space="preserve">board_caras.py</t>
  </si>
  <si>
    <t xml:space="preserve">ALC-08</t>
  </si>
  <si>
    <t xml:space="preserve">Moisture resistant board</t>
  </si>
  <si>
    <t xml:space="preserve">C1 chase faces F/A08.01</t>
  </si>
  <si>
    <t xml:space="preserve">ALC-09</t>
  </si>
  <si>
    <t xml:space="preserve">Exterior gypsum / glass mat sheathing</t>
  </si>
  <si>
    <t xml:space="preserve">4,5/A09.26</t>
  </si>
  <si>
    <t xml:space="preserve">ALC-10</t>
  </si>
  <si>
    <t xml:space="preserve">FRT plywood</t>
  </si>
  <si>
    <t xml:space="preserve">nailbase, F wall, canopy, backboards</t>
  </si>
  <si>
    <t xml:space="preserve">ALC-11</t>
  </si>
  <si>
    <t xml:space="preserve">Gypsum board ceilings</t>
  </si>
  <si>
    <t xml:space="preserve">A04.01 GWB 940.7 SF</t>
  </si>
  <si>
    <t xml:space="preserve">ALC-12</t>
  </si>
  <si>
    <t xml:space="preserve">Ceiling suspension</t>
  </si>
  <si>
    <t xml:space="preserve">furring/carrying/hanger/ceiling track [DERIVADO] RFI-11</t>
  </si>
  <si>
    <t xml:space="preserve">ALC-13</t>
  </si>
  <si>
    <t xml:space="preserve">Soffits and bulkheads</t>
  </si>
  <si>
    <t xml:space="preserve">CSR soffit, office bulkheads, transitions</t>
  </si>
  <si>
    <t xml:space="preserve">ALC-14</t>
  </si>
  <si>
    <t xml:space="preserve">Canopy framing and sheathing</t>
  </si>
  <si>
    <t xml:space="preserve">canopy soffit joists, fascia, FRT plywood</t>
  </si>
  <si>
    <t xml:space="preserve">ALC-15</t>
  </si>
  <si>
    <t xml:space="preserve">Column furring / wraps</t>
  </si>
  <si>
    <t xml:space="preserve">canopy column wraps 5/A09.25, C1 boxes</t>
  </si>
  <si>
    <t xml:space="preserve">ALC-16</t>
  </si>
  <si>
    <t xml:space="preserve">Blocking</t>
  </si>
  <si>
    <t xml:space="preserve">FRT / plywood / 362CR22 rows</t>
  </si>
  <si>
    <t xml:space="preserve">ALC-17</t>
  </si>
  <si>
    <t xml:space="preserve">Framed openings</t>
  </si>
  <si>
    <t xml:space="preserve">canopy + GWB ceilings framed openings</t>
  </si>
  <si>
    <t xml:space="preserve">ALC-18</t>
  </si>
  <si>
    <t xml:space="preserve">Trim</t>
  </si>
  <si>
    <t xml:space="preserve">corner bead, casing, shadow molding, edge trim; control joints RFI-30</t>
  </si>
  <si>
    <t xml:space="preserve">ALC-19</t>
  </si>
  <si>
    <t xml:space="preserve">Acoustical sealant / insulation</t>
  </si>
  <si>
    <t xml:space="preserve">acoustical sealant + batt</t>
  </si>
  <si>
    <t xml:space="preserve">ALC-20</t>
  </si>
  <si>
    <t xml:space="preserve">FRP / cement board</t>
  </si>
  <si>
    <t xml:space="preserve">FRP WC-3, cement board cove base</t>
  </si>
  <si>
    <t xml:space="preserve">ALC-21</t>
  </si>
  <si>
    <t xml:space="preserve">Shaft walls</t>
  </si>
  <si>
    <t xml:space="preserve">NO APLICA</t>
  </si>
  <si>
    <t xml:space="preserve">A02.01: no shaft / area separation walls drawn; partition schedule A12.01 has none</t>
  </si>
  <si>
    <t xml:space="preserve">ALC-22</t>
  </si>
  <si>
    <t xml:space="preserve">Rated assemblies</t>
  </si>
  <si>
    <t xml:space="preserve">A02.01 keynote 6 fire rated plywood backboard (quantified); A12.01 FIRE RATING '--' all types; A05.01 / E00.01 mentions are not wall assemblies</t>
  </si>
  <si>
    <t xml:space="preserve">ALC-23</t>
  </si>
  <si>
    <t xml:space="preserve">Special panels (ballistic)</t>
  </si>
  <si>
    <t xml:space="preserve">3/8" UL752 ballistic 4/A12.01</t>
  </si>
  <si>
    <t xml:space="preserve">ALC-24</t>
  </si>
  <si>
    <t xml:space="preserve">Finish level</t>
  </si>
  <si>
    <t xml:space="preserve">Level 5 finish SF (A05.01, A00.40)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</si>
</sst>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16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6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24.427</v>
      </c>
      <c r="D6" s="0" t="n">
        <v>11.9</v>
      </c>
      <c r="E6" s="0" t="n">
        <v>1</v>
      </c>
      <c r="F6" s="0" t="s">
        <v>31</v>
      </c>
      <c r="G6" s="0" t="n">
        <v>16</v>
      </c>
      <c r="H6" s="0" t="n">
        <v>371.45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17.02</v>
      </c>
      <c r="D7" s="0" t="n">
        <v>15.375</v>
      </c>
      <c r="E7" s="0" t="n">
        <v>1</v>
      </c>
      <c r="F7" s="0" t="s">
        <v>31</v>
      </c>
      <c r="G7" s="0" t="n">
        <v>16</v>
      </c>
      <c r="H7" s="0" t="n">
        <v>223.05</v>
      </c>
      <c r="I7" s="0" t="s">
        <v>37</v>
      </c>
      <c r="J7" s="0" t="s">
        <v>38</v>
      </c>
      <c r="K7" s="0" t="s">
        <v>34</v>
      </c>
    </row>
    <row r="8" customFormat="false" ht="15" hidden="false" customHeight="false" outlineLevel="0" collapsed="false">
      <c r="A8" s="0" t="s">
        <v>39</v>
      </c>
      <c r="B8" s="0" t="s">
        <v>40</v>
      </c>
      <c r="C8" s="0" t="n">
        <v>15.62</v>
      </c>
      <c r="D8" s="0" t="n">
        <v>12.971</v>
      </c>
      <c r="E8" s="0" t="n">
        <v>1</v>
      </c>
      <c r="F8" s="0" t="s">
        <v>31</v>
      </c>
      <c r="G8" s="0" t="n">
        <v>16</v>
      </c>
      <c r="H8" s="0" t="n">
        <v>281.16</v>
      </c>
      <c r="I8" s="0" t="s">
        <v>41</v>
      </c>
      <c r="J8" s="0" t="s">
        <v>42</v>
      </c>
      <c r="K8" s="0" t="s">
        <v>34</v>
      </c>
    </row>
    <row r="9" customFormat="false" ht="15" hidden="false" customHeight="false" outlineLevel="0" collapsed="false">
      <c r="A9" s="0" t="s">
        <v>43</v>
      </c>
      <c r="B9" s="0" t="s">
        <v>44</v>
      </c>
      <c r="C9" s="0" t="n">
        <v>11.667</v>
      </c>
      <c r="D9" s="0" t="n">
        <v>12.775</v>
      </c>
      <c r="E9" s="0" t="n">
        <v>1</v>
      </c>
      <c r="F9" s="0" t="s">
        <v>31</v>
      </c>
      <c r="G9" s="0" t="n">
        <v>16</v>
      </c>
      <c r="H9" s="0" t="n">
        <v>168.06</v>
      </c>
      <c r="I9" s="0" t="s">
        <v>45</v>
      </c>
      <c r="J9" s="0" t="s">
        <v>46</v>
      </c>
      <c r="K9" s="0" t="s">
        <v>47</v>
      </c>
    </row>
    <row r="10" customFormat="false" ht="15" hidden="false" customHeight="false" outlineLevel="0" collapsed="false">
      <c r="A10" s="0" t="s">
        <v>48</v>
      </c>
      <c r="B10" s="0" t="s">
        <v>49</v>
      </c>
      <c r="C10" s="0" t="n">
        <v>5.587</v>
      </c>
      <c r="D10" s="0" t="n">
        <v>15.375</v>
      </c>
      <c r="E10" s="0" t="n">
        <v>1</v>
      </c>
      <c r="F10" s="0" t="s">
        <v>31</v>
      </c>
      <c r="G10" s="0" t="n">
        <v>16</v>
      </c>
      <c r="H10" s="0" t="n">
        <v>55.84</v>
      </c>
      <c r="I10" s="0" t="s">
        <v>50</v>
      </c>
      <c r="J10" s="0" t="s">
        <v>51</v>
      </c>
      <c r="K10" s="0" t="s">
        <v>34</v>
      </c>
    </row>
    <row r="11" customFormat="false" ht="15" hidden="false" customHeight="false" outlineLevel="0" collapsed="false">
      <c r="A11" s="0" t="s">
        <v>52</v>
      </c>
      <c r="B11" s="0" t="s">
        <v>53</v>
      </c>
      <c r="C11" s="0" t="n">
        <v>4.467</v>
      </c>
      <c r="D11" s="0" t="n">
        <v>12.927</v>
      </c>
      <c r="E11" s="0" t="n">
        <v>1</v>
      </c>
      <c r="F11" s="0" t="s">
        <v>31</v>
      </c>
      <c r="G11" s="0" t="n">
        <v>16</v>
      </c>
      <c r="H11" s="0" t="n">
        <v>28.2</v>
      </c>
      <c r="I11" s="0" t="s">
        <v>54</v>
      </c>
      <c r="J11" s="0" t="s">
        <v>55</v>
      </c>
      <c r="K11" s="0" t="s">
        <v>34</v>
      </c>
    </row>
    <row r="12" customFormat="false" ht="15" hidden="false" customHeight="false" outlineLevel="0" collapsed="false">
      <c r="A12" s="0" t="s">
        <v>56</v>
      </c>
      <c r="B12" s="0" t="s">
        <v>57</v>
      </c>
      <c r="C12" s="0" t="n">
        <v>4.073</v>
      </c>
      <c r="D12" s="0" t="n">
        <v>12.949</v>
      </c>
      <c r="E12" s="0" t="n">
        <v>1</v>
      </c>
      <c r="F12" s="0" t="s">
        <v>31</v>
      </c>
      <c r="G12" s="0" t="n">
        <v>16</v>
      </c>
      <c r="H12" s="0" t="n">
        <v>73.32</v>
      </c>
      <c r="I12" s="0" t="s">
        <v>58</v>
      </c>
      <c r="J12" s="0" t="s">
        <v>59</v>
      </c>
      <c r="K12" s="0" t="s">
        <v>34</v>
      </c>
    </row>
    <row r="13" customFormat="false" ht="15" hidden="false" customHeight="false" outlineLevel="0" collapsed="false">
      <c r="A13" s="0" t="s">
        <v>60</v>
      </c>
      <c r="B13" s="0" t="s">
        <v>61</v>
      </c>
      <c r="C13" s="0" t="n">
        <v>3.127</v>
      </c>
      <c r="D13" s="0" t="n">
        <v>15.375</v>
      </c>
      <c r="E13" s="0" t="n">
        <v>1</v>
      </c>
      <c r="F13" s="0" t="s">
        <v>31</v>
      </c>
      <c r="G13" s="0" t="n">
        <v>16</v>
      </c>
      <c r="H13" s="0" t="n">
        <v>76.22</v>
      </c>
      <c r="I13" s="0" t="s">
        <v>62</v>
      </c>
      <c r="J13" s="0" t="s">
        <v>63</v>
      </c>
      <c r="K13" s="0" t="s">
        <v>34</v>
      </c>
    </row>
    <row r="14" customFormat="false" ht="15" hidden="false" customHeight="false" outlineLevel="0" collapsed="false">
      <c r="A14" s="0" t="s">
        <v>64</v>
      </c>
      <c r="B14" s="0" t="s">
        <v>65</v>
      </c>
      <c r="C14" s="0" t="n">
        <v>2.427</v>
      </c>
      <c r="D14" s="0" t="n">
        <v>15.375</v>
      </c>
      <c r="E14" s="0" t="n">
        <v>1</v>
      </c>
      <c r="F14" s="0" t="s">
        <v>31</v>
      </c>
      <c r="G14" s="0" t="n">
        <v>16</v>
      </c>
      <c r="H14" s="0" t="n">
        <v>59.16</v>
      </c>
      <c r="I14" s="0" t="s">
        <v>66</v>
      </c>
      <c r="J14" s="0" t="s">
        <v>67</v>
      </c>
      <c r="K14" s="0" t="s">
        <v>34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n">
        <v>2.14</v>
      </c>
      <c r="D15" s="0" t="n">
        <v>12.963</v>
      </c>
      <c r="E15" s="0" t="n">
        <v>1</v>
      </c>
      <c r="F15" s="0" t="s">
        <v>31</v>
      </c>
      <c r="G15" s="0" t="n">
        <v>16</v>
      </c>
      <c r="H15" s="0" t="n">
        <v>39.59</v>
      </c>
      <c r="I15" s="0" t="s">
        <v>70</v>
      </c>
      <c r="J15" s="0" t="s">
        <v>71</v>
      </c>
      <c r="K15" s="0" t="s">
        <v>34</v>
      </c>
    </row>
    <row r="16" customFormat="false" ht="15" hidden="false" customHeight="false" outlineLevel="0" collapsed="false">
      <c r="A16" s="0" t="s">
        <v>72</v>
      </c>
      <c r="B16" s="0" t="s">
        <v>73</v>
      </c>
      <c r="C16" s="0" t="n">
        <v>1.3</v>
      </c>
      <c r="D16" s="0" t="n">
        <v>12.952</v>
      </c>
      <c r="E16" s="0" t="n">
        <v>1</v>
      </c>
      <c r="F16" s="0" t="s">
        <v>31</v>
      </c>
      <c r="G16" s="0" t="n">
        <v>16</v>
      </c>
      <c r="H16" s="0" t="n">
        <v>23.4</v>
      </c>
      <c r="I16" s="0" t="s">
        <v>74</v>
      </c>
      <c r="J16" s="0" t="s">
        <v>75</v>
      </c>
      <c r="K16" s="0" t="s">
        <v>34</v>
      </c>
    </row>
    <row r="17" customFormat="false" ht="15" hidden="false" customHeight="false" outlineLevel="0" collapsed="false">
      <c r="A17" s="0" t="s">
        <v>76</v>
      </c>
      <c r="B17" s="0" t="s">
        <v>77</v>
      </c>
      <c r="C17" s="0" t="n">
        <v>1.3</v>
      </c>
      <c r="D17" s="0" t="n">
        <v>12.865</v>
      </c>
      <c r="E17" s="0" t="n">
        <v>1</v>
      </c>
      <c r="F17" s="0" t="s">
        <v>31</v>
      </c>
      <c r="G17" s="0" t="n">
        <v>16</v>
      </c>
      <c r="H17" s="0" t="n">
        <v>23.4</v>
      </c>
      <c r="I17" s="0" t="s">
        <v>78</v>
      </c>
      <c r="J17" s="0" t="s">
        <v>79</v>
      </c>
      <c r="K17" s="0" t="s">
        <v>34</v>
      </c>
    </row>
    <row r="18" customFormat="false" ht="15" hidden="false" customHeight="false" outlineLevel="0" collapsed="false">
      <c r="A18" s="5" t="s">
        <v>80</v>
      </c>
    </row>
    <row r="19" customFormat="false" ht="15" hidden="false" customHeight="false" outlineLevel="0" collapsed="false">
      <c r="A19" s="0" t="s">
        <v>81</v>
      </c>
      <c r="B19" s="0" t="s">
        <v>82</v>
      </c>
      <c r="C19" s="0" t="n">
        <v>3.417</v>
      </c>
      <c r="D19" s="0" t="n">
        <v>15.375</v>
      </c>
      <c r="E19" s="0" t="n">
        <v>1</v>
      </c>
      <c r="F19" s="0" t="s">
        <v>83</v>
      </c>
      <c r="G19" s="0" t="n">
        <v>24</v>
      </c>
      <c r="H19" s="0" t="n">
        <v>105.08</v>
      </c>
      <c r="I19" s="0" t="s">
        <v>84</v>
      </c>
      <c r="J19" s="0" t="s">
        <v>85</v>
      </c>
      <c r="K19" s="0" t="s">
        <v>47</v>
      </c>
    </row>
    <row r="20" customFormat="false" ht="15" hidden="false" customHeight="false" outlineLevel="0" collapsed="false">
      <c r="A20" s="0" t="s">
        <v>86</v>
      </c>
      <c r="B20" s="0" t="s">
        <v>87</v>
      </c>
      <c r="C20" s="0" t="n">
        <v>3.413</v>
      </c>
      <c r="D20" s="0" t="n">
        <v>12.939</v>
      </c>
      <c r="E20" s="0" t="n">
        <v>1</v>
      </c>
      <c r="F20" s="0" t="s">
        <v>83</v>
      </c>
      <c r="G20" s="0" t="n">
        <v>24</v>
      </c>
      <c r="H20" s="0" t="n">
        <v>88.32</v>
      </c>
      <c r="I20" s="0" t="s">
        <v>88</v>
      </c>
      <c r="J20" s="0" t="s">
        <v>89</v>
      </c>
      <c r="K20" s="0" t="s">
        <v>34</v>
      </c>
    </row>
    <row r="21" customFormat="false" ht="15" hidden="false" customHeight="false" outlineLevel="0" collapsed="false">
      <c r="A21" s="0" t="s">
        <v>90</v>
      </c>
      <c r="B21" s="0" t="s">
        <v>91</v>
      </c>
      <c r="C21" s="0" t="n">
        <v>2.354</v>
      </c>
      <c r="D21" s="0" t="n">
        <v>12.927</v>
      </c>
      <c r="E21" s="0" t="n">
        <v>1</v>
      </c>
      <c r="F21" s="0" t="s">
        <v>83</v>
      </c>
      <c r="G21" s="0" t="n">
        <v>24</v>
      </c>
      <c r="H21" s="0" t="n">
        <v>60.86</v>
      </c>
      <c r="I21" s="0" t="s">
        <v>92</v>
      </c>
      <c r="J21" s="0" t="s">
        <v>93</v>
      </c>
      <c r="K21" s="0" t="s">
        <v>34</v>
      </c>
    </row>
    <row r="22" customFormat="false" ht="15" hidden="false" customHeight="false" outlineLevel="0" collapsed="false">
      <c r="A22" s="5" t="s">
        <v>94</v>
      </c>
    </row>
    <row r="23" customFormat="false" ht="15" hidden="false" customHeight="false" outlineLevel="0" collapsed="false">
      <c r="A23" s="0" t="s">
        <v>95</v>
      </c>
      <c r="B23" s="0" t="s">
        <v>96</v>
      </c>
      <c r="C23" s="0" t="n">
        <v>19</v>
      </c>
      <c r="D23" s="0" t="n">
        <v>14.225</v>
      </c>
      <c r="E23" s="0" t="n">
        <v>1</v>
      </c>
      <c r="F23" s="0" t="s">
        <v>97</v>
      </c>
      <c r="G23" s="0" t="n">
        <v>16</v>
      </c>
      <c r="H23" s="0" t="n">
        <v>370.37</v>
      </c>
      <c r="I23" s="0" t="s">
        <v>98</v>
      </c>
      <c r="J23" s="0" t="s">
        <v>99</v>
      </c>
      <c r="K23" s="0" t="s">
        <v>47</v>
      </c>
    </row>
    <row r="24" customFormat="false" ht="15" hidden="false" customHeight="false" outlineLevel="0" collapsed="false">
      <c r="A24" s="0" t="s">
        <v>100</v>
      </c>
      <c r="B24" s="0" t="s">
        <v>101</v>
      </c>
      <c r="C24" s="0" t="n">
        <v>14.127</v>
      </c>
      <c r="D24" s="0" t="n">
        <v>15.375</v>
      </c>
      <c r="E24" s="0" t="n">
        <v>1</v>
      </c>
      <c r="F24" s="0" t="s">
        <v>97</v>
      </c>
      <c r="G24" s="0" t="n">
        <v>16</v>
      </c>
      <c r="H24" s="0" t="n">
        <v>243.5</v>
      </c>
      <c r="I24" s="0" t="s">
        <v>102</v>
      </c>
      <c r="J24" s="0" t="s">
        <v>103</v>
      </c>
      <c r="K24" s="0" t="s">
        <v>34</v>
      </c>
    </row>
    <row r="25" customFormat="false" ht="15" hidden="false" customHeight="false" outlineLevel="0" collapsed="false">
      <c r="A25" s="0" t="s">
        <v>104</v>
      </c>
      <c r="B25" s="0" t="s">
        <v>105</v>
      </c>
      <c r="C25" s="0" t="n">
        <v>3.28</v>
      </c>
      <c r="D25" s="0" t="n">
        <v>12.918</v>
      </c>
      <c r="E25" s="0" t="n">
        <v>1</v>
      </c>
      <c r="F25" s="0" t="s">
        <v>97</v>
      </c>
      <c r="G25" s="0" t="n">
        <v>16</v>
      </c>
      <c r="H25" s="0" t="n">
        <v>60.68</v>
      </c>
      <c r="I25" s="0" t="s">
        <v>106</v>
      </c>
      <c r="J25" s="0" t="s">
        <v>107</v>
      </c>
      <c r="K25" s="0" t="s">
        <v>34</v>
      </c>
    </row>
    <row r="26" customFormat="false" ht="15" hidden="false" customHeight="false" outlineLevel="0" collapsed="false">
      <c r="A26" s="0" t="s">
        <v>108</v>
      </c>
      <c r="B26" s="0" t="s">
        <v>109</v>
      </c>
      <c r="C26" s="0" t="n">
        <v>1.373</v>
      </c>
      <c r="D26" s="0" t="n">
        <v>15.375</v>
      </c>
      <c r="E26" s="0" t="n">
        <v>1</v>
      </c>
      <c r="F26" s="0" t="s">
        <v>97</v>
      </c>
      <c r="G26" s="0" t="n">
        <v>16</v>
      </c>
      <c r="H26" s="0" t="n">
        <v>24.72</v>
      </c>
      <c r="I26" s="0" t="s">
        <v>110</v>
      </c>
      <c r="J26" s="0" t="s">
        <v>111</v>
      </c>
      <c r="K26" s="0" t="s">
        <v>34</v>
      </c>
    </row>
    <row r="27" customFormat="false" ht="15" hidden="false" customHeight="false" outlineLevel="0" collapsed="false">
      <c r="A27" s="5" t="s">
        <v>112</v>
      </c>
    </row>
    <row r="28" customFormat="false" ht="15" hidden="false" customHeight="false" outlineLevel="0" collapsed="false">
      <c r="A28" s="0" t="s">
        <v>113</v>
      </c>
      <c r="B28" s="0" t="s">
        <v>114</v>
      </c>
      <c r="C28" s="0" t="n">
        <v>13.74</v>
      </c>
      <c r="D28" s="0" t="n">
        <v>12.823</v>
      </c>
      <c r="E28" s="0" t="n">
        <v>1</v>
      </c>
      <c r="F28" s="0" t="s">
        <v>31</v>
      </c>
      <c r="G28" s="0" t="n">
        <v>16</v>
      </c>
      <c r="H28" s="0" t="n">
        <v>256.82</v>
      </c>
      <c r="I28" s="0" t="s">
        <v>115</v>
      </c>
      <c r="J28" s="0" t="s">
        <v>116</v>
      </c>
      <c r="K28" s="0" t="s">
        <v>34</v>
      </c>
    </row>
    <row r="29" customFormat="false" ht="15" hidden="false" customHeight="false" outlineLevel="0" collapsed="false">
      <c r="A29" s="0" t="s">
        <v>117</v>
      </c>
      <c r="B29" s="0" t="s">
        <v>118</v>
      </c>
      <c r="C29" s="0" t="n">
        <v>11.733</v>
      </c>
      <c r="D29" s="0" t="n">
        <v>12.751</v>
      </c>
      <c r="E29" s="0" t="n">
        <v>1</v>
      </c>
      <c r="F29" s="0" t="s">
        <v>31</v>
      </c>
      <c r="G29" s="0" t="n">
        <v>16</v>
      </c>
      <c r="H29" s="0" t="n">
        <v>251.44</v>
      </c>
      <c r="I29" s="0" t="s">
        <v>119</v>
      </c>
      <c r="J29" s="0" t="s">
        <v>120</v>
      </c>
      <c r="K29" s="0" t="s">
        <v>34</v>
      </c>
    </row>
    <row r="30" customFormat="false" ht="15" hidden="false" customHeight="false" outlineLevel="0" collapsed="false">
      <c r="A30" s="0" t="s">
        <v>121</v>
      </c>
      <c r="B30" s="0" t="s">
        <v>122</v>
      </c>
      <c r="C30" s="0" t="n">
        <v>11.733</v>
      </c>
      <c r="D30" s="0" t="n">
        <v>12.671</v>
      </c>
      <c r="E30" s="0" t="n">
        <v>1</v>
      </c>
      <c r="F30" s="0" t="s">
        <v>31</v>
      </c>
      <c r="G30" s="0" t="n">
        <v>16</v>
      </c>
      <c r="H30" s="0" t="n">
        <v>297.34</v>
      </c>
      <c r="I30" s="0" t="s">
        <v>123</v>
      </c>
      <c r="J30" s="0" t="s">
        <v>124</v>
      </c>
      <c r="K30" s="0" t="s">
        <v>34</v>
      </c>
    </row>
    <row r="31" customFormat="false" ht="15" hidden="false" customHeight="false" outlineLevel="0" collapsed="false">
      <c r="A31" s="0" t="s">
        <v>125</v>
      </c>
      <c r="B31" s="0" t="s">
        <v>126</v>
      </c>
      <c r="C31" s="0" t="n">
        <v>9.987</v>
      </c>
      <c r="D31" s="0" t="n">
        <v>12.831</v>
      </c>
      <c r="E31" s="0" t="n">
        <v>1</v>
      </c>
      <c r="F31" s="0" t="s">
        <v>31</v>
      </c>
      <c r="G31" s="0" t="n">
        <v>16</v>
      </c>
      <c r="H31" s="0" t="n">
        <v>256.28</v>
      </c>
      <c r="I31" s="0" t="s">
        <v>127</v>
      </c>
      <c r="J31" s="0" t="s">
        <v>128</v>
      </c>
      <c r="K31" s="0" t="s">
        <v>34</v>
      </c>
    </row>
    <row r="32" customFormat="false" ht="15" hidden="false" customHeight="false" outlineLevel="0" collapsed="false">
      <c r="A32" s="0" t="s">
        <v>129</v>
      </c>
      <c r="B32" s="0" t="s">
        <v>130</v>
      </c>
      <c r="C32" s="0" t="n">
        <v>9.583</v>
      </c>
      <c r="D32" s="0" t="n">
        <v>12.702</v>
      </c>
      <c r="E32" s="0" t="n">
        <v>1</v>
      </c>
      <c r="F32" s="0" t="s">
        <v>31</v>
      </c>
      <c r="G32" s="0" t="n">
        <v>16</v>
      </c>
      <c r="H32" s="0" t="n">
        <v>243.44</v>
      </c>
      <c r="I32" s="0" t="s">
        <v>131</v>
      </c>
      <c r="J32" s="0" t="s">
        <v>132</v>
      </c>
      <c r="K32" s="0" t="s">
        <v>47</v>
      </c>
    </row>
    <row r="33" customFormat="false" ht="15" hidden="false" customHeight="false" outlineLevel="0" collapsed="false">
      <c r="A33" s="0" t="s">
        <v>133</v>
      </c>
      <c r="B33" s="0" t="s">
        <v>134</v>
      </c>
      <c r="C33" s="0" t="n">
        <v>3.5</v>
      </c>
      <c r="D33" s="0" t="n">
        <v>12.743</v>
      </c>
      <c r="E33" s="0" t="n">
        <v>1</v>
      </c>
      <c r="F33" s="0" t="s">
        <v>31</v>
      </c>
      <c r="G33" s="0" t="n">
        <v>16</v>
      </c>
      <c r="H33" s="0" t="n">
        <v>89.2</v>
      </c>
      <c r="I33" s="0" t="s">
        <v>135</v>
      </c>
      <c r="J33" s="0" t="s">
        <v>136</v>
      </c>
      <c r="K33" s="0" t="s">
        <v>34</v>
      </c>
    </row>
    <row r="34" customFormat="false" ht="15" hidden="false" customHeight="false" outlineLevel="0" collapsed="false">
      <c r="A34" s="5" t="s">
        <v>137</v>
      </c>
    </row>
    <row r="35" customFormat="false" ht="15" hidden="false" customHeight="false" outlineLevel="0" collapsed="false">
      <c r="A35" s="0" t="s">
        <v>138</v>
      </c>
      <c r="B35" s="0" t="s">
        <v>139</v>
      </c>
      <c r="C35" s="0" t="n">
        <v>25.393</v>
      </c>
      <c r="D35" s="0" t="n">
        <v>13.052</v>
      </c>
      <c r="E35" s="0" t="n">
        <v>1</v>
      </c>
      <c r="F35" s="0" t="s">
        <v>97</v>
      </c>
      <c r="G35" s="0" t="n">
        <v>16</v>
      </c>
      <c r="H35" s="0" t="n">
        <v>414.74</v>
      </c>
      <c r="I35" s="0" t="s">
        <v>140</v>
      </c>
      <c r="J35" s="0" t="s">
        <v>141</v>
      </c>
      <c r="K35" s="0" t="s">
        <v>34</v>
      </c>
    </row>
    <row r="36" customFormat="false" ht="15" hidden="false" customHeight="false" outlineLevel="0" collapsed="false">
      <c r="A36" s="0" t="s">
        <v>142</v>
      </c>
      <c r="B36" s="0" t="s">
        <v>143</v>
      </c>
      <c r="C36" s="0" t="n">
        <v>15.073</v>
      </c>
      <c r="D36" s="0" t="n">
        <v>12.851</v>
      </c>
      <c r="E36" s="0" t="n">
        <v>1</v>
      </c>
      <c r="F36" s="0" t="s">
        <v>97</v>
      </c>
      <c r="G36" s="0" t="n">
        <v>16</v>
      </c>
      <c r="H36" s="0" t="n">
        <v>339.64</v>
      </c>
      <c r="I36" s="0" t="s">
        <v>144</v>
      </c>
      <c r="J36" s="0" t="s">
        <v>145</v>
      </c>
      <c r="K36" s="0" t="s">
        <v>34</v>
      </c>
    </row>
    <row r="37" customFormat="false" ht="15" hidden="false" customHeight="false" outlineLevel="0" collapsed="false">
      <c r="A37" s="0" t="s">
        <v>146</v>
      </c>
      <c r="B37" s="0" t="s">
        <v>147</v>
      </c>
      <c r="C37" s="0" t="n">
        <v>6.673</v>
      </c>
      <c r="D37" s="0" t="n">
        <v>15.375</v>
      </c>
      <c r="E37" s="0" t="n">
        <v>1</v>
      </c>
      <c r="F37" s="0" t="s">
        <v>97</v>
      </c>
      <c r="G37" s="0" t="n">
        <v>16</v>
      </c>
      <c r="H37" s="0" t="n">
        <v>142.58</v>
      </c>
      <c r="I37" s="0" t="s">
        <v>148</v>
      </c>
      <c r="J37" s="0" t="s">
        <v>149</v>
      </c>
      <c r="K37" s="0" t="s">
        <v>34</v>
      </c>
    </row>
    <row r="38" customFormat="false" ht="15" hidden="false" customHeight="false" outlineLevel="0" collapsed="false">
      <c r="A38" s="5" t="s">
        <v>150</v>
      </c>
    </row>
    <row r="39" customFormat="false" ht="15" hidden="false" customHeight="false" outlineLevel="0" collapsed="false">
      <c r="A39" s="0" t="s">
        <v>151</v>
      </c>
      <c r="B39" s="0" t="s">
        <v>152</v>
      </c>
      <c r="C39" s="0" t="n">
        <v>1.26</v>
      </c>
      <c r="D39" s="0" t="n">
        <v>15.375</v>
      </c>
      <c r="E39" s="0" t="n">
        <v>1</v>
      </c>
      <c r="F39" s="0" t="s">
        <v>153</v>
      </c>
      <c r="G39" s="0" t="n">
        <v>24</v>
      </c>
      <c r="H39" s="0" t="n">
        <v>38.74</v>
      </c>
      <c r="I39" s="0" t="s">
        <v>154</v>
      </c>
      <c r="J39" s="0" t="s">
        <v>155</v>
      </c>
      <c r="K39" s="0" t="s">
        <v>34</v>
      </c>
    </row>
    <row r="40" customFormat="false" ht="15" hidden="false" customHeight="false" outlineLevel="0" collapsed="false">
      <c r="A40" s="5" t="s">
        <v>156</v>
      </c>
    </row>
    <row r="41" customFormat="false" ht="15" hidden="false" customHeight="false" outlineLevel="0" collapsed="false">
      <c r="A41" s="0" t="s">
        <v>157</v>
      </c>
      <c r="B41" s="0" t="s">
        <v>158</v>
      </c>
      <c r="C41" s="0" t="n">
        <v>7.5</v>
      </c>
      <c r="D41" s="0" t="n">
        <v>7.333</v>
      </c>
      <c r="E41" s="0" t="n">
        <v>2</v>
      </c>
      <c r="F41" s="0" t="s">
        <v>159</v>
      </c>
      <c r="G41" s="0" t="n">
        <v>16</v>
      </c>
      <c r="H41" s="0" t="n">
        <v>220</v>
      </c>
      <c r="I41" s="0" t="s">
        <v>160</v>
      </c>
      <c r="J41" s="0" t="s">
        <v>161</v>
      </c>
      <c r="K41" s="0" t="s">
        <v>47</v>
      </c>
    </row>
    <row r="42" customFormat="false" ht="15" hidden="false" customHeight="false" outlineLevel="0" collapsed="false">
      <c r="A42" s="0" t="s">
        <v>162</v>
      </c>
      <c r="B42" s="0" t="s">
        <v>163</v>
      </c>
      <c r="C42" s="0" t="n">
        <v>7.5</v>
      </c>
      <c r="D42" s="0" t="n">
        <v>7.333</v>
      </c>
      <c r="E42" s="0" t="n">
        <v>2</v>
      </c>
      <c r="F42" s="0" t="s">
        <v>159</v>
      </c>
      <c r="G42" s="0" t="n">
        <v>16</v>
      </c>
      <c r="H42" s="0" t="n">
        <v>220</v>
      </c>
      <c r="I42" s="0" t="s">
        <v>164</v>
      </c>
      <c r="J42" s="0" t="s">
        <v>165</v>
      </c>
      <c r="K42" s="0" t="s">
        <v>47</v>
      </c>
    </row>
    <row r="43" customFormat="false" ht="15" hidden="false" customHeight="false" outlineLevel="0" collapsed="false">
      <c r="A43" s="0" t="s">
        <v>166</v>
      </c>
      <c r="B43" s="0" t="s">
        <v>167</v>
      </c>
      <c r="C43" s="0" t="n">
        <v>7.5</v>
      </c>
      <c r="D43" s="0" t="n">
        <v>7.333</v>
      </c>
      <c r="E43" s="0" t="n">
        <v>2</v>
      </c>
      <c r="F43" s="0" t="s">
        <v>159</v>
      </c>
      <c r="G43" s="0" t="n">
        <v>16</v>
      </c>
      <c r="H43" s="0" t="n">
        <v>220</v>
      </c>
      <c r="I43" s="0" t="s">
        <v>168</v>
      </c>
      <c r="J43" s="0" t="s">
        <v>169</v>
      </c>
      <c r="K43" s="0" t="s">
        <v>47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7.5</v>
      </c>
      <c r="D44" s="0" t="n">
        <v>7.333</v>
      </c>
      <c r="E44" s="0" t="n">
        <v>2</v>
      </c>
      <c r="F44" s="0" t="s">
        <v>159</v>
      </c>
      <c r="G44" s="0" t="n">
        <v>16</v>
      </c>
      <c r="H44" s="0" t="n">
        <v>220</v>
      </c>
      <c r="I44" s="0" t="s">
        <v>172</v>
      </c>
      <c r="J44" s="0" t="s">
        <v>173</v>
      </c>
      <c r="K44" s="0" t="s">
        <v>47</v>
      </c>
    </row>
    <row r="45" customFormat="false" ht="15" hidden="false" customHeight="false" outlineLevel="0" collapsed="false">
      <c r="A45" s="0" t="s">
        <v>174</v>
      </c>
      <c r="B45" s="0" t="s">
        <v>175</v>
      </c>
      <c r="C45" s="0" t="n">
        <v>7.5</v>
      </c>
      <c r="D45" s="0" t="n">
        <v>7.333</v>
      </c>
      <c r="E45" s="0" t="n">
        <v>2</v>
      </c>
      <c r="F45" s="0" t="s">
        <v>159</v>
      </c>
      <c r="G45" s="0" t="n">
        <v>16</v>
      </c>
      <c r="H45" s="0" t="n">
        <v>220</v>
      </c>
      <c r="I45" s="0" t="s">
        <v>176</v>
      </c>
      <c r="J45" s="0" t="s">
        <v>177</v>
      </c>
      <c r="K45" s="0" t="s">
        <v>47</v>
      </c>
    </row>
    <row r="46" customFormat="false" ht="15" hidden="false" customHeight="false" outlineLevel="0" collapsed="false">
      <c r="A46" s="0" t="s">
        <v>178</v>
      </c>
      <c r="B46" s="0" t="s">
        <v>179</v>
      </c>
      <c r="C46" s="0" t="n">
        <v>7.5</v>
      </c>
      <c r="D46" s="0" t="n">
        <v>7.333</v>
      </c>
      <c r="E46" s="0" t="n">
        <v>2</v>
      </c>
      <c r="F46" s="0" t="s">
        <v>159</v>
      </c>
      <c r="G46" s="0" t="n">
        <v>16</v>
      </c>
      <c r="H46" s="0" t="n">
        <v>220</v>
      </c>
      <c r="I46" s="0" t="s">
        <v>180</v>
      </c>
      <c r="J46" s="0" t="s">
        <v>181</v>
      </c>
      <c r="K46" s="0" t="s">
        <v>47</v>
      </c>
    </row>
    <row r="47" customFormat="false" ht="15" hidden="false" customHeight="false" outlineLevel="0" collapsed="false">
      <c r="A47" s="5" t="s">
        <v>182</v>
      </c>
    </row>
    <row r="48" customFormat="false" ht="15" hidden="false" customHeight="false" outlineLevel="0" collapsed="false">
      <c r="A48" s="0" t="s">
        <v>183</v>
      </c>
      <c r="B48" s="0" t="s">
        <v>184</v>
      </c>
      <c r="C48" s="0" t="n">
        <v>11.333</v>
      </c>
      <c r="D48" s="0" t="n">
        <v>15.375</v>
      </c>
      <c r="E48" s="0" t="n">
        <v>1</v>
      </c>
      <c r="F48" s="0" t="s">
        <v>31</v>
      </c>
      <c r="G48" s="0" t="n">
        <v>16</v>
      </c>
      <c r="H48" s="0" t="n">
        <v>174.24</v>
      </c>
      <c r="I48" s="0" t="s">
        <v>185</v>
      </c>
      <c r="J48" s="0" t="s">
        <v>186</v>
      </c>
      <c r="K48" s="0" t="s">
        <v>47</v>
      </c>
    </row>
    <row r="49" customFormat="false" ht="15" hidden="false" customHeight="false" outlineLevel="0" collapsed="false">
      <c r="A49" s="0" t="s">
        <v>187</v>
      </c>
      <c r="B49" s="0" t="s">
        <v>188</v>
      </c>
      <c r="C49" s="0" t="n">
        <v>10.027</v>
      </c>
      <c r="D49" s="0" t="n">
        <v>12.919</v>
      </c>
      <c r="E49" s="0" t="n">
        <v>1</v>
      </c>
      <c r="F49" s="0" t="s">
        <v>31</v>
      </c>
      <c r="G49" s="0" t="n">
        <v>16</v>
      </c>
      <c r="H49" s="0" t="n">
        <v>129.54</v>
      </c>
      <c r="I49" s="0" t="s">
        <v>189</v>
      </c>
      <c r="J49" s="0" t="s">
        <v>190</v>
      </c>
      <c r="K49" s="0" t="s">
        <v>34</v>
      </c>
    </row>
    <row r="50" customFormat="false" ht="15" hidden="false" customHeight="false" outlineLevel="0" collapsed="false">
      <c r="A50" s="0" t="s">
        <v>191</v>
      </c>
      <c r="B50" s="0" t="s">
        <v>192</v>
      </c>
      <c r="C50" s="0" t="n">
        <v>10.027</v>
      </c>
      <c r="D50" s="0" t="n">
        <v>12.907</v>
      </c>
      <c r="E50" s="0" t="n">
        <v>1</v>
      </c>
      <c r="F50" s="0" t="s">
        <v>31</v>
      </c>
      <c r="G50" s="0" t="n">
        <v>16</v>
      </c>
      <c r="H50" s="0" t="n">
        <v>129.42</v>
      </c>
      <c r="I50" s="0" t="s">
        <v>193</v>
      </c>
      <c r="J50" s="0" t="s">
        <v>194</v>
      </c>
      <c r="K50" s="0" t="s">
        <v>34</v>
      </c>
    </row>
    <row r="51" customFormat="false" ht="15" hidden="false" customHeight="false" outlineLevel="0" collapsed="false">
      <c r="A51" s="0" t="s">
        <v>195</v>
      </c>
      <c r="B51" s="0" t="s">
        <v>196</v>
      </c>
      <c r="C51" s="0" t="n">
        <v>9.08</v>
      </c>
      <c r="D51" s="0" t="n">
        <v>15.375</v>
      </c>
      <c r="E51" s="0" t="n">
        <v>1</v>
      </c>
      <c r="F51" s="0" t="s">
        <v>31</v>
      </c>
      <c r="G51" s="0" t="n">
        <v>16</v>
      </c>
      <c r="H51" s="0" t="n">
        <v>139.6</v>
      </c>
      <c r="I51" s="0" t="s">
        <v>197</v>
      </c>
      <c r="J51" s="0" t="s">
        <v>198</v>
      </c>
      <c r="K51" s="0" t="s">
        <v>34</v>
      </c>
    </row>
    <row r="52" customFormat="false" ht="15" hidden="false" customHeight="false" outlineLevel="0" collapsed="false">
      <c r="A52" s="0" t="s">
        <v>199</v>
      </c>
      <c r="B52" s="0" t="s">
        <v>200</v>
      </c>
      <c r="C52" s="0" t="n">
        <v>7.333</v>
      </c>
      <c r="D52" s="0" t="n">
        <v>15.375</v>
      </c>
      <c r="E52" s="0" t="n">
        <v>1</v>
      </c>
      <c r="F52" s="0" t="s">
        <v>31</v>
      </c>
      <c r="G52" s="0" t="n">
        <v>16</v>
      </c>
      <c r="H52" s="0" t="n">
        <v>112.74</v>
      </c>
      <c r="I52" s="0" t="s">
        <v>201</v>
      </c>
      <c r="J52" s="0" t="s">
        <v>202</v>
      </c>
      <c r="K52" s="0" t="s">
        <v>34</v>
      </c>
    </row>
    <row r="53" customFormat="false" ht="15" hidden="false" customHeight="false" outlineLevel="0" collapsed="false">
      <c r="A53" s="0" t="s">
        <v>203</v>
      </c>
      <c r="B53" s="0" t="s">
        <v>204</v>
      </c>
      <c r="C53" s="0" t="n">
        <v>5.067</v>
      </c>
      <c r="D53" s="0" t="n">
        <v>15.375</v>
      </c>
      <c r="E53" s="0" t="n">
        <v>1</v>
      </c>
      <c r="F53" s="0" t="s">
        <v>31</v>
      </c>
      <c r="G53" s="0" t="n">
        <v>16</v>
      </c>
      <c r="H53" s="0" t="n">
        <v>77.91</v>
      </c>
      <c r="I53" s="0" t="s">
        <v>205</v>
      </c>
      <c r="J53" s="0" t="s">
        <v>206</v>
      </c>
      <c r="K53" s="0" t="s">
        <v>34</v>
      </c>
    </row>
    <row r="54" customFormat="false" ht="15" hidden="false" customHeight="false" outlineLevel="0" collapsed="false">
      <c r="A54" s="0" t="s">
        <v>207</v>
      </c>
      <c r="B54" s="0" t="s">
        <v>208</v>
      </c>
      <c r="C54" s="0" t="n">
        <v>4.14</v>
      </c>
      <c r="D54" s="0" t="n">
        <v>12.93</v>
      </c>
      <c r="E54" s="0" t="n">
        <v>1</v>
      </c>
      <c r="F54" s="0" t="s">
        <v>31</v>
      </c>
      <c r="G54" s="0" t="n">
        <v>16</v>
      </c>
      <c r="H54" s="0" t="n">
        <v>68.7</v>
      </c>
      <c r="I54" s="0" t="s">
        <v>209</v>
      </c>
      <c r="J54" s="0" t="s">
        <v>210</v>
      </c>
      <c r="K54" s="0" t="s">
        <v>34</v>
      </c>
    </row>
    <row r="55" customFormat="false" ht="15" hidden="false" customHeight="false" outlineLevel="0" collapsed="false">
      <c r="A55" s="0" t="s">
        <v>211</v>
      </c>
      <c r="B55" s="0" t="s">
        <v>212</v>
      </c>
      <c r="C55" s="0" t="n">
        <v>4</v>
      </c>
      <c r="D55" s="0" t="n">
        <v>15.375</v>
      </c>
      <c r="E55" s="0" t="n">
        <v>1</v>
      </c>
      <c r="F55" s="0" t="s">
        <v>31</v>
      </c>
      <c r="G55" s="0" t="n">
        <v>16</v>
      </c>
      <c r="H55" s="0" t="n">
        <v>61.5</v>
      </c>
      <c r="I55" s="0" t="s">
        <v>213</v>
      </c>
      <c r="J55" s="0" t="s">
        <v>214</v>
      </c>
      <c r="K55" s="0" t="s">
        <v>34</v>
      </c>
    </row>
    <row r="56" customFormat="false" ht="15" hidden="false" customHeight="false" outlineLevel="0" collapsed="false">
      <c r="A56" s="5" t="s">
        <v>215</v>
      </c>
    </row>
    <row r="57" customFormat="false" ht="15" hidden="false" customHeight="false" outlineLevel="0" collapsed="false">
      <c r="A57" s="0" t="s">
        <v>216</v>
      </c>
      <c r="B57" s="0" t="s">
        <v>217</v>
      </c>
      <c r="C57" s="0" t="n">
        <v>50.509</v>
      </c>
      <c r="D57" s="0" t="n">
        <v>14.358</v>
      </c>
      <c r="E57" s="0" t="n">
        <v>1</v>
      </c>
      <c r="F57" s="0" t="s">
        <v>218</v>
      </c>
      <c r="G57" s="0" t="n">
        <v>16</v>
      </c>
      <c r="H57" s="0" t="n">
        <v>712.58</v>
      </c>
      <c r="I57" s="0" t="s">
        <v>219</v>
      </c>
      <c r="J57" s="0" t="s">
        <v>220</v>
      </c>
      <c r="K57" s="0" t="s">
        <v>34</v>
      </c>
    </row>
    <row r="58" customFormat="false" ht="15" hidden="false" customHeight="false" outlineLevel="0" collapsed="false">
      <c r="A58" s="0" t="s">
        <v>221</v>
      </c>
      <c r="B58" s="0" t="s">
        <v>222</v>
      </c>
      <c r="C58" s="0" t="n">
        <v>34.06</v>
      </c>
      <c r="D58" s="0" t="n">
        <v>11.064</v>
      </c>
      <c r="E58" s="0" t="n">
        <v>1</v>
      </c>
      <c r="F58" s="0" t="s">
        <v>218</v>
      </c>
      <c r="G58" s="0" t="n">
        <v>16</v>
      </c>
      <c r="H58" s="0" t="n">
        <v>399.86</v>
      </c>
      <c r="I58" s="0" t="s">
        <v>223</v>
      </c>
      <c r="J58" s="0" t="s">
        <v>224</v>
      </c>
      <c r="K58" s="0" t="s">
        <v>34</v>
      </c>
    </row>
    <row r="59" customFormat="false" ht="15" hidden="false" customHeight="false" outlineLevel="0" collapsed="false">
      <c r="A59" s="0" t="s">
        <v>225</v>
      </c>
      <c r="B59" s="0" t="s">
        <v>226</v>
      </c>
      <c r="C59" s="0" t="n">
        <v>28.453</v>
      </c>
      <c r="D59" s="0" t="n">
        <v>14.358</v>
      </c>
      <c r="E59" s="0" t="n">
        <v>1</v>
      </c>
      <c r="F59" s="0" t="s">
        <v>218</v>
      </c>
      <c r="G59" s="0" t="n">
        <v>16</v>
      </c>
      <c r="H59" s="0" t="n">
        <v>376.55</v>
      </c>
      <c r="I59" s="0" t="s">
        <v>227</v>
      </c>
      <c r="J59" s="0" t="s">
        <v>228</v>
      </c>
      <c r="K59" s="0" t="s">
        <v>34</v>
      </c>
    </row>
    <row r="60" customFormat="false" ht="15" hidden="false" customHeight="false" outlineLevel="0" collapsed="false">
      <c r="A60" s="0" t="s">
        <v>229</v>
      </c>
      <c r="B60" s="0" t="s">
        <v>230</v>
      </c>
      <c r="C60" s="0" t="n">
        <v>26.886</v>
      </c>
      <c r="D60" s="0" t="n">
        <v>13.9</v>
      </c>
      <c r="E60" s="0" t="n">
        <v>1</v>
      </c>
      <c r="F60" s="0" t="s">
        <v>218</v>
      </c>
      <c r="G60" s="0" t="n">
        <v>16</v>
      </c>
      <c r="H60" s="0" t="n">
        <v>190.25</v>
      </c>
      <c r="I60" s="0" t="s">
        <v>231</v>
      </c>
      <c r="J60" s="0" t="s">
        <v>232</v>
      </c>
      <c r="K60" s="0" t="s">
        <v>34</v>
      </c>
    </row>
    <row r="61" customFormat="false" ht="15" hidden="false" customHeight="false" outlineLevel="0" collapsed="false">
      <c r="A61" s="0" t="s">
        <v>233</v>
      </c>
      <c r="B61" s="0" t="s">
        <v>234</v>
      </c>
      <c r="C61" s="0" t="n">
        <v>24.824</v>
      </c>
      <c r="D61" s="0" t="n">
        <v>11.91</v>
      </c>
      <c r="E61" s="0" t="n">
        <v>1</v>
      </c>
      <c r="F61" s="0" t="s">
        <v>218</v>
      </c>
      <c r="G61" s="0" t="n">
        <v>16</v>
      </c>
      <c r="H61" s="0" t="n">
        <v>324</v>
      </c>
      <c r="I61" s="0" t="s">
        <v>235</v>
      </c>
      <c r="J61" s="0" t="s">
        <v>236</v>
      </c>
      <c r="K61" s="0" t="s">
        <v>34</v>
      </c>
    </row>
    <row r="62" customFormat="false" ht="15" hidden="false" customHeight="false" outlineLevel="0" collapsed="false">
      <c r="A62" s="0" t="s">
        <v>237</v>
      </c>
      <c r="B62" s="0" t="s">
        <v>238</v>
      </c>
      <c r="C62" s="0" t="n">
        <v>24.824</v>
      </c>
      <c r="D62" s="0" t="n">
        <v>11.91</v>
      </c>
      <c r="E62" s="0" t="n">
        <v>1</v>
      </c>
      <c r="F62" s="0" t="s">
        <v>218</v>
      </c>
      <c r="G62" s="0" t="n">
        <v>16</v>
      </c>
      <c r="H62" s="0" t="n">
        <v>324</v>
      </c>
      <c r="I62" s="0" t="s">
        <v>239</v>
      </c>
      <c r="J62" s="0" t="s">
        <v>240</v>
      </c>
      <c r="K62" s="0" t="s">
        <v>34</v>
      </c>
    </row>
    <row r="63" customFormat="false" ht="15" hidden="false" customHeight="false" outlineLevel="0" collapsed="false">
      <c r="A63" s="0" t="s">
        <v>241</v>
      </c>
      <c r="B63" s="0" t="s">
        <v>242</v>
      </c>
      <c r="C63" s="0" t="n">
        <v>22.549</v>
      </c>
      <c r="D63" s="0" t="n">
        <v>14.358</v>
      </c>
      <c r="E63" s="0" t="n">
        <v>1</v>
      </c>
      <c r="F63" s="0" t="s">
        <v>218</v>
      </c>
      <c r="G63" s="0" t="n">
        <v>16</v>
      </c>
      <c r="H63" s="0" t="n">
        <v>314.69</v>
      </c>
      <c r="I63" s="0" t="s">
        <v>243</v>
      </c>
      <c r="J63" s="0" t="s">
        <v>244</v>
      </c>
      <c r="K63" s="0" t="s">
        <v>34</v>
      </c>
    </row>
    <row r="64" customFormat="false" ht="15" hidden="false" customHeight="false" outlineLevel="0" collapsed="false">
      <c r="A64" s="0" t="s">
        <v>245</v>
      </c>
      <c r="B64" s="0" t="s">
        <v>246</v>
      </c>
      <c r="C64" s="0" t="n">
        <v>17.669</v>
      </c>
      <c r="D64" s="0" t="n">
        <v>11.397</v>
      </c>
      <c r="E64" s="0" t="n">
        <v>1</v>
      </c>
      <c r="F64" s="0" t="s">
        <v>218</v>
      </c>
      <c r="G64" s="0" t="n">
        <v>16</v>
      </c>
      <c r="H64" s="0" t="n">
        <v>221.55</v>
      </c>
      <c r="I64" s="0" t="s">
        <v>247</v>
      </c>
      <c r="J64" s="0" t="s">
        <v>248</v>
      </c>
      <c r="K64" s="0" t="s">
        <v>34</v>
      </c>
    </row>
    <row r="65" customFormat="false" ht="15" hidden="false" customHeight="false" outlineLevel="0" collapsed="false">
      <c r="A65" s="0" t="s">
        <v>249</v>
      </c>
      <c r="B65" s="0" t="s">
        <v>250</v>
      </c>
      <c r="C65" s="0" t="n">
        <v>16.33</v>
      </c>
      <c r="D65" s="0" t="n">
        <v>14.358</v>
      </c>
      <c r="E65" s="0" t="n">
        <v>1</v>
      </c>
      <c r="F65" s="0" t="s">
        <v>218</v>
      </c>
      <c r="G65" s="0" t="n">
        <v>16</v>
      </c>
      <c r="H65" s="0" t="n">
        <v>144.29</v>
      </c>
      <c r="I65" s="0" t="s">
        <v>251</v>
      </c>
      <c r="J65" s="0" t="s">
        <v>252</v>
      </c>
      <c r="K65" s="0" t="s">
        <v>34</v>
      </c>
    </row>
    <row r="66" customFormat="false" ht="15" hidden="false" customHeight="false" outlineLevel="0" collapsed="false">
      <c r="A66" s="0" t="s">
        <v>253</v>
      </c>
      <c r="B66" s="0" t="s">
        <v>254</v>
      </c>
      <c r="C66" s="0" t="n">
        <v>12</v>
      </c>
      <c r="D66" s="0" t="n">
        <v>14.358</v>
      </c>
      <c r="E66" s="0" t="n">
        <v>1</v>
      </c>
      <c r="F66" s="0" t="s">
        <v>218</v>
      </c>
      <c r="G66" s="0" t="n">
        <v>16</v>
      </c>
      <c r="H66" s="0" t="n">
        <v>184.5</v>
      </c>
      <c r="I66" s="0" t="s">
        <v>255</v>
      </c>
      <c r="J66" s="0" t="s">
        <v>256</v>
      </c>
      <c r="K66" s="0" t="s">
        <v>34</v>
      </c>
    </row>
    <row r="67" customFormat="false" ht="15" hidden="false" customHeight="false" outlineLevel="0" collapsed="false">
      <c r="A67" s="0" t="s">
        <v>257</v>
      </c>
      <c r="B67" s="0" t="s">
        <v>258</v>
      </c>
      <c r="C67" s="0" t="n">
        <v>3.875</v>
      </c>
      <c r="D67" s="0" t="n">
        <v>14.358</v>
      </c>
      <c r="E67" s="0" t="n">
        <v>1</v>
      </c>
      <c r="F67" s="0" t="s">
        <v>218</v>
      </c>
      <c r="G67" s="0" t="n">
        <v>16</v>
      </c>
      <c r="H67" s="0" t="n">
        <v>59.58</v>
      </c>
      <c r="I67" s="0" t="s">
        <v>259</v>
      </c>
      <c r="J67" s="0" t="s">
        <v>260</v>
      </c>
      <c r="K67" s="0" t="s">
        <v>34</v>
      </c>
    </row>
    <row r="68" customFormat="false" ht="15" hidden="false" customHeight="false" outlineLevel="0" collapsed="false">
      <c r="A68" s="5" t="s">
        <v>261</v>
      </c>
    </row>
    <row r="69" customFormat="false" ht="15" hidden="false" customHeight="false" outlineLevel="0" collapsed="false">
      <c r="A69" s="0" t="s">
        <v>262</v>
      </c>
      <c r="B69" s="0" t="s">
        <v>263</v>
      </c>
      <c r="C69" s="0" t="n">
        <v>17.457</v>
      </c>
      <c r="D69" s="0" t="n">
        <v>15.375</v>
      </c>
      <c r="E69" s="0" t="n">
        <v>1</v>
      </c>
      <c r="F69" s="0" t="s">
        <v>31</v>
      </c>
      <c r="G69" s="0" t="n">
        <v>16</v>
      </c>
      <c r="H69" s="0" t="n">
        <v>319.59</v>
      </c>
      <c r="I69" s="0" t="s">
        <v>264</v>
      </c>
      <c r="J69" s="0" t="s">
        <v>265</v>
      </c>
      <c r="K69" s="0" t="s">
        <v>34</v>
      </c>
    </row>
    <row r="70" customFormat="false" ht="15" hidden="false" customHeight="false" outlineLevel="0" collapsed="false">
      <c r="A70" s="5" t="s">
        <v>266</v>
      </c>
    </row>
    <row r="71" customFormat="false" ht="15" hidden="false" customHeight="false" outlineLevel="0" collapsed="false">
      <c r="A71" s="0" t="s">
        <v>267</v>
      </c>
      <c r="B71" s="0" t="s">
        <v>268</v>
      </c>
      <c r="C71" s="0" t="n">
        <v>11.771</v>
      </c>
      <c r="D71" s="0" t="n">
        <v>15.375</v>
      </c>
      <c r="E71" s="0" t="n">
        <v>2</v>
      </c>
      <c r="F71" s="0" t="s">
        <v>159</v>
      </c>
      <c r="G71" s="0" t="n">
        <v>16</v>
      </c>
      <c r="H71" s="0" t="n">
        <v>723.92</v>
      </c>
      <c r="I71" s="0" t="s">
        <v>269</v>
      </c>
      <c r="J71" s="0" t="s">
        <v>270</v>
      </c>
      <c r="K71" s="0" t="s">
        <v>47</v>
      </c>
    </row>
    <row r="72" customFormat="false" ht="15" hidden="false" customHeight="false" outlineLevel="0" collapsed="false">
      <c r="A72" s="0" t="s">
        <v>271</v>
      </c>
      <c r="B72" s="0" t="s">
        <v>272</v>
      </c>
      <c r="C72" s="0" t="n">
        <v>11.771</v>
      </c>
      <c r="D72" s="0" t="n">
        <v>15.375</v>
      </c>
      <c r="E72" s="0" t="n">
        <v>2</v>
      </c>
      <c r="F72" s="0" t="s">
        <v>159</v>
      </c>
      <c r="G72" s="0" t="n">
        <v>16</v>
      </c>
      <c r="H72" s="0" t="n">
        <v>723.92</v>
      </c>
      <c r="I72" s="0" t="s">
        <v>273</v>
      </c>
      <c r="J72" s="0" t="s">
        <v>274</v>
      </c>
      <c r="K72" s="0" t="s">
        <v>47</v>
      </c>
    </row>
    <row r="73" customFormat="false" ht="15" hidden="false" customHeight="false" outlineLevel="0" collapsed="false">
      <c r="A73" s="0" t="s">
        <v>275</v>
      </c>
      <c r="B73" s="0" t="s">
        <v>276</v>
      </c>
      <c r="C73" s="0" t="n">
        <v>11.667</v>
      </c>
      <c r="D73" s="0" t="n">
        <v>15.375</v>
      </c>
      <c r="E73" s="0" t="n">
        <v>2</v>
      </c>
      <c r="F73" s="0" t="s">
        <v>159</v>
      </c>
      <c r="G73" s="0" t="n">
        <v>16</v>
      </c>
      <c r="H73" s="0" t="n">
        <v>717.52</v>
      </c>
      <c r="I73" s="0" t="s">
        <v>277</v>
      </c>
      <c r="J73" s="0" t="s">
        <v>278</v>
      </c>
      <c r="K73" s="0" t="s">
        <v>47</v>
      </c>
    </row>
    <row r="74" customFormat="false" ht="15" hidden="false" customHeight="false" outlineLevel="0" collapsed="false">
      <c r="A74" s="0" t="s">
        <v>279</v>
      </c>
      <c r="B74" s="0" t="s">
        <v>280</v>
      </c>
      <c r="C74" s="0" t="n">
        <v>11.625</v>
      </c>
      <c r="D74" s="0" t="n">
        <v>15.375</v>
      </c>
      <c r="E74" s="0" t="n">
        <v>2</v>
      </c>
      <c r="F74" s="0" t="s">
        <v>159</v>
      </c>
      <c r="G74" s="0" t="n">
        <v>16</v>
      </c>
      <c r="H74" s="0" t="n">
        <v>714.94</v>
      </c>
      <c r="I74" s="0" t="s">
        <v>281</v>
      </c>
      <c r="J74" s="0" t="s">
        <v>282</v>
      </c>
      <c r="K74" s="0" t="s">
        <v>47</v>
      </c>
    </row>
    <row r="75" customFormat="false" ht="15" hidden="false" customHeight="false" outlineLevel="0" collapsed="false">
      <c r="A75" s="0" t="s">
        <v>283</v>
      </c>
      <c r="B75" s="0" t="s">
        <v>284</v>
      </c>
      <c r="C75" s="0" t="n">
        <v>11.625</v>
      </c>
      <c r="D75" s="0" t="n">
        <v>15.375</v>
      </c>
      <c r="E75" s="0" t="n">
        <v>2</v>
      </c>
      <c r="F75" s="0" t="s">
        <v>159</v>
      </c>
      <c r="G75" s="0" t="n">
        <v>16</v>
      </c>
      <c r="H75" s="0" t="n">
        <v>714.94</v>
      </c>
      <c r="I75" s="0" t="s">
        <v>285</v>
      </c>
      <c r="J75" s="0" t="s">
        <v>286</v>
      </c>
      <c r="K75" s="0" t="s">
        <v>47</v>
      </c>
    </row>
    <row r="76" customFormat="false" ht="15" hidden="false" customHeight="false" outlineLevel="0" collapsed="false">
      <c r="A76" s="0" t="s">
        <v>287</v>
      </c>
      <c r="B76" s="0" t="s">
        <v>288</v>
      </c>
      <c r="C76" s="0" t="n">
        <v>10.073</v>
      </c>
      <c r="D76" s="0" t="n">
        <v>15.375</v>
      </c>
      <c r="E76" s="0" t="n">
        <v>2</v>
      </c>
      <c r="F76" s="0" t="s">
        <v>159</v>
      </c>
      <c r="G76" s="0" t="n">
        <v>16</v>
      </c>
      <c r="H76" s="0" t="n">
        <v>619.48</v>
      </c>
      <c r="I76" s="0" t="s">
        <v>289</v>
      </c>
      <c r="J76" s="0" t="s">
        <v>290</v>
      </c>
      <c r="K76" s="0" t="s">
        <v>34</v>
      </c>
    </row>
    <row r="77" customFormat="false" ht="15" hidden="false" customHeight="false" outlineLevel="0" collapsed="false">
      <c r="A77" s="0" t="s">
        <v>291</v>
      </c>
      <c r="B77" s="0" t="s">
        <v>292</v>
      </c>
      <c r="C77" s="0" t="n">
        <v>3.467</v>
      </c>
      <c r="D77" s="0" t="n">
        <v>15.375</v>
      </c>
      <c r="E77" s="0" t="n">
        <v>2</v>
      </c>
      <c r="F77" s="0" t="s">
        <v>159</v>
      </c>
      <c r="G77" s="0" t="n">
        <v>16</v>
      </c>
      <c r="H77" s="0" t="n">
        <v>213.22</v>
      </c>
      <c r="I77" s="0" t="s">
        <v>293</v>
      </c>
      <c r="J77" s="0" t="s">
        <v>294</v>
      </c>
      <c r="K77" s="0" t="s">
        <v>34</v>
      </c>
    </row>
    <row r="78" customFormat="false" ht="15" hidden="false" customHeight="false" outlineLevel="0" collapsed="false">
      <c r="A78" s="0" t="s">
        <v>295</v>
      </c>
      <c r="B78" s="0" t="s">
        <v>296</v>
      </c>
      <c r="C78" s="0" t="n">
        <v>3.253</v>
      </c>
      <c r="D78" s="0" t="n">
        <v>15.375</v>
      </c>
      <c r="E78" s="0" t="n">
        <v>2</v>
      </c>
      <c r="F78" s="0" t="s">
        <v>159</v>
      </c>
      <c r="G78" s="0" t="n">
        <v>16</v>
      </c>
      <c r="H78" s="0" t="n">
        <v>200.06</v>
      </c>
      <c r="I78" s="0" t="s">
        <v>297</v>
      </c>
      <c r="J78" s="0" t="s">
        <v>298</v>
      </c>
      <c r="K78" s="0" t="s">
        <v>34</v>
      </c>
    </row>
    <row r="79" customFormat="false" ht="15" hidden="false" customHeight="false" outlineLevel="0" collapsed="false">
      <c r="A79" s="0" t="s">
        <v>299</v>
      </c>
      <c r="B79" s="0" t="s">
        <v>300</v>
      </c>
      <c r="C79" s="0" t="n">
        <v>3.253</v>
      </c>
      <c r="D79" s="0" t="n">
        <v>15.375</v>
      </c>
      <c r="E79" s="0" t="n">
        <v>2</v>
      </c>
      <c r="F79" s="0" t="s">
        <v>159</v>
      </c>
      <c r="G79" s="0" t="n">
        <v>16</v>
      </c>
      <c r="H79" s="0" t="n">
        <v>200.06</v>
      </c>
      <c r="I79" s="0" t="s">
        <v>301</v>
      </c>
      <c r="J79" s="0" t="s">
        <v>302</v>
      </c>
      <c r="K79" s="0" t="s">
        <v>34</v>
      </c>
    </row>
    <row r="80" customFormat="false" ht="15" hidden="false" customHeight="false" outlineLevel="0" collapsed="false">
      <c r="A80" s="0" t="s">
        <v>303</v>
      </c>
      <c r="B80" s="0" t="s">
        <v>304</v>
      </c>
      <c r="C80" s="0" t="n">
        <v>2.42</v>
      </c>
      <c r="D80" s="0" t="n">
        <v>15.375</v>
      </c>
      <c r="E80" s="0" t="n">
        <v>2</v>
      </c>
      <c r="F80" s="0" t="s">
        <v>159</v>
      </c>
      <c r="G80" s="0" t="n">
        <v>16</v>
      </c>
      <c r="H80" s="0" t="n">
        <v>148.82</v>
      </c>
      <c r="I80" s="0" t="s">
        <v>305</v>
      </c>
      <c r="J80" s="0" t="s">
        <v>306</v>
      </c>
      <c r="K80" s="0" t="s">
        <v>34</v>
      </c>
    </row>
    <row r="81" customFormat="false" ht="15" hidden="false" customHeight="false" outlineLevel="0" collapsed="false">
      <c r="A81" s="0" t="s">
        <v>307</v>
      </c>
      <c r="B81" s="0" t="s">
        <v>308</v>
      </c>
      <c r="C81" s="0" t="n">
        <v>0.973</v>
      </c>
      <c r="D81" s="0" t="n">
        <v>15.375</v>
      </c>
      <c r="E81" s="0" t="n">
        <v>2</v>
      </c>
      <c r="F81" s="0" t="s">
        <v>159</v>
      </c>
      <c r="G81" s="0" t="n">
        <v>16</v>
      </c>
      <c r="H81" s="0" t="n">
        <v>59.84</v>
      </c>
      <c r="I81" s="0" t="s">
        <v>309</v>
      </c>
      <c r="J81" s="0" t="s">
        <v>310</v>
      </c>
      <c r="K81" s="0" t="s">
        <v>34</v>
      </c>
    </row>
    <row r="82" customFormat="false" ht="15" hidden="false" customHeight="false" outlineLevel="0" collapsed="false">
      <c r="A82" s="5" t="s">
        <v>311</v>
      </c>
    </row>
    <row r="83" customFormat="false" ht="15" hidden="false" customHeight="false" outlineLevel="0" collapsed="false">
      <c r="A83" s="0" t="s">
        <v>312</v>
      </c>
      <c r="B83" s="0" t="s">
        <v>313</v>
      </c>
      <c r="C83" s="0" t="n">
        <v>11.771</v>
      </c>
      <c r="D83" s="0" t="n">
        <v>15.375</v>
      </c>
      <c r="E83" s="0" t="n">
        <v>2</v>
      </c>
      <c r="F83" s="0" t="s">
        <v>159</v>
      </c>
      <c r="G83" s="0" t="n">
        <v>16</v>
      </c>
      <c r="H83" s="0" t="n">
        <v>723.92</v>
      </c>
      <c r="I83" s="0" t="s">
        <v>314</v>
      </c>
      <c r="J83" s="0" t="s">
        <v>315</v>
      </c>
      <c r="K83" s="0" t="s">
        <v>47</v>
      </c>
    </row>
    <row r="84" customFormat="false" ht="15" hidden="false" customHeight="false" outlineLevel="0" collapsed="false">
      <c r="A84" s="0" t="s">
        <v>316</v>
      </c>
      <c r="B84" s="0" t="s">
        <v>317</v>
      </c>
      <c r="C84" s="0" t="n">
        <v>3.507</v>
      </c>
      <c r="D84" s="0" t="n">
        <v>15.375</v>
      </c>
      <c r="E84" s="0" t="n">
        <v>2</v>
      </c>
      <c r="F84" s="0" t="s">
        <v>159</v>
      </c>
      <c r="G84" s="0" t="n">
        <v>16</v>
      </c>
      <c r="H84" s="0" t="n">
        <v>215.68</v>
      </c>
      <c r="I84" s="0" t="s">
        <v>318</v>
      </c>
      <c r="J84" s="0" t="s">
        <v>319</v>
      </c>
      <c r="K84" s="0" t="s">
        <v>34</v>
      </c>
    </row>
    <row r="85" customFormat="false" ht="15" hidden="false" customHeight="false" outlineLevel="0" collapsed="false">
      <c r="A85" s="0" t="s">
        <v>320</v>
      </c>
      <c r="B85" s="0" t="s">
        <v>321</v>
      </c>
      <c r="C85" s="0" t="n">
        <v>3.18</v>
      </c>
      <c r="D85" s="0" t="n">
        <v>15.375</v>
      </c>
      <c r="E85" s="0" t="n">
        <v>2</v>
      </c>
      <c r="F85" s="0" t="s">
        <v>159</v>
      </c>
      <c r="G85" s="0" t="n">
        <v>16</v>
      </c>
      <c r="H85" s="0" t="n">
        <v>195.58</v>
      </c>
      <c r="I85" s="0" t="s">
        <v>322</v>
      </c>
      <c r="J85" s="0" t="s">
        <v>323</v>
      </c>
      <c r="K85" s="0" t="s">
        <v>34</v>
      </c>
    </row>
    <row r="86" customFormat="false" ht="15" hidden="false" customHeight="false" outlineLevel="0" collapsed="false">
      <c r="A86" s="6" t="s">
        <v>324</v>
      </c>
      <c r="C86" s="3" t="n">
        <f aca="false">SUM(C5:C85)</f>
        <v>734.593</v>
      </c>
      <c r="H86" s="3" t="n">
        <f aca="false">SUM(H5:H85)</f>
        <v>16663.59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325</v>
      </c>
    </row>
    <row r="2" customFormat="false" ht="15" hidden="false" customHeight="false" outlineLevel="0" collapsed="false">
      <c r="A2" s="0" t="s">
        <v>326</v>
      </c>
    </row>
    <row r="3" customFormat="false" ht="15" hidden="false" customHeight="false" outlineLevel="0" collapsed="false">
      <c r="A3" s="4" t="s">
        <v>327</v>
      </c>
      <c r="B3" s="4" t="s">
        <v>328</v>
      </c>
      <c r="C3" s="4" t="s">
        <v>329</v>
      </c>
      <c r="D3" s="4" t="s">
        <v>330</v>
      </c>
      <c r="E3" s="4" t="s">
        <v>331</v>
      </c>
      <c r="F3" s="4" t="s">
        <v>332</v>
      </c>
      <c r="G3" s="4" t="s">
        <v>333</v>
      </c>
      <c r="H3" s="4" t="s">
        <v>334</v>
      </c>
      <c r="I3" s="4" t="s">
        <v>335</v>
      </c>
    </row>
    <row r="4" customFormat="false" ht="15" hidden="false" customHeight="false" outlineLevel="0" collapsed="false">
      <c r="A4" s="0" t="s">
        <v>336</v>
      </c>
      <c r="B4" s="0" t="s">
        <v>337</v>
      </c>
      <c r="C4" s="0" t="n">
        <v>4588.52</v>
      </c>
      <c r="D4" s="0" t="n">
        <f aca="false">Inputs!$B$4</f>
        <v>0.15</v>
      </c>
      <c r="E4" s="0" t="n">
        <f aca="false">C4*D4</f>
        <v>688.278</v>
      </c>
      <c r="F4" s="0" t="n">
        <f aca="false">C4+E4</f>
        <v>5276.798</v>
      </c>
      <c r="G4" s="0" t="s">
        <v>338</v>
      </c>
      <c r="H4" s="0" t="n">
        <f aca="false">ROUNDUP(ROUNDUP(F4/15.375,0)/MAX(1,INT(16/15.375)),0)</f>
        <v>344</v>
      </c>
      <c r="I4" s="0" t="s">
        <v>339</v>
      </c>
    </row>
    <row r="5" customFormat="false" ht="15" hidden="false" customHeight="false" outlineLevel="0" collapsed="false">
      <c r="A5" s="0" t="s">
        <v>340</v>
      </c>
      <c r="B5" s="0" t="s">
        <v>337</v>
      </c>
      <c r="C5" s="0" t="n">
        <v>152.03</v>
      </c>
      <c r="D5" s="0" t="n">
        <f aca="false">Inputs!$B$4</f>
        <v>0.15</v>
      </c>
      <c r="E5" s="0" t="n">
        <f aca="false">C5*D5</f>
        <v>22.8045</v>
      </c>
      <c r="F5" s="0" t="n">
        <f aca="false">C5+E5</f>
        <v>174.8345</v>
      </c>
      <c r="G5" s="0" t="s">
        <v>338</v>
      </c>
      <c r="H5" s="0" t="n">
        <f aca="false">ROUNDUP(ROUNDUP(F5/15.375,0)/MAX(1,INT(16/15.375)),0)</f>
        <v>12</v>
      </c>
      <c r="I5" s="0" t="s">
        <v>341</v>
      </c>
    </row>
    <row r="6" customFormat="false" ht="15" hidden="false" customHeight="false" outlineLevel="0" collapsed="false">
      <c r="A6" s="0" t="s">
        <v>342</v>
      </c>
      <c r="B6" s="0" t="s">
        <v>337</v>
      </c>
      <c r="C6" s="0" t="n">
        <v>1480.33</v>
      </c>
      <c r="D6" s="0" t="n">
        <f aca="false">Inputs!$B$4</f>
        <v>0.15</v>
      </c>
      <c r="E6" s="0" t="n">
        <f aca="false">C6*D6</f>
        <v>222.0495</v>
      </c>
      <c r="F6" s="0" t="n">
        <f aca="false">C6+E6</f>
        <v>1702.3795</v>
      </c>
      <c r="G6" s="0" t="s">
        <v>338</v>
      </c>
      <c r="H6" s="0" t="n">
        <f aca="false">ROUNDUP(ROUNDUP(F6/15.375,0)/MAX(1,INT(16/15.375)),0)</f>
        <v>111</v>
      </c>
      <c r="I6" s="0" t="s">
        <v>343</v>
      </c>
    </row>
    <row r="7" customFormat="false" ht="15" hidden="false" customHeight="false" outlineLevel="0" collapsed="false">
      <c r="A7" s="0" t="s">
        <v>344</v>
      </c>
      <c r="B7" s="0" t="s">
        <v>337</v>
      </c>
      <c r="C7" s="0" t="n">
        <v>46.12</v>
      </c>
      <c r="D7" s="0" t="n">
        <f aca="false">Inputs!$B$4</f>
        <v>0.15</v>
      </c>
      <c r="E7" s="0" t="n">
        <f aca="false">C7*D7</f>
        <v>6.918</v>
      </c>
      <c r="F7" s="0" t="n">
        <f aca="false">C7+E7</f>
        <v>53.038</v>
      </c>
      <c r="G7" s="0" t="s">
        <v>338</v>
      </c>
      <c r="H7" s="0" t="n">
        <f aca="false">ROUNDUP(ROUNDUP(F7/15.375,0)/MAX(1,INT(16/15.375)),0)</f>
        <v>4</v>
      </c>
      <c r="I7" s="0" t="s">
        <v>345</v>
      </c>
    </row>
    <row r="8" customFormat="false" ht="15" hidden="false" customHeight="false" outlineLevel="0" collapsed="false">
      <c r="A8" s="0" t="s">
        <v>346</v>
      </c>
      <c r="B8" s="0" t="s">
        <v>337</v>
      </c>
      <c r="C8" s="0" t="n">
        <v>4106.1</v>
      </c>
      <c r="D8" s="0" t="n">
        <f aca="false">Inputs!$B$4</f>
        <v>0.15</v>
      </c>
      <c r="E8" s="0" t="n">
        <f aca="false">C8*D8</f>
        <v>615.915</v>
      </c>
      <c r="F8" s="0" t="n">
        <f aca="false">C8+E8</f>
        <v>4722.015</v>
      </c>
      <c r="G8" s="0" t="s">
        <v>338</v>
      </c>
      <c r="H8" s="0" t="n">
        <f aca="false">ROUNDUP(ROUNDUP(F8/15.375,0)/MAX(1,INT(16/15.375)),0)</f>
        <v>308</v>
      </c>
      <c r="I8" s="0" t="s">
        <v>347</v>
      </c>
    </row>
    <row r="9" customFormat="false" ht="15" hidden="false" customHeight="false" outlineLevel="0" collapsed="false">
      <c r="A9" s="0" t="s">
        <v>348</v>
      </c>
      <c r="B9" s="0" t="s">
        <v>337</v>
      </c>
      <c r="C9" s="0" t="n">
        <v>3390.11</v>
      </c>
      <c r="D9" s="0" t="n">
        <f aca="false">Inputs!$B$4</f>
        <v>0.15</v>
      </c>
      <c r="E9" s="0" t="n">
        <f aca="false">C9*D9</f>
        <v>508.5165</v>
      </c>
      <c r="F9" s="0" t="n">
        <f aca="false">C9+E9</f>
        <v>3898.6265</v>
      </c>
      <c r="G9" s="0" t="s">
        <v>338</v>
      </c>
      <c r="H9" s="0" t="n">
        <f aca="false">ROUNDUP(ROUNDUP(F9/14.358,0)/MAX(1,INT(16/14.358)),0)</f>
        <v>272</v>
      </c>
      <c r="I9" s="0" t="s">
        <v>349</v>
      </c>
    </row>
    <row r="10" customFormat="false" ht="15" hidden="false" customHeight="false" outlineLevel="0" collapsed="false">
      <c r="A10" s="0" t="s">
        <v>350</v>
      </c>
      <c r="B10" s="0" t="s">
        <v>337</v>
      </c>
      <c r="C10" s="0" t="n">
        <v>1124.75</v>
      </c>
      <c r="D10" s="0" t="n">
        <f aca="false">Inputs!$B$4</f>
        <v>0.15</v>
      </c>
      <c r="E10" s="0" t="n">
        <f aca="false">C10*D10</f>
        <v>168.7125</v>
      </c>
      <c r="F10" s="0" t="n">
        <f aca="false">C10+E10</f>
        <v>1293.4625</v>
      </c>
      <c r="G10" s="0" t="s">
        <v>351</v>
      </c>
      <c r="H10" s="0" t="n">
        <f aca="false">ROUNDUP(ROUNDUP(F10/4.885,0)/MAX(1,INT(20/4.885)),0)</f>
        <v>67</v>
      </c>
      <c r="I10" s="0" t="s">
        <v>352</v>
      </c>
    </row>
    <row r="11" customFormat="false" ht="15" hidden="false" customHeight="false" outlineLevel="0" collapsed="false">
      <c r="A11" s="0" t="s">
        <v>353</v>
      </c>
      <c r="B11" s="0" t="s">
        <v>337</v>
      </c>
      <c r="C11" s="0" t="n">
        <v>28.5</v>
      </c>
      <c r="D11" s="0" t="n">
        <f aca="false">Inputs!$B$4</f>
        <v>0.15</v>
      </c>
      <c r="E11" s="0" t="n">
        <f aca="false">C11*D11</f>
        <v>4.275</v>
      </c>
      <c r="F11" s="0" t="n">
        <f aca="false">C11+E11</f>
        <v>32.775</v>
      </c>
      <c r="G11" s="0" t="s">
        <v>354</v>
      </c>
      <c r="H11" s="0" t="n">
        <f aca="false">ROUNDUP(ROUNDUP(F11/1.5,0)/MAX(1,INT(10/1.5)),0)</f>
        <v>4</v>
      </c>
      <c r="I11" s="0" t="s">
        <v>355</v>
      </c>
    </row>
    <row r="12" customFormat="false" ht="15" hidden="false" customHeight="false" outlineLevel="0" collapsed="false">
      <c r="A12" s="0" t="s">
        <v>356</v>
      </c>
      <c r="B12" s="0" t="s">
        <v>337</v>
      </c>
      <c r="C12" s="0" t="n">
        <v>759.43</v>
      </c>
      <c r="D12" s="0" t="n">
        <f aca="false">Inputs!$B$4</f>
        <v>0.15</v>
      </c>
      <c r="E12" s="0" t="n">
        <f aca="false">C12*D12</f>
        <v>113.9145</v>
      </c>
      <c r="F12" s="0" t="n">
        <f aca="false">C12+E12</f>
        <v>873.3445</v>
      </c>
      <c r="G12" s="0" t="s">
        <v>357</v>
      </c>
      <c r="H12" s="0" t="n">
        <f aca="false">ROUNDUP(ROUNDUP(F12/10.5,0)/MAX(1,INT(12/10.5)),0)</f>
        <v>84</v>
      </c>
      <c r="I12" s="0" t="s">
        <v>358</v>
      </c>
    </row>
    <row r="13" customFormat="false" ht="15" hidden="false" customHeight="false" outlineLevel="0" collapsed="false">
      <c r="A13" s="0" t="s">
        <v>359</v>
      </c>
      <c r="B13" s="0" t="s">
        <v>337</v>
      </c>
      <c r="C13" s="0" t="n">
        <v>1075.43</v>
      </c>
      <c r="D13" s="0" t="n">
        <f aca="false">Inputs!$B$4</f>
        <v>0.15</v>
      </c>
      <c r="E13" s="0" t="n">
        <f aca="false">C13*D13</f>
        <v>161.3145</v>
      </c>
      <c r="F13" s="0" t="n">
        <f aca="false">C13+E13</f>
        <v>1236.7445</v>
      </c>
      <c r="G13" s="0" t="s">
        <v>357</v>
      </c>
      <c r="H13" s="0" t="n">
        <f aca="false">ROUNDUP(ROUNDUP(F13/6,0)/MAX(1,INT(12/6)),0)</f>
        <v>104</v>
      </c>
      <c r="I13" s="0" t="s">
        <v>360</v>
      </c>
    </row>
    <row r="14" customFormat="false" ht="15" hidden="false" customHeight="false" outlineLevel="0" collapsed="false">
      <c r="A14" s="0" t="s">
        <v>361</v>
      </c>
      <c r="B14" s="0" t="s">
        <v>337</v>
      </c>
      <c r="C14" s="0" t="n">
        <v>37.59</v>
      </c>
      <c r="D14" s="0" t="n">
        <f aca="false">Inputs!$B$4</f>
        <v>0.15</v>
      </c>
      <c r="E14" s="0" t="n">
        <f aca="false">C14*D14</f>
        <v>5.6385</v>
      </c>
      <c r="F14" s="0" t="n">
        <f aca="false">C14+E14</f>
        <v>43.2285</v>
      </c>
      <c r="G14" s="0" t="s">
        <v>354</v>
      </c>
      <c r="H14" s="0" t="n">
        <f aca="false">ROUNDUP(ROUNDUP(F14/3.417,0)/MAX(1,INT(10/3.417)),0)</f>
        <v>7</v>
      </c>
      <c r="I14" s="0" t="s">
        <v>362</v>
      </c>
    </row>
    <row r="15" customFormat="false" ht="15" hidden="false" customHeight="false" outlineLevel="0" collapsed="false">
      <c r="A15" s="0" t="s">
        <v>363</v>
      </c>
      <c r="B15" s="0" t="s">
        <v>337</v>
      </c>
      <c r="C15" s="0" t="n">
        <v>231.91</v>
      </c>
      <c r="D15" s="0" t="n">
        <f aca="false">Inputs!$B$4</f>
        <v>0.15</v>
      </c>
      <c r="E15" s="0" t="n">
        <f aca="false">C15*D15</f>
        <v>34.7865</v>
      </c>
      <c r="F15" s="0" t="n">
        <f aca="false">C15+E15</f>
        <v>266.6965</v>
      </c>
      <c r="G15" s="0" t="s">
        <v>364</v>
      </c>
      <c r="H15" s="0" t="n">
        <f aca="false">ROUNDUP(F15/10,0)</f>
        <v>27</v>
      </c>
      <c r="I15" s="0" t="s">
        <v>365</v>
      </c>
    </row>
    <row r="16" customFormat="false" ht="15" hidden="false" customHeight="false" outlineLevel="0" collapsed="false">
      <c r="A16" s="0" t="s">
        <v>366</v>
      </c>
      <c r="B16" s="0" t="s">
        <v>337</v>
      </c>
      <c r="C16" s="0" t="n">
        <v>231.91</v>
      </c>
      <c r="D16" s="0" t="n">
        <f aca="false">Inputs!$B$4</f>
        <v>0.15</v>
      </c>
      <c r="E16" s="0" t="n">
        <f aca="false">C16*D16</f>
        <v>34.7865</v>
      </c>
      <c r="F16" s="0" t="n">
        <f aca="false">C16+E16</f>
        <v>266.6965</v>
      </c>
      <c r="G16" s="0" t="s">
        <v>364</v>
      </c>
      <c r="H16" s="0" t="n">
        <f aca="false">ROUNDUP(F16/10,0)</f>
        <v>27</v>
      </c>
      <c r="I16" s="0" t="s">
        <v>367</v>
      </c>
    </row>
    <row r="17" customFormat="false" ht="15" hidden="false" customHeight="false" outlineLevel="0" collapsed="false">
      <c r="A17" s="0" t="s">
        <v>368</v>
      </c>
      <c r="B17" s="0" t="s">
        <v>337</v>
      </c>
      <c r="C17" s="0" t="n">
        <v>10.44</v>
      </c>
      <c r="D17" s="0" t="n">
        <f aca="false">Inputs!$B$4</f>
        <v>0.15</v>
      </c>
      <c r="E17" s="0" t="n">
        <f aca="false">C17*D17</f>
        <v>1.566</v>
      </c>
      <c r="F17" s="0" t="n">
        <f aca="false">C17+E17</f>
        <v>12.006</v>
      </c>
      <c r="G17" s="0" t="s">
        <v>364</v>
      </c>
      <c r="H17" s="0" t="n">
        <f aca="false">ROUNDUP(F17/10,0)</f>
        <v>2</v>
      </c>
      <c r="I17" s="0" t="s">
        <v>369</v>
      </c>
    </row>
    <row r="18" customFormat="false" ht="15" hidden="false" customHeight="false" outlineLevel="0" collapsed="false">
      <c r="A18" s="0" t="s">
        <v>370</v>
      </c>
      <c r="B18" s="0" t="s">
        <v>337</v>
      </c>
      <c r="C18" s="0" t="n">
        <v>10.44</v>
      </c>
      <c r="D18" s="0" t="n">
        <f aca="false">Inputs!$B$4</f>
        <v>0.15</v>
      </c>
      <c r="E18" s="0" t="n">
        <f aca="false">C18*D18</f>
        <v>1.566</v>
      </c>
      <c r="F18" s="0" t="n">
        <f aca="false">C18+E18</f>
        <v>12.006</v>
      </c>
      <c r="G18" s="0" t="s">
        <v>364</v>
      </c>
      <c r="H18" s="0" t="n">
        <f aca="false">ROUNDUP(F18/10,0)</f>
        <v>2</v>
      </c>
      <c r="I18" s="0" t="s">
        <v>371</v>
      </c>
    </row>
    <row r="19" customFormat="false" ht="15" hidden="false" customHeight="false" outlineLevel="0" collapsed="false">
      <c r="A19" s="0" t="s">
        <v>372</v>
      </c>
      <c r="B19" s="0" t="s">
        <v>337</v>
      </c>
      <c r="C19" s="0" t="n">
        <v>84.91</v>
      </c>
      <c r="D19" s="0" t="n">
        <f aca="false">Inputs!$B$4</f>
        <v>0.15</v>
      </c>
      <c r="E19" s="0" t="n">
        <f aca="false">C19*D19</f>
        <v>12.7365</v>
      </c>
      <c r="F19" s="0" t="n">
        <f aca="false">C19+E19</f>
        <v>97.6465</v>
      </c>
      <c r="G19" s="0" t="s">
        <v>364</v>
      </c>
      <c r="H19" s="0" t="n">
        <f aca="false">ROUNDUP(F19/10,0)</f>
        <v>10</v>
      </c>
      <c r="I19" s="0" t="s">
        <v>373</v>
      </c>
    </row>
    <row r="20" customFormat="false" ht="15" hidden="false" customHeight="false" outlineLevel="0" collapsed="false">
      <c r="A20" s="0" t="s">
        <v>374</v>
      </c>
      <c r="B20" s="0" t="s">
        <v>337</v>
      </c>
      <c r="C20" s="0" t="n">
        <v>84.91</v>
      </c>
      <c r="D20" s="0" t="n">
        <f aca="false">Inputs!$B$4</f>
        <v>0.15</v>
      </c>
      <c r="E20" s="0" t="n">
        <f aca="false">C20*D20</f>
        <v>12.7365</v>
      </c>
      <c r="F20" s="0" t="n">
        <f aca="false">C20+E20</f>
        <v>97.6465</v>
      </c>
      <c r="G20" s="0" t="s">
        <v>364</v>
      </c>
      <c r="H20" s="0" t="n">
        <f aca="false">ROUNDUP(F20/10,0)</f>
        <v>10</v>
      </c>
      <c r="I20" s="0" t="s">
        <v>375</v>
      </c>
    </row>
    <row r="21" customFormat="false" ht="15" hidden="false" customHeight="false" outlineLevel="0" collapsed="false">
      <c r="A21" s="0" t="s">
        <v>376</v>
      </c>
      <c r="B21" s="0" t="s">
        <v>337</v>
      </c>
      <c r="C21" s="0" t="n">
        <v>1.26</v>
      </c>
      <c r="D21" s="0" t="n">
        <f aca="false">Inputs!$B$4</f>
        <v>0.15</v>
      </c>
      <c r="E21" s="0" t="n">
        <f aca="false">C21*D21</f>
        <v>0.189</v>
      </c>
      <c r="F21" s="0" t="n">
        <f aca="false">C21+E21</f>
        <v>1.449</v>
      </c>
      <c r="G21" s="0" t="s">
        <v>364</v>
      </c>
      <c r="H21" s="0" t="n">
        <f aca="false">ROUNDUP(F21/10,0)</f>
        <v>1</v>
      </c>
      <c r="I21" s="0" t="s">
        <v>377</v>
      </c>
    </row>
    <row r="22" customFormat="false" ht="15" hidden="false" customHeight="false" outlineLevel="0" collapsed="false">
      <c r="A22" s="0" t="s">
        <v>378</v>
      </c>
      <c r="B22" s="0" t="s">
        <v>337</v>
      </c>
      <c r="C22" s="0" t="n">
        <v>1.26</v>
      </c>
      <c r="D22" s="0" t="n">
        <f aca="false">Inputs!$B$4</f>
        <v>0.15</v>
      </c>
      <c r="E22" s="0" t="n">
        <f aca="false">C22*D22</f>
        <v>0.189</v>
      </c>
      <c r="F22" s="0" t="n">
        <f aca="false">C22+E22</f>
        <v>1.449</v>
      </c>
      <c r="G22" s="0" t="s">
        <v>364</v>
      </c>
      <c r="H22" s="0" t="n">
        <f aca="false">ROUNDUP(F22/10,0)</f>
        <v>1</v>
      </c>
      <c r="I22" s="0" t="s">
        <v>371</v>
      </c>
    </row>
    <row r="23" customFormat="false" ht="15" hidden="false" customHeight="false" outlineLevel="0" collapsed="false">
      <c r="A23" s="0" t="s">
        <v>379</v>
      </c>
      <c r="B23" s="0" t="s">
        <v>337</v>
      </c>
      <c r="C23" s="0" t="n">
        <v>290.71</v>
      </c>
      <c r="D23" s="0" t="n">
        <f aca="false">Inputs!$B$4</f>
        <v>0.15</v>
      </c>
      <c r="E23" s="0" t="n">
        <f aca="false">C23*D23</f>
        <v>43.6065</v>
      </c>
      <c r="F23" s="0" t="n">
        <f aca="false">C23+E23</f>
        <v>334.3165</v>
      </c>
      <c r="G23" s="0" t="s">
        <v>364</v>
      </c>
      <c r="H23" s="0" t="n">
        <f aca="false">ROUNDUP(F23/10,0)</f>
        <v>34</v>
      </c>
      <c r="I23" s="0" t="s">
        <v>380</v>
      </c>
    </row>
    <row r="24" customFormat="false" ht="15" hidden="false" customHeight="false" outlineLevel="0" collapsed="false">
      <c r="A24" s="0" t="s">
        <v>381</v>
      </c>
      <c r="B24" s="0" t="s">
        <v>337</v>
      </c>
      <c r="C24" s="0" t="n">
        <v>290.71</v>
      </c>
      <c r="D24" s="0" t="n">
        <f aca="false">Inputs!$B$4</f>
        <v>0.15</v>
      </c>
      <c r="E24" s="0" t="n">
        <f aca="false">C24*D24</f>
        <v>43.6065</v>
      </c>
      <c r="F24" s="0" t="n">
        <f aca="false">C24+E24</f>
        <v>334.3165</v>
      </c>
      <c r="G24" s="0" t="s">
        <v>364</v>
      </c>
      <c r="H24" s="0" t="n">
        <f aca="false">ROUNDUP(F24/10,0)</f>
        <v>34</v>
      </c>
      <c r="I24" s="0" t="s">
        <v>382</v>
      </c>
    </row>
    <row r="25" customFormat="false" ht="15" hidden="false" customHeight="false" outlineLevel="0" collapsed="false">
      <c r="A25" s="0" t="s">
        <v>383</v>
      </c>
      <c r="B25" s="0" t="s">
        <v>337</v>
      </c>
      <c r="C25" s="0" t="n">
        <v>261.98</v>
      </c>
      <c r="D25" s="0" t="n">
        <f aca="false">Inputs!$B$4</f>
        <v>0.15</v>
      </c>
      <c r="E25" s="0" t="n">
        <f aca="false">C25*D25</f>
        <v>39.297</v>
      </c>
      <c r="F25" s="0" t="n">
        <f aca="false">C25+E25</f>
        <v>301.277</v>
      </c>
      <c r="G25" s="0" t="s">
        <v>364</v>
      </c>
      <c r="H25" s="0" t="n">
        <f aca="false">ROUNDUP(F25/10,0)</f>
        <v>31</v>
      </c>
      <c r="I25" s="0" t="s">
        <v>384</v>
      </c>
    </row>
    <row r="26" customFormat="false" ht="15" hidden="false" customHeight="false" outlineLevel="0" collapsed="false">
      <c r="A26" s="0" t="s">
        <v>385</v>
      </c>
      <c r="B26" s="0" t="s">
        <v>337</v>
      </c>
      <c r="C26" s="0" t="n">
        <v>261.98</v>
      </c>
      <c r="D26" s="0" t="n">
        <f aca="false">Inputs!$B$4</f>
        <v>0.15</v>
      </c>
      <c r="E26" s="0" t="n">
        <f aca="false">C26*D26</f>
        <v>39.297</v>
      </c>
      <c r="F26" s="0" t="n">
        <f aca="false">C26+E26</f>
        <v>301.277</v>
      </c>
      <c r="G26" s="0" t="s">
        <v>364</v>
      </c>
      <c r="H26" s="0" t="n">
        <f aca="false">ROUNDUP(F26/10,0)</f>
        <v>31</v>
      </c>
      <c r="I26" s="0" t="s">
        <v>386</v>
      </c>
    </row>
    <row r="27" customFormat="false" ht="15" hidden="false" customHeight="false" outlineLevel="0" collapsed="false">
      <c r="A27" s="0" t="s">
        <v>387</v>
      </c>
      <c r="B27" s="0" t="s">
        <v>337</v>
      </c>
      <c r="C27" s="0" t="n">
        <v>314.89</v>
      </c>
      <c r="D27" s="0" t="n">
        <f aca="false">Inputs!$B$4</f>
        <v>0.15</v>
      </c>
      <c r="E27" s="0" t="n">
        <f aca="false">C27*D27</f>
        <v>47.2335</v>
      </c>
      <c r="F27" s="0" t="n">
        <f aca="false">C27+E27</f>
        <v>362.1235</v>
      </c>
      <c r="G27" s="0" t="s">
        <v>364</v>
      </c>
      <c r="H27" s="0" t="n">
        <f aca="false">ROUNDUP(F27/10,0)</f>
        <v>37</v>
      </c>
      <c r="I27" s="0" t="s">
        <v>388</v>
      </c>
    </row>
    <row r="28" customFormat="false" ht="15" hidden="false" customHeight="false" outlineLevel="0" collapsed="false">
      <c r="A28" s="0" t="s">
        <v>389</v>
      </c>
      <c r="B28" s="0" t="s">
        <v>337</v>
      </c>
      <c r="C28" s="0" t="n">
        <v>314.89</v>
      </c>
      <c r="D28" s="0" t="n">
        <f aca="false">Inputs!$B$4</f>
        <v>0.15</v>
      </c>
      <c r="E28" s="0" t="n">
        <f aca="false">C28*D28</f>
        <v>47.2335</v>
      </c>
      <c r="F28" s="0" t="n">
        <f aca="false">C28+E28</f>
        <v>362.1235</v>
      </c>
      <c r="G28" s="0" t="s">
        <v>364</v>
      </c>
      <c r="H28" s="0" t="n">
        <f aca="false">ROUNDUP(F28/10,0)</f>
        <v>37</v>
      </c>
      <c r="I28" s="0" t="s">
        <v>390</v>
      </c>
    </row>
    <row r="29" customFormat="false" ht="15" hidden="false" customHeight="false" outlineLevel="0" collapsed="false">
      <c r="A29" s="0" t="s">
        <v>391</v>
      </c>
      <c r="B29" s="0" t="s">
        <v>337</v>
      </c>
      <c r="C29" s="0" t="n">
        <v>557</v>
      </c>
      <c r="D29" s="0" t="n">
        <f aca="false">Inputs!$B$4</f>
        <v>0.15</v>
      </c>
      <c r="E29" s="0" t="n">
        <f aca="false">C29*D29</f>
        <v>83.55</v>
      </c>
      <c r="F29" s="0" t="n">
        <f aca="false">C29+E29</f>
        <v>640.55</v>
      </c>
      <c r="G29" s="0" t="s">
        <v>364</v>
      </c>
      <c r="H29" s="0" t="n">
        <f aca="false">ROUNDUP(F29/10,0)</f>
        <v>65</v>
      </c>
      <c r="I29" s="0" t="s">
        <v>392</v>
      </c>
    </row>
    <row r="30" customFormat="false" ht="15" hidden="false" customHeight="false" outlineLevel="0" collapsed="false">
      <c r="A30" s="0" t="s">
        <v>393</v>
      </c>
      <c r="B30" s="0" t="s">
        <v>337</v>
      </c>
      <c r="C30" s="0" t="n">
        <v>557</v>
      </c>
      <c r="D30" s="0" t="n">
        <f aca="false">Inputs!$B$4</f>
        <v>0.15</v>
      </c>
      <c r="E30" s="0" t="n">
        <f aca="false">C30*D30</f>
        <v>83.55</v>
      </c>
      <c r="F30" s="0" t="n">
        <f aca="false">C30+E30</f>
        <v>640.55</v>
      </c>
      <c r="G30" s="0" t="s">
        <v>364</v>
      </c>
      <c r="H30" s="0" t="n">
        <f aca="false">ROUNDUP(F30/10,0)</f>
        <v>65</v>
      </c>
      <c r="I30" s="0" t="s">
        <v>394</v>
      </c>
    </row>
    <row r="31" customFormat="false" ht="15" hidden="false" customHeight="false" outlineLevel="0" collapsed="false">
      <c r="A31" s="0" t="s">
        <v>395</v>
      </c>
      <c r="B31" s="0" t="s">
        <v>337</v>
      </c>
      <c r="C31" s="0" t="n">
        <v>192.23</v>
      </c>
      <c r="D31" s="0" t="n">
        <f aca="false">Inputs!$B$4</f>
        <v>0.15</v>
      </c>
      <c r="E31" s="0" t="n">
        <f aca="false">C31*D31</f>
        <v>28.8345</v>
      </c>
      <c r="F31" s="0" t="n">
        <f aca="false">C31+E31</f>
        <v>221.0645</v>
      </c>
      <c r="G31" s="0" t="s">
        <v>364</v>
      </c>
      <c r="H31" s="0" t="n">
        <f aca="false">ROUNDUP(F31/10,0)</f>
        <v>23</v>
      </c>
      <c r="I31" s="0" t="s">
        <v>396</v>
      </c>
    </row>
    <row r="32" customFormat="false" ht="15" hidden="false" customHeight="false" outlineLevel="0" collapsed="false">
      <c r="A32" s="0" t="s">
        <v>397</v>
      </c>
      <c r="B32" s="0" t="s">
        <v>337</v>
      </c>
      <c r="C32" s="0" t="n">
        <v>441.04</v>
      </c>
      <c r="D32" s="0" t="n">
        <f aca="false">Inputs!$B$4</f>
        <v>0.15</v>
      </c>
      <c r="E32" s="0" t="n">
        <f aca="false">C32*D32</f>
        <v>66.156</v>
      </c>
      <c r="F32" s="0" t="n">
        <f aca="false">C32+E32</f>
        <v>507.196</v>
      </c>
      <c r="G32" s="0" t="s">
        <v>364</v>
      </c>
      <c r="H32" s="0" t="n">
        <f aca="false">ROUNDUP(F32/10,0)</f>
        <v>51</v>
      </c>
      <c r="I32" s="0" t="s">
        <v>398</v>
      </c>
    </row>
    <row r="33" customFormat="false" ht="15" hidden="false" customHeight="false" outlineLevel="0" collapsed="false">
      <c r="A33" s="0" t="s">
        <v>399</v>
      </c>
      <c r="B33" s="0" t="s">
        <v>337</v>
      </c>
      <c r="C33" s="0" t="n">
        <v>281.74</v>
      </c>
      <c r="D33" s="0" t="n">
        <f aca="false">Inputs!$B$4</f>
        <v>0.15</v>
      </c>
      <c r="E33" s="0" t="n">
        <f aca="false">C33*D33</f>
        <v>42.261</v>
      </c>
      <c r="F33" s="0" t="n">
        <f aca="false">C33+E33</f>
        <v>324.001</v>
      </c>
      <c r="G33" s="0" t="s">
        <v>364</v>
      </c>
      <c r="H33" s="0" t="n">
        <f aca="false">ROUNDUP(F33/10,0)</f>
        <v>33</v>
      </c>
      <c r="I33" s="0" t="s">
        <v>400</v>
      </c>
    </row>
    <row r="34" customFormat="false" ht="15" hidden="false" customHeight="false" outlineLevel="0" collapsed="false">
      <c r="A34" s="0" t="s">
        <v>401</v>
      </c>
      <c r="B34" s="0" t="s">
        <v>337</v>
      </c>
      <c r="C34" s="0" t="n">
        <v>65.76</v>
      </c>
      <c r="D34" s="0" t="n">
        <f aca="false">Inputs!$B$4</f>
        <v>0.15</v>
      </c>
      <c r="E34" s="0" t="n">
        <f aca="false">C34*D34</f>
        <v>9.864</v>
      </c>
      <c r="F34" s="0" t="n">
        <f aca="false">C34+E34</f>
        <v>75.624</v>
      </c>
      <c r="G34" s="0" t="s">
        <v>364</v>
      </c>
      <c r="H34" s="0" t="n">
        <f aca="false">ROUNDUP(F34/10,0)</f>
        <v>8</v>
      </c>
      <c r="I34" s="0" t="s">
        <v>402</v>
      </c>
    </row>
    <row r="35" customFormat="false" ht="15" hidden="false" customHeight="false" outlineLevel="0" collapsed="false">
      <c r="A35" s="0" t="s">
        <v>403</v>
      </c>
      <c r="B35" s="0" t="s">
        <v>337</v>
      </c>
      <c r="C35" s="0" t="n">
        <v>110.72</v>
      </c>
      <c r="D35" s="0" t="n">
        <f aca="false">Inputs!$B$4</f>
        <v>0.15</v>
      </c>
      <c r="E35" s="0" t="n">
        <f aca="false">C35*D35</f>
        <v>16.608</v>
      </c>
      <c r="F35" s="0" t="n">
        <f aca="false">C35+E35</f>
        <v>127.328</v>
      </c>
      <c r="G35" s="0" t="s">
        <v>364</v>
      </c>
      <c r="H35" s="0" t="n">
        <f aca="false">ROUNDUP(F35/10,0)</f>
        <v>13</v>
      </c>
      <c r="I35" s="0" t="s">
        <v>404</v>
      </c>
    </row>
    <row r="36" customFormat="false" ht="15" hidden="false" customHeight="false" outlineLevel="0" collapsed="false">
      <c r="A36" s="0" t="s">
        <v>405</v>
      </c>
      <c r="B36" s="0" t="s">
        <v>337</v>
      </c>
      <c r="C36" s="0" t="n">
        <v>2724.8</v>
      </c>
      <c r="D36" s="0" t="n">
        <f aca="false">Inputs!$B$4</f>
        <v>0.15</v>
      </c>
      <c r="E36" s="0" t="n">
        <f aca="false">C36*D36</f>
        <v>408.72</v>
      </c>
      <c r="F36" s="0" t="n">
        <f aca="false">C36+E36</f>
        <v>3133.52</v>
      </c>
      <c r="G36" s="0" t="s">
        <v>406</v>
      </c>
      <c r="H36" s="0" t="n">
        <f aca="false">ROUNDUP(F36/16,0)</f>
        <v>196</v>
      </c>
      <c r="I36" s="0" t="s">
        <v>407</v>
      </c>
    </row>
    <row r="37" customFormat="false" ht="15" hidden="false" customHeight="false" outlineLevel="0" collapsed="false">
      <c r="A37" s="0" t="s">
        <v>408</v>
      </c>
      <c r="B37" s="0" t="s">
        <v>409</v>
      </c>
      <c r="C37" s="0" t="n">
        <v>5662</v>
      </c>
      <c r="D37" s="0" t="n">
        <f aca="false">Inputs!$B$4</f>
        <v>0.15</v>
      </c>
      <c r="E37" s="0" t="n">
        <f aca="false">C37*D37</f>
        <v>849.3</v>
      </c>
      <c r="F37" s="0" t="n">
        <f aca="false">C37+E37</f>
        <v>6511.3</v>
      </c>
      <c r="H37" s="0" t="n">
        <f aca="false">ROUNDUP(F37,0)</f>
        <v>6512</v>
      </c>
      <c r="I37" s="0" t="s">
        <v>410</v>
      </c>
    </row>
    <row r="38" customFormat="false" ht="15" hidden="false" customHeight="false" outlineLevel="0" collapsed="false">
      <c r="A38" s="0" t="s">
        <v>411</v>
      </c>
      <c r="B38" s="0" t="s">
        <v>409</v>
      </c>
      <c r="C38" s="0" t="n">
        <v>210</v>
      </c>
      <c r="D38" s="0" t="n">
        <f aca="false">Inputs!$B$4</f>
        <v>0.15</v>
      </c>
      <c r="E38" s="0" t="n">
        <f aca="false">C38*D38</f>
        <v>31.5</v>
      </c>
      <c r="F38" s="0" t="n">
        <f aca="false">C38+E38</f>
        <v>241.5</v>
      </c>
      <c r="H38" s="0" t="n">
        <f aca="false">ROUNDUP(F38,0)</f>
        <v>242</v>
      </c>
      <c r="I38" s="0" t="s">
        <v>412</v>
      </c>
    </row>
    <row r="39" customFormat="false" ht="15" hidden="false" customHeight="false" outlineLevel="0" collapsed="false">
      <c r="A39" s="0" t="s">
        <v>413</v>
      </c>
      <c r="B39" s="0" t="s">
        <v>337</v>
      </c>
      <c r="C39" s="0" t="n">
        <v>231.75</v>
      </c>
      <c r="D39" s="0" t="n">
        <f aca="false">Inputs!$B$4</f>
        <v>0.15</v>
      </c>
      <c r="E39" s="0" t="n">
        <f aca="false">C39*D39</f>
        <v>34.7625</v>
      </c>
      <c r="F39" s="0" t="n">
        <f aca="false">C39+E39</f>
        <v>266.5125</v>
      </c>
      <c r="G39" s="0" t="s">
        <v>364</v>
      </c>
      <c r="H39" s="0" t="n">
        <f aca="false">ROUNDUP(F39/10,0)</f>
        <v>27</v>
      </c>
      <c r="I39" s="0" t="s">
        <v>414</v>
      </c>
    </row>
    <row r="40" customFormat="false" ht="15" hidden="false" customHeight="false" outlineLevel="0" collapsed="false">
      <c r="A40" s="0" t="s">
        <v>415</v>
      </c>
      <c r="B40" s="0" t="s">
        <v>337</v>
      </c>
      <c r="C40" s="0" t="n">
        <v>235.18</v>
      </c>
      <c r="D40" s="0" t="n">
        <f aca="false">Inputs!$B$4</f>
        <v>0.15</v>
      </c>
      <c r="E40" s="0" t="n">
        <f aca="false">C40*D40</f>
        <v>35.277</v>
      </c>
      <c r="F40" s="0" t="n">
        <f aca="false">C40+E40</f>
        <v>270.457</v>
      </c>
      <c r="G40" s="0" t="s">
        <v>406</v>
      </c>
      <c r="H40" s="0" t="n">
        <f aca="false">ROUNDUP(F40/16,0)</f>
        <v>17</v>
      </c>
      <c r="I40" s="0" t="s">
        <v>416</v>
      </c>
    </row>
    <row r="41" customFormat="false" ht="15" hidden="false" customHeight="false" outlineLevel="0" collapsed="false">
      <c r="A41" s="0" t="s">
        <v>417</v>
      </c>
      <c r="B41" s="0" t="s">
        <v>337</v>
      </c>
      <c r="C41" s="0" t="n">
        <v>705.53</v>
      </c>
      <c r="D41" s="0" t="n">
        <f aca="false">Inputs!$B$4</f>
        <v>0.15</v>
      </c>
      <c r="E41" s="0" t="n">
        <f aca="false">C41*D41</f>
        <v>105.8295</v>
      </c>
      <c r="F41" s="0" t="n">
        <f aca="false">C41+E41</f>
        <v>811.3595</v>
      </c>
      <c r="G41" s="0" t="s">
        <v>418</v>
      </c>
      <c r="H41" s="0" t="n">
        <f aca="false">ROUNDUP(F41/12,0)</f>
        <v>68</v>
      </c>
      <c r="I41" s="0" t="s">
        <v>419</v>
      </c>
    </row>
    <row r="42" customFormat="false" ht="15" hidden="false" customHeight="false" outlineLevel="0" collapsed="false">
      <c r="A42" s="0" t="s">
        <v>420</v>
      </c>
      <c r="B42" s="0" t="s">
        <v>337</v>
      </c>
      <c r="C42" s="0" t="n">
        <v>347.25</v>
      </c>
      <c r="D42" s="0" t="n">
        <f aca="false">Inputs!$B$4</f>
        <v>0.15</v>
      </c>
      <c r="E42" s="0" t="n">
        <f aca="false">C42*D42</f>
        <v>52.0875</v>
      </c>
      <c r="F42" s="0" t="n">
        <f aca="false">C42+E42</f>
        <v>399.3375</v>
      </c>
      <c r="G42" s="0" t="s">
        <v>421</v>
      </c>
      <c r="H42" s="0" t="n">
        <f aca="false">ROUNDUP(F42,0)</f>
        <v>400</v>
      </c>
      <c r="I42" s="0" t="s">
        <v>422</v>
      </c>
    </row>
    <row r="43" customFormat="false" ht="15" hidden="false" customHeight="false" outlineLevel="0" collapsed="false">
      <c r="A43" s="0" t="s">
        <v>423</v>
      </c>
      <c r="B43" s="0" t="s">
        <v>337</v>
      </c>
      <c r="C43" s="0" t="n">
        <v>123.8</v>
      </c>
      <c r="D43" s="0" t="n">
        <f aca="false">Inputs!$B$4</f>
        <v>0.15</v>
      </c>
      <c r="E43" s="0" t="n">
        <f aca="false">C43*D43</f>
        <v>18.57</v>
      </c>
      <c r="F43" s="0" t="n">
        <f aca="false">C43+E43</f>
        <v>142.37</v>
      </c>
      <c r="G43" s="0" t="s">
        <v>354</v>
      </c>
      <c r="H43" s="0" t="n">
        <f aca="false">ROUNDUP(ROUNDUP(F43/6.19,0)/MAX(1,INT(10/6.19)),0)</f>
        <v>23</v>
      </c>
      <c r="I43" s="0" t="s">
        <v>424</v>
      </c>
    </row>
    <row r="44" customFormat="false" ht="15" hidden="false" customHeight="false" outlineLevel="0" collapsed="false">
      <c r="A44" s="0" t="s">
        <v>425</v>
      </c>
      <c r="B44" s="0" t="s">
        <v>337</v>
      </c>
      <c r="C44" s="0" t="n">
        <v>686</v>
      </c>
      <c r="D44" s="0" t="n">
        <f aca="false">Inputs!$B$4</f>
        <v>0.15</v>
      </c>
      <c r="E44" s="0" t="n">
        <f aca="false">C44*D44</f>
        <v>102.9</v>
      </c>
      <c r="F44" s="0" t="n">
        <f aca="false">C44+E44</f>
        <v>788.9</v>
      </c>
      <c r="G44" s="0" t="s">
        <v>364</v>
      </c>
      <c r="H44" s="0" t="n">
        <f aca="false">ROUNDUP(F44/10,0)</f>
        <v>79</v>
      </c>
      <c r="I44" s="0" t="s">
        <v>426</v>
      </c>
    </row>
    <row r="45" customFormat="false" ht="15" hidden="false" customHeight="false" outlineLevel="0" collapsed="false">
      <c r="A45" s="0" t="s">
        <v>427</v>
      </c>
      <c r="B45" s="0" t="s">
        <v>337</v>
      </c>
      <c r="C45" s="0" t="n">
        <v>232</v>
      </c>
      <c r="D45" s="0" t="n">
        <f aca="false">Inputs!$B$4</f>
        <v>0.15</v>
      </c>
      <c r="E45" s="0" t="n">
        <f aca="false">C45*D45</f>
        <v>34.8</v>
      </c>
      <c r="F45" s="0" t="n">
        <f aca="false">C45+E45</f>
        <v>266.8</v>
      </c>
      <c r="G45" s="0" t="s">
        <v>364</v>
      </c>
      <c r="H45" s="0" t="n">
        <f aca="false">ROUNDUP(F45/10,0)</f>
        <v>27</v>
      </c>
      <c r="I45" s="0" t="s">
        <v>428</v>
      </c>
    </row>
    <row r="46" customFormat="false" ht="15" hidden="false" customHeight="false" outlineLevel="0" collapsed="false">
      <c r="A46" s="0" t="s">
        <v>429</v>
      </c>
      <c r="B46" s="0" t="s">
        <v>430</v>
      </c>
      <c r="C46" s="0" t="n">
        <v>16562.72</v>
      </c>
      <c r="D46" s="0" t="n">
        <f aca="false">Inputs!$B$5</f>
        <v>0.06</v>
      </c>
      <c r="E46" s="0" t="n">
        <f aca="false">C46*D46</f>
        <v>993.7632</v>
      </c>
      <c r="F46" s="0" t="n">
        <f aca="false">C46+E46</f>
        <v>17556.4832</v>
      </c>
      <c r="G46" s="0" t="s">
        <v>431</v>
      </c>
      <c r="H46" s="0" t="n">
        <f aca="false">ROUNDUP(F46/48,0)</f>
        <v>366</v>
      </c>
      <c r="I46" s="0" t="s">
        <v>432</v>
      </c>
    </row>
    <row r="47" customFormat="false" ht="15" hidden="false" customHeight="false" outlineLevel="0" collapsed="false">
      <c r="A47" s="0" t="s">
        <v>433</v>
      </c>
      <c r="B47" s="0" t="s">
        <v>430</v>
      </c>
      <c r="C47" s="0" t="n">
        <v>1364.26</v>
      </c>
      <c r="D47" s="0" t="n">
        <f aca="false">Inputs!$B$5</f>
        <v>0.06</v>
      </c>
      <c r="E47" s="0" t="n">
        <f aca="false">C47*D47</f>
        <v>81.8556</v>
      </c>
      <c r="F47" s="0" t="n">
        <f aca="false">C47+E47</f>
        <v>1446.1156</v>
      </c>
      <c r="G47" s="0" t="s">
        <v>431</v>
      </c>
      <c r="H47" s="0" t="n">
        <f aca="false">ROUNDUP(F47/48,0)</f>
        <v>31</v>
      </c>
      <c r="I47" s="0" t="s">
        <v>434</v>
      </c>
    </row>
    <row r="48" customFormat="false" ht="15" hidden="false" customHeight="false" outlineLevel="0" collapsed="false">
      <c r="A48" s="0" t="s">
        <v>435</v>
      </c>
      <c r="B48" s="0" t="s">
        <v>430</v>
      </c>
      <c r="C48" s="0" t="n">
        <v>258.96</v>
      </c>
      <c r="D48" s="0" t="n">
        <f aca="false">Inputs!$B$5</f>
        <v>0.06</v>
      </c>
      <c r="E48" s="0" t="n">
        <f aca="false">C48*D48</f>
        <v>15.5376</v>
      </c>
      <c r="F48" s="0" t="n">
        <f aca="false">C48+E48</f>
        <v>274.4976</v>
      </c>
      <c r="G48" s="0" t="s">
        <v>431</v>
      </c>
      <c r="H48" s="0" t="n">
        <f aca="false">ROUNDUP(F48/48,0)</f>
        <v>6</v>
      </c>
      <c r="I48" s="0" t="s">
        <v>436</v>
      </c>
    </row>
    <row r="49" customFormat="false" ht="15" hidden="false" customHeight="false" outlineLevel="0" collapsed="false">
      <c r="A49" s="0" t="s">
        <v>437</v>
      </c>
      <c r="B49" s="0" t="s">
        <v>430</v>
      </c>
      <c r="C49" s="0" t="n">
        <v>83.55</v>
      </c>
      <c r="D49" s="0" t="n">
        <f aca="false">Inputs!$B$5</f>
        <v>0.06</v>
      </c>
      <c r="E49" s="0" t="n">
        <f aca="false">C49*D49</f>
        <v>5.013</v>
      </c>
      <c r="F49" s="0" t="n">
        <f aca="false">C49+E49</f>
        <v>88.563</v>
      </c>
      <c r="G49" s="0" t="s">
        <v>438</v>
      </c>
      <c r="H49" s="0" t="n">
        <f aca="false">ROUNDUP(F49/32,0)</f>
        <v>3</v>
      </c>
      <c r="I49" s="0" t="s">
        <v>439</v>
      </c>
    </row>
    <row r="50" customFormat="false" ht="15" hidden="false" customHeight="false" outlineLevel="0" collapsed="false">
      <c r="A50" s="0" t="s">
        <v>440</v>
      </c>
      <c r="B50" s="0" t="s">
        <v>430</v>
      </c>
      <c r="C50" s="0" t="n">
        <v>62.95</v>
      </c>
      <c r="D50" s="0" t="n">
        <f aca="false">Inputs!$B$5</f>
        <v>0.06</v>
      </c>
      <c r="E50" s="0" t="n">
        <f aca="false">C50*D50</f>
        <v>3.777</v>
      </c>
      <c r="F50" s="0" t="n">
        <f aca="false">C50+E50</f>
        <v>66.727</v>
      </c>
      <c r="G50" s="0" t="s">
        <v>438</v>
      </c>
      <c r="H50" s="0" t="n">
        <f aca="false">ROUNDUP(F50/32,0)</f>
        <v>3</v>
      </c>
      <c r="I50" s="0" t="s">
        <v>441</v>
      </c>
    </row>
    <row r="51" customFormat="false" ht="15" hidden="false" customHeight="false" outlineLevel="0" collapsed="false">
      <c r="A51" s="0" t="s">
        <v>442</v>
      </c>
      <c r="B51" s="0" t="s">
        <v>430</v>
      </c>
      <c r="C51" s="0" t="n">
        <v>314.29</v>
      </c>
      <c r="D51" s="0" t="n">
        <f aca="false">Inputs!$B$5</f>
        <v>0.06</v>
      </c>
      <c r="E51" s="0" t="n">
        <f aca="false">C51*D51</f>
        <v>18.8574</v>
      </c>
      <c r="F51" s="0" t="n">
        <f aca="false">C51+E51</f>
        <v>333.1474</v>
      </c>
      <c r="G51" s="0" t="s">
        <v>438</v>
      </c>
      <c r="H51" s="0" t="n">
        <f aca="false">ROUNDUP(F51/32,0)</f>
        <v>11</v>
      </c>
      <c r="I51" s="0" t="s">
        <v>443</v>
      </c>
    </row>
    <row r="52" customFormat="false" ht="15" hidden="false" customHeight="false" outlineLevel="0" collapsed="false">
      <c r="A52" s="0" t="s">
        <v>444</v>
      </c>
      <c r="B52" s="0" t="s">
        <v>430</v>
      </c>
      <c r="C52" s="0" t="n">
        <v>1144.21</v>
      </c>
      <c r="D52" s="0" t="n">
        <f aca="false">Inputs!$B$5</f>
        <v>0.06</v>
      </c>
      <c r="E52" s="0" t="n">
        <f aca="false">C52*D52</f>
        <v>68.6526</v>
      </c>
      <c r="F52" s="0" t="n">
        <f aca="false">C52+E52</f>
        <v>1212.8626</v>
      </c>
      <c r="G52" s="0" t="s">
        <v>438</v>
      </c>
      <c r="H52" s="0" t="n">
        <f aca="false">ROUNDUP(F52/32,0)</f>
        <v>38</v>
      </c>
      <c r="I52" s="0" t="s">
        <v>445</v>
      </c>
    </row>
    <row r="53" customFormat="false" ht="15" hidden="false" customHeight="false" outlineLevel="0" collapsed="false">
      <c r="A53" s="0" t="s">
        <v>446</v>
      </c>
      <c r="B53" s="0" t="s">
        <v>430</v>
      </c>
      <c r="C53" s="0" t="n">
        <v>4226.91</v>
      </c>
      <c r="D53" s="0" t="n">
        <f aca="false">Inputs!$B$5</f>
        <v>0.06</v>
      </c>
      <c r="E53" s="0" t="n">
        <f aca="false">C53*D53</f>
        <v>253.6146</v>
      </c>
      <c r="F53" s="0" t="n">
        <f aca="false">C53+E53</f>
        <v>4480.5246</v>
      </c>
      <c r="G53" s="0" t="s">
        <v>438</v>
      </c>
      <c r="H53" s="0" t="n">
        <f aca="false">ROUNDUP(F53/32,0)</f>
        <v>141</v>
      </c>
      <c r="I53" s="0" t="s">
        <v>447</v>
      </c>
    </row>
    <row r="54" customFormat="false" ht="15" hidden="false" customHeight="false" outlineLevel="0" collapsed="false">
      <c r="A54" s="0" t="s">
        <v>448</v>
      </c>
      <c r="B54" s="0" t="s">
        <v>430</v>
      </c>
      <c r="C54" s="0" t="n">
        <v>541.35</v>
      </c>
      <c r="D54" s="0" t="n">
        <f aca="false">Inputs!$B$5</f>
        <v>0.06</v>
      </c>
      <c r="E54" s="0" t="n">
        <f aca="false">C54*D54</f>
        <v>32.481</v>
      </c>
      <c r="F54" s="0" t="n">
        <f aca="false">C54+E54</f>
        <v>573.831</v>
      </c>
      <c r="G54" s="0" t="s">
        <v>438</v>
      </c>
      <c r="H54" s="0" t="n">
        <f aca="false">ROUNDUP(F54/32,0)</f>
        <v>18</v>
      </c>
      <c r="I54" s="0" t="s">
        <v>449</v>
      </c>
    </row>
    <row r="55" customFormat="false" ht="15" hidden="false" customHeight="false" outlineLevel="0" collapsed="false">
      <c r="A55" s="0" t="s">
        <v>450</v>
      </c>
      <c r="B55" s="0" t="s">
        <v>430</v>
      </c>
      <c r="C55" s="0" t="n">
        <v>2245.94</v>
      </c>
      <c r="D55" s="0" t="n">
        <f aca="false">Inputs!$B$5</f>
        <v>0.06</v>
      </c>
      <c r="E55" s="0" t="n">
        <f aca="false">C55*D55</f>
        <v>134.7564</v>
      </c>
      <c r="F55" s="0" t="n">
        <f aca="false">C55+E55</f>
        <v>2380.6964</v>
      </c>
      <c r="G55" s="0" t="s">
        <v>438</v>
      </c>
      <c r="H55" s="0" t="n">
        <f aca="false">ROUNDUP(F55/32,0)</f>
        <v>75</v>
      </c>
      <c r="I55" s="0" t="s">
        <v>451</v>
      </c>
    </row>
    <row r="56" customFormat="false" ht="15" hidden="false" customHeight="false" outlineLevel="0" collapsed="false">
      <c r="A56" s="0" t="s">
        <v>452</v>
      </c>
      <c r="B56" s="0" t="s">
        <v>430</v>
      </c>
      <c r="C56" s="0" t="n">
        <v>334.8</v>
      </c>
      <c r="D56" s="0" t="n">
        <f aca="false">Inputs!$B$5</f>
        <v>0.06</v>
      </c>
      <c r="E56" s="0" t="n">
        <f aca="false">C56*D56</f>
        <v>20.088</v>
      </c>
      <c r="F56" s="0" t="n">
        <f aca="false">C56+E56</f>
        <v>354.888</v>
      </c>
      <c r="G56" s="0" t="s">
        <v>438</v>
      </c>
      <c r="H56" s="0" t="n">
        <f aca="false">ROUNDUP(F56/32,0)</f>
        <v>12</v>
      </c>
      <c r="I56" s="0" t="s">
        <v>453</v>
      </c>
    </row>
    <row r="57" customFormat="false" ht="15" hidden="false" customHeight="false" outlineLevel="0" collapsed="false">
      <c r="A57" s="0" t="s">
        <v>454</v>
      </c>
      <c r="B57" s="0" t="s">
        <v>430</v>
      </c>
      <c r="C57" s="0" t="n">
        <v>31.88</v>
      </c>
      <c r="D57" s="0" t="n">
        <f aca="false">Inputs!$B$5</f>
        <v>0.06</v>
      </c>
      <c r="E57" s="0" t="n">
        <f aca="false">C57*D57</f>
        <v>1.9128</v>
      </c>
      <c r="F57" s="0" t="n">
        <f aca="false">C57+E57</f>
        <v>33.7928</v>
      </c>
      <c r="G57" s="0" t="s">
        <v>455</v>
      </c>
      <c r="H57" s="0" t="n">
        <f aca="false">ROUNDUP(F57/15,0)</f>
        <v>3</v>
      </c>
      <c r="I57" s="0" t="s">
        <v>456</v>
      </c>
    </row>
    <row r="58" customFormat="false" ht="15" hidden="false" customHeight="false" outlineLevel="0" collapsed="false">
      <c r="A58" s="0" t="s">
        <v>457</v>
      </c>
      <c r="B58" s="0" t="s">
        <v>430</v>
      </c>
      <c r="C58" s="0" t="n">
        <v>909.77</v>
      </c>
      <c r="D58" s="0" t="n">
        <f aca="false">Inputs!$B$5</f>
        <v>0.06</v>
      </c>
      <c r="E58" s="0" t="n">
        <f aca="false">C58*D58</f>
        <v>54.5862</v>
      </c>
      <c r="F58" s="0" t="n">
        <f aca="false">C58+E58</f>
        <v>964.3562</v>
      </c>
      <c r="G58" s="0" t="s">
        <v>430</v>
      </c>
      <c r="H58" s="0" t="n">
        <f aca="false">ROUNDUP(F58,0)</f>
        <v>965</v>
      </c>
      <c r="I58" s="0" t="s">
        <v>458</v>
      </c>
    </row>
    <row r="59" customFormat="false" ht="15" hidden="false" customHeight="false" outlineLevel="0" collapsed="false">
      <c r="A59" s="0" t="s">
        <v>459</v>
      </c>
      <c r="B59" s="0" t="s">
        <v>430</v>
      </c>
      <c r="C59" s="0" t="n">
        <v>353.31</v>
      </c>
      <c r="D59" s="0" t="n">
        <f aca="false">Inputs!$B$5</f>
        <v>0.06</v>
      </c>
      <c r="E59" s="0" t="n">
        <f aca="false">C59*D59</f>
        <v>21.1986</v>
      </c>
      <c r="F59" s="0" t="n">
        <f aca="false">C59+E59</f>
        <v>374.5086</v>
      </c>
      <c r="G59" s="0" t="s">
        <v>430</v>
      </c>
      <c r="H59" s="0" t="n">
        <f aca="false">ROUNDUP(F59,0)</f>
        <v>375</v>
      </c>
      <c r="I59" s="0" t="s">
        <v>460</v>
      </c>
    </row>
    <row r="60" customFormat="false" ht="15" hidden="false" customHeight="false" outlineLevel="0" collapsed="false">
      <c r="A60" s="0" t="s">
        <v>461</v>
      </c>
      <c r="B60" s="0" t="s">
        <v>430</v>
      </c>
      <c r="C60" s="0" t="n">
        <v>5635.98</v>
      </c>
      <c r="D60" s="0" t="n">
        <f aca="false">Inputs!$B$5</f>
        <v>0.06</v>
      </c>
      <c r="E60" s="0" t="n">
        <f aca="false">C60*D60</f>
        <v>338.1588</v>
      </c>
      <c r="F60" s="0" t="n">
        <f aca="false">C60+E60</f>
        <v>5974.1388</v>
      </c>
      <c r="G60" s="0" t="s">
        <v>430</v>
      </c>
      <c r="H60" s="0" t="n">
        <f aca="false">ROUNDUP(F60,0)</f>
        <v>5975</v>
      </c>
      <c r="I60" s="0" t="s">
        <v>462</v>
      </c>
    </row>
    <row r="61" customFormat="false" ht="15" hidden="false" customHeight="false" outlineLevel="0" collapsed="false">
      <c r="A61" s="0" t="s">
        <v>463</v>
      </c>
      <c r="B61" s="0" t="s">
        <v>337</v>
      </c>
      <c r="C61" s="0" t="n">
        <v>724.25</v>
      </c>
      <c r="D61" s="0" t="n">
        <f aca="false">Inputs!$B$4</f>
        <v>0.15</v>
      </c>
      <c r="E61" s="0" t="n">
        <f aca="false">C61*D61</f>
        <v>108.6375</v>
      </c>
      <c r="F61" s="0" t="n">
        <f aca="false">C61+E61</f>
        <v>832.8875</v>
      </c>
      <c r="G61" s="0" t="s">
        <v>364</v>
      </c>
      <c r="H61" s="0" t="n">
        <f aca="false">ROUNDUP(F61/10,0)</f>
        <v>84</v>
      </c>
      <c r="I61" s="0" t="s">
        <v>464</v>
      </c>
    </row>
    <row r="62" customFormat="false" ht="15" hidden="false" customHeight="false" outlineLevel="0" collapsed="false">
      <c r="A62" s="0" t="s">
        <v>465</v>
      </c>
      <c r="B62" s="0" t="s">
        <v>337</v>
      </c>
      <c r="C62" s="0" t="n">
        <v>289.39</v>
      </c>
      <c r="D62" s="0" t="n">
        <f aca="false">Inputs!$B$4</f>
        <v>0.15</v>
      </c>
      <c r="E62" s="0" t="n">
        <f aca="false">C62*D62</f>
        <v>43.4085</v>
      </c>
      <c r="F62" s="0" t="n">
        <f aca="false">C62+E62</f>
        <v>332.7985</v>
      </c>
      <c r="G62" s="0" t="s">
        <v>364</v>
      </c>
      <c r="H62" s="0" t="n">
        <f aca="false">ROUNDUP(F62/10,0)</f>
        <v>34</v>
      </c>
      <c r="I62" s="0" t="s">
        <v>466</v>
      </c>
    </row>
    <row r="63" customFormat="false" ht="15" hidden="false" customHeight="false" outlineLevel="0" collapsed="false">
      <c r="A63" s="0" t="s">
        <v>467</v>
      </c>
      <c r="B63" s="0" t="s">
        <v>337</v>
      </c>
      <c r="C63" s="0" t="n">
        <v>187.2</v>
      </c>
      <c r="D63" s="0" t="n">
        <f aca="false">Inputs!$B$4</f>
        <v>0.15</v>
      </c>
      <c r="E63" s="0" t="n">
        <f aca="false">C63*D63</f>
        <v>28.08</v>
      </c>
      <c r="F63" s="0" t="n">
        <f aca="false">C63+E63</f>
        <v>215.28</v>
      </c>
      <c r="G63" s="0" t="s">
        <v>364</v>
      </c>
      <c r="H63" s="0" t="n">
        <f aca="false">ROUNDUP(F63/10,0)</f>
        <v>22</v>
      </c>
      <c r="I63" s="0" t="s">
        <v>468</v>
      </c>
    </row>
    <row r="64" customFormat="false" ht="15" hidden="false" customHeight="false" outlineLevel="0" collapsed="false">
      <c r="A64" s="0" t="s">
        <v>469</v>
      </c>
      <c r="B64" s="0" t="s">
        <v>337</v>
      </c>
      <c r="C64" s="0" t="n">
        <v>16</v>
      </c>
      <c r="D64" s="0" t="n">
        <f aca="false">Inputs!$B$4</f>
        <v>0.15</v>
      </c>
      <c r="E64" s="0" t="n">
        <f aca="false">C64*D64</f>
        <v>2.4</v>
      </c>
      <c r="F64" s="0" t="n">
        <f aca="false">C64+E64</f>
        <v>18.4</v>
      </c>
      <c r="G64" s="0" t="s">
        <v>364</v>
      </c>
      <c r="H64" s="0" t="n">
        <f aca="false">ROUNDUP(F64/10,0)</f>
        <v>2</v>
      </c>
      <c r="I64" s="0" t="s">
        <v>470</v>
      </c>
    </row>
    <row r="65" customFormat="false" ht="15" hidden="false" customHeight="false" outlineLevel="0" collapsed="false">
      <c r="A65" s="0" t="s">
        <v>471</v>
      </c>
      <c r="B65" s="0" t="s">
        <v>337</v>
      </c>
      <c r="C65" s="0" t="n">
        <v>1005.31</v>
      </c>
      <c r="D65" s="0" t="n">
        <f aca="false">Inputs!$B$5</f>
        <v>0.06</v>
      </c>
      <c r="E65" s="0" t="n">
        <f aca="false">C65*D65</f>
        <v>60.3186</v>
      </c>
      <c r="F65" s="0" t="n">
        <f aca="false">C65+E65</f>
        <v>1065.6286</v>
      </c>
      <c r="G65" s="0" t="s">
        <v>472</v>
      </c>
      <c r="H65" s="0" t="n">
        <f aca="false">ROUNDUP(F65,0)</f>
        <v>1066</v>
      </c>
      <c r="I65" s="0" t="s">
        <v>473</v>
      </c>
    </row>
    <row r="66" customFormat="false" ht="15" hidden="false" customHeight="false" outlineLevel="0" collapsed="false">
      <c r="A66" s="0" t="s">
        <v>474</v>
      </c>
      <c r="B66" s="0" t="s">
        <v>337</v>
      </c>
      <c r="C66" s="0" t="n">
        <v>193.01</v>
      </c>
      <c r="D66" s="0" t="n">
        <f aca="false">Inputs!$B$5</f>
        <v>0.06</v>
      </c>
      <c r="E66" s="0" t="n">
        <f aca="false">C66*D66</f>
        <v>11.5806</v>
      </c>
      <c r="F66" s="0" t="n">
        <f aca="false">C66+E66</f>
        <v>204.5906</v>
      </c>
      <c r="G66" s="0" t="s">
        <v>472</v>
      </c>
      <c r="H66" s="0" t="n">
        <f aca="false">ROUNDUP(F66,0)</f>
        <v>205</v>
      </c>
      <c r="I66" s="0" t="s">
        <v>475</v>
      </c>
    </row>
    <row r="67" customFormat="false" ht="15" hidden="false" customHeight="false" outlineLevel="0" collapsed="false">
      <c r="A67" s="0" t="s">
        <v>476</v>
      </c>
      <c r="B67" s="0" t="s">
        <v>337</v>
      </c>
      <c r="C67" s="0" t="n">
        <v>213.34</v>
      </c>
      <c r="D67" s="0" t="n">
        <f aca="false">Inputs!$B$5</f>
        <v>0.06</v>
      </c>
      <c r="E67" s="0" t="n">
        <f aca="false">C67*D67</f>
        <v>12.8004</v>
      </c>
      <c r="F67" s="0" t="n">
        <f aca="false">C67+E67</f>
        <v>226.1404</v>
      </c>
      <c r="G67" s="0" t="s">
        <v>472</v>
      </c>
      <c r="H67" s="0" t="n">
        <f aca="false">ROUNDUP(F67,0)</f>
        <v>227</v>
      </c>
      <c r="I67" s="0" t="s">
        <v>477</v>
      </c>
    </row>
    <row r="68" customFormat="false" ht="15" hidden="false" customHeight="false" outlineLevel="0" collapsed="false">
      <c r="A68" s="0" t="s">
        <v>478</v>
      </c>
      <c r="B68" s="0" t="s">
        <v>337</v>
      </c>
      <c r="C68" s="0" t="n">
        <v>273.02</v>
      </c>
      <c r="D68" s="0" t="n">
        <f aca="false">Inputs!$B$5</f>
        <v>0.06</v>
      </c>
      <c r="E68" s="0" t="n">
        <f aca="false">C68*D68</f>
        <v>16.3812</v>
      </c>
      <c r="F68" s="0" t="n">
        <f aca="false">C68+E68</f>
        <v>289.4012</v>
      </c>
      <c r="G68" s="0" t="s">
        <v>479</v>
      </c>
      <c r="H68" s="0" t="n">
        <f aca="false">ROUNDUP(F68,0)</f>
        <v>290</v>
      </c>
      <c r="I68" s="0" t="s">
        <v>480</v>
      </c>
    </row>
    <row r="69" customFormat="false" ht="15" hidden="false" customHeight="false" outlineLevel="0" collapsed="false">
      <c r="A69" s="0" t="s">
        <v>481</v>
      </c>
      <c r="B69" s="0" t="s">
        <v>337</v>
      </c>
      <c r="C69" s="0" t="n">
        <v>629.77</v>
      </c>
      <c r="D69" s="0" t="n">
        <f aca="false">Inputs!$B$5</f>
        <v>0.06</v>
      </c>
      <c r="E69" s="0" t="n">
        <f aca="false">C69*D69</f>
        <v>37.7862</v>
      </c>
      <c r="F69" s="0" t="n">
        <f aca="false">C69+E69</f>
        <v>667.5562</v>
      </c>
      <c r="G69" s="0" t="s">
        <v>479</v>
      </c>
      <c r="H69" s="0" t="n">
        <f aca="false">ROUNDUP(F69,0)</f>
        <v>668</v>
      </c>
      <c r="I69" s="0" t="s">
        <v>482</v>
      </c>
    </row>
    <row r="70" customFormat="false" ht="15" hidden="false" customHeight="false" outlineLevel="0" collapsed="false">
      <c r="A70" s="0" t="s">
        <v>483</v>
      </c>
      <c r="B70" s="0" t="s">
        <v>337</v>
      </c>
      <c r="C70" s="0" t="n">
        <v>149.17</v>
      </c>
      <c r="D70" s="0" t="n">
        <f aca="false">Inputs!$B$5</f>
        <v>0.06</v>
      </c>
      <c r="E70" s="0" t="n">
        <f aca="false">C70*D70</f>
        <v>8.9502</v>
      </c>
      <c r="F70" s="0" t="n">
        <f aca="false">C70+E70</f>
        <v>158.1202</v>
      </c>
      <c r="G70" s="0" t="s">
        <v>479</v>
      </c>
      <c r="H70" s="0" t="n">
        <f aca="false">ROUNDUP(F70,0)</f>
        <v>159</v>
      </c>
      <c r="I70" s="0" t="s">
        <v>484</v>
      </c>
    </row>
    <row r="71" customFormat="false" ht="15" hidden="false" customHeight="false" outlineLevel="0" collapsed="false">
      <c r="A71" s="0" t="s">
        <v>485</v>
      </c>
      <c r="B71" s="0" t="s">
        <v>337</v>
      </c>
      <c r="C71" s="0" t="n">
        <v>235.98</v>
      </c>
      <c r="D71" s="0" t="n">
        <f aca="false">Inputs!$B$5</f>
        <v>0.06</v>
      </c>
      <c r="E71" s="0" t="n">
        <f aca="false">C71*D71</f>
        <v>14.1588</v>
      </c>
      <c r="F71" s="0" t="n">
        <f aca="false">C71+E71</f>
        <v>250.1388</v>
      </c>
      <c r="G71" s="0" t="s">
        <v>479</v>
      </c>
      <c r="H71" s="0" t="n">
        <f aca="false">ROUNDUP(F71,0)</f>
        <v>251</v>
      </c>
      <c r="I71" s="0" t="s">
        <v>486</v>
      </c>
    </row>
    <row r="72" customFormat="false" ht="15" hidden="false" customHeight="false" outlineLevel="0" collapsed="false">
      <c r="A72" s="0" t="s">
        <v>487</v>
      </c>
      <c r="B72" s="0" t="s">
        <v>337</v>
      </c>
      <c r="C72" s="0" t="n">
        <v>24.04</v>
      </c>
      <c r="D72" s="0" t="n">
        <f aca="false">Inputs!$B$5</f>
        <v>0.06</v>
      </c>
      <c r="E72" s="0" t="n">
        <f aca="false">C72*D72</f>
        <v>1.4424</v>
      </c>
      <c r="F72" s="0" t="n">
        <f aca="false">C72+E72</f>
        <v>25.4824</v>
      </c>
      <c r="G72" s="0" t="s">
        <v>479</v>
      </c>
      <c r="H72" s="0" t="n">
        <f aca="false">ROUNDUP(F72,0)</f>
        <v>26</v>
      </c>
      <c r="I72" s="0" t="s">
        <v>488</v>
      </c>
    </row>
    <row r="73" customFormat="false" ht="15" hidden="false" customHeight="false" outlineLevel="0" collapsed="false">
      <c r="A73" s="0" t="s">
        <v>489</v>
      </c>
      <c r="B73" s="0" t="s">
        <v>337</v>
      </c>
      <c r="C73" s="0" t="n">
        <v>107</v>
      </c>
      <c r="D73" s="0" t="n">
        <f aca="false">Inputs!$B$4</f>
        <v>0.15</v>
      </c>
      <c r="E73" s="0" t="n">
        <f aca="false">C73*D73</f>
        <v>16.05</v>
      </c>
      <c r="F73" s="0" t="n">
        <f aca="false">C73+E73</f>
        <v>123.05</v>
      </c>
      <c r="G73" s="0" t="s">
        <v>364</v>
      </c>
      <c r="H73" s="0" t="n">
        <f aca="false">ROUNDUP(ROUNDUP(F73/2,0)/MAX(1,INT(10/2)),0)</f>
        <v>13</v>
      </c>
      <c r="I73" s="0" t="s">
        <v>490</v>
      </c>
    </row>
    <row r="74" customFormat="false" ht="15" hidden="false" customHeight="false" outlineLevel="0" collapsed="false">
      <c r="A74" s="0" t="s">
        <v>491</v>
      </c>
      <c r="B74" s="0" t="s">
        <v>337</v>
      </c>
      <c r="C74" s="0" t="n">
        <v>766.14</v>
      </c>
      <c r="D74" s="0" t="n">
        <f aca="false">Inputs!$B$4</f>
        <v>0.15</v>
      </c>
      <c r="E74" s="0" t="n">
        <f aca="false">C74*D74</f>
        <v>114.921</v>
      </c>
      <c r="F74" s="0" t="n">
        <f aca="false">C74+E74</f>
        <v>881.061</v>
      </c>
      <c r="G74" s="0" t="s">
        <v>364</v>
      </c>
      <c r="H74" s="0" t="n">
        <f aca="false">ROUNDUP(ROUNDUP(F74/1.333,0)/MAX(1,INT(10/1.333)),0)</f>
        <v>95</v>
      </c>
      <c r="I74" s="0" t="s">
        <v>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493</v>
      </c>
      <c r="B1" s="4" t="s">
        <v>494</v>
      </c>
      <c r="C1" s="4" t="s">
        <v>495</v>
      </c>
    </row>
    <row r="2" customFormat="false" ht="15" hidden="false" customHeight="false" outlineLevel="0" collapsed="false">
      <c r="A2" s="0" t="s">
        <v>496</v>
      </c>
      <c r="B2" s="0" t="s">
        <v>497</v>
      </c>
      <c r="C2" s="0" t="s">
        <v>498</v>
      </c>
    </row>
    <row r="3" customFormat="false" ht="15" hidden="false" customHeight="false" outlineLevel="0" collapsed="false">
      <c r="A3" s="0" t="s">
        <v>499</v>
      </c>
      <c r="B3" s="0" t="s">
        <v>500</v>
      </c>
      <c r="C3" s="0" t="s">
        <v>501</v>
      </c>
    </row>
    <row r="4" customFormat="false" ht="15" hidden="false" customHeight="false" outlineLevel="0" collapsed="false">
      <c r="A4" s="0" t="s">
        <v>502</v>
      </c>
      <c r="B4" s="0" t="s">
        <v>503</v>
      </c>
      <c r="C4" s="0" t="s">
        <v>504</v>
      </c>
    </row>
    <row r="5" customFormat="false" ht="15" hidden="false" customHeight="false" outlineLevel="0" collapsed="false">
      <c r="A5" s="0" t="s">
        <v>505</v>
      </c>
      <c r="B5" s="0" t="s">
        <v>506</v>
      </c>
      <c r="C5" s="0" t="s">
        <v>507</v>
      </c>
    </row>
    <row r="6" customFormat="false" ht="15" hidden="false" customHeight="false" outlineLevel="0" collapsed="false">
      <c r="A6" s="0" t="s">
        <v>508</v>
      </c>
      <c r="B6" s="0" t="s">
        <v>509</v>
      </c>
      <c r="C6" s="0" t="s">
        <v>510</v>
      </c>
    </row>
    <row r="7" customFormat="false" ht="15" hidden="false" customHeight="false" outlineLevel="0" collapsed="false">
      <c r="A7" s="0" t="s">
        <v>511</v>
      </c>
      <c r="B7" s="0" t="s">
        <v>512</v>
      </c>
      <c r="C7" s="0" t="s">
        <v>513</v>
      </c>
    </row>
    <row r="8" customFormat="false" ht="15" hidden="false" customHeight="false" outlineLevel="0" collapsed="false">
      <c r="A8" s="0" t="s">
        <v>514</v>
      </c>
      <c r="B8" s="0" t="s">
        <v>515</v>
      </c>
      <c r="C8" s="0" t="s">
        <v>516</v>
      </c>
    </row>
    <row r="9" customFormat="false" ht="15" hidden="false" customHeight="false" outlineLevel="0" collapsed="false">
      <c r="A9" s="0" t="s">
        <v>517</v>
      </c>
      <c r="B9" s="0" t="s">
        <v>518</v>
      </c>
      <c r="C9" s="0" t="s">
        <v>519</v>
      </c>
    </row>
    <row r="10" customFormat="false" ht="15" hidden="false" customHeight="false" outlineLevel="0" collapsed="false">
      <c r="A10" s="0" t="s">
        <v>520</v>
      </c>
      <c r="B10" s="0" t="s">
        <v>521</v>
      </c>
      <c r="C10" s="0" t="s">
        <v>522</v>
      </c>
    </row>
    <row r="11" customFormat="false" ht="15" hidden="false" customHeight="false" outlineLevel="0" collapsed="false">
      <c r="A11" s="0" t="s">
        <v>523</v>
      </c>
      <c r="B11" s="0" t="s">
        <v>524</v>
      </c>
      <c r="C11" s="0" t="s">
        <v>525</v>
      </c>
    </row>
    <row r="12" customFormat="false" ht="15" hidden="false" customHeight="false" outlineLevel="0" collapsed="false">
      <c r="A12" s="0" t="s">
        <v>526</v>
      </c>
      <c r="B12" s="0" t="s">
        <v>527</v>
      </c>
      <c r="C12" s="0" t="s">
        <v>528</v>
      </c>
    </row>
    <row r="13" customFormat="false" ht="15" hidden="false" customHeight="false" outlineLevel="0" collapsed="false">
      <c r="A13" s="0" t="s">
        <v>529</v>
      </c>
      <c r="B13" s="0" t="s">
        <v>530</v>
      </c>
      <c r="C13" s="0" t="s">
        <v>531</v>
      </c>
    </row>
    <row r="14" customFormat="false" ht="15" hidden="false" customHeight="false" outlineLevel="0" collapsed="false">
      <c r="A14" s="0" t="s">
        <v>532</v>
      </c>
      <c r="B14" s="0" t="s">
        <v>533</v>
      </c>
      <c r="C14" s="0" t="s">
        <v>534</v>
      </c>
    </row>
    <row r="15" customFormat="false" ht="15" hidden="false" customHeight="false" outlineLevel="0" collapsed="false">
      <c r="A15" s="0" t="s">
        <v>535</v>
      </c>
      <c r="B15" s="0" t="s">
        <v>536</v>
      </c>
      <c r="C15" s="0" t="s">
        <v>537</v>
      </c>
    </row>
    <row r="16" customFormat="false" ht="15" hidden="false" customHeight="false" outlineLevel="0" collapsed="false">
      <c r="A16" s="0" t="s">
        <v>538</v>
      </c>
      <c r="B16" s="0" t="s">
        <v>539</v>
      </c>
      <c r="C16" s="0" t="s">
        <v>540</v>
      </c>
    </row>
    <row r="17" customFormat="false" ht="15" hidden="false" customHeight="false" outlineLevel="0" collapsed="false">
      <c r="A17" s="0" t="s">
        <v>541</v>
      </c>
      <c r="B17" s="0" t="s">
        <v>542</v>
      </c>
      <c r="C17" s="0" t="s">
        <v>543</v>
      </c>
    </row>
    <row r="18" customFormat="false" ht="15" hidden="false" customHeight="false" outlineLevel="0" collapsed="false">
      <c r="A18" s="0" t="s">
        <v>544</v>
      </c>
      <c r="B18" s="0" t="s">
        <v>545</v>
      </c>
      <c r="C18" s="0" t="s">
        <v>546</v>
      </c>
    </row>
    <row r="19" customFormat="false" ht="15" hidden="false" customHeight="false" outlineLevel="0" collapsed="false">
      <c r="A19" s="0" t="s">
        <v>547</v>
      </c>
      <c r="B19" s="0" t="s">
        <v>548</v>
      </c>
      <c r="C19" s="0" t="s">
        <v>549</v>
      </c>
    </row>
    <row r="20" customFormat="false" ht="15" hidden="false" customHeight="false" outlineLevel="0" collapsed="false">
      <c r="A20" s="0" t="s">
        <v>550</v>
      </c>
      <c r="B20" s="0" t="s">
        <v>551</v>
      </c>
      <c r="C20" s="0" t="s">
        <v>552</v>
      </c>
    </row>
    <row r="21" customFormat="false" ht="15" hidden="false" customHeight="false" outlineLevel="0" collapsed="false">
      <c r="A21" s="0" t="s">
        <v>553</v>
      </c>
      <c r="B21" s="0" t="s">
        <v>554</v>
      </c>
      <c r="C21" s="0" t="s">
        <v>555</v>
      </c>
    </row>
    <row r="22" customFormat="false" ht="15" hidden="false" customHeight="false" outlineLevel="0" collapsed="false">
      <c r="A22" s="0" t="s">
        <v>556</v>
      </c>
      <c r="B22" s="0" t="s">
        <v>557</v>
      </c>
      <c r="C22" s="0" t="s">
        <v>558</v>
      </c>
    </row>
    <row r="23" customFormat="false" ht="15" hidden="false" customHeight="false" outlineLevel="0" collapsed="false">
      <c r="A23" s="0" t="s">
        <v>559</v>
      </c>
      <c r="B23" s="0" t="s">
        <v>560</v>
      </c>
      <c r="C23" s="0" t="s">
        <v>561</v>
      </c>
    </row>
    <row r="24" customFormat="false" ht="15" hidden="false" customHeight="false" outlineLevel="0" collapsed="false">
      <c r="A24" s="0" t="s">
        <v>562</v>
      </c>
      <c r="B24" s="0" t="s">
        <v>563</v>
      </c>
      <c r="C24" s="0" t="s">
        <v>564</v>
      </c>
    </row>
    <row r="25" customFormat="false" ht="15" hidden="false" customHeight="false" outlineLevel="0" collapsed="false">
      <c r="A25" s="0" t="s">
        <v>565</v>
      </c>
      <c r="B25" s="0" t="s">
        <v>566</v>
      </c>
      <c r="C25" s="0" t="s">
        <v>567</v>
      </c>
    </row>
    <row r="26" customFormat="false" ht="15" hidden="false" customHeight="false" outlineLevel="0" collapsed="false">
      <c r="A26" s="0" t="s">
        <v>568</v>
      </c>
      <c r="B26" s="0" t="s">
        <v>569</v>
      </c>
      <c r="C26" s="0" t="s">
        <v>570</v>
      </c>
    </row>
    <row r="27" customFormat="false" ht="15" hidden="false" customHeight="false" outlineLevel="0" collapsed="false">
      <c r="A27" s="0" t="s">
        <v>571</v>
      </c>
      <c r="B27" s="0" t="s">
        <v>572</v>
      </c>
      <c r="C27" s="0" t="s">
        <v>573</v>
      </c>
    </row>
    <row r="28" customFormat="false" ht="15" hidden="false" customHeight="false" outlineLevel="0" collapsed="false">
      <c r="A28" s="0" t="s">
        <v>574</v>
      </c>
      <c r="B28" s="0" t="s">
        <v>575</v>
      </c>
      <c r="C28" s="0" t="s">
        <v>576</v>
      </c>
    </row>
    <row r="29" customFormat="false" ht="15" hidden="false" customHeight="false" outlineLevel="0" collapsed="false">
      <c r="A29" s="0" t="s">
        <v>577</v>
      </c>
      <c r="B29" s="0" t="s">
        <v>578</v>
      </c>
      <c r="C29" s="0" t="s">
        <v>579</v>
      </c>
    </row>
    <row r="30" customFormat="false" ht="15" hidden="false" customHeight="false" outlineLevel="0" collapsed="false">
      <c r="A30" s="0" t="s">
        <v>580</v>
      </c>
      <c r="B30" s="0" t="s">
        <v>581</v>
      </c>
      <c r="C30" s="0" t="s">
        <v>582</v>
      </c>
    </row>
    <row r="31" customFormat="false" ht="15" hidden="false" customHeight="false" outlineLevel="0" collapsed="false">
      <c r="A31" s="0" t="s">
        <v>583</v>
      </c>
      <c r="B31" s="0" t="s">
        <v>584</v>
      </c>
      <c r="C31" s="0" t="s">
        <v>585</v>
      </c>
    </row>
    <row r="32" customFormat="false" ht="15" hidden="false" customHeight="false" outlineLevel="0" collapsed="false">
      <c r="A32" s="0" t="s">
        <v>586</v>
      </c>
      <c r="B32" s="0" t="s">
        <v>587</v>
      </c>
      <c r="C32" s="0" t="s">
        <v>501</v>
      </c>
    </row>
    <row r="33" customFormat="false" ht="15" hidden="false" customHeight="false" outlineLevel="0" collapsed="false">
      <c r="A33" s="0" t="s">
        <v>588</v>
      </c>
      <c r="B33" s="0" t="s">
        <v>589</v>
      </c>
      <c r="C33" s="0" t="s">
        <v>590</v>
      </c>
    </row>
    <row r="34" customFormat="false" ht="15" hidden="false" customHeight="false" outlineLevel="0" collapsed="false">
      <c r="A34" s="0" t="s">
        <v>591</v>
      </c>
      <c r="B34" s="0" t="s">
        <v>592</v>
      </c>
      <c r="C34" s="0" t="s">
        <v>593</v>
      </c>
    </row>
    <row r="35" customFormat="false" ht="15" hidden="false" customHeight="false" outlineLevel="0" collapsed="false">
      <c r="A35" s="0" t="s">
        <v>594</v>
      </c>
      <c r="B35" s="0" t="s">
        <v>595</v>
      </c>
      <c r="C35" s="0" t="s">
        <v>596</v>
      </c>
    </row>
    <row r="36" customFormat="false" ht="15" hidden="false" customHeight="false" outlineLevel="0" collapsed="false">
      <c r="A36" s="0" t="s">
        <v>597</v>
      </c>
      <c r="B36" s="0" t="s">
        <v>598</v>
      </c>
      <c r="C36" s="0" t="s">
        <v>599</v>
      </c>
    </row>
    <row r="37" customFormat="false" ht="15" hidden="false" customHeight="false" outlineLevel="0" collapsed="false">
      <c r="A37" s="0" t="s">
        <v>600</v>
      </c>
      <c r="B37" s="0" t="s">
        <v>601</v>
      </c>
      <c r="C37" s="0" t="s">
        <v>602</v>
      </c>
    </row>
    <row r="38" customFormat="false" ht="15" hidden="false" customHeight="false" outlineLevel="0" collapsed="false">
      <c r="A38" s="0" t="s">
        <v>603</v>
      </c>
      <c r="B38" s="0" t="s">
        <v>604</v>
      </c>
      <c r="C38" s="0" t="s">
        <v>605</v>
      </c>
    </row>
    <row r="39" customFormat="false" ht="15" hidden="false" customHeight="false" outlineLevel="0" collapsed="false">
      <c r="A39" s="0" t="s">
        <v>606</v>
      </c>
      <c r="B39" s="0" t="s">
        <v>607</v>
      </c>
      <c r="C39" s="0" t="s">
        <v>608</v>
      </c>
    </row>
    <row r="40" customFormat="false" ht="15" hidden="false" customHeight="false" outlineLevel="0" collapsed="false">
      <c r="A40" s="0" t="s">
        <v>609</v>
      </c>
      <c r="B40" s="0" t="s">
        <v>610</v>
      </c>
      <c r="C40" s="0" t="s">
        <v>611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37"/>
  </cols>
  <sheetData>
    <row r="1" customFormat="false" ht="15" hidden="false" customHeight="false" outlineLevel="0" collapsed="false">
      <c r="A1" s="0" t="s">
        <v>612</v>
      </c>
      <c r="B1" s="0" t="s">
        <v>613</v>
      </c>
      <c r="C1" s="0" t="s">
        <v>614</v>
      </c>
      <c r="D1" s="0" t="s">
        <v>615</v>
      </c>
    </row>
    <row r="2" customFormat="false" ht="15" hidden="false" customHeight="false" outlineLevel="0" collapsed="false">
      <c r="A2" s="0" t="n">
        <v>1</v>
      </c>
      <c r="B2" s="0" t="s">
        <v>616</v>
      </c>
      <c r="C2" s="0" t="s">
        <v>617</v>
      </c>
      <c r="D2" s="0" t="s">
        <v>618</v>
      </c>
    </row>
    <row r="3" customFormat="false" ht="15" hidden="false" customHeight="false" outlineLevel="0" collapsed="false">
      <c r="A3" s="0" t="n">
        <v>2</v>
      </c>
      <c r="B3" s="0" t="s">
        <v>619</v>
      </c>
      <c r="C3" s="0" t="s">
        <v>620</v>
      </c>
      <c r="D3" s="0" t="s">
        <v>621</v>
      </c>
    </row>
    <row r="4" customFormat="false" ht="15" hidden="false" customHeight="false" outlineLevel="0" collapsed="false">
      <c r="A4" s="0" t="n">
        <v>3</v>
      </c>
      <c r="B4" s="0" t="s">
        <v>622</v>
      </c>
      <c r="C4" s="0" t="s">
        <v>623</v>
      </c>
      <c r="D4" s="0" t="s">
        <v>624</v>
      </c>
    </row>
    <row r="5" customFormat="false" ht="15" hidden="false" customHeight="false" outlineLevel="0" collapsed="false">
      <c r="A5" s="0" t="n">
        <v>4</v>
      </c>
      <c r="B5" s="0" t="s">
        <v>625</v>
      </c>
      <c r="C5" s="0" t="s">
        <v>626</v>
      </c>
      <c r="D5" s="0" t="s">
        <v>627</v>
      </c>
    </row>
    <row r="6" customFormat="false" ht="15" hidden="false" customHeight="false" outlineLevel="0" collapsed="false">
      <c r="A6" s="0" t="n">
        <v>5</v>
      </c>
      <c r="B6" s="0" t="s">
        <v>628</v>
      </c>
      <c r="C6" s="0" t="s">
        <v>629</v>
      </c>
      <c r="D6" s="0" t="s">
        <v>630</v>
      </c>
    </row>
    <row r="7" customFormat="false" ht="15" hidden="false" customHeight="false" outlineLevel="0" collapsed="false">
      <c r="A7" s="0" t="n">
        <v>6</v>
      </c>
      <c r="B7" s="0" t="s">
        <v>631</v>
      </c>
      <c r="C7" s="0" t="s">
        <v>632</v>
      </c>
      <c r="D7" s="0" t="s">
        <v>633</v>
      </c>
    </row>
    <row r="8" customFormat="false" ht="15" hidden="false" customHeight="false" outlineLevel="0" collapsed="false">
      <c r="A8" s="0" t="n">
        <v>7</v>
      </c>
      <c r="B8" s="0" t="s">
        <v>634</v>
      </c>
      <c r="C8" s="0" t="s">
        <v>635</v>
      </c>
      <c r="D8" s="0" t="s">
        <v>636</v>
      </c>
    </row>
    <row r="9" customFormat="false" ht="15" hidden="false" customHeight="false" outlineLevel="0" collapsed="false">
      <c r="A9" s="0" t="n">
        <v>8</v>
      </c>
      <c r="B9" s="0" t="s">
        <v>637</v>
      </c>
      <c r="C9" s="0" t="s">
        <v>638</v>
      </c>
      <c r="D9" s="0" t="s">
        <v>627</v>
      </c>
    </row>
    <row r="10" customFormat="false" ht="15" hidden="false" customHeight="false" outlineLevel="0" collapsed="false">
      <c r="A10" s="0" t="n">
        <v>9</v>
      </c>
      <c r="B10" s="0" t="s">
        <v>639</v>
      </c>
      <c r="C10" s="0" t="s">
        <v>640</v>
      </c>
      <c r="D10" s="0" t="s">
        <v>627</v>
      </c>
    </row>
    <row r="11" customFormat="false" ht="15" hidden="false" customHeight="false" outlineLevel="0" collapsed="false">
      <c r="A11" s="0" t="n">
        <v>10</v>
      </c>
      <c r="B11" s="0" t="s">
        <v>641</v>
      </c>
      <c r="C11" s="0" t="s">
        <v>642</v>
      </c>
      <c r="D11" s="0" t="s">
        <v>643</v>
      </c>
    </row>
    <row r="12" customFormat="false" ht="15" hidden="false" customHeight="false" outlineLevel="0" collapsed="false">
      <c r="A12" s="0" t="n">
        <v>11</v>
      </c>
      <c r="B12" s="0" t="s">
        <v>644</v>
      </c>
      <c r="C12" s="0" t="s">
        <v>645</v>
      </c>
      <c r="D12" s="0" t="s">
        <v>646</v>
      </c>
    </row>
    <row r="13" customFormat="false" ht="15" hidden="false" customHeight="false" outlineLevel="0" collapsed="false">
      <c r="A13" s="0" t="n">
        <v>12</v>
      </c>
      <c r="B13" s="0" t="s">
        <v>647</v>
      </c>
      <c r="C13" s="0" t="s">
        <v>648</v>
      </c>
      <c r="D13" s="0" t="s">
        <v>649</v>
      </c>
    </row>
    <row r="14" customFormat="false" ht="15" hidden="false" customHeight="false" outlineLevel="0" collapsed="false">
      <c r="A14" s="0" t="n">
        <v>13</v>
      </c>
      <c r="B14" s="0" t="s">
        <v>650</v>
      </c>
      <c r="C14" s="0" t="s">
        <v>626</v>
      </c>
      <c r="D14" s="0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652</v>
      </c>
      <c r="B1" s="0" t="s">
        <v>653</v>
      </c>
      <c r="C1" s="0" t="s">
        <v>654</v>
      </c>
      <c r="D1" s="0" t="s">
        <v>655</v>
      </c>
    </row>
    <row r="2" customFormat="false" ht="15" hidden="false" customHeight="false" outlineLevel="0" collapsed="false">
      <c r="A2" s="0" t="s">
        <v>656</v>
      </c>
      <c r="B2" s="0" t="s">
        <v>657</v>
      </c>
      <c r="C2" s="0" t="s">
        <v>658</v>
      </c>
      <c r="D2" s="0" t="s">
        <v>659</v>
      </c>
    </row>
    <row r="3" customFormat="false" ht="15" hidden="false" customHeight="false" outlineLevel="0" collapsed="false">
      <c r="A3" s="0" t="s">
        <v>660</v>
      </c>
      <c r="B3" s="0" t="s">
        <v>661</v>
      </c>
      <c r="C3" s="0" t="s">
        <v>658</v>
      </c>
      <c r="D3" s="0" t="s">
        <v>662</v>
      </c>
    </row>
    <row r="4" customFormat="false" ht="15" hidden="false" customHeight="false" outlineLevel="0" collapsed="false">
      <c r="A4" s="0" t="s">
        <v>663</v>
      </c>
      <c r="B4" s="0" t="s">
        <v>664</v>
      </c>
      <c r="C4" s="0" t="s">
        <v>658</v>
      </c>
      <c r="D4" s="0" t="s">
        <v>665</v>
      </c>
    </row>
    <row r="5" customFormat="false" ht="15" hidden="false" customHeight="false" outlineLevel="0" collapsed="false">
      <c r="A5" s="0" t="s">
        <v>666</v>
      </c>
      <c r="B5" s="0" t="s">
        <v>667</v>
      </c>
      <c r="C5" s="0" t="s">
        <v>658</v>
      </c>
      <c r="D5" s="0" t="s">
        <v>668</v>
      </c>
    </row>
    <row r="6" customFormat="false" ht="15" hidden="false" customHeight="false" outlineLevel="0" collapsed="false">
      <c r="A6" s="0" t="s">
        <v>669</v>
      </c>
      <c r="B6" s="0" t="s">
        <v>670</v>
      </c>
      <c r="C6" s="0" t="s">
        <v>658</v>
      </c>
      <c r="D6" s="0" t="s">
        <v>671</v>
      </c>
    </row>
    <row r="7" customFormat="false" ht="15" hidden="false" customHeight="false" outlineLevel="0" collapsed="false">
      <c r="A7" s="0" t="s">
        <v>672</v>
      </c>
      <c r="B7" s="0" t="s">
        <v>673</v>
      </c>
      <c r="C7" s="0" t="s">
        <v>658</v>
      </c>
      <c r="D7" s="0" t="s">
        <v>674</v>
      </c>
    </row>
    <row r="8" customFormat="false" ht="15" hidden="false" customHeight="false" outlineLevel="0" collapsed="false">
      <c r="A8" s="0" t="s">
        <v>675</v>
      </c>
      <c r="B8" s="0" t="s">
        <v>676</v>
      </c>
      <c r="C8" s="0" t="s">
        <v>658</v>
      </c>
      <c r="D8" s="0" t="s">
        <v>677</v>
      </c>
    </row>
    <row r="9" customFormat="false" ht="15" hidden="false" customHeight="false" outlineLevel="0" collapsed="false">
      <c r="A9" s="0" t="s">
        <v>678</v>
      </c>
      <c r="B9" s="0" t="s">
        <v>679</v>
      </c>
      <c r="C9" s="0" t="s">
        <v>658</v>
      </c>
      <c r="D9" s="0" t="s">
        <v>680</v>
      </c>
    </row>
    <row r="10" customFormat="false" ht="15" hidden="false" customHeight="false" outlineLevel="0" collapsed="false">
      <c r="A10" s="0" t="s">
        <v>681</v>
      </c>
      <c r="B10" s="0" t="s">
        <v>682</v>
      </c>
      <c r="C10" s="0" t="s">
        <v>658</v>
      </c>
      <c r="D10" s="0" t="s">
        <v>683</v>
      </c>
    </row>
    <row r="11" customFormat="false" ht="15" hidden="false" customHeight="false" outlineLevel="0" collapsed="false">
      <c r="A11" s="0" t="s">
        <v>684</v>
      </c>
      <c r="B11" s="0" t="s">
        <v>685</v>
      </c>
      <c r="C11" s="0" t="s">
        <v>658</v>
      </c>
      <c r="D11" s="0" t="s">
        <v>686</v>
      </c>
    </row>
    <row r="12" customFormat="false" ht="15" hidden="false" customHeight="false" outlineLevel="0" collapsed="false">
      <c r="A12" s="0" t="s">
        <v>687</v>
      </c>
      <c r="B12" s="0" t="s">
        <v>688</v>
      </c>
      <c r="C12" s="0" t="s">
        <v>658</v>
      </c>
      <c r="D12" s="0" t="s">
        <v>689</v>
      </c>
    </row>
    <row r="13" customFormat="false" ht="15" hidden="false" customHeight="false" outlineLevel="0" collapsed="false">
      <c r="A13" s="0" t="s">
        <v>690</v>
      </c>
      <c r="B13" s="0" t="s">
        <v>691</v>
      </c>
      <c r="C13" s="0" t="s">
        <v>658</v>
      </c>
      <c r="D13" s="0" t="s">
        <v>692</v>
      </c>
    </row>
    <row r="14" customFormat="false" ht="15" hidden="false" customHeight="false" outlineLevel="0" collapsed="false">
      <c r="A14" s="0" t="s">
        <v>693</v>
      </c>
      <c r="B14" s="0" t="s">
        <v>694</v>
      </c>
      <c r="C14" s="0" t="s">
        <v>658</v>
      </c>
      <c r="D14" s="0" t="s">
        <v>695</v>
      </c>
    </row>
    <row r="15" customFormat="false" ht="15" hidden="false" customHeight="false" outlineLevel="0" collapsed="false">
      <c r="A15" s="0" t="s">
        <v>696</v>
      </c>
      <c r="B15" s="0" t="s">
        <v>697</v>
      </c>
      <c r="C15" s="0" t="s">
        <v>658</v>
      </c>
      <c r="D15" s="0" t="s">
        <v>698</v>
      </c>
    </row>
    <row r="16" customFormat="false" ht="15" hidden="false" customHeight="false" outlineLevel="0" collapsed="false">
      <c r="A16" s="0" t="s">
        <v>699</v>
      </c>
      <c r="B16" s="0" t="s">
        <v>700</v>
      </c>
      <c r="C16" s="0" t="s">
        <v>658</v>
      </c>
      <c r="D16" s="0" t="s">
        <v>701</v>
      </c>
    </row>
    <row r="17" customFormat="false" ht="15" hidden="false" customHeight="false" outlineLevel="0" collapsed="false">
      <c r="A17" s="0" t="s">
        <v>702</v>
      </c>
      <c r="B17" s="0" t="s">
        <v>703</v>
      </c>
      <c r="C17" s="0" t="s">
        <v>658</v>
      </c>
      <c r="D17" s="0" t="s">
        <v>704</v>
      </c>
    </row>
    <row r="18" customFormat="false" ht="15" hidden="false" customHeight="false" outlineLevel="0" collapsed="false">
      <c r="A18" s="0" t="s">
        <v>705</v>
      </c>
      <c r="B18" s="0" t="s">
        <v>706</v>
      </c>
      <c r="C18" s="0" t="s">
        <v>658</v>
      </c>
      <c r="D18" s="0" t="s">
        <v>707</v>
      </c>
    </row>
    <row r="19" customFormat="false" ht="15" hidden="false" customHeight="false" outlineLevel="0" collapsed="false">
      <c r="A19" s="0" t="s">
        <v>708</v>
      </c>
      <c r="B19" s="0" t="s">
        <v>709</v>
      </c>
      <c r="C19" s="0" t="s">
        <v>658</v>
      </c>
      <c r="D19" s="0" t="s">
        <v>710</v>
      </c>
    </row>
    <row r="20" customFormat="false" ht="15" hidden="false" customHeight="false" outlineLevel="0" collapsed="false">
      <c r="A20" s="0" t="s">
        <v>711</v>
      </c>
      <c r="B20" s="0" t="s">
        <v>712</v>
      </c>
      <c r="C20" s="0" t="s">
        <v>658</v>
      </c>
      <c r="D20" s="0" t="s">
        <v>713</v>
      </c>
    </row>
    <row r="21" customFormat="false" ht="15" hidden="false" customHeight="false" outlineLevel="0" collapsed="false">
      <c r="A21" s="0" t="s">
        <v>714</v>
      </c>
      <c r="B21" s="0" t="s">
        <v>715</v>
      </c>
      <c r="C21" s="0" t="s">
        <v>658</v>
      </c>
      <c r="D21" s="0" t="s">
        <v>716</v>
      </c>
    </row>
    <row r="22" customFormat="false" ht="15" hidden="false" customHeight="false" outlineLevel="0" collapsed="false">
      <c r="A22" s="0" t="s">
        <v>717</v>
      </c>
      <c r="B22" s="0" t="s">
        <v>718</v>
      </c>
      <c r="C22" s="0" t="s">
        <v>719</v>
      </c>
      <c r="D22" s="0" t="s">
        <v>720</v>
      </c>
    </row>
    <row r="23" customFormat="false" ht="15" hidden="false" customHeight="false" outlineLevel="0" collapsed="false">
      <c r="A23" s="0" t="s">
        <v>721</v>
      </c>
      <c r="B23" s="0" t="s">
        <v>722</v>
      </c>
      <c r="C23" s="0" t="s">
        <v>719</v>
      </c>
      <c r="D23" s="0" t="s">
        <v>723</v>
      </c>
    </row>
    <row r="24" customFormat="false" ht="15" hidden="false" customHeight="false" outlineLevel="0" collapsed="false">
      <c r="A24" s="0" t="s">
        <v>724</v>
      </c>
      <c r="B24" s="0" t="s">
        <v>725</v>
      </c>
      <c r="C24" s="0" t="s">
        <v>658</v>
      </c>
      <c r="D24" s="0" t="s">
        <v>726</v>
      </c>
    </row>
    <row r="25" customFormat="false" ht="15" hidden="false" customHeight="false" outlineLevel="0" collapsed="false">
      <c r="A25" s="0" t="s">
        <v>727</v>
      </c>
      <c r="B25" s="0" t="s">
        <v>728</v>
      </c>
      <c r="C25" s="0" t="s">
        <v>658</v>
      </c>
      <c r="D25" s="0" t="s">
        <v>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2026-10-16T10:31:40Z</dcterms:created>
  <dc:creator>openpyxl</dc:creator>
  <dc:description/>
  <dc:language>en-US</dc:language>
  <cp:lastModifiedBy/>
  <dcterms:modified xsi:type="dcterms:W3CDTF">2026-10-16T10:31:40Z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