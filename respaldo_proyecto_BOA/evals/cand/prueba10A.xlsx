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<sst xmlns="http://schemas.openxmlformats.org/spreadsheetml/2006/main" count="1035" uniqueCount="656">
  <si>
    <t xml:space="preserve">Bank of America - Broomfield, CO (CO1-111, NWC Hwy 7 and Palisade Pkwy)   |   METAL FRAMING &amp; DRYWALL TAKEOFF</t>
  </si>
  <si>
    <t xml:space="preserve">Bid set: boa.pdf (IF Permit 08/26/2025, 94 pages)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</si>
  <si>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</si>
  <si>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</si>
  <si>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</si>
  <si>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</si>
  <si>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</si>
  <si>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</si>
  <si>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</si>
  <si>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</si>
  <si>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</si>
  <si>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</si>
  <si>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</si>
  <si>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</si>
  <si>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</si>
  <si>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(CO1-111, NWC Hwy 7 and Palisade Pkwy)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</si>
  <si>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</si>
  <si>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</si>
  <si>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</si>
  <si>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</si>
  <si>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</si>
  <si>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</si>
  <si>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</si>
  <si>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</si>
  <si>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</si>
  <si>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</si>
  <si>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</si>
  <si>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</si>
  <si>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</si>
  <si>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#8  -  Corridor 111 east / Break Room 118 (door 118B), Electrical 120, NER 121</t>
  </si>
  <si>
    <t xml:space="preserve">8</t>
  </si>
  <si>
    <t xml:space="preserve">3-5/8"</t>
  </si>
  <si>
    <t xml:space="preserve">Corridor 111 east / Break Room 118 (door 118B), Electrical 120, NER 121</t>
  </si>
  <si>
    <t xml:space="preserve">A02.01 tag/nota A -&gt; 3/A12.01 PARTITION TYPE A1 -&gt; 7/S5.20 -&gt; 1/S5.20 -&gt; S2.20 B.O.D. -&gt; A04.01</t>
  </si>
  <si>
    <t xml:space="preserve">[DERIVADO]</t>
  </si>
  <si>
    <t xml:space="preserve">A1  #1  -  Calling Cubes 122 north / Central Zone 103 (MW01 niche top)</t>
  </si>
  <si>
    <t xml:space="preserve">1</t>
  </si>
  <si>
    <t xml:space="preserve">Calling Cubes 122 north / Central Zone 103 (MW01 niche top)</t>
  </si>
  <si>
    <t xml:space="preserve">A1  #5  -  Calling Cubes 122 south / Corridor 111 - Break Room 118 (MW21)</t>
  </si>
  <si>
    <t xml:space="preserve">5</t>
  </si>
  <si>
    <t xml:space="preserve">Calling Cubes 122 south / Corridor 111 - Break Room 118 (MW21)</t>
  </si>
  <si>
    <t xml:space="preserve">A1  #11  -  Work Room 119 north (door 119) / Cash Window 116 area</t>
  </si>
  <si>
    <t xml:space="preserve">11</t>
  </si>
  <si>
    <t xml:space="preserve">Work Room 119 north (door 119) / Cash Window 116 area</t>
  </si>
  <si>
    <t xml:space="preserve">A1  #9  -  Electrical 120 east (door 120) / Break Room 118</t>
  </si>
  <si>
    <t xml:space="preserve">9</t>
  </si>
  <si>
    <t xml:space="preserve">Electrical 120 east (door 120) / Break Room 118</t>
  </si>
  <si>
    <t xml:space="preserve">A1  #7  -  Break Room 118 north (door 118A) / Central Zone 103</t>
  </si>
  <si>
    <t xml:space="preserve">7</t>
  </si>
  <si>
    <t xml:space="preserve">Break Room 118 north (door 118A) / Central Zone 103</t>
  </si>
  <si>
    <t xml:space="preserve">A1  #4  -  Corridor 111 north end (door 111) / Central Zone 103</t>
  </si>
  <si>
    <t xml:space="preserve">4</t>
  </si>
  <si>
    <t xml:space="preserve">Corridor 111 north end (door 111) / Central Zone 103</t>
  </si>
  <si>
    <t xml:space="preserve">A1  #2  -  MW01 niche east side</t>
  </si>
  <si>
    <t xml:space="preserve">2</t>
  </si>
  <si>
    <t xml:space="preserve">MW01 niche east side</t>
  </si>
  <si>
    <t xml:space="preserve">A1  #3  -  MW01 niche south side</t>
  </si>
  <si>
    <t xml:space="preserve">3</t>
  </si>
  <si>
    <t xml:space="preserve">MW01 niche south side</t>
  </si>
  <si>
    <t xml:space="preserve">A1  #6  -  Break Room 118 NE jog / Central Zone 103</t>
  </si>
  <si>
    <t xml:space="preserve">6</t>
  </si>
  <si>
    <t xml:space="preserve">Break Room 118 NE jog / Central Zone 103</t>
  </si>
  <si>
    <t xml:space="preserve">A1  #10  -  Restroom plumbing chase end (lavatory alcove)</t>
  </si>
  <si>
    <t xml:space="preserve">10</t>
  </si>
  <si>
    <t xml:space="preserve">Restroom plumbing chase end (lavatory alcove)</t>
  </si>
  <si>
    <t xml:space="preserve">TYPE A1K</t>
  </si>
  <si>
    <t xml:space="preserve">A1K  #13  -  Cash Window 116 teller line south (FCAM)</t>
  </si>
  <si>
    <t xml:space="preserve">13</t>
  </si>
  <si>
    <t xml:space="preserve">Cash Window 116 teller line south (FCAM)</t>
  </si>
  <si>
    <t xml:space="preserve">A02.01 tag -&gt; 4/A12.01 PARTITION TYPE A1K (WALL CONSTRUCTION SHALL INCLUDE) -&gt; 7/S5.20 -&gt; S2.20</t>
  </si>
  <si>
    <t xml:space="preserve">A1K  #12  -  Cash Window 116 teller line north</t>
  </si>
  <si>
    <t xml:space="preserve">12</t>
  </si>
  <si>
    <t xml:space="preserve">Cash Window 116 teller line north</t>
  </si>
  <si>
    <t xml:space="preserve">A1K  #14  -  Cash Window 116 / door 118A jamb</t>
  </si>
  <si>
    <t xml:space="preserve">14</t>
  </si>
  <si>
    <t xml:space="preserve">Cash Window 116 / door 118A jamb</t>
  </si>
  <si>
    <t xml:space="preserve">TYPE A5</t>
  </si>
  <si>
    <t xml:space="preserve">A5  #17  -  Calling Cubes 122 east / Central Zone 103</t>
  </si>
  <si>
    <t xml:space="preserve">17</t>
  </si>
  <si>
    <t xml:space="preserve">6"</t>
  </si>
  <si>
    <t xml:space="preserve">Calling Cubes 122 east / Central Zone 103</t>
  </si>
  <si>
    <t xml:space="preserve">A02.01 tag -&gt; 3/A12.01 -&gt; 7/S5.20 -&gt; 1/S5.20 -&gt; S2.20 -&gt; A04.01</t>
  </si>
  <si>
    <t xml:space="preserve">A5  #15  -  Calling Cubes 122 west / Central Zone 103 (MW07, FEC-1)</t>
  </si>
  <si>
    <t xml:space="preserve">15</t>
  </si>
  <si>
    <t xml:space="preserve">Calling Cubes 122 west / Central Zone 103 (MW07, FEC-1)</t>
  </si>
  <si>
    <t xml:space="preserve">A5  #18  -  Break Room 118 east (door 116) / Cash Window 116</t>
  </si>
  <si>
    <t xml:space="preserve">18</t>
  </si>
  <si>
    <t xml:space="preserve">Break Room 118 east (door 116) / Cash Window 116</t>
  </si>
  <si>
    <t xml:space="preserve">A5  #16  -  Corridor 111 / Calling Cubes 122 (door 122)</t>
  </si>
  <si>
    <t xml:space="preserve">16</t>
  </si>
  <si>
    <t xml:space="preserve">Corridor 111 / Calling Cubes 122 (door 122)</t>
  </si>
  <si>
    <t xml:space="preserve">TYPE B</t>
  </si>
  <si>
    <t xml:space="preserve">B  #22  -  Men's Restroom 113 south (door 112) / Janitor 112, Storage 117</t>
  </si>
  <si>
    <t xml:space="preserve">22</t>
  </si>
  <si>
    <t xml:space="preserve">Men's Restroom 113 south (door 112) / Janitor 112, Storage 117</t>
  </si>
  <si>
    <t xml:space="preserve">A02.01 tag -&gt; 1/A12.01 PARTITION TYPE B -&gt; 7/S5.20 -&gt; 1/S5.20 -&gt; S2.20</t>
  </si>
  <si>
    <t xml:space="preserve">B  #24  -  Janitor 112, Storage 117 / Wellness 115</t>
  </si>
  <si>
    <t xml:space="preserve">24</t>
  </si>
  <si>
    <t xml:space="preserve">Janitor 112, Storage 117 / Wellness 115</t>
  </si>
  <si>
    <t xml:space="preserve">B  #19  -  Electrical 120 north / Break Room 118 (FEC-2)</t>
  </si>
  <si>
    <t xml:space="preserve">19</t>
  </si>
  <si>
    <t xml:space="preserve">Electrical 120 north / Break Room 118 (FEC-2)</t>
  </si>
  <si>
    <t xml:space="preserve">B  #20  -  Electrical 120 / NER 121</t>
  </si>
  <si>
    <t xml:space="preserve">20</t>
  </si>
  <si>
    <t xml:space="preserve">Electrical 120 / NER 121</t>
  </si>
  <si>
    <t xml:space="preserve">B  #21  -  NER 121 east (door 121) / Break Room 118</t>
  </si>
  <si>
    <t xml:space="preserve">21</t>
  </si>
  <si>
    <t xml:space="preserve">NER 121 east (door 121) / Break Room 118</t>
  </si>
  <si>
    <t xml:space="preserve">B  #23  -  Janitor Closet 112 / Storage 117</t>
  </si>
  <si>
    <t xml:space="preserve">23</t>
  </si>
  <si>
    <t xml:space="preserve">Janitor Closet 112 / Storage 117</t>
  </si>
  <si>
    <t xml:space="preserve">TYPE B2</t>
  </si>
  <si>
    <t xml:space="preserve">B2  #26  -  Restrooms 114/113, Storage 117, Wellness 115 east / Corridor 111 (doors 114,113,117,115 + lavatory alcove)</t>
  </si>
  <si>
    <t xml:space="preserve">26</t>
  </si>
  <si>
    <t xml:space="preserve">Restrooms 114/113, Storage 117, Wellness 115 east / Corridor 111 (doors 114,113,117,115 + lavatory alcove)</t>
  </si>
  <si>
    <t xml:space="preserve">A02.01 tag -&gt; 1/A12.01 PARTITION TYPE B2 -&gt; 7/S5.20 -&gt; 1/S5.20 -&gt; S2.20</t>
  </si>
  <si>
    <t xml:space="preserve">B2  #27  -  Work Room 119 west / Break Room 118 (MW08)</t>
  </si>
  <si>
    <t xml:space="preserve">27</t>
  </si>
  <si>
    <t xml:space="preserve">Work Room 119 west / Break Room 118 (MW08)</t>
  </si>
  <si>
    <t xml:space="preserve">B2  #25  -  ATM Room 102 east (door 102) / Central Zone 103</t>
  </si>
  <si>
    <t xml:space="preserve">25</t>
  </si>
  <si>
    <t xml:space="preserve">ATM Room 102 east (door 102) / Central Zone 103</t>
  </si>
  <si>
    <t xml:space="preserve">TYPE B2K</t>
  </si>
  <si>
    <t xml:space="preserve">B2K  #28  -  Office 108 SW corner / Cash Window 116</t>
  </si>
  <si>
    <t xml:space="preserve">28</t>
  </si>
  <si>
    <t xml:space="preserve">Office 108 SW corner / Cash Window 116</t>
  </si>
  <si>
    <t xml:space="preserve">A02.01 tag -&gt; 1/A12.01 (B2) + 4/A12.01 (K ballistic, derivado) -&gt; 7/S5.20</t>
  </si>
  <si>
    <t xml:space="preserve">TYPE C1</t>
  </si>
  <si>
    <t xml:space="preserve">C1  #33  -  Central Zone 103 monitor recess furring (key note 7) + 2 returns 0.667 ft</t>
  </si>
  <si>
    <t xml:space="preserve">33</t>
  </si>
  <si>
    <t xml:space="preserve">Central Zone 103 monitor recess furring (key note 7) + 2 returns 0.667 ft</t>
  </si>
  <si>
    <t xml:space="preserve">A02.01 tag -&gt; 6/A12.01 PARTITION TYPE C1 -&gt; 8/S5.20 (chase) -&gt; 7/S5.20</t>
  </si>
  <si>
    <t xml:space="preserve">C1  #29  -  Women's Restroom 114 plumbing chase wall</t>
  </si>
  <si>
    <t xml:space="preserve">29</t>
  </si>
  <si>
    <t xml:space="preserve">Women's Restroom 114 plumbing chase wall</t>
  </si>
  <si>
    <t xml:space="preserve">C1  #30  -  Men's Restroom 113 plumbing chase wall</t>
  </si>
  <si>
    <t xml:space="preserve">30</t>
  </si>
  <si>
    <t xml:space="preserve">Men's Restroom 113 plumbing chase wall</t>
  </si>
  <si>
    <t xml:space="preserve">C1  #32  -  column enclosure grid 4/E (ATM Room 102 NE)</t>
  </si>
  <si>
    <t xml:space="preserve">32</t>
  </si>
  <si>
    <t xml:space="preserve">column enclosure grid 4/E (ATM Room 102 NE)</t>
  </si>
  <si>
    <t xml:space="preserve">C1  #31  -  column enclosure grid 4/E.4 (vestibule 100/101 storefront junction)</t>
  </si>
  <si>
    <t xml:space="preserve">31</t>
  </si>
  <si>
    <t xml:space="preserve">column enclosure grid 4/E.4 (vestibule 100/101 storefront junction)</t>
  </si>
  <si>
    <t xml:space="preserve">C1  #34  -  Future FCAM furring Cash Window 116</t>
  </si>
  <si>
    <t xml:space="preserve">34</t>
  </si>
  <si>
    <t xml:space="preserve">Future FCAM furring Cash Window 116</t>
  </si>
  <si>
    <t xml:space="preserve">TYPE F</t>
  </si>
  <si>
    <t xml:space="preserve">F  #37  -  24 HR Vestibule 101 / ATM Room 102 diagonal wall (WU ATM)</t>
  </si>
  <si>
    <t xml:space="preserve">37</t>
  </si>
  <si>
    <t xml:space="preserve">24 HR Vestibule 101 / ATM Room 102 diagonal wall (WU ATM)</t>
  </si>
  <si>
    <t xml:space="preserve">A02.01 tag -&gt; 12/A12.01 PARTITION TYPE F -&gt; 1/A08.11 WU ATM -&gt; 7/S5.20</t>
  </si>
  <si>
    <t xml:space="preserve">TYPE G</t>
  </si>
  <si>
    <t xml:space="preserve">G  #43  -  Office 106 / Office 107</t>
  </si>
  <si>
    <t xml:space="preserve">43</t>
  </si>
  <si>
    <t xml:space="preserve">1-5/8"</t>
  </si>
  <si>
    <t xml:space="preserve">Office 106 / Office 107</t>
  </si>
  <si>
    <t xml:space="preserve">A02.01 tag -&gt; 5/A12.01 PARTITION G -&gt; 10/A12.01 OFFICE JAMB -&gt; 7/S5.20 -&gt; S2.20</t>
  </si>
  <si>
    <t xml:space="preserve">G  #45  -  Office 107 / Office 108</t>
  </si>
  <si>
    <t xml:space="preserve">45</t>
  </si>
  <si>
    <t xml:space="preserve">Office 107 / Office 108</t>
  </si>
  <si>
    <t xml:space="preserve">G  #38  -  ATM Room 102 / Office 5 CB 109</t>
  </si>
  <si>
    <t xml:space="preserve">38</t>
  </si>
  <si>
    <t xml:space="preserve">ATM Room 102 / Office 5 CB 109</t>
  </si>
  <si>
    <t xml:space="preserve">G  #39  -  Office 109 / Office 110</t>
  </si>
  <si>
    <t xml:space="preserve">39</t>
  </si>
  <si>
    <t xml:space="preserve">Office 109 / Office 110</t>
  </si>
  <si>
    <t xml:space="preserve">G  #40  -  Office 110 / Women's Restroom 114</t>
  </si>
  <si>
    <t xml:space="preserve">40</t>
  </si>
  <si>
    <t xml:space="preserve">Office 110 / Women's Restroom 114</t>
  </si>
  <si>
    <t xml:space="preserve">G  #47  -  Office 108 / Cash Window 116</t>
  </si>
  <si>
    <t xml:space="preserve">47</t>
  </si>
  <si>
    <t xml:space="preserve">Office 108 / Cash Window 116</t>
  </si>
  <si>
    <t xml:space="preserve">G  #42  -  Office front stub 105/106</t>
  </si>
  <si>
    <t xml:space="preserve">42</t>
  </si>
  <si>
    <t xml:space="preserve">Office front stub 105/106</t>
  </si>
  <si>
    <t xml:space="preserve">G  #44  -  Office front stub 106/107</t>
  </si>
  <si>
    <t xml:space="preserve">44</t>
  </si>
  <si>
    <t xml:space="preserve">Office front stub 106/107</t>
  </si>
  <si>
    <t xml:space="preserve">G  #46  -  Office front stub 107/108</t>
  </si>
  <si>
    <t xml:space="preserve">46</t>
  </si>
  <si>
    <t xml:space="preserve">Office front stub 107/108</t>
  </si>
  <si>
    <t xml:space="preserve">G  #41  -  Office 105 front north stub (by thickness 6-1/8in)</t>
  </si>
  <si>
    <t xml:space="preserve">41</t>
  </si>
  <si>
    <t xml:space="preserve">Office 105 front north stub (by thickness 6-1/8in)</t>
  </si>
  <si>
    <t xml:space="preserve">TYPE G1</t>
  </si>
  <si>
    <t xml:space="preserve">G1  #49  -  Office 105 / Office 106</t>
  </si>
  <si>
    <t xml:space="preserve">49</t>
  </si>
  <si>
    <t xml:space="preserve">Office 105 / Office 106</t>
  </si>
  <si>
    <t xml:space="preserve">A02.01 tag -&gt; 5/A12.01 PARTITION G1 -&gt; 10/A12.01 -&gt; 7/S5.20 -&gt; S2.20</t>
  </si>
  <si>
    <t xml:space="preserve">G1  #50  -  Office front stub 109/110</t>
  </si>
  <si>
    <t xml:space="preserve">50</t>
  </si>
  <si>
    <t xml:space="preserve">Office front stub 109/110</t>
  </si>
  <si>
    <t xml:space="preserve">G1  #51  -  Office 110 front south stub (by thickness 8.48in)</t>
  </si>
  <si>
    <t xml:space="preserve">51</t>
  </si>
  <si>
    <t xml:space="preserve">Office 110 front south stub (by thickness 8.48in)</t>
  </si>
  <si>
    <t xml:space="preserve">TYPE BULKHEAD</t>
  </si>
  <si>
    <t xml:space="preserve">BULKHEAD  #90  -  Office 105 front bulkhead</t>
  </si>
  <si>
    <t xml:space="preserve">90</t>
  </si>
  <si>
    <t xml:space="preserve">Office 105 front bulkhead</t>
  </si>
  <si>
    <t xml:space="preserve">A02.01 DFC-1A office front -&gt; 9/A12.01 OFFICE BULKHEAD @ GLASS PANEL -&gt; 8/A12.01 @ DOOR -&gt; 10/A12.01 -&gt; 2/A11.01 HOLD -&gt; 7/S5.20</t>
  </si>
  <si>
    <t xml:space="preserve">BULKHEAD  #91  -  Office 106 front bulkhead</t>
  </si>
  <si>
    <t xml:space="preserve">91</t>
  </si>
  <si>
    <t xml:space="preserve">Office 106 front bulkhead</t>
  </si>
  <si>
    <t xml:space="preserve">BULKHEAD  #92  -  Office 107 front bulkhead</t>
  </si>
  <si>
    <t xml:space="preserve">92</t>
  </si>
  <si>
    <t xml:space="preserve">Office 107 front bulkhead</t>
  </si>
  <si>
    <t xml:space="preserve">BULKHEAD  #93  -  Office 108 front bulkhead</t>
  </si>
  <si>
    <t xml:space="preserve">93</t>
  </si>
  <si>
    <t xml:space="preserve">Office 108 front bulkhead</t>
  </si>
  <si>
    <t xml:space="preserve">BULKHEAD  #94  -  Office 109 front bulkhead</t>
  </si>
  <si>
    <t xml:space="preserve">94</t>
  </si>
  <si>
    <t xml:space="preserve">Office 109 front bulkhead</t>
  </si>
  <si>
    <t xml:space="preserve">BULKHEAD  #95  -  Office 110 front bulkhead</t>
  </si>
  <si>
    <t xml:space="preserve">95</t>
  </si>
  <si>
    <t xml:space="preserve">Office 110 front bulkhead</t>
  </si>
  <si>
    <t xml:space="preserve">TYPE EXT</t>
  </si>
  <si>
    <t xml:space="preserve">EXT  #67  -  EXT South grid A (door 123)</t>
  </si>
  <si>
    <t xml:space="preserve">67</t>
  </si>
  <si>
    <t xml:space="preserve">EXT South grid A (door 123)</t>
  </si>
  <si>
    <t xml:space="preserve">A02.01 perimetro -&gt; C/A09.21 WALL SECTION -&gt; 9/A09.27 -&gt; 11/A09.27 -&gt; 3/A09.25 -&gt; 10/S5.10 -&gt; 7/S5.20 -&gt; S1.11 nota 5 -&gt; S2.20</t>
  </si>
  <si>
    <t xml:space="preserve">EXT  #68  -  EXT East grid 8 north of grid B (Offices 105-108, Cash Window 116) 4 windows</t>
  </si>
  <si>
    <t xml:space="preserve">68</t>
  </si>
  <si>
    <t xml:space="preserve">EXT East grid 8 north of grid B (Offices 105-108, Cash Window 116) 4 windows</t>
  </si>
  <si>
    <t xml:space="preserve">EXT  #61  -  EXT North grid 4-7 over storefront AF-2 (Central Zone 103)</t>
  </si>
  <si>
    <t xml:space="preserve">61</t>
  </si>
  <si>
    <t xml:space="preserve">EXT North grid 4-7 over storefront AF-2 (Central Zone 103)</t>
  </si>
  <si>
    <t xml:space="preserve">EXT  #66  -  EXT West grid 3 Restrooms 114/113, Janitor 112, Wellness 115 (PT-3)</t>
  </si>
  <si>
    <t xml:space="preserve">66</t>
  </si>
  <si>
    <t xml:space="preserve">EXT West grid 3 Restrooms 114/113, Janitor 112, Wellness 115 (PT-3)</t>
  </si>
  <si>
    <t xml:space="preserve">EXT  #59  -  EXT East grid 8 south of grid B (Cash Window 116, Work Room 119)</t>
  </si>
  <si>
    <t xml:space="preserve">59</t>
  </si>
  <si>
    <t xml:space="preserve">EXT East grid 8 south of grid B (Cash Window 116, Work Room 119)</t>
  </si>
  <si>
    <t xml:space="preserve">EXT  #65  -  EXT West grid 3 Offices 109/110 (2 windows GL-2)</t>
  </si>
  <si>
    <t xml:space="preserve">65</t>
  </si>
  <si>
    <t xml:space="preserve">EXT West grid 3 Offices 109/110 (2 windows GL-2)</t>
  </si>
  <si>
    <t xml:space="preserve">EXT  #63  -  EXT West grid 2 (24 HR Vestibule 101 / ATM Room 102, DAY 1 ATM)</t>
  </si>
  <si>
    <t xml:space="preserve">63</t>
  </si>
  <si>
    <t xml:space="preserve">EXT West grid 2 (24 HR Vestibule 101 / ATM Room 102, DAY 1 ATM)</t>
  </si>
  <si>
    <t xml:space="preserve">EXT  #62  -  EXT North grid 2-4 over entrance storefront (Vestibule 100)</t>
  </si>
  <si>
    <t xml:space="preserve">62</t>
  </si>
  <si>
    <t xml:space="preserve">EXT North grid 2-4 over entrance storefront (Vestibule 100)</t>
  </si>
  <si>
    <t xml:space="preserve">EXT  #60  -  EXT North grid 7-8 (Office 105)</t>
  </si>
  <si>
    <t xml:space="preserve">60</t>
  </si>
  <si>
    <t xml:space="preserve">EXT North grid 7-8 (Office 105)</t>
  </si>
  <si>
    <t xml:space="preserve">EXT  #64  -  EXT ATM Room 102 south return grid 2-3</t>
  </si>
  <si>
    <t xml:space="preserve">64</t>
  </si>
  <si>
    <t xml:space="preserve">EXT ATM Room 102 south return grid 2-3</t>
  </si>
  <si>
    <t xml:space="preserve">TYPE PARAPET</t>
  </si>
  <si>
    <t xml:space="preserve">PARAPET  #83  -  Parapet South grid A (LP)</t>
  </si>
  <si>
    <t xml:space="preserve">83</t>
  </si>
  <si>
    <t xml:space="preserve">Parapet South grid A (LP)</t>
  </si>
  <si>
    <t xml:space="preserve">S2.20 -&gt; 10/S5.10 SECTION AT PERIMETER -&gt; 11/S5.10 PARAPET INFILL FRAMING -&gt; 4/A09.26 PARAPET -&gt; C/A09.21</t>
  </si>
  <si>
    <t xml:space="preserve">PARAPET  #81  -  Parapet East north of grid B (LP)</t>
  </si>
  <si>
    <t xml:space="preserve">81</t>
  </si>
  <si>
    <t xml:space="preserve">Parapet East north of grid B (LP)</t>
  </si>
  <si>
    <t xml:space="preserve">PARAPET  #80  -  Parapet North grid 4-8 (LP)</t>
  </si>
  <si>
    <t xml:space="preserve">80</t>
  </si>
  <si>
    <t xml:space="preserve">Parapet North grid 4-8 (LP)</t>
  </si>
  <si>
    <t xml:space="preserve">PARAPET  #87  -  Parapet West grid 2 tower G to D (HP)</t>
  </si>
  <si>
    <t xml:space="preserve">87</t>
  </si>
  <si>
    <t xml:space="preserve">Parapet West grid 2 tower G to D (HP)</t>
  </si>
  <si>
    <t xml:space="preserve">PARAPET  #82  -  Parapet East south of grid B (LP)</t>
  </si>
  <si>
    <t xml:space="preserve">82</t>
  </si>
  <si>
    <t xml:space="preserve">Parapet East south of grid B (LP)</t>
  </si>
  <si>
    <t xml:space="preserve">PARAPET  #84  -  Parapet West grid 3 south of grid B (LP)</t>
  </si>
  <si>
    <t xml:space="preserve">84</t>
  </si>
  <si>
    <t xml:space="preserve">Parapet West grid 3 south of grid B (LP)</t>
  </si>
  <si>
    <t xml:space="preserve">PARAPET  #85  -  Parapet West grid 3 north of grid B (LP)</t>
  </si>
  <si>
    <t xml:space="preserve">85</t>
  </si>
  <si>
    <t xml:space="preserve">Parapet West grid 3 north of grid B (LP)</t>
  </si>
  <si>
    <t xml:space="preserve">PARAPET  #86  -  Parapet North grid 2-4 tower (HP, T.O. PARAPET 2)</t>
  </si>
  <si>
    <t xml:space="preserve">86</t>
  </si>
  <si>
    <t xml:space="preserve">Parapet North grid 2-4 tower (HP, T.O. PARAPET 2)</t>
  </si>
  <si>
    <t xml:space="preserve">PARAPET  #88  -  Parapet ATM Room south return (HP)</t>
  </si>
  <si>
    <t xml:space="preserve">88</t>
  </si>
  <si>
    <t xml:space="preserve">Parapet ATM Room south return (HP)</t>
  </si>
  <si>
    <t xml:space="preserve">TYPE ROOFSTEP</t>
  </si>
  <si>
    <t xml:space="preserve">ROOFSTEP  #96  -  Roof step at grid B (4/A02.02, 9/S5.10)</t>
  </si>
  <si>
    <t xml:space="preserve">96</t>
  </si>
  <si>
    <t xml:space="preserve">Roof step at grid B (4/A02.02, 9/S5.10)</t>
  </si>
  <si>
    <t xml:space="preserve">A02.02 key note 13 -&gt; 4/A02.02 SECTION DETAIL @ ROOF STEP -&gt; 9/S5.10 ROOF STEP AT GRID B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</si>
  <si>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</si>
  <si>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</si>
  <si>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</si>
  <si>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</si>
  <si>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</si>
  <si>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</si>
  <si>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</si>
  <si>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</si>
  <si>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</si>
  <si>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</si>
  <si>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</si>
  <si>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</si>
  <si>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3-5/8" metal stud 362S137-33 @16" - interior partitions A1, B, C1, F</t>
  </si>
  <si>
    <t xml:space="preserve">LF</t>
  </si>
  <si>
    <t xml:space="preserve">stick 16 ft</t>
  </si>
  <si>
    <t xml:space="preserve">Partition Takeoff A1/B/C1/F (3/A12.01, 1/A12.01, 6/A12.01, 12/A12.01, 7/S5.20)</t>
  </si>
  <si>
    <t xml:space="preserve">3-5/8" metal stud 362S137-68 (14 GA) @24" - A1K ballistic</t>
  </si>
  <si>
    <t xml:space="preserve">4/A12.01 14 GA. METAL STUDS @ 24" O.C. MAX</t>
  </si>
  <si>
    <t xml:space="preserve">6" metal stud 600S137-33 @16" - interior partitions A5, B2</t>
  </si>
  <si>
    <t xml:space="preserve">3/A12.01, 1/A12.01, 7/S5.20</t>
  </si>
  <si>
    <t xml:space="preserve">6" metal stud 600S137-68 (14 GA) @24" - B2K</t>
  </si>
  <si>
    <t xml:space="preserve">1/A12.01 + 4/A12.01 (derivado)</t>
  </si>
  <si>
    <t xml:space="preserve">1-5/8" metal stud 162S125-33 @16" - G/G1 double row</t>
  </si>
  <si>
    <t xml:space="preserve">5/A12.01</t>
  </si>
  <si>
    <t xml:space="preserve">1-5/8" metal stud 162S125-33 @16" - office front bulkheads double row</t>
  </si>
  <si>
    <t xml:space="preserve">9/A12.01, 8/A12.01</t>
  </si>
  <si>
    <t xml:space="preserve">6" metal stud 600S162-54 - exterior walls, piers, west vestibule band</t>
  </si>
  <si>
    <t xml:space="preserve">C/A09.21 6" CFMF; S1.11 nota 5 (600S162-54 @12" a 6 ft de esquinas / @16") [RFI-03]; 1/A09.25, 2/A09.25</t>
  </si>
  <si>
    <t xml:space="preserve">6" parapet infill stud 600S162-54 @16"</t>
  </si>
  <si>
    <t xml:space="preserve">stick 20 ft</t>
  </si>
  <si>
    <t xml:space="preserve">11/S5.10 PARAPET INFILL FRAMING</t>
  </si>
  <si>
    <t xml:space="preserve">3-5/8" metal stud 362S137-33 - canopy fascia</t>
  </si>
  <si>
    <t xml:space="preserve">7/A09.26, 3/A09.26</t>
  </si>
  <si>
    <t xml:space="preserve">3-5/8" metal stud 362S137-33 - canopy soffit joists @16"</t>
  </si>
  <si>
    <t xml:space="preserve">3/A09.26, 5/A09.33</t>
  </si>
  <si>
    <t xml:space="preserve">3-5/8" metal stud 362S137-33 - column wraps, piers, CSR soffit, kickers, vestibule heads, roof step</t>
  </si>
  <si>
    <t xml:space="preserve">5/A09.25, 1-2/A09.25, 10/A09.33, 7/A09.33, 5/A12.10, 4/A02.02</t>
  </si>
  <si>
    <t xml:space="preserve">2-1/2" metal stud 250S125-33 - coiling grille head, DU ATM sistered</t>
  </si>
  <si>
    <t xml:space="preserve">4/A08.21 2 1/2" CFMF @ 16" O.C.; 6/A08.11</t>
  </si>
  <si>
    <t xml:space="preserve">3-5/8" bottom track 362T125-33 - A1, B, C1, F, roof step, column wraps, vestibule heads</t>
  </si>
  <si>
    <t xml:space="preserve">piece 10 ft</t>
  </si>
  <si>
    <t xml:space="preserve">3/S5.20; track del calibre del stud (regla calibre) [DERIVADO]</t>
  </si>
  <si>
    <t xml:space="preserve">3-5/8" top / slip track 362T200-33 - A1, B, C1, F, roof step, column wraps, vestibule heads</t>
  </si>
  <si>
    <t xml:space="preserve">CONTINUOUS SLIP TRACK 3/A12.01, 1/A12.01; designacion 3-5/8" no impresa en 7/S5.20 -&gt; RFI-02</t>
  </si>
  <si>
    <t xml:space="preserve">3-5/8" bottom track 362T125-68 (14 GA) - A1K</t>
  </si>
  <si>
    <t xml:space="preserve">4/A12.01</t>
  </si>
  <si>
    <t xml:space="preserve">3-5/8" top / slip track 362T200-68 (14 GA) - A1K</t>
  </si>
  <si>
    <t xml:space="preserve">4/A12.01 CONTINUOUS SLIP TRACK</t>
  </si>
  <si>
    <t xml:space="preserve">6" bottom track 600T125-33 - A5, B2, B2K, exterior, piers, west vestibule band</t>
  </si>
  <si>
    <t xml:space="preserve">7/S5.20 600T125-33 BOTTOM TRACK</t>
  </si>
  <si>
    <t xml:space="preserve">6" top / deflection track 600T200-97 - A5, B2, B2K, exterior, piers, west vestibule band</t>
  </si>
  <si>
    <t xml:space="preserve">7/S5.20 600T200-97 TOP TRACK; 10/S5.10 DEFLECTION TRACK</t>
  </si>
  <si>
    <t xml:space="preserve">6" parapet bottom track 600T125-54</t>
  </si>
  <si>
    <t xml:space="preserve">11/S5.10 600T125-54 TOP &amp; BOT.</t>
  </si>
  <si>
    <t xml:space="preserve">6" parapet top track 600T125-54</t>
  </si>
  <si>
    <t xml:space="preserve">1-5/8" bottom track 162T125-33 - G/G1, bulkheads</t>
  </si>
  <si>
    <t xml:space="preserve">5/A12.01, 9/A12.01</t>
  </si>
  <si>
    <t xml:space="preserve">1-5/8" top / slip track 162T200-33 - G/G1, bulkheads</t>
  </si>
  <si>
    <t xml:space="preserve">9/A12.01 CONT. SLIP TRACK [RFI-02]</t>
  </si>
  <si>
    <t xml:space="preserve">2-1/2" bottom track 250T125-33 - coiling grille head</t>
  </si>
  <si>
    <t xml:space="preserve">4/A08.21 (58.2)</t>
  </si>
  <si>
    <t xml:space="preserve">2-1/2" top track 250T125-33 - coiling grille head</t>
  </si>
  <si>
    <t xml:space="preserve">ceiling / soffit track - GB ceilings, transitions, CSR soffit, canopy fascia &amp; soffit</t>
  </si>
  <si>
    <t xml:space="preserve">7/A09.33, 10/A09.33, 7/A09.26 (58.2, 58.3)</t>
  </si>
  <si>
    <t xml:space="preserve">Additional head track @ opening &gt; 4'-0" (2/S5.20)</t>
  </si>
  <si>
    <t xml:space="preserve">2/S5.20</t>
  </si>
  <si>
    <t xml:space="preserve">1x1x1 16 GA purlin across min. (2) flutes - tracks to deck parallel to flute</t>
  </si>
  <si>
    <t xml:space="preserve">10/A09.33 ALTERNATE CEILING DETAIL VIF FLUTE DIRECTION (59.1): walls E-W #1 #3 #4 #5 #7 #11 #12 #13 #14 #19 #20 #22 #24 #28 #29 #30 #33 #34 #38 #39 #40 #43 #45 #47 #49 + roof step + VH-1, x 0.75 (1'-6" pieza / fasteners @2'-0" 4/A12.01); doble fila = una pieza [RFI-12]</t>
  </si>
  <si>
    <t xml:space="preserve">header track 18 GA / box beam - interior doors (7/S5.20 header schedule)</t>
  </si>
  <si>
    <t xml:space="preserve">7/S5.20 HEADER SCHEDULE - WALLS; 9/S5.20; 58.4 recessed</t>
  </si>
  <si>
    <t xml:space="preserve">header / box beam 2-362CSJ20 - office front bulkheads</t>
  </si>
  <si>
    <t xml:space="preserve">9/A12.01 CONT. BOX BEAM; 7/S5.20 (&lt;=8'-0")</t>
  </si>
  <si>
    <t xml:space="preserve">header / box beam metal stud - exterior openings, F wall ATM, coiling grille, vestibule heads</t>
  </si>
  <si>
    <t xml:space="preserve">11/A09.27, 14/A09.27, 6/A08.11, 1/A08.11, 4/A08.21, 5/A12.10</t>
  </si>
  <si>
    <t xml:space="preserve">sill track - windows, ATM, recessed accessories</t>
  </si>
  <si>
    <t xml:space="preserve">10/A09.27, 1/A08.11, 6/A08.11, 58.4</t>
  </si>
  <si>
    <t xml:space="preserve">bracing 1-1/2" C.R. channel @48" O.C.</t>
  </si>
  <si>
    <t xml:space="preserve">piece 16 ft</t>
  </si>
  <si>
    <t xml:space="preserve">1/S5.20 F BRIDGING AND BRACING (53.4)</t>
  </si>
  <si>
    <t xml:space="preserve">framed openings MEP ducts larger than stud bay (track frame)</t>
  </si>
  <si>
    <t xml:space="preserve">6/S5.20, 9/S5.20 (59.8)</t>
  </si>
  <si>
    <t xml:space="preserve">framed opening - recessed fixtures, diffusers, access panel in GB ceilings</t>
  </si>
  <si>
    <t xml:space="preserve">6/A09.33; E02.01; M01.01 (58.5)</t>
  </si>
  <si>
    <t xml:space="preserve">framed opening - canopy linear fixtures UU1-UU6</t>
  </si>
  <si>
    <t xml:space="preserve">4/A09.33, 5/A09.33; E00.01/E02.01 (54.1)</t>
  </si>
  <si>
    <t xml:space="preserve">1-1/2" C.R. carrying channel @48" - GB ceilings</t>
  </si>
  <si>
    <t xml:space="preserve">A04.01 GB ceilings (suspension no detallada) [RFI-10]</t>
  </si>
  <si>
    <t xml:space="preserve">7/8" furring channel @16" - GB ceilings</t>
  </si>
  <si>
    <t xml:space="preserve">piece 12 ft</t>
  </si>
  <si>
    <t xml:space="preserve">A04.01 [RFI-10]</t>
  </si>
  <si>
    <t xml:space="preserve">12 GA hanger wire - GB ceilings</t>
  </si>
  <si>
    <t xml:space="preserve">LF (coil)</t>
  </si>
  <si>
    <t xml:space="preserve">3/A09.33 TYPICAL 12 GAUGE HANGER WIRE</t>
  </si>
  <si>
    <t xml:space="preserve">5/8" gypsum board, regular - walls</t>
  </si>
  <si>
    <t xml:space="preserve">SF</t>
  </si>
  <si>
    <t xml:space="preserve">4x12 sheet</t>
  </si>
  <si>
    <t xml:space="preserve">Partition Takeoff col Board (menos MR reclasificado) + piers, jamb returns, coiling grille head, vestibule heads</t>
  </si>
  <si>
    <t xml:space="preserve">5/8" gypsum board, regular - ceilings &amp; soffits</t>
  </si>
  <si>
    <t xml:space="preserve">A04.01; 7/A09.33; 10/A09.33</t>
  </si>
  <si>
    <t xml:space="preserve">5/8" gypsum board, moisture resistant (behind toilet &amp; lavatory)</t>
  </si>
  <si>
    <t xml:space="preserve">A08.01 sheet note F (59.9)</t>
  </si>
  <si>
    <t xml:space="preserve">3/8" gyp board (A1K/B2K from 8'-0" to underside of structure)</t>
  </si>
  <si>
    <t xml:space="preserve">4x8 sheet</t>
  </si>
  <si>
    <t xml:space="preserve">ballistic panel 3/8" UL752 Level-2 fiberglass (NIJ Type II) to 8'-0"</t>
  </si>
  <si>
    <t xml:space="preserve">4/A12.01 WALL CONSTRUCTION SHALL INCLUDE</t>
  </si>
  <si>
    <t xml:space="preserve">5/8" exterior gyp sheathing (parapet roof side)</t>
  </si>
  <si>
    <t xml:space="preserve">C/A09.21 5/8" EXTERIOR GYPSUM SHEATHING (55.3)</t>
  </si>
  <si>
    <t xml:space="preserve">5/8" glass mat sheathing (base + canopy band)</t>
  </si>
  <si>
    <t xml:space="preserve">9/A09.27, 5/A09.26, 3/A09.26, 7/A09.26 (56.3, 59.2)</t>
  </si>
  <si>
    <t xml:space="preserve">5/8" FRT plywood bonded to 2-1/2" polyiso nailbase (exterior walls, parapets, roof step, piers)</t>
  </si>
  <si>
    <t xml:space="preserve">C/A09.21 SHEATHING/INSULATION SYSTEM; 4/A02.02; 1-2/A09.25 (59.11)</t>
  </si>
  <si>
    <t xml:space="preserve">5/8" ext grade FRT plywood sheathing (canopy fascia, soffit, column wraps, DU ATM)</t>
  </si>
  <si>
    <t xml:space="preserve">3/A09.26, 7/A09.26, 5/A09.25, 6/A08.11</t>
  </si>
  <si>
    <t xml:space="preserve">3/4" FRT plywood (F wall public side, Electrical/NER backboard, pier jambs, vestibule terminations)</t>
  </si>
  <si>
    <t xml:space="preserve">12/A12.01; A11.03 2-5; 1-2/A09.25; 8/A12.10; 13/A12.02 3/4" FRT PLYWOOD BLOCKING 85" monitor 6.17 x 2.0 [RFI-29]</t>
  </si>
  <si>
    <t xml:space="preserve">FRP panel WC-3 (restrooms 5'-0" + mop sink)</t>
  </si>
  <si>
    <t xml:space="preserve">A-D/A08.01, 3/A08.01, A05.01 key note 6</t>
  </si>
  <si>
    <t xml:space="preserve">PVC edge / inside corner trim molding (FRP)</t>
  </si>
  <si>
    <t xml:space="preserve">3/A08.01, 5/A08.01, 7/A08.01</t>
  </si>
  <si>
    <t xml:space="preserve">1/2" cement board under tile cove base CT-12C</t>
  </si>
  <si>
    <t xml:space="preserve">3x5 sheet</t>
  </si>
  <si>
    <t xml:space="preserve">3/A08.01 (58.7)</t>
  </si>
  <si>
    <t xml:space="preserve">sound batt insulation above GB ceiling - restrooms 113/114</t>
  </si>
  <si>
    <t xml:space="preserve">A04.01 key note 11 INSTALL SOUND BATT INSULATION ABOVE CEILING</t>
  </si>
  <si>
    <t xml:space="preserve">batt insulation in partitions</t>
  </si>
  <si>
    <t xml:space="preserve">schedule INSULATION YES (A12.01), 9/A12.01, 12/A12.01</t>
  </si>
  <si>
    <t xml:space="preserve">metal stud blocking 362CR22 (wall stops, monitor, lockers, ladder, edge of gypboard)</t>
  </si>
  <si>
    <t xml:space="preserve">4/S5.20 TYPICAL BLOCKING DETAIL; A00.30 nota D; A02.01 key notes 3,5 + RCP 9 (58.6, 59.14); monitor movido a FRT plywood 13/A12.02</t>
  </si>
  <si>
    <t xml:space="preserve">FRT wood blocking (millwork, toilet accessories, CSR, vestibule terminations, roof step 2X)</t>
  </si>
  <si>
    <t xml:space="preserve">piece 8 ft</t>
  </si>
  <si>
    <t xml:space="preserve">A12.04-A12.06 nota D FRTW; A08.01 nota E; 10/A09.33; 8/A12.10; 4/A02.02; 5/A08.21 FRT WOOD BLOCKING coiling grille jambs 4 x 9'-0" [RFI-27]</t>
  </si>
  <si>
    <t xml:space="preserve">3/4" FRT plywood blocking strips (parapet top, office bulkheads, exterior openings)</t>
  </si>
  <si>
    <t xml:space="preserve">4/A09.26; 9/A12.01; 11/A09.27; 3/A09.25 (58.6)</t>
  </si>
  <si>
    <t xml:space="preserve">metal trim - corner bead</t>
  </si>
  <si>
    <t xml:space="preserve">bulkheads 9/A12.01, 7/A09.33, 10/A09.33, 4/A08.21, piers, exterior returns + criterio 53.1: C1 boxes 8 aristas x 15.375, MW01 niche 2 x 12.0, monitor furring 2 x 12.0, A1 niche 4 x 15.375 (56.9)</t>
  </si>
  <si>
    <t xml:space="preserve">metal trim - J-bead / casing bead (storefront, windows, office front frames, CSR)</t>
  </si>
  <si>
    <t xml:space="preserve">11/A09.27 J-CHANNEL; 10/A12.01 office jamb (6 office fronts x 2 jambs x 8'-0 1/2") (53.1)</t>
  </si>
  <si>
    <t xml:space="preserve">metal trim - shadow molding</t>
  </si>
  <si>
    <t xml:space="preserve">9/A12.01, 7/A09.33</t>
  </si>
  <si>
    <t xml:space="preserve">metal trim - gypsum edge trim (linear slots)</t>
  </si>
  <si>
    <t xml:space="preserve">6/A09.33 GYPSUM EDGE TRIM</t>
  </si>
  <si>
    <t xml:space="preserve">acoustical sealant (partition beads)</t>
  </si>
  <si>
    <t xml:space="preserve">tube (~25 LF per 28 oz tube)</t>
  </si>
  <si>
    <t xml:space="preserve">beads dibujados por partition detail (54.4, 56.6, 59.12)</t>
  </si>
  <si>
    <t xml:space="preserve">sealant at base of gypsum - exterior walls</t>
  </si>
  <si>
    <t xml:space="preserve">9/A09.27, 5/A09.26 SEALANT AT BASE OF GYPSUM (53.9.3)</t>
  </si>
  <si>
    <t xml:space="preserve">Level 5 finish - WC-18 walls offices 105-110 (A00.40 WC-18 WALL SURFACE TO BE LEVEL 5)</t>
  </si>
  <si>
    <t xml:space="preserve">A05.01 WC-18 tags (offices 105,106,107,108 north wall 11'-9 1/4" ; 109,110 south wall 11'-7 1/2" A02.01) x 9'-0" ACT-4 A04.01 [DERIVADO]; WC-22 media wall 1/A11.01 width EQ/EQ not dimensioned and WC-20 location not shown -&gt; PENDIENTE [RFI-25]</t>
  </si>
  <si>
    <t xml:space="preserve">Level 4 finish (assumed, not specified) - gypsum board taping &amp; finishing</t>
  </si>
  <si>
    <t xml:space="preserve">no hay especificacion 09 29 00 en el bid set; nivel no rotulado -&gt; Level 4 supuesto (Clarifications) [RFI-24]</t>
  </si>
  <si>
    <t xml:space="preserve">sill track anchorage HILTI 1/4" KWIK BOLT II @ 8" O.C. - exterior bottom track</t>
  </si>
  <si>
    <t xml:space="preserve">EA</t>
  </si>
  <si>
    <t xml:space="preserve">box of 100</t>
  </si>
  <si>
    <t xml:space="preserve">7/S5.20 SILL TRACK ANCHORAGE (EXTERIOR WALLS); 6" bottom track LF x 12/8 (incluye A5/B2/B2K/piers del mismo renglon: mas material)</t>
  </si>
  <si>
    <t xml:space="preserve">sill track anchorage HILTI DNI 32 P8 PAF @ 12" O.C. - interior bottom track</t>
  </si>
  <si>
    <t xml:space="preserve">7/S5.20 SILL TRACK ANCHORAGE (INTERIOR WALLS); bottom track LF x 1/ft</t>
  </si>
  <si>
    <t xml:space="preserve">drywall screw 1-1/8" PLYTEK (6" O.C. edges / 12" O.C. field)</t>
  </si>
  <si>
    <t xml:space="preserve">box of 1000</t>
  </si>
  <si>
    <t xml:space="preserve">7/S5.20 FASTENER SCHEDULE 5/8" GYPBOARD TO STUDS 1 1/8" PLYTEK; ~1 screw/SF de board (4x12 @16" O.C.)</t>
  </si>
  <si>
    <t xml:space="preserve">paper joint tape</t>
  </si>
  <si>
    <t xml:space="preserve">roll 500 ft</t>
  </si>
  <si>
    <t xml:space="preserve">Level 4 / Level 5 (RFI-24, A00.40 WC-18); 0.37 LF tape por SF de board</t>
  </si>
  <si>
    <t xml:space="preserve">joint compound ready-mix (4.5 gal box)</t>
  </si>
  <si>
    <t xml:space="preserve">box 4.5 gal</t>
  </si>
  <si>
    <t xml:space="preserve">Level 4 ~450 SF/box + skim coat Level 5 WC-18 (A05.01 nota 9/10, A00.40)</t>
  </si>
  <si>
    <t xml:space="preserve">access panel 2'x2' locking (key note 4) - framing only</t>
  </si>
  <si>
    <t xml:space="preserve">A04.01 key note 4 2' X 2' LOCKING ACCESS PANEL (panel by others)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</si>
  <si>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</si>
  <si>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</si>
  <si>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</si>
  <si>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</si>
  <si>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elevations A09.01/A09.02: los rotulos NORTH/SOUTH estan transpuestos respecto a la planta A02.01 (la elevacion rotulada NORTH muestra el drive-up ATM del lado sur). Confirmar cual rige.</t>
  </si>
  <si>
    <t xml:space="preserve">Sin delta de cantidad: se cuantifico por planta A02.01 + secciones A09.21-A09.23.</t>
  </si>
  <si>
    <t xml:space="preserve">RFI-02</t>
  </si>
  <si>
    <t xml:space="preserve">Designacion de 3-5/8" y 1-5/8" slip track no impresa en 7/S5.20 (solo 600T200-97). Confirmar calibre/flange.</t>
  </si>
  <si>
    <t xml:space="preserve">Se uso 362T200-33 / 162T200-33 (296.61 + 288.51 LF). Si fuera 97 mil como el 6": mismo LF, mayor calibre.</t>
  </si>
  <si>
    <t xml:space="preserve">RFI-03</t>
  </si>
  <si>
    <t xml:space="preserve">S1.11 nota 5 pide 600S162-54 @12" dentro de 6 ft de esquinas y @16" resto; 7/S5.20 muestra 600S137-33. Confirmar stud exterior.</t>
  </si>
  <si>
    <t xml:space="preserve">Se uso 600S162-54 (mas material, 4,068.08 LF). Alterna 600S137-33 @16" corrido: mismo LF menos los studs extra @12" en esquinas, calibre 33 mil.</t>
  </si>
  <si>
    <t xml:space="preserve">RFI-04</t>
  </si>
  <si>
    <t xml:space="preserve">9/A12.01 office front bulkheads: '2 LAYERS 5/8"' - confirmar si son 2 layers por face o 2 layers totales.</t>
  </si>
  <si>
    <t xml:space="preserve">Se tomo 2 layers por face. Si es 2 layers total: -55.0 SF por cara x 2 caras x 6 bulkheads = -660 SF de 5/8" regular.</t>
  </si>
  <si>
    <t xml:space="preserve">RFI-05</t>
  </si>
  <si>
    <t xml:space="preserve">6/A12.01 (C1, una cara): altura del gypsum board no acotada.</t>
  </si>
  <si>
    <t xml:space="preserve">Se tomo board hasta el corte superior del stud (12.896 ft, mas material). Alterna: hasta ceiling 9'-0": -3.9 ft x LF de C1.</t>
  </si>
  <si>
    <t xml:space="preserve">RFI-06</t>
  </si>
  <si>
    <t xml:space="preserve">Storefront del frente norte (#61/#62): el framing solo existe arriba del storefront (8'-6" a B.O.D.). Confirmar que no hay framing bajo el sill.</t>
  </si>
  <si>
    <t xml:space="preserve">Se modelo banda H=6.875 ft. Si fuera altura completa: +8.5 ft x 39.52 LF de studs/board.</t>
  </si>
  <si>
    <t xml:space="preserve">RFI-07</t>
  </si>
  <si>
    <t xml:space="preserve">S1.11 nota 2 menciona deflection clips; 1/S5.20 y 10/S5.10 resuelven con deflection track. Confirmar si se requieren clips.</t>
  </si>
  <si>
    <t xml:space="preserve">Clips excluidos. Si se requieren: 1 clip por stud exterior/parapeto (~ 300-350 EA).</t>
  </si>
  <si>
    <t xml:space="preserve">RFI-08</t>
  </si>
  <si>
    <t xml:space="preserve">2/A09.26 muestra steel header en aberturas exteriores; 11/A09.27 y 14/A09.27 muestran metal stud box beam. Confirmar quien suministra el steel header.</t>
  </si>
  <si>
    <t xml:space="preserve">Se cuantifico metal stud box beam (R.O.+1'-4"). Si es steel header por Div. 05 estructural: -box beam exterior.</t>
  </si>
  <si>
    <t xml:space="preserve">RFI-09</t>
  </si>
  <si>
    <t xml:space="preserve">Spray foam insulation (C/A09.21, 3/A09.26): confirmar que es Div. 07 21 19 y no del drywaller.</t>
  </si>
  <si>
    <t xml:space="preserve">Excluida. Si se asigna: SF = cara interior de exteriores (~3,957 SF).</t>
  </si>
  <si>
    <t xml:space="preserve">RFI-10</t>
  </si>
  <si>
    <t xml:space="preserve">Suspension de GB ceilings no detallada (solo 3/A09.33 de referencia). Confirmar sistema (furring 7/8" @16" + carrying 1-1/2" @48").</t>
  </si>
  <si>
    <t xml:space="preserve">Se uso criterio ASTM C754: furring 703.29 LF, carrying 234.42 LF, hanger wire 315.57 LF. Con grid suspension system: reemplazar estos tres renglones.</t>
  </si>
  <si>
    <t xml:space="preserve">RFI-11</t>
  </si>
  <si>
    <t xml:space="preserve">Parapet/roof step: altura a TOP OF BLOCKING TO ALIGN WITH HIGHEST POINT OF TAPERED INSULATION no acotada.</t>
  </si>
  <si>
    <t xml:space="preserve">Se tomo ~3.0 ft (mas material). Cada 0.5 ft menos: -1/6 del framing/sheathing del roof step (51.73 LF).</t>
  </si>
  <si>
    <t xml:space="preserve">RFI-12</t>
  </si>
  <si>
    <t xml:space="preserve">10/A09.33 ALTERNATE CEILING DETAIL: VIF FLUTE DIRECTION. Purlin 1x1x1 16 GA solo donde el track corre paralelo al flute.</t>
  </si>
  <si>
    <t xml:space="preserve">Se tomo joists N-S (S2.20) -&gt; flutes E-W -&gt; purlin en tracks E-W: 216.54 LF. Si flutes N-S: purlin pasa a tracks N-S.</t>
  </si>
  <si>
    <t xml:space="preserve">RFI-13</t>
  </si>
  <si>
    <t xml:space="preserve">R-11C / R-11CE en Waiting 104: luminaire schedule E00.01 dice 12' y el modelo 20'-0". Confirmar largo del slot.</t>
  </si>
  <si>
    <t xml:space="preserve">Se uso 12'-0" (gypsum edge trim 96 LF en slot). Con 20'-0": +64 LF de gypsum edge trim y framing.</t>
  </si>
  <si>
    <t xml:space="preserve">RFI-14</t>
  </si>
  <si>
    <t xml:space="preserve">Diffusers en GB ceilings (M01.01): tamano no impreso.</t>
  </si>
  <si>
    <t xml:space="preserve">Se tomo 2'x2' nominal (8 LF de framing por diffuser x 14). Otro tamano cambia LF proporcional al perimetro.</t>
  </si>
  <si>
    <t xml:space="preserve">RFI-15</t>
  </si>
  <si>
    <t xml:space="preserve">Storefront piers 1/A09.25, 2/A09.25: ancho de jambs 3/4" FRT plywood no acotado.</t>
  </si>
  <si>
    <t xml:space="preserve">Se tomo 0.5 ft por jamb (8.5 SF por pier). Cada 0.25 ft mas: +4.25 SF por pier.</t>
  </si>
  <si>
    <t xml:space="preserve">RFI-16</t>
  </si>
  <si>
    <t xml:space="preserve">Wall stops: material de blocking no rotulado.</t>
  </si>
  <si>
    <t xml:space="preserve">Se uso 362CR22 (4/S5.20), 9 x 2'-0". Si FRT wood: mover 18 LF a FRT wood blocking.</t>
  </si>
  <si>
    <t xml:space="preserve">RFI-17</t>
  </si>
  <si>
    <t xml:space="preserve">Lockers (key note 5): ubicacion y largo no impresos.</t>
  </si>
  <si>
    <t xml:space="preserve">Se tomo 2 filas x 2 x 3'-0" = 12 LF de 362CR22.</t>
  </si>
  <si>
    <t xml:space="preserve">RFI-18</t>
  </si>
  <si>
    <t xml:space="preserve">4/S5.20 PROVIDE BLOCKING AT THE EDGE OF GYPBOARD: alcance (todas las juntas horizontales con board &gt;12 ft vs solo exteriores/doble capa).</t>
  </si>
  <si>
    <t xml:space="preserve">Se tomo (b) toda cara con board &gt;12 ft = 704.6 LF (back-check: 725 LF, +20). Alterna (a) = 210.5 LF (-494.1 LF). Alterna (c) hojas 4x14: caras de 12-14 ft sin junta horizontal = ~364 LF (-341 LF).</t>
  </si>
  <si>
    <t xml:space="preserve">RFI-19</t>
  </si>
  <si>
    <t xml:space="preserve">Accesorios recessed (TA-2, TA-14, FEC): anchos no impresos.</t>
  </si>
  <si>
    <t xml:space="preserve">Se tomo 2'-0" + 1'-4" por accesorio. Cada accesorio de 1'-0": -1.0 LF header y -1.0 LF sill.</t>
  </si>
  <si>
    <t xml:space="preserve">RFI-20</t>
  </si>
  <si>
    <t xml:space="preserve">Ducto 30"x16" supply en break: framed opening en partition no detallado.</t>
  </si>
  <si>
    <t xml:space="preserve">Se cuantifico header+sill 17.50 LF; ductos &lt;= 14 3/8" caben en el stud bay (0).</t>
  </si>
  <si>
    <t xml:space="preserve">RFI-21</t>
  </si>
  <si>
    <t xml:space="preserve">A05.01 key note 6 FRP en mop sink: ancho 'TO MATCH MOP SINK' no impreso.</t>
  </si>
  <si>
    <t xml:space="preserve">Se tomo 28" por lado (18.67 SF). Cada 6" mas: +4 SF.</t>
  </si>
  <si>
    <t xml:space="preserve">RFI-22</t>
  </si>
  <si>
    <t xml:space="preserve">5/A12.10 vestibule glass wall heads: 'BOX HEADER AS NEEDED'. Confirmar si se requiere box header.</t>
  </si>
  <si>
    <t xml:space="preserve">Se incluyo metal stud box header VH-1/VH-2 (16.24 + 6.77 LF + 1'-4" c/u). Si no se requiere: -25.68 LF.</t>
  </si>
  <si>
    <t xml:space="preserve">RFI-23</t>
  </si>
  <si>
    <t xml:space="preserve">8/A12.10 FRT blocking en terminaciones de glass wall: altura no acotada.</t>
  </si>
  <si>
    <t xml:space="preserve">Se tomo 10'-0" (altura GB ceiling) x 4 = 40 LF.</t>
  </si>
  <si>
    <t xml:space="preserve">RFI-24</t>
  </si>
  <si>
    <t xml:space="preserve">No hay especificacion 09 29 00 en el bid set: finish level no rotulado salvo WC-18/WC-20/WC-22 (Level 5).</t>
  </si>
  <si>
    <t xml:space="preserve">Se tomo Level 4 en todo el board restante (13,984.78 SF). Alterna: board oculto sobre ceilings (~3,424 SF, adversarial) a Level 1 / fire-tape only -&gt; Level 4 ~10,560 SF.</t>
  </si>
  <si>
    <t xml:space="preserve">RFI-27</t>
  </si>
  <si>
    <t xml:space="preserve">5/A08.21 coiling grille jambs: FRT WOOD BLOCKING (TYP) sin altura acotada; caja de jamb sur 1'-0" x 1'-0" de 3-5/8" metal framing.</t>
  </si>
  <si>
    <t xml:space="preserve">Se tomo 4 piezas x 9'-0" = 36 LF de FRT wood blocking. A deck (15.375): +25.5 LF.</t>
  </si>
  <si>
    <t xml:space="preserve">RFI-28</t>
  </si>
  <si>
    <t xml:space="preserve">A04.01 key note 12 SA-4 SCREEN VENT / 16/A09.27 SOFFIT VENT en canopy soffit: largo no acotado.</t>
  </si>
  <si>
    <t xml:space="preserve">No cuantificado (PENDIENTE). Estimado ~50 LF de vent -&gt; ~100 LF de track a ambos lados.</t>
  </si>
  <si>
    <t xml:space="preserve">RFI-29</t>
  </si>
  <si>
    <t xml:space="preserve">13/A12.02: 3/4" FRT PLYWOOD BLOCKING del 85" monitor sin medida.</t>
  </si>
  <si>
    <t xml:space="preserve">Se tomo 6.17 x 2.0 = 12.33 SF (y se quitaron 12.33 LF de 362CR22). In-wall box CHIEF PAC527L 14.25x22 cabe en el stud bay.</t>
  </si>
  <si>
    <t xml:space="preserve">RFI-30</t>
  </si>
  <si>
    <t xml:space="preserve">10/S5.10: el LT. GA. FRAMING termina en DEFLECTION TRACK bajo la viga perimetral; tamanos de viga S2.20 W10-W14. Confirmar tope de exterior studs.</t>
  </si>
  <si>
    <t xml:space="preserve">Se tomo stud a B.O.D. (15.375 / 13.052-12.531). Si tope = bottom of beam: ~-0.85 ft x ~271 studs = ~-230 LF de 600S162-54.</t>
  </si>
  <si>
    <t xml:space="preserve">RFI-31</t>
  </si>
  <si>
    <t xml:space="preserve">Control joints en gypsum board no rotulados en el set (ASTM C840 &lt;= 30 ft).</t>
  </si>
  <si>
    <t xml:space="preserve">No cuantificado. Estimado 4-5 joints x ~14.5 ft = 60-75 LF de control joint #093.</t>
  </si>
  <si>
    <t xml:space="preserve">RFI-32</t>
  </si>
  <si>
    <t xml:space="preserve">#41 (G, 2.42 LF) y #51 (G1, 2.67 LF) sin tag: nota A dice A1, pero el espesor dibujado es de G/G1.</t>
  </si>
  <si>
    <t xml:space="preserve">Se clasificaron por espesor (G/G1). Como A1: -5.09 LF de doble fila 1-5/8" y +5.09 LF de 3-5/8".</t>
  </si>
  <si>
    <t xml:space="preserve">RFI-26</t>
  </si>
  <si>
    <t xml:space="preserve">Ends de los recessed linear fixtures (R-11C end caps en Waiting 104 y UU1-UU6 en canopy): ancho no impreso.</t>
  </si>
  <si>
    <t xml:space="preserve">Framing de los ends PENDIENTE (no cuantificado). Estimado: +1 LF de track por end; se agrega al recibir el cutsheet.</t>
  </si>
  <si>
    <t xml:space="preserve">RFI-25</t>
  </si>
  <si>
    <t xml:space="preserve">Level 5: WC-22 media wall 1/A11.01 con ancho EQ/EQ no acotado, y WC-20 (A05.01 nota 9) sin ubicacion en planta.</t>
  </si>
  <si>
    <t xml:space="preserve">Level 5 cuantificado solo en WC-18 (633.01 SF). WC-22 ~10 ft x altura: +~100-130 SF [PENDIENTE]; WC-20 [PENDIENTE].</t>
  </si>
  <si>
    <t xml:space="preserve">#</t>
  </si>
  <si>
    <t xml:space="preserve">Punto</t>
  </si>
  <si>
    <t xml:space="preserve">Hoja + detalle</t>
  </si>
  <si>
    <t xml:space="preserve">Imagen</t>
  </si>
  <si>
    <t xml:space="preserve">Exterior stud 600S162-54 vs 600S137-33 (RFI-03): define calibre de 4,068 LF.</t>
  </si>
  <si>
    <t xml:space="preserve">7/S5.20; S1.11 nota 5</t>
  </si>
  <si>
    <t xml:space="preserve">12_PLANO_EXTERIORES.jpg</t>
  </si>
  <si>
    <t xml:space="preserve">Office front bulkheads 2 layers por face vs total (RFI-04): +/-660 SF.</t>
  </si>
  <si>
    <t xml:space="preserve">9/A12.01</t>
  </si>
  <si>
    <t xml:space="preserve">11_PLANO_BULKHEAD_OFFICE_FRONT.jpg</t>
  </si>
  <si>
    <t xml:space="preserve">Blocking at edge of gypboard alcance (RFI-18): 704.6 vs 210.5 LF.</t>
  </si>
  <si>
    <t xml:space="preserve">4/S5.20</t>
  </si>
  <si>
    <t xml:space="preserve">04_PLANO_B.jpg</t>
  </si>
  <si>
    <t xml:space="preserve">Storefront #61/#62 modelados como banda sobre 8'-6" (RFI-06).</t>
  </si>
  <si>
    <t xml:space="preserve">11/A09.27; A09.21</t>
  </si>
  <si>
    <t xml:space="preserve">Purlin por direccion de flute VIF (RFI-12): 216.54 LF.</t>
  </si>
  <si>
    <t xml:space="preserve">10/A09.33; S2.20</t>
  </si>
  <si>
    <t xml:space="preserve">13_PLANO_CIELOS_GWB_Y_SOFFIT_CSR.jpg</t>
  </si>
  <si>
    <t xml:space="preserve">Level 5 WC-22 y WC-20 sin medida (RFI-25).</t>
  </si>
  <si>
    <t xml:space="preserve">1/A11.01; A05.01</t>
  </si>
  <si>
    <t xml:space="preserve">07_PLANO_C1.jpg</t>
  </si>
  <si>
    <t xml:space="preserve">Suspension de GB ceilings por criterio ASTM C754 (RFI-10).</t>
  </si>
  <si>
    <t xml:space="preserve">3/A09.33</t>
  </si>
  <si>
    <t xml:space="preserve">Parapet roof step altura ~3.0 ft (RFI-11).</t>
  </si>
  <si>
    <t xml:space="preserve">4/A02.02; 4/A09.26</t>
  </si>
  <si>
    <t xml:space="preserve">Elevaciones N/S transpuestas (RFI-01): revisar que exteriores sigan la planta.</t>
  </si>
  <si>
    <t xml:space="preserve">A09.01/A09.02</t>
  </si>
  <si>
    <t xml:space="preserve">Exterior studs: '+2 extremos' en muros con 1 esquina y en cortes de grid B (W68/W59, W65/W66): adversarial estima ~-180 LF.</t>
  </si>
  <si>
    <t xml:space="preserve">5/S5.20; 53.2</t>
  </si>
  <si>
    <t xml:space="preserve">Exterior studs a B.O.D. vs bottom of beam perimetral (RFI-30): ~-230 LF.</t>
  </si>
  <si>
    <t xml:space="preserve">10/S5.10; S2.20</t>
  </si>
  <si>
    <t xml:space="preserve">Level 4 incluye ~3,424 SF de board oculto sobre ceilings (RFI-24).</t>
  </si>
  <si>
    <t xml:space="preserve">A04.01; 3/A12.01</t>
  </si>
  <si>
    <t xml:space="preserve">A1K/B2K: 5/8" cara customer posiblemente a altura completa sobre 3/8" (+47 SF).</t>
  </si>
  <si>
    <t xml:space="preserve">02_PLANO_A1K.jpg</t>
  </si>
  <si>
    <t xml:space="preserve">G/G1 office front: posible doble +1 stud en las T (hasta -215 LF).</t>
  </si>
  <si>
    <t xml:space="preserve">10/A12.01</t>
  </si>
  <si>
    <t xml:space="preserve">08_PLANO_G.jpg</t>
  </si>
  <si>
    <t xml:space="preserve">Parapets W82/W84 en pendiente: altura maxima vs promedio (-13 SF / -12.5 LF).</t>
  </si>
  <si>
    <t xml:space="preserve">4/A09.26; 11/S5.10</t>
  </si>
  <si>
    <t xml:space="preserve">Nailbase/glass mat banda W1 canopy sin tramo Vestibule 100 (+15 SF); W59/W66 B.O.D. promedio (-13 SF).</t>
  </si>
  <si>
    <t xml:space="preserve">C/A09.21; 3/A09.26</t>
  </si>
  <si>
    <t xml:space="preserve">14_PLANO_CANOPY_SOFFIT.jpg</t>
  </si>
  <si>
    <t xml:space="preserve">B2 #26 lavatory alcove en Corridor 111: 2 returns (~1.3 LF c/u, +2.8 LF) no medidos como muro aparte (back-check).</t>
  </si>
  <si>
    <t xml:space="preserve">A02.01; 1/A12.01</t>
  </si>
  <si>
    <t xml:space="preserve">05_PLANO_B2.jpg</t>
  </si>
  <si>
    <t xml:space="preserve">Canopy fascia/soffit cuantificado desde 14/A09.27 y A02.02.</t>
  </si>
  <si>
    <t xml:space="preserve">A02.02; 14/A09.27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</si>
  <si>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</si>
  <si>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</si>
  <si>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</si>
  <si>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</si>
  <si>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</si>
  <si>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</si>
  <si>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</si>
  <si>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CUANTIFICADO en Material Summary; fuentes en columna Source.</t>
  </si>
  <si>
    <t xml:space="preserve">ALC-02</t>
  </si>
  <si>
    <t xml:space="preserve">Exterior wall framing (CFMF)</t>
  </si>
  <si>
    <t xml:space="preserve">ALC-03</t>
  </si>
  <si>
    <t xml:space="preserve">Parapet framing</t>
  </si>
  <si>
    <t xml:space="preserve">ALC-04</t>
  </si>
  <si>
    <t xml:space="preserve">Top / deflection and bottom track</t>
  </si>
  <si>
    <t xml:space="preserve">ALC-05</t>
  </si>
  <si>
    <t xml:space="preserve">Headers, sills and jambs at openings</t>
  </si>
  <si>
    <t xml:space="preserve">ALC-06</t>
  </si>
  <si>
    <t xml:space="preserve">Bracing / bridging</t>
  </si>
  <si>
    <t xml:space="preserve">ALC-07</t>
  </si>
  <si>
    <t xml:space="preserve">Gypsum board on walls (layers per type)</t>
  </si>
  <si>
    <t xml:space="preserve">ALC-08</t>
  </si>
  <si>
    <t xml:space="preserve">Moisture / abuse / special board at wet zones</t>
  </si>
  <si>
    <t xml:space="preserve">ALC-09</t>
  </si>
  <si>
    <t xml:space="preserve">Exterior gypsum / glass mat sheathing</t>
  </si>
  <si>
    <t xml:space="preserve">ALC-10</t>
  </si>
  <si>
    <t xml:space="preserve">FRT plywood sheathing / substrate</t>
  </si>
  <si>
    <t xml:space="preserve">ALC-11</t>
  </si>
  <si>
    <t xml:space="preserve">Gypsum board ceilings</t>
  </si>
  <si>
    <t xml:space="preserve">ALC-12</t>
  </si>
  <si>
    <t xml:space="preserve">Ceiling suspension (furring / carrying channel / hanger wire / ceiling track)</t>
  </si>
  <si>
    <t xml:space="preserve">ALC-13</t>
  </si>
  <si>
    <t xml:space="preserve">Soffits and bulkheads (framing + board)</t>
  </si>
  <si>
    <t xml:space="preserve">ALC-14</t>
  </si>
  <si>
    <t xml:space="preserve">Canopy / marquee framing and sheathing</t>
  </si>
  <si>
    <t xml:space="preserve">ALC-15</t>
  </si>
  <si>
    <t xml:space="preserve">Column furring / wraps</t>
  </si>
  <si>
    <t xml:space="preserve">CUANTIFICADO: column wraps canopy x4 (A02.02) + storefront piers 1/A09.25, 2/A09.25.</t>
  </si>
  <si>
    <t xml:space="preserve">ALC-16</t>
  </si>
  <si>
    <t xml:space="preserve">Blocking (FRT wood / metal) for millwork and accessories</t>
  </si>
  <si>
    <t xml:space="preserve">ALC-17</t>
  </si>
  <si>
    <t xml:space="preserve">Framed openings (MEP, access panels, diffusers)</t>
  </si>
  <si>
    <t xml:space="preserve">ALC-18</t>
  </si>
  <si>
    <t xml:space="preserve">Trim: corner bead, casing bead, control joints, reveals</t>
  </si>
  <si>
    <t xml:space="preserve">CUANTIFICADO: corner bead, J-bead/casing bead, shadow molding, gypsum edge trim. Control joints NO rotulados en el set -&gt; RFI-31 (no cuantificados).</t>
  </si>
  <si>
    <t xml:space="preserve">ALC-19</t>
  </si>
  <si>
    <t xml:space="preserve">Acoustical sealant / sound attenuation</t>
  </si>
  <si>
    <t xml:space="preserve">ALC-20</t>
  </si>
  <si>
    <t xml:space="preserve">FRP / cement board / tile backer</t>
  </si>
  <si>
    <t xml:space="preserve">ALC-21</t>
  </si>
  <si>
    <t xml:space="preserve">Shaft walls / area separation walls</t>
  </si>
  <si>
    <t xml:space="preserve">NO APLICA</t>
  </si>
  <si>
    <t xml:space="preserve">NO APLICA: A02.01 no tiene shaft walls ni area separation walls (0 hallazgos).</t>
  </si>
  <si>
    <t xml:space="preserve">ALC-22</t>
  </si>
  <si>
    <t xml:space="preserve">Rated assemblies (UL designs) and their board type</t>
  </si>
  <si>
    <t xml:space="preserve">NO APLICA: A12.01 partition schedule FIRE RATING "--" en todos los tipos; A02.01 sin rated walls.</t>
  </si>
  <si>
    <t xml:space="preserve">ALC-23</t>
  </si>
  <si>
    <t xml:space="preserve">Special panels (ballistic, lead-lined, abuse)</t>
  </si>
  <si>
    <t xml:space="preserve">ALC-24</t>
  </si>
  <si>
    <t xml:space="preserve">Finish level (Level 4 / Level 5)</t>
  </si>
  <si>
    <t xml:space="preserve">CUANTIFICADO: Level 5 WC-18 633.01 SF; Level 4 supuesto 13,984.78 SF [RFI-24, RFI-25].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</si>
</sst>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16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20.52</v>
      </c>
      <c r="D6" s="0" t="n">
        <v>12.963</v>
      </c>
      <c r="E6" s="0" t="n">
        <v>4</v>
      </c>
      <c r="F6" s="0" t="s">
        <v>31</v>
      </c>
      <c r="G6" s="0" t="n">
        <v>16</v>
      </c>
      <c r="H6" s="0" t="n">
        <v>357.35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16.42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344.82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15.23</v>
      </c>
      <c r="D8" s="0" t="n">
        <v>12.971</v>
      </c>
      <c r="E8" s="0" t="n">
        <v>2</v>
      </c>
      <c r="F8" s="0" t="s">
        <v>31</v>
      </c>
      <c r="G8" s="0" t="n">
        <v>16</v>
      </c>
      <c r="H8" s="0" t="n">
        <v>274.2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11.67</v>
      </c>
      <c r="D9" s="0" t="n">
        <v>12.775</v>
      </c>
      <c r="E9" s="0" t="n">
        <v>2</v>
      </c>
      <c r="F9" s="0" t="s">
        <v>31</v>
      </c>
      <c r="G9" s="0" t="n">
        <v>16</v>
      </c>
      <c r="H9" s="0" t="n">
        <v>173.84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5.83</v>
      </c>
      <c r="D10" s="0" t="n">
        <v>12.823</v>
      </c>
      <c r="E10" s="0" t="n">
        <v>2</v>
      </c>
      <c r="F10" s="0" t="s">
        <v>31</v>
      </c>
      <c r="G10" s="0" t="n">
        <v>16</v>
      </c>
      <c r="H10" s="0" t="n">
        <v>85.3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5.11</v>
      </c>
      <c r="D11" s="0" t="n">
        <v>12.927</v>
      </c>
      <c r="E11" s="0" t="n">
        <v>2</v>
      </c>
      <c r="F11" s="0" t="s">
        <v>31</v>
      </c>
      <c r="G11" s="0" t="n">
        <v>16</v>
      </c>
      <c r="H11" s="0" t="n">
        <v>46.48</v>
      </c>
      <c r="I11" s="0" t="s">
        <v>49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n">
        <v>5</v>
      </c>
      <c r="D12" s="0" t="n">
        <v>15.375</v>
      </c>
      <c r="E12" s="0" t="n">
        <v>2</v>
      </c>
      <c r="F12" s="0" t="s">
        <v>31</v>
      </c>
      <c r="G12" s="0" t="n">
        <v>16</v>
      </c>
      <c r="H12" s="0" t="n">
        <v>57</v>
      </c>
      <c r="I12" s="0" t="s">
        <v>52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n">
        <v>3.13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65.66</v>
      </c>
      <c r="I13" s="0" t="s">
        <v>55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2.02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42.42</v>
      </c>
      <c r="I14" s="0" t="s">
        <v>58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59</v>
      </c>
      <c r="B15" s="0" t="s">
        <v>60</v>
      </c>
      <c r="C15" s="0" t="n">
        <v>1.73</v>
      </c>
      <c r="D15" s="0" t="n">
        <v>12.963</v>
      </c>
      <c r="E15" s="0" t="n">
        <v>2</v>
      </c>
      <c r="F15" s="0" t="s">
        <v>31</v>
      </c>
      <c r="G15" s="0" t="n">
        <v>16</v>
      </c>
      <c r="H15" s="0" t="n">
        <v>32.06</v>
      </c>
      <c r="I15" s="0" t="s">
        <v>61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n">
        <v>1.08</v>
      </c>
      <c r="D16" s="0" t="n">
        <v>12.918</v>
      </c>
      <c r="E16" s="0" t="n">
        <v>1</v>
      </c>
      <c r="F16" s="0" t="s">
        <v>31</v>
      </c>
      <c r="G16" s="0" t="n">
        <v>16</v>
      </c>
      <c r="H16" s="0" t="n">
        <v>9.72</v>
      </c>
      <c r="I16" s="0" t="s">
        <v>64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5" t="s">
        <v>65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n">
        <v>2.63</v>
      </c>
      <c r="D18" s="0" t="n">
        <v>12.939</v>
      </c>
      <c r="E18" s="0" t="n">
        <v>2</v>
      </c>
      <c r="F18" s="0" t="s">
        <v>31</v>
      </c>
      <c r="G18" s="0" t="n">
        <v>24</v>
      </c>
      <c r="H18" s="0" t="n">
        <v>67.98</v>
      </c>
      <c r="I18" s="0" t="s">
        <v>68</v>
      </c>
      <c r="J18" s="0" t="s">
        <v>69</v>
      </c>
      <c r="K18" s="0" t="s">
        <v>34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n">
        <v>2.57</v>
      </c>
      <c r="D19" s="0" t="n">
        <v>15.375</v>
      </c>
      <c r="E19" s="0" t="n">
        <v>2</v>
      </c>
      <c r="F19" s="0" t="s">
        <v>31</v>
      </c>
      <c r="G19" s="0" t="n">
        <v>24</v>
      </c>
      <c r="H19" s="0" t="n">
        <v>79.12</v>
      </c>
      <c r="I19" s="0" t="s">
        <v>72</v>
      </c>
      <c r="J19" s="0" t="s">
        <v>69</v>
      </c>
      <c r="K19" s="0" t="s">
        <v>34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n">
        <v>1.16</v>
      </c>
      <c r="D20" s="0" t="n">
        <v>12.927</v>
      </c>
      <c r="E20" s="0" t="n">
        <v>2</v>
      </c>
      <c r="F20" s="0" t="s">
        <v>31</v>
      </c>
      <c r="G20" s="0" t="n">
        <v>24</v>
      </c>
      <c r="H20" s="0" t="n">
        <v>30</v>
      </c>
      <c r="I20" s="0" t="s">
        <v>75</v>
      </c>
      <c r="J20" s="0" t="s">
        <v>69</v>
      </c>
      <c r="K20" s="0" t="s">
        <v>34</v>
      </c>
    </row>
    <row r="21" customFormat="false" ht="15" hidden="false" customHeight="false" outlineLevel="0" collapsed="false">
      <c r="A21" s="5" t="s">
        <v>76</v>
      </c>
    </row>
    <row r="22" customFormat="false" ht="15" hidden="false" customHeight="false" outlineLevel="0" collapsed="false">
      <c r="A22" s="0" t="s">
        <v>77</v>
      </c>
      <c r="B22" s="0" t="s">
        <v>78</v>
      </c>
      <c r="C22" s="0" t="n">
        <v>19</v>
      </c>
      <c r="D22" s="0" t="n">
        <v>15.375</v>
      </c>
      <c r="E22" s="0" t="n">
        <v>3</v>
      </c>
      <c r="F22" s="0" t="s">
        <v>79</v>
      </c>
      <c r="G22" s="0" t="n">
        <v>16</v>
      </c>
      <c r="H22" s="0" t="n">
        <v>370.29</v>
      </c>
      <c r="I22" s="0" t="s">
        <v>80</v>
      </c>
      <c r="J22" s="0" t="s">
        <v>81</v>
      </c>
      <c r="K22" s="0" t="s">
        <v>34</v>
      </c>
    </row>
    <row r="23" customFormat="false" ht="15" hidden="false" customHeight="false" outlineLevel="0" collapsed="false">
      <c r="A23" s="0" t="s">
        <v>82</v>
      </c>
      <c r="B23" s="0" t="s">
        <v>83</v>
      </c>
      <c r="C23" s="0" t="n">
        <v>10.59</v>
      </c>
      <c r="D23" s="0" t="n">
        <v>15.375</v>
      </c>
      <c r="E23" s="0" t="n">
        <v>2</v>
      </c>
      <c r="F23" s="0" t="s">
        <v>79</v>
      </c>
      <c r="G23" s="0" t="n">
        <v>16</v>
      </c>
      <c r="H23" s="0" t="n">
        <v>222.46</v>
      </c>
      <c r="I23" s="0" t="s">
        <v>84</v>
      </c>
      <c r="J23" s="0" t="s">
        <v>81</v>
      </c>
      <c r="K23" s="0" t="s">
        <v>34</v>
      </c>
    </row>
    <row r="24" customFormat="false" ht="15" hidden="false" customHeight="false" outlineLevel="0" collapsed="false">
      <c r="A24" s="0" t="s">
        <v>85</v>
      </c>
      <c r="B24" s="0" t="s">
        <v>86</v>
      </c>
      <c r="C24" s="0" t="n">
        <v>6.61</v>
      </c>
      <c r="D24" s="0" t="n">
        <v>12.918</v>
      </c>
      <c r="E24" s="0" t="n">
        <v>2</v>
      </c>
      <c r="F24" s="0" t="s">
        <v>79</v>
      </c>
      <c r="G24" s="0" t="n">
        <v>16</v>
      </c>
      <c r="H24" s="0" t="n">
        <v>80.34</v>
      </c>
      <c r="I24" s="0" t="s">
        <v>87</v>
      </c>
      <c r="J24" s="0" t="s">
        <v>81</v>
      </c>
      <c r="K24" s="0" t="s">
        <v>34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n">
        <v>4.47</v>
      </c>
      <c r="D25" s="0" t="n">
        <v>13.052</v>
      </c>
      <c r="E25" s="0" t="n">
        <v>2</v>
      </c>
      <c r="F25" s="0" t="s">
        <v>79</v>
      </c>
      <c r="G25" s="0" t="n">
        <v>16</v>
      </c>
      <c r="H25" s="0" t="n">
        <v>38.4</v>
      </c>
      <c r="I25" s="0" t="s">
        <v>90</v>
      </c>
      <c r="J25" s="0" t="s">
        <v>81</v>
      </c>
      <c r="K25" s="0" t="s">
        <v>34</v>
      </c>
    </row>
    <row r="26" customFormat="false" ht="15" hidden="false" customHeight="false" outlineLevel="0" collapsed="false">
      <c r="A26" s="5" t="s">
        <v>91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0" t="n">
        <v>11.73</v>
      </c>
      <c r="D27" s="0" t="n">
        <v>12.751</v>
      </c>
      <c r="E27" s="0" t="n">
        <v>2</v>
      </c>
      <c r="F27" s="0" t="s">
        <v>31</v>
      </c>
      <c r="G27" s="0" t="n">
        <v>16</v>
      </c>
      <c r="H27" s="0" t="n">
        <v>257.22</v>
      </c>
      <c r="I27" s="0" t="s">
        <v>94</v>
      </c>
      <c r="J27" s="0" t="s">
        <v>95</v>
      </c>
      <c r="K27" s="0" t="s">
        <v>34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0" t="n">
        <v>11.73</v>
      </c>
      <c r="D28" s="0" t="n">
        <v>12.671</v>
      </c>
      <c r="E28" s="0" t="n">
        <v>2</v>
      </c>
      <c r="F28" s="0" t="s">
        <v>31</v>
      </c>
      <c r="G28" s="0" t="n">
        <v>16</v>
      </c>
      <c r="H28" s="0" t="n">
        <v>297.34</v>
      </c>
      <c r="I28" s="0" t="s">
        <v>98</v>
      </c>
      <c r="J28" s="0" t="s">
        <v>95</v>
      </c>
      <c r="K28" s="0" t="s">
        <v>34</v>
      </c>
    </row>
    <row r="29" customFormat="false" ht="15" hidden="false" customHeight="false" outlineLevel="0" collapsed="false">
      <c r="A29" s="0" t="s">
        <v>99</v>
      </c>
      <c r="B29" s="0" t="s">
        <v>100</v>
      </c>
      <c r="C29" s="0" t="n">
        <v>9.58</v>
      </c>
      <c r="D29" s="0" t="n">
        <v>12.831</v>
      </c>
      <c r="E29" s="0" t="n">
        <v>2</v>
      </c>
      <c r="F29" s="0" t="s">
        <v>31</v>
      </c>
      <c r="G29" s="0" t="n">
        <v>16</v>
      </c>
      <c r="H29" s="0" t="n">
        <v>245.84</v>
      </c>
      <c r="I29" s="0" t="s">
        <v>101</v>
      </c>
      <c r="J29" s="0" t="s">
        <v>95</v>
      </c>
      <c r="K29" s="0" t="s">
        <v>34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0" t="n">
        <v>9.58</v>
      </c>
      <c r="D30" s="0" t="n">
        <v>12.703</v>
      </c>
      <c r="E30" s="0" t="n">
        <v>2</v>
      </c>
      <c r="F30" s="0" t="s">
        <v>31</v>
      </c>
      <c r="G30" s="0" t="n">
        <v>16</v>
      </c>
      <c r="H30" s="0" t="n">
        <v>243.38</v>
      </c>
      <c r="I30" s="0" t="s">
        <v>104</v>
      </c>
      <c r="J30" s="0" t="s">
        <v>95</v>
      </c>
      <c r="K30" s="0" t="s">
        <v>34</v>
      </c>
    </row>
    <row r="31" customFormat="false" ht="15" hidden="false" customHeight="false" outlineLevel="0" collapsed="false">
      <c r="A31" s="0" t="s">
        <v>105</v>
      </c>
      <c r="B31" s="0" t="s">
        <v>106</v>
      </c>
      <c r="C31" s="0" t="n">
        <v>7.5</v>
      </c>
      <c r="D31" s="0" t="n">
        <v>12.694</v>
      </c>
      <c r="E31" s="0" t="n">
        <v>2</v>
      </c>
      <c r="F31" s="0" t="s">
        <v>31</v>
      </c>
      <c r="G31" s="0" t="n">
        <v>16</v>
      </c>
      <c r="H31" s="0" t="n">
        <v>148.42</v>
      </c>
      <c r="I31" s="0" t="s">
        <v>107</v>
      </c>
      <c r="J31" s="0" t="s">
        <v>95</v>
      </c>
      <c r="K31" s="0" t="s">
        <v>34</v>
      </c>
    </row>
    <row r="32" customFormat="false" ht="15" hidden="false" customHeight="false" outlineLevel="0" collapsed="false">
      <c r="A32" s="0" t="s">
        <v>108</v>
      </c>
      <c r="B32" s="0" t="s">
        <v>109</v>
      </c>
      <c r="C32" s="0" t="n">
        <v>3.5</v>
      </c>
      <c r="D32" s="0" t="n">
        <v>12.743</v>
      </c>
      <c r="E32" s="0" t="n">
        <v>2</v>
      </c>
      <c r="F32" s="0" t="s">
        <v>31</v>
      </c>
      <c r="G32" s="0" t="n">
        <v>16</v>
      </c>
      <c r="H32" s="0" t="n">
        <v>89.2</v>
      </c>
      <c r="I32" s="0" t="s">
        <v>110</v>
      </c>
      <c r="J32" s="0" t="s">
        <v>95</v>
      </c>
      <c r="K32" s="0" t="s">
        <v>34</v>
      </c>
    </row>
    <row r="33" customFormat="false" ht="15" hidden="false" customHeight="false" outlineLevel="0" collapsed="false">
      <c r="A33" s="5" t="s">
        <v>111</v>
      </c>
    </row>
    <row r="34" customFormat="false" ht="15" hidden="false" customHeight="false" outlineLevel="0" collapsed="false">
      <c r="A34" s="0" t="s">
        <v>112</v>
      </c>
      <c r="B34" s="0" t="s">
        <v>113</v>
      </c>
      <c r="C34" s="0" t="n">
        <v>25.39</v>
      </c>
      <c r="D34" s="0" t="n">
        <v>13.052</v>
      </c>
      <c r="E34" s="0" t="n">
        <v>2</v>
      </c>
      <c r="F34" s="0" t="s">
        <v>79</v>
      </c>
      <c r="G34" s="0" t="n">
        <v>16</v>
      </c>
      <c r="H34" s="0" t="n">
        <v>411.74</v>
      </c>
      <c r="I34" s="0" t="s">
        <v>114</v>
      </c>
      <c r="J34" s="0" t="s">
        <v>115</v>
      </c>
      <c r="K34" s="0" t="s">
        <v>34</v>
      </c>
    </row>
    <row r="35" customFormat="false" ht="15" hidden="false" customHeight="false" outlineLevel="0" collapsed="false">
      <c r="A35" s="0" t="s">
        <v>116</v>
      </c>
      <c r="B35" s="0" t="s">
        <v>117</v>
      </c>
      <c r="C35" s="0" t="n">
        <v>11.74</v>
      </c>
      <c r="D35" s="0" t="n">
        <v>12.782</v>
      </c>
      <c r="E35" s="0" t="n">
        <v>2</v>
      </c>
      <c r="F35" s="0" t="s">
        <v>79</v>
      </c>
      <c r="G35" s="0" t="n">
        <v>16</v>
      </c>
      <c r="H35" s="0" t="n">
        <v>300.12</v>
      </c>
      <c r="I35" s="0" t="s">
        <v>118</v>
      </c>
      <c r="J35" s="0" t="s">
        <v>115</v>
      </c>
      <c r="K35" s="0" t="s">
        <v>34</v>
      </c>
    </row>
    <row r="36" customFormat="false" ht="15" hidden="false" customHeight="false" outlineLevel="0" collapsed="false">
      <c r="A36" s="0" t="s">
        <v>119</v>
      </c>
      <c r="B36" s="0" t="s">
        <v>120</v>
      </c>
      <c r="C36" s="0" t="n">
        <v>5.66</v>
      </c>
      <c r="D36" s="0" t="n">
        <v>15.375</v>
      </c>
      <c r="E36" s="0" t="n">
        <v>2</v>
      </c>
      <c r="F36" s="0" t="s">
        <v>79</v>
      </c>
      <c r="G36" s="0" t="n">
        <v>16</v>
      </c>
      <c r="H36" s="0" t="n">
        <v>118.04</v>
      </c>
      <c r="I36" s="0" t="s">
        <v>121</v>
      </c>
      <c r="J36" s="0" t="s">
        <v>115</v>
      </c>
      <c r="K36" s="0" t="s">
        <v>34</v>
      </c>
    </row>
    <row r="37" customFormat="false" ht="15" hidden="false" customHeight="false" outlineLevel="0" collapsed="false">
      <c r="A37" s="5" t="s">
        <v>122</v>
      </c>
    </row>
    <row r="38" customFormat="false" ht="15" hidden="false" customHeight="false" outlineLevel="0" collapsed="false">
      <c r="A38" s="0" t="s">
        <v>123</v>
      </c>
      <c r="B38" s="0" t="s">
        <v>124</v>
      </c>
      <c r="C38" s="0" t="n">
        <v>1.26</v>
      </c>
      <c r="D38" s="0" t="n">
        <v>15.375</v>
      </c>
      <c r="E38" s="0" t="n">
        <v>2</v>
      </c>
      <c r="F38" s="0" t="s">
        <v>79</v>
      </c>
      <c r="G38" s="0" t="n">
        <v>24</v>
      </c>
      <c r="H38" s="0" t="n">
        <v>38.74</v>
      </c>
      <c r="I38" s="0" t="s">
        <v>125</v>
      </c>
      <c r="J38" s="0" t="s">
        <v>126</v>
      </c>
      <c r="K38" s="0" t="s">
        <v>34</v>
      </c>
    </row>
    <row r="39" customFormat="false" ht="15" hidden="false" customHeight="false" outlineLevel="0" collapsed="false">
      <c r="A39" s="5" t="s">
        <v>127</v>
      </c>
    </row>
    <row r="40" customFormat="false" ht="15" hidden="false" customHeight="false" outlineLevel="0" collapsed="false">
      <c r="A40" s="0" t="s">
        <v>128</v>
      </c>
      <c r="B40" s="0" t="s">
        <v>129</v>
      </c>
      <c r="C40" s="0" t="n">
        <v>11.33</v>
      </c>
      <c r="D40" s="0" t="n">
        <v>15.375</v>
      </c>
      <c r="E40" s="0" t="n">
        <v>1</v>
      </c>
      <c r="F40" s="0" t="s">
        <v>31</v>
      </c>
      <c r="G40" s="0" t="n">
        <v>16</v>
      </c>
      <c r="H40" s="0" t="n">
        <v>174.24</v>
      </c>
      <c r="I40" s="0" t="s">
        <v>130</v>
      </c>
      <c r="J40" s="0" t="s">
        <v>131</v>
      </c>
      <c r="K40" s="0" t="s">
        <v>34</v>
      </c>
    </row>
    <row r="41" customFormat="false" ht="15" hidden="false" customHeight="false" outlineLevel="0" collapsed="false">
      <c r="A41" s="0" t="s">
        <v>132</v>
      </c>
      <c r="B41" s="0" t="s">
        <v>133</v>
      </c>
      <c r="C41" s="0" t="n">
        <v>10.03</v>
      </c>
      <c r="D41" s="0" t="n">
        <v>12.918</v>
      </c>
      <c r="E41" s="0" t="n">
        <v>1</v>
      </c>
      <c r="F41" s="0" t="s">
        <v>31</v>
      </c>
      <c r="G41" s="0" t="n">
        <v>16</v>
      </c>
      <c r="H41" s="0" t="n">
        <v>129.53</v>
      </c>
      <c r="I41" s="0" t="s">
        <v>134</v>
      </c>
      <c r="J41" s="0" t="s">
        <v>131</v>
      </c>
      <c r="K41" s="0" t="s">
        <v>34</v>
      </c>
    </row>
    <row r="42" customFormat="false" ht="15" hidden="false" customHeight="false" outlineLevel="0" collapsed="false">
      <c r="A42" s="0" t="s">
        <v>135</v>
      </c>
      <c r="B42" s="0" t="s">
        <v>136</v>
      </c>
      <c r="C42" s="0" t="n">
        <v>10.03</v>
      </c>
      <c r="D42" s="0" t="n">
        <v>12.896</v>
      </c>
      <c r="E42" s="0" t="n">
        <v>1</v>
      </c>
      <c r="F42" s="0" t="s">
        <v>31</v>
      </c>
      <c r="G42" s="0" t="n">
        <v>16</v>
      </c>
      <c r="H42" s="0" t="n">
        <v>129.31</v>
      </c>
      <c r="I42" s="0" t="s">
        <v>137</v>
      </c>
      <c r="J42" s="0" t="s">
        <v>131</v>
      </c>
      <c r="K42" s="0" t="s">
        <v>34</v>
      </c>
    </row>
    <row r="43" customFormat="false" ht="15" hidden="false" customHeight="false" outlineLevel="0" collapsed="false">
      <c r="A43" s="0" t="s">
        <v>138</v>
      </c>
      <c r="B43" s="0" t="s">
        <v>139</v>
      </c>
      <c r="C43" s="0" t="n">
        <v>5.07</v>
      </c>
      <c r="D43" s="0" t="n">
        <v>15.375</v>
      </c>
      <c r="E43" s="0" t="n">
        <v>1</v>
      </c>
      <c r="F43" s="0" t="s">
        <v>31</v>
      </c>
      <c r="G43" s="0" t="n">
        <v>16</v>
      </c>
      <c r="H43" s="0" t="n">
        <v>77.91</v>
      </c>
      <c r="I43" s="0" t="s">
        <v>140</v>
      </c>
      <c r="J43" s="0" t="s">
        <v>131</v>
      </c>
      <c r="K43" s="0" t="s">
        <v>34</v>
      </c>
    </row>
    <row r="44" customFormat="false" ht="15" hidden="false" customHeight="false" outlineLevel="0" collapsed="false">
      <c r="A44" s="0" t="s">
        <v>141</v>
      </c>
      <c r="B44" s="0" t="s">
        <v>142</v>
      </c>
      <c r="C44" s="0" t="n">
        <v>4</v>
      </c>
      <c r="D44" s="0" t="n">
        <v>15.375</v>
      </c>
      <c r="E44" s="0" t="n">
        <v>1</v>
      </c>
      <c r="F44" s="0" t="s">
        <v>31</v>
      </c>
      <c r="G44" s="0" t="n">
        <v>16</v>
      </c>
      <c r="H44" s="0" t="n">
        <v>61.5</v>
      </c>
      <c r="I44" s="0" t="s">
        <v>143</v>
      </c>
      <c r="J44" s="0" t="s">
        <v>131</v>
      </c>
      <c r="K44" s="0" t="s">
        <v>34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n">
        <v>2.98</v>
      </c>
      <c r="D45" s="0" t="n">
        <v>12.925</v>
      </c>
      <c r="E45" s="0" t="n">
        <v>1</v>
      </c>
      <c r="F45" s="0" t="s">
        <v>31</v>
      </c>
      <c r="G45" s="0" t="n">
        <v>16</v>
      </c>
      <c r="H45" s="0" t="n">
        <v>38.52</v>
      </c>
      <c r="I45" s="0" t="s">
        <v>146</v>
      </c>
      <c r="J45" s="0" t="s">
        <v>131</v>
      </c>
      <c r="K45" s="0" t="s">
        <v>34</v>
      </c>
    </row>
    <row r="46" customFormat="false" ht="15" hidden="false" customHeight="false" outlineLevel="0" collapsed="false">
      <c r="A46" s="5" t="s">
        <v>147</v>
      </c>
    </row>
    <row r="47" customFormat="false" ht="15" hidden="false" customHeight="false" outlineLevel="0" collapsed="false">
      <c r="A47" s="0" t="s">
        <v>148</v>
      </c>
      <c r="B47" s="0" t="s">
        <v>149</v>
      </c>
      <c r="C47" s="0" t="n">
        <v>17.74</v>
      </c>
      <c r="D47" s="0" t="n">
        <v>15.375</v>
      </c>
      <c r="E47" s="0" t="n">
        <v>2</v>
      </c>
      <c r="F47" s="0" t="s">
        <v>31</v>
      </c>
      <c r="G47" s="0" t="n">
        <v>16</v>
      </c>
      <c r="H47" s="0" t="n">
        <v>420.42</v>
      </c>
      <c r="I47" s="0" t="s">
        <v>150</v>
      </c>
      <c r="J47" s="0" t="s">
        <v>151</v>
      </c>
      <c r="K47" s="0" t="s">
        <v>34</v>
      </c>
    </row>
    <row r="48" customFormat="false" ht="15" hidden="false" customHeight="false" outlineLevel="0" collapsed="false">
      <c r="A48" s="5" t="s">
        <v>152</v>
      </c>
    </row>
    <row r="49" customFormat="false" ht="15" hidden="false" customHeight="false" outlineLevel="0" collapsed="false">
      <c r="A49" s="0" t="s">
        <v>153</v>
      </c>
      <c r="B49" s="0" t="s">
        <v>154</v>
      </c>
      <c r="C49" s="0" t="n">
        <v>11.77</v>
      </c>
      <c r="D49" s="0" t="n">
        <v>15.375</v>
      </c>
      <c r="E49" s="0" t="n">
        <v>2</v>
      </c>
      <c r="F49" s="0" t="s">
        <v>155</v>
      </c>
      <c r="G49" s="0" t="n">
        <v>16</v>
      </c>
      <c r="H49" s="0" t="n">
        <v>361.84</v>
      </c>
      <c r="I49" s="0" t="s">
        <v>156</v>
      </c>
      <c r="J49" s="0" t="s">
        <v>157</v>
      </c>
      <c r="K49" s="0" t="s">
        <v>34</v>
      </c>
    </row>
    <row r="50" customFormat="false" ht="15" hidden="false" customHeight="false" outlineLevel="0" collapsed="false">
      <c r="A50" s="0" t="s">
        <v>158</v>
      </c>
      <c r="B50" s="0" t="s">
        <v>159</v>
      </c>
      <c r="C50" s="0" t="n">
        <v>11.77</v>
      </c>
      <c r="D50" s="0" t="n">
        <v>15.375</v>
      </c>
      <c r="E50" s="0" t="n">
        <v>2</v>
      </c>
      <c r="F50" s="0" t="s">
        <v>155</v>
      </c>
      <c r="G50" s="0" t="n">
        <v>16</v>
      </c>
      <c r="H50" s="0" t="n">
        <v>361.84</v>
      </c>
      <c r="I50" s="0" t="s">
        <v>160</v>
      </c>
      <c r="J50" s="0" t="s">
        <v>157</v>
      </c>
      <c r="K50" s="0" t="s">
        <v>34</v>
      </c>
    </row>
    <row r="51" customFormat="false" ht="15" hidden="false" customHeight="false" outlineLevel="0" collapsed="false">
      <c r="A51" s="0" t="s">
        <v>161</v>
      </c>
      <c r="B51" s="0" t="s">
        <v>162</v>
      </c>
      <c r="C51" s="0" t="n">
        <v>11.63</v>
      </c>
      <c r="D51" s="0" t="n">
        <v>15.375</v>
      </c>
      <c r="E51" s="0" t="n">
        <v>2</v>
      </c>
      <c r="F51" s="0" t="s">
        <v>155</v>
      </c>
      <c r="G51" s="0" t="n">
        <v>16</v>
      </c>
      <c r="H51" s="0" t="n">
        <v>357.54</v>
      </c>
      <c r="I51" s="0" t="s">
        <v>163</v>
      </c>
      <c r="J51" s="0" t="s">
        <v>157</v>
      </c>
      <c r="K51" s="0" t="s">
        <v>34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n">
        <v>11.63</v>
      </c>
      <c r="D52" s="0" t="n">
        <v>15.375</v>
      </c>
      <c r="E52" s="0" t="n">
        <v>2</v>
      </c>
      <c r="F52" s="0" t="s">
        <v>155</v>
      </c>
      <c r="G52" s="0" t="n">
        <v>16</v>
      </c>
      <c r="H52" s="0" t="n">
        <v>357.54</v>
      </c>
      <c r="I52" s="0" t="s">
        <v>166</v>
      </c>
      <c r="J52" s="0" t="s">
        <v>157</v>
      </c>
      <c r="K52" s="0" t="s">
        <v>34</v>
      </c>
    </row>
    <row r="53" customFormat="false" ht="15" hidden="false" customHeight="false" outlineLevel="0" collapsed="false">
      <c r="A53" s="0" t="s">
        <v>167</v>
      </c>
      <c r="B53" s="0" t="s">
        <v>168</v>
      </c>
      <c r="C53" s="0" t="n">
        <v>11.63</v>
      </c>
      <c r="D53" s="0" t="n">
        <v>15.375</v>
      </c>
      <c r="E53" s="0" t="n">
        <v>2</v>
      </c>
      <c r="F53" s="0" t="s">
        <v>155</v>
      </c>
      <c r="G53" s="0" t="n">
        <v>16</v>
      </c>
      <c r="H53" s="0" t="n">
        <v>357.54</v>
      </c>
      <c r="I53" s="0" t="s">
        <v>169</v>
      </c>
      <c r="J53" s="0" t="s">
        <v>157</v>
      </c>
      <c r="K53" s="0" t="s">
        <v>34</v>
      </c>
    </row>
    <row r="54" customFormat="false" ht="15" hidden="false" customHeight="false" outlineLevel="0" collapsed="false">
      <c r="A54" s="0" t="s">
        <v>170</v>
      </c>
      <c r="B54" s="0" t="s">
        <v>171</v>
      </c>
      <c r="C54" s="0" t="n">
        <v>10.51</v>
      </c>
      <c r="D54" s="0" t="n">
        <v>15.375</v>
      </c>
      <c r="E54" s="0" t="n">
        <v>2</v>
      </c>
      <c r="F54" s="0" t="s">
        <v>155</v>
      </c>
      <c r="G54" s="0" t="n">
        <v>16</v>
      </c>
      <c r="H54" s="0" t="n">
        <v>323.1</v>
      </c>
      <c r="I54" s="0" t="s">
        <v>172</v>
      </c>
      <c r="J54" s="0" t="s">
        <v>157</v>
      </c>
      <c r="K54" s="0" t="s">
        <v>34</v>
      </c>
    </row>
    <row r="55" customFormat="false" ht="15" hidden="false" customHeight="false" outlineLevel="0" collapsed="false">
      <c r="A55" s="0" t="s">
        <v>173</v>
      </c>
      <c r="B55" s="0" t="s">
        <v>174</v>
      </c>
      <c r="C55" s="0" t="n">
        <v>3.47</v>
      </c>
      <c r="D55" s="0" t="n">
        <v>15.375</v>
      </c>
      <c r="E55" s="0" t="n">
        <v>2</v>
      </c>
      <c r="F55" s="0" t="s">
        <v>155</v>
      </c>
      <c r="G55" s="0" t="n">
        <v>16</v>
      </c>
      <c r="H55" s="0" t="n">
        <v>106.62</v>
      </c>
      <c r="I55" s="0" t="s">
        <v>175</v>
      </c>
      <c r="J55" s="0" t="s">
        <v>157</v>
      </c>
      <c r="K55" s="0" t="s">
        <v>34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n">
        <v>3.26</v>
      </c>
      <c r="D56" s="0" t="n">
        <v>15.375</v>
      </c>
      <c r="E56" s="0" t="n">
        <v>2</v>
      </c>
      <c r="F56" s="0" t="s">
        <v>155</v>
      </c>
      <c r="G56" s="0" t="n">
        <v>16</v>
      </c>
      <c r="H56" s="0" t="n">
        <v>100.12</v>
      </c>
      <c r="I56" s="0" t="s">
        <v>178</v>
      </c>
      <c r="J56" s="0" t="s">
        <v>157</v>
      </c>
      <c r="K56" s="0" t="s">
        <v>34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n">
        <v>3.25</v>
      </c>
      <c r="D57" s="0" t="n">
        <v>15.375</v>
      </c>
      <c r="E57" s="0" t="n">
        <v>2</v>
      </c>
      <c r="F57" s="0" t="s">
        <v>155</v>
      </c>
      <c r="G57" s="0" t="n">
        <v>16</v>
      </c>
      <c r="H57" s="0" t="n">
        <v>99.96</v>
      </c>
      <c r="I57" s="0" t="s">
        <v>181</v>
      </c>
      <c r="J57" s="0" t="s">
        <v>157</v>
      </c>
      <c r="K57" s="0" t="s">
        <v>34</v>
      </c>
    </row>
    <row r="58" customFormat="false" ht="15" hidden="false" customHeight="false" outlineLevel="0" collapsed="false">
      <c r="A58" s="0" t="s">
        <v>182</v>
      </c>
      <c r="B58" s="0" t="s">
        <v>183</v>
      </c>
      <c r="C58" s="0" t="n">
        <v>2.42</v>
      </c>
      <c r="D58" s="0" t="n">
        <v>15.375</v>
      </c>
      <c r="E58" s="0" t="n">
        <v>2</v>
      </c>
      <c r="F58" s="0" t="s">
        <v>155</v>
      </c>
      <c r="G58" s="0" t="n">
        <v>16</v>
      </c>
      <c r="H58" s="0" t="n">
        <v>74.42</v>
      </c>
      <c r="I58" s="0" t="s">
        <v>184</v>
      </c>
      <c r="J58" s="0" t="s">
        <v>157</v>
      </c>
      <c r="K58" s="0" t="s">
        <v>34</v>
      </c>
    </row>
    <row r="59" customFormat="false" ht="15" hidden="false" customHeight="false" outlineLevel="0" collapsed="false">
      <c r="A59" s="5" t="s">
        <v>185</v>
      </c>
    </row>
    <row r="60" customFormat="false" ht="15" hidden="false" customHeight="false" outlineLevel="0" collapsed="false">
      <c r="A60" s="0" t="s">
        <v>186</v>
      </c>
      <c r="B60" s="0" t="s">
        <v>187</v>
      </c>
      <c r="C60" s="0" t="n">
        <v>11.77</v>
      </c>
      <c r="D60" s="0" t="n">
        <v>15.375</v>
      </c>
      <c r="E60" s="0" t="n">
        <v>2</v>
      </c>
      <c r="F60" s="0" t="s">
        <v>155</v>
      </c>
      <c r="G60" s="0" t="n">
        <v>16</v>
      </c>
      <c r="H60" s="0" t="n">
        <v>361.84</v>
      </c>
      <c r="I60" s="0" t="s">
        <v>188</v>
      </c>
      <c r="J60" s="0" t="s">
        <v>189</v>
      </c>
      <c r="K60" s="0" t="s">
        <v>34</v>
      </c>
    </row>
    <row r="61" customFormat="false" ht="15" hidden="false" customHeight="false" outlineLevel="0" collapsed="false">
      <c r="A61" s="0" t="s">
        <v>190</v>
      </c>
      <c r="B61" s="0" t="s">
        <v>191</v>
      </c>
      <c r="C61" s="0" t="n">
        <v>3.51</v>
      </c>
      <c r="D61" s="0" t="n">
        <v>15.375</v>
      </c>
      <c r="E61" s="0" t="n">
        <v>2</v>
      </c>
      <c r="F61" s="0" t="s">
        <v>155</v>
      </c>
      <c r="G61" s="0" t="n">
        <v>16</v>
      </c>
      <c r="H61" s="0" t="n">
        <v>107.84</v>
      </c>
      <c r="I61" s="0" t="s">
        <v>192</v>
      </c>
      <c r="J61" s="0" t="s">
        <v>189</v>
      </c>
      <c r="K61" s="0" t="s">
        <v>34</v>
      </c>
    </row>
    <row r="62" customFormat="false" ht="15" hidden="false" customHeight="false" outlineLevel="0" collapsed="false">
      <c r="A62" s="0" t="s">
        <v>193</v>
      </c>
      <c r="B62" s="0" t="s">
        <v>194</v>
      </c>
      <c r="C62" s="0" t="n">
        <v>2.67</v>
      </c>
      <c r="D62" s="0" t="n">
        <v>15.375</v>
      </c>
      <c r="E62" s="0" t="n">
        <v>2</v>
      </c>
      <c r="F62" s="0" t="s">
        <v>155</v>
      </c>
      <c r="G62" s="0" t="n">
        <v>16</v>
      </c>
      <c r="H62" s="0" t="n">
        <v>82.02</v>
      </c>
      <c r="I62" s="0" t="s">
        <v>195</v>
      </c>
      <c r="J62" s="0" t="s">
        <v>189</v>
      </c>
      <c r="K62" s="0" t="s">
        <v>34</v>
      </c>
    </row>
    <row r="63" customFormat="false" ht="15" hidden="false" customHeight="false" outlineLevel="0" collapsed="false">
      <c r="A63" s="5" t="s">
        <v>196</v>
      </c>
    </row>
    <row r="64" customFormat="false" ht="15" hidden="false" customHeight="false" outlineLevel="0" collapsed="false">
      <c r="A64" s="0" t="s">
        <v>197</v>
      </c>
      <c r="B64" s="0" t="s">
        <v>198</v>
      </c>
      <c r="C64" s="0" t="n">
        <v>7.5</v>
      </c>
      <c r="D64" s="0" t="n">
        <v>7.333</v>
      </c>
      <c r="E64" s="0" t="n">
        <v>4</v>
      </c>
      <c r="F64" s="0" t="s">
        <v>155</v>
      </c>
      <c r="G64" s="0" t="n">
        <v>16</v>
      </c>
      <c r="H64" s="0" t="n">
        <v>223.74</v>
      </c>
      <c r="I64" s="0" t="s">
        <v>199</v>
      </c>
      <c r="J64" s="0" t="s">
        <v>200</v>
      </c>
      <c r="K64" s="0" t="s">
        <v>34</v>
      </c>
    </row>
    <row r="65" customFormat="false" ht="15" hidden="false" customHeight="false" outlineLevel="0" collapsed="false">
      <c r="A65" s="0" t="s">
        <v>201</v>
      </c>
      <c r="B65" s="0" t="s">
        <v>202</v>
      </c>
      <c r="C65" s="0" t="n">
        <v>7.5</v>
      </c>
      <c r="D65" s="0" t="n">
        <v>7.333</v>
      </c>
      <c r="E65" s="0" t="n">
        <v>4</v>
      </c>
      <c r="F65" s="0" t="s">
        <v>155</v>
      </c>
      <c r="G65" s="0" t="n">
        <v>16</v>
      </c>
      <c r="H65" s="0" t="n">
        <v>223.74</v>
      </c>
      <c r="I65" s="0" t="s">
        <v>203</v>
      </c>
      <c r="J65" s="0" t="s">
        <v>200</v>
      </c>
      <c r="K65" s="0" t="s">
        <v>34</v>
      </c>
    </row>
    <row r="66" customFormat="false" ht="15" hidden="false" customHeight="false" outlineLevel="0" collapsed="false">
      <c r="A66" s="0" t="s">
        <v>204</v>
      </c>
      <c r="B66" s="0" t="s">
        <v>205</v>
      </c>
      <c r="C66" s="0" t="n">
        <v>7.5</v>
      </c>
      <c r="D66" s="0" t="n">
        <v>7.333</v>
      </c>
      <c r="E66" s="0" t="n">
        <v>4</v>
      </c>
      <c r="F66" s="0" t="s">
        <v>155</v>
      </c>
      <c r="G66" s="0" t="n">
        <v>16</v>
      </c>
      <c r="H66" s="0" t="n">
        <v>223.74</v>
      </c>
      <c r="I66" s="0" t="s">
        <v>206</v>
      </c>
      <c r="J66" s="0" t="s">
        <v>200</v>
      </c>
      <c r="K66" s="0" t="s">
        <v>34</v>
      </c>
    </row>
    <row r="67" customFormat="false" ht="15" hidden="false" customHeight="false" outlineLevel="0" collapsed="false">
      <c r="A67" s="0" t="s">
        <v>207</v>
      </c>
      <c r="B67" s="0" t="s">
        <v>208</v>
      </c>
      <c r="C67" s="0" t="n">
        <v>7.5</v>
      </c>
      <c r="D67" s="0" t="n">
        <v>7.333</v>
      </c>
      <c r="E67" s="0" t="n">
        <v>4</v>
      </c>
      <c r="F67" s="0" t="s">
        <v>155</v>
      </c>
      <c r="G67" s="0" t="n">
        <v>16</v>
      </c>
      <c r="H67" s="0" t="n">
        <v>223.74</v>
      </c>
      <c r="I67" s="0" t="s">
        <v>209</v>
      </c>
      <c r="J67" s="0" t="s">
        <v>200</v>
      </c>
      <c r="K67" s="0" t="s">
        <v>34</v>
      </c>
    </row>
    <row r="68" customFormat="false" ht="15" hidden="false" customHeight="false" outlineLevel="0" collapsed="false">
      <c r="A68" s="0" t="s">
        <v>210</v>
      </c>
      <c r="B68" s="0" t="s">
        <v>211</v>
      </c>
      <c r="C68" s="0" t="n">
        <v>7.5</v>
      </c>
      <c r="D68" s="0" t="n">
        <v>7.333</v>
      </c>
      <c r="E68" s="0" t="n">
        <v>4</v>
      </c>
      <c r="F68" s="0" t="s">
        <v>155</v>
      </c>
      <c r="G68" s="0" t="n">
        <v>16</v>
      </c>
      <c r="H68" s="0" t="n">
        <v>223.74</v>
      </c>
      <c r="I68" s="0" t="s">
        <v>212</v>
      </c>
      <c r="J68" s="0" t="s">
        <v>200</v>
      </c>
      <c r="K68" s="0" t="s">
        <v>34</v>
      </c>
    </row>
    <row r="69" customFormat="false" ht="15" hidden="false" customHeight="false" outlineLevel="0" collapsed="false">
      <c r="A69" s="0" t="s">
        <v>213</v>
      </c>
      <c r="B69" s="0" t="s">
        <v>214</v>
      </c>
      <c r="C69" s="0" t="n">
        <v>7.5</v>
      </c>
      <c r="D69" s="0" t="n">
        <v>7.333</v>
      </c>
      <c r="E69" s="0" t="n">
        <v>4</v>
      </c>
      <c r="F69" s="0" t="s">
        <v>155</v>
      </c>
      <c r="G69" s="0" t="n">
        <v>16</v>
      </c>
      <c r="H69" s="0" t="n">
        <v>223.74</v>
      </c>
      <c r="I69" s="0" t="s">
        <v>215</v>
      </c>
      <c r="J69" s="0" t="s">
        <v>200</v>
      </c>
      <c r="K69" s="0" t="s">
        <v>34</v>
      </c>
    </row>
    <row r="70" customFormat="false" ht="15" hidden="false" customHeight="false" outlineLevel="0" collapsed="false">
      <c r="A70" s="5" t="s">
        <v>216</v>
      </c>
    </row>
    <row r="71" customFormat="false" ht="15" hidden="false" customHeight="false" outlineLevel="0" collapsed="false">
      <c r="A71" s="0" t="s">
        <v>217</v>
      </c>
      <c r="B71" s="0" t="s">
        <v>218</v>
      </c>
      <c r="C71" s="0" t="n">
        <v>51.73</v>
      </c>
      <c r="D71" s="0" t="n">
        <v>12.539</v>
      </c>
      <c r="E71" s="0" t="n">
        <v>1</v>
      </c>
      <c r="F71" s="0" t="s">
        <v>79</v>
      </c>
      <c r="G71" s="0" t="n">
        <v>16</v>
      </c>
      <c r="H71" s="0" t="n">
        <v>624.68</v>
      </c>
      <c r="I71" s="0" t="s">
        <v>219</v>
      </c>
      <c r="J71" s="0" t="s">
        <v>220</v>
      </c>
      <c r="K71" s="0" t="s">
        <v>34</v>
      </c>
    </row>
    <row r="72" customFormat="false" ht="15" hidden="false" customHeight="false" outlineLevel="0" collapsed="false">
      <c r="A72" s="0" t="s">
        <v>221</v>
      </c>
      <c r="B72" s="0" t="s">
        <v>222</v>
      </c>
      <c r="C72" s="0" t="n">
        <v>50.48</v>
      </c>
      <c r="D72" s="0" t="n">
        <v>15.375</v>
      </c>
      <c r="E72" s="0" t="n">
        <v>1</v>
      </c>
      <c r="F72" s="0" t="s">
        <v>79</v>
      </c>
      <c r="G72" s="0" t="n">
        <v>16</v>
      </c>
      <c r="H72" s="0" t="n">
        <v>712.15</v>
      </c>
      <c r="I72" s="0" t="s">
        <v>223</v>
      </c>
      <c r="J72" s="0" t="s">
        <v>220</v>
      </c>
      <c r="K72" s="0" t="s">
        <v>34</v>
      </c>
    </row>
    <row r="73" customFormat="false" ht="15" hidden="false" customHeight="false" outlineLevel="0" collapsed="false">
      <c r="A73" s="0" t="s">
        <v>224</v>
      </c>
      <c r="B73" s="0" t="s">
        <v>225</v>
      </c>
      <c r="C73" s="0" t="n">
        <v>26.25</v>
      </c>
      <c r="D73" s="0" t="n">
        <v>6.875</v>
      </c>
      <c r="E73" s="0" t="n">
        <v>1</v>
      </c>
      <c r="F73" s="0" t="s">
        <v>79</v>
      </c>
      <c r="G73" s="0" t="n">
        <v>16</v>
      </c>
      <c r="H73" s="0" t="n">
        <v>180.45</v>
      </c>
      <c r="I73" s="0" t="s">
        <v>226</v>
      </c>
      <c r="J73" s="0" t="s">
        <v>220</v>
      </c>
      <c r="K73" s="0" t="s">
        <v>34</v>
      </c>
    </row>
    <row r="74" customFormat="false" ht="15" hidden="false" customHeight="false" outlineLevel="0" collapsed="false">
      <c r="A74" s="0" t="s">
        <v>227</v>
      </c>
      <c r="B74" s="0" t="s">
        <v>228</v>
      </c>
      <c r="C74" s="0" t="n">
        <v>25.39</v>
      </c>
      <c r="D74" s="0" t="n">
        <v>13.052</v>
      </c>
      <c r="E74" s="0" t="n">
        <v>1</v>
      </c>
      <c r="F74" s="0" t="s">
        <v>79</v>
      </c>
      <c r="G74" s="0" t="n">
        <v>16</v>
      </c>
      <c r="H74" s="0" t="n">
        <v>331.43</v>
      </c>
      <c r="I74" s="0" t="s">
        <v>229</v>
      </c>
      <c r="J74" s="0" t="s">
        <v>220</v>
      </c>
      <c r="K74" s="0" t="s">
        <v>34</v>
      </c>
    </row>
    <row r="75" customFormat="false" ht="15" hidden="false" customHeight="false" outlineLevel="0" collapsed="false">
      <c r="A75" s="0" t="s">
        <v>230</v>
      </c>
      <c r="B75" s="0" t="s">
        <v>231</v>
      </c>
      <c r="C75" s="0" t="n">
        <v>24.85</v>
      </c>
      <c r="D75" s="0" t="n">
        <v>13.052</v>
      </c>
      <c r="E75" s="0" t="n">
        <v>1</v>
      </c>
      <c r="F75" s="0" t="s">
        <v>79</v>
      </c>
      <c r="G75" s="0" t="n">
        <v>16</v>
      </c>
      <c r="H75" s="0" t="n">
        <v>324.37</v>
      </c>
      <c r="I75" s="0" t="s">
        <v>232</v>
      </c>
      <c r="J75" s="0" t="s">
        <v>220</v>
      </c>
      <c r="K75" s="0" t="s">
        <v>34</v>
      </c>
    </row>
    <row r="76" customFormat="false" ht="15" hidden="false" customHeight="false" outlineLevel="0" collapsed="false">
      <c r="A76" s="0" t="s">
        <v>233</v>
      </c>
      <c r="B76" s="0" t="s">
        <v>234</v>
      </c>
      <c r="C76" s="0" t="n">
        <v>21.98</v>
      </c>
      <c r="D76" s="0" t="n">
        <v>15.375</v>
      </c>
      <c r="E76" s="0" t="n">
        <v>1</v>
      </c>
      <c r="F76" s="0" t="s">
        <v>79</v>
      </c>
      <c r="G76" s="0" t="n">
        <v>16</v>
      </c>
      <c r="H76" s="0" t="n">
        <v>305.94</v>
      </c>
      <c r="I76" s="0" t="s">
        <v>235</v>
      </c>
      <c r="J76" s="0" t="s">
        <v>220</v>
      </c>
      <c r="K76" s="0" t="s">
        <v>34</v>
      </c>
    </row>
    <row r="77" customFormat="false" ht="15" hidden="false" customHeight="false" outlineLevel="0" collapsed="false">
      <c r="A77" s="0" t="s">
        <v>236</v>
      </c>
      <c r="B77" s="0" t="s">
        <v>237</v>
      </c>
      <c r="C77" s="0" t="n">
        <v>20.91</v>
      </c>
      <c r="D77" s="0" t="n">
        <v>15.375</v>
      </c>
      <c r="E77" s="0" t="n">
        <v>1</v>
      </c>
      <c r="F77" s="0" t="s">
        <v>79</v>
      </c>
      <c r="G77" s="0" t="n">
        <v>16</v>
      </c>
      <c r="H77" s="0" t="n">
        <v>315.8</v>
      </c>
      <c r="I77" s="0" t="s">
        <v>238</v>
      </c>
      <c r="J77" s="0" t="s">
        <v>220</v>
      </c>
      <c r="K77" s="0" t="s">
        <v>34</v>
      </c>
    </row>
    <row r="78" customFormat="false" ht="15" hidden="false" customHeight="false" outlineLevel="0" collapsed="false">
      <c r="A78" s="0" t="s">
        <v>239</v>
      </c>
      <c r="B78" s="0" t="s">
        <v>240</v>
      </c>
      <c r="C78" s="0" t="n">
        <v>13.27</v>
      </c>
      <c r="D78" s="0" t="n">
        <v>6.875</v>
      </c>
      <c r="E78" s="0" t="n">
        <v>1</v>
      </c>
      <c r="F78" s="0" t="s">
        <v>79</v>
      </c>
      <c r="G78" s="0" t="n">
        <v>16</v>
      </c>
      <c r="H78" s="0" t="n">
        <v>91.21</v>
      </c>
      <c r="I78" s="0" t="s">
        <v>241</v>
      </c>
      <c r="J78" s="0" t="s">
        <v>220</v>
      </c>
      <c r="K78" s="0" t="s">
        <v>34</v>
      </c>
    </row>
    <row r="79" customFormat="false" ht="15" hidden="false" customHeight="false" outlineLevel="0" collapsed="false">
      <c r="A79" s="0" t="s">
        <v>242</v>
      </c>
      <c r="B79" s="0" t="s">
        <v>243</v>
      </c>
      <c r="C79" s="0" t="n">
        <v>11.77</v>
      </c>
      <c r="D79" s="0" t="n">
        <v>15.375</v>
      </c>
      <c r="E79" s="0" t="n">
        <v>1</v>
      </c>
      <c r="F79" s="0" t="s">
        <v>79</v>
      </c>
      <c r="G79" s="0" t="n">
        <v>16</v>
      </c>
      <c r="H79" s="0" t="n">
        <v>180.92</v>
      </c>
      <c r="I79" s="0" t="s">
        <v>244</v>
      </c>
      <c r="J79" s="0" t="s">
        <v>220</v>
      </c>
      <c r="K79" s="0" t="s">
        <v>34</v>
      </c>
    </row>
    <row r="80" customFormat="false" ht="15" hidden="false" customHeight="false" outlineLevel="0" collapsed="false">
      <c r="A80" s="0" t="s">
        <v>245</v>
      </c>
      <c r="B80" s="0" t="s">
        <v>246</v>
      </c>
      <c r="C80" s="0" t="n">
        <v>3.35</v>
      </c>
      <c r="D80" s="0" t="n">
        <v>15.375</v>
      </c>
      <c r="E80" s="0" t="n">
        <v>1</v>
      </c>
      <c r="F80" s="0" t="s">
        <v>79</v>
      </c>
      <c r="G80" s="0" t="n">
        <v>16</v>
      </c>
      <c r="H80" s="0" t="n">
        <v>51.55</v>
      </c>
      <c r="I80" s="0" t="s">
        <v>247</v>
      </c>
      <c r="J80" s="0" t="s">
        <v>220</v>
      </c>
      <c r="K80" s="0" t="s">
        <v>34</v>
      </c>
    </row>
    <row r="81" customFormat="false" ht="15" hidden="false" customHeight="false" outlineLevel="0" collapsed="false">
      <c r="A81" s="5" t="s">
        <v>248</v>
      </c>
    </row>
    <row r="82" customFormat="false" ht="15" hidden="false" customHeight="false" outlineLevel="0" collapsed="false">
      <c r="A82" s="0" t="s">
        <v>249</v>
      </c>
      <c r="B82" s="0" t="s">
        <v>250</v>
      </c>
      <c r="C82" s="0" t="n">
        <v>52.83</v>
      </c>
      <c r="D82" s="0" t="n">
        <v>4.886</v>
      </c>
      <c r="E82" s="0" t="n">
        <v>1</v>
      </c>
      <c r="F82" s="0" t="s">
        <v>79</v>
      </c>
      <c r="G82" s="0" t="n">
        <v>16</v>
      </c>
      <c r="H82" s="0" t="n">
        <v>0</v>
      </c>
      <c r="I82" s="0" t="s">
        <v>251</v>
      </c>
      <c r="J82" s="0" t="s">
        <v>252</v>
      </c>
      <c r="K82" s="0" t="s">
        <v>34</v>
      </c>
    </row>
    <row r="83" customFormat="false" ht="15" hidden="false" customHeight="false" outlineLevel="0" collapsed="false">
      <c r="A83" s="0" t="s">
        <v>253</v>
      </c>
      <c r="B83" s="0" t="s">
        <v>254</v>
      </c>
      <c r="C83" s="0" t="n">
        <v>51.03</v>
      </c>
      <c r="D83" s="0" t="n">
        <v>2.042</v>
      </c>
      <c r="E83" s="0" t="n">
        <v>1</v>
      </c>
      <c r="F83" s="0" t="s">
        <v>79</v>
      </c>
      <c r="G83" s="0" t="n">
        <v>16</v>
      </c>
      <c r="H83" s="0" t="n">
        <v>0</v>
      </c>
      <c r="I83" s="0" t="s">
        <v>255</v>
      </c>
      <c r="J83" s="0" t="s">
        <v>252</v>
      </c>
      <c r="K83" s="0" t="s">
        <v>34</v>
      </c>
    </row>
    <row r="84" customFormat="false" ht="15" hidden="false" customHeight="false" outlineLevel="0" collapsed="false">
      <c r="A84" s="0" t="s">
        <v>256</v>
      </c>
      <c r="B84" s="0" t="s">
        <v>257</v>
      </c>
      <c r="C84" s="0" t="n">
        <v>39.86</v>
      </c>
      <c r="D84" s="0" t="n">
        <v>2.042</v>
      </c>
      <c r="E84" s="0" t="n">
        <v>1</v>
      </c>
      <c r="F84" s="0" t="s">
        <v>79</v>
      </c>
      <c r="G84" s="0" t="n">
        <v>16</v>
      </c>
      <c r="H84" s="0" t="n">
        <v>0</v>
      </c>
      <c r="I84" s="0" t="s">
        <v>258</v>
      </c>
      <c r="J84" s="0" t="s">
        <v>252</v>
      </c>
      <c r="K84" s="0" t="s">
        <v>34</v>
      </c>
    </row>
    <row r="85" customFormat="false" ht="15" hidden="false" customHeight="false" outlineLevel="0" collapsed="false">
      <c r="A85" s="0" t="s">
        <v>259</v>
      </c>
      <c r="B85" s="0" t="s">
        <v>260</v>
      </c>
      <c r="C85" s="0" t="n">
        <v>30.47</v>
      </c>
      <c r="D85" s="0" t="n">
        <v>4.292</v>
      </c>
      <c r="E85" s="0" t="n">
        <v>1</v>
      </c>
      <c r="F85" s="0" t="s">
        <v>79</v>
      </c>
      <c r="G85" s="0" t="n">
        <v>16</v>
      </c>
      <c r="H85" s="0" t="n">
        <v>0</v>
      </c>
      <c r="I85" s="0" t="s">
        <v>261</v>
      </c>
      <c r="J85" s="0" t="s">
        <v>252</v>
      </c>
      <c r="K85" s="0" t="s">
        <v>34</v>
      </c>
    </row>
    <row r="86" customFormat="false" ht="15" hidden="false" customHeight="false" outlineLevel="0" collapsed="false">
      <c r="A86" s="0" t="s">
        <v>262</v>
      </c>
      <c r="B86" s="0" t="s">
        <v>263</v>
      </c>
      <c r="C86" s="0" t="n">
        <v>25.41</v>
      </c>
      <c r="D86" s="0" t="n">
        <v>4.886</v>
      </c>
      <c r="E86" s="0" t="n">
        <v>1</v>
      </c>
      <c r="F86" s="0" t="s">
        <v>79</v>
      </c>
      <c r="G86" s="0" t="n">
        <v>16</v>
      </c>
      <c r="H86" s="0" t="n">
        <v>0</v>
      </c>
      <c r="I86" s="0" t="s">
        <v>264</v>
      </c>
      <c r="J86" s="0" t="s">
        <v>252</v>
      </c>
      <c r="K86" s="0" t="s">
        <v>34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n">
        <v>25.41</v>
      </c>
      <c r="D87" s="0" t="n">
        <v>4.886</v>
      </c>
      <c r="E87" s="0" t="n">
        <v>1</v>
      </c>
      <c r="F87" s="0" t="s">
        <v>79</v>
      </c>
      <c r="G87" s="0" t="n">
        <v>16</v>
      </c>
      <c r="H87" s="0" t="n">
        <v>0</v>
      </c>
      <c r="I87" s="0" t="s">
        <v>267</v>
      </c>
      <c r="J87" s="0" t="s">
        <v>252</v>
      </c>
      <c r="K87" s="0" t="s">
        <v>34</v>
      </c>
    </row>
    <row r="88" customFormat="false" ht="15" hidden="false" customHeight="false" outlineLevel="0" collapsed="false">
      <c r="A88" s="0" t="s">
        <v>268</v>
      </c>
      <c r="B88" s="0" t="s">
        <v>269</v>
      </c>
      <c r="C88" s="0" t="n">
        <v>22.52</v>
      </c>
      <c r="D88" s="0" t="n">
        <v>2.042</v>
      </c>
      <c r="E88" s="0" t="n">
        <v>1</v>
      </c>
      <c r="F88" s="0" t="s">
        <v>79</v>
      </c>
      <c r="G88" s="0" t="n">
        <v>16</v>
      </c>
      <c r="H88" s="0" t="n">
        <v>0</v>
      </c>
      <c r="I88" s="0" t="s">
        <v>270</v>
      </c>
      <c r="J88" s="0" t="s">
        <v>252</v>
      </c>
      <c r="K88" s="0" t="s">
        <v>34</v>
      </c>
    </row>
    <row r="89" customFormat="false" ht="15" hidden="false" customHeight="false" outlineLevel="0" collapsed="false">
      <c r="A89" s="0" t="s">
        <v>271</v>
      </c>
      <c r="B89" s="0" t="s">
        <v>272</v>
      </c>
      <c r="C89" s="0" t="n">
        <v>17.69</v>
      </c>
      <c r="D89" s="0" t="n">
        <v>4.292</v>
      </c>
      <c r="E89" s="0" t="n">
        <v>1</v>
      </c>
      <c r="F89" s="0" t="s">
        <v>79</v>
      </c>
      <c r="G89" s="0" t="n">
        <v>16</v>
      </c>
      <c r="H89" s="0" t="n">
        <v>0</v>
      </c>
      <c r="I89" s="0" t="s">
        <v>273</v>
      </c>
      <c r="J89" s="0" t="s">
        <v>252</v>
      </c>
      <c r="K89" s="0" t="s">
        <v>34</v>
      </c>
    </row>
    <row r="90" customFormat="false" ht="15" hidden="false" customHeight="false" outlineLevel="0" collapsed="false">
      <c r="A90" s="0" t="s">
        <v>274</v>
      </c>
      <c r="B90" s="0" t="s">
        <v>275</v>
      </c>
      <c r="C90" s="0" t="n">
        <v>4.29</v>
      </c>
      <c r="D90" s="0" t="n">
        <v>4.292</v>
      </c>
      <c r="E90" s="0" t="n">
        <v>1</v>
      </c>
      <c r="F90" s="0" t="s">
        <v>79</v>
      </c>
      <c r="G90" s="0" t="n">
        <v>16</v>
      </c>
      <c r="H90" s="0" t="n">
        <v>0</v>
      </c>
      <c r="I90" s="0" t="s">
        <v>276</v>
      </c>
      <c r="J90" s="0" t="s">
        <v>252</v>
      </c>
      <c r="K90" s="0" t="s">
        <v>34</v>
      </c>
    </row>
    <row r="91" customFormat="false" ht="15" hidden="false" customHeight="false" outlineLevel="0" collapsed="false">
      <c r="A91" s="5" t="s">
        <v>277</v>
      </c>
    </row>
    <row r="92" customFormat="false" ht="15" hidden="false" customHeight="false" outlineLevel="0" collapsed="false">
      <c r="A92" s="0" t="s">
        <v>278</v>
      </c>
      <c r="B92" s="0" t="s">
        <v>279</v>
      </c>
      <c r="C92" s="0" t="n">
        <v>51.73</v>
      </c>
      <c r="D92" s="0" t="n">
        <v>3</v>
      </c>
      <c r="E92" s="0" t="n">
        <v>1</v>
      </c>
      <c r="F92" s="0" t="s">
        <v>31</v>
      </c>
      <c r="G92" s="0" t="n">
        <v>16</v>
      </c>
      <c r="H92" s="0" t="n">
        <v>120.18</v>
      </c>
      <c r="I92" s="0" t="s">
        <v>280</v>
      </c>
      <c r="J92" s="0" t="s">
        <v>281</v>
      </c>
      <c r="K92" s="0" t="s">
        <v>34</v>
      </c>
    </row>
    <row r="93" customFormat="false" ht="15" hidden="false" customHeight="false" outlineLevel="0" collapsed="false">
      <c r="A93" s="6" t="s">
        <v>282</v>
      </c>
      <c r="C93" s="3" t="n">
        <f aca="false">SUM(C5:C92)</f>
        <v>1009.13</v>
      </c>
      <c r="H93" s="3" t="n">
        <f aca="false">SUM(H5:H92)</f>
        <v>13192.25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57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0" t="s">
        <v>284</v>
      </c>
    </row>
    <row r="3" customFormat="false" ht="15" hidden="false" customHeight="false" outlineLevel="0" collapsed="false">
      <c r="A3" s="4" t="s">
        <v>285</v>
      </c>
      <c r="B3" s="4" t="s">
        <v>286</v>
      </c>
      <c r="C3" s="4" t="s">
        <v>287</v>
      </c>
      <c r="D3" s="4" t="s">
        <v>288</v>
      </c>
      <c r="E3" s="4" t="s">
        <v>289</v>
      </c>
      <c r="F3" s="4" t="s">
        <v>290</v>
      </c>
      <c r="G3" s="4" t="s">
        <v>291</v>
      </c>
      <c r="H3" s="4" t="s">
        <v>292</v>
      </c>
      <c r="I3" s="4" t="s">
        <v>293</v>
      </c>
    </row>
    <row r="4" customFormat="false" ht="15" hidden="false" customHeight="false" outlineLevel="0" collapsed="false">
      <c r="A4" s="0" t="s">
        <v>294</v>
      </c>
      <c r="B4" s="0" t="s">
        <v>295</v>
      </c>
      <c r="C4" s="0" t="n">
        <v>3454.26</v>
      </c>
      <c r="D4" s="0" t="n">
        <f aca="false">Inputs!$B$4</f>
        <v>0.15</v>
      </c>
      <c r="E4" s="0" t="n">
        <f aca="false">C4*D4</f>
        <v>518.139</v>
      </c>
      <c r="F4" s="0" t="n">
        <f aca="false">C4+E4</f>
        <v>3972.399</v>
      </c>
      <c r="G4" s="0" t="s">
        <v>296</v>
      </c>
      <c r="H4" s="0" t="n">
        <f aca="false">ROUNDUP(ROUNDUP(F4/15.375,0)/MAX(1,INT(16/15.375)),0)</f>
        <v>259</v>
      </c>
      <c r="I4" s="0" t="s">
        <v>297</v>
      </c>
    </row>
    <row r="5" customFormat="false" ht="15" hidden="false" customHeight="false" outlineLevel="0" collapsed="false">
      <c r="A5" s="0" t="s">
        <v>298</v>
      </c>
      <c r="B5" s="0" t="s">
        <v>295</v>
      </c>
      <c r="C5" s="0" t="n">
        <v>193.29</v>
      </c>
      <c r="D5" s="0" t="n">
        <f aca="false">Inputs!$B$4</f>
        <v>0.15</v>
      </c>
      <c r="E5" s="0" t="n">
        <f aca="false">C5*D5</f>
        <v>28.9935</v>
      </c>
      <c r="F5" s="0" t="n">
        <f aca="false">C5+E5</f>
        <v>222.2835</v>
      </c>
      <c r="G5" s="0" t="s">
        <v>296</v>
      </c>
      <c r="H5" s="0" t="n">
        <f aca="false">ROUNDUP(ROUNDUP(F5/15.375,0)/MAX(1,INT(16/15.375)),0)</f>
        <v>15</v>
      </c>
      <c r="I5" s="0" t="s">
        <v>299</v>
      </c>
    </row>
    <row r="6" customFormat="false" ht="15" hidden="false" customHeight="false" outlineLevel="0" collapsed="false">
      <c r="A6" s="0" t="s">
        <v>300</v>
      </c>
      <c r="B6" s="0" t="s">
        <v>295</v>
      </c>
      <c r="C6" s="0" t="n">
        <v>1616.84</v>
      </c>
      <c r="D6" s="0" t="n">
        <f aca="false">Inputs!$B$4</f>
        <v>0.15</v>
      </c>
      <c r="E6" s="0" t="n">
        <f aca="false">C6*D6</f>
        <v>242.526</v>
      </c>
      <c r="F6" s="0" t="n">
        <f aca="false">C6+E6</f>
        <v>1859.366</v>
      </c>
      <c r="G6" s="0" t="s">
        <v>296</v>
      </c>
      <c r="H6" s="0" t="n">
        <f aca="false">ROUNDUP(ROUNDUP(F6/15.375,0)/MAX(1,INT(16/15.375)),0)</f>
        <v>121</v>
      </c>
      <c r="I6" s="0" t="s">
        <v>301</v>
      </c>
    </row>
    <row r="7" customFormat="false" ht="15" hidden="false" customHeight="false" outlineLevel="0" collapsed="false">
      <c r="A7" s="0" t="s">
        <v>302</v>
      </c>
      <c r="B7" s="0" t="s">
        <v>295</v>
      </c>
      <c r="C7" s="0" t="n">
        <v>61.5</v>
      </c>
      <c r="D7" s="0" t="n">
        <f aca="false">Inputs!$B$4</f>
        <v>0.15</v>
      </c>
      <c r="E7" s="0" t="n">
        <f aca="false">C7*D7</f>
        <v>9.225</v>
      </c>
      <c r="F7" s="0" t="n">
        <f aca="false">C7+E7</f>
        <v>70.725</v>
      </c>
      <c r="G7" s="0" t="s">
        <v>296</v>
      </c>
      <c r="H7" s="0" t="n">
        <f aca="false">ROUNDUP(ROUNDUP(F7/15.375,0)/MAX(1,INT(16/15.375)),0)</f>
        <v>5</v>
      </c>
      <c r="I7" s="0" t="s">
        <v>303</v>
      </c>
    </row>
    <row r="8" customFormat="false" ht="15" hidden="false" customHeight="false" outlineLevel="0" collapsed="false">
      <c r="A8" s="0" t="s">
        <v>304</v>
      </c>
      <c r="B8" s="0" t="s">
        <v>295</v>
      </c>
      <c r="C8" s="0" t="n">
        <v>3536.28</v>
      </c>
      <c r="D8" s="0" t="n">
        <f aca="false">Inputs!$B$4</f>
        <v>0.15</v>
      </c>
      <c r="E8" s="0" t="n">
        <f aca="false">C8*D8</f>
        <v>530.442</v>
      </c>
      <c r="F8" s="0" t="n">
        <f aca="false">C8+E8</f>
        <v>4066.722</v>
      </c>
      <c r="G8" s="0" t="s">
        <v>296</v>
      </c>
      <c r="H8" s="0" t="n">
        <f aca="false">ROUNDUP(ROUNDUP(F8/15.375,0)/MAX(1,INT(16/15.375)),0)</f>
        <v>265</v>
      </c>
      <c r="I8" s="0" t="s">
        <v>305</v>
      </c>
    </row>
    <row r="9" customFormat="false" ht="15" hidden="false" customHeight="false" outlineLevel="0" collapsed="false">
      <c r="A9" s="0" t="s">
        <v>306</v>
      </c>
      <c r="B9" s="0" t="s">
        <v>295</v>
      </c>
      <c r="C9" s="0" t="n">
        <v>615.96</v>
      </c>
      <c r="D9" s="0" t="n">
        <f aca="false">Inputs!$B$4</f>
        <v>0.15</v>
      </c>
      <c r="E9" s="0" t="n">
        <f aca="false">C9*D9</f>
        <v>92.394</v>
      </c>
      <c r="F9" s="0" t="n">
        <f aca="false">C9+E9</f>
        <v>708.354</v>
      </c>
      <c r="G9" s="0" t="s">
        <v>296</v>
      </c>
      <c r="H9" s="0" t="n">
        <f aca="false">ROUNDUP(ROUNDUP(F9/7.333,0)/MAX(1,INT(16/7.333)),0)</f>
        <v>49</v>
      </c>
      <c r="I9" s="0" t="s">
        <v>307</v>
      </c>
    </row>
    <row r="10" customFormat="false" ht="15" hidden="false" customHeight="false" outlineLevel="0" collapsed="false">
      <c r="A10" s="0" t="s">
        <v>308</v>
      </c>
      <c r="B10" s="0" t="s">
        <v>295</v>
      </c>
      <c r="C10" s="0" t="n">
        <v>4068.08</v>
      </c>
      <c r="D10" s="0" t="n">
        <f aca="false">Inputs!$B$4</f>
        <v>0.15</v>
      </c>
      <c r="E10" s="0" t="n">
        <f aca="false">C10*D10</f>
        <v>610.212</v>
      </c>
      <c r="F10" s="0" t="n">
        <f aca="false">C10+E10</f>
        <v>4678.292</v>
      </c>
      <c r="G10" s="0" t="s">
        <v>296</v>
      </c>
      <c r="H10" s="0" t="n">
        <f aca="false">ROUNDUP(ROUNDUP(F10/15.375,0)/MAX(1,INT(16/15.375)),0)</f>
        <v>305</v>
      </c>
      <c r="I10" s="0" t="s">
        <v>309</v>
      </c>
    </row>
    <row r="11" customFormat="false" ht="15" hidden="false" customHeight="false" outlineLevel="0" collapsed="false">
      <c r="A11" s="0" t="s">
        <v>310</v>
      </c>
      <c r="B11" s="0" t="s">
        <v>295</v>
      </c>
      <c r="C11" s="0" t="n">
        <v>944.1</v>
      </c>
      <c r="D11" s="0" t="n">
        <f aca="false">Inputs!$B$4</f>
        <v>0.15</v>
      </c>
      <c r="E11" s="0" t="n">
        <f aca="false">C11*D11</f>
        <v>141.615</v>
      </c>
      <c r="F11" s="0" t="n">
        <f aca="false">C11+E11</f>
        <v>1085.715</v>
      </c>
      <c r="G11" s="0" t="s">
        <v>311</v>
      </c>
      <c r="H11" s="0" t="n">
        <f aca="false">ROUNDUP(ROUNDUP(F11/4.886,0)/MAX(1,INT(20/4.886)),0)</f>
        <v>56</v>
      </c>
      <c r="I11" s="0" t="s">
        <v>312</v>
      </c>
    </row>
    <row r="12" customFormat="false" ht="15" hidden="false" customHeight="false" outlineLevel="0" collapsed="false">
      <c r="A12" s="0" t="s">
        <v>313</v>
      </c>
      <c r="B12" s="0" t="s">
        <v>295</v>
      </c>
      <c r="C12" s="0" t="n">
        <v>354.16</v>
      </c>
      <c r="D12" s="0" t="n">
        <f aca="false">Inputs!$B$4</f>
        <v>0.15</v>
      </c>
      <c r="E12" s="0" t="n">
        <f aca="false">C12*D12</f>
        <v>53.124</v>
      </c>
      <c r="F12" s="0" t="n">
        <f aca="false">C12+E12</f>
        <v>407.284</v>
      </c>
      <c r="G12" s="0" t="s">
        <v>311</v>
      </c>
      <c r="H12" s="0" t="n">
        <f aca="false">ROUNDUP(ROUNDUP(F12/1.865,0)/MAX(1,INT(20/1.865)),0)</f>
        <v>22</v>
      </c>
      <c r="I12" s="0" t="s">
        <v>314</v>
      </c>
    </row>
    <row r="13" customFormat="false" ht="15" hidden="false" customHeight="false" outlineLevel="0" collapsed="false">
      <c r="A13" s="0" t="s">
        <v>315</v>
      </c>
      <c r="B13" s="0" t="s">
        <v>295</v>
      </c>
      <c r="C13" s="0" t="n">
        <v>1095.24</v>
      </c>
      <c r="D13" s="0" t="n">
        <f aca="false">Inputs!$B$4</f>
        <v>0.15</v>
      </c>
      <c r="E13" s="0" t="n">
        <f aca="false">C13*D13</f>
        <v>164.286</v>
      </c>
      <c r="F13" s="0" t="n">
        <f aca="false">C13+E13</f>
        <v>1259.526</v>
      </c>
      <c r="G13" s="0" t="s">
        <v>311</v>
      </c>
      <c r="H13" s="0" t="n">
        <f aca="false">ROUNDUP(ROUNDUP(F13/6,0)/MAX(1,INT(20/6)),0)</f>
        <v>70</v>
      </c>
      <c r="I13" s="0" t="s">
        <v>316</v>
      </c>
    </row>
    <row r="14" customFormat="false" ht="15" hidden="false" customHeight="false" outlineLevel="0" collapsed="false">
      <c r="A14" s="0" t="s">
        <v>317</v>
      </c>
      <c r="B14" s="0" t="s">
        <v>295</v>
      </c>
      <c r="C14" s="0" t="n">
        <v>818.06</v>
      </c>
      <c r="D14" s="0" t="n">
        <f aca="false">Inputs!$B$4</f>
        <v>0.15</v>
      </c>
      <c r="E14" s="0" t="n">
        <f aca="false">C14*D14</f>
        <v>122.709</v>
      </c>
      <c r="F14" s="0" t="n">
        <f aca="false">C14+E14</f>
        <v>940.769</v>
      </c>
      <c r="G14" s="0" t="s">
        <v>311</v>
      </c>
      <c r="H14" s="0" t="n">
        <f aca="false">ROUNDUP(ROUNDUP(F14/6,0)/MAX(1,INT(20/6)),0)</f>
        <v>53</v>
      </c>
      <c r="I14" s="0" t="s">
        <v>318</v>
      </c>
    </row>
    <row r="15" customFormat="false" ht="15" hidden="false" customHeight="false" outlineLevel="0" collapsed="false">
      <c r="A15" s="0" t="s">
        <v>319</v>
      </c>
      <c r="B15" s="0" t="s">
        <v>295</v>
      </c>
      <c r="C15" s="0" t="n">
        <v>45.88</v>
      </c>
      <c r="D15" s="0" t="n">
        <f aca="false">Inputs!$B$4</f>
        <v>0.15</v>
      </c>
      <c r="E15" s="0" t="n">
        <f aca="false">C15*D15</f>
        <v>6.882</v>
      </c>
      <c r="F15" s="0" t="n">
        <f aca="false">C15+E15</f>
        <v>52.762</v>
      </c>
      <c r="G15" s="0" t="s">
        <v>296</v>
      </c>
      <c r="H15" s="0" t="n">
        <f aca="false">ROUNDUP(ROUNDUP(F15/15.375,0)/MAX(1,INT(16/15.375)),0)</f>
        <v>4</v>
      </c>
      <c r="I15" s="0" t="s">
        <v>320</v>
      </c>
    </row>
    <row r="16" customFormat="false" ht="15" hidden="false" customHeight="false" outlineLevel="0" collapsed="false">
      <c r="A16" s="0" t="s">
        <v>321</v>
      </c>
      <c r="B16" s="0" t="s">
        <v>295</v>
      </c>
      <c r="C16" s="0" t="n">
        <v>296.61</v>
      </c>
      <c r="D16" s="0" t="n">
        <f aca="false">Inputs!$B$4</f>
        <v>0.15</v>
      </c>
      <c r="E16" s="0" t="n">
        <f aca="false">C16*D16</f>
        <v>44.4915</v>
      </c>
      <c r="F16" s="0" t="n">
        <f aca="false">C16+E16</f>
        <v>341.1015</v>
      </c>
      <c r="G16" s="0" t="s">
        <v>322</v>
      </c>
      <c r="H16" s="0" t="n">
        <f aca="false">ROUNDUP(F16/10,0)</f>
        <v>35</v>
      </c>
      <c r="I16" s="0" t="s">
        <v>323</v>
      </c>
    </row>
    <row r="17" customFormat="false" ht="15" hidden="false" customHeight="false" outlineLevel="0" collapsed="false">
      <c r="A17" s="0" t="s">
        <v>324</v>
      </c>
      <c r="B17" s="0" t="s">
        <v>295</v>
      </c>
      <c r="C17" s="0" t="n">
        <v>296.61</v>
      </c>
      <c r="D17" s="0" t="n">
        <f aca="false">Inputs!$B$4</f>
        <v>0.15</v>
      </c>
      <c r="E17" s="0" t="n">
        <f aca="false">C17*D17</f>
        <v>44.4915</v>
      </c>
      <c r="F17" s="0" t="n">
        <f aca="false">C17+E17</f>
        <v>341.1015</v>
      </c>
      <c r="G17" s="0" t="s">
        <v>322</v>
      </c>
      <c r="H17" s="0" t="n">
        <f aca="false">ROUNDUP(F17/10,0)</f>
        <v>35</v>
      </c>
      <c r="I17" s="0" t="s">
        <v>325</v>
      </c>
    </row>
    <row r="18" customFormat="false" ht="15" hidden="false" customHeight="false" outlineLevel="0" collapsed="false">
      <c r="A18" s="0" t="s">
        <v>326</v>
      </c>
      <c r="B18" s="0" t="s">
        <v>295</v>
      </c>
      <c r="C18" s="0" t="n">
        <v>6.36</v>
      </c>
      <c r="D18" s="0" t="n">
        <f aca="false">Inputs!$B$4</f>
        <v>0.15</v>
      </c>
      <c r="E18" s="0" t="n">
        <f aca="false">C18*D18</f>
        <v>0.954</v>
      </c>
      <c r="F18" s="0" t="n">
        <f aca="false">C18+E18</f>
        <v>7.314</v>
      </c>
      <c r="G18" s="0" t="s">
        <v>322</v>
      </c>
      <c r="H18" s="0" t="n">
        <f aca="false">ROUNDUP(F18/10,0)</f>
        <v>1</v>
      </c>
      <c r="I18" s="0" t="s">
        <v>327</v>
      </c>
    </row>
    <row r="19" customFormat="false" ht="15" hidden="false" customHeight="false" outlineLevel="0" collapsed="false">
      <c r="A19" s="0" t="s">
        <v>328</v>
      </c>
      <c r="B19" s="0" t="s">
        <v>295</v>
      </c>
      <c r="C19" s="0" t="n">
        <v>6.36</v>
      </c>
      <c r="D19" s="0" t="n">
        <f aca="false">Inputs!$B$4</f>
        <v>0.15</v>
      </c>
      <c r="E19" s="0" t="n">
        <f aca="false">C19*D19</f>
        <v>0.954</v>
      </c>
      <c r="F19" s="0" t="n">
        <f aca="false">C19+E19</f>
        <v>7.314</v>
      </c>
      <c r="G19" s="0" t="s">
        <v>322</v>
      </c>
      <c r="H19" s="0" t="n">
        <f aca="false">ROUNDUP(F19/10,0)</f>
        <v>1</v>
      </c>
      <c r="I19" s="0" t="s">
        <v>329</v>
      </c>
    </row>
    <row r="20" customFormat="false" ht="15" hidden="false" customHeight="false" outlineLevel="0" collapsed="false">
      <c r="A20" s="0" t="s">
        <v>330</v>
      </c>
      <c r="B20" s="0" t="s">
        <v>295</v>
      </c>
      <c r="C20" s="0" t="n">
        <v>356.25</v>
      </c>
      <c r="D20" s="0" t="n">
        <f aca="false">Inputs!$B$4</f>
        <v>0.15</v>
      </c>
      <c r="E20" s="0" t="n">
        <f aca="false">C20*D20</f>
        <v>53.4375</v>
      </c>
      <c r="F20" s="0" t="n">
        <f aca="false">C20+E20</f>
        <v>409.6875</v>
      </c>
      <c r="G20" s="0" t="s">
        <v>322</v>
      </c>
      <c r="H20" s="0" t="n">
        <f aca="false">ROUNDUP(F20/10,0)</f>
        <v>41</v>
      </c>
      <c r="I20" s="0" t="s">
        <v>331</v>
      </c>
    </row>
    <row r="21" customFormat="false" ht="15" hidden="false" customHeight="false" outlineLevel="0" collapsed="false">
      <c r="A21" s="0" t="s">
        <v>332</v>
      </c>
      <c r="B21" s="0" t="s">
        <v>295</v>
      </c>
      <c r="C21" s="0" t="n">
        <v>356.25</v>
      </c>
      <c r="D21" s="0" t="n">
        <f aca="false">Inputs!$B$4</f>
        <v>0.15</v>
      </c>
      <c r="E21" s="0" t="n">
        <f aca="false">C21*D21</f>
        <v>53.4375</v>
      </c>
      <c r="F21" s="0" t="n">
        <f aca="false">C21+E21</f>
        <v>409.6875</v>
      </c>
      <c r="G21" s="0" t="s">
        <v>322</v>
      </c>
      <c r="H21" s="0" t="n">
        <f aca="false">ROUNDUP(F21/10,0)</f>
        <v>41</v>
      </c>
      <c r="I21" s="0" t="s">
        <v>333</v>
      </c>
    </row>
    <row r="22" customFormat="false" ht="15" hidden="false" customHeight="false" outlineLevel="0" collapsed="false">
      <c r="A22" s="0" t="s">
        <v>334</v>
      </c>
      <c r="B22" s="0" t="s">
        <v>295</v>
      </c>
      <c r="C22" s="0" t="n">
        <v>269.5</v>
      </c>
      <c r="D22" s="0" t="n">
        <f aca="false">Inputs!$B$4</f>
        <v>0.15</v>
      </c>
      <c r="E22" s="0" t="n">
        <f aca="false">C22*D22</f>
        <v>40.425</v>
      </c>
      <c r="F22" s="0" t="n">
        <f aca="false">C22+E22</f>
        <v>309.925</v>
      </c>
      <c r="G22" s="0" t="s">
        <v>322</v>
      </c>
      <c r="H22" s="0" t="n">
        <f aca="false">ROUNDUP(F22/10,0)</f>
        <v>31</v>
      </c>
      <c r="I22" s="0" t="s">
        <v>335</v>
      </c>
    </row>
    <row r="23" customFormat="false" ht="15" hidden="false" customHeight="false" outlineLevel="0" collapsed="false">
      <c r="A23" s="0" t="s">
        <v>336</v>
      </c>
      <c r="B23" s="0" t="s">
        <v>295</v>
      </c>
      <c r="C23" s="0" t="n">
        <v>269.5</v>
      </c>
      <c r="D23" s="0" t="n">
        <f aca="false">Inputs!$B$4</f>
        <v>0.15</v>
      </c>
      <c r="E23" s="0" t="n">
        <f aca="false">C23*D23</f>
        <v>40.425</v>
      </c>
      <c r="F23" s="0" t="n">
        <f aca="false">C23+E23</f>
        <v>309.925</v>
      </c>
      <c r="G23" s="0" t="s">
        <v>322</v>
      </c>
      <c r="H23" s="0" t="n">
        <f aca="false">ROUNDUP(F23/10,0)</f>
        <v>31</v>
      </c>
      <c r="I23" s="0" t="s">
        <v>335</v>
      </c>
    </row>
    <row r="24" customFormat="false" ht="15" hidden="false" customHeight="false" outlineLevel="0" collapsed="false">
      <c r="A24" s="0" t="s">
        <v>337</v>
      </c>
      <c r="B24" s="0" t="s">
        <v>295</v>
      </c>
      <c r="C24" s="0" t="n">
        <v>288.51</v>
      </c>
      <c r="D24" s="0" t="n">
        <f aca="false">Inputs!$B$4</f>
        <v>0.15</v>
      </c>
      <c r="E24" s="0" t="n">
        <f aca="false">C24*D24</f>
        <v>43.2765</v>
      </c>
      <c r="F24" s="0" t="n">
        <f aca="false">C24+E24</f>
        <v>331.7865</v>
      </c>
      <c r="G24" s="0" t="s">
        <v>322</v>
      </c>
      <c r="H24" s="0" t="n">
        <f aca="false">ROUNDUP(F24/10,0)</f>
        <v>34</v>
      </c>
      <c r="I24" s="0" t="s">
        <v>338</v>
      </c>
    </row>
    <row r="25" customFormat="false" ht="15" hidden="false" customHeight="false" outlineLevel="0" collapsed="false">
      <c r="A25" s="0" t="s">
        <v>339</v>
      </c>
      <c r="B25" s="0" t="s">
        <v>295</v>
      </c>
      <c r="C25" s="0" t="n">
        <v>288.51</v>
      </c>
      <c r="D25" s="0" t="n">
        <f aca="false">Inputs!$B$4</f>
        <v>0.15</v>
      </c>
      <c r="E25" s="0" t="n">
        <f aca="false">C25*D25</f>
        <v>43.2765</v>
      </c>
      <c r="F25" s="0" t="n">
        <f aca="false">C25+E25</f>
        <v>331.7865</v>
      </c>
      <c r="G25" s="0" t="s">
        <v>322</v>
      </c>
      <c r="H25" s="0" t="n">
        <f aca="false">ROUNDUP(F25/10,0)</f>
        <v>34</v>
      </c>
      <c r="I25" s="0" t="s">
        <v>340</v>
      </c>
    </row>
    <row r="26" customFormat="false" ht="15" hidden="false" customHeight="false" outlineLevel="0" collapsed="false">
      <c r="A26" s="0" t="s">
        <v>341</v>
      </c>
      <c r="B26" s="0" t="s">
        <v>295</v>
      </c>
      <c r="C26" s="0" t="n">
        <v>13.33</v>
      </c>
      <c r="D26" s="0" t="n">
        <f aca="false">Inputs!$B$4</f>
        <v>0.15</v>
      </c>
      <c r="E26" s="0" t="n">
        <f aca="false">C26*D26</f>
        <v>1.9995</v>
      </c>
      <c r="F26" s="0" t="n">
        <f aca="false">C26+E26</f>
        <v>15.3295</v>
      </c>
      <c r="G26" s="0" t="s">
        <v>322</v>
      </c>
      <c r="H26" s="0" t="n">
        <f aca="false">ROUNDUP(F26/10,0)</f>
        <v>2</v>
      </c>
      <c r="I26" s="0" t="s">
        <v>342</v>
      </c>
    </row>
    <row r="27" customFormat="false" ht="15" hidden="false" customHeight="false" outlineLevel="0" collapsed="false">
      <c r="A27" s="0" t="s">
        <v>343</v>
      </c>
      <c r="B27" s="0" t="s">
        <v>295</v>
      </c>
      <c r="C27" s="0" t="n">
        <v>13.33</v>
      </c>
      <c r="D27" s="0" t="n">
        <f aca="false">Inputs!$B$4</f>
        <v>0.15</v>
      </c>
      <c r="E27" s="0" t="n">
        <f aca="false">C27*D27</f>
        <v>1.9995</v>
      </c>
      <c r="F27" s="0" t="n">
        <f aca="false">C27+E27</f>
        <v>15.3295</v>
      </c>
      <c r="G27" s="0" t="s">
        <v>322</v>
      </c>
      <c r="H27" s="0" t="n">
        <f aca="false">ROUNDUP(F27/10,0)</f>
        <v>2</v>
      </c>
      <c r="I27" s="0" t="s">
        <v>342</v>
      </c>
    </row>
    <row r="28" customFormat="false" ht="15" hidden="false" customHeight="false" outlineLevel="0" collapsed="false">
      <c r="A28" s="0" t="s">
        <v>344</v>
      </c>
      <c r="B28" s="0" t="s">
        <v>295</v>
      </c>
      <c r="C28" s="0" t="n">
        <v>1195.43</v>
      </c>
      <c r="D28" s="0" t="n">
        <f aca="false">Inputs!$B$4</f>
        <v>0.15</v>
      </c>
      <c r="E28" s="0" t="n">
        <f aca="false">C28*D28</f>
        <v>179.3145</v>
      </c>
      <c r="F28" s="0" t="n">
        <f aca="false">C28+E28</f>
        <v>1374.7445</v>
      </c>
      <c r="G28" s="0" t="s">
        <v>322</v>
      </c>
      <c r="H28" s="0" t="n">
        <f aca="false">ROUNDUP(F28/10,0)</f>
        <v>138</v>
      </c>
      <c r="I28" s="0" t="s">
        <v>345</v>
      </c>
    </row>
    <row r="29" customFormat="false" ht="15" hidden="false" customHeight="false" outlineLevel="0" collapsed="false">
      <c r="A29" s="0" t="s">
        <v>346</v>
      </c>
      <c r="B29" s="0" t="s">
        <v>295</v>
      </c>
      <c r="C29" s="0" t="n">
        <v>6.22</v>
      </c>
      <c r="D29" s="0" t="n">
        <f aca="false">Inputs!$B$4</f>
        <v>0.15</v>
      </c>
      <c r="E29" s="0" t="n">
        <f aca="false">C29*D29</f>
        <v>0.933</v>
      </c>
      <c r="F29" s="0" t="n">
        <f aca="false">C29+E29</f>
        <v>7.153</v>
      </c>
      <c r="G29" s="0" t="s">
        <v>322</v>
      </c>
      <c r="H29" s="0" t="n">
        <f aca="false">ROUNDUP(F29/10,0)</f>
        <v>1</v>
      </c>
      <c r="I29" s="0" t="s">
        <v>347</v>
      </c>
    </row>
    <row r="30" customFormat="false" ht="15" hidden="false" customHeight="false" outlineLevel="0" collapsed="false">
      <c r="A30" s="0" t="s">
        <v>348</v>
      </c>
      <c r="B30" s="0" t="s">
        <v>295</v>
      </c>
      <c r="C30" s="0" t="n">
        <v>216.54</v>
      </c>
      <c r="D30" s="0" t="n">
        <f aca="false">Inputs!$B$4</f>
        <v>0.15</v>
      </c>
      <c r="E30" s="0" t="n">
        <f aca="false">C30*D30</f>
        <v>32.481</v>
      </c>
      <c r="F30" s="0" t="n">
        <f aca="false">C30+E30</f>
        <v>249.021</v>
      </c>
      <c r="G30" s="0" t="s">
        <v>322</v>
      </c>
      <c r="H30" s="0" t="n">
        <f aca="false">ROUNDUP(F30/10,0)</f>
        <v>25</v>
      </c>
      <c r="I30" s="0" t="s">
        <v>349</v>
      </c>
    </row>
    <row r="31" customFormat="false" ht="15" hidden="false" customHeight="false" outlineLevel="0" collapsed="false">
      <c r="A31" s="0" t="s">
        <v>350</v>
      </c>
      <c r="B31" s="0" t="s">
        <v>295</v>
      </c>
      <c r="C31" s="0" t="n">
        <v>102.75</v>
      </c>
      <c r="D31" s="0" t="n">
        <f aca="false">Inputs!$B$4</f>
        <v>0.15</v>
      </c>
      <c r="E31" s="0" t="n">
        <f aca="false">C31*D31</f>
        <v>15.4125</v>
      </c>
      <c r="F31" s="0" t="n">
        <f aca="false">C31+E31</f>
        <v>118.1625</v>
      </c>
      <c r="G31" s="0" t="s">
        <v>322</v>
      </c>
      <c r="H31" s="0" t="n">
        <f aca="false">ROUNDUP(F31/10,0)</f>
        <v>12</v>
      </c>
      <c r="I31" s="0" t="s">
        <v>351</v>
      </c>
    </row>
    <row r="32" customFormat="false" ht="15" hidden="false" customHeight="false" outlineLevel="0" collapsed="false">
      <c r="A32" s="0" t="s">
        <v>352</v>
      </c>
      <c r="B32" s="0" t="s">
        <v>295</v>
      </c>
      <c r="C32" s="0" t="n">
        <v>106.02</v>
      </c>
      <c r="D32" s="0" t="n">
        <f aca="false">Inputs!$B$4</f>
        <v>0.15</v>
      </c>
      <c r="E32" s="0" t="n">
        <f aca="false">C32*D32</f>
        <v>15.903</v>
      </c>
      <c r="F32" s="0" t="n">
        <f aca="false">C32+E32</f>
        <v>121.923</v>
      </c>
      <c r="G32" s="0" t="s">
        <v>322</v>
      </c>
      <c r="H32" s="0" t="n">
        <f aca="false">ROUNDUP(F32/10,0)</f>
        <v>13</v>
      </c>
      <c r="I32" s="0" t="s">
        <v>353</v>
      </c>
    </row>
    <row r="33" customFormat="false" ht="15" hidden="false" customHeight="false" outlineLevel="0" collapsed="false">
      <c r="A33" s="0" t="s">
        <v>354</v>
      </c>
      <c r="B33" s="0" t="s">
        <v>295</v>
      </c>
      <c r="C33" s="0" t="n">
        <v>173.48</v>
      </c>
      <c r="D33" s="0" t="n">
        <f aca="false">Inputs!$B$4</f>
        <v>0.15</v>
      </c>
      <c r="E33" s="0" t="n">
        <f aca="false">C33*D33</f>
        <v>26.022</v>
      </c>
      <c r="F33" s="0" t="n">
        <f aca="false">C33+E33</f>
        <v>199.502</v>
      </c>
      <c r="G33" s="0" t="s">
        <v>322</v>
      </c>
      <c r="H33" s="0" t="n">
        <f aca="false">ROUNDUP(ROUNDUP(F33/4.5,0)/MAX(1,INT(10/4.5)),0)</f>
        <v>23</v>
      </c>
      <c r="I33" s="0" t="s">
        <v>355</v>
      </c>
    </row>
    <row r="34" customFormat="false" ht="15" hidden="false" customHeight="false" outlineLevel="0" collapsed="false">
      <c r="A34" s="0" t="s">
        <v>356</v>
      </c>
      <c r="B34" s="0" t="s">
        <v>295</v>
      </c>
      <c r="C34" s="0" t="n">
        <v>87.42</v>
      </c>
      <c r="D34" s="0" t="n">
        <f aca="false">Inputs!$B$4</f>
        <v>0.15</v>
      </c>
      <c r="E34" s="0" t="n">
        <f aca="false">C34*D34</f>
        <v>13.113</v>
      </c>
      <c r="F34" s="0" t="n">
        <f aca="false">C34+E34</f>
        <v>100.533</v>
      </c>
      <c r="G34" s="0" t="s">
        <v>322</v>
      </c>
      <c r="H34" s="0" t="n">
        <f aca="false">ROUNDUP(F34/10,0)</f>
        <v>11</v>
      </c>
      <c r="I34" s="0" t="s">
        <v>357</v>
      </c>
    </row>
    <row r="35" customFormat="false" ht="15" hidden="false" customHeight="false" outlineLevel="0" collapsed="false">
      <c r="A35" s="0" t="s">
        <v>358</v>
      </c>
      <c r="B35" s="0" t="s">
        <v>295</v>
      </c>
      <c r="C35" s="0" t="n">
        <v>2393.45</v>
      </c>
      <c r="D35" s="0" t="n">
        <f aca="false">Inputs!$B$4</f>
        <v>0.15</v>
      </c>
      <c r="E35" s="0" t="n">
        <f aca="false">C35*D35</f>
        <v>359.0175</v>
      </c>
      <c r="F35" s="0" t="n">
        <f aca="false">C35+E35</f>
        <v>2752.4675</v>
      </c>
      <c r="G35" s="0" t="s">
        <v>359</v>
      </c>
      <c r="H35" s="0" t="n">
        <f aca="false">ROUNDUP(F35/16,0)</f>
        <v>173</v>
      </c>
      <c r="I35" s="0" t="s">
        <v>360</v>
      </c>
    </row>
    <row r="36" customFormat="false" ht="15" hidden="false" customHeight="false" outlineLevel="0" collapsed="false">
      <c r="A36" s="0" t="s">
        <v>361</v>
      </c>
      <c r="B36" s="0" t="s">
        <v>295</v>
      </c>
      <c r="C36" s="0" t="n">
        <v>17.5</v>
      </c>
      <c r="D36" s="0" t="n">
        <f aca="false">Inputs!$B$4</f>
        <v>0.15</v>
      </c>
      <c r="E36" s="0" t="n">
        <f aca="false">C36*D36</f>
        <v>2.625</v>
      </c>
      <c r="F36" s="0" t="n">
        <f aca="false">C36+E36</f>
        <v>20.125</v>
      </c>
      <c r="G36" s="0" t="s">
        <v>322</v>
      </c>
      <c r="H36" s="0" t="n">
        <f aca="false">ROUNDUP(ROUNDUP(F36/2,0)/MAX(1,INT(10/2)),0)</f>
        <v>3</v>
      </c>
      <c r="I36" s="0" t="s">
        <v>362</v>
      </c>
    </row>
    <row r="37" customFormat="false" ht="15" hidden="false" customHeight="false" outlineLevel="0" collapsed="false">
      <c r="A37" s="0" t="s">
        <v>363</v>
      </c>
      <c r="B37" s="0" t="s">
        <v>295</v>
      </c>
      <c r="C37" s="0" t="n">
        <v>264.67</v>
      </c>
      <c r="D37" s="0" t="n">
        <f aca="false">Inputs!$B$4</f>
        <v>0.15</v>
      </c>
      <c r="E37" s="0" t="n">
        <f aca="false">C37*D37</f>
        <v>39.7005</v>
      </c>
      <c r="F37" s="0" t="n">
        <f aca="false">C37+E37</f>
        <v>304.3705</v>
      </c>
      <c r="G37" s="0" t="s">
        <v>322</v>
      </c>
      <c r="H37" s="0" t="n">
        <f aca="false">ROUNDUP(F37/10,0)</f>
        <v>31</v>
      </c>
      <c r="I37" s="0" t="s">
        <v>364</v>
      </c>
    </row>
    <row r="38" customFormat="false" ht="15" hidden="false" customHeight="false" outlineLevel="0" collapsed="false">
      <c r="A38" s="0" t="s">
        <v>365</v>
      </c>
      <c r="B38" s="0" t="s">
        <v>295</v>
      </c>
      <c r="C38" s="0" t="n">
        <v>686</v>
      </c>
      <c r="D38" s="0" t="n">
        <f aca="false">Inputs!$B$4</f>
        <v>0.15</v>
      </c>
      <c r="E38" s="0" t="n">
        <f aca="false">C38*D38</f>
        <v>102.9</v>
      </c>
      <c r="F38" s="0" t="n">
        <f aca="false">C38+E38</f>
        <v>788.9</v>
      </c>
      <c r="G38" s="0" t="s">
        <v>322</v>
      </c>
      <c r="H38" s="0" t="n">
        <f aca="false">ROUNDUP(F38/10,0)</f>
        <v>79</v>
      </c>
      <c r="I38" s="0" t="s">
        <v>366</v>
      </c>
    </row>
    <row r="39" customFormat="false" ht="15" hidden="false" customHeight="false" outlineLevel="0" collapsed="false">
      <c r="A39" s="0" t="s">
        <v>367</v>
      </c>
      <c r="B39" s="0" t="s">
        <v>295</v>
      </c>
      <c r="C39" s="0" t="n">
        <v>234.42</v>
      </c>
      <c r="D39" s="0" t="n">
        <f aca="false">Inputs!$B$4</f>
        <v>0.15</v>
      </c>
      <c r="E39" s="0" t="n">
        <f aca="false">C39*D39</f>
        <v>35.163</v>
      </c>
      <c r="F39" s="0" t="n">
        <f aca="false">C39+E39</f>
        <v>269.583</v>
      </c>
      <c r="G39" s="0" t="s">
        <v>359</v>
      </c>
      <c r="H39" s="0" t="n">
        <f aca="false">ROUNDUP(F39/16,0)</f>
        <v>17</v>
      </c>
      <c r="I39" s="0" t="s">
        <v>368</v>
      </c>
    </row>
    <row r="40" customFormat="false" ht="15" hidden="false" customHeight="false" outlineLevel="0" collapsed="false">
      <c r="A40" s="0" t="s">
        <v>369</v>
      </c>
      <c r="B40" s="0" t="s">
        <v>295</v>
      </c>
      <c r="C40" s="0" t="n">
        <v>703.29</v>
      </c>
      <c r="D40" s="0" t="n">
        <f aca="false">Inputs!$B$4</f>
        <v>0.15</v>
      </c>
      <c r="E40" s="0" t="n">
        <f aca="false">C40*D40</f>
        <v>105.4935</v>
      </c>
      <c r="F40" s="0" t="n">
        <f aca="false">C40+E40</f>
        <v>808.7835</v>
      </c>
      <c r="G40" s="0" t="s">
        <v>370</v>
      </c>
      <c r="H40" s="0" t="n">
        <f aca="false">ROUNDUP(F40/12,0)</f>
        <v>68</v>
      </c>
      <c r="I40" s="0" t="s">
        <v>371</v>
      </c>
    </row>
    <row r="41" customFormat="false" ht="15" hidden="false" customHeight="false" outlineLevel="0" collapsed="false">
      <c r="A41" s="0" t="s">
        <v>372</v>
      </c>
      <c r="B41" s="0" t="s">
        <v>295</v>
      </c>
      <c r="C41" s="0" t="n">
        <v>315.57</v>
      </c>
      <c r="D41" s="0" t="n">
        <f aca="false">Inputs!$B$4</f>
        <v>0.15</v>
      </c>
      <c r="E41" s="0" t="n">
        <f aca="false">C41*D41</f>
        <v>47.3355</v>
      </c>
      <c r="F41" s="0" t="n">
        <f aca="false">C41+E41</f>
        <v>362.9055</v>
      </c>
      <c r="G41" s="0" t="s">
        <v>373</v>
      </c>
      <c r="H41" s="0" t="n">
        <f aca="false">ROUNDUP(F41,0)</f>
        <v>363</v>
      </c>
      <c r="I41" s="0" t="s">
        <v>374</v>
      </c>
    </row>
    <row r="42" customFormat="false" ht="15" hidden="false" customHeight="false" outlineLevel="0" collapsed="false">
      <c r="A42" s="0" t="s">
        <v>375</v>
      </c>
      <c r="B42" s="0" t="s">
        <v>376</v>
      </c>
      <c r="C42" s="0" t="n">
        <v>13267.02</v>
      </c>
      <c r="D42" s="0" t="n">
        <f aca="false">Inputs!$B$5</f>
        <v>0.06</v>
      </c>
      <c r="E42" s="0" t="n">
        <f aca="false">C42*D42</f>
        <v>796.0212</v>
      </c>
      <c r="F42" s="0" t="n">
        <f aca="false">C42+E42</f>
        <v>14063.0412</v>
      </c>
      <c r="G42" s="0" t="s">
        <v>377</v>
      </c>
      <c r="H42" s="0" t="n">
        <f aca="false">ROUNDUP(F42/48,0)</f>
        <v>293</v>
      </c>
      <c r="I42" s="0" t="s">
        <v>378</v>
      </c>
    </row>
    <row r="43" customFormat="false" ht="15" hidden="false" customHeight="false" outlineLevel="0" collapsed="false">
      <c r="A43" s="0" t="s">
        <v>379</v>
      </c>
      <c r="B43" s="0" t="s">
        <v>376</v>
      </c>
      <c r="C43" s="0" t="n">
        <v>1035.25</v>
      </c>
      <c r="D43" s="0" t="n">
        <f aca="false">Inputs!$B$5</f>
        <v>0.06</v>
      </c>
      <c r="E43" s="0" t="n">
        <f aca="false">C43*D43</f>
        <v>62.115</v>
      </c>
      <c r="F43" s="0" t="n">
        <f aca="false">C43+E43</f>
        <v>1097.365</v>
      </c>
      <c r="G43" s="0" t="s">
        <v>377</v>
      </c>
      <c r="H43" s="0" t="n">
        <f aca="false">ROUNDUP(F43/48,0)</f>
        <v>23</v>
      </c>
      <c r="I43" s="0" t="s">
        <v>380</v>
      </c>
    </row>
    <row r="44" customFormat="false" ht="15" hidden="false" customHeight="false" outlineLevel="0" collapsed="false">
      <c r="A44" s="0" t="s">
        <v>381</v>
      </c>
      <c r="B44" s="0" t="s">
        <v>376</v>
      </c>
      <c r="C44" s="0" t="n">
        <v>268.56</v>
      </c>
      <c r="D44" s="0" t="n">
        <f aca="false">Inputs!$B$5</f>
        <v>0.06</v>
      </c>
      <c r="E44" s="0" t="n">
        <f aca="false">C44*D44</f>
        <v>16.1136</v>
      </c>
      <c r="F44" s="0" t="n">
        <f aca="false">C44+E44</f>
        <v>284.6736</v>
      </c>
      <c r="G44" s="0" t="s">
        <v>377</v>
      </c>
      <c r="H44" s="0" t="n">
        <f aca="false">ROUNDUP(F44/48,0)</f>
        <v>6</v>
      </c>
      <c r="I44" s="0" t="s">
        <v>382</v>
      </c>
    </row>
    <row r="45" customFormat="false" ht="15" hidden="false" customHeight="false" outlineLevel="0" collapsed="false">
      <c r="A45" s="0" t="s">
        <v>383</v>
      </c>
      <c r="B45" s="0" t="s">
        <v>376</v>
      </c>
      <c r="C45" s="0" t="n">
        <v>46.96</v>
      </c>
      <c r="D45" s="0" t="n">
        <f aca="false">Inputs!$B$5</f>
        <v>0.06</v>
      </c>
      <c r="E45" s="0" t="n">
        <f aca="false">C45*D45</f>
        <v>2.8176</v>
      </c>
      <c r="F45" s="0" t="n">
        <f aca="false">C45+E45</f>
        <v>49.7776</v>
      </c>
      <c r="G45" s="0" t="s">
        <v>384</v>
      </c>
      <c r="H45" s="0" t="n">
        <f aca="false">ROUNDUP(F45/32,0)</f>
        <v>2</v>
      </c>
      <c r="I45" s="0" t="s">
        <v>327</v>
      </c>
    </row>
    <row r="46" customFormat="false" ht="15" hidden="false" customHeight="false" outlineLevel="0" collapsed="false">
      <c r="A46" s="0" t="s">
        <v>385</v>
      </c>
      <c r="B46" s="0" t="s">
        <v>376</v>
      </c>
      <c r="C46" s="0" t="n">
        <v>60.96</v>
      </c>
      <c r="D46" s="0" t="n">
        <f aca="false">Inputs!$B$5</f>
        <v>0.06</v>
      </c>
      <c r="E46" s="0" t="n">
        <f aca="false">C46*D46</f>
        <v>3.6576</v>
      </c>
      <c r="F46" s="0" t="n">
        <f aca="false">C46+E46</f>
        <v>64.6176</v>
      </c>
      <c r="G46" s="0" t="s">
        <v>384</v>
      </c>
      <c r="H46" s="0" t="n">
        <f aca="false">ROUNDUP(F46/32,0)</f>
        <v>3</v>
      </c>
      <c r="I46" s="0" t="s">
        <v>386</v>
      </c>
    </row>
    <row r="47" customFormat="false" ht="15" hidden="false" customHeight="false" outlineLevel="0" collapsed="false">
      <c r="A47" s="0" t="s">
        <v>387</v>
      </c>
      <c r="B47" s="0" t="s">
        <v>376</v>
      </c>
      <c r="C47" s="0" t="n">
        <v>963.06</v>
      </c>
      <c r="D47" s="0" t="n">
        <f aca="false">Inputs!$B$5</f>
        <v>0.06</v>
      </c>
      <c r="E47" s="0" t="n">
        <f aca="false">C47*D47</f>
        <v>57.7836</v>
      </c>
      <c r="F47" s="0" t="n">
        <f aca="false">C47+E47</f>
        <v>1020.8436</v>
      </c>
      <c r="G47" s="0" t="s">
        <v>384</v>
      </c>
      <c r="H47" s="0" t="n">
        <f aca="false">ROUNDUP(F47/32,0)</f>
        <v>32</v>
      </c>
      <c r="I47" s="0" t="s">
        <v>388</v>
      </c>
    </row>
    <row r="48" customFormat="false" ht="15" hidden="false" customHeight="false" outlineLevel="0" collapsed="false">
      <c r="A48" s="0" t="s">
        <v>389</v>
      </c>
      <c r="B48" s="0" t="s">
        <v>376</v>
      </c>
      <c r="C48" s="0" t="n">
        <v>438.81</v>
      </c>
      <c r="D48" s="0" t="n">
        <f aca="false">Inputs!$B$5</f>
        <v>0.06</v>
      </c>
      <c r="E48" s="0" t="n">
        <f aca="false">C48*D48</f>
        <v>26.3286</v>
      </c>
      <c r="F48" s="0" t="n">
        <f aca="false">C48+E48</f>
        <v>465.1386</v>
      </c>
      <c r="G48" s="0" t="s">
        <v>384</v>
      </c>
      <c r="H48" s="0" t="n">
        <f aca="false">ROUNDUP(F48/32,0)</f>
        <v>15</v>
      </c>
      <c r="I48" s="0" t="s">
        <v>390</v>
      </c>
    </row>
    <row r="49" customFormat="false" ht="15" hidden="false" customHeight="false" outlineLevel="0" collapsed="false">
      <c r="A49" s="0" t="s">
        <v>391</v>
      </c>
      <c r="B49" s="0" t="s">
        <v>376</v>
      </c>
      <c r="C49" s="0" t="n">
        <v>3957.31</v>
      </c>
      <c r="D49" s="0" t="n">
        <f aca="false">Inputs!$B$5</f>
        <v>0.06</v>
      </c>
      <c r="E49" s="0" t="n">
        <f aca="false">C49*D49</f>
        <v>237.4386</v>
      </c>
      <c r="F49" s="0" t="n">
        <f aca="false">C49+E49</f>
        <v>4194.7486</v>
      </c>
      <c r="G49" s="0" t="s">
        <v>384</v>
      </c>
      <c r="H49" s="0" t="n">
        <f aca="false">ROUNDUP(F49/32,0)</f>
        <v>132</v>
      </c>
      <c r="I49" s="0" t="s">
        <v>392</v>
      </c>
    </row>
    <row r="50" customFormat="false" ht="15" hidden="false" customHeight="false" outlineLevel="0" collapsed="false">
      <c r="A50" s="0" t="s">
        <v>393</v>
      </c>
      <c r="B50" s="0" t="s">
        <v>376</v>
      </c>
      <c r="C50" s="0" t="n">
        <v>2312.5</v>
      </c>
      <c r="D50" s="0" t="n">
        <f aca="false">Inputs!$B$5</f>
        <v>0.06</v>
      </c>
      <c r="E50" s="0" t="n">
        <f aca="false">C50*D50</f>
        <v>138.75</v>
      </c>
      <c r="F50" s="0" t="n">
        <f aca="false">C50+E50</f>
        <v>2451.25</v>
      </c>
      <c r="G50" s="0" t="s">
        <v>384</v>
      </c>
      <c r="H50" s="0" t="n">
        <f aca="false">ROUNDUP(F50/32,0)</f>
        <v>77</v>
      </c>
      <c r="I50" s="0" t="s">
        <v>394</v>
      </c>
    </row>
    <row r="51" customFormat="false" ht="15" hidden="false" customHeight="false" outlineLevel="0" collapsed="false">
      <c r="A51" s="0" t="s">
        <v>395</v>
      </c>
      <c r="B51" s="0" t="s">
        <v>376</v>
      </c>
      <c r="C51" s="0" t="n">
        <v>576.03</v>
      </c>
      <c r="D51" s="0" t="n">
        <f aca="false">Inputs!$B$5</f>
        <v>0.06</v>
      </c>
      <c r="E51" s="0" t="n">
        <f aca="false">C51*D51</f>
        <v>34.5618</v>
      </c>
      <c r="F51" s="0" t="n">
        <f aca="false">C51+E51</f>
        <v>610.5918</v>
      </c>
      <c r="G51" s="0" t="s">
        <v>384</v>
      </c>
      <c r="H51" s="0" t="n">
        <f aca="false">ROUNDUP(F51/32,0)</f>
        <v>20</v>
      </c>
      <c r="I51" s="0" t="s">
        <v>396</v>
      </c>
    </row>
    <row r="52" customFormat="false" ht="15" hidden="false" customHeight="false" outlineLevel="0" collapsed="false">
      <c r="A52" s="0" t="s">
        <v>397</v>
      </c>
      <c r="B52" s="0" t="s">
        <v>376</v>
      </c>
      <c r="C52" s="0" t="n">
        <v>344.76</v>
      </c>
      <c r="D52" s="0" t="n">
        <f aca="false">Inputs!$B$5</f>
        <v>0.06</v>
      </c>
      <c r="E52" s="0" t="n">
        <f aca="false">C52*D52</f>
        <v>20.6856</v>
      </c>
      <c r="F52" s="0" t="n">
        <f aca="false">C52+E52</f>
        <v>365.4456</v>
      </c>
      <c r="G52" s="0" t="s">
        <v>384</v>
      </c>
      <c r="H52" s="0" t="n">
        <f aca="false">ROUNDUP(F52/32,0)</f>
        <v>12</v>
      </c>
      <c r="I52" s="0" t="s">
        <v>398</v>
      </c>
    </row>
    <row r="53" customFormat="false" ht="15" hidden="false" customHeight="false" outlineLevel="0" collapsed="false">
      <c r="A53" s="0" t="s">
        <v>399</v>
      </c>
      <c r="B53" s="0" t="s">
        <v>295</v>
      </c>
      <c r="C53" s="0" t="n">
        <v>117.89</v>
      </c>
      <c r="D53" s="0" t="n">
        <f aca="false">Inputs!$B$5</f>
        <v>0.06</v>
      </c>
      <c r="E53" s="0" t="n">
        <f aca="false">C53*D53</f>
        <v>7.0734</v>
      </c>
      <c r="F53" s="0" t="n">
        <f aca="false">C53+E53</f>
        <v>124.9634</v>
      </c>
      <c r="G53" s="0" t="s">
        <v>322</v>
      </c>
      <c r="H53" s="0" t="n">
        <f aca="false">ROUNDUP(F53/10,0)</f>
        <v>13</v>
      </c>
      <c r="I53" s="0" t="s">
        <v>400</v>
      </c>
    </row>
    <row r="54" customFormat="false" ht="15" hidden="false" customHeight="false" outlineLevel="0" collapsed="false">
      <c r="A54" s="0" t="s">
        <v>401</v>
      </c>
      <c r="B54" s="0" t="s">
        <v>376</v>
      </c>
      <c r="C54" s="0" t="n">
        <v>32.61</v>
      </c>
      <c r="D54" s="0" t="n">
        <f aca="false">Inputs!$B$5</f>
        <v>0.06</v>
      </c>
      <c r="E54" s="0" t="n">
        <f aca="false">C54*D54</f>
        <v>1.9566</v>
      </c>
      <c r="F54" s="0" t="n">
        <f aca="false">C54+E54</f>
        <v>34.5666</v>
      </c>
      <c r="G54" s="0" t="s">
        <v>402</v>
      </c>
      <c r="H54" s="0" t="n">
        <f aca="false">ROUNDUP(F54/15,0)</f>
        <v>3</v>
      </c>
      <c r="I54" s="0" t="s">
        <v>403</v>
      </c>
    </row>
    <row r="55" customFormat="false" ht="15" hidden="false" customHeight="false" outlineLevel="0" collapsed="false">
      <c r="A55" s="0" t="s">
        <v>404</v>
      </c>
      <c r="B55" s="0" t="s">
        <v>376</v>
      </c>
      <c r="C55" s="0" t="n">
        <v>164.74</v>
      </c>
      <c r="D55" s="0" t="n">
        <f aca="false">Inputs!$B$5</f>
        <v>0.06</v>
      </c>
      <c r="E55" s="0" t="n">
        <f aca="false">C55*D55</f>
        <v>9.8844</v>
      </c>
      <c r="F55" s="0" t="n">
        <f aca="false">C55+E55</f>
        <v>174.6244</v>
      </c>
      <c r="G55" s="0" t="s">
        <v>376</v>
      </c>
      <c r="H55" s="0" t="n">
        <f aca="false">ROUNDUP(F55,0)</f>
        <v>175</v>
      </c>
      <c r="I55" s="0" t="s">
        <v>405</v>
      </c>
    </row>
    <row r="56" customFormat="false" ht="15" hidden="false" customHeight="false" outlineLevel="0" collapsed="false">
      <c r="A56" s="0" t="s">
        <v>406</v>
      </c>
      <c r="B56" s="0" t="s">
        <v>376</v>
      </c>
      <c r="C56" s="0" t="n">
        <v>4621.43</v>
      </c>
      <c r="D56" s="0" t="n">
        <f aca="false">Inputs!$B$5</f>
        <v>0.06</v>
      </c>
      <c r="E56" s="0" t="n">
        <f aca="false">C56*D56</f>
        <v>277.2858</v>
      </c>
      <c r="F56" s="0" t="n">
        <f aca="false">C56+E56</f>
        <v>4898.7158</v>
      </c>
      <c r="G56" s="0" t="s">
        <v>376</v>
      </c>
      <c r="H56" s="0" t="n">
        <f aca="false">ROUNDUP(F56,0)</f>
        <v>4899</v>
      </c>
      <c r="I56" s="0" t="s">
        <v>407</v>
      </c>
    </row>
    <row r="57" customFormat="false" ht="15" hidden="false" customHeight="false" outlineLevel="0" collapsed="false">
      <c r="A57" s="0" t="s">
        <v>408</v>
      </c>
      <c r="B57" s="0" t="s">
        <v>295</v>
      </c>
      <c r="C57" s="0" t="n">
        <v>738.59</v>
      </c>
      <c r="D57" s="0" t="n">
        <f aca="false">Inputs!$B$4</f>
        <v>0.15</v>
      </c>
      <c r="E57" s="0" t="n">
        <f aca="false">C57*D57</f>
        <v>110.7885</v>
      </c>
      <c r="F57" s="0" t="n">
        <f aca="false">C57+E57</f>
        <v>849.3785</v>
      </c>
      <c r="G57" s="0" t="s">
        <v>322</v>
      </c>
      <c r="H57" s="0" t="n">
        <f aca="false">ROUNDUP(ROUNDUP(F57/1.333,0)/MAX(1,INT(10/1.333)),0)</f>
        <v>92</v>
      </c>
      <c r="I57" s="0" t="s">
        <v>409</v>
      </c>
    </row>
    <row r="58" customFormat="false" ht="15" hidden="false" customHeight="false" outlineLevel="0" collapsed="false">
      <c r="A58" s="0" t="s">
        <v>410</v>
      </c>
      <c r="B58" s="0" t="s">
        <v>295</v>
      </c>
      <c r="C58" s="0" t="n">
        <v>359.24</v>
      </c>
      <c r="D58" s="0" t="n">
        <f aca="false">Inputs!$B$5</f>
        <v>0.06</v>
      </c>
      <c r="E58" s="0" t="n">
        <f aca="false">C58*D58</f>
        <v>21.5544</v>
      </c>
      <c r="F58" s="0" t="n">
        <f aca="false">C58+E58</f>
        <v>380.7944</v>
      </c>
      <c r="G58" s="0" t="s">
        <v>411</v>
      </c>
      <c r="H58" s="0" t="n">
        <f aca="false">ROUNDUP(F58/8,0)</f>
        <v>48</v>
      </c>
      <c r="I58" s="0" t="s">
        <v>412</v>
      </c>
    </row>
    <row r="59" customFormat="false" ht="15" hidden="false" customHeight="false" outlineLevel="0" collapsed="false">
      <c r="A59" s="0" t="s">
        <v>413</v>
      </c>
      <c r="B59" s="0" t="s">
        <v>295</v>
      </c>
      <c r="C59" s="0" t="n">
        <v>544.12</v>
      </c>
      <c r="D59" s="0" t="n">
        <f aca="false">Inputs!$B$5</f>
        <v>0.06</v>
      </c>
      <c r="E59" s="0" t="n">
        <f aca="false">C59*D59</f>
        <v>32.6472</v>
      </c>
      <c r="F59" s="0" t="n">
        <f aca="false">C59+E59</f>
        <v>576.7672</v>
      </c>
      <c r="G59" s="0" t="s">
        <v>411</v>
      </c>
      <c r="H59" s="0" t="n">
        <f aca="false">ROUNDUP(F59/8,0)</f>
        <v>73</v>
      </c>
      <c r="I59" s="0" t="s">
        <v>414</v>
      </c>
    </row>
    <row r="60" customFormat="false" ht="15" hidden="false" customHeight="false" outlineLevel="0" collapsed="false">
      <c r="A60" s="0" t="s">
        <v>415</v>
      </c>
      <c r="B60" s="0" t="s">
        <v>295</v>
      </c>
      <c r="C60" s="0" t="n">
        <v>714.81</v>
      </c>
      <c r="D60" s="0" t="n">
        <f aca="false">Inputs!$B$4</f>
        <v>0.15</v>
      </c>
      <c r="E60" s="0" t="n">
        <f aca="false">C60*D60</f>
        <v>107.2215</v>
      </c>
      <c r="F60" s="0" t="n">
        <f aca="false">C60+E60</f>
        <v>822.0315</v>
      </c>
      <c r="G60" s="0" t="s">
        <v>322</v>
      </c>
      <c r="H60" s="0" t="n">
        <f aca="false">ROUNDUP(F60/10,0)</f>
        <v>83</v>
      </c>
      <c r="I60" s="0" t="s">
        <v>416</v>
      </c>
    </row>
    <row r="61" customFormat="false" ht="15" hidden="false" customHeight="false" outlineLevel="0" collapsed="false">
      <c r="A61" s="0" t="s">
        <v>417</v>
      </c>
      <c r="B61" s="0" t="s">
        <v>295</v>
      </c>
      <c r="C61" s="0" t="n">
        <v>311.59</v>
      </c>
      <c r="D61" s="0" t="n">
        <f aca="false">Inputs!$B$4</f>
        <v>0.15</v>
      </c>
      <c r="E61" s="0" t="n">
        <f aca="false">C61*D61</f>
        <v>46.7385</v>
      </c>
      <c r="F61" s="0" t="n">
        <f aca="false">C61+E61</f>
        <v>358.3285</v>
      </c>
      <c r="G61" s="0" t="s">
        <v>322</v>
      </c>
      <c r="H61" s="0" t="n">
        <f aca="false">ROUNDUP(F61/10,0)</f>
        <v>36</v>
      </c>
      <c r="I61" s="0" t="s">
        <v>418</v>
      </c>
    </row>
    <row r="62" customFormat="false" ht="15" hidden="false" customHeight="false" outlineLevel="0" collapsed="false">
      <c r="A62" s="0" t="s">
        <v>419</v>
      </c>
      <c r="B62" s="0" t="s">
        <v>295</v>
      </c>
      <c r="C62" s="0" t="n">
        <v>167.03</v>
      </c>
      <c r="D62" s="0" t="n">
        <f aca="false">Inputs!$B$4</f>
        <v>0.15</v>
      </c>
      <c r="E62" s="0" t="n">
        <f aca="false">C62*D62</f>
        <v>25.0545</v>
      </c>
      <c r="F62" s="0" t="n">
        <f aca="false">C62+E62</f>
        <v>192.0845</v>
      </c>
      <c r="G62" s="0" t="s">
        <v>322</v>
      </c>
      <c r="H62" s="0" t="n">
        <f aca="false">ROUNDUP(F62/10,0)</f>
        <v>20</v>
      </c>
      <c r="I62" s="0" t="s">
        <v>420</v>
      </c>
    </row>
    <row r="63" customFormat="false" ht="15" hidden="false" customHeight="false" outlineLevel="0" collapsed="false">
      <c r="A63" s="0" t="s">
        <v>421</v>
      </c>
      <c r="B63" s="0" t="s">
        <v>295</v>
      </c>
      <c r="C63" s="0" t="n">
        <v>112</v>
      </c>
      <c r="D63" s="0" t="n">
        <f aca="false">Inputs!$B$4</f>
        <v>0.15</v>
      </c>
      <c r="E63" s="0" t="n">
        <f aca="false">C63*D63</f>
        <v>16.8</v>
      </c>
      <c r="F63" s="0" t="n">
        <f aca="false">C63+E63</f>
        <v>128.8</v>
      </c>
      <c r="G63" s="0" t="s">
        <v>322</v>
      </c>
      <c r="H63" s="0" t="n">
        <f aca="false">ROUNDUP(F63/10,0)</f>
        <v>13</v>
      </c>
      <c r="I63" s="0" t="s">
        <v>422</v>
      </c>
    </row>
    <row r="64" customFormat="false" ht="15" hidden="false" customHeight="false" outlineLevel="0" collapsed="false">
      <c r="A64" s="0" t="s">
        <v>423</v>
      </c>
      <c r="B64" s="0" t="s">
        <v>295</v>
      </c>
      <c r="C64" s="0" t="n">
        <v>966.45</v>
      </c>
      <c r="D64" s="0" t="n">
        <f aca="false">Inputs!$B$5</f>
        <v>0.06</v>
      </c>
      <c r="E64" s="0" t="n">
        <f aca="false">C64*D64</f>
        <v>57.987</v>
      </c>
      <c r="F64" s="0" t="n">
        <f aca="false">C64+E64</f>
        <v>1024.437</v>
      </c>
      <c r="G64" s="0" t="s">
        <v>424</v>
      </c>
      <c r="H64" s="0" t="n">
        <f aca="false">ROUNDUP(F64/25,0)</f>
        <v>41</v>
      </c>
      <c r="I64" s="0" t="s">
        <v>425</v>
      </c>
    </row>
    <row r="65" customFormat="false" ht="15" hidden="false" customHeight="false" outlineLevel="0" collapsed="false">
      <c r="A65" s="0" t="s">
        <v>426</v>
      </c>
      <c r="B65" s="0" t="s">
        <v>295</v>
      </c>
      <c r="C65" s="0" t="n">
        <v>246.98</v>
      </c>
      <c r="D65" s="0" t="n">
        <f aca="false">Inputs!$B$5</f>
        <v>0.06</v>
      </c>
      <c r="E65" s="0" t="n">
        <f aca="false">C65*D65</f>
        <v>14.8188</v>
      </c>
      <c r="F65" s="0" t="n">
        <f aca="false">C65+E65</f>
        <v>261.7988</v>
      </c>
      <c r="G65" s="0" t="s">
        <v>424</v>
      </c>
      <c r="H65" s="0" t="n">
        <f aca="false">ROUNDUP(F65/25,0)</f>
        <v>11</v>
      </c>
      <c r="I65" s="0" t="s">
        <v>427</v>
      </c>
    </row>
    <row r="66" customFormat="false" ht="15" hidden="false" customHeight="false" outlineLevel="0" collapsed="false">
      <c r="A66" s="0" t="s">
        <v>428</v>
      </c>
      <c r="B66" s="0" t="s">
        <v>376</v>
      </c>
      <c r="C66" s="0" t="n">
        <v>633.01</v>
      </c>
      <c r="D66" s="0" t="n">
        <v>0</v>
      </c>
      <c r="E66" s="0" t="n">
        <f aca="false">C66*D66</f>
        <v>0</v>
      </c>
      <c r="F66" s="0" t="n">
        <f aca="false">C66+E66</f>
        <v>633.01</v>
      </c>
      <c r="G66" s="0" t="s">
        <v>376</v>
      </c>
      <c r="H66" s="0" t="n">
        <f aca="false">ROUNDUP(F66,0)</f>
        <v>634</v>
      </c>
      <c r="I66" s="0" t="s">
        <v>429</v>
      </c>
    </row>
    <row r="67" customFormat="false" ht="15" hidden="false" customHeight="false" outlineLevel="0" collapsed="false">
      <c r="A67" s="0" t="s">
        <v>430</v>
      </c>
      <c r="B67" s="0" t="s">
        <v>376</v>
      </c>
      <c r="C67" s="0" t="n">
        <v>13984.78</v>
      </c>
      <c r="D67" s="0" t="n">
        <v>0</v>
      </c>
      <c r="E67" s="0" t="n">
        <f aca="false">C67*D67</f>
        <v>0</v>
      </c>
      <c r="F67" s="0" t="n">
        <f aca="false">C67+E67</f>
        <v>13984.78</v>
      </c>
      <c r="G67" s="0" t="s">
        <v>376</v>
      </c>
      <c r="H67" s="0" t="n">
        <f aca="false">ROUNDUP(F67,0)</f>
        <v>13985</v>
      </c>
      <c r="I67" s="0" t="s">
        <v>431</v>
      </c>
    </row>
    <row r="68" customFormat="false" ht="15" hidden="false" customHeight="false" outlineLevel="0" collapsed="false">
      <c r="A68" s="0" t="s">
        <v>432</v>
      </c>
      <c r="B68" s="0" t="s">
        <v>433</v>
      </c>
      <c r="C68" s="0" t="n">
        <v>534.38</v>
      </c>
      <c r="D68" s="0" t="n">
        <f aca="false">Inputs!$B$4</f>
        <v>0.15</v>
      </c>
      <c r="E68" s="0" t="n">
        <f aca="false">C68*D68</f>
        <v>80.157</v>
      </c>
      <c r="F68" s="0" t="n">
        <f aca="false">C68+E68</f>
        <v>614.537</v>
      </c>
      <c r="G68" s="0" t="s">
        <v>434</v>
      </c>
      <c r="H68" s="0" t="n">
        <f aca="false">ROUNDUP(F68,0)</f>
        <v>615</v>
      </c>
      <c r="I68" s="0" t="s">
        <v>435</v>
      </c>
    </row>
    <row r="69" customFormat="false" ht="15" hidden="false" customHeight="false" outlineLevel="0" collapsed="false">
      <c r="A69" s="0" t="s">
        <v>436</v>
      </c>
      <c r="B69" s="0" t="s">
        <v>433</v>
      </c>
      <c r="C69" s="0" t="n">
        <v>604.81</v>
      </c>
      <c r="D69" s="0" t="n">
        <f aca="false">Inputs!$B$4</f>
        <v>0.15</v>
      </c>
      <c r="E69" s="0" t="n">
        <f aca="false">C69*D69</f>
        <v>90.7215</v>
      </c>
      <c r="F69" s="0" t="n">
        <f aca="false">C69+E69</f>
        <v>695.5315</v>
      </c>
      <c r="G69" s="0" t="s">
        <v>434</v>
      </c>
      <c r="H69" s="0" t="n">
        <f aca="false">ROUNDUP(F69,0)</f>
        <v>696</v>
      </c>
      <c r="I69" s="0" t="s">
        <v>437</v>
      </c>
    </row>
    <row r="70" customFormat="false" ht="15" hidden="false" customHeight="false" outlineLevel="0" collapsed="false">
      <c r="A70" s="0" t="s">
        <v>438</v>
      </c>
      <c r="B70" s="0" t="s">
        <v>433</v>
      </c>
      <c r="C70" s="0" t="n">
        <v>32316.94</v>
      </c>
      <c r="D70" s="0" t="n">
        <f aca="false">Inputs!$B$4</f>
        <v>0.15</v>
      </c>
      <c r="E70" s="0" t="n">
        <f aca="false">C70*D70</f>
        <v>4847.541</v>
      </c>
      <c r="F70" s="0" t="n">
        <f aca="false">C70+E70</f>
        <v>37164.481</v>
      </c>
      <c r="G70" s="0" t="s">
        <v>439</v>
      </c>
      <c r="H70" s="0" t="n">
        <f aca="false">ROUNDUP(F70,0)</f>
        <v>37165</v>
      </c>
      <c r="I70" s="0" t="s">
        <v>440</v>
      </c>
    </row>
    <row r="71" customFormat="false" ht="15" hidden="false" customHeight="false" outlineLevel="0" collapsed="false">
      <c r="A71" s="0" t="s">
        <v>441</v>
      </c>
      <c r="B71" s="0" t="s">
        <v>295</v>
      </c>
      <c r="C71" s="0" t="n">
        <v>5408.58</v>
      </c>
      <c r="D71" s="0" t="n">
        <f aca="false">Inputs!$B$5</f>
        <v>0.06</v>
      </c>
      <c r="E71" s="0" t="n">
        <f aca="false">C71*D71</f>
        <v>324.5148</v>
      </c>
      <c r="F71" s="0" t="n">
        <f aca="false">C71+E71</f>
        <v>5733.0948</v>
      </c>
      <c r="G71" s="0" t="s">
        <v>442</v>
      </c>
      <c r="H71" s="0" t="n">
        <f aca="false">ROUNDUP(F71/500,0)</f>
        <v>12</v>
      </c>
      <c r="I71" s="0" t="s">
        <v>443</v>
      </c>
    </row>
    <row r="72" customFormat="false" ht="15" hidden="false" customHeight="false" outlineLevel="0" collapsed="false">
      <c r="A72" s="0" t="s">
        <v>444</v>
      </c>
      <c r="B72" s="0" t="s">
        <v>433</v>
      </c>
      <c r="C72" s="0" t="n">
        <v>33.89</v>
      </c>
      <c r="D72" s="0" t="n">
        <f aca="false">Inputs!$B$5</f>
        <v>0.06</v>
      </c>
      <c r="E72" s="0" t="n">
        <f aca="false">C72*D72</f>
        <v>2.0334</v>
      </c>
      <c r="F72" s="0" t="n">
        <f aca="false">C72+E72</f>
        <v>35.9234</v>
      </c>
      <c r="G72" s="0" t="s">
        <v>445</v>
      </c>
      <c r="H72" s="0" t="n">
        <f aca="false">ROUNDUP(F72,0)</f>
        <v>36</v>
      </c>
      <c r="I72" s="0" t="s">
        <v>446</v>
      </c>
    </row>
    <row r="73" customFormat="false" ht="15" hidden="false" customHeight="false" outlineLevel="0" collapsed="false">
      <c r="A73" s="0" t="s">
        <v>447</v>
      </c>
      <c r="B73" s="0" t="s">
        <v>433</v>
      </c>
      <c r="C73" s="0" t="n">
        <v>1</v>
      </c>
      <c r="D73" s="0" t="n">
        <v>0</v>
      </c>
      <c r="E73" s="0" t="n">
        <f aca="false">C73*D73</f>
        <v>0</v>
      </c>
      <c r="F73" s="0" t="n">
        <f aca="false">C73+E73</f>
        <v>1</v>
      </c>
      <c r="G73" s="0" t="s">
        <v>433</v>
      </c>
      <c r="H73" s="0" t="n">
        <f aca="false">ROUNDUP(F73,0)</f>
        <v>1</v>
      </c>
      <c r="I73" s="0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449</v>
      </c>
      <c r="B1" s="4" t="s">
        <v>450</v>
      </c>
      <c r="C1" s="4" t="s">
        <v>451</v>
      </c>
    </row>
    <row r="2" customFormat="false" ht="15" hidden="false" customHeight="false" outlineLevel="0" collapsed="false">
      <c r="A2" s="0" t="s">
        <v>452</v>
      </c>
      <c r="B2" s="0" t="s">
        <v>453</v>
      </c>
      <c r="C2" s="0" t="s">
        <v>454</v>
      </c>
    </row>
    <row r="3" customFormat="false" ht="15" hidden="false" customHeight="false" outlineLevel="0" collapsed="false">
      <c r="A3" s="0" t="s">
        <v>455</v>
      </c>
      <c r="B3" s="0" t="s">
        <v>456</v>
      </c>
      <c r="C3" s="0" t="s">
        <v>457</v>
      </c>
    </row>
    <row r="4" customFormat="false" ht="15" hidden="false" customHeight="false" outlineLevel="0" collapsed="false">
      <c r="A4" s="0" t="s">
        <v>458</v>
      </c>
      <c r="B4" s="0" t="s">
        <v>459</v>
      </c>
      <c r="C4" s="0" t="s">
        <v>460</v>
      </c>
    </row>
    <row r="5" customFormat="false" ht="15" hidden="false" customHeight="false" outlineLevel="0" collapsed="false">
      <c r="A5" s="0" t="s">
        <v>461</v>
      </c>
      <c r="B5" s="0" t="s">
        <v>462</v>
      </c>
      <c r="C5" s="0" t="s">
        <v>463</v>
      </c>
    </row>
    <row r="6" customFormat="false" ht="15" hidden="false" customHeight="false" outlineLevel="0" collapsed="false">
      <c r="A6" s="0" t="s">
        <v>464</v>
      </c>
      <c r="B6" s="0" t="s">
        <v>465</v>
      </c>
      <c r="C6" s="0" t="s">
        <v>466</v>
      </c>
    </row>
    <row r="7" customFormat="false" ht="15" hidden="false" customHeight="false" outlineLevel="0" collapsed="false">
      <c r="A7" s="0" t="s">
        <v>467</v>
      </c>
      <c r="B7" s="0" t="s">
        <v>468</v>
      </c>
      <c r="C7" s="0" t="s">
        <v>469</v>
      </c>
    </row>
    <row r="8" customFormat="false" ht="15" hidden="false" customHeight="false" outlineLevel="0" collapsed="false">
      <c r="A8" s="0" t="s">
        <v>470</v>
      </c>
      <c r="B8" s="0" t="s">
        <v>471</v>
      </c>
      <c r="C8" s="0" t="s">
        <v>472</v>
      </c>
    </row>
    <row r="9" customFormat="false" ht="15" hidden="false" customHeight="false" outlineLevel="0" collapsed="false">
      <c r="A9" s="0" t="s">
        <v>473</v>
      </c>
      <c r="B9" s="0" t="s">
        <v>474</v>
      </c>
      <c r="C9" s="0" t="s">
        <v>475</v>
      </c>
    </row>
    <row r="10" customFormat="false" ht="15" hidden="false" customHeight="false" outlineLevel="0" collapsed="false">
      <c r="A10" s="0" t="s">
        <v>476</v>
      </c>
      <c r="B10" s="0" t="s">
        <v>477</v>
      </c>
      <c r="C10" s="0" t="s">
        <v>478</v>
      </c>
    </row>
    <row r="11" customFormat="false" ht="15" hidden="false" customHeight="false" outlineLevel="0" collapsed="false">
      <c r="A11" s="0" t="s">
        <v>479</v>
      </c>
      <c r="B11" s="0" t="s">
        <v>480</v>
      </c>
      <c r="C11" s="0" t="s">
        <v>481</v>
      </c>
    </row>
    <row r="12" customFormat="false" ht="15" hidden="false" customHeight="false" outlineLevel="0" collapsed="false">
      <c r="A12" s="0" t="s">
        <v>482</v>
      </c>
      <c r="B12" s="0" t="s">
        <v>483</v>
      </c>
      <c r="C12" s="0" t="s">
        <v>484</v>
      </c>
    </row>
    <row r="13" customFormat="false" ht="15" hidden="false" customHeight="false" outlineLevel="0" collapsed="false">
      <c r="A13" s="0" t="s">
        <v>485</v>
      </c>
      <c r="B13" s="0" t="s">
        <v>486</v>
      </c>
      <c r="C13" s="0" t="s">
        <v>487</v>
      </c>
    </row>
    <row r="14" customFormat="false" ht="15" hidden="false" customHeight="false" outlineLevel="0" collapsed="false">
      <c r="A14" s="0" t="s">
        <v>488</v>
      </c>
      <c r="B14" s="0" t="s">
        <v>489</v>
      </c>
      <c r="C14" s="0" t="s">
        <v>490</v>
      </c>
    </row>
    <row r="15" customFormat="false" ht="15" hidden="false" customHeight="false" outlineLevel="0" collapsed="false">
      <c r="A15" s="0" t="s">
        <v>491</v>
      </c>
      <c r="B15" s="0" t="s">
        <v>492</v>
      </c>
      <c r="C15" s="0" t="s">
        <v>493</v>
      </c>
    </row>
    <row r="16" customFormat="false" ht="15" hidden="false" customHeight="false" outlineLevel="0" collapsed="false">
      <c r="A16" s="0" t="s">
        <v>494</v>
      </c>
      <c r="B16" s="0" t="s">
        <v>495</v>
      </c>
      <c r="C16" s="0" t="s">
        <v>496</v>
      </c>
    </row>
    <row r="17" customFormat="false" ht="15" hidden="false" customHeight="false" outlineLevel="0" collapsed="false">
      <c r="A17" s="0" t="s">
        <v>497</v>
      </c>
      <c r="B17" s="0" t="s">
        <v>498</v>
      </c>
      <c r="C17" s="0" t="s">
        <v>499</v>
      </c>
    </row>
    <row r="18" customFormat="false" ht="15" hidden="false" customHeight="false" outlineLevel="0" collapsed="false">
      <c r="A18" s="0" t="s">
        <v>500</v>
      </c>
      <c r="B18" s="0" t="s">
        <v>501</v>
      </c>
      <c r="C18" s="0" t="s">
        <v>502</v>
      </c>
    </row>
    <row r="19" customFormat="false" ht="15" hidden="false" customHeight="false" outlineLevel="0" collapsed="false">
      <c r="A19" s="0" t="s">
        <v>503</v>
      </c>
      <c r="B19" s="0" t="s">
        <v>504</v>
      </c>
      <c r="C19" s="0" t="s">
        <v>505</v>
      </c>
    </row>
    <row r="20" customFormat="false" ht="15" hidden="false" customHeight="false" outlineLevel="0" collapsed="false">
      <c r="A20" s="0" t="s">
        <v>506</v>
      </c>
      <c r="B20" s="0" t="s">
        <v>507</v>
      </c>
      <c r="C20" s="0" t="s">
        <v>508</v>
      </c>
    </row>
    <row r="21" customFormat="false" ht="15" hidden="false" customHeight="false" outlineLevel="0" collapsed="false">
      <c r="A21" s="0" t="s">
        <v>509</v>
      </c>
      <c r="B21" s="0" t="s">
        <v>510</v>
      </c>
      <c r="C21" s="0" t="s">
        <v>511</v>
      </c>
    </row>
    <row r="22" customFormat="false" ht="15" hidden="false" customHeight="false" outlineLevel="0" collapsed="false">
      <c r="A22" s="0" t="s">
        <v>512</v>
      </c>
      <c r="B22" s="0" t="s">
        <v>513</v>
      </c>
      <c r="C22" s="0" t="s">
        <v>514</v>
      </c>
    </row>
    <row r="23" customFormat="false" ht="15" hidden="false" customHeight="false" outlineLevel="0" collapsed="false">
      <c r="A23" s="0" t="s">
        <v>515</v>
      </c>
      <c r="B23" s="0" t="s">
        <v>516</v>
      </c>
      <c r="C23" s="0" t="s">
        <v>517</v>
      </c>
    </row>
    <row r="24" customFormat="false" ht="15" hidden="false" customHeight="false" outlineLevel="0" collapsed="false">
      <c r="A24" s="0" t="s">
        <v>518</v>
      </c>
      <c r="B24" s="0" t="s">
        <v>519</v>
      </c>
      <c r="C24" s="0" t="s">
        <v>520</v>
      </c>
    </row>
    <row r="25" customFormat="false" ht="15" hidden="false" customHeight="false" outlineLevel="0" collapsed="false">
      <c r="A25" s="0" t="s">
        <v>521</v>
      </c>
      <c r="B25" s="0" t="s">
        <v>522</v>
      </c>
      <c r="C25" s="0" t="s">
        <v>523</v>
      </c>
    </row>
    <row r="26" customFormat="false" ht="15" hidden="false" customHeight="false" outlineLevel="0" collapsed="false">
      <c r="A26" s="0" t="s">
        <v>524</v>
      </c>
      <c r="B26" s="0" t="s">
        <v>525</v>
      </c>
      <c r="C26" s="0" t="s">
        <v>526</v>
      </c>
    </row>
    <row r="27" customFormat="false" ht="15" hidden="false" customHeight="false" outlineLevel="0" collapsed="false">
      <c r="A27" s="0" t="s">
        <v>527</v>
      </c>
      <c r="B27" s="0" t="s">
        <v>528</v>
      </c>
      <c r="C27" s="0" t="s">
        <v>529</v>
      </c>
    </row>
    <row r="28" customFormat="false" ht="15" hidden="false" customHeight="false" outlineLevel="0" collapsed="false">
      <c r="A28" s="0" t="s">
        <v>530</v>
      </c>
      <c r="B28" s="0" t="s">
        <v>531</v>
      </c>
      <c r="C28" s="0" t="s">
        <v>532</v>
      </c>
    </row>
    <row r="29" customFormat="false" ht="15" hidden="false" customHeight="false" outlineLevel="0" collapsed="false">
      <c r="A29" s="0" t="s">
        <v>533</v>
      </c>
      <c r="B29" s="0" t="s">
        <v>534</v>
      </c>
      <c r="C29" s="0" t="s">
        <v>535</v>
      </c>
    </row>
    <row r="30" customFormat="false" ht="15" hidden="false" customHeight="false" outlineLevel="0" collapsed="false">
      <c r="A30" s="0" t="s">
        <v>536</v>
      </c>
      <c r="B30" s="0" t="s">
        <v>537</v>
      </c>
      <c r="C30" s="0" t="s">
        <v>538</v>
      </c>
    </row>
    <row r="31" customFormat="false" ht="15" hidden="false" customHeight="false" outlineLevel="0" collapsed="false">
      <c r="A31" s="0" t="s">
        <v>539</v>
      </c>
      <c r="B31" s="0" t="s">
        <v>540</v>
      </c>
      <c r="C31" s="0" t="s">
        <v>541</v>
      </c>
    </row>
    <row r="32" customFormat="false" ht="15" hidden="false" customHeight="false" outlineLevel="0" collapsed="false">
      <c r="A32" s="0" t="s">
        <v>542</v>
      </c>
      <c r="B32" s="0" t="s">
        <v>543</v>
      </c>
      <c r="C32" s="0" t="s">
        <v>544</v>
      </c>
    </row>
    <row r="33" customFormat="false" ht="15" hidden="false" customHeight="false" outlineLevel="0" collapsed="false">
      <c r="A33" s="0" t="s">
        <v>545</v>
      </c>
      <c r="B33" s="0" t="s">
        <v>546</v>
      </c>
      <c r="C33" s="0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3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0" t="s">
        <v>548</v>
      </c>
      <c r="B1" s="0" t="s">
        <v>549</v>
      </c>
      <c r="C1" s="0" t="s">
        <v>550</v>
      </c>
      <c r="D1" s="0" t="s">
        <v>551</v>
      </c>
    </row>
    <row r="2" customFormat="false" ht="15" hidden="false" customHeight="false" outlineLevel="0" collapsed="false">
      <c r="A2" s="0" t="n">
        <v>1</v>
      </c>
      <c r="B2" s="0" t="s">
        <v>552</v>
      </c>
      <c r="C2" s="0" t="s">
        <v>553</v>
      </c>
      <c r="D2" s="0" t="s">
        <v>554</v>
      </c>
    </row>
    <row r="3" customFormat="false" ht="15" hidden="false" customHeight="false" outlineLevel="0" collapsed="false">
      <c r="A3" s="0" t="n">
        <v>2</v>
      </c>
      <c r="B3" s="0" t="s">
        <v>555</v>
      </c>
      <c r="C3" s="0" t="s">
        <v>556</v>
      </c>
      <c r="D3" s="0" t="s">
        <v>557</v>
      </c>
    </row>
    <row r="4" customFormat="false" ht="15" hidden="false" customHeight="false" outlineLevel="0" collapsed="false">
      <c r="A4" s="0" t="n">
        <v>3</v>
      </c>
      <c r="B4" s="0" t="s">
        <v>558</v>
      </c>
      <c r="C4" s="0" t="s">
        <v>559</v>
      </c>
      <c r="D4" s="0" t="s">
        <v>560</v>
      </c>
    </row>
    <row r="5" customFormat="false" ht="15" hidden="false" customHeight="false" outlineLevel="0" collapsed="false">
      <c r="A5" s="0" t="n">
        <v>4</v>
      </c>
      <c r="B5" s="0" t="s">
        <v>561</v>
      </c>
      <c r="C5" s="0" t="s">
        <v>562</v>
      </c>
      <c r="D5" s="0" t="s">
        <v>554</v>
      </c>
    </row>
    <row r="6" customFormat="false" ht="15" hidden="false" customHeight="false" outlineLevel="0" collapsed="false">
      <c r="A6" s="0" t="n">
        <v>5</v>
      </c>
      <c r="B6" s="0" t="s">
        <v>563</v>
      </c>
      <c r="C6" s="0" t="s">
        <v>564</v>
      </c>
      <c r="D6" s="0" t="s">
        <v>565</v>
      </c>
    </row>
    <row r="7" customFormat="false" ht="15" hidden="false" customHeight="false" outlineLevel="0" collapsed="false">
      <c r="A7" s="0" t="n">
        <v>6</v>
      </c>
      <c r="B7" s="0" t="s">
        <v>566</v>
      </c>
      <c r="C7" s="0" t="s">
        <v>567</v>
      </c>
      <c r="D7" s="0" t="s">
        <v>568</v>
      </c>
    </row>
    <row r="8" customFormat="false" ht="15" hidden="false" customHeight="false" outlineLevel="0" collapsed="false">
      <c r="A8" s="0" t="n">
        <v>7</v>
      </c>
      <c r="B8" s="0" t="s">
        <v>569</v>
      </c>
      <c r="C8" s="0" t="s">
        <v>570</v>
      </c>
      <c r="D8" s="0" t="s">
        <v>565</v>
      </c>
    </row>
    <row r="9" customFormat="false" ht="15" hidden="false" customHeight="false" outlineLevel="0" collapsed="false">
      <c r="A9" s="0" t="n">
        <v>8</v>
      </c>
      <c r="B9" s="0" t="s">
        <v>571</v>
      </c>
      <c r="C9" s="0" t="s">
        <v>572</v>
      </c>
      <c r="D9" s="0" t="s">
        <v>554</v>
      </c>
    </row>
    <row r="10" customFormat="false" ht="15" hidden="false" customHeight="false" outlineLevel="0" collapsed="false">
      <c r="A10" s="0" t="n">
        <v>9</v>
      </c>
      <c r="B10" s="0" t="s">
        <v>573</v>
      </c>
      <c r="C10" s="0" t="s">
        <v>574</v>
      </c>
      <c r="D10" s="0" t="s">
        <v>554</v>
      </c>
    </row>
    <row r="11" customFormat="false" ht="15" hidden="false" customHeight="false" outlineLevel="0" collapsed="false">
      <c r="A11" s="0" t="n">
        <v>11</v>
      </c>
      <c r="B11" s="0" t="s">
        <v>575</v>
      </c>
      <c r="C11" s="0" t="s">
        <v>576</v>
      </c>
      <c r="D11" s="0" t="s">
        <v>554</v>
      </c>
    </row>
    <row r="12" customFormat="false" ht="15" hidden="false" customHeight="false" outlineLevel="0" collapsed="false">
      <c r="A12" s="0" t="n">
        <v>12</v>
      </c>
      <c r="B12" s="0" t="s">
        <v>577</v>
      </c>
      <c r="C12" s="0" t="s">
        <v>578</v>
      </c>
      <c r="D12" s="0" t="s">
        <v>554</v>
      </c>
    </row>
    <row r="13" customFormat="false" ht="15" hidden="false" customHeight="false" outlineLevel="0" collapsed="false">
      <c r="A13" s="0" t="n">
        <v>13</v>
      </c>
      <c r="B13" s="0" t="s">
        <v>579</v>
      </c>
      <c r="C13" s="0" t="s">
        <v>580</v>
      </c>
      <c r="D13" s="0" t="s">
        <v>565</v>
      </c>
    </row>
    <row r="14" customFormat="false" ht="15" hidden="false" customHeight="false" outlineLevel="0" collapsed="false">
      <c r="A14" s="0" t="n">
        <v>14</v>
      </c>
      <c r="B14" s="0" t="s">
        <v>581</v>
      </c>
      <c r="C14" s="0" t="s">
        <v>327</v>
      </c>
      <c r="D14" s="0" t="s">
        <v>582</v>
      </c>
    </row>
    <row r="15" customFormat="false" ht="15" hidden="false" customHeight="false" outlineLevel="0" collapsed="false">
      <c r="A15" s="0" t="n">
        <v>15</v>
      </c>
      <c r="B15" s="0" t="s">
        <v>583</v>
      </c>
      <c r="C15" s="0" t="s">
        <v>584</v>
      </c>
      <c r="D15" s="0" t="s">
        <v>585</v>
      </c>
    </row>
    <row r="16" customFormat="false" ht="15" hidden="false" customHeight="false" outlineLevel="0" collapsed="false">
      <c r="A16" s="0" t="n">
        <v>16</v>
      </c>
      <c r="B16" s="0" t="s">
        <v>586</v>
      </c>
      <c r="C16" s="0" t="s">
        <v>587</v>
      </c>
      <c r="D16" s="0" t="s">
        <v>554</v>
      </c>
    </row>
    <row r="17" customFormat="false" ht="15" hidden="false" customHeight="false" outlineLevel="0" collapsed="false">
      <c r="A17" s="0" t="n">
        <v>17</v>
      </c>
      <c r="B17" s="0" t="s">
        <v>588</v>
      </c>
      <c r="C17" s="0" t="s">
        <v>589</v>
      </c>
      <c r="D17" s="0" t="s">
        <v>590</v>
      </c>
    </row>
    <row r="18" customFormat="false" ht="15" hidden="false" customHeight="false" outlineLevel="0" collapsed="false">
      <c r="A18" s="0" t="n">
        <v>18</v>
      </c>
      <c r="B18" s="0" t="s">
        <v>591</v>
      </c>
      <c r="C18" s="0" t="s">
        <v>592</v>
      </c>
      <c r="D18" s="0" t="s">
        <v>593</v>
      </c>
    </row>
    <row r="19" customFormat="false" ht="15" hidden="false" customHeight="false" outlineLevel="0" collapsed="false">
      <c r="A19" s="0" t="n">
        <v>10</v>
      </c>
      <c r="B19" s="0" t="s">
        <v>594</v>
      </c>
      <c r="C19" s="0" t="s">
        <v>595</v>
      </c>
      <c r="D19" s="0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596</v>
      </c>
      <c r="B1" s="0" t="s">
        <v>597</v>
      </c>
      <c r="C1" s="0" t="s">
        <v>598</v>
      </c>
      <c r="D1" s="0" t="s">
        <v>599</v>
      </c>
    </row>
    <row r="2" customFormat="false" ht="15" hidden="false" customHeight="false" outlineLevel="0" collapsed="false">
      <c r="A2" s="0" t="s">
        <v>600</v>
      </c>
      <c r="B2" s="0" t="s">
        <v>601</v>
      </c>
      <c r="C2" s="0" t="s">
        <v>602</v>
      </c>
      <c r="D2" s="0" t="s">
        <v>603</v>
      </c>
    </row>
    <row r="3" customFormat="false" ht="15" hidden="false" customHeight="false" outlineLevel="0" collapsed="false">
      <c r="A3" s="0" t="s">
        <v>604</v>
      </c>
      <c r="B3" s="0" t="s">
        <v>605</v>
      </c>
      <c r="C3" s="0" t="s">
        <v>602</v>
      </c>
      <c r="D3" s="0" t="s">
        <v>603</v>
      </c>
    </row>
    <row r="4" customFormat="false" ht="15" hidden="false" customHeight="false" outlineLevel="0" collapsed="false">
      <c r="A4" s="0" t="s">
        <v>606</v>
      </c>
      <c r="B4" s="0" t="s">
        <v>607</v>
      </c>
      <c r="C4" s="0" t="s">
        <v>602</v>
      </c>
      <c r="D4" s="0" t="s">
        <v>603</v>
      </c>
    </row>
    <row r="5" customFormat="false" ht="15" hidden="false" customHeight="false" outlineLevel="0" collapsed="false">
      <c r="A5" s="0" t="s">
        <v>608</v>
      </c>
      <c r="B5" s="0" t="s">
        <v>609</v>
      </c>
      <c r="C5" s="0" t="s">
        <v>602</v>
      </c>
      <c r="D5" s="0" t="s">
        <v>603</v>
      </c>
    </row>
    <row r="6" customFormat="false" ht="15" hidden="false" customHeight="false" outlineLevel="0" collapsed="false">
      <c r="A6" s="0" t="s">
        <v>610</v>
      </c>
      <c r="B6" s="0" t="s">
        <v>611</v>
      </c>
      <c r="C6" s="0" t="s">
        <v>602</v>
      </c>
      <c r="D6" s="0" t="s">
        <v>603</v>
      </c>
    </row>
    <row r="7" customFormat="false" ht="15" hidden="false" customHeight="false" outlineLevel="0" collapsed="false">
      <c r="A7" s="0" t="s">
        <v>612</v>
      </c>
      <c r="B7" s="0" t="s">
        <v>613</v>
      </c>
      <c r="C7" s="0" t="s">
        <v>602</v>
      </c>
      <c r="D7" s="0" t="s">
        <v>603</v>
      </c>
    </row>
    <row r="8" customFormat="false" ht="15" hidden="false" customHeight="false" outlineLevel="0" collapsed="false">
      <c r="A8" s="0" t="s">
        <v>614</v>
      </c>
      <c r="B8" s="0" t="s">
        <v>615</v>
      </c>
      <c r="C8" s="0" t="s">
        <v>602</v>
      </c>
      <c r="D8" s="0" t="s">
        <v>603</v>
      </c>
    </row>
    <row r="9" customFormat="false" ht="15" hidden="false" customHeight="false" outlineLevel="0" collapsed="false">
      <c r="A9" s="0" t="s">
        <v>616</v>
      </c>
      <c r="B9" s="0" t="s">
        <v>617</v>
      </c>
      <c r="C9" s="0" t="s">
        <v>602</v>
      </c>
      <c r="D9" s="0" t="s">
        <v>603</v>
      </c>
    </row>
    <row r="10" customFormat="false" ht="15" hidden="false" customHeight="false" outlineLevel="0" collapsed="false">
      <c r="A10" s="0" t="s">
        <v>618</v>
      </c>
      <c r="B10" s="0" t="s">
        <v>619</v>
      </c>
      <c r="C10" s="0" t="s">
        <v>602</v>
      </c>
      <c r="D10" s="0" t="s">
        <v>603</v>
      </c>
    </row>
    <row r="11" customFormat="false" ht="15" hidden="false" customHeight="false" outlineLevel="0" collapsed="false">
      <c r="A11" s="0" t="s">
        <v>620</v>
      </c>
      <c r="B11" s="0" t="s">
        <v>621</v>
      </c>
      <c r="C11" s="0" t="s">
        <v>602</v>
      </c>
      <c r="D11" s="0" t="s">
        <v>603</v>
      </c>
    </row>
    <row r="12" customFormat="false" ht="15" hidden="false" customHeight="false" outlineLevel="0" collapsed="false">
      <c r="A12" s="0" t="s">
        <v>622</v>
      </c>
      <c r="B12" s="0" t="s">
        <v>623</v>
      </c>
      <c r="C12" s="0" t="s">
        <v>602</v>
      </c>
      <c r="D12" s="0" t="s">
        <v>603</v>
      </c>
    </row>
    <row r="13" customFormat="false" ht="15" hidden="false" customHeight="false" outlineLevel="0" collapsed="false">
      <c r="A13" s="0" t="s">
        <v>624</v>
      </c>
      <c r="B13" s="0" t="s">
        <v>625</v>
      </c>
      <c r="C13" s="0" t="s">
        <v>602</v>
      </c>
      <c r="D13" s="0" t="s">
        <v>603</v>
      </c>
    </row>
    <row r="14" customFormat="false" ht="15" hidden="false" customHeight="false" outlineLevel="0" collapsed="false">
      <c r="A14" s="0" t="s">
        <v>626</v>
      </c>
      <c r="B14" s="0" t="s">
        <v>627</v>
      </c>
      <c r="C14" s="0" t="s">
        <v>602</v>
      </c>
      <c r="D14" s="0" t="s">
        <v>603</v>
      </c>
    </row>
    <row r="15" customFormat="false" ht="15" hidden="false" customHeight="false" outlineLevel="0" collapsed="false">
      <c r="A15" s="0" t="s">
        <v>628</v>
      </c>
      <c r="B15" s="0" t="s">
        <v>629</v>
      </c>
      <c r="C15" s="0" t="s">
        <v>602</v>
      </c>
      <c r="D15" s="0" t="s">
        <v>603</v>
      </c>
    </row>
    <row r="16" customFormat="false" ht="15" hidden="false" customHeight="false" outlineLevel="0" collapsed="false">
      <c r="A16" s="0" t="s">
        <v>630</v>
      </c>
      <c r="B16" s="0" t="s">
        <v>631</v>
      </c>
      <c r="C16" s="0" t="s">
        <v>602</v>
      </c>
      <c r="D16" s="0" t="s">
        <v>632</v>
      </c>
    </row>
    <row r="17" customFormat="false" ht="15" hidden="false" customHeight="false" outlineLevel="0" collapsed="false">
      <c r="A17" s="0" t="s">
        <v>633</v>
      </c>
      <c r="B17" s="0" t="s">
        <v>634</v>
      </c>
      <c r="C17" s="0" t="s">
        <v>602</v>
      </c>
      <c r="D17" s="0" t="s">
        <v>603</v>
      </c>
    </row>
    <row r="18" customFormat="false" ht="15" hidden="false" customHeight="false" outlineLevel="0" collapsed="false">
      <c r="A18" s="0" t="s">
        <v>635</v>
      </c>
      <c r="B18" s="0" t="s">
        <v>636</v>
      </c>
      <c r="C18" s="0" t="s">
        <v>602</v>
      </c>
      <c r="D18" s="0" t="s">
        <v>603</v>
      </c>
    </row>
    <row r="19" customFormat="false" ht="15" hidden="false" customHeight="false" outlineLevel="0" collapsed="false">
      <c r="A19" s="0" t="s">
        <v>637</v>
      </c>
      <c r="B19" s="0" t="s">
        <v>638</v>
      </c>
      <c r="C19" s="0" t="s">
        <v>602</v>
      </c>
      <c r="D19" s="0" t="s">
        <v>639</v>
      </c>
    </row>
    <row r="20" customFormat="false" ht="15" hidden="false" customHeight="false" outlineLevel="0" collapsed="false">
      <c r="A20" s="0" t="s">
        <v>640</v>
      </c>
      <c r="B20" s="0" t="s">
        <v>641</v>
      </c>
      <c r="C20" s="0" t="s">
        <v>602</v>
      </c>
      <c r="D20" s="0" t="s">
        <v>603</v>
      </c>
    </row>
    <row r="21" customFormat="false" ht="15" hidden="false" customHeight="false" outlineLevel="0" collapsed="false">
      <c r="A21" s="0" t="s">
        <v>642</v>
      </c>
      <c r="B21" s="0" t="s">
        <v>643</v>
      </c>
      <c r="C21" s="0" t="s">
        <v>602</v>
      </c>
      <c r="D21" s="0" t="s">
        <v>603</v>
      </c>
    </row>
    <row r="22" customFormat="false" ht="15" hidden="false" customHeight="false" outlineLevel="0" collapsed="false">
      <c r="A22" s="0" t="s">
        <v>644</v>
      </c>
      <c r="B22" s="0" t="s">
        <v>645</v>
      </c>
      <c r="C22" s="0" t="s">
        <v>646</v>
      </c>
      <c r="D22" s="0" t="s">
        <v>647</v>
      </c>
    </row>
    <row r="23" customFormat="false" ht="15" hidden="false" customHeight="false" outlineLevel="0" collapsed="false">
      <c r="A23" s="0" t="s">
        <v>648</v>
      </c>
      <c r="B23" s="0" t="s">
        <v>649</v>
      </c>
      <c r="C23" s="0" t="s">
        <v>646</v>
      </c>
      <c r="D23" s="0" t="s">
        <v>650</v>
      </c>
    </row>
    <row r="24" customFormat="false" ht="15" hidden="false" customHeight="false" outlineLevel="0" collapsed="false">
      <c r="A24" s="0" t="s">
        <v>651</v>
      </c>
      <c r="B24" s="0" t="s">
        <v>652</v>
      </c>
      <c r="C24" s="0" t="s">
        <v>602</v>
      </c>
      <c r="D24" s="0" t="s">
        <v>603</v>
      </c>
    </row>
    <row r="25" customFormat="false" ht="15" hidden="false" customHeight="false" outlineLevel="0" collapsed="false">
      <c r="A25" s="0" t="s">
        <v>653</v>
      </c>
      <c r="B25" s="0" t="s">
        <v>654</v>
      </c>
      <c r="C25" s="0" t="s">
        <v>602</v>
      </c>
      <c r="D25" s="0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2026-10-16T05:39:34Z</dcterms:created>
  <dc:creator>openpyxl</dc:creator>
  <dc:description/>
  <dc:language>en-US</dc:language>
  <cp:lastModifiedBy/>
  <dcterms:modified xsi:type="dcterms:W3CDTF">2026-10-16T05:39:34Z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