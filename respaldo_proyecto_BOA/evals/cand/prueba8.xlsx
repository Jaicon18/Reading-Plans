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PARA REVISAR EN LA MANANA" sheetId="5" state="visible" r:id="rId7"/>
    <sheet name="Alcan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<sst xmlns="http://schemas.openxmlformats.org/spreadsheetml/2006/main" count="1143" uniqueCount="762">
  <si>
    <t xml:space="preserve">Bank of America - Broomfield, CO (CO1-111)   |   METAL FRAMING &amp; DRYWALL TAKEOFF</t>
  </si>
  <si>
    <t xml:space="preserve">Bid set: 2025.08.26_CO1-111_Broomfield_PERMIT SET_BID SET.pdf   ·   2026-10-15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</si>
  <si>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</si>
  <si>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</si>
  <si>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</si>
  <si>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</si>
  <si>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rule.</t>
  </si>
  <si>
    <t xml:space="preserve">Waste - EVERYTHING THAT IS NOT METAL</t>
  </si>
  <si>
    <t xml:space="preserve">Same figure as board.</t>
  </si>
  <si>
    <t xml:space="preserve">Board sheet width (ft)</t>
  </si>
  <si>
    <t xml:space="preserve">Board sheet length (ft)</t>
  </si>
  <si>
    <t xml:space="preserve">SF per board sheet</t>
  </si>
  <si>
    <t xml:space="preserve">Width x length.</t>
  </si>
  <si>
    <t xml:space="preserve">Stud stock length (ft)</t>
  </si>
  <si>
    <t xml:space="preserve">Track stock length (ft)</t>
  </si>
  <si>
    <t xml:space="preserve">ORGANIZED PARTITION TAKEOFF - Bank of America - Broomfield, CO (CO1-111)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</si>
  <si>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</si>
  <si>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</si>
  <si>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</si>
  <si>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</si>
  <si>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</si>
  <si>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</si>
  <si>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</si>
  <si>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</si>
  <si>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</si>
  <si>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</si>
  <si>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</si>
  <si>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</si>
  <si>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A1</t>
  </si>
  <si>
    <t xml:space="preserve">A1  #1  -  Calling Cubes 122 north wall / Waiting 104 GB (C1 monitor furring on waiting face)</t>
  </si>
  <si>
    <t xml:space="preserve">1</t>
  </si>
  <si>
    <t xml:space="preserve">3-5/8"</t>
  </si>
  <si>
    <t xml:space="preserve">Calling Cubes 122 north wall / Waiting 104 GB (C1 monitor furring on waiting face)</t>
  </si>
  <si>
    <t xml:space="preserve">A02.01 &gt; 3/A12.01 &gt; 7/S5.20 &gt; S2.20 (A02.01 vector faces y967.44/974.76 x1223.88-1519.44)</t>
  </si>
  <si>
    <t xml:space="preserve">[DERIVADO]</t>
  </si>
  <si>
    <t xml:space="preserve">A1  #2  -  MW01 alcove east wall, Calling Cubes 122</t>
  </si>
  <si>
    <t xml:space="preserve">2</t>
  </si>
  <si>
    <t xml:space="preserve">MW01 alcove east wall, Calling Cubes 122</t>
  </si>
  <si>
    <t xml:space="preserve">A02.01 &gt; 3/A12.01 &gt; 7/S5.20 &gt; S2.20 (A02.01 vector x1271.16/1278.48)</t>
  </si>
  <si>
    <t xml:space="preserve">A1  #3  -  MW01 alcove south wall, Calling Cubes 122</t>
  </si>
  <si>
    <t xml:space="preserve">3</t>
  </si>
  <si>
    <t xml:space="preserve">MW01 alcove south wall, Calling Cubes 122</t>
  </si>
  <si>
    <t xml:space="preserve">A02.01 &gt; 3/A12.01 &gt; 7/S5.20 &gt; S2.20 (A02.01 vector y1031.04/1038.36)</t>
  </si>
  <si>
    <t xml:space="preserve">A1  #4  -  Calling Cubes 122 south wall / Break Room 118</t>
  </si>
  <si>
    <t xml:space="preserve">4</t>
  </si>
  <si>
    <t xml:space="preserve">Calling Cubes 122 south wall / Break Room 118</t>
  </si>
  <si>
    <t xml:space="preserve">A02.01 &gt; 3/A12.01 &gt; 7/S5.20 &gt; S2.20 (A02.01 vector y1316.76/1324.08)</t>
  </si>
  <si>
    <t xml:space="preserve">A1  #5  -  Corridor 111 east wall / Break Room 118, Electrical 120, NER 121</t>
  </si>
  <si>
    <t xml:space="preserve">5</t>
  </si>
  <si>
    <t xml:space="preserve">Corridor 111 east wall / Break Room 118, Electrical 120, NER 121</t>
  </si>
  <si>
    <t xml:space="preserve">A02.01 &gt; 3/A12.01 &gt; 7/S5.20 &gt; S2.20 (A02.01 vector x1234.44/1241.76 y1386.36-1693.44)</t>
  </si>
  <si>
    <t xml:space="preserve">A1  #6  -  Corridor 111 north stub / Central Zone 103</t>
  </si>
  <si>
    <t xml:space="preserve">6</t>
  </si>
  <si>
    <t xml:space="preserve">Corridor 111 north stub / Central Zone 103</t>
  </si>
  <si>
    <t xml:space="preserve">A02.01 &gt; 3/A12.01 &gt; 7/S5.20 &gt; S2.20 (A02.01 vector y1229.04/1236.36)</t>
  </si>
  <si>
    <t xml:space="preserve">A1  #7  -  Break Room 118 entry stub (vertical), opening 118A</t>
  </si>
  <si>
    <t xml:space="preserve">7</t>
  </si>
  <si>
    <t xml:space="preserve">Break Room 118 entry stub (vertical), opening 118A</t>
  </si>
  <si>
    <t xml:space="preserve">A02.01 &gt; 3/A12.01 &gt; 7/S5.20 &gt; S2.20 (A02.01 vector x1522.92/1530.24)</t>
  </si>
  <si>
    <t xml:space="preserve">A1  #8  -  Break Room 118 entry stub (horizontal), opening 118A</t>
  </si>
  <si>
    <t xml:space="preserve">8</t>
  </si>
  <si>
    <t xml:space="preserve">Break Room 118 entry stub (horizontal), opening 118A</t>
  </si>
  <si>
    <t xml:space="preserve">A02.01 &gt; 3/A12.01 &gt; 7/S5.20 &gt; S2.20 (A02.01 vector y1355.28/1362.6)</t>
  </si>
  <si>
    <t xml:space="preserve">A1  #9  -  Work Room 119 north wall / Cash Window 116 (door 119)</t>
  </si>
  <si>
    <t xml:space="preserve">9</t>
  </si>
  <si>
    <t xml:space="preserve">Work Room 119 north wall / Cash Window 116 (door 119)</t>
  </si>
  <si>
    <t xml:space="preserve">A02.01 &gt; 3/A12.01 &gt; 7/S5.20 &gt; S2.20 (A02.01 printed 11'-8" (vector 1633.08-1843.08))</t>
  </si>
  <si>
    <t xml:space="preserve">A1  #10  -  EWC alcove back wall, Corridor 111 (untagged = A1 by note A/A02.01)</t>
  </si>
  <si>
    <t xml:space="preserve">10</t>
  </si>
  <si>
    <t xml:space="preserve">EWC alcove back wall, Corridor 111 (untagged = A1 by note A/A02.01)</t>
  </si>
  <si>
    <t xml:space="preserve">A02.01 &gt; 3/A12.01 &gt; 7/S5.20 &gt; S2.20 (A02.01 vector x1092.36/1099.68)</t>
  </si>
  <si>
    <t xml:space="preserve">A1  #11  -  EWC alcove north return, Corridor 111 (untagged)</t>
  </si>
  <si>
    <t xml:space="preserve">11</t>
  </si>
  <si>
    <t xml:space="preserve">EWC alcove north return, Corridor 111 (untagged)</t>
  </si>
  <si>
    <t xml:space="preserve">A02.01 &gt; 3/A12.01 &gt; 7/S5.20 &gt; S2.20 (A02.01 vector y1335.96/1344.24)</t>
  </si>
  <si>
    <t xml:space="preserve">A1  #12  -  EWC alcove south return, Corridor 111 (untagged)</t>
  </si>
  <si>
    <t xml:space="preserve">12</t>
  </si>
  <si>
    <t xml:space="preserve">EWC alcove south return, Corridor 111 (untagged)</t>
  </si>
  <si>
    <t xml:space="preserve">A02.01 &gt; 3/A12.01 &gt; 7/S5.20 &gt; S2.20 (A02.01 vector y1401.0/1409.28)</t>
  </si>
  <si>
    <t xml:space="preserve">A1  #13  -  Door 111 head infill, Corridor 111 north end / Central Zone 103</t>
  </si>
  <si>
    <t xml:space="preserve">13</t>
  </si>
  <si>
    <t xml:space="preserve">Door 111 head infill, Corridor 111 north end / Central Zone 103</t>
  </si>
  <si>
    <t xml:space="preserve">A02.01 &gt; 3/A12.01 &gt; 7/S5.20 &gt; S2.20 (A02.01 vector opening y1229.04/1236.36 x1160.4-1216.0)</t>
  </si>
  <si>
    <t xml:space="preserve">A1  #14  -  Door 118A head infill, Break Room 118 entry / Teller Lobby</t>
  </si>
  <si>
    <t xml:space="preserve">14</t>
  </si>
  <si>
    <t xml:space="preserve">Door 118A head infill, Break Room 118 entry / Teller Lobby</t>
  </si>
  <si>
    <t xml:space="preserve">A02.01 &gt; 3/A12.01 &gt; 7/S5.20 &gt; S2.20 (A02.01 vector opening y1355.28/1362.6 x1553.64-1609.0)</t>
  </si>
  <si>
    <t xml:space="preserve">A1  #15  -  Door 118B head infill, Corridor 111 / Break Room 118</t>
  </si>
  <si>
    <t xml:space="preserve">15</t>
  </si>
  <si>
    <t xml:space="preserve">Door 118B head infill, Corridor 111 / Break Room 118</t>
  </si>
  <si>
    <t xml:space="preserve">A02.01 &gt; 3/A12.01 &gt; 7/S5.20 &gt; S2.20 (A02.01 vector opening x1234.44/1241.76 y1324.08-1386.36)</t>
  </si>
  <si>
    <t xml:space="preserve">TYPE A5</t>
  </si>
  <si>
    <t xml:space="preserve">A5  #34  -  Door 116 head infill, FCAM line / Break Room 118</t>
  </si>
  <si>
    <t xml:space="preserve">34</t>
  </si>
  <si>
    <t xml:space="preserve">6"</t>
  </si>
  <si>
    <t xml:space="preserve">Door 116 head infill, FCAM line / Break Room 118</t>
  </si>
  <si>
    <t xml:space="preserve">A02.01 &gt; 3/A12.01 &gt; 7/S5.20 &gt; S2.20 (A02.01 vector opening x1622.16/1633.08 y1422.12-1476.48)</t>
  </si>
  <si>
    <t xml:space="preserve">A5  #35  -  Door 122 head infill, Corridor 111 / Calling Cubes 122</t>
  </si>
  <si>
    <t xml:space="preserve">35</t>
  </si>
  <si>
    <t xml:space="preserve">Door 122 head infill, Corridor 111 / Calling Cubes 122</t>
  </si>
  <si>
    <t xml:space="preserve">A02.01 &gt; 3/A12.01 &gt; 7/S5.20 &gt; S2.20 (A02.01 vector opening x1234.44/1245.24 y1253.76-1308.0)</t>
  </si>
  <si>
    <t xml:space="preserve">A5  #30  -  Calling Cubes 122 west wall / Central Zone 103 (south of MW01 alcove)</t>
  </si>
  <si>
    <t xml:space="preserve">30</t>
  </si>
  <si>
    <t xml:space="preserve">Calling Cubes 122 west wall / Central Zone 103 (south of MW01 alcove)</t>
  </si>
  <si>
    <t xml:space="preserve">A02.01 &gt; 3/A12.01 &gt; 7/S5.20 &gt; S2.20 (A02.01 vector x1223.88/1234.8 y1031.04-1229.04 (alcove 974.76-1031 is open, adv. review))</t>
  </si>
  <si>
    <t xml:space="preserve">A5  #31  -  Jamb stub at door 122 / Corridor 111</t>
  </si>
  <si>
    <t xml:space="preserve">31</t>
  </si>
  <si>
    <t xml:space="preserve">Jamb stub at door 122 / Corridor 111</t>
  </si>
  <si>
    <t xml:space="preserve">A02.01 &gt; 3/A12.01 &gt; 7/S5.20 &gt; S2.20 (A02.01 vector x1234.44/1245.24)</t>
  </si>
  <si>
    <t xml:space="preserve">A5  #32  -  Calling Cubes 122 east wall / Teller Lobby</t>
  </si>
  <si>
    <t xml:space="preserve">32</t>
  </si>
  <si>
    <t xml:space="preserve">Calling Cubes 122 east wall / Teller Lobby</t>
  </si>
  <si>
    <t xml:space="preserve">A02.01 &gt; 3/A12.01 &gt; 7/S5.20 &gt; S2.20 (A02.01 vector x1519.44/1530.24)</t>
  </si>
  <si>
    <t xml:space="preserve">A5  #33  -  FCAM west wall / Break Room 118</t>
  </si>
  <si>
    <t xml:space="preserve">33</t>
  </si>
  <si>
    <t xml:space="preserve">FCAM west wall / Break Room 118</t>
  </si>
  <si>
    <t xml:space="preserve">A02.01 &gt; 3/A12.01 &gt; 7/S5.20 &gt; S2.20 (A02.01 vector x1622.16/1633.08)</t>
  </si>
  <si>
    <t xml:space="preserve">TYPE A1K</t>
  </si>
  <si>
    <t xml:space="preserve">A1K  #20  -  Teller line north end wall, Cash Window 116</t>
  </si>
  <si>
    <t xml:space="preserve">20</t>
  </si>
  <si>
    <t xml:space="preserve">Teller line north end wall, Cash Window 116</t>
  </si>
  <si>
    <t xml:space="preserve">A02.01 &gt; 4/A12.01 &gt; 7/S5.20 &gt; S2.20 (A02.01 vector y1120.68/1128.48 (outer face y1128.48 x1654.8-1715.4, adv. review))</t>
  </si>
  <si>
    <t xml:space="preserve">A1K  #21  -  Teller line south end wall, Cash Window 116 / FCAM</t>
  </si>
  <si>
    <t xml:space="preserve">21</t>
  </si>
  <si>
    <t xml:space="preserve">Teller line south end wall, Cash Window 116 / FCAM</t>
  </si>
  <si>
    <t xml:space="preserve">A02.01 &gt; 4/A12.01 &gt; 7/S5.20 &gt; S2.20 (A02.01 vector y1344.72/1352.64 (outer face y1344.72 x1654.8-1715.4, adv. review))</t>
  </si>
  <si>
    <t xml:space="preserve">A1K  #22  -  Teller lobby stub at FCAM</t>
  </si>
  <si>
    <t xml:space="preserve">22</t>
  </si>
  <si>
    <t xml:space="preserve">Teller lobby stub at FCAM</t>
  </si>
  <si>
    <t xml:space="preserve">A02.01 &gt; 4/A12.01 &gt; 7/S5.20 &gt; S2.20 (A02.01 vector y1355.28/1363.08)</t>
  </si>
  <si>
    <t xml:space="preserve">TYPE B</t>
  </si>
  <si>
    <t xml:space="preserve">B  #40  -  Men's Restroom 113 / Janitor 112 + Storage 117 (door 112)</t>
  </si>
  <si>
    <t xml:space="preserve">40</t>
  </si>
  <si>
    <t xml:space="preserve">Men's Restroom 113 / Janitor 112 + Storage 117 (door 112)</t>
  </si>
  <si>
    <t xml:space="preserve">A02.01 &gt; 1/A12.01 &gt; 7/S5.20 &gt; S2.20 (A02.01 vector y1508.52/1515.84 (lw 0.6 face inside enlarged area))</t>
  </si>
  <si>
    <t xml:space="preserve">B  #41  -  Janitor 112 / Storage 117 divider</t>
  </si>
  <si>
    <t xml:space="preserve">41</t>
  </si>
  <si>
    <t xml:space="preserve">Janitor 112 / Storage 117 divider</t>
  </si>
  <si>
    <t xml:space="preserve">A02.01 &gt; 1/A12.01 &gt; 7/S5.20 &gt; S2.20 (A02.01 vector x1064.88/1072.2)</t>
  </si>
  <si>
    <t xml:space="preserve">B  #42  -  Janitor 112 + Storage 117 / Wellness 115</t>
  </si>
  <si>
    <t xml:space="preserve">42</t>
  </si>
  <si>
    <t xml:space="preserve">Janitor 112 + Storage 117 / Wellness 115</t>
  </si>
  <si>
    <t xml:space="preserve">A02.01 &gt; 1/A12.01 &gt; 7/S5.20 &gt; S2.20 (A02.01 vector y1578.84/1586.16)</t>
  </si>
  <si>
    <t xml:space="preserve">B  #43  -  Electrical 120 north wall / Break Room 118</t>
  </si>
  <si>
    <t xml:space="preserve">43</t>
  </si>
  <si>
    <t xml:space="preserve">Electrical 120 north wall / Break Room 118</t>
  </si>
  <si>
    <t xml:space="preserve">A02.01 &gt; 1/A12.01 &gt; 7/S5.20 &gt; S2.20 (A02.01 printed 9'-7" (vector 1241.76-1414.2))</t>
  </si>
  <si>
    <t xml:space="preserve">B  #44  -  Electrical 120 / NER 121</t>
  </si>
  <si>
    <t xml:space="preserve">44</t>
  </si>
  <si>
    <t xml:space="preserve">Electrical 120 / NER 121</t>
  </si>
  <si>
    <t xml:space="preserve">A02.01 &gt; 1/A12.01 &gt; 7/S5.20 &gt; S2.20 (A02.01 printed 9'-7" (vector y1551.12/1558.44))</t>
  </si>
  <si>
    <t xml:space="preserve">B  #45  -  Electrical 120 + NER 121 east wall / Break Room 118 (doors 120, 121)</t>
  </si>
  <si>
    <t xml:space="preserve">45</t>
  </si>
  <si>
    <t xml:space="preserve">Electrical 120 + NER 121 east wall / Break Room 118 (doors 120, 121)</t>
  </si>
  <si>
    <t xml:space="preserve">A02.01 &gt; 1/A12.01 &gt; 7/S5.20 &gt; S2.20 (A02.01 vector x1414.2/1421.52)</t>
  </si>
  <si>
    <t xml:space="preserve">TYPE B2</t>
  </si>
  <si>
    <t xml:space="preserve">B2  #50  -  ATM Room 102 east wall / Central Zone 103 (door 102)</t>
  </si>
  <si>
    <t xml:space="preserve">50</t>
  </si>
  <si>
    <t xml:space="preserve">ATM Room 102 east wall / Central Zone 103 (door 102)</t>
  </si>
  <si>
    <t xml:space="preserve">A02.01 &gt; 1/A12.01 &gt; 7/S5.20 &gt; S2.20 (A02.01 vector x1123.08/1133.88 y726.12-830.76 (C1 box #66 above, adv. review))</t>
  </si>
  <si>
    <t xml:space="preserve">B2  #51  -  Corridor 111 west wall / restrooms, storage, wellness (doors 114,113,117,115; EWC alcove)</t>
  </si>
  <si>
    <t xml:space="preserve">51</t>
  </si>
  <si>
    <t xml:space="preserve">Corridor 111 west wall / restrooms, storage, wellness (doors 114,113,117,115; EWC alcove)</t>
  </si>
  <si>
    <t xml:space="preserve">A02.01 &gt; 1/A12.01 &gt; 7/S5.20 &gt; S2.20 (A02.01 vector x1123.08/1133.88 y1236.36-1693.44 minus EWC alcove 1335.96-1409.28 (walls #10-12, adv. review))</t>
  </si>
  <si>
    <t xml:space="preserve">B2  #52  -  Work Room 119 west wall / Break Room 118</t>
  </si>
  <si>
    <t xml:space="preserve">52</t>
  </si>
  <si>
    <t xml:space="preserve">Work Room 119 west wall / Break Room 118</t>
  </si>
  <si>
    <t xml:space="preserve">A02.01 &gt; 1/A12.01 &gt; 7/S5.20 &gt; S2.20 (A02.01 vector x1622.16/1633.08 from door 116 frame cap y1482.12 (adv. review))</t>
  </si>
  <si>
    <t xml:space="preserve">TYPE B2K</t>
  </si>
  <si>
    <t xml:space="preserve">B2K  #55  -  Office 108 SW corner stub / Teller Lobby</t>
  </si>
  <si>
    <t xml:space="preserve">55</t>
  </si>
  <si>
    <t xml:space="preserve">Office 108 SW corner stub / Teller Lobby</t>
  </si>
  <si>
    <t xml:space="preserve">A02.01 &gt; 1/A12.01 &gt; 7/S5.20 &gt; S2.20 (A02.01 vector y1106.52/1118.04)</t>
  </si>
  <si>
    <t xml:space="preserve">TYPE C1</t>
  </si>
  <si>
    <t xml:space="preserve">C1  #60  -  85" monitor furring wall, Central Zone 103 (keynote 7, 9 &amp; 13/A12.02)</t>
  </si>
  <si>
    <t xml:space="preserve">60</t>
  </si>
  <si>
    <t xml:space="preserve">85" monitor furring wall, Central Zone 103 (keynote 7, 9 &amp; 13/A12.02)</t>
  </si>
  <si>
    <t xml:space="preserve">A02.01 &gt; 6/A12.01 &gt; 7/S5.20 &gt; S2.20 (A02.01 vector 9.29 ft + 2 returns 8" (printed 8"))</t>
  </si>
  <si>
    <t xml:space="preserve">C1  #61  -  Restroom plumbing chase, Women's 114 face</t>
  </si>
  <si>
    <t xml:space="preserve">61</t>
  </si>
  <si>
    <t xml:space="preserve">Restroom plumbing chase, Women's 114 face</t>
  </si>
  <si>
    <t xml:space="preserve">A02.01 &gt; 6/A12.01 &gt; 7/S5.20 &gt; S2.20 (A02.01 vector y1355.4 face)</t>
  </si>
  <si>
    <t xml:space="preserve">C1  #62  -  Restroom plumbing chase, Men's 113 face</t>
  </si>
  <si>
    <t xml:space="preserve">62</t>
  </si>
  <si>
    <t xml:space="preserve">Restroom plumbing chase, Men's 113 face</t>
  </si>
  <si>
    <t xml:space="preserve">A02.01 &gt; 6/A12.01 &gt; 7/S5.20 &gt; S2.20 (A02.01 vector y1389.48 face)</t>
  </si>
  <si>
    <t xml:space="preserve">C1  #63  -  Column furring NW vestibule (grid 2/F)</t>
  </si>
  <si>
    <t xml:space="preserve">63</t>
  </si>
  <si>
    <t xml:space="preserve">Column furring NW vestibule (grid 2/F)</t>
  </si>
  <si>
    <t xml:space="preserve">A02.01 &gt; 6/A12.01 &gt; 7/S5.20 &gt; S2.20 (A02.01 vector exposed faces x870.48 + y337.44)</t>
  </si>
  <si>
    <t xml:space="preserve">C1  #64  -  Column furring NE vestibule (grid 4/F)</t>
  </si>
  <si>
    <t xml:space="preserve">64</t>
  </si>
  <si>
    <t xml:space="preserve">Column furring NE vestibule (grid 4/F)</t>
  </si>
  <si>
    <t xml:space="preserve">A02.01 &gt; 6/A12.01 &gt; 7/S5.20 &gt; S2.20 (A02.01 vector exposed faces x1096.56 + y337.44)</t>
  </si>
  <si>
    <t xml:space="preserve">C1  #65  -  Column furring at vestibule 100/101 storefront (grid 4)</t>
  </si>
  <si>
    <t xml:space="preserve">65</t>
  </si>
  <si>
    <t xml:space="preserve">Column furring at vestibule 100/101 storefront (grid 4)</t>
  </si>
  <si>
    <t xml:space="preserve">A02.01 &gt; 6/A12.01 &gt; 7/S5.20 &gt; S2.20 (A02.01 vector box 1123.2-1141.2 x 452.88-470.88, 3 exposed faces)</t>
  </si>
  <si>
    <t xml:space="preserve">C1  #66  -  Column furring at ATM Room NE corner (grid 4/E)</t>
  </si>
  <si>
    <t xml:space="preserve">66</t>
  </si>
  <si>
    <t xml:space="preserve">Column furring at ATM Room NE corner (grid 4/E)</t>
  </si>
  <si>
    <t xml:space="preserve">A02.01 &gt; 6/A12.01 &gt; 7/S5.20 &gt; S2.20 (A02.01 vector box 1123-1141 x 710.88-728.88, 2 exposed faces)</t>
  </si>
  <si>
    <t xml:space="preserve">C1  #67  -  C1 furring at FCAM face of A1K #21 (C1 tag 1721.8,1373.7)</t>
  </si>
  <si>
    <t xml:space="preserve">67</t>
  </si>
  <si>
    <t xml:space="preserve">C1 furring at FCAM face of A1K #21 (C1 tag 1721.8,1373.7)</t>
  </si>
  <si>
    <t xml:space="preserve">A02.01 &gt; 6/A12.01 &gt; 7/S5.20 &gt; S2.20 (A02.01 vector y1352.64/1363.08 x1661.76-1715.4 + end return (adv. review))</t>
  </si>
  <si>
    <t xml:space="preserve">TYPE F</t>
  </si>
  <si>
    <t xml:space="preserve">F  #70  -  Diagonal ATM wall, 24 HR Vestibule 101 / ATM Room 102 (walk-up ATM)</t>
  </si>
  <si>
    <t xml:space="preserve">70</t>
  </si>
  <si>
    <t xml:space="preserve">Diagonal ATM wall, 24 HR Vestibule 101 / ATM Room 102 (walk-up ATM)</t>
  </si>
  <si>
    <t xml:space="preserve">A02.01 &gt; 12/A12.01 &gt; 7/S5.20 &gt; S2.20 (A02.01 vector: upper face 841.44-&gt;1113.6 at 30deg = 17.46 ft, lower face 841.44-&gt;1096.68 = 16.37 ft; centerline avg)</t>
  </si>
  <si>
    <t xml:space="preserve">TYPE G</t>
  </si>
  <si>
    <t xml:space="preserve">G  #80  -  ATM Room 102 / Office 109</t>
  </si>
  <si>
    <t xml:space="preserve">80</t>
  </si>
  <si>
    <t xml:space="preserve">1-5/8"</t>
  </si>
  <si>
    <t xml:space="preserve">ATM Room 102 / Office 109</t>
  </si>
  <si>
    <t xml:space="preserve">A02.01 &gt; 5/A12.01 &gt; 7/S5.20 &gt; S2.20 (A02.01 vector y830.76/840.0)</t>
  </si>
  <si>
    <t xml:space="preserve">G  #81  -  Office 109 / Office 110</t>
  </si>
  <si>
    <t xml:space="preserve">81</t>
  </si>
  <si>
    <t xml:space="preserve">Office 109 / Office 110</t>
  </si>
  <si>
    <t xml:space="preserve">A02.01 &gt; 5/A12.01 &gt; 7/S5.20 &gt; S2.20 (A02.01 vector y1029.0/1038.12)</t>
  </si>
  <si>
    <t xml:space="preserve">G  #82  -  Office 110 / Women's Restroom 114</t>
  </si>
  <si>
    <t xml:space="preserve">82</t>
  </si>
  <si>
    <t xml:space="preserve">Office 110 / Women's Restroom 114</t>
  </si>
  <si>
    <t xml:space="preserve">A02.01 &gt; 5/A12.01 &gt; 7/S5.20 &gt; S2.20 (A02.01 vector y1227.12/1236.36)</t>
  </si>
  <si>
    <t xml:space="preserve">G  #83  -  Office 106 / Office 107</t>
  </si>
  <si>
    <t xml:space="preserve">83</t>
  </si>
  <si>
    <t xml:space="preserve">Office 106 / Office 107</t>
  </si>
  <si>
    <t xml:space="preserve">A02.01 &gt; 5/A12.01 &gt; 7/S5.20 &gt; S2.20 (A02.01 vector y719.16/728.4)</t>
  </si>
  <si>
    <t xml:space="preserve">G  #84  -  Office 107 / Office 108</t>
  </si>
  <si>
    <t xml:space="preserve">84</t>
  </si>
  <si>
    <t xml:space="preserve">Office 107 / Office 108</t>
  </si>
  <si>
    <t xml:space="preserve">A02.01 &gt; 5/A12.01 &gt; 7/S5.20 &gt; S2.20 (A02.01 vector y912.84/922.08)</t>
  </si>
  <si>
    <t xml:space="preserve">G  #85  -  Office 108 / Cash Window 116</t>
  </si>
  <si>
    <t xml:space="preserve">85</t>
  </si>
  <si>
    <t xml:space="preserve">Office 108 / Cash Window 116</t>
  </si>
  <si>
    <t xml:space="preserve">A02.01 &gt; 5/A12.01 &gt; 7/S5.20 &gt; S2.20 (A02.01 vector y1106.52/1115.76 (1661.76-1708.08 + 1715.4-1843.08))</t>
  </si>
  <si>
    <t xml:space="preserve">G  #86  -  Office 105 front jamb (untagged, same graphic as G jambs)</t>
  </si>
  <si>
    <t xml:space="preserve">86</t>
  </si>
  <si>
    <t xml:space="preserve">Office 105 front jamb (untagged, same graphic as G jambs)</t>
  </si>
  <si>
    <t xml:space="preserve">A02.01 &gt; 5/A12.01 &gt; 7/S5.20 &gt; S2.20 (A02.01 vector x1622.04/1631.28)</t>
  </si>
  <si>
    <t xml:space="preserve">G  #87  -  Office 106 front jamb</t>
  </si>
  <si>
    <t xml:space="preserve">87</t>
  </si>
  <si>
    <t xml:space="preserve">Office 106 front jamb</t>
  </si>
  <si>
    <t xml:space="preserve">G  #88  -  Office 107 front jamb</t>
  </si>
  <si>
    <t xml:space="preserve">88</t>
  </si>
  <si>
    <t xml:space="preserve">Office 107 front jamb</t>
  </si>
  <si>
    <t xml:space="preserve">G  #89  -  Office 108 front jamb</t>
  </si>
  <si>
    <t xml:space="preserve">89</t>
  </si>
  <si>
    <t xml:space="preserve">Office 108 front jamb</t>
  </si>
  <si>
    <t xml:space="preserve">TYPE G1</t>
  </si>
  <si>
    <t xml:space="preserve">G1  #90  -  Office 105 / Office 106</t>
  </si>
  <si>
    <t xml:space="preserve">90</t>
  </si>
  <si>
    <t xml:space="preserve">Office 105 / Office 106</t>
  </si>
  <si>
    <t xml:space="preserve">A02.01 &gt; 5/A12.01 &gt; 7/S5.20 &gt; S2.20 (A02.01 vector y522.0/534.72)</t>
  </si>
  <si>
    <t xml:space="preserve">G1  #91  -  Office 109 front jamb</t>
  </si>
  <si>
    <t xml:space="preserve">91</t>
  </si>
  <si>
    <t xml:space="preserve">Office 109 front jamb</t>
  </si>
  <si>
    <t xml:space="preserve">A02.01 &gt; 5/A12.01 &gt; 7/S5.20 &gt; S2.20 (A02.01 vector x1121.16/1133.88)</t>
  </si>
  <si>
    <t xml:space="preserve">G1  #92  -  Office 110 front jamb (untagged, same graphic)</t>
  </si>
  <si>
    <t xml:space="preserve">92</t>
  </si>
  <si>
    <t xml:space="preserve">Office 110 front jamb (untagged, same graphic)</t>
  </si>
  <si>
    <t xml:space="preserve">TYPE EXT</t>
  </si>
  <si>
    <t xml:space="preserve">EXT  #100  -  East wall grid 8, F to B (Offices 105-108, Cash Window 116)</t>
  </si>
  <si>
    <t xml:space="preserve">100</t>
  </si>
  <si>
    <t xml:space="preserve">East wall grid 8, F to B (Offices 105-108, Cash Window 116)</t>
  </si>
  <si>
    <t xml:space="preserve">A02.01 &gt; A/A09.21 &gt; 5/A09.26 &gt; 10/S5.10 &gt; S1.11 &gt; S2.20</t>
  </si>
  <si>
    <t xml:space="preserve">EXT  #101  -  East wall grid 8, B to A (Cash Window 116, Work Room 119)</t>
  </si>
  <si>
    <t xml:space="preserve">101</t>
  </si>
  <si>
    <t xml:space="preserve">East wall grid 8, B to A (Cash Window 116, Work Room 119)</t>
  </si>
  <si>
    <t xml:space="preserve">EXT  #102  -  South wall grid A, grid 3 to 8 (Wellness 115 to Work Room 119, door 123)</t>
  </si>
  <si>
    <t xml:space="preserve">102</t>
  </si>
  <si>
    <t xml:space="preserve">South wall grid A, grid 3 to 8 (Wellness 115 to Work Room 119, door 123)</t>
  </si>
  <si>
    <t xml:space="preserve">EXT  #103  -  West wall grid 3, B to A (Women's/Men's restrooms, Janitor, Wellness)</t>
  </si>
  <si>
    <t xml:space="preserve">103</t>
  </si>
  <si>
    <t xml:space="preserve">West wall grid 3, B to A (Women's/Men's restrooms, Janitor, Wellness)</t>
  </si>
  <si>
    <t xml:space="preserve">EXT  #104  -  West wall grid 3, D to B (Offices 109, 110)</t>
  </si>
  <si>
    <t xml:space="preserve">104</t>
  </si>
  <si>
    <t xml:space="preserve">West wall grid 3, D to B (Offices 109, 110)</t>
  </si>
  <si>
    <t xml:space="preserve">EXT  #105  -  West jog at grid D, grid 2 to 3 (ATM Room 102 south) - tower parapet</t>
  </si>
  <si>
    <t xml:space="preserve">105</t>
  </si>
  <si>
    <t xml:space="preserve">West jog at grid D, grid 2 to 3 (ATM Room 102 south) - tower parapet</t>
  </si>
  <si>
    <t xml:space="preserve">EXT  #106  -  West wall grid 2, F to D - tower (Vestibule 100, 24 HR Vestibule 101, ATM Room 102)</t>
  </si>
  <si>
    <t xml:space="preserve">106</t>
  </si>
  <si>
    <t xml:space="preserve">West wall grid 2, F to D - tower (Vestibule 100, 24 HR Vestibule 101, ATM Room 102)</t>
  </si>
  <si>
    <t xml:space="preserve">EXT  #107  -  North wall grid F, grid 2 to 4 - tower (Vestibule 100 storefront)</t>
  </si>
  <si>
    <t xml:space="preserve">107</t>
  </si>
  <si>
    <t xml:space="preserve">North wall grid F, grid 2 to 4 - tower (Vestibule 100 storefront)</t>
  </si>
  <si>
    <t xml:space="preserve">EXT  #108  -  North wall grid F, grid 4 to 8 (Central Zone storefront, Office 105)</t>
  </si>
  <si>
    <t xml:space="preserve">108</t>
  </si>
  <si>
    <t xml:space="preserve">North wall grid F, grid 4 to 8 (Central Zone storefront, Office 105)</t>
  </si>
  <si>
    <t xml:space="preserve">TYPE PARAPET</t>
  </si>
  <si>
    <t xml:space="preserve">PARAPET  #110  -  Parapet over East wall grid 8, F to B (Offices 105-108, Cash Window 116)</t>
  </si>
  <si>
    <t xml:space="preserve">110</t>
  </si>
  <si>
    <t xml:space="preserve">Parapet over East wall grid 8, F to B (Offices 105-108, Cash Window 116)</t>
  </si>
  <si>
    <t xml:space="preserve">A09.01/A09.02 &gt; A/A09.21 &gt; 4/A09.26 &gt; 11/S5.10 &gt; S2.20</t>
  </si>
  <si>
    <t xml:space="preserve">PARAPET  #111  -  Parapet over East wall grid 8, B to A (Cash Window 116, Work Room 119)</t>
  </si>
  <si>
    <t xml:space="preserve">111</t>
  </si>
  <si>
    <t xml:space="preserve">Parapet over East wall grid 8, B to A (Cash Window 116, Work Room 119)</t>
  </si>
  <si>
    <t xml:space="preserve">PARAPET  #112  -  Parapet over South wall grid A, grid 3 to 8 (Wellness 115 to Work Room 119, door 123)</t>
  </si>
  <si>
    <t xml:space="preserve">112</t>
  </si>
  <si>
    <t xml:space="preserve">Parapet over South wall grid A, grid 3 to 8 (Wellness 115 to Work Room 119, door 123)</t>
  </si>
  <si>
    <t xml:space="preserve">PARAPET  #113  -  Parapet over West wall grid 3, B to A (Women's/Men's restrooms, Janitor, Wellness)</t>
  </si>
  <si>
    <t xml:space="preserve">113</t>
  </si>
  <si>
    <t xml:space="preserve">Parapet over West wall grid 3, B to A (Women's/Men's restrooms, Janitor, Wellness)</t>
  </si>
  <si>
    <t xml:space="preserve">PARAPET  #114  -  Parapet over West wall grid 3, D to B (Offices 109, 110)</t>
  </si>
  <si>
    <t xml:space="preserve">114</t>
  </si>
  <si>
    <t xml:space="preserve">Parapet over West wall grid 3, D to B (Offices 109, 110)</t>
  </si>
  <si>
    <t xml:space="preserve">PARAPET  #115  -  Parapet over West jog at grid D, grid 2 to 3 (ATM Room 102 south) - tower parapet</t>
  </si>
  <si>
    <t xml:space="preserve">115</t>
  </si>
  <si>
    <t xml:space="preserve">Parapet over West jog at grid D, grid 2 to 3 (ATM Room 102 south) - tower parapet</t>
  </si>
  <si>
    <t xml:space="preserve">PARAPET  #116  -  Parapet over West wall grid 2, F to D - tower (Vestibule 100, 24 HR Vestibule 101, ATM Room 102)</t>
  </si>
  <si>
    <t xml:space="preserve">116</t>
  </si>
  <si>
    <t xml:space="preserve">Parapet over West wall grid 2, F to D - tower (Vestibule 100, 24 HR Vestibule 101, ATM Room 102)</t>
  </si>
  <si>
    <t xml:space="preserve">PARAPET  #117  -  Parapet over North wall grid F, grid 2 to 4 - tower (Vestibule 100 storefront)</t>
  </si>
  <si>
    <t xml:space="preserve">117</t>
  </si>
  <si>
    <t xml:space="preserve">Parapet over North wall grid F, grid 2 to 4 - tower (Vestibule 100 storefront)</t>
  </si>
  <si>
    <t xml:space="preserve">PARAPET  #118  -  Parapet over North wall grid F, grid 4 to 8 (Central Zone storefront, Office 105)</t>
  </si>
  <si>
    <t xml:space="preserve">118</t>
  </si>
  <si>
    <t xml:space="preserve">Parapet over North wall grid F, grid 4 to 8 (Central Zone storefront, Office 105)</t>
  </si>
  <si>
    <t xml:space="preserve">PARAPET  #119  -  Tower parapet return stub at grid F/4</t>
  </si>
  <si>
    <t xml:space="preserve">119</t>
  </si>
  <si>
    <t xml:space="preserve">Tower parapet return stub at grid F/4</t>
  </si>
  <si>
    <t xml:space="preserve">A02.02 &gt; A/A09.21 &gt; 11/S5.10</t>
  </si>
  <si>
    <t xml:space="preserve">TYPE ROOF STEP</t>
  </si>
  <si>
    <t xml:space="preserve">ROOF STEP  #130  -  Roof step at grid B, grid 3 to 8</t>
  </si>
  <si>
    <t xml:space="preserve">130</t>
  </si>
  <si>
    <t xml:space="preserve">Roof step at grid B, grid 3 to 8</t>
  </si>
  <si>
    <t xml:space="preserve">A02.02 &gt; 4/A02.02 &gt; 9/S5.10 &gt; S2.20</t>
  </si>
  <si>
    <t xml:space="preserve">TYPE BULKHEAD / SOFFIT</t>
  </si>
  <si>
    <t xml:space="preserve">BULKHEAD / SOFFIT  #120  -  Office front bulkhead, Office 105 (DFC-1A, 7'-6" clear opening)</t>
  </si>
  <si>
    <t xml:space="preserve">120</t>
  </si>
  <si>
    <t xml:space="preserve">Office front bulkhead, Office 105 (DFC-1A, 7'-6" clear opening)</t>
  </si>
  <si>
    <t xml:space="preserve">A02.01 &gt; 8 &amp; 9/A12.01 &gt; A04.01 &gt; S2.20</t>
  </si>
  <si>
    <t xml:space="preserve">BULKHEAD / SOFFIT  #121  -  Office front bulkhead, Office 106 (DFC-1A, 7'-6" clear opening)</t>
  </si>
  <si>
    <t xml:space="preserve">121</t>
  </si>
  <si>
    <t xml:space="preserve">Office front bulkhead, Office 106 (DFC-1A, 7'-6" clear opening)</t>
  </si>
  <si>
    <t xml:space="preserve">BULKHEAD / SOFFIT  #122  -  Office front bulkhead, Office 107 (DFC-1A, 7'-6" clear opening)</t>
  </si>
  <si>
    <t xml:space="preserve">122</t>
  </si>
  <si>
    <t xml:space="preserve">Office front bulkhead, Office 107 (DFC-1A, 7'-6" clear opening)</t>
  </si>
  <si>
    <t xml:space="preserve">BULKHEAD / SOFFIT  #123  -  Office front bulkhead, Office 108 (DFC-1A, 7'-6" clear opening)</t>
  </si>
  <si>
    <t xml:space="preserve">123</t>
  </si>
  <si>
    <t xml:space="preserve">Office front bulkhead, Office 108 (DFC-1A, 7'-6" clear opening)</t>
  </si>
  <si>
    <t xml:space="preserve">BULKHEAD / SOFFIT  #124  -  Office front bulkhead, Office 109 (DFC-1A, 7'-6" clear opening)</t>
  </si>
  <si>
    <t xml:space="preserve">124</t>
  </si>
  <si>
    <t xml:space="preserve">Office front bulkhead, Office 109 (DFC-1A, 7'-6" clear opening)</t>
  </si>
  <si>
    <t xml:space="preserve">BULKHEAD / SOFFIT  #125  -  Office front bulkhead, Office 110 (DFC-1A, 7'-6" clear opening)</t>
  </si>
  <si>
    <t xml:space="preserve">125</t>
  </si>
  <si>
    <t xml:space="preserve">Office front bulkhead, Office 110 (DFC-1A, 7'-6" clear opening)</t>
  </si>
  <si>
    <t xml:space="preserve">BULKHEAD / SOFFIT  #126  -  CSR teller-line soffit, Cash Window 116 (12'-0 1/4" R.O. HOLD x 3'-5")</t>
  </si>
  <si>
    <t xml:space="preserve">126</t>
  </si>
  <si>
    <t xml:space="preserve">CSR teller-line soffit, Cash Window 116 (12'-0 1/4" R.O. HOLD x 3'-5")</t>
  </si>
  <si>
    <t xml:space="preserve">A02.01 &gt; 9/A12.08 &amp; 10/A09.33 &gt; A04.01 &gt; S2.20</t>
  </si>
  <si>
    <t xml:space="preserve">BULKHEAD / SOFFIT  #127  -  Coiling grille 103 head bulkhead, 24 HR Vestibule 101 / Central Zone 103 (14'-3" overall)</t>
  </si>
  <si>
    <t xml:space="preserve">127</t>
  </si>
  <si>
    <t xml:space="preserve">2-1/2"</t>
  </si>
  <si>
    <t xml:space="preserve">Coiling grille 103 head bulkhead, 24 HR Vestibule 101 / Central Zone 103 (14'-3" overall)</t>
  </si>
  <si>
    <t xml:space="preserve">A02.01 &gt; 4/A08.21 &gt; A04.01 &gt; S2.20</t>
  </si>
  <si>
    <t xml:space="preserve">BULKHEAD / SOFFIT  #128  -  Vestibule 100/101 storefront head framing above GB ceiling (doors 101)</t>
  </si>
  <si>
    <t xml:space="preserve">128</t>
  </si>
  <si>
    <t xml:space="preserve">Vestibule 100/101 storefront head framing above GB ceiling (doors 101)</t>
  </si>
  <si>
    <t xml:space="preserve">A02.01 &gt; 6/A12.10 and 7/A12.10 &gt; A04.01 &gt; S2.20</t>
  </si>
  <si>
    <t xml:space="preserve">BULKHEAD / SOFFIT  #131  -  Ceiling step bulkhead Central Zone ACT 11'-6" to Teller Lobby ACT 9'-0" (A04.01 double line y1110.72-1118.04)</t>
  </si>
  <si>
    <t xml:space="preserve">131</t>
  </si>
  <si>
    <t xml:space="preserve">Ceiling step bulkhead Central Zone ACT 11'-6" to Teller Lobby ACT 9'-0" (A04.01 double line y1110.72-1118.04)</t>
  </si>
  <si>
    <t xml:space="preserve">A02.01 &gt; 8/A09.33 and 7/A11.01 &gt; A04.01 &gt; S2.20</t>
  </si>
  <si>
    <t xml:space="preserve">BULKHEAD / SOFFIT  #129  -  Vestibule 100 east storefront head framing (door 100A), Central Zone face 10'-0" to 12'-0"</t>
  </si>
  <si>
    <t xml:space="preserve">129</t>
  </si>
  <si>
    <t xml:space="preserve">Vestibule 100 east storefront head framing (door 100A), Central Zone face 10'-0" to 12'-0"</t>
  </si>
  <si>
    <t xml:space="preserve">A02.01 &gt; 4/A12.10 and 5/A12.10 &gt; A04.01 &gt; S2.20</t>
  </si>
  <si>
    <t xml:space="preserve">TOTAL - PARTITIONS</t>
  </si>
  <si>
    <t xml:space="preserve">MATERIAL SUMMARY - NET / WASTE / PURCHASE</t>
  </si>
  <si>
    <t xml:space="preserve">Waste lives HERE, in its own column, never inside the net quantity.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</si>
  <si>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</si>
  <si>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</si>
  <si>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</si>
  <si>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</si>
  <si>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</si>
  <si>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</si>
  <si>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</si>
  <si>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</si>
  <si>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</si>
  <si>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1-5/8" metal stud 162S125-33 (double row, G/G1)</t>
  </si>
  <si>
    <t xml:space="preserve">LF</t>
  </si>
  <si>
    <t xml:space="preserve">stick 20 ft (cut to height)</t>
  </si>
  <si>
    <t xml:space="preserve">#80 5/A12.01; 7/S5.20; #81 5/A12.01; 7/S5.20; #82 5/A12.01; 7/S5.20; #83 5/A12.01; 7/S5.20; #84 5/A12.01; 7/S5.20; #85 5/A12.01; 7/S5.20 ...</t>
  </si>
  <si>
    <t xml:space="preserve">2-1/2" metal stud 250S125 (coiling grille bulkhead, 4/A08.21)</t>
  </si>
  <si>
    <t xml:space="preserve">4/A08.21</t>
  </si>
  <si>
    <t xml:space="preserve">2-1/2" metal stud sistered at ATM jambs (6/A08.11)</t>
  </si>
  <si>
    <t xml:space="preserve">6/A08.11</t>
  </si>
  <si>
    <t xml:space="preserve">3-5/8" metal stud 14 GA @24" (A1K, 4/A12.01)</t>
  </si>
  <si>
    <t xml:space="preserve">#20 4/A12.01; 7/S5.20; #21 4/A12.01; 7/S5.20; #22 4/A12.01; 7/S5.20</t>
  </si>
  <si>
    <t xml:space="preserve">3-5/8" metal stud 362S137-33 (20 ga) - C1 furring / column furring</t>
  </si>
  <si>
    <t xml:space="preserve">#60 6/A12.01; 7/S5.20; #61 6/A12.01; 7/S5.20; #62 6/A12.01; 7/S5.20; #63 6/A12.01; 7/S5.20; #64 6/A12.01; 7/S5.20; #65 6/A12.01; 7/S5.20 ...</t>
  </si>
  <si>
    <t xml:space="preserve">3-5/8" metal stud 362S137-33 (20 ga) - canopy framing</t>
  </si>
  <si>
    <t xml:space="preserve">7/A09.26; 4/A09.33</t>
  </si>
  <si>
    <t xml:space="preserve">3-5/8" metal stud 362S137-33 (20 ga) - column wraps (5/A09.25)</t>
  </si>
  <si>
    <t xml:space="preserve">5/A09.25</t>
  </si>
  <si>
    <t xml:space="preserve">3-5/8" metal stud 362S137-33 (20 ga) - soffits / bulkheads</t>
  </si>
  <si>
    <t xml:space="preserve">9/A12.08 &amp; 10/A09.33; 6/A12.10 and 7/A12.10; 8/A09.33 and 7/A11.01; 4/A12.10 and 5/A12.10; 7/A09.33 kickers @48"</t>
  </si>
  <si>
    <t xml:space="preserve">3-5/8" metal stud 362S137-33 (20 ga) @16"</t>
  </si>
  <si>
    <t xml:space="preserve">#1 3/A12.01; 7/S5.20; #2 3/A12.01; 7/S5.20; #3 3/A12.01; 7/S5.20; #4 3/A12.01; 7/S5.20; #5 3/A12.01; 7/S5.20; #6 3/A12.01; 7/S5.20 ...</t>
  </si>
  <si>
    <t xml:space="preserve">6" metal stud 14 GA @24" (B2K, derived)</t>
  </si>
  <si>
    <t xml:space="preserve">#55 1/A12.01; 7/S5.20</t>
  </si>
  <si>
    <t xml:space="preserve">6" metal stud 600S137-33 (20 ga) - interior</t>
  </si>
  <si>
    <t xml:space="preserve">#34 3/A12.01; 7/S5.20; #35 3/A12.01; 7/S5.20; #30 3/A12.01; 7/S5.20; #31 3/A12.01; 7/S5.20; #32 3/A12.01; 7/S5.20; #33 3/A12.01; 7/S5.20 ...</t>
  </si>
  <si>
    <t xml:space="preserve">6" metal stud 600S162-54 (16 ga) exterior @16" / @12" corners (S1.11 n.5)</t>
  </si>
  <si>
    <t xml:space="preserve">EXT #100 S1.11; 10/S5.10; EXT #101 S1.11; 10/S5.10; EXT #102 S1.11; 10/S5.10; EXT #103 S1.11; 10/S5.10; EXT #104 S1.11; 10/S5.10; EXT #105 S1.11; 10/S5.10 ...</t>
  </si>
  <si>
    <t xml:space="preserve">6" parapet stud 600S162-54 infill (11/S5.10)</t>
  </si>
  <si>
    <t xml:space="preserve">PARAPET #110 11/S5.10; PARAPET #111 11/S5.10; PARAPET #112 11/S5.10; PARAPET #113 11/S5.10; PARAPET #114 11/S5.10; PARAPET #115 11/S5.10 ...</t>
  </si>
  <si>
    <t xml:space="preserve">Access panel 2'x2' locking in GB ceiling - framed opening (A04.01 keynote 4)</t>
  </si>
  <si>
    <t xml:space="preserve">EA</t>
  </si>
  <si>
    <t xml:space="preserve">each</t>
  </si>
  <si>
    <t xml:space="preserve">A04.01 keynote 4, Vestibule 100</t>
  </si>
  <si>
    <t xml:space="preserve">Bottom track 1-5/8"</t>
  </si>
  <si>
    <t xml:space="preserve">piece 10 ft</t>
  </si>
  <si>
    <t xml:space="preserve">5/A12.01; 3/S5.20; 8 &amp; 9/A12.01</t>
  </si>
  <si>
    <t xml:space="preserve">Bottom track 2-1/2"</t>
  </si>
  <si>
    <t xml:space="preserve">Bottom track 3-5/8"</t>
  </si>
  <si>
    <t xml:space="preserve">3/A12.01; 3/S5.20; 4/A12.01; 3/S5.20; 1/A12.01; 3/S5.20; 6/A12.01; 3/S5.20; 12/A12.01; 3/S5.20; 4/A02.02 (3 runs) ...</t>
  </si>
  <si>
    <t xml:space="preserve">Bottom track 3-5/8" (canopy fascia)</t>
  </si>
  <si>
    <t xml:space="preserve">7/A09.26</t>
  </si>
  <si>
    <t xml:space="preserve">Bottom track 3-5/8" (column wraps)</t>
  </si>
  <si>
    <t xml:space="preserve">Bottom track 6"</t>
  </si>
  <si>
    <t xml:space="preserve">3/A12.01; 3/S5.20; 1/A12.01; 3/S5.20</t>
  </si>
  <si>
    <t xml:space="preserve">Bottom track 6" 600T125-33 (exterior)</t>
  </si>
  <si>
    <t xml:space="preserve">7/S5.20</t>
  </si>
  <si>
    <t xml:space="preserve">Bottom track 6" 600T125-54 (parapet, 11/S5.10 TOP &amp; BOT.)</t>
  </si>
  <si>
    <t xml:space="preserve">11/S5.10</t>
  </si>
  <si>
    <t xml:space="preserve">Bracing - 1-1/2" C.R. channel @48" (F/S5.20)</t>
  </si>
  <si>
    <t xml:space="preserve">piece 16 ft</t>
  </si>
  <si>
    <t xml:space="preserve">F/S5.20 (53.4); F/S5.20</t>
  </si>
  <si>
    <t xml:space="preserve">Bridging clips at C.R. channel (F/S5.20)</t>
  </si>
  <si>
    <t xml:space="preserve">F/S5.20</t>
  </si>
  <si>
    <t xml:space="preserve">Carrying channel 1-1/2" @48" O.C. (GB ceilings)</t>
  </si>
  <si>
    <t xml:space="preserve">CLG-150 RFI-05; CLG-151 RFI-05; CLG-152 RFI-05; CLG-153 RFI-05; CLG-154 RFI-05</t>
  </si>
  <si>
    <t xml:space="preserve">Ceiling / soffit perimeter track (GB ceilings)</t>
  </si>
  <si>
    <t xml:space="preserve">CLG-150 A04.01; CLG-151 A04.01; CLG-152 A04.01; CLG-153 A04.01; CLG-154 A04.01</t>
  </si>
  <si>
    <t xml:space="preserve">Ceiling / soffit perimeter track (canopy soffit)</t>
  </si>
  <si>
    <t xml:space="preserve">4/A09.33</t>
  </si>
  <si>
    <t xml:space="preserve">Framed opening for recessed fixture - canopy UU (2 x length, 4 &amp; 5/A09.33)</t>
  </si>
  <si>
    <t xml:space="preserve">E00.01; E02.01; 5/A09.33</t>
  </si>
  <si>
    <t xml:space="preserve">Framed opening for recessed fixture - interior GB R-11 (2 x length, 6/A09.33)</t>
  </si>
  <si>
    <t xml:space="preserve">E00.01; E02.01; 6/A09.33</t>
  </si>
  <si>
    <t xml:space="preserve">Framed openings in walls - recessed items / dampers (9/S5.20)</t>
  </si>
  <si>
    <t xml:space="preserve">9/S5.20; M01.01; A08.01; A00.40</t>
  </si>
  <si>
    <t xml:space="preserve">Furring channel 7/8" @16" O.C. (GB ceilings)</t>
  </si>
  <si>
    <t xml:space="preserve">piece 12 ft</t>
  </si>
  <si>
    <t xml:space="preserve">Hanger wire 12 ga @48" O.C. (3/A09.33 gauge)</t>
  </si>
  <si>
    <t xml:space="preserve">LF (coil)</t>
  </si>
  <si>
    <t xml:space="preserve">CLG-150 3/A09.33; CLG-151 3/A09.33; CLG-152 3/A09.33; CLG-153 3/A09.33; CLG-154 3/A09.33</t>
  </si>
  <si>
    <t xml:space="preserve">Header / box beam at openings (7/S5.20 header schedule)</t>
  </si>
  <si>
    <t xml:space="preserve">10/A12.02; 7/S5.20; 11/A09.27; 14/A09.27; 6/A08.11; 8 &amp; 9/A12.01; 4/A08.21; 6/A12.10 and 7/A12.10; 4/A12.10 and 5/A12.10 ...</t>
  </si>
  <si>
    <t xml:space="preserve">Metal stud blocking 362CR22 - lockers (keynote 5 A02.01)</t>
  </si>
  <si>
    <t xml:space="preserve">A02.01 keynote 5; 4/S5.20</t>
  </si>
  <si>
    <t xml:space="preserve">Metal stud blocking 362CR22 - wall stops (4/S5.20)</t>
  </si>
  <si>
    <t xml:space="preserve">A00.30 note D; 4/S5.20</t>
  </si>
  <si>
    <t xml:space="preserve">Metal trim - L-bead / J-bead (casing) at windows, storefronts, doors</t>
  </si>
  <si>
    <t xml:space="preserve">EXT #100 53.1; 2/A09.26; EXT #102 53.1; 2/A09.26; EXT #104 53.1; 2/A09.26; EXT #106 53.1; 2/A09.26; EXT #107 53.1; 2/A09.26; EXT #108 53.1; 2/A09.26</t>
  </si>
  <si>
    <t xml:space="preserve">Metal trim - corner bead</t>
  </si>
  <si>
    <t xml:space="preserve">8 &amp; 9/A12.01; 9/A12.08 &amp; 10/A09.33; 4/A08.21; 8/A09.33 and 7/A11.01; 4/A12.10 and 5/A12.10; 7/A09.33 ...</t>
  </si>
  <si>
    <t xml:space="preserve">Metal trim - gypsum edge trim (R-11 slots, 6/A09.33)</t>
  </si>
  <si>
    <t xml:space="preserve">6/A09.33</t>
  </si>
  <si>
    <t xml:space="preserve">Metal trim - shadow molding</t>
  </si>
  <si>
    <t xml:space="preserve">8 &amp; 9/A12.01; 8/A09.33 and 7/A11.01; 7/A09.33</t>
  </si>
  <si>
    <t xml:space="preserve">Purlin 1x1x1 16 GA across min. (2) flutes (10/A09.33)</t>
  </si>
  <si>
    <t xml:space="preserve">10/A09.33; 10/A09.33 (E-W top track x 0.75)</t>
  </si>
  <si>
    <t xml:space="preserve">Sill track at openings (53.7)</t>
  </si>
  <si>
    <t xml:space="preserve">4/A08.11; 10/A09.27; 6/A08.11; 9/S5.20 framed openings</t>
  </si>
  <si>
    <t xml:space="preserve">Soundguard isolator by Marinoware (5/A12.01, 8 &amp; 9/A12.01)</t>
  </si>
  <si>
    <t xml:space="preserve">5/A12.01; 8/A12.01; 9/A12.01</t>
  </si>
  <si>
    <t xml:space="preserve">Stud blocking 362CR22 at edge of gypboard (4/S5.20, 56.8)</t>
  </si>
  <si>
    <t xml:space="preserve">4/S5.20; 56.8</t>
  </si>
  <si>
    <t xml:space="preserve">Top / head track additional at openings &gt; 4'-0" (2/S5.20, 9/S5.20)</t>
  </si>
  <si>
    <t xml:space="preserve">2/S5.20; 9/S5.20</t>
  </si>
  <si>
    <t xml:space="preserve">Top deflection track 6" 600T200-97 (exterior, under beam)</t>
  </si>
  <si>
    <t xml:space="preserve">7/S5.20; 10/S5.10</t>
  </si>
  <si>
    <t xml:space="preserve">Top slip / deflection track 1-5/8"</t>
  </si>
  <si>
    <t xml:space="preserve">8 &amp; 9/A12.01</t>
  </si>
  <si>
    <t xml:space="preserve">Top slip / deflection track 2-1/2"</t>
  </si>
  <si>
    <t xml:space="preserve">Top slip / deflection track 3-5/8"</t>
  </si>
  <si>
    <t xml:space="preserve">3/A12.01 CONT. SLIP TRACK; 2/S5.20; 4/A12.01 CONT. SLIP TRACK; 2/S5.20; 1/A12.01 CONT. SLIP TRACK; 2/S5.20; 4/A02.02 metal slip clip (3 runs); 9/A12.08 &amp; 10/A09.33; 6/A12.10 and 7/A12.10 ...</t>
  </si>
  <si>
    <t xml:space="preserve">Top slip / deflection track 6"</t>
  </si>
  <si>
    <t xml:space="preserve">3/A12.01 CONT. SLIP TRACK; 2/S5.20; 1/A12.01 CONT. SLIP TRACK; 2/S5.20</t>
  </si>
  <si>
    <t xml:space="preserve">Top track 1-5/8" (secured to structure)</t>
  </si>
  <si>
    <t xml:space="preserve">5/A12.01</t>
  </si>
  <si>
    <t xml:space="preserve">Top track 3-5/8" (canopy fascia)</t>
  </si>
  <si>
    <t xml:space="preserve">Top track 3-5/8" (column wraps)</t>
  </si>
  <si>
    <t xml:space="preserve">Top track 3-5/8" (secured to structure)</t>
  </si>
  <si>
    <t xml:space="preserve">6/A12.01; 12/A12.01</t>
  </si>
  <si>
    <t xml:space="preserve">Top track 6" 600T125-54 (parapet, 11/S5.10 TOP &amp; BOT.)</t>
  </si>
  <si>
    <t xml:space="preserve">Vertical deflection clips (S1.11 note 2)</t>
  </si>
  <si>
    <t xml:space="preserve">S1.11 note 2</t>
  </si>
  <si>
    <t xml:space="preserve">3/4" FRT plywood (public side to deck, ATM/backboards/blocking)</t>
  </si>
  <si>
    <t xml:space="preserve">SF</t>
  </si>
  <si>
    <t xml:space="preserve">4x8 ft sheet</t>
  </si>
  <si>
    <t xml:space="preserve">#70 12/A12.01; EXT #100 3/A09.25; 10 &amp; 11/A09.27; EXT #102 3/A09.25; 10 &amp; 11/A09.27; EXT #104 3/A09.25; 10 &amp; 11/A09.27; EXT #106 3/A09.25; 10 &amp; 11/A09.27; EXT #107 3/A09.25; 10 &amp; 11/A09.27 ...</t>
  </si>
  <si>
    <t xml:space="preserve">3/4" FRT plywood blocking - 85" monitor (9 &amp; 13/A12.02)</t>
  </si>
  <si>
    <t xml:space="preserve">9/A12.02; 13/A12.02</t>
  </si>
  <si>
    <t xml:space="preserve">3/4" FRT plywood blocking - TV mounts &amp; equipment (A03.01)</t>
  </si>
  <si>
    <t xml:space="preserve">A03.01</t>
  </si>
  <si>
    <t xml:space="preserve">3/4" FRT plywood blocking at parapet top (4/A09.26, 11" wide)</t>
  </si>
  <si>
    <t xml:space="preserve">4/A09.26</t>
  </si>
  <si>
    <t xml:space="preserve">3/4" fire rated plywood backboard (Electrical/NER, A02.01 keynote 6)</t>
  </si>
  <si>
    <t xml:space="preserve">A02.01 kn 6; 2,3,4,5/A11.03</t>
  </si>
  <si>
    <t xml:space="preserve">3/8" gyp board above ballistic panel (8'-0" to structure)</t>
  </si>
  <si>
    <t xml:space="preserve">4x12 ft sheet</t>
  </si>
  <si>
    <t xml:space="preserve">#20 4/A12.01; #21 4/A12.01; #22 4/A12.01; #55 4/A12.01</t>
  </si>
  <si>
    <t xml:space="preserve">5/8" FRT plywood bonded to 2-1/2" polyiso (exterior sheathing system)</t>
  </si>
  <si>
    <t xml:space="preserve">EXT #100 A09.21-A09.23; 56.3; PARAPET #110 A09.21; EXT #101 A09.21-A09.23; 56.3; PARAPET #111 A09.21; EXT #102 A09.21-A09.23; 56.3; PARAPET #112 A09.21 ...</t>
  </si>
  <si>
    <t xml:space="preserve">5/8" exterior grade FRT plywood - canopy column wraps (5/A09.25)</t>
  </si>
  <si>
    <t xml:space="preserve">5/8" exterior grade FRT plywood - canopy fascia &amp; soffit (7/A09.26)</t>
  </si>
  <si>
    <t xml:space="preserve">7/A09.26; 7/A09.26; 16/A09.27</t>
  </si>
  <si>
    <t xml:space="preserve">5/8" exterior gypsum sheathing (parapet roof side)</t>
  </si>
  <si>
    <t xml:space="preserve">PARAPET #110 A/A09.21; 4/A09.26; PARAPET #111 A/A09.21; 4/A09.26; PARAPET #112 A/A09.21; 4/A09.26; PARAPET #113 A/A09.21; 4/A09.26; PARAPET #114 A/A09.21; 4/A09.26; PARAPET #115 A/A09.21; 4/A09.26 ...</t>
  </si>
  <si>
    <t xml:space="preserve">5/8" fire treated plywood blocking - CSR soffit (9/A12.08)</t>
  </si>
  <si>
    <t xml:space="preserve">9/A12.08</t>
  </si>
  <si>
    <t xml:space="preserve">5/8" glass mat sheathing (0'-6" base + canopy band)</t>
  </si>
  <si>
    <t xml:space="preserve">EXT #100 5/A09.26; 3 &amp; 7/A09.26; EXT #101 5/A09.26; 3 &amp; 7/A09.26; EXT #102 5/A09.26; 3 &amp; 7/A09.26; EXT #103 5/A09.26; 3 &amp; 7/A09.26; EXT #104 5/A09.26; 3 &amp; 7/A09.26; EXT #105 5/A09.26; 3 &amp; 7/A09.26 ...</t>
  </si>
  <si>
    <t xml:space="preserve">5/8" gyp board MOISTURE RESISTANT</t>
  </si>
  <si>
    <t xml:space="preserve">#61 6/A12.01; #62 6/A12.01</t>
  </si>
  <si>
    <t xml:space="preserve">5/8" gypsum board, regular</t>
  </si>
  <si>
    <t xml:space="preserve">#1 3/A12.01; #2 3/A12.01; #3 3/A12.01; #4 3/A12.01; #5 3/A12.01; #6 3/A12.01 ...</t>
  </si>
  <si>
    <t xml:space="preserve">Acoustical sealant (continuous beads per partition detail)</t>
  </si>
  <si>
    <t xml:space="preserve">Ballistic panel 3/8" UL752 Level 2 fiberglass (NIJ II) to 8'-0"</t>
  </si>
  <si>
    <t xml:space="preserve">FRP panels WC-3 (restrooms + janitor)</t>
  </si>
  <si>
    <t xml:space="preserve">A08.01; A05.01 kn 6</t>
  </si>
  <si>
    <t xml:space="preserve">FRT blocking 2x (wood)</t>
  </si>
  <si>
    <t xml:space="preserve">4/A02.02; 10/A09.33 PROVIDE FRTW BLOCKING FOR FUTURE; E/A08.01; 3/A09.30; A12.03-A12.06 note D PROVIDE FRTW BLOCKING AT ALL MILLWORK VERTICAL SURFACE</t>
  </si>
  <si>
    <t xml:space="preserve">Level 5 finish (WC-18 / WC-20 / WC-22 walls)</t>
  </si>
  <si>
    <t xml:space="preserve">A05.01; A00.40</t>
  </si>
  <si>
    <t xml:space="preserve">Mineral wool insulation (roof step, 4/A02.02)</t>
  </si>
  <si>
    <t xml:space="preserve">4/A02.02</t>
  </si>
  <si>
    <t xml:space="preserve">PVC trim for FRP (edge cap + inside corner, 3/A08.01, 7/A08.01)</t>
  </si>
  <si>
    <t xml:space="preserve">3/A08.01; 7/A08.01</t>
  </si>
  <si>
    <t xml:space="preserve">Sealant at base of gypsum (exterior, 5/A09.26)</t>
  </si>
  <si>
    <t xml:space="preserve">LF (tube ~ 25 LF per 28 oz)</t>
  </si>
  <si>
    <t xml:space="preserve">EXT #100 5/A09.26; 9/A09.27; EXT #101 5/A09.26; 9/A09.27; EXT #102 5/A09.26; 9/A09.27; EXT #103 5/A09.26; 9/A09.27; EXT #104 5/A09.26; 9/A09.27; EXT #105 5/A09.26; 9/A09.27 ...</t>
  </si>
  <si>
    <t xml:space="preserve">Sound attenuation batt insulation (in partitions)</t>
  </si>
  <si>
    <t xml:space="preserve">Sound batt insulation above restroom ceilings (keynote 11 A04.01)</t>
  </si>
  <si>
    <t xml:space="preserve">A04.01 keynote 11</t>
  </si>
  <si>
    <t xml:space="preserve">RFI</t>
  </si>
  <si>
    <t xml:space="preserve">Question / condition</t>
  </si>
  <si>
    <t xml:space="preserve">Delta of each alternative</t>
  </si>
  <si>
    <t xml:space="preserve">RFI-01</t>
  </si>
  <si>
    <t xml:space="preserve">Exterior stud: S1.11 note 5 asks 600S162-54 @16" (@12" within 6 ft of corners); 7/S5.20 schedule lists 600S137-33 @16" for exterior walls. Which governs? (56.2)</t>
  </si>
  <si>
    <t xml:space="preserve">Carried 600S162-54 with corner zones (more material, 53.3). Alternative 600S137-33 @16": same LF minus ~18 corner-zone studs; steel weight about -40%.</t>
  </si>
  <si>
    <t xml:space="preserve">RFI-02</t>
  </si>
  <si>
    <t xml:space="preserve">G / G1 (5/A12.01): height of studs and of the 2 layers per face above the scheduled ceiling is not dimensioned.</t>
  </si>
  <si>
    <t xml:space="preserve">Carried to underside of structure 15'-4 1/2" (bulkheads 8 &amp; 9/A12.01 are G construction to deck). Alternative ceiling+6" (9'-6"): about -5.9 ft x 2 faces x 2 layers per LF of G/G1 (about -2,000 SF of board).</t>
  </si>
  <si>
    <t xml:space="preserve">RFI-03</t>
  </si>
  <si>
    <t xml:space="preserve">C1 (6/A12.01) top condition is a break line; height of the 3-5/8" furring and of the board not given (monitor wall, restroom chase, column furring).</t>
  </si>
  <si>
    <t xml:space="preserve">Carried to underside of structure (53.3). Alternative ceiling+6": monitor wall -3.4 ft, chase -6.4 ft, columns -3.4 to -6.4 ft x LF.</t>
  </si>
  <si>
    <t xml:space="preserve">RFI-04</t>
  </si>
  <si>
    <t xml:space="preserve">Interior slip / deflection track profile for 3-5/8" and 1-5/8" walls is not designated (7/S5.20 only lists 600T200-97 for 6").</t>
  </si>
  <si>
    <t xml:space="preserve">Carried as deflection track of the stud size: 450 LF (3-5/8" 360 LF, 1-5/8" 90 LF). If standard track is accepted: same LF, lower unit cost; if 2" deep-leg: same LF, higher unit cost.</t>
  </si>
  <si>
    <t xml:space="preserve">RFI-05</t>
  </si>
  <si>
    <t xml:space="preserve">No suspension system is specified for the GB ceilings (no carrying / furring channel or hanger spacing on A04.01 or A09.33).</t>
  </si>
  <si>
    <t xml:space="preserve">Carried standard on 940 SF of GB ceiling: 705 LF furring channel, 235 LF carrying channel, 342 LF hanger wire, 267 LF track. Alternative @24" furring: -235 LF furring.</t>
  </si>
  <si>
    <t xml:space="preserve">RFI-06</t>
  </si>
  <si>
    <t xml:space="preserve">Canopy soffit sheathing: 4 &amp; 5/A09.33 say 5/8" EXTERIOR SHEATHING on 3-5/8" CFMF; 7/A09.26 and 15/16 A09.27 say 5/8" ext. grade FRT plywood.</t>
  </si>
  <si>
    <t xml:space="preserve">Carried 5/8" exterior grade FRT plywood (section details). Alternative 5/8" exterior gypsum sheathing on the same 1,557 SF.</t>
  </si>
  <si>
    <t xml:space="preserve">RFI-07</t>
  </si>
  <si>
    <t xml:space="preserve">Exterior elevation titles look transposed: A09.01 'SOUTH ELEVATION' shows the north (entrance) facade and A09.02 'NORTH ELEVATION' shows the south facade (grid order + content). S2.20 also notes 'BUILDING FOOTPRINT MIRRORED NORTH-SOUTH'.</t>
  </si>
  <si>
    <t xml:space="preserve">No quantity change: take-off used plan orientation (grid order). Confirm for other trades.</t>
  </si>
  <si>
    <t xml:space="preserve">RFI-08</t>
  </si>
  <si>
    <t xml:space="preserve">Exterior wall studs stop at a deflection track under the perimeter beam (10/S5.10). Beam depths from S2.20: W12x19 high roof E/W, W18x35 grid F 4-8 and grid A 3-6, W14x22 grid A 6-8; W14x22 assumed for the low-roof girders at grids 8 and 3 (B-A) - not labelled, W8x10 are joists.</t>
  </si>
  <si>
    <t xml:space="preserve">If studs run to B.O.D.: +1.0 to +1.5 ft x studs per facade.</t>
  </si>
  <si>
    <t xml:space="preserve">RFI-09</t>
  </si>
  <si>
    <t xml:space="preserve">A02.01 note C 'blocking for all equipment and accessories mounted on walls': equipment tags on A11.02 elevations (phones, sanitizers, etc.) are not dimensioned.</t>
  </si>
  <si>
    <t xml:space="preserve">Not in base. Estimate 15 wall-mounted equipment items on A11.02 x 2'-0" = 30 LF of 362CR22 (+2 LF per extra item).</t>
  </si>
  <si>
    <t xml:space="preserve">RFI-10</t>
  </si>
  <si>
    <t xml:space="preserve">Lockers (A02.01 keynote 5): location and size not dimensioned.</t>
  </si>
  <si>
    <t xml:space="preserve">Carried 12 LF of 362CR22 (2 rails x 6'-0"). +/- 2 LF per foot of locker run.</t>
  </si>
  <si>
    <t xml:space="preserve">RFI-11</t>
  </si>
  <si>
    <t xml:space="preserve">Framed openings for recessed fixtures: end width of UU / R-11 slots not printed (cut sheet).</t>
  </si>
  <si>
    <t xml:space="preserve">Carried 2 x fixture length (686 LF canopy, 112 LF interior). Ends: 28 fixtures x 2 ends x ~0.25 ft (2.5" slot, LSR-2.5 catalog) = +14 LF.</t>
  </si>
  <si>
    <t xml:space="preserve">RFI-12</t>
  </si>
  <si>
    <t xml:space="preserve">Control joints in gypsum board are not shown in the set (CJ only for stucco).</t>
  </si>
  <si>
    <t xml:space="preserve">Excluded. If required: about 1 joint per 30 ft run -&gt; about 6 joints x 12 ft = 72 LF control joint (alternate).</t>
  </si>
  <si>
    <t xml:space="preserve">RFI-13</t>
  </si>
  <si>
    <t xml:space="preserve">Drive-up ATM: R.O. 2'-2 1/2" (7/A08.11 plan) vs 2'-2 1/8" (5/A08.11). Plinth 3/A08.11 is 2x4 FRT wood framing + FRT plywood (Div 06).</t>
  </si>
  <si>
    <t xml:space="preserve">Carried R.O. 2'-2 1/8" + 16" header/sill; plinth excluded (Div 06). Delta of R.O. negligible (3/8").</t>
  </si>
  <si>
    <t xml:space="preserve">RFI-14</t>
  </si>
  <si>
    <t xml:space="preserve">Coiling grille 103 (4/A08.21): closure of the coil zone from the ACT (11'-6") to deck above the grille is not detailed.</t>
  </si>
  <si>
    <t xml:space="preserve">Not carried. If framed and boarded both faces: about 14.25 ft x 3.9 ft x 2 faces = 111 SF board + 6" CFMF.</t>
  </si>
  <si>
    <t xml:space="preserve">RFI-15</t>
  </si>
  <si>
    <t xml:space="preserve">B2K has a tag on A02.01 but no row in the A12.01 schedule.</t>
  </si>
  <si>
    <t xml:space="preserve">Derived = B2 + 3/8" UL752 ballistic panel (customer side to 8'-0") + 3/8" gyp above; measured 7 5/8" (three paths close). Alternative A5K (4/A12.01, same 7 5/8"): same quantities, delta 0. If plain B2: -10.1 SF ballistic, -9.0 SF 3/8" gyp.</t>
  </si>
  <si>
    <t xml:space="preserve">RFI-16</t>
  </si>
  <si>
    <t xml:space="preserve">Teller line: vertical elements between the A1K end walls are taken as CSR units by vendor (A12.08: 'MILLWORK AND UNDERCOUNTER STEEL SHALL BE INSTALLED DIRECTLY TO SLAB').</t>
  </si>
  <si>
    <t xml:space="preserve">Not carried as walls. If they are framed ballistic die walls: about 11.9 LF of A1K-type wall.</t>
  </si>
  <si>
    <t xml:space="preserve">RFI-17</t>
  </si>
  <si>
    <t xml:space="preserve">FRP WC-3 (restrooms 5'-0" above base) and janitor mop-sink FRP: installer (drywall contractor vs. GC) not defined.</t>
  </si>
  <si>
    <t xml:space="preserve">Carried 361 SF in base.</t>
  </si>
  <si>
    <t xml:space="preserve">RFI-18</t>
  </si>
  <si>
    <t xml:space="preserve">Low roof (grid A to B) slopes 13'-0 5/8" to 12'-6 3/8" (S2.20).</t>
  </si>
  <si>
    <t xml:space="preserve">Interior studs and board carried at the high side (53.2); parapet and sheathing at the average (55.3). Using actual height per wall: about -0.3 ft x studs and about -60 SF of board on B walls south of grid B.</t>
  </si>
  <si>
    <t xml:space="preserve">RFI-19</t>
  </si>
  <si>
    <t xml:space="preserve">MEP penetrations through walls that run to structure (M01.01 / P01.01) were not crossed geometrically in this run.</t>
  </si>
  <si>
    <t xml:space="preserve">4 fire-damper openings carried (FO-178). Other duct crossings: PENDING, about 2 LF header + 2 LF sill track + 4 jamb studs per crossing.</t>
  </si>
  <si>
    <t xml:space="preserve">RFI-21</t>
  </si>
  <si>
    <t xml:space="preserve">Purlin 1x1x1 16 GA (10/A09.33 alternate) where the deck flutes run parallel to the top track: flute direction 'VIF'. Joists on S2.20 run N-S, so flutes run E-W.</t>
  </si>
  <si>
    <t xml:space="preserve">Carried 251 LF (0.75 x 335 LF of E-W top track). If flutes run N-S: about 0.75 x 300 LF = 225 LF on the N-S walls instead (-26 LF).</t>
  </si>
  <si>
    <t xml:space="preserve">RFI-22</t>
  </si>
  <si>
    <t xml:space="preserve">Millwork blocking (A02.01 note C) is not drawn per cabinet; MW run lengths measured on A02.01 and method per type (counter = 1 run, upper = 2 runs, shelf standards vertical).</t>
  </si>
  <si>
    <t xml:space="preserve">Carried 362CR22 metal blocking per MW tag (MW01, 05, 06A x2, 07, 08, 11, 12, 13, 18, 21). If FRT wood is wanted: same LF, other material.</t>
  </si>
  <si>
    <t xml:space="preserve">RFI-23</t>
  </si>
  <si>
    <t xml:space="preserve">Break Room 118 has a sink (MW08) but A05.01 / A08.01 do not ask for MR board or FRP there.</t>
  </si>
  <si>
    <t xml:space="preserve">Not carried (plan does not ask). Alternate MR board behind sink: about 9 ft x 4 ft = 36 SF reclassified.</t>
  </si>
  <si>
    <t xml:space="preserve">RFI-24</t>
  </si>
  <si>
    <t xml:space="preserve">Finishing yields (joint compound, tape, drywall screws, framing screws, PAFs @2'-0" per 4/A12.01 and 12" per 11/S5.10, anchors) are yields, not plan quantities.</t>
  </si>
  <si>
    <t xml:space="preserve">Not in Material Summary. Order of magnitude: joint compound ~1 bucket / 400 SF -&gt; ~46 buckets for 18,670 SF; tape ~1 roll (500 ft) / 1,000 SF -&gt; ~19 rolls.</t>
  </si>
  <si>
    <t xml:space="preserve">RFI-25</t>
  </si>
  <si>
    <t xml:space="preserve">TV mounts on 18" high 3/4" fire treated plywood (A03.01 legend): TV locations counted from A03.01 tags.</t>
  </si>
  <si>
    <t xml:space="preserve">Carried 4 TVs x 4'-0" x 1'-6" = 24 SF + 16 SF work room equipment. +6 SF per extra TV.</t>
  </si>
  <si>
    <t xml:space="preserve">RFI-26</t>
  </si>
  <si>
    <t xml:space="preserve">Framed openings for recessed items (TA-13, TA-14, TA-2, FEC-1/2, Knox box) and 4 fire-damper duct openings (M01.01): sizes not on architectural sheets; are walls #5 / #45 at Electrical/NER rated (fire dampers shown)?</t>
  </si>
  <si>
    <t xml:space="preserve">Carried 13 openings at 2'-0" with header + sill track. If walls #5, #43, #44, #45 are rated: about 1,600 SF reclassified to 5/8" Type X (both faces to deck) + about 80 LF head-of-wall firestopping.</t>
  </si>
  <si>
    <t xml:space="preserve">RFI-27</t>
  </si>
  <si>
    <t xml:space="preserve">Soundguard isolator (5/A12.01, 8 &amp; 9/A12.01): spacing not given.</t>
  </si>
  <si>
    <t xml:space="preserve">Carried 318 EA (1 per stud pair per 4'-0" row). At 1 per stud pair per 2'-0": about +318 EA.</t>
  </si>
  <si>
    <t xml:space="preserve">RFI-28</t>
  </si>
  <si>
    <t xml:space="preserve">Delegated design: S1.10 note 7.2 / S1.11 note 4 require sealed CFS shop drawings and calculations.</t>
  </si>
  <si>
    <t xml:space="preserve">Engineering not in quantities: 1 lump sum (CFS delegated design + sealed shop drawings).</t>
  </si>
  <si>
    <t xml:space="preserve">RFI-29</t>
  </si>
  <si>
    <t xml:space="preserve">Possible scope not drawn: storm riser enclosures at interior columns (P00.01 note 17 refers to an architectural detail that is not in the set), framing around braced frames S5.30, sheets A08.12 / A00.31 referenced but not in the PDF.</t>
  </si>
  <si>
    <t xml:space="preserve">Not carried. Storm riser enclosures: about 3 x (4 x 1.5 ft) x 13 ft = 234 SF board + 3-5/8" furring; braced frames: framing adjustments only.</t>
  </si>
  <si>
    <t xml:space="preserve">RFI-30</t>
  </si>
  <si>
    <t xml:space="preserve">Tower parapet return stub at grid F/4 (A02.02 coping) is not dimensioned.</t>
  </si>
  <si>
    <t xml:space="preserve">Carried 3.6 ft scaled (+/-0.3 ft) x 4.29 ft, gyp sheathing both faces.</t>
  </si>
  <si>
    <t xml:space="preserve">RFI-31</t>
  </si>
  <si>
    <t xml:space="preserve">E00.01 R-11C: description says 12' but catalog number ends 20'-0". Also storefront heads: S2.20 HSS9x5x5/8 over the storefronts (CFS box header not carried there).</t>
  </si>
  <si>
    <t xml:space="preserve">Carried 12'. If 20': +64 LF framed openings and gypsum edge trim.</t>
  </si>
  <si>
    <t xml:space="preserve">RFI-20</t>
  </si>
  <si>
    <t xml:space="preserve">3/4" fire rated plywood backboard (A02.01 keynote 6): walls taken from A11.03 elevations 2,3,4 (Electrical) and 5,7 (NER) at 8'-0".</t>
  </si>
  <si>
    <t xml:space="preserve">Carried 337 SF. +/- 77 SF per extra wall.</t>
  </si>
  <si>
    <t xml:space="preserve">#</t>
  </si>
  <si>
    <t xml:space="preserve">Punto</t>
  </si>
  <si>
    <t xml:space="preserve">Hoja + detalle</t>
  </si>
  <si>
    <t xml:space="preserve">Imagen</t>
  </si>
  <si>
    <t xml:space="preserve">Barrido por tag: 56 walls interiores + 9 exteriores + 9 parapets + roof step + 10 bulkheads. Revisar las hojas marcadas por tipo.</t>
  </si>
  <si>
    <t xml:space="preserve">A02.01; 3/A12.01</t>
  </si>
  <si>
    <t xml:space="preserve">A02.01_type_*.jpg</t>
  </si>
  <si>
    <t xml:space="preserve">Tipo por defecto A1 (nota A/A02.01): walls sin tag #10, #11, #12 (EWC alcove). G #86 y G1 #92 asignados por grafia (sin tag).</t>
  </si>
  <si>
    <t xml:space="preserve">A02.01 note A; 5/A12.01</t>
  </si>
  <si>
    <t xml:space="preserve">A02.01_type_A1.jpg / _G.jpg / _G1.jpg</t>
  </si>
  <si>
    <t xml:space="preserve">Altura de G/G1 y C1 sobre el ceiling (RFI-02, RFI-03): se llevo a structure.</t>
  </si>
  <si>
    <t xml:space="preserve">5/A12.01; 6/A12.01</t>
  </si>
  <si>
    <t xml:space="preserve">A02.01_type_G.jpg</t>
  </si>
  <si>
    <t xml:space="preserve">Exterior: perfil 600S162-54 (S1.11) vs 600S137-33 (7/S5.20) (RFI-01) y alto de stud bajo viga (RFI-08).</t>
  </si>
  <si>
    <t xml:space="preserve">S1.11 note 5; 7/S5.20; 10/S5.10</t>
  </si>
  <si>
    <t xml:space="preserve">A02.01_exterior_walls_and_parapet.jpg</t>
  </si>
  <si>
    <t xml:space="preserve">Bulkheads de office front: HOLD 8'-0 1/2" a deck, 7'-6" cada uno x 6 oficinas.</t>
  </si>
  <si>
    <t xml:space="preserve">8/A12.01; 9/A12.01; 7/A11.01</t>
  </si>
  <si>
    <t xml:space="preserve">A02.01_bulkheads_over_openings.jpg</t>
  </si>
  <si>
    <t xml:space="preserve">Suspension de GB ceilings no especificada (RFI-05): se cargo estandar.</t>
  </si>
  <si>
    <t xml:space="preserve">A04.01; 3/A09.33</t>
  </si>
  <si>
    <t xml:space="preserve">A04.01_GB_ceilings_and_canopy.jpg</t>
  </si>
  <si>
    <t xml:space="preserve">Canopy: fascia 241 LF, soffit 1,557 SF, columnas 4; sheathing FRT plywood vs exterior gyp (RFI-06).</t>
  </si>
  <si>
    <t xml:space="preserve">7/A09.26; 4/A09.33; 5/A09.25</t>
  </si>
  <si>
    <t xml:space="preserve">Teller line: elementos verticales tomados como CSR units del vendor (RFI-16).</t>
  </si>
  <si>
    <t xml:space="preserve">1/A12.08; 3/A12.08</t>
  </si>
  <si>
    <t xml:space="preserve">A02.01_type_A1K.jpg</t>
  </si>
  <si>
    <t xml:space="preserve">Blocking de equipo (nota C) y penetraciones MEP quedan PENDING (RFI-09, RFI-19).</t>
  </si>
  <si>
    <t xml:space="preserve">A02.01 note C; 1/M01.01; 1/A03.01</t>
  </si>
  <si>
    <t xml:space="preserve">-</t>
  </si>
  <si>
    <t xml:space="preserve">Rotulos de elevaciones N/S transpuestos (RFI-07).</t>
  </si>
  <si>
    <t xml:space="preserve">1/A09.01; 2/A09.01; 1/A09.02; 2/A09.02</t>
  </si>
  <si>
    <t xml:space="preserve">Adversarial rechazado: bulkheads de office front a 7'-10" (141 pt entre faces). Se mantiene 7'-6" HOLD por la regla del skill (extremos = tapas de jamb, no faces vecinas).</t>
  </si>
  <si>
    <t xml:space="preserve">8/A12.01; A02.01 7'-6" HOLD</t>
  </si>
  <si>
    <t xml:space="preserve">Adversarial rechazado: FRP a 4'-6". Se mantiene 5'-0" sobre el cove base por el criterio aprobado 53.9.1.</t>
  </si>
  <si>
    <t xml:space="preserve">A/A08.01; B/A08.01; C/A08.01; D/A08.01</t>
  </si>
  <si>
    <t xml:space="preserve">Roof step 4/A02.02: tres corridas de 3-5/8" escaladas del detalle (3.2 + 3.45 + 1.13 ft) +/-0.1 ft.</t>
  </si>
  <si>
    <t xml:space="preserve">4/A02.02; 9/S5.10</t>
  </si>
  <si>
    <t xml:space="preserve">Purlin 1x1x1 (RFI-21) y Soundguard isolators (RFI-27): cantidades por criterio, confirmar con el estimador.</t>
  </si>
  <si>
    <t xml:space="preserve">10/A09.33; 5/A12.01</t>
  </si>
  <si>
    <t xml:space="preserve">Framed openings de accesorios empotrados, FEC, Knox box y fire dampers (RFI-26): 13 EA a 2'-0"; posible pared rated en Electrical/NER.</t>
  </si>
  <si>
    <t xml:space="preserve">1/M01.01; 2/A08.01; A00.40 equipment legend; 9/S5.20</t>
  </si>
  <si>
    <t xml:space="preserve">A02.01_type_A1.jpg / _B.jpg</t>
  </si>
  <si>
    <t xml:space="preserve">Stub de parapet de torre en F/4 (3.6 ft escalado) y canopy columns 1'-8" x 1'-8" (5/A09.25).</t>
  </si>
  <si>
    <t xml:space="preserve">A02.02; 5/A09.25</t>
  </si>
  <si>
    <t xml:space="preserve">Libro (plantilla_excel.py): hojas de plywood/FRP/ballistic 4x8 se dividen por 48 SF (4x12) y las filas SF de insulation/Level 5 salen en 'piezas'; comprar plywood = SF/32. Studs: comprar por largo de corte (11.9-15.4 ft = 1 stud por stick de 16/20 ft). Bridging clips 6,050 = studs x rows x 2 (regla de closer.py); 1 por cruce daria ~1,851. Access panel: 1 EA (el waste lo sube a 2).</t>
  </si>
  <si>
    <t xml:space="preserve">Material Summary; 7/S5.20</t>
  </si>
  <si>
    <t xml:space="preserve">ALC</t>
  </si>
  <si>
    <t xml:space="preserve">Alcance</t>
  </si>
  <si>
    <t xml:space="preserve">Estado</t>
  </si>
  <si>
    <t xml:space="preserve">Nota (cantidad, NO APLICA + hoja, o RFI)</t>
  </si>
  <si>
    <t xml:space="preserve">ALC-01</t>
  </si>
  <si>
    <t xml:space="preserve">Interior partition framing (studs + tracks)</t>
  </si>
  <si>
    <t xml:space="preserve">CUANTIFICADO</t>
  </si>
  <si>
    <t xml:space="preserve">studs + tracks interior, Material Summary</t>
  </si>
  <si>
    <t xml:space="preserve">ALC-02</t>
  </si>
  <si>
    <t xml:space="preserve">Exterior wall framing (CFMF)</t>
  </si>
  <si>
    <t xml:space="preserve">6" 600S162-54 exterior</t>
  </si>
  <si>
    <t xml:space="preserve">ALC-03</t>
  </si>
  <si>
    <t xml:space="preserve">Parapet framing</t>
  </si>
  <si>
    <t xml:space="preserve">parapet infill 11/S5.10</t>
  </si>
  <si>
    <t xml:space="preserve">ALC-04</t>
  </si>
  <si>
    <t xml:space="preserve">Top / deflection and bottom track</t>
  </si>
  <si>
    <t xml:space="preserve">bottom / top / deflection track rows</t>
  </si>
  <si>
    <t xml:space="preserve">ALC-05</t>
  </si>
  <si>
    <t xml:space="preserve">Headers, sills and jambs at openings</t>
  </si>
  <si>
    <t xml:space="preserve">header / box beam + sill track</t>
  </si>
  <si>
    <t xml:space="preserve">ALC-06</t>
  </si>
  <si>
    <t xml:space="preserve">Bracing / bridging</t>
  </si>
  <si>
    <t xml:space="preserve">1-1/2" CR channel F/S5.20</t>
  </si>
  <si>
    <t xml:space="preserve">ALC-07</t>
  </si>
  <si>
    <t xml:space="preserve">Gypsum board on walls (layers per type)</t>
  </si>
  <si>
    <t xml:space="preserve">5/8" gypsum board regular</t>
  </si>
  <si>
    <t xml:space="preserve">ALC-08</t>
  </si>
  <si>
    <t xml:space="preserve">Moisture / abuse / special board at wet zones</t>
  </si>
  <si>
    <t xml:space="preserve">MR board at restroom chase (F/A08.01)</t>
  </si>
  <si>
    <t xml:space="preserve">ALC-09</t>
  </si>
  <si>
    <t xml:space="preserve">Exterior gypsum / glass mat sheathing</t>
  </si>
  <si>
    <t xml:space="preserve">exterior gyp sheathing parapet + glass mat</t>
  </si>
  <si>
    <t xml:space="preserve">ALC-10</t>
  </si>
  <si>
    <t xml:space="preserve">FRT plywood sheathing / substrate</t>
  </si>
  <si>
    <t xml:space="preserve">FRT plywood rows</t>
  </si>
  <si>
    <t xml:space="preserve">ALC-11</t>
  </si>
  <si>
    <t xml:space="preserve">Gypsum board ceilings</t>
  </si>
  <si>
    <t xml:space="preserve">GB ceilings CLG-150..154</t>
  </si>
  <si>
    <t xml:space="preserve">ALC-12</t>
  </si>
  <si>
    <t xml:space="preserve">Ceiling suspension (furring / carrying channel / hanger wire / ceiling track)</t>
  </si>
  <si>
    <t xml:space="preserve">furring, carrying, hanger wire, track (RFI-05)</t>
  </si>
  <si>
    <t xml:space="preserve">ALC-13</t>
  </si>
  <si>
    <t xml:space="preserve">Soffits and bulkheads (framing + board)</t>
  </si>
  <si>
    <t xml:space="preserve">bulkheads #120-129 + canopy soffit</t>
  </si>
  <si>
    <t xml:space="preserve">ALC-14</t>
  </si>
  <si>
    <t xml:space="preserve">Canopy / marquee framing and sheathing</t>
  </si>
  <si>
    <t xml:space="preserve">canopy fascia/soffit/columns CAN-140..142</t>
  </si>
  <si>
    <t xml:space="preserve">ALC-15</t>
  </si>
  <si>
    <t xml:space="preserve">Column furring / wraps</t>
  </si>
  <si>
    <t xml:space="preserve">C1 column furring #63-67 + canopy column wraps</t>
  </si>
  <si>
    <t xml:space="preserve">ALC-16</t>
  </si>
  <si>
    <t xml:space="preserve">Blocking (FRT wood / metal) for millwork and accessories</t>
  </si>
  <si>
    <t xml:space="preserve">FRT + 362CR22 blocking</t>
  </si>
  <si>
    <t xml:space="preserve">ALC-17</t>
  </si>
  <si>
    <t xml:space="preserve">Framed openings (MEP, access panels, diffusers)</t>
  </si>
  <si>
    <t xml:space="preserve">framed openings for recessed fixtures</t>
  </si>
  <si>
    <t xml:space="preserve">ALC-18</t>
  </si>
  <si>
    <t xml:space="preserve">Trim: corner bead, casing bead, control joints, reveals</t>
  </si>
  <si>
    <t xml:space="preserve">corner bead, L-bead, shadow molding, edge trim</t>
  </si>
  <si>
    <t xml:space="preserve">ALC-19</t>
  </si>
  <si>
    <t xml:space="preserve">Acoustical sealant / sound attenuation</t>
  </si>
  <si>
    <t xml:space="preserve">acoustical sealant + batt</t>
  </si>
  <si>
    <t xml:space="preserve">ALC-20</t>
  </si>
  <si>
    <t xml:space="preserve">FRP / cement board / tile backer</t>
  </si>
  <si>
    <t xml:space="preserve">FRP WC-3 (no cement board: no wall tile in set)</t>
  </si>
  <si>
    <t xml:space="preserve">ALC-21</t>
  </si>
  <si>
    <t xml:space="preserve">Shaft walls / area separation walls</t>
  </si>
  <si>
    <t xml:space="preserve">NO APLICA</t>
  </si>
  <si>
    <t xml:space="preserve">A02.01: no shaft walls or area separation walls in the plan; A12.01 schedule has no shaft type.</t>
  </si>
  <si>
    <t xml:space="preserve">ALC-22</t>
  </si>
  <si>
    <t xml:space="preserve">Rated assemblies (UL designs) and their board type</t>
  </si>
  <si>
    <t xml:space="preserve">RFI-26: A12.01 schedule FIRE RATING / U.L. '--' for every type, but M01.01 shows fire dampers at Electrical/NER walls; A02.01 fire rated plywood backboard carried under ALC-10.</t>
  </si>
  <si>
    <t xml:space="preserve">ALC-23</t>
  </si>
  <si>
    <t xml:space="preserve">Special panels (ballistic, lead-lined, abuse)</t>
  </si>
  <si>
    <t xml:space="preserve">3/8" UL752 ballistic panel A1K / B2K (4/A12.01)</t>
  </si>
  <si>
    <t xml:space="preserve">ALC-24</t>
  </si>
  <si>
    <t xml:space="preserve">Finish level (Level 4 / Level 5)</t>
  </si>
  <si>
    <t xml:space="preserve">Level 5 finish WC-18/20/22 (A05.01, A00.40)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</si>
</sst>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2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0" t="s">
        <v>3</v>
      </c>
      <c r="C3" s="0" t="s">
        <v>4</v>
      </c>
    </row>
    <row r="4" customFormat="false" ht="15" hidden="false" customHeight="false" outlineLevel="0" collapsed="false">
      <c r="A4" s="0" t="s">
        <v>5</v>
      </c>
      <c r="B4" s="2" t="n">
        <v>0.15</v>
      </c>
      <c r="C4" s="3" t="s">
        <v>6</v>
      </c>
    </row>
    <row r="5" customFormat="false" ht="15" hidden="false" customHeight="false" outlineLevel="0" collapsed="false">
      <c r="A5" s="0" t="s">
        <v>7</v>
      </c>
      <c r="B5" s="2" t="n">
        <v>0.06</v>
      </c>
      <c r="C5" s="3" t="s">
        <v>8</v>
      </c>
    </row>
    <row r="6" customFormat="false" ht="15" hidden="false" customHeight="false" outlineLevel="0" collapsed="false">
      <c r="A6" s="0" t="s">
        <v>9</v>
      </c>
      <c r="B6" s="2" t="n">
        <v>4</v>
      </c>
    </row>
    <row r="7" customFormat="false" ht="15" hidden="false" customHeight="false" outlineLevel="0" collapsed="false">
      <c r="A7" s="0" t="s">
        <v>10</v>
      </c>
      <c r="B7" s="2" t="n">
        <v>12</v>
      </c>
    </row>
    <row r="8" customFormat="false" ht="15" hidden="false" customHeight="false" outlineLevel="0" collapsed="false">
      <c r="A8" s="0" t="s">
        <v>11</v>
      </c>
      <c r="B8" s="2" t="n">
        <f aca="false">B6*B7</f>
        <v>48</v>
      </c>
      <c r="C8" s="3" t="s">
        <v>12</v>
      </c>
    </row>
    <row r="9" customFormat="false" ht="15" hidden="false" customHeight="false" outlineLevel="0" collapsed="false">
      <c r="A9" s="0" t="s">
        <v>13</v>
      </c>
      <c r="B9" s="2" t="n">
        <v>20</v>
      </c>
    </row>
    <row r="10" customFormat="false" ht="15" hidden="false" customHeight="false" outlineLevel="0" collapsed="false">
      <c r="A10" s="0" t="s">
        <v>14</v>
      </c>
      <c r="B10" s="2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10" min="9" style="0" width="60"/>
    <col collapsed="false" customWidth="true" hidden="false" outlineLevel="0" max="11" min="11" style="0" width="12"/>
  </cols>
  <sheetData>
    <row r="1" customFormat="false" ht="16.15" hidden="false" customHeight="false" outlineLevel="0" collapsed="false">
      <c r="A1" s="1" t="s">
        <v>15</v>
      </c>
    </row>
    <row r="2" customFormat="false" ht="15" hidden="false" customHeight="false" outlineLevel="0" collapsed="false">
      <c r="A2" s="0" t="s">
        <v>16</v>
      </c>
    </row>
    <row r="4" customFormat="false" ht="15" hidden="false" customHeight="false" outlineLevel="0" collapsed="false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</row>
    <row r="5" customFormat="false" ht="15" hidden="false" customHeight="false" outlineLevel="0" collapsed="false">
      <c r="A5" s="5" t="s">
        <v>28</v>
      </c>
    </row>
    <row r="6" customFormat="false" ht="15" hidden="false" customHeight="false" outlineLevel="0" collapsed="false">
      <c r="A6" s="0" t="s">
        <v>29</v>
      </c>
      <c r="B6" s="0" t="s">
        <v>30</v>
      </c>
      <c r="C6" s="0" t="n">
        <v>16.42</v>
      </c>
      <c r="D6" s="0" t="n">
        <v>15.38</v>
      </c>
      <c r="E6" s="0" t="n">
        <v>2</v>
      </c>
      <c r="F6" s="0" t="s">
        <v>31</v>
      </c>
      <c r="G6" s="0" t="n">
        <v>16</v>
      </c>
      <c r="H6" s="0" t="n">
        <v>336.61</v>
      </c>
      <c r="I6" s="0" t="s">
        <v>32</v>
      </c>
      <c r="J6" s="0" t="s">
        <v>33</v>
      </c>
      <c r="K6" s="0" t="s">
        <v>34</v>
      </c>
    </row>
    <row r="7" customFormat="false" ht="15" hidden="false" customHeight="false" outlineLevel="0" collapsed="false">
      <c r="A7" s="0" t="s">
        <v>35</v>
      </c>
      <c r="B7" s="0" t="s">
        <v>36</v>
      </c>
      <c r="C7" s="0" t="n">
        <v>3.13</v>
      </c>
      <c r="D7" s="0" t="n">
        <v>15.38</v>
      </c>
      <c r="E7" s="0" t="n">
        <v>2</v>
      </c>
      <c r="F7" s="0" t="s">
        <v>31</v>
      </c>
      <c r="G7" s="0" t="n">
        <v>16</v>
      </c>
      <c r="H7" s="0" t="n">
        <v>56.34</v>
      </c>
      <c r="I7" s="0" t="s">
        <v>37</v>
      </c>
      <c r="J7" s="0" t="s">
        <v>38</v>
      </c>
      <c r="K7" s="0" t="s">
        <v>34</v>
      </c>
    </row>
    <row r="8" customFormat="false" ht="15" hidden="false" customHeight="false" outlineLevel="0" collapsed="false">
      <c r="A8" s="0" t="s">
        <v>39</v>
      </c>
      <c r="B8" s="0" t="s">
        <v>40</v>
      </c>
      <c r="C8" s="0" t="n">
        <v>2.02</v>
      </c>
      <c r="D8" s="0" t="n">
        <v>15.38</v>
      </c>
      <c r="E8" s="0" t="n">
        <v>2</v>
      </c>
      <c r="F8" s="0" t="s">
        <v>31</v>
      </c>
      <c r="G8" s="0" t="n">
        <v>16</v>
      </c>
      <c r="H8" s="0" t="n">
        <v>36.36</v>
      </c>
      <c r="I8" s="0" t="s">
        <v>41</v>
      </c>
      <c r="J8" s="0" t="s">
        <v>42</v>
      </c>
      <c r="K8" s="0" t="s">
        <v>34</v>
      </c>
    </row>
    <row r="9" customFormat="false" ht="15" hidden="false" customHeight="false" outlineLevel="0" collapsed="false">
      <c r="A9" s="0" t="s">
        <v>43</v>
      </c>
      <c r="B9" s="0" t="s">
        <v>44</v>
      </c>
      <c r="C9" s="0" t="n">
        <v>15.23</v>
      </c>
      <c r="D9" s="0" t="n">
        <v>13.05</v>
      </c>
      <c r="E9" s="0" t="n">
        <v>2</v>
      </c>
      <c r="F9" s="0" t="s">
        <v>31</v>
      </c>
      <c r="G9" s="0" t="n">
        <v>16</v>
      </c>
      <c r="H9" s="0" t="n">
        <v>274.14</v>
      </c>
      <c r="I9" s="0" t="s">
        <v>45</v>
      </c>
      <c r="J9" s="0" t="s">
        <v>46</v>
      </c>
      <c r="K9" s="0" t="s">
        <v>34</v>
      </c>
    </row>
    <row r="10" customFormat="false" ht="15" hidden="false" customHeight="false" outlineLevel="0" collapsed="false">
      <c r="A10" s="0" t="s">
        <v>47</v>
      </c>
      <c r="B10" s="0" t="s">
        <v>48</v>
      </c>
      <c r="C10" s="0" t="n">
        <v>17.06</v>
      </c>
      <c r="D10" s="0" t="n">
        <v>13.05</v>
      </c>
      <c r="E10" s="0" t="n">
        <v>3</v>
      </c>
      <c r="F10" s="0" t="s">
        <v>31</v>
      </c>
      <c r="G10" s="0" t="n">
        <v>16</v>
      </c>
      <c r="H10" s="0" t="n">
        <v>364.42</v>
      </c>
      <c r="I10" s="0" t="s">
        <v>49</v>
      </c>
      <c r="J10" s="0" t="s">
        <v>50</v>
      </c>
      <c r="K10" s="0" t="s">
        <v>34</v>
      </c>
    </row>
    <row r="11" customFormat="false" ht="15" hidden="false" customHeight="false" outlineLevel="0" collapsed="false">
      <c r="A11" s="0" t="s">
        <v>51</v>
      </c>
      <c r="B11" s="0" t="s">
        <v>52</v>
      </c>
      <c r="C11" s="0" t="n">
        <v>1.47</v>
      </c>
      <c r="D11" s="0" t="n">
        <v>15.38</v>
      </c>
      <c r="E11" s="0" t="n">
        <v>2</v>
      </c>
      <c r="F11" s="0" t="s">
        <v>31</v>
      </c>
      <c r="G11" s="0" t="n">
        <v>16</v>
      </c>
      <c r="H11" s="0" t="n">
        <v>30.87</v>
      </c>
      <c r="I11" s="0" t="s">
        <v>53</v>
      </c>
      <c r="J11" s="0" t="s">
        <v>54</v>
      </c>
      <c r="K11" s="0" t="s">
        <v>34</v>
      </c>
    </row>
    <row r="12" customFormat="false" ht="15" hidden="false" customHeight="false" outlineLevel="0" collapsed="false">
      <c r="A12" s="0" t="s">
        <v>55</v>
      </c>
      <c r="B12" s="0" t="s">
        <v>56</v>
      </c>
      <c r="C12" s="0" t="n">
        <v>1.73</v>
      </c>
      <c r="D12" s="0" t="n">
        <v>13.05</v>
      </c>
      <c r="E12" s="0" t="n">
        <v>2</v>
      </c>
      <c r="F12" s="0" t="s">
        <v>31</v>
      </c>
      <c r="G12" s="0" t="n">
        <v>16</v>
      </c>
      <c r="H12" s="0" t="n">
        <v>32.01</v>
      </c>
      <c r="I12" s="0" t="s">
        <v>57</v>
      </c>
      <c r="J12" s="0" t="s">
        <v>58</v>
      </c>
      <c r="K12" s="0" t="s">
        <v>34</v>
      </c>
    </row>
    <row r="13" customFormat="false" ht="15" hidden="false" customHeight="false" outlineLevel="0" collapsed="false">
      <c r="A13" s="0" t="s">
        <v>59</v>
      </c>
      <c r="B13" s="0" t="s">
        <v>60</v>
      </c>
      <c r="C13" s="0" t="n">
        <v>1.3</v>
      </c>
      <c r="D13" s="0" t="n">
        <v>13.05</v>
      </c>
      <c r="E13" s="0" t="n">
        <v>2</v>
      </c>
      <c r="F13" s="0" t="s">
        <v>31</v>
      </c>
      <c r="G13" s="0" t="n">
        <v>16</v>
      </c>
      <c r="H13" s="0" t="n">
        <v>24.05</v>
      </c>
      <c r="I13" s="0" t="s">
        <v>61</v>
      </c>
      <c r="J13" s="0" t="s">
        <v>62</v>
      </c>
      <c r="K13" s="0" t="s">
        <v>34</v>
      </c>
    </row>
    <row r="14" customFormat="false" ht="15" hidden="false" customHeight="false" outlineLevel="0" collapsed="false">
      <c r="A14" s="0" t="s">
        <v>63</v>
      </c>
      <c r="B14" s="0" t="s">
        <v>64</v>
      </c>
      <c r="C14" s="0" t="n">
        <v>11.67</v>
      </c>
      <c r="D14" s="0" t="n">
        <v>13.05</v>
      </c>
      <c r="E14" s="0" t="n">
        <v>2</v>
      </c>
      <c r="F14" s="0" t="s">
        <v>31</v>
      </c>
      <c r="G14" s="0" t="n">
        <v>16</v>
      </c>
      <c r="H14" s="0" t="n">
        <v>173.9</v>
      </c>
      <c r="I14" s="0" t="s">
        <v>65</v>
      </c>
      <c r="J14" s="0" t="s">
        <v>66</v>
      </c>
      <c r="K14" s="0" t="s">
        <v>34</v>
      </c>
    </row>
    <row r="15" customFormat="false" ht="15" hidden="false" customHeight="false" outlineLevel="0" collapsed="false">
      <c r="A15" s="0" t="s">
        <v>67</v>
      </c>
      <c r="B15" s="0" t="s">
        <v>68</v>
      </c>
      <c r="C15" s="0" t="n">
        <v>4.07</v>
      </c>
      <c r="D15" s="0" t="n">
        <v>13.05</v>
      </c>
      <c r="E15" s="0" t="n">
        <v>1</v>
      </c>
      <c r="F15" s="0" t="s">
        <v>31</v>
      </c>
      <c r="G15" s="0" t="n">
        <v>16</v>
      </c>
      <c r="H15" s="0" t="n">
        <v>36.63</v>
      </c>
      <c r="I15" s="0" t="s">
        <v>69</v>
      </c>
      <c r="J15" s="0" t="s">
        <v>70</v>
      </c>
      <c r="K15" s="0" t="s">
        <v>34</v>
      </c>
    </row>
    <row r="16" customFormat="false" ht="15" hidden="false" customHeight="false" outlineLevel="0" collapsed="false">
      <c r="A16" s="0" t="s">
        <v>71</v>
      </c>
      <c r="B16" s="0" t="s">
        <v>72</v>
      </c>
      <c r="C16" s="0" t="n">
        <v>1.17</v>
      </c>
      <c r="D16" s="0" t="n">
        <v>13.05</v>
      </c>
      <c r="E16" s="0" t="n">
        <v>2</v>
      </c>
      <c r="F16" s="0" t="s">
        <v>31</v>
      </c>
      <c r="G16" s="0" t="n">
        <v>16</v>
      </c>
      <c r="H16" s="0" t="n">
        <v>21.06</v>
      </c>
      <c r="I16" s="0" t="s">
        <v>73</v>
      </c>
      <c r="J16" s="0" t="s">
        <v>74</v>
      </c>
      <c r="K16" s="0" t="s">
        <v>34</v>
      </c>
    </row>
    <row r="17" customFormat="false" ht="15" hidden="false" customHeight="false" outlineLevel="0" collapsed="false">
      <c r="A17" s="0" t="s">
        <v>75</v>
      </c>
      <c r="B17" s="0" t="s">
        <v>76</v>
      </c>
      <c r="C17" s="0" t="n">
        <v>1.17</v>
      </c>
      <c r="D17" s="0" t="n">
        <v>13.05</v>
      </c>
      <c r="E17" s="0" t="n">
        <v>2</v>
      </c>
      <c r="F17" s="0" t="s">
        <v>31</v>
      </c>
      <c r="G17" s="0" t="n">
        <v>16</v>
      </c>
      <c r="H17" s="0" t="n">
        <v>21.06</v>
      </c>
      <c r="I17" s="0" t="s">
        <v>77</v>
      </c>
      <c r="J17" s="0" t="s">
        <v>78</v>
      </c>
      <c r="K17" s="0" t="s">
        <v>34</v>
      </c>
    </row>
    <row r="18" customFormat="false" ht="15" hidden="false" customHeight="false" outlineLevel="0" collapsed="false">
      <c r="A18" s="0" t="s">
        <v>79</v>
      </c>
      <c r="B18" s="0" t="s">
        <v>80</v>
      </c>
      <c r="C18" s="0" t="n">
        <v>3.09</v>
      </c>
      <c r="D18" s="0" t="n">
        <v>15.38</v>
      </c>
      <c r="E18" s="0" t="n">
        <v>2</v>
      </c>
      <c r="F18" s="0" t="s">
        <v>31</v>
      </c>
      <c r="G18" s="0" t="n">
        <v>16</v>
      </c>
      <c r="H18" s="0" t="n">
        <v>16.89</v>
      </c>
      <c r="I18" s="0" t="s">
        <v>81</v>
      </c>
      <c r="J18" s="0" t="s">
        <v>82</v>
      </c>
      <c r="K18" s="0" t="s">
        <v>34</v>
      </c>
    </row>
    <row r="19" customFormat="false" ht="15" hidden="false" customHeight="false" outlineLevel="0" collapsed="false">
      <c r="A19" s="0" t="s">
        <v>83</v>
      </c>
      <c r="B19" s="0" t="s">
        <v>84</v>
      </c>
      <c r="C19" s="0" t="n">
        <v>3.08</v>
      </c>
      <c r="D19" s="0" t="n">
        <v>13.05</v>
      </c>
      <c r="E19" s="0" t="n">
        <v>2</v>
      </c>
      <c r="F19" s="0" t="s">
        <v>31</v>
      </c>
      <c r="G19" s="0" t="n">
        <v>16</v>
      </c>
      <c r="H19" s="0" t="n">
        <v>8.98</v>
      </c>
      <c r="I19" s="0" t="s">
        <v>85</v>
      </c>
      <c r="J19" s="0" t="s">
        <v>86</v>
      </c>
      <c r="K19" s="0" t="s">
        <v>34</v>
      </c>
    </row>
    <row r="20" customFormat="false" ht="15" hidden="false" customHeight="false" outlineLevel="0" collapsed="false">
      <c r="A20" s="0" t="s">
        <v>87</v>
      </c>
      <c r="B20" s="0" t="s">
        <v>88</v>
      </c>
      <c r="C20" s="0" t="n">
        <v>3.46</v>
      </c>
      <c r="D20" s="0" t="n">
        <v>13.05</v>
      </c>
      <c r="E20" s="0" t="n">
        <v>2</v>
      </c>
      <c r="F20" s="0" t="s">
        <v>31</v>
      </c>
      <c r="G20" s="0" t="n">
        <v>16</v>
      </c>
      <c r="H20" s="0" t="n">
        <v>20.28</v>
      </c>
      <c r="I20" s="0" t="s">
        <v>89</v>
      </c>
      <c r="J20" s="0" t="s">
        <v>90</v>
      </c>
      <c r="K20" s="0" t="s">
        <v>34</v>
      </c>
    </row>
    <row r="21" customFormat="false" ht="15" hidden="false" customHeight="false" outlineLevel="0" collapsed="false">
      <c r="A21" s="5" t="s">
        <v>91</v>
      </c>
    </row>
    <row r="22" customFormat="false" ht="15" hidden="false" customHeight="false" outlineLevel="0" collapsed="false">
      <c r="A22" s="0" t="s">
        <v>92</v>
      </c>
      <c r="B22" s="0" t="s">
        <v>93</v>
      </c>
      <c r="C22" s="0" t="n">
        <v>3.02</v>
      </c>
      <c r="D22" s="0" t="n">
        <v>13.05</v>
      </c>
      <c r="E22" s="0" t="n">
        <v>2</v>
      </c>
      <c r="F22" s="0" t="s">
        <v>94</v>
      </c>
      <c r="G22" s="0" t="n">
        <v>16</v>
      </c>
      <c r="H22" s="0" t="n">
        <v>13.87</v>
      </c>
      <c r="I22" s="0" t="s">
        <v>95</v>
      </c>
      <c r="J22" s="0" t="s">
        <v>96</v>
      </c>
      <c r="K22" s="0" t="s">
        <v>34</v>
      </c>
    </row>
    <row r="23" customFormat="false" ht="15" hidden="false" customHeight="false" outlineLevel="0" collapsed="false">
      <c r="A23" s="0" t="s">
        <v>97</v>
      </c>
      <c r="B23" s="0" t="s">
        <v>98</v>
      </c>
      <c r="C23" s="0" t="n">
        <v>3.01</v>
      </c>
      <c r="D23" s="0" t="n">
        <v>13.05</v>
      </c>
      <c r="E23" s="0" t="n">
        <v>2</v>
      </c>
      <c r="F23" s="0" t="s">
        <v>94</v>
      </c>
      <c r="G23" s="0" t="n">
        <v>16</v>
      </c>
      <c r="H23" s="0" t="n">
        <v>12.18</v>
      </c>
      <c r="I23" s="0" t="s">
        <v>99</v>
      </c>
      <c r="J23" s="0" t="s">
        <v>100</v>
      </c>
      <c r="K23" s="0" t="s">
        <v>34</v>
      </c>
    </row>
    <row r="24" customFormat="false" ht="15" hidden="false" customHeight="false" outlineLevel="0" collapsed="false">
      <c r="A24" s="0" t="s">
        <v>101</v>
      </c>
      <c r="B24" s="0" t="s">
        <v>102</v>
      </c>
      <c r="C24" s="0" t="n">
        <v>11</v>
      </c>
      <c r="D24" s="0" t="n">
        <v>15.38</v>
      </c>
      <c r="E24" s="0" t="n">
        <v>2</v>
      </c>
      <c r="F24" s="0" t="s">
        <v>94</v>
      </c>
      <c r="G24" s="0" t="n">
        <v>16</v>
      </c>
      <c r="H24" s="0" t="n">
        <v>231</v>
      </c>
      <c r="I24" s="0" t="s">
        <v>103</v>
      </c>
      <c r="J24" s="0" t="s">
        <v>104</v>
      </c>
      <c r="K24" s="0" t="s">
        <v>34</v>
      </c>
    </row>
    <row r="25" customFormat="false" ht="15" hidden="false" customHeight="false" outlineLevel="0" collapsed="false">
      <c r="A25" s="0" t="s">
        <v>105</v>
      </c>
      <c r="B25" s="0" t="s">
        <v>106</v>
      </c>
      <c r="C25" s="0" t="n">
        <v>0.97</v>
      </c>
      <c r="D25" s="0" t="n">
        <v>15.38</v>
      </c>
      <c r="E25" s="0" t="n">
        <v>2</v>
      </c>
      <c r="F25" s="0" t="s">
        <v>94</v>
      </c>
      <c r="G25" s="0" t="n">
        <v>16</v>
      </c>
      <c r="H25" s="0" t="n">
        <v>17.46</v>
      </c>
      <c r="I25" s="0" t="s">
        <v>107</v>
      </c>
      <c r="J25" s="0" t="s">
        <v>108</v>
      </c>
      <c r="K25" s="0" t="s">
        <v>34</v>
      </c>
    </row>
    <row r="26" customFormat="false" ht="15" hidden="false" customHeight="false" outlineLevel="0" collapsed="false">
      <c r="A26" s="0" t="s">
        <v>109</v>
      </c>
      <c r="B26" s="0" t="s">
        <v>110</v>
      </c>
      <c r="C26" s="0" t="n">
        <v>19</v>
      </c>
      <c r="D26" s="0" t="n">
        <v>15.38</v>
      </c>
      <c r="E26" s="0" t="n">
        <v>2</v>
      </c>
      <c r="F26" s="0" t="s">
        <v>94</v>
      </c>
      <c r="G26" s="0" t="n">
        <v>16</v>
      </c>
      <c r="H26" s="0" t="n">
        <v>351.5</v>
      </c>
      <c r="I26" s="0" t="s">
        <v>111</v>
      </c>
      <c r="J26" s="0" t="s">
        <v>112</v>
      </c>
      <c r="K26" s="0" t="s">
        <v>34</v>
      </c>
    </row>
    <row r="27" customFormat="false" ht="15" hidden="false" customHeight="false" outlineLevel="0" collapsed="false">
      <c r="A27" s="0" t="s">
        <v>113</v>
      </c>
      <c r="B27" s="0" t="s">
        <v>114</v>
      </c>
      <c r="C27" s="0" t="n">
        <v>3.28</v>
      </c>
      <c r="D27" s="0" t="n">
        <v>13.05</v>
      </c>
      <c r="E27" s="0" t="n">
        <v>2</v>
      </c>
      <c r="F27" s="0" t="s">
        <v>94</v>
      </c>
      <c r="G27" s="0" t="n">
        <v>16</v>
      </c>
      <c r="H27" s="0" t="n">
        <v>60.68</v>
      </c>
      <c r="I27" s="0" t="s">
        <v>115</v>
      </c>
      <c r="J27" s="0" t="s">
        <v>116</v>
      </c>
      <c r="K27" s="0" t="s">
        <v>34</v>
      </c>
    </row>
    <row r="28" customFormat="false" ht="15" hidden="false" customHeight="false" outlineLevel="0" collapsed="false">
      <c r="A28" s="5" t="s">
        <v>117</v>
      </c>
    </row>
    <row r="29" customFormat="false" ht="15" hidden="false" customHeight="false" outlineLevel="0" collapsed="false">
      <c r="A29" s="0" t="s">
        <v>118</v>
      </c>
      <c r="B29" s="0" t="s">
        <v>119</v>
      </c>
      <c r="C29" s="0" t="n">
        <v>3.37</v>
      </c>
      <c r="D29" s="0" t="n">
        <v>15.38</v>
      </c>
      <c r="E29" s="0" t="n">
        <v>2</v>
      </c>
      <c r="F29" s="0" t="s">
        <v>31</v>
      </c>
      <c r="G29" s="0" t="n">
        <v>24</v>
      </c>
      <c r="H29" s="0" t="n">
        <v>103.62</v>
      </c>
      <c r="I29" s="0" t="s">
        <v>120</v>
      </c>
      <c r="J29" s="0" t="s">
        <v>121</v>
      </c>
      <c r="K29" s="0" t="s">
        <v>34</v>
      </c>
    </row>
    <row r="30" customFormat="false" ht="15" hidden="false" customHeight="false" outlineLevel="0" collapsed="false">
      <c r="A30" s="0" t="s">
        <v>122</v>
      </c>
      <c r="B30" s="0" t="s">
        <v>123</v>
      </c>
      <c r="C30" s="0" t="n">
        <v>3.37</v>
      </c>
      <c r="D30" s="0" t="n">
        <v>13.05</v>
      </c>
      <c r="E30" s="0" t="n">
        <v>2</v>
      </c>
      <c r="F30" s="0" t="s">
        <v>31</v>
      </c>
      <c r="G30" s="0" t="n">
        <v>24</v>
      </c>
      <c r="H30" s="0" t="n">
        <v>87.98</v>
      </c>
      <c r="I30" s="0" t="s">
        <v>124</v>
      </c>
      <c r="J30" s="0" t="s">
        <v>125</v>
      </c>
      <c r="K30" s="0" t="s">
        <v>34</v>
      </c>
    </row>
    <row r="31" customFormat="false" ht="15" hidden="false" customHeight="false" outlineLevel="0" collapsed="false">
      <c r="A31" s="0" t="s">
        <v>126</v>
      </c>
      <c r="B31" s="0" t="s">
        <v>127</v>
      </c>
      <c r="C31" s="0" t="n">
        <v>1.16</v>
      </c>
      <c r="D31" s="0" t="n">
        <v>13.05</v>
      </c>
      <c r="E31" s="0" t="n">
        <v>2</v>
      </c>
      <c r="F31" s="0" t="s">
        <v>31</v>
      </c>
      <c r="G31" s="0" t="n">
        <v>24</v>
      </c>
      <c r="H31" s="0" t="n">
        <v>30.28</v>
      </c>
      <c r="I31" s="0" t="s">
        <v>128</v>
      </c>
      <c r="J31" s="0" t="s">
        <v>129</v>
      </c>
      <c r="K31" s="0" t="s">
        <v>34</v>
      </c>
    </row>
    <row r="32" customFormat="false" ht="15" hidden="false" customHeight="false" outlineLevel="0" collapsed="false">
      <c r="A32" s="5" t="s">
        <v>130</v>
      </c>
    </row>
    <row r="33" customFormat="false" ht="15" hidden="false" customHeight="false" outlineLevel="0" collapsed="false">
      <c r="A33" s="0" t="s">
        <v>131</v>
      </c>
      <c r="B33" s="0" t="s">
        <v>132</v>
      </c>
      <c r="C33" s="0" t="n">
        <v>11.73</v>
      </c>
      <c r="D33" s="0" t="n">
        <v>13.05</v>
      </c>
      <c r="E33" s="0" t="n">
        <v>2</v>
      </c>
      <c r="F33" s="0" t="s">
        <v>31</v>
      </c>
      <c r="G33" s="0" t="n">
        <v>16</v>
      </c>
      <c r="H33" s="0" t="n">
        <v>264.2</v>
      </c>
      <c r="I33" s="0" t="s">
        <v>133</v>
      </c>
      <c r="J33" s="0" t="s">
        <v>134</v>
      </c>
      <c r="K33" s="0" t="s">
        <v>34</v>
      </c>
    </row>
    <row r="34" customFormat="false" ht="15" hidden="false" customHeight="false" outlineLevel="0" collapsed="false">
      <c r="A34" s="0" t="s">
        <v>135</v>
      </c>
      <c r="B34" s="0" t="s">
        <v>136</v>
      </c>
      <c r="C34" s="0" t="n">
        <v>3.5</v>
      </c>
      <c r="D34" s="0" t="n">
        <v>13.05</v>
      </c>
      <c r="E34" s="0" t="n">
        <v>2</v>
      </c>
      <c r="F34" s="0" t="s">
        <v>31</v>
      </c>
      <c r="G34" s="0" t="n">
        <v>16</v>
      </c>
      <c r="H34" s="0" t="n">
        <v>91.36</v>
      </c>
      <c r="I34" s="0" t="s">
        <v>137</v>
      </c>
      <c r="J34" s="0" t="s">
        <v>138</v>
      </c>
      <c r="K34" s="0" t="s">
        <v>34</v>
      </c>
    </row>
    <row r="35" customFormat="false" ht="15" hidden="false" customHeight="false" outlineLevel="0" collapsed="false">
      <c r="A35" s="0" t="s">
        <v>139</v>
      </c>
      <c r="B35" s="0" t="s">
        <v>140</v>
      </c>
      <c r="C35" s="0" t="n">
        <v>11.73</v>
      </c>
      <c r="D35" s="0" t="n">
        <v>13.05</v>
      </c>
      <c r="E35" s="0" t="n">
        <v>2</v>
      </c>
      <c r="F35" s="0" t="s">
        <v>31</v>
      </c>
      <c r="G35" s="0" t="n">
        <v>16</v>
      </c>
      <c r="H35" s="0" t="n">
        <v>306.2</v>
      </c>
      <c r="I35" s="0" t="s">
        <v>141</v>
      </c>
      <c r="J35" s="0" t="s">
        <v>142</v>
      </c>
      <c r="K35" s="0" t="s">
        <v>34</v>
      </c>
    </row>
    <row r="36" customFormat="false" ht="15" hidden="false" customHeight="false" outlineLevel="0" collapsed="false">
      <c r="A36" s="0" t="s">
        <v>143</v>
      </c>
      <c r="B36" s="0" t="s">
        <v>144</v>
      </c>
      <c r="C36" s="0" t="n">
        <v>9.58</v>
      </c>
      <c r="D36" s="0" t="n">
        <v>13.05</v>
      </c>
      <c r="E36" s="0" t="n">
        <v>2</v>
      </c>
      <c r="F36" s="0" t="s">
        <v>31</v>
      </c>
      <c r="G36" s="0" t="n">
        <v>16</v>
      </c>
      <c r="H36" s="0" t="n">
        <v>250.08</v>
      </c>
      <c r="I36" s="0" t="s">
        <v>145</v>
      </c>
      <c r="J36" s="0" t="s">
        <v>146</v>
      </c>
      <c r="K36" s="0" t="s">
        <v>34</v>
      </c>
    </row>
    <row r="37" customFormat="false" ht="15" hidden="false" customHeight="false" outlineLevel="0" collapsed="false">
      <c r="A37" s="0" t="s">
        <v>147</v>
      </c>
      <c r="B37" s="0" t="s">
        <v>148</v>
      </c>
      <c r="C37" s="0" t="n">
        <v>9.58</v>
      </c>
      <c r="D37" s="0" t="n">
        <v>13.05</v>
      </c>
      <c r="E37" s="0" t="n">
        <v>2</v>
      </c>
      <c r="F37" s="0" t="s">
        <v>31</v>
      </c>
      <c r="G37" s="0" t="n">
        <v>16</v>
      </c>
      <c r="H37" s="0" t="n">
        <v>250.08</v>
      </c>
      <c r="I37" s="0" t="s">
        <v>149</v>
      </c>
      <c r="J37" s="0" t="s">
        <v>150</v>
      </c>
      <c r="K37" s="0" t="s">
        <v>34</v>
      </c>
    </row>
    <row r="38" customFormat="false" ht="15" hidden="false" customHeight="false" outlineLevel="0" collapsed="false">
      <c r="A38" s="0" t="s">
        <v>151</v>
      </c>
      <c r="B38" s="0" t="s">
        <v>152</v>
      </c>
      <c r="C38" s="0" t="n">
        <v>13.74</v>
      </c>
      <c r="D38" s="0" t="n">
        <v>13.05</v>
      </c>
      <c r="E38" s="0" t="n">
        <v>2</v>
      </c>
      <c r="F38" s="0" t="s">
        <v>31</v>
      </c>
      <c r="G38" s="0" t="n">
        <v>16</v>
      </c>
      <c r="H38" s="0" t="n">
        <v>274.66</v>
      </c>
      <c r="I38" s="0" t="s">
        <v>153</v>
      </c>
      <c r="J38" s="0" t="s">
        <v>154</v>
      </c>
      <c r="K38" s="0" t="s">
        <v>34</v>
      </c>
    </row>
    <row r="39" customFormat="false" ht="15" hidden="false" customHeight="false" outlineLevel="0" collapsed="false">
      <c r="A39" s="5" t="s">
        <v>155</v>
      </c>
    </row>
    <row r="40" customFormat="false" ht="15" hidden="false" customHeight="false" outlineLevel="0" collapsed="false">
      <c r="A40" s="0" t="s">
        <v>156</v>
      </c>
      <c r="B40" s="0" t="s">
        <v>157</v>
      </c>
      <c r="C40" s="0" t="n">
        <v>5.81</v>
      </c>
      <c r="D40" s="0" t="n">
        <v>15.38</v>
      </c>
      <c r="E40" s="0" t="n">
        <v>2</v>
      </c>
      <c r="F40" s="0" t="s">
        <v>94</v>
      </c>
      <c r="G40" s="0" t="n">
        <v>16</v>
      </c>
      <c r="H40" s="0" t="n">
        <v>122.66</v>
      </c>
      <c r="I40" s="0" t="s">
        <v>158</v>
      </c>
      <c r="J40" s="0" t="s">
        <v>159</v>
      </c>
      <c r="K40" s="0" t="s">
        <v>34</v>
      </c>
    </row>
    <row r="41" customFormat="false" ht="15" hidden="false" customHeight="false" outlineLevel="0" collapsed="false">
      <c r="A41" s="0" t="s">
        <v>160</v>
      </c>
      <c r="B41" s="0" t="s">
        <v>161</v>
      </c>
      <c r="C41" s="0" t="n">
        <v>21.32</v>
      </c>
      <c r="D41" s="0" t="n">
        <v>13.05</v>
      </c>
      <c r="E41" s="0" t="n">
        <v>2</v>
      </c>
      <c r="F41" s="0" t="s">
        <v>94</v>
      </c>
      <c r="G41" s="0" t="n">
        <v>16</v>
      </c>
      <c r="H41" s="0" t="n">
        <v>388.54</v>
      </c>
      <c r="I41" s="0" t="s">
        <v>162</v>
      </c>
      <c r="J41" s="0" t="s">
        <v>163</v>
      </c>
      <c r="K41" s="0" t="s">
        <v>34</v>
      </c>
    </row>
    <row r="42" customFormat="false" ht="15" hidden="false" customHeight="false" outlineLevel="0" collapsed="false">
      <c r="A42" s="0" t="s">
        <v>164</v>
      </c>
      <c r="B42" s="0" t="s">
        <v>165</v>
      </c>
      <c r="C42" s="0" t="n">
        <v>11.74</v>
      </c>
      <c r="D42" s="0" t="n">
        <v>13.05</v>
      </c>
      <c r="E42" s="0" t="n">
        <v>2</v>
      </c>
      <c r="F42" s="0" t="s">
        <v>94</v>
      </c>
      <c r="G42" s="0" t="n">
        <v>16</v>
      </c>
      <c r="H42" s="0" t="n">
        <v>306.46</v>
      </c>
      <c r="I42" s="0" t="s">
        <v>166</v>
      </c>
      <c r="J42" s="0" t="s">
        <v>167</v>
      </c>
      <c r="K42" s="0" t="s">
        <v>34</v>
      </c>
    </row>
    <row r="43" customFormat="false" ht="15" hidden="false" customHeight="false" outlineLevel="0" collapsed="false">
      <c r="A43" s="5" t="s">
        <v>168</v>
      </c>
    </row>
    <row r="44" customFormat="false" ht="15" hidden="false" customHeight="false" outlineLevel="0" collapsed="false">
      <c r="A44" s="0" t="s">
        <v>169</v>
      </c>
      <c r="B44" s="0" t="s">
        <v>170</v>
      </c>
      <c r="C44" s="0" t="n">
        <v>1.26</v>
      </c>
      <c r="D44" s="0" t="n">
        <v>15.38</v>
      </c>
      <c r="E44" s="0" t="n">
        <v>2</v>
      </c>
      <c r="F44" s="0" t="s">
        <v>94</v>
      </c>
      <c r="G44" s="0" t="n">
        <v>24</v>
      </c>
      <c r="H44" s="0" t="n">
        <v>38.74</v>
      </c>
      <c r="I44" s="0" t="s">
        <v>171</v>
      </c>
      <c r="J44" s="0" t="s">
        <v>172</v>
      </c>
      <c r="K44" s="0" t="s">
        <v>34</v>
      </c>
    </row>
    <row r="45" customFormat="false" ht="15" hidden="false" customHeight="false" outlineLevel="0" collapsed="false">
      <c r="A45" s="5" t="s">
        <v>173</v>
      </c>
    </row>
    <row r="46" customFormat="false" ht="15" hidden="false" customHeight="false" outlineLevel="0" collapsed="false">
      <c r="A46" s="0" t="s">
        <v>174</v>
      </c>
      <c r="B46" s="0" t="s">
        <v>175</v>
      </c>
      <c r="C46" s="0" t="n">
        <v>10.63</v>
      </c>
      <c r="D46" s="0" t="n">
        <v>15.38</v>
      </c>
      <c r="E46" s="0" t="n">
        <v>1</v>
      </c>
      <c r="F46" s="0" t="s">
        <v>31</v>
      </c>
      <c r="G46" s="0" t="n">
        <v>16</v>
      </c>
      <c r="H46" s="0" t="n">
        <v>163.44</v>
      </c>
      <c r="I46" s="0" t="s">
        <v>176</v>
      </c>
      <c r="J46" s="0" t="s">
        <v>177</v>
      </c>
      <c r="K46" s="0" t="s">
        <v>34</v>
      </c>
    </row>
    <row r="47" customFormat="false" ht="15" hidden="false" customHeight="false" outlineLevel="0" collapsed="false">
      <c r="A47" s="0" t="s">
        <v>178</v>
      </c>
      <c r="B47" s="0" t="s">
        <v>179</v>
      </c>
      <c r="C47" s="0" t="n">
        <v>10.03</v>
      </c>
      <c r="D47" s="0" t="n">
        <v>13.05</v>
      </c>
      <c r="E47" s="0" t="n">
        <v>1</v>
      </c>
      <c r="F47" s="0" t="s">
        <v>31</v>
      </c>
      <c r="G47" s="0" t="n">
        <v>16</v>
      </c>
      <c r="H47" s="0" t="n">
        <v>130.91</v>
      </c>
      <c r="I47" s="0" t="s">
        <v>180</v>
      </c>
      <c r="J47" s="0" t="s">
        <v>181</v>
      </c>
      <c r="K47" s="0" t="s">
        <v>34</v>
      </c>
    </row>
    <row r="48" customFormat="false" ht="15" hidden="false" customHeight="false" outlineLevel="0" collapsed="false">
      <c r="A48" s="0" t="s">
        <v>182</v>
      </c>
      <c r="B48" s="0" t="s">
        <v>183</v>
      </c>
      <c r="C48" s="0" t="n">
        <v>10.03</v>
      </c>
      <c r="D48" s="0" t="n">
        <v>13.05</v>
      </c>
      <c r="E48" s="0" t="n">
        <v>1</v>
      </c>
      <c r="F48" s="0" t="s">
        <v>31</v>
      </c>
      <c r="G48" s="0" t="n">
        <v>16</v>
      </c>
      <c r="H48" s="0" t="n">
        <v>130.91</v>
      </c>
      <c r="I48" s="0" t="s">
        <v>184</v>
      </c>
      <c r="J48" s="0" t="s">
        <v>185</v>
      </c>
      <c r="K48" s="0" t="s">
        <v>34</v>
      </c>
    </row>
    <row r="49" customFormat="false" ht="15" hidden="false" customHeight="false" outlineLevel="0" collapsed="false">
      <c r="A49" s="0" t="s">
        <v>186</v>
      </c>
      <c r="B49" s="0" t="s">
        <v>187</v>
      </c>
      <c r="C49" s="0" t="n">
        <v>2.61</v>
      </c>
      <c r="D49" s="0" t="n">
        <v>15.38</v>
      </c>
      <c r="E49" s="0" t="n">
        <v>1</v>
      </c>
      <c r="F49" s="0" t="s">
        <v>31</v>
      </c>
      <c r="G49" s="0" t="n">
        <v>16</v>
      </c>
      <c r="H49" s="0" t="n">
        <v>40.13</v>
      </c>
      <c r="I49" s="0" t="s">
        <v>188</v>
      </c>
      <c r="J49" s="0" t="s">
        <v>189</v>
      </c>
      <c r="K49" s="0" t="s">
        <v>34</v>
      </c>
    </row>
    <row r="50" customFormat="false" ht="15" hidden="false" customHeight="false" outlineLevel="0" collapsed="false">
      <c r="A50" s="0" t="s">
        <v>190</v>
      </c>
      <c r="B50" s="0" t="s">
        <v>191</v>
      </c>
      <c r="C50" s="0" t="n">
        <v>3.21</v>
      </c>
      <c r="D50" s="0" t="n">
        <v>15.38</v>
      </c>
      <c r="E50" s="0" t="n">
        <v>1</v>
      </c>
      <c r="F50" s="0" t="s">
        <v>31</v>
      </c>
      <c r="G50" s="0" t="n">
        <v>16</v>
      </c>
      <c r="H50" s="0" t="n">
        <v>49.35</v>
      </c>
      <c r="I50" s="0" t="s">
        <v>192</v>
      </c>
      <c r="J50" s="0" t="s">
        <v>193</v>
      </c>
      <c r="K50" s="0" t="s">
        <v>34</v>
      </c>
    </row>
    <row r="51" customFormat="false" ht="15" hidden="false" customHeight="false" outlineLevel="0" collapsed="false">
      <c r="A51" s="0" t="s">
        <v>194</v>
      </c>
      <c r="B51" s="0" t="s">
        <v>195</v>
      </c>
      <c r="C51" s="0" t="n">
        <v>3</v>
      </c>
      <c r="D51" s="0" t="n">
        <v>15.38</v>
      </c>
      <c r="E51" s="0" t="n">
        <v>1</v>
      </c>
      <c r="F51" s="0" t="s">
        <v>31</v>
      </c>
      <c r="G51" s="0" t="n">
        <v>16</v>
      </c>
      <c r="H51" s="0" t="n">
        <v>46.13</v>
      </c>
      <c r="I51" s="0" t="s">
        <v>196</v>
      </c>
      <c r="J51" s="0" t="s">
        <v>197</v>
      </c>
      <c r="K51" s="0" t="s">
        <v>34</v>
      </c>
    </row>
    <row r="52" customFormat="false" ht="15" hidden="false" customHeight="false" outlineLevel="0" collapsed="false">
      <c r="A52" s="0" t="s">
        <v>198</v>
      </c>
      <c r="B52" s="0" t="s">
        <v>199</v>
      </c>
      <c r="C52" s="0" t="n">
        <v>2</v>
      </c>
      <c r="D52" s="0" t="n">
        <v>15.38</v>
      </c>
      <c r="E52" s="0" t="n">
        <v>1</v>
      </c>
      <c r="F52" s="0" t="s">
        <v>31</v>
      </c>
      <c r="G52" s="0" t="n">
        <v>16</v>
      </c>
      <c r="H52" s="0" t="n">
        <v>30.75</v>
      </c>
      <c r="I52" s="0" t="s">
        <v>200</v>
      </c>
      <c r="J52" s="0" t="s">
        <v>201</v>
      </c>
      <c r="K52" s="0" t="s">
        <v>34</v>
      </c>
    </row>
    <row r="53" customFormat="false" ht="15" hidden="false" customHeight="false" outlineLevel="0" collapsed="false">
      <c r="A53" s="0" t="s">
        <v>202</v>
      </c>
      <c r="B53" s="0" t="s">
        <v>203</v>
      </c>
      <c r="C53" s="0" t="n">
        <v>3.56</v>
      </c>
      <c r="D53" s="0" t="n">
        <v>13.05</v>
      </c>
      <c r="E53" s="0" t="n">
        <v>1</v>
      </c>
      <c r="F53" s="0" t="s">
        <v>31</v>
      </c>
      <c r="G53" s="0" t="n">
        <v>16</v>
      </c>
      <c r="H53" s="0" t="n">
        <v>46.47</v>
      </c>
      <c r="I53" s="0" t="s">
        <v>204</v>
      </c>
      <c r="J53" s="0" t="s">
        <v>205</v>
      </c>
      <c r="K53" s="0" t="s">
        <v>34</v>
      </c>
    </row>
    <row r="54" customFormat="false" ht="15" hidden="false" customHeight="false" outlineLevel="0" collapsed="false">
      <c r="A54" s="5" t="s">
        <v>206</v>
      </c>
    </row>
    <row r="55" customFormat="false" ht="15" hidden="false" customHeight="false" outlineLevel="0" collapsed="false">
      <c r="A55" s="0" t="s">
        <v>207</v>
      </c>
      <c r="B55" s="0" t="s">
        <v>208</v>
      </c>
      <c r="C55" s="0" t="n">
        <v>16.92</v>
      </c>
      <c r="D55" s="0" t="n">
        <v>15.38</v>
      </c>
      <c r="E55" s="0" t="n">
        <v>2</v>
      </c>
      <c r="F55" s="0" t="s">
        <v>31</v>
      </c>
      <c r="G55" s="0" t="n">
        <v>16</v>
      </c>
      <c r="H55" s="0" t="n">
        <v>317.84</v>
      </c>
      <c r="I55" s="0" t="s">
        <v>209</v>
      </c>
      <c r="J55" s="0" t="s">
        <v>210</v>
      </c>
      <c r="K55" s="0" t="s">
        <v>34</v>
      </c>
    </row>
    <row r="56" customFormat="false" ht="15" hidden="false" customHeight="false" outlineLevel="0" collapsed="false">
      <c r="A56" s="5" t="s">
        <v>211</v>
      </c>
    </row>
    <row r="57" customFormat="false" ht="15" hidden="false" customHeight="false" outlineLevel="0" collapsed="false">
      <c r="A57" s="0" t="s">
        <v>212</v>
      </c>
      <c r="B57" s="0" t="s">
        <v>213</v>
      </c>
      <c r="C57" s="0" t="n">
        <v>11.63</v>
      </c>
      <c r="D57" s="0" t="n">
        <v>15.38</v>
      </c>
      <c r="E57" s="0" t="n">
        <v>4</v>
      </c>
      <c r="F57" s="0" t="s">
        <v>214</v>
      </c>
      <c r="G57" s="0" t="n">
        <v>16</v>
      </c>
      <c r="H57" s="0" t="n">
        <v>715.24</v>
      </c>
      <c r="I57" s="0" t="s">
        <v>215</v>
      </c>
      <c r="J57" s="0" t="s">
        <v>216</v>
      </c>
      <c r="K57" s="0" t="s">
        <v>34</v>
      </c>
    </row>
    <row r="58" customFormat="false" ht="15" hidden="false" customHeight="false" outlineLevel="0" collapsed="false">
      <c r="A58" s="0" t="s">
        <v>217</v>
      </c>
      <c r="B58" s="0" t="s">
        <v>218</v>
      </c>
      <c r="C58" s="0" t="n">
        <v>11.63</v>
      </c>
      <c r="D58" s="0" t="n">
        <v>15.38</v>
      </c>
      <c r="E58" s="0" t="n">
        <v>4</v>
      </c>
      <c r="F58" s="0" t="s">
        <v>214</v>
      </c>
      <c r="G58" s="0" t="n">
        <v>16</v>
      </c>
      <c r="H58" s="0" t="n">
        <v>715.24</v>
      </c>
      <c r="I58" s="0" t="s">
        <v>219</v>
      </c>
      <c r="J58" s="0" t="s">
        <v>220</v>
      </c>
      <c r="K58" s="0" t="s">
        <v>34</v>
      </c>
    </row>
    <row r="59" customFormat="false" ht="15" hidden="false" customHeight="false" outlineLevel="0" collapsed="false">
      <c r="A59" s="0" t="s">
        <v>221</v>
      </c>
      <c r="B59" s="0" t="s">
        <v>222</v>
      </c>
      <c r="C59" s="0" t="n">
        <v>11.63</v>
      </c>
      <c r="D59" s="0" t="n">
        <v>15.38</v>
      </c>
      <c r="E59" s="0" t="n">
        <v>4</v>
      </c>
      <c r="F59" s="0" t="s">
        <v>214</v>
      </c>
      <c r="G59" s="0" t="n">
        <v>16</v>
      </c>
      <c r="H59" s="0" t="n">
        <v>715.24</v>
      </c>
      <c r="I59" s="0" t="s">
        <v>223</v>
      </c>
      <c r="J59" s="0" t="s">
        <v>224</v>
      </c>
      <c r="K59" s="0" t="s">
        <v>34</v>
      </c>
    </row>
    <row r="60" customFormat="false" ht="15" hidden="false" customHeight="false" outlineLevel="0" collapsed="false">
      <c r="A60" s="0" t="s">
        <v>225</v>
      </c>
      <c r="B60" s="0" t="s">
        <v>226</v>
      </c>
      <c r="C60" s="0" t="n">
        <v>11.77</v>
      </c>
      <c r="D60" s="0" t="n">
        <v>15.38</v>
      </c>
      <c r="E60" s="0" t="n">
        <v>4</v>
      </c>
      <c r="F60" s="0" t="s">
        <v>214</v>
      </c>
      <c r="G60" s="0" t="n">
        <v>16</v>
      </c>
      <c r="H60" s="0" t="n">
        <v>723.86</v>
      </c>
      <c r="I60" s="0" t="s">
        <v>227</v>
      </c>
      <c r="J60" s="0" t="s">
        <v>228</v>
      </c>
      <c r="K60" s="0" t="s">
        <v>34</v>
      </c>
    </row>
    <row r="61" customFormat="false" ht="15" hidden="false" customHeight="false" outlineLevel="0" collapsed="false">
      <c r="A61" s="0" t="s">
        <v>229</v>
      </c>
      <c r="B61" s="0" t="s">
        <v>230</v>
      </c>
      <c r="C61" s="0" t="n">
        <v>11.77</v>
      </c>
      <c r="D61" s="0" t="n">
        <v>15.38</v>
      </c>
      <c r="E61" s="0" t="n">
        <v>4</v>
      </c>
      <c r="F61" s="0" t="s">
        <v>214</v>
      </c>
      <c r="G61" s="0" t="n">
        <v>16</v>
      </c>
      <c r="H61" s="0" t="n">
        <v>723.86</v>
      </c>
      <c r="I61" s="0" t="s">
        <v>231</v>
      </c>
      <c r="J61" s="0" t="s">
        <v>232</v>
      </c>
      <c r="K61" s="0" t="s">
        <v>34</v>
      </c>
    </row>
    <row r="62" customFormat="false" ht="15" hidden="false" customHeight="false" outlineLevel="0" collapsed="false">
      <c r="A62" s="0" t="s">
        <v>233</v>
      </c>
      <c r="B62" s="0" t="s">
        <v>234</v>
      </c>
      <c r="C62" s="0" t="n">
        <v>10.07</v>
      </c>
      <c r="D62" s="0" t="n">
        <v>15.38</v>
      </c>
      <c r="E62" s="0" t="n">
        <v>4</v>
      </c>
      <c r="F62" s="0" t="s">
        <v>214</v>
      </c>
      <c r="G62" s="0" t="n">
        <v>16</v>
      </c>
      <c r="H62" s="0" t="n">
        <v>619.3</v>
      </c>
      <c r="I62" s="0" t="s">
        <v>235</v>
      </c>
      <c r="J62" s="0" t="s">
        <v>236</v>
      </c>
      <c r="K62" s="0" t="s">
        <v>34</v>
      </c>
    </row>
    <row r="63" customFormat="false" ht="15" hidden="false" customHeight="false" outlineLevel="0" collapsed="false">
      <c r="A63" s="0" t="s">
        <v>237</v>
      </c>
      <c r="B63" s="0" t="s">
        <v>238</v>
      </c>
      <c r="C63" s="0" t="n">
        <v>2.42</v>
      </c>
      <c r="D63" s="0" t="n">
        <v>15.38</v>
      </c>
      <c r="E63" s="0" t="n">
        <v>4</v>
      </c>
      <c r="F63" s="0" t="s">
        <v>214</v>
      </c>
      <c r="G63" s="0" t="n">
        <v>16</v>
      </c>
      <c r="H63" s="0" t="n">
        <v>148.82</v>
      </c>
      <c r="I63" s="0" t="s">
        <v>239</v>
      </c>
      <c r="J63" s="0" t="s">
        <v>240</v>
      </c>
      <c r="K63" s="0" t="s">
        <v>34</v>
      </c>
    </row>
    <row r="64" customFormat="false" ht="15" hidden="false" customHeight="false" outlineLevel="0" collapsed="false">
      <c r="A64" s="0" t="s">
        <v>241</v>
      </c>
      <c r="B64" s="0" t="s">
        <v>242</v>
      </c>
      <c r="C64" s="0" t="n">
        <v>3.47</v>
      </c>
      <c r="D64" s="0" t="n">
        <v>15.38</v>
      </c>
      <c r="E64" s="0" t="n">
        <v>4</v>
      </c>
      <c r="F64" s="0" t="s">
        <v>214</v>
      </c>
      <c r="G64" s="0" t="n">
        <v>16</v>
      </c>
      <c r="H64" s="0" t="n">
        <v>213.4</v>
      </c>
      <c r="I64" s="0" t="s">
        <v>243</v>
      </c>
      <c r="J64" s="0" t="s">
        <v>240</v>
      </c>
      <c r="K64" s="0" t="s">
        <v>34</v>
      </c>
    </row>
    <row r="65" customFormat="false" ht="15" hidden="false" customHeight="false" outlineLevel="0" collapsed="false">
      <c r="A65" s="0" t="s">
        <v>244</v>
      </c>
      <c r="B65" s="0" t="s">
        <v>245</v>
      </c>
      <c r="C65" s="0" t="n">
        <v>3.25</v>
      </c>
      <c r="D65" s="0" t="n">
        <v>15.38</v>
      </c>
      <c r="E65" s="0" t="n">
        <v>4</v>
      </c>
      <c r="F65" s="0" t="s">
        <v>214</v>
      </c>
      <c r="G65" s="0" t="n">
        <v>16</v>
      </c>
      <c r="H65" s="0" t="n">
        <v>199.88</v>
      </c>
      <c r="I65" s="0" t="s">
        <v>246</v>
      </c>
      <c r="J65" s="0" t="s">
        <v>240</v>
      </c>
      <c r="K65" s="0" t="s">
        <v>34</v>
      </c>
    </row>
    <row r="66" customFormat="false" ht="15" hidden="false" customHeight="false" outlineLevel="0" collapsed="false">
      <c r="A66" s="0" t="s">
        <v>247</v>
      </c>
      <c r="B66" s="0" t="s">
        <v>248</v>
      </c>
      <c r="C66" s="0" t="n">
        <v>3.25</v>
      </c>
      <c r="D66" s="0" t="n">
        <v>15.38</v>
      </c>
      <c r="E66" s="0" t="n">
        <v>4</v>
      </c>
      <c r="F66" s="0" t="s">
        <v>214</v>
      </c>
      <c r="G66" s="0" t="n">
        <v>16</v>
      </c>
      <c r="H66" s="0" t="n">
        <v>199.88</v>
      </c>
      <c r="I66" s="0" t="s">
        <v>249</v>
      </c>
      <c r="J66" s="0" t="s">
        <v>240</v>
      </c>
      <c r="K66" s="0" t="s">
        <v>34</v>
      </c>
    </row>
    <row r="67" customFormat="false" ht="15" hidden="false" customHeight="false" outlineLevel="0" collapsed="false">
      <c r="A67" s="5" t="s">
        <v>250</v>
      </c>
    </row>
    <row r="68" customFormat="false" ht="15" hidden="false" customHeight="false" outlineLevel="0" collapsed="false">
      <c r="A68" s="0" t="s">
        <v>251</v>
      </c>
      <c r="B68" s="0" t="s">
        <v>252</v>
      </c>
      <c r="C68" s="0" t="n">
        <v>11.77</v>
      </c>
      <c r="D68" s="0" t="n">
        <v>15.38</v>
      </c>
      <c r="E68" s="0" t="n">
        <v>4</v>
      </c>
      <c r="F68" s="0" t="s">
        <v>214</v>
      </c>
      <c r="G68" s="0" t="n">
        <v>16</v>
      </c>
      <c r="H68" s="0" t="n">
        <v>723.86</v>
      </c>
      <c r="I68" s="0" t="s">
        <v>253</v>
      </c>
      <c r="J68" s="0" t="s">
        <v>254</v>
      </c>
      <c r="K68" s="0" t="s">
        <v>34</v>
      </c>
    </row>
    <row r="69" customFormat="false" ht="15" hidden="false" customHeight="false" outlineLevel="0" collapsed="false">
      <c r="A69" s="0" t="s">
        <v>255</v>
      </c>
      <c r="B69" s="0" t="s">
        <v>256</v>
      </c>
      <c r="C69" s="0" t="n">
        <v>3.51</v>
      </c>
      <c r="D69" s="0" t="n">
        <v>15.38</v>
      </c>
      <c r="E69" s="0" t="n">
        <v>4</v>
      </c>
      <c r="F69" s="0" t="s">
        <v>214</v>
      </c>
      <c r="G69" s="0" t="n">
        <v>16</v>
      </c>
      <c r="H69" s="0" t="n">
        <v>215.86</v>
      </c>
      <c r="I69" s="0" t="s">
        <v>257</v>
      </c>
      <c r="J69" s="0" t="s">
        <v>258</v>
      </c>
      <c r="K69" s="0" t="s">
        <v>34</v>
      </c>
    </row>
    <row r="70" customFormat="false" ht="15" hidden="false" customHeight="false" outlineLevel="0" collapsed="false">
      <c r="A70" s="0" t="s">
        <v>259</v>
      </c>
      <c r="B70" s="0" t="s">
        <v>260</v>
      </c>
      <c r="C70" s="0" t="n">
        <v>3.18</v>
      </c>
      <c r="D70" s="0" t="n">
        <v>15.38</v>
      </c>
      <c r="E70" s="0" t="n">
        <v>4</v>
      </c>
      <c r="F70" s="0" t="s">
        <v>214</v>
      </c>
      <c r="G70" s="0" t="n">
        <v>16</v>
      </c>
      <c r="H70" s="0" t="n">
        <v>195.58</v>
      </c>
      <c r="I70" s="0" t="s">
        <v>261</v>
      </c>
      <c r="J70" s="0" t="s">
        <v>258</v>
      </c>
      <c r="K70" s="0" t="s">
        <v>34</v>
      </c>
    </row>
    <row r="71" customFormat="false" ht="15" hidden="false" customHeight="false" outlineLevel="0" collapsed="false">
      <c r="A71" s="5" t="s">
        <v>262</v>
      </c>
    </row>
    <row r="72" customFormat="false" ht="15" hidden="false" customHeight="false" outlineLevel="0" collapsed="false">
      <c r="A72" s="0" t="s">
        <v>263</v>
      </c>
      <c r="B72" s="0" t="s">
        <v>264</v>
      </c>
      <c r="C72" s="0" t="n">
        <v>50.53</v>
      </c>
      <c r="D72" s="0" t="n">
        <v>14.36</v>
      </c>
      <c r="E72" s="0" t="n">
        <v>2</v>
      </c>
      <c r="F72" s="0" t="s">
        <v>94</v>
      </c>
      <c r="G72" s="0" t="n">
        <v>16</v>
      </c>
      <c r="H72" s="0" t="n">
        <v>712.9</v>
      </c>
      <c r="I72" s="0" t="s">
        <v>265</v>
      </c>
      <c r="J72" s="0" t="s">
        <v>266</v>
      </c>
      <c r="K72" s="0" t="s">
        <v>34</v>
      </c>
    </row>
    <row r="73" customFormat="false" ht="15" hidden="false" customHeight="false" outlineLevel="0" collapsed="false">
      <c r="A73" s="0" t="s">
        <v>267</v>
      </c>
      <c r="B73" s="0" t="s">
        <v>268</v>
      </c>
      <c r="C73" s="0" t="n">
        <v>24.85</v>
      </c>
      <c r="D73" s="0" t="n">
        <v>11.91</v>
      </c>
      <c r="E73" s="0" t="n">
        <v>2</v>
      </c>
      <c r="F73" s="0" t="s">
        <v>94</v>
      </c>
      <c r="G73" s="0" t="n">
        <v>16</v>
      </c>
      <c r="H73" s="0" t="n">
        <v>324.34</v>
      </c>
      <c r="I73" s="0" t="s">
        <v>269</v>
      </c>
      <c r="J73" s="0" t="s">
        <v>266</v>
      </c>
      <c r="K73" s="0" t="s">
        <v>34</v>
      </c>
    </row>
    <row r="74" customFormat="false" ht="15" hidden="false" customHeight="false" outlineLevel="0" collapsed="false">
      <c r="A74" s="0" t="s">
        <v>270</v>
      </c>
      <c r="B74" s="0" t="s">
        <v>271</v>
      </c>
      <c r="C74" s="0" t="n">
        <v>51.79</v>
      </c>
      <c r="D74" s="0" t="n">
        <v>11.17</v>
      </c>
      <c r="E74" s="0" t="n">
        <v>2</v>
      </c>
      <c r="F74" s="0" t="s">
        <v>94</v>
      </c>
      <c r="G74" s="0" t="n">
        <v>16</v>
      </c>
      <c r="H74" s="0" t="n">
        <v>624.98</v>
      </c>
      <c r="I74" s="0" t="s">
        <v>272</v>
      </c>
      <c r="J74" s="0" t="s">
        <v>266</v>
      </c>
      <c r="K74" s="0" t="s">
        <v>34</v>
      </c>
    </row>
    <row r="75" customFormat="false" ht="15" hidden="false" customHeight="false" outlineLevel="0" collapsed="false">
      <c r="A75" s="0" t="s">
        <v>273</v>
      </c>
      <c r="B75" s="0" t="s">
        <v>274</v>
      </c>
      <c r="C75" s="0" t="n">
        <v>24.85</v>
      </c>
      <c r="D75" s="0" t="n">
        <v>11.91</v>
      </c>
      <c r="E75" s="0" t="n">
        <v>2</v>
      </c>
      <c r="F75" s="0" t="s">
        <v>94</v>
      </c>
      <c r="G75" s="0" t="n">
        <v>16</v>
      </c>
      <c r="H75" s="0" t="n">
        <v>324.34</v>
      </c>
      <c r="I75" s="0" t="s">
        <v>275</v>
      </c>
      <c r="J75" s="0" t="s">
        <v>266</v>
      </c>
      <c r="K75" s="0" t="s">
        <v>34</v>
      </c>
    </row>
    <row r="76" customFormat="false" ht="15" hidden="false" customHeight="false" outlineLevel="0" collapsed="false">
      <c r="A76" s="0" t="s">
        <v>276</v>
      </c>
      <c r="B76" s="0" t="s">
        <v>277</v>
      </c>
      <c r="C76" s="0" t="n">
        <v>22.52</v>
      </c>
      <c r="D76" s="0" t="n">
        <v>14.36</v>
      </c>
      <c r="E76" s="0" t="n">
        <v>2</v>
      </c>
      <c r="F76" s="0" t="s">
        <v>94</v>
      </c>
      <c r="G76" s="0" t="n">
        <v>16</v>
      </c>
      <c r="H76" s="0" t="n">
        <v>314.25</v>
      </c>
      <c r="I76" s="0" t="s">
        <v>278</v>
      </c>
      <c r="J76" s="0" t="s">
        <v>266</v>
      </c>
      <c r="K76" s="0" t="s">
        <v>34</v>
      </c>
    </row>
    <row r="77" customFormat="false" ht="15" hidden="false" customHeight="false" outlineLevel="0" collapsed="false">
      <c r="A77" s="0" t="s">
        <v>279</v>
      </c>
      <c r="B77" s="0" t="s">
        <v>280</v>
      </c>
      <c r="C77" s="0" t="n">
        <v>3.85</v>
      </c>
      <c r="D77" s="0" t="n">
        <v>14.36</v>
      </c>
      <c r="E77" s="0" t="n">
        <v>2</v>
      </c>
      <c r="F77" s="0" t="s">
        <v>94</v>
      </c>
      <c r="G77" s="0" t="n">
        <v>16</v>
      </c>
      <c r="H77" s="0" t="n">
        <v>59.19</v>
      </c>
      <c r="I77" s="0" t="s">
        <v>281</v>
      </c>
      <c r="J77" s="0" t="s">
        <v>266</v>
      </c>
      <c r="K77" s="0" t="s">
        <v>34</v>
      </c>
    </row>
    <row r="78" customFormat="false" ht="15" hidden="false" customHeight="false" outlineLevel="0" collapsed="false">
      <c r="A78" s="0" t="s">
        <v>282</v>
      </c>
      <c r="B78" s="0" t="s">
        <v>283</v>
      </c>
      <c r="C78" s="0" t="n">
        <v>29.01</v>
      </c>
      <c r="D78" s="0" t="n">
        <v>14.36</v>
      </c>
      <c r="E78" s="0" t="n">
        <v>2</v>
      </c>
      <c r="F78" s="0" t="s">
        <v>94</v>
      </c>
      <c r="G78" s="0" t="n">
        <v>16</v>
      </c>
      <c r="H78" s="0" t="n">
        <v>385.11</v>
      </c>
      <c r="I78" s="0" t="s">
        <v>284</v>
      </c>
      <c r="J78" s="0" t="s">
        <v>266</v>
      </c>
      <c r="K78" s="0" t="s">
        <v>34</v>
      </c>
    </row>
    <row r="79" customFormat="false" ht="15" hidden="false" customHeight="false" outlineLevel="0" collapsed="false">
      <c r="A79" s="0" t="s">
        <v>285</v>
      </c>
      <c r="B79" s="0" t="s">
        <v>286</v>
      </c>
      <c r="C79" s="0" t="n">
        <v>16.75</v>
      </c>
      <c r="D79" s="0" t="n">
        <v>14.36</v>
      </c>
      <c r="E79" s="0" t="n">
        <v>2</v>
      </c>
      <c r="F79" s="0" t="s">
        <v>94</v>
      </c>
      <c r="G79" s="0" t="n">
        <v>16</v>
      </c>
      <c r="H79" s="0" t="n">
        <v>150.77</v>
      </c>
      <c r="I79" s="0" t="s">
        <v>287</v>
      </c>
      <c r="J79" s="0" t="s">
        <v>266</v>
      </c>
      <c r="K79" s="0" t="s">
        <v>34</v>
      </c>
    </row>
    <row r="80" customFormat="false" ht="15" hidden="false" customHeight="false" outlineLevel="0" collapsed="false">
      <c r="A80" s="0" t="s">
        <v>288</v>
      </c>
      <c r="B80" s="0" t="s">
        <v>289</v>
      </c>
      <c r="C80" s="0" t="n">
        <v>38.89</v>
      </c>
      <c r="D80" s="0" t="n">
        <v>13.9</v>
      </c>
      <c r="E80" s="0" t="n">
        <v>2</v>
      </c>
      <c r="F80" s="0" t="s">
        <v>94</v>
      </c>
      <c r="G80" s="0" t="n">
        <v>16</v>
      </c>
      <c r="H80" s="0" t="n">
        <v>374.81</v>
      </c>
      <c r="I80" s="0" t="s">
        <v>290</v>
      </c>
      <c r="J80" s="0" t="s">
        <v>266</v>
      </c>
      <c r="K80" s="0" t="s">
        <v>34</v>
      </c>
    </row>
    <row r="81" customFormat="false" ht="15" hidden="false" customHeight="false" outlineLevel="0" collapsed="false">
      <c r="A81" s="5" t="s">
        <v>291</v>
      </c>
    </row>
    <row r="82" customFormat="false" ht="15" hidden="false" customHeight="false" outlineLevel="0" collapsed="false">
      <c r="A82" s="0" t="s">
        <v>292</v>
      </c>
      <c r="B82" s="0" t="s">
        <v>293</v>
      </c>
      <c r="C82" s="0" t="n">
        <v>50.53</v>
      </c>
      <c r="D82" s="0" t="n">
        <v>2.04</v>
      </c>
      <c r="E82" s="0" t="n">
        <v>2</v>
      </c>
      <c r="F82" s="0" t="s">
        <v>94</v>
      </c>
      <c r="G82" s="0" t="n">
        <v>16</v>
      </c>
      <c r="H82" s="0" t="n">
        <v>103.08</v>
      </c>
      <c r="I82" s="0" t="s">
        <v>294</v>
      </c>
      <c r="J82" s="0" t="s">
        <v>295</v>
      </c>
      <c r="K82" s="0" t="s">
        <v>34</v>
      </c>
    </row>
    <row r="83" customFormat="false" ht="15" hidden="false" customHeight="false" outlineLevel="0" collapsed="false">
      <c r="A83" s="0" t="s">
        <v>296</v>
      </c>
      <c r="B83" s="0" t="s">
        <v>297</v>
      </c>
      <c r="C83" s="0" t="n">
        <v>24.85</v>
      </c>
      <c r="D83" s="0" t="n">
        <v>4.63</v>
      </c>
      <c r="E83" s="0" t="n">
        <v>2</v>
      </c>
      <c r="F83" s="0" t="s">
        <v>94</v>
      </c>
      <c r="G83" s="0" t="n">
        <v>16</v>
      </c>
      <c r="H83" s="0" t="n">
        <v>115.06</v>
      </c>
      <c r="I83" s="0" t="s">
        <v>298</v>
      </c>
      <c r="J83" s="0" t="s">
        <v>295</v>
      </c>
      <c r="K83" s="0" t="s">
        <v>34</v>
      </c>
    </row>
    <row r="84" customFormat="false" ht="15" hidden="false" customHeight="false" outlineLevel="0" collapsed="false">
      <c r="A84" s="0" t="s">
        <v>299</v>
      </c>
      <c r="B84" s="0" t="s">
        <v>300</v>
      </c>
      <c r="C84" s="0" t="n">
        <v>51.79</v>
      </c>
      <c r="D84" s="0" t="n">
        <v>4.89</v>
      </c>
      <c r="E84" s="0" t="n">
        <v>2</v>
      </c>
      <c r="F84" s="0" t="s">
        <v>94</v>
      </c>
      <c r="G84" s="0" t="n">
        <v>16</v>
      </c>
      <c r="H84" s="0" t="n">
        <v>253.25</v>
      </c>
      <c r="I84" s="0" t="s">
        <v>301</v>
      </c>
      <c r="J84" s="0" t="s">
        <v>295</v>
      </c>
      <c r="K84" s="0" t="s">
        <v>34</v>
      </c>
    </row>
    <row r="85" customFormat="false" ht="15" hidden="false" customHeight="false" outlineLevel="0" collapsed="false">
      <c r="A85" s="0" t="s">
        <v>302</v>
      </c>
      <c r="B85" s="0" t="s">
        <v>303</v>
      </c>
      <c r="C85" s="0" t="n">
        <v>24.85</v>
      </c>
      <c r="D85" s="0" t="n">
        <v>4.63</v>
      </c>
      <c r="E85" s="0" t="n">
        <v>2</v>
      </c>
      <c r="F85" s="0" t="s">
        <v>94</v>
      </c>
      <c r="G85" s="0" t="n">
        <v>16</v>
      </c>
      <c r="H85" s="0" t="n">
        <v>115.06</v>
      </c>
      <c r="I85" s="0" t="s">
        <v>304</v>
      </c>
      <c r="J85" s="0" t="s">
        <v>295</v>
      </c>
      <c r="K85" s="0" t="s">
        <v>34</v>
      </c>
    </row>
    <row r="86" customFormat="false" ht="15" hidden="false" customHeight="false" outlineLevel="0" collapsed="false">
      <c r="A86" s="0" t="s">
        <v>305</v>
      </c>
      <c r="B86" s="0" t="s">
        <v>306</v>
      </c>
      <c r="C86" s="0" t="n">
        <v>22.52</v>
      </c>
      <c r="D86" s="0" t="n">
        <v>2.04</v>
      </c>
      <c r="E86" s="0" t="n">
        <v>2</v>
      </c>
      <c r="F86" s="0" t="s">
        <v>94</v>
      </c>
      <c r="G86" s="0" t="n">
        <v>16</v>
      </c>
      <c r="H86" s="0" t="n">
        <v>45.94</v>
      </c>
      <c r="I86" s="0" t="s">
        <v>307</v>
      </c>
      <c r="J86" s="0" t="s">
        <v>295</v>
      </c>
      <c r="K86" s="0" t="s">
        <v>34</v>
      </c>
    </row>
    <row r="87" customFormat="false" ht="15" hidden="false" customHeight="false" outlineLevel="0" collapsed="false">
      <c r="A87" s="0" t="s">
        <v>308</v>
      </c>
      <c r="B87" s="0" t="s">
        <v>309</v>
      </c>
      <c r="C87" s="0" t="n">
        <v>3.85</v>
      </c>
      <c r="D87" s="0" t="n">
        <v>4.29</v>
      </c>
      <c r="E87" s="0" t="n">
        <v>2</v>
      </c>
      <c r="F87" s="0" t="s">
        <v>94</v>
      </c>
      <c r="G87" s="0" t="n">
        <v>16</v>
      </c>
      <c r="H87" s="0" t="n">
        <v>16.52</v>
      </c>
      <c r="I87" s="0" t="s">
        <v>310</v>
      </c>
      <c r="J87" s="0" t="s">
        <v>295</v>
      </c>
      <c r="K87" s="0" t="s">
        <v>34</v>
      </c>
    </row>
    <row r="88" customFormat="false" ht="15" hidden="false" customHeight="false" outlineLevel="0" collapsed="false">
      <c r="A88" s="0" t="s">
        <v>311</v>
      </c>
      <c r="B88" s="0" t="s">
        <v>312</v>
      </c>
      <c r="C88" s="0" t="n">
        <v>29.01</v>
      </c>
      <c r="D88" s="0" t="n">
        <v>4.29</v>
      </c>
      <c r="E88" s="0" t="n">
        <v>2</v>
      </c>
      <c r="F88" s="0" t="s">
        <v>94</v>
      </c>
      <c r="G88" s="0" t="n">
        <v>16</v>
      </c>
      <c r="H88" s="0" t="n">
        <v>124.45</v>
      </c>
      <c r="I88" s="0" t="s">
        <v>313</v>
      </c>
      <c r="J88" s="0" t="s">
        <v>295</v>
      </c>
      <c r="K88" s="0" t="s">
        <v>34</v>
      </c>
    </row>
    <row r="89" customFormat="false" ht="15" hidden="false" customHeight="false" outlineLevel="0" collapsed="false">
      <c r="A89" s="0" t="s">
        <v>314</v>
      </c>
      <c r="B89" s="0" t="s">
        <v>315</v>
      </c>
      <c r="C89" s="0" t="n">
        <v>16.75</v>
      </c>
      <c r="D89" s="0" t="n">
        <v>4.29</v>
      </c>
      <c r="E89" s="0" t="n">
        <v>2</v>
      </c>
      <c r="F89" s="0" t="s">
        <v>94</v>
      </c>
      <c r="G89" s="0" t="n">
        <v>16</v>
      </c>
      <c r="H89" s="0" t="n">
        <v>71.86</v>
      </c>
      <c r="I89" s="0" t="s">
        <v>316</v>
      </c>
      <c r="J89" s="0" t="s">
        <v>295</v>
      </c>
      <c r="K89" s="0" t="s">
        <v>34</v>
      </c>
    </row>
    <row r="90" customFormat="false" ht="15" hidden="false" customHeight="false" outlineLevel="0" collapsed="false">
      <c r="A90" s="0" t="s">
        <v>317</v>
      </c>
      <c r="B90" s="0" t="s">
        <v>318</v>
      </c>
      <c r="C90" s="0" t="n">
        <v>38.89</v>
      </c>
      <c r="D90" s="0" t="n">
        <v>2.04</v>
      </c>
      <c r="E90" s="0" t="n">
        <v>2</v>
      </c>
      <c r="F90" s="0" t="s">
        <v>94</v>
      </c>
      <c r="G90" s="0" t="n">
        <v>16</v>
      </c>
      <c r="H90" s="0" t="n">
        <v>79.34</v>
      </c>
      <c r="I90" s="0" t="s">
        <v>319</v>
      </c>
      <c r="J90" s="0" t="s">
        <v>295</v>
      </c>
      <c r="K90" s="0" t="s">
        <v>34</v>
      </c>
    </row>
    <row r="91" customFormat="false" ht="15" hidden="false" customHeight="false" outlineLevel="0" collapsed="false">
      <c r="A91" s="0" t="s">
        <v>320</v>
      </c>
      <c r="B91" s="0" t="s">
        <v>321</v>
      </c>
      <c r="C91" s="0" t="n">
        <v>3.6</v>
      </c>
      <c r="D91" s="0" t="n">
        <v>4.29</v>
      </c>
      <c r="E91" s="0" t="n">
        <v>2</v>
      </c>
      <c r="F91" s="0" t="s">
        <v>94</v>
      </c>
      <c r="G91" s="0" t="n">
        <v>16</v>
      </c>
      <c r="H91" s="0" t="n">
        <v>30.89</v>
      </c>
      <c r="I91" s="0" t="s">
        <v>322</v>
      </c>
      <c r="J91" s="0" t="s">
        <v>323</v>
      </c>
      <c r="K91" s="0" t="s">
        <v>34</v>
      </c>
    </row>
    <row r="92" customFormat="false" ht="15" hidden="false" customHeight="false" outlineLevel="0" collapsed="false">
      <c r="A92" s="5" t="s">
        <v>324</v>
      </c>
    </row>
    <row r="93" customFormat="false" ht="15" hidden="false" customHeight="false" outlineLevel="0" collapsed="false">
      <c r="A93" s="0" t="s">
        <v>325</v>
      </c>
      <c r="B93" s="0" t="s">
        <v>326</v>
      </c>
      <c r="C93" s="0" t="n">
        <v>51.79</v>
      </c>
      <c r="D93" s="0" t="n">
        <v>7.78</v>
      </c>
      <c r="E93" s="0" t="n">
        <v>2</v>
      </c>
      <c r="F93" s="0" t="s">
        <v>31</v>
      </c>
      <c r="G93" s="0" t="n">
        <v>16</v>
      </c>
      <c r="H93" s="0" t="n">
        <v>302.97</v>
      </c>
      <c r="I93" s="0" t="s">
        <v>327</v>
      </c>
      <c r="J93" s="0" t="s">
        <v>328</v>
      </c>
      <c r="K93" s="0" t="s">
        <v>34</v>
      </c>
    </row>
    <row r="94" customFormat="false" ht="15" hidden="false" customHeight="false" outlineLevel="0" collapsed="false">
      <c r="A94" s="5" t="s">
        <v>329</v>
      </c>
    </row>
    <row r="95" customFormat="false" ht="15" hidden="false" customHeight="false" outlineLevel="0" collapsed="false">
      <c r="A95" s="0" t="s">
        <v>330</v>
      </c>
      <c r="B95" s="0" t="s">
        <v>331</v>
      </c>
      <c r="C95" s="0" t="n">
        <v>7.5</v>
      </c>
      <c r="D95" s="0" t="n">
        <v>7.33</v>
      </c>
      <c r="E95" s="0" t="n">
        <v>4</v>
      </c>
      <c r="F95" s="0" t="s">
        <v>214</v>
      </c>
      <c r="G95" s="0" t="n">
        <v>16</v>
      </c>
      <c r="H95" s="0" t="n">
        <v>223.73</v>
      </c>
      <c r="I95" s="0" t="s">
        <v>332</v>
      </c>
      <c r="J95" s="0" t="s">
        <v>333</v>
      </c>
      <c r="K95" s="0" t="s">
        <v>34</v>
      </c>
    </row>
    <row r="96" customFormat="false" ht="15" hidden="false" customHeight="false" outlineLevel="0" collapsed="false">
      <c r="A96" s="0" t="s">
        <v>334</v>
      </c>
      <c r="B96" s="0" t="s">
        <v>335</v>
      </c>
      <c r="C96" s="0" t="n">
        <v>7.5</v>
      </c>
      <c r="D96" s="0" t="n">
        <v>7.33</v>
      </c>
      <c r="E96" s="0" t="n">
        <v>4</v>
      </c>
      <c r="F96" s="0" t="s">
        <v>214</v>
      </c>
      <c r="G96" s="0" t="n">
        <v>16</v>
      </c>
      <c r="H96" s="0" t="n">
        <v>223.73</v>
      </c>
      <c r="I96" s="0" t="s">
        <v>336</v>
      </c>
      <c r="J96" s="0" t="s">
        <v>333</v>
      </c>
      <c r="K96" s="0" t="s">
        <v>34</v>
      </c>
    </row>
    <row r="97" customFormat="false" ht="15" hidden="false" customHeight="false" outlineLevel="0" collapsed="false">
      <c r="A97" s="0" t="s">
        <v>337</v>
      </c>
      <c r="B97" s="0" t="s">
        <v>338</v>
      </c>
      <c r="C97" s="0" t="n">
        <v>7.5</v>
      </c>
      <c r="D97" s="0" t="n">
        <v>7.33</v>
      </c>
      <c r="E97" s="0" t="n">
        <v>4</v>
      </c>
      <c r="F97" s="0" t="s">
        <v>214</v>
      </c>
      <c r="G97" s="0" t="n">
        <v>16</v>
      </c>
      <c r="H97" s="0" t="n">
        <v>223.73</v>
      </c>
      <c r="I97" s="0" t="s">
        <v>339</v>
      </c>
      <c r="J97" s="0" t="s">
        <v>333</v>
      </c>
      <c r="K97" s="0" t="s">
        <v>34</v>
      </c>
    </row>
    <row r="98" customFormat="false" ht="15" hidden="false" customHeight="false" outlineLevel="0" collapsed="false">
      <c r="A98" s="0" t="s">
        <v>340</v>
      </c>
      <c r="B98" s="0" t="s">
        <v>341</v>
      </c>
      <c r="C98" s="0" t="n">
        <v>7.5</v>
      </c>
      <c r="D98" s="0" t="n">
        <v>7.33</v>
      </c>
      <c r="E98" s="0" t="n">
        <v>4</v>
      </c>
      <c r="F98" s="0" t="s">
        <v>214</v>
      </c>
      <c r="G98" s="0" t="n">
        <v>16</v>
      </c>
      <c r="H98" s="0" t="n">
        <v>223.73</v>
      </c>
      <c r="I98" s="0" t="s">
        <v>342</v>
      </c>
      <c r="J98" s="0" t="s">
        <v>333</v>
      </c>
      <c r="K98" s="0" t="s">
        <v>34</v>
      </c>
    </row>
    <row r="99" customFormat="false" ht="15" hidden="false" customHeight="false" outlineLevel="0" collapsed="false">
      <c r="A99" s="0" t="s">
        <v>343</v>
      </c>
      <c r="B99" s="0" t="s">
        <v>344</v>
      </c>
      <c r="C99" s="0" t="n">
        <v>7.5</v>
      </c>
      <c r="D99" s="0" t="n">
        <v>7.33</v>
      </c>
      <c r="E99" s="0" t="n">
        <v>4</v>
      </c>
      <c r="F99" s="0" t="s">
        <v>214</v>
      </c>
      <c r="G99" s="0" t="n">
        <v>16</v>
      </c>
      <c r="H99" s="0" t="n">
        <v>223.73</v>
      </c>
      <c r="I99" s="0" t="s">
        <v>345</v>
      </c>
      <c r="J99" s="0" t="s">
        <v>333</v>
      </c>
      <c r="K99" s="0" t="s">
        <v>34</v>
      </c>
    </row>
    <row r="100" customFormat="false" ht="15" hidden="false" customHeight="false" outlineLevel="0" collapsed="false">
      <c r="A100" s="0" t="s">
        <v>346</v>
      </c>
      <c r="B100" s="0" t="s">
        <v>347</v>
      </c>
      <c r="C100" s="0" t="n">
        <v>7.5</v>
      </c>
      <c r="D100" s="0" t="n">
        <v>7.33</v>
      </c>
      <c r="E100" s="0" t="n">
        <v>4</v>
      </c>
      <c r="F100" s="0" t="s">
        <v>214</v>
      </c>
      <c r="G100" s="0" t="n">
        <v>16</v>
      </c>
      <c r="H100" s="0" t="n">
        <v>223.73</v>
      </c>
      <c r="I100" s="0" t="s">
        <v>348</v>
      </c>
      <c r="J100" s="0" t="s">
        <v>333</v>
      </c>
      <c r="K100" s="0" t="s">
        <v>34</v>
      </c>
    </row>
    <row r="101" customFormat="false" ht="15" hidden="false" customHeight="false" outlineLevel="0" collapsed="false">
      <c r="A101" s="0" t="s">
        <v>349</v>
      </c>
      <c r="B101" s="0" t="s">
        <v>350</v>
      </c>
      <c r="C101" s="0" t="n">
        <v>12.02</v>
      </c>
      <c r="D101" s="0" t="n">
        <v>7.38</v>
      </c>
      <c r="E101" s="0" t="n">
        <v>2</v>
      </c>
      <c r="F101" s="0" t="s">
        <v>31</v>
      </c>
      <c r="G101" s="0" t="n">
        <v>16</v>
      </c>
      <c r="H101" s="0" t="n">
        <v>147.81</v>
      </c>
      <c r="I101" s="0" t="s">
        <v>351</v>
      </c>
      <c r="J101" s="0" t="s">
        <v>352</v>
      </c>
      <c r="K101" s="0" t="s">
        <v>34</v>
      </c>
    </row>
    <row r="102" customFormat="false" ht="15" hidden="false" customHeight="false" outlineLevel="0" collapsed="false">
      <c r="A102" s="0" t="s">
        <v>353</v>
      </c>
      <c r="B102" s="0" t="s">
        <v>354</v>
      </c>
      <c r="C102" s="0" t="n">
        <v>14.25</v>
      </c>
      <c r="D102" s="0" t="n">
        <v>1.5</v>
      </c>
      <c r="E102" s="0" t="n">
        <v>2</v>
      </c>
      <c r="F102" s="0" t="s">
        <v>355</v>
      </c>
      <c r="G102" s="0" t="n">
        <v>16</v>
      </c>
      <c r="H102" s="0" t="n">
        <v>47.51</v>
      </c>
      <c r="I102" s="0" t="s">
        <v>356</v>
      </c>
      <c r="J102" s="0" t="s">
        <v>357</v>
      </c>
      <c r="K102" s="0" t="s">
        <v>34</v>
      </c>
    </row>
    <row r="103" customFormat="false" ht="15" hidden="false" customHeight="false" outlineLevel="0" collapsed="false">
      <c r="A103" s="0" t="s">
        <v>358</v>
      </c>
      <c r="B103" s="0" t="s">
        <v>359</v>
      </c>
      <c r="C103" s="0" t="n">
        <v>15.65</v>
      </c>
      <c r="D103" s="0" t="n">
        <v>5.38</v>
      </c>
      <c r="E103" s="0" t="n">
        <v>2</v>
      </c>
      <c r="F103" s="0" t="s">
        <v>31</v>
      </c>
      <c r="G103" s="0" t="n">
        <v>16</v>
      </c>
      <c r="H103" s="0" t="n">
        <v>0</v>
      </c>
      <c r="I103" s="0" t="s">
        <v>360</v>
      </c>
      <c r="J103" s="0" t="s">
        <v>361</v>
      </c>
      <c r="K103" s="0" t="s">
        <v>34</v>
      </c>
    </row>
    <row r="104" customFormat="false" ht="15" hidden="false" customHeight="false" outlineLevel="0" collapsed="false">
      <c r="A104" s="0" t="s">
        <v>362</v>
      </c>
      <c r="B104" s="0" t="s">
        <v>363</v>
      </c>
      <c r="C104" s="0" t="n">
        <v>5.09</v>
      </c>
      <c r="D104" s="0" t="n">
        <v>6.38</v>
      </c>
      <c r="E104" s="0" t="n">
        <v>1</v>
      </c>
      <c r="F104" s="0" t="s">
        <v>31</v>
      </c>
      <c r="G104" s="0" t="n">
        <v>16</v>
      </c>
      <c r="H104" s="0" t="n">
        <v>15.27</v>
      </c>
      <c r="I104" s="0" t="s">
        <v>364</v>
      </c>
      <c r="J104" s="0" t="s">
        <v>365</v>
      </c>
      <c r="K104" s="0" t="s">
        <v>34</v>
      </c>
    </row>
    <row r="105" customFormat="false" ht="15" hidden="false" customHeight="false" outlineLevel="0" collapsed="false">
      <c r="A105" s="0" t="s">
        <v>366</v>
      </c>
      <c r="B105" s="0" t="s">
        <v>367</v>
      </c>
      <c r="C105" s="0" t="n">
        <v>6.41</v>
      </c>
      <c r="D105" s="0" t="n">
        <v>5.38</v>
      </c>
      <c r="E105" s="0" t="n">
        <v>2</v>
      </c>
      <c r="F105" s="0" t="s">
        <v>31</v>
      </c>
      <c r="G105" s="0" t="n">
        <v>16</v>
      </c>
      <c r="H105" s="0" t="n">
        <v>12.82</v>
      </c>
      <c r="I105" s="0" t="s">
        <v>368</v>
      </c>
      <c r="J105" s="0" t="s">
        <v>369</v>
      </c>
      <c r="K105" s="0" t="s">
        <v>34</v>
      </c>
    </row>
    <row r="106" customFormat="false" ht="15" hidden="false" customHeight="false" outlineLevel="0" collapsed="false">
      <c r="A106" s="6" t="s">
        <v>370</v>
      </c>
      <c r="C106" s="3" t="n">
        <f aca="false">SUM(C5:C105)</f>
        <v>1075.47</v>
      </c>
      <c r="H106" s="3" t="n">
        <f aca="false">SUM(H5:H105)</f>
        <v>17816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8" min="7" style="0" width="29"/>
    <col collapsed="false" customWidth="true" hidden="false" outlineLevel="0" max="9" min="9" style="0" width="60"/>
  </cols>
  <sheetData>
    <row r="1" customFormat="false" ht="16.15" hidden="false" customHeight="false" outlineLevel="0" collapsed="false">
      <c r="A1" s="1" t="s">
        <v>371</v>
      </c>
    </row>
    <row r="2" customFormat="false" ht="15" hidden="false" customHeight="false" outlineLevel="0" collapsed="false">
      <c r="A2" s="0" t="s">
        <v>372</v>
      </c>
    </row>
    <row r="3" customFormat="false" ht="15" hidden="false" customHeight="false" outlineLevel="0" collapsed="false">
      <c r="A3" s="4" t="s">
        <v>373</v>
      </c>
      <c r="B3" s="4" t="s">
        <v>374</v>
      </c>
      <c r="C3" s="4" t="s">
        <v>375</v>
      </c>
      <c r="D3" s="4" t="s">
        <v>376</v>
      </c>
      <c r="E3" s="4" t="s">
        <v>377</v>
      </c>
      <c r="F3" s="4" t="s">
        <v>378</v>
      </c>
      <c r="G3" s="4" t="s">
        <v>379</v>
      </c>
      <c r="H3" s="4" t="s">
        <v>380</v>
      </c>
      <c r="I3" s="4" t="s">
        <v>381</v>
      </c>
    </row>
    <row r="4" customFormat="false" ht="15" hidden="false" customHeight="false" outlineLevel="0" collapsed="false">
      <c r="A4" s="0" t="s">
        <v>382</v>
      </c>
      <c r="B4" s="0" t="s">
        <v>383</v>
      </c>
      <c r="C4" s="0" t="n">
        <v>4235.64</v>
      </c>
      <c r="D4" s="0" t="n">
        <f aca="false">Inputs!$B$4</f>
        <v>0.15</v>
      </c>
      <c r="E4" s="0" t="n">
        <f aca="false">C4*D4</f>
        <v>635.346</v>
      </c>
      <c r="F4" s="0" t="n">
        <f aca="false">C4+E4</f>
        <v>4870.986</v>
      </c>
      <c r="G4" s="0" t="s">
        <v>384</v>
      </c>
      <c r="H4" s="0" t="n">
        <f aca="false">ROUNDUP(F4/20,0)</f>
        <v>244</v>
      </c>
      <c r="I4" s="0" t="s">
        <v>385</v>
      </c>
    </row>
    <row r="5" customFormat="false" ht="15" hidden="false" customHeight="false" outlineLevel="0" collapsed="false">
      <c r="A5" s="0" t="s">
        <v>386</v>
      </c>
      <c r="B5" s="0" t="s">
        <v>383</v>
      </c>
      <c r="C5" s="0" t="n">
        <v>21</v>
      </c>
      <c r="D5" s="0" t="n">
        <f aca="false">Inputs!$B$4</f>
        <v>0.15</v>
      </c>
      <c r="E5" s="0" t="n">
        <f aca="false">C5*D5</f>
        <v>3.15</v>
      </c>
      <c r="F5" s="0" t="n">
        <f aca="false">C5+E5</f>
        <v>24.15</v>
      </c>
      <c r="G5" s="0" t="s">
        <v>384</v>
      </c>
      <c r="H5" s="0" t="n">
        <f aca="false">ROUNDUP(F5/20,0)</f>
        <v>2</v>
      </c>
      <c r="I5" s="0" t="s">
        <v>387</v>
      </c>
    </row>
    <row r="6" customFormat="false" ht="15" hidden="false" customHeight="false" outlineLevel="0" collapsed="false">
      <c r="A6" s="0" t="s">
        <v>388</v>
      </c>
      <c r="B6" s="0" t="s">
        <v>383</v>
      </c>
      <c r="C6" s="0" t="n">
        <v>28.72</v>
      </c>
      <c r="D6" s="0" t="n">
        <f aca="false">Inputs!$B$4</f>
        <v>0.15</v>
      </c>
      <c r="E6" s="0" t="n">
        <f aca="false">C6*D6</f>
        <v>4.308</v>
      </c>
      <c r="F6" s="0" t="n">
        <f aca="false">C6+E6</f>
        <v>33.028</v>
      </c>
      <c r="G6" s="0" t="s">
        <v>384</v>
      </c>
      <c r="H6" s="0" t="n">
        <f aca="false">ROUNDUP(F6/20,0)</f>
        <v>2</v>
      </c>
      <c r="I6" s="0" t="s">
        <v>389</v>
      </c>
    </row>
    <row r="7" customFormat="false" ht="15" hidden="false" customHeight="false" outlineLevel="0" collapsed="false">
      <c r="A7" s="0" t="s">
        <v>390</v>
      </c>
      <c r="B7" s="0" t="s">
        <v>383</v>
      </c>
      <c r="C7" s="0" t="n">
        <v>181.3</v>
      </c>
      <c r="D7" s="0" t="n">
        <f aca="false">Inputs!$B$4</f>
        <v>0.15</v>
      </c>
      <c r="E7" s="0" t="n">
        <f aca="false">C7*D7</f>
        <v>27.195</v>
      </c>
      <c r="F7" s="0" t="n">
        <f aca="false">C7+E7</f>
        <v>208.495</v>
      </c>
      <c r="G7" s="0" t="s">
        <v>384</v>
      </c>
      <c r="H7" s="0" t="n">
        <f aca="false">ROUNDUP(F7/20,0)</f>
        <v>11</v>
      </c>
      <c r="I7" s="0" t="s">
        <v>391</v>
      </c>
    </row>
    <row r="8" customFormat="false" ht="15" hidden="false" customHeight="false" outlineLevel="0" collapsed="false">
      <c r="A8" s="0" t="s">
        <v>392</v>
      </c>
      <c r="B8" s="0" t="s">
        <v>383</v>
      </c>
      <c r="C8" s="0" t="n">
        <v>872.84</v>
      </c>
      <c r="D8" s="0" t="n">
        <f aca="false">Inputs!$B$4</f>
        <v>0.15</v>
      </c>
      <c r="E8" s="0" t="n">
        <f aca="false">C8*D8</f>
        <v>130.926</v>
      </c>
      <c r="F8" s="0" t="n">
        <f aca="false">C8+E8</f>
        <v>1003.766</v>
      </c>
      <c r="G8" s="0" t="s">
        <v>384</v>
      </c>
      <c r="H8" s="0" t="n">
        <f aca="false">ROUNDUP(F8/20,0)</f>
        <v>51</v>
      </c>
      <c r="I8" s="0" t="s">
        <v>393</v>
      </c>
    </row>
    <row r="9" customFormat="false" ht="15" hidden="false" customHeight="false" outlineLevel="0" collapsed="false">
      <c r="A9" s="0" t="s">
        <v>394</v>
      </c>
      <c r="B9" s="0" t="s">
        <v>383</v>
      </c>
      <c r="C9" s="0" t="n">
        <v>1532.46</v>
      </c>
      <c r="D9" s="0" t="n">
        <f aca="false">Inputs!$B$4</f>
        <v>0.15</v>
      </c>
      <c r="E9" s="0" t="n">
        <f aca="false">C9*D9</f>
        <v>229.869</v>
      </c>
      <c r="F9" s="0" t="n">
        <f aca="false">C9+E9</f>
        <v>1762.329</v>
      </c>
      <c r="G9" s="0" t="s">
        <v>384</v>
      </c>
      <c r="H9" s="0" t="n">
        <f aca="false">ROUNDUP(F9/20,0)</f>
        <v>89</v>
      </c>
      <c r="I9" s="0" t="s">
        <v>395</v>
      </c>
    </row>
    <row r="10" customFormat="false" ht="15" hidden="false" customHeight="false" outlineLevel="0" collapsed="false">
      <c r="A10" s="0" t="s">
        <v>396</v>
      </c>
      <c r="B10" s="0" t="s">
        <v>383</v>
      </c>
      <c r="C10" s="0" t="n">
        <v>254.4</v>
      </c>
      <c r="D10" s="0" t="n">
        <f aca="false">Inputs!$B$4</f>
        <v>0.15</v>
      </c>
      <c r="E10" s="0" t="n">
        <f aca="false">C10*D10</f>
        <v>38.16</v>
      </c>
      <c r="F10" s="0" t="n">
        <f aca="false">C10+E10</f>
        <v>292.56</v>
      </c>
      <c r="G10" s="0" t="s">
        <v>384</v>
      </c>
      <c r="H10" s="0" t="n">
        <f aca="false">ROUNDUP(F10/20,0)</f>
        <v>15</v>
      </c>
      <c r="I10" s="0" t="s">
        <v>397</v>
      </c>
    </row>
    <row r="11" customFormat="false" ht="15" hidden="false" customHeight="false" outlineLevel="0" collapsed="false">
      <c r="A11" s="0" t="s">
        <v>398</v>
      </c>
      <c r="B11" s="0" t="s">
        <v>383</v>
      </c>
      <c r="C11" s="0" t="n">
        <v>481.04</v>
      </c>
      <c r="D11" s="0" t="n">
        <f aca="false">Inputs!$B$4</f>
        <v>0.15</v>
      </c>
      <c r="E11" s="0" t="n">
        <f aca="false">C11*D11</f>
        <v>72.156</v>
      </c>
      <c r="F11" s="0" t="n">
        <f aca="false">C11+E11</f>
        <v>553.196</v>
      </c>
      <c r="G11" s="0" t="s">
        <v>384</v>
      </c>
      <c r="H11" s="0" t="n">
        <f aca="false">ROUNDUP(F11/20,0)</f>
        <v>28</v>
      </c>
      <c r="I11" s="0" t="s">
        <v>399</v>
      </c>
    </row>
    <row r="12" customFormat="false" ht="15" hidden="false" customHeight="false" outlineLevel="0" collapsed="false">
      <c r="A12" s="0" t="s">
        <v>400</v>
      </c>
      <c r="B12" s="0" t="s">
        <v>383</v>
      </c>
      <c r="C12" s="0" t="n">
        <v>3464.93</v>
      </c>
      <c r="D12" s="0" t="n">
        <f aca="false">Inputs!$B$4</f>
        <v>0.15</v>
      </c>
      <c r="E12" s="0" t="n">
        <f aca="false">C12*D12</f>
        <v>519.7395</v>
      </c>
      <c r="F12" s="0" t="n">
        <f aca="false">C12+E12</f>
        <v>3984.6695</v>
      </c>
      <c r="G12" s="0" t="s">
        <v>384</v>
      </c>
      <c r="H12" s="0" t="n">
        <f aca="false">ROUNDUP(F12/20,0)</f>
        <v>200</v>
      </c>
      <c r="I12" s="0" t="s">
        <v>401</v>
      </c>
    </row>
    <row r="13" customFormat="false" ht="15" hidden="false" customHeight="false" outlineLevel="0" collapsed="false">
      <c r="A13" s="0" t="s">
        <v>402</v>
      </c>
      <c r="B13" s="0" t="s">
        <v>383</v>
      </c>
      <c r="C13" s="0" t="n">
        <v>46.13</v>
      </c>
      <c r="D13" s="0" t="n">
        <f aca="false">Inputs!$B$4</f>
        <v>0.15</v>
      </c>
      <c r="E13" s="0" t="n">
        <f aca="false">C13*D13</f>
        <v>6.9195</v>
      </c>
      <c r="F13" s="0" t="n">
        <f aca="false">C13+E13</f>
        <v>53.0495</v>
      </c>
      <c r="G13" s="0" t="s">
        <v>384</v>
      </c>
      <c r="H13" s="0" t="n">
        <f aca="false">ROUNDUP(F13/20,0)</f>
        <v>3</v>
      </c>
      <c r="I13" s="0" t="s">
        <v>403</v>
      </c>
    </row>
    <row r="14" customFormat="false" ht="15" hidden="false" customHeight="false" outlineLevel="0" collapsed="false">
      <c r="A14" s="0" t="s">
        <v>404</v>
      </c>
      <c r="B14" s="0" t="s">
        <v>383</v>
      </c>
      <c r="C14" s="0" t="n">
        <v>1670.46</v>
      </c>
      <c r="D14" s="0" t="n">
        <f aca="false">Inputs!$B$4</f>
        <v>0.15</v>
      </c>
      <c r="E14" s="0" t="n">
        <f aca="false">C14*D14</f>
        <v>250.569</v>
      </c>
      <c r="F14" s="0" t="n">
        <f aca="false">C14+E14</f>
        <v>1921.029</v>
      </c>
      <c r="G14" s="0" t="s">
        <v>384</v>
      </c>
      <c r="H14" s="0" t="n">
        <f aca="false">ROUNDUP(F14/20,0)</f>
        <v>97</v>
      </c>
      <c r="I14" s="0" t="s">
        <v>405</v>
      </c>
    </row>
    <row r="15" customFormat="false" ht="15" hidden="false" customHeight="false" outlineLevel="0" collapsed="false">
      <c r="A15" s="0" t="s">
        <v>406</v>
      </c>
      <c r="B15" s="0" t="s">
        <v>383</v>
      </c>
      <c r="C15" s="0" t="n">
        <v>4413.63</v>
      </c>
      <c r="D15" s="0" t="n">
        <f aca="false">Inputs!$B$4</f>
        <v>0.15</v>
      </c>
      <c r="E15" s="0" t="n">
        <f aca="false">C15*D15</f>
        <v>662.0445</v>
      </c>
      <c r="F15" s="0" t="n">
        <f aca="false">C15+E15</f>
        <v>5075.6745</v>
      </c>
      <c r="G15" s="0" t="s">
        <v>384</v>
      </c>
      <c r="H15" s="0" t="n">
        <f aca="false">ROUNDUP(F15/20,0)</f>
        <v>254</v>
      </c>
      <c r="I15" s="0" t="s">
        <v>407</v>
      </c>
    </row>
    <row r="16" customFormat="false" ht="15" hidden="false" customHeight="false" outlineLevel="0" collapsed="false">
      <c r="A16" s="0" t="s">
        <v>408</v>
      </c>
      <c r="B16" s="0" t="s">
        <v>383</v>
      </c>
      <c r="C16" s="0" t="n">
        <v>1073.22</v>
      </c>
      <c r="D16" s="0" t="n">
        <f aca="false">Inputs!$B$4</f>
        <v>0.15</v>
      </c>
      <c r="E16" s="0" t="n">
        <f aca="false">C16*D16</f>
        <v>160.983</v>
      </c>
      <c r="F16" s="0" t="n">
        <f aca="false">C16+E16</f>
        <v>1234.203</v>
      </c>
      <c r="G16" s="0" t="s">
        <v>384</v>
      </c>
      <c r="H16" s="0" t="n">
        <f aca="false">ROUNDUP(F16/20,0)</f>
        <v>62</v>
      </c>
      <c r="I16" s="0" t="s">
        <v>409</v>
      </c>
    </row>
    <row r="17" customFormat="false" ht="15" hidden="false" customHeight="false" outlineLevel="0" collapsed="false">
      <c r="A17" s="0" t="s">
        <v>410</v>
      </c>
      <c r="B17" s="0" t="s">
        <v>411</v>
      </c>
      <c r="C17" s="0" t="n">
        <v>1</v>
      </c>
      <c r="D17" s="0" t="n">
        <f aca="false">Inputs!$B$4</f>
        <v>0.15</v>
      </c>
      <c r="E17" s="0" t="n">
        <f aca="false">C17*D17</f>
        <v>0.15</v>
      </c>
      <c r="F17" s="0" t="n">
        <f aca="false">C17+E17</f>
        <v>1.15</v>
      </c>
      <c r="G17" s="0" t="s">
        <v>412</v>
      </c>
      <c r="H17" s="0" t="n">
        <f aca="false">ROUNDUP(F17,0)</f>
        <v>2</v>
      </c>
      <c r="I17" s="0" t="s">
        <v>413</v>
      </c>
    </row>
    <row r="18" customFormat="false" ht="15" hidden="false" customHeight="false" outlineLevel="0" collapsed="false">
      <c r="A18" s="0" t="s">
        <v>414</v>
      </c>
      <c r="B18" s="0" t="s">
        <v>383</v>
      </c>
      <c r="C18" s="0" t="n">
        <v>288.7</v>
      </c>
      <c r="D18" s="0" t="n">
        <f aca="false">Inputs!$B$4</f>
        <v>0.15</v>
      </c>
      <c r="E18" s="0" t="n">
        <f aca="false">C18*D18</f>
        <v>43.305</v>
      </c>
      <c r="F18" s="0" t="n">
        <f aca="false">C18+E18</f>
        <v>332.005</v>
      </c>
      <c r="G18" s="0" t="s">
        <v>415</v>
      </c>
      <c r="H18" s="0" t="n">
        <f aca="false">ROUNDUP(F18/10,0)</f>
        <v>34</v>
      </c>
      <c r="I18" s="0" t="s">
        <v>416</v>
      </c>
    </row>
    <row r="19" customFormat="false" ht="15" hidden="false" customHeight="false" outlineLevel="0" collapsed="false">
      <c r="A19" s="0" t="s">
        <v>417</v>
      </c>
      <c r="B19" s="0" t="s">
        <v>383</v>
      </c>
      <c r="C19" s="0" t="n">
        <v>14.25</v>
      </c>
      <c r="D19" s="0" t="n">
        <f aca="false">Inputs!$B$4</f>
        <v>0.15</v>
      </c>
      <c r="E19" s="0" t="n">
        <f aca="false">C19*D19</f>
        <v>2.1375</v>
      </c>
      <c r="F19" s="0" t="n">
        <f aca="false">C19+E19</f>
        <v>16.3875</v>
      </c>
      <c r="G19" s="0" t="s">
        <v>415</v>
      </c>
      <c r="H19" s="0" t="n">
        <f aca="false">ROUNDUP(F19/10,0)</f>
        <v>2</v>
      </c>
      <c r="I19" s="0" t="s">
        <v>387</v>
      </c>
    </row>
    <row r="20" customFormat="false" ht="15" hidden="false" customHeight="false" outlineLevel="0" collapsed="false">
      <c r="A20" s="0" t="s">
        <v>418</v>
      </c>
      <c r="B20" s="0" t="s">
        <v>383</v>
      </c>
      <c r="C20" s="0" t="n">
        <v>422.38</v>
      </c>
      <c r="D20" s="0" t="n">
        <f aca="false">Inputs!$B$4</f>
        <v>0.15</v>
      </c>
      <c r="E20" s="0" t="n">
        <f aca="false">C20*D20</f>
        <v>63.357</v>
      </c>
      <c r="F20" s="0" t="n">
        <f aca="false">C20+E20</f>
        <v>485.737</v>
      </c>
      <c r="G20" s="0" t="s">
        <v>415</v>
      </c>
      <c r="H20" s="0" t="n">
        <f aca="false">ROUNDUP(F20/10,0)</f>
        <v>49</v>
      </c>
      <c r="I20" s="0" t="s">
        <v>419</v>
      </c>
    </row>
    <row r="21" customFormat="false" ht="15" hidden="false" customHeight="false" outlineLevel="0" collapsed="false">
      <c r="A21" s="0" t="s">
        <v>420</v>
      </c>
      <c r="B21" s="0" t="s">
        <v>383</v>
      </c>
      <c r="C21" s="0" t="n">
        <v>241</v>
      </c>
      <c r="D21" s="0" t="n">
        <f aca="false">Inputs!$B$4</f>
        <v>0.15</v>
      </c>
      <c r="E21" s="0" t="n">
        <f aca="false">C21*D21</f>
        <v>36.15</v>
      </c>
      <c r="F21" s="0" t="n">
        <f aca="false">C21+E21</f>
        <v>277.15</v>
      </c>
      <c r="G21" s="0" t="s">
        <v>415</v>
      </c>
      <c r="H21" s="0" t="n">
        <f aca="false">ROUNDUP(F21/10,0)</f>
        <v>28</v>
      </c>
      <c r="I21" s="0" t="s">
        <v>421</v>
      </c>
    </row>
    <row r="22" customFormat="false" ht="15" hidden="false" customHeight="false" outlineLevel="0" collapsed="false">
      <c r="A22" s="0" t="s">
        <v>422</v>
      </c>
      <c r="B22" s="0" t="s">
        <v>383</v>
      </c>
      <c r="C22" s="0" t="n">
        <v>26.68</v>
      </c>
      <c r="D22" s="0" t="n">
        <f aca="false">Inputs!$B$4</f>
        <v>0.15</v>
      </c>
      <c r="E22" s="0" t="n">
        <f aca="false">C22*D22</f>
        <v>4.002</v>
      </c>
      <c r="F22" s="0" t="n">
        <f aca="false">C22+E22</f>
        <v>30.682</v>
      </c>
      <c r="G22" s="0" t="s">
        <v>415</v>
      </c>
      <c r="H22" s="0" t="n">
        <f aca="false">ROUNDUP(F22/10,0)</f>
        <v>4</v>
      </c>
      <c r="I22" s="0" t="s">
        <v>397</v>
      </c>
    </row>
    <row r="23" customFormat="false" ht="15" hidden="false" customHeight="false" outlineLevel="0" collapsed="false">
      <c r="A23" s="0" t="s">
        <v>423</v>
      </c>
      <c r="B23" s="0" t="s">
        <v>383</v>
      </c>
      <c r="C23" s="0" t="n">
        <v>80.41</v>
      </c>
      <c r="D23" s="0" t="n">
        <f aca="false">Inputs!$B$4</f>
        <v>0.15</v>
      </c>
      <c r="E23" s="0" t="n">
        <f aca="false">C23*D23</f>
        <v>12.0615</v>
      </c>
      <c r="F23" s="0" t="n">
        <f aca="false">C23+E23</f>
        <v>92.4715</v>
      </c>
      <c r="G23" s="0" t="s">
        <v>415</v>
      </c>
      <c r="H23" s="0" t="n">
        <f aca="false">ROUNDUP(F23/10,0)</f>
        <v>10</v>
      </c>
      <c r="I23" s="0" t="s">
        <v>424</v>
      </c>
    </row>
    <row r="24" customFormat="false" ht="15" hidden="false" customHeight="false" outlineLevel="0" collapsed="false">
      <c r="A24" s="0" t="s">
        <v>425</v>
      </c>
      <c r="B24" s="0" t="s">
        <v>383</v>
      </c>
      <c r="C24" s="0" t="n">
        <v>263.04</v>
      </c>
      <c r="D24" s="0" t="n">
        <f aca="false">Inputs!$B$4</f>
        <v>0.15</v>
      </c>
      <c r="E24" s="0" t="n">
        <f aca="false">C24*D24</f>
        <v>39.456</v>
      </c>
      <c r="F24" s="0" t="n">
        <f aca="false">C24+E24</f>
        <v>302.496</v>
      </c>
      <c r="G24" s="0" t="s">
        <v>415</v>
      </c>
      <c r="H24" s="0" t="n">
        <f aca="false">ROUNDUP(F24/10,0)</f>
        <v>31</v>
      </c>
      <c r="I24" s="0" t="s">
        <v>426</v>
      </c>
    </row>
    <row r="25" customFormat="false" ht="15" hidden="false" customHeight="false" outlineLevel="0" collapsed="false">
      <c r="A25" s="0" t="s">
        <v>427</v>
      </c>
      <c r="B25" s="0" t="s">
        <v>383</v>
      </c>
      <c r="C25" s="0" t="n">
        <v>266.64</v>
      </c>
      <c r="D25" s="0" t="n">
        <f aca="false">Inputs!$B$4</f>
        <v>0.15</v>
      </c>
      <c r="E25" s="0" t="n">
        <f aca="false">C25*D25</f>
        <v>39.996</v>
      </c>
      <c r="F25" s="0" t="n">
        <f aca="false">C25+E25</f>
        <v>306.636</v>
      </c>
      <c r="G25" s="0" t="s">
        <v>415</v>
      </c>
      <c r="H25" s="0" t="n">
        <f aca="false">ROUNDUP(F25/10,0)</f>
        <v>31</v>
      </c>
      <c r="I25" s="0" t="s">
        <v>428</v>
      </c>
    </row>
    <row r="26" customFormat="false" ht="15" hidden="false" customHeight="false" outlineLevel="0" collapsed="false">
      <c r="A26" s="0" t="s">
        <v>429</v>
      </c>
      <c r="B26" s="0" t="s">
        <v>383</v>
      </c>
      <c r="C26" s="0" t="n">
        <v>2468.31</v>
      </c>
      <c r="D26" s="0" t="n">
        <f aca="false">Inputs!$B$4</f>
        <v>0.15</v>
      </c>
      <c r="E26" s="0" t="n">
        <f aca="false">C26*D26</f>
        <v>370.2465</v>
      </c>
      <c r="F26" s="0" t="n">
        <f aca="false">C26+E26</f>
        <v>2838.5565</v>
      </c>
      <c r="G26" s="0" t="s">
        <v>430</v>
      </c>
      <c r="H26" s="0" t="n">
        <f aca="false">ROUNDUP(F26/16,0)</f>
        <v>178</v>
      </c>
      <c r="I26" s="0" t="s">
        <v>431</v>
      </c>
    </row>
    <row r="27" customFormat="false" ht="15" hidden="false" customHeight="false" outlineLevel="0" collapsed="false">
      <c r="A27" s="0" t="s">
        <v>432</v>
      </c>
      <c r="B27" s="0" t="s">
        <v>411</v>
      </c>
      <c r="C27" s="0" t="n">
        <v>6050</v>
      </c>
      <c r="D27" s="0" t="n">
        <f aca="false">Inputs!$B$4</f>
        <v>0.15</v>
      </c>
      <c r="E27" s="0" t="n">
        <f aca="false">C27*D27</f>
        <v>907.5</v>
      </c>
      <c r="F27" s="0" t="n">
        <f aca="false">C27+E27</f>
        <v>6957.5</v>
      </c>
      <c r="G27" s="0" t="s">
        <v>412</v>
      </c>
      <c r="H27" s="0" t="n">
        <f aca="false">ROUNDUP(F27,0)</f>
        <v>6958</v>
      </c>
      <c r="I27" s="0" t="s">
        <v>433</v>
      </c>
    </row>
    <row r="28" customFormat="false" ht="15" hidden="false" customHeight="false" outlineLevel="0" collapsed="false">
      <c r="A28" s="0" t="s">
        <v>434</v>
      </c>
      <c r="B28" s="0" t="s">
        <v>383</v>
      </c>
      <c r="C28" s="0" t="n">
        <v>235.12</v>
      </c>
      <c r="D28" s="0" t="n">
        <f aca="false">Inputs!$B$4</f>
        <v>0.15</v>
      </c>
      <c r="E28" s="0" t="n">
        <f aca="false">C28*D28</f>
        <v>35.268</v>
      </c>
      <c r="F28" s="0" t="n">
        <f aca="false">C28+E28</f>
        <v>270.388</v>
      </c>
      <c r="G28" s="0" t="s">
        <v>430</v>
      </c>
      <c r="H28" s="0" t="n">
        <f aca="false">ROUNDUP(F28/16,0)</f>
        <v>17</v>
      </c>
      <c r="I28" s="0" t="s">
        <v>435</v>
      </c>
    </row>
    <row r="29" customFormat="false" ht="15" hidden="false" customHeight="false" outlineLevel="0" collapsed="false">
      <c r="A29" s="0" t="s">
        <v>436</v>
      </c>
      <c r="B29" s="0" t="s">
        <v>383</v>
      </c>
      <c r="C29" s="0" t="n">
        <v>266.75</v>
      </c>
      <c r="D29" s="0" t="n">
        <f aca="false">Inputs!$B$4</f>
        <v>0.15</v>
      </c>
      <c r="E29" s="0" t="n">
        <f aca="false">C29*D29</f>
        <v>40.0125</v>
      </c>
      <c r="F29" s="0" t="n">
        <f aca="false">C29+E29</f>
        <v>306.7625</v>
      </c>
      <c r="G29" s="0" t="s">
        <v>415</v>
      </c>
      <c r="H29" s="0" t="n">
        <f aca="false">ROUNDUP(F29/10,0)</f>
        <v>31</v>
      </c>
      <c r="I29" s="0" t="s">
        <v>437</v>
      </c>
    </row>
    <row r="30" customFormat="false" ht="15" hidden="false" customHeight="false" outlineLevel="0" collapsed="false">
      <c r="A30" s="0" t="s">
        <v>438</v>
      </c>
      <c r="B30" s="0" t="s">
        <v>383</v>
      </c>
      <c r="C30" s="0" t="n">
        <v>482</v>
      </c>
      <c r="D30" s="0" t="n">
        <f aca="false">Inputs!$B$4</f>
        <v>0.15</v>
      </c>
      <c r="E30" s="0" t="n">
        <f aca="false">C30*D30</f>
        <v>72.3</v>
      </c>
      <c r="F30" s="0" t="n">
        <f aca="false">C30+E30</f>
        <v>554.3</v>
      </c>
      <c r="G30" s="0" t="s">
        <v>415</v>
      </c>
      <c r="H30" s="0" t="n">
        <f aca="false">ROUNDUP(F30/10,0)</f>
        <v>56</v>
      </c>
      <c r="I30" s="0" t="s">
        <v>439</v>
      </c>
    </row>
    <row r="31" customFormat="false" ht="15" hidden="false" customHeight="false" outlineLevel="0" collapsed="false">
      <c r="A31" s="0" t="s">
        <v>440</v>
      </c>
      <c r="B31" s="0" t="s">
        <v>383</v>
      </c>
      <c r="C31" s="0" t="n">
        <v>686</v>
      </c>
      <c r="D31" s="0" t="n">
        <f aca="false">Inputs!$B$4</f>
        <v>0.15</v>
      </c>
      <c r="E31" s="0" t="n">
        <f aca="false">C31*D31</f>
        <v>102.9</v>
      </c>
      <c r="F31" s="0" t="n">
        <f aca="false">C31+E31</f>
        <v>788.9</v>
      </c>
      <c r="G31" s="0" t="s">
        <v>383</v>
      </c>
      <c r="H31" s="0" t="n">
        <f aca="false">ROUNDUP(F31,0)</f>
        <v>789</v>
      </c>
      <c r="I31" s="0" t="s">
        <v>441</v>
      </c>
    </row>
    <row r="32" customFormat="false" ht="15" hidden="false" customHeight="false" outlineLevel="0" collapsed="false">
      <c r="A32" s="0" t="s">
        <v>442</v>
      </c>
      <c r="B32" s="0" t="s">
        <v>383</v>
      </c>
      <c r="C32" s="0" t="n">
        <v>112</v>
      </c>
      <c r="D32" s="0" t="n">
        <f aca="false">Inputs!$B$4</f>
        <v>0.15</v>
      </c>
      <c r="E32" s="0" t="n">
        <f aca="false">C32*D32</f>
        <v>16.8</v>
      </c>
      <c r="F32" s="0" t="n">
        <f aca="false">C32+E32</f>
        <v>128.8</v>
      </c>
      <c r="G32" s="0" t="s">
        <v>383</v>
      </c>
      <c r="H32" s="0" t="n">
        <f aca="false">ROUNDUP(F32,0)</f>
        <v>129</v>
      </c>
      <c r="I32" s="0" t="s">
        <v>443</v>
      </c>
    </row>
    <row r="33" customFormat="false" ht="15" hidden="false" customHeight="false" outlineLevel="0" collapsed="false">
      <c r="A33" s="0" t="s">
        <v>444</v>
      </c>
      <c r="B33" s="0" t="s">
        <v>411</v>
      </c>
      <c r="C33" s="0" t="n">
        <v>13</v>
      </c>
      <c r="D33" s="0" t="n">
        <f aca="false">Inputs!$B$4</f>
        <v>0.15</v>
      </c>
      <c r="E33" s="0" t="n">
        <f aca="false">C33*D33</f>
        <v>1.95</v>
      </c>
      <c r="F33" s="0" t="n">
        <f aca="false">C33+E33</f>
        <v>14.95</v>
      </c>
      <c r="G33" s="0" t="s">
        <v>412</v>
      </c>
      <c r="H33" s="0" t="n">
        <f aca="false">ROUNDUP(F33,0)</f>
        <v>15</v>
      </c>
      <c r="I33" s="0" t="s">
        <v>445</v>
      </c>
    </row>
    <row r="34" customFormat="false" ht="15" hidden="false" customHeight="false" outlineLevel="0" collapsed="false">
      <c r="A34" s="0" t="s">
        <v>446</v>
      </c>
      <c r="B34" s="0" t="s">
        <v>383</v>
      </c>
      <c r="C34" s="0" t="n">
        <v>705.38</v>
      </c>
      <c r="D34" s="0" t="n">
        <f aca="false">Inputs!$B$4</f>
        <v>0.15</v>
      </c>
      <c r="E34" s="0" t="n">
        <f aca="false">C34*D34</f>
        <v>105.807</v>
      </c>
      <c r="F34" s="0" t="n">
        <f aca="false">C34+E34</f>
        <v>811.187</v>
      </c>
      <c r="G34" s="0" t="s">
        <v>447</v>
      </c>
      <c r="H34" s="0" t="n">
        <f aca="false">ROUNDUP(F34/12,0)</f>
        <v>68</v>
      </c>
      <c r="I34" s="0" t="s">
        <v>435</v>
      </c>
    </row>
    <row r="35" customFormat="false" ht="15" hidden="false" customHeight="false" outlineLevel="0" collapsed="false">
      <c r="A35" s="0" t="s">
        <v>448</v>
      </c>
      <c r="B35" s="0" t="s">
        <v>383</v>
      </c>
      <c r="C35" s="0" t="n">
        <v>342.27</v>
      </c>
      <c r="D35" s="0" t="n">
        <f aca="false">Inputs!$B$4</f>
        <v>0.15</v>
      </c>
      <c r="E35" s="0" t="n">
        <f aca="false">C35*D35</f>
        <v>51.3405</v>
      </c>
      <c r="F35" s="0" t="n">
        <f aca="false">C35+E35</f>
        <v>393.6105</v>
      </c>
      <c r="G35" s="0" t="s">
        <v>449</v>
      </c>
      <c r="H35" s="0" t="n">
        <f aca="false">ROUNDUP(F35,0)</f>
        <v>394</v>
      </c>
      <c r="I35" s="0" t="s">
        <v>450</v>
      </c>
    </row>
    <row r="36" customFormat="false" ht="15" hidden="false" customHeight="false" outlineLevel="0" collapsed="false">
      <c r="A36" s="0" t="s">
        <v>451</v>
      </c>
      <c r="B36" s="0" t="s">
        <v>383</v>
      </c>
      <c r="C36" s="0" t="n">
        <v>283.16</v>
      </c>
      <c r="D36" s="0" t="n">
        <f aca="false">Inputs!$B$4</f>
        <v>0.15</v>
      </c>
      <c r="E36" s="0" t="n">
        <f aca="false">C36*D36</f>
        <v>42.474</v>
      </c>
      <c r="F36" s="0" t="n">
        <f aca="false">C36+E36</f>
        <v>325.634</v>
      </c>
      <c r="G36" s="0" t="s">
        <v>415</v>
      </c>
      <c r="H36" s="0" t="n">
        <f aca="false">ROUNDUP(F36/10,0)</f>
        <v>33</v>
      </c>
      <c r="I36" s="0" t="s">
        <v>452</v>
      </c>
    </row>
    <row r="37" customFormat="false" ht="15" hidden="false" customHeight="false" outlineLevel="0" collapsed="false">
      <c r="A37" s="0" t="s">
        <v>453</v>
      </c>
      <c r="B37" s="0" t="s">
        <v>383</v>
      </c>
      <c r="C37" s="0" t="n">
        <v>12</v>
      </c>
      <c r="D37" s="0" t="n">
        <f aca="false">Inputs!$B$4</f>
        <v>0.15</v>
      </c>
      <c r="E37" s="0" t="n">
        <f aca="false">C37*D37</f>
        <v>1.8</v>
      </c>
      <c r="F37" s="0" t="n">
        <f aca="false">C37+E37</f>
        <v>13.8</v>
      </c>
      <c r="G37" s="0" t="s">
        <v>383</v>
      </c>
      <c r="H37" s="0" t="n">
        <f aca="false">ROUNDUP(F37,0)</f>
        <v>14</v>
      </c>
      <c r="I37" s="0" t="s">
        <v>454</v>
      </c>
    </row>
    <row r="38" customFormat="false" ht="15" hidden="false" customHeight="false" outlineLevel="0" collapsed="false">
      <c r="A38" s="0" t="s">
        <v>455</v>
      </c>
      <c r="B38" s="0" t="s">
        <v>383</v>
      </c>
      <c r="C38" s="0" t="n">
        <v>18</v>
      </c>
      <c r="D38" s="0" t="n">
        <f aca="false">Inputs!$B$4</f>
        <v>0.15</v>
      </c>
      <c r="E38" s="0" t="n">
        <f aca="false">C38*D38</f>
        <v>2.7</v>
      </c>
      <c r="F38" s="0" t="n">
        <f aca="false">C38+E38</f>
        <v>20.7</v>
      </c>
      <c r="G38" s="0" t="s">
        <v>383</v>
      </c>
      <c r="H38" s="0" t="n">
        <f aca="false">ROUNDUP(F38,0)</f>
        <v>21</v>
      </c>
      <c r="I38" s="0" t="s">
        <v>456</v>
      </c>
    </row>
    <row r="39" customFormat="false" ht="15" hidden="false" customHeight="false" outlineLevel="0" collapsed="false">
      <c r="A39" s="0" t="s">
        <v>457</v>
      </c>
      <c r="B39" s="0" t="s">
        <v>383</v>
      </c>
      <c r="C39" s="0" t="n">
        <v>242.69</v>
      </c>
      <c r="D39" s="0" t="n">
        <f aca="false">Inputs!$B$4</f>
        <v>0.15</v>
      </c>
      <c r="E39" s="0" t="n">
        <f aca="false">C39*D39</f>
        <v>36.4035</v>
      </c>
      <c r="F39" s="0" t="n">
        <f aca="false">C39+E39</f>
        <v>279.0935</v>
      </c>
      <c r="G39" s="0" t="s">
        <v>415</v>
      </c>
      <c r="H39" s="0" t="n">
        <f aca="false">ROUNDUP(F39/10,0)</f>
        <v>28</v>
      </c>
      <c r="I39" s="0" t="s">
        <v>458</v>
      </c>
    </row>
    <row r="40" customFormat="false" ht="15" hidden="false" customHeight="false" outlineLevel="0" collapsed="false">
      <c r="A40" s="0" t="s">
        <v>459</v>
      </c>
      <c r="B40" s="0" t="s">
        <v>383</v>
      </c>
      <c r="C40" s="0" t="n">
        <v>731.88</v>
      </c>
      <c r="D40" s="0" t="n">
        <f aca="false">Inputs!$B$4</f>
        <v>0.15</v>
      </c>
      <c r="E40" s="0" t="n">
        <f aca="false">C40*D40</f>
        <v>109.782</v>
      </c>
      <c r="F40" s="0" t="n">
        <f aca="false">C40+E40</f>
        <v>841.662</v>
      </c>
      <c r="G40" s="0" t="s">
        <v>415</v>
      </c>
      <c r="H40" s="0" t="n">
        <f aca="false">ROUNDUP(F40/10,0)</f>
        <v>85</v>
      </c>
      <c r="I40" s="0" t="s">
        <v>460</v>
      </c>
    </row>
    <row r="41" customFormat="false" ht="15" hidden="false" customHeight="false" outlineLevel="0" collapsed="false">
      <c r="A41" s="0" t="s">
        <v>461</v>
      </c>
      <c r="B41" s="0" t="s">
        <v>383</v>
      </c>
      <c r="C41" s="0" t="n">
        <v>112</v>
      </c>
      <c r="D41" s="0" t="n">
        <f aca="false">Inputs!$B$4</f>
        <v>0.15</v>
      </c>
      <c r="E41" s="0" t="n">
        <f aca="false">C41*D41</f>
        <v>16.8</v>
      </c>
      <c r="F41" s="0" t="n">
        <f aca="false">C41+E41</f>
        <v>128.8</v>
      </c>
      <c r="G41" s="0" t="s">
        <v>415</v>
      </c>
      <c r="H41" s="0" t="n">
        <f aca="false">ROUNDUP(F41/10,0)</f>
        <v>13</v>
      </c>
      <c r="I41" s="0" t="s">
        <v>462</v>
      </c>
    </row>
    <row r="42" customFormat="false" ht="15" hidden="false" customHeight="false" outlineLevel="0" collapsed="false">
      <c r="A42" s="0" t="s">
        <v>463</v>
      </c>
      <c r="B42" s="0" t="s">
        <v>383</v>
      </c>
      <c r="C42" s="0" t="n">
        <v>127.12</v>
      </c>
      <c r="D42" s="0" t="n">
        <f aca="false">Inputs!$B$4</f>
        <v>0.15</v>
      </c>
      <c r="E42" s="0" t="n">
        <f aca="false">C42*D42</f>
        <v>19.068</v>
      </c>
      <c r="F42" s="0" t="n">
        <f aca="false">C42+E42</f>
        <v>146.188</v>
      </c>
      <c r="G42" s="0" t="s">
        <v>415</v>
      </c>
      <c r="H42" s="0" t="n">
        <f aca="false">ROUNDUP(F42/10,0)</f>
        <v>15</v>
      </c>
      <c r="I42" s="0" t="s">
        <v>464</v>
      </c>
    </row>
    <row r="43" customFormat="false" ht="15" hidden="false" customHeight="false" outlineLevel="0" collapsed="false">
      <c r="A43" s="0" t="s">
        <v>465</v>
      </c>
      <c r="B43" s="0" t="s">
        <v>383</v>
      </c>
      <c r="C43" s="0" t="n">
        <v>251.43</v>
      </c>
      <c r="D43" s="0" t="n">
        <f aca="false">Inputs!$B$4</f>
        <v>0.15</v>
      </c>
      <c r="E43" s="0" t="n">
        <f aca="false">C43*D43</f>
        <v>37.7145</v>
      </c>
      <c r="F43" s="0" t="n">
        <f aca="false">C43+E43</f>
        <v>289.1445</v>
      </c>
      <c r="G43" s="0" t="s">
        <v>415</v>
      </c>
      <c r="H43" s="0" t="n">
        <f aca="false">ROUNDUP(F43/10,0)</f>
        <v>29</v>
      </c>
      <c r="I43" s="0" t="s">
        <v>466</v>
      </c>
    </row>
    <row r="44" customFormat="false" ht="15" hidden="false" customHeight="false" outlineLevel="0" collapsed="false">
      <c r="A44" s="0" t="s">
        <v>467</v>
      </c>
      <c r="B44" s="0" t="s">
        <v>383</v>
      </c>
      <c r="C44" s="0" t="n">
        <v>106.43</v>
      </c>
      <c r="D44" s="0" t="n">
        <f aca="false">Inputs!$B$4</f>
        <v>0.15</v>
      </c>
      <c r="E44" s="0" t="n">
        <f aca="false">C44*D44</f>
        <v>15.9645</v>
      </c>
      <c r="F44" s="0" t="n">
        <f aca="false">C44+E44</f>
        <v>122.3945</v>
      </c>
      <c r="G44" s="0" t="s">
        <v>415</v>
      </c>
      <c r="H44" s="0" t="n">
        <f aca="false">ROUNDUP(F44/10,0)</f>
        <v>13</v>
      </c>
      <c r="I44" s="0" t="s">
        <v>468</v>
      </c>
    </row>
    <row r="45" customFormat="false" ht="15" hidden="false" customHeight="false" outlineLevel="0" collapsed="false">
      <c r="A45" s="0" t="s">
        <v>469</v>
      </c>
      <c r="B45" s="0" t="s">
        <v>411</v>
      </c>
      <c r="C45" s="0" t="n">
        <v>318</v>
      </c>
      <c r="D45" s="0" t="n">
        <f aca="false">Inputs!$B$4</f>
        <v>0.15</v>
      </c>
      <c r="E45" s="0" t="n">
        <f aca="false">C45*D45</f>
        <v>47.7</v>
      </c>
      <c r="F45" s="0" t="n">
        <f aca="false">C45+E45</f>
        <v>365.7</v>
      </c>
      <c r="G45" s="0" t="s">
        <v>412</v>
      </c>
      <c r="H45" s="0" t="n">
        <f aca="false">ROUNDUP(F45,0)</f>
        <v>366</v>
      </c>
      <c r="I45" s="0" t="s">
        <v>470</v>
      </c>
    </row>
    <row r="46" customFormat="false" ht="15" hidden="false" customHeight="false" outlineLevel="0" collapsed="false">
      <c r="A46" s="0" t="s">
        <v>471</v>
      </c>
      <c r="B46" s="0" t="s">
        <v>383</v>
      </c>
      <c r="C46" s="0" t="n">
        <v>362.39</v>
      </c>
      <c r="D46" s="0" t="n">
        <f aca="false">Inputs!$B$4</f>
        <v>0.15</v>
      </c>
      <c r="E46" s="0" t="n">
        <f aca="false">C46*D46</f>
        <v>54.3585</v>
      </c>
      <c r="F46" s="0" t="n">
        <f aca="false">C46+E46</f>
        <v>416.7485</v>
      </c>
      <c r="G46" s="0" t="s">
        <v>383</v>
      </c>
      <c r="H46" s="0" t="n">
        <f aca="false">ROUNDUP(F46,0)</f>
        <v>417</v>
      </c>
      <c r="I46" s="0" t="s">
        <v>472</v>
      </c>
    </row>
    <row r="47" customFormat="false" ht="15" hidden="false" customHeight="false" outlineLevel="0" collapsed="false">
      <c r="A47" s="0" t="s">
        <v>473</v>
      </c>
      <c r="B47" s="0" t="s">
        <v>383</v>
      </c>
      <c r="C47" s="0" t="n">
        <v>71.58</v>
      </c>
      <c r="D47" s="0" t="n">
        <f aca="false">Inputs!$B$4</f>
        <v>0.15</v>
      </c>
      <c r="E47" s="0" t="n">
        <f aca="false">C47*D47</f>
        <v>10.737</v>
      </c>
      <c r="F47" s="0" t="n">
        <f aca="false">C47+E47</f>
        <v>82.317</v>
      </c>
      <c r="G47" s="0" t="s">
        <v>415</v>
      </c>
      <c r="H47" s="0" t="n">
        <f aca="false">ROUNDUP(F47/10,0)</f>
        <v>9</v>
      </c>
      <c r="I47" s="0" t="s">
        <v>474</v>
      </c>
    </row>
    <row r="48" customFormat="false" ht="15" hidden="false" customHeight="false" outlineLevel="0" collapsed="false">
      <c r="A48" s="0" t="s">
        <v>475</v>
      </c>
      <c r="B48" s="0" t="s">
        <v>383</v>
      </c>
      <c r="C48" s="0" t="n">
        <v>263.04</v>
      </c>
      <c r="D48" s="0" t="n">
        <f aca="false">Inputs!$B$4</f>
        <v>0.15</v>
      </c>
      <c r="E48" s="0" t="n">
        <f aca="false">C48*D48</f>
        <v>39.456</v>
      </c>
      <c r="F48" s="0" t="n">
        <f aca="false">C48+E48</f>
        <v>302.496</v>
      </c>
      <c r="G48" s="0" t="s">
        <v>415</v>
      </c>
      <c r="H48" s="0" t="n">
        <f aca="false">ROUNDUP(F48/10,0)</f>
        <v>31</v>
      </c>
      <c r="I48" s="0" t="s">
        <v>476</v>
      </c>
    </row>
    <row r="49" customFormat="false" ht="15" hidden="false" customHeight="false" outlineLevel="0" collapsed="false">
      <c r="A49" s="0" t="s">
        <v>477</v>
      </c>
      <c r="B49" s="0" t="s">
        <v>383</v>
      </c>
      <c r="C49" s="0" t="n">
        <v>90</v>
      </c>
      <c r="D49" s="0" t="n">
        <f aca="false">Inputs!$B$4</f>
        <v>0.15</v>
      </c>
      <c r="E49" s="0" t="n">
        <f aca="false">C49*D49</f>
        <v>13.5</v>
      </c>
      <c r="F49" s="0" t="n">
        <f aca="false">C49+E49</f>
        <v>103.5</v>
      </c>
      <c r="G49" s="0" t="s">
        <v>415</v>
      </c>
      <c r="H49" s="0" t="n">
        <f aca="false">ROUNDUP(F49/10,0)</f>
        <v>11</v>
      </c>
      <c r="I49" s="0" t="s">
        <v>478</v>
      </c>
    </row>
    <row r="50" customFormat="false" ht="15" hidden="false" customHeight="false" outlineLevel="0" collapsed="false">
      <c r="A50" s="0" t="s">
        <v>479</v>
      </c>
      <c r="B50" s="0" t="s">
        <v>383</v>
      </c>
      <c r="C50" s="0" t="n">
        <v>14.25</v>
      </c>
      <c r="D50" s="0" t="n">
        <f aca="false">Inputs!$B$4</f>
        <v>0.15</v>
      </c>
      <c r="E50" s="0" t="n">
        <f aca="false">C50*D50</f>
        <v>2.1375</v>
      </c>
      <c r="F50" s="0" t="n">
        <f aca="false">C50+E50</f>
        <v>16.3875</v>
      </c>
      <c r="G50" s="0" t="s">
        <v>415</v>
      </c>
      <c r="H50" s="0" t="n">
        <f aca="false">ROUNDUP(F50/10,0)</f>
        <v>2</v>
      </c>
      <c r="I50" s="0" t="s">
        <v>387</v>
      </c>
    </row>
    <row r="51" customFormat="false" ht="15" hidden="false" customHeight="false" outlineLevel="0" collapsed="false">
      <c r="A51" s="0" t="s">
        <v>480</v>
      </c>
      <c r="B51" s="0" t="s">
        <v>383</v>
      </c>
      <c r="C51" s="0" t="n">
        <v>360.39</v>
      </c>
      <c r="D51" s="0" t="n">
        <f aca="false">Inputs!$B$4</f>
        <v>0.15</v>
      </c>
      <c r="E51" s="0" t="n">
        <f aca="false">C51*D51</f>
        <v>54.0585</v>
      </c>
      <c r="F51" s="0" t="n">
        <f aca="false">C51+E51</f>
        <v>414.4485</v>
      </c>
      <c r="G51" s="0" t="s">
        <v>415</v>
      </c>
      <c r="H51" s="0" t="n">
        <f aca="false">ROUNDUP(F51/10,0)</f>
        <v>42</v>
      </c>
      <c r="I51" s="0" t="s">
        <v>481</v>
      </c>
    </row>
    <row r="52" customFormat="false" ht="15" hidden="false" customHeight="false" outlineLevel="0" collapsed="false">
      <c r="A52" s="0" t="s">
        <v>482</v>
      </c>
      <c r="B52" s="0" t="s">
        <v>383</v>
      </c>
      <c r="C52" s="0" t="n">
        <v>80.41</v>
      </c>
      <c r="D52" s="0" t="n">
        <f aca="false">Inputs!$B$4</f>
        <v>0.15</v>
      </c>
      <c r="E52" s="0" t="n">
        <f aca="false">C52*D52</f>
        <v>12.0615</v>
      </c>
      <c r="F52" s="0" t="n">
        <f aca="false">C52+E52</f>
        <v>92.4715</v>
      </c>
      <c r="G52" s="0" t="s">
        <v>415</v>
      </c>
      <c r="H52" s="0" t="n">
        <f aca="false">ROUNDUP(F52/10,0)</f>
        <v>10</v>
      </c>
      <c r="I52" s="0" t="s">
        <v>483</v>
      </c>
    </row>
    <row r="53" customFormat="false" ht="15" hidden="false" customHeight="false" outlineLevel="0" collapsed="false">
      <c r="A53" s="0" t="s">
        <v>484</v>
      </c>
      <c r="B53" s="0" t="s">
        <v>383</v>
      </c>
      <c r="C53" s="0" t="n">
        <v>198.7</v>
      </c>
      <c r="D53" s="0" t="n">
        <f aca="false">Inputs!$B$4</f>
        <v>0.15</v>
      </c>
      <c r="E53" s="0" t="n">
        <f aca="false">C53*D53</f>
        <v>29.805</v>
      </c>
      <c r="F53" s="0" t="n">
        <f aca="false">C53+E53</f>
        <v>228.505</v>
      </c>
      <c r="G53" s="0" t="s">
        <v>415</v>
      </c>
      <c r="H53" s="0" t="n">
        <f aca="false">ROUNDUP(F53/10,0)</f>
        <v>23</v>
      </c>
      <c r="I53" s="0" t="s">
        <v>485</v>
      </c>
    </row>
    <row r="54" customFormat="false" ht="15" hidden="false" customHeight="false" outlineLevel="0" collapsed="false">
      <c r="A54" s="0" t="s">
        <v>486</v>
      </c>
      <c r="B54" s="0" t="s">
        <v>383</v>
      </c>
      <c r="C54" s="0" t="n">
        <v>241</v>
      </c>
      <c r="D54" s="0" t="n">
        <f aca="false">Inputs!$B$4</f>
        <v>0.15</v>
      </c>
      <c r="E54" s="0" t="n">
        <f aca="false">C54*D54</f>
        <v>36.15</v>
      </c>
      <c r="F54" s="0" t="n">
        <f aca="false">C54+E54</f>
        <v>277.15</v>
      </c>
      <c r="G54" s="0" t="s">
        <v>415</v>
      </c>
      <c r="H54" s="0" t="n">
        <f aca="false">ROUNDUP(F54/10,0)</f>
        <v>28</v>
      </c>
      <c r="I54" s="0" t="s">
        <v>421</v>
      </c>
    </row>
    <row r="55" customFormat="false" ht="15" hidden="false" customHeight="false" outlineLevel="0" collapsed="false">
      <c r="A55" s="0" t="s">
        <v>487</v>
      </c>
      <c r="B55" s="0" t="s">
        <v>383</v>
      </c>
      <c r="C55" s="0" t="n">
        <v>26.68</v>
      </c>
      <c r="D55" s="0" t="n">
        <f aca="false">Inputs!$B$4</f>
        <v>0.15</v>
      </c>
      <c r="E55" s="0" t="n">
        <f aca="false">C55*D55</f>
        <v>4.002</v>
      </c>
      <c r="F55" s="0" t="n">
        <f aca="false">C55+E55</f>
        <v>30.682</v>
      </c>
      <c r="G55" s="0" t="s">
        <v>415</v>
      </c>
      <c r="H55" s="0" t="n">
        <f aca="false">ROUNDUP(F55/10,0)</f>
        <v>4</v>
      </c>
      <c r="I55" s="0" t="s">
        <v>397</v>
      </c>
    </row>
    <row r="56" customFormat="false" ht="15" hidden="false" customHeight="false" outlineLevel="0" collapsed="false">
      <c r="A56" s="0" t="s">
        <v>488</v>
      </c>
      <c r="B56" s="0" t="s">
        <v>383</v>
      </c>
      <c r="C56" s="0" t="n">
        <v>61.99</v>
      </c>
      <c r="D56" s="0" t="n">
        <f aca="false">Inputs!$B$4</f>
        <v>0.15</v>
      </c>
      <c r="E56" s="0" t="n">
        <f aca="false">C56*D56</f>
        <v>9.2985</v>
      </c>
      <c r="F56" s="0" t="n">
        <f aca="false">C56+E56</f>
        <v>71.2885</v>
      </c>
      <c r="G56" s="0" t="s">
        <v>415</v>
      </c>
      <c r="H56" s="0" t="n">
        <f aca="false">ROUNDUP(F56/10,0)</f>
        <v>8</v>
      </c>
      <c r="I56" s="0" t="s">
        <v>489</v>
      </c>
    </row>
    <row r="57" customFormat="false" ht="15" hidden="false" customHeight="false" outlineLevel="0" collapsed="false">
      <c r="A57" s="0" t="s">
        <v>490</v>
      </c>
      <c r="B57" s="0" t="s">
        <v>383</v>
      </c>
      <c r="C57" s="0" t="n">
        <v>266.64</v>
      </c>
      <c r="D57" s="0" t="n">
        <f aca="false">Inputs!$B$4</f>
        <v>0.15</v>
      </c>
      <c r="E57" s="0" t="n">
        <f aca="false">C57*D57</f>
        <v>39.996</v>
      </c>
      <c r="F57" s="0" t="n">
        <f aca="false">C57+E57</f>
        <v>306.636</v>
      </c>
      <c r="G57" s="0" t="s">
        <v>415</v>
      </c>
      <c r="H57" s="0" t="n">
        <f aca="false">ROUNDUP(F57/10,0)</f>
        <v>31</v>
      </c>
      <c r="I57" s="0" t="s">
        <v>428</v>
      </c>
    </row>
    <row r="58" customFormat="false" ht="15" hidden="false" customHeight="false" outlineLevel="0" collapsed="false">
      <c r="A58" s="0" t="s">
        <v>491</v>
      </c>
      <c r="B58" s="0" t="s">
        <v>411</v>
      </c>
      <c r="C58" s="0" t="n">
        <v>291</v>
      </c>
      <c r="D58" s="0" t="n">
        <f aca="false">Inputs!$B$4</f>
        <v>0.15</v>
      </c>
      <c r="E58" s="0" t="n">
        <f aca="false">C58*D58</f>
        <v>43.65</v>
      </c>
      <c r="F58" s="0" t="n">
        <f aca="false">C58+E58</f>
        <v>334.65</v>
      </c>
      <c r="G58" s="0" t="s">
        <v>412</v>
      </c>
      <c r="H58" s="0" t="n">
        <f aca="false">ROUNDUP(F58,0)</f>
        <v>335</v>
      </c>
      <c r="I58" s="0" t="s">
        <v>492</v>
      </c>
    </row>
    <row r="59" customFormat="false" ht="15" hidden="false" customHeight="false" outlineLevel="0" collapsed="false">
      <c r="A59" s="0" t="s">
        <v>493</v>
      </c>
      <c r="B59" s="0" t="s">
        <v>494</v>
      </c>
      <c r="C59" s="0" t="n">
        <v>482.29</v>
      </c>
      <c r="D59" s="0" t="n">
        <f aca="false">Inputs!$B$5</f>
        <v>0.06</v>
      </c>
      <c r="E59" s="0" t="n">
        <f aca="false">C59*D59</f>
        <v>28.9374</v>
      </c>
      <c r="F59" s="0" t="n">
        <f aca="false">C59+E59</f>
        <v>511.2274</v>
      </c>
      <c r="G59" s="0" t="s">
        <v>495</v>
      </c>
      <c r="H59" s="0" t="n">
        <f aca="false">ROUNDUP(F59/Inputs!$B$8,0)</f>
        <v>11</v>
      </c>
      <c r="I59" s="0" t="s">
        <v>496</v>
      </c>
    </row>
    <row r="60" customFormat="false" ht="15" hidden="false" customHeight="false" outlineLevel="0" collapsed="false">
      <c r="A60" s="0" t="s">
        <v>497</v>
      </c>
      <c r="B60" s="0" t="s">
        <v>494</v>
      </c>
      <c r="C60" s="0" t="n">
        <v>26</v>
      </c>
      <c r="D60" s="0" t="n">
        <f aca="false">Inputs!$B$5</f>
        <v>0.06</v>
      </c>
      <c r="E60" s="0" t="n">
        <f aca="false">C60*D60</f>
        <v>1.56</v>
      </c>
      <c r="F60" s="0" t="n">
        <f aca="false">C60+E60</f>
        <v>27.56</v>
      </c>
      <c r="G60" s="0" t="s">
        <v>495</v>
      </c>
      <c r="H60" s="0" t="n">
        <f aca="false">ROUNDUP(F60/Inputs!$B$8,0)</f>
        <v>1</v>
      </c>
      <c r="I60" s="0" t="s">
        <v>498</v>
      </c>
    </row>
    <row r="61" customFormat="false" ht="15" hidden="false" customHeight="false" outlineLevel="0" collapsed="false">
      <c r="A61" s="0" t="s">
        <v>499</v>
      </c>
      <c r="B61" s="0" t="s">
        <v>494</v>
      </c>
      <c r="C61" s="0" t="n">
        <v>40</v>
      </c>
      <c r="D61" s="0" t="n">
        <f aca="false">Inputs!$B$5</f>
        <v>0.06</v>
      </c>
      <c r="E61" s="0" t="n">
        <f aca="false">C61*D61</f>
        <v>2.4</v>
      </c>
      <c r="F61" s="0" t="n">
        <f aca="false">C61+E61</f>
        <v>42.4</v>
      </c>
      <c r="G61" s="0" t="s">
        <v>495</v>
      </c>
      <c r="H61" s="0" t="n">
        <f aca="false">ROUNDUP(F61/Inputs!$B$8,0)</f>
        <v>1</v>
      </c>
      <c r="I61" s="0" t="s">
        <v>500</v>
      </c>
    </row>
    <row r="62" customFormat="false" ht="15" hidden="false" customHeight="false" outlineLevel="0" collapsed="false">
      <c r="A62" s="0" t="s">
        <v>501</v>
      </c>
      <c r="B62" s="0" t="s">
        <v>494</v>
      </c>
      <c r="C62" s="0" t="n">
        <v>244.42</v>
      </c>
      <c r="D62" s="0" t="n">
        <f aca="false">Inputs!$B$5</f>
        <v>0.06</v>
      </c>
      <c r="E62" s="0" t="n">
        <f aca="false">C62*D62</f>
        <v>14.6652</v>
      </c>
      <c r="F62" s="0" t="n">
        <f aca="false">C62+E62</f>
        <v>259.0852</v>
      </c>
      <c r="G62" s="0" t="s">
        <v>495</v>
      </c>
      <c r="H62" s="0" t="n">
        <f aca="false">ROUNDUP(F62/Inputs!$B$8,0)</f>
        <v>6</v>
      </c>
      <c r="I62" s="0" t="s">
        <v>502</v>
      </c>
    </row>
    <row r="63" customFormat="false" ht="15" hidden="false" customHeight="false" outlineLevel="0" collapsed="false">
      <c r="A63" s="0" t="s">
        <v>503</v>
      </c>
      <c r="B63" s="0" t="s">
        <v>494</v>
      </c>
      <c r="C63" s="0" t="n">
        <v>259.92</v>
      </c>
      <c r="D63" s="0" t="n">
        <f aca="false">Inputs!$B$5</f>
        <v>0.06</v>
      </c>
      <c r="E63" s="0" t="n">
        <f aca="false">C63*D63</f>
        <v>15.5952</v>
      </c>
      <c r="F63" s="0" t="n">
        <f aca="false">C63+E63</f>
        <v>275.5152</v>
      </c>
      <c r="G63" s="0" t="s">
        <v>495</v>
      </c>
      <c r="H63" s="0" t="n">
        <f aca="false">ROUNDUP(F63/Inputs!$B$8,0)</f>
        <v>6</v>
      </c>
      <c r="I63" s="0" t="s">
        <v>504</v>
      </c>
    </row>
    <row r="64" customFormat="false" ht="15" hidden="false" customHeight="false" outlineLevel="0" collapsed="false">
      <c r="A64" s="0" t="s">
        <v>505</v>
      </c>
      <c r="B64" s="0" t="s">
        <v>494</v>
      </c>
      <c r="C64" s="0" t="n">
        <v>57.03</v>
      </c>
      <c r="D64" s="0" t="n">
        <f aca="false">Inputs!$B$5</f>
        <v>0.06</v>
      </c>
      <c r="E64" s="0" t="n">
        <f aca="false">C64*D64</f>
        <v>3.4218</v>
      </c>
      <c r="F64" s="0" t="n">
        <f aca="false">C64+E64</f>
        <v>60.4518</v>
      </c>
      <c r="G64" s="0" t="s">
        <v>506</v>
      </c>
      <c r="H64" s="0" t="n">
        <f aca="false">ROUNDUP(F64/Inputs!$B$8,0)</f>
        <v>2</v>
      </c>
      <c r="I64" s="0" t="s">
        <v>507</v>
      </c>
    </row>
    <row r="65" customFormat="false" ht="15" hidden="false" customHeight="false" outlineLevel="0" collapsed="false">
      <c r="A65" s="0" t="s">
        <v>508</v>
      </c>
      <c r="B65" s="0" t="s">
        <v>494</v>
      </c>
      <c r="C65" s="0" t="n">
        <v>3823.37</v>
      </c>
      <c r="D65" s="0" t="n">
        <f aca="false">Inputs!$B$5</f>
        <v>0.06</v>
      </c>
      <c r="E65" s="0" t="n">
        <f aca="false">C65*D65</f>
        <v>229.4022</v>
      </c>
      <c r="F65" s="0" t="n">
        <f aca="false">C65+E65</f>
        <v>4052.7722</v>
      </c>
      <c r="G65" s="0" t="s">
        <v>506</v>
      </c>
      <c r="H65" s="0" t="n">
        <f aca="false">ROUNDUP(F65/Inputs!$B$8,0)</f>
        <v>85</v>
      </c>
      <c r="I65" s="0" t="s">
        <v>509</v>
      </c>
    </row>
    <row r="66" customFormat="false" ht="15" hidden="false" customHeight="false" outlineLevel="0" collapsed="false">
      <c r="A66" s="0" t="s">
        <v>510</v>
      </c>
      <c r="B66" s="0" t="s">
        <v>494</v>
      </c>
      <c r="C66" s="0" t="n">
        <v>282.81</v>
      </c>
      <c r="D66" s="0" t="n">
        <f aca="false">Inputs!$B$5</f>
        <v>0.06</v>
      </c>
      <c r="E66" s="0" t="n">
        <f aca="false">C66*D66</f>
        <v>16.9686</v>
      </c>
      <c r="F66" s="0" t="n">
        <f aca="false">C66+E66</f>
        <v>299.7786</v>
      </c>
      <c r="G66" s="0" t="s">
        <v>495</v>
      </c>
      <c r="H66" s="0" t="n">
        <f aca="false">ROUNDUP(F66/Inputs!$B$8,0)</f>
        <v>7</v>
      </c>
      <c r="I66" s="0" t="s">
        <v>397</v>
      </c>
    </row>
    <row r="67" customFormat="false" ht="15" hidden="false" customHeight="false" outlineLevel="0" collapsed="false">
      <c r="A67" s="0" t="s">
        <v>511</v>
      </c>
      <c r="B67" s="0" t="s">
        <v>494</v>
      </c>
      <c r="C67" s="0" t="n">
        <v>2125.96</v>
      </c>
      <c r="D67" s="0" t="n">
        <f aca="false">Inputs!$B$5</f>
        <v>0.06</v>
      </c>
      <c r="E67" s="0" t="n">
        <f aca="false">C67*D67</f>
        <v>127.5576</v>
      </c>
      <c r="F67" s="0" t="n">
        <f aca="false">C67+E67</f>
        <v>2253.5176</v>
      </c>
      <c r="G67" s="0" t="s">
        <v>495</v>
      </c>
      <c r="H67" s="0" t="n">
        <f aca="false">ROUNDUP(F67/Inputs!$B$8,0)</f>
        <v>47</v>
      </c>
      <c r="I67" s="0" t="s">
        <v>512</v>
      </c>
    </row>
    <row r="68" customFormat="false" ht="15" hidden="false" customHeight="false" outlineLevel="0" collapsed="false">
      <c r="A68" s="0" t="s">
        <v>513</v>
      </c>
      <c r="B68" s="0" t="s">
        <v>494</v>
      </c>
      <c r="C68" s="0" t="n">
        <v>955.44</v>
      </c>
      <c r="D68" s="0" t="n">
        <f aca="false">Inputs!$B$5</f>
        <v>0.06</v>
      </c>
      <c r="E68" s="0" t="n">
        <f aca="false">C68*D68</f>
        <v>57.3264</v>
      </c>
      <c r="F68" s="0" t="n">
        <f aca="false">C68+E68</f>
        <v>1012.7664</v>
      </c>
      <c r="G68" s="0" t="s">
        <v>506</v>
      </c>
      <c r="H68" s="0" t="n">
        <f aca="false">ROUNDUP(F68/Inputs!$B$8,0)</f>
        <v>22</v>
      </c>
      <c r="I68" s="0" t="s">
        <v>514</v>
      </c>
    </row>
    <row r="69" customFormat="false" ht="15" hidden="false" customHeight="false" outlineLevel="0" collapsed="false">
      <c r="A69" s="0" t="s">
        <v>515</v>
      </c>
      <c r="B69" s="0" t="s">
        <v>494</v>
      </c>
      <c r="C69" s="0" t="n">
        <v>6.01</v>
      </c>
      <c r="D69" s="0" t="n">
        <f aca="false">Inputs!$B$5</f>
        <v>0.06</v>
      </c>
      <c r="E69" s="0" t="n">
        <f aca="false">C69*D69</f>
        <v>0.3606</v>
      </c>
      <c r="F69" s="0" t="n">
        <f aca="false">C69+E69</f>
        <v>6.3706</v>
      </c>
      <c r="G69" s="0" t="s">
        <v>495</v>
      </c>
      <c r="H69" s="0" t="n">
        <f aca="false">ROUNDUP(F69/Inputs!$B$8,0)</f>
        <v>1</v>
      </c>
      <c r="I69" s="0" t="s">
        <v>516</v>
      </c>
    </row>
    <row r="70" customFormat="false" ht="15" hidden="false" customHeight="false" outlineLevel="0" collapsed="false">
      <c r="A70" s="0" t="s">
        <v>517</v>
      </c>
      <c r="B70" s="0" t="s">
        <v>494</v>
      </c>
      <c r="C70" s="0" t="n">
        <v>500.48</v>
      </c>
      <c r="D70" s="0" t="n">
        <f aca="false">Inputs!$B$5</f>
        <v>0.06</v>
      </c>
      <c r="E70" s="0" t="n">
        <f aca="false">C70*D70</f>
        <v>30.0288</v>
      </c>
      <c r="F70" s="0" t="n">
        <f aca="false">C70+E70</f>
        <v>530.5088</v>
      </c>
      <c r="G70" s="0" t="s">
        <v>506</v>
      </c>
      <c r="H70" s="0" t="n">
        <f aca="false">ROUNDUP(F70/Inputs!$B$8,0)</f>
        <v>12</v>
      </c>
      <c r="I70" s="0" t="s">
        <v>518</v>
      </c>
    </row>
    <row r="71" customFormat="false" ht="15" hidden="false" customHeight="false" outlineLevel="0" collapsed="false">
      <c r="A71" s="0" t="s">
        <v>519</v>
      </c>
      <c r="B71" s="0" t="s">
        <v>494</v>
      </c>
      <c r="C71" s="0" t="n">
        <v>261.82</v>
      </c>
      <c r="D71" s="0" t="n">
        <f aca="false">Inputs!$B$5</f>
        <v>0.06</v>
      </c>
      <c r="E71" s="0" t="n">
        <f aca="false">C71*D71</f>
        <v>15.7092</v>
      </c>
      <c r="F71" s="0" t="n">
        <f aca="false">C71+E71</f>
        <v>277.5292</v>
      </c>
      <c r="G71" s="0" t="s">
        <v>506</v>
      </c>
      <c r="H71" s="0" t="n">
        <f aca="false">ROUNDUP(F71/Inputs!$B$8,0)</f>
        <v>6</v>
      </c>
      <c r="I71" s="0" t="s">
        <v>520</v>
      </c>
    </row>
    <row r="72" customFormat="false" ht="15" hidden="false" customHeight="false" outlineLevel="0" collapsed="false">
      <c r="A72" s="0" t="s">
        <v>521</v>
      </c>
      <c r="B72" s="0" t="s">
        <v>494</v>
      </c>
      <c r="C72" s="0" t="n">
        <v>17616.25</v>
      </c>
      <c r="D72" s="0" t="n">
        <f aca="false">Inputs!$B$5</f>
        <v>0.06</v>
      </c>
      <c r="E72" s="0" t="n">
        <f aca="false">C72*D72</f>
        <v>1056.975</v>
      </c>
      <c r="F72" s="0" t="n">
        <f aca="false">C72+E72</f>
        <v>18673.225</v>
      </c>
      <c r="G72" s="0" t="s">
        <v>506</v>
      </c>
      <c r="H72" s="0" t="n">
        <f aca="false">ROUNDUP(F72/Inputs!$B$8,0)</f>
        <v>390</v>
      </c>
      <c r="I72" s="0" t="s">
        <v>522</v>
      </c>
    </row>
    <row r="73" customFormat="false" ht="15" hidden="false" customHeight="false" outlineLevel="0" collapsed="false">
      <c r="A73" s="0" t="s">
        <v>523</v>
      </c>
      <c r="B73" s="0" t="s">
        <v>383</v>
      </c>
      <c r="C73" s="0" t="n">
        <v>932.96</v>
      </c>
      <c r="D73" s="0" t="n">
        <f aca="false">Inputs!$B$5</f>
        <v>0.06</v>
      </c>
      <c r="E73" s="0" t="n">
        <f aca="false">C73*D73</f>
        <v>55.9776</v>
      </c>
      <c r="F73" s="0" t="n">
        <f aca="false">C73+E73</f>
        <v>988.9376</v>
      </c>
      <c r="G73" s="0" t="s">
        <v>415</v>
      </c>
      <c r="H73" s="0" t="n">
        <f aca="false">ROUNDUP(F73/10,0)</f>
        <v>99</v>
      </c>
      <c r="I73" s="0" t="s">
        <v>522</v>
      </c>
    </row>
    <row r="74" customFormat="false" ht="15" hidden="false" customHeight="false" outlineLevel="0" collapsed="false">
      <c r="A74" s="0" t="s">
        <v>524</v>
      </c>
      <c r="B74" s="0" t="s">
        <v>494</v>
      </c>
      <c r="C74" s="0" t="n">
        <v>73.28</v>
      </c>
      <c r="D74" s="0" t="n">
        <f aca="false">Inputs!$B$5</f>
        <v>0.06</v>
      </c>
      <c r="E74" s="0" t="n">
        <f aca="false">C74*D74</f>
        <v>4.3968</v>
      </c>
      <c r="F74" s="0" t="n">
        <f aca="false">C74+E74</f>
        <v>77.6768</v>
      </c>
      <c r="G74" s="0" t="s">
        <v>495</v>
      </c>
      <c r="H74" s="0" t="n">
        <f aca="false">ROUNDUP(F74/Inputs!$B$8,0)</f>
        <v>2</v>
      </c>
      <c r="I74" s="0" t="s">
        <v>507</v>
      </c>
    </row>
    <row r="75" customFormat="false" ht="15" hidden="false" customHeight="false" outlineLevel="0" collapsed="false">
      <c r="A75" s="0" t="s">
        <v>525</v>
      </c>
      <c r="B75" s="0" t="s">
        <v>494</v>
      </c>
      <c r="C75" s="0" t="n">
        <v>360.93</v>
      </c>
      <c r="D75" s="0" t="n">
        <f aca="false">Inputs!$B$5</f>
        <v>0.06</v>
      </c>
      <c r="E75" s="0" t="n">
        <f aca="false">C75*D75</f>
        <v>21.6558</v>
      </c>
      <c r="F75" s="0" t="n">
        <f aca="false">C75+E75</f>
        <v>382.5858</v>
      </c>
      <c r="G75" s="0" t="s">
        <v>495</v>
      </c>
      <c r="H75" s="0" t="n">
        <f aca="false">ROUNDUP(F75/Inputs!$B$8,0)</f>
        <v>8</v>
      </c>
      <c r="I75" s="0" t="s">
        <v>526</v>
      </c>
    </row>
    <row r="76" customFormat="false" ht="15" hidden="false" customHeight="false" outlineLevel="0" collapsed="false">
      <c r="A76" s="0" t="s">
        <v>527</v>
      </c>
      <c r="B76" s="0" t="s">
        <v>383</v>
      </c>
      <c r="C76" s="0" t="n">
        <v>241.76</v>
      </c>
      <c r="D76" s="0" t="n">
        <f aca="false">Inputs!$B$5</f>
        <v>0.06</v>
      </c>
      <c r="E76" s="0" t="n">
        <f aca="false">C76*D76</f>
        <v>14.5056</v>
      </c>
      <c r="F76" s="0" t="n">
        <f aca="false">C76+E76</f>
        <v>256.2656</v>
      </c>
      <c r="G76" s="0" t="s">
        <v>383</v>
      </c>
      <c r="H76" s="0" t="n">
        <f aca="false">ROUNDUP(F76,0)</f>
        <v>257</v>
      </c>
      <c r="I76" s="0" t="s">
        <v>528</v>
      </c>
    </row>
    <row r="77" customFormat="false" ht="15" hidden="false" customHeight="false" outlineLevel="0" collapsed="false">
      <c r="A77" s="0" t="s">
        <v>529</v>
      </c>
      <c r="B77" s="0" t="s">
        <v>494</v>
      </c>
      <c r="C77" s="0" t="n">
        <v>948.36</v>
      </c>
      <c r="D77" s="0" t="n">
        <f aca="false">Inputs!$B$5</f>
        <v>0.06</v>
      </c>
      <c r="E77" s="0" t="n">
        <f aca="false">C77*D77</f>
        <v>56.9016</v>
      </c>
      <c r="F77" s="0" t="n">
        <f aca="false">C77+E77</f>
        <v>1005.2616</v>
      </c>
      <c r="G77" s="0" t="s">
        <v>494</v>
      </c>
      <c r="H77" s="0" t="n">
        <f aca="false">ROUNDUP(F77/Inputs!$B$8,0)</f>
        <v>21</v>
      </c>
      <c r="I77" s="0" t="s">
        <v>530</v>
      </c>
    </row>
    <row r="78" customFormat="false" ht="15" hidden="false" customHeight="false" outlineLevel="0" collapsed="false">
      <c r="A78" s="0" t="s">
        <v>531</v>
      </c>
      <c r="B78" s="0" t="s">
        <v>494</v>
      </c>
      <c r="C78" s="0" t="n">
        <v>343.89</v>
      </c>
      <c r="D78" s="0" t="n">
        <f aca="false">Inputs!$B$5</f>
        <v>0.06</v>
      </c>
      <c r="E78" s="0" t="n">
        <f aca="false">C78*D78</f>
        <v>20.6334</v>
      </c>
      <c r="F78" s="0" t="n">
        <f aca="false">C78+E78</f>
        <v>364.5234</v>
      </c>
      <c r="G78" s="0" t="s">
        <v>494</v>
      </c>
      <c r="H78" s="0" t="n">
        <f aca="false">ROUNDUP(F78/Inputs!$B$8,0)</f>
        <v>8</v>
      </c>
      <c r="I78" s="0" t="s">
        <v>532</v>
      </c>
    </row>
    <row r="79" customFormat="false" ht="15" hidden="false" customHeight="false" outlineLevel="0" collapsed="false">
      <c r="A79" s="0" t="s">
        <v>533</v>
      </c>
      <c r="B79" s="0" t="s">
        <v>383</v>
      </c>
      <c r="C79" s="0" t="n">
        <v>103</v>
      </c>
      <c r="D79" s="0" t="n">
        <f aca="false">Inputs!$B$5</f>
        <v>0.06</v>
      </c>
      <c r="E79" s="0" t="n">
        <f aca="false">C79*D79</f>
        <v>6.18</v>
      </c>
      <c r="F79" s="0" t="n">
        <f aca="false">C79+E79</f>
        <v>109.18</v>
      </c>
      <c r="G79" s="0" t="s">
        <v>415</v>
      </c>
      <c r="H79" s="0" t="n">
        <f aca="false">ROUNDUP(F79/10,0)</f>
        <v>11</v>
      </c>
      <c r="I79" s="0" t="s">
        <v>534</v>
      </c>
    </row>
    <row r="80" customFormat="false" ht="15" hidden="false" customHeight="false" outlineLevel="0" collapsed="false">
      <c r="A80" s="0" t="s">
        <v>535</v>
      </c>
      <c r="B80" s="0" t="s">
        <v>383</v>
      </c>
      <c r="C80" s="0" t="n">
        <v>214.73</v>
      </c>
      <c r="D80" s="0" t="n">
        <f aca="false">Inputs!$B$5</f>
        <v>0.06</v>
      </c>
      <c r="E80" s="0" t="n">
        <f aca="false">C80*D80</f>
        <v>12.8838</v>
      </c>
      <c r="F80" s="0" t="n">
        <f aca="false">C80+E80</f>
        <v>227.6138</v>
      </c>
      <c r="G80" s="0" t="s">
        <v>536</v>
      </c>
      <c r="H80" s="0" t="n">
        <f aca="false">ROUNDUP(F80/25,0)</f>
        <v>10</v>
      </c>
      <c r="I80" s="0" t="s">
        <v>537</v>
      </c>
    </row>
    <row r="81" customFormat="false" ht="15" hidden="false" customHeight="false" outlineLevel="0" collapsed="false">
      <c r="A81" s="0" t="s">
        <v>538</v>
      </c>
      <c r="B81" s="0" t="s">
        <v>494</v>
      </c>
      <c r="C81" s="0" t="n">
        <v>5331.7</v>
      </c>
      <c r="D81" s="0" t="n">
        <f aca="false">Inputs!$B$5</f>
        <v>0.06</v>
      </c>
      <c r="E81" s="0" t="n">
        <f aca="false">C81*D81</f>
        <v>319.902</v>
      </c>
      <c r="F81" s="0" t="n">
        <f aca="false">C81+E81</f>
        <v>5651.602</v>
      </c>
      <c r="G81" s="0" t="s">
        <v>494</v>
      </c>
      <c r="H81" s="0" t="n">
        <f aca="false">ROUNDUP(F81/Inputs!$B$8,0)</f>
        <v>118</v>
      </c>
      <c r="I81" s="0" t="s">
        <v>522</v>
      </c>
    </row>
    <row r="82" customFormat="false" ht="15" hidden="false" customHeight="false" outlineLevel="0" collapsed="false">
      <c r="A82" s="0" t="s">
        <v>539</v>
      </c>
      <c r="B82" s="0" t="s">
        <v>494</v>
      </c>
      <c r="C82" s="0" t="n">
        <v>155.19</v>
      </c>
      <c r="D82" s="0" t="n">
        <f aca="false">Inputs!$B$5</f>
        <v>0.06</v>
      </c>
      <c r="E82" s="0" t="n">
        <f aca="false">C82*D82</f>
        <v>9.3114</v>
      </c>
      <c r="F82" s="0" t="n">
        <f aca="false">C82+E82</f>
        <v>164.5014</v>
      </c>
      <c r="G82" s="0" t="s">
        <v>494</v>
      </c>
      <c r="H82" s="0" t="n">
        <f aca="false">ROUNDUP(F82/Inputs!$B$8,0)</f>
        <v>4</v>
      </c>
      <c r="I82" s="0" t="s">
        <v>540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4" t="s">
        <v>541</v>
      </c>
      <c r="B1" s="4" t="s">
        <v>542</v>
      </c>
      <c r="C1" s="4" t="s">
        <v>543</v>
      </c>
    </row>
    <row r="2" customFormat="false" ht="15" hidden="false" customHeight="false" outlineLevel="0" collapsed="false">
      <c r="A2" s="0" t="s">
        <v>544</v>
      </c>
      <c r="B2" s="0" t="s">
        <v>545</v>
      </c>
      <c r="C2" s="0" t="s">
        <v>546</v>
      </c>
    </row>
    <row r="3" customFormat="false" ht="15" hidden="false" customHeight="false" outlineLevel="0" collapsed="false">
      <c r="A3" s="0" t="s">
        <v>547</v>
      </c>
      <c r="B3" s="0" t="s">
        <v>548</v>
      </c>
      <c r="C3" s="0" t="s">
        <v>549</v>
      </c>
    </row>
    <row r="4" customFormat="false" ht="15" hidden="false" customHeight="false" outlineLevel="0" collapsed="false">
      <c r="A4" s="0" t="s">
        <v>550</v>
      </c>
      <c r="B4" s="0" t="s">
        <v>551</v>
      </c>
      <c r="C4" s="0" t="s">
        <v>552</v>
      </c>
    </row>
    <row r="5" customFormat="false" ht="15" hidden="false" customHeight="false" outlineLevel="0" collapsed="false">
      <c r="A5" s="0" t="s">
        <v>553</v>
      </c>
      <c r="B5" s="0" t="s">
        <v>554</v>
      </c>
      <c r="C5" s="0" t="s">
        <v>555</v>
      </c>
    </row>
    <row r="6" customFormat="false" ht="15" hidden="false" customHeight="false" outlineLevel="0" collapsed="false">
      <c r="A6" s="0" t="s">
        <v>556</v>
      </c>
      <c r="B6" s="0" t="s">
        <v>557</v>
      </c>
      <c r="C6" s="0" t="s">
        <v>558</v>
      </c>
    </row>
    <row r="7" customFormat="false" ht="15" hidden="false" customHeight="false" outlineLevel="0" collapsed="false">
      <c r="A7" s="0" t="s">
        <v>559</v>
      </c>
      <c r="B7" s="0" t="s">
        <v>560</v>
      </c>
      <c r="C7" s="0" t="s">
        <v>561</v>
      </c>
    </row>
    <row r="8" customFormat="false" ht="15" hidden="false" customHeight="false" outlineLevel="0" collapsed="false">
      <c r="A8" s="0" t="s">
        <v>562</v>
      </c>
      <c r="B8" s="0" t="s">
        <v>563</v>
      </c>
      <c r="C8" s="0" t="s">
        <v>564</v>
      </c>
    </row>
    <row r="9" customFormat="false" ht="15" hidden="false" customHeight="false" outlineLevel="0" collapsed="false">
      <c r="A9" s="0" t="s">
        <v>565</v>
      </c>
      <c r="B9" s="0" t="s">
        <v>566</v>
      </c>
      <c r="C9" s="0" t="s">
        <v>567</v>
      </c>
    </row>
    <row r="10" customFormat="false" ht="15" hidden="false" customHeight="false" outlineLevel="0" collapsed="false">
      <c r="A10" s="0" t="s">
        <v>568</v>
      </c>
      <c r="B10" s="0" t="s">
        <v>569</v>
      </c>
      <c r="C10" s="0" t="s">
        <v>570</v>
      </c>
    </row>
    <row r="11" customFormat="false" ht="15" hidden="false" customHeight="false" outlineLevel="0" collapsed="false">
      <c r="A11" s="0" t="s">
        <v>571</v>
      </c>
      <c r="B11" s="0" t="s">
        <v>572</v>
      </c>
      <c r="C11" s="0" t="s">
        <v>573</v>
      </c>
    </row>
    <row r="12" customFormat="false" ht="15" hidden="false" customHeight="false" outlineLevel="0" collapsed="false">
      <c r="A12" s="0" t="s">
        <v>574</v>
      </c>
      <c r="B12" s="0" t="s">
        <v>575</v>
      </c>
      <c r="C12" s="0" t="s">
        <v>576</v>
      </c>
    </row>
    <row r="13" customFormat="false" ht="15" hidden="false" customHeight="false" outlineLevel="0" collapsed="false">
      <c r="A13" s="0" t="s">
        <v>577</v>
      </c>
      <c r="B13" s="0" t="s">
        <v>578</v>
      </c>
      <c r="C13" s="0" t="s">
        <v>579</v>
      </c>
    </row>
    <row r="14" customFormat="false" ht="15" hidden="false" customHeight="false" outlineLevel="0" collapsed="false">
      <c r="A14" s="0" t="s">
        <v>580</v>
      </c>
      <c r="B14" s="0" t="s">
        <v>581</v>
      </c>
      <c r="C14" s="0" t="s">
        <v>582</v>
      </c>
    </row>
    <row r="15" customFormat="false" ht="15" hidden="false" customHeight="false" outlineLevel="0" collapsed="false">
      <c r="A15" s="0" t="s">
        <v>583</v>
      </c>
      <c r="B15" s="0" t="s">
        <v>584</v>
      </c>
      <c r="C15" s="0" t="s">
        <v>585</v>
      </c>
    </row>
    <row r="16" customFormat="false" ht="15" hidden="false" customHeight="false" outlineLevel="0" collapsed="false">
      <c r="A16" s="0" t="s">
        <v>586</v>
      </c>
      <c r="B16" s="0" t="s">
        <v>587</v>
      </c>
      <c r="C16" s="0" t="s">
        <v>588</v>
      </c>
    </row>
    <row r="17" customFormat="false" ht="15" hidden="false" customHeight="false" outlineLevel="0" collapsed="false">
      <c r="A17" s="0" t="s">
        <v>589</v>
      </c>
      <c r="B17" s="0" t="s">
        <v>590</v>
      </c>
      <c r="C17" s="0" t="s">
        <v>591</v>
      </c>
    </row>
    <row r="18" customFormat="false" ht="15" hidden="false" customHeight="false" outlineLevel="0" collapsed="false">
      <c r="A18" s="0" t="s">
        <v>592</v>
      </c>
      <c r="B18" s="0" t="s">
        <v>593</v>
      </c>
      <c r="C18" s="0" t="s">
        <v>594</v>
      </c>
    </row>
    <row r="19" customFormat="false" ht="15" hidden="false" customHeight="false" outlineLevel="0" collapsed="false">
      <c r="A19" s="0" t="s">
        <v>595</v>
      </c>
      <c r="B19" s="0" t="s">
        <v>596</v>
      </c>
      <c r="C19" s="0" t="s">
        <v>597</v>
      </c>
    </row>
    <row r="20" customFormat="false" ht="15" hidden="false" customHeight="false" outlineLevel="0" collapsed="false">
      <c r="A20" s="0" t="s">
        <v>598</v>
      </c>
      <c r="B20" s="0" t="s">
        <v>599</v>
      </c>
      <c r="C20" s="0" t="s">
        <v>600</v>
      </c>
    </row>
    <row r="21" customFormat="false" ht="15" hidden="false" customHeight="false" outlineLevel="0" collapsed="false">
      <c r="A21" s="0" t="s">
        <v>601</v>
      </c>
      <c r="B21" s="0" t="s">
        <v>602</v>
      </c>
      <c r="C21" s="0" t="s">
        <v>603</v>
      </c>
    </row>
    <row r="22" customFormat="false" ht="15" hidden="false" customHeight="false" outlineLevel="0" collapsed="false">
      <c r="A22" s="0" t="s">
        <v>604</v>
      </c>
      <c r="B22" s="0" t="s">
        <v>605</v>
      </c>
      <c r="C22" s="0" t="s">
        <v>606</v>
      </c>
    </row>
    <row r="23" customFormat="false" ht="15" hidden="false" customHeight="false" outlineLevel="0" collapsed="false">
      <c r="A23" s="0" t="s">
        <v>607</v>
      </c>
      <c r="B23" s="0" t="s">
        <v>608</v>
      </c>
      <c r="C23" s="0" t="s">
        <v>609</v>
      </c>
    </row>
    <row r="24" customFormat="false" ht="15" hidden="false" customHeight="false" outlineLevel="0" collapsed="false">
      <c r="A24" s="0" t="s">
        <v>610</v>
      </c>
      <c r="B24" s="0" t="s">
        <v>611</v>
      </c>
      <c r="C24" s="0" t="s">
        <v>612</v>
      </c>
    </row>
    <row r="25" customFormat="false" ht="15" hidden="false" customHeight="false" outlineLevel="0" collapsed="false">
      <c r="A25" s="0" t="s">
        <v>613</v>
      </c>
      <c r="B25" s="0" t="s">
        <v>614</v>
      </c>
      <c r="C25" s="0" t="s">
        <v>615</v>
      </c>
    </row>
    <row r="26" customFormat="false" ht="15" hidden="false" customHeight="false" outlineLevel="0" collapsed="false">
      <c r="A26" s="0" t="s">
        <v>616</v>
      </c>
      <c r="B26" s="0" t="s">
        <v>617</v>
      </c>
      <c r="C26" s="0" t="s">
        <v>618</v>
      </c>
    </row>
    <row r="27" customFormat="false" ht="15" hidden="false" customHeight="false" outlineLevel="0" collapsed="false">
      <c r="A27" s="0" t="s">
        <v>619</v>
      </c>
      <c r="B27" s="0" t="s">
        <v>620</v>
      </c>
      <c r="C27" s="0" t="s">
        <v>621</v>
      </c>
    </row>
    <row r="28" customFormat="false" ht="15" hidden="false" customHeight="false" outlineLevel="0" collapsed="false">
      <c r="A28" s="0" t="s">
        <v>622</v>
      </c>
      <c r="B28" s="0" t="s">
        <v>623</v>
      </c>
      <c r="C28" s="0" t="s">
        <v>624</v>
      </c>
    </row>
    <row r="29" customFormat="false" ht="15" hidden="false" customHeight="false" outlineLevel="0" collapsed="false">
      <c r="A29" s="0" t="s">
        <v>625</v>
      </c>
      <c r="B29" s="0" t="s">
        <v>626</v>
      </c>
      <c r="C29" s="0" t="s">
        <v>627</v>
      </c>
    </row>
    <row r="30" customFormat="false" ht="15" hidden="false" customHeight="false" outlineLevel="0" collapsed="false">
      <c r="A30" s="0" t="s">
        <v>628</v>
      </c>
      <c r="B30" s="0" t="s">
        <v>629</v>
      </c>
      <c r="C30" s="0" t="s">
        <v>630</v>
      </c>
    </row>
    <row r="31" customFormat="false" ht="15" hidden="false" customHeight="false" outlineLevel="0" collapsed="false">
      <c r="A31" s="0" t="s">
        <v>631</v>
      </c>
      <c r="B31" s="0" t="s">
        <v>632</v>
      </c>
      <c r="C31" s="0" t="s">
        <v>633</v>
      </c>
    </row>
    <row r="32" customFormat="false" ht="15" hidden="false" customHeight="false" outlineLevel="0" collapsed="false">
      <c r="A32" s="0" t="s">
        <v>634</v>
      </c>
      <c r="B32" s="0" t="s">
        <v>635</v>
      </c>
      <c r="C32" s="0" t="s">
        <v>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54"/>
    <col collapsed="false" customWidth="true" hidden="false" outlineLevel="0" max="4" min="4" style="0" width="39"/>
  </cols>
  <sheetData>
    <row r="1" customFormat="false" ht="15" hidden="false" customHeight="false" outlineLevel="0" collapsed="false">
      <c r="A1" s="0" t="s">
        <v>637</v>
      </c>
      <c r="B1" s="0" t="s">
        <v>638</v>
      </c>
      <c r="C1" s="0" t="s">
        <v>639</v>
      </c>
      <c r="D1" s="0" t="s">
        <v>640</v>
      </c>
    </row>
    <row r="2" customFormat="false" ht="15" hidden="false" customHeight="false" outlineLevel="0" collapsed="false">
      <c r="A2" s="0" t="n">
        <v>1</v>
      </c>
      <c r="B2" s="0" t="s">
        <v>641</v>
      </c>
      <c r="C2" s="0" t="s">
        <v>642</v>
      </c>
      <c r="D2" s="0" t="s">
        <v>643</v>
      </c>
    </row>
    <row r="3" customFormat="false" ht="15" hidden="false" customHeight="false" outlineLevel="0" collapsed="false">
      <c r="A3" s="0" t="n">
        <v>2</v>
      </c>
      <c r="B3" s="0" t="s">
        <v>644</v>
      </c>
      <c r="C3" s="0" t="s">
        <v>645</v>
      </c>
      <c r="D3" s="0" t="s">
        <v>646</v>
      </c>
    </row>
    <row r="4" customFormat="false" ht="15" hidden="false" customHeight="false" outlineLevel="0" collapsed="false">
      <c r="A4" s="0" t="n">
        <v>3</v>
      </c>
      <c r="B4" s="0" t="s">
        <v>647</v>
      </c>
      <c r="C4" s="0" t="s">
        <v>648</v>
      </c>
      <c r="D4" s="0" t="s">
        <v>649</v>
      </c>
    </row>
    <row r="5" customFormat="false" ht="15" hidden="false" customHeight="false" outlineLevel="0" collapsed="false">
      <c r="A5" s="0" t="n">
        <v>4</v>
      </c>
      <c r="B5" s="0" t="s">
        <v>650</v>
      </c>
      <c r="C5" s="0" t="s">
        <v>651</v>
      </c>
      <c r="D5" s="0" t="s">
        <v>652</v>
      </c>
    </row>
    <row r="6" customFormat="false" ht="15" hidden="false" customHeight="false" outlineLevel="0" collapsed="false">
      <c r="A6" s="0" t="n">
        <v>5</v>
      </c>
      <c r="B6" s="0" t="s">
        <v>653</v>
      </c>
      <c r="C6" s="0" t="s">
        <v>654</v>
      </c>
      <c r="D6" s="0" t="s">
        <v>655</v>
      </c>
    </row>
    <row r="7" customFormat="false" ht="15" hidden="false" customHeight="false" outlineLevel="0" collapsed="false">
      <c r="A7" s="0" t="n">
        <v>6</v>
      </c>
      <c r="B7" s="0" t="s">
        <v>656</v>
      </c>
      <c r="C7" s="0" t="s">
        <v>657</v>
      </c>
      <c r="D7" s="0" t="s">
        <v>658</v>
      </c>
    </row>
    <row r="8" customFormat="false" ht="15" hidden="false" customHeight="false" outlineLevel="0" collapsed="false">
      <c r="A8" s="0" t="n">
        <v>7</v>
      </c>
      <c r="B8" s="0" t="s">
        <v>659</v>
      </c>
      <c r="C8" s="0" t="s">
        <v>660</v>
      </c>
      <c r="D8" s="0" t="s">
        <v>658</v>
      </c>
    </row>
    <row r="9" customFormat="false" ht="15" hidden="false" customHeight="false" outlineLevel="0" collapsed="false">
      <c r="A9" s="0" t="n">
        <v>8</v>
      </c>
      <c r="B9" s="0" t="s">
        <v>661</v>
      </c>
      <c r="C9" s="0" t="s">
        <v>662</v>
      </c>
      <c r="D9" s="0" t="s">
        <v>663</v>
      </c>
    </row>
    <row r="10" customFormat="false" ht="15" hidden="false" customHeight="false" outlineLevel="0" collapsed="false">
      <c r="A10" s="0" t="n">
        <v>9</v>
      </c>
      <c r="B10" s="0" t="s">
        <v>664</v>
      </c>
      <c r="C10" s="0" t="s">
        <v>665</v>
      </c>
      <c r="D10" s="0" t="s">
        <v>666</v>
      </c>
    </row>
    <row r="11" customFormat="false" ht="15" hidden="false" customHeight="false" outlineLevel="0" collapsed="false">
      <c r="A11" s="0" t="n">
        <v>10</v>
      </c>
      <c r="B11" s="0" t="s">
        <v>667</v>
      </c>
      <c r="C11" s="0" t="s">
        <v>668</v>
      </c>
      <c r="D11" s="0" t="s">
        <v>666</v>
      </c>
    </row>
    <row r="12" customFormat="false" ht="15" hidden="false" customHeight="false" outlineLevel="0" collapsed="false">
      <c r="A12" s="0" t="n">
        <v>11</v>
      </c>
      <c r="B12" s="0" t="s">
        <v>669</v>
      </c>
      <c r="C12" s="0" t="s">
        <v>670</v>
      </c>
      <c r="D12" s="0" t="s">
        <v>655</v>
      </c>
    </row>
    <row r="13" customFormat="false" ht="15" hidden="false" customHeight="false" outlineLevel="0" collapsed="false">
      <c r="A13" s="0" t="n">
        <v>12</v>
      </c>
      <c r="B13" s="0" t="s">
        <v>671</v>
      </c>
      <c r="C13" s="0" t="s">
        <v>672</v>
      </c>
      <c r="D13" s="0" t="s">
        <v>666</v>
      </c>
    </row>
    <row r="14" customFormat="false" ht="15" hidden="false" customHeight="false" outlineLevel="0" collapsed="false">
      <c r="A14" s="0" t="n">
        <v>13</v>
      </c>
      <c r="B14" s="0" t="s">
        <v>673</v>
      </c>
      <c r="C14" s="0" t="s">
        <v>674</v>
      </c>
      <c r="D14" s="0" t="s">
        <v>652</v>
      </c>
    </row>
    <row r="15" customFormat="false" ht="15" hidden="false" customHeight="false" outlineLevel="0" collapsed="false">
      <c r="A15" s="0" t="n">
        <v>14</v>
      </c>
      <c r="B15" s="0" t="s">
        <v>675</v>
      </c>
      <c r="C15" s="0" t="s">
        <v>676</v>
      </c>
      <c r="D15" s="0" t="s">
        <v>666</v>
      </c>
    </row>
    <row r="16" customFormat="false" ht="15" hidden="false" customHeight="false" outlineLevel="0" collapsed="false">
      <c r="A16" s="0" t="n">
        <v>15</v>
      </c>
      <c r="B16" s="0" t="s">
        <v>677</v>
      </c>
      <c r="C16" s="0" t="s">
        <v>678</v>
      </c>
      <c r="D16" s="0" t="s">
        <v>679</v>
      </c>
    </row>
    <row r="17" customFormat="false" ht="15" hidden="false" customHeight="false" outlineLevel="0" collapsed="false">
      <c r="A17" s="0" t="n">
        <v>16</v>
      </c>
      <c r="B17" s="0" t="s">
        <v>680</v>
      </c>
      <c r="C17" s="0" t="s">
        <v>681</v>
      </c>
      <c r="D17" s="0" t="s">
        <v>652</v>
      </c>
    </row>
    <row r="18" customFormat="false" ht="15" hidden="false" customHeight="false" outlineLevel="0" collapsed="false">
      <c r="A18" s="0" t="n">
        <v>17</v>
      </c>
      <c r="B18" s="0" t="s">
        <v>682</v>
      </c>
      <c r="C18" s="0" t="s">
        <v>683</v>
      </c>
      <c r="D18" s="0" t="s">
        <v>666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684</v>
      </c>
      <c r="B1" s="0" t="s">
        <v>685</v>
      </c>
      <c r="C1" s="0" t="s">
        <v>686</v>
      </c>
      <c r="D1" s="0" t="s">
        <v>687</v>
      </c>
    </row>
    <row r="2" customFormat="false" ht="15" hidden="false" customHeight="false" outlineLevel="0" collapsed="false">
      <c r="A2" s="0" t="s">
        <v>688</v>
      </c>
      <c r="B2" s="0" t="s">
        <v>689</v>
      </c>
      <c r="C2" s="0" t="s">
        <v>690</v>
      </c>
      <c r="D2" s="0" t="s">
        <v>691</v>
      </c>
    </row>
    <row r="3" customFormat="false" ht="15" hidden="false" customHeight="false" outlineLevel="0" collapsed="false">
      <c r="A3" s="0" t="s">
        <v>692</v>
      </c>
      <c r="B3" s="0" t="s">
        <v>693</v>
      </c>
      <c r="C3" s="0" t="s">
        <v>690</v>
      </c>
      <c r="D3" s="0" t="s">
        <v>694</v>
      </c>
    </row>
    <row r="4" customFormat="false" ht="15" hidden="false" customHeight="false" outlineLevel="0" collapsed="false">
      <c r="A4" s="0" t="s">
        <v>695</v>
      </c>
      <c r="B4" s="0" t="s">
        <v>696</v>
      </c>
      <c r="C4" s="0" t="s">
        <v>690</v>
      </c>
      <c r="D4" s="0" t="s">
        <v>697</v>
      </c>
    </row>
    <row r="5" customFormat="false" ht="15" hidden="false" customHeight="false" outlineLevel="0" collapsed="false">
      <c r="A5" s="0" t="s">
        <v>698</v>
      </c>
      <c r="B5" s="0" t="s">
        <v>699</v>
      </c>
      <c r="C5" s="0" t="s">
        <v>690</v>
      </c>
      <c r="D5" s="0" t="s">
        <v>700</v>
      </c>
    </row>
    <row r="6" customFormat="false" ht="15" hidden="false" customHeight="false" outlineLevel="0" collapsed="false">
      <c r="A6" s="0" t="s">
        <v>701</v>
      </c>
      <c r="B6" s="0" t="s">
        <v>702</v>
      </c>
      <c r="C6" s="0" t="s">
        <v>690</v>
      </c>
      <c r="D6" s="0" t="s">
        <v>703</v>
      </c>
    </row>
    <row r="7" customFormat="false" ht="15" hidden="false" customHeight="false" outlineLevel="0" collapsed="false">
      <c r="A7" s="0" t="s">
        <v>704</v>
      </c>
      <c r="B7" s="0" t="s">
        <v>705</v>
      </c>
      <c r="C7" s="0" t="s">
        <v>690</v>
      </c>
      <c r="D7" s="0" t="s">
        <v>706</v>
      </c>
    </row>
    <row r="8" customFormat="false" ht="15" hidden="false" customHeight="false" outlineLevel="0" collapsed="false">
      <c r="A8" s="0" t="s">
        <v>707</v>
      </c>
      <c r="B8" s="0" t="s">
        <v>708</v>
      </c>
      <c r="C8" s="0" t="s">
        <v>690</v>
      </c>
      <c r="D8" s="0" t="s">
        <v>709</v>
      </c>
    </row>
    <row r="9" customFormat="false" ht="15" hidden="false" customHeight="false" outlineLevel="0" collapsed="false">
      <c r="A9" s="0" t="s">
        <v>710</v>
      </c>
      <c r="B9" s="0" t="s">
        <v>711</v>
      </c>
      <c r="C9" s="0" t="s">
        <v>690</v>
      </c>
      <c r="D9" s="0" t="s">
        <v>712</v>
      </c>
    </row>
    <row r="10" customFormat="false" ht="15" hidden="false" customHeight="false" outlineLevel="0" collapsed="false">
      <c r="A10" s="0" t="s">
        <v>713</v>
      </c>
      <c r="B10" s="0" t="s">
        <v>714</v>
      </c>
      <c r="C10" s="0" t="s">
        <v>690</v>
      </c>
      <c r="D10" s="0" t="s">
        <v>715</v>
      </c>
    </row>
    <row r="11" customFormat="false" ht="15" hidden="false" customHeight="false" outlineLevel="0" collapsed="false">
      <c r="A11" s="0" t="s">
        <v>716</v>
      </c>
      <c r="B11" s="0" t="s">
        <v>717</v>
      </c>
      <c r="C11" s="0" t="s">
        <v>690</v>
      </c>
      <c r="D11" s="0" t="s">
        <v>718</v>
      </c>
    </row>
    <row r="12" customFormat="false" ht="15" hidden="false" customHeight="false" outlineLevel="0" collapsed="false">
      <c r="A12" s="0" t="s">
        <v>719</v>
      </c>
      <c r="B12" s="0" t="s">
        <v>720</v>
      </c>
      <c r="C12" s="0" t="s">
        <v>690</v>
      </c>
      <c r="D12" s="0" t="s">
        <v>721</v>
      </c>
    </row>
    <row r="13" customFormat="false" ht="15" hidden="false" customHeight="false" outlineLevel="0" collapsed="false">
      <c r="A13" s="0" t="s">
        <v>722</v>
      </c>
      <c r="B13" s="0" t="s">
        <v>723</v>
      </c>
      <c r="C13" s="0" t="s">
        <v>690</v>
      </c>
      <c r="D13" s="0" t="s">
        <v>724</v>
      </c>
    </row>
    <row r="14" customFormat="false" ht="15" hidden="false" customHeight="false" outlineLevel="0" collapsed="false">
      <c r="A14" s="0" t="s">
        <v>725</v>
      </c>
      <c r="B14" s="0" t="s">
        <v>726</v>
      </c>
      <c r="C14" s="0" t="s">
        <v>690</v>
      </c>
      <c r="D14" s="0" t="s">
        <v>727</v>
      </c>
    </row>
    <row r="15" customFormat="false" ht="15" hidden="false" customHeight="false" outlineLevel="0" collapsed="false">
      <c r="A15" s="0" t="s">
        <v>728</v>
      </c>
      <c r="B15" s="0" t="s">
        <v>729</v>
      </c>
      <c r="C15" s="0" t="s">
        <v>690</v>
      </c>
      <c r="D15" s="0" t="s">
        <v>730</v>
      </c>
    </row>
    <row r="16" customFormat="false" ht="15" hidden="false" customHeight="false" outlineLevel="0" collapsed="false">
      <c r="A16" s="0" t="s">
        <v>731</v>
      </c>
      <c r="B16" s="0" t="s">
        <v>732</v>
      </c>
      <c r="C16" s="0" t="s">
        <v>690</v>
      </c>
      <c r="D16" s="0" t="s">
        <v>733</v>
      </c>
    </row>
    <row r="17" customFormat="false" ht="15" hidden="false" customHeight="false" outlineLevel="0" collapsed="false">
      <c r="A17" s="0" t="s">
        <v>734</v>
      </c>
      <c r="B17" s="0" t="s">
        <v>735</v>
      </c>
      <c r="C17" s="0" t="s">
        <v>690</v>
      </c>
      <c r="D17" s="0" t="s">
        <v>736</v>
      </c>
    </row>
    <row r="18" customFormat="false" ht="15" hidden="false" customHeight="false" outlineLevel="0" collapsed="false">
      <c r="A18" s="0" t="s">
        <v>737</v>
      </c>
      <c r="B18" s="0" t="s">
        <v>738</v>
      </c>
      <c r="C18" s="0" t="s">
        <v>690</v>
      </c>
      <c r="D18" s="0" t="s">
        <v>739</v>
      </c>
    </row>
    <row r="19" customFormat="false" ht="15" hidden="false" customHeight="false" outlineLevel="0" collapsed="false">
      <c r="A19" s="0" t="s">
        <v>740</v>
      </c>
      <c r="B19" s="0" t="s">
        <v>741</v>
      </c>
      <c r="C19" s="0" t="s">
        <v>690</v>
      </c>
      <c r="D19" s="0" t="s">
        <v>742</v>
      </c>
    </row>
    <row r="20" customFormat="false" ht="15" hidden="false" customHeight="false" outlineLevel="0" collapsed="false">
      <c r="A20" s="0" t="s">
        <v>743</v>
      </c>
      <c r="B20" s="0" t="s">
        <v>744</v>
      </c>
      <c r="C20" s="0" t="s">
        <v>690</v>
      </c>
      <c r="D20" s="0" t="s">
        <v>745</v>
      </c>
    </row>
    <row r="21" customFormat="false" ht="15" hidden="false" customHeight="false" outlineLevel="0" collapsed="false">
      <c r="A21" s="0" t="s">
        <v>746</v>
      </c>
      <c r="B21" s="0" t="s">
        <v>747</v>
      </c>
      <c r="C21" s="0" t="s">
        <v>690</v>
      </c>
      <c r="D21" s="0" t="s">
        <v>748</v>
      </c>
    </row>
    <row r="22" customFormat="false" ht="15" hidden="false" customHeight="false" outlineLevel="0" collapsed="false">
      <c r="A22" s="0" t="s">
        <v>749</v>
      </c>
      <c r="B22" s="0" t="s">
        <v>750</v>
      </c>
      <c r="C22" s="0" t="s">
        <v>751</v>
      </c>
      <c r="D22" s="0" t="s">
        <v>752</v>
      </c>
    </row>
    <row r="23" customFormat="false" ht="15" hidden="false" customHeight="false" outlineLevel="0" collapsed="false">
      <c r="A23" s="0" t="s">
        <v>753</v>
      </c>
      <c r="B23" s="0" t="s">
        <v>754</v>
      </c>
      <c r="C23" s="0" t="s">
        <v>541</v>
      </c>
      <c r="D23" s="0" t="s">
        <v>755</v>
      </c>
    </row>
    <row r="24" customFormat="false" ht="15" hidden="false" customHeight="false" outlineLevel="0" collapsed="false">
      <c r="A24" s="0" t="s">
        <v>756</v>
      </c>
      <c r="B24" s="0" t="s">
        <v>757</v>
      </c>
      <c r="C24" s="0" t="s">
        <v>690</v>
      </c>
      <c r="D24" s="0" t="s">
        <v>758</v>
      </c>
    </row>
    <row r="25" customFormat="false" ht="15" hidden="false" customHeight="false" outlineLevel="0" collapsed="false">
      <c r="A25" s="0" t="s">
        <v>759</v>
      </c>
      <c r="B25" s="0" t="s">
        <v>760</v>
      </c>
      <c r="C25" s="0" t="s">
        <v>690</v>
      </c>
      <c r="D25" s="0" t="s">
        <v>761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2026-10-16T00:10:45Z</dcterms:created>
  <dc:creator>openpyxl</dc:creator>
  <dc:description/>
  <dc:language>en-US</dc:language>
  <cp:lastModifiedBy/>
  <dcterms:modified xsi:type="dcterms:W3CDTF">2026-10-16T00:10:45Z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