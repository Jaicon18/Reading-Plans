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PARA REVISAR EN LA MANANA" sheetId="5" state="visible" r:id="rId7"/>
    <sheet name="Alcan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<sst xmlns="http://schemas.openxmlformats.org/spreadsheetml/2006/main" count="1043" uniqueCount="642">
  <si>
    <t xml:space="preserve">Bank of America - Broomfield, CO (CO1-111)   |   METAL FRAMING &amp; DRYWALL TAKEOFF</t>
  </si>
  <si>
    <t xml:space="preserve">Bid set: 2025.08.26_CO1-111_Broomfield_PERMIT SET_BID SET.pdf   ·   2026-10-15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</si>
  <si>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</si>
  <si>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</si>
  <si>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</si>
  <si>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</si>
  <si>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rule.</t>
  </si>
  <si>
    <t xml:space="preserve">Waste - EVERYTHING THAT IS NOT METAL</t>
  </si>
  <si>
    <t xml:space="preserve">Same figure as board.</t>
  </si>
  <si>
    <t xml:space="preserve">Board sheet width (ft)</t>
  </si>
  <si>
    <t xml:space="preserve">Board sheet length (ft)</t>
  </si>
  <si>
    <t xml:space="preserve">SF per board sheet</t>
  </si>
  <si>
    <t xml:space="preserve">Width x length.</t>
  </si>
  <si>
    <t xml:space="preserve">Stud stock length (ft)</t>
  </si>
  <si>
    <t xml:space="preserve">Track stock length (ft)</t>
  </si>
  <si>
    <t xml:space="preserve">ORGANIZED PARTITION TAKEOFF - Bank of America - Broomfield, CO (CO1-111)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</si>
  <si>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</si>
  <si>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</si>
  <si>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</si>
  <si>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</si>
  <si>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</si>
  <si>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</si>
  <si>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</si>
  <si>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</si>
  <si>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</si>
  <si>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</si>
  <si>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</si>
  <si>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</si>
  <si>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A1</t>
  </si>
  <si>
    <t xml:space="preserve">A1  #3  -  Corridor 111 east wall / Electrical 120 + NER 121 west  [Corridor 111: 1 layer(s) to 9.0 ft | Break Room 118: 1 layer(s) to 9.0 ft | Electrical 120 + NER 121: 1 layer(s) to 13.052 ft]  seal 8daff8644a7734ce</t>
  </si>
  <si>
    <t xml:space="preserve">3</t>
  </si>
  <si>
    <t xml:space="preserve">3-5/8"</t>
  </si>
  <si>
    <t xml:space="preserve">Corridor 111 east wall / Electrical 120 + NER 121 west  [Corridor 111: 1 layer(s) to 9.0 ft | Break Room 118: 1 layer(s) to 9.0 ft | Electrical 120 + NER 121: 1 layer(s) to 13.052 ft]  seal 8daff8644a7734ce</t>
  </si>
  <si>
    <t xml:space="preserve">A02.01 &gt; 3/A12.01 &gt; 4/S5.20 &gt; 7/S5.20</t>
  </si>
  <si>
    <t xml:space="preserve">[DERIVADO]</t>
  </si>
  <si>
    <t xml:space="preserve">A1  #1  -  Calling Cubes 122 north wall (Waiting 104 side)  [Waiting 104: 1 layer(s) to 11.5 ft | Calling Cubes 122: 1 layer(s) to 9.0 ft | MW01 niche (open to structure): 1 layer(s) to 15.375 ft]  seal c34be612e79397f9</t>
  </si>
  <si>
    <t xml:space="preserve">1</t>
  </si>
  <si>
    <t xml:space="preserve">Calling Cubes 122 north wall (Waiting 104 side)  [Waiting 104: 1 layer(s) to 11.5 ft | Calling Cubes 122: 1 layer(s) to 9.0 ft | MW01 niche (open to structure): 1 layer(s) to 15.375 ft]  seal c34be612e79397f9</t>
  </si>
  <si>
    <t xml:space="preserve">A1  #2  -  Calling Cubes 122 south wall / Break Room 118 (MW21)  [Calling Cubes 122: 1 layer(s) to 9.0 ft | Break Room 118: 1 layer(s) to 9.0 ft]  seal f5c1dbee188e5ea1</t>
  </si>
  <si>
    <t xml:space="preserve">2</t>
  </si>
  <si>
    <t xml:space="preserve">Calling Cubes 122 south wall / Break Room 118 (MW21)  [Calling Cubes 122: 1 layer(s) to 9.0 ft | Break Room 118: 1 layer(s) to 9.0 ft]  seal f5c1dbee188e5ea1</t>
  </si>
  <si>
    <t xml:space="preserve">A1  #9  -  Cash Window 116 / Work Room 119  [Cash Window 116: 1 layer(s) to 9.5 ft | Work Room 119: 1 layer(s) to 9.0 ft]  seal 8675e3fd8fee2a0b</t>
  </si>
  <si>
    <t xml:space="preserve">9</t>
  </si>
  <si>
    <t xml:space="preserve">Cash Window 116 / Work Room 119  [Cash Window 116: 1 layer(s) to 9.5 ft | Work Room 119: 1 layer(s) to 9.0 ft]  seal 8675e3fd8fee2a0b</t>
  </si>
  <si>
    <t xml:space="preserve">A1  #6  -  Corridor 111 north wall, west of door 111  [Central Zone 103: 1 layer(s) to 12.0 ft | Corridor 111: 1 layer(s) to 9.0 ft]  seal 367c07c5f85afdb5</t>
  </si>
  <si>
    <t xml:space="preserve">6</t>
  </si>
  <si>
    <t xml:space="preserve">Corridor 111 north wall, west of door 111  [Central Zone 103: 1 layer(s) to 12.0 ft | Corridor 111: 1 layer(s) to 9.0 ft]  seal 367c07c5f85afdb5</t>
  </si>
  <si>
    <t xml:space="preserve">A1  #7  -  Stub east of Calling Cubes at teller zone  [Cash Window 116 teller zone: 1 layer(s) to 9.5 ft | Break Room 118: 1 layer(s) to 9.0 ft]  seal 7248544b45937b09</t>
  </si>
  <si>
    <t xml:space="preserve">7</t>
  </si>
  <si>
    <t xml:space="preserve">Stub east of Calling Cubes at teller zone  [Cash Window 116 teller zone: 1 layer(s) to 9.5 ft | Break Room 118: 1 layer(s) to 9.0 ft]  seal 7248544b45937b09</t>
  </si>
  <si>
    <t xml:space="preserve">A1  #27  -  Drinking fountain alcove back wall  [Corridor 111 alcove: 1 layer(s) to 9.0 ft]  seal ee4b811ad4627b0e</t>
  </si>
  <si>
    <t xml:space="preserve">27</t>
  </si>
  <si>
    <t xml:space="preserve">Drinking fountain alcove back wall  [Corridor 111 alcove: 1 layer(s) to 9.0 ft]  seal ee4b811ad4627b0e</t>
  </si>
  <si>
    <t xml:space="preserve">A1  #4  -  MW01 enclosure east wall (Calling Cubes 122)  [MW01 niche (open to structure): 1 layer(s) to 15.375 ft | Calling Cubes 122: 1 layer(s) to 9.0 ft]  seal 443268644c086005</t>
  </si>
  <si>
    <t xml:space="preserve">4</t>
  </si>
  <si>
    <t xml:space="preserve">MW01 enclosure east wall (Calling Cubes 122)  [MW01 niche (open to structure): 1 layer(s) to 15.375 ft | Calling Cubes 122: 1 layer(s) to 9.0 ft]  seal 443268644c086005</t>
  </si>
  <si>
    <t xml:space="preserve">A1  #5  -  MW01 enclosure south wall  [MW01 niche (open to structure): 1 layer(s) to 15.375 ft | Calling Cubes 122 (MW07): 1 layer(s) to 9.0 ft]  seal a3ff30f63ed24c91</t>
  </si>
  <si>
    <t xml:space="preserve">5</t>
  </si>
  <si>
    <t xml:space="preserve">MW01 enclosure south wall  [MW01 niche (open to structure): 1 layer(s) to 15.375 ft | Calling Cubes 122 (MW07): 1 layer(s) to 9.0 ft]  seal a3ff30f63ed24c91</t>
  </si>
  <si>
    <t xml:space="preserve">A1  #8  -  Stub south of Calling Cubes east wall (Break Room 118 NE)  [Break Room 118: 1 layer(s) to 9.0 ft | Cash Window 116 teller zone: 1 layer(s) to 9.5 ft]  seal fdf4779ce389699d</t>
  </si>
  <si>
    <t xml:space="preserve">8</t>
  </si>
  <si>
    <t xml:space="preserve">Stub south of Calling Cubes east wall (Break Room 118 NE)  [Break Room 118: 1 layer(s) to 9.0 ft | Cash Window 116 teller zone: 1 layer(s) to 9.5 ft]  seal fdf4779ce389699d</t>
  </si>
  <si>
    <t xml:space="preserve">A1  #10  -  Corridor 111 north wall, east of door 111 (no tag, note A/A02.01)  [Central Zone 103: 1 layer(s) to 12.0 ft | Corridor 111: 1 layer(s) to 9.0 ft]  seal 4a88ac867461d424</t>
  </si>
  <si>
    <t xml:space="preserve">10</t>
  </si>
  <si>
    <t xml:space="preserve">Corridor 111 north wall, east of door 111 (no tag, note A/A02.01)  [Central Zone 103: 1 layer(s) to 12.0 ft | Corridor 111: 1 layer(s) to 9.0 ft]  seal 4a88ac867461d424</t>
  </si>
  <si>
    <t xml:space="preserve">TYPE A5</t>
  </si>
  <si>
    <t xml:space="preserve">A5  #11  -  Calling Cubes 122 east wall  [Calling Cubes 122: 1 layer(s) to 9.0 ft | Central Zone 103: 1 layer(s) to 12.0 ft | Central Zone 103 teller zone: 1 layer(s) to 9.5 ft]  seal 7bffbcfbad998cf3</t>
  </si>
  <si>
    <t xml:space="preserve">11</t>
  </si>
  <si>
    <t xml:space="preserve">6"</t>
  </si>
  <si>
    <t xml:space="preserve">Calling Cubes 122 east wall  [Calling Cubes 122: 1 layer(s) to 9.0 ft | Central Zone 103: 1 layer(s) to 12.0 ft | Central Zone 103 teller zone: 1 layer(s) to 9.5 ft]  seal 7bffbcfbad998cf3</t>
  </si>
  <si>
    <t xml:space="preserve">A02.01 &gt; 3/A12.01 &gt; 7/S5.20</t>
  </si>
  <si>
    <t xml:space="preserve">A5  #12  -  Calling Cubes 122 west wall (MW07) / FEC-1  [Central Zone 103: 1 layer(s) to 12.0 ft | Calling Cubes 122 (MW07): 1 layer(s) to 9.0 ft]  seal e668c1a722404dec</t>
  </si>
  <si>
    <t xml:space="preserve">12</t>
  </si>
  <si>
    <t xml:space="preserve">Calling Cubes 122 west wall (MW07) / FEC-1  [Central Zone 103: 1 layer(s) to 12.0 ft | Calling Cubes 122 (MW07): 1 layer(s) to 9.0 ft]  seal e668c1a722404dec</t>
  </si>
  <si>
    <t xml:space="preserve">A5  #13  -  Corridor 111 east jamb north of door 122  [Corridor 111: 1 layer(s) to 9.0 ft | Calling Cubes 122: 1 layer(s) to 9.0 ft]  seal 844a569235d1ff37</t>
  </si>
  <si>
    <t xml:space="preserve">13</t>
  </si>
  <si>
    <t xml:space="preserve">Corridor 111 east jamb north of door 122  [Corridor 111: 1 layer(s) to 9.0 ft | Calling Cubes 122: 1 layer(s) to 9.0 ft]  seal 844a569235d1ff37</t>
  </si>
  <si>
    <t xml:space="preserve">A5  #15  -  Future FCAM west wall (door 118A / 116)  [Break Room 118: 1 layer(s) to 9.0 ft | Future FCAM (Cash Window 116): 1 layer(s) to 9.5 ft]  seal df95eb8715e71f44</t>
  </si>
  <si>
    <t xml:space="preserve">15</t>
  </si>
  <si>
    <t xml:space="preserve">Future FCAM west wall (door 118A / 116)  [Break Room 118: 1 layer(s) to 9.0 ft | Future FCAM (Cash Window 116): 1 layer(s) to 9.5 ft]  seal df95eb8715e71f44</t>
  </si>
  <si>
    <t xml:space="preserve">A5  #14  -  Corridor 111 east jamb between doors 122 and 118B  [Corridor 111: 1 layer(s) to 9.0 ft | Break Room 118: 1 layer(s) to 9.0 ft]  seal 5f9f1525b2e8c5a4</t>
  </si>
  <si>
    <t xml:space="preserve">14</t>
  </si>
  <si>
    <t xml:space="preserve">Corridor 111 east jamb between doors 122 and 118B  [Corridor 111: 1 layer(s) to 9.0 ft | Break Room 118: 1 layer(s) to 9.0 ft]  seal 5f9f1525b2e8c5a4</t>
  </si>
  <si>
    <t xml:space="preserve">TYPE A1K</t>
  </si>
  <si>
    <t xml:space="preserve">A1K  #16  -  Teller line north, Cash Window 116  [Side 1: 1 layer(s) to 15.375 ft | Side 2: 1 layer(s) to 15.375 ft]  seal 8f549ab86c3c1372</t>
  </si>
  <si>
    <t xml:space="preserve">16</t>
  </si>
  <si>
    <t xml:space="preserve">Teller line north, Cash Window 116  [Side 1: 1 layer(s) to 15.375 ft | Side 2: 1 layer(s) to 15.375 ft]  seal 8f549ab86c3c1372</t>
  </si>
  <si>
    <t xml:space="preserve">A02.01 &gt; 4/A12.01</t>
  </si>
  <si>
    <t xml:space="preserve">A1K  #17  -  Teller line south at Future FCAM  [Side 1: 1 layer(s) to 13.052 ft | Side 2: 1 layer(s) to 13.052 ft]  seal 3f4dc1f2765ca929</t>
  </si>
  <si>
    <t xml:space="preserve">17</t>
  </si>
  <si>
    <t xml:space="preserve">Teller line south at Future FCAM  [Side 1: 1 layer(s) to 13.052 ft | Side 2: 1 layer(s) to 13.052 ft]  seal 3f4dc1f2765ca929</t>
  </si>
  <si>
    <t xml:space="preserve">A1K  #18  -  Teller line south return at door 118A  [Side 1: 1 layer(s) to 13.052 ft | Side 2: 1 layer(s) to 13.052 ft]  seal fab6d5cca451ce8c</t>
  </si>
  <si>
    <t xml:space="preserve">18</t>
  </si>
  <si>
    <t xml:space="preserve">Teller line south return at door 118A  [Side 1: 1 layer(s) to 13.052 ft | Side 2: 1 layer(s) to 13.052 ft]  seal fab6d5cca451ce8c</t>
  </si>
  <si>
    <t xml:space="preserve">TYPE B</t>
  </si>
  <si>
    <t xml:space="preserve">B  #22  -  Electrical 120 + NER 121 east / Break Room 118  [Side 1: 1 layer(s) to 13.052 ft | Side 2: 1 layer(s) to 13.052 ft]  seal 0e7296fd223eb25c</t>
  </si>
  <si>
    <t xml:space="preserve">22</t>
  </si>
  <si>
    <t xml:space="preserve">Electrical 120 + NER 121 east / Break Room 118  [Side 1: 1 layer(s) to 13.052 ft | Side 2: 1 layer(s) to 13.052 ft]  seal 0e7296fd223eb25c</t>
  </si>
  <si>
    <t xml:space="preserve">A02.01 &gt; 1/A12.01 &gt; 7/S5.20</t>
  </si>
  <si>
    <t xml:space="preserve">B  #23  -  Men 113 / Janitor 112 + Storage 117  [Side 1: 1 layer(s) to 13.052 ft | Side 2: 1 layer(s) to 13.052 ft]  seal 7607e16b5a20abff</t>
  </si>
  <si>
    <t xml:space="preserve">23</t>
  </si>
  <si>
    <t xml:space="preserve">Men 113 / Janitor 112 + Storage 117  [Side 1: 1 layer(s) to 13.052 ft | Side 2: 1 layer(s) to 13.052 ft]  seal 7607e16b5a20abff</t>
  </si>
  <si>
    <t xml:space="preserve">B  #25  -  Janitor 112 + Storage 117 / Wellness 115  [Side 1: 1 layer(s) to 13.052 ft | Side 2: 1 layer(s) to 13.052 ft]  seal 794f83a925de3600</t>
  </si>
  <si>
    <t xml:space="preserve">25</t>
  </si>
  <si>
    <t xml:space="preserve">Janitor 112 + Storage 117 / Wellness 115  [Side 1: 1 layer(s) to 13.052 ft | Side 2: 1 layer(s) to 13.052 ft]  seal 794f83a925de3600</t>
  </si>
  <si>
    <t xml:space="preserve">B  #20  -  Electrical 120 north / Break Room 118 (FEC-2)  [Side 1: 1 layer(s) to 13.052 ft | Side 2: 1 layer(s) to 13.052 ft]  seal e83ac59f7ddfbd86</t>
  </si>
  <si>
    <t xml:space="preserve">20</t>
  </si>
  <si>
    <t xml:space="preserve">Electrical 120 north / Break Room 118 (FEC-2)  [Side 1: 1 layer(s) to 13.052 ft | Side 2: 1 layer(s) to 13.052 ft]  seal e83ac59f7ddfbd86</t>
  </si>
  <si>
    <t xml:space="preserve">B  #21  -  Electrical 120 / NER 121  [Side 1: 1 layer(s) to 13.052 ft | Side 2: 1 layer(s) to 13.052 ft]  seal ce1bae2e7ea55112</t>
  </si>
  <si>
    <t xml:space="preserve">21</t>
  </si>
  <si>
    <t xml:space="preserve">Electrical 120 / NER 121  [Side 1: 1 layer(s) to 13.052 ft | Side 2: 1 layer(s) to 13.052 ft]  seal ce1bae2e7ea55112</t>
  </si>
  <si>
    <t xml:space="preserve">B  #24  -  Janitor 112 / Storage 117  [Side 1: 1 layer(s) to 13.052 ft | Side 2: 1 layer(s) to 13.052 ft]  seal 0ceb0ee6314a6d00</t>
  </si>
  <si>
    <t xml:space="preserve">24</t>
  </si>
  <si>
    <t xml:space="preserve">Janitor 112 / Storage 117  [Side 1: 1 layer(s) to 13.052 ft | Side 2: 1 layer(s) to 13.052 ft]  seal 0ceb0ee6314a6d00</t>
  </si>
  <si>
    <t xml:space="preserve">TYPE B2</t>
  </si>
  <si>
    <t xml:space="preserve">B2  #30  -  Corridor 111 west / Men 113, Storage 117, Wellness 115  [Side 1: 1 layer(s) to 13.052 ft | Side 2: 1 layer(s) to 13.052 ft]  seal 4f5f972c90536ad7</t>
  </si>
  <si>
    <t xml:space="preserve">30</t>
  </si>
  <si>
    <t xml:space="preserve">Corridor 111 west / Men 113, Storage 117, Wellness 115  [Side 1: 1 layer(s) to 13.052 ft | Side 2: 1 layer(s) to 13.052 ft]  seal 4f5f972c90536ad7</t>
  </si>
  <si>
    <t xml:space="preserve">B2  #31  -  Break Room 118 east / Cash Window 116 + Work Room 119  [Side 1: 1 layer(s) to 13.052 ft | Side 2: 1 layer(s) to 13.052 ft]  seal 1f6b10990c7865c5</t>
  </si>
  <si>
    <t xml:space="preserve">31</t>
  </si>
  <si>
    <t xml:space="preserve">Break Room 118 east / Cash Window 116 + Work Room 119  [Side 1: 1 layer(s) to 13.052 ft | Side 2: 1 layer(s) to 13.052 ft]  seal 1f6b10990c7865c5</t>
  </si>
  <si>
    <t xml:space="preserve">B2  #32  -  ATM Room 102 east jamb at door 102  [Side 1: 1 layer(s) to 15.375 ft | Side 2: 1 layer(s) to 15.375 ft]  seal 2832919a39b818aa</t>
  </si>
  <si>
    <t xml:space="preserve">32</t>
  </si>
  <si>
    <t xml:space="preserve">ATM Room 102 east jamb at door 102  [Side 1: 1 layer(s) to 15.375 ft | Side 2: 1 layer(s) to 15.375 ft]  seal 2832919a39b818aa</t>
  </si>
  <si>
    <t xml:space="preserve">B2  #26  -  Corridor 111 west / Women 114  [Side 1: 1 layer(s) to 13.052 ft | Side 2: 1 layer(s) to 13.052 ft]  seal 636e8f303cf8e6bd</t>
  </si>
  <si>
    <t xml:space="preserve">26</t>
  </si>
  <si>
    <t xml:space="preserve">Corridor 111 west / Women 114  [Side 1: 1 layer(s) to 13.052 ft | Side 2: 1 layer(s) to 13.052 ft]  seal 636e8f303cf8e6bd</t>
  </si>
  <si>
    <t xml:space="preserve">B2  #28  -  Alcove return north  [Side 1: 1 layer(s) to 13.052 ft | Side 2: 1 layer(s) to 13.052 ft]  seal 8080852f9ec70dc2</t>
  </si>
  <si>
    <t xml:space="preserve">28</t>
  </si>
  <si>
    <t xml:space="preserve">Alcove return north  [Side 1: 1 layer(s) to 13.052 ft | Side 2: 1 layer(s) to 13.052 ft]  seal 8080852f9ec70dc2</t>
  </si>
  <si>
    <t xml:space="preserve">B2  #29  -  Alcove return south  [Side 1: 1 layer(s) to 13.052 ft | Side 2: 1 layer(s) to 13.052 ft]  seal b0d2f176bd1bd783</t>
  </si>
  <si>
    <t xml:space="preserve">29</t>
  </si>
  <si>
    <t xml:space="preserve">Alcove return south  [Side 1: 1 layer(s) to 13.052 ft | Side 2: 1 layer(s) to 13.052 ft]  seal b0d2f176bd1bd783</t>
  </si>
  <si>
    <t xml:space="preserve">TYPE B2K</t>
  </si>
  <si>
    <t xml:space="preserve">B2K  #19  -  Office 108 SW corner at teller line north  [Side 1: 1 layer(s) to 15.375 ft | Side 2: 1 layer(s) to 15.375 ft]  seal 9d8660a9c4e58217</t>
  </si>
  <si>
    <t xml:space="preserve">19</t>
  </si>
  <si>
    <t xml:space="preserve">Office 108 SW corner at teller line north  [Side 1: 1 layer(s) to 15.375 ft | Side 2: 1 layer(s) to 15.375 ft]  seal 9d8660a9c4e58217</t>
  </si>
  <si>
    <t xml:space="preserve">A02.01 &gt; 4/A12.01 (no schedule row, derived)</t>
  </si>
  <si>
    <t xml:space="preserve">TYPE C1</t>
  </si>
  <si>
    <t xml:space="preserve">C1  #52  -  85" display monitor box, Waiting 104  [Waiting 104: 1 layer(s) to 11.5 ft]  seal f67f444c25bd907e</t>
  </si>
  <si>
    <t xml:space="preserve">52</t>
  </si>
  <si>
    <t xml:space="preserve">85" display monitor box, Waiting 104  [Waiting 104: 1 layer(s) to 11.5 ft]  seal f67f444c25bd907e</t>
  </si>
  <si>
    <t xml:space="preserve">A02.01 &gt; 6/A12.01 (&gt; 1,2/A09.25 at piers)</t>
  </si>
  <si>
    <t xml:space="preserve">C1  #53  -  Plumbing chase, Women 114 face (lavatories)  [Women 114: 1 layer(s) to 13.052 ft]  seal 1b8039c7844abf18</t>
  </si>
  <si>
    <t xml:space="preserve">53</t>
  </si>
  <si>
    <t xml:space="preserve">Plumbing chase, Women 114 face (lavatories)  [Women 114: 1 layer(s) to 13.052 ft]  seal 1b8039c7844abf18</t>
  </si>
  <si>
    <t xml:space="preserve">C1  #54  -  Plumbing chase, Men 113 face (lavatories)  [Men 113: 1 layer(s) to 13.052 ft]  seal 1a485e27c56b47a5</t>
  </si>
  <si>
    <t xml:space="preserve">54</t>
  </si>
  <si>
    <t xml:space="preserve">Plumbing chase, Men 113 face (lavatories)  [Men 113: 1 layer(s) to 13.052 ft]  seal 1a485e27c56b47a5</t>
  </si>
  <si>
    <t xml:space="preserve">C1  #49  -  Vestibule 100 NE storefront pier (grid 4/F), interior faces  [Vestibule 100: 1 layer(s) to 15.375 ft]  seal c766ea39a06aaaef</t>
  </si>
  <si>
    <t xml:space="preserve">49</t>
  </si>
  <si>
    <t xml:space="preserve">Vestibule 100 NE storefront pier (grid 4/F), interior faces  [Vestibule 100: 1 layer(s) to 15.375 ft]  seal c766ea39a06aaaef</t>
  </si>
  <si>
    <t xml:space="preserve">C1  #51  -  Column wrap grid 4/E (24 HR Vestibule 101 / ATM Room 102)  [24 HR Vestibule 101: 1 layer(s) to 15.375 ft]  seal baf4e66811bc1ca6</t>
  </si>
  <si>
    <t xml:space="preserve">51</t>
  </si>
  <si>
    <t xml:space="preserve">Column wrap grid 4/E (24 HR Vestibule 101 / ATM Room 102)  [24 HR Vestibule 101: 1 layer(s) to 15.375 ft]  seal baf4e66811bc1ca6</t>
  </si>
  <si>
    <t xml:space="preserve">C1  #48  -  Vestibule 100 NW storefront pier (grid 2/F), interior faces  [Vestibule 100: 1 layer(s) to 15.375 ft]  seal 763ba2444559f845</t>
  </si>
  <si>
    <t xml:space="preserve">48</t>
  </si>
  <si>
    <t xml:space="preserve">Vestibule 100 NW storefront pier (grid 2/F), interior faces  [Vestibule 100: 1 layer(s) to 15.375 ft]  seal 763ba2444559f845</t>
  </si>
  <si>
    <t xml:space="preserve">C1  #50  -  Column wrap grid 4/E.4 (Vestibule 100 / Central Zone 103)  [Central Zone 103: 1 layer(s) to 15.375 ft]  seal 1fee3cbbe4b00895</t>
  </si>
  <si>
    <t xml:space="preserve">50</t>
  </si>
  <si>
    <t xml:space="preserve">Column wrap grid 4/E.4 (Vestibule 100 / Central Zone 103)  [Central Zone 103: 1 layer(s) to 15.375 ft]  seal 1fee3cbbe4b00895</t>
  </si>
  <si>
    <t xml:space="preserve">C1  #55  -  Future FCAM furring, teller line  [Future FCAM: 1 layer(s) to 13.052 ft]  seal a5adfde113a77341</t>
  </si>
  <si>
    <t xml:space="preserve">55</t>
  </si>
  <si>
    <t xml:space="preserve">Future FCAM furring, teller line  [Future FCAM: 1 layer(s) to 13.052 ft]  seal a5adfde113a77341</t>
  </si>
  <si>
    <t xml:space="preserve">TYPE F</t>
  </si>
  <si>
    <t xml:space="preserve">F  #56  -  24 HR Vestibule 101 / ATM Room 102 diagonal wall  [24 HR Vestibule 101: 1 layer(s) to 10.0 ft | ATM Room 102: 1 layer(s) to 9.0 ft]  seal 6aad8fa0f566faa3</t>
  </si>
  <si>
    <t xml:space="preserve">56</t>
  </si>
  <si>
    <t xml:space="preserve">24 HR Vestibule 101 / ATM Room 102 diagonal wall  [24 HR Vestibule 101: 1 layer(s) to 10.0 ft | ATM Room 102: 1 layer(s) to 9.0 ft]  seal 6aad8fa0f566faa3</t>
  </si>
  <si>
    <t xml:space="preserve">A02.01 &gt; 12/A12.01 &gt; 9/A12.06 &gt; A08.11</t>
  </si>
  <si>
    <t xml:space="preserve">TYPE G</t>
  </si>
  <si>
    <t xml:space="preserve">G  #36  -  ATM Room 102 / Office 109  [Side 1: 2 layer(s) to 15.375 ft | Side 2: 2 layer(s) to 15.375 ft]  seal 20300884bd87a5e0</t>
  </si>
  <si>
    <t xml:space="preserve">36</t>
  </si>
  <si>
    <t xml:space="preserve">1-5/8" x2</t>
  </si>
  <si>
    <t xml:space="preserve">ATM Room 102 / Office 109  [Side 1: 2 layer(s) to 15.375 ft | Side 2: 2 layer(s) to 15.375 ft]  seal 20300884bd87a5e0</t>
  </si>
  <si>
    <t xml:space="preserve">A02.01 &gt; 5/A12.01 &gt; 8/A12.01 &gt; 10/A12.01</t>
  </si>
  <si>
    <t xml:space="preserve">G  #38  -  Office 110 / Women 114  [Side 1: 2 layer(s) to 15.375 ft | Side 2: 2 layer(s) to 15.375 ft]  seal eb4fdf787c4550fb</t>
  </si>
  <si>
    <t xml:space="preserve">38</t>
  </si>
  <si>
    <t xml:space="preserve">Office 110 / Women 114  [Side 1: 2 layer(s) to 15.375 ft | Side 2: 2 layer(s) to 15.375 ft]  seal eb4fdf787c4550fb</t>
  </si>
  <si>
    <t xml:space="preserve">G  #34  -  Office 107 / Office 108  [Side 1: 2 layer(s) to 15.375 ft | Side 2: 2 layer(s) to 15.375 ft]  seal a10d13f4a58c2c82</t>
  </si>
  <si>
    <t xml:space="preserve">34</t>
  </si>
  <si>
    <t xml:space="preserve">Office 107 / Office 108  [Side 1: 2 layer(s) to 15.375 ft | Side 2: 2 layer(s) to 15.375 ft]  seal a10d13f4a58c2c82</t>
  </si>
  <si>
    <t xml:space="preserve">G  #35  -  Office 106 / Office 107  [Side 1: 2 layer(s) to 15.375 ft | Side 2: 2 layer(s) to 15.375 ft]  seal cf9bc525c62196cc</t>
  </si>
  <si>
    <t xml:space="preserve">35</t>
  </si>
  <si>
    <t xml:space="preserve">Office 106 / Office 107  [Side 1: 2 layer(s) to 15.375 ft | Side 2: 2 layer(s) to 15.375 ft]  seal cf9bc525c62196cc</t>
  </si>
  <si>
    <t xml:space="preserve">G  #37  -  Office 109 / Office 110  [Side 1: 2 layer(s) to 15.375 ft | Side 2: 2 layer(s) to 15.375 ft]  seal 3d7fe957853655af</t>
  </si>
  <si>
    <t xml:space="preserve">37</t>
  </si>
  <si>
    <t xml:space="preserve">Office 109 / Office 110  [Side 1: 2 layer(s) to 15.375 ft | Side 2: 2 layer(s) to 15.375 ft]  seal 3d7fe957853655af</t>
  </si>
  <si>
    <t xml:space="preserve">G  #33  -  Office 108 south / Cash Window 116  [Side 1: 2 layer(s) to 15.375 ft | Side 2: 2 layer(s) to 15.375 ft]  seal f22e87d2c2fe74db</t>
  </si>
  <si>
    <t xml:space="preserve">33</t>
  </si>
  <si>
    <t xml:space="preserve">Office 108 south / Cash Window 116  [Side 1: 2 layer(s) to 15.375 ft | Side 2: 2 layer(s) to 15.375 ft]  seal f22e87d2c2fe74db</t>
  </si>
  <si>
    <t xml:space="preserve">G  #39  -  Office front pier 105/106  [Side 1: 2 layer(s) to 15.375 ft | Side 2: 2 layer(s) to 15.375 ft]  seal 4061e86bbfeaa8e1</t>
  </si>
  <si>
    <t xml:space="preserve">39</t>
  </si>
  <si>
    <t xml:space="preserve">Office front pier 105/106  [Side 1: 2 layer(s) to 15.375 ft | Side 2: 2 layer(s) to 15.375 ft]  seal 4061e86bbfeaa8e1</t>
  </si>
  <si>
    <t xml:space="preserve">G  #40  -  Office front pier 106/107  [Side 1: 2 layer(s) to 15.375 ft | Side 2: 2 layer(s) to 15.375 ft]  seal bf7f6cf05e9c37bc</t>
  </si>
  <si>
    <t xml:space="preserve">40</t>
  </si>
  <si>
    <t xml:space="preserve">Office front pier 106/107  [Side 1: 2 layer(s) to 15.375 ft | Side 2: 2 layer(s) to 15.375 ft]  seal bf7f6cf05e9c37bc</t>
  </si>
  <si>
    <t xml:space="preserve">G  #41  -  Office front pier 107/108  [Side 1: 2 layer(s) to 15.375 ft | Side 2: 2 layer(s) to 15.375 ft]  seal 3da7c1118e97bf4a</t>
  </si>
  <si>
    <t xml:space="preserve">41</t>
  </si>
  <si>
    <t xml:space="preserve">Office front pier 107/108  [Side 1: 2 layer(s) to 15.375 ft | Side 2: 2 layer(s) to 15.375 ft]  seal 3da7c1118e97bf4a</t>
  </si>
  <si>
    <t xml:space="preserve">G  #42  -  Office front pier north of 105  [Side 1: 2 layer(s) to 15.375 ft | Side 2: 2 layer(s) to 15.375 ft]  seal a8d3e254d92b32eb</t>
  </si>
  <si>
    <t xml:space="preserve">42</t>
  </si>
  <si>
    <t xml:space="preserve">Office front pier north of 105  [Side 1: 2 layer(s) to 15.375 ft | Side 2: 2 layer(s) to 15.375 ft]  seal a8d3e254d92b32eb</t>
  </si>
  <si>
    <t xml:space="preserve">G  #43  -  Office front pier south of 108  [Side 1: 2 layer(s) to 15.375 ft | Side 2: 2 layer(s) to 15.375 ft]  seal b75f77203f12f8e1</t>
  </si>
  <si>
    <t xml:space="preserve">43</t>
  </si>
  <si>
    <t xml:space="preserve">Office front pier south of 108  [Side 1: 2 layer(s) to 15.375 ft | Side 2: 2 layer(s) to 15.375 ft]  seal b75f77203f12f8e1</t>
  </si>
  <si>
    <t xml:space="preserve">TYPE G1</t>
  </si>
  <si>
    <t xml:space="preserve">G1  #44  -  Office 105 / Office 106  [Side 1: 2 layer(s) to 15.375 ft | Side 2: 2 layer(s) to 15.375 ft]  seal 0e93669c03e629ef</t>
  </si>
  <si>
    <t xml:space="preserve">44</t>
  </si>
  <si>
    <t xml:space="preserve">Office 105 / Office 106  [Side 1: 2 layer(s) to 15.375 ft | Side 2: 2 layer(s) to 15.375 ft]  seal 0e93669c03e629ef</t>
  </si>
  <si>
    <t xml:space="preserve">A02.01 &gt; 5/A12.01 &gt; 10/A12.01</t>
  </si>
  <si>
    <t xml:space="preserve">G1  #45  -  Office front pier 109/110  [Side 1: 2 layer(s) to 15.375 ft | Side 2: 2 layer(s) to 15.375 ft]  seal 54a34c998b1de204</t>
  </si>
  <si>
    <t xml:space="preserve">45</t>
  </si>
  <si>
    <t xml:space="preserve">Office front pier 109/110  [Side 1: 2 layer(s) to 15.375 ft | Side 2: 2 layer(s) to 15.375 ft]  seal 54a34c998b1de204</t>
  </si>
  <si>
    <t xml:space="preserve">G1  #46  -  Office front pier south of 110  [Side 1: 2 layer(s) to 15.375 ft | Side 2: 2 layer(s) to 15.375 ft]  seal 4670f5eee2872716</t>
  </si>
  <si>
    <t xml:space="preserve">46</t>
  </si>
  <si>
    <t xml:space="preserve">Office front pier south of 110  [Side 1: 2 layer(s) to 15.375 ft | Side 2: 2 layer(s) to 15.375 ft]  seal 4670f5eee2872716</t>
  </si>
  <si>
    <t xml:space="preserve">G1  #47  -  Office front pier north of 109  [Side 1: 2 layer(s) to 15.375 ft | Side 2: 2 layer(s) to 15.375 ft]  seal 5c633af27cf5d560</t>
  </si>
  <si>
    <t xml:space="preserve">47</t>
  </si>
  <si>
    <t xml:space="preserve">Office front pier north of 109  [Side 1: 2 layer(s) to 15.375 ft | Side 2: 2 layer(s) to 15.375 ft]  seal 5c633af27cf5d560</t>
  </si>
  <si>
    <t xml:space="preserve">TYPE G-BULKHEAD</t>
  </si>
  <si>
    <t xml:space="preserve">G-BULKHEAD  #300  -  Office 105 front bulkhead over DFC-1A office front  [office side: 2 layer(s) to 7.33 ft | Central Zone 103 side: 2 layer(s) to 7.33 ft]  seal 203f75837775a222</t>
  </si>
  <si>
    <t xml:space="preserve">300</t>
  </si>
  <si>
    <t xml:space="preserve">Office 105 front bulkhead over DFC-1A office front  [office side: 2 layer(s) to 7.33 ft | Central Zone 103 side: 2 layer(s) to 7.33 ft]  seal 203f75837775a222</t>
  </si>
  <si>
    <t xml:space="preserve">A02.01 &gt; 7/A11.01 &gt; 8/A12.01 &gt; 9/A12.01 &gt; 10/A12.01</t>
  </si>
  <si>
    <t xml:space="preserve">G-BULKHEAD  #301  -  Office 106 front bulkhead over DFC-1A office front  [office side: 2 layer(s) to 7.33 ft | Central Zone 103 side: 2 layer(s) to 7.33 ft]  seal 4dd1b68fb26ff081</t>
  </si>
  <si>
    <t xml:space="preserve">301</t>
  </si>
  <si>
    <t xml:space="preserve">Office 106 front bulkhead over DFC-1A office front  [office side: 2 layer(s) to 7.33 ft | Central Zone 103 side: 2 layer(s) to 7.33 ft]  seal 4dd1b68fb26ff081</t>
  </si>
  <si>
    <t xml:space="preserve">G-BULKHEAD  #302  -  Office 107 front bulkhead over DFC-1A office front  [office side: 2 layer(s) to 7.33 ft | Central Zone 103 side: 2 layer(s) to 7.33 ft]  seal 2074509170f07228</t>
  </si>
  <si>
    <t xml:space="preserve">302</t>
  </si>
  <si>
    <t xml:space="preserve">Office 107 front bulkhead over DFC-1A office front  [office side: 2 layer(s) to 7.33 ft | Central Zone 103 side: 2 layer(s) to 7.33 ft]  seal 2074509170f07228</t>
  </si>
  <si>
    <t xml:space="preserve">G-BULKHEAD  #303  -  Office 108 front bulkhead over DFC-1A office front  [office side: 2 layer(s) to 7.33 ft | Central Zone 103 side: 2 layer(s) to 7.33 ft]  seal d9c8a99a9628aeec</t>
  </si>
  <si>
    <t xml:space="preserve">303</t>
  </si>
  <si>
    <t xml:space="preserve">Office 108 front bulkhead over DFC-1A office front  [office side: 2 layer(s) to 7.33 ft | Central Zone 103 side: 2 layer(s) to 7.33 ft]  seal d9c8a99a9628aeec</t>
  </si>
  <si>
    <t xml:space="preserve">G-BULKHEAD  #304  -  Office 109 front bulkhead over DFC-1A office front  [office side: 2 layer(s) to 7.33 ft | Central Zone 103 side: 2 layer(s) to 7.33 ft]  seal 707837eb9a26902d</t>
  </si>
  <si>
    <t xml:space="preserve">304</t>
  </si>
  <si>
    <t xml:space="preserve">Office 109 front bulkhead over DFC-1A office front  [office side: 2 layer(s) to 7.33 ft | Central Zone 103 side: 2 layer(s) to 7.33 ft]  seal 707837eb9a26902d</t>
  </si>
  <si>
    <t xml:space="preserve">G-BULKHEAD  #305  -  Office 110 front bulkhead over DFC-1A office front  [office side: 2 layer(s) to 7.33 ft | Central Zone 103 side: 2 layer(s) to 7.33 ft]  seal c8dd15986ffa28b7</t>
  </si>
  <si>
    <t xml:space="preserve">305</t>
  </si>
  <si>
    <t xml:space="preserve">Office 110 front bulkhead over DFC-1A office front  [office side: 2 layer(s) to 7.33 ft | Central Zone 103 side: 2 layer(s) to 7.33 ft]  seal c8dd15986ffa28b7</t>
  </si>
  <si>
    <t xml:space="preserve">TYPE EXT-6"</t>
  </si>
  <si>
    <t xml:space="preserve">EXT-6"  #104  -  South: South wall grid A (Wellness 115 to Work Room 119)  [interior: 1 layer(s) to 12.531 ft]  seal 935492d81172494d</t>
  </si>
  <si>
    <t xml:space="preserve">104</t>
  </si>
  <si>
    <t xml:space="preserve">South: South wall grid A (Wellness 115 to Work Room 119)  [interior: 1 layer(s) to 12.531 ft]  seal 935492d81172494d</t>
  </si>
  <si>
    <t xml:space="preserve">A02.01 &gt; C/A09.21 &gt; 3/A09.26 &gt; 5/A09.26 &gt; 9/A09.27 &gt; 6/S5.10 &gt; 7/S5.20</t>
  </si>
  <si>
    <t xml:space="preserve">EXT-6"  #102  -  East: East wall grid F to B (offices 105-108, Cash Window 116 north part)  [interior: 1 layer(s) to 15.375 ft]  seal 7fcacfa893402a34</t>
  </si>
  <si>
    <t xml:space="preserve">102</t>
  </si>
  <si>
    <t xml:space="preserve">East: East wall grid F to B (offices 105-108, Cash Window 116 north part)  [interior: 1 layer(s) to 15.375 ft]  seal 7fcacfa893402a34</t>
  </si>
  <si>
    <t xml:space="preserve">EXT-6"  #105  -  West: West wall grid B to A (Women 114, Men 113, Janitor 112, Wellness 115)  [interior: 1 layer(s) to 13.052 ft]  seal 2d3795f66e5d68cd</t>
  </si>
  <si>
    <t xml:space="preserve">105</t>
  </si>
  <si>
    <t xml:space="preserve">West: West wall grid B to A (Women 114, Men 113, Janitor 112, Wellness 115)  [interior: 1 layer(s) to 13.052 ft]  seal 2d3795f66e5d68cd</t>
  </si>
  <si>
    <t xml:space="preserve">EXT-6"  #103  -  East: East wall grid B to A (Cash Window 116 south, Work Room 119)  [interior: 1 layer(s) to 13.052 ft]  seal 44415206fe8ee536</t>
  </si>
  <si>
    <t xml:space="preserve">103</t>
  </si>
  <si>
    <t xml:space="preserve">East: East wall grid B to A (Cash Window 116 south, Work Room 119)  [interior: 1 layer(s) to 13.052 ft]  seal 44415206fe8ee536</t>
  </si>
  <si>
    <t xml:space="preserve">EXT-6"  #106  -  West: West wall Offices 109/110  [interior: 1 layer(s) to 15.375 ft]  seal 83c71cd35b8689da</t>
  </si>
  <si>
    <t xml:space="preserve">106</t>
  </si>
  <si>
    <t xml:space="preserve">West: West wall Offices 109/110  [interior: 1 layer(s) to 15.375 ft]  seal 83c71cd35b8689da</t>
  </si>
  <si>
    <t xml:space="preserve">EXT-6"  #107  -  West: West wall ATM Room 102 / 24 HR Vestibule 101 (drive-up ATM), entrance tower  [interior: 1 layer(s) to 15.375 ft]  seal 51a2fc29ace3e995</t>
  </si>
  <si>
    <t xml:space="preserve">107</t>
  </si>
  <si>
    <t xml:space="preserve">West: West wall ATM Room 102 / 24 HR Vestibule 101 (drive-up ATM), entrance tower  [interior: 1 layer(s) to 15.375 ft]  seal 51a2fc29ace3e995</t>
  </si>
  <si>
    <t xml:space="preserve">EXT-6"  #101  -  North: Office 105 north, solid EPS-5  [interior: 1 layer(s) to 15.375 ft]  seal 81b811aaa0c8f6da</t>
  </si>
  <si>
    <t xml:space="preserve">101</t>
  </si>
  <si>
    <t xml:space="preserve">North: Office 105 north, solid EPS-5  [interior: 1 layer(s) to 15.375 ft]  seal 81b811aaa0c8f6da</t>
  </si>
  <si>
    <t xml:space="preserve">EXT-6"  #111  -  North/West: Storefront piers exterior faces (1,2/A09.25)  [interior: 1 layer(s) to 15.375 ft]  seal 9931d76533479a5f</t>
  </si>
  <si>
    <t xml:space="preserve">111</t>
  </si>
  <si>
    <t xml:space="preserve">North/West: Storefront piers exterior faces (1,2/A09.25)  [interior: 1 layer(s) to 15.375 ft]  seal 9931d76533479a5f</t>
  </si>
  <si>
    <t xml:space="preserve">EXT-6"  #112  -  West: Wall jog at grid D, 3'-10 1/2" (A02.01 printed)  [interior: 1 layer(s) to 15.375 ft]  seal 7b2f28789e0b3dac</t>
  </si>
  <si>
    <t xml:space="preserve">112</t>
  </si>
  <si>
    <t xml:space="preserve">West: Wall jog at grid D, 3'-10 1/2" (A02.01 printed)  [interior: 1 layer(s) to 15.375 ft]  seal 7b2f28789e0b3dac</t>
  </si>
  <si>
    <t xml:space="preserve">TYPE EXT-6" band</t>
  </si>
  <si>
    <t xml:space="preserve">EXT-6" band  #108  -  North: Band above Central Zone storefront (AF-2/GL-2)  [interior: 1 layer(s) to 6.88 ft]  seal 150967815d27b8ed</t>
  </si>
  <si>
    <t xml:space="preserve">108</t>
  </si>
  <si>
    <t xml:space="preserve">North: Band above Central Zone storefront (AF-2/GL-2)  [interior: 1 layer(s) to 6.88 ft]  seal 150967815d27b8ed</t>
  </si>
  <si>
    <t xml:space="preserve">A02.01 &gt; A/A09.21 &gt; 2/A09.26 &gt; 11/A09.27 &gt; 6/S5.10</t>
  </si>
  <si>
    <t xml:space="preserve">EXT-6" band  #109  -  North: Band above Vestibule 100 entry storefront  [interior: 1 layer(s) to 6.88 ft]  seal b5b8a942f8a6608e</t>
  </si>
  <si>
    <t xml:space="preserve">109</t>
  </si>
  <si>
    <t xml:space="preserve">North: Band above Vestibule 100 entry storefront  [interior: 1 layer(s) to 6.88 ft]  seal b5b8a942f8a6608e</t>
  </si>
  <si>
    <t xml:space="preserve">EXT-6" band  #110  -  West: Band above Vestibule 100 west storefront  [interior: 1 layer(s) to 6.88 ft]  seal fdeec748f6e1c338</t>
  </si>
  <si>
    <t xml:space="preserve">110</t>
  </si>
  <si>
    <t xml:space="preserve">West: Band above Vestibule 100 west storefront  [interior: 1 layer(s) to 6.88 ft]  seal fdeec748f6e1c338</t>
  </si>
  <si>
    <t xml:space="preserve">TYPE PARAPET</t>
  </si>
  <si>
    <t xml:space="preserve">PARAPET  #205  -  South parapet grid A (LOW zone)  [roof side: 1 layer(s) to 5.22 ft]  seal 8cf859288d3a8c9c</t>
  </si>
  <si>
    <t xml:space="preserve">205</t>
  </si>
  <si>
    <t xml:space="preserve">6" (600S162-54)</t>
  </si>
  <si>
    <t xml:space="preserve">South parapet grid A (LOW zone)  [roof side: 1 layer(s) to 5.22 ft]  seal 8cf859288d3a8c9c</t>
  </si>
  <si>
    <t xml:space="preserve">S2.20 &gt; 10/S5.10 &gt; 11/S5.10 &gt; 4/A09.26 &gt; C/A09.21</t>
  </si>
  <si>
    <t xml:space="preserve">PARAPET  #203  -  East parapet grid G to B (HI zone)  [roof side: 1 layer(s) to 2.38 ft]  seal 2363a6423e86d59b</t>
  </si>
  <si>
    <t xml:space="preserve">203</t>
  </si>
  <si>
    <t xml:space="preserve">East parapet grid G to B (HI zone)  [roof side: 1 layer(s) to 2.38 ft]  seal 2363a6423e86d59b</t>
  </si>
  <si>
    <t xml:space="preserve">PARAPET  #202  -  North parapet LP  [roof side: 1 layer(s) to 2.38 ft]  seal 349e217786616db6</t>
  </si>
  <si>
    <t xml:space="preserve">202</t>
  </si>
  <si>
    <t xml:space="preserve">North parapet LP  [roof side: 1 layer(s) to 2.38 ft]  seal 349e217786616db6</t>
  </si>
  <si>
    <t xml:space="preserve">PARAPET  #208  -  West parapet entrance tower G to D (HP, A09.01 WEST ELEVATION T.O. PARAPET 2 from G to D)  [roof side: 1 layer(s) to 4.63 ft]  seal 062dfcecdfc48b1f</t>
  </si>
  <si>
    <t xml:space="preserve">208</t>
  </si>
  <si>
    <t xml:space="preserve">West parapet entrance tower G to D (HP, A09.01 WEST ELEVATION T.O. PARAPET 2 from G to D)  [roof side: 1 layer(s) to 4.63 ft]  seal 062dfcecdfc48b1f</t>
  </si>
  <si>
    <t xml:space="preserve">PARAPET  #207  -  West parapet grid D to B incl. jog at D (HI zone, LP)  [roof side: 1 layer(s) to 2.38 ft]  seal 66c12e4f65981d3b</t>
  </si>
  <si>
    <t xml:space="preserve">207</t>
  </si>
  <si>
    <t xml:space="preserve">West parapet grid D to B incl. jog at D (HI zone, LP)  [roof side: 1 layer(s) to 2.38 ft]  seal 66c12e4f65981d3b</t>
  </si>
  <si>
    <t xml:space="preserve">PARAPET  #204  -  East parapet grid B to A (LOW zone)  [roof side: 1 layer(s) to 4.96 ft]  seal 91c68a87009607e7</t>
  </si>
  <si>
    <t xml:space="preserve">204</t>
  </si>
  <si>
    <t xml:space="preserve">East parapet grid B to A (LOW zone)  [roof side: 1 layer(s) to 4.96 ft]  seal 91c68a87009607e7</t>
  </si>
  <si>
    <t xml:space="preserve">PARAPET  #206  -  West parapet grid B to A (LOW zone)  [roof side: 1 layer(s) to 4.96 ft]  seal 274e5893b81c9889</t>
  </si>
  <si>
    <t xml:space="preserve">206</t>
  </si>
  <si>
    <t xml:space="preserve">West parapet grid B to A (LOW zone)  [roof side: 1 layer(s) to 4.96 ft]  seal 274e5893b81c9889</t>
  </si>
  <si>
    <t xml:space="preserve">PARAPET  #201  -  North parapet, entrance tower (T.O. PARAPET 2)  [roof side: 1 layer(s) to 4.63 ft]  seal f54fea62acdc3dfc</t>
  </si>
  <si>
    <t xml:space="preserve">201</t>
  </si>
  <si>
    <t xml:space="preserve">North parapet, entrance tower (T.O. PARAPET 2)  [roof side: 1 layer(s) to 4.63 ft]  seal f54fea62acdc3dfc</t>
  </si>
  <si>
    <t xml:space="preserve">TOTAL - PARTITIONS</t>
  </si>
  <si>
    <t xml:space="preserve">MATERIAL SUMMARY - NET / WASTE / PURCHASE</t>
  </si>
  <si>
    <t xml:space="preserve">Waste lives HERE, in its own column, never inside the net quantity.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</si>
  <si>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</si>
  <si>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</si>
  <si>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</si>
  <si>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</si>
  <si>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</si>
  <si>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</si>
  <si>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</si>
  <si>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</si>
  <si>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</si>
  <si>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1-5/8" metal stud 162S125-33 - office front bulkheads</t>
  </si>
  <si>
    <t xml:space="preserve">LF</t>
  </si>
  <si>
    <t xml:space="preserve">stick 20 ft</t>
  </si>
  <si>
    <t xml:space="preserve">8/A12.01; 7/S5.20 METAL STUD PROPERTIES</t>
  </si>
  <si>
    <t xml:space="preserve">1-5/8" bottom track 162T125-33 - office front bulkheads</t>
  </si>
  <si>
    <t xml:space="preserve">stick 10 ft</t>
  </si>
  <si>
    <t xml:space="preserve">8/A12.01 METAL STUD TRACK; 3/S5.20</t>
  </si>
  <si>
    <t xml:space="preserve">1-5/8" top deflection (slip) track 162T200-33 - office front bulkheads</t>
  </si>
  <si>
    <t xml:space="preserve">8/A12.01 CONTINUOUS SLIP TRACK; 6/S5.10; 7/S5.20 600T200-97 TOP TRACK</t>
  </si>
  <si>
    <t xml:space="preserve">Bracing 1-1/2" C.R. channel @ 48" O.C.</t>
  </si>
  <si>
    <t xml:space="preserve">16 ft length</t>
  </si>
  <si>
    <t xml:space="preserve">F/S5.20 BRIDGING AND BRACING (53.4 TYPICAL); 5/S5.20</t>
  </si>
  <si>
    <t xml:space="preserve">Bracing clip / attachment at C.R. channel (each stud each row, 2 sides)</t>
  </si>
  <si>
    <t xml:space="preserve">EA</t>
  </si>
  <si>
    <t xml:space="preserve">F/S5.20 ATTACH EACH SIDE</t>
  </si>
  <si>
    <t xml:space="preserve">Header - metal stud box beam at exterior openings / office fronts</t>
  </si>
  <si>
    <t xml:space="preserve">11/A09.27; 14/A09.27; 2/A09.26; 8/A12.01 CONT. BOX BEAM (53.6)</t>
  </si>
  <si>
    <t xml:space="preserve">Acoustical sealant (continuous, per partition detail runs)</t>
  </si>
  <si>
    <t xml:space="preserve">1,3,4,5/A12.01; 8,9/A12.01 (54.4 run by run)</t>
  </si>
  <si>
    <t xml:space="preserve">FRT wood blocking - monitor, MW18 and office bulkhead plywood strips (in wall closures)</t>
  </si>
  <si>
    <t xml:space="preserve">8/A12.01; 1/A11.01; 9/A12.06</t>
  </si>
  <si>
    <t xml:space="preserve">5/8" gypsum board, regular - walls</t>
  </si>
  <si>
    <t xml:space="preserve">SF</t>
  </si>
  <si>
    <t xml:space="preserve">1/A12.01 GYPSUM BOARD; 12/A12.01 GYPSUM BOARD; 2/A09.26 GYPSUM BOARD; 3/A09.26 GYPSUM BOARD; 3/A09.26 TO DECK; 3/A12.01 GYPSUM BOARD; 4/A12.01 GYPSUM BOARD; 5/A12.01 GYPSUM BOARD; 6/A12.01 GYPSUM BOARD; 8/A12.01 GYPSUM BOARD</t>
  </si>
  <si>
    <t xml:space="preserve">6" parapet stud 600S162-54 @ 16" O.C.</t>
  </si>
  <si>
    <t xml:space="preserve">11/S5.10; parapet closures P01-P08</t>
  </si>
  <si>
    <t xml:space="preserve">6" parapet bottom track 600T125-54</t>
  </si>
  <si>
    <t xml:space="preserve">11/S5.10 TOP &amp; BOT.</t>
  </si>
  <si>
    <t xml:space="preserve">6" parapet top track 600T125-54</t>
  </si>
  <si>
    <t xml:space="preserve">11/S5.10 TOP &amp; BOT. (54.2 own row)</t>
  </si>
  <si>
    <t xml:space="preserve">3/4" FRT plywood blocking at top of parapet</t>
  </si>
  <si>
    <t xml:space="preserve">4/A09.26 3/4" F.R.T. PLYWOOD BLOCKING AS REQUIRED (54.6)</t>
  </si>
  <si>
    <t xml:space="preserve">5/8" exterior gypsum sheathing (DENS DECK) - parapet roof side</t>
  </si>
  <si>
    <t xml:space="preserve">4/A09.26 5/8" DENS DECK (53.5)</t>
  </si>
  <si>
    <t xml:space="preserve">3-5/8" metal stud 362S137-33 - interior partitions</t>
  </si>
  <si>
    <t xml:space="preserve">1/A12.01; 7/S5.20 METAL STUD PROPERTIES; 12/A12.01; 7/S5.20 METAL STUD PROPERTIES; 3/A12.01; 7/S5.20 METAL STUD PROPERTIES; 6/A12.01; 7/S5.20 METAL STUD PROPERTIES</t>
  </si>
  <si>
    <t xml:space="preserve">3-5/8" bottom track 362T125-33 - interior partitions</t>
  </si>
  <si>
    <t xml:space="preserve">1/A12.01 METAL STUD TRACK; 3/S5.20; 12/A12.01 METAL STUD TRACK; 3/S5.20; 3/A12.01 METAL STUD TRACK; 3/S5.20; 6/A12.01 METAL STUD TRACK; 3/S5.20</t>
  </si>
  <si>
    <t xml:space="preserve">3-5/8" top deflection (slip) track 362T200-97 - interior partitions</t>
  </si>
  <si>
    <t xml:space="preserve">1/A12.01 CONTINUOUS SLIP TRACK; 6/S5.10; 7/S5.20 600T200-97 TOP TRACK; 3/A12.01 CONTINUOUS SLIP TRACK; 6/S5.10; 7/S5.20 600T200-97 TOP TRACK; 4/A12.01 CONTINUOUS SLIP TRACK; 6/S5.10; 7/S5.20 600T200-97 TOP TRACK</t>
  </si>
  <si>
    <t xml:space="preserve">Framed opening track at MEP duct penetrations (head + sill)</t>
  </si>
  <si>
    <t xml:space="preserve">6/S5.20 PENETRATION THRU STUDS; 9/S5.20; M01.01</t>
  </si>
  <si>
    <t xml:space="preserve">Header - 3-5/8" 18 GA track (362T125-43) at interior doors</t>
  </si>
  <si>
    <t xml:space="preserve">7/S5.20 HEADER SCHEDULE - WALLS; 9/S5.20; 10/A12.02 (53.6)</t>
  </si>
  <si>
    <t xml:space="preserve">6" metal stud 600S137-33 - interior partitions</t>
  </si>
  <si>
    <t xml:space="preserve">1/A12.01; 7/S5.20 METAL STUD PROPERTIES; 3/A12.01; 7/S5.20 METAL STUD PROPERTIES</t>
  </si>
  <si>
    <t xml:space="preserve">6" bottom track 600T125-33 - interior partitions</t>
  </si>
  <si>
    <t xml:space="preserve">1/A12.01 METAL STUD TRACK; 3/S5.20; 3/A12.01 METAL STUD TRACK; 3/S5.20</t>
  </si>
  <si>
    <t xml:space="preserve">6" top deflection (slip) track 600T200-97 - interior partitions</t>
  </si>
  <si>
    <t xml:space="preserve">Header - 6" 18 GA track (600T125-43) at interior doors</t>
  </si>
  <si>
    <t xml:space="preserve">3-5/8" metal stud 362S137-68 - interior partitions</t>
  </si>
  <si>
    <t xml:space="preserve">4/A12.01; 7/S5.20 METAL STUD PROPERTIES</t>
  </si>
  <si>
    <t xml:space="preserve">3-5/8" bottom track 362T125-68 - interior partitions</t>
  </si>
  <si>
    <t xml:space="preserve">4/A12.01 METAL STUD TRACK; 3/S5.20</t>
  </si>
  <si>
    <t xml:space="preserve">6" metal stud 600S137-68 - interior partitions</t>
  </si>
  <si>
    <t xml:space="preserve">6" bottom track 600T125-68 - interior partitions</t>
  </si>
  <si>
    <t xml:space="preserve">1-5/8" metal stud 162S125-33 - interior partitions</t>
  </si>
  <si>
    <t xml:space="preserve">5/A12.01; 7/S5.20 METAL STUD PROPERTIES</t>
  </si>
  <si>
    <t xml:space="preserve">1-5/8" bottom track 162T125-33 - interior partitions</t>
  </si>
  <si>
    <t xml:space="preserve">5/A12.01 METAL STUD TRACK; 3/S5.20</t>
  </si>
  <si>
    <t xml:space="preserve">1-5/8" top deflection (slip) track 162T200-33 - interior partitions</t>
  </si>
  <si>
    <t xml:space="preserve">5/A12.01 CONTINUOUS SLIP TRACK; 6/S5.10; 7/S5.20 600T200-97 TOP TRACK</t>
  </si>
  <si>
    <t xml:space="preserve">3-5/8" top track 362T125-33 - interior partitions</t>
  </si>
  <si>
    <t xml:space="preserve">12/A12.01 CONTINUOUS SLIP TRACK; 6/S5.10; 7/S5.20 600T200-97 TOP TRACK; 6/A12.01 CONTINUOUS SLIP TRACK; 6/S5.10; 7/S5.20 600T200-97 TOP TRACK</t>
  </si>
  <si>
    <t xml:space="preserve">5/8" gypsum board, moisture resistant (behind lavatory / toilet)</t>
  </si>
  <si>
    <t xml:space="preserve">note F A08.01 USE MOISTURE RESISTANT GYPSUM BOARD BEHIND TOILET; 1/A08.01; note F A08.01; 6/A12.01</t>
  </si>
  <si>
    <t xml:space="preserve">Sill track 600T125-33 at windows / openings</t>
  </si>
  <si>
    <t xml:space="preserve">10/A09.27 STOREFRONT SILL; 9/S5.20 (53.7)</t>
  </si>
  <si>
    <t xml:space="preserve">3/4" FRT plywood - wall F public side to deck / backboards</t>
  </si>
  <si>
    <t xml:space="preserve">12/A12.01 3/4" FRT PLYWOOD ON PUBLIC SIDE OF PARTITION</t>
  </si>
  <si>
    <t xml:space="preserve">6" metal stud 600S137-33 - exterior walls</t>
  </si>
  <si>
    <t xml:space="preserve">2/A09.26; 7/S5.20 METAL STUD PROPERTIES; 3/A09.26; 7/S5.20 METAL STUD PROPERTIES</t>
  </si>
  <si>
    <t xml:space="preserve">6" bottom track 600T125-33 - exterior walls</t>
  </si>
  <si>
    <t xml:space="preserve">2/A09.26 METAL STUD TRACK; 3/S5.20; 3/A09.26 METAL STUD TRACK; 3/S5.20</t>
  </si>
  <si>
    <t xml:space="preserve">6" top deflection (slip) track 600T200-97 - exterior walls</t>
  </si>
  <si>
    <t xml:space="preserve">2/A09.26 CONTINUOUS SLIP TRACK; 6/S5.10; 7/S5.20 600T200-97 TOP TRACK; 3/A09.26 CONTINUOUS SLIP TRACK; 6/S5.10; 7/S5.20 600T200-97 TOP TRACK</t>
  </si>
  <si>
    <t xml:space="preserve">Sealant at base of gypsum - exterior walls</t>
  </si>
  <si>
    <t xml:space="preserve">5/A09.26; 9/A09.27; 12/A09.27 SEALANT AT BASE OF GYPSUM (53.9.3)</t>
  </si>
  <si>
    <t xml:space="preserve">5/8" glass mat sheathing - exterior walls</t>
  </si>
  <si>
    <t xml:space="preserve">5/A09.26; 9/A09.27; 12/A09.27 5/8" GLASS MAT SHEATHING (54.5 only where labeled)</t>
  </si>
  <si>
    <t xml:space="preserve">5/8" FRT plywood bonded to 2-1/2" polyiso sheathing system - exterior walls</t>
  </si>
  <si>
    <t xml:space="preserve">C/A09.21, A/A09.21, B/A09.21 SHEATHING/INSULATION SYSTEM; 3/A09.26; minus 155.7 LF behind canopies x 1.98 ft (B/STUD 10-7 1/4 to T/STUD 12-7: spray foam on glass mat only, 3/A09.26, 7/A09.26)</t>
  </si>
  <si>
    <t xml:space="preserve">5/8" gypsum board, regular - ceilings &amp; soffits</t>
  </si>
  <si>
    <t xml:space="preserve">A04.01 GB ceilings (100,101,104,113,114); 10/A09.33 CSR soffit; 7/A09.33 transition</t>
  </si>
  <si>
    <t xml:space="preserve">Carrying channel 1-1/2" @ 48" O.C. - GWB ceilings</t>
  </si>
  <si>
    <t xml:space="preserve">A04.01 GB ceilings; ASTM C754 standard (no suspension detail in set: RFI-05)</t>
  </si>
  <si>
    <t xml:space="preserve">Furring channel 7/8" @ 16" O.C. - GWB ceilings</t>
  </si>
  <si>
    <t xml:space="preserve">12 ft length</t>
  </si>
  <si>
    <t xml:space="preserve">A04.01 GB ceilings; ASTM C754 (RFI-05)</t>
  </si>
  <si>
    <t xml:space="preserve">Hanger wire 12 GA @ 48" x 48" - GWB ceilings</t>
  </si>
  <si>
    <t xml:space="preserve">3/A09.33 TYPICAL 12 GAUGE HANGER WIRE; A04.01; S2.20 B.O.D.</t>
  </si>
  <si>
    <t xml:space="preserve">3-5/8" track at GWB ceilings &amp; soffits (perimeter / soffit bottom) 362T125-33</t>
  </si>
  <si>
    <t xml:space="preserve">A04.01; 7/A09.33; 10/A09.33 CONT. TRACK</t>
  </si>
  <si>
    <t xml:space="preserve">3-5/8" metal stud 362S137-33 - soffits, transitions &amp; canopy</t>
  </si>
  <si>
    <t xml:space="preserve">10/A09.33; 7/A09.33; 3/A09.26; 7/A09.26; 15/A09.27</t>
  </si>
  <si>
    <t xml:space="preserve">1x1x1 16 GA purlin across min. (2) flutes - CSR soffit top track</t>
  </si>
  <si>
    <t xml:space="preserve">10/A09.33 1X1X1 16GA PURLIN, ACROSS MIN. (2) FLUTES (VIF flute direction)</t>
  </si>
  <si>
    <t xml:space="preserve">3-5/8" bottom track 362T125-33 - canopy fascia &amp; column wraps</t>
  </si>
  <si>
    <t xml:space="preserve">3/A09.26; 7/A09.26; 15/A09.27; 5/A09.25</t>
  </si>
  <si>
    <t xml:space="preserve">3-5/8" top track 362T125-33 - canopy fascia &amp; column wraps</t>
  </si>
  <si>
    <t xml:space="preserve">3/A09.26; 7/A09.26; 15/A09.27; 5/A09.25 (54.2 own row)</t>
  </si>
  <si>
    <t xml:space="preserve">3-5/8" track at canopy soffit perimeter 362T125-33</t>
  </si>
  <si>
    <t xml:space="preserve">3/A09.26; 7/A09.26; 5/A09.33 (soffit framing)</t>
  </si>
  <si>
    <t xml:space="preserve">5/8" exterior grade FRT plywood sheathing - canopy fascia, soffit &amp; column wraps</t>
  </si>
  <si>
    <t xml:space="preserve">fascia 237 x 1.98 + top 237 x 0.5 + soffit 1,440 SF (RCP inner fascia line) + 4 columns 5.25 x 10.5; 3/A09.26; 7/A09.26; 15/A09.27; 16/A09.27; 5/A09.25</t>
  </si>
  <si>
    <t xml:space="preserve">Framed opening for recessed fixture - canopy (UU1-UU6) sides</t>
  </si>
  <si>
    <t xml:space="preserve">E00.01 luminaire schedule lengths x E02.01 tags; 4/A09.33; 5/A09.33 (54.1)</t>
  </si>
  <si>
    <t xml:space="preserve">Framed opening for recessed fixture - GWB ceilings/soffit (R-11A, R-11C, R-11CE) sides</t>
  </si>
  <si>
    <t xml:space="preserve">E00.01; E02.01; 6/A09.33 INTERIOR TRIMLESS FIXTURE DETAIL (54.1)</t>
  </si>
  <si>
    <t xml:space="preserve">Gypsum edge trim at trimless slot fixtures (metal trim)</t>
  </si>
  <si>
    <t xml:space="preserve">10 ft length</t>
  </si>
  <si>
    <t xml:space="preserve">6/A09.33 GYPSUM EDGE TRIM (53.1)</t>
  </si>
  <si>
    <t xml:space="preserve">Corner bead (metal trim)</t>
  </si>
  <si>
    <t xml:space="preserve">10/A12.01; 8,9/A12.01; 7,8,10/A09.33; 11/A09.27; 2/A09.26 (53.1)</t>
  </si>
  <si>
    <t xml:space="preserve">L-bead / J-bead casing at storefront &amp; window jamb returns (metal trim)</t>
  </si>
  <si>
    <t xml:space="preserve">11/A09.27 GYPSUM BOARD JAMB RETURN; 2/A09.26 (53.1)</t>
  </si>
  <si>
    <t xml:space="preserve">Casing bead at Kevlar wall ends (metal trim)</t>
  </si>
  <si>
    <t xml:space="preserve">4/A12.01 APPROPRIATE METAL TRIM AND CASING BEADS</t>
  </si>
  <si>
    <t xml:space="preserve">Shadow molding (metal trim)</t>
  </si>
  <si>
    <t xml:space="preserve">7/A09.33 (2 runs: upper and lower ceiling); 8,9/A12.01 SHADOW MOLDING - AS SPECIFIED</t>
  </si>
  <si>
    <t xml:space="preserve">5/8" gypsum board, regular - jamb returns at exterior openings</t>
  </si>
  <si>
    <t xml:space="preserve">11/A09.27 GYPSUM BOARD JAMB RETURN; 2/A09.26</t>
  </si>
  <si>
    <t xml:space="preserve">3/8" gypsum board - Kevlar walls customer side above 8'-0"</t>
  </si>
  <si>
    <t xml:space="preserve">4/A12.01 PROVIDE 3/8" GYP. BD. FROM 8'-0" TO UNDERSIDE OF STRUCTURE</t>
  </si>
  <si>
    <t xml:space="preserve">3/8" UL752 Level-2 fiberglass ballistic panel (NIJ Type II) to 8'-0"</t>
  </si>
  <si>
    <t xml:space="preserve">4/A12.01 3/8" UL752 LISTED LEVEL-2 FIBERGLASS</t>
  </si>
  <si>
    <t xml:space="preserve">FRP panel - restrooms (5'-0" above cove base)</t>
  </si>
  <si>
    <t xml:space="preserve">3/A08.01 RESTROOM FRP/TILE DETAIL; A-D/A08.01 5'-0" TO TOP OF FRP (53.9.1)</t>
  </si>
  <si>
    <t xml:space="preserve">3/4" FRT plywood backboard - Electrical 120 / NER 121</t>
  </si>
  <si>
    <t xml:space="preserve">2,3,4/A11.03 ELECTRICAL ELEVATION; 5/A11.03 NER ELEVATION; key note 6 A02.01</t>
  </si>
  <si>
    <t xml:space="preserve">Stud blocking 362CR22 (metal) at edge of gypboard</t>
  </si>
  <si>
    <t xml:space="preserve">4/S5.20 TYPICAL BLOCKING DETAIL: PROVIDE BLOCKING AT THE EDGE OF GYPBOARD, STUD BLOCKING 362CR22 (54.3)</t>
  </si>
  <si>
    <t xml:space="preserve">FRT wood blocking (2x FRTW) - accessories, millwork, wall stops, artwork, jambs, misc</t>
  </si>
  <si>
    <t xml:space="preserve">toilet accessories Men 113 (TA-3 4.5, TA-4 4.0, TA-5 2.5, TA-10/16/17/13/14/8/7 2.0-3.0 ea)=26.0 (note E A08.01; 1/A08.01) | toilet accessories Women 114 (same + TA-9 2.0)=28.0 (note E A08.01; 1/A08.01) | Wellness 115 TA-2 + TA-19 (2 x 2.0)=4.0 (A08.01 toilet accessory legend) | Break Room 118 TA-2 (1 x 2.0)=2.0 (A08.01 legend) | wall stops 9 doors x 2.0 (groups 04A,08,10,11,11B,12,16)=18.0 (A00.30 note D) | artwork 6 x 4.0=24.0 (4/A11.01; 3,7,9,16/A11.04; 8/A11.03) | MW01 1 run x 2.63=2.63 (A12.03) | MW05 3 standards x 7.0=21.0 (2/A12.04) | MW06A 2 units x 3 standards x 7.0=42.0 (6/A12.04; 7/A12.04) | MW07 3 runs x 6.67=20.0 (2/A12.05) | MW08 1 run x 7.6=7.6 (10/A12.04) | MW11 1 run x 13.5=13.5 (6/A12.05) | MW12 3 runs x 9.3=27.9 (10/A12.05; 11/A12.05) | MW13 2 runs x 11.6=23.2 (2/A12.06) | MW21 1 run x 10.0=10.0 (6/A12.06) | office front jambs 12 x 8.04=96.48 (10/A12.01 3/4" FRT PLYWOOD BLOCKING) | CSR soffit FRTW for future 1 x 12.01=12.01 (10/A09.33) | CSR soffit 5/8" FRT plywood blocking 1 x 12.01=12.01 (9/A12.08) | roof ladder brackets 4 rows x 2.0=8.0 (A04.01 key note 9; 1/A09.30) | WAP mounting 1 x 2.0=2.0 (1/A09.33; 2/A09.33; A04.01 key note 3) | vestibule storefront wall terminations 2 x 10.0=20.0 (8/A12.10) | coiling grille 103 jambs 2 x 11.5=23.0 (3/A08.21 FRT WOOD BLOCKING (TYP)) | roof step top 2x FRT blocking 53.67=53.67 (4/A02.02 2X FRT BLOCKING)</t>
  </si>
  <si>
    <t xml:space="preserve">3/4" FRT plywood blocking at exterior opening perimeter (width PENDIENTE)</t>
  </si>
  <si>
    <t xml:space="preserve">11/A09.27; 10/A09.27; 3/A09.25; 4/A09.25 3/4" FRT PLYWOOD</t>
  </si>
  <si>
    <t xml:space="preserve">3-5/8" metal stud 362S137-33 - roof step, coiling grille, vestibule heads</t>
  </si>
  <si>
    <t xml:space="preserve">4/A02.02 SECTION DETAIL @ ROOF STEP (42 studs x 2.32 up + 42 x 2.32 down); 3/A08.21 jamb boxes (12 x 15.375); 4,5,6,7/A12.10 METAL STUD FRAMING &amp; BOX HEADER (25 x 5.375)</t>
  </si>
  <si>
    <t xml:space="preserve">3-5/8" bottom track 362T125-33 - roof step, coiling grille, vestibule heads</t>
  </si>
  <si>
    <t xml:space="preserve">4/A02.02; 3/A08.21; 4-7/A12.10</t>
  </si>
  <si>
    <t xml:space="preserve">3-5/8" top track 362T125-33 - roof step, coiling grille, vestibule heads</t>
  </si>
  <si>
    <t xml:space="preserve">4/A02.02 METAL SLIP CLIP; 3/A08.21; 4-7/A12.10 (54.2 own row)</t>
  </si>
  <si>
    <t xml:space="preserve">2-1/2" metal stud 250S125-33 - coiling grille head band and drive-up ATM sister studs</t>
  </si>
  <si>
    <t xml:space="preserve">4/A08.21 2 1/2" CFMF @ 16" O.C.; 6/A08.11 2 1/2" METAL STUD SISTERED TO 6" METAL STUD</t>
  </si>
  <si>
    <t xml:space="preserve">Header - 6" CFMF box beam at coiling grille 103 and vestibule storefront heads</t>
  </si>
  <si>
    <t xml:space="preserve">4/A08.21 6" CFMF BOX BEAM HEADER (x2); 4-7/A12.10 BOX HEADER AS NEEDED</t>
  </si>
  <si>
    <t xml:space="preserve">5/8" gypsum board, regular - roof step, coiling grille, vestibule heads</t>
  </si>
  <si>
    <t xml:space="preserve">4/A02.02 RUN GYP BD TIGHT TO DECK (2 faces); 4/A08.21; 3/A08.21; 4-7/A12.10</t>
  </si>
  <si>
    <t xml:space="preserve">5/8" FRT plywood bonded to 2-1/2" polyiso - roof step (low roof side)</t>
  </si>
  <si>
    <t xml:space="preserve">4/A02.02 ROOF MEMBRANE ON 5/8" FRT PLYWOOD BONDED TO POLYISO</t>
  </si>
  <si>
    <t xml:space="preserve">5/8" FRT plywood behind fiber cement panel at drive-up ATM surround</t>
  </si>
  <si>
    <t xml:space="preserve">6/A08.11 FIBER CEMENT PANEL ON FURRING ON 5/8" FRT PLYWOOD</t>
  </si>
  <si>
    <t xml:space="preserve">7/8" hat channel furring at drive-up ATM surround</t>
  </si>
  <si>
    <t xml:space="preserve">6/A08.11 FURRING (6 rows x 4.5)</t>
  </si>
  <si>
    <t xml:space="preserve">Gypsum board finish LEVEL 5 - WC-18 felt walls and WC-22 media wall (finishing area)</t>
  </si>
  <si>
    <t xml:space="preserve">A00.40 WC-18 WALL SURFACE TO BE LEVEL 5; A05.01 sheet notes 9-10 PROVIDE LEVEL 5 FINISH; 1,5,11,14/A11.04; 6/A11.01; 10/A11.03; 1/A11.01</t>
  </si>
  <si>
    <t xml:space="preserve">Access panel 2'x2' locking in GWB ceiling, Vestibule 100</t>
  </si>
  <si>
    <t xml:space="preserve">A04.01 key note 4 2' X 2' LOCKING ACCESS PANEL</t>
  </si>
  <si>
    <t xml:space="preserve">RFI</t>
  </si>
  <si>
    <t xml:space="preserve">Question / condition</t>
  </si>
  <si>
    <t xml:space="preserve">Delta of each alternative</t>
  </si>
  <si>
    <t xml:space="preserve">RFI-01</t>
  </si>
  <si>
    <t xml:space="preserve">Partition type B2K is tagged on A02.01 (office 108 SW corner) but has no row in the A12.01 schedule. Carried as B2 + Kevlar per 4/A12.01 (600S137-68 @24", 7 5/8" derived).</t>
  </si>
  <si>
    <t xml:space="preserve">If plain B2: -1.77 LF Kevlar panel/3/8" GWB; stud gauge 68 -&gt; 33 mil</t>
  </si>
  <si>
    <t xml:space="preserve">RFI-02</t>
  </si>
  <si>
    <t xml:space="preserve">3-5/8" and 1-5/8" slip track designation not scheduled (only 600T200-97 in 7/S5.20). Carried 362T200-97 / 162T200-33 by analogy.</t>
  </si>
  <si>
    <t xml:space="preserve">Standard 1-1/4" leg track instead: price delta on 154.08 + 299.6 LF</t>
  </si>
  <si>
    <t xml:space="preserve">RFI-03</t>
  </si>
  <si>
    <t xml:space="preserve">1-5/8" stud for G/G1 (5/A12.01) has no designation or gauge in 7/S5.20. Carried 162S125-33.</t>
  </si>
  <si>
    <t xml:space="preserve">Gauge change on 5,074 LF</t>
  </si>
  <si>
    <t xml:space="preserve">RFI-04</t>
  </si>
  <si>
    <t xml:space="preserve">G and G1 base sealant is drawn in 5/A12.01 but not labeled (54.4). Carried 2 runs.</t>
  </si>
  <si>
    <t xml:space="preserve">-209.60 LF acoustical sealant if not required (G 169.92 + G1 39.68 LF x 2 runs... per closures)</t>
  </si>
  <si>
    <t xml:space="preserve">RFI-05</t>
  </si>
  <si>
    <t xml:space="preserve">No suspension detail for GWB ceilings (only 3/A09.33 hanger wire for ACT). Carried ASTM C754: 1-1/2" CRC @48", 7/8" furring @16", 12 ga hangers @48"x48".</t>
  </si>
  <si>
    <t xml:space="preserve">Alternate drywall grid system instead of channels: furring/carrying LF -&gt; grid</t>
  </si>
  <si>
    <t xml:space="preserve">RFI-06</t>
  </si>
  <si>
    <t xml:space="preserve">C1 board height not dimensioned (6/A12.01 drawn to top). Carried to deck (53.3). Same for C1 chase faces in restrooms.</t>
  </si>
  <si>
    <t xml:space="preserve">To 6" above ceiling: about -540 SF</t>
  </si>
  <si>
    <t xml:space="preserve">RFI-07</t>
  </si>
  <si>
    <t xml:space="preserve">Storefront heads: 2/A09.26 shows STEEL HEADER FRAMING, 11/A09.27 METAL STUD BOX BEAM AS REQUIRED. Carried box beam LF (53.6).</t>
  </si>
  <si>
    <t xml:space="preserve">If steel by structural: -48.3 LF box beam at X08-X10</t>
  </si>
  <si>
    <t xml:space="preserve">RFI-08</t>
  </si>
  <si>
    <t xml:space="preserve">Width of 3/4" FRT plywood strip at exterior opening perimeter and GWB jamb return depth not dimensioned (11/A09.27, 10/A09.27, 3/A09.25).</t>
  </si>
  <si>
    <t xml:space="preserve">235.98 LF x width (6" = 118 SF; 12" = 236 SF)</t>
  </si>
  <si>
    <t xml:space="preserve">RFI-09</t>
  </si>
  <si>
    <t xml:space="preserve">R-11C luminaire: schedule says 12' LINEAR but catalog string reads -20'-0". Framed opening carried with 12'.</t>
  </si>
  <si>
    <t xml:space="preserve">+64 LF framed opening sides if 20'</t>
  </si>
  <si>
    <t xml:space="preserve">RFI-10</t>
  </si>
  <si>
    <t xml:space="preserve">Fixture framed opening end width (cutsheet) not printed for UU1-UU6 and R-11 (54.1).</t>
  </si>
  <si>
    <t xml:space="preserve">54 ends x width (2.5" UU = 11.3 LF)</t>
  </si>
  <si>
    <t xml:space="preserve">RFI-11</t>
  </si>
  <si>
    <t xml:space="preserve">Canopy soffit substrate: 4,5/A09.33 say 5/8" EXTERIOR SHEATHING; 3,7/A09.26 and 15/A09.27 say 5/8" EXT. GRADE FRT PLYWOOD. Carried FRT plywood.</t>
  </si>
  <si>
    <t xml:space="preserve">1,343 SF material swap (exterior gypsum vs FRT plywood)</t>
  </si>
  <si>
    <t xml:space="preserve">RFI-12</t>
  </si>
  <si>
    <t xml:space="preserve">Canopy framing support (kickers / hangers to structure) not detailed.</t>
  </si>
  <si>
    <t xml:space="preserve">Allowance not carried</t>
  </si>
  <si>
    <t xml:space="preserve">RFI-13</t>
  </si>
  <si>
    <t xml:space="preserve">Elevation titles on A09.01 are transposed: "SOUTH ELEVATION" shows the north (storefront) facade and A09.02 "NORTH ELEVATION" shows the south facade (grid order + content). Other trades read the same sheets.</t>
  </si>
  <si>
    <t xml:space="preserve">No quantity change (assigned by plan)</t>
  </si>
  <si>
    <t xml:space="preserve">RFI-14</t>
  </si>
  <si>
    <t xml:space="preserve">Drive-up ATM (X07) and walk-up ATM (F) carried with R.O. from 5,6/A08.11 (2'-2 1/8" x 2'-7 1/4") and 1,4/A08.11 (2'-3" x 2'-8 1/4"). ATM surround furring/plywood size taken as 4'-6" x 8'-0" from A08.11 elevation.</t>
  </si>
  <si>
    <t xml:space="preserve">surround size +/- 1 ft = +/- 8 SF FRT plywood</t>
  </si>
  <si>
    <t xml:space="preserve">RFI-15</t>
  </si>
  <si>
    <t xml:space="preserve">WC-20 wallcovering location (A05.01 note 9, LEVEL 5) not found on plan.</t>
  </si>
  <si>
    <t xml:space="preserve">+Level 5 SF of that wall</t>
  </si>
  <si>
    <t xml:space="preserve">RFI-16</t>
  </si>
  <si>
    <t xml:space="preserve">Mop sink FRP 4'-0" (finish plan) width not dimensioned; Break Room 118 sink has no MR/FRP note (v30).</t>
  </si>
  <si>
    <t xml:space="preserve">Mop sink 24": +16 SF FRP; Break sink MR alt ~25 SF</t>
  </si>
  <si>
    <t xml:space="preserve">RFI-17</t>
  </si>
  <si>
    <t xml:space="preserve">Batt insulation (A12.01 details) and spray foam (A09.26) treated as Div 07, excluded.</t>
  </si>
  <si>
    <t xml:space="preserve">Insulation SF = partition board SF / layers</t>
  </si>
  <si>
    <t xml:space="preserve">RFI-18</t>
  </si>
  <si>
    <t xml:space="preserve">Exterior FRT plywood bonded to polyiso (nailbase) carried in base scope as framing sheathing (52.1). Confirm trade.</t>
  </si>
  <si>
    <t xml:space="preserve">-3,956 SF if by envelope trade</t>
  </si>
  <si>
    <t xml:space="preserve">RFI-19</t>
  </si>
  <si>
    <t xml:space="preserve">Entrance tower (T.O. PARAPET 2) runs G to D on A09.01 west elevation; carried P01 north 17.69 LF + P08 west 29.93 LF at HP. Inner returns of the tower onto the low parapet roof not dimensioned.</t>
  </si>
  <si>
    <t xml:space="preserve">~2 x 4.3 ft studs per LF of return</t>
  </si>
  <si>
    <t xml:space="preserve">RFI-20</t>
  </si>
  <si>
    <t xml:space="preserve">Vestibule storefront heads 4-7/A12.10 say METAL STUD FRAMING &amp; BOX HEADER AS NEEDED; carried 22.67 LF band from 10'-0" to deck with box header. Coiling grille 103 per 2,3,4/A08.21 carried.</t>
  </si>
  <si>
    <t xml:space="preserve">If box header not needed: -25.3 LF box beam</t>
  </si>
  <si>
    <t xml:space="preserve">RFI-21</t>
  </si>
  <si>
    <t xml:space="preserve">Roof step at grid B (4/A02.02): step height not dimensioned; carried 2.32 ft (B.O.D. 15.375 - 13.052) above low roof and inside, 53.67 LF.</t>
  </si>
  <si>
    <t xml:space="preserve">each +6" = +27 SF FRT plywood, +54 SF GWB</t>
  </si>
  <si>
    <t xml:space="preserve">RFI-22</t>
  </si>
  <si>
    <t xml:space="preserve">Locker blocking (A02.01 key note 5, Hollman FLC1 on A06.01): locker width not dimensioned; not quantified.</t>
  </si>
  <si>
    <t xml:space="preserve">2 rows x locker width LF</t>
  </si>
  <si>
    <t xml:space="preserve">RFI-23</t>
  </si>
  <si>
    <t xml:space="preserve">85" monitor in-wall box and 3/4" FRT plywood blocking (9,13/A12.02): plywood size not dimensioned; carried 2 runs x 10 ft 2x blocking only.</t>
  </si>
  <si>
    <t xml:space="preserve">~4 x 6 ft = 24 SF 3/4" FRT plywood</t>
  </si>
  <si>
    <t xml:space="preserve">RFI-24</t>
  </si>
  <si>
    <t xml:space="preserve">Alcove returns W28/W29 drawn with one face only; carried as B2 returns 1.90 LF each (may be finish lines).</t>
  </si>
  <si>
    <t xml:space="preserve">-3.8 LF B2 if finish only</t>
  </si>
  <si>
    <t xml:space="preserve">#</t>
  </si>
  <si>
    <t xml:space="preserve">Punto</t>
  </si>
  <si>
    <t xml:space="preserve">Hoja + detalle</t>
  </si>
  <si>
    <t xml:space="preserve">Imagen</t>
  </si>
  <si>
    <t xml:space="preserve">Confirmar lista de 56 walls interiores (barrido A02.01: 52 tags, 4 sin tag en series etiquetadas)</t>
  </si>
  <si>
    <t xml:space="preserve">A02.01; 3/A12.01</t>
  </si>
  <si>
    <t xml:space="preserve">Planos marcados/R01_*.jpg</t>
  </si>
  <si>
    <t xml:space="preserve">B2K sin fila de schedule -&gt; derivado de 4/A12.01 (RFI-01)</t>
  </si>
  <si>
    <t xml:space="preserve">4/A12.01</t>
  </si>
  <si>
    <t xml:space="preserve">R02_kevlar.jpg</t>
  </si>
  <si>
    <t xml:space="preserve">G1 medido 8.48" vs 8" schedule; asignado por tag + serie</t>
  </si>
  <si>
    <t xml:space="preserve">5/A12.01</t>
  </si>
  <si>
    <t xml:space="preserve">R03_G1.jpg</t>
  </si>
  <si>
    <t xml:space="preserve">Puertas que mueren entre dos tipos: 111-&gt;#6, 118A-&gt;#7, 118B-&gt;#3, 122-&gt;#13, 116-&gt;#31, 119-&gt;#9, 102-&gt;#32</t>
  </si>
  <si>
    <t xml:space="preserve">A00.30; 10/A12.02</t>
  </si>
  <si>
    <t xml:space="preserve">R01_*.jpg</t>
  </si>
  <si>
    <t xml:space="preserve">B.O.D.: HI 15'-4 1/2" (F-B), LOW 13'-0 5/8" -&gt; 12'-6 3/8" (B-A): studs usan lado alto, sheathing promedio (54.5)</t>
  </si>
  <si>
    <t xml:space="preserve">S2.20; 9/S5.10</t>
  </si>
  <si>
    <t xml:space="preserve">s220_bod_low.png</t>
  </si>
  <si>
    <t xml:space="preserve">MEP: 16 penetraciones de ducto en 13 walls (registro M01.01 dx=-572 dy=+22, verificado con 4 walls); F diagonal sin penetracion</t>
  </si>
  <si>
    <t xml:space="preserve">M01.01; 6/S5.20</t>
  </si>
  <si>
    <t xml:space="preserve">—</t>
  </si>
  <si>
    <t xml:space="preserve">Elevaciones A09.01/A09.02 con rotulo N/S transpuesto (RFI-13)</t>
  </si>
  <si>
    <t xml:space="preserve">A09.01; A09.02</t>
  </si>
  <si>
    <t xml:space="preserve">elev-35.png</t>
  </si>
  <si>
    <t xml:space="preserve">Canopy: fascia 237 LF, soffit 1,343 SF medidos en vector del RCP; 4 columnas 5/A09.25</t>
  </si>
  <si>
    <t xml:space="preserve">3,7/A09.26; 15,16/A09.27; 5/A09.25</t>
  </si>
  <si>
    <t xml:space="preserve">Framed openings fixtures 54.1: UU1-UU6 = 686 LF (2 x largo E00.01 x tags E02.01); R-11A/C/CE 112 LF; ends PENDIENTE</t>
  </si>
  <si>
    <t xml:space="preserve">E00.01; E02.01</t>
  </si>
  <si>
    <t xml:space="preserve">e0201-82.png</t>
  </si>
  <si>
    <t xml:space="preserve">Ceiling suspension sin detalle (RFI-05)</t>
  </si>
  <si>
    <t xml:space="preserve">A04.01; 3/A09.33</t>
  </si>
  <si>
    <t xml:space="preserve">Plan ampliado de baños A08.01 viene girado 180 grados respecto de A02.01 (janitor arriba, inodoros a la derecha)</t>
  </si>
  <si>
    <t xml:space="preserve">1/A08.01</t>
  </si>
  <si>
    <t xml:space="preserve">a0801-32.png</t>
  </si>
  <si>
    <t xml:space="preserve">alcances.py etiqueta mal la hoja de cada pagina (pag 24 = A02.01 sale como A11.03; pag 29 = A04.01 sale como A9.22)</t>
  </si>
  <si>
    <t xml:space="preserve">herramienta</t>
  </si>
  <si>
    <t xml:space="preserve">ALC</t>
  </si>
  <si>
    <t xml:space="preserve">Alcance</t>
  </si>
  <si>
    <t xml:space="preserve">Estado</t>
  </si>
  <si>
    <t xml:space="preserve">Nota (cantidad, NO APLICA + hoja, o RFI)</t>
  </si>
  <si>
    <t xml:space="preserve">ALC-01</t>
  </si>
  <si>
    <t xml:space="preserve">CUANTIFICADO</t>
  </si>
  <si>
    <t xml:space="preserve">Material Summary 3-5/8", 6", 1-5/8" studs + tracks; 1,3,4,5,6,12/A12.01</t>
  </si>
  <si>
    <t xml:space="preserve">ALC-02</t>
  </si>
  <si>
    <t xml:space="preserve">6" metal stud 600S137-33 exterior walls X01-X10; C/A09.21; 3/A09.26</t>
  </si>
  <si>
    <t xml:space="preserve">ALC-03</t>
  </si>
  <si>
    <t xml:space="preserve">6" parapet stud 600S162-54 P01-P08; 11/S5.10</t>
  </si>
  <si>
    <t xml:space="preserve">ALC-04</t>
  </si>
  <si>
    <t xml:space="preserve">bottom / top deflection track rows by size; 6/S5.10; 7/S5.20</t>
  </si>
  <si>
    <t xml:space="preserve">ALC-05</t>
  </si>
  <si>
    <t xml:space="preserve">Header rows (interior 18 GA track, box beam) + sill track; 9/S5.20; 7/S5.20</t>
  </si>
  <si>
    <t xml:space="preserve">ALC-06</t>
  </si>
  <si>
    <t xml:space="preserve">Bracing 1-1/2" C.R. channel; F/S5.20</t>
  </si>
  <si>
    <t xml:space="preserve">ALC-07</t>
  </si>
  <si>
    <t xml:space="preserve">5/8" gypsum board regular - walls</t>
  </si>
  <si>
    <t xml:space="preserve">ALC-08</t>
  </si>
  <si>
    <t xml:space="preserve">5/8" MR board 445.07 SF; note F A08.01</t>
  </si>
  <si>
    <t xml:space="preserve">ALC-09</t>
  </si>
  <si>
    <t xml:space="preserve">glass mat + exterior gypsum sheathing (Dens Deck); 5/A09.26; 4/A09.26</t>
  </si>
  <si>
    <t xml:space="preserve">ALC-10</t>
  </si>
  <si>
    <t xml:space="preserve">FRT plywood rows (polyiso system, canopy, F wall, backboards)</t>
  </si>
  <si>
    <t xml:space="preserve">ALC-11</t>
  </si>
  <si>
    <t xml:space="preserve">5/8" GWB ceilings &amp; soffits 1,068 SF; A04.01 (scan sheet A9.22 = page 29 = A04.01)</t>
  </si>
  <si>
    <t xml:space="preserve">ALC-12</t>
  </si>
  <si>
    <t xml:space="preserve">furring channel, carrying channel, hanger wire, ceiling track rows; RFI-05</t>
  </si>
  <si>
    <t xml:space="preserve">ALC-13</t>
  </si>
  <si>
    <t xml:space="preserve">CSR soffit 10/A09.33, transitions 7/A09.33, office bulkheads 8,9/A12.01; soffit track rows</t>
  </si>
  <si>
    <t xml:space="preserve">ALC-14</t>
  </si>
  <si>
    <t xml:space="preserve">canopy fascia/soffit framing + FRT plywood; 3,7/A09.26; 15,16/A09.27</t>
  </si>
  <si>
    <t xml:space="preserve">ALC-15</t>
  </si>
  <si>
    <t xml:space="preserve">column wraps: canopy columns 5/A09.25 (FRT plywood + studs) and C1 column boxes W48-W51</t>
  </si>
  <si>
    <t xml:space="preserve">ALC-16</t>
  </si>
  <si>
    <t xml:space="preserve">FRT wood blocking + 362CR22 metal stud blocking (4/S5.20) + parapet plywood blocking 4/A09.26</t>
  </si>
  <si>
    <t xml:space="preserve">ALC-17</t>
  </si>
  <si>
    <t xml:space="preserve">MEP framed openings 106 LF (M01.01), fixture framed openings 798 LF, access panel 1 EA (A04.01 key note 4; scan sheet A9.22 = page 29)</t>
  </si>
  <si>
    <t xml:space="preserve">ALC-18</t>
  </si>
  <si>
    <t xml:space="preserve">corner bead, L-bead, casing bead, shadow molding, gypsum edge trim rows</t>
  </si>
  <si>
    <t xml:space="preserve">ALC-19</t>
  </si>
  <si>
    <t xml:space="preserve">acoustical sealant 1,122.5 LF run by run (54.4) + exterior base sealant</t>
  </si>
  <si>
    <t xml:space="preserve">ALC-20</t>
  </si>
  <si>
    <t xml:space="preserve">FRP 344.6 SF restrooms; 3/A08.01</t>
  </si>
  <si>
    <t xml:space="preserve">ALC-21</t>
  </si>
  <si>
    <t xml:space="preserve">NO APLICA</t>
  </si>
  <si>
    <t xml:space="preserve">NO APLICA: A12.01 partition schedule has no shaft wall / area separation type; set scan found no SHAFT WALL text in any sheet</t>
  </si>
  <si>
    <t xml:space="preserve">ALC-22</t>
  </si>
  <si>
    <t xml:space="preserve">NO APLICA: A12.01 schedule FIRE RATING / U.L. NUMBER = "--" for every type; scan hits are the FIRE RATED plywood backboard (A11.03 label = A02.01 key note 6, quantified as FRT plywood), A12.02 (A05.01) do-not-paint stamp, M00.01/E00.01/E02.02/E04.02 MEP penetration notes - no rated gypsum assembly</t>
  </si>
  <si>
    <t xml:space="preserve">ALC-23</t>
  </si>
  <si>
    <t xml:space="preserve">3/8" UL752 fiberglass ballistic panel 89.44 SF; 4/A12.01</t>
  </si>
  <si>
    <t xml:space="preserve">ALC-24</t>
  </si>
  <si>
    <t xml:space="preserve">Level 5 finish 822.8 SF (A08.11 label = A00.40 WC-18; A12.02 label = A05.01 notes 9-10); balance Level 4 assumed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</si>
</sst>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2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  <c r="B3" s="0" t="s">
        <v>3</v>
      </c>
      <c r="C3" s="0" t="s">
        <v>4</v>
      </c>
    </row>
    <row r="4" customFormat="false" ht="15" hidden="false" customHeight="false" outlineLevel="0" collapsed="false">
      <c r="A4" s="0" t="s">
        <v>5</v>
      </c>
      <c r="B4" s="2" t="n">
        <v>0.15</v>
      </c>
      <c r="C4" s="3" t="s">
        <v>6</v>
      </c>
    </row>
    <row r="5" customFormat="false" ht="15" hidden="false" customHeight="false" outlineLevel="0" collapsed="false">
      <c r="A5" s="0" t="s">
        <v>7</v>
      </c>
      <c r="B5" s="2" t="n">
        <v>0.06</v>
      </c>
      <c r="C5" s="3" t="s">
        <v>8</v>
      </c>
    </row>
    <row r="6" customFormat="false" ht="15" hidden="false" customHeight="false" outlineLevel="0" collapsed="false">
      <c r="A6" s="0" t="s">
        <v>9</v>
      </c>
      <c r="B6" s="2" t="n">
        <v>4</v>
      </c>
    </row>
    <row r="7" customFormat="false" ht="15" hidden="false" customHeight="false" outlineLevel="0" collapsed="false">
      <c r="A7" s="0" t="s">
        <v>10</v>
      </c>
      <c r="B7" s="2" t="n">
        <v>12</v>
      </c>
    </row>
    <row r="8" customFormat="false" ht="15" hidden="false" customHeight="false" outlineLevel="0" collapsed="false">
      <c r="A8" s="0" t="s">
        <v>11</v>
      </c>
      <c r="B8" s="2" t="n">
        <f aca="false">B6*B7</f>
        <v>48</v>
      </c>
      <c r="C8" s="3" t="s">
        <v>12</v>
      </c>
    </row>
    <row r="9" customFormat="false" ht="15" hidden="false" customHeight="false" outlineLevel="0" collapsed="false">
      <c r="A9" s="0" t="s">
        <v>13</v>
      </c>
      <c r="B9" s="2" t="n">
        <v>20</v>
      </c>
    </row>
    <row r="10" customFormat="false" ht="15" hidden="false" customHeight="false" outlineLevel="0" collapsed="false">
      <c r="A10" s="0" t="s">
        <v>14</v>
      </c>
      <c r="B10" s="2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10" min="9" style="0" width="60"/>
    <col collapsed="false" customWidth="true" hidden="false" outlineLevel="0" max="11" min="11" style="0" width="12"/>
  </cols>
  <sheetData>
    <row r="1" customFormat="false" ht="16.15" hidden="false" customHeight="false" outlineLevel="0" collapsed="false">
      <c r="A1" s="1" t="s">
        <v>15</v>
      </c>
    </row>
    <row r="2" customFormat="false" ht="15" hidden="false" customHeight="false" outlineLevel="0" collapsed="false">
      <c r="A2" s="0" t="s">
        <v>16</v>
      </c>
    </row>
    <row r="4" customFormat="false" ht="15" hidden="false" customHeight="false" outlineLevel="0" collapsed="false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  <c r="J4" s="4" t="s">
        <v>26</v>
      </c>
      <c r="K4" s="4" t="s">
        <v>27</v>
      </c>
    </row>
    <row r="5" customFormat="false" ht="15" hidden="false" customHeight="false" outlineLevel="0" collapsed="false">
      <c r="A5" s="5" t="s">
        <v>28</v>
      </c>
    </row>
    <row r="6" customFormat="false" ht="15" hidden="false" customHeight="false" outlineLevel="0" collapsed="false">
      <c r="A6" s="0" t="s">
        <v>29</v>
      </c>
      <c r="B6" s="0" t="s">
        <v>30</v>
      </c>
      <c r="C6" s="0" t="n">
        <v>20.39</v>
      </c>
      <c r="D6" s="0" t="n">
        <v>13.052</v>
      </c>
      <c r="E6" s="0" t="n">
        <v>3</v>
      </c>
      <c r="F6" s="0" t="s">
        <v>31</v>
      </c>
      <c r="G6" s="0" t="n">
        <v>16</v>
      </c>
      <c r="H6" s="0" t="n">
        <v>423.5</v>
      </c>
      <c r="I6" s="0" t="s">
        <v>32</v>
      </c>
      <c r="J6" s="0" t="s">
        <v>33</v>
      </c>
      <c r="K6" s="0" t="s">
        <v>34</v>
      </c>
    </row>
    <row r="7" customFormat="false" ht="15" hidden="false" customHeight="false" outlineLevel="0" collapsed="false">
      <c r="A7" s="0" t="s">
        <v>35</v>
      </c>
      <c r="B7" s="0" t="s">
        <v>36</v>
      </c>
      <c r="C7" s="0" t="n">
        <v>17.02</v>
      </c>
      <c r="D7" s="0" t="n">
        <v>15.375</v>
      </c>
      <c r="E7" s="0" t="n">
        <v>3</v>
      </c>
      <c r="F7" s="0" t="s">
        <v>31</v>
      </c>
      <c r="G7" s="0" t="n">
        <v>16</v>
      </c>
      <c r="H7" s="0" t="n">
        <v>365.68</v>
      </c>
      <c r="I7" s="0" t="s">
        <v>37</v>
      </c>
      <c r="J7" s="0" t="s">
        <v>33</v>
      </c>
      <c r="K7" s="0" t="s">
        <v>34</v>
      </c>
    </row>
    <row r="8" customFormat="false" ht="15" hidden="false" customHeight="false" outlineLevel="0" collapsed="false">
      <c r="A8" s="0" t="s">
        <v>38</v>
      </c>
      <c r="B8" s="0" t="s">
        <v>39</v>
      </c>
      <c r="C8" s="0" t="n">
        <v>15.62</v>
      </c>
      <c r="D8" s="0" t="n">
        <v>13.052</v>
      </c>
      <c r="E8" s="0" t="n">
        <v>2</v>
      </c>
      <c r="F8" s="0" t="s">
        <v>31</v>
      </c>
      <c r="G8" s="0" t="n">
        <v>16</v>
      </c>
      <c r="H8" s="0" t="n">
        <v>281.16</v>
      </c>
      <c r="I8" s="0" t="s">
        <v>40</v>
      </c>
      <c r="J8" s="0" t="s">
        <v>33</v>
      </c>
      <c r="K8" s="0" t="s">
        <v>34</v>
      </c>
    </row>
    <row r="9" customFormat="false" ht="15" hidden="false" customHeight="false" outlineLevel="0" collapsed="false">
      <c r="A9" s="0" t="s">
        <v>41</v>
      </c>
      <c r="B9" s="0" t="s">
        <v>42</v>
      </c>
      <c r="C9" s="0" t="n">
        <v>11.5</v>
      </c>
      <c r="D9" s="0" t="n">
        <v>13.052</v>
      </c>
      <c r="E9" s="0" t="n">
        <v>2</v>
      </c>
      <c r="F9" s="0" t="s">
        <v>31</v>
      </c>
      <c r="G9" s="0" t="n">
        <v>16</v>
      </c>
      <c r="H9" s="0" t="n">
        <v>164.95</v>
      </c>
      <c r="I9" s="0" t="s">
        <v>43</v>
      </c>
      <c r="J9" s="0" t="s">
        <v>33</v>
      </c>
      <c r="K9" s="0" t="s">
        <v>34</v>
      </c>
    </row>
    <row r="10" customFormat="false" ht="15" hidden="false" customHeight="false" outlineLevel="0" collapsed="false">
      <c r="A10" s="0" t="s">
        <v>44</v>
      </c>
      <c r="B10" s="0" t="s">
        <v>45</v>
      </c>
      <c r="C10" s="0" t="n">
        <v>4.81</v>
      </c>
      <c r="D10" s="0" t="n">
        <v>15.375</v>
      </c>
      <c r="E10" s="0" t="n">
        <v>2</v>
      </c>
      <c r="F10" s="0" t="s">
        <v>31</v>
      </c>
      <c r="G10" s="0" t="n">
        <v>16</v>
      </c>
      <c r="H10" s="0" t="n">
        <v>46.55</v>
      </c>
      <c r="I10" s="0" t="s">
        <v>46</v>
      </c>
      <c r="J10" s="0" t="s">
        <v>33</v>
      </c>
      <c r="K10" s="0" t="s">
        <v>34</v>
      </c>
    </row>
    <row r="11" customFormat="false" ht="15" hidden="false" customHeight="false" outlineLevel="0" collapsed="false">
      <c r="A11" s="0" t="s">
        <v>47</v>
      </c>
      <c r="B11" s="0" t="s">
        <v>48</v>
      </c>
      <c r="C11" s="0" t="n">
        <v>4.63</v>
      </c>
      <c r="D11" s="0" t="n">
        <v>13.052</v>
      </c>
      <c r="E11" s="0" t="n">
        <v>2</v>
      </c>
      <c r="F11" s="0" t="s">
        <v>31</v>
      </c>
      <c r="G11" s="0" t="n">
        <v>16</v>
      </c>
      <c r="H11" s="0" t="n">
        <v>31.19</v>
      </c>
      <c r="I11" s="0" t="s">
        <v>49</v>
      </c>
      <c r="J11" s="0" t="s">
        <v>33</v>
      </c>
      <c r="K11" s="0" t="s">
        <v>34</v>
      </c>
    </row>
    <row r="12" customFormat="false" ht="15" hidden="false" customHeight="false" outlineLevel="0" collapsed="false">
      <c r="A12" s="0" t="s">
        <v>50</v>
      </c>
      <c r="B12" s="0" t="s">
        <v>51</v>
      </c>
      <c r="C12" s="0" t="n">
        <v>4.07</v>
      </c>
      <c r="D12" s="0" t="n">
        <v>13.052</v>
      </c>
      <c r="E12" s="0" t="n">
        <v>1</v>
      </c>
      <c r="F12" s="0" t="s">
        <v>31</v>
      </c>
      <c r="G12" s="0" t="n">
        <v>16</v>
      </c>
      <c r="H12" s="0" t="n">
        <v>36.63</v>
      </c>
      <c r="I12" s="0" t="s">
        <v>52</v>
      </c>
      <c r="J12" s="0" t="s">
        <v>33</v>
      </c>
      <c r="K12" s="0" t="s">
        <v>34</v>
      </c>
    </row>
    <row r="13" customFormat="false" ht="15" hidden="false" customHeight="false" outlineLevel="0" collapsed="false">
      <c r="A13" s="0" t="s">
        <v>53</v>
      </c>
      <c r="B13" s="0" t="s">
        <v>54</v>
      </c>
      <c r="C13" s="0" t="n">
        <v>3.53</v>
      </c>
      <c r="D13" s="0" t="n">
        <v>15.375</v>
      </c>
      <c r="E13" s="0" t="n">
        <v>2</v>
      </c>
      <c r="F13" s="0" t="s">
        <v>31</v>
      </c>
      <c r="G13" s="0" t="n">
        <v>16</v>
      </c>
      <c r="H13" s="0" t="n">
        <v>86.04</v>
      </c>
      <c r="I13" s="0" t="s">
        <v>55</v>
      </c>
      <c r="J13" s="0" t="s">
        <v>33</v>
      </c>
      <c r="K13" s="0" t="s">
        <v>34</v>
      </c>
    </row>
    <row r="14" customFormat="false" ht="15" hidden="false" customHeight="false" outlineLevel="0" collapsed="false">
      <c r="A14" s="0" t="s">
        <v>56</v>
      </c>
      <c r="B14" s="0" t="s">
        <v>57</v>
      </c>
      <c r="C14" s="0" t="n">
        <v>2.97</v>
      </c>
      <c r="D14" s="0" t="n">
        <v>15.375</v>
      </c>
      <c r="E14" s="0" t="n">
        <v>2</v>
      </c>
      <c r="F14" s="0" t="s">
        <v>31</v>
      </c>
      <c r="G14" s="0" t="n">
        <v>16</v>
      </c>
      <c r="H14" s="0" t="n">
        <v>72.39</v>
      </c>
      <c r="I14" s="0" t="s">
        <v>58</v>
      </c>
      <c r="J14" s="0" t="s">
        <v>33</v>
      </c>
      <c r="K14" s="0" t="s">
        <v>34</v>
      </c>
    </row>
    <row r="15" customFormat="false" ht="15" hidden="false" customHeight="false" outlineLevel="0" collapsed="false">
      <c r="A15" s="0" t="s">
        <v>59</v>
      </c>
      <c r="B15" s="0" t="s">
        <v>60</v>
      </c>
      <c r="C15" s="0" t="n">
        <v>2.14</v>
      </c>
      <c r="D15" s="0" t="n">
        <v>13.052</v>
      </c>
      <c r="E15" s="0" t="n">
        <v>2</v>
      </c>
      <c r="F15" s="0" t="s">
        <v>31</v>
      </c>
      <c r="G15" s="0" t="n">
        <v>16</v>
      </c>
      <c r="H15" s="0" t="n">
        <v>39.59</v>
      </c>
      <c r="I15" s="0" t="s">
        <v>61</v>
      </c>
      <c r="J15" s="0" t="s">
        <v>33</v>
      </c>
      <c r="K15" s="0" t="s">
        <v>34</v>
      </c>
    </row>
    <row r="16" customFormat="false" ht="15" hidden="false" customHeight="false" outlineLevel="0" collapsed="false">
      <c r="A16" s="0" t="s">
        <v>62</v>
      </c>
      <c r="B16" s="0" t="s">
        <v>63</v>
      </c>
      <c r="C16" s="0" t="n">
        <v>0.78</v>
      </c>
      <c r="D16" s="0" t="n">
        <v>15.375</v>
      </c>
      <c r="E16" s="0" t="n">
        <v>2</v>
      </c>
      <c r="F16" s="0" t="s">
        <v>31</v>
      </c>
      <c r="G16" s="0" t="n">
        <v>16</v>
      </c>
      <c r="H16" s="0" t="n">
        <v>16.38</v>
      </c>
      <c r="I16" s="0" t="s">
        <v>64</v>
      </c>
      <c r="J16" s="0" t="s">
        <v>33</v>
      </c>
      <c r="K16" s="0" t="s">
        <v>34</v>
      </c>
    </row>
    <row r="17" customFormat="false" ht="15" hidden="false" customHeight="false" outlineLevel="0" collapsed="false">
      <c r="A17" s="5" t="s">
        <v>65</v>
      </c>
    </row>
    <row r="18" customFormat="false" ht="15" hidden="false" customHeight="false" outlineLevel="0" collapsed="false">
      <c r="A18" s="0" t="s">
        <v>66</v>
      </c>
      <c r="B18" s="0" t="s">
        <v>67</v>
      </c>
      <c r="C18" s="0" t="n">
        <v>19.76</v>
      </c>
      <c r="D18" s="0" t="n">
        <v>15.375</v>
      </c>
      <c r="E18" s="0" t="n">
        <v>3</v>
      </c>
      <c r="F18" s="0" t="s">
        <v>68</v>
      </c>
      <c r="G18" s="0" t="n">
        <v>16</v>
      </c>
      <c r="H18" s="0" t="n">
        <v>385.34</v>
      </c>
      <c r="I18" s="0" t="s">
        <v>69</v>
      </c>
      <c r="J18" s="0" t="s">
        <v>70</v>
      </c>
      <c r="K18" s="0" t="s">
        <v>34</v>
      </c>
    </row>
    <row r="19" customFormat="false" ht="15" hidden="false" customHeight="false" outlineLevel="0" collapsed="false">
      <c r="A19" s="0" t="s">
        <v>71</v>
      </c>
      <c r="B19" s="0" t="s">
        <v>72</v>
      </c>
      <c r="C19" s="0" t="n">
        <v>11</v>
      </c>
      <c r="D19" s="0" t="n">
        <v>15.375</v>
      </c>
      <c r="E19" s="0" t="n">
        <v>2</v>
      </c>
      <c r="F19" s="0" t="s">
        <v>68</v>
      </c>
      <c r="G19" s="0" t="n">
        <v>16</v>
      </c>
      <c r="H19" s="0" t="n">
        <v>231</v>
      </c>
      <c r="I19" s="0" t="s">
        <v>73</v>
      </c>
      <c r="J19" s="0" t="s">
        <v>70</v>
      </c>
      <c r="K19" s="0" t="s">
        <v>34</v>
      </c>
    </row>
    <row r="20" customFormat="false" ht="15" hidden="false" customHeight="false" outlineLevel="0" collapsed="false">
      <c r="A20" s="0" t="s">
        <v>74</v>
      </c>
      <c r="B20" s="0" t="s">
        <v>75</v>
      </c>
      <c r="C20" s="0" t="n">
        <v>4.3</v>
      </c>
      <c r="D20" s="0" t="n">
        <v>13.052</v>
      </c>
      <c r="E20" s="0" t="n">
        <v>2</v>
      </c>
      <c r="F20" s="0" t="s">
        <v>68</v>
      </c>
      <c r="G20" s="0" t="n">
        <v>16</v>
      </c>
      <c r="H20" s="0" t="n">
        <v>29.6</v>
      </c>
      <c r="I20" s="0" t="s">
        <v>76</v>
      </c>
      <c r="J20" s="0" t="s">
        <v>70</v>
      </c>
      <c r="K20" s="0" t="s">
        <v>34</v>
      </c>
    </row>
    <row r="21" customFormat="false" ht="15" hidden="false" customHeight="false" outlineLevel="0" collapsed="false">
      <c r="A21" s="0" t="s">
        <v>77</v>
      </c>
      <c r="B21" s="0" t="s">
        <v>78</v>
      </c>
      <c r="C21" s="0" t="n">
        <v>3.71</v>
      </c>
      <c r="D21" s="0" t="n">
        <v>13.052</v>
      </c>
      <c r="E21" s="0" t="n">
        <v>2</v>
      </c>
      <c r="F21" s="0" t="s">
        <v>68</v>
      </c>
      <c r="G21" s="0" t="n">
        <v>16</v>
      </c>
      <c r="H21" s="0" t="n">
        <v>68.64</v>
      </c>
      <c r="I21" s="0" t="s">
        <v>79</v>
      </c>
      <c r="J21" s="0" t="s">
        <v>70</v>
      </c>
      <c r="K21" s="0" t="s">
        <v>34</v>
      </c>
    </row>
    <row r="22" customFormat="false" ht="15" hidden="false" customHeight="false" outlineLevel="0" collapsed="false">
      <c r="A22" s="0" t="s">
        <v>80</v>
      </c>
      <c r="B22" s="0" t="s">
        <v>81</v>
      </c>
      <c r="C22" s="0" t="n">
        <v>0.7</v>
      </c>
      <c r="D22" s="0" t="n">
        <v>13.052</v>
      </c>
      <c r="E22" s="0" t="n">
        <v>2</v>
      </c>
      <c r="F22" s="0" t="s">
        <v>68</v>
      </c>
      <c r="G22" s="0" t="n">
        <v>16</v>
      </c>
      <c r="H22" s="0" t="n">
        <v>12.6</v>
      </c>
      <c r="I22" s="0" t="s">
        <v>82</v>
      </c>
      <c r="J22" s="0" t="s">
        <v>70</v>
      </c>
      <c r="K22" s="0" t="s">
        <v>34</v>
      </c>
    </row>
    <row r="23" customFormat="false" ht="15" hidden="false" customHeight="false" outlineLevel="0" collapsed="false">
      <c r="A23" s="5" t="s">
        <v>83</v>
      </c>
    </row>
    <row r="24" customFormat="false" ht="15" hidden="false" customHeight="false" outlineLevel="0" collapsed="false">
      <c r="A24" s="0" t="s">
        <v>84</v>
      </c>
      <c r="B24" s="0" t="s">
        <v>85</v>
      </c>
      <c r="C24" s="0" t="n">
        <v>3.37</v>
      </c>
      <c r="D24" s="0" t="n">
        <v>15.375</v>
      </c>
      <c r="E24" s="0" t="n">
        <v>2</v>
      </c>
      <c r="F24" s="0" t="s">
        <v>31</v>
      </c>
      <c r="G24" s="0" t="n">
        <v>24</v>
      </c>
      <c r="H24" s="0" t="n">
        <v>103.62</v>
      </c>
      <c r="I24" s="0" t="s">
        <v>86</v>
      </c>
      <c r="J24" s="0" t="s">
        <v>87</v>
      </c>
      <c r="K24" s="0" t="s">
        <v>34</v>
      </c>
    </row>
    <row r="25" customFormat="false" ht="15" hidden="false" customHeight="false" outlineLevel="0" collapsed="false">
      <c r="A25" s="0" t="s">
        <v>88</v>
      </c>
      <c r="B25" s="0" t="s">
        <v>89</v>
      </c>
      <c r="C25" s="0" t="n">
        <v>3.37</v>
      </c>
      <c r="D25" s="0" t="n">
        <v>13.052</v>
      </c>
      <c r="E25" s="0" t="n">
        <v>2</v>
      </c>
      <c r="F25" s="0" t="s">
        <v>31</v>
      </c>
      <c r="G25" s="0" t="n">
        <v>24</v>
      </c>
      <c r="H25" s="0" t="n">
        <v>87.98</v>
      </c>
      <c r="I25" s="0" t="s">
        <v>90</v>
      </c>
      <c r="J25" s="0" t="s">
        <v>87</v>
      </c>
      <c r="K25" s="0" t="s">
        <v>34</v>
      </c>
    </row>
    <row r="26" customFormat="false" ht="15" hidden="false" customHeight="false" outlineLevel="0" collapsed="false">
      <c r="A26" s="0" t="s">
        <v>91</v>
      </c>
      <c r="B26" s="0" t="s">
        <v>92</v>
      </c>
      <c r="C26" s="0" t="n">
        <v>2.67</v>
      </c>
      <c r="D26" s="0" t="n">
        <v>13.052</v>
      </c>
      <c r="E26" s="0" t="n">
        <v>2</v>
      </c>
      <c r="F26" s="0" t="s">
        <v>31</v>
      </c>
      <c r="G26" s="0" t="n">
        <v>24</v>
      </c>
      <c r="H26" s="0" t="n">
        <v>69.7</v>
      </c>
      <c r="I26" s="0" t="s">
        <v>93</v>
      </c>
      <c r="J26" s="0" t="s">
        <v>87</v>
      </c>
      <c r="K26" s="0" t="s">
        <v>34</v>
      </c>
    </row>
    <row r="27" customFormat="false" ht="15" hidden="false" customHeight="false" outlineLevel="0" collapsed="false">
      <c r="A27" s="5" t="s">
        <v>94</v>
      </c>
    </row>
    <row r="28" customFormat="false" ht="15" hidden="false" customHeight="false" outlineLevel="0" collapsed="false">
      <c r="A28" s="0" t="s">
        <v>95</v>
      </c>
      <c r="B28" s="0" t="s">
        <v>96</v>
      </c>
      <c r="C28" s="0" t="n">
        <v>14.15</v>
      </c>
      <c r="D28" s="0" t="n">
        <v>13.052</v>
      </c>
      <c r="E28" s="0" t="n">
        <v>2</v>
      </c>
      <c r="F28" s="0" t="s">
        <v>31</v>
      </c>
      <c r="G28" s="0" t="n">
        <v>16</v>
      </c>
      <c r="H28" s="0" t="n">
        <v>273.78</v>
      </c>
      <c r="I28" s="0" t="s">
        <v>97</v>
      </c>
      <c r="J28" s="0" t="s">
        <v>98</v>
      </c>
      <c r="K28" s="0" t="s">
        <v>34</v>
      </c>
    </row>
    <row r="29" customFormat="false" ht="15" hidden="false" customHeight="false" outlineLevel="0" collapsed="false">
      <c r="A29" s="0" t="s">
        <v>99</v>
      </c>
      <c r="B29" s="0" t="s">
        <v>100</v>
      </c>
      <c r="C29" s="0" t="n">
        <v>11.73</v>
      </c>
      <c r="D29" s="0" t="n">
        <v>13.052</v>
      </c>
      <c r="E29" s="0" t="n">
        <v>2</v>
      </c>
      <c r="F29" s="0" t="s">
        <v>31</v>
      </c>
      <c r="G29" s="0" t="n">
        <v>16</v>
      </c>
      <c r="H29" s="0" t="n">
        <v>258.4</v>
      </c>
      <c r="I29" s="0" t="s">
        <v>101</v>
      </c>
      <c r="J29" s="0" t="s">
        <v>98</v>
      </c>
      <c r="K29" s="0" t="s">
        <v>34</v>
      </c>
    </row>
    <row r="30" customFormat="false" ht="15" hidden="false" customHeight="false" outlineLevel="0" collapsed="false">
      <c r="A30" s="0" t="s">
        <v>102</v>
      </c>
      <c r="B30" s="0" t="s">
        <v>103</v>
      </c>
      <c r="C30" s="0" t="n">
        <v>11.73</v>
      </c>
      <c r="D30" s="0" t="n">
        <v>13.052</v>
      </c>
      <c r="E30" s="0" t="n">
        <v>2</v>
      </c>
      <c r="F30" s="0" t="s">
        <v>31</v>
      </c>
      <c r="G30" s="0" t="n">
        <v>16</v>
      </c>
      <c r="H30" s="0" t="n">
        <v>306.2</v>
      </c>
      <c r="I30" s="0" t="s">
        <v>104</v>
      </c>
      <c r="J30" s="0" t="s">
        <v>98</v>
      </c>
      <c r="K30" s="0" t="s">
        <v>34</v>
      </c>
    </row>
    <row r="31" customFormat="false" ht="15" hidden="false" customHeight="false" outlineLevel="0" collapsed="false">
      <c r="A31" s="0" t="s">
        <v>105</v>
      </c>
      <c r="B31" s="0" t="s">
        <v>106</v>
      </c>
      <c r="C31" s="0" t="n">
        <v>9.99</v>
      </c>
      <c r="D31" s="0" t="n">
        <v>13.052</v>
      </c>
      <c r="E31" s="0" t="n">
        <v>2</v>
      </c>
      <c r="F31" s="0" t="s">
        <v>31</v>
      </c>
      <c r="G31" s="0" t="n">
        <v>16</v>
      </c>
      <c r="H31" s="0" t="n">
        <v>260.78</v>
      </c>
      <c r="I31" s="0" t="s">
        <v>107</v>
      </c>
      <c r="J31" s="0" t="s">
        <v>98</v>
      </c>
      <c r="K31" s="0" t="s">
        <v>34</v>
      </c>
    </row>
    <row r="32" customFormat="false" ht="15" hidden="false" customHeight="false" outlineLevel="0" collapsed="false">
      <c r="A32" s="0" t="s">
        <v>108</v>
      </c>
      <c r="B32" s="0" t="s">
        <v>109</v>
      </c>
      <c r="C32" s="0" t="n">
        <v>9.99</v>
      </c>
      <c r="D32" s="0" t="n">
        <v>13.052</v>
      </c>
      <c r="E32" s="0" t="n">
        <v>2</v>
      </c>
      <c r="F32" s="0" t="s">
        <v>31</v>
      </c>
      <c r="G32" s="0" t="n">
        <v>16</v>
      </c>
      <c r="H32" s="0" t="n">
        <v>260.78</v>
      </c>
      <c r="I32" s="0" t="s">
        <v>110</v>
      </c>
      <c r="J32" s="0" t="s">
        <v>98</v>
      </c>
      <c r="K32" s="0" t="s">
        <v>34</v>
      </c>
    </row>
    <row r="33" customFormat="false" ht="15" hidden="false" customHeight="false" outlineLevel="0" collapsed="false">
      <c r="A33" s="0" t="s">
        <v>111</v>
      </c>
      <c r="B33" s="0" t="s">
        <v>112</v>
      </c>
      <c r="C33" s="0" t="n">
        <v>3.5</v>
      </c>
      <c r="D33" s="0" t="n">
        <v>13.052</v>
      </c>
      <c r="E33" s="0" t="n">
        <v>2</v>
      </c>
      <c r="F33" s="0" t="s">
        <v>31</v>
      </c>
      <c r="G33" s="0" t="n">
        <v>16</v>
      </c>
      <c r="H33" s="0" t="n">
        <v>91.36</v>
      </c>
      <c r="I33" s="0" t="s">
        <v>113</v>
      </c>
      <c r="J33" s="0" t="s">
        <v>98</v>
      </c>
      <c r="K33" s="0" t="s">
        <v>34</v>
      </c>
    </row>
    <row r="34" customFormat="false" ht="15" hidden="false" customHeight="false" outlineLevel="0" collapsed="false">
      <c r="A34" s="5" t="s">
        <v>114</v>
      </c>
    </row>
    <row r="35" customFormat="false" ht="15" hidden="false" customHeight="false" outlineLevel="0" collapsed="false">
      <c r="A35" s="0" t="s">
        <v>115</v>
      </c>
      <c r="B35" s="0" t="s">
        <v>116</v>
      </c>
      <c r="C35" s="0" t="n">
        <v>15.79</v>
      </c>
      <c r="D35" s="0" t="n">
        <v>13.052</v>
      </c>
      <c r="E35" s="0" t="n">
        <v>2</v>
      </c>
      <c r="F35" s="0" t="s">
        <v>68</v>
      </c>
      <c r="G35" s="0" t="n">
        <v>16</v>
      </c>
      <c r="H35" s="0" t="n">
        <v>268.8</v>
      </c>
      <c r="I35" s="0" t="s">
        <v>117</v>
      </c>
      <c r="J35" s="0" t="s">
        <v>98</v>
      </c>
      <c r="K35" s="0" t="s">
        <v>34</v>
      </c>
    </row>
    <row r="36" customFormat="false" ht="15" hidden="false" customHeight="false" outlineLevel="0" collapsed="false">
      <c r="A36" s="0" t="s">
        <v>118</v>
      </c>
      <c r="B36" s="0" t="s">
        <v>119</v>
      </c>
      <c r="C36" s="0" t="n">
        <v>15.07</v>
      </c>
      <c r="D36" s="0" t="n">
        <v>13.052</v>
      </c>
      <c r="E36" s="0" t="n">
        <v>2</v>
      </c>
      <c r="F36" s="0" t="s">
        <v>68</v>
      </c>
      <c r="G36" s="0" t="n">
        <v>16</v>
      </c>
      <c r="H36" s="0" t="n">
        <v>345.6</v>
      </c>
      <c r="I36" s="0" t="s">
        <v>120</v>
      </c>
      <c r="J36" s="0" t="s">
        <v>98</v>
      </c>
      <c r="K36" s="0" t="s">
        <v>34</v>
      </c>
    </row>
    <row r="37" customFormat="false" ht="15" hidden="false" customHeight="false" outlineLevel="0" collapsed="false">
      <c r="A37" s="0" t="s">
        <v>121</v>
      </c>
      <c r="B37" s="0" t="s">
        <v>122</v>
      </c>
      <c r="C37" s="0" t="n">
        <v>5.66</v>
      </c>
      <c r="D37" s="0" t="n">
        <v>15.375</v>
      </c>
      <c r="E37" s="0" t="n">
        <v>2</v>
      </c>
      <c r="F37" s="0" t="s">
        <v>68</v>
      </c>
      <c r="G37" s="0" t="n">
        <v>16</v>
      </c>
      <c r="H37" s="0" t="n">
        <v>111.42</v>
      </c>
      <c r="I37" s="0" t="s">
        <v>123</v>
      </c>
      <c r="J37" s="0" t="s">
        <v>98</v>
      </c>
      <c r="K37" s="0" t="s">
        <v>34</v>
      </c>
    </row>
    <row r="38" customFormat="false" ht="15" hidden="false" customHeight="false" outlineLevel="0" collapsed="false">
      <c r="A38" s="0" t="s">
        <v>124</v>
      </c>
      <c r="B38" s="0" t="s">
        <v>125</v>
      </c>
      <c r="C38" s="0" t="n">
        <v>5.53</v>
      </c>
      <c r="D38" s="0" t="n">
        <v>13.052</v>
      </c>
      <c r="E38" s="0" t="n">
        <v>2</v>
      </c>
      <c r="F38" s="0" t="s">
        <v>68</v>
      </c>
      <c r="G38" s="0" t="n">
        <v>16</v>
      </c>
      <c r="H38" s="0" t="n">
        <v>96.56</v>
      </c>
      <c r="I38" s="0" t="s">
        <v>126</v>
      </c>
      <c r="J38" s="0" t="s">
        <v>98</v>
      </c>
      <c r="K38" s="0" t="s">
        <v>34</v>
      </c>
    </row>
    <row r="39" customFormat="false" ht="15" hidden="false" customHeight="false" outlineLevel="0" collapsed="false">
      <c r="A39" s="0" t="s">
        <v>127</v>
      </c>
      <c r="B39" s="0" t="s">
        <v>128</v>
      </c>
      <c r="C39" s="0" t="n">
        <v>1.9</v>
      </c>
      <c r="D39" s="0" t="n">
        <v>13.052</v>
      </c>
      <c r="E39" s="0" t="n">
        <v>2</v>
      </c>
      <c r="F39" s="0" t="s">
        <v>68</v>
      </c>
      <c r="G39" s="0" t="n">
        <v>16</v>
      </c>
      <c r="H39" s="0" t="n">
        <v>49.6</v>
      </c>
      <c r="I39" s="0" t="s">
        <v>129</v>
      </c>
      <c r="J39" s="0" t="s">
        <v>98</v>
      </c>
      <c r="K39" s="0" t="s">
        <v>34</v>
      </c>
    </row>
    <row r="40" customFormat="false" ht="15" hidden="false" customHeight="false" outlineLevel="0" collapsed="false">
      <c r="A40" s="0" t="s">
        <v>130</v>
      </c>
      <c r="B40" s="0" t="s">
        <v>131</v>
      </c>
      <c r="C40" s="0" t="n">
        <v>1.9</v>
      </c>
      <c r="D40" s="0" t="n">
        <v>13.052</v>
      </c>
      <c r="E40" s="0" t="n">
        <v>2</v>
      </c>
      <c r="F40" s="0" t="s">
        <v>68</v>
      </c>
      <c r="G40" s="0" t="n">
        <v>16</v>
      </c>
      <c r="H40" s="0" t="n">
        <v>49.6</v>
      </c>
      <c r="I40" s="0" t="s">
        <v>132</v>
      </c>
      <c r="J40" s="0" t="s">
        <v>98</v>
      </c>
      <c r="K40" s="0" t="s">
        <v>34</v>
      </c>
    </row>
    <row r="41" customFormat="false" ht="15" hidden="false" customHeight="false" outlineLevel="0" collapsed="false">
      <c r="A41" s="5" t="s">
        <v>133</v>
      </c>
    </row>
    <row r="42" customFormat="false" ht="15" hidden="false" customHeight="false" outlineLevel="0" collapsed="false">
      <c r="A42" s="0" t="s">
        <v>134</v>
      </c>
      <c r="B42" s="0" t="s">
        <v>135</v>
      </c>
      <c r="C42" s="0" t="n">
        <v>2.21</v>
      </c>
      <c r="D42" s="0" t="n">
        <v>15.375</v>
      </c>
      <c r="E42" s="0" t="n">
        <v>2</v>
      </c>
      <c r="F42" s="0" t="s">
        <v>68</v>
      </c>
      <c r="G42" s="0" t="n">
        <v>24</v>
      </c>
      <c r="H42" s="0" t="n">
        <v>67.96</v>
      </c>
      <c r="I42" s="0" t="s">
        <v>136</v>
      </c>
      <c r="J42" s="0" t="s">
        <v>137</v>
      </c>
      <c r="K42" s="0" t="s">
        <v>34</v>
      </c>
    </row>
    <row r="43" customFormat="false" ht="15" hidden="false" customHeight="false" outlineLevel="0" collapsed="false">
      <c r="A43" s="5" t="s">
        <v>138</v>
      </c>
    </row>
    <row r="44" customFormat="false" ht="15" hidden="false" customHeight="false" outlineLevel="0" collapsed="false">
      <c r="A44" s="0" t="s">
        <v>139</v>
      </c>
      <c r="B44" s="0" t="s">
        <v>140</v>
      </c>
      <c r="C44" s="0" t="n">
        <v>11.33</v>
      </c>
      <c r="D44" s="0" t="n">
        <v>15.375</v>
      </c>
      <c r="E44" s="0" t="n">
        <v>1</v>
      </c>
      <c r="F44" s="0" t="s">
        <v>31</v>
      </c>
      <c r="G44" s="0" t="n">
        <v>16</v>
      </c>
      <c r="H44" s="0" t="n">
        <v>130.3</v>
      </c>
      <c r="I44" s="0" t="s">
        <v>141</v>
      </c>
      <c r="J44" s="0" t="s">
        <v>142</v>
      </c>
      <c r="K44" s="0" t="s">
        <v>34</v>
      </c>
    </row>
    <row r="45" customFormat="false" ht="15" hidden="false" customHeight="false" outlineLevel="0" collapsed="false">
      <c r="A45" s="0" t="s">
        <v>143</v>
      </c>
      <c r="B45" s="0" t="s">
        <v>144</v>
      </c>
      <c r="C45" s="0" t="n">
        <v>10.03</v>
      </c>
      <c r="D45" s="0" t="n">
        <v>13.052</v>
      </c>
      <c r="E45" s="0" t="n">
        <v>1</v>
      </c>
      <c r="F45" s="0" t="s">
        <v>31</v>
      </c>
      <c r="G45" s="0" t="n">
        <v>16</v>
      </c>
      <c r="H45" s="0" t="n">
        <v>130.91</v>
      </c>
      <c r="I45" s="0" t="s">
        <v>145</v>
      </c>
      <c r="J45" s="0" t="s">
        <v>142</v>
      </c>
      <c r="K45" s="0" t="s">
        <v>34</v>
      </c>
    </row>
    <row r="46" customFormat="false" ht="15" hidden="false" customHeight="false" outlineLevel="0" collapsed="false">
      <c r="A46" s="0" t="s">
        <v>146</v>
      </c>
      <c r="B46" s="0" t="s">
        <v>147</v>
      </c>
      <c r="C46" s="0" t="n">
        <v>10.03</v>
      </c>
      <c r="D46" s="0" t="n">
        <v>13.052</v>
      </c>
      <c r="E46" s="0" t="n">
        <v>1</v>
      </c>
      <c r="F46" s="0" t="s">
        <v>31</v>
      </c>
      <c r="G46" s="0" t="n">
        <v>16</v>
      </c>
      <c r="H46" s="0" t="n">
        <v>130.91</v>
      </c>
      <c r="I46" s="0" t="s">
        <v>148</v>
      </c>
      <c r="J46" s="0" t="s">
        <v>142</v>
      </c>
      <c r="K46" s="0" t="s">
        <v>34</v>
      </c>
    </row>
    <row r="47" customFormat="false" ht="15" hidden="false" customHeight="false" outlineLevel="0" collapsed="false">
      <c r="A47" s="0" t="s">
        <v>149</v>
      </c>
      <c r="B47" s="0" t="s">
        <v>150</v>
      </c>
      <c r="C47" s="0" t="n">
        <v>6.53</v>
      </c>
      <c r="D47" s="0" t="n">
        <v>15.375</v>
      </c>
      <c r="E47" s="0" t="n">
        <v>1</v>
      </c>
      <c r="F47" s="0" t="s">
        <v>31</v>
      </c>
      <c r="G47" s="0" t="n">
        <v>16</v>
      </c>
      <c r="H47" s="0" t="n">
        <v>100.4</v>
      </c>
      <c r="I47" s="0" t="s">
        <v>151</v>
      </c>
      <c r="J47" s="0" t="s">
        <v>142</v>
      </c>
      <c r="K47" s="0" t="s">
        <v>34</v>
      </c>
    </row>
    <row r="48" customFormat="false" ht="15" hidden="false" customHeight="false" outlineLevel="0" collapsed="false">
      <c r="A48" s="0" t="s">
        <v>152</v>
      </c>
      <c r="B48" s="0" t="s">
        <v>153</v>
      </c>
      <c r="C48" s="0" t="n">
        <v>5.07</v>
      </c>
      <c r="D48" s="0" t="n">
        <v>15.375</v>
      </c>
      <c r="E48" s="0" t="n">
        <v>1</v>
      </c>
      <c r="F48" s="0" t="s">
        <v>31</v>
      </c>
      <c r="G48" s="0" t="n">
        <v>16</v>
      </c>
      <c r="H48" s="0" t="n">
        <v>77.95</v>
      </c>
      <c r="I48" s="0" t="s">
        <v>154</v>
      </c>
      <c r="J48" s="0" t="s">
        <v>142</v>
      </c>
      <c r="K48" s="0" t="s">
        <v>34</v>
      </c>
    </row>
    <row r="49" customFormat="false" ht="15" hidden="false" customHeight="false" outlineLevel="0" collapsed="false">
      <c r="A49" s="0" t="s">
        <v>155</v>
      </c>
      <c r="B49" s="0" t="s">
        <v>156</v>
      </c>
      <c r="C49" s="0" t="n">
        <v>4.54</v>
      </c>
      <c r="D49" s="0" t="n">
        <v>15.375</v>
      </c>
      <c r="E49" s="0" t="n">
        <v>1</v>
      </c>
      <c r="F49" s="0" t="s">
        <v>31</v>
      </c>
      <c r="G49" s="0" t="n">
        <v>16</v>
      </c>
      <c r="H49" s="0" t="n">
        <v>69.8</v>
      </c>
      <c r="I49" s="0" t="s">
        <v>157</v>
      </c>
      <c r="J49" s="0" t="s">
        <v>142</v>
      </c>
      <c r="K49" s="0" t="s">
        <v>34</v>
      </c>
    </row>
    <row r="50" customFormat="false" ht="15" hidden="false" customHeight="false" outlineLevel="0" collapsed="false">
      <c r="A50" s="0" t="s">
        <v>158</v>
      </c>
      <c r="B50" s="0" t="s">
        <v>159</v>
      </c>
      <c r="C50" s="0" t="n">
        <v>4</v>
      </c>
      <c r="D50" s="0" t="n">
        <v>15.375</v>
      </c>
      <c r="E50" s="0" t="n">
        <v>1</v>
      </c>
      <c r="F50" s="0" t="s">
        <v>31</v>
      </c>
      <c r="G50" s="0" t="n">
        <v>16</v>
      </c>
      <c r="H50" s="0" t="n">
        <v>61.5</v>
      </c>
      <c r="I50" s="0" t="s">
        <v>160</v>
      </c>
      <c r="J50" s="0" t="s">
        <v>142</v>
      </c>
      <c r="K50" s="0" t="s">
        <v>34</v>
      </c>
    </row>
    <row r="51" customFormat="false" ht="15" hidden="false" customHeight="false" outlineLevel="0" collapsed="false">
      <c r="A51" s="0" t="s">
        <v>161</v>
      </c>
      <c r="B51" s="0" t="s">
        <v>162</v>
      </c>
      <c r="C51" s="0" t="n">
        <v>3.37</v>
      </c>
      <c r="D51" s="0" t="n">
        <v>13.052</v>
      </c>
      <c r="E51" s="0" t="n">
        <v>1</v>
      </c>
      <c r="F51" s="0" t="s">
        <v>31</v>
      </c>
      <c r="G51" s="0" t="n">
        <v>16</v>
      </c>
      <c r="H51" s="0" t="n">
        <v>43.99</v>
      </c>
      <c r="I51" s="0" t="s">
        <v>163</v>
      </c>
      <c r="J51" s="0" t="s">
        <v>142</v>
      </c>
      <c r="K51" s="0" t="s">
        <v>34</v>
      </c>
    </row>
    <row r="52" customFormat="false" ht="15" hidden="false" customHeight="false" outlineLevel="0" collapsed="false">
      <c r="A52" s="5" t="s">
        <v>164</v>
      </c>
    </row>
    <row r="53" customFormat="false" ht="15" hidden="false" customHeight="false" outlineLevel="0" collapsed="false">
      <c r="A53" s="0" t="s">
        <v>165</v>
      </c>
      <c r="B53" s="0" t="s">
        <v>166</v>
      </c>
      <c r="C53" s="0" t="n">
        <v>17.46</v>
      </c>
      <c r="D53" s="0" t="n">
        <v>15.375</v>
      </c>
      <c r="E53" s="0" t="n">
        <v>2</v>
      </c>
      <c r="F53" s="0" t="s">
        <v>31</v>
      </c>
      <c r="G53" s="0" t="n">
        <v>16</v>
      </c>
      <c r="H53" s="0" t="n">
        <v>319.64</v>
      </c>
      <c r="I53" s="0" t="s">
        <v>167</v>
      </c>
      <c r="J53" s="0" t="s">
        <v>168</v>
      </c>
      <c r="K53" s="0" t="s">
        <v>34</v>
      </c>
    </row>
    <row r="54" customFormat="false" ht="15" hidden="false" customHeight="false" outlineLevel="0" collapsed="false">
      <c r="A54" s="5" t="s">
        <v>169</v>
      </c>
    </row>
    <row r="55" customFormat="false" ht="15" hidden="false" customHeight="false" outlineLevel="0" collapsed="false">
      <c r="A55" s="0" t="s">
        <v>170</v>
      </c>
      <c r="B55" s="0" t="s">
        <v>171</v>
      </c>
      <c r="C55" s="0" t="n">
        <v>12.33</v>
      </c>
      <c r="D55" s="0" t="n">
        <v>15.375</v>
      </c>
      <c r="E55" s="0" t="n">
        <v>4</v>
      </c>
      <c r="F55" s="0" t="s">
        <v>172</v>
      </c>
      <c r="G55" s="0" t="n">
        <v>16</v>
      </c>
      <c r="H55" s="0" t="n">
        <v>758.3</v>
      </c>
      <c r="I55" s="0" t="s">
        <v>173</v>
      </c>
      <c r="J55" s="0" t="s">
        <v>174</v>
      </c>
      <c r="K55" s="0" t="s">
        <v>34</v>
      </c>
    </row>
    <row r="56" customFormat="false" ht="15" hidden="false" customHeight="false" outlineLevel="0" collapsed="false">
      <c r="A56" s="0" t="s">
        <v>175</v>
      </c>
      <c r="B56" s="0" t="s">
        <v>176</v>
      </c>
      <c r="C56" s="0" t="n">
        <v>12.33</v>
      </c>
      <c r="D56" s="0" t="n">
        <v>15.375</v>
      </c>
      <c r="E56" s="0" t="n">
        <v>4</v>
      </c>
      <c r="F56" s="0" t="s">
        <v>172</v>
      </c>
      <c r="G56" s="0" t="n">
        <v>16</v>
      </c>
      <c r="H56" s="0" t="n">
        <v>758.3</v>
      </c>
      <c r="I56" s="0" t="s">
        <v>177</v>
      </c>
      <c r="J56" s="0" t="s">
        <v>174</v>
      </c>
      <c r="K56" s="0" t="s">
        <v>34</v>
      </c>
    </row>
    <row r="57" customFormat="false" ht="15" hidden="false" customHeight="false" outlineLevel="0" collapsed="false">
      <c r="A57" s="0" t="s">
        <v>178</v>
      </c>
      <c r="B57" s="0" t="s">
        <v>179</v>
      </c>
      <c r="C57" s="0" t="n">
        <v>11.77</v>
      </c>
      <c r="D57" s="0" t="n">
        <v>15.375</v>
      </c>
      <c r="E57" s="0" t="n">
        <v>4</v>
      </c>
      <c r="F57" s="0" t="s">
        <v>172</v>
      </c>
      <c r="G57" s="0" t="n">
        <v>16</v>
      </c>
      <c r="H57" s="0" t="n">
        <v>723.86</v>
      </c>
      <c r="I57" s="0" t="s">
        <v>180</v>
      </c>
      <c r="J57" s="0" t="s">
        <v>174</v>
      </c>
      <c r="K57" s="0" t="s">
        <v>34</v>
      </c>
    </row>
    <row r="58" customFormat="false" ht="15" hidden="false" customHeight="false" outlineLevel="0" collapsed="false">
      <c r="A58" s="0" t="s">
        <v>181</v>
      </c>
      <c r="B58" s="0" t="s">
        <v>182</v>
      </c>
      <c r="C58" s="0" t="n">
        <v>11.77</v>
      </c>
      <c r="D58" s="0" t="n">
        <v>15.375</v>
      </c>
      <c r="E58" s="0" t="n">
        <v>4</v>
      </c>
      <c r="F58" s="0" t="s">
        <v>172</v>
      </c>
      <c r="G58" s="0" t="n">
        <v>16</v>
      </c>
      <c r="H58" s="0" t="n">
        <v>723.86</v>
      </c>
      <c r="I58" s="0" t="s">
        <v>183</v>
      </c>
      <c r="J58" s="0" t="s">
        <v>174</v>
      </c>
      <c r="K58" s="0" t="s">
        <v>34</v>
      </c>
    </row>
    <row r="59" customFormat="false" ht="15" hidden="false" customHeight="false" outlineLevel="0" collapsed="false">
      <c r="A59" s="0" t="s">
        <v>184</v>
      </c>
      <c r="B59" s="0" t="s">
        <v>185</v>
      </c>
      <c r="C59" s="0" t="n">
        <v>11.63</v>
      </c>
      <c r="D59" s="0" t="n">
        <v>15.375</v>
      </c>
      <c r="E59" s="0" t="n">
        <v>4</v>
      </c>
      <c r="F59" s="0" t="s">
        <v>172</v>
      </c>
      <c r="G59" s="0" t="n">
        <v>16</v>
      </c>
      <c r="H59" s="0" t="n">
        <v>715.24</v>
      </c>
      <c r="I59" s="0" t="s">
        <v>186</v>
      </c>
      <c r="J59" s="0" t="s">
        <v>174</v>
      </c>
      <c r="K59" s="0" t="s">
        <v>34</v>
      </c>
    </row>
    <row r="60" customFormat="false" ht="15" hidden="false" customHeight="false" outlineLevel="0" collapsed="false">
      <c r="A60" s="0" t="s">
        <v>187</v>
      </c>
      <c r="B60" s="0" t="s">
        <v>188</v>
      </c>
      <c r="C60" s="0" t="n">
        <v>10.07</v>
      </c>
      <c r="D60" s="0" t="n">
        <v>15.375</v>
      </c>
      <c r="E60" s="0" t="n">
        <v>4</v>
      </c>
      <c r="F60" s="0" t="s">
        <v>172</v>
      </c>
      <c r="G60" s="0" t="n">
        <v>16</v>
      </c>
      <c r="H60" s="0" t="n">
        <v>619.3</v>
      </c>
      <c r="I60" s="0" t="s">
        <v>189</v>
      </c>
      <c r="J60" s="0" t="s">
        <v>174</v>
      </c>
      <c r="K60" s="0" t="s">
        <v>34</v>
      </c>
    </row>
    <row r="61" customFormat="false" ht="15" hidden="false" customHeight="false" outlineLevel="0" collapsed="false">
      <c r="A61" s="0" t="s">
        <v>190</v>
      </c>
      <c r="B61" s="0" t="s">
        <v>191</v>
      </c>
      <c r="C61" s="0" t="n">
        <v>3.47</v>
      </c>
      <c r="D61" s="0" t="n">
        <v>15.375</v>
      </c>
      <c r="E61" s="0" t="n">
        <v>4</v>
      </c>
      <c r="F61" s="0" t="s">
        <v>172</v>
      </c>
      <c r="G61" s="0" t="n">
        <v>16</v>
      </c>
      <c r="H61" s="0" t="n">
        <v>213.4</v>
      </c>
      <c r="I61" s="0" t="s">
        <v>192</v>
      </c>
      <c r="J61" s="0" t="s">
        <v>174</v>
      </c>
      <c r="K61" s="0" t="s">
        <v>34</v>
      </c>
    </row>
    <row r="62" customFormat="false" ht="15" hidden="false" customHeight="false" outlineLevel="0" collapsed="false">
      <c r="A62" s="0" t="s">
        <v>193</v>
      </c>
      <c r="B62" s="0" t="s">
        <v>194</v>
      </c>
      <c r="C62" s="0" t="n">
        <v>3.25</v>
      </c>
      <c r="D62" s="0" t="n">
        <v>15.375</v>
      </c>
      <c r="E62" s="0" t="n">
        <v>4</v>
      </c>
      <c r="F62" s="0" t="s">
        <v>172</v>
      </c>
      <c r="G62" s="0" t="n">
        <v>16</v>
      </c>
      <c r="H62" s="0" t="n">
        <v>199.88</v>
      </c>
      <c r="I62" s="0" t="s">
        <v>195</v>
      </c>
      <c r="J62" s="0" t="s">
        <v>174</v>
      </c>
      <c r="K62" s="0" t="s">
        <v>34</v>
      </c>
    </row>
    <row r="63" customFormat="false" ht="15" hidden="false" customHeight="false" outlineLevel="0" collapsed="false">
      <c r="A63" s="0" t="s">
        <v>196</v>
      </c>
      <c r="B63" s="0" t="s">
        <v>197</v>
      </c>
      <c r="C63" s="0" t="n">
        <v>3.25</v>
      </c>
      <c r="D63" s="0" t="n">
        <v>15.375</v>
      </c>
      <c r="E63" s="0" t="n">
        <v>4</v>
      </c>
      <c r="F63" s="0" t="s">
        <v>172</v>
      </c>
      <c r="G63" s="0" t="n">
        <v>16</v>
      </c>
      <c r="H63" s="0" t="n">
        <v>199.88</v>
      </c>
      <c r="I63" s="0" t="s">
        <v>198</v>
      </c>
      <c r="J63" s="0" t="s">
        <v>174</v>
      </c>
      <c r="K63" s="0" t="s">
        <v>34</v>
      </c>
    </row>
    <row r="64" customFormat="false" ht="15" hidden="false" customHeight="false" outlineLevel="0" collapsed="false">
      <c r="A64" s="0" t="s">
        <v>199</v>
      </c>
      <c r="B64" s="0" t="s">
        <v>200</v>
      </c>
      <c r="C64" s="0" t="n">
        <v>2.42</v>
      </c>
      <c r="D64" s="0" t="n">
        <v>15.375</v>
      </c>
      <c r="E64" s="0" t="n">
        <v>4</v>
      </c>
      <c r="F64" s="0" t="s">
        <v>172</v>
      </c>
      <c r="G64" s="0" t="n">
        <v>16</v>
      </c>
      <c r="H64" s="0" t="n">
        <v>148.84</v>
      </c>
      <c r="I64" s="0" t="s">
        <v>201</v>
      </c>
      <c r="J64" s="0" t="s">
        <v>174</v>
      </c>
      <c r="K64" s="0" t="s">
        <v>34</v>
      </c>
    </row>
    <row r="65" customFormat="false" ht="15" hidden="false" customHeight="false" outlineLevel="0" collapsed="false">
      <c r="A65" s="0" t="s">
        <v>202</v>
      </c>
      <c r="B65" s="0" t="s">
        <v>203</v>
      </c>
      <c r="C65" s="0" t="n">
        <v>0.33</v>
      </c>
      <c r="D65" s="0" t="n">
        <v>15.375</v>
      </c>
      <c r="E65" s="0" t="n">
        <v>4</v>
      </c>
      <c r="F65" s="0" t="s">
        <v>172</v>
      </c>
      <c r="G65" s="0" t="n">
        <v>16</v>
      </c>
      <c r="H65" s="0" t="n">
        <v>20.3</v>
      </c>
      <c r="I65" s="0" t="s">
        <v>204</v>
      </c>
      <c r="J65" s="0" t="s">
        <v>174</v>
      </c>
      <c r="K65" s="0" t="s">
        <v>34</v>
      </c>
    </row>
    <row r="66" customFormat="false" ht="15" hidden="false" customHeight="false" outlineLevel="0" collapsed="false">
      <c r="A66" s="5" t="s">
        <v>205</v>
      </c>
    </row>
    <row r="67" customFormat="false" ht="15" hidden="false" customHeight="false" outlineLevel="0" collapsed="false">
      <c r="A67" s="0" t="s">
        <v>206</v>
      </c>
      <c r="B67" s="0" t="s">
        <v>207</v>
      </c>
      <c r="C67" s="0" t="n">
        <v>11.77</v>
      </c>
      <c r="D67" s="0" t="n">
        <v>15.375</v>
      </c>
      <c r="E67" s="0" t="n">
        <v>4</v>
      </c>
      <c r="F67" s="0" t="s">
        <v>172</v>
      </c>
      <c r="G67" s="0" t="n">
        <v>16</v>
      </c>
      <c r="H67" s="0" t="n">
        <v>723.86</v>
      </c>
      <c r="I67" s="0" t="s">
        <v>208</v>
      </c>
      <c r="J67" s="0" t="s">
        <v>209</v>
      </c>
      <c r="K67" s="0" t="s">
        <v>34</v>
      </c>
    </row>
    <row r="68" customFormat="false" ht="15" hidden="false" customHeight="false" outlineLevel="0" collapsed="false">
      <c r="A68" s="0" t="s">
        <v>210</v>
      </c>
      <c r="B68" s="0" t="s">
        <v>211</v>
      </c>
      <c r="C68" s="0" t="n">
        <v>3.84</v>
      </c>
      <c r="D68" s="0" t="n">
        <v>15.375</v>
      </c>
      <c r="E68" s="0" t="n">
        <v>4</v>
      </c>
      <c r="F68" s="0" t="s">
        <v>172</v>
      </c>
      <c r="G68" s="0" t="n">
        <v>16</v>
      </c>
      <c r="H68" s="0" t="n">
        <v>236.16</v>
      </c>
      <c r="I68" s="0" t="s">
        <v>212</v>
      </c>
      <c r="J68" s="0" t="s">
        <v>209</v>
      </c>
      <c r="K68" s="0" t="s">
        <v>34</v>
      </c>
    </row>
    <row r="69" customFormat="false" ht="15" hidden="false" customHeight="false" outlineLevel="0" collapsed="false">
      <c r="A69" s="0" t="s">
        <v>213</v>
      </c>
      <c r="B69" s="0" t="s">
        <v>214</v>
      </c>
      <c r="C69" s="0" t="n">
        <v>2.83</v>
      </c>
      <c r="D69" s="0" t="n">
        <v>15.375</v>
      </c>
      <c r="E69" s="0" t="n">
        <v>4</v>
      </c>
      <c r="F69" s="0" t="s">
        <v>172</v>
      </c>
      <c r="G69" s="0" t="n">
        <v>16</v>
      </c>
      <c r="H69" s="0" t="n">
        <v>174.04</v>
      </c>
      <c r="I69" s="0" t="s">
        <v>215</v>
      </c>
      <c r="J69" s="0" t="s">
        <v>209</v>
      </c>
      <c r="K69" s="0" t="s">
        <v>34</v>
      </c>
    </row>
    <row r="70" customFormat="false" ht="15" hidden="false" customHeight="false" outlineLevel="0" collapsed="false">
      <c r="A70" s="0" t="s">
        <v>216</v>
      </c>
      <c r="B70" s="0" t="s">
        <v>217</v>
      </c>
      <c r="C70" s="0" t="n">
        <v>0.5</v>
      </c>
      <c r="D70" s="0" t="n">
        <v>15.375</v>
      </c>
      <c r="E70" s="0" t="n">
        <v>4</v>
      </c>
      <c r="F70" s="0" t="s">
        <v>172</v>
      </c>
      <c r="G70" s="0" t="n">
        <v>16</v>
      </c>
      <c r="H70" s="0" t="n">
        <v>30.76</v>
      </c>
      <c r="I70" s="0" t="s">
        <v>218</v>
      </c>
      <c r="J70" s="0" t="s">
        <v>209</v>
      </c>
      <c r="K70" s="0" t="s">
        <v>34</v>
      </c>
    </row>
    <row r="71" customFormat="false" ht="15" hidden="false" customHeight="false" outlineLevel="0" collapsed="false">
      <c r="A71" s="5" t="s">
        <v>219</v>
      </c>
    </row>
    <row r="72" customFormat="false" ht="15" hidden="false" customHeight="false" outlineLevel="0" collapsed="false">
      <c r="A72" s="0" t="s">
        <v>220</v>
      </c>
      <c r="B72" s="0" t="s">
        <v>221</v>
      </c>
      <c r="C72" s="0" t="n">
        <v>7.5</v>
      </c>
      <c r="D72" s="0" t="n">
        <v>7.33</v>
      </c>
      <c r="E72" s="0" t="n">
        <v>4</v>
      </c>
      <c r="F72" s="0" t="s">
        <v>172</v>
      </c>
      <c r="G72" s="0" t="n">
        <v>16</v>
      </c>
      <c r="H72" s="0" t="n">
        <v>219.9</v>
      </c>
      <c r="I72" s="0" t="s">
        <v>222</v>
      </c>
      <c r="J72" s="0" t="s">
        <v>223</v>
      </c>
      <c r="K72" s="0" t="s">
        <v>34</v>
      </c>
    </row>
    <row r="73" customFormat="false" ht="15" hidden="false" customHeight="false" outlineLevel="0" collapsed="false">
      <c r="A73" s="0" t="s">
        <v>224</v>
      </c>
      <c r="B73" s="0" t="s">
        <v>225</v>
      </c>
      <c r="C73" s="0" t="n">
        <v>7.5</v>
      </c>
      <c r="D73" s="0" t="n">
        <v>7.33</v>
      </c>
      <c r="E73" s="0" t="n">
        <v>4</v>
      </c>
      <c r="F73" s="0" t="s">
        <v>172</v>
      </c>
      <c r="G73" s="0" t="n">
        <v>16</v>
      </c>
      <c r="H73" s="0" t="n">
        <v>219.9</v>
      </c>
      <c r="I73" s="0" t="s">
        <v>226</v>
      </c>
      <c r="J73" s="0" t="s">
        <v>223</v>
      </c>
      <c r="K73" s="0" t="s">
        <v>34</v>
      </c>
    </row>
    <row r="74" customFormat="false" ht="15" hidden="false" customHeight="false" outlineLevel="0" collapsed="false">
      <c r="A74" s="0" t="s">
        <v>227</v>
      </c>
      <c r="B74" s="0" t="s">
        <v>228</v>
      </c>
      <c r="C74" s="0" t="n">
        <v>7.5</v>
      </c>
      <c r="D74" s="0" t="n">
        <v>7.33</v>
      </c>
      <c r="E74" s="0" t="n">
        <v>4</v>
      </c>
      <c r="F74" s="0" t="s">
        <v>172</v>
      </c>
      <c r="G74" s="0" t="n">
        <v>16</v>
      </c>
      <c r="H74" s="0" t="n">
        <v>219.9</v>
      </c>
      <c r="I74" s="0" t="s">
        <v>229</v>
      </c>
      <c r="J74" s="0" t="s">
        <v>223</v>
      </c>
      <c r="K74" s="0" t="s">
        <v>34</v>
      </c>
    </row>
    <row r="75" customFormat="false" ht="15" hidden="false" customHeight="false" outlineLevel="0" collapsed="false">
      <c r="A75" s="0" t="s">
        <v>230</v>
      </c>
      <c r="B75" s="0" t="s">
        <v>231</v>
      </c>
      <c r="C75" s="0" t="n">
        <v>7.5</v>
      </c>
      <c r="D75" s="0" t="n">
        <v>7.33</v>
      </c>
      <c r="E75" s="0" t="n">
        <v>4</v>
      </c>
      <c r="F75" s="0" t="s">
        <v>172</v>
      </c>
      <c r="G75" s="0" t="n">
        <v>16</v>
      </c>
      <c r="H75" s="0" t="n">
        <v>219.9</v>
      </c>
      <c r="I75" s="0" t="s">
        <v>232</v>
      </c>
      <c r="J75" s="0" t="s">
        <v>223</v>
      </c>
      <c r="K75" s="0" t="s">
        <v>34</v>
      </c>
    </row>
    <row r="76" customFormat="false" ht="15" hidden="false" customHeight="false" outlineLevel="0" collapsed="false">
      <c r="A76" s="0" t="s">
        <v>233</v>
      </c>
      <c r="B76" s="0" t="s">
        <v>234</v>
      </c>
      <c r="C76" s="0" t="n">
        <v>7.5</v>
      </c>
      <c r="D76" s="0" t="n">
        <v>7.33</v>
      </c>
      <c r="E76" s="0" t="n">
        <v>4</v>
      </c>
      <c r="F76" s="0" t="s">
        <v>172</v>
      </c>
      <c r="G76" s="0" t="n">
        <v>16</v>
      </c>
      <c r="H76" s="0" t="n">
        <v>219.9</v>
      </c>
      <c r="I76" s="0" t="s">
        <v>235</v>
      </c>
      <c r="J76" s="0" t="s">
        <v>223</v>
      </c>
      <c r="K76" s="0" t="s">
        <v>34</v>
      </c>
    </row>
    <row r="77" customFormat="false" ht="15" hidden="false" customHeight="false" outlineLevel="0" collapsed="false">
      <c r="A77" s="0" t="s">
        <v>236</v>
      </c>
      <c r="B77" s="0" t="s">
        <v>237</v>
      </c>
      <c r="C77" s="0" t="n">
        <v>7.5</v>
      </c>
      <c r="D77" s="0" t="n">
        <v>7.33</v>
      </c>
      <c r="E77" s="0" t="n">
        <v>4</v>
      </c>
      <c r="F77" s="0" t="s">
        <v>172</v>
      </c>
      <c r="G77" s="0" t="n">
        <v>16</v>
      </c>
      <c r="H77" s="0" t="n">
        <v>219.9</v>
      </c>
      <c r="I77" s="0" t="s">
        <v>238</v>
      </c>
      <c r="J77" s="0" t="s">
        <v>223</v>
      </c>
      <c r="K77" s="0" t="s">
        <v>34</v>
      </c>
    </row>
    <row r="78" customFormat="false" ht="15" hidden="false" customHeight="false" outlineLevel="0" collapsed="false">
      <c r="A78" s="5" t="s">
        <v>239</v>
      </c>
    </row>
    <row r="79" customFormat="false" ht="15" hidden="false" customHeight="false" outlineLevel="0" collapsed="false">
      <c r="A79" s="0" t="s">
        <v>240</v>
      </c>
      <c r="B79" s="0" t="s">
        <v>241</v>
      </c>
      <c r="C79" s="0" t="n">
        <v>51.73</v>
      </c>
      <c r="D79" s="0" t="n">
        <v>12.531</v>
      </c>
      <c r="E79" s="0" t="n">
        <v>1</v>
      </c>
      <c r="F79" s="0" t="s">
        <v>68</v>
      </c>
      <c r="G79" s="0" t="n">
        <v>16</v>
      </c>
      <c r="H79" s="0" t="n">
        <v>621.01</v>
      </c>
      <c r="I79" s="0" t="s">
        <v>242</v>
      </c>
      <c r="J79" s="0" t="s">
        <v>243</v>
      </c>
      <c r="K79" s="0" t="s">
        <v>34</v>
      </c>
    </row>
    <row r="80" customFormat="false" ht="15" hidden="false" customHeight="false" outlineLevel="0" collapsed="false">
      <c r="A80" s="0" t="s">
        <v>244</v>
      </c>
      <c r="B80" s="0" t="s">
        <v>245</v>
      </c>
      <c r="C80" s="0" t="n">
        <v>50.42</v>
      </c>
      <c r="D80" s="0" t="n">
        <v>15.375</v>
      </c>
      <c r="E80" s="0" t="n">
        <v>1</v>
      </c>
      <c r="F80" s="0" t="s">
        <v>68</v>
      </c>
      <c r="G80" s="0" t="n">
        <v>16</v>
      </c>
      <c r="H80" s="0" t="n">
        <v>711.21</v>
      </c>
      <c r="I80" s="0" t="s">
        <v>246</v>
      </c>
      <c r="J80" s="0" t="s">
        <v>243</v>
      </c>
      <c r="K80" s="0" t="s">
        <v>34</v>
      </c>
    </row>
    <row r="81" customFormat="false" ht="15" hidden="false" customHeight="false" outlineLevel="0" collapsed="false">
      <c r="A81" s="0" t="s">
        <v>247</v>
      </c>
      <c r="B81" s="0" t="s">
        <v>248</v>
      </c>
      <c r="C81" s="0" t="n">
        <v>25.39</v>
      </c>
      <c r="D81" s="0" t="n">
        <v>13.052</v>
      </c>
      <c r="E81" s="0" t="n">
        <v>1</v>
      </c>
      <c r="F81" s="0" t="s">
        <v>68</v>
      </c>
      <c r="G81" s="0" t="n">
        <v>16</v>
      </c>
      <c r="H81" s="0" t="n">
        <v>331.39</v>
      </c>
      <c r="I81" s="0" t="s">
        <v>249</v>
      </c>
      <c r="J81" s="0" t="s">
        <v>243</v>
      </c>
      <c r="K81" s="0" t="s">
        <v>34</v>
      </c>
    </row>
    <row r="82" customFormat="false" ht="15" hidden="false" customHeight="false" outlineLevel="0" collapsed="false">
      <c r="A82" s="0" t="s">
        <v>250</v>
      </c>
      <c r="B82" s="0" t="s">
        <v>251</v>
      </c>
      <c r="C82" s="0" t="n">
        <v>24.91</v>
      </c>
      <c r="D82" s="0" t="n">
        <v>13.052</v>
      </c>
      <c r="E82" s="0" t="n">
        <v>1</v>
      </c>
      <c r="F82" s="0" t="s">
        <v>68</v>
      </c>
      <c r="G82" s="0" t="n">
        <v>16</v>
      </c>
      <c r="H82" s="0" t="n">
        <v>325.13</v>
      </c>
      <c r="I82" s="0" t="s">
        <v>252</v>
      </c>
      <c r="J82" s="0" t="s">
        <v>243</v>
      </c>
      <c r="K82" s="0" t="s">
        <v>34</v>
      </c>
    </row>
    <row r="83" customFormat="false" ht="15" hidden="false" customHeight="false" outlineLevel="0" collapsed="false">
      <c r="A83" s="0" t="s">
        <v>253</v>
      </c>
      <c r="B83" s="0" t="s">
        <v>254</v>
      </c>
      <c r="C83" s="0" t="n">
        <v>22.02</v>
      </c>
      <c r="D83" s="0" t="n">
        <v>15.375</v>
      </c>
      <c r="E83" s="0" t="n">
        <v>1</v>
      </c>
      <c r="F83" s="0" t="s">
        <v>68</v>
      </c>
      <c r="G83" s="0" t="n">
        <v>16</v>
      </c>
      <c r="H83" s="0" t="n">
        <v>306.56</v>
      </c>
      <c r="I83" s="0" t="s">
        <v>255</v>
      </c>
      <c r="J83" s="0" t="s">
        <v>243</v>
      </c>
      <c r="K83" s="0" t="s">
        <v>34</v>
      </c>
    </row>
    <row r="84" customFormat="false" ht="15" hidden="false" customHeight="false" outlineLevel="0" collapsed="false">
      <c r="A84" s="0" t="s">
        <v>256</v>
      </c>
      <c r="B84" s="0" t="s">
        <v>257</v>
      </c>
      <c r="C84" s="0" t="n">
        <v>21.46</v>
      </c>
      <c r="D84" s="0" t="n">
        <v>15.375</v>
      </c>
      <c r="E84" s="0" t="n">
        <v>1</v>
      </c>
      <c r="F84" s="0" t="s">
        <v>68</v>
      </c>
      <c r="G84" s="0" t="n">
        <v>16</v>
      </c>
      <c r="H84" s="0" t="n">
        <v>324.27</v>
      </c>
      <c r="I84" s="0" t="s">
        <v>258</v>
      </c>
      <c r="J84" s="0" t="s">
        <v>243</v>
      </c>
      <c r="K84" s="0" t="s">
        <v>34</v>
      </c>
    </row>
    <row r="85" customFormat="false" ht="15" hidden="false" customHeight="false" outlineLevel="0" collapsed="false">
      <c r="A85" s="0" t="s">
        <v>259</v>
      </c>
      <c r="B85" s="0" t="s">
        <v>260</v>
      </c>
      <c r="C85" s="0" t="n">
        <v>12.64</v>
      </c>
      <c r="D85" s="0" t="n">
        <v>15.375</v>
      </c>
      <c r="E85" s="0" t="n">
        <v>1</v>
      </c>
      <c r="F85" s="0" t="s">
        <v>68</v>
      </c>
      <c r="G85" s="0" t="n">
        <v>16</v>
      </c>
      <c r="H85" s="0" t="n">
        <v>194.34</v>
      </c>
      <c r="I85" s="0" t="s">
        <v>261</v>
      </c>
      <c r="J85" s="0" t="s">
        <v>243</v>
      </c>
      <c r="K85" s="0" t="s">
        <v>34</v>
      </c>
    </row>
    <row r="86" customFormat="false" ht="15" hidden="false" customHeight="false" outlineLevel="0" collapsed="false">
      <c r="A86" s="0" t="s">
        <v>262</v>
      </c>
      <c r="B86" s="0" t="s">
        <v>263</v>
      </c>
      <c r="C86" s="0" t="n">
        <v>7.12</v>
      </c>
      <c r="D86" s="0" t="n">
        <v>15.375</v>
      </c>
      <c r="E86" s="0" t="n">
        <v>1</v>
      </c>
      <c r="F86" s="0" t="s">
        <v>68</v>
      </c>
      <c r="G86" s="0" t="n">
        <v>16</v>
      </c>
      <c r="H86" s="0" t="n">
        <v>109.47</v>
      </c>
      <c r="I86" s="0" t="s">
        <v>264</v>
      </c>
      <c r="J86" s="0" t="s">
        <v>243</v>
      </c>
      <c r="K86" s="0" t="s">
        <v>34</v>
      </c>
    </row>
    <row r="87" customFormat="false" ht="15" hidden="false" customHeight="false" outlineLevel="0" collapsed="false">
      <c r="A87" s="0" t="s">
        <v>265</v>
      </c>
      <c r="B87" s="0" t="s">
        <v>266</v>
      </c>
      <c r="C87" s="0" t="n">
        <v>3.87</v>
      </c>
      <c r="D87" s="0" t="n">
        <v>15.375</v>
      </c>
      <c r="E87" s="0" t="n">
        <v>1</v>
      </c>
      <c r="F87" s="0" t="s">
        <v>68</v>
      </c>
      <c r="G87" s="0" t="n">
        <v>16</v>
      </c>
      <c r="H87" s="0" t="n">
        <v>59.5</v>
      </c>
      <c r="I87" s="0" t="s">
        <v>267</v>
      </c>
      <c r="J87" s="0" t="s">
        <v>243</v>
      </c>
      <c r="K87" s="0" t="s">
        <v>34</v>
      </c>
    </row>
    <row r="88" customFormat="false" ht="15" hidden="false" customHeight="false" outlineLevel="0" collapsed="false">
      <c r="A88" s="5" t="s">
        <v>268</v>
      </c>
    </row>
    <row r="89" customFormat="false" ht="15" hidden="false" customHeight="false" outlineLevel="0" collapsed="false">
      <c r="A89" s="0" t="s">
        <v>269</v>
      </c>
      <c r="B89" s="0" t="s">
        <v>270</v>
      </c>
      <c r="C89" s="0" t="n">
        <v>26.25</v>
      </c>
      <c r="D89" s="0" t="n">
        <v>6.88</v>
      </c>
      <c r="E89" s="0" t="n">
        <v>1</v>
      </c>
      <c r="F89" s="0" t="s">
        <v>68</v>
      </c>
      <c r="G89" s="0" t="n">
        <v>16</v>
      </c>
      <c r="H89" s="0" t="n">
        <v>180.47</v>
      </c>
      <c r="I89" s="0" t="s">
        <v>271</v>
      </c>
      <c r="J89" s="0" t="s">
        <v>272</v>
      </c>
      <c r="K89" s="0" t="s">
        <v>34</v>
      </c>
    </row>
    <row r="90" customFormat="false" ht="15" hidden="false" customHeight="false" outlineLevel="0" collapsed="false">
      <c r="A90" s="0" t="s">
        <v>273</v>
      </c>
      <c r="B90" s="0" t="s">
        <v>274</v>
      </c>
      <c r="C90" s="0" t="n">
        <v>12.56</v>
      </c>
      <c r="D90" s="0" t="n">
        <v>6.88</v>
      </c>
      <c r="E90" s="0" t="n">
        <v>1</v>
      </c>
      <c r="F90" s="0" t="s">
        <v>68</v>
      </c>
      <c r="G90" s="0" t="n">
        <v>16</v>
      </c>
      <c r="H90" s="0" t="n">
        <v>86.35</v>
      </c>
      <c r="I90" s="0" t="s">
        <v>275</v>
      </c>
      <c r="J90" s="0" t="s">
        <v>272</v>
      </c>
      <c r="K90" s="0" t="s">
        <v>34</v>
      </c>
    </row>
    <row r="91" customFormat="false" ht="15" hidden="false" customHeight="false" outlineLevel="0" collapsed="false">
      <c r="A91" s="0" t="s">
        <v>276</v>
      </c>
      <c r="B91" s="0" t="s">
        <v>277</v>
      </c>
      <c r="C91" s="0" t="n">
        <v>6.5</v>
      </c>
      <c r="D91" s="0" t="n">
        <v>6.88</v>
      </c>
      <c r="E91" s="0" t="n">
        <v>1</v>
      </c>
      <c r="F91" s="0" t="s">
        <v>68</v>
      </c>
      <c r="G91" s="0" t="n">
        <v>16</v>
      </c>
      <c r="H91" s="0" t="n">
        <v>44.69</v>
      </c>
      <c r="I91" s="0" t="s">
        <v>278</v>
      </c>
      <c r="J91" s="0" t="s">
        <v>272</v>
      </c>
      <c r="K91" s="0" t="s">
        <v>34</v>
      </c>
    </row>
    <row r="92" customFormat="false" ht="15" hidden="false" customHeight="false" outlineLevel="0" collapsed="false">
      <c r="A92" s="5" t="s">
        <v>279</v>
      </c>
    </row>
    <row r="93" customFormat="false" ht="15" hidden="false" customHeight="false" outlineLevel="0" collapsed="false">
      <c r="A93" s="0" t="s">
        <v>280</v>
      </c>
      <c r="B93" s="0" t="s">
        <v>281</v>
      </c>
      <c r="C93" s="0" t="n">
        <v>53.67</v>
      </c>
      <c r="D93" s="0" t="n">
        <v>4.89</v>
      </c>
      <c r="E93" s="0" t="n">
        <v>1</v>
      </c>
      <c r="F93" s="0" t="s">
        <v>282</v>
      </c>
      <c r="G93" s="0" t="n">
        <v>16</v>
      </c>
      <c r="H93" s="0" t="n">
        <v>280.16</v>
      </c>
      <c r="I93" s="0" t="s">
        <v>283</v>
      </c>
      <c r="J93" s="0" t="s">
        <v>284</v>
      </c>
      <c r="K93" s="0" t="s">
        <v>34</v>
      </c>
    </row>
    <row r="94" customFormat="false" ht="15" hidden="false" customHeight="false" outlineLevel="0" collapsed="false">
      <c r="A94" s="0" t="s">
        <v>285</v>
      </c>
      <c r="B94" s="0" t="s">
        <v>286</v>
      </c>
      <c r="C94" s="0" t="n">
        <v>51.39</v>
      </c>
      <c r="D94" s="0" t="n">
        <v>2.04</v>
      </c>
      <c r="E94" s="0" t="n">
        <v>1</v>
      </c>
      <c r="F94" s="0" t="s">
        <v>282</v>
      </c>
      <c r="G94" s="0" t="n">
        <v>16</v>
      </c>
      <c r="H94" s="0" t="n">
        <v>122.31</v>
      </c>
      <c r="I94" s="0" t="s">
        <v>287</v>
      </c>
      <c r="J94" s="0" t="s">
        <v>284</v>
      </c>
      <c r="K94" s="0" t="s">
        <v>34</v>
      </c>
    </row>
    <row r="95" customFormat="false" ht="15" hidden="false" customHeight="false" outlineLevel="0" collapsed="false">
      <c r="A95" s="0" t="s">
        <v>288</v>
      </c>
      <c r="B95" s="0" t="s">
        <v>289</v>
      </c>
      <c r="C95" s="0" t="n">
        <v>39.85</v>
      </c>
      <c r="D95" s="0" t="n">
        <v>2.04</v>
      </c>
      <c r="E95" s="0" t="n">
        <v>1</v>
      </c>
      <c r="F95" s="0" t="s">
        <v>282</v>
      </c>
      <c r="G95" s="0" t="n">
        <v>16</v>
      </c>
      <c r="H95" s="0" t="n">
        <v>94.84</v>
      </c>
      <c r="I95" s="0" t="s">
        <v>290</v>
      </c>
      <c r="J95" s="0" t="s">
        <v>284</v>
      </c>
      <c r="K95" s="0" t="s">
        <v>34</v>
      </c>
    </row>
    <row r="96" customFormat="false" ht="15" hidden="false" customHeight="false" outlineLevel="0" collapsed="false">
      <c r="A96" s="0" t="s">
        <v>291</v>
      </c>
      <c r="B96" s="0" t="s">
        <v>292</v>
      </c>
      <c r="C96" s="0" t="n">
        <v>29.93</v>
      </c>
      <c r="D96" s="0" t="n">
        <v>4.29</v>
      </c>
      <c r="E96" s="0" t="n">
        <v>1</v>
      </c>
      <c r="F96" s="0" t="s">
        <v>282</v>
      </c>
      <c r="G96" s="0" t="n">
        <v>16</v>
      </c>
      <c r="H96" s="0" t="n">
        <v>138.58</v>
      </c>
      <c r="I96" s="0" t="s">
        <v>293</v>
      </c>
      <c r="J96" s="0" t="s">
        <v>284</v>
      </c>
      <c r="K96" s="0" t="s">
        <v>34</v>
      </c>
    </row>
    <row r="97" customFormat="false" ht="15" hidden="false" customHeight="false" outlineLevel="0" collapsed="false">
      <c r="A97" s="0" t="s">
        <v>294</v>
      </c>
      <c r="B97" s="0" t="s">
        <v>295</v>
      </c>
      <c r="C97" s="0" t="n">
        <v>26.33</v>
      </c>
      <c r="D97" s="0" t="n">
        <v>2.04</v>
      </c>
      <c r="E97" s="0" t="n">
        <v>1</v>
      </c>
      <c r="F97" s="0" t="s">
        <v>282</v>
      </c>
      <c r="G97" s="0" t="n">
        <v>16</v>
      </c>
      <c r="H97" s="0" t="n">
        <v>62.67</v>
      </c>
      <c r="I97" s="0" t="s">
        <v>296</v>
      </c>
      <c r="J97" s="0" t="s">
        <v>284</v>
      </c>
      <c r="K97" s="0" t="s">
        <v>34</v>
      </c>
    </row>
    <row r="98" customFormat="false" ht="15" hidden="false" customHeight="false" outlineLevel="0" collapsed="false">
      <c r="A98" s="0" t="s">
        <v>297</v>
      </c>
      <c r="B98" s="0" t="s">
        <v>298</v>
      </c>
      <c r="C98" s="0" t="n">
        <v>25.8</v>
      </c>
      <c r="D98" s="0" t="n">
        <v>4.89</v>
      </c>
      <c r="E98" s="0" t="n">
        <v>1</v>
      </c>
      <c r="F98" s="0" t="s">
        <v>282</v>
      </c>
      <c r="G98" s="0" t="n">
        <v>16</v>
      </c>
      <c r="H98" s="0" t="n">
        <v>127.97</v>
      </c>
      <c r="I98" s="0" t="s">
        <v>299</v>
      </c>
      <c r="J98" s="0" t="s">
        <v>284</v>
      </c>
      <c r="K98" s="0" t="s">
        <v>34</v>
      </c>
    </row>
    <row r="99" customFormat="false" ht="15" hidden="false" customHeight="false" outlineLevel="0" collapsed="false">
      <c r="A99" s="0" t="s">
        <v>300</v>
      </c>
      <c r="B99" s="0" t="s">
        <v>301</v>
      </c>
      <c r="C99" s="0" t="n">
        <v>25.8</v>
      </c>
      <c r="D99" s="0" t="n">
        <v>4.89</v>
      </c>
      <c r="E99" s="0" t="n">
        <v>1</v>
      </c>
      <c r="F99" s="0" t="s">
        <v>282</v>
      </c>
      <c r="G99" s="0" t="n">
        <v>16</v>
      </c>
      <c r="H99" s="0" t="n">
        <v>127.97</v>
      </c>
      <c r="I99" s="0" t="s">
        <v>302</v>
      </c>
      <c r="J99" s="0" t="s">
        <v>284</v>
      </c>
      <c r="K99" s="0" t="s">
        <v>34</v>
      </c>
    </row>
    <row r="100" customFormat="false" ht="15" hidden="false" customHeight="false" outlineLevel="0" collapsed="false">
      <c r="A100" s="0" t="s">
        <v>303</v>
      </c>
      <c r="B100" s="0" t="s">
        <v>304</v>
      </c>
      <c r="C100" s="0" t="n">
        <v>17.69</v>
      </c>
      <c r="D100" s="0" t="n">
        <v>4.29</v>
      </c>
      <c r="E100" s="0" t="n">
        <v>1</v>
      </c>
      <c r="F100" s="0" t="s">
        <v>282</v>
      </c>
      <c r="G100" s="0" t="n">
        <v>16</v>
      </c>
      <c r="H100" s="0" t="n">
        <v>81.9</v>
      </c>
      <c r="I100" s="0" t="s">
        <v>305</v>
      </c>
      <c r="J100" s="0" t="s">
        <v>284</v>
      </c>
      <c r="K100" s="0" t="s">
        <v>34</v>
      </c>
    </row>
    <row r="101" customFormat="false" ht="15" hidden="false" customHeight="false" outlineLevel="0" collapsed="false">
      <c r="A101" s="6" t="s">
        <v>306</v>
      </c>
      <c r="C101" s="3" t="n">
        <f aca="false">SUM(C5:C100)</f>
        <v>999.74</v>
      </c>
      <c r="H101" s="3" t="n">
        <f aca="false">SUM(H5:H100)</f>
        <v>17954.95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8" min="8" style="0" width="29"/>
    <col collapsed="false" customWidth="true" hidden="false" outlineLevel="0" max="9" min="9" style="0" width="60"/>
  </cols>
  <sheetData>
    <row r="1" customFormat="false" ht="16.15" hidden="false" customHeight="false" outlineLevel="0" collapsed="false">
      <c r="A1" s="1" t="s">
        <v>307</v>
      </c>
    </row>
    <row r="2" customFormat="false" ht="15" hidden="false" customHeight="false" outlineLevel="0" collapsed="false">
      <c r="A2" s="0" t="s">
        <v>308</v>
      </c>
    </row>
    <row r="3" customFormat="false" ht="15" hidden="false" customHeight="false" outlineLevel="0" collapsed="false">
      <c r="A3" s="4" t="s">
        <v>309</v>
      </c>
      <c r="B3" s="4" t="s">
        <v>310</v>
      </c>
      <c r="C3" s="4" t="s">
        <v>311</v>
      </c>
      <c r="D3" s="4" t="s">
        <v>312</v>
      </c>
      <c r="E3" s="4" t="s">
        <v>313</v>
      </c>
      <c r="F3" s="4" t="s">
        <v>314</v>
      </c>
      <c r="G3" s="4" t="s">
        <v>315</v>
      </c>
      <c r="H3" s="4" t="s">
        <v>316</v>
      </c>
      <c r="I3" s="4" t="s">
        <v>317</v>
      </c>
    </row>
    <row r="4" customFormat="false" ht="15" hidden="false" customHeight="false" outlineLevel="0" collapsed="false">
      <c r="A4" s="0" t="s">
        <v>318</v>
      </c>
      <c r="B4" s="0" t="s">
        <v>319</v>
      </c>
      <c r="C4" s="0" t="n">
        <v>615.72</v>
      </c>
      <c r="D4" s="0" t="n">
        <f aca="false">Inputs!$B$4</f>
        <v>0.15</v>
      </c>
      <c r="E4" s="0" t="n">
        <f aca="false">C4*D4</f>
        <v>92.358</v>
      </c>
      <c r="F4" s="0" t="n">
        <f aca="false">C4+E4</f>
        <v>708.078</v>
      </c>
      <c r="G4" s="0" t="s">
        <v>320</v>
      </c>
      <c r="H4" s="0" t="n">
        <f aca="false">ROUNDUP(F4/20,0)</f>
        <v>36</v>
      </c>
      <c r="I4" s="0" t="s">
        <v>321</v>
      </c>
    </row>
    <row r="5" customFormat="false" ht="15" hidden="false" customHeight="false" outlineLevel="0" collapsed="false">
      <c r="A5" s="0" t="s">
        <v>322</v>
      </c>
      <c r="B5" s="0" t="s">
        <v>319</v>
      </c>
      <c r="C5" s="0" t="n">
        <v>90</v>
      </c>
      <c r="D5" s="0" t="n">
        <f aca="false">Inputs!$B$4</f>
        <v>0.15</v>
      </c>
      <c r="E5" s="0" t="n">
        <f aca="false">C5*D5</f>
        <v>13.5</v>
      </c>
      <c r="F5" s="0" t="n">
        <f aca="false">C5+E5</f>
        <v>103.5</v>
      </c>
      <c r="G5" s="0" t="s">
        <v>323</v>
      </c>
      <c r="H5" s="0" t="n">
        <f aca="false">ROUNDUP(F5/10,0)</f>
        <v>11</v>
      </c>
      <c r="I5" s="0" t="s">
        <v>324</v>
      </c>
    </row>
    <row r="6" customFormat="false" ht="15" hidden="false" customHeight="false" outlineLevel="0" collapsed="false">
      <c r="A6" s="0" t="s">
        <v>325</v>
      </c>
      <c r="B6" s="0" t="s">
        <v>319</v>
      </c>
      <c r="C6" s="0" t="n">
        <v>90</v>
      </c>
      <c r="D6" s="0" t="n">
        <f aca="false">Inputs!$B$4</f>
        <v>0.15</v>
      </c>
      <c r="E6" s="0" t="n">
        <f aca="false">C6*D6</f>
        <v>13.5</v>
      </c>
      <c r="F6" s="0" t="n">
        <f aca="false">C6+E6</f>
        <v>103.5</v>
      </c>
      <c r="G6" s="0" t="s">
        <v>323</v>
      </c>
      <c r="H6" s="0" t="n">
        <f aca="false">ROUNDUP(F6/10,0)</f>
        <v>11</v>
      </c>
      <c r="I6" s="0" t="s">
        <v>326</v>
      </c>
    </row>
    <row r="7" customFormat="false" ht="15" hidden="false" customHeight="false" outlineLevel="0" collapsed="false">
      <c r="A7" s="0" t="s">
        <v>327</v>
      </c>
      <c r="B7" s="0" t="s">
        <v>319</v>
      </c>
      <c r="C7" s="0" t="n">
        <v>2509.79</v>
      </c>
      <c r="D7" s="0" t="n">
        <f aca="false">Inputs!$B$4</f>
        <v>0.15</v>
      </c>
      <c r="E7" s="0" t="n">
        <f aca="false">C7*D7</f>
        <v>376.4685</v>
      </c>
      <c r="F7" s="0" t="n">
        <f aca="false">C7+E7</f>
        <v>2886.2585</v>
      </c>
      <c r="G7" s="0" t="s">
        <v>328</v>
      </c>
      <c r="H7" s="0" t="n">
        <f aca="false">ROUNDUP(F7/16,0)</f>
        <v>181</v>
      </c>
      <c r="I7" s="0" t="s">
        <v>329</v>
      </c>
    </row>
    <row r="8" customFormat="false" ht="15" hidden="false" customHeight="false" outlineLevel="0" collapsed="false">
      <c r="A8" s="0" t="s">
        <v>330</v>
      </c>
      <c r="B8" s="0" t="s">
        <v>331</v>
      </c>
      <c r="C8" s="0" t="n">
        <v>6774</v>
      </c>
      <c r="D8" s="0" t="n">
        <f aca="false">Inputs!$B$4</f>
        <v>0.15</v>
      </c>
      <c r="E8" s="0" t="n">
        <f aca="false">C8*D8</f>
        <v>1016.1</v>
      </c>
      <c r="F8" s="0" t="n">
        <f aca="false">C8+E8</f>
        <v>7790.1</v>
      </c>
      <c r="H8" s="0" t="n">
        <f aca="false">ROUNDUP(F8,0)</f>
        <v>7791</v>
      </c>
      <c r="I8" s="0" t="s">
        <v>332</v>
      </c>
    </row>
    <row r="9" customFormat="false" ht="15" hidden="false" customHeight="false" outlineLevel="0" collapsed="false">
      <c r="A9" s="0" t="s">
        <v>333</v>
      </c>
      <c r="B9" s="0" t="s">
        <v>319</v>
      </c>
      <c r="C9" s="0" t="n">
        <v>166.46</v>
      </c>
      <c r="D9" s="0" t="n">
        <f aca="false">Inputs!$B$4</f>
        <v>0.15</v>
      </c>
      <c r="E9" s="0" t="n">
        <f aca="false">C9*D9</f>
        <v>24.969</v>
      </c>
      <c r="F9" s="0" t="n">
        <f aca="false">C9+E9</f>
        <v>191.429</v>
      </c>
      <c r="G9" s="0" t="s">
        <v>320</v>
      </c>
      <c r="H9" s="0" t="n">
        <f aca="false">ROUNDUP(F9/20,0)</f>
        <v>10</v>
      </c>
      <c r="I9" s="0" t="s">
        <v>334</v>
      </c>
    </row>
    <row r="10" customFormat="false" ht="15" hidden="false" customHeight="false" outlineLevel="0" collapsed="false">
      <c r="A10" s="0" t="s">
        <v>335</v>
      </c>
      <c r="B10" s="0" t="s">
        <v>319</v>
      </c>
      <c r="C10" s="0" t="n">
        <v>1016.86</v>
      </c>
      <c r="D10" s="0" t="n">
        <f aca="false">Inputs!$B$5</f>
        <v>0.06</v>
      </c>
      <c r="E10" s="0" t="n">
        <f aca="false">C10*D10</f>
        <v>61.0116</v>
      </c>
      <c r="F10" s="0" t="n">
        <f aca="false">C10+E10</f>
        <v>1077.8716</v>
      </c>
      <c r="H10" s="0" t="n">
        <f aca="false">ROUNDUP(F10,0)</f>
        <v>1078</v>
      </c>
      <c r="I10" s="0" t="s">
        <v>336</v>
      </c>
    </row>
    <row r="11" customFormat="false" ht="15" hidden="false" customHeight="false" outlineLevel="0" collapsed="false">
      <c r="A11" s="0" t="s">
        <v>337</v>
      </c>
      <c r="B11" s="0" t="s">
        <v>319</v>
      </c>
      <c r="C11" s="0" t="n">
        <v>77</v>
      </c>
      <c r="D11" s="0" t="n">
        <f aca="false">Inputs!$B$5</f>
        <v>0.06</v>
      </c>
      <c r="E11" s="0" t="n">
        <f aca="false">C11*D11</f>
        <v>4.62</v>
      </c>
      <c r="F11" s="0" t="n">
        <f aca="false">C11+E11</f>
        <v>81.62</v>
      </c>
      <c r="H11" s="0" t="n">
        <f aca="false">ROUNDUP(F11,0)</f>
        <v>82</v>
      </c>
      <c r="I11" s="0" t="s">
        <v>338</v>
      </c>
    </row>
    <row r="12" customFormat="false" ht="15" hidden="false" customHeight="false" outlineLevel="0" collapsed="false">
      <c r="A12" s="0" t="s">
        <v>339</v>
      </c>
      <c r="B12" s="0" t="s">
        <v>340</v>
      </c>
      <c r="C12" s="0" t="n">
        <v>16473.48</v>
      </c>
      <c r="D12" s="0" t="n">
        <f aca="false">Inputs!$B$5</f>
        <v>0.06</v>
      </c>
      <c r="E12" s="0" t="n">
        <f aca="false">C12*D12</f>
        <v>988.4088</v>
      </c>
      <c r="F12" s="0" t="n">
        <f aca="false">C12+E12</f>
        <v>17461.8888</v>
      </c>
      <c r="H12" s="0" t="n">
        <f aca="false">ROUNDUP(F12/Inputs!$B$8,0)</f>
        <v>364</v>
      </c>
      <c r="I12" s="0" t="s">
        <v>341</v>
      </c>
    </row>
    <row r="13" customFormat="false" ht="15" hidden="false" customHeight="false" outlineLevel="0" collapsed="false">
      <c r="A13" s="0" t="s">
        <v>342</v>
      </c>
      <c r="B13" s="0" t="s">
        <v>319</v>
      </c>
      <c r="C13" s="0" t="n">
        <v>1237.23</v>
      </c>
      <c r="D13" s="0" t="n">
        <f aca="false">Inputs!$B$4</f>
        <v>0.15</v>
      </c>
      <c r="E13" s="0" t="n">
        <f aca="false">C13*D13</f>
        <v>185.5845</v>
      </c>
      <c r="F13" s="0" t="n">
        <f aca="false">C13+E13</f>
        <v>1422.8145</v>
      </c>
      <c r="G13" s="0" t="s">
        <v>320</v>
      </c>
      <c r="H13" s="0" t="n">
        <f aca="false">ROUNDUP(F13/20,0)</f>
        <v>72</v>
      </c>
      <c r="I13" s="0" t="s">
        <v>343</v>
      </c>
    </row>
    <row r="14" customFormat="false" ht="15" hidden="false" customHeight="false" outlineLevel="0" collapsed="false">
      <c r="A14" s="0" t="s">
        <v>344</v>
      </c>
      <c r="B14" s="0" t="s">
        <v>319</v>
      </c>
      <c r="C14" s="0" t="n">
        <v>270.46</v>
      </c>
      <c r="D14" s="0" t="n">
        <f aca="false">Inputs!$B$4</f>
        <v>0.15</v>
      </c>
      <c r="E14" s="0" t="n">
        <f aca="false">C14*D14</f>
        <v>40.569</v>
      </c>
      <c r="F14" s="0" t="n">
        <f aca="false">C14+E14</f>
        <v>311.029</v>
      </c>
      <c r="G14" s="0" t="s">
        <v>323</v>
      </c>
      <c r="H14" s="0" t="n">
        <f aca="false">ROUNDUP(F14/10,0)</f>
        <v>32</v>
      </c>
      <c r="I14" s="0" t="s">
        <v>345</v>
      </c>
    </row>
    <row r="15" customFormat="false" ht="15" hidden="false" customHeight="false" outlineLevel="0" collapsed="false">
      <c r="A15" s="0" t="s">
        <v>346</v>
      </c>
      <c r="B15" s="0" t="s">
        <v>319</v>
      </c>
      <c r="C15" s="0" t="n">
        <v>270.46</v>
      </c>
      <c r="D15" s="0" t="n">
        <f aca="false">Inputs!$B$4</f>
        <v>0.15</v>
      </c>
      <c r="E15" s="0" t="n">
        <f aca="false">C15*D15</f>
        <v>40.569</v>
      </c>
      <c r="F15" s="0" t="n">
        <f aca="false">C15+E15</f>
        <v>311.029</v>
      </c>
      <c r="G15" s="0" t="s">
        <v>323</v>
      </c>
      <c r="H15" s="0" t="n">
        <f aca="false">ROUNDUP(F15/10,0)</f>
        <v>32</v>
      </c>
      <c r="I15" s="0" t="s">
        <v>347</v>
      </c>
    </row>
    <row r="16" customFormat="false" ht="15" hidden="false" customHeight="false" outlineLevel="0" collapsed="false">
      <c r="A16" s="0" t="s">
        <v>348</v>
      </c>
      <c r="B16" s="0" t="s">
        <v>319</v>
      </c>
      <c r="C16" s="0" t="n">
        <v>270.46</v>
      </c>
      <c r="D16" s="0" t="n">
        <f aca="false">Inputs!$B$5</f>
        <v>0.06</v>
      </c>
      <c r="E16" s="0" t="n">
        <f aca="false">C16*D16</f>
        <v>16.2276</v>
      </c>
      <c r="F16" s="0" t="n">
        <f aca="false">C16+E16</f>
        <v>286.6876</v>
      </c>
      <c r="H16" s="0" t="n">
        <f aca="false">ROUNDUP(F16,0)</f>
        <v>287</v>
      </c>
      <c r="I16" s="0" t="s">
        <v>349</v>
      </c>
    </row>
    <row r="17" customFormat="false" ht="15" hidden="false" customHeight="false" outlineLevel="0" collapsed="false">
      <c r="A17" s="0" t="s">
        <v>350</v>
      </c>
      <c r="B17" s="0" t="s">
        <v>340</v>
      </c>
      <c r="C17" s="0" t="n">
        <v>1036.4</v>
      </c>
      <c r="D17" s="0" t="n">
        <f aca="false">Inputs!$B$5</f>
        <v>0.06</v>
      </c>
      <c r="E17" s="0" t="n">
        <f aca="false">C17*D17</f>
        <v>62.184</v>
      </c>
      <c r="F17" s="0" t="n">
        <f aca="false">C17+E17</f>
        <v>1098.584</v>
      </c>
      <c r="H17" s="0" t="n">
        <f aca="false">ROUNDUP(F17/Inputs!$B$8,0)</f>
        <v>23</v>
      </c>
      <c r="I17" s="0" t="s">
        <v>351</v>
      </c>
    </row>
    <row r="18" customFormat="false" ht="15" hidden="false" customHeight="false" outlineLevel="0" collapsed="false">
      <c r="A18" s="0" t="s">
        <v>352</v>
      </c>
      <c r="B18" s="0" t="s">
        <v>319</v>
      </c>
      <c r="C18" s="0" t="n">
        <v>4229.89</v>
      </c>
      <c r="D18" s="0" t="n">
        <f aca="false">Inputs!$B$4</f>
        <v>0.15</v>
      </c>
      <c r="E18" s="0" t="n">
        <f aca="false">C18*D18</f>
        <v>634.4835</v>
      </c>
      <c r="F18" s="0" t="n">
        <f aca="false">C18+E18</f>
        <v>4864.3735</v>
      </c>
      <c r="G18" s="0" t="s">
        <v>320</v>
      </c>
      <c r="H18" s="0" t="n">
        <f aca="false">ROUNDUP(F18/20,0)</f>
        <v>244</v>
      </c>
      <c r="I18" s="0" t="s">
        <v>353</v>
      </c>
    </row>
    <row r="19" customFormat="false" ht="15" hidden="false" customHeight="false" outlineLevel="0" collapsed="false">
      <c r="A19" s="0" t="s">
        <v>354</v>
      </c>
      <c r="B19" s="0" t="s">
        <v>319</v>
      </c>
      <c r="C19" s="0" t="n">
        <v>220.91</v>
      </c>
      <c r="D19" s="0" t="n">
        <f aca="false">Inputs!$B$4</f>
        <v>0.15</v>
      </c>
      <c r="E19" s="0" t="n">
        <f aca="false">C19*D19</f>
        <v>33.1365</v>
      </c>
      <c r="F19" s="0" t="n">
        <f aca="false">C19+E19</f>
        <v>254.0465</v>
      </c>
      <c r="G19" s="0" t="s">
        <v>323</v>
      </c>
      <c r="H19" s="0" t="n">
        <f aca="false">ROUNDUP(F19/10,0)</f>
        <v>26</v>
      </c>
      <c r="I19" s="0" t="s">
        <v>355</v>
      </c>
    </row>
    <row r="20" customFormat="false" ht="15" hidden="false" customHeight="false" outlineLevel="0" collapsed="false">
      <c r="A20" s="0" t="s">
        <v>356</v>
      </c>
      <c r="B20" s="0" t="s">
        <v>319</v>
      </c>
      <c r="C20" s="0" t="n">
        <v>157.96</v>
      </c>
      <c r="D20" s="0" t="n">
        <f aca="false">Inputs!$B$4</f>
        <v>0.15</v>
      </c>
      <c r="E20" s="0" t="n">
        <f aca="false">C20*D20</f>
        <v>23.694</v>
      </c>
      <c r="F20" s="0" t="n">
        <f aca="false">C20+E20</f>
        <v>181.654</v>
      </c>
      <c r="G20" s="0" t="s">
        <v>323</v>
      </c>
      <c r="H20" s="0" t="n">
        <f aca="false">ROUNDUP(F20/10,0)</f>
        <v>19</v>
      </c>
      <c r="I20" s="0" t="s">
        <v>357</v>
      </c>
    </row>
    <row r="21" customFormat="false" ht="15" hidden="false" customHeight="false" outlineLevel="0" collapsed="false">
      <c r="A21" s="0" t="s">
        <v>358</v>
      </c>
      <c r="B21" s="0" t="s">
        <v>319</v>
      </c>
      <c r="C21" s="0" t="n">
        <v>106.03</v>
      </c>
      <c r="D21" s="0" t="n">
        <f aca="false">Inputs!$B$4</f>
        <v>0.15</v>
      </c>
      <c r="E21" s="0" t="n">
        <f aca="false">C21*D21</f>
        <v>15.9045</v>
      </c>
      <c r="F21" s="0" t="n">
        <f aca="false">C21+E21</f>
        <v>121.9345</v>
      </c>
      <c r="G21" s="0" t="s">
        <v>323</v>
      </c>
      <c r="H21" s="0" t="n">
        <f aca="false">ROUNDUP(F21/10,0)</f>
        <v>13</v>
      </c>
      <c r="I21" s="0" t="s">
        <v>359</v>
      </c>
    </row>
    <row r="22" customFormat="false" ht="15" hidden="false" customHeight="false" outlineLevel="0" collapsed="false">
      <c r="A22" s="0" t="s">
        <v>360</v>
      </c>
      <c r="B22" s="0" t="s">
        <v>319</v>
      </c>
      <c r="C22" s="0" t="n">
        <v>36.26</v>
      </c>
      <c r="D22" s="0" t="n">
        <f aca="false">Inputs!$B$4</f>
        <v>0.15</v>
      </c>
      <c r="E22" s="0" t="n">
        <f aca="false">C22*D22</f>
        <v>5.439</v>
      </c>
      <c r="F22" s="0" t="n">
        <f aca="false">C22+E22</f>
        <v>41.699</v>
      </c>
      <c r="G22" s="0" t="s">
        <v>323</v>
      </c>
      <c r="H22" s="0" t="n">
        <f aca="false">ROUNDUP(F22/10,0)</f>
        <v>5</v>
      </c>
      <c r="I22" s="0" t="s">
        <v>361</v>
      </c>
    </row>
    <row r="23" customFormat="false" ht="15" hidden="false" customHeight="false" outlineLevel="0" collapsed="false">
      <c r="A23" s="0" t="s">
        <v>362</v>
      </c>
      <c r="B23" s="0" t="s">
        <v>319</v>
      </c>
      <c r="C23" s="0" t="n">
        <v>1997.94</v>
      </c>
      <c r="D23" s="0" t="n">
        <f aca="false">Inputs!$B$4</f>
        <v>0.15</v>
      </c>
      <c r="E23" s="0" t="n">
        <f aca="false">C23*D23</f>
        <v>299.691</v>
      </c>
      <c r="F23" s="0" t="n">
        <f aca="false">C23+E23</f>
        <v>2297.631</v>
      </c>
      <c r="G23" s="0" t="s">
        <v>320</v>
      </c>
      <c r="H23" s="0" t="n">
        <f aca="false">ROUNDUP(F23/20,0)</f>
        <v>115</v>
      </c>
      <c r="I23" s="0" t="s">
        <v>363</v>
      </c>
    </row>
    <row r="24" customFormat="false" ht="15" hidden="false" customHeight="false" outlineLevel="0" collapsed="false">
      <c r="A24" s="0" t="s">
        <v>364</v>
      </c>
      <c r="B24" s="0" t="s">
        <v>319</v>
      </c>
      <c r="C24" s="0" t="n">
        <v>85.32</v>
      </c>
      <c r="D24" s="0" t="n">
        <f aca="false">Inputs!$B$4</f>
        <v>0.15</v>
      </c>
      <c r="E24" s="0" t="n">
        <f aca="false">C24*D24</f>
        <v>12.798</v>
      </c>
      <c r="F24" s="0" t="n">
        <f aca="false">C24+E24</f>
        <v>98.118</v>
      </c>
      <c r="G24" s="0" t="s">
        <v>323</v>
      </c>
      <c r="H24" s="0" t="n">
        <f aca="false">ROUNDUP(F24/10,0)</f>
        <v>10</v>
      </c>
      <c r="I24" s="0" t="s">
        <v>365</v>
      </c>
    </row>
    <row r="25" customFormat="false" ht="15" hidden="false" customHeight="false" outlineLevel="0" collapsed="false">
      <c r="A25" s="0" t="s">
        <v>366</v>
      </c>
      <c r="B25" s="0" t="s">
        <v>319</v>
      </c>
      <c r="C25" s="0" t="n">
        <v>87.53</v>
      </c>
      <c r="D25" s="0" t="n">
        <f aca="false">Inputs!$B$4</f>
        <v>0.15</v>
      </c>
      <c r="E25" s="0" t="n">
        <f aca="false">C25*D25</f>
        <v>13.1295</v>
      </c>
      <c r="F25" s="0" t="n">
        <f aca="false">C25+E25</f>
        <v>100.6595</v>
      </c>
      <c r="G25" s="0" t="s">
        <v>323</v>
      </c>
      <c r="H25" s="0" t="n">
        <f aca="false">ROUNDUP(F25/10,0)</f>
        <v>11</v>
      </c>
      <c r="I25" s="0" t="s">
        <v>357</v>
      </c>
    </row>
    <row r="26" customFormat="false" ht="15" hidden="false" customHeight="false" outlineLevel="0" collapsed="false">
      <c r="A26" s="0" t="s">
        <v>367</v>
      </c>
      <c r="B26" s="0" t="s">
        <v>319</v>
      </c>
      <c r="C26" s="0" t="n">
        <v>38.34</v>
      </c>
      <c r="D26" s="0" t="n">
        <f aca="false">Inputs!$B$4</f>
        <v>0.15</v>
      </c>
      <c r="E26" s="0" t="n">
        <f aca="false">C26*D26</f>
        <v>5.751</v>
      </c>
      <c r="F26" s="0" t="n">
        <f aca="false">C26+E26</f>
        <v>44.091</v>
      </c>
      <c r="G26" s="0" t="s">
        <v>323</v>
      </c>
      <c r="H26" s="0" t="n">
        <f aca="false">ROUNDUP(F26/10,0)</f>
        <v>5</v>
      </c>
      <c r="I26" s="0" t="s">
        <v>361</v>
      </c>
    </row>
    <row r="27" customFormat="false" ht="15" hidden="false" customHeight="false" outlineLevel="0" collapsed="false">
      <c r="A27" s="0" t="s">
        <v>368</v>
      </c>
      <c r="B27" s="0" t="s">
        <v>319</v>
      </c>
      <c r="C27" s="0" t="n">
        <v>207.4</v>
      </c>
      <c r="D27" s="0" t="n">
        <f aca="false">Inputs!$B$4</f>
        <v>0.15</v>
      </c>
      <c r="E27" s="0" t="n">
        <f aca="false">C27*D27</f>
        <v>31.11</v>
      </c>
      <c r="F27" s="0" t="n">
        <f aca="false">C27+E27</f>
        <v>238.51</v>
      </c>
      <c r="G27" s="0" t="s">
        <v>320</v>
      </c>
      <c r="H27" s="0" t="n">
        <f aca="false">ROUNDUP(F27/20,0)</f>
        <v>12</v>
      </c>
      <c r="I27" s="0" t="s">
        <v>369</v>
      </c>
    </row>
    <row r="28" customFormat="false" ht="15" hidden="false" customHeight="false" outlineLevel="0" collapsed="false">
      <c r="A28" s="0" t="s">
        <v>370</v>
      </c>
      <c r="B28" s="0" t="s">
        <v>319</v>
      </c>
      <c r="C28" s="0" t="n">
        <v>9.41</v>
      </c>
      <c r="D28" s="0" t="n">
        <f aca="false">Inputs!$B$4</f>
        <v>0.15</v>
      </c>
      <c r="E28" s="0" t="n">
        <f aca="false">C28*D28</f>
        <v>1.4115</v>
      </c>
      <c r="F28" s="0" t="n">
        <f aca="false">C28+E28</f>
        <v>10.8215</v>
      </c>
      <c r="G28" s="0" t="s">
        <v>323</v>
      </c>
      <c r="H28" s="0" t="n">
        <f aca="false">ROUNDUP(F28/10,0)</f>
        <v>2</v>
      </c>
      <c r="I28" s="0" t="s">
        <v>371</v>
      </c>
    </row>
    <row r="29" customFormat="false" ht="15" hidden="false" customHeight="false" outlineLevel="0" collapsed="false">
      <c r="A29" s="0" t="s">
        <v>372</v>
      </c>
      <c r="B29" s="0" t="s">
        <v>319</v>
      </c>
      <c r="C29" s="0" t="n">
        <v>76.88</v>
      </c>
      <c r="D29" s="0" t="n">
        <f aca="false">Inputs!$B$4</f>
        <v>0.15</v>
      </c>
      <c r="E29" s="0" t="n">
        <f aca="false">C29*D29</f>
        <v>11.532</v>
      </c>
      <c r="F29" s="0" t="n">
        <f aca="false">C29+E29</f>
        <v>88.412</v>
      </c>
      <c r="G29" s="0" t="s">
        <v>320</v>
      </c>
      <c r="H29" s="0" t="n">
        <f aca="false">ROUNDUP(F29/20,0)</f>
        <v>5</v>
      </c>
      <c r="I29" s="0" t="s">
        <v>369</v>
      </c>
    </row>
    <row r="30" customFormat="false" ht="15" hidden="false" customHeight="false" outlineLevel="0" collapsed="false">
      <c r="A30" s="0" t="s">
        <v>373</v>
      </c>
      <c r="B30" s="0" t="s">
        <v>319</v>
      </c>
      <c r="C30" s="0" t="n">
        <v>2.21</v>
      </c>
      <c r="D30" s="0" t="n">
        <f aca="false">Inputs!$B$4</f>
        <v>0.15</v>
      </c>
      <c r="E30" s="0" t="n">
        <f aca="false">C30*D30</f>
        <v>0.3315</v>
      </c>
      <c r="F30" s="0" t="n">
        <f aca="false">C30+E30</f>
        <v>2.5415</v>
      </c>
      <c r="G30" s="0" t="s">
        <v>323</v>
      </c>
      <c r="H30" s="0" t="n">
        <f aca="false">ROUNDUP(F30/10,0)</f>
        <v>1</v>
      </c>
      <c r="I30" s="0" t="s">
        <v>371</v>
      </c>
    </row>
    <row r="31" customFormat="false" ht="15" hidden="false" customHeight="false" outlineLevel="0" collapsed="false">
      <c r="A31" s="0" t="s">
        <v>374</v>
      </c>
      <c r="B31" s="0" t="s">
        <v>319</v>
      </c>
      <c r="C31" s="0" t="n">
        <v>4428</v>
      </c>
      <c r="D31" s="0" t="n">
        <f aca="false">Inputs!$B$4</f>
        <v>0.15</v>
      </c>
      <c r="E31" s="0" t="n">
        <f aca="false">C31*D31</f>
        <v>664.2</v>
      </c>
      <c r="F31" s="0" t="n">
        <f aca="false">C31+E31</f>
        <v>5092.2</v>
      </c>
      <c r="G31" s="0" t="s">
        <v>320</v>
      </c>
      <c r="H31" s="0" t="n">
        <f aca="false">ROUNDUP(F31/20,0)</f>
        <v>255</v>
      </c>
      <c r="I31" s="0" t="s">
        <v>375</v>
      </c>
    </row>
    <row r="32" customFormat="false" ht="15" hidden="false" customHeight="false" outlineLevel="0" collapsed="false">
      <c r="A32" s="0" t="s">
        <v>376</v>
      </c>
      <c r="B32" s="0" t="s">
        <v>319</v>
      </c>
      <c r="C32" s="0" t="n">
        <v>203.12</v>
      </c>
      <c r="D32" s="0" t="n">
        <f aca="false">Inputs!$B$4</f>
        <v>0.15</v>
      </c>
      <c r="E32" s="0" t="n">
        <f aca="false">C32*D32</f>
        <v>30.468</v>
      </c>
      <c r="F32" s="0" t="n">
        <f aca="false">C32+E32</f>
        <v>233.588</v>
      </c>
      <c r="G32" s="0" t="s">
        <v>323</v>
      </c>
      <c r="H32" s="0" t="n">
        <f aca="false">ROUNDUP(F32/10,0)</f>
        <v>24</v>
      </c>
      <c r="I32" s="0" t="s">
        <v>377</v>
      </c>
    </row>
    <row r="33" customFormat="false" ht="15" hidden="false" customHeight="false" outlineLevel="0" collapsed="false">
      <c r="A33" s="0" t="s">
        <v>378</v>
      </c>
      <c r="B33" s="0" t="s">
        <v>319</v>
      </c>
      <c r="C33" s="0" t="n">
        <v>203.12</v>
      </c>
      <c r="D33" s="0" t="n">
        <f aca="false">Inputs!$B$4</f>
        <v>0.15</v>
      </c>
      <c r="E33" s="0" t="n">
        <f aca="false">C33*D33</f>
        <v>30.468</v>
      </c>
      <c r="F33" s="0" t="n">
        <f aca="false">C33+E33</f>
        <v>233.588</v>
      </c>
      <c r="G33" s="0" t="s">
        <v>323</v>
      </c>
      <c r="H33" s="0" t="n">
        <f aca="false">ROUNDUP(F33/10,0)</f>
        <v>24</v>
      </c>
      <c r="I33" s="0" t="s">
        <v>379</v>
      </c>
    </row>
    <row r="34" customFormat="false" ht="15" hidden="false" customHeight="false" outlineLevel="0" collapsed="false">
      <c r="A34" s="0" t="s">
        <v>380</v>
      </c>
      <c r="B34" s="0" t="s">
        <v>319</v>
      </c>
      <c r="C34" s="0" t="n">
        <v>72.36</v>
      </c>
      <c r="D34" s="0" t="n">
        <f aca="false">Inputs!$B$4</f>
        <v>0.15</v>
      </c>
      <c r="E34" s="0" t="n">
        <f aca="false">C34*D34</f>
        <v>10.854</v>
      </c>
      <c r="F34" s="0" t="n">
        <f aca="false">C34+E34</f>
        <v>83.214</v>
      </c>
      <c r="G34" s="0" t="s">
        <v>323</v>
      </c>
      <c r="H34" s="0" t="n">
        <f aca="false">ROUNDUP(F34/10,0)</f>
        <v>9</v>
      </c>
      <c r="I34" s="0" t="s">
        <v>381</v>
      </c>
    </row>
    <row r="35" customFormat="false" ht="15" hidden="false" customHeight="false" outlineLevel="0" collapsed="false">
      <c r="A35" s="0" t="s">
        <v>382</v>
      </c>
      <c r="B35" s="0" t="s">
        <v>340</v>
      </c>
      <c r="C35" s="0" t="n">
        <v>445.07</v>
      </c>
      <c r="D35" s="0" t="n">
        <f aca="false">Inputs!$B$5</f>
        <v>0.06</v>
      </c>
      <c r="E35" s="0" t="n">
        <f aca="false">C35*D35</f>
        <v>26.7042</v>
      </c>
      <c r="F35" s="0" t="n">
        <f aca="false">C35+E35</f>
        <v>471.7742</v>
      </c>
      <c r="H35" s="0" t="n">
        <f aca="false">ROUNDUP(F35/Inputs!$B$8,0)</f>
        <v>10</v>
      </c>
      <c r="I35" s="0" t="s">
        <v>383</v>
      </c>
    </row>
    <row r="36" customFormat="false" ht="15" hidden="false" customHeight="false" outlineLevel="0" collapsed="false">
      <c r="A36" s="0" t="s">
        <v>384</v>
      </c>
      <c r="B36" s="0" t="s">
        <v>319</v>
      </c>
      <c r="C36" s="0" t="n">
        <v>63.09</v>
      </c>
      <c r="D36" s="0" t="n">
        <f aca="false">Inputs!$B$4</f>
        <v>0.15</v>
      </c>
      <c r="E36" s="0" t="n">
        <f aca="false">C36*D36</f>
        <v>9.4635</v>
      </c>
      <c r="F36" s="0" t="n">
        <f aca="false">C36+E36</f>
        <v>72.5535</v>
      </c>
      <c r="G36" s="0" t="s">
        <v>323</v>
      </c>
      <c r="H36" s="0" t="n">
        <f aca="false">ROUNDUP(F36/10,0)</f>
        <v>8</v>
      </c>
      <c r="I36" s="0" t="s">
        <v>385</v>
      </c>
    </row>
    <row r="37" customFormat="false" ht="15" hidden="false" customHeight="false" outlineLevel="0" collapsed="false">
      <c r="A37" s="0" t="s">
        <v>386</v>
      </c>
      <c r="B37" s="0" t="s">
        <v>340</v>
      </c>
      <c r="C37" s="0" t="n">
        <v>262.4</v>
      </c>
      <c r="D37" s="0" t="n">
        <f aca="false">Inputs!$B$5</f>
        <v>0.06</v>
      </c>
      <c r="E37" s="0" t="n">
        <f aca="false">C37*D37</f>
        <v>15.744</v>
      </c>
      <c r="F37" s="0" t="n">
        <f aca="false">C37+E37</f>
        <v>278.144</v>
      </c>
      <c r="H37" s="0" t="n">
        <f aca="false">ROUNDUP(F37/Inputs!$B$8,0)</f>
        <v>6</v>
      </c>
      <c r="I37" s="0" t="s">
        <v>387</v>
      </c>
    </row>
    <row r="38" customFormat="false" ht="15" hidden="false" customHeight="false" outlineLevel="0" collapsed="false">
      <c r="A38" s="0" t="s">
        <v>388</v>
      </c>
      <c r="B38" s="0" t="s">
        <v>319</v>
      </c>
      <c r="C38" s="0" t="n">
        <v>3715.92</v>
      </c>
      <c r="D38" s="0" t="n">
        <f aca="false">Inputs!$B$4</f>
        <v>0.15</v>
      </c>
      <c r="E38" s="0" t="n">
        <f aca="false">C38*D38</f>
        <v>557.388</v>
      </c>
      <c r="F38" s="0" t="n">
        <f aca="false">C38+E38</f>
        <v>4273.308</v>
      </c>
      <c r="G38" s="0" t="s">
        <v>320</v>
      </c>
      <c r="H38" s="0" t="n">
        <f aca="false">ROUNDUP(F38/20,0)</f>
        <v>214</v>
      </c>
      <c r="I38" s="0" t="s">
        <v>389</v>
      </c>
    </row>
    <row r="39" customFormat="false" ht="15" hidden="false" customHeight="false" outlineLevel="0" collapsed="false">
      <c r="A39" s="0" t="s">
        <v>390</v>
      </c>
      <c r="B39" s="0" t="s">
        <v>319</v>
      </c>
      <c r="C39" s="0" t="n">
        <v>264.87</v>
      </c>
      <c r="D39" s="0" t="n">
        <f aca="false">Inputs!$B$4</f>
        <v>0.15</v>
      </c>
      <c r="E39" s="0" t="n">
        <f aca="false">C39*D39</f>
        <v>39.7305</v>
      </c>
      <c r="F39" s="0" t="n">
        <f aca="false">C39+E39</f>
        <v>304.6005</v>
      </c>
      <c r="G39" s="0" t="s">
        <v>323</v>
      </c>
      <c r="H39" s="0" t="n">
        <f aca="false">ROUNDUP(F39/10,0)</f>
        <v>31</v>
      </c>
      <c r="I39" s="0" t="s">
        <v>391</v>
      </c>
    </row>
    <row r="40" customFormat="false" ht="15" hidden="false" customHeight="false" outlineLevel="0" collapsed="false">
      <c r="A40" s="0" t="s">
        <v>392</v>
      </c>
      <c r="B40" s="0" t="s">
        <v>319</v>
      </c>
      <c r="C40" s="0" t="n">
        <v>264.87</v>
      </c>
      <c r="D40" s="0" t="n">
        <f aca="false">Inputs!$B$4</f>
        <v>0.15</v>
      </c>
      <c r="E40" s="0" t="n">
        <f aca="false">C40*D40</f>
        <v>39.7305</v>
      </c>
      <c r="F40" s="0" t="n">
        <f aca="false">C40+E40</f>
        <v>304.6005</v>
      </c>
      <c r="G40" s="0" t="s">
        <v>323</v>
      </c>
      <c r="H40" s="0" t="n">
        <f aca="false">ROUNDUP(F40/10,0)</f>
        <v>31</v>
      </c>
      <c r="I40" s="0" t="s">
        <v>393</v>
      </c>
    </row>
    <row r="41" customFormat="false" ht="15" hidden="false" customHeight="false" outlineLevel="0" collapsed="false">
      <c r="A41" s="0" t="s">
        <v>394</v>
      </c>
      <c r="B41" s="0" t="s">
        <v>319</v>
      </c>
      <c r="C41" s="0" t="n">
        <v>219.56</v>
      </c>
      <c r="D41" s="0" t="n">
        <f aca="false">Inputs!$B$5</f>
        <v>0.06</v>
      </c>
      <c r="E41" s="0" t="n">
        <f aca="false">C41*D41</f>
        <v>13.1736</v>
      </c>
      <c r="F41" s="0" t="n">
        <f aca="false">C41+E41</f>
        <v>232.7336</v>
      </c>
      <c r="H41" s="0" t="n">
        <f aca="false">ROUNDUP(F41,0)</f>
        <v>233</v>
      </c>
      <c r="I41" s="0" t="s">
        <v>395</v>
      </c>
    </row>
    <row r="42" customFormat="false" ht="15" hidden="false" customHeight="false" outlineLevel="0" collapsed="false">
      <c r="A42" s="0" t="s">
        <v>396</v>
      </c>
      <c r="B42" s="0" t="s">
        <v>340</v>
      </c>
      <c r="C42" s="0" t="n">
        <v>2969.7</v>
      </c>
      <c r="D42" s="0" t="n">
        <f aca="false">Inputs!$B$5</f>
        <v>0.06</v>
      </c>
      <c r="E42" s="0" t="n">
        <f aca="false">C42*D42</f>
        <v>178.182</v>
      </c>
      <c r="F42" s="0" t="n">
        <f aca="false">C42+E42</f>
        <v>3147.882</v>
      </c>
      <c r="H42" s="0" t="n">
        <f aca="false">ROUNDUP(F42/Inputs!$B$8,0)</f>
        <v>66</v>
      </c>
      <c r="I42" s="0" t="s">
        <v>397</v>
      </c>
    </row>
    <row r="43" customFormat="false" ht="15" hidden="false" customHeight="false" outlineLevel="0" collapsed="false">
      <c r="A43" s="0" t="s">
        <v>398</v>
      </c>
      <c r="B43" s="0" t="s">
        <v>340</v>
      </c>
      <c r="C43" s="0" t="n">
        <v>3898.12</v>
      </c>
      <c r="D43" s="0" t="n">
        <f aca="false">Inputs!$B$5</f>
        <v>0.06</v>
      </c>
      <c r="E43" s="0" t="n">
        <f aca="false">C43*D43</f>
        <v>233.8872</v>
      </c>
      <c r="F43" s="0" t="n">
        <f aca="false">C43+E43</f>
        <v>4132.0072</v>
      </c>
      <c r="H43" s="0" t="n">
        <f aca="false">ROUNDUP(F43/Inputs!$B$8,0)</f>
        <v>87</v>
      </c>
      <c r="I43" s="0" t="s">
        <v>399</v>
      </c>
    </row>
    <row r="44" customFormat="false" ht="15" hidden="false" customHeight="false" outlineLevel="0" collapsed="false">
      <c r="A44" s="0" t="s">
        <v>400</v>
      </c>
      <c r="B44" s="0" t="s">
        <v>340</v>
      </c>
      <c r="C44" s="0" t="n">
        <v>1061.73</v>
      </c>
      <c r="D44" s="0" t="n">
        <f aca="false">Inputs!$B$5</f>
        <v>0.06</v>
      </c>
      <c r="E44" s="0" t="n">
        <f aca="false">C44*D44</f>
        <v>63.7038</v>
      </c>
      <c r="F44" s="0" t="n">
        <f aca="false">C44+E44</f>
        <v>1125.4338</v>
      </c>
      <c r="H44" s="0" t="n">
        <f aca="false">ROUNDUP(F44/Inputs!$B$8,0)</f>
        <v>24</v>
      </c>
      <c r="I44" s="0" t="s">
        <v>401</v>
      </c>
    </row>
    <row r="45" customFormat="false" ht="15" hidden="false" customHeight="false" outlineLevel="0" collapsed="false">
      <c r="A45" s="0" t="s">
        <v>402</v>
      </c>
      <c r="B45" s="0" t="s">
        <v>319</v>
      </c>
      <c r="C45" s="0" t="n">
        <v>246.62</v>
      </c>
      <c r="D45" s="0" t="n">
        <f aca="false">Inputs!$B$4</f>
        <v>0.15</v>
      </c>
      <c r="E45" s="0" t="n">
        <f aca="false">C45*D45</f>
        <v>36.993</v>
      </c>
      <c r="F45" s="0" t="n">
        <f aca="false">C45+E45</f>
        <v>283.613</v>
      </c>
      <c r="G45" s="0" t="s">
        <v>328</v>
      </c>
      <c r="H45" s="0" t="n">
        <f aca="false">ROUNDUP(F45/16,0)</f>
        <v>18</v>
      </c>
      <c r="I45" s="0" t="s">
        <v>403</v>
      </c>
    </row>
    <row r="46" customFormat="false" ht="15" hidden="false" customHeight="false" outlineLevel="0" collapsed="false">
      <c r="A46" s="0" t="s">
        <v>404</v>
      </c>
      <c r="B46" s="0" t="s">
        <v>319</v>
      </c>
      <c r="C46" s="0" t="n">
        <v>739.86</v>
      </c>
      <c r="D46" s="0" t="n">
        <f aca="false">Inputs!$B$4</f>
        <v>0.15</v>
      </c>
      <c r="E46" s="0" t="n">
        <f aca="false">C46*D46</f>
        <v>110.979</v>
      </c>
      <c r="F46" s="0" t="n">
        <f aca="false">C46+E46</f>
        <v>850.839</v>
      </c>
      <c r="G46" s="0" t="s">
        <v>405</v>
      </c>
      <c r="H46" s="0" t="n">
        <f aca="false">ROUNDUP(F46/12,0)</f>
        <v>71</v>
      </c>
      <c r="I46" s="0" t="s">
        <v>406</v>
      </c>
    </row>
    <row r="47" customFormat="false" ht="15" hidden="false" customHeight="false" outlineLevel="0" collapsed="false">
      <c r="A47" s="0" t="s">
        <v>407</v>
      </c>
      <c r="B47" s="0" t="s">
        <v>319</v>
      </c>
      <c r="C47" s="0" t="n">
        <v>336.97</v>
      </c>
      <c r="D47" s="0" t="n">
        <f aca="false">Inputs!$B$4</f>
        <v>0.15</v>
      </c>
      <c r="E47" s="0" t="n">
        <f aca="false">C47*D47</f>
        <v>50.5455</v>
      </c>
      <c r="F47" s="0" t="n">
        <f aca="false">C47+E47</f>
        <v>387.5155</v>
      </c>
      <c r="H47" s="0" t="n">
        <f aca="false">ROUNDUP(F47,0)</f>
        <v>388</v>
      </c>
      <c r="I47" s="0" t="s">
        <v>408</v>
      </c>
    </row>
    <row r="48" customFormat="false" ht="15" hidden="false" customHeight="false" outlineLevel="0" collapsed="false">
      <c r="A48" s="0" t="s">
        <v>409</v>
      </c>
      <c r="B48" s="0" t="s">
        <v>319</v>
      </c>
      <c r="C48" s="0" t="n">
        <v>380.33</v>
      </c>
      <c r="D48" s="0" t="n">
        <f aca="false">Inputs!$B$4</f>
        <v>0.15</v>
      </c>
      <c r="E48" s="0" t="n">
        <f aca="false">C48*D48</f>
        <v>57.0495</v>
      </c>
      <c r="F48" s="0" t="n">
        <f aca="false">C48+E48</f>
        <v>437.3795</v>
      </c>
      <c r="G48" s="0" t="s">
        <v>323</v>
      </c>
      <c r="H48" s="0" t="n">
        <f aca="false">ROUNDUP(F48/10,0)</f>
        <v>44</v>
      </c>
      <c r="I48" s="0" t="s">
        <v>410</v>
      </c>
    </row>
    <row r="49" customFormat="false" ht="15" hidden="false" customHeight="false" outlineLevel="0" collapsed="false">
      <c r="A49" s="0" t="s">
        <v>411</v>
      </c>
      <c r="B49" s="0" t="s">
        <v>319</v>
      </c>
      <c r="C49" s="0" t="n">
        <v>2015.17</v>
      </c>
      <c r="D49" s="0" t="n">
        <f aca="false">Inputs!$B$4</f>
        <v>0.15</v>
      </c>
      <c r="E49" s="0" t="n">
        <f aca="false">C49*D49</f>
        <v>302.2755</v>
      </c>
      <c r="F49" s="0" t="n">
        <f aca="false">C49+E49</f>
        <v>2317.4455</v>
      </c>
      <c r="G49" s="0" t="s">
        <v>320</v>
      </c>
      <c r="H49" s="0" t="n">
        <f aca="false">ROUNDUP(F49/20,0)</f>
        <v>116</v>
      </c>
      <c r="I49" s="0" t="s">
        <v>412</v>
      </c>
    </row>
    <row r="50" customFormat="false" ht="15" hidden="false" customHeight="false" outlineLevel="0" collapsed="false">
      <c r="A50" s="0" t="s">
        <v>413</v>
      </c>
      <c r="B50" s="0" t="s">
        <v>319</v>
      </c>
      <c r="C50" s="0" t="n">
        <v>12.01</v>
      </c>
      <c r="D50" s="0" t="n">
        <f aca="false">Inputs!$B$4</f>
        <v>0.15</v>
      </c>
      <c r="E50" s="0" t="n">
        <f aca="false">C50*D50</f>
        <v>1.8015</v>
      </c>
      <c r="F50" s="0" t="n">
        <f aca="false">C50+E50</f>
        <v>13.8115</v>
      </c>
      <c r="G50" s="0" t="s">
        <v>323</v>
      </c>
      <c r="H50" s="0" t="n">
        <f aca="false">ROUNDUP(F50/10,0)</f>
        <v>2</v>
      </c>
      <c r="I50" s="0" t="s">
        <v>414</v>
      </c>
    </row>
    <row r="51" customFormat="false" ht="15" hidden="false" customHeight="false" outlineLevel="0" collapsed="false">
      <c r="A51" s="0" t="s">
        <v>415</v>
      </c>
      <c r="B51" s="0" t="s">
        <v>319</v>
      </c>
      <c r="C51" s="0" t="n">
        <v>256.32</v>
      </c>
      <c r="D51" s="0" t="n">
        <f aca="false">Inputs!$B$4</f>
        <v>0.15</v>
      </c>
      <c r="E51" s="0" t="n">
        <f aca="false">C51*D51</f>
        <v>38.448</v>
      </c>
      <c r="F51" s="0" t="n">
        <f aca="false">C51+E51</f>
        <v>294.768</v>
      </c>
      <c r="G51" s="0" t="s">
        <v>323</v>
      </c>
      <c r="H51" s="0" t="n">
        <f aca="false">ROUNDUP(F51/10,0)</f>
        <v>30</v>
      </c>
      <c r="I51" s="0" t="s">
        <v>416</v>
      </c>
    </row>
    <row r="52" customFormat="false" ht="15" hidden="false" customHeight="false" outlineLevel="0" collapsed="false">
      <c r="A52" s="0" t="s">
        <v>417</v>
      </c>
      <c r="B52" s="0" t="s">
        <v>319</v>
      </c>
      <c r="C52" s="0" t="n">
        <v>256.32</v>
      </c>
      <c r="D52" s="0" t="n">
        <f aca="false">Inputs!$B$4</f>
        <v>0.15</v>
      </c>
      <c r="E52" s="0" t="n">
        <f aca="false">C52*D52</f>
        <v>38.448</v>
      </c>
      <c r="F52" s="0" t="n">
        <f aca="false">C52+E52</f>
        <v>294.768</v>
      </c>
      <c r="G52" s="0" t="s">
        <v>323</v>
      </c>
      <c r="H52" s="0" t="n">
        <f aca="false">ROUNDUP(F52/10,0)</f>
        <v>30</v>
      </c>
      <c r="I52" s="0" t="s">
        <v>418</v>
      </c>
    </row>
    <row r="53" customFormat="false" ht="15" hidden="false" customHeight="false" outlineLevel="0" collapsed="false">
      <c r="A53" s="0" t="s">
        <v>419</v>
      </c>
      <c r="B53" s="0" t="s">
        <v>319</v>
      </c>
      <c r="C53" s="0" t="n">
        <v>372.9</v>
      </c>
      <c r="D53" s="0" t="n">
        <f aca="false">Inputs!$B$4</f>
        <v>0.15</v>
      </c>
      <c r="E53" s="0" t="n">
        <f aca="false">C53*D53</f>
        <v>55.935</v>
      </c>
      <c r="F53" s="0" t="n">
        <f aca="false">C53+E53</f>
        <v>428.835</v>
      </c>
      <c r="G53" s="0" t="s">
        <v>323</v>
      </c>
      <c r="H53" s="0" t="n">
        <f aca="false">ROUNDUP(F53/10,0)</f>
        <v>43</v>
      </c>
      <c r="I53" s="0" t="s">
        <v>420</v>
      </c>
    </row>
    <row r="54" customFormat="false" ht="15" hidden="false" customHeight="false" outlineLevel="0" collapsed="false">
      <c r="A54" s="0" t="s">
        <v>421</v>
      </c>
      <c r="B54" s="0" t="s">
        <v>340</v>
      </c>
      <c r="C54" s="0" t="n">
        <v>2248.02</v>
      </c>
      <c r="D54" s="0" t="n">
        <f aca="false">Inputs!$B$5</f>
        <v>0.06</v>
      </c>
      <c r="E54" s="0" t="n">
        <f aca="false">C54*D54</f>
        <v>134.8812</v>
      </c>
      <c r="F54" s="0" t="n">
        <f aca="false">C54+E54</f>
        <v>2382.9012</v>
      </c>
      <c r="H54" s="0" t="n">
        <f aca="false">ROUNDUP(F54/Inputs!$B$8,0)</f>
        <v>50</v>
      </c>
      <c r="I54" s="0" t="s">
        <v>422</v>
      </c>
    </row>
    <row r="55" customFormat="false" ht="15" hidden="false" customHeight="false" outlineLevel="0" collapsed="false">
      <c r="A55" s="0" t="s">
        <v>423</v>
      </c>
      <c r="B55" s="0" t="s">
        <v>319</v>
      </c>
      <c r="C55" s="0" t="n">
        <v>686</v>
      </c>
      <c r="D55" s="0" t="n">
        <f aca="false">Inputs!$B$4</f>
        <v>0.15</v>
      </c>
      <c r="E55" s="0" t="n">
        <f aca="false">C55*D55</f>
        <v>102.9</v>
      </c>
      <c r="F55" s="0" t="n">
        <f aca="false">C55+E55</f>
        <v>788.9</v>
      </c>
      <c r="G55" s="0" t="s">
        <v>323</v>
      </c>
      <c r="H55" s="0" t="n">
        <f aca="false">ROUNDUP(F55/10,0)</f>
        <v>79</v>
      </c>
      <c r="I55" s="0" t="s">
        <v>424</v>
      </c>
    </row>
    <row r="56" customFormat="false" ht="15" hidden="false" customHeight="false" outlineLevel="0" collapsed="false">
      <c r="A56" s="0" t="s">
        <v>425</v>
      </c>
      <c r="B56" s="0" t="s">
        <v>319</v>
      </c>
      <c r="C56" s="0" t="n">
        <v>112</v>
      </c>
      <c r="D56" s="0" t="n">
        <f aca="false">Inputs!$B$4</f>
        <v>0.15</v>
      </c>
      <c r="E56" s="0" t="n">
        <f aca="false">C56*D56</f>
        <v>16.8</v>
      </c>
      <c r="F56" s="0" t="n">
        <f aca="false">C56+E56</f>
        <v>128.8</v>
      </c>
      <c r="G56" s="0" t="s">
        <v>323</v>
      </c>
      <c r="H56" s="0" t="n">
        <f aca="false">ROUNDUP(F56/10,0)</f>
        <v>13</v>
      </c>
      <c r="I56" s="0" t="s">
        <v>426</v>
      </c>
    </row>
    <row r="57" customFormat="false" ht="15" hidden="false" customHeight="false" outlineLevel="0" collapsed="false">
      <c r="A57" s="0" t="s">
        <v>427</v>
      </c>
      <c r="B57" s="0" t="s">
        <v>319</v>
      </c>
      <c r="C57" s="0" t="n">
        <v>112</v>
      </c>
      <c r="D57" s="0" t="n">
        <f aca="false">Inputs!$B$4</f>
        <v>0.15</v>
      </c>
      <c r="E57" s="0" t="n">
        <f aca="false">C57*D57</f>
        <v>16.8</v>
      </c>
      <c r="F57" s="0" t="n">
        <f aca="false">C57+E57</f>
        <v>128.8</v>
      </c>
      <c r="G57" s="0" t="s">
        <v>428</v>
      </c>
      <c r="H57" s="0" t="n">
        <f aca="false">ROUNDUP(F57/10,0)</f>
        <v>13</v>
      </c>
      <c r="I57" s="0" t="s">
        <v>429</v>
      </c>
    </row>
    <row r="58" customFormat="false" ht="15" hidden="false" customHeight="false" outlineLevel="0" collapsed="false">
      <c r="A58" s="0" t="s">
        <v>430</v>
      </c>
      <c r="B58" s="0" t="s">
        <v>319</v>
      </c>
      <c r="C58" s="0" t="n">
        <v>1122.8</v>
      </c>
      <c r="D58" s="0" t="n">
        <f aca="false">Inputs!$B$4</f>
        <v>0.15</v>
      </c>
      <c r="E58" s="0" t="n">
        <f aca="false">C58*D58</f>
        <v>168.42</v>
      </c>
      <c r="F58" s="0" t="n">
        <f aca="false">C58+E58</f>
        <v>1291.22</v>
      </c>
      <c r="G58" s="0" t="s">
        <v>428</v>
      </c>
      <c r="H58" s="0" t="n">
        <f aca="false">ROUNDUP(F58/10,0)</f>
        <v>130</v>
      </c>
      <c r="I58" s="0" t="s">
        <v>431</v>
      </c>
    </row>
    <row r="59" customFormat="false" ht="15" hidden="false" customHeight="false" outlineLevel="0" collapsed="false">
      <c r="A59" s="0" t="s">
        <v>432</v>
      </c>
      <c r="B59" s="0" t="s">
        <v>319</v>
      </c>
      <c r="C59" s="0" t="n">
        <v>235.98</v>
      </c>
      <c r="D59" s="0" t="n">
        <f aca="false">Inputs!$B$4</f>
        <v>0.15</v>
      </c>
      <c r="E59" s="0" t="n">
        <f aca="false">C59*D59</f>
        <v>35.397</v>
      </c>
      <c r="F59" s="0" t="n">
        <f aca="false">C59+E59</f>
        <v>271.377</v>
      </c>
      <c r="G59" s="0" t="s">
        <v>428</v>
      </c>
      <c r="H59" s="0" t="n">
        <f aca="false">ROUNDUP(F59/10,0)</f>
        <v>28</v>
      </c>
      <c r="I59" s="0" t="s">
        <v>433</v>
      </c>
    </row>
    <row r="60" customFormat="false" ht="15" hidden="false" customHeight="false" outlineLevel="0" collapsed="false">
      <c r="A60" s="0" t="s">
        <v>434</v>
      </c>
      <c r="B60" s="0" t="s">
        <v>319</v>
      </c>
      <c r="C60" s="0" t="n">
        <v>56.85</v>
      </c>
      <c r="D60" s="0" t="n">
        <f aca="false">Inputs!$B$4</f>
        <v>0.15</v>
      </c>
      <c r="E60" s="0" t="n">
        <f aca="false">C60*D60</f>
        <v>8.5275</v>
      </c>
      <c r="F60" s="0" t="n">
        <f aca="false">C60+E60</f>
        <v>65.3775</v>
      </c>
      <c r="G60" s="0" t="s">
        <v>428</v>
      </c>
      <c r="H60" s="0" t="n">
        <f aca="false">ROUNDUP(F60/10,0)</f>
        <v>7</v>
      </c>
      <c r="I60" s="0" t="s">
        <v>435</v>
      </c>
    </row>
    <row r="61" customFormat="false" ht="15" hidden="false" customHeight="false" outlineLevel="0" collapsed="false">
      <c r="A61" s="0" t="s">
        <v>436</v>
      </c>
      <c r="B61" s="0" t="s">
        <v>319</v>
      </c>
      <c r="C61" s="0" t="n">
        <v>209.24</v>
      </c>
      <c r="D61" s="0" t="n">
        <f aca="false">Inputs!$B$4</f>
        <v>0.15</v>
      </c>
      <c r="E61" s="0" t="n">
        <f aca="false">C61*D61</f>
        <v>31.386</v>
      </c>
      <c r="F61" s="0" t="n">
        <f aca="false">C61+E61</f>
        <v>240.626</v>
      </c>
      <c r="G61" s="0" t="s">
        <v>428</v>
      </c>
      <c r="H61" s="0" t="n">
        <f aca="false">ROUNDUP(F61/10,0)</f>
        <v>25</v>
      </c>
      <c r="I61" s="0" t="s">
        <v>437</v>
      </c>
    </row>
    <row r="62" customFormat="false" ht="15" hidden="false" customHeight="false" outlineLevel="0" collapsed="false">
      <c r="A62" s="0" t="s">
        <v>438</v>
      </c>
      <c r="B62" s="0" t="s">
        <v>340</v>
      </c>
      <c r="C62" s="0" t="n">
        <v>141.59</v>
      </c>
      <c r="D62" s="0" t="n">
        <f aca="false">Inputs!$B$5</f>
        <v>0.06</v>
      </c>
      <c r="E62" s="0" t="n">
        <f aca="false">C62*D62</f>
        <v>8.4954</v>
      </c>
      <c r="F62" s="0" t="n">
        <f aca="false">C62+E62</f>
        <v>150.0854</v>
      </c>
      <c r="H62" s="0" t="n">
        <f aca="false">ROUNDUP(F62/Inputs!$B$8,0)</f>
        <v>4</v>
      </c>
      <c r="I62" s="0" t="s">
        <v>439</v>
      </c>
    </row>
    <row r="63" customFormat="false" ht="15" hidden="false" customHeight="false" outlineLevel="0" collapsed="false">
      <c r="A63" s="0" t="s">
        <v>440</v>
      </c>
      <c r="B63" s="0" t="s">
        <v>340</v>
      </c>
      <c r="C63" s="0" t="n">
        <v>68.42</v>
      </c>
      <c r="D63" s="0" t="n">
        <f aca="false">Inputs!$B$5</f>
        <v>0.06</v>
      </c>
      <c r="E63" s="0" t="n">
        <f aca="false">C63*D63</f>
        <v>4.1052</v>
      </c>
      <c r="F63" s="0" t="n">
        <f aca="false">C63+E63</f>
        <v>72.5252</v>
      </c>
      <c r="H63" s="0" t="n">
        <f aca="false">ROUNDUP(F63/Inputs!$B$8,0)</f>
        <v>2</v>
      </c>
      <c r="I63" s="0" t="s">
        <v>441</v>
      </c>
    </row>
    <row r="64" customFormat="false" ht="15" hidden="false" customHeight="false" outlineLevel="0" collapsed="false">
      <c r="A64" s="0" t="s">
        <v>442</v>
      </c>
      <c r="B64" s="0" t="s">
        <v>340</v>
      </c>
      <c r="C64" s="0" t="n">
        <v>89.44</v>
      </c>
      <c r="D64" s="0" t="n">
        <f aca="false">Inputs!$B$5</f>
        <v>0.06</v>
      </c>
      <c r="E64" s="0" t="n">
        <f aca="false">C64*D64</f>
        <v>5.3664</v>
      </c>
      <c r="F64" s="0" t="n">
        <f aca="false">C64+E64</f>
        <v>94.8064</v>
      </c>
      <c r="H64" s="0" t="n">
        <f aca="false">ROUNDUP(F64/Inputs!$B$8,0)</f>
        <v>2</v>
      </c>
      <c r="I64" s="0" t="s">
        <v>443</v>
      </c>
    </row>
    <row r="65" customFormat="false" ht="15" hidden="false" customHeight="false" outlineLevel="0" collapsed="false">
      <c r="A65" s="0" t="s">
        <v>444</v>
      </c>
      <c r="B65" s="0" t="s">
        <v>340</v>
      </c>
      <c r="C65" s="0" t="n">
        <v>344.6</v>
      </c>
      <c r="D65" s="0" t="n">
        <f aca="false">Inputs!$B$5</f>
        <v>0.06</v>
      </c>
      <c r="E65" s="0" t="n">
        <f aca="false">C65*D65</f>
        <v>20.676</v>
      </c>
      <c r="F65" s="0" t="n">
        <f aca="false">C65+E65</f>
        <v>365.276</v>
      </c>
      <c r="H65" s="0" t="n">
        <f aca="false">ROUNDUP(F65/Inputs!$B$8,0)</f>
        <v>8</v>
      </c>
      <c r="I65" s="0" t="s">
        <v>445</v>
      </c>
    </row>
    <row r="66" customFormat="false" ht="15" hidden="false" customHeight="false" outlineLevel="0" collapsed="false">
      <c r="A66" s="0" t="s">
        <v>446</v>
      </c>
      <c r="B66" s="0" t="s">
        <v>340</v>
      </c>
      <c r="C66" s="0" t="n">
        <v>259.9</v>
      </c>
      <c r="D66" s="0" t="n">
        <f aca="false">Inputs!$B$5</f>
        <v>0.06</v>
      </c>
      <c r="E66" s="0" t="n">
        <f aca="false">C66*D66</f>
        <v>15.594</v>
      </c>
      <c r="F66" s="0" t="n">
        <f aca="false">C66+E66</f>
        <v>275.494</v>
      </c>
      <c r="H66" s="0" t="n">
        <f aca="false">ROUNDUP(F66/Inputs!$B$8,0)</f>
        <v>6</v>
      </c>
      <c r="I66" s="0" t="s">
        <v>447</v>
      </c>
    </row>
    <row r="67" customFormat="false" ht="15" hidden="false" customHeight="false" outlineLevel="0" collapsed="false">
      <c r="A67" s="0" t="s">
        <v>448</v>
      </c>
      <c r="B67" s="0" t="s">
        <v>319</v>
      </c>
      <c r="C67" s="0" t="n">
        <v>208.76</v>
      </c>
      <c r="D67" s="0" t="n">
        <f aca="false">Inputs!$B$4</f>
        <v>0.15</v>
      </c>
      <c r="E67" s="0" t="n">
        <f aca="false">C67*D67</f>
        <v>31.314</v>
      </c>
      <c r="F67" s="0" t="n">
        <f aca="false">C67+E67</f>
        <v>240.074</v>
      </c>
      <c r="G67" s="0" t="s">
        <v>320</v>
      </c>
      <c r="H67" s="0" t="n">
        <f aca="false">ROUNDUP(F67/20,0)</f>
        <v>13</v>
      </c>
      <c r="I67" s="0" t="s">
        <v>449</v>
      </c>
    </row>
    <row r="68" customFormat="false" ht="15" hidden="false" customHeight="false" outlineLevel="0" collapsed="false">
      <c r="A68" s="0" t="s">
        <v>450</v>
      </c>
      <c r="B68" s="0" t="s">
        <v>319</v>
      </c>
      <c r="C68" s="0" t="n">
        <v>497</v>
      </c>
      <c r="D68" s="0" t="n">
        <f aca="false">Inputs!$B$5</f>
        <v>0.06</v>
      </c>
      <c r="E68" s="0" t="n">
        <f aca="false">C68*D68</f>
        <v>29.82</v>
      </c>
      <c r="F68" s="0" t="n">
        <f aca="false">C68+E68</f>
        <v>526.82</v>
      </c>
      <c r="H68" s="0" t="n">
        <f aca="false">ROUNDUP(F68,0)</f>
        <v>527</v>
      </c>
      <c r="I68" s="0" t="s">
        <v>451</v>
      </c>
    </row>
    <row r="69" customFormat="false" ht="15" hidden="false" customHeight="false" outlineLevel="0" collapsed="false">
      <c r="A69" s="0" t="s">
        <v>452</v>
      </c>
      <c r="B69" s="0" t="s">
        <v>319</v>
      </c>
      <c r="C69" s="0" t="n">
        <v>235.98</v>
      </c>
      <c r="D69" s="0" t="n">
        <f aca="false">Inputs!$B$5</f>
        <v>0.06</v>
      </c>
      <c r="E69" s="0" t="n">
        <f aca="false">C69*D69</f>
        <v>14.1588</v>
      </c>
      <c r="F69" s="0" t="n">
        <f aca="false">C69+E69</f>
        <v>250.1388</v>
      </c>
      <c r="H69" s="0" t="n">
        <f aca="false">ROUNDUP(F69,0)</f>
        <v>251</v>
      </c>
      <c r="I69" s="0" t="s">
        <v>453</v>
      </c>
    </row>
    <row r="70" customFormat="false" ht="15" hidden="false" customHeight="false" outlineLevel="0" collapsed="false">
      <c r="A70" s="0" t="s">
        <v>454</v>
      </c>
      <c r="B70" s="0" t="s">
        <v>319</v>
      </c>
      <c r="C70" s="0" t="n">
        <v>513.76</v>
      </c>
      <c r="D70" s="0" t="n">
        <f aca="false">Inputs!$B$4</f>
        <v>0.15</v>
      </c>
      <c r="E70" s="0" t="n">
        <f aca="false">C70*D70</f>
        <v>77.064</v>
      </c>
      <c r="F70" s="0" t="n">
        <f aca="false">C70+E70</f>
        <v>590.824</v>
      </c>
      <c r="G70" s="0" t="s">
        <v>320</v>
      </c>
      <c r="H70" s="0" t="n">
        <f aca="false">ROUNDUP(F70/20,0)</f>
        <v>30</v>
      </c>
      <c r="I70" s="0" t="s">
        <v>455</v>
      </c>
    </row>
    <row r="71" customFormat="false" ht="15" hidden="false" customHeight="false" outlineLevel="0" collapsed="false">
      <c r="A71" s="0" t="s">
        <v>456</v>
      </c>
      <c r="B71" s="0" t="s">
        <v>319</v>
      </c>
      <c r="C71" s="0" t="n">
        <v>138.01</v>
      </c>
      <c r="D71" s="0" t="n">
        <f aca="false">Inputs!$B$4</f>
        <v>0.15</v>
      </c>
      <c r="E71" s="0" t="n">
        <f aca="false">C71*D71</f>
        <v>20.7015</v>
      </c>
      <c r="F71" s="0" t="n">
        <f aca="false">C71+E71</f>
        <v>158.7115</v>
      </c>
      <c r="G71" s="0" t="s">
        <v>323</v>
      </c>
      <c r="H71" s="0" t="n">
        <f aca="false">ROUNDUP(F71/10,0)</f>
        <v>16</v>
      </c>
      <c r="I71" s="0" t="s">
        <v>457</v>
      </c>
    </row>
    <row r="72" customFormat="false" ht="15" hidden="false" customHeight="false" outlineLevel="0" collapsed="false">
      <c r="A72" s="0" t="s">
        <v>458</v>
      </c>
      <c r="B72" s="0" t="s">
        <v>319</v>
      </c>
      <c r="C72" s="0" t="n">
        <v>138.01</v>
      </c>
      <c r="D72" s="0" t="n">
        <f aca="false">Inputs!$B$4</f>
        <v>0.15</v>
      </c>
      <c r="E72" s="0" t="n">
        <f aca="false">C72*D72</f>
        <v>20.7015</v>
      </c>
      <c r="F72" s="0" t="n">
        <f aca="false">C72+E72</f>
        <v>158.7115</v>
      </c>
      <c r="G72" s="0" t="s">
        <v>323</v>
      </c>
      <c r="H72" s="0" t="n">
        <f aca="false">ROUNDUP(F72/10,0)</f>
        <v>16</v>
      </c>
      <c r="I72" s="0" t="s">
        <v>459</v>
      </c>
    </row>
    <row r="73" customFormat="false" ht="15" hidden="false" customHeight="false" outlineLevel="0" collapsed="false">
      <c r="A73" s="0" t="s">
        <v>460</v>
      </c>
      <c r="B73" s="0" t="s">
        <v>319</v>
      </c>
      <c r="C73" s="0" t="n">
        <v>34</v>
      </c>
      <c r="D73" s="0" t="n">
        <f aca="false">Inputs!$B$4</f>
        <v>0.15</v>
      </c>
      <c r="E73" s="0" t="n">
        <f aca="false">C73*D73</f>
        <v>5.1</v>
      </c>
      <c r="F73" s="0" t="n">
        <f aca="false">C73+E73</f>
        <v>39.1</v>
      </c>
      <c r="G73" s="0" t="s">
        <v>320</v>
      </c>
      <c r="H73" s="0" t="n">
        <f aca="false">ROUNDUP(F73/20,0)</f>
        <v>2</v>
      </c>
      <c r="I73" s="0" t="s">
        <v>461</v>
      </c>
    </row>
    <row r="74" customFormat="false" ht="15" hidden="false" customHeight="false" outlineLevel="0" collapsed="false">
      <c r="A74" s="0" t="s">
        <v>462</v>
      </c>
      <c r="B74" s="0" t="s">
        <v>319</v>
      </c>
      <c r="C74" s="0" t="n">
        <v>56.5</v>
      </c>
      <c r="D74" s="0" t="n">
        <f aca="false">Inputs!$B$4</f>
        <v>0.15</v>
      </c>
      <c r="E74" s="0" t="n">
        <f aca="false">C74*D74</f>
        <v>8.475</v>
      </c>
      <c r="F74" s="0" t="n">
        <f aca="false">C74+E74</f>
        <v>64.975</v>
      </c>
      <c r="G74" s="0" t="s">
        <v>320</v>
      </c>
      <c r="H74" s="0" t="n">
        <f aca="false">ROUNDUP(F74/20,0)</f>
        <v>4</v>
      </c>
      <c r="I74" s="0" t="s">
        <v>463</v>
      </c>
    </row>
    <row r="75" customFormat="false" ht="15" hidden="false" customHeight="false" outlineLevel="0" collapsed="false">
      <c r="A75" s="0" t="s">
        <v>464</v>
      </c>
      <c r="B75" s="0" t="s">
        <v>340</v>
      </c>
      <c r="C75" s="0" t="n">
        <v>423.9</v>
      </c>
      <c r="D75" s="0" t="n">
        <f aca="false">Inputs!$B$5</f>
        <v>0.06</v>
      </c>
      <c r="E75" s="0" t="n">
        <f aca="false">C75*D75</f>
        <v>25.434</v>
      </c>
      <c r="F75" s="0" t="n">
        <f aca="false">C75+E75</f>
        <v>449.334</v>
      </c>
      <c r="H75" s="0" t="n">
        <f aca="false">ROUNDUP(F75/Inputs!$B$8,0)</f>
        <v>10</v>
      </c>
      <c r="I75" s="0" t="s">
        <v>465</v>
      </c>
    </row>
    <row r="76" customFormat="false" ht="15" hidden="false" customHeight="false" outlineLevel="0" collapsed="false">
      <c r="A76" s="0" t="s">
        <v>466</v>
      </c>
      <c r="B76" s="0" t="s">
        <v>340</v>
      </c>
      <c r="C76" s="0" t="n">
        <v>124.51</v>
      </c>
      <c r="D76" s="0" t="n">
        <f aca="false">Inputs!$B$5</f>
        <v>0.06</v>
      </c>
      <c r="E76" s="0" t="n">
        <f aca="false">C76*D76</f>
        <v>7.4706</v>
      </c>
      <c r="F76" s="0" t="n">
        <f aca="false">C76+E76</f>
        <v>131.9806</v>
      </c>
      <c r="H76" s="0" t="n">
        <f aca="false">ROUNDUP(F76/Inputs!$B$8,0)</f>
        <v>3</v>
      </c>
      <c r="I76" s="0" t="s">
        <v>467</v>
      </c>
    </row>
    <row r="77" customFormat="false" ht="15" hidden="false" customHeight="false" outlineLevel="0" collapsed="false">
      <c r="A77" s="0" t="s">
        <v>468</v>
      </c>
      <c r="B77" s="0" t="s">
        <v>340</v>
      </c>
      <c r="C77" s="0" t="n">
        <v>30.31</v>
      </c>
      <c r="D77" s="0" t="n">
        <f aca="false">Inputs!$B$5</f>
        <v>0.06</v>
      </c>
      <c r="E77" s="0" t="n">
        <f aca="false">C77*D77</f>
        <v>1.8186</v>
      </c>
      <c r="F77" s="0" t="n">
        <f aca="false">C77+E77</f>
        <v>32.1286</v>
      </c>
      <c r="H77" s="0" t="n">
        <f aca="false">ROUNDUP(F77/Inputs!$B$8,0)</f>
        <v>1</v>
      </c>
      <c r="I77" s="0" t="s">
        <v>469</v>
      </c>
    </row>
    <row r="78" customFormat="false" ht="15" hidden="false" customHeight="false" outlineLevel="0" collapsed="false">
      <c r="A78" s="0" t="s">
        <v>470</v>
      </c>
      <c r="B78" s="0" t="s">
        <v>319</v>
      </c>
      <c r="C78" s="0" t="n">
        <v>27</v>
      </c>
      <c r="D78" s="0" t="n">
        <f aca="false">Inputs!$B$4</f>
        <v>0.15</v>
      </c>
      <c r="E78" s="0" t="n">
        <f aca="false">C78*D78</f>
        <v>4.05</v>
      </c>
      <c r="F78" s="0" t="n">
        <f aca="false">C78+E78</f>
        <v>31.05</v>
      </c>
      <c r="G78" s="0" t="s">
        <v>405</v>
      </c>
      <c r="H78" s="0" t="n">
        <f aca="false">ROUNDUP(F78/12,0)</f>
        <v>3</v>
      </c>
      <c r="I78" s="0" t="s">
        <v>471</v>
      </c>
    </row>
    <row r="79" customFormat="false" ht="15" hidden="false" customHeight="false" outlineLevel="0" collapsed="false">
      <c r="A79" s="0" t="s">
        <v>472</v>
      </c>
      <c r="B79" s="0" t="s">
        <v>340</v>
      </c>
      <c r="C79" s="0" t="n">
        <v>822.8</v>
      </c>
      <c r="D79" s="0" t="n">
        <f aca="false">Inputs!$B$5</f>
        <v>0.06</v>
      </c>
      <c r="E79" s="0" t="n">
        <f aca="false">C79*D79</f>
        <v>49.368</v>
      </c>
      <c r="F79" s="0" t="n">
        <f aca="false">C79+E79</f>
        <v>872.168</v>
      </c>
      <c r="H79" s="0" t="n">
        <f aca="false">ROUNDUP(F79/Inputs!$B$8,0)</f>
        <v>19</v>
      </c>
      <c r="I79" s="0" t="s">
        <v>473</v>
      </c>
    </row>
    <row r="80" customFormat="false" ht="15" hidden="false" customHeight="false" outlineLevel="0" collapsed="false">
      <c r="A80" s="0" t="s">
        <v>474</v>
      </c>
      <c r="B80" s="0" t="s">
        <v>331</v>
      </c>
      <c r="C80" s="0" t="n">
        <v>1</v>
      </c>
      <c r="D80" s="0" t="n">
        <f aca="false">Inputs!$B$4</f>
        <v>0.15</v>
      </c>
      <c r="E80" s="0" t="n">
        <f aca="false">C80*D80</f>
        <v>0.15</v>
      </c>
      <c r="F80" s="0" t="n">
        <f aca="false">C80+E80</f>
        <v>1.15</v>
      </c>
      <c r="H80" s="0" t="n">
        <f aca="false">ROUNDUP(F80,0)</f>
        <v>2</v>
      </c>
      <c r="I80" s="0" t="s">
        <v>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4" t="s">
        <v>476</v>
      </c>
      <c r="B1" s="4" t="s">
        <v>477</v>
      </c>
      <c r="C1" s="4" t="s">
        <v>478</v>
      </c>
    </row>
    <row r="2" customFormat="false" ht="15" hidden="false" customHeight="false" outlineLevel="0" collapsed="false">
      <c r="A2" s="0" t="s">
        <v>479</v>
      </c>
      <c r="B2" s="0" t="s">
        <v>480</v>
      </c>
      <c r="C2" s="0" t="s">
        <v>481</v>
      </c>
    </row>
    <row r="3" customFormat="false" ht="15" hidden="false" customHeight="false" outlineLevel="0" collapsed="false">
      <c r="A3" s="0" t="s">
        <v>482</v>
      </c>
      <c r="B3" s="0" t="s">
        <v>483</v>
      </c>
      <c r="C3" s="0" t="s">
        <v>484</v>
      </c>
    </row>
    <row r="4" customFormat="false" ht="15" hidden="false" customHeight="false" outlineLevel="0" collapsed="false">
      <c r="A4" s="0" t="s">
        <v>485</v>
      </c>
      <c r="B4" s="0" t="s">
        <v>486</v>
      </c>
      <c r="C4" s="0" t="s">
        <v>487</v>
      </c>
    </row>
    <row r="5" customFormat="false" ht="15" hidden="false" customHeight="false" outlineLevel="0" collapsed="false">
      <c r="A5" s="0" t="s">
        <v>488</v>
      </c>
      <c r="B5" s="0" t="s">
        <v>489</v>
      </c>
      <c r="C5" s="0" t="s">
        <v>490</v>
      </c>
    </row>
    <row r="6" customFormat="false" ht="15" hidden="false" customHeight="false" outlineLevel="0" collapsed="false">
      <c r="A6" s="0" t="s">
        <v>491</v>
      </c>
      <c r="B6" s="0" t="s">
        <v>492</v>
      </c>
      <c r="C6" s="0" t="s">
        <v>493</v>
      </c>
    </row>
    <row r="7" customFormat="false" ht="15" hidden="false" customHeight="false" outlineLevel="0" collapsed="false">
      <c r="A7" s="0" t="s">
        <v>494</v>
      </c>
      <c r="B7" s="0" t="s">
        <v>495</v>
      </c>
      <c r="C7" s="0" t="s">
        <v>496</v>
      </c>
    </row>
    <row r="8" customFormat="false" ht="15" hidden="false" customHeight="false" outlineLevel="0" collapsed="false">
      <c r="A8" s="0" t="s">
        <v>497</v>
      </c>
      <c r="B8" s="0" t="s">
        <v>498</v>
      </c>
      <c r="C8" s="0" t="s">
        <v>499</v>
      </c>
    </row>
    <row r="9" customFormat="false" ht="15" hidden="false" customHeight="false" outlineLevel="0" collapsed="false">
      <c r="A9" s="0" t="s">
        <v>500</v>
      </c>
      <c r="B9" s="0" t="s">
        <v>501</v>
      </c>
      <c r="C9" s="0" t="s">
        <v>502</v>
      </c>
    </row>
    <row r="10" customFormat="false" ht="15" hidden="false" customHeight="false" outlineLevel="0" collapsed="false">
      <c r="A10" s="0" t="s">
        <v>503</v>
      </c>
      <c r="B10" s="0" t="s">
        <v>504</v>
      </c>
      <c r="C10" s="0" t="s">
        <v>505</v>
      </c>
    </row>
    <row r="11" customFormat="false" ht="15" hidden="false" customHeight="false" outlineLevel="0" collapsed="false">
      <c r="A11" s="0" t="s">
        <v>506</v>
      </c>
      <c r="B11" s="0" t="s">
        <v>507</v>
      </c>
      <c r="C11" s="0" t="s">
        <v>508</v>
      </c>
    </row>
    <row r="12" customFormat="false" ht="15" hidden="false" customHeight="false" outlineLevel="0" collapsed="false">
      <c r="A12" s="0" t="s">
        <v>509</v>
      </c>
      <c r="B12" s="0" t="s">
        <v>510</v>
      </c>
      <c r="C12" s="0" t="s">
        <v>511</v>
      </c>
    </row>
    <row r="13" customFormat="false" ht="15" hidden="false" customHeight="false" outlineLevel="0" collapsed="false">
      <c r="A13" s="0" t="s">
        <v>512</v>
      </c>
      <c r="B13" s="0" t="s">
        <v>513</v>
      </c>
      <c r="C13" s="0" t="s">
        <v>514</v>
      </c>
    </row>
    <row r="14" customFormat="false" ht="15" hidden="false" customHeight="false" outlineLevel="0" collapsed="false">
      <c r="A14" s="0" t="s">
        <v>515</v>
      </c>
      <c r="B14" s="0" t="s">
        <v>516</v>
      </c>
      <c r="C14" s="0" t="s">
        <v>517</v>
      </c>
    </row>
    <row r="15" customFormat="false" ht="15" hidden="false" customHeight="false" outlineLevel="0" collapsed="false">
      <c r="A15" s="0" t="s">
        <v>518</v>
      </c>
      <c r="B15" s="0" t="s">
        <v>519</v>
      </c>
      <c r="C15" s="0" t="s">
        <v>520</v>
      </c>
    </row>
    <row r="16" customFormat="false" ht="15" hidden="false" customHeight="false" outlineLevel="0" collapsed="false">
      <c r="A16" s="0" t="s">
        <v>521</v>
      </c>
      <c r="B16" s="0" t="s">
        <v>522</v>
      </c>
      <c r="C16" s="0" t="s">
        <v>523</v>
      </c>
    </row>
    <row r="17" customFormat="false" ht="15" hidden="false" customHeight="false" outlineLevel="0" collapsed="false">
      <c r="A17" s="0" t="s">
        <v>524</v>
      </c>
      <c r="B17" s="0" t="s">
        <v>525</v>
      </c>
      <c r="C17" s="0" t="s">
        <v>526</v>
      </c>
    </row>
    <row r="18" customFormat="false" ht="15" hidden="false" customHeight="false" outlineLevel="0" collapsed="false">
      <c r="A18" s="0" t="s">
        <v>527</v>
      </c>
      <c r="B18" s="0" t="s">
        <v>528</v>
      </c>
      <c r="C18" s="0" t="s">
        <v>529</v>
      </c>
    </row>
    <row r="19" customFormat="false" ht="15" hidden="false" customHeight="false" outlineLevel="0" collapsed="false">
      <c r="A19" s="0" t="s">
        <v>530</v>
      </c>
      <c r="B19" s="0" t="s">
        <v>531</v>
      </c>
      <c r="C19" s="0" t="s">
        <v>532</v>
      </c>
    </row>
    <row r="20" customFormat="false" ht="15" hidden="false" customHeight="false" outlineLevel="0" collapsed="false">
      <c r="A20" s="0" t="s">
        <v>533</v>
      </c>
      <c r="B20" s="0" t="s">
        <v>534</v>
      </c>
      <c r="C20" s="0" t="s">
        <v>535</v>
      </c>
    </row>
    <row r="21" customFormat="false" ht="15" hidden="false" customHeight="false" outlineLevel="0" collapsed="false">
      <c r="A21" s="0" t="s">
        <v>536</v>
      </c>
      <c r="B21" s="0" t="s">
        <v>537</v>
      </c>
      <c r="C21" s="0" t="s">
        <v>538</v>
      </c>
    </row>
    <row r="22" customFormat="false" ht="15" hidden="false" customHeight="false" outlineLevel="0" collapsed="false">
      <c r="A22" s="0" t="s">
        <v>539</v>
      </c>
      <c r="B22" s="0" t="s">
        <v>540</v>
      </c>
      <c r="C22" s="0" t="s">
        <v>541</v>
      </c>
    </row>
    <row r="23" customFormat="false" ht="15" hidden="false" customHeight="false" outlineLevel="0" collapsed="false">
      <c r="A23" s="0" t="s">
        <v>542</v>
      </c>
      <c r="B23" s="0" t="s">
        <v>543</v>
      </c>
      <c r="C23" s="0" t="s">
        <v>544</v>
      </c>
    </row>
    <row r="24" customFormat="false" ht="15" hidden="false" customHeight="false" outlineLevel="0" collapsed="false">
      <c r="A24" s="0" t="s">
        <v>545</v>
      </c>
      <c r="B24" s="0" t="s">
        <v>546</v>
      </c>
      <c r="C24" s="0" t="s">
        <v>547</v>
      </c>
    </row>
    <row r="25" customFormat="false" ht="15" hidden="false" customHeight="false" outlineLevel="0" collapsed="false">
      <c r="A25" s="0" t="s">
        <v>548</v>
      </c>
      <c r="B25" s="0" t="s">
        <v>549</v>
      </c>
      <c r="C25" s="0" t="s">
        <v>550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36"/>
    <col collapsed="false" customWidth="true" hidden="false" outlineLevel="0" max="4" min="4" style="0" width="27"/>
  </cols>
  <sheetData>
    <row r="1" customFormat="false" ht="15" hidden="false" customHeight="false" outlineLevel="0" collapsed="false">
      <c r="A1" s="0" t="s">
        <v>551</v>
      </c>
      <c r="B1" s="0" t="s">
        <v>552</v>
      </c>
      <c r="C1" s="0" t="s">
        <v>553</v>
      </c>
      <c r="D1" s="0" t="s">
        <v>554</v>
      </c>
    </row>
    <row r="2" customFormat="false" ht="15" hidden="false" customHeight="false" outlineLevel="0" collapsed="false">
      <c r="A2" s="0" t="n">
        <v>1</v>
      </c>
      <c r="B2" s="0" t="s">
        <v>555</v>
      </c>
      <c r="C2" s="0" t="s">
        <v>556</v>
      </c>
      <c r="D2" s="0" t="s">
        <v>557</v>
      </c>
    </row>
    <row r="3" customFormat="false" ht="15" hidden="false" customHeight="false" outlineLevel="0" collapsed="false">
      <c r="A3" s="0" t="n">
        <v>2</v>
      </c>
      <c r="B3" s="0" t="s">
        <v>558</v>
      </c>
      <c r="C3" s="0" t="s">
        <v>559</v>
      </c>
      <c r="D3" s="0" t="s">
        <v>560</v>
      </c>
    </row>
    <row r="4" customFormat="false" ht="15" hidden="false" customHeight="false" outlineLevel="0" collapsed="false">
      <c r="A4" s="0" t="n">
        <v>3</v>
      </c>
      <c r="B4" s="0" t="s">
        <v>561</v>
      </c>
      <c r="C4" s="0" t="s">
        <v>562</v>
      </c>
      <c r="D4" s="0" t="s">
        <v>563</v>
      </c>
    </row>
    <row r="5" customFormat="false" ht="15" hidden="false" customHeight="false" outlineLevel="0" collapsed="false">
      <c r="A5" s="0" t="n">
        <v>4</v>
      </c>
      <c r="B5" s="0" t="s">
        <v>564</v>
      </c>
      <c r="C5" s="0" t="s">
        <v>565</v>
      </c>
      <c r="D5" s="0" t="s">
        <v>566</v>
      </c>
    </row>
    <row r="6" customFormat="false" ht="15" hidden="false" customHeight="false" outlineLevel="0" collapsed="false">
      <c r="A6" s="0" t="n">
        <v>5</v>
      </c>
      <c r="B6" s="0" t="s">
        <v>567</v>
      </c>
      <c r="C6" s="0" t="s">
        <v>568</v>
      </c>
      <c r="D6" s="0" t="s">
        <v>569</v>
      </c>
    </row>
    <row r="7" customFormat="false" ht="15" hidden="false" customHeight="false" outlineLevel="0" collapsed="false">
      <c r="A7" s="0" t="n">
        <v>6</v>
      </c>
      <c r="B7" s="0" t="s">
        <v>570</v>
      </c>
      <c r="C7" s="0" t="s">
        <v>571</v>
      </c>
      <c r="D7" s="0" t="s">
        <v>572</v>
      </c>
    </row>
    <row r="8" customFormat="false" ht="15" hidden="false" customHeight="false" outlineLevel="0" collapsed="false">
      <c r="A8" s="0" t="n">
        <v>7</v>
      </c>
      <c r="B8" s="0" t="s">
        <v>573</v>
      </c>
      <c r="C8" s="0" t="s">
        <v>574</v>
      </c>
      <c r="D8" s="0" t="s">
        <v>575</v>
      </c>
    </row>
    <row r="9" customFormat="false" ht="15" hidden="false" customHeight="false" outlineLevel="0" collapsed="false">
      <c r="A9" s="0" t="n">
        <v>8</v>
      </c>
      <c r="B9" s="0" t="s">
        <v>576</v>
      </c>
      <c r="C9" s="0" t="s">
        <v>577</v>
      </c>
      <c r="D9" s="0" t="s">
        <v>572</v>
      </c>
    </row>
    <row r="10" customFormat="false" ht="15" hidden="false" customHeight="false" outlineLevel="0" collapsed="false">
      <c r="A10" s="0" t="n">
        <v>9</v>
      </c>
      <c r="B10" s="0" t="s">
        <v>578</v>
      </c>
      <c r="C10" s="0" t="s">
        <v>579</v>
      </c>
      <c r="D10" s="0" t="s">
        <v>580</v>
      </c>
    </row>
    <row r="11" customFormat="false" ht="15" hidden="false" customHeight="false" outlineLevel="0" collapsed="false">
      <c r="A11" s="0" t="n">
        <v>10</v>
      </c>
      <c r="B11" s="0" t="s">
        <v>581</v>
      </c>
      <c r="C11" s="0" t="s">
        <v>582</v>
      </c>
      <c r="D11" s="0" t="s">
        <v>572</v>
      </c>
    </row>
    <row r="12" customFormat="false" ht="15" hidden="false" customHeight="false" outlineLevel="0" collapsed="false">
      <c r="A12" s="0" t="n">
        <v>11</v>
      </c>
      <c r="B12" s="0" t="s">
        <v>583</v>
      </c>
      <c r="C12" s="0" t="s">
        <v>584</v>
      </c>
      <c r="D12" s="0" t="s">
        <v>585</v>
      </c>
    </row>
    <row r="13" customFormat="false" ht="15" hidden="false" customHeight="false" outlineLevel="0" collapsed="false">
      <c r="A13" s="0" t="n">
        <v>12</v>
      </c>
      <c r="B13" s="0" t="s">
        <v>586</v>
      </c>
      <c r="C13" s="0" t="s">
        <v>587</v>
      </c>
      <c r="D13" s="0" t="s">
        <v>572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588</v>
      </c>
      <c r="B1" s="0" t="s">
        <v>589</v>
      </c>
      <c r="C1" s="0" t="s">
        <v>590</v>
      </c>
      <c r="D1" s="0" t="s">
        <v>591</v>
      </c>
    </row>
    <row r="2" customFormat="false" ht="15" hidden="false" customHeight="false" outlineLevel="0" collapsed="false">
      <c r="A2" s="0" t="s">
        <v>592</v>
      </c>
      <c r="B2" s="0" t="s">
        <v>592</v>
      </c>
      <c r="C2" s="0" t="s">
        <v>593</v>
      </c>
      <c r="D2" s="0" t="s">
        <v>594</v>
      </c>
    </row>
    <row r="3" customFormat="false" ht="15" hidden="false" customHeight="false" outlineLevel="0" collapsed="false">
      <c r="A3" s="0" t="s">
        <v>595</v>
      </c>
      <c r="B3" s="0" t="s">
        <v>595</v>
      </c>
      <c r="C3" s="0" t="s">
        <v>593</v>
      </c>
      <c r="D3" s="0" t="s">
        <v>596</v>
      </c>
    </row>
    <row r="4" customFormat="false" ht="15" hidden="false" customHeight="false" outlineLevel="0" collapsed="false">
      <c r="A4" s="0" t="s">
        <v>597</v>
      </c>
      <c r="B4" s="0" t="s">
        <v>597</v>
      </c>
      <c r="C4" s="0" t="s">
        <v>593</v>
      </c>
      <c r="D4" s="0" t="s">
        <v>598</v>
      </c>
    </row>
    <row r="5" customFormat="false" ht="15" hidden="false" customHeight="false" outlineLevel="0" collapsed="false">
      <c r="A5" s="0" t="s">
        <v>599</v>
      </c>
      <c r="B5" s="0" t="s">
        <v>599</v>
      </c>
      <c r="C5" s="0" t="s">
        <v>593</v>
      </c>
      <c r="D5" s="0" t="s">
        <v>600</v>
      </c>
    </row>
    <row r="6" customFormat="false" ht="15" hidden="false" customHeight="false" outlineLevel="0" collapsed="false">
      <c r="A6" s="0" t="s">
        <v>601</v>
      </c>
      <c r="B6" s="0" t="s">
        <v>601</v>
      </c>
      <c r="C6" s="0" t="s">
        <v>593</v>
      </c>
      <c r="D6" s="0" t="s">
        <v>602</v>
      </c>
    </row>
    <row r="7" customFormat="false" ht="15" hidden="false" customHeight="false" outlineLevel="0" collapsed="false">
      <c r="A7" s="0" t="s">
        <v>603</v>
      </c>
      <c r="B7" s="0" t="s">
        <v>603</v>
      </c>
      <c r="C7" s="0" t="s">
        <v>593</v>
      </c>
      <c r="D7" s="0" t="s">
        <v>604</v>
      </c>
    </row>
    <row r="8" customFormat="false" ht="15" hidden="false" customHeight="false" outlineLevel="0" collapsed="false">
      <c r="A8" s="0" t="s">
        <v>605</v>
      </c>
      <c r="B8" s="0" t="s">
        <v>605</v>
      </c>
      <c r="C8" s="0" t="s">
        <v>593</v>
      </c>
      <c r="D8" s="0" t="s">
        <v>606</v>
      </c>
    </row>
    <row r="9" customFormat="false" ht="15" hidden="false" customHeight="false" outlineLevel="0" collapsed="false">
      <c r="A9" s="0" t="s">
        <v>607</v>
      </c>
      <c r="B9" s="0" t="s">
        <v>607</v>
      </c>
      <c r="C9" s="0" t="s">
        <v>593</v>
      </c>
      <c r="D9" s="0" t="s">
        <v>608</v>
      </c>
    </row>
    <row r="10" customFormat="false" ht="15" hidden="false" customHeight="false" outlineLevel="0" collapsed="false">
      <c r="A10" s="0" t="s">
        <v>609</v>
      </c>
      <c r="B10" s="0" t="s">
        <v>609</v>
      </c>
      <c r="C10" s="0" t="s">
        <v>593</v>
      </c>
      <c r="D10" s="0" t="s">
        <v>610</v>
      </c>
    </row>
    <row r="11" customFormat="false" ht="15" hidden="false" customHeight="false" outlineLevel="0" collapsed="false">
      <c r="A11" s="0" t="s">
        <v>611</v>
      </c>
      <c r="B11" s="0" t="s">
        <v>611</v>
      </c>
      <c r="C11" s="0" t="s">
        <v>593</v>
      </c>
      <c r="D11" s="0" t="s">
        <v>612</v>
      </c>
    </row>
    <row r="12" customFormat="false" ht="15" hidden="false" customHeight="false" outlineLevel="0" collapsed="false">
      <c r="A12" s="0" t="s">
        <v>613</v>
      </c>
      <c r="B12" s="0" t="s">
        <v>613</v>
      </c>
      <c r="C12" s="0" t="s">
        <v>593</v>
      </c>
      <c r="D12" s="0" t="s">
        <v>614</v>
      </c>
    </row>
    <row r="13" customFormat="false" ht="15" hidden="false" customHeight="false" outlineLevel="0" collapsed="false">
      <c r="A13" s="0" t="s">
        <v>615</v>
      </c>
      <c r="B13" s="0" t="s">
        <v>615</v>
      </c>
      <c r="C13" s="0" t="s">
        <v>593</v>
      </c>
      <c r="D13" s="0" t="s">
        <v>616</v>
      </c>
    </row>
    <row r="14" customFormat="false" ht="15" hidden="false" customHeight="false" outlineLevel="0" collapsed="false">
      <c r="A14" s="0" t="s">
        <v>617</v>
      </c>
      <c r="B14" s="0" t="s">
        <v>617</v>
      </c>
      <c r="C14" s="0" t="s">
        <v>593</v>
      </c>
      <c r="D14" s="0" t="s">
        <v>618</v>
      </c>
    </row>
    <row r="15" customFormat="false" ht="15" hidden="false" customHeight="false" outlineLevel="0" collapsed="false">
      <c r="A15" s="0" t="s">
        <v>619</v>
      </c>
      <c r="B15" s="0" t="s">
        <v>619</v>
      </c>
      <c r="C15" s="0" t="s">
        <v>593</v>
      </c>
      <c r="D15" s="0" t="s">
        <v>620</v>
      </c>
    </row>
    <row r="16" customFormat="false" ht="15" hidden="false" customHeight="false" outlineLevel="0" collapsed="false">
      <c r="A16" s="0" t="s">
        <v>621</v>
      </c>
      <c r="B16" s="0" t="s">
        <v>621</v>
      </c>
      <c r="C16" s="0" t="s">
        <v>593</v>
      </c>
      <c r="D16" s="0" t="s">
        <v>622</v>
      </c>
    </row>
    <row r="17" customFormat="false" ht="15" hidden="false" customHeight="false" outlineLevel="0" collapsed="false">
      <c r="A17" s="0" t="s">
        <v>623</v>
      </c>
      <c r="B17" s="0" t="s">
        <v>623</v>
      </c>
      <c r="C17" s="0" t="s">
        <v>593</v>
      </c>
      <c r="D17" s="0" t="s">
        <v>624</v>
      </c>
    </row>
    <row r="18" customFormat="false" ht="15" hidden="false" customHeight="false" outlineLevel="0" collapsed="false">
      <c r="A18" s="0" t="s">
        <v>625</v>
      </c>
      <c r="B18" s="0" t="s">
        <v>625</v>
      </c>
      <c r="C18" s="0" t="s">
        <v>593</v>
      </c>
      <c r="D18" s="0" t="s">
        <v>626</v>
      </c>
    </row>
    <row r="19" customFormat="false" ht="15" hidden="false" customHeight="false" outlineLevel="0" collapsed="false">
      <c r="A19" s="0" t="s">
        <v>627</v>
      </c>
      <c r="B19" s="0" t="s">
        <v>627</v>
      </c>
      <c r="C19" s="0" t="s">
        <v>593</v>
      </c>
      <c r="D19" s="0" t="s">
        <v>628</v>
      </c>
    </row>
    <row r="20" customFormat="false" ht="15" hidden="false" customHeight="false" outlineLevel="0" collapsed="false">
      <c r="A20" s="0" t="s">
        <v>629</v>
      </c>
      <c r="B20" s="0" t="s">
        <v>629</v>
      </c>
      <c r="C20" s="0" t="s">
        <v>593</v>
      </c>
      <c r="D20" s="0" t="s">
        <v>630</v>
      </c>
    </row>
    <row r="21" customFormat="false" ht="15" hidden="false" customHeight="false" outlineLevel="0" collapsed="false">
      <c r="A21" s="0" t="s">
        <v>631</v>
      </c>
      <c r="B21" s="0" t="s">
        <v>631</v>
      </c>
      <c r="C21" s="0" t="s">
        <v>593</v>
      </c>
      <c r="D21" s="0" t="s">
        <v>632</v>
      </c>
    </row>
    <row r="22" customFormat="false" ht="15" hidden="false" customHeight="false" outlineLevel="0" collapsed="false">
      <c r="A22" s="0" t="s">
        <v>633</v>
      </c>
      <c r="B22" s="0" t="s">
        <v>633</v>
      </c>
      <c r="C22" s="0" t="s">
        <v>634</v>
      </c>
      <c r="D22" s="0" t="s">
        <v>635</v>
      </c>
    </row>
    <row r="23" customFormat="false" ht="15" hidden="false" customHeight="false" outlineLevel="0" collapsed="false">
      <c r="A23" s="0" t="s">
        <v>636</v>
      </c>
      <c r="B23" s="0" t="s">
        <v>636</v>
      </c>
      <c r="C23" s="0" t="s">
        <v>634</v>
      </c>
      <c r="D23" s="0" t="s">
        <v>637</v>
      </c>
    </row>
    <row r="24" customFormat="false" ht="15" hidden="false" customHeight="false" outlineLevel="0" collapsed="false">
      <c r="A24" s="0" t="s">
        <v>638</v>
      </c>
      <c r="B24" s="0" t="s">
        <v>638</v>
      </c>
      <c r="C24" s="0" t="s">
        <v>593</v>
      </c>
      <c r="D24" s="0" t="s">
        <v>639</v>
      </c>
    </row>
    <row r="25" customFormat="false" ht="15" hidden="false" customHeight="false" outlineLevel="0" collapsed="false">
      <c r="A25" s="0" t="s">
        <v>640</v>
      </c>
      <c r="B25" s="0" t="s">
        <v>640</v>
      </c>
      <c r="C25" s="0" t="s">
        <v>593</v>
      </c>
      <c r="D25" s="0" t="s">
        <v>641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2026-10-15T07:11:34Z</dcterms:created>
  <dc:creator>openpyxl</dc:creator>
  <dc:description/>
  <dc:language>en-US</dc:language>
  <cp:lastModifiedBy/>
  <dcterms:modified xsi:type="dcterms:W3CDTF">2026-10-15T07:11:34Z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