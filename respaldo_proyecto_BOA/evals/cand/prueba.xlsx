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keoff" sheetId="1" state="visible" r:id="rId3"/>
    <sheet name="Exterior" sheetId="2" state="visible" r:id="rId4"/>
    <sheet name="Opening Bands" sheetId="3" state="visible" r:id="rId5"/>
    <sheet name="Ceilings GWB" sheetId="4" state="visible" r:id="rId6"/>
    <sheet name="Soffits" sheetId="5" state="visible" r:id="rId7"/>
    <sheet name="MEP crossings" sheetId="6" state="visible" r:id="rId8"/>
    <sheet name="Blocking" sheetId="7" state="visible" r:id="rId9"/>
    <sheet name="Wet Zones" sheetId="8" state="visible" r:id="rId10"/>
    <sheet name="Purchase Summary" sheetId="9" state="visible" r:id="rId11"/>
    <sheet name="RFIs" sheetId="10" state="visible" r:id="rId12"/>
    <sheet name="PARA REVISAR EN LA MANANA" sheetId="11" state="visible" r:id="rId13"/>
    <sheet name="Input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<sst xmlns="http://schemas.openxmlformats.org/spreadsheetml/2006/main" count="1235" uniqueCount="760">
  <si>
    <t xml:space="preserve">Wall #</t>
  </si>
  <si>
    <t xml:space="preserve">Partition / Scope</t>
  </si>
  <si>
    <t xml:space="preserve">Location</t>
  </si>
  <si>
    <t xml:space="preserve">Length (LF)</t>
  </si>
  <si>
    <t xml:space="preserve">Stud Height (FT)</t>
  </si>
  <si>
    <t xml:space="preserve">Layers (total both faces)</t>
  </si>
  <si>
    <t xml:space="preserve">6" Metal Stud (LF)</t>
  </si>
  <si>
    <t xml:space="preserve">3-5/8" Metal Stud (LF)</t>
  </si>
  <si>
    <t xml:space="preserve">1-5/8" Metal Stud (LF)</t>
  </si>
  <si>
    <t xml:space="preserve">Stud designation</t>
  </si>
  <si>
    <t xml:space="preserve">O.C. (in)</t>
  </si>
  <si>
    <t xml:space="preserve">Stud pcs</t>
  </si>
  <si>
    <t xml:space="preserve">Side 1 room</t>
  </si>
  <si>
    <t xml:space="preserve">Side 1 board height (FT)</t>
  </si>
  <si>
    <t xml:space="preserve">Side 1 layers</t>
  </si>
  <si>
    <t xml:space="preserve">Side 2 room</t>
  </si>
  <si>
    <t xml:space="preserve">Side 2 board height (FT)</t>
  </si>
  <si>
    <t xml:space="preserve">Side 2 layers</t>
  </si>
  <si>
    <t xml:space="preserve">Openings deduction (SF per face)</t>
  </si>
  <si>
    <t xml:space="preserve">5/8" Gyp Board (SF)</t>
  </si>
  <si>
    <t xml:space="preserve">3/8" Gyp Board (SF)</t>
  </si>
  <si>
    <t xml:space="preserve">3/8" UL752 Fiberglass (SF)</t>
  </si>
  <si>
    <t xml:space="preserve">3/4" FRT Plywood (SF)</t>
  </si>
  <si>
    <t xml:space="preserve">FRP-1 (SF)</t>
  </si>
  <si>
    <t xml:space="preserve">FRP-2 (SF)</t>
  </si>
  <si>
    <t xml:space="preserve">Durock (SF)</t>
  </si>
  <si>
    <t xml:space="preserve">Demolition (SF)</t>
  </si>
  <si>
    <t xml:space="preserve">Bottom Track (LF)</t>
  </si>
  <si>
    <t xml:space="preserve">Top Track (LF)</t>
  </si>
  <si>
    <t xml:space="preserve">Top track condition</t>
  </si>
  <si>
    <t xml:space="preserve">Bracing C.R. channel (LF)</t>
  </si>
  <si>
    <t xml:space="preserve">Clips (ea)</t>
  </si>
  <si>
    <t xml:space="preserve">Header (LF)</t>
  </si>
  <si>
    <t xml:space="preserve">Insulation (SF)</t>
  </si>
  <si>
    <t xml:space="preserve">Acoustical sealant (LF)</t>
  </si>
  <si>
    <t xml:space="preserve">Blocking</t>
  </si>
  <si>
    <t xml:space="preserve">Labor (Hrs)</t>
  </si>
  <si>
    <t xml:space="preserve">Status</t>
  </si>
  <si>
    <t xml:space="preserve">Detail sequence (plan -&gt; detail -&gt; schedule)</t>
  </si>
  <si>
    <t xml:space="preserve">Seal</t>
  </si>
  <si>
    <t xml:space="preserve">A1 - 3-5/8" MST @ 16" O.C. (362S137-33) - board per face, see Side 1 / Side 2 (1 instance)</t>
  </si>
  <si>
    <t xml:space="preserve">Corridor 111 east / Break Room 118, Electrical 120, NER 121 west</t>
  </si>
  <si>
    <t xml:space="preserve">362S137-33</t>
  </si>
  <si>
    <t xml:space="preserve">Corridor 111</t>
  </si>
  <si>
    <t xml:space="preserve">Break Room 118</t>
  </si>
  <si>
    <t xml:space="preserve">CONTINUOUS SLIP TRACK per 3/A12.01</t>
  </si>
  <si>
    <t xml:space="preserve">PENDING (see Blocking sheet)</t>
  </si>
  <si>
    <t xml:space="preserve">[DERIVADO] vector A02.01</t>
  </si>
  <si>
    <t xml:space="preserve">A02.01 (tags A1 @1213,1406 and @1220,1515) -&gt; 3/A12.01 -&gt; 7/S5.20 -&gt; S2.20 B.O.D. -&gt; A04.01 ceiling -&gt; A00.30 HEAD 10/A12.02, JAMB 11/A12.02</t>
  </si>
  <si>
    <t xml:space="preserve">d67b0b4d817598c1</t>
  </si>
  <si>
    <t xml:space="preserve">Calling Cubes 122 north / Waiting 104</t>
  </si>
  <si>
    <t xml:space="preserve">Calling Cubes 122</t>
  </si>
  <si>
    <t xml:space="preserve">Waiting 104</t>
  </si>
  <si>
    <t xml:space="preserve">A02.01 (tag A1 @1382,996) -&gt; 3/A12.01 -&gt; 7/S5.20 -&gt; S2.20 B.O.D. -&gt; A04.01 ceiling</t>
  </si>
  <si>
    <t xml:space="preserve">c0fa7673fe7ef80d</t>
  </si>
  <si>
    <t xml:space="preserve">Calling Cubes 122 south / Break Room 118</t>
  </si>
  <si>
    <t xml:space="preserve">A02.01 (tag A1 @1376,1297) -&gt; 3/A12.01 -&gt; 7/S5.20 -&gt; S2.20 B.O.D. -&gt; A04.01 ceiling</t>
  </si>
  <si>
    <t xml:space="preserve">34d325ae99bba374</t>
  </si>
  <si>
    <t xml:space="preserve">Work Room 119 north / Cash Window 116 &amp; Break Room</t>
  </si>
  <si>
    <t xml:space="preserve">Work Room 119</t>
  </si>
  <si>
    <t xml:space="preserve">Cash Window 116</t>
  </si>
  <si>
    <t xml:space="preserve">A02.01 (tag A1 @1740,1472) -&gt; 3/A12.01 -&gt; 7/S5.20 -&gt; S2.20 B.O.D. -&gt; A04.01 ceiling -&gt; A00.30 HEAD 10/A12.02, JAMB 11/A12.02</t>
  </si>
  <si>
    <t xml:space="preserve">1a56c960b1d3effc</t>
  </si>
  <si>
    <t xml:space="preserve">Corridor 111 north (door 111)</t>
  </si>
  <si>
    <t xml:space="preserve">Central Zone 103</t>
  </si>
  <si>
    <t xml:space="preserve">A02.01 (tag A1 @1147,1254) -&gt; 3/A12.01 -&gt; 7/S5.20 -&gt; S2.20 B.O.D. -&gt; A04.01 ceiling -&gt; A00.30 HEAD 10/A12.02, JAMB 11/A12.02</t>
  </si>
  <si>
    <t xml:space="preserve">56e6e995594b5b5c</t>
  </si>
  <si>
    <t xml:space="preserve">MW01 alcove east (Calling Cubes 122)</t>
  </si>
  <si>
    <t xml:space="preserve">MW01 alcove</t>
  </si>
  <si>
    <t xml:space="preserve">A02.01 (tag A1 @1299,1000) -&gt; 3/A12.01 -&gt; 7/S5.20 -&gt; S2.20 B.O.D. -&gt; A04.01 ceiling</t>
  </si>
  <si>
    <t xml:space="preserve">a434297db62f6466</t>
  </si>
  <si>
    <t xml:space="preserve">MW01 alcove south (Calling Cubes 122)</t>
  </si>
  <si>
    <t xml:space="preserve">A02.01 (tag A1 @1246,1063) -&gt; 3/A12.01 -&gt; 7/S5.20 -&gt; S2.20 B.O.D. -&gt; A04.01 ceiling</t>
  </si>
  <si>
    <t xml:space="preserve">e21a491f82924ae8</t>
  </si>
  <si>
    <t xml:space="preserve">jog SE of Calling Cubes 122 (vertical)</t>
  </si>
  <si>
    <t xml:space="preserve">A02.01 (tag A1 @1508,1343) -&gt; 3/A12.01 -&gt; 7/S5.20 -&gt; S2.20 B.O.D. -&gt; A04.01 ceiling</t>
  </si>
  <si>
    <t xml:space="preserve">e58a73e29e60d087</t>
  </si>
  <si>
    <t xml:space="preserve">jog SE of Calling Cubes 122 (horizontal)</t>
  </si>
  <si>
    <t xml:space="preserve">A02.01 (tag A1 @1540,1335) -&gt; 3/A12.01 -&gt; 7/S5.20 -&gt; S2.20 B.O.D. -&gt; A04.01 ceiling</t>
  </si>
  <si>
    <t xml:space="preserve">fc92c8164bc5f2ef</t>
  </si>
  <si>
    <t xml:space="preserve">A1K - 3-5/8" 14 GA MST @ 24" O.C. (362S137-68) - board per face, see Side 1 / Side 2 (1 instance)</t>
  </si>
  <si>
    <t xml:space="preserve">Teller line west (Cash Window 116 / customer side)</t>
  </si>
  <si>
    <t xml:space="preserve">362S137-68</t>
  </si>
  <si>
    <t xml:space="preserve">Cash Window 116 (teller side)</t>
  </si>
  <si>
    <t xml:space="preserve">Central Zone 103 (customer side)</t>
  </si>
  <si>
    <t xml:space="preserve">CONTINUOUS SLIP TRACK per 4/A12.01</t>
  </si>
  <si>
    <t xml:space="preserve">A02.01 (tags A1K @1659,1150 and @1662,1332) -&gt; 4/A12.01 -&gt; 7/S5.20 -&gt; S2.20 B.O.D. -&gt; A04.01 ceiling</t>
  </si>
  <si>
    <t xml:space="preserve">d49b7c0ce1434ab5</t>
  </si>
  <si>
    <t xml:space="preserve">Future FCAM north</t>
  </si>
  <si>
    <t xml:space="preserve">Future FCAM</t>
  </si>
  <si>
    <t xml:space="preserve">A02.01 (tag A1K @1644,1335) -&gt; 4/A12.01 -&gt; 7/S5.20 -&gt; S2.20 B.O.D. -&gt; A04.01 ceiling</t>
  </si>
  <si>
    <t xml:space="preserve">c32dac1b6b7f6a0e</t>
  </si>
  <si>
    <t xml:space="preserve">Teller line north cap</t>
  </si>
  <si>
    <t xml:space="preserve">Office 108 side</t>
  </si>
  <si>
    <t xml:space="preserve">A02.01 (hatch KEVLAR legend A02.01 (no own tag)) -&gt; 4/A12.01 -&gt; 7/S5.20 -&gt; S2.20 B.O.D. -&gt; A04.01 ceiling</t>
  </si>
  <si>
    <t xml:space="preserve">b8f5af71bcddbc9c</t>
  </si>
  <si>
    <t xml:space="preserve">Teller line south cap</t>
  </si>
  <si>
    <t xml:space="preserve">3e5fa2f93e7f3207</t>
  </si>
  <si>
    <t xml:space="preserve">A5 - 6" MST @ 16" O.C. (600S137-33) - board per face, see Side 1 / Side 2 (1 instance)</t>
  </si>
  <si>
    <t xml:space="preserve">Calling Cubes 122 east / Central Zone 103</t>
  </si>
  <si>
    <t xml:space="preserve">600S137-33</t>
  </si>
  <si>
    <t xml:space="preserve">A02.01 (tag A5 @1543,1118) -&gt; 3/A12.01 -&gt; 7/S5.20 -&gt; S2.20 B.O.D. -&gt; A04.01 ceiling</t>
  </si>
  <si>
    <t xml:space="preserve">1573b37c962264a2</t>
  </si>
  <si>
    <t xml:space="preserve">Calling Cubes 122 west / Central Zone &amp; Corridor 111 (door 122)</t>
  </si>
  <si>
    <t xml:space="preserve">Central Zone 103 / Corridor 111</t>
  </si>
  <si>
    <t xml:space="preserve">A02.01 (tags A5 @1209,1129 and @1264,1240) -&gt; 3/A12.01 -&gt; 7/S5.20 -&gt; S2.20 B.O.D. -&gt; A04.01 ceiling -&gt; A00.30 HEAD 10/A12.02, JAMB 11/A12.02</t>
  </si>
  <si>
    <t xml:space="preserve">449509c616dd77f5</t>
  </si>
  <si>
    <t xml:space="preserve">Future FCAM west / Break Room 118</t>
  </si>
  <si>
    <t xml:space="preserve">A02.01 (tag A5 @1650,1410) -&gt; 3/A12.01 -&gt; 7/S5.20 -&gt; S2.20 B.O.D. -&gt; A04.01 ceiling</t>
  </si>
  <si>
    <t xml:space="preserve">fb8ae23bcf90dd29</t>
  </si>
  <si>
    <t xml:space="preserve">B - 3-5/8" MST @ 16" O.C. (362S137-33) - board per face, see Side 1 / Side 2 (1 instance)</t>
  </si>
  <si>
    <t xml:space="preserve">Electrical 120 &amp; NER 121 east / Break Room 118</t>
  </si>
  <si>
    <t xml:space="preserve">Electrical 120 / NER 121</t>
  </si>
  <si>
    <t xml:space="preserve">CONTINUOUS SLIP TRACK per 1/A12.01</t>
  </si>
  <si>
    <t xml:space="preserve">A02.01 (tag B @1400,1584) -&gt; 1/A12.01 -&gt; 7/S5.20 -&gt; S2.20 B.O.D. -&gt; A04.01 ceiling -&gt; A00.30 HEAD 10/A12.02, JAMB 11/A12.02</t>
  </si>
  <si>
    <t xml:space="preserve">2381d0116a0ab104</t>
  </si>
  <si>
    <t xml:space="preserve">Janitor Closet 112 &amp; Storage 117 / Wellness 115</t>
  </si>
  <si>
    <t xml:space="preserve">Janitor Closet 112 / Storage 117</t>
  </si>
  <si>
    <t xml:space="preserve">Wellness 115</t>
  </si>
  <si>
    <t xml:space="preserve">A02.01 (tags B @944,1567 and @1101,1607) -&gt; 1/A12.01 -&gt; 7/S5.20 -&gt; S2.20 B.O.D. -&gt; A04.01 ceiling</t>
  </si>
  <si>
    <t xml:space="preserve">3f44e25de778249d</t>
  </si>
  <si>
    <t xml:space="preserve">Mens Restroom 113 south / Janitor Closet 112 &amp; Storage 117 north</t>
  </si>
  <si>
    <t xml:space="preserve">Mens Restroom 113</t>
  </si>
  <si>
    <t xml:space="preserve">A02.01 (tag B @1052,1497) -&gt; 1/A12.01 -&gt; 7/S5.20 -&gt; S2.20 B.O.D. -&gt; A04.01 ceiling -&gt; A00.30 HEAD 10/A12.02, JAMB 11/A12.02</t>
  </si>
  <si>
    <t xml:space="preserve">90cb13724e02a18e</t>
  </si>
  <si>
    <t xml:space="preserve">Electrical 120 north / Break Room 118</t>
  </si>
  <si>
    <t xml:space="preserve">Electrical 120</t>
  </si>
  <si>
    <t xml:space="preserve">A02.01 (tag B @1380,1457) -&gt; 1/A12.01 -&gt; 7/S5.20 -&gt; S2.20 B.O.D. -&gt; A04.01 ceiling</t>
  </si>
  <si>
    <t xml:space="preserve">5d100aa0ef19de8d</t>
  </si>
  <si>
    <t xml:space="preserve">NER 121</t>
  </si>
  <si>
    <t xml:space="preserve">A02.01 (tag B @1383,1572) -&gt; 1/A12.01 -&gt; 7/S5.20 -&gt; S2.20 B.O.D. -&gt; A04.01 ceiling</t>
  </si>
  <si>
    <t xml:space="preserve">0da09bcddeb876a5</t>
  </si>
  <si>
    <t xml:space="preserve">Janitor Closet 112</t>
  </si>
  <si>
    <t xml:space="preserve">Storage 117</t>
  </si>
  <si>
    <t xml:space="preserve">A02.01 (tag B @1048,1532) -&gt; 1/A12.01 -&gt; 7/S5.20 -&gt; S2.20 B.O.D. -&gt; A04.01 ceiling</t>
  </si>
  <si>
    <t xml:space="preserve">a3d71077804295b1</t>
  </si>
  <si>
    <t xml:space="preserve">B2 - 6" MST @ 16" O.C. (600S137-33) - board per face, see Side 1 / Side 2 (1 instance)</t>
  </si>
  <si>
    <t xml:space="preserve">Corridor 111 west / Restrooms 114 &amp; 113, Storage 117, Wellness 115 east (incl. drinking fountain alcove)</t>
  </si>
  <si>
    <t xml:space="preserve">Restrooms / Storage / Wellness</t>
  </si>
  <si>
    <t xml:space="preserve">A02.01 (tags B2 @1146,1314 @1154,1438 @1152,1597) -&gt; 1/A12.01 -&gt; 7/S5.20 -&gt; S2.20 B.O.D. -&gt; A04.01 ceiling -&gt; A00.30 HEAD 10/A12.02, JAMB 11/A12.02</t>
  </si>
  <si>
    <t xml:space="preserve">458761b4503a992b</t>
  </si>
  <si>
    <t xml:space="preserve">Break Room 118 / Work Room 119 (door 116)</t>
  </si>
  <si>
    <t xml:space="preserve">Work Room 119 / FCAM</t>
  </si>
  <si>
    <t xml:space="preserve">A02.01 (tags B2 @1603,1493 and @1652,1622) -&gt; 1/A12.01 -&gt; 7/S5.20 -&gt; S2.20 B.O.D. -&gt; A04.01 ceiling -&gt; A00.30 HEAD 10/A12.02, JAMB 11/A12.02</t>
  </si>
  <si>
    <t xml:space="preserve">cb2d3f1223928700</t>
  </si>
  <si>
    <t xml:space="preserve">ATM Room 102 east / 24 HR Vestibule &amp; Central Zone (door 102)</t>
  </si>
  <si>
    <t xml:space="preserve">ATM Room 102</t>
  </si>
  <si>
    <t xml:space="preserve">A02.01 (tag B2 @1110,746) -&gt; 1/A12.01 -&gt; 7/S5.20 -&gt; S2.20 B.O.D. -&gt; A04.01 ceiling -&gt; A00.30 HEAD 10/A12.02, JAMB 11/A12.02</t>
  </si>
  <si>
    <t xml:space="preserve">60a2d1639746e592</t>
  </si>
  <si>
    <t xml:space="preserve">B2K - 6" 14 GA MST @ 24" O.C. (600S137-68) - board per face, see Side 1 / Side 2 (1 instance)</t>
  </si>
  <si>
    <t xml:space="preserve">Teller line NW corner (Office 108 / Cash Window)</t>
  </si>
  <si>
    <t xml:space="preserve">600S137-68</t>
  </si>
  <si>
    <t xml:space="preserve">A02.01 (tag B2K @1637,1136) -&gt; 4/A12.01 -&gt; 7/S5.20 -&gt; S2.20 B.O.D. -&gt; A04.01 ceiling</t>
  </si>
  <si>
    <t xml:space="preserve">d1261f240244c6f3</t>
  </si>
  <si>
    <t xml:space="preserve">C1 - 3-5/8" furring MST @ 16" O.C. (362S137-33) - board per face, see Side 1 / Side 2 (1 instance)</t>
  </si>
  <si>
    <t xml:space="preserve">Plumbing chase - Mens Restroom 113 face</t>
  </si>
  <si>
    <t xml:space="preserve">CONTINUOUS SLIP TRACK per 6/A12.01</t>
  </si>
  <si>
    <t xml:space="preserve">A02.01 (tag C1 @1004,1400) -&gt; 6/A12.01 -&gt; 7/S5.20 -&gt; S2.20 B.O.D. -&gt; A04.01 ceiling</t>
  </si>
  <si>
    <t xml:space="preserve">a26e1d399994acda</t>
  </si>
  <si>
    <t xml:space="preserve">Plumbing chase - Womens Restroom 114 face</t>
  </si>
  <si>
    <t xml:space="preserve">Womens Restroom 114</t>
  </si>
  <si>
    <t xml:space="preserve">A02.01 (tag C1 @1005,1342) -&gt; 6/A12.01 -&gt; 7/S5.20 -&gt; S2.20 B.O.D. -&gt; A04.01 ceiling</t>
  </si>
  <si>
    <t xml:space="preserve">840b092a020d88ff</t>
  </si>
  <si>
    <t xml:space="preserve">Display monitor furring - Waiting 104 face of wall 1 (keynote 7)</t>
  </si>
  <si>
    <t xml:space="preserve">A02.01 (tag C1 @1304,943) -&gt; 6/A12.01 -&gt; 7/S5.20 -&gt; S2.20 B.O.D. -&gt; A04.01 ceiling</t>
  </si>
  <si>
    <t xml:space="preserve">b32b408f4cb23acc</t>
  </si>
  <si>
    <t xml:space="preserve">F - 3-5/8" MST @ 16" O.C. (362S137-33) - board per face, see Side 1 / Side 2 (1 instance)</t>
  </si>
  <si>
    <t xml:space="preserve">ATM wall (inclined 30 deg) 24 HR Vestibule 101 / ATM Room 102</t>
  </si>
  <si>
    <t xml:space="preserve">24 HR Vestibule 101</t>
  </si>
  <si>
    <t xml:space="preserve">CONTINUOUS SLIP TRACK per 12/A12.01</t>
  </si>
  <si>
    <t xml:space="preserve">A02.01 (tag F @1073,672) -&gt; 12/A12.01 -&gt; 7/S5.20 -&gt; S2.20 B.O.D. -&gt; A04.01 ceiling -&gt; A00.30 HEAD 10/A12.02, JAMB 11/A12.02</t>
  </si>
  <si>
    <t xml:space="preserve">2703fea400bb2cd3</t>
  </si>
  <si>
    <t xml:space="preserve">G - 1-5/8" double row MST @ 16" O.C. (162S125-33 (DERIVED)) - board per face, see Side 1 / Side 2 (1 instance)</t>
  </si>
  <si>
    <t xml:space="preserve">Office 107 / Office 108</t>
  </si>
  <si>
    <t xml:space="preserve">162S125-33 (DERIVED)</t>
  </si>
  <si>
    <t xml:space="preserve">Office 107</t>
  </si>
  <si>
    <t xml:space="preserve">Office 108</t>
  </si>
  <si>
    <t xml:space="preserve">CONTINUOUS SLIP TRACK per 5/A12.01</t>
  </si>
  <si>
    <t xml:space="preserve">A02.01 (tag G @1716,937) -&gt; 5/A12.01 -&gt; 7/S5.20 -&gt; S2.20 B.O.D. -&gt; A04.01 ceiling</t>
  </si>
  <si>
    <t xml:space="preserve">85ea94924962db6a</t>
  </si>
  <si>
    <t xml:space="preserve">Office 106 / Office 107</t>
  </si>
  <si>
    <t xml:space="preserve">Office 106</t>
  </si>
  <si>
    <t xml:space="preserve">A02.01 (tag G @1713,742) -&gt; 5/A12.01 -&gt; 7/S5.20 -&gt; S2.20 B.O.D. -&gt; A04.01 ceiling</t>
  </si>
  <si>
    <t xml:space="preserve">dfca61ea510ec211</t>
  </si>
  <si>
    <t xml:space="preserve">Office 110 / Womens Restroom 114</t>
  </si>
  <si>
    <t xml:space="preserve">Office 110</t>
  </si>
  <si>
    <t xml:space="preserve">A02.01 (tag G @1010,1211) -&gt; 5/A12.01 -&gt; 7/S5.20 -&gt; S2.20 B.O.D. -&gt; A04.01 ceiling</t>
  </si>
  <si>
    <t xml:space="preserve">95c0914f7f854aa7</t>
  </si>
  <si>
    <t xml:space="preserve">ATM Room 102 / Office 109</t>
  </si>
  <si>
    <t xml:space="preserve">Office 109</t>
  </si>
  <si>
    <t xml:space="preserve">A02.01 (tag G @1052,818) -&gt; 5/A12.01 -&gt; 7/S5.20 -&gt; S2.20 B.O.D. -&gt; A04.01 ceiling</t>
  </si>
  <si>
    <t xml:space="preserve">d1b5c3aba3cc8c73</t>
  </si>
  <si>
    <t xml:space="preserve">Office 109 / Office 110</t>
  </si>
  <si>
    <t xml:space="preserve">A02.01 (tag G @1053,1049) -&gt; 5/A12.01 -&gt; 7/S5.20 -&gt; S2.20 B.O.D. -&gt; A04.01 ceiling</t>
  </si>
  <si>
    <t xml:space="preserve">90c02d1bb0f0e82e</t>
  </si>
  <si>
    <t xml:space="preserve">Office 108 / Cash Window 116</t>
  </si>
  <si>
    <t xml:space="preserve">A02.01 (tag G @1766,1129) -&gt; 5/A12.01 -&gt; 7/S5.20 -&gt; S2.20 B.O.D. -&gt; A04.01 ceiling</t>
  </si>
  <si>
    <t xml:space="preserve">79103f4c2266d860</t>
  </si>
  <si>
    <t xml:space="preserve">pier between office fronts 105/106</t>
  </si>
  <si>
    <t xml:space="preserve">Office 105/106</t>
  </si>
  <si>
    <t xml:space="preserve">A02.01 (tag G @1602,546) -&gt; 5/A12.01 -&gt; 7/S5.20 -&gt; S2.20 B.O.D. -&gt; A04.01 ceiling</t>
  </si>
  <si>
    <t xml:space="preserve">cae17a4876408c84</t>
  </si>
  <si>
    <t xml:space="preserve">pier between office fronts 106/107</t>
  </si>
  <si>
    <t xml:space="preserve">Office 106/107</t>
  </si>
  <si>
    <t xml:space="preserve">A02.01 (tag G @1605,749) -&gt; 5/A12.01 -&gt; 7/S5.20 -&gt; S2.20 B.O.D. -&gt; A04.01 ceiling</t>
  </si>
  <si>
    <t xml:space="preserve">dd057e416849fff8</t>
  </si>
  <si>
    <t xml:space="preserve">pier between office fronts 107/108</t>
  </si>
  <si>
    <t xml:space="preserve">Office 107/108</t>
  </si>
  <si>
    <t xml:space="preserve">A02.01 (tag G @1602,940) -&gt; 5/A12.01 -&gt; 7/S5.20 -&gt; S2.20 B.O.D. -&gt; A04.01 ceiling</t>
  </si>
  <si>
    <t xml:space="preserve">0ebe6d3c4508cb16</t>
  </si>
  <si>
    <t xml:space="preserve">pier north of office front 105</t>
  </si>
  <si>
    <t xml:space="preserve">Office 105</t>
  </si>
  <si>
    <t xml:space="preserve">A02.01 (untagged; measured 6.16in = G (schedule 6 1/8)) -&gt; 5/A12.01 -&gt; 7/S5.20 -&gt; S2.20 B.O.D. -&gt; A04.01 ceiling</t>
  </si>
  <si>
    <t xml:space="preserve">80032d977dab8796</t>
  </si>
  <si>
    <t xml:space="preserve">G1 - 1-5/8" double row MST @ 16" O.C. (162S125-33 (DERIVED)) - board per face, see Side 1 / Side 2 (1 instance)</t>
  </si>
  <si>
    <t xml:space="preserve">Office 105 / Office 106</t>
  </si>
  <si>
    <t xml:space="preserve">A02.01 (tag G1 @1714,548) -&gt; 5/A12.01 -&gt; 7/S5.20 -&gt; S2.20 B.O.D. -&gt; A04.01 ceiling</t>
  </si>
  <si>
    <t xml:space="preserve">ac841e41d57e14fd</t>
  </si>
  <si>
    <t xml:space="preserve">pier between office fronts 109/110</t>
  </si>
  <si>
    <t xml:space="preserve">Office 109/110</t>
  </si>
  <si>
    <t xml:space="preserve">A02.01 (tag G1 @1149,1008) -&gt; 5/A12.01 -&gt; 7/S5.20 -&gt; S2.20 B.O.D. -&gt; A04.01 ceiling</t>
  </si>
  <si>
    <t xml:space="preserve">177e848d82f0ca08</t>
  </si>
  <si>
    <t xml:space="preserve">pier south of office front 110</t>
  </si>
  <si>
    <t xml:space="preserve">A02.01 (untagged; measured 8.48in = G1) -&gt; 5/A12.01 -&gt; 7/S5.20 -&gt; S2.20 B.O.D. -&gt; A04.01 ceiling</t>
  </si>
  <si>
    <t xml:space="preserve">ebdbc3d7525d3f8c</t>
  </si>
  <si>
    <t xml:space="preserve">pier north of office front 109</t>
  </si>
  <si>
    <t xml:space="preserve">70cc5fbe8a86464b</t>
  </si>
  <si>
    <t xml:space="preserve">TOTALS - INTERIOR PARTITIONS</t>
  </si>
  <si>
    <t xml:space="preserve">Closure</t>
  </si>
  <si>
    <t xml:space="preserve">Facade / segment (axis kept separate)</t>
  </si>
  <si>
    <t xml:space="preserve">Stud height (FT)</t>
  </si>
  <si>
    <t xml:space="preserve">6" Metal Stud 600S137-33 (LF)</t>
  </si>
  <si>
    <t xml:space="preserve">Parapet stud 600S162-54 (LF)</t>
  </si>
  <si>
    <t xml:space="preserve">Bottom track (LF)</t>
  </si>
  <si>
    <t xml:space="preserve">Top / deflection track (LF)</t>
  </si>
  <si>
    <t xml:space="preserve">Sill track (LF)</t>
  </si>
  <si>
    <t xml:space="preserve">Bracing (LF)</t>
  </si>
  <si>
    <t xml:space="preserve">5/8" Gyp Board interior face (SF)</t>
  </si>
  <si>
    <t xml:space="preserve">5/8" Glass Mat Sheathing (SF)</t>
  </si>
  <si>
    <t xml:space="preserve">5/8" Exterior Gypsum Sheathing - parapet (SF)</t>
  </si>
  <si>
    <t xml:space="preserve">ALT: 5/8" FRT ply + 2 1/2" polyiso (SF) - not in base</t>
  </si>
  <si>
    <t xml:space="preserve">Box beam over storefront (LF)</t>
  </si>
  <si>
    <t xml:space="preserve">3/4" FRT plywood at opening (LF)</t>
  </si>
  <si>
    <t xml:space="preserve">Gyp jamb return (LF)</t>
  </si>
  <si>
    <t xml:space="preserve">Sealant (LF)</t>
  </si>
  <si>
    <t xml:space="preserve">Detail sequence</t>
  </si>
  <si>
    <t xml:space="preserve">X45_EXT-E</t>
  </si>
  <si>
    <t xml:space="preserve">East facade grid 8, interior face x=1843.08 (offices 105-108, cash window, work room)</t>
  </si>
  <si>
    <t xml:space="preserve">A02.01 plan face -&gt; C/A09.21 WALL SECTION -&gt; 5/A09.26 SECTION DETAIL @ ACM BASE -&gt; 7/S5.20 METAL STUD SCHEDULE -&gt; S2.20 B.O.D.</t>
  </si>
  <si>
    <t xml:space="preserve">c51aeb1bbc1b4523</t>
  </si>
  <si>
    <t xml:space="preserve">X47_EXT-S</t>
  </si>
  <si>
    <t xml:space="preserve">South facade grid A, interior face y=1693.44 (wellness, NER, break, work room)</t>
  </si>
  <si>
    <t xml:space="preserve">56d6250c0df3c737</t>
  </si>
  <si>
    <t xml:space="preserve">X48_EXT-W1</t>
  </si>
  <si>
    <t xml:space="preserve">West facade grid 1, interior face x=911.88 (offices 109/110, restrooms, janitor, wellness)</t>
  </si>
  <si>
    <t xml:space="preserve">d5847a382bbdaba4</t>
  </si>
  <si>
    <t xml:space="preserve">X50_EXT-W2</t>
  </si>
  <si>
    <t xml:space="preserve">West facade grid 1 north, interior face x=841.56 (24 HR vestibule 101 / ATM room 102, Day 1 ATM)</t>
  </si>
  <si>
    <t xml:space="preserve">64bdc98b68e72143</t>
  </si>
  <si>
    <t xml:space="preserve">X51_EXT-W3</t>
  </si>
  <si>
    <t xml:space="preserve">West facade jog south of ATM room, y=840.72 from x 841.56 to 911.88</t>
  </si>
  <si>
    <t xml:space="preserve">393d2e8f17c63e31</t>
  </si>
  <si>
    <t xml:space="preserve">X52_EXT-N1</t>
  </si>
  <si>
    <t xml:space="preserve">North facade grid G/F east part, interior face y=337.44 (office 105 + NE pier)</t>
  </si>
  <si>
    <t xml:space="preserve">3ade2cb2b104d9ea</t>
  </si>
  <si>
    <t xml:space="preserve">X53_SFband</t>
  </si>
  <si>
    <t xml:space="preserve">North storefront head band, Central Zone 103 (26.68 ft storefront 1135.4-&gt;1615.6 A02.01)</t>
  </si>
  <si>
    <t xml:space="preserve">A02.01 storefront (Div 08) -&gt; A09.01 elevation T/GLAZING 8-6 -&gt; A/A09.21 SECTION A @ ENTRANCE DOOR -&gt; 11/A09.27 storefront head</t>
  </si>
  <si>
    <t xml:space="preserve">67827df3e54a04c5</t>
  </si>
  <si>
    <t xml:space="preserve">X54_SFband</t>
  </si>
  <si>
    <t xml:space="preserve">North storefront head band, Vestibule 100 (841.6-&gt;1126.4 A02.01, incl. C1 columns)</t>
  </si>
  <si>
    <t xml:space="preserve">3f117f156f6fe858</t>
  </si>
  <si>
    <t xml:space="preserve">X55_SFband</t>
  </si>
  <si>
    <t xml:space="preserve">West storefront head band, Vestibule 100 (x~832, 318.6-&gt;454.4 A02.01)</t>
  </si>
  <si>
    <t xml:space="preserve">7417b96c54632d83</t>
  </si>
  <si>
    <t xml:space="preserve">X56_parapet</t>
  </si>
  <si>
    <t xml:space="preserve">Parapet infill above B.O.D., E-HI 50.50 + N1 12.64 + N2 26.68 + W1-HI 22.58 + W2 21.42 + W3 3.91</t>
  </si>
  <si>
    <t xml:space="preserve">S2.20 6/S5.10 &amp; 10/S5.10 burbujas -&gt; 6/S5.10 SECTION AT PERIMETER -&gt; 11/S5.10 PARAPET INFILL FRAMING -&gt; C/A09.21 T/STUD LP</t>
  </si>
  <si>
    <t xml:space="preserve">2b33264997a757ad</t>
  </si>
  <si>
    <t xml:space="preserve">X57_parapet</t>
  </si>
  <si>
    <t xml:space="preserve">Parapet infill above B.O.D., E-LO 24.84 + S 51.73 + W1-LO 24.84</t>
  </si>
  <si>
    <t xml:space="preserve">7ac1e1ac8bc480a2</t>
  </si>
  <si>
    <t xml:space="preserve">X58_parapet</t>
  </si>
  <si>
    <t xml:space="preserve">Parapet infill above B.O.D., N3 15.82 + W4 7.54 (T.O. PARAPET 2 20 ft grids 2-4 A09.01)</t>
  </si>
  <si>
    <t xml:space="preserve">595fdb38d54331c5</t>
  </si>
  <si>
    <t xml:space="preserve">TOTALS - EXTERIOR (each facade stays on its own row above)</t>
  </si>
  <si>
    <t xml:space="preserve">Opening / band</t>
  </si>
  <si>
    <t xml:space="preserve">Length = opening width (LF)</t>
  </si>
  <si>
    <t xml:space="preserve">Band height (FT)</t>
  </si>
  <si>
    <t xml:space="preserve">Bottom track on box beam (LF)</t>
  </si>
  <si>
    <t xml:space="preserve">Top slip track (LF)</t>
  </si>
  <si>
    <t xml:space="preserve">Box beam 2-362CSJ20 (LF)</t>
  </si>
  <si>
    <t xml:space="preserve">5/8" Gyp Board (SF) 2 layers x 2 faces</t>
  </si>
  <si>
    <t xml:space="preserve">3/4" FRT plywood blocking (LF)</t>
  </si>
  <si>
    <t xml:space="preserve">Corner bead (LF)</t>
  </si>
  <si>
    <t xml:space="preserve">Shadow molding (LF)</t>
  </si>
  <si>
    <t xml:space="preserve">Sill band (lower)</t>
  </si>
  <si>
    <t xml:space="preserve">BH_105</t>
  </si>
  <si>
    <t xml:space="preserve">Office bulkhead over office front DFC-1A, Office 105 / Central Zone 103</t>
  </si>
  <si>
    <t xml:space="preserve">0 - office front DFC-1A installs on structural slab (9/A12.01), no sill band</t>
  </si>
  <si>
    <t xml:space="preserve">A02.01 DFC-1A office front + note E (office front by bank vendor) -&gt; 8/A12.01 OFFICE BULKHEAD DETAIL @ DOOR -&gt; 9/A12.01 OFFICE BULKHEAD DETAIL @ GLASS PANEL -&gt; 2/A11.04 office front height</t>
  </si>
  <si>
    <t xml:space="preserve">35d0b2d27e682e3a</t>
  </si>
  <si>
    <t xml:space="preserve">BH_106</t>
  </si>
  <si>
    <t xml:space="preserve">Office bulkhead over office front DFC-1A, Office 106 / Central Zone 103</t>
  </si>
  <si>
    <t xml:space="preserve">3ab0d73d20ded81e</t>
  </si>
  <si>
    <t xml:space="preserve">BH_107</t>
  </si>
  <si>
    <t xml:space="preserve">Office bulkhead over office front DFC-1A, Office 107 / Central Zone 103</t>
  </si>
  <si>
    <t xml:space="preserve">ba867ca02ffed8b6</t>
  </si>
  <si>
    <t xml:space="preserve">BH_108</t>
  </si>
  <si>
    <t xml:space="preserve">Office bulkhead over office front DFC-1A, Office 108 / Central Zone 103</t>
  </si>
  <si>
    <t xml:space="preserve">e5cbc3f44add6d0f</t>
  </si>
  <si>
    <t xml:space="preserve">BH_109</t>
  </si>
  <si>
    <t xml:space="preserve">Office bulkhead over office front DFC-1A, Office 109 / Central Zone 103</t>
  </si>
  <si>
    <t xml:space="preserve">66ce7f3cedd8c7ab</t>
  </si>
  <si>
    <t xml:space="preserve">BH_110</t>
  </si>
  <si>
    <t xml:space="preserve">Office bulkhead over office front DFC-1A, Office 110 / Central Zone 103</t>
  </si>
  <si>
    <t xml:space="preserve">2aa750f74f13cc3b</t>
  </si>
  <si>
    <t xml:space="preserve">TOTALS - OFFICE BULKHEADS</t>
  </si>
  <si>
    <t xml:space="preserve">Exterior opening bands: storefront head bands are closures X53-X55 (sheet Exterior); window head/sill cripples are inside X45/X48 (B/GLAZING 6'-6", T/GLAZING 8'-6"); Day 1 ATM band PENDING (RFI-19); interior storefront 101 / coiling grille 103 band PENDING (RFI-20).</t>
  </si>
  <si>
    <t xml:space="preserve">ID</t>
  </si>
  <si>
    <t xml:space="preserve">Room</t>
  </si>
  <si>
    <t xml:space="preserve">Ceiling tag</t>
  </si>
  <si>
    <t xml:space="preserve">Height A.F.F. (FT)</t>
  </si>
  <si>
    <t xml:space="preserve">Area (SF)</t>
  </si>
  <si>
    <t xml:space="preserve">Area derivation</t>
  </si>
  <si>
    <t xml:space="preserve">Transition / edge (LF)</t>
  </si>
  <si>
    <t xml:space="preserve">Suspension</t>
  </si>
  <si>
    <t xml:space="preserve">CEIL-1</t>
  </si>
  <si>
    <t xml:space="preserve">Vestibule 100 + 24 HR Vestibule 101</t>
  </si>
  <si>
    <t xml:space="preserve">GB 10'-0"</t>
  </si>
  <si>
    <t xml:space="preserve">Vestibule 100 rectangle: x 841.60-1126.40, y 331.10-460.40 A04.01/A02.01: 284.80 x 129.30 pt / 324 = 113.65 | 24 HR Vestibule 101 polygon: x 841.56-1130.28 between storefront y 460.40 and F wall north face y=553.80+tan30*(x-841.44): width 288.72 x mean depth 176.83 pt / 324 = 157.57</t>
  </si>
  <si>
    <t xml:space="preserve">PENDING RFI-11: GB ceiling suspension system (carrying/furring channel or drywall grid) not detailed in A09.33 / no spec book</t>
  </si>
  <si>
    <t xml:space="preserve">341d6f2afbffa8b6</t>
  </si>
  <si>
    <t xml:space="preserve">CEIL-2</t>
  </si>
  <si>
    <t xml:space="preserve">GB 11'-0"</t>
  </si>
  <si>
    <t xml:space="preserve">Waiting 104: A04.01 boundary lines x 1223.88 &amp; 1530.36, y 427.44-967.44: 306.48 x 540.00 pt / 324 (540 pt = 30'-0" printed A04.01) = 510.8</t>
  </si>
  <si>
    <t xml:space="preserve">14c469c07c1c1c93</t>
  </si>
  <si>
    <t xml:space="preserve">CEIL-3</t>
  </si>
  <si>
    <t xml:space="preserve">GB 8'-6"</t>
  </si>
  <si>
    <t xml:space="preserve">Womens Restroom 114: x 911.88-1123.08, y 1236.36-1362.72 (A02.01 faces): 11.73 x 7.02 ft = 82.36</t>
  </si>
  <si>
    <t xml:space="preserve">a2026b0fb0a58199</t>
  </si>
  <si>
    <t xml:space="preserve">CEIL-4</t>
  </si>
  <si>
    <t xml:space="preserve">Mens Restroom 113: x 911.88-1123.08, y 1382.16-1508.52: 11.73 x 7.02 ft = 82.36</t>
  </si>
  <si>
    <t xml:space="preserve">b25a0e8001600121</t>
  </si>
  <si>
    <t xml:space="preserve">TOTAL GWB CEILINGS</t>
  </si>
  <si>
    <t xml:space="preserve">ACT ceilings (Div 09 51 00, not ours): ACT-4 / ACT-5 per A04.01 - listed for reference only. Open to structure: Janitor 112, Storage 117, Electrical 120, NER 121 (A04.01 key note 1).</t>
  </si>
  <si>
    <t xml:space="preserve">Soffit</t>
  </si>
  <si>
    <t xml:space="preserve">Tag</t>
  </si>
  <si>
    <t xml:space="preserve">Height (FT)</t>
  </si>
  <si>
    <t xml:space="preserve">Bottom (SF)</t>
  </si>
  <si>
    <t xml:space="preserve">Vertical face (SF)</t>
  </si>
  <si>
    <t xml:space="preserve">Edge trim (LF)</t>
  </si>
  <si>
    <t xml:space="preserve">Framing</t>
  </si>
  <si>
    <t xml:space="preserve">SOFF-1</t>
  </si>
  <si>
    <t xml:space="preserve">CSR soffit over teller line, Cash Window 116</t>
  </si>
  <si>
    <t xml:space="preserve">GB 8'-0"</t>
  </si>
  <si>
    <t xml:space="preserve">3 5/8" CFMF @ 16" O.C. (10/A09.33) - piece count PENDING (RFI-23)</t>
  </si>
  <si>
    <t xml:space="preserve">c22edd66ddd140d2</t>
  </si>
  <si>
    <t xml:space="preserve">S-canopy</t>
  </si>
  <si>
    <t xml:space="preserve">Exterior canopy soffit (EPS-1 ACM / PT-4 stucco soffit band, A04.01 top band)</t>
  </si>
  <si>
    <t xml:space="preserve">-</t>
  </si>
  <si>
    <t xml:space="preserve">10'-6" B/CANOPY</t>
  </si>
  <si>
    <t xml:space="preserve">PENDING</t>
  </si>
  <si>
    <t xml:space="preserve">canopy framing per 3/A09.26 and D/A09.22 not quantified - RFI-21</t>
  </si>
  <si>
    <t xml:space="preserve">#</t>
  </si>
  <si>
    <t xml:space="preserve">Wall</t>
  </si>
  <si>
    <t xml:space="preserve">Duct (label read on M01.01)</t>
  </si>
  <si>
    <t xml:space="preserve">Treatment</t>
  </si>
  <si>
    <t xml:space="preserve">wall 5 A1</t>
  </si>
  <si>
    <t xml:space="preserve">10"ø R-1B</t>
  </si>
  <si>
    <t xml:space="preserve">framed opening: head + sill track 5.0 LF, 2 jamb studs (6/S5.20, 9/S5.20)</t>
  </si>
  <si>
    <t xml:space="preserve">wall 9 A1</t>
  </si>
  <si>
    <t xml:space="preserve">8"ø</t>
  </si>
  <si>
    <t xml:space="preserve">S-1A duct (size not legible in crop)</t>
  </si>
  <si>
    <t xml:space="preserve">wall 15 A5</t>
  </si>
  <si>
    <t xml:space="preserve">duct (size not legible)</t>
  </si>
  <si>
    <t xml:space="preserve">wall 16 A5</t>
  </si>
  <si>
    <t xml:space="preserve">14"x12"</t>
  </si>
  <si>
    <t xml:space="preserve">wall 21 B</t>
  </si>
  <si>
    <t xml:space="preserve">8"x8"</t>
  </si>
  <si>
    <t xml:space="preserve">wall 23 B2</t>
  </si>
  <si>
    <t xml:space="preserve">12"x10"</t>
  </si>
  <si>
    <t xml:space="preserve">10"x10"</t>
  </si>
  <si>
    <t xml:space="preserve">wall 32 G</t>
  </si>
  <si>
    <t xml:space="preserve">8"x10"</t>
  </si>
  <si>
    <t xml:space="preserve">10"ø</t>
  </si>
  <si>
    <t xml:space="preserve">wall 33 G</t>
  </si>
  <si>
    <t xml:space="preserve">wall 38 G</t>
  </si>
  <si>
    <t xml:space="preserve">wall 39 G</t>
  </si>
  <si>
    <t xml:space="preserve">wall 40 G</t>
  </si>
  <si>
    <t xml:space="preserve">wall 41 G1</t>
  </si>
  <si>
    <t xml:space="preserve">wall 43 G1</t>
  </si>
  <si>
    <t xml:space="preserve">12"x10" (same run as #7?)</t>
  </si>
  <si>
    <t xml:space="preserve">TOTAL framed openings</t>
  </si>
  <si>
    <t xml:space="preserve">track 95.0 LF, jamb studs 38 ea</t>
  </si>
  <si>
    <t xml:space="preserve">Registration</t>
  </si>
  <si>
    <t xml:space="preserve">M01.01 offset dx=-571.92 dy=21.84 voted with mep.registro (vy=124 &gt;=25) and verified on F wall diagonal (1413.36,531.96) -&gt; A02.01 (841.44,553.80)</t>
  </si>
  <si>
    <t xml:space="preserve">Excluded</t>
  </si>
  <si>
    <t xml:space="preserve">#0 wall 1: duct runs alongside, not through (crop #0) -&gt; not counted; wall 43 single lw1.56 line = door frame, not duct</t>
  </si>
  <si>
    <t xml:space="preserve">Pending</t>
  </si>
  <si>
    <t xml:space="preserve">P01.01/P01.02 (plumbing) NOT registered: mep.registro votes vx=1 vy=3 &lt;25 -&gt; no geometric crossing; restroom chase C1 carries piping (RFI-16). E02.x not crossed (conduit in walls normally by electrician).</t>
  </si>
  <si>
    <t xml:space="preserve">Item</t>
  </si>
  <si>
    <t xml:space="preserve">Derivation</t>
  </si>
  <si>
    <t xml:space="preserve">Qty</t>
  </si>
  <si>
    <t xml:space="preserve">Unit</t>
  </si>
  <si>
    <t xml:space="preserve">Source / RFI</t>
  </si>
  <si>
    <t xml:space="preserve">Wall stops (A00.30 sheet note D "PROVIDE BLOCKING AT EACH WALL STOP")</t>
  </si>
  <si>
    <t xml:space="preserve">doors 111(04A),113(08),114(08),115(16),116(11),117(10),118A(11B),118B(11),119(12) = 9 hardware groups listing 1 EA WALL STOP WS407CCV (A00.30 HARDWARE GROUPS); 2'-0" per stop (stop not located on plan)</t>
  </si>
  <si>
    <t xml:space="preserve">LF</t>
  </si>
  <si>
    <t xml:space="preserve">DERIVADO</t>
  </si>
  <si>
    <t xml:space="preserve">A00.30 note D + hardware groups</t>
  </si>
  <si>
    <t xml:space="preserve">Mens Restroom 113 toilet accessories (FRT blocking, A08.01 sheet note E)</t>
  </si>
  <si>
    <t xml:space="preserve">TA-3 42" grab bar 4.5 + TA-4 36" grab bar 4.0 + TA-5 18" grab bar 2.5 + TA-7 mirror 2 runs x 2.0 + TA-8 soap 2.0 + TA-10 TP 2.0 + TA-16 baby changing 2 x 3.0 + TA-17 seat cover 2.0 + coat hook 2.0</t>
  </si>
  <si>
    <t xml:space="preserve">A08.01 TOILET ACCESSORY LEGENDS + note E</t>
  </si>
  <si>
    <t xml:space="preserve">Womens Restroom 114 toilet accessories (FRT blocking, A08.01 sheet note E)</t>
  </si>
  <si>
    <t xml:space="preserve">same as 113 + TA-9 sanitary napkin 2.0</t>
  </si>
  <si>
    <t xml:space="preserve">Janitor Closet 112 utility hook TA-6</t>
  </si>
  <si>
    <t xml:space="preserve">1 x 2.0</t>
  </si>
  <si>
    <t xml:space="preserve">A08.01 TA-6</t>
  </si>
  <si>
    <t xml:space="preserve">Wellness 115 mirror TA-19</t>
  </si>
  <si>
    <t xml:space="preserve">2 runs x 2.0</t>
  </si>
  <si>
    <t xml:space="preserve">A08.01 TA-19</t>
  </si>
  <si>
    <t xml:space="preserve">85" display monitor, key note 7 A02.01 ("PROVIDE BLOCKING IN WALL AS REQUIRED")</t>
  </si>
  <si>
    <t xml:space="preserve">2 runs x 10'-0" recess width printed A02.01 (C1 #29 zone)</t>
  </si>
  <si>
    <t xml:space="preserve">A02.01 key note 7</t>
  </si>
  <si>
    <t xml:space="preserve">Lockers, key note 5 A02.01</t>
  </si>
  <si>
    <t xml:space="preserve">locker bank width not dimensioned</t>
  </si>
  <si>
    <t xml:space="preserve">PENDIENTE</t>
  </si>
  <si>
    <t xml:space="preserve">RFI-12</t>
  </si>
  <si>
    <t xml:space="preserve">Roof hatch &amp; ladder, RCP key note 9 / A09.30</t>
  </si>
  <si>
    <t xml:space="preserve">ladder bracket blocking - detail 9/A09.30 not quantified</t>
  </si>
  <si>
    <t xml:space="preserve">RFI-13</t>
  </si>
  <si>
    <t xml:space="preserve">Millwork MW01, MW05, MW06A, MW07, MW08, MW11, MW12, MW13, MW18, MW21 (A12.03-A12.06, A02.01 note C)</t>
  </si>
  <si>
    <t xml:space="preserve">base = 1 run, upper = 2 runs; millwork details not opened in this unattended run</t>
  </si>
  <si>
    <t xml:space="preserve">RFI-INT-01</t>
  </si>
  <si>
    <t xml:space="preserve">3/4" FRT plywood backboard Electrical 120 / NER 121, key note 6 A02.01 (A11.03)</t>
  </si>
  <si>
    <t xml:space="preserve">area per A11.03 elevations not measured; normally Div 06</t>
  </si>
  <si>
    <t xml:space="preserve">SF</t>
  </si>
  <si>
    <t xml:space="preserve">RFI-14</t>
  </si>
  <si>
    <t xml:space="preserve">TOTAL quantified FRT blocking</t>
  </si>
  <si>
    <t xml:space="preserve">FRT blocking per A08.01 note E; 2x lumber vs 20 GA steel blocking not specified -&gt; RFI-15</t>
  </si>
  <si>
    <t xml:space="preserve">5/8" moisture resistant gypsum board (RECLASSIFIED from regular, not added) - C1 chase face Womens 114 (toilet + lavatory wall)</t>
  </si>
  <si>
    <t xml:space="preserve">A08.01 sheet note F "USE MOISTURE RESISTANT GYPSUM BOARD BEHIND TOILET AND LAVATORY": toilet tank and lavatory both on the chase face (A02.01/A08.01 plan) = W27 BOARD 90.27 SF</t>
  </si>
  <si>
    <t xml:space="preserve">5/8" moisture resistant gypsum board (RECLASSIFIED) - C1 chase face Mens 113</t>
  </si>
  <si>
    <t xml:space="preserve">idem = W28 BOARD 90.27 SF</t>
  </si>
  <si>
    <t xml:space="preserve">FRP-1 restroom walls Womens 114</t>
  </si>
  <si>
    <t xml:space="preserve">A08.01 "5'-0\" TO TOP OF FRP" over ceramic tile cove base (3/A08.01): band 5.0 - 0.5 cove (RFI-24, cove height not dimensioned) = 4.5 ft x perimeter 2x(11.73+7.02) - door 3.33 = 34.17 LF</t>
  </si>
  <si>
    <t xml:space="preserve">FRP-1 restroom walls Mens 113</t>
  </si>
  <si>
    <t xml:space="preserve">idem</t>
  </si>
  <si>
    <t xml:space="preserve">FRP-2 mop sink Janitor 112 (A05.01 key note 6 "FRP FROM FLOOR TO 4'-0\" AFF, WIDTH TO MATCH WIDTH OF MOP SINK AT BOTH SIDES")</t>
  </si>
  <si>
    <t xml:space="preserve">height 4'-0" printed; mop sink width not dimensioned -&gt; 24 in assumed both sides = 2 x 2.0 x 4.0 (RFI-25)</t>
  </si>
  <si>
    <t xml:space="preserve">Break Room 118 sink (MW08)</t>
  </si>
  <si>
    <t xml:space="preserve">no FRP / W.R. note on A05.01 for 118 -&gt; RFI-INT-01 + alternate, not quantified</t>
  </si>
  <si>
    <t xml:space="preserve">Census</t>
  </si>
  <si>
    <t xml:space="preserve">4 rooms with plumbing fixtures (A02.01 / A08.01 / P01.01): Womens 114, Mens 113, Janitor 112 (mop sink), Break Room 118 (MW08 sink). Resolved: 3 quantified, 1 RFI (118).</t>
  </si>
  <si>
    <t xml:space="preserve">Material</t>
  </si>
  <si>
    <t xml:space="preserve">Family</t>
  </si>
  <si>
    <t xml:space="preserve">NET</t>
  </si>
  <si>
    <t xml:space="preserve">Waste %</t>
  </si>
  <si>
    <t xml:space="preserve">WASTE</t>
  </si>
  <si>
    <t xml:space="preserve">BUY</t>
  </si>
  <si>
    <t xml:space="preserve">Stock / unit</t>
  </si>
  <si>
    <t xml:space="preserve">Purchase units</t>
  </si>
  <si>
    <t xml:space="preserve">Source</t>
  </si>
  <si>
    <t xml:space="preserve">3-5/8" metal stud 362S137-33</t>
  </si>
  <si>
    <t xml:space="preserve">METAL</t>
  </si>
  <si>
    <t xml:space="preserve">Takeoff col H (A1,B,C1,F)</t>
  </si>
  <si>
    <t xml:space="preserve">3-5/8" metal stud 14 GA 362S137-68</t>
  </si>
  <si>
    <t xml:space="preserve">Takeoff col H (A1K, 4/A12.01)</t>
  </si>
  <si>
    <t xml:space="preserve">6" metal stud 600S137-33 (interior)</t>
  </si>
  <si>
    <t xml:space="preserve">Takeoff col G (A5,B2)</t>
  </si>
  <si>
    <t xml:space="preserve">6" metal stud 14 GA 600S137-68</t>
  </si>
  <si>
    <t xml:space="preserve">Takeoff col G (B2K)</t>
  </si>
  <si>
    <t xml:space="preserve">1-5/8" metal stud (G/G1 double row + bulkheads)</t>
  </si>
  <si>
    <t xml:space="preserve">Takeoff col I + Opening Bands col E</t>
  </si>
  <si>
    <t xml:space="preserve">6" metal stud 600S137-33 (exterior + storefront bands)</t>
  </si>
  <si>
    <t xml:space="preserve">Exterior col E</t>
  </si>
  <si>
    <t xml:space="preserve">6" parapet stud 600S162-54</t>
  </si>
  <si>
    <t xml:space="preserve">Exterior col F (11/S5.10)</t>
  </si>
  <si>
    <t xml:space="preserve">Bottom track - interior (all sizes; split by stud size in Takeoff)</t>
  </si>
  <si>
    <t xml:space="preserve">Takeoff col AB + bulkheads</t>
  </si>
  <si>
    <t xml:space="preserve">Top slip track - interior</t>
  </si>
  <si>
    <t xml:space="preserve">Takeoff col AC + bulkheads</t>
  </si>
  <si>
    <t xml:space="preserve">Bottom track exterior 600T125-33 / parapet 600T125-54</t>
  </si>
  <si>
    <t xml:space="preserve">Exterior col H</t>
  </si>
  <si>
    <t xml:space="preserve">Top deflection track exterior 600T200-97 / parapet 600T125-54</t>
  </si>
  <si>
    <t xml:space="preserve">Exterior col I</t>
  </si>
  <si>
    <t xml:space="preserve">Header (track headers / CSJ) + box beams</t>
  </si>
  <si>
    <t xml:space="preserve">Takeoff AG + Exterior J,R + bulkhead box beam</t>
  </si>
  <si>
    <t xml:space="preserve">Sill track exterior windows</t>
  </si>
  <si>
    <t xml:space="preserve">Exterior col K</t>
  </si>
  <si>
    <t xml:space="preserve">1 1/2" C.R. channel bracing</t>
  </si>
  <si>
    <t xml:space="preserve">F/1/S5.20</t>
  </si>
  <si>
    <t xml:space="preserve">Clips at bracing</t>
  </si>
  <si>
    <t xml:space="preserve">EA</t>
  </si>
  <si>
    <t xml:space="preserve">MEP framed openings track</t>
  </si>
  <si>
    <t xml:space="preserve">MEP crossings sheet</t>
  </si>
  <si>
    <t xml:space="preserve">5/8" gypsum board regular (walls)</t>
  </si>
  <si>
    <t xml:space="preserve">NOT METAL</t>
  </si>
  <si>
    <t xml:space="preserve">Takeoff T + bulkheads + exterior interior face - MR reclassified</t>
  </si>
  <si>
    <t xml:space="preserve">5/8" moisture resistant gypsum board (reclassified, A08.01 note F)</t>
  </si>
  <si>
    <t xml:space="preserve">Wet Zones</t>
  </si>
  <si>
    <t xml:space="preserve">FRP-1 restroom wall panels + PVC trims</t>
  </si>
  <si>
    <t xml:space="preserve">A08.01, 3/A08.01</t>
  </si>
  <si>
    <t xml:space="preserve">FRP-2 mop sink</t>
  </si>
  <si>
    <t xml:space="preserve">A05.01 key note 6</t>
  </si>
  <si>
    <t xml:space="preserve">5/8" gypsum board (ceilings + CSR soffit)</t>
  </si>
  <si>
    <t xml:space="preserve">Ceilings GWB + Soffits</t>
  </si>
  <si>
    <t xml:space="preserve">3/8" gypsum board (A1K/B2K customer side)</t>
  </si>
  <si>
    <t xml:space="preserve">4/A12.01</t>
  </si>
  <si>
    <t xml:space="preserve">3/8" UL752 Level-2 fiberglass ballistic panel</t>
  </si>
  <si>
    <t xml:space="preserve">5/8" glass mat sheathing (exterior face)</t>
  </si>
  <si>
    <t xml:space="preserve">5/A09.26, 9/A09.27</t>
  </si>
  <si>
    <t xml:space="preserve">5/8" exterior gypsum sheathing (parapet roof side)</t>
  </si>
  <si>
    <t xml:space="preserve">C/A09.21</t>
  </si>
  <si>
    <t xml:space="preserve">3/4" FRT plywood (F wall public side)</t>
  </si>
  <si>
    <t xml:space="preserve">12/A12.01</t>
  </si>
  <si>
    <t xml:space="preserve">3/4" FRT plywood strips (bulkheads + storefront heads)</t>
  </si>
  <si>
    <t xml:space="preserve">8/A12.01, 11/A09.27</t>
  </si>
  <si>
    <t xml:space="preserve">Corner bead</t>
  </si>
  <si>
    <t xml:space="preserve">8/A12.01, 10/A09.33</t>
  </si>
  <si>
    <t xml:space="preserve">Shadow molding</t>
  </si>
  <si>
    <t xml:space="preserve">8/A12.01</t>
  </si>
  <si>
    <t xml:space="preserve">Ceiling transition GB 11-0 to ACT 11-6 (kicker framing, 7/A09.33)</t>
  </si>
  <si>
    <t xml:space="preserve">7/A09.33</t>
  </si>
  <si>
    <t xml:space="preserve">Batt insulation (interior partitions + bulkheads)</t>
  </si>
  <si>
    <t xml:space="preserve">A12.01 schedule INSULATION YES</t>
  </si>
  <si>
    <t xml:space="preserve">Acoustical sealant</t>
  </si>
  <si>
    <t xml:space="preserve">A12.01 details</t>
  </si>
  <si>
    <t xml:space="preserve">FRT blocking (quantified part)</t>
  </si>
  <si>
    <t xml:space="preserve">Blocking sheet</t>
  </si>
  <si>
    <t xml:space="preserve">Fasteners, screws, joint compound, tape: yields per SF, no waste (not plan quantities). PENDING items are never in these totals - see sheet PARA REVISAR EN LA MANANA.</t>
  </si>
  <si>
    <t xml:space="preserve">RFI</t>
  </si>
  <si>
    <t xml:space="preserve">Sheet / detail</t>
  </si>
  <si>
    <t xml:space="preserve">Issue</t>
  </si>
  <si>
    <t xml:space="preserve">Delta</t>
  </si>
  <si>
    <t xml:space="preserve">Image (Planos marcados/revisar)</t>
  </si>
  <si>
    <t xml:space="preserve">RFI-01</t>
  </si>
  <si>
    <t xml:space="preserve">5/A12.01 PARTITION G / G1</t>
  </si>
  <si>
    <t xml:space="preserve">Top line of detail 5 is not labeled (no UNDERSIDE OF STRUCTURE note). Quoted: 2 layers 5/8" per face to deck (consistent with 8/A12.01 and 9/A12.01 "2 LAYERS ... TO UNDERSIDE OF DECK"). Alternate: board 6" above ceiling.</t>
  </si>
  <si>
    <t xml:space="preserve">-2,226.8 SF of 5/8" gypsum board if board stops 6" above ceiling</t>
  </si>
  <si>
    <t xml:space="preserve">R01_G_board_top_5-A12.01.png</t>
  </si>
  <si>
    <t xml:space="preserve">RFI-02</t>
  </si>
  <si>
    <t xml:space="preserve">A02.01 G1 vs 5/A12.01 schedule</t>
  </si>
  <si>
    <t xml:space="preserve">G1 drawn 8.48" thick with two 2.48" studs + 1.04" gap; schedule says 1-5/8" studs, 8" thickness. 1-5/8" stud has no designation in 7/S5.20 (162S125-33 derived). Quoted 1-5/8" per schedule.</t>
  </si>
  <si>
    <t xml:space="preserve">same LF; price delta 1-5/8" -&gt; 2-1/2" stud on 4 G1 walls + 6 bulkheads (~1,000 LF)</t>
  </si>
  <si>
    <t xml:space="preserve">R02_G1_thickness_A02.01.png</t>
  </si>
  <si>
    <t xml:space="preserve">RFI-03</t>
  </si>
  <si>
    <t xml:space="preserve">7/S5.20 vs 1,3,5/A12.01</t>
  </si>
  <si>
    <t xml:space="preserve">CONTINUOUS SLIP TRACK required by details; 7/S5.20 names only 600T200-97 (6"). 3-5/8" and 1-5/8" slip track profiles/gauge not designated.</t>
  </si>
  <si>
    <t xml:space="preserve">price delta slip (2" leg) vs standard track on ~470 LF interior top track</t>
  </si>
  <si>
    <t xml:space="preserve">RFI-04</t>
  </si>
  <si>
    <t xml:space="preserve">A02.01 C1 tags at 4 columns + Future FCAM</t>
  </si>
  <si>
    <t xml:space="preserve">C1 (6/A12.01) = BLOCK PARTITION + 3-5/8" stud furring + 5/8" board; tags point to steel columns at vestibule and to FCAM element, no block drawn. Not quantified.</t>
  </si>
  <si>
    <t xml:space="preserve">approx +300 SF board + 30 studs if each column furred full height (4 columns x ~5 ft perimeter x 15.375 ft)</t>
  </si>
  <si>
    <t xml:space="preserve">R04_C1_columns.png</t>
  </si>
  <si>
    <t xml:space="preserve">RFI-05</t>
  </si>
  <si>
    <t xml:space="preserve">A02.01 C1 restroom plumbing chase</t>
  </si>
  <si>
    <t xml:space="preserve">No block partition drawn in the 1'-1" chase; quoted 3-5/8" furring + 5/8" MR board each face to 6" above GB 8'-6" ceiling.</t>
  </si>
  <si>
    <t xml:space="preserve">+81.3 SF if board goes to deck (2 x 10.03 x 4.05)</t>
  </si>
  <si>
    <t xml:space="preserve">R05_C1_chase_restrooms.png</t>
  </si>
  <si>
    <t xml:space="preserve">RFI-06</t>
  </si>
  <si>
    <t xml:space="preserve">A02.01 teller line (A1K / B2K)</t>
  </si>
  <si>
    <t xml:space="preserve">B2K has no row in the A12.01 schedule: derived as B2 (6") + ballistic = 7-5/8" like A5K. Teller south end shows two parallel hatched bands (#12 and #13); both quantified as A1K.</t>
  </si>
  <si>
    <t xml:space="preserve">-2.98 LF A1K (#12) if the south cap is millwork, not wall</t>
  </si>
  <si>
    <t xml:space="preserve">R03_teller_A1K_B2K.png</t>
  </si>
  <si>
    <t xml:space="preserve">RFI-07</t>
  </si>
  <si>
    <t xml:space="preserve">8/A12.01, 9/A12.01</t>
  </si>
  <si>
    <t xml:space="preserve">3/4" FRT PLYWOOD BLOCKING width under box beam not dimensioned (carried in LF).</t>
  </si>
  <si>
    <t xml:space="preserve">unit only</t>
  </si>
  <si>
    <t xml:space="preserve">RFI-08</t>
  </si>
  <si>
    <t xml:space="preserve">7/S5.20 HEADER SCHEDULE</t>
  </si>
  <si>
    <t xml:space="preserve">Exterior header rows are labeled LOAD BEARING; exterior walls here are infill below roof steel. Confirm 2-60CSJ14 for 8'-0" windows.</t>
  </si>
  <si>
    <t xml:space="preserve">price only</t>
  </si>
  <si>
    <t xml:space="preserve">RFI-09</t>
  </si>
  <si>
    <t xml:space="preserve">C/A09.21 SHEATHING/INSULATION SYSTEM</t>
  </si>
  <si>
    <t xml:space="preserve">5/8" FRT plywood bonded to 2 1/2" polyiso on exterior face: trade not assigned. Carried as ALTERNATE, not in base.</t>
  </si>
  <si>
    <t xml:space="preserve">+3,726.3 SF alternate</t>
  </si>
  <si>
    <t xml:space="preserve">RFI-10</t>
  </si>
  <si>
    <t xml:space="preserve">11/A09.27, 2/A09.26</t>
  </si>
  <si>
    <t xml:space="preserve">3/4" FRT plywood and gypsum board jamb return at storefront: width/depth not dimensioned (carried in LF).</t>
  </si>
  <si>
    <t xml:space="preserve">RFI-11</t>
  </si>
  <si>
    <t xml:space="preserve">A09.33 / A04.01</t>
  </si>
  <si>
    <t xml:space="preserve">No suspension detail for GB ceilings (drywall grid vs carrying + furring channel). Area quantified 947.3 SF + CSR soffit 47.8 SF.</t>
  </si>
  <si>
    <t xml:space="preserve">suspension material not priced</t>
  </si>
  <si>
    <t xml:space="preserve">R12_A09.33_ceiling_details.png</t>
  </si>
  <si>
    <t xml:space="preserve">A02.01 key note 5</t>
  </si>
  <si>
    <t xml:space="preserve">Locker blocking: locker bank width not dimensioned.</t>
  </si>
  <si>
    <t xml:space="preserve">R11_keynotes_blocking.png</t>
  </si>
  <si>
    <t xml:space="preserve">A02.01 key notes 3/4, A09.30</t>
  </si>
  <si>
    <t xml:space="preserve">Roof hatch / ladder blocking not quantified (detail A09.30 not opened in this run).</t>
  </si>
  <si>
    <t xml:space="preserve">A02.01 key note 6, A11.03</t>
  </si>
  <si>
    <t xml:space="preserve">Fire rated 3/4" plywood backboard in Electrical 120 / NER 121: trade (Div 06 vs drywall) and area.</t>
  </si>
  <si>
    <t xml:space="preserve">RFI-15</t>
  </si>
  <si>
    <t xml:space="preserve">A08.01 note E</t>
  </si>
  <si>
    <t xml:space="preserve">FRT wood blocking vs 20 GA steel blocking (4/S5.20 shows 362CR22 clip angle blocking).</t>
  </si>
  <si>
    <t xml:space="preserve">RFI-16</t>
  </si>
  <si>
    <t xml:space="preserve">P01.01 / P01.02</t>
  </si>
  <si>
    <t xml:space="preserve">Plumbing sheets do not register to A02.01 by vote (1 / 3 matches &lt; 25); plumbing crossings not checked geometrically.</t>
  </si>
  <si>
    <t xml:space="preserve">unknown</t>
  </si>
  <si>
    <t xml:space="preserve">RFI-17</t>
  </si>
  <si>
    <t xml:space="preserve">A/A09.21 vs C/A09.21</t>
  </si>
  <si>
    <t xml:space="preserve">T/STUD HP 19'-8" (entrance tower) vs LP 17'-5": tower extent assumed grids 2-4 (23.36 LF).</t>
  </si>
  <si>
    <t xml:space="preserve">+2.25 ft x 600S162-54 per extra LF of HP</t>
  </si>
  <si>
    <t xml:space="preserve">R10_parapet_HP_LP.png</t>
  </si>
  <si>
    <t xml:space="preserve">RFI-18</t>
  </si>
  <si>
    <t xml:space="preserve">A09.01 / A09.02</t>
  </si>
  <si>
    <t xml:space="preserve">Elevation titles transposed: "SOUTH ELEVATION" shows grids 8-&gt;1 (north facade with entrance storefront); "NORTH ELEVATION" shows 1-&gt;8 (south facade with door 123). West/East correct.</t>
  </si>
  <si>
    <t xml:space="preserve">none (assignment fixed by grids)</t>
  </si>
  <si>
    <t xml:space="preserve">R06_A09.01_titles.png</t>
  </si>
  <si>
    <t xml:space="preserve">RFI-19</t>
  </si>
  <si>
    <t xml:space="preserve">6/A08.11 drive-up ATM niche</t>
  </si>
  <si>
    <t xml:space="preserve">2 1/2" METAL STUD SISTERED TO 6" METAL STUD, METAL STUD BOX BEAM, 5/8" FRT PLYWOOD under fiber cement (Div 07) - niche extras not quantified; R.O. 2'-2 1/8" x 2'-7 1/4" is in X50.</t>
  </si>
  <si>
    <t xml:space="preserve">PENDING (small)</t>
  </si>
  <si>
    <t xml:space="preserve">R07_ATM_openings.png</t>
  </si>
  <si>
    <t xml:space="preserve">RFI-20</t>
  </si>
  <si>
    <t xml:space="preserve">A00.30 door 103 / A08.21</t>
  </si>
  <si>
    <t xml:space="preserve">Coiling grille 13'-4" R.O. x 13'-6" and interior storefront 100/101: band above not quantified.</t>
  </si>
  <si>
    <t xml:space="preserve">R08_interior_storefront_103.png</t>
  </si>
  <si>
    <t xml:space="preserve">RFI-21</t>
  </si>
  <si>
    <t xml:space="preserve">A/A09.21, 3/A09.26, D/A09.22</t>
  </si>
  <si>
    <t xml:space="preserve">Exterior canopy framing and soffit (B/CANOPY 10'-6", T/CANOPY 12'-8") not quantified.</t>
  </si>
  <si>
    <t xml:space="preserve">PENDING (large)</t>
  </si>
  <si>
    <t xml:space="preserve">R09_canopy_A09.21.png</t>
  </si>
  <si>
    <t xml:space="preserve">RFI-22</t>
  </si>
  <si>
    <t xml:space="preserve">whole set</t>
  </si>
  <si>
    <t xml:space="preserve">No gypsum board control joints labeled (only stucco CJ). ASTM C840 / GA-216.</t>
  </si>
  <si>
    <t xml:space="preserve">none in base</t>
  </si>
  <si>
    <t xml:space="preserve">RFI-23</t>
  </si>
  <si>
    <t xml:space="preserve">10/A09.33 CSR soffit</t>
  </si>
  <si>
    <t xml:space="preserve">3 5/8" CFMF @ 16" O.C. framing piece count not derived.</t>
  </si>
  <si>
    <t xml:space="preserve">RFI-24</t>
  </si>
  <si>
    <t xml:space="preserve">3/A08.01</t>
  </si>
  <si>
    <t xml:space="preserve">FRP band = 5'-0" to top minus cove base; cove height not dimensioned (0.5 ft assumed).</t>
  </si>
  <si>
    <t xml:space="preserve">+/-34 SF per 0.5 ft</t>
  </si>
  <si>
    <t xml:space="preserve">RFI-25</t>
  </si>
  <si>
    <t xml:space="preserve">Mop sink width not dimensioned (24" assumed both sides).</t>
  </si>
  <si>
    <t xml:space="preserve">+/-2.7 SF per 4" of width</t>
  </si>
  <si>
    <t xml:space="preserve">RFI-26</t>
  </si>
  <si>
    <t xml:space="preserve">S2.20 low roof</t>
  </si>
  <si>
    <t xml:space="preserve">Low zone B.O.D. slopes 13'-0 5/8" (grid B) to 12'-6 3/8" (grid A); quoted extreme high for all LO walls.</t>
  </si>
  <si>
    <t xml:space="preserve">approx -40 LF stud if interpolated</t>
  </si>
  <si>
    <t xml:space="preserve">R16_S2.20_low_roof.png</t>
  </si>
  <si>
    <t xml:space="preserve">RFI-27</t>
  </si>
  <si>
    <t xml:space="preserve">A02.01 B2 #24</t>
  </si>
  <si>
    <t xml:space="preserve">Door 102 (3'-6" x 8'-0") position read from its swing on ATM Room east wall.</t>
  </si>
  <si>
    <t xml:space="preserve">none</t>
  </si>
  <si>
    <t xml:space="preserve">R14_door102_B2.png</t>
  </si>
  <si>
    <t xml:space="preserve">A12.03-A12.06 millwork; Break Room 118 sink</t>
  </si>
  <si>
    <t xml:space="preserve">Internal: millwork blocking (MW01, MW05, MW06A, MW07, MW08, MW11, MW12, MW13, MW18, MW21) and break sink backsplash not done in this unattended run.</t>
  </si>
  <si>
    <t xml:space="preserve"># PARA REVISAR EN LA MAÑANA — BOA Broomfield (prueba automática)</t>
  </si>
  <si>
    <t xml:space="preserve">Cada punto: hoja + detalle, qué pasó, y la imagen en `Planos marcados/` (carpeta `revisar/` para los R##).</t>
  </si>
  <si>
    <t xml:space="preserve">1. **Barrido por tag (punto de revisión que reemplaza la pausa)** — A02.01 + 1,3,4,5,6,12/A12.01  </t>
  </si>
  <si>
    <t xml:space="preserve">   44 walls interiores numerados por tag (A1 9, A1K 4, A5 3, B 6, B2 3, B2K 1, C1 3, F 1, G 10, G1 4). Revisa en cada plano por tipo que no falte ningún wall.  </t>
  </si>
  <si>
    <t xml:space="preserve">   Imagen: `A0201_type_A1.jpg ... A0201_type_G1.jpg`</t>
  </si>
  <si>
    <t xml:space="preserve">2. **Default type A1 (nota A de A02.01)** — A02.01 nota A  </t>
  </si>
  <si>
    <t xml:space="preserve">   Walls sin tag cargados por thickness medido: G #34 (pier norte office 105), G1 #43, #44 (piers office fronts 109/110). No se encontró ningún wall sin tag que sea A1 por default fuera de los ya cuantificados; confírmalo en los planos.  </t>
  </si>
  <si>
    <t xml:space="preserve">   Imagen: `A0201_type_G.jpg, A0201_type_G1.jpg`</t>
  </si>
  <si>
    <t xml:space="preserve">3. **RFI-01** — 5/A12.01 PARTITION G / G1  </t>
  </si>
  <si>
    <t xml:space="preserve">   Top line of detail 5 is not labeled (no UNDERSIDE OF STRUCTURE note). Quoted: 2 layers 5/8" per face to deck (consistent with 8/A12.01 and 9/A12.01 "2 LAYERS ... TO UNDERSIDE OF DECK"). Alternate: board 6" above ceiling. | Delta: -2,226.8 SF of 5/8" gypsum board if board stops 6" above ceiling  </t>
  </si>
  <si>
    <t xml:space="preserve">   Imagen: `R01_G_board_top_5-A12.01.png`</t>
  </si>
  <si>
    <t xml:space="preserve">4. **RFI-02** — A02.01 G1 vs 5/A12.01 schedule  </t>
  </si>
  <si>
    <t xml:space="preserve">   G1 drawn 8.48" thick with two 2.48" studs + 1.04" gap; schedule says 1-5/8" studs, 8" thickness. 1-5/8" stud has no designation in 7/S5.20 (162S125-33 derived). Quoted 1-5/8" per schedule. | Delta: same LF; price delta 1-5/8" -&gt; 2-1/2" stud on 4 G1 walls + 6 bulkheads (~1,000 LF)  </t>
  </si>
  <si>
    <t xml:space="preserve">   Imagen: `R02_G1_thickness_A02.01.png`</t>
  </si>
  <si>
    <t xml:space="preserve">5. **RFI-03** — 7/S5.20 vs 1,3,5/A12.01  </t>
  </si>
  <si>
    <t xml:space="preserve">   CONTINUOUS SLIP TRACK required by details; 7/S5.20 names only 600T200-97 (6"). 3-5/8" and 1-5/8" slip track profiles/gauge not designated. | Delta: price delta slip (2" leg) vs standard track on ~470 LF interior top track  </t>
  </si>
  <si>
    <t xml:space="preserve">   Imagen: `-`</t>
  </si>
  <si>
    <t xml:space="preserve">6. **RFI-04** — A02.01 C1 tags at 4 columns + Future FCAM  </t>
  </si>
  <si>
    <t xml:space="preserve">   C1 (6/A12.01) = BLOCK PARTITION + 3-5/8" stud furring + 5/8" board; tags point to steel columns at vestibule and to FCAM element, no block drawn. Not quantified. | Delta: approx +300 SF board + 30 studs if each column furred full height (4 columns x ~5 ft perimeter x 15.375 ft)  </t>
  </si>
  <si>
    <t xml:space="preserve">   Imagen: `R04_C1_columns.png`</t>
  </si>
  <si>
    <t xml:space="preserve">7. **RFI-05** — A02.01 C1 restroom plumbing chase  </t>
  </si>
  <si>
    <t xml:space="preserve">   No block partition drawn in the 1'-1" chase; quoted 3-5/8" furring + 5/8" MR board each face to 6" above GB 8'-6" ceiling. | Delta: +81.3 SF if board goes to deck (2 x 10.03 x 4.05)  </t>
  </si>
  <si>
    <t xml:space="preserve">   Imagen: `R05_C1_chase_restrooms.png`</t>
  </si>
  <si>
    <t xml:space="preserve">8. **RFI-06** — A02.01 teller line (A1K / B2K)  </t>
  </si>
  <si>
    <t xml:space="preserve">   B2K has no row in the A12.01 schedule: derived as B2 (6") + ballistic = 7-5/8" like A5K. Teller south end shows two parallel hatched bands (#12 and #13); both quantified as A1K. | Delta: -2.98 LF A1K (#12) if the south cap is millwork, not wall  </t>
  </si>
  <si>
    <t xml:space="preserve">   Imagen: `R03_teller_A1K_B2K.png`</t>
  </si>
  <si>
    <t xml:space="preserve">9. **RFI-07** — 8/A12.01, 9/A12.01  </t>
  </si>
  <si>
    <t xml:space="preserve">   3/4" FRT PLYWOOD BLOCKING width under box beam not dimensioned (carried in LF). | Delta: unit only  </t>
  </si>
  <si>
    <t xml:space="preserve">10. **RFI-08** — 7/S5.20 HEADER SCHEDULE  </t>
  </si>
  <si>
    <t xml:space="preserve">   Exterior header rows are labeled LOAD BEARING; exterior walls here are infill below roof steel. Confirm 2-60CSJ14 for 8'-0" windows. | Delta: price only  </t>
  </si>
  <si>
    <t xml:space="preserve">11. **RFI-09** — C/A09.21 SHEATHING/INSULATION SYSTEM  </t>
  </si>
  <si>
    <t xml:space="preserve">   5/8" FRT plywood bonded to 2 1/2" polyiso on exterior face: trade not assigned. Carried as ALTERNATE, not in base. | Delta: +3,726.3 SF alternate  </t>
  </si>
  <si>
    <t xml:space="preserve">12. **RFI-10** — 11/A09.27, 2/A09.26  </t>
  </si>
  <si>
    <t xml:space="preserve">   3/4" FRT plywood and gypsum board jamb return at storefront: width/depth not dimensioned (carried in LF). | Delta: unit only  </t>
  </si>
  <si>
    <t xml:space="preserve">13. **RFI-11** — A09.33 / A04.01  </t>
  </si>
  <si>
    <t xml:space="preserve">   No suspension detail for GB ceilings (drywall grid vs carrying + furring channel). Area quantified 947.3 SF + CSR soffit 47.8 SF. | Delta: suspension material not priced  </t>
  </si>
  <si>
    <t xml:space="preserve">   Imagen: `R12_A09.33_ceiling_details.png`</t>
  </si>
  <si>
    <t xml:space="preserve">14. **RFI-12** — A02.01 key note 5  </t>
  </si>
  <si>
    <t xml:space="preserve">   Locker blocking: locker bank width not dimensioned. | Delta: PENDING  </t>
  </si>
  <si>
    <t xml:space="preserve">   Imagen: `R11_keynotes_blocking.png`</t>
  </si>
  <si>
    <t xml:space="preserve">15. **RFI-13** — A02.01 key notes 3/4, A09.30  </t>
  </si>
  <si>
    <t xml:space="preserve">   Roof hatch / ladder blocking not quantified (detail A09.30 not opened in this run). | Delta: PENDING  </t>
  </si>
  <si>
    <t xml:space="preserve">16. **RFI-14** — A02.01 key note 6, A11.03  </t>
  </si>
  <si>
    <t xml:space="preserve">   Fire rated 3/4" plywood backboard in Electrical 120 / NER 121: trade (Div 06 vs drywall) and area. | Delta: PENDING  </t>
  </si>
  <si>
    <t xml:space="preserve">17. **RFI-15** — A08.01 note E  </t>
  </si>
  <si>
    <t xml:space="preserve">   FRT wood blocking vs 20 GA steel blocking (4/S5.20 shows 362CR22 clip angle blocking). | Delta: price only  </t>
  </si>
  <si>
    <t xml:space="preserve">18. **RFI-16** — P01.01 / P01.02  </t>
  </si>
  <si>
    <t xml:space="preserve">   Plumbing sheets do not register to A02.01 by vote (1 / 3 matches &lt; 25); plumbing crossings not checked geometrically. | Delta: unknown  </t>
  </si>
  <si>
    <t xml:space="preserve">19. **RFI-17** — A/A09.21 vs C/A09.21  </t>
  </si>
  <si>
    <t xml:space="preserve">   T/STUD HP 19'-8" (entrance tower) vs LP 17'-5": tower extent assumed grids 2-4 (23.36 LF). | Delta: +2.25 ft x 600S162-54 per extra LF of HP  </t>
  </si>
  <si>
    <t xml:space="preserve">   Imagen: `R10_parapet_HP_LP.png`</t>
  </si>
  <si>
    <t xml:space="preserve">20. **RFI-18** — A09.01 / A09.02  </t>
  </si>
  <si>
    <t xml:space="preserve">   Elevation titles transposed: "SOUTH ELEVATION" shows grids 8-&gt;1 (north facade with entrance storefront); "NORTH ELEVATION" shows 1-&gt;8 (south facade with door 123). West/East correct. | Delta: none (assignment fixed by grids)  </t>
  </si>
  <si>
    <t xml:space="preserve">   Imagen: `R06_A09.01_titles.png`</t>
  </si>
  <si>
    <t xml:space="preserve">21. **RFI-19** — 6/A08.11 drive-up ATM niche  </t>
  </si>
  <si>
    <t xml:space="preserve">   2 1/2" METAL STUD SISTERED TO 6" METAL STUD, METAL STUD BOX BEAM, 5/8" FRT PLYWOOD under fiber cement (Div 07) - niche extras not quantified; R.O. 2'-2 1/8" x 2'-7 1/4" is in X50. | Delta: PENDING (small)  </t>
  </si>
  <si>
    <t xml:space="preserve">   Imagen: `R07_ATM_openings.png`</t>
  </si>
  <si>
    <t xml:space="preserve">22. **RFI-20** — A00.30 door 103 / A08.21  </t>
  </si>
  <si>
    <t xml:space="preserve">   Coiling grille 13'-4" R.O. x 13'-6" and interior storefront 100/101: band above not quantified. | Delta: PENDING  </t>
  </si>
  <si>
    <t xml:space="preserve">   Imagen: `R08_interior_storefront_103.png`</t>
  </si>
  <si>
    <t xml:space="preserve">23. **RFI-21** — A/A09.21, 3/A09.26, D/A09.22  </t>
  </si>
  <si>
    <t xml:space="preserve">   Exterior canopy framing and soffit (B/CANOPY 10'-6", T/CANOPY 12'-8") not quantified. | Delta: PENDING (large)  </t>
  </si>
  <si>
    <t xml:space="preserve">   Imagen: `R09_canopy_A09.21.png`</t>
  </si>
  <si>
    <t xml:space="preserve">24. **RFI-22** — whole set  </t>
  </si>
  <si>
    <t xml:space="preserve">   No gypsum board control joints labeled (only stucco CJ). ASTM C840 / GA-216. | Delta: none in base  </t>
  </si>
  <si>
    <t xml:space="preserve">25. **RFI-23** — 10/A09.33 CSR soffit  </t>
  </si>
  <si>
    <t xml:space="preserve">   3 5/8" CFMF @ 16" O.C. framing piece count not derived. | Delta: PENDING (small)  </t>
  </si>
  <si>
    <t xml:space="preserve">26. **RFI-24** — 3/A08.01  </t>
  </si>
  <si>
    <t xml:space="preserve">   FRP band = 5'-0" to top minus cove base; cove height not dimensioned (0.5 ft assumed). | Delta: +/-34 SF per 0.5 ft  </t>
  </si>
  <si>
    <t xml:space="preserve">27. **RFI-25** — A05.01 key note 6  </t>
  </si>
  <si>
    <t xml:space="preserve">   Mop sink width not dimensioned (24" assumed both sides). | Delta: +/-2.7 SF per 4" of width  </t>
  </si>
  <si>
    <t xml:space="preserve">28. **RFI-26** — S2.20 low roof  </t>
  </si>
  <si>
    <t xml:space="preserve">   Low zone B.O.D. slopes 13'-0 5/8" (grid B) to 12'-6 3/8" (grid A); quoted extreme high for all LO walls. | Delta: approx -40 LF stud if interpolated  </t>
  </si>
  <si>
    <t xml:space="preserve">   Imagen: `R16_S2.20_low_roof.png`</t>
  </si>
  <si>
    <t xml:space="preserve">29. **RFI-27** — A02.01 B2 #24  </t>
  </si>
  <si>
    <t xml:space="preserve">   Door 102 (3'-6" x 8'-0") position read from its swing on ATM Room east wall. | Delta: none  </t>
  </si>
  <si>
    <t xml:space="preserve">   Imagen: `R14_door102_B2.png`</t>
  </si>
  <si>
    <t xml:space="preserve">30. **RFI-INT-01** — A12.03-A12.06 millwork; Break Room 118 sink  </t>
  </si>
  <si>
    <t xml:space="preserve">   Internal: millwork blocking (MW01, MW05, MW06A, MW07, MW08, MW11, MW12, MW13, MW18, MW21) and break sink backsplash not done in this unattended run. | Delta: PENDING  </t>
  </si>
  <si>
    <t xml:space="preserve">31. **Alturas de stud** — S2.20 + C/A09.21  </t>
  </si>
  <si>
    <t xml:space="preserve">   B.O.D. 15'-4 1/2" (zona alta, norte de grid B) y 13'-0 5/8" (zona baja, extremo alto de la pendiente). Walls que cruzan grid B (#14, #15, #23) llevan dos alturas por tramo.  </t>
  </si>
  <si>
    <t xml:space="preserve">32. **Office front height** — 2/A11.04  </t>
  </si>
  <si>
    <t xml:space="preserve">   Office front DFC-1A a 8'-0" medido por vector (validado con ceiling 9'-0"); bulkhead = 7.375 ft hasta deck, 2 layers por face.  </t>
  </si>
  <si>
    <t xml:space="preserve">   Imagen: `A0201_BULKHEADS.jpg`</t>
  </si>
  <si>
    <t xml:space="preserve">33. **Contaminación de la prueba** — skill referencias/adenda_v26-v47  </t>
  </si>
  <si>
    <t xml:space="preserve">   Las adendas del skill citan números del take-off de referencia de este mismo proyecto (BOA). Todos los números de este take-off salieron del PDF; se marca para que el calificador lo considere.  </t>
  </si>
  <si>
    <t xml:space="preserve">## Estado del libro de line items (`registro.py estado`)</t>
  </si>
  <si>
    <t xml:space="preserve">```</t>
  </si>
  <si>
    <t xml:space="preserve">abertura       pendiente=0  pendiente_rfi=2  verificado=10</t>
  </si>
  <si>
    <t xml:space="preserve">cielo          pendiente=0  pendiente_rfi=0  verificado=5</t>
  </si>
  <si>
    <t xml:space="preserve">detalle        pendiente=0  pendiente_rfi=0  verificado=28</t>
  </si>
  <si>
    <t xml:space="preserve">mep            pendiente=0  pendiente_rfi=2  verificado=2</t>
  </si>
  <si>
    <t xml:space="preserve">otro           pendiente=0  pendiente_rfi=1  verificado=0</t>
  </si>
  <si>
    <t xml:space="preserve">soffit         pendiente=0  pendiente_rfi=1  verificado=0</t>
  </si>
  <si>
    <t xml:space="preserve">tag            pendiente=0  pendiente_rfi=6  verificado=46</t>
  </si>
  <si>
    <t xml:space="preserve">wall           pendiente=0  pendiente_rfi=1  verificado=48</t>
  </si>
  <si>
    <t xml:space="preserve">zona_humeda    pendiente=0  pendiente_rfi=1  verificado=3</t>
  </si>
  <si>
    <t xml:space="preserve">TOTAL          pendiente=0  pendiente_rfi=14  verificado=142</t>
  </si>
  <si>
    <t xml:space="preserve">ENTREGABLE: 0 renglones pendientes</t>
  </si>
  <si>
    <t xml:space="preserve">INPUTS (editable)</t>
  </si>
  <si>
    <t xml:space="preserve">Waste - ALL METAL, any type</t>
  </si>
  <si>
    <t xml:space="preserve">Waste - EVERYTHING THAT IS NOT METAL</t>
  </si>
  <si>
    <t xml:space="preserve">Board sheet width (ft)</t>
  </si>
  <si>
    <t xml:space="preserve">Board sheet length (ft)</t>
  </si>
  <si>
    <t xml:space="preserve">Stud stock length (ft)</t>
  </si>
  <si>
    <t xml:space="preserve">Track stock length (ft)</t>
  </si>
  <si>
    <t xml:space="preserve">C.R. channel stock length (ft)</t>
  </si>
  <si>
    <t xml:space="preserve">Trim stock length (ft)</t>
  </si>
  <si>
    <t xml:space="preserve">Sealant LF per tube</t>
  </si>
  <si>
    <t xml:space="preserve">Sheet SF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</si>
</sst>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FFF2A8"/>
        <bgColor rgb="FFFFFFCC"/>
      </patternFill>
    </fill>
    <fill>
      <patternFill patternType="solid">
        <fgColor rgb="FFDDEB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40"/>
    <col collapsed="false" customWidth="true" hidden="false" outlineLevel="0" max="38" min="4" style="0" width="14"/>
    <col collapsed="false" customWidth="true" hidden="false" outlineLevel="0" max="39" min="39" style="0" width="70"/>
    <col collapsed="false" customWidth="true" hidden="false" outlineLevel="0" max="40" min="40" style="0" width="14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false" outlineLevel="0" collapsed="false">
      <c r="A2" s="0" t="n">
        <v>8</v>
      </c>
      <c r="B2" s="0" t="s">
        <v>40</v>
      </c>
      <c r="C2" s="0" t="s">
        <v>41</v>
      </c>
      <c r="D2" s="0" t="n">
        <v>20.93</v>
      </c>
      <c r="E2" s="0" t="n">
        <v>13.052</v>
      </c>
      <c r="F2" s="0" t="n">
        <v>2</v>
      </c>
      <c r="H2" s="0" t="n">
        <v>304.8</v>
      </c>
      <c r="J2" s="0" t="s">
        <v>42</v>
      </c>
      <c r="K2" s="0" t="n">
        <v>16</v>
      </c>
      <c r="L2" s="0" t="n">
        <v>25</v>
      </c>
      <c r="M2" s="0" t="s">
        <v>43</v>
      </c>
      <c r="N2" s="0" t="n">
        <v>9</v>
      </c>
      <c r="O2" s="0" t="n">
        <v>1</v>
      </c>
      <c r="P2" s="0" t="s">
        <v>44</v>
      </c>
      <c r="Q2" s="0" t="n">
        <v>9</v>
      </c>
      <c r="R2" s="0" t="n">
        <v>1</v>
      </c>
      <c r="S2" s="0" t="n">
        <v>23.89</v>
      </c>
      <c r="T2" s="0" t="n">
        <v>399.48</v>
      </c>
      <c r="AB2" s="0" t="n">
        <v>20.93</v>
      </c>
      <c r="AC2" s="0" t="n">
        <v>20.93</v>
      </c>
      <c r="AD2" s="0" t="s">
        <v>45</v>
      </c>
      <c r="AE2" s="0" t="n">
        <v>62.79</v>
      </c>
      <c r="AF2" s="0" t="n">
        <v>150</v>
      </c>
      <c r="AG2" s="0" t="n">
        <v>4.33</v>
      </c>
      <c r="AH2" s="0" t="n">
        <v>249.25</v>
      </c>
      <c r="AI2" s="0" t="n">
        <v>41.86</v>
      </c>
      <c r="AJ2" s="2" t="s">
        <v>46</v>
      </c>
      <c r="AL2" s="3" t="s">
        <v>47</v>
      </c>
      <c r="AM2" s="3" t="s">
        <v>48</v>
      </c>
      <c r="AN2" s="3" t="s">
        <v>49</v>
      </c>
    </row>
    <row r="3" customFormat="false" ht="15" hidden="false" customHeight="false" outlineLevel="0" collapsed="false">
      <c r="A3" s="0" t="n">
        <v>1</v>
      </c>
      <c r="B3" s="0" t="s">
        <v>40</v>
      </c>
      <c r="C3" s="0" t="s">
        <v>50</v>
      </c>
      <c r="D3" s="0" t="n">
        <v>17.02</v>
      </c>
      <c r="E3" s="0" t="n">
        <v>15.375</v>
      </c>
      <c r="F3" s="0" t="n">
        <f aca="false">ROUND(((O3)+(R3))*1,2)</f>
        <v>2</v>
      </c>
      <c r="H3" s="0" t="n">
        <v>230.63</v>
      </c>
      <c r="J3" s="0" t="s">
        <v>42</v>
      </c>
      <c r="K3" s="0" t="n">
        <v>16</v>
      </c>
      <c r="L3" s="0" t="n">
        <v>15</v>
      </c>
      <c r="M3" s="0" t="s">
        <v>51</v>
      </c>
      <c r="N3" s="0" t="n">
        <v>9</v>
      </c>
      <c r="O3" s="0" t="n">
        <v>1</v>
      </c>
      <c r="P3" s="0" t="s">
        <v>52</v>
      </c>
      <c r="Q3" s="0" t="n">
        <v>11.5</v>
      </c>
      <c r="R3" s="0" t="n">
        <v>1</v>
      </c>
      <c r="S3" s="0" t="n">
        <v>0</v>
      </c>
      <c r="T3" s="0" t="n">
        <f aca="false">D3*N3*O3-S3*O3+D3*Q3*R3-S3*R3</f>
        <v>348.91</v>
      </c>
      <c r="AB3" s="0" t="n">
        <v>17.02</v>
      </c>
      <c r="AC3" s="0" t="n">
        <v>17.02</v>
      </c>
      <c r="AD3" s="0" t="s">
        <v>45</v>
      </c>
      <c r="AE3" s="0" t="n">
        <v>51.06</v>
      </c>
      <c r="AF3" s="0" t="n">
        <v>90</v>
      </c>
      <c r="AH3" s="0" t="n">
        <v>261.68</v>
      </c>
      <c r="AI3" s="0" t="n">
        <v>34.04</v>
      </c>
      <c r="AJ3" s="2" t="s">
        <v>46</v>
      </c>
      <c r="AL3" s="3" t="s">
        <v>47</v>
      </c>
      <c r="AM3" s="3" t="s">
        <v>53</v>
      </c>
      <c r="AN3" s="3" t="s">
        <v>54</v>
      </c>
    </row>
    <row r="4" customFormat="false" ht="15" hidden="false" customHeight="false" outlineLevel="0" collapsed="false">
      <c r="A4" s="0" t="n">
        <v>5</v>
      </c>
      <c r="B4" s="0" t="s">
        <v>40</v>
      </c>
      <c r="C4" s="0" t="s">
        <v>55</v>
      </c>
      <c r="D4" s="0" t="n">
        <v>15.23</v>
      </c>
      <c r="E4" s="0" t="n">
        <v>13.052</v>
      </c>
      <c r="F4" s="0" t="n">
        <f aca="false">ROUND(((O4)+(R4))*1,2)</f>
        <v>2</v>
      </c>
      <c r="H4" s="0" t="n">
        <v>182.73</v>
      </c>
      <c r="J4" s="0" t="s">
        <v>42</v>
      </c>
      <c r="K4" s="0" t="n">
        <v>16</v>
      </c>
      <c r="L4" s="0" t="n">
        <v>14</v>
      </c>
      <c r="M4" s="0" t="s">
        <v>51</v>
      </c>
      <c r="N4" s="0" t="n">
        <v>9</v>
      </c>
      <c r="O4" s="0" t="n">
        <v>1</v>
      </c>
      <c r="P4" s="0" t="s">
        <v>44</v>
      </c>
      <c r="Q4" s="0" t="n">
        <v>9</v>
      </c>
      <c r="R4" s="0" t="n">
        <v>1</v>
      </c>
      <c r="S4" s="0" t="n">
        <v>0</v>
      </c>
      <c r="T4" s="0" t="n">
        <f aca="false">D4*N4*O4-S4*O4+D4*Q4*R4-S4*R4</f>
        <v>274.14</v>
      </c>
      <c r="AB4" s="0" t="n">
        <v>15.23</v>
      </c>
      <c r="AC4" s="0" t="n">
        <v>15.23</v>
      </c>
      <c r="AD4" s="0" t="s">
        <v>45</v>
      </c>
      <c r="AE4" s="0" t="n">
        <v>45.69</v>
      </c>
      <c r="AF4" s="0" t="n">
        <v>84</v>
      </c>
      <c r="AH4" s="0" t="n">
        <v>198.83</v>
      </c>
      <c r="AI4" s="0" t="n">
        <v>30.46</v>
      </c>
      <c r="AJ4" s="2" t="s">
        <v>46</v>
      </c>
      <c r="AL4" s="3" t="s">
        <v>47</v>
      </c>
      <c r="AM4" s="3" t="s">
        <v>56</v>
      </c>
      <c r="AN4" s="3" t="s">
        <v>57</v>
      </c>
    </row>
    <row r="5" customFormat="false" ht="15" hidden="false" customHeight="false" outlineLevel="0" collapsed="false">
      <c r="A5" s="0" t="n">
        <v>9</v>
      </c>
      <c r="B5" s="0" t="s">
        <v>40</v>
      </c>
      <c r="C5" s="0" t="s">
        <v>58</v>
      </c>
      <c r="D5" s="0" t="n">
        <v>11.67</v>
      </c>
      <c r="E5" s="0" t="n">
        <v>13.052</v>
      </c>
      <c r="F5" s="0" t="n">
        <f aca="false">ROUND(((O5)+(R5))*1,2)</f>
        <v>2</v>
      </c>
      <c r="H5" s="0" t="n">
        <v>213.43</v>
      </c>
      <c r="J5" s="0" t="s">
        <v>42</v>
      </c>
      <c r="K5" s="0" t="n">
        <v>16</v>
      </c>
      <c r="L5" s="0" t="n">
        <v>18</v>
      </c>
      <c r="M5" s="0" t="s">
        <v>59</v>
      </c>
      <c r="N5" s="0" t="n">
        <v>9</v>
      </c>
      <c r="O5" s="0" t="n">
        <v>1</v>
      </c>
      <c r="P5" s="0" t="s">
        <v>60</v>
      </c>
      <c r="Q5" s="0" t="n">
        <v>9.5</v>
      </c>
      <c r="R5" s="0" t="n">
        <v>1</v>
      </c>
      <c r="S5" s="0" t="n">
        <v>23.89</v>
      </c>
      <c r="T5" s="0" t="n">
        <f aca="false">D5*N5*O5-S5*O5+D5*Q5*R5-S5*R5</f>
        <v>168.115</v>
      </c>
      <c r="AB5" s="0" t="n">
        <v>11.67</v>
      </c>
      <c r="AC5" s="0" t="n">
        <v>11.67</v>
      </c>
      <c r="AD5" s="0" t="s">
        <v>45</v>
      </c>
      <c r="AE5" s="0" t="n">
        <v>35.01</v>
      </c>
      <c r="AF5" s="0" t="n">
        <v>108</v>
      </c>
      <c r="AG5" s="0" t="n">
        <v>4.33</v>
      </c>
      <c r="AH5" s="0" t="n">
        <v>128.39</v>
      </c>
      <c r="AI5" s="0" t="n">
        <v>23.34</v>
      </c>
      <c r="AJ5" s="2" t="s">
        <v>46</v>
      </c>
      <c r="AL5" s="3" t="s">
        <v>47</v>
      </c>
      <c r="AM5" s="3" t="s">
        <v>61</v>
      </c>
      <c r="AN5" s="3" t="s">
        <v>62</v>
      </c>
    </row>
    <row r="6" customFormat="false" ht="15" hidden="false" customHeight="false" outlineLevel="0" collapsed="false">
      <c r="A6" s="0" t="n">
        <v>4</v>
      </c>
      <c r="B6" s="0" t="s">
        <v>40</v>
      </c>
      <c r="C6" s="0" t="s">
        <v>63</v>
      </c>
      <c r="D6" s="0" t="n">
        <v>5.59</v>
      </c>
      <c r="E6" s="0" t="n">
        <v>15.375</v>
      </c>
      <c r="F6" s="0" t="n">
        <f aca="false">ROUND(((O6)+(R6))*1,2)</f>
        <v>2</v>
      </c>
      <c r="H6" s="0" t="n">
        <v>190.75</v>
      </c>
      <c r="J6" s="0" t="s">
        <v>42</v>
      </c>
      <c r="K6" s="0" t="n">
        <v>16</v>
      </c>
      <c r="L6" s="0" t="n">
        <v>14</v>
      </c>
      <c r="M6" s="0" t="s">
        <v>43</v>
      </c>
      <c r="N6" s="0" t="n">
        <v>9</v>
      </c>
      <c r="O6" s="0" t="n">
        <v>1</v>
      </c>
      <c r="P6" s="0" t="s">
        <v>64</v>
      </c>
      <c r="Q6" s="0" t="n">
        <v>12</v>
      </c>
      <c r="R6" s="0" t="n">
        <v>1</v>
      </c>
      <c r="S6" s="0" t="n">
        <v>27.22</v>
      </c>
      <c r="T6" s="0" t="n">
        <f aca="false">D6*N6*O6-S6*O6+D6*Q6*R6-S6*R6</f>
        <v>62.95</v>
      </c>
      <c r="AB6" s="0" t="n">
        <v>5.59</v>
      </c>
      <c r="AC6" s="0" t="n">
        <v>5.59</v>
      </c>
      <c r="AD6" s="0" t="s">
        <v>45</v>
      </c>
      <c r="AE6" s="0" t="n">
        <v>16.77</v>
      </c>
      <c r="AF6" s="0" t="n">
        <v>84</v>
      </c>
      <c r="AG6" s="0" t="n">
        <v>4.33</v>
      </c>
      <c r="AH6" s="0" t="n">
        <v>58.67</v>
      </c>
      <c r="AI6" s="0" t="n">
        <v>11.18</v>
      </c>
      <c r="AJ6" s="2" t="s">
        <v>46</v>
      </c>
      <c r="AL6" s="3" t="s">
        <v>47</v>
      </c>
      <c r="AM6" s="3" t="s">
        <v>65</v>
      </c>
      <c r="AN6" s="3" t="s">
        <v>66</v>
      </c>
    </row>
    <row r="7" customFormat="false" ht="15" hidden="false" customHeight="false" outlineLevel="0" collapsed="false">
      <c r="A7" s="0" t="n">
        <v>2</v>
      </c>
      <c r="B7" s="0" t="s">
        <v>40</v>
      </c>
      <c r="C7" s="0" t="s">
        <v>67</v>
      </c>
      <c r="D7" s="0" t="n">
        <v>3.13</v>
      </c>
      <c r="E7" s="0" t="n">
        <v>15.375</v>
      </c>
      <c r="F7" s="0" t="n">
        <f aca="false">ROUND(((O7)+(R7))*1,2)</f>
        <v>2</v>
      </c>
      <c r="H7" s="0" t="n">
        <v>76.88</v>
      </c>
      <c r="J7" s="0" t="s">
        <v>42</v>
      </c>
      <c r="K7" s="0" t="n">
        <v>16</v>
      </c>
      <c r="L7" s="0" t="n">
        <v>5</v>
      </c>
      <c r="M7" s="0" t="s">
        <v>51</v>
      </c>
      <c r="N7" s="0" t="n">
        <v>9</v>
      </c>
      <c r="O7" s="0" t="n">
        <v>1</v>
      </c>
      <c r="P7" s="0" t="s">
        <v>68</v>
      </c>
      <c r="Q7" s="0" t="n">
        <v>9</v>
      </c>
      <c r="R7" s="0" t="n">
        <v>1</v>
      </c>
      <c r="S7" s="0" t="n">
        <v>0</v>
      </c>
      <c r="T7" s="0" t="n">
        <f aca="false">D7*N7*O7-S7*O7+D7*Q7*R7-S7*R7</f>
        <v>56.34</v>
      </c>
      <c r="AB7" s="0" t="n">
        <v>3.13</v>
      </c>
      <c r="AC7" s="0" t="n">
        <v>3.13</v>
      </c>
      <c r="AD7" s="0" t="s">
        <v>45</v>
      </c>
      <c r="AE7" s="0" t="n">
        <v>9.39</v>
      </c>
      <c r="AF7" s="0" t="n">
        <v>30</v>
      </c>
      <c r="AH7" s="0" t="n">
        <v>48.07</v>
      </c>
      <c r="AI7" s="0" t="n">
        <v>6.26</v>
      </c>
      <c r="AJ7" s="2" t="s">
        <v>46</v>
      </c>
      <c r="AL7" s="3" t="s">
        <v>47</v>
      </c>
      <c r="AM7" s="3" t="s">
        <v>69</v>
      </c>
      <c r="AN7" s="3" t="s">
        <v>70</v>
      </c>
    </row>
    <row r="8" customFormat="false" ht="15" hidden="false" customHeight="false" outlineLevel="0" collapsed="false">
      <c r="A8" s="0" t="n">
        <v>3</v>
      </c>
      <c r="B8" s="0" t="s">
        <v>40</v>
      </c>
      <c r="C8" s="0" t="s">
        <v>71</v>
      </c>
      <c r="D8" s="0" t="n">
        <v>2.02</v>
      </c>
      <c r="E8" s="0" t="n">
        <v>15.375</v>
      </c>
      <c r="F8" s="0" t="n">
        <f aca="false">ROUND(((O8)+(R8))*1,2)</f>
        <v>2</v>
      </c>
      <c r="H8" s="0" t="n">
        <v>61.5</v>
      </c>
      <c r="J8" s="0" t="s">
        <v>42</v>
      </c>
      <c r="K8" s="0" t="n">
        <v>16</v>
      </c>
      <c r="L8" s="0" t="n">
        <v>4</v>
      </c>
      <c r="M8" s="0" t="s">
        <v>51</v>
      </c>
      <c r="N8" s="0" t="n">
        <v>9</v>
      </c>
      <c r="O8" s="0" t="n">
        <v>1</v>
      </c>
      <c r="P8" s="0" t="s">
        <v>68</v>
      </c>
      <c r="Q8" s="0" t="n">
        <v>9</v>
      </c>
      <c r="R8" s="0" t="n">
        <v>1</v>
      </c>
      <c r="S8" s="0" t="n">
        <v>0</v>
      </c>
      <c r="T8" s="0" t="n">
        <f aca="false">D8*N8*O8-S8*O8+D8*Q8*R8-S8*R8</f>
        <v>36.36</v>
      </c>
      <c r="AB8" s="0" t="n">
        <v>2.02</v>
      </c>
      <c r="AC8" s="0" t="n">
        <v>2.02</v>
      </c>
      <c r="AD8" s="0" t="s">
        <v>45</v>
      </c>
      <c r="AE8" s="0" t="n">
        <v>6.06</v>
      </c>
      <c r="AF8" s="0" t="n">
        <v>24</v>
      </c>
      <c r="AH8" s="0" t="n">
        <v>31.06</v>
      </c>
      <c r="AI8" s="0" t="n">
        <v>4.04</v>
      </c>
      <c r="AJ8" s="2" t="s">
        <v>46</v>
      </c>
      <c r="AL8" s="3" t="s">
        <v>47</v>
      </c>
      <c r="AM8" s="3" t="s">
        <v>72</v>
      </c>
      <c r="AN8" s="3" t="s">
        <v>73</v>
      </c>
    </row>
    <row r="9" customFormat="false" ht="15" hidden="false" customHeight="false" outlineLevel="0" collapsed="false">
      <c r="A9" s="0" t="n">
        <v>6</v>
      </c>
      <c r="B9" s="0" t="s">
        <v>40</v>
      </c>
      <c r="C9" s="0" t="s">
        <v>74</v>
      </c>
      <c r="D9" s="0" t="n">
        <v>1.73</v>
      </c>
      <c r="E9" s="0" t="n">
        <v>13.052</v>
      </c>
      <c r="F9" s="0" t="n">
        <f aca="false">ROUND(((O9)+(R9))*1,2)</f>
        <v>2</v>
      </c>
      <c r="H9" s="0" t="n">
        <v>52.21</v>
      </c>
      <c r="J9" s="0" t="s">
        <v>42</v>
      </c>
      <c r="K9" s="0" t="n">
        <v>16</v>
      </c>
      <c r="L9" s="0" t="n">
        <v>4</v>
      </c>
      <c r="M9" s="0" t="s">
        <v>44</v>
      </c>
      <c r="N9" s="0" t="n">
        <v>9</v>
      </c>
      <c r="O9" s="0" t="n">
        <v>1</v>
      </c>
      <c r="P9" s="0" t="s">
        <v>64</v>
      </c>
      <c r="Q9" s="0" t="n">
        <v>9.5</v>
      </c>
      <c r="R9" s="0" t="n">
        <v>1</v>
      </c>
      <c r="S9" s="0" t="n">
        <v>0</v>
      </c>
      <c r="T9" s="0" t="n">
        <f aca="false">D9*N9*O9-S9*O9+D9*Q9*R9-S9*R9</f>
        <v>32.005</v>
      </c>
      <c r="AB9" s="0" t="n">
        <v>1.73</v>
      </c>
      <c r="AC9" s="0" t="n">
        <v>1.73</v>
      </c>
      <c r="AD9" s="0" t="s">
        <v>45</v>
      </c>
      <c r="AE9" s="0" t="n">
        <v>5.19</v>
      </c>
      <c r="AF9" s="0" t="n">
        <v>24</v>
      </c>
      <c r="AH9" s="0" t="n">
        <v>22.62</v>
      </c>
      <c r="AI9" s="0" t="n">
        <v>3.46</v>
      </c>
      <c r="AJ9" s="2" t="s">
        <v>46</v>
      </c>
      <c r="AL9" s="3" t="s">
        <v>47</v>
      </c>
      <c r="AM9" s="3" t="s">
        <v>75</v>
      </c>
      <c r="AN9" s="3" t="s">
        <v>76</v>
      </c>
    </row>
    <row r="10" customFormat="false" ht="15" hidden="false" customHeight="false" outlineLevel="0" collapsed="false">
      <c r="A10" s="0" t="n">
        <v>7</v>
      </c>
      <c r="B10" s="0" t="s">
        <v>40</v>
      </c>
      <c r="C10" s="0" t="s">
        <v>77</v>
      </c>
      <c r="D10" s="0" t="n">
        <v>1.3</v>
      </c>
      <c r="E10" s="0" t="n">
        <v>13.052</v>
      </c>
      <c r="F10" s="0" t="n">
        <f aca="false">ROUND(((O10)+(R10))*1,2)</f>
        <v>2</v>
      </c>
      <c r="H10" s="0" t="n">
        <v>39.16</v>
      </c>
      <c r="J10" s="0" t="s">
        <v>42</v>
      </c>
      <c r="K10" s="0" t="n">
        <v>16</v>
      </c>
      <c r="L10" s="0" t="n">
        <v>3</v>
      </c>
      <c r="M10" s="0" t="s">
        <v>44</v>
      </c>
      <c r="N10" s="0" t="n">
        <v>9</v>
      </c>
      <c r="O10" s="0" t="n">
        <v>1</v>
      </c>
      <c r="P10" s="0" t="s">
        <v>64</v>
      </c>
      <c r="Q10" s="0" t="n">
        <v>9.5</v>
      </c>
      <c r="R10" s="0" t="n">
        <v>1</v>
      </c>
      <c r="S10" s="0" t="n">
        <v>0</v>
      </c>
      <c r="T10" s="0" t="n">
        <f aca="false">D10*N10*O10-S10*O10+D10*Q10*R10-S10*R10</f>
        <v>24.05</v>
      </c>
      <c r="AB10" s="0" t="n">
        <v>1.3</v>
      </c>
      <c r="AC10" s="0" t="n">
        <v>1.3</v>
      </c>
      <c r="AD10" s="0" t="s">
        <v>45</v>
      </c>
      <c r="AE10" s="0" t="n">
        <v>3.9</v>
      </c>
      <c r="AF10" s="0" t="n">
        <v>18</v>
      </c>
      <c r="AH10" s="0" t="n">
        <v>16.97</v>
      </c>
      <c r="AI10" s="0" t="n">
        <v>2.6</v>
      </c>
      <c r="AJ10" s="2" t="s">
        <v>46</v>
      </c>
      <c r="AL10" s="3" t="s">
        <v>47</v>
      </c>
      <c r="AM10" s="3" t="s">
        <v>78</v>
      </c>
      <c r="AN10" s="3" t="s">
        <v>79</v>
      </c>
    </row>
    <row r="11" customFormat="false" ht="15" hidden="false" customHeight="false" outlineLevel="0" collapsed="false">
      <c r="A11" s="0" t="n">
        <v>10</v>
      </c>
      <c r="B11" s="0" t="s">
        <v>80</v>
      </c>
      <c r="C11" s="0" t="s">
        <v>81</v>
      </c>
      <c r="D11" s="0" t="n">
        <v>12.01</v>
      </c>
      <c r="E11" s="0" t="n">
        <v>15.375</v>
      </c>
      <c r="F11" s="0" t="n">
        <v>2</v>
      </c>
      <c r="H11" s="0" t="n">
        <v>131.41</v>
      </c>
      <c r="J11" s="0" t="s">
        <v>82</v>
      </c>
      <c r="K11" s="0" t="n">
        <v>24</v>
      </c>
      <c r="L11" s="0" t="n">
        <v>9</v>
      </c>
      <c r="M11" s="0" t="s">
        <v>83</v>
      </c>
      <c r="N11" s="0" t="n">
        <v>15.375</v>
      </c>
      <c r="O11" s="0" t="n">
        <v>1</v>
      </c>
      <c r="P11" s="0" t="s">
        <v>84</v>
      </c>
      <c r="Q11" s="0" t="n">
        <v>15.375</v>
      </c>
      <c r="R11" s="0" t="n">
        <v>1</v>
      </c>
      <c r="S11" s="0" t="n">
        <v>0</v>
      </c>
      <c r="T11" s="0" t="n">
        <v>344.04</v>
      </c>
      <c r="U11" s="0" t="n">
        <v>88.57</v>
      </c>
      <c r="V11" s="0" t="n">
        <v>96.08</v>
      </c>
      <c r="AB11" s="0" t="n">
        <v>12.01</v>
      </c>
      <c r="AC11" s="0" t="n">
        <v>12.01</v>
      </c>
      <c r="AD11" s="0" t="s">
        <v>85</v>
      </c>
      <c r="AE11" s="0" t="n">
        <v>36.03</v>
      </c>
      <c r="AF11" s="0" t="n">
        <v>54</v>
      </c>
      <c r="AH11" s="0" t="n">
        <v>172.02</v>
      </c>
      <c r="AI11" s="0" t="n">
        <v>48.04</v>
      </c>
      <c r="AJ11" s="2" t="s">
        <v>46</v>
      </c>
      <c r="AL11" s="3" t="s">
        <v>47</v>
      </c>
      <c r="AM11" s="3" t="s">
        <v>86</v>
      </c>
      <c r="AN11" s="3" t="s">
        <v>87</v>
      </c>
    </row>
    <row r="12" customFormat="false" ht="15" hidden="false" customHeight="false" outlineLevel="0" collapsed="false">
      <c r="A12" s="0" t="n">
        <v>13</v>
      </c>
      <c r="B12" s="0" t="s">
        <v>80</v>
      </c>
      <c r="C12" s="0" t="s">
        <v>88</v>
      </c>
      <c r="D12" s="0" t="n">
        <v>5.65</v>
      </c>
      <c r="E12" s="0" t="n">
        <v>13.052</v>
      </c>
      <c r="F12" s="0" t="n">
        <f aca="false">ROUND(((O12)+(R12))*1,2)</f>
        <v>2</v>
      </c>
      <c r="H12" s="0" t="n">
        <v>65.26</v>
      </c>
      <c r="J12" s="0" t="s">
        <v>82</v>
      </c>
      <c r="K12" s="0" t="n">
        <v>24</v>
      </c>
      <c r="L12" s="0" t="n">
        <v>5</v>
      </c>
      <c r="M12" s="0" t="s">
        <v>89</v>
      </c>
      <c r="N12" s="0" t="n">
        <v>13.052</v>
      </c>
      <c r="O12" s="0" t="n">
        <v>1</v>
      </c>
      <c r="P12" s="0" t="s">
        <v>64</v>
      </c>
      <c r="Q12" s="0" t="n">
        <v>13.052</v>
      </c>
      <c r="R12" s="0" t="n">
        <v>1</v>
      </c>
      <c r="S12" s="0" t="n">
        <v>0</v>
      </c>
      <c r="T12" s="0" t="n">
        <f aca="false">D12*N12*O12-S12*O12+D12*Q12*R12-S12*R12</f>
        <v>147.4876</v>
      </c>
      <c r="U12" s="0" t="n">
        <v>28.54</v>
      </c>
      <c r="V12" s="0" t="n">
        <v>45.2</v>
      </c>
      <c r="AB12" s="0" t="n">
        <v>5.65</v>
      </c>
      <c r="AC12" s="0" t="n">
        <v>5.65</v>
      </c>
      <c r="AD12" s="0" t="s">
        <v>85</v>
      </c>
      <c r="AE12" s="0" t="n">
        <v>16.95</v>
      </c>
      <c r="AF12" s="0" t="n">
        <v>30</v>
      </c>
      <c r="AH12" s="0" t="n">
        <v>73.79</v>
      </c>
      <c r="AI12" s="0" t="n">
        <v>22.6</v>
      </c>
      <c r="AJ12" s="2" t="s">
        <v>46</v>
      </c>
      <c r="AL12" s="3" t="s">
        <v>47</v>
      </c>
      <c r="AM12" s="3" t="s">
        <v>90</v>
      </c>
      <c r="AN12" s="3" t="s">
        <v>91</v>
      </c>
    </row>
    <row r="13" customFormat="false" ht="15" hidden="false" customHeight="false" outlineLevel="0" collapsed="false">
      <c r="A13" s="0" t="n">
        <v>11</v>
      </c>
      <c r="B13" s="0" t="s">
        <v>80</v>
      </c>
      <c r="C13" s="0" t="s">
        <v>92</v>
      </c>
      <c r="D13" s="0" t="n">
        <v>2.98</v>
      </c>
      <c r="E13" s="0" t="n">
        <v>15.375</v>
      </c>
      <c r="F13" s="0" t="n">
        <f aca="false">ROUND(((O13)+(R13))*1,2)</f>
        <v>2</v>
      </c>
      <c r="H13" s="0" t="n">
        <v>61.5</v>
      </c>
      <c r="J13" s="0" t="s">
        <v>82</v>
      </c>
      <c r="K13" s="0" t="n">
        <v>24</v>
      </c>
      <c r="L13" s="0" t="n">
        <v>4</v>
      </c>
      <c r="M13" s="0" t="s">
        <v>60</v>
      </c>
      <c r="N13" s="0" t="n">
        <v>15.375</v>
      </c>
      <c r="O13" s="0" t="n">
        <v>1</v>
      </c>
      <c r="P13" s="0" t="s">
        <v>93</v>
      </c>
      <c r="Q13" s="0" t="n">
        <v>15.375</v>
      </c>
      <c r="R13" s="0" t="n">
        <v>1</v>
      </c>
      <c r="S13" s="0" t="n">
        <v>0</v>
      </c>
      <c r="T13" s="0" t="n">
        <f aca="false">D13*N13*O13-S13*O13+D13*Q13*R13-S13*R13</f>
        <v>91.635</v>
      </c>
      <c r="U13" s="0" t="n">
        <v>21.98</v>
      </c>
      <c r="V13" s="0" t="n">
        <v>23.84</v>
      </c>
      <c r="AB13" s="0" t="n">
        <v>2.98</v>
      </c>
      <c r="AC13" s="0" t="n">
        <v>2.98</v>
      </c>
      <c r="AD13" s="0" t="s">
        <v>85</v>
      </c>
      <c r="AE13" s="0" t="n">
        <v>8.94</v>
      </c>
      <c r="AF13" s="0" t="n">
        <v>24</v>
      </c>
      <c r="AH13" s="0" t="n">
        <v>45.82</v>
      </c>
      <c r="AI13" s="0" t="n">
        <v>11.92</v>
      </c>
      <c r="AJ13" s="2" t="s">
        <v>46</v>
      </c>
      <c r="AL13" s="3" t="s">
        <v>47</v>
      </c>
      <c r="AM13" s="3" t="s">
        <v>94</v>
      </c>
      <c r="AN13" s="3" t="s">
        <v>95</v>
      </c>
    </row>
    <row r="14" customFormat="false" ht="15" hidden="false" customHeight="false" outlineLevel="0" collapsed="false">
      <c r="A14" s="0" t="n">
        <v>12</v>
      </c>
      <c r="B14" s="0" t="s">
        <v>80</v>
      </c>
      <c r="C14" s="0" t="s">
        <v>96</v>
      </c>
      <c r="D14" s="0" t="n">
        <v>2.98</v>
      </c>
      <c r="E14" s="0" t="n">
        <v>13.052</v>
      </c>
      <c r="F14" s="0" t="n">
        <f aca="false">ROUND(((O14)+(R14))*1,2)</f>
        <v>2</v>
      </c>
      <c r="H14" s="0" t="n">
        <v>52.21</v>
      </c>
      <c r="J14" s="0" t="s">
        <v>82</v>
      </c>
      <c r="K14" s="0" t="n">
        <v>24</v>
      </c>
      <c r="L14" s="0" t="n">
        <v>4</v>
      </c>
      <c r="M14" s="0" t="s">
        <v>60</v>
      </c>
      <c r="N14" s="0" t="n">
        <v>13.052</v>
      </c>
      <c r="O14" s="0" t="n">
        <v>1</v>
      </c>
      <c r="P14" s="0" t="s">
        <v>89</v>
      </c>
      <c r="Q14" s="0" t="n">
        <v>13.052</v>
      </c>
      <c r="R14" s="0" t="n">
        <v>1</v>
      </c>
      <c r="S14" s="0" t="n">
        <v>0</v>
      </c>
      <c r="T14" s="0" t="n">
        <f aca="false">D14*N14*O14-S14*O14+D14*Q14*R14-S14*R14</f>
        <v>77.78992</v>
      </c>
      <c r="U14" s="0" t="n">
        <v>15.05</v>
      </c>
      <c r="V14" s="0" t="n">
        <v>23.84</v>
      </c>
      <c r="AB14" s="0" t="n">
        <v>2.98</v>
      </c>
      <c r="AC14" s="0" t="n">
        <v>2.98</v>
      </c>
      <c r="AD14" s="0" t="s">
        <v>85</v>
      </c>
      <c r="AE14" s="0" t="n">
        <v>8.94</v>
      </c>
      <c r="AF14" s="0" t="n">
        <v>24</v>
      </c>
      <c r="AH14" s="0" t="n">
        <v>38.89</v>
      </c>
      <c r="AI14" s="0" t="n">
        <v>11.92</v>
      </c>
      <c r="AJ14" s="2" t="s">
        <v>46</v>
      </c>
      <c r="AL14" s="3" t="s">
        <v>47</v>
      </c>
      <c r="AM14" s="3" t="s">
        <v>94</v>
      </c>
      <c r="AN14" s="3" t="s">
        <v>97</v>
      </c>
    </row>
    <row r="15" customFormat="false" ht="15" hidden="false" customHeight="false" outlineLevel="0" collapsed="false">
      <c r="A15" s="0" t="n">
        <v>15</v>
      </c>
      <c r="B15" s="0" t="s">
        <v>98</v>
      </c>
      <c r="C15" s="0" t="s">
        <v>99</v>
      </c>
      <c r="D15" s="0" t="n">
        <v>19.41</v>
      </c>
      <c r="E15" s="0" t="n">
        <v>15.375</v>
      </c>
      <c r="F15" s="0" t="n">
        <v>2</v>
      </c>
      <c r="G15" s="0" t="n">
        <v>267.46</v>
      </c>
      <c r="J15" s="0" t="s">
        <v>100</v>
      </c>
      <c r="K15" s="0" t="n">
        <v>16</v>
      </c>
      <c r="L15" s="0" t="n">
        <v>18</v>
      </c>
      <c r="M15" s="0" t="s">
        <v>51</v>
      </c>
      <c r="N15" s="0" t="n">
        <v>9</v>
      </c>
      <c r="O15" s="0" t="n">
        <v>1</v>
      </c>
      <c r="P15" s="0" t="s">
        <v>64</v>
      </c>
      <c r="Q15" s="0" t="n">
        <v>9.5</v>
      </c>
      <c r="R15" s="0" t="n">
        <v>1</v>
      </c>
      <c r="S15" s="0" t="n">
        <v>0</v>
      </c>
      <c r="T15" s="0" t="n">
        <v>359.09</v>
      </c>
      <c r="AB15" s="0" t="n">
        <v>19.41</v>
      </c>
      <c r="AC15" s="0" t="n">
        <v>19.41</v>
      </c>
      <c r="AD15" s="0" t="s">
        <v>45</v>
      </c>
      <c r="AE15" s="0" t="n">
        <v>58.23</v>
      </c>
      <c r="AF15" s="0" t="n">
        <v>108</v>
      </c>
      <c r="AH15" s="0" t="n">
        <v>288.35</v>
      </c>
      <c r="AI15" s="0" t="n">
        <v>38.82</v>
      </c>
      <c r="AJ15" s="2" t="s">
        <v>46</v>
      </c>
      <c r="AL15" s="3" t="s">
        <v>47</v>
      </c>
      <c r="AM15" s="3" t="s">
        <v>101</v>
      </c>
      <c r="AN15" s="3" t="s">
        <v>102</v>
      </c>
    </row>
    <row r="16" customFormat="false" ht="15" hidden="false" customHeight="false" outlineLevel="0" collapsed="false">
      <c r="A16" s="0" t="n">
        <v>14</v>
      </c>
      <c r="B16" s="0" t="s">
        <v>98</v>
      </c>
      <c r="C16" s="0" t="s">
        <v>103</v>
      </c>
      <c r="D16" s="0" t="n">
        <v>19</v>
      </c>
      <c r="E16" s="0" t="n">
        <v>15.375</v>
      </c>
      <c r="F16" s="0" t="n">
        <v>2</v>
      </c>
      <c r="G16" s="0" t="n">
        <v>340.53</v>
      </c>
      <c r="J16" s="0" t="s">
        <v>100</v>
      </c>
      <c r="K16" s="0" t="n">
        <v>16</v>
      </c>
      <c r="L16" s="0" t="n">
        <v>24</v>
      </c>
      <c r="M16" s="0" t="s">
        <v>51</v>
      </c>
      <c r="N16" s="0" t="n">
        <v>9</v>
      </c>
      <c r="O16" s="0" t="n">
        <v>1</v>
      </c>
      <c r="P16" s="0" t="s">
        <v>104</v>
      </c>
      <c r="Q16" s="0" t="n">
        <v>12</v>
      </c>
      <c r="R16" s="0" t="n">
        <v>1</v>
      </c>
      <c r="S16" s="0" t="n">
        <v>23.89</v>
      </c>
      <c r="T16" s="0" t="n">
        <v>351.22</v>
      </c>
      <c r="AB16" s="0" t="n">
        <v>19</v>
      </c>
      <c r="AC16" s="0" t="n">
        <v>19</v>
      </c>
      <c r="AD16" s="0" t="s">
        <v>45</v>
      </c>
      <c r="AE16" s="0" t="n">
        <v>57</v>
      </c>
      <c r="AF16" s="0" t="n">
        <v>144</v>
      </c>
      <c r="AG16" s="0" t="n">
        <v>4.33</v>
      </c>
      <c r="AH16" s="0" t="n">
        <v>259.16</v>
      </c>
      <c r="AI16" s="0" t="n">
        <v>38</v>
      </c>
      <c r="AJ16" s="2" t="s">
        <v>46</v>
      </c>
      <c r="AL16" s="3" t="s">
        <v>47</v>
      </c>
      <c r="AM16" s="3" t="s">
        <v>105</v>
      </c>
      <c r="AN16" s="3" t="s">
        <v>106</v>
      </c>
    </row>
    <row r="17" customFormat="false" ht="15" hidden="false" customHeight="false" outlineLevel="0" collapsed="false">
      <c r="A17" s="0" t="n">
        <v>16</v>
      </c>
      <c r="B17" s="0" t="s">
        <v>98</v>
      </c>
      <c r="C17" s="0" t="s">
        <v>107</v>
      </c>
      <c r="D17" s="0" t="n">
        <v>3.71</v>
      </c>
      <c r="E17" s="0" t="n">
        <v>13.052</v>
      </c>
      <c r="F17" s="0" t="n">
        <f aca="false">ROUND(((O17)+(R17))*1,2)</f>
        <v>2</v>
      </c>
      <c r="G17" s="0" t="n">
        <v>65.26</v>
      </c>
      <c r="J17" s="0" t="s">
        <v>100</v>
      </c>
      <c r="K17" s="0" t="n">
        <v>16</v>
      </c>
      <c r="L17" s="0" t="n">
        <v>5</v>
      </c>
      <c r="M17" s="0" t="s">
        <v>89</v>
      </c>
      <c r="N17" s="0" t="n">
        <v>9.5</v>
      </c>
      <c r="O17" s="0" t="n">
        <v>1</v>
      </c>
      <c r="P17" s="0" t="s">
        <v>44</v>
      </c>
      <c r="Q17" s="0" t="n">
        <v>9</v>
      </c>
      <c r="R17" s="0" t="n">
        <v>1</v>
      </c>
      <c r="S17" s="0" t="n">
        <v>0</v>
      </c>
      <c r="T17" s="0" t="n">
        <f aca="false">D17*N17*O17-S17*O17+D17*Q17*R17-S17*R17</f>
        <v>68.635</v>
      </c>
      <c r="AB17" s="0" t="n">
        <v>3.71</v>
      </c>
      <c r="AC17" s="0" t="n">
        <v>3.71</v>
      </c>
      <c r="AD17" s="0" t="s">
        <v>45</v>
      </c>
      <c r="AE17" s="0" t="n">
        <v>11.13</v>
      </c>
      <c r="AF17" s="0" t="n">
        <v>30</v>
      </c>
      <c r="AH17" s="0" t="n">
        <v>48.47</v>
      </c>
      <c r="AI17" s="0" t="n">
        <v>7.42</v>
      </c>
      <c r="AJ17" s="2" t="s">
        <v>46</v>
      </c>
      <c r="AL17" s="3" t="s">
        <v>47</v>
      </c>
      <c r="AM17" s="3" t="s">
        <v>108</v>
      </c>
      <c r="AN17" s="3" t="s">
        <v>109</v>
      </c>
    </row>
    <row r="18" customFormat="false" ht="15" hidden="false" customHeight="false" outlineLevel="0" collapsed="false">
      <c r="A18" s="0" t="n">
        <v>19</v>
      </c>
      <c r="B18" s="0" t="s">
        <v>110</v>
      </c>
      <c r="C18" s="0" t="s">
        <v>111</v>
      </c>
      <c r="D18" s="0" t="n">
        <v>14.15</v>
      </c>
      <c r="E18" s="0" t="n">
        <v>13.052</v>
      </c>
      <c r="F18" s="0" t="n">
        <f aca="false">ROUND(((O18)+(R18))*1,2)</f>
        <v>2</v>
      </c>
      <c r="H18" s="0" t="n">
        <v>309.4</v>
      </c>
      <c r="J18" s="0" t="s">
        <v>42</v>
      </c>
      <c r="K18" s="0" t="n">
        <v>16</v>
      </c>
      <c r="L18" s="0" t="n">
        <v>27</v>
      </c>
      <c r="M18" s="0" t="s">
        <v>112</v>
      </c>
      <c r="N18" s="0" t="n">
        <v>13.052</v>
      </c>
      <c r="O18" s="0" t="n">
        <v>1</v>
      </c>
      <c r="P18" s="0" t="s">
        <v>44</v>
      </c>
      <c r="Q18" s="0" t="n">
        <v>13.052</v>
      </c>
      <c r="R18" s="0" t="n">
        <v>1</v>
      </c>
      <c r="S18" s="0" t="n">
        <v>47.78</v>
      </c>
      <c r="T18" s="0" t="n">
        <f aca="false">D18*N18*O18-S18*O18+D18*Q18*R18-S18*R18</f>
        <v>273.8116</v>
      </c>
      <c r="AB18" s="0" t="n">
        <v>14.15</v>
      </c>
      <c r="AC18" s="0" t="n">
        <v>14.15</v>
      </c>
      <c r="AD18" s="0" t="s">
        <v>113</v>
      </c>
      <c r="AE18" s="0" t="n">
        <v>42.45</v>
      </c>
      <c r="AF18" s="0" t="n">
        <v>162</v>
      </c>
      <c r="AG18" s="0" t="n">
        <v>8.67</v>
      </c>
      <c r="AH18" s="0" t="n">
        <v>136.87</v>
      </c>
      <c r="AI18" s="0" t="n">
        <v>56.6</v>
      </c>
      <c r="AJ18" s="2" t="s">
        <v>46</v>
      </c>
      <c r="AL18" s="3" t="s">
        <v>47</v>
      </c>
      <c r="AM18" s="3" t="s">
        <v>114</v>
      </c>
      <c r="AN18" s="3" t="s">
        <v>115</v>
      </c>
    </row>
    <row r="19" customFormat="false" ht="15" hidden="false" customHeight="false" outlineLevel="0" collapsed="false">
      <c r="A19" s="0" t="n">
        <v>22</v>
      </c>
      <c r="B19" s="0" t="s">
        <v>110</v>
      </c>
      <c r="C19" s="0" t="s">
        <v>116</v>
      </c>
      <c r="D19" s="0" t="n">
        <v>11.73</v>
      </c>
      <c r="E19" s="0" t="n">
        <v>13.052</v>
      </c>
      <c r="F19" s="0" t="n">
        <f aca="false">ROUND(((O19)+(R19))*1,2)</f>
        <v>2</v>
      </c>
      <c r="H19" s="0" t="n">
        <v>143.57</v>
      </c>
      <c r="J19" s="0" t="s">
        <v>42</v>
      </c>
      <c r="K19" s="0" t="n">
        <v>16</v>
      </c>
      <c r="L19" s="0" t="n">
        <v>11</v>
      </c>
      <c r="M19" s="0" t="s">
        <v>117</v>
      </c>
      <c r="N19" s="0" t="n">
        <v>13.052</v>
      </c>
      <c r="O19" s="0" t="n">
        <v>1</v>
      </c>
      <c r="P19" s="0" t="s">
        <v>118</v>
      </c>
      <c r="Q19" s="0" t="n">
        <v>13.052</v>
      </c>
      <c r="R19" s="0" t="n">
        <v>1</v>
      </c>
      <c r="S19" s="0" t="n">
        <v>0</v>
      </c>
      <c r="T19" s="0" t="n">
        <f aca="false">D19*N19*O19-S19*O19+D19*Q19*R19-S19*R19</f>
        <v>306.19992</v>
      </c>
      <c r="AB19" s="0" t="n">
        <v>11.73</v>
      </c>
      <c r="AC19" s="0" t="n">
        <v>11.73</v>
      </c>
      <c r="AD19" s="0" t="s">
        <v>113</v>
      </c>
      <c r="AE19" s="0" t="n">
        <v>35.19</v>
      </c>
      <c r="AF19" s="0" t="n">
        <v>66</v>
      </c>
      <c r="AH19" s="0" t="n">
        <v>153.14</v>
      </c>
      <c r="AI19" s="0" t="n">
        <v>46.92</v>
      </c>
      <c r="AJ19" s="2" t="s">
        <v>46</v>
      </c>
      <c r="AL19" s="3" t="s">
        <v>47</v>
      </c>
      <c r="AM19" s="3" t="s">
        <v>119</v>
      </c>
      <c r="AN19" s="3" t="s">
        <v>120</v>
      </c>
    </row>
    <row r="20" customFormat="false" ht="15" hidden="false" customHeight="false" outlineLevel="0" collapsed="false">
      <c r="A20" s="0" t="n">
        <v>20</v>
      </c>
      <c r="B20" s="0" t="s">
        <v>110</v>
      </c>
      <c r="C20" s="0" t="s">
        <v>121</v>
      </c>
      <c r="D20" s="0" t="n">
        <v>11.73</v>
      </c>
      <c r="E20" s="0" t="n">
        <v>13.052</v>
      </c>
      <c r="F20" s="0" t="n">
        <f aca="false">ROUND(((O20)+(R20))*1,2)</f>
        <v>2</v>
      </c>
      <c r="H20" s="0" t="n">
        <v>213.43</v>
      </c>
      <c r="J20" s="0" t="s">
        <v>42</v>
      </c>
      <c r="K20" s="0" t="n">
        <v>16</v>
      </c>
      <c r="L20" s="0" t="n">
        <v>18</v>
      </c>
      <c r="M20" s="0" t="s">
        <v>122</v>
      </c>
      <c r="N20" s="0" t="n">
        <v>13.052</v>
      </c>
      <c r="O20" s="0" t="n">
        <v>1</v>
      </c>
      <c r="P20" s="0" t="s">
        <v>117</v>
      </c>
      <c r="Q20" s="0" t="n">
        <v>13.052</v>
      </c>
      <c r="R20" s="0" t="n">
        <v>1</v>
      </c>
      <c r="S20" s="0" t="n">
        <v>23.89</v>
      </c>
      <c r="T20" s="0" t="n">
        <f aca="false">D20*N20*O20-S20*O20+D20*Q20*R20-S20*R20</f>
        <v>258.41992</v>
      </c>
      <c r="AB20" s="0" t="n">
        <v>11.73</v>
      </c>
      <c r="AC20" s="0" t="n">
        <v>11.73</v>
      </c>
      <c r="AD20" s="0" t="s">
        <v>113</v>
      </c>
      <c r="AE20" s="0" t="n">
        <v>35.19</v>
      </c>
      <c r="AF20" s="0" t="n">
        <v>108</v>
      </c>
      <c r="AG20" s="0" t="n">
        <v>4.33</v>
      </c>
      <c r="AH20" s="0" t="n">
        <v>129.26</v>
      </c>
      <c r="AI20" s="0" t="n">
        <v>46.92</v>
      </c>
      <c r="AJ20" s="2" t="s">
        <v>46</v>
      </c>
      <c r="AL20" s="3" t="s">
        <v>47</v>
      </c>
      <c r="AM20" s="3" t="s">
        <v>123</v>
      </c>
      <c r="AN20" s="3" t="s">
        <v>124</v>
      </c>
    </row>
    <row r="21" customFormat="false" ht="15" hidden="false" customHeight="false" outlineLevel="0" collapsed="false">
      <c r="A21" s="0" t="n">
        <v>17</v>
      </c>
      <c r="B21" s="0" t="s">
        <v>110</v>
      </c>
      <c r="C21" s="0" t="s">
        <v>125</v>
      </c>
      <c r="D21" s="0" t="n">
        <v>9.58</v>
      </c>
      <c r="E21" s="0" t="n">
        <v>13.052</v>
      </c>
      <c r="F21" s="0" t="n">
        <f aca="false">ROUND(((O21)+(R21))*1,2)</f>
        <v>2</v>
      </c>
      <c r="H21" s="0" t="n">
        <v>130.52</v>
      </c>
      <c r="J21" s="0" t="s">
        <v>42</v>
      </c>
      <c r="K21" s="0" t="n">
        <v>16</v>
      </c>
      <c r="L21" s="0" t="n">
        <v>10</v>
      </c>
      <c r="M21" s="0" t="s">
        <v>126</v>
      </c>
      <c r="N21" s="0" t="n">
        <v>13.052</v>
      </c>
      <c r="O21" s="0" t="n">
        <v>1</v>
      </c>
      <c r="P21" s="0" t="s">
        <v>44</v>
      </c>
      <c r="Q21" s="0" t="n">
        <v>13.052</v>
      </c>
      <c r="R21" s="0" t="n">
        <v>1</v>
      </c>
      <c r="S21" s="0" t="n">
        <v>0</v>
      </c>
      <c r="T21" s="0" t="n">
        <f aca="false">D21*N21*O21-S21*O21+D21*Q21*R21-S21*R21</f>
        <v>250.07632</v>
      </c>
      <c r="AB21" s="0" t="n">
        <v>9.58</v>
      </c>
      <c r="AC21" s="0" t="n">
        <v>9.58</v>
      </c>
      <c r="AD21" s="0" t="s">
        <v>113</v>
      </c>
      <c r="AE21" s="0" t="n">
        <v>28.74</v>
      </c>
      <c r="AF21" s="0" t="n">
        <v>60</v>
      </c>
      <c r="AH21" s="0" t="n">
        <v>125.04</v>
      </c>
      <c r="AI21" s="0" t="n">
        <v>38.32</v>
      </c>
      <c r="AJ21" s="2" t="s">
        <v>46</v>
      </c>
      <c r="AL21" s="3" t="s">
        <v>47</v>
      </c>
      <c r="AM21" s="3" t="s">
        <v>127</v>
      </c>
      <c r="AN21" s="3" t="s">
        <v>128</v>
      </c>
    </row>
    <row r="22" customFormat="false" ht="15" hidden="false" customHeight="false" outlineLevel="0" collapsed="false">
      <c r="A22" s="0" t="n">
        <v>18</v>
      </c>
      <c r="B22" s="0" t="s">
        <v>110</v>
      </c>
      <c r="C22" s="0" t="s">
        <v>112</v>
      </c>
      <c r="D22" s="0" t="n">
        <v>9.58</v>
      </c>
      <c r="E22" s="0" t="n">
        <v>13.052</v>
      </c>
      <c r="F22" s="0" t="n">
        <f aca="false">ROUND(((O22)+(R22))*1,2)</f>
        <v>2</v>
      </c>
      <c r="H22" s="0" t="n">
        <v>130.52</v>
      </c>
      <c r="J22" s="0" t="s">
        <v>42</v>
      </c>
      <c r="K22" s="0" t="n">
        <v>16</v>
      </c>
      <c r="L22" s="0" t="n">
        <v>10</v>
      </c>
      <c r="M22" s="0" t="s">
        <v>126</v>
      </c>
      <c r="N22" s="0" t="n">
        <v>13.052</v>
      </c>
      <c r="O22" s="0" t="n">
        <v>1</v>
      </c>
      <c r="P22" s="0" t="s">
        <v>129</v>
      </c>
      <c r="Q22" s="0" t="n">
        <v>13.052</v>
      </c>
      <c r="R22" s="0" t="n">
        <v>1</v>
      </c>
      <c r="S22" s="0" t="n">
        <v>0</v>
      </c>
      <c r="T22" s="0" t="n">
        <f aca="false">D22*N22*O22-S22*O22+D22*Q22*R22-S22*R22</f>
        <v>250.07632</v>
      </c>
      <c r="AB22" s="0" t="n">
        <v>9.58</v>
      </c>
      <c r="AC22" s="0" t="n">
        <v>9.58</v>
      </c>
      <c r="AD22" s="0" t="s">
        <v>113</v>
      </c>
      <c r="AE22" s="0" t="n">
        <v>28.74</v>
      </c>
      <c r="AF22" s="0" t="n">
        <v>60</v>
      </c>
      <c r="AH22" s="0" t="n">
        <v>125.04</v>
      </c>
      <c r="AI22" s="0" t="n">
        <v>38.32</v>
      </c>
      <c r="AJ22" s="2" t="s">
        <v>46</v>
      </c>
      <c r="AL22" s="3" t="s">
        <v>47</v>
      </c>
      <c r="AM22" s="3" t="s">
        <v>130</v>
      </c>
      <c r="AN22" s="3" t="s">
        <v>131</v>
      </c>
    </row>
    <row r="23" customFormat="false" ht="15" hidden="false" customHeight="false" outlineLevel="0" collapsed="false">
      <c r="A23" s="0" t="n">
        <v>21</v>
      </c>
      <c r="B23" s="0" t="s">
        <v>110</v>
      </c>
      <c r="C23" s="0" t="s">
        <v>117</v>
      </c>
      <c r="D23" s="0" t="n">
        <v>3.5</v>
      </c>
      <c r="E23" s="0" t="n">
        <v>13.052</v>
      </c>
      <c r="F23" s="0" t="n">
        <f aca="false">ROUND(((O23)+(R23))*1,2)</f>
        <v>2</v>
      </c>
      <c r="H23" s="0" t="n">
        <v>65.26</v>
      </c>
      <c r="J23" s="0" t="s">
        <v>42</v>
      </c>
      <c r="K23" s="0" t="n">
        <v>16</v>
      </c>
      <c r="L23" s="0" t="n">
        <v>5</v>
      </c>
      <c r="M23" s="0" t="s">
        <v>132</v>
      </c>
      <c r="N23" s="0" t="n">
        <v>13.052</v>
      </c>
      <c r="O23" s="0" t="n">
        <v>1</v>
      </c>
      <c r="P23" s="0" t="s">
        <v>133</v>
      </c>
      <c r="Q23" s="0" t="n">
        <v>13.052</v>
      </c>
      <c r="R23" s="0" t="n">
        <v>1</v>
      </c>
      <c r="S23" s="0" t="n">
        <v>0</v>
      </c>
      <c r="T23" s="0" t="n">
        <f aca="false">D23*N23*O23-S23*O23+D23*Q23*R23-S23*R23</f>
        <v>91.364</v>
      </c>
      <c r="AB23" s="0" t="n">
        <v>3.5</v>
      </c>
      <c r="AC23" s="0" t="n">
        <v>3.5</v>
      </c>
      <c r="AD23" s="0" t="s">
        <v>113</v>
      </c>
      <c r="AE23" s="0" t="n">
        <v>10.5</v>
      </c>
      <c r="AF23" s="0" t="n">
        <v>30</v>
      </c>
      <c r="AH23" s="0" t="n">
        <v>45.68</v>
      </c>
      <c r="AI23" s="0" t="n">
        <v>14</v>
      </c>
      <c r="AJ23" s="2" t="s">
        <v>46</v>
      </c>
      <c r="AL23" s="3" t="s">
        <v>47</v>
      </c>
      <c r="AM23" s="3" t="s">
        <v>134</v>
      </c>
      <c r="AN23" s="3" t="s">
        <v>135</v>
      </c>
    </row>
    <row r="24" customFormat="false" ht="15" hidden="false" customHeight="false" outlineLevel="0" collapsed="false">
      <c r="A24" s="0" t="n">
        <v>23</v>
      </c>
      <c r="B24" s="0" t="s">
        <v>136</v>
      </c>
      <c r="C24" s="0" t="s">
        <v>137</v>
      </c>
      <c r="D24" s="0" t="n">
        <v>29.19</v>
      </c>
      <c r="E24" s="0" t="n">
        <v>15.375</v>
      </c>
      <c r="F24" s="0" t="n">
        <v>2</v>
      </c>
      <c r="G24" s="0" t="n">
        <v>677.77</v>
      </c>
      <c r="J24" s="0" t="s">
        <v>100</v>
      </c>
      <c r="K24" s="0" t="n">
        <v>16</v>
      </c>
      <c r="L24" s="0" t="n">
        <v>53</v>
      </c>
      <c r="M24" s="0" t="s">
        <v>43</v>
      </c>
      <c r="N24" s="0" t="n">
        <v>15.375</v>
      </c>
      <c r="O24" s="0" t="n">
        <v>1</v>
      </c>
      <c r="P24" s="0" t="s">
        <v>138</v>
      </c>
      <c r="Q24" s="0" t="n">
        <v>15.375</v>
      </c>
      <c r="R24" s="0" t="n">
        <v>1</v>
      </c>
      <c r="S24" s="0" t="n">
        <v>95.55</v>
      </c>
      <c r="T24" s="0" t="n">
        <v>573.56</v>
      </c>
      <c r="AB24" s="0" t="n">
        <v>29.19</v>
      </c>
      <c r="AC24" s="0" t="n">
        <v>29.19</v>
      </c>
      <c r="AD24" s="0" t="s">
        <v>113</v>
      </c>
      <c r="AE24" s="0" t="n">
        <v>87.57</v>
      </c>
      <c r="AF24" s="0" t="n">
        <v>318</v>
      </c>
      <c r="AG24" s="0" t="n">
        <v>17.33</v>
      </c>
      <c r="AH24" s="0" t="n">
        <v>286.78</v>
      </c>
      <c r="AI24" s="0" t="n">
        <v>116.76</v>
      </c>
      <c r="AJ24" s="2" t="s">
        <v>46</v>
      </c>
      <c r="AL24" s="3" t="s">
        <v>47</v>
      </c>
      <c r="AM24" s="3" t="s">
        <v>139</v>
      </c>
      <c r="AN24" s="3" t="s">
        <v>140</v>
      </c>
    </row>
    <row r="25" customFormat="false" ht="15" hidden="false" customHeight="false" outlineLevel="0" collapsed="false">
      <c r="A25" s="0" t="n">
        <v>25</v>
      </c>
      <c r="B25" s="0" t="s">
        <v>136</v>
      </c>
      <c r="C25" s="0" t="s">
        <v>141</v>
      </c>
      <c r="D25" s="0" t="n">
        <v>15.07</v>
      </c>
      <c r="E25" s="0" t="n">
        <v>13.052</v>
      </c>
      <c r="F25" s="0" t="n">
        <f aca="false">ROUND(((O25)+(R25))*1,2)</f>
        <v>2</v>
      </c>
      <c r="G25" s="0" t="n">
        <v>252.59</v>
      </c>
      <c r="J25" s="0" t="s">
        <v>100</v>
      </c>
      <c r="K25" s="0" t="n">
        <v>16</v>
      </c>
      <c r="L25" s="0" t="n">
        <v>21</v>
      </c>
      <c r="M25" s="0" t="s">
        <v>44</v>
      </c>
      <c r="N25" s="0" t="n">
        <v>13.052</v>
      </c>
      <c r="O25" s="0" t="n">
        <v>1</v>
      </c>
      <c r="P25" s="0" t="s">
        <v>142</v>
      </c>
      <c r="Q25" s="0" t="n">
        <v>13.052</v>
      </c>
      <c r="R25" s="0" t="n">
        <v>1</v>
      </c>
      <c r="S25" s="0" t="n">
        <v>23.89</v>
      </c>
      <c r="T25" s="0" t="n">
        <f aca="false">D25*N25*O25-S25*O25+D25*Q25*R25-S25*R25</f>
        <v>345.60728</v>
      </c>
      <c r="AB25" s="0" t="n">
        <v>15.07</v>
      </c>
      <c r="AC25" s="0" t="n">
        <v>15.07</v>
      </c>
      <c r="AD25" s="0" t="s">
        <v>113</v>
      </c>
      <c r="AE25" s="0" t="n">
        <v>45.21</v>
      </c>
      <c r="AF25" s="0" t="n">
        <v>126</v>
      </c>
      <c r="AG25" s="0" t="n">
        <v>4.33</v>
      </c>
      <c r="AH25" s="0" t="n">
        <v>172.85</v>
      </c>
      <c r="AI25" s="0" t="n">
        <v>60.28</v>
      </c>
      <c r="AJ25" s="2" t="s">
        <v>46</v>
      </c>
      <c r="AL25" s="3" t="s">
        <v>47</v>
      </c>
      <c r="AM25" s="3" t="s">
        <v>143</v>
      </c>
      <c r="AN25" s="3" t="s">
        <v>144</v>
      </c>
    </row>
    <row r="26" customFormat="false" ht="15" hidden="false" customHeight="false" outlineLevel="0" collapsed="false">
      <c r="A26" s="0" t="n">
        <v>24</v>
      </c>
      <c r="B26" s="0" t="s">
        <v>136</v>
      </c>
      <c r="C26" s="0" t="s">
        <v>145</v>
      </c>
      <c r="D26" s="0" t="n">
        <v>6.64</v>
      </c>
      <c r="E26" s="0" t="n">
        <v>15.375</v>
      </c>
      <c r="F26" s="0" t="n">
        <f aca="false">ROUND(((O26)+(R26))*1,2)</f>
        <v>2</v>
      </c>
      <c r="G26" s="0" t="n">
        <v>190.75</v>
      </c>
      <c r="J26" s="0" t="s">
        <v>100</v>
      </c>
      <c r="K26" s="0" t="n">
        <v>16</v>
      </c>
      <c r="L26" s="0" t="n">
        <v>14</v>
      </c>
      <c r="M26" s="0" t="s">
        <v>146</v>
      </c>
      <c r="N26" s="0" t="n">
        <v>15.375</v>
      </c>
      <c r="O26" s="0" t="n">
        <v>1</v>
      </c>
      <c r="P26" s="0" t="s">
        <v>64</v>
      </c>
      <c r="Q26" s="0" t="n">
        <v>15.375</v>
      </c>
      <c r="R26" s="0" t="n">
        <v>1</v>
      </c>
      <c r="S26" s="0" t="n">
        <v>31.3</v>
      </c>
      <c r="T26" s="0" t="n">
        <f aca="false">D26*N26*O26-S26*O26+D26*Q26*R26-S26*R26</f>
        <v>141.58</v>
      </c>
      <c r="AB26" s="0" t="n">
        <v>6.64</v>
      </c>
      <c r="AC26" s="0" t="n">
        <v>6.64</v>
      </c>
      <c r="AD26" s="0" t="s">
        <v>113</v>
      </c>
      <c r="AE26" s="0" t="n">
        <v>19.92</v>
      </c>
      <c r="AF26" s="0" t="n">
        <v>84</v>
      </c>
      <c r="AG26" s="0" t="n">
        <v>4.83</v>
      </c>
      <c r="AH26" s="0" t="n">
        <v>70.77</v>
      </c>
      <c r="AI26" s="0" t="n">
        <v>26.56</v>
      </c>
      <c r="AJ26" s="2" t="s">
        <v>46</v>
      </c>
      <c r="AL26" s="3" t="s">
        <v>47</v>
      </c>
      <c r="AM26" s="3" t="s">
        <v>147</v>
      </c>
      <c r="AN26" s="3" t="s">
        <v>148</v>
      </c>
    </row>
    <row r="27" customFormat="false" ht="15" hidden="false" customHeight="false" outlineLevel="0" collapsed="false">
      <c r="A27" s="0" t="n">
        <v>26</v>
      </c>
      <c r="B27" s="0" t="s">
        <v>149</v>
      </c>
      <c r="C27" s="0" t="s">
        <v>150</v>
      </c>
      <c r="D27" s="0" t="n">
        <v>2.21</v>
      </c>
      <c r="E27" s="0" t="n">
        <v>15.375</v>
      </c>
      <c r="F27" s="0" t="n">
        <f aca="false">ROUND(((O27)+(R27))*1,2)</f>
        <v>2</v>
      </c>
      <c r="G27" s="0" t="n">
        <v>61.5</v>
      </c>
      <c r="J27" s="0" t="s">
        <v>151</v>
      </c>
      <c r="K27" s="0" t="n">
        <v>24</v>
      </c>
      <c r="L27" s="0" t="n">
        <v>4</v>
      </c>
      <c r="M27" s="0" t="s">
        <v>93</v>
      </c>
      <c r="N27" s="0" t="n">
        <v>15.375</v>
      </c>
      <c r="O27" s="0" t="n">
        <v>1</v>
      </c>
      <c r="P27" s="0" t="s">
        <v>60</v>
      </c>
      <c r="Q27" s="0" t="n">
        <v>15.375</v>
      </c>
      <c r="R27" s="0" t="n">
        <v>1</v>
      </c>
      <c r="S27" s="0" t="n">
        <v>0</v>
      </c>
      <c r="T27" s="0" t="n">
        <f aca="false">D27*N27*O27-S27*O27+D27*Q27*R27-S27*R27</f>
        <v>67.9575</v>
      </c>
      <c r="U27" s="0" t="n">
        <v>16.3</v>
      </c>
      <c r="V27" s="0" t="n">
        <v>17.68</v>
      </c>
      <c r="AB27" s="0" t="n">
        <v>2.21</v>
      </c>
      <c r="AC27" s="0" t="n">
        <v>2.21</v>
      </c>
      <c r="AD27" s="0" t="s">
        <v>85</v>
      </c>
      <c r="AE27" s="0" t="n">
        <v>6.63</v>
      </c>
      <c r="AF27" s="0" t="n">
        <v>24</v>
      </c>
      <c r="AH27" s="0" t="n">
        <v>33.93</v>
      </c>
      <c r="AI27" s="0" t="n">
        <v>8.84</v>
      </c>
      <c r="AJ27" s="2" t="s">
        <v>46</v>
      </c>
      <c r="AL27" s="3" t="s">
        <v>47</v>
      </c>
      <c r="AM27" s="3" t="s">
        <v>152</v>
      </c>
      <c r="AN27" s="3" t="s">
        <v>153</v>
      </c>
    </row>
    <row r="28" customFormat="false" ht="15" hidden="false" customHeight="false" outlineLevel="0" collapsed="false">
      <c r="A28" s="0" t="n">
        <v>28</v>
      </c>
      <c r="B28" s="0" t="s">
        <v>154</v>
      </c>
      <c r="C28" s="0" t="s">
        <v>155</v>
      </c>
      <c r="D28" s="0" t="n">
        <v>10.03</v>
      </c>
      <c r="E28" s="0" t="n">
        <v>13.052</v>
      </c>
      <c r="F28" s="0" t="n">
        <f aca="false">O28</f>
        <v>1</v>
      </c>
      <c r="H28" s="0" t="n">
        <v>130.52</v>
      </c>
      <c r="J28" s="0" t="s">
        <v>42</v>
      </c>
      <c r="K28" s="0" t="n">
        <v>16</v>
      </c>
      <c r="L28" s="0" t="n">
        <v>10</v>
      </c>
      <c r="M28" s="0" t="s">
        <v>122</v>
      </c>
      <c r="N28" s="0" t="n">
        <v>9</v>
      </c>
      <c r="O28" s="0" t="n">
        <v>1</v>
      </c>
      <c r="S28" s="0" t="n">
        <v>0</v>
      </c>
      <c r="T28" s="0" t="n">
        <f aca="false">D28*N28*O28-S28*O28</f>
        <v>90.27</v>
      </c>
      <c r="AB28" s="0" t="n">
        <v>10.03</v>
      </c>
      <c r="AC28" s="0" t="n">
        <v>10.03</v>
      </c>
      <c r="AD28" s="0" t="s">
        <v>156</v>
      </c>
      <c r="AE28" s="0" t="n">
        <v>30.09</v>
      </c>
      <c r="AF28" s="0" t="n">
        <v>60</v>
      </c>
      <c r="AH28" s="0" t="n">
        <v>130.9</v>
      </c>
      <c r="AI28" s="0" t="n">
        <v>20.06</v>
      </c>
      <c r="AJ28" s="2" t="s">
        <v>46</v>
      </c>
      <c r="AL28" s="3" t="s">
        <v>47</v>
      </c>
      <c r="AM28" s="3" t="s">
        <v>157</v>
      </c>
      <c r="AN28" s="3" t="s">
        <v>158</v>
      </c>
    </row>
    <row r="29" customFormat="false" ht="15" hidden="false" customHeight="false" outlineLevel="0" collapsed="false">
      <c r="A29" s="0" t="n">
        <v>27</v>
      </c>
      <c r="B29" s="0" t="s">
        <v>154</v>
      </c>
      <c r="C29" s="0" t="s">
        <v>159</v>
      </c>
      <c r="D29" s="0" t="n">
        <v>10.03</v>
      </c>
      <c r="E29" s="0" t="n">
        <v>13.052</v>
      </c>
      <c r="F29" s="0" t="n">
        <f aca="false">O29</f>
        <v>1</v>
      </c>
      <c r="H29" s="0" t="n">
        <v>130.52</v>
      </c>
      <c r="J29" s="0" t="s">
        <v>42</v>
      </c>
      <c r="K29" s="0" t="n">
        <v>16</v>
      </c>
      <c r="L29" s="0" t="n">
        <v>10</v>
      </c>
      <c r="M29" s="0" t="s">
        <v>160</v>
      </c>
      <c r="N29" s="0" t="n">
        <v>9</v>
      </c>
      <c r="O29" s="0" t="n">
        <v>1</v>
      </c>
      <c r="S29" s="0" t="n">
        <v>0</v>
      </c>
      <c r="T29" s="0" t="n">
        <f aca="false">D29*N29*O29-S29*O29</f>
        <v>90.27</v>
      </c>
      <c r="AB29" s="0" t="n">
        <v>10.03</v>
      </c>
      <c r="AC29" s="0" t="n">
        <v>10.03</v>
      </c>
      <c r="AD29" s="0" t="s">
        <v>156</v>
      </c>
      <c r="AE29" s="0" t="n">
        <v>30.09</v>
      </c>
      <c r="AF29" s="0" t="n">
        <v>60</v>
      </c>
      <c r="AH29" s="0" t="n">
        <v>130.9</v>
      </c>
      <c r="AI29" s="0" t="n">
        <v>20.06</v>
      </c>
      <c r="AJ29" s="2" t="s">
        <v>46</v>
      </c>
      <c r="AL29" s="3" t="s">
        <v>47</v>
      </c>
      <c r="AM29" s="3" t="s">
        <v>161</v>
      </c>
      <c r="AN29" s="3" t="s">
        <v>162</v>
      </c>
    </row>
    <row r="30" customFormat="false" ht="15" hidden="false" customHeight="false" outlineLevel="0" collapsed="false">
      <c r="A30" s="0" t="n">
        <v>29</v>
      </c>
      <c r="B30" s="0" t="s">
        <v>154</v>
      </c>
      <c r="C30" s="0" t="s">
        <v>163</v>
      </c>
      <c r="D30" s="0" t="n">
        <v>9.29</v>
      </c>
      <c r="E30" s="0" t="n">
        <v>15.375</v>
      </c>
      <c r="F30" s="0" t="n">
        <f aca="false">O30</f>
        <v>1</v>
      </c>
      <c r="H30" s="0" t="n">
        <v>138.38</v>
      </c>
      <c r="J30" s="0" t="s">
        <v>42</v>
      </c>
      <c r="K30" s="0" t="n">
        <v>16</v>
      </c>
      <c r="L30" s="0" t="n">
        <v>9</v>
      </c>
      <c r="M30" s="0" t="s">
        <v>52</v>
      </c>
      <c r="N30" s="0" t="n">
        <v>11.5</v>
      </c>
      <c r="O30" s="0" t="n">
        <v>1</v>
      </c>
      <c r="S30" s="0" t="n">
        <v>0</v>
      </c>
      <c r="T30" s="0" t="n">
        <f aca="false">D30*N30*O30-S30*O30</f>
        <v>106.835</v>
      </c>
      <c r="AB30" s="0" t="n">
        <v>9.29</v>
      </c>
      <c r="AC30" s="0" t="n">
        <v>9.29</v>
      </c>
      <c r="AD30" s="0" t="s">
        <v>156</v>
      </c>
      <c r="AE30" s="0" t="n">
        <v>27.87</v>
      </c>
      <c r="AF30" s="0" t="n">
        <v>54</v>
      </c>
      <c r="AH30" s="0" t="n">
        <v>142.89</v>
      </c>
      <c r="AI30" s="0" t="n">
        <v>18.58</v>
      </c>
      <c r="AJ30" s="2" t="s">
        <v>46</v>
      </c>
      <c r="AL30" s="3" t="s">
        <v>47</v>
      </c>
      <c r="AM30" s="3" t="s">
        <v>164</v>
      </c>
      <c r="AN30" s="3" t="s">
        <v>165</v>
      </c>
    </row>
    <row r="31" customFormat="false" ht="15" hidden="false" customHeight="false" outlineLevel="0" collapsed="false">
      <c r="A31" s="0" t="n">
        <v>30</v>
      </c>
      <c r="B31" s="0" t="s">
        <v>166</v>
      </c>
      <c r="C31" s="0" t="s">
        <v>167</v>
      </c>
      <c r="D31" s="0" t="n">
        <v>16.92</v>
      </c>
      <c r="E31" s="0" t="n">
        <v>15.375</v>
      </c>
      <c r="F31" s="0" t="n">
        <f aca="false">ROUND(((O31)+(R31))*1,2)</f>
        <v>2</v>
      </c>
      <c r="H31" s="0" t="n">
        <v>317.5</v>
      </c>
      <c r="J31" s="0" t="s">
        <v>42</v>
      </c>
      <c r="K31" s="0" t="n">
        <v>16</v>
      </c>
      <c r="L31" s="0" t="n">
        <v>23</v>
      </c>
      <c r="M31" s="0" t="s">
        <v>168</v>
      </c>
      <c r="N31" s="0" t="n">
        <v>10</v>
      </c>
      <c r="O31" s="0" t="n">
        <v>1</v>
      </c>
      <c r="P31" s="0" t="s">
        <v>146</v>
      </c>
      <c r="Q31" s="0" t="n">
        <v>9</v>
      </c>
      <c r="R31" s="0" t="n">
        <v>1</v>
      </c>
      <c r="S31" s="0" t="n">
        <v>6.05</v>
      </c>
      <c r="T31" s="0" t="n">
        <f aca="false">D31*N31*O31-S31*O31+D31*Q31*R31-S31*R31</f>
        <v>309.38</v>
      </c>
      <c r="W31" s="0" t="n">
        <v>260.15</v>
      </c>
      <c r="AB31" s="0" t="n">
        <v>16.92</v>
      </c>
      <c r="AC31" s="0" t="n">
        <v>16.92</v>
      </c>
      <c r="AD31" s="0" t="s">
        <v>169</v>
      </c>
      <c r="AE31" s="0" t="n">
        <v>50.76</v>
      </c>
      <c r="AF31" s="0" t="n">
        <v>138</v>
      </c>
      <c r="AG31" s="0" t="n">
        <v>3.25</v>
      </c>
      <c r="AH31" s="0" t="n">
        <v>260.15</v>
      </c>
      <c r="AI31" s="0" t="n">
        <v>33.84</v>
      </c>
      <c r="AJ31" s="2" t="s">
        <v>46</v>
      </c>
      <c r="AL31" s="3" t="s">
        <v>47</v>
      </c>
      <c r="AM31" s="3" t="s">
        <v>170</v>
      </c>
      <c r="AN31" s="3" t="s">
        <v>171</v>
      </c>
    </row>
    <row r="32" customFormat="false" ht="15" hidden="false" customHeight="false" outlineLevel="0" collapsed="false">
      <c r="A32" s="0" t="n">
        <v>32</v>
      </c>
      <c r="B32" s="0" t="s">
        <v>172</v>
      </c>
      <c r="C32" s="0" t="s">
        <v>173</v>
      </c>
      <c r="D32" s="0" t="n">
        <v>11.77</v>
      </c>
      <c r="E32" s="0" t="n">
        <v>15.375</v>
      </c>
      <c r="F32" s="0" t="n">
        <f aca="false">ROUND(((O32)+(R32))*1,2)</f>
        <v>4</v>
      </c>
      <c r="I32" s="0" t="n">
        <v>338.25</v>
      </c>
      <c r="J32" s="0" t="s">
        <v>174</v>
      </c>
      <c r="K32" s="0" t="n">
        <v>16</v>
      </c>
      <c r="L32" s="0" t="n">
        <v>22</v>
      </c>
      <c r="M32" s="0" t="s">
        <v>175</v>
      </c>
      <c r="N32" s="0" t="n">
        <v>15.375</v>
      </c>
      <c r="O32" s="0" t="n">
        <v>2</v>
      </c>
      <c r="P32" s="0" t="s">
        <v>176</v>
      </c>
      <c r="Q32" s="0" t="n">
        <v>15.375</v>
      </c>
      <c r="R32" s="0" t="n">
        <v>2</v>
      </c>
      <c r="S32" s="0" t="n">
        <v>0</v>
      </c>
      <c r="T32" s="0" t="n">
        <f aca="false">D32*N32*O32-S32*O32+D32*Q32*R32-S32*R32</f>
        <v>723.855</v>
      </c>
      <c r="AB32" s="0" t="n">
        <v>23.54</v>
      </c>
      <c r="AC32" s="0" t="n">
        <v>23.54</v>
      </c>
      <c r="AD32" s="0" t="s">
        <v>177</v>
      </c>
      <c r="AE32" s="0" t="n">
        <v>70.62</v>
      </c>
      <c r="AF32" s="0" t="n">
        <v>132</v>
      </c>
      <c r="AH32" s="0" t="n">
        <v>180.91</v>
      </c>
      <c r="AI32" s="0" t="n">
        <v>47.08</v>
      </c>
      <c r="AJ32" s="2" t="s">
        <v>46</v>
      </c>
      <c r="AL32" s="3" t="s">
        <v>47</v>
      </c>
      <c r="AM32" s="3" t="s">
        <v>178</v>
      </c>
      <c r="AN32" s="3" t="s">
        <v>179</v>
      </c>
    </row>
    <row r="33" customFormat="false" ht="15" hidden="false" customHeight="false" outlineLevel="0" collapsed="false">
      <c r="A33" s="0" t="n">
        <v>31</v>
      </c>
      <c r="B33" s="0" t="s">
        <v>172</v>
      </c>
      <c r="C33" s="0" t="s">
        <v>180</v>
      </c>
      <c r="D33" s="0" t="n">
        <v>11.77</v>
      </c>
      <c r="E33" s="0" t="n">
        <v>15.375</v>
      </c>
      <c r="F33" s="0" t="n">
        <f aca="false">ROUND(((O33)+(R33))*1,2)</f>
        <v>4</v>
      </c>
      <c r="I33" s="0" t="n">
        <v>338.25</v>
      </c>
      <c r="J33" s="0" t="s">
        <v>174</v>
      </c>
      <c r="K33" s="0" t="n">
        <v>16</v>
      </c>
      <c r="L33" s="0" t="n">
        <v>22</v>
      </c>
      <c r="M33" s="0" t="s">
        <v>181</v>
      </c>
      <c r="N33" s="0" t="n">
        <v>15.375</v>
      </c>
      <c r="O33" s="0" t="n">
        <v>2</v>
      </c>
      <c r="P33" s="0" t="s">
        <v>175</v>
      </c>
      <c r="Q33" s="0" t="n">
        <v>15.375</v>
      </c>
      <c r="R33" s="0" t="n">
        <v>2</v>
      </c>
      <c r="S33" s="0" t="n">
        <v>0</v>
      </c>
      <c r="T33" s="0" t="n">
        <f aca="false">D33*N33*O33-S33*O33+D33*Q33*R33-S33*R33</f>
        <v>723.855</v>
      </c>
      <c r="AB33" s="0" t="n">
        <v>23.54</v>
      </c>
      <c r="AC33" s="0" t="n">
        <v>23.54</v>
      </c>
      <c r="AD33" s="0" t="s">
        <v>177</v>
      </c>
      <c r="AE33" s="0" t="n">
        <v>70.62</v>
      </c>
      <c r="AF33" s="0" t="n">
        <v>132</v>
      </c>
      <c r="AH33" s="0" t="n">
        <v>180.91</v>
      </c>
      <c r="AI33" s="0" t="n">
        <v>47.08</v>
      </c>
      <c r="AJ33" s="2" t="s">
        <v>46</v>
      </c>
      <c r="AL33" s="3" t="s">
        <v>47</v>
      </c>
      <c r="AM33" s="3" t="s">
        <v>182</v>
      </c>
      <c r="AN33" s="3" t="s">
        <v>183</v>
      </c>
    </row>
    <row r="34" customFormat="false" ht="15" hidden="false" customHeight="false" outlineLevel="0" collapsed="false">
      <c r="A34" s="0" t="n">
        <v>40</v>
      </c>
      <c r="B34" s="0" t="s">
        <v>172</v>
      </c>
      <c r="C34" s="0" t="s">
        <v>184</v>
      </c>
      <c r="D34" s="0" t="n">
        <v>11.63</v>
      </c>
      <c r="E34" s="0" t="n">
        <v>15.375</v>
      </c>
      <c r="F34" s="0" t="n">
        <f aca="false">ROUND(((O34)+(R34))*1,2)</f>
        <v>4</v>
      </c>
      <c r="I34" s="0" t="n">
        <v>338.25</v>
      </c>
      <c r="J34" s="0" t="s">
        <v>174</v>
      </c>
      <c r="K34" s="0" t="n">
        <v>16</v>
      </c>
      <c r="L34" s="0" t="n">
        <v>22</v>
      </c>
      <c r="M34" s="0" t="s">
        <v>185</v>
      </c>
      <c r="N34" s="0" t="n">
        <v>15.375</v>
      </c>
      <c r="O34" s="0" t="n">
        <v>2</v>
      </c>
      <c r="P34" s="0" t="s">
        <v>160</v>
      </c>
      <c r="Q34" s="0" t="n">
        <v>15.375</v>
      </c>
      <c r="R34" s="0" t="n">
        <v>2</v>
      </c>
      <c r="S34" s="0" t="n">
        <v>0</v>
      </c>
      <c r="T34" s="0" t="n">
        <f aca="false">D34*N34*O34-S34*O34+D34*Q34*R34-S34*R34</f>
        <v>715.245</v>
      </c>
      <c r="AB34" s="0" t="n">
        <v>23.26</v>
      </c>
      <c r="AC34" s="0" t="n">
        <v>23.26</v>
      </c>
      <c r="AD34" s="0" t="s">
        <v>177</v>
      </c>
      <c r="AE34" s="0" t="n">
        <v>69.78</v>
      </c>
      <c r="AF34" s="0" t="n">
        <v>132</v>
      </c>
      <c r="AH34" s="0" t="n">
        <v>178.76</v>
      </c>
      <c r="AI34" s="0" t="n">
        <v>46.52</v>
      </c>
      <c r="AJ34" s="2" t="s">
        <v>46</v>
      </c>
      <c r="AL34" s="3" t="s">
        <v>47</v>
      </c>
      <c r="AM34" s="3" t="s">
        <v>186</v>
      </c>
      <c r="AN34" s="3" t="s">
        <v>187</v>
      </c>
    </row>
    <row r="35" customFormat="false" ht="15" hidden="false" customHeight="false" outlineLevel="0" collapsed="false">
      <c r="A35" s="0" t="n">
        <v>38</v>
      </c>
      <c r="B35" s="0" t="s">
        <v>172</v>
      </c>
      <c r="C35" s="0" t="s">
        <v>188</v>
      </c>
      <c r="D35" s="0" t="n">
        <v>11.63</v>
      </c>
      <c r="E35" s="0" t="n">
        <v>15.375</v>
      </c>
      <c r="F35" s="0" t="n">
        <f aca="false">ROUND(((O35)+(R35))*1,2)</f>
        <v>4</v>
      </c>
      <c r="I35" s="0" t="n">
        <v>338.25</v>
      </c>
      <c r="J35" s="0" t="s">
        <v>174</v>
      </c>
      <c r="K35" s="0" t="n">
        <v>16</v>
      </c>
      <c r="L35" s="0" t="n">
        <v>22</v>
      </c>
      <c r="M35" s="0" t="s">
        <v>146</v>
      </c>
      <c r="N35" s="0" t="n">
        <v>15.375</v>
      </c>
      <c r="O35" s="0" t="n">
        <v>2</v>
      </c>
      <c r="P35" s="0" t="s">
        <v>189</v>
      </c>
      <c r="Q35" s="0" t="n">
        <v>15.375</v>
      </c>
      <c r="R35" s="0" t="n">
        <v>2</v>
      </c>
      <c r="S35" s="0" t="n">
        <v>0</v>
      </c>
      <c r="T35" s="0" t="n">
        <f aca="false">D35*N35*O35-S35*O35+D35*Q35*R35-S35*R35</f>
        <v>715.245</v>
      </c>
      <c r="AB35" s="0" t="n">
        <v>23.26</v>
      </c>
      <c r="AC35" s="0" t="n">
        <v>23.26</v>
      </c>
      <c r="AD35" s="0" t="s">
        <v>177</v>
      </c>
      <c r="AE35" s="0" t="n">
        <v>69.78</v>
      </c>
      <c r="AF35" s="0" t="n">
        <v>132</v>
      </c>
      <c r="AH35" s="0" t="n">
        <v>178.76</v>
      </c>
      <c r="AI35" s="0" t="n">
        <v>46.52</v>
      </c>
      <c r="AJ35" s="2" t="s">
        <v>46</v>
      </c>
      <c r="AL35" s="3" t="s">
        <v>47</v>
      </c>
      <c r="AM35" s="3" t="s">
        <v>190</v>
      </c>
      <c r="AN35" s="3" t="s">
        <v>191</v>
      </c>
    </row>
    <row r="36" customFormat="false" ht="15" hidden="false" customHeight="false" outlineLevel="0" collapsed="false">
      <c r="A36" s="0" t="n">
        <v>39</v>
      </c>
      <c r="B36" s="0" t="s">
        <v>172</v>
      </c>
      <c r="C36" s="0" t="s">
        <v>192</v>
      </c>
      <c r="D36" s="0" t="n">
        <v>11.63</v>
      </c>
      <c r="E36" s="0" t="n">
        <v>15.375</v>
      </c>
      <c r="F36" s="0" t="n">
        <f aca="false">ROUND(((O36)+(R36))*1,2)</f>
        <v>4</v>
      </c>
      <c r="I36" s="0" t="n">
        <v>338.25</v>
      </c>
      <c r="J36" s="0" t="s">
        <v>174</v>
      </c>
      <c r="K36" s="0" t="n">
        <v>16</v>
      </c>
      <c r="L36" s="0" t="n">
        <v>22</v>
      </c>
      <c r="M36" s="0" t="s">
        <v>189</v>
      </c>
      <c r="N36" s="0" t="n">
        <v>15.375</v>
      </c>
      <c r="O36" s="0" t="n">
        <v>2</v>
      </c>
      <c r="P36" s="0" t="s">
        <v>185</v>
      </c>
      <c r="Q36" s="0" t="n">
        <v>15.375</v>
      </c>
      <c r="R36" s="0" t="n">
        <v>2</v>
      </c>
      <c r="S36" s="0" t="n">
        <v>0</v>
      </c>
      <c r="T36" s="0" t="n">
        <f aca="false">D36*N36*O36-S36*O36+D36*Q36*R36-S36*R36</f>
        <v>715.245</v>
      </c>
      <c r="AB36" s="0" t="n">
        <v>23.26</v>
      </c>
      <c r="AC36" s="0" t="n">
        <v>23.26</v>
      </c>
      <c r="AD36" s="0" t="s">
        <v>177</v>
      </c>
      <c r="AE36" s="0" t="n">
        <v>69.78</v>
      </c>
      <c r="AF36" s="0" t="n">
        <v>132</v>
      </c>
      <c r="AH36" s="0" t="n">
        <v>178.76</v>
      </c>
      <c r="AI36" s="0" t="n">
        <v>46.52</v>
      </c>
      <c r="AJ36" s="2" t="s">
        <v>46</v>
      </c>
      <c r="AL36" s="3" t="s">
        <v>47</v>
      </c>
      <c r="AM36" s="3" t="s">
        <v>193</v>
      </c>
      <c r="AN36" s="3" t="s">
        <v>194</v>
      </c>
    </row>
    <row r="37" customFormat="false" ht="15" hidden="false" customHeight="false" outlineLevel="0" collapsed="false">
      <c r="A37" s="0" t="n">
        <v>33</v>
      </c>
      <c r="B37" s="0" t="s">
        <v>172</v>
      </c>
      <c r="C37" s="0" t="s">
        <v>195</v>
      </c>
      <c r="D37" s="0" t="n">
        <v>7.09</v>
      </c>
      <c r="E37" s="0" t="n">
        <v>15.375</v>
      </c>
      <c r="F37" s="0" t="n">
        <f aca="false">ROUND(((O37)+(R37))*1,2)</f>
        <v>4</v>
      </c>
      <c r="I37" s="0" t="n">
        <v>246</v>
      </c>
      <c r="J37" s="0" t="s">
        <v>174</v>
      </c>
      <c r="K37" s="0" t="n">
        <v>16</v>
      </c>
      <c r="L37" s="0" t="n">
        <v>16</v>
      </c>
      <c r="M37" s="0" t="s">
        <v>176</v>
      </c>
      <c r="N37" s="0" t="n">
        <v>15.375</v>
      </c>
      <c r="O37" s="0" t="n">
        <v>2</v>
      </c>
      <c r="P37" s="0" t="s">
        <v>60</v>
      </c>
      <c r="Q37" s="0" t="n">
        <v>15.375</v>
      </c>
      <c r="R37" s="0" t="n">
        <v>2</v>
      </c>
      <c r="S37" s="0" t="n">
        <v>0</v>
      </c>
      <c r="T37" s="0" t="n">
        <f aca="false">D37*N37*O37-S37*O37+D37*Q37*R37-S37*R37</f>
        <v>436.035</v>
      </c>
      <c r="AB37" s="0" t="n">
        <v>14.18</v>
      </c>
      <c r="AC37" s="0" t="n">
        <v>14.18</v>
      </c>
      <c r="AD37" s="0" t="s">
        <v>177</v>
      </c>
      <c r="AE37" s="0" t="n">
        <v>42.54</v>
      </c>
      <c r="AF37" s="0" t="n">
        <v>96</v>
      </c>
      <c r="AH37" s="0" t="n">
        <v>109.06</v>
      </c>
      <c r="AI37" s="0" t="n">
        <v>28.36</v>
      </c>
      <c r="AJ37" s="2" t="s">
        <v>46</v>
      </c>
      <c r="AL37" s="3" t="s">
        <v>47</v>
      </c>
      <c r="AM37" s="3" t="s">
        <v>196</v>
      </c>
      <c r="AN37" s="3" t="s">
        <v>197</v>
      </c>
    </row>
    <row r="38" customFormat="false" ht="15" hidden="false" customHeight="false" outlineLevel="0" collapsed="false">
      <c r="A38" s="0" t="n">
        <v>35</v>
      </c>
      <c r="B38" s="0" t="s">
        <v>172</v>
      </c>
      <c r="C38" s="0" t="s">
        <v>198</v>
      </c>
      <c r="D38" s="0" t="n">
        <v>3.47</v>
      </c>
      <c r="E38" s="0" t="n">
        <v>15.375</v>
      </c>
      <c r="F38" s="0" t="n">
        <f aca="false">ROUND(((O38)+(R38))*1,2)</f>
        <v>4</v>
      </c>
      <c r="I38" s="0" t="n">
        <v>153.75</v>
      </c>
      <c r="J38" s="0" t="s">
        <v>174</v>
      </c>
      <c r="K38" s="0" t="n">
        <v>16</v>
      </c>
      <c r="L38" s="0" t="n">
        <v>10</v>
      </c>
      <c r="M38" s="0" t="s">
        <v>199</v>
      </c>
      <c r="N38" s="0" t="n">
        <v>15.375</v>
      </c>
      <c r="O38" s="0" t="n">
        <v>2</v>
      </c>
      <c r="P38" s="0" t="s">
        <v>64</v>
      </c>
      <c r="Q38" s="0" t="n">
        <v>15.375</v>
      </c>
      <c r="R38" s="0" t="n">
        <v>2</v>
      </c>
      <c r="S38" s="0" t="n">
        <v>0</v>
      </c>
      <c r="T38" s="0" t="n">
        <f aca="false">D38*N38*O38-S38*O38+D38*Q38*R38-S38*R38</f>
        <v>213.405</v>
      </c>
      <c r="AB38" s="0" t="n">
        <v>6.94</v>
      </c>
      <c r="AC38" s="0" t="n">
        <v>6.94</v>
      </c>
      <c r="AD38" s="0" t="s">
        <v>177</v>
      </c>
      <c r="AE38" s="0" t="n">
        <v>20.82</v>
      </c>
      <c r="AF38" s="0" t="n">
        <v>60</v>
      </c>
      <c r="AH38" s="0" t="n">
        <v>53.3</v>
      </c>
      <c r="AI38" s="0" t="n">
        <v>13.88</v>
      </c>
      <c r="AJ38" s="2" t="s">
        <v>46</v>
      </c>
      <c r="AL38" s="3" t="s">
        <v>47</v>
      </c>
      <c r="AM38" s="3" t="s">
        <v>200</v>
      </c>
      <c r="AN38" s="3" t="s">
        <v>201</v>
      </c>
    </row>
    <row r="39" customFormat="false" ht="15" hidden="false" customHeight="false" outlineLevel="0" collapsed="false">
      <c r="A39" s="0" t="n">
        <v>36</v>
      </c>
      <c r="B39" s="0" t="s">
        <v>172</v>
      </c>
      <c r="C39" s="0" t="s">
        <v>202</v>
      </c>
      <c r="D39" s="0" t="n">
        <v>3.26</v>
      </c>
      <c r="E39" s="0" t="n">
        <v>15.375</v>
      </c>
      <c r="F39" s="0" t="n">
        <f aca="false">ROUND(((O39)+(R39))*1,2)</f>
        <v>4</v>
      </c>
      <c r="I39" s="0" t="n">
        <v>153.75</v>
      </c>
      <c r="J39" s="0" t="s">
        <v>174</v>
      </c>
      <c r="K39" s="0" t="n">
        <v>16</v>
      </c>
      <c r="L39" s="0" t="n">
        <v>10</v>
      </c>
      <c r="M39" s="0" t="s">
        <v>203</v>
      </c>
      <c r="N39" s="0" t="n">
        <v>15.375</v>
      </c>
      <c r="O39" s="0" t="n">
        <v>2</v>
      </c>
      <c r="P39" s="0" t="s">
        <v>64</v>
      </c>
      <c r="Q39" s="0" t="n">
        <v>15.375</v>
      </c>
      <c r="R39" s="0" t="n">
        <v>2</v>
      </c>
      <c r="S39" s="0" t="n">
        <v>0</v>
      </c>
      <c r="T39" s="0" t="n">
        <f aca="false">D39*N39*O39-S39*O39+D39*Q39*R39-S39*R39</f>
        <v>200.49</v>
      </c>
      <c r="AB39" s="0" t="n">
        <v>6.52</v>
      </c>
      <c r="AC39" s="0" t="n">
        <v>6.52</v>
      </c>
      <c r="AD39" s="0" t="s">
        <v>177</v>
      </c>
      <c r="AE39" s="0" t="n">
        <v>19.56</v>
      </c>
      <c r="AF39" s="0" t="n">
        <v>60</v>
      </c>
      <c r="AH39" s="0" t="n">
        <v>50.05</v>
      </c>
      <c r="AI39" s="0" t="n">
        <v>13.04</v>
      </c>
      <c r="AJ39" s="2" t="s">
        <v>46</v>
      </c>
      <c r="AL39" s="3" t="s">
        <v>47</v>
      </c>
      <c r="AM39" s="3" t="s">
        <v>204</v>
      </c>
      <c r="AN39" s="3" t="s">
        <v>205</v>
      </c>
    </row>
    <row r="40" customFormat="false" ht="15" hidden="false" customHeight="false" outlineLevel="0" collapsed="false">
      <c r="A40" s="0" t="n">
        <v>37</v>
      </c>
      <c r="B40" s="0" t="s">
        <v>172</v>
      </c>
      <c r="C40" s="0" t="s">
        <v>206</v>
      </c>
      <c r="D40" s="0" t="n">
        <v>3.25</v>
      </c>
      <c r="E40" s="0" t="n">
        <v>15.375</v>
      </c>
      <c r="F40" s="0" t="n">
        <f aca="false">ROUND(((O40)+(R40))*1,2)</f>
        <v>4</v>
      </c>
      <c r="I40" s="0" t="n">
        <v>153.75</v>
      </c>
      <c r="J40" s="0" t="s">
        <v>174</v>
      </c>
      <c r="K40" s="0" t="n">
        <v>16</v>
      </c>
      <c r="L40" s="0" t="n">
        <v>10</v>
      </c>
      <c r="M40" s="0" t="s">
        <v>207</v>
      </c>
      <c r="N40" s="0" t="n">
        <v>15.375</v>
      </c>
      <c r="O40" s="0" t="n">
        <v>2</v>
      </c>
      <c r="P40" s="0" t="s">
        <v>64</v>
      </c>
      <c r="Q40" s="0" t="n">
        <v>15.375</v>
      </c>
      <c r="R40" s="0" t="n">
        <v>2</v>
      </c>
      <c r="S40" s="0" t="n">
        <v>0</v>
      </c>
      <c r="T40" s="0" t="n">
        <f aca="false">D40*N40*O40-S40*O40+D40*Q40*R40-S40*R40</f>
        <v>199.875</v>
      </c>
      <c r="AB40" s="0" t="n">
        <v>6.5</v>
      </c>
      <c r="AC40" s="0" t="n">
        <v>6.5</v>
      </c>
      <c r="AD40" s="0" t="s">
        <v>177</v>
      </c>
      <c r="AE40" s="0" t="n">
        <v>19.5</v>
      </c>
      <c r="AF40" s="0" t="n">
        <v>60</v>
      </c>
      <c r="AH40" s="0" t="n">
        <v>49.99</v>
      </c>
      <c r="AI40" s="0" t="n">
        <v>13</v>
      </c>
      <c r="AJ40" s="2" t="s">
        <v>46</v>
      </c>
      <c r="AL40" s="3" t="s">
        <v>47</v>
      </c>
      <c r="AM40" s="3" t="s">
        <v>208</v>
      </c>
      <c r="AN40" s="3" t="s">
        <v>209</v>
      </c>
    </row>
    <row r="41" customFormat="false" ht="15" hidden="false" customHeight="false" outlineLevel="0" collapsed="false">
      <c r="A41" s="0" t="n">
        <v>34</v>
      </c>
      <c r="B41" s="0" t="s">
        <v>172</v>
      </c>
      <c r="C41" s="0" t="s">
        <v>210</v>
      </c>
      <c r="D41" s="0" t="n">
        <v>2.42</v>
      </c>
      <c r="E41" s="0" t="n">
        <v>15.375</v>
      </c>
      <c r="F41" s="0" t="n">
        <f aca="false">ROUND(((O41)+(R41))*1,2)</f>
        <v>4</v>
      </c>
      <c r="I41" s="0" t="n">
        <v>123</v>
      </c>
      <c r="J41" s="0" t="s">
        <v>174</v>
      </c>
      <c r="K41" s="0" t="n">
        <v>16</v>
      </c>
      <c r="L41" s="0" t="n">
        <v>8</v>
      </c>
      <c r="M41" s="0" t="s">
        <v>211</v>
      </c>
      <c r="N41" s="0" t="n">
        <v>15.375</v>
      </c>
      <c r="O41" s="0" t="n">
        <v>2</v>
      </c>
      <c r="P41" s="0" t="s">
        <v>64</v>
      </c>
      <c r="Q41" s="0" t="n">
        <v>15.375</v>
      </c>
      <c r="R41" s="0" t="n">
        <v>2</v>
      </c>
      <c r="S41" s="0" t="n">
        <v>0</v>
      </c>
      <c r="T41" s="0" t="n">
        <f aca="false">D41*N41*O41-S41*O41+D41*Q41*R41-S41*R41</f>
        <v>148.83</v>
      </c>
      <c r="AB41" s="0" t="n">
        <v>4.84</v>
      </c>
      <c r="AC41" s="0" t="n">
        <v>4.84</v>
      </c>
      <c r="AD41" s="0" t="s">
        <v>177</v>
      </c>
      <c r="AE41" s="0" t="n">
        <v>14.52</v>
      </c>
      <c r="AF41" s="0" t="n">
        <v>48</v>
      </c>
      <c r="AH41" s="0" t="n">
        <v>37.21</v>
      </c>
      <c r="AI41" s="0" t="n">
        <v>9.68</v>
      </c>
      <c r="AJ41" s="2" t="s">
        <v>46</v>
      </c>
      <c r="AL41" s="3" t="s">
        <v>47</v>
      </c>
      <c r="AM41" s="3" t="s">
        <v>212</v>
      </c>
      <c r="AN41" s="3" t="s">
        <v>213</v>
      </c>
    </row>
    <row r="42" customFormat="false" ht="15" hidden="false" customHeight="false" outlineLevel="0" collapsed="false">
      <c r="A42" s="0" t="n">
        <v>41</v>
      </c>
      <c r="B42" s="0" t="s">
        <v>214</v>
      </c>
      <c r="C42" s="0" t="s">
        <v>215</v>
      </c>
      <c r="D42" s="0" t="n">
        <v>11.77</v>
      </c>
      <c r="E42" s="0" t="n">
        <v>15.375</v>
      </c>
      <c r="F42" s="0" t="n">
        <f aca="false">ROUND(((O42)+(R42))*1,2)</f>
        <v>4</v>
      </c>
      <c r="I42" s="0" t="n">
        <v>338.25</v>
      </c>
      <c r="J42" s="0" t="s">
        <v>174</v>
      </c>
      <c r="K42" s="0" t="n">
        <v>16</v>
      </c>
      <c r="L42" s="0" t="n">
        <v>22</v>
      </c>
      <c r="M42" s="0" t="s">
        <v>211</v>
      </c>
      <c r="N42" s="0" t="n">
        <v>15.375</v>
      </c>
      <c r="O42" s="0" t="n">
        <v>2</v>
      </c>
      <c r="P42" s="0" t="s">
        <v>181</v>
      </c>
      <c r="Q42" s="0" t="n">
        <v>15.375</v>
      </c>
      <c r="R42" s="0" t="n">
        <v>2</v>
      </c>
      <c r="S42" s="0" t="n">
        <v>0</v>
      </c>
      <c r="T42" s="0" t="n">
        <f aca="false">D42*N42*O42-S42*O42+D42*Q42*R42-S42*R42</f>
        <v>723.855</v>
      </c>
      <c r="AB42" s="0" t="n">
        <v>23.54</v>
      </c>
      <c r="AC42" s="0" t="n">
        <v>23.54</v>
      </c>
      <c r="AD42" s="0" t="s">
        <v>177</v>
      </c>
      <c r="AE42" s="0" t="n">
        <v>70.62</v>
      </c>
      <c r="AF42" s="0" t="n">
        <v>132</v>
      </c>
      <c r="AH42" s="0" t="n">
        <v>180.91</v>
      </c>
      <c r="AI42" s="0" t="n">
        <v>47.08</v>
      </c>
      <c r="AJ42" s="2" t="s">
        <v>46</v>
      </c>
      <c r="AL42" s="3" t="s">
        <v>47</v>
      </c>
      <c r="AM42" s="3" t="s">
        <v>216</v>
      </c>
      <c r="AN42" s="3" t="s">
        <v>217</v>
      </c>
    </row>
    <row r="43" customFormat="false" ht="15" hidden="false" customHeight="false" outlineLevel="0" collapsed="false">
      <c r="A43" s="0" t="n">
        <v>42</v>
      </c>
      <c r="B43" s="0" t="s">
        <v>214</v>
      </c>
      <c r="C43" s="0" t="s">
        <v>218</v>
      </c>
      <c r="D43" s="0" t="n">
        <v>3.84</v>
      </c>
      <c r="E43" s="0" t="n">
        <v>15.375</v>
      </c>
      <c r="F43" s="0" t="n">
        <f aca="false">ROUND(((O43)+(R43))*1,2)</f>
        <v>4</v>
      </c>
      <c r="I43" s="0" t="n">
        <v>153.75</v>
      </c>
      <c r="J43" s="0" t="s">
        <v>174</v>
      </c>
      <c r="K43" s="0" t="n">
        <v>16</v>
      </c>
      <c r="L43" s="0" t="n">
        <v>10</v>
      </c>
      <c r="M43" s="0" t="s">
        <v>219</v>
      </c>
      <c r="N43" s="0" t="n">
        <v>15.375</v>
      </c>
      <c r="O43" s="0" t="n">
        <v>2</v>
      </c>
      <c r="P43" s="0" t="s">
        <v>64</v>
      </c>
      <c r="Q43" s="0" t="n">
        <v>15.375</v>
      </c>
      <c r="R43" s="0" t="n">
        <v>2</v>
      </c>
      <c r="S43" s="0" t="n">
        <v>0</v>
      </c>
      <c r="T43" s="0" t="n">
        <f aca="false">D43*N43*O43-S43*O43+D43*Q43*R43-S43*R43</f>
        <v>236.16</v>
      </c>
      <c r="AB43" s="0" t="n">
        <v>7.68</v>
      </c>
      <c r="AC43" s="0" t="n">
        <v>7.68</v>
      </c>
      <c r="AD43" s="0" t="s">
        <v>177</v>
      </c>
      <c r="AE43" s="0" t="n">
        <v>23.04</v>
      </c>
      <c r="AF43" s="0" t="n">
        <v>60</v>
      </c>
      <c r="AH43" s="0" t="n">
        <v>59.02</v>
      </c>
      <c r="AI43" s="0" t="n">
        <v>15.36</v>
      </c>
      <c r="AJ43" s="2" t="s">
        <v>46</v>
      </c>
      <c r="AL43" s="3" t="s">
        <v>47</v>
      </c>
      <c r="AM43" s="3" t="s">
        <v>220</v>
      </c>
      <c r="AN43" s="3" t="s">
        <v>221</v>
      </c>
    </row>
    <row r="44" customFormat="false" ht="15" hidden="false" customHeight="false" outlineLevel="0" collapsed="false">
      <c r="A44" s="0" t="n">
        <v>43</v>
      </c>
      <c r="B44" s="0" t="s">
        <v>214</v>
      </c>
      <c r="C44" s="0" t="s">
        <v>222</v>
      </c>
      <c r="D44" s="0" t="n">
        <v>3.35</v>
      </c>
      <c r="E44" s="0" t="n">
        <v>15.375</v>
      </c>
      <c r="F44" s="0" t="n">
        <f aca="false">ROUND(((O44)+(R44))*1,2)</f>
        <v>4</v>
      </c>
      <c r="I44" s="0" t="n">
        <v>153.75</v>
      </c>
      <c r="J44" s="0" t="s">
        <v>174</v>
      </c>
      <c r="K44" s="0" t="n">
        <v>16</v>
      </c>
      <c r="L44" s="0" t="n">
        <v>10</v>
      </c>
      <c r="M44" s="0" t="s">
        <v>185</v>
      </c>
      <c r="N44" s="0" t="n">
        <v>15.375</v>
      </c>
      <c r="O44" s="0" t="n">
        <v>2</v>
      </c>
      <c r="P44" s="0" t="s">
        <v>64</v>
      </c>
      <c r="Q44" s="0" t="n">
        <v>15.375</v>
      </c>
      <c r="R44" s="0" t="n">
        <v>2</v>
      </c>
      <c r="S44" s="0" t="n">
        <v>0</v>
      </c>
      <c r="T44" s="0" t="n">
        <f aca="false">D44*N44*O44-S44*O44+D44*Q44*R44-S44*R44</f>
        <v>206.025</v>
      </c>
      <c r="AB44" s="0" t="n">
        <v>6.7</v>
      </c>
      <c r="AC44" s="0" t="n">
        <v>6.7</v>
      </c>
      <c r="AD44" s="0" t="s">
        <v>177</v>
      </c>
      <c r="AE44" s="0" t="n">
        <v>20.1</v>
      </c>
      <c r="AF44" s="0" t="n">
        <v>60</v>
      </c>
      <c r="AH44" s="0" t="n">
        <v>51.47</v>
      </c>
      <c r="AI44" s="0" t="n">
        <v>13.4</v>
      </c>
      <c r="AJ44" s="2" t="s">
        <v>46</v>
      </c>
      <c r="AL44" s="3" t="s">
        <v>47</v>
      </c>
      <c r="AM44" s="3" t="s">
        <v>223</v>
      </c>
      <c r="AN44" s="3" t="s">
        <v>224</v>
      </c>
    </row>
    <row r="45" customFormat="false" ht="15" hidden="false" customHeight="false" outlineLevel="0" collapsed="false">
      <c r="A45" s="0" t="n">
        <v>44</v>
      </c>
      <c r="B45" s="0" t="s">
        <v>214</v>
      </c>
      <c r="C45" s="0" t="s">
        <v>225</v>
      </c>
      <c r="D45" s="0" t="n">
        <v>1.34</v>
      </c>
      <c r="E45" s="0" t="n">
        <v>15.375</v>
      </c>
      <c r="F45" s="0" t="n">
        <f aca="false">ROUND(((O45)+(R45))*1,2)</f>
        <v>4</v>
      </c>
      <c r="I45" s="0" t="n">
        <v>123</v>
      </c>
      <c r="J45" s="0" t="s">
        <v>174</v>
      </c>
      <c r="K45" s="0" t="n">
        <v>16</v>
      </c>
      <c r="L45" s="0" t="n">
        <v>8</v>
      </c>
      <c r="M45" s="0" t="s">
        <v>189</v>
      </c>
      <c r="N45" s="0" t="n">
        <v>15.375</v>
      </c>
      <c r="O45" s="0" t="n">
        <v>2</v>
      </c>
      <c r="P45" s="0" t="s">
        <v>64</v>
      </c>
      <c r="Q45" s="0" t="n">
        <v>15.375</v>
      </c>
      <c r="R45" s="0" t="n">
        <v>2</v>
      </c>
      <c r="S45" s="0" t="n">
        <v>0</v>
      </c>
      <c r="T45" s="0" t="n">
        <f aca="false">D45*N45*O45-S45*O45+D45*Q45*R45-S45*R45</f>
        <v>82.41</v>
      </c>
      <c r="AB45" s="0" t="n">
        <v>2.68</v>
      </c>
      <c r="AC45" s="0" t="n">
        <v>2.68</v>
      </c>
      <c r="AD45" s="0" t="s">
        <v>177</v>
      </c>
      <c r="AE45" s="0" t="n">
        <v>8.04</v>
      </c>
      <c r="AF45" s="0" t="n">
        <v>48</v>
      </c>
      <c r="AH45" s="0" t="n">
        <v>20.59</v>
      </c>
      <c r="AI45" s="0" t="n">
        <v>5.36</v>
      </c>
      <c r="AJ45" s="2" t="s">
        <v>46</v>
      </c>
      <c r="AL45" s="3" t="s">
        <v>47</v>
      </c>
      <c r="AM45" s="3" t="s">
        <v>223</v>
      </c>
      <c r="AN45" s="3" t="s">
        <v>226</v>
      </c>
    </row>
    <row r="46" customFormat="false" ht="15" hidden="false" customHeight="false" outlineLevel="0" collapsed="false">
      <c r="B46" s="4" t="s">
        <v>227</v>
      </c>
      <c r="D46" s="4" t="n">
        <f aca="false">SUM(D2:D45)</f>
        <v>402.23</v>
      </c>
      <c r="G46" s="4" t="n">
        <f aca="false">SUM(G2:G45)</f>
        <v>1855.86</v>
      </c>
      <c r="H46" s="4" t="n">
        <f aca="false">SUM(H2:H45)</f>
        <v>3372.09</v>
      </c>
      <c r="I46" s="4" t="n">
        <f aca="false">SUM(I2:I45)</f>
        <v>3290.25</v>
      </c>
      <c r="L46" s="4" t="n">
        <f aca="false">SUM(L2:L45)</f>
        <v>610</v>
      </c>
      <c r="S46" s="4" t="n">
        <f aca="false">SUM(S2:S45)</f>
        <v>327.35</v>
      </c>
      <c r="T46" s="4" t="n">
        <f aca="false">SUM(T2:T45)</f>
        <v>12038.18538</v>
      </c>
      <c r="U46" s="4" t="n">
        <f aca="false">SUM(U2:U45)</f>
        <v>170.44</v>
      </c>
      <c r="V46" s="4" t="n">
        <f aca="false">SUM(V2:V45)</f>
        <v>206.64</v>
      </c>
      <c r="W46" s="4" t="n">
        <f aca="false">SUM(W2:W45)</f>
        <v>260.15</v>
      </c>
      <c r="AB46" s="4" t="n">
        <f aca="false">SUM(AB2:AB45)</f>
        <v>500.45</v>
      </c>
      <c r="AC46" s="4" t="n">
        <f aca="false">SUM(AC2:AC45)</f>
        <v>500.45</v>
      </c>
      <c r="AE46" s="4" t="n">
        <f aca="false">SUM(AE2:AE45)</f>
        <v>1501.35</v>
      </c>
      <c r="AF46" s="4" t="n">
        <f aca="false">SUM(AF2:AF45)</f>
        <v>3660</v>
      </c>
      <c r="AG46" s="4" t="n">
        <f aca="false">SUM(AG2:AG45)</f>
        <v>60.06</v>
      </c>
      <c r="AH46" s="4" t="n">
        <f aca="false">SUM(AH2:AH45)</f>
        <v>5395.94</v>
      </c>
      <c r="AI46" s="4" t="n">
        <f aca="false">SUM(AI2:AI45)</f>
        <v>1274.9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21" min="3" style="0" width="14"/>
    <col collapsed="false" customWidth="true" hidden="false" outlineLevel="0" max="22" min="22" style="0" width="80"/>
    <col collapsed="false" customWidth="true" hidden="false" outlineLevel="0" max="23" min="23" style="0" width="14"/>
  </cols>
  <sheetData>
    <row r="1" customFormat="false" ht="55.2" hidden="false" customHeight="false" outlineLevel="0" collapsed="false">
      <c r="A1" s="1" t="s">
        <v>228</v>
      </c>
      <c r="B1" s="1" t="s">
        <v>229</v>
      </c>
      <c r="C1" s="1" t="s">
        <v>3</v>
      </c>
      <c r="D1" s="1" t="s">
        <v>230</v>
      </c>
      <c r="E1" s="1" t="s">
        <v>231</v>
      </c>
      <c r="F1" s="1" t="s">
        <v>232</v>
      </c>
      <c r="G1" s="1" t="s">
        <v>11</v>
      </c>
      <c r="H1" s="1" t="s">
        <v>233</v>
      </c>
      <c r="I1" s="1" t="s">
        <v>234</v>
      </c>
      <c r="J1" s="1" t="s">
        <v>32</v>
      </c>
      <c r="K1" s="1" t="s">
        <v>235</v>
      </c>
      <c r="L1" s="1" t="s">
        <v>236</v>
      </c>
      <c r="M1" s="1" t="s">
        <v>31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245</v>
      </c>
      <c r="W1" s="1" t="s">
        <v>39</v>
      </c>
    </row>
    <row r="2" customFormat="false" ht="15" hidden="false" customHeight="false" outlineLevel="0" collapsed="false">
      <c r="A2" s="0" t="s">
        <v>246</v>
      </c>
      <c r="B2" s="0" t="s">
        <v>247</v>
      </c>
      <c r="C2" s="0" t="n">
        <v>75.33</v>
      </c>
      <c r="D2" s="0" t="n">
        <v>15.375</v>
      </c>
      <c r="E2" s="0" t="n">
        <v>1483.49</v>
      </c>
      <c r="G2" s="0" t="n">
        <v>131</v>
      </c>
      <c r="H2" s="0" t="n">
        <v>75.33</v>
      </c>
      <c r="I2" s="0" t="n">
        <v>75.33</v>
      </c>
      <c r="J2" s="0" t="n">
        <v>36</v>
      </c>
      <c r="K2" s="0" t="n">
        <v>32</v>
      </c>
      <c r="L2" s="0" t="n">
        <v>225.99</v>
      </c>
      <c r="M2" s="0" t="n">
        <v>786</v>
      </c>
      <c r="N2" s="0" t="n">
        <v>1036.56</v>
      </c>
      <c r="O2" s="0" t="n">
        <v>1036.56</v>
      </c>
      <c r="Q2" s="0" t="n">
        <v>1036.56</v>
      </c>
      <c r="U2" s="0" t="n">
        <v>75.33</v>
      </c>
      <c r="V2" s="0" t="s">
        <v>248</v>
      </c>
      <c r="W2" s="0" t="s">
        <v>249</v>
      </c>
    </row>
    <row r="3" customFormat="false" ht="15" hidden="false" customHeight="false" outlineLevel="0" collapsed="false">
      <c r="A3" s="0" t="s">
        <v>250</v>
      </c>
      <c r="B3" s="0" t="s">
        <v>251</v>
      </c>
      <c r="C3" s="0" t="n">
        <v>51.73</v>
      </c>
      <c r="D3" s="0" t="n">
        <v>13.052</v>
      </c>
      <c r="E3" s="0" t="n">
        <v>601.99</v>
      </c>
      <c r="G3" s="0" t="n">
        <v>48</v>
      </c>
      <c r="H3" s="0" t="n">
        <v>51.73</v>
      </c>
      <c r="I3" s="0" t="n">
        <v>51.73</v>
      </c>
      <c r="J3" s="0" t="n">
        <v>4.33</v>
      </c>
      <c r="L3" s="0" t="n">
        <v>155.19</v>
      </c>
      <c r="M3" s="0" t="n">
        <v>288</v>
      </c>
      <c r="N3" s="0" t="n">
        <v>648</v>
      </c>
      <c r="O3" s="0" t="n">
        <v>648</v>
      </c>
      <c r="Q3" s="0" t="n">
        <v>648</v>
      </c>
      <c r="U3" s="0" t="n">
        <v>51.73</v>
      </c>
      <c r="V3" s="0" t="s">
        <v>248</v>
      </c>
      <c r="W3" s="0" t="s">
        <v>252</v>
      </c>
    </row>
    <row r="4" customFormat="false" ht="15" hidden="false" customHeight="false" outlineLevel="0" collapsed="false">
      <c r="A4" s="0" t="s">
        <v>253</v>
      </c>
      <c r="B4" s="0" t="s">
        <v>254</v>
      </c>
      <c r="C4" s="0" t="n">
        <v>47.41</v>
      </c>
      <c r="D4" s="0" t="n">
        <v>15.375</v>
      </c>
      <c r="E4" s="0" t="n">
        <v>850.36</v>
      </c>
      <c r="G4" s="0" t="n">
        <v>74</v>
      </c>
      <c r="H4" s="0" t="n">
        <v>47.41</v>
      </c>
      <c r="I4" s="0" t="n">
        <v>47.41</v>
      </c>
      <c r="J4" s="0" t="n">
        <v>18</v>
      </c>
      <c r="K4" s="0" t="n">
        <v>16</v>
      </c>
      <c r="L4" s="0" t="n">
        <v>142.23</v>
      </c>
      <c r="M4" s="0" t="n">
        <v>444</v>
      </c>
      <c r="N4" s="0" t="n">
        <v>639.29</v>
      </c>
      <c r="O4" s="0" t="n">
        <v>639.29</v>
      </c>
      <c r="Q4" s="0" t="n">
        <v>639.29</v>
      </c>
      <c r="U4" s="0" t="n">
        <v>47.41</v>
      </c>
      <c r="V4" s="0" t="s">
        <v>248</v>
      </c>
      <c r="W4" s="0" t="s">
        <v>255</v>
      </c>
    </row>
    <row r="5" customFormat="false" ht="15" hidden="false" customHeight="false" outlineLevel="0" collapsed="false">
      <c r="A5" s="0" t="s">
        <v>256</v>
      </c>
      <c r="B5" s="0" t="s">
        <v>257</v>
      </c>
      <c r="C5" s="0" t="n">
        <v>21.42</v>
      </c>
      <c r="D5" s="0" t="n">
        <v>15.375</v>
      </c>
      <c r="E5" s="0" t="n">
        <v>379.16</v>
      </c>
      <c r="G5" s="0" t="n">
        <v>27</v>
      </c>
      <c r="H5" s="0" t="n">
        <v>21.42</v>
      </c>
      <c r="I5" s="0" t="n">
        <v>21.42</v>
      </c>
      <c r="J5" s="0" t="n">
        <v>3.18</v>
      </c>
      <c r="K5" s="0" t="n">
        <v>2.18</v>
      </c>
      <c r="L5" s="0" t="n">
        <v>64.26</v>
      </c>
      <c r="M5" s="0" t="n">
        <v>162</v>
      </c>
      <c r="N5" s="0" t="n">
        <v>323.69</v>
      </c>
      <c r="O5" s="0" t="n">
        <v>323.69</v>
      </c>
      <c r="Q5" s="0" t="n">
        <v>323.69</v>
      </c>
      <c r="U5" s="0" t="n">
        <v>21.42</v>
      </c>
      <c r="V5" s="0" t="s">
        <v>248</v>
      </c>
      <c r="W5" s="0" t="s">
        <v>258</v>
      </c>
    </row>
    <row r="6" customFormat="false" ht="15" hidden="false" customHeight="false" outlineLevel="0" collapsed="false">
      <c r="A6" s="0" t="s">
        <v>259</v>
      </c>
      <c r="B6" s="0" t="s">
        <v>260</v>
      </c>
      <c r="C6" s="0" t="n">
        <v>3.91</v>
      </c>
      <c r="D6" s="0" t="n">
        <v>15.375</v>
      </c>
      <c r="E6" s="0" t="n">
        <v>76.88</v>
      </c>
      <c r="G6" s="0" t="n">
        <v>5</v>
      </c>
      <c r="H6" s="0" t="n">
        <v>3.91</v>
      </c>
      <c r="I6" s="0" t="n">
        <v>3.91</v>
      </c>
      <c r="L6" s="0" t="n">
        <v>11.73</v>
      </c>
      <c r="M6" s="0" t="n">
        <v>30</v>
      </c>
      <c r="N6" s="0" t="n">
        <v>60.07</v>
      </c>
      <c r="O6" s="0" t="n">
        <v>60.07</v>
      </c>
      <c r="Q6" s="0" t="n">
        <v>60.07</v>
      </c>
      <c r="U6" s="0" t="n">
        <v>3.91</v>
      </c>
      <c r="V6" s="0" t="s">
        <v>248</v>
      </c>
      <c r="W6" s="0" t="s">
        <v>261</v>
      </c>
    </row>
    <row r="7" customFormat="false" ht="15" hidden="false" customHeight="false" outlineLevel="0" collapsed="false">
      <c r="A7" s="0" t="s">
        <v>262</v>
      </c>
      <c r="B7" s="0" t="s">
        <v>263</v>
      </c>
      <c r="C7" s="0" t="n">
        <v>12.64</v>
      </c>
      <c r="D7" s="0" t="n">
        <v>15.375</v>
      </c>
      <c r="E7" s="0" t="n">
        <v>184.5</v>
      </c>
      <c r="G7" s="0" t="n">
        <v>12</v>
      </c>
      <c r="H7" s="0" t="n">
        <v>12.64</v>
      </c>
      <c r="I7" s="0" t="n">
        <v>12.64</v>
      </c>
      <c r="L7" s="0" t="n">
        <v>37.92</v>
      </c>
      <c r="M7" s="0" t="n">
        <v>72</v>
      </c>
      <c r="N7" s="0" t="n">
        <v>194.31</v>
      </c>
      <c r="O7" s="0" t="n">
        <v>194.31</v>
      </c>
      <c r="Q7" s="0" t="n">
        <v>194.31</v>
      </c>
      <c r="U7" s="0" t="n">
        <v>12.64</v>
      </c>
      <c r="V7" s="0" t="s">
        <v>248</v>
      </c>
      <c r="W7" s="0" t="s">
        <v>264</v>
      </c>
    </row>
    <row r="8" customFormat="false" ht="15" hidden="false" customHeight="false" outlineLevel="0" collapsed="false">
      <c r="A8" s="0" t="s">
        <v>265</v>
      </c>
      <c r="B8" s="0" t="s">
        <v>266</v>
      </c>
      <c r="C8" s="0" t="n">
        <v>26.68</v>
      </c>
      <c r="D8" s="0" t="n">
        <v>6.88</v>
      </c>
      <c r="E8" s="0" t="n">
        <v>144.48</v>
      </c>
      <c r="G8" s="0" t="n">
        <v>21</v>
      </c>
      <c r="H8" s="0" t="n">
        <v>26.68</v>
      </c>
      <c r="I8" s="0" t="n">
        <v>26.68</v>
      </c>
      <c r="L8" s="0" t="n">
        <v>26.68</v>
      </c>
      <c r="M8" s="0" t="n">
        <v>42</v>
      </c>
      <c r="N8" s="0" t="n">
        <v>183.56</v>
      </c>
      <c r="O8" s="0" t="n">
        <v>183.56</v>
      </c>
      <c r="R8" s="0" t="n">
        <v>26.68</v>
      </c>
      <c r="S8" s="0" t="n">
        <v>26.68</v>
      </c>
      <c r="T8" s="0" t="n">
        <v>26.68</v>
      </c>
      <c r="U8" s="0" t="n">
        <v>26.68</v>
      </c>
      <c r="V8" s="0" t="s">
        <v>267</v>
      </c>
      <c r="W8" s="0" t="s">
        <v>268</v>
      </c>
    </row>
    <row r="9" customFormat="false" ht="15" hidden="false" customHeight="false" outlineLevel="0" collapsed="false">
      <c r="A9" s="0" t="s">
        <v>269</v>
      </c>
      <c r="B9" s="0" t="s">
        <v>270</v>
      </c>
      <c r="C9" s="0" t="n">
        <v>15.82</v>
      </c>
      <c r="D9" s="0" t="n">
        <v>6.88</v>
      </c>
      <c r="E9" s="0" t="n">
        <v>82.56</v>
      </c>
      <c r="G9" s="0" t="n">
        <v>12</v>
      </c>
      <c r="H9" s="0" t="n">
        <v>15.82</v>
      </c>
      <c r="I9" s="0" t="n">
        <v>15.82</v>
      </c>
      <c r="L9" s="0" t="n">
        <v>15.82</v>
      </c>
      <c r="M9" s="0" t="n">
        <v>24</v>
      </c>
      <c r="N9" s="0" t="n">
        <v>108.84</v>
      </c>
      <c r="O9" s="0" t="n">
        <v>108.84</v>
      </c>
      <c r="R9" s="0" t="n">
        <v>15.82</v>
      </c>
      <c r="S9" s="0" t="n">
        <v>15.82</v>
      </c>
      <c r="T9" s="0" t="n">
        <v>15.82</v>
      </c>
      <c r="U9" s="0" t="n">
        <v>15.82</v>
      </c>
      <c r="V9" s="0" t="s">
        <v>267</v>
      </c>
      <c r="W9" s="0" t="s">
        <v>271</v>
      </c>
    </row>
    <row r="10" customFormat="false" ht="15" hidden="false" customHeight="false" outlineLevel="0" collapsed="false">
      <c r="A10" s="0" t="s">
        <v>272</v>
      </c>
      <c r="B10" s="0" t="s">
        <v>273</v>
      </c>
      <c r="C10" s="0" t="n">
        <v>7.54</v>
      </c>
      <c r="D10" s="0" t="n">
        <v>6.88</v>
      </c>
      <c r="E10" s="0" t="n">
        <v>41.28</v>
      </c>
      <c r="G10" s="0" t="n">
        <v>6</v>
      </c>
      <c r="H10" s="0" t="n">
        <v>7.54</v>
      </c>
      <c r="I10" s="0" t="n">
        <v>7.54</v>
      </c>
      <c r="L10" s="0" t="n">
        <v>7.54</v>
      </c>
      <c r="M10" s="0" t="n">
        <v>12</v>
      </c>
      <c r="N10" s="0" t="n">
        <v>51.88</v>
      </c>
      <c r="O10" s="0" t="n">
        <v>51.88</v>
      </c>
      <c r="R10" s="0" t="n">
        <v>7.54</v>
      </c>
      <c r="S10" s="0" t="n">
        <v>7.54</v>
      </c>
      <c r="T10" s="0" t="n">
        <v>7.54</v>
      </c>
      <c r="U10" s="0" t="n">
        <v>7.54</v>
      </c>
      <c r="V10" s="0" t="s">
        <v>267</v>
      </c>
      <c r="W10" s="0" t="s">
        <v>274</v>
      </c>
    </row>
    <row r="11" customFormat="false" ht="15" hidden="false" customHeight="false" outlineLevel="0" collapsed="false">
      <c r="A11" s="0" t="s">
        <v>275</v>
      </c>
      <c r="B11" s="0" t="s">
        <v>276</v>
      </c>
      <c r="C11" s="0" t="n">
        <v>137.73</v>
      </c>
      <c r="D11" s="0" t="n">
        <v>2.04</v>
      </c>
      <c r="F11" s="0" t="n">
        <v>326.4</v>
      </c>
      <c r="G11" s="0" t="n">
        <v>160</v>
      </c>
      <c r="H11" s="0" t="n">
        <v>137.73</v>
      </c>
      <c r="I11" s="0" t="n">
        <v>137.73</v>
      </c>
      <c r="P11" s="0" t="n">
        <v>280.97</v>
      </c>
      <c r="Q11" s="0" t="n">
        <v>280.97</v>
      </c>
      <c r="V11" s="0" t="s">
        <v>277</v>
      </c>
      <c r="W11" s="0" t="s">
        <v>278</v>
      </c>
    </row>
    <row r="12" customFormat="false" ht="15" hidden="false" customHeight="false" outlineLevel="0" collapsed="false">
      <c r="A12" s="0" t="s">
        <v>279</v>
      </c>
      <c r="B12" s="0" t="s">
        <v>280</v>
      </c>
      <c r="C12" s="0" t="n">
        <v>101.41</v>
      </c>
      <c r="D12" s="0" t="n">
        <v>4.37</v>
      </c>
      <c r="F12" s="0" t="n">
        <v>520.03</v>
      </c>
      <c r="G12" s="0" t="n">
        <v>119</v>
      </c>
      <c r="H12" s="0" t="n">
        <v>101.41</v>
      </c>
      <c r="I12" s="0" t="n">
        <v>101.41</v>
      </c>
      <c r="L12" s="0" t="n">
        <v>101.41</v>
      </c>
      <c r="M12" s="0" t="n">
        <v>238</v>
      </c>
      <c r="P12" s="0" t="n">
        <v>443.16</v>
      </c>
      <c r="Q12" s="0" t="n">
        <v>443.16</v>
      </c>
      <c r="V12" s="0" t="s">
        <v>277</v>
      </c>
      <c r="W12" s="0" t="s">
        <v>281</v>
      </c>
    </row>
    <row r="13" customFormat="false" ht="15" hidden="false" customHeight="false" outlineLevel="0" collapsed="false">
      <c r="A13" s="0" t="s">
        <v>282</v>
      </c>
      <c r="B13" s="0" t="s">
        <v>283</v>
      </c>
      <c r="C13" s="0" t="n">
        <v>23.36</v>
      </c>
      <c r="D13" s="0" t="n">
        <v>4.29</v>
      </c>
      <c r="F13" s="0" t="n">
        <v>120.12</v>
      </c>
      <c r="G13" s="0" t="n">
        <v>28</v>
      </c>
      <c r="H13" s="0" t="n">
        <v>23.36</v>
      </c>
      <c r="I13" s="0" t="n">
        <v>23.36</v>
      </c>
      <c r="L13" s="0" t="n">
        <v>23.36</v>
      </c>
      <c r="M13" s="0" t="n">
        <v>56</v>
      </c>
      <c r="P13" s="0" t="n">
        <v>100.21</v>
      </c>
      <c r="Q13" s="0" t="n">
        <v>100.21</v>
      </c>
      <c r="V13" s="0" t="s">
        <v>277</v>
      </c>
      <c r="W13" s="0" t="s">
        <v>284</v>
      </c>
    </row>
    <row r="14" customFormat="false" ht="15" hidden="false" customHeight="false" outlineLevel="0" collapsed="false">
      <c r="B14" s="4" t="s">
        <v>285</v>
      </c>
      <c r="C14" s="4" t="n">
        <f aca="false">SUM(C2:C13)</f>
        <v>524.98</v>
      </c>
      <c r="E14" s="4" t="n">
        <f aca="false">SUM(E2:E13)</f>
        <v>3844.7</v>
      </c>
      <c r="F14" s="4" t="n">
        <f aca="false">SUM(F2:F13)</f>
        <v>966.55</v>
      </c>
      <c r="G14" s="4" t="n">
        <f aca="false">SUM(G2:G13)</f>
        <v>643</v>
      </c>
      <c r="H14" s="4" t="n">
        <f aca="false">SUM(H2:H13)</f>
        <v>524.98</v>
      </c>
      <c r="I14" s="4" t="n">
        <f aca="false">SUM(I2:I13)</f>
        <v>524.98</v>
      </c>
      <c r="J14" s="4" t="n">
        <f aca="false">SUM(J2:J13)</f>
        <v>61.51</v>
      </c>
      <c r="K14" s="4" t="n">
        <f aca="false">SUM(K2:K13)</f>
        <v>50.18</v>
      </c>
      <c r="L14" s="4" t="n">
        <f aca="false">SUM(L2:L13)</f>
        <v>812.13</v>
      </c>
      <c r="M14" s="4" t="n">
        <f aca="false">SUM(M2:M13)</f>
        <v>2154</v>
      </c>
      <c r="N14" s="4" t="n">
        <f aca="false">SUM(N2:N13)</f>
        <v>3246.2</v>
      </c>
      <c r="O14" s="4" t="n">
        <f aca="false">SUM(O2:O13)</f>
        <v>3246.2</v>
      </c>
      <c r="P14" s="4" t="n">
        <f aca="false">SUM(P2:P13)</f>
        <v>824.34</v>
      </c>
      <c r="Q14" s="4" t="n">
        <f aca="false">SUM(Q2:Q13)</f>
        <v>3726.26</v>
      </c>
      <c r="R14" s="4" t="n">
        <f aca="false">SUM(R2:R13)</f>
        <v>50.04</v>
      </c>
      <c r="S14" s="4" t="n">
        <f aca="false">SUM(S2:S13)</f>
        <v>50.04</v>
      </c>
      <c r="T14" s="4" t="n">
        <f aca="false">SUM(T2:T13)</f>
        <v>50.04</v>
      </c>
      <c r="U14" s="4" t="n">
        <f aca="false">SUM(U2:U13)</f>
        <v>262.48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15" min="3" style="0" width="14"/>
    <col collapsed="false" customWidth="true" hidden="false" outlineLevel="0" max="16" min="16" style="0" width="40"/>
    <col collapsed="false" customWidth="true" hidden="false" outlineLevel="0" max="17" min="17" style="0" width="70"/>
    <col collapsed="false" customWidth="true" hidden="false" outlineLevel="0" max="18" min="18" style="0" width="14"/>
  </cols>
  <sheetData>
    <row r="1" customFormat="false" ht="55.2" hidden="false" customHeight="false" outlineLevel="0" collapsed="false">
      <c r="A1" s="1" t="s">
        <v>228</v>
      </c>
      <c r="B1" s="1" t="s">
        <v>286</v>
      </c>
      <c r="C1" s="1" t="s">
        <v>287</v>
      </c>
      <c r="D1" s="1" t="s">
        <v>288</v>
      </c>
      <c r="E1" s="1" t="s">
        <v>8</v>
      </c>
      <c r="F1" s="1" t="s">
        <v>11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33</v>
      </c>
      <c r="O1" s="1" t="s">
        <v>244</v>
      </c>
      <c r="P1" s="1" t="s">
        <v>296</v>
      </c>
      <c r="Q1" s="1" t="s">
        <v>245</v>
      </c>
      <c r="R1" s="1" t="s">
        <v>39</v>
      </c>
    </row>
    <row r="2" customFormat="false" ht="15" hidden="false" customHeight="false" outlineLevel="0" collapsed="false">
      <c r="A2" s="0" t="s">
        <v>297</v>
      </c>
      <c r="B2" s="0" t="s">
        <v>298</v>
      </c>
      <c r="C2" s="0" t="n">
        <v>7.5</v>
      </c>
      <c r="D2" s="0" t="n">
        <v>7.38</v>
      </c>
      <c r="E2" s="0" t="n">
        <v>118</v>
      </c>
      <c r="F2" s="0" t="n">
        <v>16</v>
      </c>
      <c r="G2" s="0" t="n">
        <v>15</v>
      </c>
      <c r="H2" s="0" t="n">
        <v>15</v>
      </c>
      <c r="I2" s="0" t="n">
        <v>7.5</v>
      </c>
      <c r="J2" s="0" t="n">
        <v>221.26</v>
      </c>
      <c r="K2" s="0" t="n">
        <v>7.5</v>
      </c>
      <c r="L2" s="0" t="n">
        <v>15</v>
      </c>
      <c r="M2" s="0" t="n">
        <v>7.5</v>
      </c>
      <c r="N2" s="0" t="n">
        <v>55.31</v>
      </c>
      <c r="O2" s="0" t="n">
        <v>30</v>
      </c>
      <c r="P2" s="0" t="s">
        <v>299</v>
      </c>
      <c r="Q2" s="0" t="s">
        <v>300</v>
      </c>
      <c r="R2" s="0" t="s">
        <v>301</v>
      </c>
    </row>
    <row r="3" customFormat="false" ht="15" hidden="false" customHeight="false" outlineLevel="0" collapsed="false">
      <c r="A3" s="0" t="s">
        <v>302</v>
      </c>
      <c r="B3" s="0" t="s">
        <v>303</v>
      </c>
      <c r="C3" s="0" t="n">
        <v>7.5</v>
      </c>
      <c r="D3" s="0" t="n">
        <v>7.38</v>
      </c>
      <c r="E3" s="0" t="n">
        <v>118</v>
      </c>
      <c r="F3" s="0" t="n">
        <v>16</v>
      </c>
      <c r="G3" s="0" t="n">
        <v>15</v>
      </c>
      <c r="H3" s="0" t="n">
        <v>15</v>
      </c>
      <c r="I3" s="0" t="n">
        <v>7.5</v>
      </c>
      <c r="J3" s="0" t="n">
        <v>221.26</v>
      </c>
      <c r="K3" s="0" t="n">
        <v>7.5</v>
      </c>
      <c r="L3" s="0" t="n">
        <v>15</v>
      </c>
      <c r="M3" s="0" t="n">
        <v>7.5</v>
      </c>
      <c r="N3" s="0" t="n">
        <v>55.31</v>
      </c>
      <c r="O3" s="0" t="n">
        <v>30</v>
      </c>
      <c r="P3" s="0" t="s">
        <v>299</v>
      </c>
      <c r="Q3" s="0" t="s">
        <v>300</v>
      </c>
      <c r="R3" s="0" t="s">
        <v>304</v>
      </c>
    </row>
    <row r="4" customFormat="false" ht="15" hidden="false" customHeight="false" outlineLevel="0" collapsed="false">
      <c r="A4" s="0" t="s">
        <v>305</v>
      </c>
      <c r="B4" s="0" t="s">
        <v>306</v>
      </c>
      <c r="C4" s="0" t="n">
        <v>7.5</v>
      </c>
      <c r="D4" s="0" t="n">
        <v>7.38</v>
      </c>
      <c r="E4" s="0" t="n">
        <v>118</v>
      </c>
      <c r="F4" s="0" t="n">
        <v>16</v>
      </c>
      <c r="G4" s="0" t="n">
        <v>15</v>
      </c>
      <c r="H4" s="0" t="n">
        <v>15</v>
      </c>
      <c r="I4" s="0" t="n">
        <v>7.5</v>
      </c>
      <c r="J4" s="0" t="n">
        <v>221.26</v>
      </c>
      <c r="K4" s="0" t="n">
        <v>7.5</v>
      </c>
      <c r="L4" s="0" t="n">
        <v>15</v>
      </c>
      <c r="M4" s="0" t="n">
        <v>7.5</v>
      </c>
      <c r="N4" s="0" t="n">
        <v>55.31</v>
      </c>
      <c r="O4" s="0" t="n">
        <v>30</v>
      </c>
      <c r="P4" s="0" t="s">
        <v>299</v>
      </c>
      <c r="Q4" s="0" t="s">
        <v>300</v>
      </c>
      <c r="R4" s="0" t="s">
        <v>307</v>
      </c>
    </row>
    <row r="5" customFormat="false" ht="15" hidden="false" customHeight="false" outlineLevel="0" collapsed="false">
      <c r="A5" s="0" t="s">
        <v>308</v>
      </c>
      <c r="B5" s="0" t="s">
        <v>309</v>
      </c>
      <c r="C5" s="0" t="n">
        <v>7.5</v>
      </c>
      <c r="D5" s="0" t="n">
        <v>7.38</v>
      </c>
      <c r="E5" s="0" t="n">
        <v>118</v>
      </c>
      <c r="F5" s="0" t="n">
        <v>16</v>
      </c>
      <c r="G5" s="0" t="n">
        <v>15</v>
      </c>
      <c r="H5" s="0" t="n">
        <v>15</v>
      </c>
      <c r="I5" s="0" t="n">
        <v>7.5</v>
      </c>
      <c r="J5" s="0" t="n">
        <v>221.26</v>
      </c>
      <c r="K5" s="0" t="n">
        <v>7.5</v>
      </c>
      <c r="L5" s="0" t="n">
        <v>15</v>
      </c>
      <c r="M5" s="0" t="n">
        <v>7.5</v>
      </c>
      <c r="N5" s="0" t="n">
        <v>55.31</v>
      </c>
      <c r="O5" s="0" t="n">
        <v>30</v>
      </c>
      <c r="P5" s="0" t="s">
        <v>299</v>
      </c>
      <c r="Q5" s="0" t="s">
        <v>300</v>
      </c>
      <c r="R5" s="0" t="s">
        <v>310</v>
      </c>
    </row>
    <row r="6" customFormat="false" ht="15" hidden="false" customHeight="false" outlineLevel="0" collapsed="false">
      <c r="A6" s="0" t="s">
        <v>311</v>
      </c>
      <c r="B6" s="0" t="s">
        <v>312</v>
      </c>
      <c r="C6" s="0" t="n">
        <v>7.5</v>
      </c>
      <c r="D6" s="0" t="n">
        <v>7.38</v>
      </c>
      <c r="E6" s="0" t="n">
        <v>118</v>
      </c>
      <c r="F6" s="0" t="n">
        <v>16</v>
      </c>
      <c r="G6" s="0" t="n">
        <v>15</v>
      </c>
      <c r="H6" s="0" t="n">
        <v>15</v>
      </c>
      <c r="I6" s="0" t="n">
        <v>7.5</v>
      </c>
      <c r="J6" s="0" t="n">
        <v>221.26</v>
      </c>
      <c r="K6" s="0" t="n">
        <v>7.5</v>
      </c>
      <c r="L6" s="0" t="n">
        <v>15</v>
      </c>
      <c r="M6" s="0" t="n">
        <v>7.5</v>
      </c>
      <c r="N6" s="0" t="n">
        <v>55.31</v>
      </c>
      <c r="O6" s="0" t="n">
        <v>30</v>
      </c>
      <c r="P6" s="0" t="s">
        <v>299</v>
      </c>
      <c r="Q6" s="0" t="s">
        <v>300</v>
      </c>
      <c r="R6" s="0" t="s">
        <v>313</v>
      </c>
    </row>
    <row r="7" customFormat="false" ht="15" hidden="false" customHeight="false" outlineLevel="0" collapsed="false">
      <c r="A7" s="0" t="s">
        <v>314</v>
      </c>
      <c r="B7" s="0" t="s">
        <v>315</v>
      </c>
      <c r="C7" s="0" t="n">
        <v>7.5</v>
      </c>
      <c r="D7" s="0" t="n">
        <v>7.38</v>
      </c>
      <c r="E7" s="0" t="n">
        <v>118</v>
      </c>
      <c r="F7" s="0" t="n">
        <v>16</v>
      </c>
      <c r="G7" s="0" t="n">
        <v>15</v>
      </c>
      <c r="H7" s="0" t="n">
        <v>15</v>
      </c>
      <c r="I7" s="0" t="n">
        <v>7.5</v>
      </c>
      <c r="J7" s="0" t="n">
        <v>221.26</v>
      </c>
      <c r="K7" s="0" t="n">
        <v>7.5</v>
      </c>
      <c r="L7" s="0" t="n">
        <v>15</v>
      </c>
      <c r="M7" s="0" t="n">
        <v>7.5</v>
      </c>
      <c r="N7" s="0" t="n">
        <v>55.31</v>
      </c>
      <c r="O7" s="0" t="n">
        <v>30</v>
      </c>
      <c r="P7" s="0" t="s">
        <v>299</v>
      </c>
      <c r="Q7" s="0" t="s">
        <v>300</v>
      </c>
      <c r="R7" s="0" t="s">
        <v>316</v>
      </c>
    </row>
    <row r="8" customFormat="false" ht="15" hidden="false" customHeight="false" outlineLevel="0" collapsed="false">
      <c r="B8" s="4" t="s">
        <v>317</v>
      </c>
      <c r="C8" s="4" t="n">
        <f aca="false">SUM(C2:C7)</f>
        <v>45</v>
      </c>
      <c r="E8" s="4" t="n">
        <f aca="false">SUM(E2:E7)</f>
        <v>708</v>
      </c>
      <c r="F8" s="4" t="n">
        <f aca="false">SUM(F2:F7)</f>
        <v>96</v>
      </c>
      <c r="G8" s="4" t="n">
        <f aca="false">SUM(G2:G7)</f>
        <v>90</v>
      </c>
      <c r="H8" s="4" t="n">
        <f aca="false">SUM(H2:H7)</f>
        <v>90</v>
      </c>
      <c r="I8" s="4" t="n">
        <f aca="false">SUM(I2:I7)</f>
        <v>45</v>
      </c>
      <c r="J8" s="4" t="n">
        <f aca="false">SUM(J2:J7)</f>
        <v>1327.56</v>
      </c>
      <c r="K8" s="4" t="n">
        <f aca="false">SUM(K2:K7)</f>
        <v>45</v>
      </c>
      <c r="L8" s="4" t="n">
        <f aca="false">SUM(L2:L7)</f>
        <v>90</v>
      </c>
      <c r="M8" s="4" t="n">
        <f aca="false">SUM(M2:M7)</f>
        <v>45</v>
      </c>
      <c r="N8" s="4" t="n">
        <f aca="false">SUM(N2:N7)</f>
        <v>331.86</v>
      </c>
      <c r="O8" s="4" t="n">
        <f aca="false">SUM(O2:O7)</f>
        <v>180</v>
      </c>
    </row>
    <row r="10" customFormat="false" ht="15" hidden="false" customHeight="false" outlineLevel="0" collapsed="false">
      <c r="B10" s="0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8"/>
    <col collapsed="false" customWidth="true" hidden="false" outlineLevel="0" max="6" min="6" style="0" width="110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5" t="s">
        <v>319</v>
      </c>
      <c r="B1" s="5" t="s">
        <v>320</v>
      </c>
      <c r="C1" s="5" t="s">
        <v>321</v>
      </c>
      <c r="D1" s="5" t="s">
        <v>322</v>
      </c>
      <c r="E1" s="5" t="s">
        <v>323</v>
      </c>
      <c r="F1" s="5" t="s">
        <v>324</v>
      </c>
      <c r="G1" s="5" t="s">
        <v>325</v>
      </c>
      <c r="H1" s="5" t="s">
        <v>326</v>
      </c>
      <c r="I1" s="5" t="s">
        <v>39</v>
      </c>
    </row>
    <row r="2" customFormat="false" ht="15" hidden="false" customHeight="false" outlineLevel="0" collapsed="false">
      <c r="A2" s="0" t="s">
        <v>327</v>
      </c>
      <c r="B2" s="0" t="s">
        <v>328</v>
      </c>
      <c r="C2" s="0" t="s">
        <v>329</v>
      </c>
      <c r="D2" s="0" t="n">
        <v>10</v>
      </c>
      <c r="E2" s="0" t="n">
        <v>271.22</v>
      </c>
      <c r="F2" s="0" t="s">
        <v>330</v>
      </c>
      <c r="H2" s="2" t="s">
        <v>331</v>
      </c>
      <c r="I2" s="3" t="s">
        <v>332</v>
      </c>
    </row>
    <row r="3" customFormat="false" ht="15" hidden="false" customHeight="false" outlineLevel="0" collapsed="false">
      <c r="A3" s="0" t="s">
        <v>333</v>
      </c>
      <c r="B3" s="0" t="s">
        <v>52</v>
      </c>
      <c r="C3" s="0" t="s">
        <v>334</v>
      </c>
      <c r="D3" s="0" t="n">
        <v>11</v>
      </c>
      <c r="E3" s="0" t="n">
        <v>510.8</v>
      </c>
      <c r="F3" s="0" t="s">
        <v>335</v>
      </c>
      <c r="G3" s="0" t="n">
        <v>77.03</v>
      </c>
      <c r="H3" s="2" t="s">
        <v>331</v>
      </c>
      <c r="I3" s="3" t="s">
        <v>336</v>
      </c>
    </row>
    <row r="4" customFormat="false" ht="15" hidden="false" customHeight="false" outlineLevel="0" collapsed="false">
      <c r="A4" s="0" t="s">
        <v>337</v>
      </c>
      <c r="B4" s="0" t="s">
        <v>160</v>
      </c>
      <c r="C4" s="0" t="s">
        <v>338</v>
      </c>
      <c r="D4" s="0" t="n">
        <v>8.5</v>
      </c>
      <c r="E4" s="0" t="n">
        <v>82.36</v>
      </c>
      <c r="F4" s="0" t="s">
        <v>339</v>
      </c>
      <c r="H4" s="2" t="s">
        <v>331</v>
      </c>
      <c r="I4" s="3" t="s">
        <v>340</v>
      </c>
    </row>
    <row r="5" customFormat="false" ht="15" hidden="false" customHeight="false" outlineLevel="0" collapsed="false">
      <c r="A5" s="0" t="s">
        <v>341</v>
      </c>
      <c r="B5" s="0" t="s">
        <v>122</v>
      </c>
      <c r="C5" s="0" t="s">
        <v>338</v>
      </c>
      <c r="D5" s="0" t="n">
        <v>8.5</v>
      </c>
      <c r="E5" s="0" t="n">
        <v>82.36</v>
      </c>
      <c r="F5" s="0" t="s">
        <v>342</v>
      </c>
      <c r="H5" s="2" t="s">
        <v>331</v>
      </c>
      <c r="I5" s="3" t="s">
        <v>343</v>
      </c>
    </row>
    <row r="6" customFormat="false" ht="15" hidden="false" customHeight="false" outlineLevel="0" collapsed="false">
      <c r="B6" s="4" t="s">
        <v>344</v>
      </c>
      <c r="E6" s="4" t="n">
        <f aca="false">SUM(E2:E5)</f>
        <v>946.74</v>
      </c>
      <c r="G6" s="4" t="n">
        <f aca="false">SUM(G2:G5)</f>
        <v>77.03</v>
      </c>
    </row>
    <row r="8" customFormat="false" ht="15" hidden="false" customHeight="false" outlineLevel="0" collapsed="false">
      <c r="B8" s="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5" t="s">
        <v>319</v>
      </c>
      <c r="B1" s="5" t="s">
        <v>346</v>
      </c>
      <c r="C1" s="5" t="s">
        <v>347</v>
      </c>
      <c r="D1" s="5" t="s">
        <v>348</v>
      </c>
      <c r="E1" s="5" t="s">
        <v>349</v>
      </c>
      <c r="F1" s="5" t="s">
        <v>350</v>
      </c>
      <c r="G1" s="5" t="s">
        <v>351</v>
      </c>
      <c r="H1" s="5" t="s">
        <v>352</v>
      </c>
      <c r="I1" s="5" t="s">
        <v>39</v>
      </c>
    </row>
    <row r="2" customFormat="false" ht="15" hidden="false" customHeight="false" outlineLevel="0" collapsed="false">
      <c r="A2" s="0" t="s">
        <v>353</v>
      </c>
      <c r="B2" s="0" t="s">
        <v>354</v>
      </c>
      <c r="C2" s="0" t="s">
        <v>355</v>
      </c>
      <c r="D2" s="0" t="n">
        <v>8</v>
      </c>
      <c r="E2" s="0" t="n">
        <v>35.79</v>
      </c>
      <c r="F2" s="0" t="n">
        <v>12.01</v>
      </c>
      <c r="G2" s="0" t="n">
        <v>12.01</v>
      </c>
      <c r="H2" s="0" t="s">
        <v>356</v>
      </c>
      <c r="I2" s="0" t="s">
        <v>357</v>
      </c>
    </row>
    <row r="3" customFormat="false" ht="15" hidden="false" customHeight="false" outlineLevel="0" collapsed="false">
      <c r="A3" s="0" t="s">
        <v>358</v>
      </c>
      <c r="B3" s="0" t="s">
        <v>359</v>
      </c>
      <c r="C3" s="0" t="s">
        <v>360</v>
      </c>
      <c r="D3" s="0" t="s">
        <v>361</v>
      </c>
      <c r="E3" s="2" t="s">
        <v>362</v>
      </c>
      <c r="F3" s="2" t="s">
        <v>362</v>
      </c>
      <c r="G3" s="2" t="s">
        <v>362</v>
      </c>
      <c r="H3" s="3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5" t="s">
        <v>364</v>
      </c>
      <c r="B1" s="5" t="s">
        <v>365</v>
      </c>
      <c r="C1" s="5" t="s">
        <v>366</v>
      </c>
      <c r="D1" s="5" t="s">
        <v>367</v>
      </c>
    </row>
    <row r="2" customFormat="false" ht="15" hidden="false" customHeight="false" outlineLevel="0" collapsed="false">
      <c r="A2" s="0" t="n">
        <v>1</v>
      </c>
      <c r="B2" s="0" t="s">
        <v>368</v>
      </c>
      <c r="C2" s="0" t="s">
        <v>369</v>
      </c>
      <c r="D2" s="0" t="s">
        <v>370</v>
      </c>
    </row>
    <row r="3" customFormat="false" ht="15" hidden="false" customHeight="false" outlineLevel="0" collapsed="false">
      <c r="A3" s="0" t="n">
        <v>2</v>
      </c>
      <c r="B3" s="0" t="s">
        <v>371</v>
      </c>
      <c r="C3" s="0" t="s">
        <v>372</v>
      </c>
      <c r="D3" s="0" t="s">
        <v>370</v>
      </c>
    </row>
    <row r="4" customFormat="false" ht="15" hidden="false" customHeight="false" outlineLevel="0" collapsed="false">
      <c r="A4" s="0" t="n">
        <v>3</v>
      </c>
      <c r="B4" s="0" t="s">
        <v>371</v>
      </c>
      <c r="C4" s="0" t="s">
        <v>373</v>
      </c>
      <c r="D4" s="0" t="s">
        <v>370</v>
      </c>
    </row>
    <row r="5" customFormat="false" ht="15" hidden="false" customHeight="false" outlineLevel="0" collapsed="false">
      <c r="A5" s="0" t="n">
        <v>4</v>
      </c>
      <c r="B5" s="0" t="s">
        <v>374</v>
      </c>
      <c r="C5" s="0" t="s">
        <v>375</v>
      </c>
      <c r="D5" s="0" t="s">
        <v>370</v>
      </c>
    </row>
    <row r="6" customFormat="false" ht="15" hidden="false" customHeight="false" outlineLevel="0" collapsed="false">
      <c r="A6" s="0" t="n">
        <v>5</v>
      </c>
      <c r="B6" s="0" t="s">
        <v>376</v>
      </c>
      <c r="C6" s="0" t="s">
        <v>377</v>
      </c>
      <c r="D6" s="0" t="s">
        <v>370</v>
      </c>
    </row>
    <row r="7" customFormat="false" ht="15" hidden="false" customHeight="false" outlineLevel="0" collapsed="false">
      <c r="A7" s="0" t="n">
        <v>6</v>
      </c>
      <c r="B7" s="0" t="s">
        <v>378</v>
      </c>
      <c r="C7" s="0" t="s">
        <v>379</v>
      </c>
      <c r="D7" s="0" t="s">
        <v>370</v>
      </c>
    </row>
    <row r="8" customFormat="false" ht="15" hidden="false" customHeight="false" outlineLevel="0" collapsed="false">
      <c r="A8" s="0" t="n">
        <v>7</v>
      </c>
      <c r="B8" s="0" t="s">
        <v>380</v>
      </c>
      <c r="C8" s="0" t="s">
        <v>381</v>
      </c>
      <c r="D8" s="0" t="s">
        <v>370</v>
      </c>
    </row>
    <row r="9" customFormat="false" ht="15" hidden="false" customHeight="false" outlineLevel="0" collapsed="false">
      <c r="A9" s="0" t="n">
        <v>8</v>
      </c>
      <c r="B9" s="0" t="s">
        <v>380</v>
      </c>
      <c r="C9" s="0" t="s">
        <v>382</v>
      </c>
      <c r="D9" s="0" t="s">
        <v>370</v>
      </c>
    </row>
    <row r="10" customFormat="false" ht="15" hidden="false" customHeight="false" outlineLevel="0" collapsed="false">
      <c r="A10" s="0" t="n">
        <v>9</v>
      </c>
      <c r="B10" s="0" t="s">
        <v>380</v>
      </c>
      <c r="C10" s="0" t="s">
        <v>379</v>
      </c>
      <c r="D10" s="0" t="s">
        <v>370</v>
      </c>
    </row>
    <row r="11" customFormat="false" ht="15" hidden="false" customHeight="false" outlineLevel="0" collapsed="false">
      <c r="A11" s="0" t="n">
        <v>10</v>
      </c>
      <c r="B11" s="0" t="s">
        <v>380</v>
      </c>
      <c r="C11" s="0" t="s">
        <v>372</v>
      </c>
      <c r="D11" s="0" t="s">
        <v>370</v>
      </c>
    </row>
    <row r="12" customFormat="false" ht="15" hidden="false" customHeight="false" outlineLevel="0" collapsed="false">
      <c r="A12" s="0" t="n">
        <v>11</v>
      </c>
      <c r="B12" s="0" t="s">
        <v>383</v>
      </c>
      <c r="C12" s="0" t="s">
        <v>384</v>
      </c>
      <c r="D12" s="0" t="s">
        <v>370</v>
      </c>
    </row>
    <row r="13" customFormat="false" ht="15" hidden="false" customHeight="false" outlineLevel="0" collapsed="false">
      <c r="A13" s="0" t="n">
        <v>12</v>
      </c>
      <c r="B13" s="0" t="s">
        <v>383</v>
      </c>
      <c r="C13" s="0" t="s">
        <v>385</v>
      </c>
      <c r="D13" s="0" t="s">
        <v>370</v>
      </c>
    </row>
    <row r="14" customFormat="false" ht="15" hidden="false" customHeight="false" outlineLevel="0" collapsed="false">
      <c r="A14" s="0" t="n">
        <v>13</v>
      </c>
      <c r="B14" s="0" t="s">
        <v>386</v>
      </c>
      <c r="C14" s="0" t="s">
        <v>385</v>
      </c>
      <c r="D14" s="0" t="s">
        <v>370</v>
      </c>
    </row>
    <row r="15" customFormat="false" ht="15" hidden="false" customHeight="false" outlineLevel="0" collapsed="false">
      <c r="A15" s="0" t="n">
        <v>14</v>
      </c>
      <c r="B15" s="0" t="s">
        <v>387</v>
      </c>
      <c r="C15" s="0" t="s">
        <v>384</v>
      </c>
      <c r="D15" s="0" t="s">
        <v>370</v>
      </c>
    </row>
    <row r="16" customFormat="false" ht="15" hidden="false" customHeight="false" outlineLevel="0" collapsed="false">
      <c r="A16" s="0" t="n">
        <v>15</v>
      </c>
      <c r="B16" s="0" t="s">
        <v>388</v>
      </c>
      <c r="C16" s="0" t="s">
        <v>372</v>
      </c>
      <c r="D16" s="0" t="s">
        <v>370</v>
      </c>
    </row>
    <row r="17" customFormat="false" ht="15" hidden="false" customHeight="false" outlineLevel="0" collapsed="false">
      <c r="A17" s="0" t="n">
        <v>16</v>
      </c>
      <c r="B17" s="0" t="s">
        <v>389</v>
      </c>
      <c r="C17" s="0" t="s">
        <v>384</v>
      </c>
      <c r="D17" s="0" t="s">
        <v>370</v>
      </c>
    </row>
    <row r="18" customFormat="false" ht="15" hidden="false" customHeight="false" outlineLevel="0" collapsed="false">
      <c r="A18" s="0" t="n">
        <v>17</v>
      </c>
      <c r="B18" s="0" t="s">
        <v>389</v>
      </c>
      <c r="C18" s="0" t="s">
        <v>381</v>
      </c>
      <c r="D18" s="0" t="s">
        <v>370</v>
      </c>
    </row>
    <row r="19" customFormat="false" ht="15" hidden="false" customHeight="false" outlineLevel="0" collapsed="false">
      <c r="A19" s="0" t="n">
        <v>18</v>
      </c>
      <c r="B19" s="0" t="s">
        <v>390</v>
      </c>
      <c r="C19" s="0" t="s">
        <v>384</v>
      </c>
      <c r="D19" s="0" t="s">
        <v>370</v>
      </c>
    </row>
    <row r="20" customFormat="false" ht="15" hidden="false" customHeight="false" outlineLevel="0" collapsed="false">
      <c r="A20" s="0" t="n">
        <v>19</v>
      </c>
      <c r="B20" s="0" t="s">
        <v>391</v>
      </c>
      <c r="C20" s="0" t="s">
        <v>392</v>
      </c>
      <c r="D20" s="0" t="s">
        <v>370</v>
      </c>
    </row>
    <row r="22" customFormat="false" ht="15" hidden="false" customHeight="false" outlineLevel="0" collapsed="false">
      <c r="B22" s="0" t="s">
        <v>393</v>
      </c>
      <c r="C22" s="0" t="n">
        <v>19</v>
      </c>
      <c r="D22" s="0" t="s">
        <v>394</v>
      </c>
    </row>
    <row r="23" customFormat="false" ht="15" hidden="false" customHeight="false" outlineLevel="0" collapsed="false">
      <c r="B23" s="0" t="s">
        <v>395</v>
      </c>
      <c r="C23" s="0" t="s">
        <v>396</v>
      </c>
    </row>
    <row r="24" customFormat="false" ht="15" hidden="false" customHeight="false" outlineLevel="0" collapsed="false">
      <c r="B24" s="0" t="s">
        <v>397</v>
      </c>
      <c r="C24" s="0" t="s">
        <v>398</v>
      </c>
    </row>
    <row r="25" customFormat="false" ht="15" hidden="false" customHeight="false" outlineLevel="0" collapsed="false">
      <c r="B25" s="0" t="s">
        <v>399</v>
      </c>
      <c r="C25" s="0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9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5" t="s">
        <v>401</v>
      </c>
      <c r="B1" s="5" t="s">
        <v>402</v>
      </c>
      <c r="C1" s="5" t="s">
        <v>403</v>
      </c>
      <c r="D1" s="5" t="s">
        <v>404</v>
      </c>
      <c r="E1" s="5" t="s">
        <v>37</v>
      </c>
      <c r="F1" s="5" t="s">
        <v>405</v>
      </c>
    </row>
    <row r="2" customFormat="false" ht="15" hidden="false" customHeight="false" outlineLevel="0" collapsed="false">
      <c r="A2" s="0" t="s">
        <v>406</v>
      </c>
      <c r="B2" s="0" t="s">
        <v>407</v>
      </c>
      <c r="C2" s="0" t="n">
        <v>18</v>
      </c>
      <c r="D2" s="0" t="s">
        <v>408</v>
      </c>
      <c r="E2" s="0" t="s">
        <v>409</v>
      </c>
      <c r="F2" s="0" t="s">
        <v>410</v>
      </c>
    </row>
    <row r="3" customFormat="false" ht="15" hidden="false" customHeight="false" outlineLevel="0" collapsed="false">
      <c r="A3" s="0" t="s">
        <v>411</v>
      </c>
      <c r="B3" s="0" t="s">
        <v>412</v>
      </c>
      <c r="C3" s="0" t="n">
        <v>29</v>
      </c>
      <c r="D3" s="0" t="s">
        <v>408</v>
      </c>
      <c r="E3" s="0" t="s">
        <v>409</v>
      </c>
      <c r="F3" s="0" t="s">
        <v>413</v>
      </c>
    </row>
    <row r="4" customFormat="false" ht="15" hidden="false" customHeight="false" outlineLevel="0" collapsed="false">
      <c r="A4" s="0" t="s">
        <v>414</v>
      </c>
      <c r="B4" s="0" t="s">
        <v>415</v>
      </c>
      <c r="C4" s="0" t="n">
        <v>31</v>
      </c>
      <c r="D4" s="0" t="s">
        <v>408</v>
      </c>
      <c r="E4" s="0" t="s">
        <v>409</v>
      </c>
      <c r="F4" s="0" t="s">
        <v>413</v>
      </c>
    </row>
    <row r="5" customFormat="false" ht="15" hidden="false" customHeight="false" outlineLevel="0" collapsed="false">
      <c r="A5" s="0" t="s">
        <v>416</v>
      </c>
      <c r="B5" s="0" t="s">
        <v>417</v>
      </c>
      <c r="C5" s="0" t="n">
        <v>2</v>
      </c>
      <c r="D5" s="0" t="s">
        <v>408</v>
      </c>
      <c r="E5" s="0" t="s">
        <v>409</v>
      </c>
      <c r="F5" s="0" t="s">
        <v>418</v>
      </c>
    </row>
    <row r="6" customFormat="false" ht="15" hidden="false" customHeight="false" outlineLevel="0" collapsed="false">
      <c r="A6" s="0" t="s">
        <v>419</v>
      </c>
      <c r="B6" s="0" t="s">
        <v>420</v>
      </c>
      <c r="C6" s="0" t="n">
        <v>4</v>
      </c>
      <c r="D6" s="0" t="s">
        <v>408</v>
      </c>
      <c r="E6" s="0" t="s">
        <v>409</v>
      </c>
      <c r="F6" s="0" t="s">
        <v>421</v>
      </c>
    </row>
    <row r="7" customFormat="false" ht="15" hidden="false" customHeight="false" outlineLevel="0" collapsed="false">
      <c r="A7" s="0" t="s">
        <v>422</v>
      </c>
      <c r="B7" s="0" t="s">
        <v>423</v>
      </c>
      <c r="C7" s="0" t="n">
        <v>20</v>
      </c>
      <c r="D7" s="0" t="s">
        <v>408</v>
      </c>
      <c r="E7" s="0" t="s">
        <v>409</v>
      </c>
      <c r="F7" s="0" t="s">
        <v>424</v>
      </c>
    </row>
    <row r="8" customFormat="false" ht="15" hidden="false" customHeight="false" outlineLevel="0" collapsed="false">
      <c r="A8" s="0" t="s">
        <v>425</v>
      </c>
      <c r="B8" s="0" t="s">
        <v>426</v>
      </c>
      <c r="C8" s="2" t="s">
        <v>362</v>
      </c>
      <c r="D8" s="3" t="s">
        <v>408</v>
      </c>
      <c r="E8" s="3" t="s">
        <v>427</v>
      </c>
      <c r="F8" s="3" t="s">
        <v>428</v>
      </c>
    </row>
    <row r="9" customFormat="false" ht="15" hidden="false" customHeight="false" outlineLevel="0" collapsed="false">
      <c r="A9" s="0" t="s">
        <v>429</v>
      </c>
      <c r="B9" s="0" t="s">
        <v>430</v>
      </c>
      <c r="C9" s="2" t="s">
        <v>362</v>
      </c>
      <c r="D9" s="3" t="s">
        <v>408</v>
      </c>
      <c r="E9" s="3" t="s">
        <v>427</v>
      </c>
      <c r="F9" s="3" t="s">
        <v>431</v>
      </c>
    </row>
    <row r="10" customFormat="false" ht="15" hidden="false" customHeight="false" outlineLevel="0" collapsed="false">
      <c r="A10" s="0" t="s">
        <v>432</v>
      </c>
      <c r="B10" s="0" t="s">
        <v>433</v>
      </c>
      <c r="C10" s="2" t="s">
        <v>362</v>
      </c>
      <c r="D10" s="3" t="s">
        <v>408</v>
      </c>
      <c r="E10" s="3" t="s">
        <v>427</v>
      </c>
      <c r="F10" s="3" t="s">
        <v>434</v>
      </c>
    </row>
    <row r="11" customFormat="false" ht="15" hidden="false" customHeight="false" outlineLevel="0" collapsed="false">
      <c r="A11" s="0" t="s">
        <v>435</v>
      </c>
      <c r="B11" s="0" t="s">
        <v>436</v>
      </c>
      <c r="C11" s="2" t="s">
        <v>362</v>
      </c>
      <c r="D11" s="3" t="s">
        <v>437</v>
      </c>
      <c r="E11" s="3" t="s">
        <v>427</v>
      </c>
      <c r="F11" s="3" t="s">
        <v>438</v>
      </c>
    </row>
    <row r="12" customFormat="false" ht="15" hidden="false" customHeight="false" outlineLevel="0" collapsed="false">
      <c r="A12" s="0" t="s">
        <v>439</v>
      </c>
      <c r="C12" s="0" t="n">
        <f aca="false">SUM(C2:C11)</f>
        <v>104</v>
      </c>
      <c r="D12" s="0" t="s">
        <v>408</v>
      </c>
      <c r="F12" s="0" t="s">
        <v>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401</v>
      </c>
      <c r="B1" s="5" t="s">
        <v>402</v>
      </c>
      <c r="C1" s="5" t="s">
        <v>403</v>
      </c>
      <c r="D1" s="5" t="s">
        <v>404</v>
      </c>
      <c r="E1" s="5" t="s">
        <v>37</v>
      </c>
    </row>
    <row r="2" customFormat="false" ht="15" hidden="false" customHeight="false" outlineLevel="0" collapsed="false">
      <c r="A2" s="0" t="s">
        <v>441</v>
      </c>
      <c r="B2" s="0" t="s">
        <v>442</v>
      </c>
      <c r="C2" s="0" t="n">
        <v>90.27</v>
      </c>
      <c r="D2" s="0" t="s">
        <v>437</v>
      </c>
      <c r="E2" s="0" t="s">
        <v>409</v>
      </c>
    </row>
    <row r="3" customFormat="false" ht="15" hidden="false" customHeight="false" outlineLevel="0" collapsed="false">
      <c r="A3" s="0" t="s">
        <v>443</v>
      </c>
      <c r="B3" s="0" t="s">
        <v>444</v>
      </c>
      <c r="C3" s="0" t="n">
        <v>90.27</v>
      </c>
      <c r="D3" s="0" t="s">
        <v>437</v>
      </c>
      <c r="E3" s="0" t="s">
        <v>409</v>
      </c>
    </row>
    <row r="4" customFormat="false" ht="15" hidden="false" customHeight="false" outlineLevel="0" collapsed="false">
      <c r="A4" s="0" t="s">
        <v>445</v>
      </c>
      <c r="B4" s="0" t="s">
        <v>446</v>
      </c>
      <c r="C4" s="0" t="n">
        <v>153.75</v>
      </c>
      <c r="D4" s="0" t="s">
        <v>437</v>
      </c>
      <c r="E4" s="0" t="s">
        <v>409</v>
      </c>
    </row>
    <row r="5" customFormat="false" ht="15" hidden="false" customHeight="false" outlineLevel="0" collapsed="false">
      <c r="A5" s="0" t="s">
        <v>447</v>
      </c>
      <c r="B5" s="0" t="s">
        <v>448</v>
      </c>
      <c r="C5" s="0" t="n">
        <v>153.75</v>
      </c>
      <c r="D5" s="0" t="s">
        <v>437</v>
      </c>
      <c r="E5" s="0" t="s">
        <v>409</v>
      </c>
    </row>
    <row r="6" customFormat="false" ht="15" hidden="false" customHeight="false" outlineLevel="0" collapsed="false">
      <c r="A6" s="0" t="s">
        <v>449</v>
      </c>
      <c r="B6" s="0" t="s">
        <v>450</v>
      </c>
      <c r="C6" s="0" t="n">
        <v>16</v>
      </c>
      <c r="D6" s="0" t="s">
        <v>437</v>
      </c>
      <c r="E6" s="0" t="s">
        <v>409</v>
      </c>
    </row>
    <row r="7" customFormat="false" ht="15" hidden="false" customHeight="false" outlineLevel="0" collapsed="false">
      <c r="A7" s="0" t="s">
        <v>451</v>
      </c>
      <c r="B7" s="0" t="s">
        <v>452</v>
      </c>
      <c r="C7" s="2" t="s">
        <v>362</v>
      </c>
      <c r="D7" s="3" t="s">
        <v>437</v>
      </c>
      <c r="E7" s="3" t="s">
        <v>427</v>
      </c>
    </row>
    <row r="8" customFormat="false" ht="15" hidden="false" customHeight="false" outlineLevel="0" collapsed="false">
      <c r="A8" s="0" t="s">
        <v>453</v>
      </c>
      <c r="B8" s="0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9" min="2" style="0" width="13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5" t="s">
        <v>455</v>
      </c>
      <c r="B1" s="5" t="s">
        <v>456</v>
      </c>
      <c r="C1" s="5" t="s">
        <v>404</v>
      </c>
      <c r="D1" s="5" t="s">
        <v>457</v>
      </c>
      <c r="E1" s="5" t="s">
        <v>458</v>
      </c>
      <c r="F1" s="5" t="s">
        <v>459</v>
      </c>
      <c r="G1" s="5" t="s">
        <v>460</v>
      </c>
      <c r="H1" s="5" t="s">
        <v>461</v>
      </c>
      <c r="I1" s="5" t="s">
        <v>462</v>
      </c>
      <c r="J1" s="5" t="s">
        <v>463</v>
      </c>
    </row>
    <row r="2" customFormat="false" ht="15" hidden="false" customHeight="false" outlineLevel="0" collapsed="false">
      <c r="A2" s="0" t="s">
        <v>464</v>
      </c>
      <c r="B2" s="0" t="s">
        <v>465</v>
      </c>
      <c r="C2" s="0" t="s">
        <v>408</v>
      </c>
      <c r="D2" s="0" t="n">
        <f aca="false">SUMIFS(Takeoff!H2:H45,Takeoff!J2:J45,"362S137-33")</f>
        <v>3061.71</v>
      </c>
      <c r="E2" s="0" t="n">
        <f aca="false">Inputs!B2</f>
        <v>0.15</v>
      </c>
      <c r="F2" s="0" t="n">
        <f aca="false">ROUND(D2*E2,2)</f>
        <v>459.26</v>
      </c>
      <c r="G2" s="0" t="n">
        <f aca="false">D2+F2</f>
        <v>3520.97</v>
      </c>
      <c r="H2" s="0" t="n">
        <f aca="false">Inputs!B6</f>
        <v>20</v>
      </c>
      <c r="I2" s="0" t="n">
        <f aca="false">ROUNDUP(G2/H2,0)</f>
        <v>177</v>
      </c>
      <c r="J2" s="0" t="s">
        <v>466</v>
      </c>
    </row>
    <row r="3" customFormat="false" ht="15" hidden="false" customHeight="false" outlineLevel="0" collapsed="false">
      <c r="A3" s="0" t="s">
        <v>467</v>
      </c>
      <c r="B3" s="0" t="s">
        <v>465</v>
      </c>
      <c r="C3" s="0" t="s">
        <v>408</v>
      </c>
      <c r="D3" s="0" t="n">
        <f aca="false">SUMIFS(Takeoff!H2:H45,Takeoff!J2:J45,"362S137-68")</f>
        <v>310.38</v>
      </c>
      <c r="E3" s="0" t="n">
        <f aca="false">Inputs!B2</f>
        <v>0.15</v>
      </c>
      <c r="F3" s="0" t="n">
        <f aca="false">ROUND(D3*E3,2)</f>
        <v>46.56</v>
      </c>
      <c r="G3" s="0" t="n">
        <f aca="false">D3+F3</f>
        <v>356.94</v>
      </c>
      <c r="H3" s="0" t="n">
        <f aca="false">Inputs!B6</f>
        <v>20</v>
      </c>
      <c r="I3" s="0" t="n">
        <f aca="false">ROUNDUP(G3/H3,0)</f>
        <v>18</v>
      </c>
      <c r="J3" s="0" t="s">
        <v>468</v>
      </c>
    </row>
    <row r="4" customFormat="false" ht="15" hidden="false" customHeight="false" outlineLevel="0" collapsed="false">
      <c r="A4" s="0" t="s">
        <v>469</v>
      </c>
      <c r="B4" s="0" t="s">
        <v>465</v>
      </c>
      <c r="C4" s="0" t="s">
        <v>408</v>
      </c>
      <c r="D4" s="0" t="n">
        <f aca="false">SUMIFS(Takeoff!G2:G45,Takeoff!J2:J45,"600S137-33")</f>
        <v>1794.36</v>
      </c>
      <c r="E4" s="0" t="n">
        <f aca="false">Inputs!B2</f>
        <v>0.15</v>
      </c>
      <c r="F4" s="0" t="n">
        <f aca="false">ROUND(D4*E4,2)</f>
        <v>269.15</v>
      </c>
      <c r="G4" s="0" t="n">
        <f aca="false">D4+F4</f>
        <v>2063.51</v>
      </c>
      <c r="H4" s="0" t="n">
        <f aca="false">Inputs!B6</f>
        <v>20</v>
      </c>
      <c r="I4" s="0" t="n">
        <f aca="false">ROUNDUP(G4/H4,0)</f>
        <v>104</v>
      </c>
      <c r="J4" s="0" t="s">
        <v>470</v>
      </c>
    </row>
    <row r="5" customFormat="false" ht="15" hidden="false" customHeight="false" outlineLevel="0" collapsed="false">
      <c r="A5" s="0" t="s">
        <v>471</v>
      </c>
      <c r="B5" s="0" t="s">
        <v>465</v>
      </c>
      <c r="C5" s="0" t="s">
        <v>408</v>
      </c>
      <c r="D5" s="0" t="n">
        <f aca="false">SUMIFS(Takeoff!G2:G45,Takeoff!J2:J45,"600S137-68")</f>
        <v>61.5</v>
      </c>
      <c r="E5" s="0" t="n">
        <f aca="false">Inputs!B2</f>
        <v>0.15</v>
      </c>
      <c r="F5" s="0" t="n">
        <f aca="false">ROUND(D5*E5,2)</f>
        <v>9.23</v>
      </c>
      <c r="G5" s="0" t="n">
        <f aca="false">D5+F5</f>
        <v>70.73</v>
      </c>
      <c r="H5" s="0" t="n">
        <f aca="false">Inputs!B6</f>
        <v>20</v>
      </c>
      <c r="I5" s="0" t="n">
        <f aca="false">ROUNDUP(G5/H5,0)</f>
        <v>4</v>
      </c>
      <c r="J5" s="0" t="s">
        <v>472</v>
      </c>
    </row>
    <row r="6" customFormat="false" ht="15" hidden="false" customHeight="false" outlineLevel="0" collapsed="false">
      <c r="A6" s="0" t="s">
        <v>473</v>
      </c>
      <c r="B6" s="0" t="s">
        <v>465</v>
      </c>
      <c r="C6" s="0" t="s">
        <v>408</v>
      </c>
      <c r="D6" s="0" t="n">
        <f aca="false">Takeoff!I46+'Opening Bands'!E8</f>
        <v>3998.25</v>
      </c>
      <c r="E6" s="0" t="n">
        <f aca="false">Inputs!B2</f>
        <v>0.15</v>
      </c>
      <c r="F6" s="0" t="n">
        <f aca="false">ROUND(D6*E6,2)</f>
        <v>599.74</v>
      </c>
      <c r="G6" s="0" t="n">
        <f aca="false">D6+F6</f>
        <v>4597.99</v>
      </c>
      <c r="H6" s="0" t="n">
        <f aca="false">Inputs!B6</f>
        <v>20</v>
      </c>
      <c r="I6" s="0" t="n">
        <f aca="false">ROUNDUP(G6/H6,0)</f>
        <v>230</v>
      </c>
      <c r="J6" s="0" t="s">
        <v>474</v>
      </c>
    </row>
    <row r="7" customFormat="false" ht="15" hidden="false" customHeight="false" outlineLevel="0" collapsed="false">
      <c r="A7" s="0" t="s">
        <v>475</v>
      </c>
      <c r="B7" s="0" t="s">
        <v>465</v>
      </c>
      <c r="C7" s="0" t="s">
        <v>408</v>
      </c>
      <c r="D7" s="0" t="n">
        <f aca="false">Exterior!E14</f>
        <v>3844.7</v>
      </c>
      <c r="E7" s="0" t="n">
        <f aca="false">Inputs!B2</f>
        <v>0.15</v>
      </c>
      <c r="F7" s="0" t="n">
        <f aca="false">ROUND(D7*E7,2)</f>
        <v>576.71</v>
      </c>
      <c r="G7" s="0" t="n">
        <f aca="false">D7+F7</f>
        <v>4421.41</v>
      </c>
      <c r="H7" s="0" t="n">
        <f aca="false">Inputs!B6</f>
        <v>20</v>
      </c>
      <c r="I7" s="0" t="n">
        <f aca="false">ROUNDUP(G7/H7,0)</f>
        <v>222</v>
      </c>
      <c r="J7" s="0" t="s">
        <v>476</v>
      </c>
    </row>
    <row r="8" customFormat="false" ht="15" hidden="false" customHeight="false" outlineLevel="0" collapsed="false">
      <c r="A8" s="0" t="s">
        <v>477</v>
      </c>
      <c r="B8" s="0" t="s">
        <v>465</v>
      </c>
      <c r="C8" s="0" t="s">
        <v>408</v>
      </c>
      <c r="D8" s="0" t="n">
        <f aca="false">Exterior!F14</f>
        <v>966.55</v>
      </c>
      <c r="E8" s="0" t="n">
        <f aca="false">Inputs!B2</f>
        <v>0.15</v>
      </c>
      <c r="F8" s="0" t="n">
        <f aca="false">ROUND(D8*E8,2)</f>
        <v>144.98</v>
      </c>
      <c r="G8" s="0" t="n">
        <f aca="false">D8+F8</f>
        <v>1111.53</v>
      </c>
      <c r="H8" s="0" t="n">
        <f aca="false">Inputs!B6</f>
        <v>20</v>
      </c>
      <c r="I8" s="0" t="n">
        <f aca="false">ROUNDUP(G8/H8,0)</f>
        <v>56</v>
      </c>
      <c r="J8" s="0" t="s">
        <v>478</v>
      </c>
    </row>
    <row r="9" customFormat="false" ht="15" hidden="false" customHeight="false" outlineLevel="0" collapsed="false">
      <c r="A9" s="0" t="s">
        <v>479</v>
      </c>
      <c r="B9" s="0" t="s">
        <v>465</v>
      </c>
      <c r="C9" s="0" t="s">
        <v>408</v>
      </c>
      <c r="D9" s="0" t="n">
        <f aca="false">Takeoff!AB46+'Opening Bands'!G8</f>
        <v>590.45</v>
      </c>
      <c r="E9" s="0" t="n">
        <f aca="false">Inputs!B2</f>
        <v>0.15</v>
      </c>
      <c r="F9" s="0" t="n">
        <f aca="false">ROUND(D9*E9,2)</f>
        <v>88.57</v>
      </c>
      <c r="G9" s="0" t="n">
        <f aca="false">D9+F9</f>
        <v>679.02</v>
      </c>
      <c r="H9" s="0" t="n">
        <f aca="false">Inputs!B7</f>
        <v>10</v>
      </c>
      <c r="I9" s="0" t="n">
        <f aca="false">ROUNDUP(G9/H9,0)</f>
        <v>68</v>
      </c>
      <c r="J9" s="0" t="s">
        <v>480</v>
      </c>
    </row>
    <row r="10" customFormat="false" ht="15" hidden="false" customHeight="false" outlineLevel="0" collapsed="false">
      <c r="A10" s="0" t="s">
        <v>481</v>
      </c>
      <c r="B10" s="0" t="s">
        <v>465</v>
      </c>
      <c r="C10" s="0" t="s">
        <v>408</v>
      </c>
      <c r="D10" s="0" t="n">
        <f aca="false">Takeoff!AC46+'Opening Bands'!H8</f>
        <v>590.45</v>
      </c>
      <c r="E10" s="0" t="n">
        <f aca="false">Inputs!B2</f>
        <v>0.15</v>
      </c>
      <c r="F10" s="0" t="n">
        <f aca="false">ROUND(D10*E10,2)</f>
        <v>88.57</v>
      </c>
      <c r="G10" s="0" t="n">
        <f aca="false">D10+F10</f>
        <v>679.02</v>
      </c>
      <c r="H10" s="0" t="n">
        <f aca="false">Inputs!B7</f>
        <v>10</v>
      </c>
      <c r="I10" s="0" t="n">
        <f aca="false">ROUNDUP(G10/H10,0)</f>
        <v>68</v>
      </c>
      <c r="J10" s="0" t="s">
        <v>482</v>
      </c>
    </row>
    <row r="11" customFormat="false" ht="15" hidden="false" customHeight="false" outlineLevel="0" collapsed="false">
      <c r="A11" s="0" t="s">
        <v>483</v>
      </c>
      <c r="B11" s="0" t="s">
        <v>465</v>
      </c>
      <c r="C11" s="0" t="s">
        <v>408</v>
      </c>
      <c r="D11" s="0" t="n">
        <f aca="false">Exterior!H14</f>
        <v>524.98</v>
      </c>
      <c r="E11" s="0" t="n">
        <f aca="false">Inputs!B2</f>
        <v>0.15</v>
      </c>
      <c r="F11" s="0" t="n">
        <f aca="false">ROUND(D11*E11,2)</f>
        <v>78.75</v>
      </c>
      <c r="G11" s="0" t="n">
        <f aca="false">D11+F11</f>
        <v>603.73</v>
      </c>
      <c r="H11" s="0" t="n">
        <f aca="false">Inputs!B7</f>
        <v>10</v>
      </c>
      <c r="I11" s="0" t="n">
        <f aca="false">ROUNDUP(G11/H11,0)</f>
        <v>61</v>
      </c>
      <c r="J11" s="0" t="s">
        <v>484</v>
      </c>
    </row>
    <row r="12" customFormat="false" ht="15" hidden="false" customHeight="false" outlineLevel="0" collapsed="false">
      <c r="A12" s="0" t="s">
        <v>485</v>
      </c>
      <c r="B12" s="0" t="s">
        <v>465</v>
      </c>
      <c r="C12" s="0" t="s">
        <v>408</v>
      </c>
      <c r="D12" s="0" t="n">
        <f aca="false">Exterior!I14</f>
        <v>524.98</v>
      </c>
      <c r="E12" s="0" t="n">
        <f aca="false">Inputs!B2</f>
        <v>0.15</v>
      </c>
      <c r="F12" s="0" t="n">
        <f aca="false">ROUND(D12*E12,2)</f>
        <v>78.75</v>
      </c>
      <c r="G12" s="0" t="n">
        <f aca="false">D12+F12</f>
        <v>603.73</v>
      </c>
      <c r="H12" s="0" t="n">
        <f aca="false">Inputs!B7</f>
        <v>10</v>
      </c>
      <c r="I12" s="0" t="n">
        <f aca="false">ROUNDUP(G12/H12,0)</f>
        <v>61</v>
      </c>
      <c r="J12" s="0" t="s">
        <v>486</v>
      </c>
    </row>
    <row r="13" customFormat="false" ht="15" hidden="false" customHeight="false" outlineLevel="0" collapsed="false">
      <c r="A13" s="0" t="s">
        <v>487</v>
      </c>
      <c r="B13" s="0" t="s">
        <v>465</v>
      </c>
      <c r="C13" s="0" t="s">
        <v>408</v>
      </c>
      <c r="D13" s="0" t="n">
        <f aca="false">Takeoff!AG46+Exterior!J14+Exterior!R14+'Opening Bands'!I8</f>
        <v>216.61</v>
      </c>
      <c r="E13" s="0" t="n">
        <f aca="false">Inputs!B2</f>
        <v>0.15</v>
      </c>
      <c r="F13" s="0" t="n">
        <f aca="false">ROUND(D13*E13,2)</f>
        <v>32.49</v>
      </c>
      <c r="G13" s="0" t="n">
        <f aca="false">D13+F13</f>
        <v>249.1</v>
      </c>
      <c r="H13" s="0" t="n">
        <f aca="false">Inputs!B7</f>
        <v>10</v>
      </c>
      <c r="I13" s="0" t="n">
        <f aca="false">ROUNDUP(G13/H13,0)</f>
        <v>25</v>
      </c>
      <c r="J13" s="0" t="s">
        <v>488</v>
      </c>
    </row>
    <row r="14" customFormat="false" ht="15" hidden="false" customHeight="false" outlineLevel="0" collapsed="false">
      <c r="A14" s="0" t="s">
        <v>489</v>
      </c>
      <c r="B14" s="0" t="s">
        <v>465</v>
      </c>
      <c r="C14" s="0" t="s">
        <v>408</v>
      </c>
      <c r="D14" s="0" t="n">
        <f aca="false">Exterior!K14</f>
        <v>50.18</v>
      </c>
      <c r="E14" s="0" t="n">
        <f aca="false">Inputs!B2</f>
        <v>0.15</v>
      </c>
      <c r="F14" s="0" t="n">
        <f aca="false">ROUND(D14*E14,2)</f>
        <v>7.53</v>
      </c>
      <c r="G14" s="0" t="n">
        <f aca="false">D14+F14</f>
        <v>57.71</v>
      </c>
      <c r="H14" s="0" t="n">
        <f aca="false">Inputs!B7</f>
        <v>10</v>
      </c>
      <c r="I14" s="0" t="n">
        <f aca="false">ROUNDUP(G14/H14,0)</f>
        <v>6</v>
      </c>
      <c r="J14" s="0" t="s">
        <v>490</v>
      </c>
    </row>
    <row r="15" customFormat="false" ht="15" hidden="false" customHeight="false" outlineLevel="0" collapsed="false">
      <c r="A15" s="0" t="s">
        <v>491</v>
      </c>
      <c r="B15" s="0" t="s">
        <v>465</v>
      </c>
      <c r="C15" s="0" t="s">
        <v>408</v>
      </c>
      <c r="D15" s="0" t="n">
        <f aca="false">Takeoff!AE46+Exterior!L14</f>
        <v>2313.48</v>
      </c>
      <c r="E15" s="0" t="n">
        <f aca="false">Inputs!B2</f>
        <v>0.15</v>
      </c>
      <c r="F15" s="0" t="n">
        <f aca="false">ROUND(D15*E15,2)</f>
        <v>347.02</v>
      </c>
      <c r="G15" s="0" t="n">
        <f aca="false">D15+F15</f>
        <v>2660.5</v>
      </c>
      <c r="H15" s="0" t="n">
        <f aca="false">Inputs!B8</f>
        <v>16</v>
      </c>
      <c r="I15" s="0" t="n">
        <f aca="false">ROUNDUP(G15/H15,0)</f>
        <v>167</v>
      </c>
      <c r="J15" s="0" t="s">
        <v>492</v>
      </c>
    </row>
    <row r="16" customFormat="false" ht="15" hidden="false" customHeight="false" outlineLevel="0" collapsed="false">
      <c r="A16" s="0" t="s">
        <v>493</v>
      </c>
      <c r="B16" s="0" t="s">
        <v>465</v>
      </c>
      <c r="C16" s="0" t="s">
        <v>494</v>
      </c>
      <c r="D16" s="0" t="n">
        <f aca="false">Takeoff!AF46+Exterior!M14</f>
        <v>5814</v>
      </c>
      <c r="E16" s="0" t="n">
        <f aca="false">Inputs!B2</f>
        <v>0.15</v>
      </c>
      <c r="F16" s="0" t="n">
        <f aca="false">ROUND(D16*E16,2)</f>
        <v>872.1</v>
      </c>
      <c r="G16" s="0" t="n">
        <f aca="false">D16+F16</f>
        <v>6686.1</v>
      </c>
      <c r="J16" s="0" t="s">
        <v>492</v>
      </c>
    </row>
    <row r="17" customFormat="false" ht="15" hidden="false" customHeight="false" outlineLevel="0" collapsed="false">
      <c r="A17" s="0" t="s">
        <v>495</v>
      </c>
      <c r="B17" s="0" t="s">
        <v>465</v>
      </c>
      <c r="C17" s="0" t="s">
        <v>408</v>
      </c>
      <c r="D17" s="0" t="n">
        <v>95</v>
      </c>
      <c r="E17" s="0" t="n">
        <f aca="false">Inputs!B2</f>
        <v>0.15</v>
      </c>
      <c r="F17" s="0" t="n">
        <f aca="false">ROUND(D17*E17,2)</f>
        <v>14.25</v>
      </c>
      <c r="G17" s="0" t="n">
        <f aca="false">D17+F17</f>
        <v>109.25</v>
      </c>
      <c r="H17" s="0" t="n">
        <f aca="false">Inputs!B7</f>
        <v>10</v>
      </c>
      <c r="I17" s="0" t="n">
        <f aca="false">ROUNDUP(G17/H17,0)</f>
        <v>11</v>
      </c>
      <c r="J17" s="0" t="s">
        <v>496</v>
      </c>
    </row>
    <row r="18" customFormat="false" ht="15" hidden="false" customHeight="false" outlineLevel="0" collapsed="false">
      <c r="A18" s="0" t="s">
        <v>497</v>
      </c>
      <c r="B18" s="0" t="s">
        <v>498</v>
      </c>
      <c r="C18" s="0" t="s">
        <v>437</v>
      </c>
      <c r="D18" s="0" t="n">
        <f aca="false">Takeoff!T46+'Opening Bands'!J8+Exterior!N14-'Wet Zones'!C2-'Wet Zones'!C3</f>
        <v>16431.40538</v>
      </c>
      <c r="E18" s="0" t="n">
        <f aca="false">Inputs!B3</f>
        <v>0.06</v>
      </c>
      <c r="F18" s="0" t="n">
        <f aca="false">ROUND(D18*E18,2)</f>
        <v>985.88</v>
      </c>
      <c r="G18" s="0" t="n">
        <f aca="false">D18+F18</f>
        <v>17417.28538</v>
      </c>
      <c r="H18" s="0" t="n">
        <f aca="false">Inputs!B12</f>
        <v>48</v>
      </c>
      <c r="I18" s="0" t="n">
        <f aca="false">ROUNDUP(G18/H18,0)</f>
        <v>363</v>
      </c>
      <c r="J18" s="0" t="s">
        <v>499</v>
      </c>
    </row>
    <row r="19" customFormat="false" ht="15" hidden="false" customHeight="false" outlineLevel="0" collapsed="false">
      <c r="A19" s="0" t="s">
        <v>500</v>
      </c>
      <c r="B19" s="0" t="s">
        <v>498</v>
      </c>
      <c r="C19" s="0" t="s">
        <v>437</v>
      </c>
      <c r="D19" s="0" t="n">
        <f aca="false">'Wet Zones'!C2+'Wet Zones'!C3</f>
        <v>180.54</v>
      </c>
      <c r="E19" s="0" t="n">
        <f aca="false">Inputs!B3</f>
        <v>0.06</v>
      </c>
      <c r="F19" s="0" t="n">
        <f aca="false">ROUND(D19*E19,2)</f>
        <v>10.83</v>
      </c>
      <c r="G19" s="0" t="n">
        <f aca="false">D19+F19</f>
        <v>191.37</v>
      </c>
      <c r="H19" s="0" t="n">
        <f aca="false">Inputs!B12</f>
        <v>48</v>
      </c>
      <c r="I19" s="0" t="n">
        <f aca="false">ROUNDUP(G19/H19,0)</f>
        <v>4</v>
      </c>
      <c r="J19" s="0" t="s">
        <v>501</v>
      </c>
    </row>
    <row r="20" customFormat="false" ht="15" hidden="false" customHeight="false" outlineLevel="0" collapsed="false">
      <c r="A20" s="0" t="s">
        <v>502</v>
      </c>
      <c r="B20" s="0" t="s">
        <v>498</v>
      </c>
      <c r="C20" s="0" t="s">
        <v>437</v>
      </c>
      <c r="D20" s="0" t="n">
        <f aca="false">'Wet Zones'!C4+'Wet Zones'!C5</f>
        <v>307.5</v>
      </c>
      <c r="E20" s="0" t="n">
        <f aca="false">Inputs!B3</f>
        <v>0.06</v>
      </c>
      <c r="F20" s="0" t="n">
        <f aca="false">ROUND(D20*E20,2)</f>
        <v>18.45</v>
      </c>
      <c r="G20" s="0" t="n">
        <f aca="false">D20+F20</f>
        <v>325.95</v>
      </c>
      <c r="J20" s="0" t="s">
        <v>503</v>
      </c>
    </row>
    <row r="21" customFormat="false" ht="15" hidden="false" customHeight="false" outlineLevel="0" collapsed="false">
      <c r="A21" s="0" t="s">
        <v>504</v>
      </c>
      <c r="B21" s="0" t="s">
        <v>498</v>
      </c>
      <c r="C21" s="0" t="s">
        <v>437</v>
      </c>
      <c r="D21" s="0" t="n">
        <f aca="false">'Wet Zones'!C6</f>
        <v>16</v>
      </c>
      <c r="E21" s="0" t="n">
        <f aca="false">Inputs!B3</f>
        <v>0.06</v>
      </c>
      <c r="F21" s="0" t="n">
        <f aca="false">ROUND(D21*E21,2)</f>
        <v>0.96</v>
      </c>
      <c r="G21" s="0" t="n">
        <f aca="false">D21+F21</f>
        <v>16.96</v>
      </c>
      <c r="J21" s="0" t="s">
        <v>505</v>
      </c>
    </row>
    <row r="22" customFormat="false" ht="15" hidden="false" customHeight="false" outlineLevel="0" collapsed="false">
      <c r="A22" s="0" t="s">
        <v>506</v>
      </c>
      <c r="B22" s="0" t="s">
        <v>498</v>
      </c>
      <c r="C22" s="0" t="s">
        <v>437</v>
      </c>
      <c r="D22" s="0" t="n">
        <f aca="false">'Ceilings GWB'!E6+Soffits!E2+Soffits!F2</f>
        <v>994.54</v>
      </c>
      <c r="E22" s="0" t="n">
        <f aca="false">Inputs!B3</f>
        <v>0.06</v>
      </c>
      <c r="F22" s="0" t="n">
        <f aca="false">ROUND(D22*E22,2)</f>
        <v>59.67</v>
      </c>
      <c r="G22" s="0" t="n">
        <f aca="false">D22+F22</f>
        <v>1054.21</v>
      </c>
      <c r="H22" s="0" t="n">
        <f aca="false">Inputs!B12</f>
        <v>48</v>
      </c>
      <c r="I22" s="0" t="n">
        <f aca="false">ROUNDUP(G22/H22,0)</f>
        <v>22</v>
      </c>
      <c r="J22" s="0" t="s">
        <v>507</v>
      </c>
    </row>
    <row r="23" customFormat="false" ht="15" hidden="false" customHeight="false" outlineLevel="0" collapsed="false">
      <c r="A23" s="0" t="s">
        <v>508</v>
      </c>
      <c r="B23" s="0" t="s">
        <v>498</v>
      </c>
      <c r="C23" s="0" t="s">
        <v>437</v>
      </c>
      <c r="D23" s="0" t="n">
        <f aca="false">Takeoff!U46</f>
        <v>170.44</v>
      </c>
      <c r="E23" s="0" t="n">
        <f aca="false">Inputs!B3</f>
        <v>0.06</v>
      </c>
      <c r="F23" s="0" t="n">
        <f aca="false">ROUND(D23*E23,2)</f>
        <v>10.23</v>
      </c>
      <c r="G23" s="0" t="n">
        <f aca="false">D23+F23</f>
        <v>180.67</v>
      </c>
      <c r="H23" s="0" t="n">
        <f aca="false">Inputs!B12</f>
        <v>48</v>
      </c>
      <c r="I23" s="0" t="n">
        <f aca="false">ROUNDUP(G23/H23,0)</f>
        <v>4</v>
      </c>
      <c r="J23" s="0" t="s">
        <v>509</v>
      </c>
    </row>
    <row r="24" customFormat="false" ht="15" hidden="false" customHeight="false" outlineLevel="0" collapsed="false">
      <c r="A24" s="0" t="s">
        <v>510</v>
      </c>
      <c r="B24" s="0" t="s">
        <v>498</v>
      </c>
      <c r="C24" s="0" t="s">
        <v>437</v>
      </c>
      <c r="D24" s="0" t="n">
        <f aca="false">Takeoff!V46</f>
        <v>206.64</v>
      </c>
      <c r="E24" s="0" t="n">
        <f aca="false">Inputs!B3</f>
        <v>0.06</v>
      </c>
      <c r="F24" s="0" t="n">
        <f aca="false">ROUND(D24*E24,2)</f>
        <v>12.4</v>
      </c>
      <c r="G24" s="0" t="n">
        <f aca="false">D24+F24</f>
        <v>219.04</v>
      </c>
      <c r="J24" s="0" t="s">
        <v>509</v>
      </c>
    </row>
    <row r="25" customFormat="false" ht="15" hidden="false" customHeight="false" outlineLevel="0" collapsed="false">
      <c r="A25" s="0" t="s">
        <v>511</v>
      </c>
      <c r="B25" s="0" t="s">
        <v>498</v>
      </c>
      <c r="C25" s="0" t="s">
        <v>437</v>
      </c>
      <c r="D25" s="0" t="n">
        <f aca="false">Exterior!O14</f>
        <v>3246.2</v>
      </c>
      <c r="E25" s="0" t="n">
        <f aca="false">Inputs!B3</f>
        <v>0.06</v>
      </c>
      <c r="F25" s="0" t="n">
        <f aca="false">ROUND(D25*E25,2)</f>
        <v>194.77</v>
      </c>
      <c r="G25" s="0" t="n">
        <f aca="false">D25+F25</f>
        <v>3440.97</v>
      </c>
      <c r="H25" s="0" t="n">
        <f aca="false">Inputs!B12</f>
        <v>48</v>
      </c>
      <c r="I25" s="0" t="n">
        <f aca="false">ROUNDUP(G25/H25,0)</f>
        <v>72</v>
      </c>
      <c r="J25" s="0" t="s">
        <v>512</v>
      </c>
    </row>
    <row r="26" customFormat="false" ht="15" hidden="false" customHeight="false" outlineLevel="0" collapsed="false">
      <c r="A26" s="0" t="s">
        <v>513</v>
      </c>
      <c r="B26" s="0" t="s">
        <v>498</v>
      </c>
      <c r="C26" s="0" t="s">
        <v>437</v>
      </c>
      <c r="D26" s="0" t="n">
        <f aca="false">Exterior!P14</f>
        <v>824.34</v>
      </c>
      <c r="E26" s="0" t="n">
        <f aca="false">Inputs!B3</f>
        <v>0.06</v>
      </c>
      <c r="F26" s="0" t="n">
        <f aca="false">ROUND(D26*E26,2)</f>
        <v>49.46</v>
      </c>
      <c r="G26" s="0" t="n">
        <f aca="false">D26+F26</f>
        <v>873.8</v>
      </c>
      <c r="H26" s="0" t="n">
        <f aca="false">Inputs!B12</f>
        <v>48</v>
      </c>
      <c r="I26" s="0" t="n">
        <f aca="false">ROUNDUP(G26/H26,0)</f>
        <v>19</v>
      </c>
      <c r="J26" s="0" t="s">
        <v>514</v>
      </c>
    </row>
    <row r="27" customFormat="false" ht="15" hidden="false" customHeight="false" outlineLevel="0" collapsed="false">
      <c r="A27" s="0" t="s">
        <v>515</v>
      </c>
      <c r="B27" s="0" t="s">
        <v>498</v>
      </c>
      <c r="C27" s="0" t="s">
        <v>437</v>
      </c>
      <c r="D27" s="0" t="n">
        <f aca="false">Takeoff!W46</f>
        <v>260.15</v>
      </c>
      <c r="E27" s="0" t="n">
        <f aca="false">Inputs!B3</f>
        <v>0.06</v>
      </c>
      <c r="F27" s="0" t="n">
        <f aca="false">ROUND(D27*E27,2)</f>
        <v>15.61</v>
      </c>
      <c r="G27" s="0" t="n">
        <f aca="false">D27+F27</f>
        <v>275.76</v>
      </c>
      <c r="J27" s="0" t="s">
        <v>516</v>
      </c>
    </row>
    <row r="28" customFormat="false" ht="15" hidden="false" customHeight="false" outlineLevel="0" collapsed="false">
      <c r="A28" s="0" t="s">
        <v>517</v>
      </c>
      <c r="B28" s="0" t="s">
        <v>498</v>
      </c>
      <c r="C28" s="0" t="s">
        <v>408</v>
      </c>
      <c r="D28" s="0" t="n">
        <f aca="false">'Opening Bands'!K8+Exterior!S14</f>
        <v>95.04</v>
      </c>
      <c r="E28" s="0" t="n">
        <f aca="false">Inputs!B3</f>
        <v>0.06</v>
      </c>
      <c r="F28" s="0" t="n">
        <f aca="false">ROUND(D28*E28,2)</f>
        <v>5.7</v>
      </c>
      <c r="G28" s="0" t="n">
        <f aca="false">D28+F28</f>
        <v>100.74</v>
      </c>
      <c r="J28" s="0" t="s">
        <v>518</v>
      </c>
    </row>
    <row r="29" customFormat="false" ht="15" hidden="false" customHeight="false" outlineLevel="0" collapsed="false">
      <c r="A29" s="0" t="s">
        <v>519</v>
      </c>
      <c r="B29" s="0" t="s">
        <v>465</v>
      </c>
      <c r="C29" s="0" t="s">
        <v>408</v>
      </c>
      <c r="D29" s="0" t="n">
        <f aca="false">'Opening Bands'!L8+Soffits!G2</f>
        <v>102.01</v>
      </c>
      <c r="E29" s="0" t="n">
        <f aca="false">Inputs!B2</f>
        <v>0.15</v>
      </c>
      <c r="F29" s="0" t="n">
        <f aca="false">ROUND(D29*E29,2)</f>
        <v>15.3</v>
      </c>
      <c r="G29" s="0" t="n">
        <f aca="false">D29+F29</f>
        <v>117.31</v>
      </c>
      <c r="H29" s="0" t="n">
        <f aca="false">Inputs!B9</f>
        <v>10</v>
      </c>
      <c r="I29" s="0" t="n">
        <f aca="false">ROUNDUP(G29/H29,0)</f>
        <v>12</v>
      </c>
      <c r="J29" s="0" t="s">
        <v>520</v>
      </c>
    </row>
    <row r="30" customFormat="false" ht="15" hidden="false" customHeight="false" outlineLevel="0" collapsed="false">
      <c r="A30" s="0" t="s">
        <v>521</v>
      </c>
      <c r="B30" s="0" t="s">
        <v>465</v>
      </c>
      <c r="C30" s="0" t="s">
        <v>408</v>
      </c>
      <c r="D30" s="0" t="n">
        <f aca="false">'Opening Bands'!M8</f>
        <v>45</v>
      </c>
      <c r="E30" s="0" t="n">
        <f aca="false">Inputs!B2</f>
        <v>0.15</v>
      </c>
      <c r="F30" s="0" t="n">
        <f aca="false">ROUND(D30*E30,2)</f>
        <v>6.75</v>
      </c>
      <c r="G30" s="0" t="n">
        <f aca="false">D30+F30</f>
        <v>51.75</v>
      </c>
      <c r="H30" s="0" t="n">
        <f aca="false">Inputs!B9</f>
        <v>10</v>
      </c>
      <c r="I30" s="0" t="n">
        <f aca="false">ROUNDUP(G30/H30,0)</f>
        <v>6</v>
      </c>
      <c r="J30" s="0" t="s">
        <v>522</v>
      </c>
    </row>
    <row r="31" customFormat="false" ht="15" hidden="false" customHeight="false" outlineLevel="0" collapsed="false">
      <c r="A31" s="0" t="s">
        <v>523</v>
      </c>
      <c r="B31" s="0" t="s">
        <v>465</v>
      </c>
      <c r="C31" s="0" t="s">
        <v>408</v>
      </c>
      <c r="D31" s="0" t="n">
        <f aca="false">'Ceilings GWB'!G6</f>
        <v>77.03</v>
      </c>
      <c r="E31" s="0" t="n">
        <f aca="false">Inputs!B2</f>
        <v>0.15</v>
      </c>
      <c r="F31" s="0" t="n">
        <f aca="false">ROUND(D31*E31,2)</f>
        <v>11.55</v>
      </c>
      <c r="G31" s="0" t="n">
        <f aca="false">D31+F31</f>
        <v>88.58</v>
      </c>
      <c r="J31" s="0" t="s">
        <v>524</v>
      </c>
    </row>
    <row r="32" customFormat="false" ht="15" hidden="false" customHeight="false" outlineLevel="0" collapsed="false">
      <c r="A32" s="0" t="s">
        <v>525</v>
      </c>
      <c r="B32" s="0" t="s">
        <v>498</v>
      </c>
      <c r="C32" s="0" t="s">
        <v>437</v>
      </c>
      <c r="D32" s="0" t="n">
        <f aca="false">Takeoff!AH46+'Opening Bands'!N8</f>
        <v>5727.8</v>
      </c>
      <c r="E32" s="0" t="n">
        <f aca="false">Inputs!B3</f>
        <v>0.06</v>
      </c>
      <c r="F32" s="0" t="n">
        <f aca="false">ROUND(D32*E32,2)</f>
        <v>343.67</v>
      </c>
      <c r="G32" s="0" t="n">
        <f aca="false">D32+F32</f>
        <v>6071.47</v>
      </c>
      <c r="J32" s="0" t="s">
        <v>526</v>
      </c>
    </row>
    <row r="33" customFormat="false" ht="15" hidden="false" customHeight="false" outlineLevel="0" collapsed="false">
      <c r="A33" s="0" t="s">
        <v>527</v>
      </c>
      <c r="B33" s="0" t="s">
        <v>498</v>
      </c>
      <c r="C33" s="0" t="s">
        <v>408</v>
      </c>
      <c r="D33" s="0" t="n">
        <f aca="false">Takeoff!AI46+'Opening Bands'!O8+Exterior!U14</f>
        <v>1717.38</v>
      </c>
      <c r="E33" s="0" t="n">
        <f aca="false">Inputs!B3</f>
        <v>0.06</v>
      </c>
      <c r="F33" s="0" t="n">
        <f aca="false">ROUND(D33*E33,2)</f>
        <v>103.04</v>
      </c>
      <c r="G33" s="0" t="n">
        <f aca="false">D33+F33</f>
        <v>1820.42</v>
      </c>
      <c r="H33" s="0" t="n">
        <f aca="false">Inputs!B10</f>
        <v>25</v>
      </c>
      <c r="I33" s="0" t="n">
        <f aca="false">ROUNDUP(G33/H33,0)</f>
        <v>73</v>
      </c>
      <c r="J33" s="0" t="s">
        <v>528</v>
      </c>
    </row>
    <row r="34" customFormat="false" ht="15" hidden="false" customHeight="false" outlineLevel="0" collapsed="false">
      <c r="A34" s="0" t="s">
        <v>529</v>
      </c>
      <c r="B34" s="0" t="s">
        <v>498</v>
      </c>
      <c r="C34" s="0" t="s">
        <v>408</v>
      </c>
      <c r="D34" s="0" t="n">
        <f aca="false">Blocking!C12</f>
        <v>104</v>
      </c>
      <c r="E34" s="0" t="n">
        <f aca="false">Inputs!B3</f>
        <v>0.06</v>
      </c>
      <c r="F34" s="0" t="n">
        <f aca="false">ROUND(D34*E34,2)</f>
        <v>6.24</v>
      </c>
      <c r="G34" s="0" t="n">
        <f aca="false">D34+F34</f>
        <v>110.24</v>
      </c>
      <c r="J34" s="0" t="s">
        <v>530</v>
      </c>
    </row>
    <row r="36" customFormat="false" ht="15" hidden="false" customHeight="false" outlineLevel="0" collapsed="false">
      <c r="A36" s="0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10"/>
    <col collapsed="false" customWidth="true" hidden="false" outlineLevel="0" max="4" min="4" style="0" width="5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5" t="s">
        <v>532</v>
      </c>
      <c r="B1" s="5" t="s">
        <v>533</v>
      </c>
      <c r="C1" s="5" t="s">
        <v>534</v>
      </c>
      <c r="D1" s="5" t="s">
        <v>535</v>
      </c>
      <c r="E1" s="5" t="s">
        <v>536</v>
      </c>
    </row>
    <row r="2" customFormat="false" ht="15" hidden="false" customHeight="false" outlineLevel="0" collapsed="false">
      <c r="A2" s="0" t="s">
        <v>537</v>
      </c>
      <c r="B2" s="0" t="s">
        <v>538</v>
      </c>
      <c r="C2" s="0" t="s">
        <v>539</v>
      </c>
      <c r="D2" s="0" t="s">
        <v>540</v>
      </c>
      <c r="E2" s="0" t="s">
        <v>541</v>
      </c>
    </row>
    <row r="3" customFormat="false" ht="15" hidden="false" customHeight="false" outlineLevel="0" collapsed="false">
      <c r="A3" s="0" t="s">
        <v>542</v>
      </c>
      <c r="B3" s="0" t="s">
        <v>543</v>
      </c>
      <c r="C3" s="0" t="s">
        <v>544</v>
      </c>
      <c r="D3" s="0" t="s">
        <v>545</v>
      </c>
      <c r="E3" s="0" t="s">
        <v>546</v>
      </c>
    </row>
    <row r="4" customFormat="false" ht="15" hidden="false" customHeight="false" outlineLevel="0" collapsed="false">
      <c r="A4" s="0" t="s">
        <v>547</v>
      </c>
      <c r="B4" s="0" t="s">
        <v>548</v>
      </c>
      <c r="C4" s="0" t="s">
        <v>549</v>
      </c>
      <c r="D4" s="0" t="s">
        <v>550</v>
      </c>
      <c r="E4" s="0" t="s">
        <v>360</v>
      </c>
    </row>
    <row r="5" customFormat="false" ht="15" hidden="false" customHeight="false" outlineLevel="0" collapsed="false">
      <c r="A5" s="0" t="s">
        <v>551</v>
      </c>
      <c r="B5" s="0" t="s">
        <v>552</v>
      </c>
      <c r="C5" s="0" t="s">
        <v>553</v>
      </c>
      <c r="D5" s="0" t="s">
        <v>554</v>
      </c>
      <c r="E5" s="0" t="s">
        <v>555</v>
      </c>
    </row>
    <row r="6" customFormat="false" ht="15" hidden="false" customHeight="false" outlineLevel="0" collapsed="false">
      <c r="A6" s="0" t="s">
        <v>556</v>
      </c>
      <c r="B6" s="0" t="s">
        <v>557</v>
      </c>
      <c r="C6" s="0" t="s">
        <v>558</v>
      </c>
      <c r="D6" s="0" t="s">
        <v>559</v>
      </c>
      <c r="E6" s="0" t="s">
        <v>560</v>
      </c>
    </row>
    <row r="7" customFormat="false" ht="15" hidden="false" customHeight="false" outlineLevel="0" collapsed="false">
      <c r="A7" s="0" t="s">
        <v>561</v>
      </c>
      <c r="B7" s="0" t="s">
        <v>562</v>
      </c>
      <c r="C7" s="0" t="s">
        <v>563</v>
      </c>
      <c r="D7" s="0" t="s">
        <v>564</v>
      </c>
      <c r="E7" s="0" t="s">
        <v>565</v>
      </c>
    </row>
    <row r="8" customFormat="false" ht="15" hidden="false" customHeight="false" outlineLevel="0" collapsed="false">
      <c r="A8" s="0" t="s">
        <v>566</v>
      </c>
      <c r="B8" s="0" t="s">
        <v>567</v>
      </c>
      <c r="C8" s="0" t="s">
        <v>568</v>
      </c>
      <c r="D8" s="0" t="s">
        <v>569</v>
      </c>
      <c r="E8" s="0" t="s">
        <v>360</v>
      </c>
    </row>
    <row r="9" customFormat="false" ht="15" hidden="false" customHeight="false" outlineLevel="0" collapsed="false">
      <c r="A9" s="0" t="s">
        <v>570</v>
      </c>
      <c r="B9" s="0" t="s">
        <v>571</v>
      </c>
      <c r="C9" s="0" t="s">
        <v>572</v>
      </c>
      <c r="D9" s="0" t="s">
        <v>573</v>
      </c>
      <c r="E9" s="0" t="s">
        <v>360</v>
      </c>
    </row>
    <row r="10" customFormat="false" ht="15" hidden="false" customHeight="false" outlineLevel="0" collapsed="false">
      <c r="A10" s="0" t="s">
        <v>574</v>
      </c>
      <c r="B10" s="0" t="s">
        <v>575</v>
      </c>
      <c r="C10" s="0" t="s">
        <v>576</v>
      </c>
      <c r="D10" s="0" t="s">
        <v>577</v>
      </c>
      <c r="E10" s="0" t="s">
        <v>360</v>
      </c>
    </row>
    <row r="11" customFormat="false" ht="15" hidden="false" customHeight="false" outlineLevel="0" collapsed="false">
      <c r="A11" s="0" t="s">
        <v>578</v>
      </c>
      <c r="B11" s="0" t="s">
        <v>579</v>
      </c>
      <c r="C11" s="0" t="s">
        <v>580</v>
      </c>
      <c r="D11" s="0" t="s">
        <v>569</v>
      </c>
      <c r="E11" s="0" t="s">
        <v>360</v>
      </c>
    </row>
    <row r="12" customFormat="false" ht="15" hidden="false" customHeight="false" outlineLevel="0" collapsed="false">
      <c r="A12" s="0" t="s">
        <v>581</v>
      </c>
      <c r="B12" s="0" t="s">
        <v>582</v>
      </c>
      <c r="C12" s="0" t="s">
        <v>583</v>
      </c>
      <c r="D12" s="0" t="s">
        <v>584</v>
      </c>
      <c r="E12" s="0" t="s">
        <v>585</v>
      </c>
    </row>
    <row r="13" customFormat="false" ht="15" hidden="false" customHeight="false" outlineLevel="0" collapsed="false">
      <c r="A13" s="0" t="s">
        <v>428</v>
      </c>
      <c r="B13" s="0" t="s">
        <v>586</v>
      </c>
      <c r="C13" s="0" t="s">
        <v>587</v>
      </c>
      <c r="D13" s="0" t="s">
        <v>362</v>
      </c>
      <c r="E13" s="0" t="s">
        <v>588</v>
      </c>
    </row>
    <row r="14" customFormat="false" ht="15" hidden="false" customHeight="false" outlineLevel="0" collapsed="false">
      <c r="A14" s="0" t="s">
        <v>431</v>
      </c>
      <c r="B14" s="0" t="s">
        <v>589</v>
      </c>
      <c r="C14" s="0" t="s">
        <v>590</v>
      </c>
      <c r="D14" s="0" t="s">
        <v>362</v>
      </c>
      <c r="E14" s="0" t="s">
        <v>588</v>
      </c>
    </row>
    <row r="15" customFormat="false" ht="15" hidden="false" customHeight="false" outlineLevel="0" collapsed="false">
      <c r="A15" s="0" t="s">
        <v>438</v>
      </c>
      <c r="B15" s="0" t="s">
        <v>591</v>
      </c>
      <c r="C15" s="0" t="s">
        <v>592</v>
      </c>
      <c r="D15" s="0" t="s">
        <v>362</v>
      </c>
      <c r="E15" s="0" t="s">
        <v>588</v>
      </c>
    </row>
    <row r="16" customFormat="false" ht="15" hidden="false" customHeight="false" outlineLevel="0" collapsed="false">
      <c r="A16" s="0" t="s">
        <v>593</v>
      </c>
      <c r="B16" s="0" t="s">
        <v>594</v>
      </c>
      <c r="C16" s="0" t="s">
        <v>595</v>
      </c>
      <c r="D16" s="0" t="s">
        <v>573</v>
      </c>
      <c r="E16" s="0" t="s">
        <v>360</v>
      </c>
    </row>
    <row r="17" customFormat="false" ht="15" hidden="false" customHeight="false" outlineLevel="0" collapsed="false">
      <c r="A17" s="0" t="s">
        <v>596</v>
      </c>
      <c r="B17" s="0" t="s">
        <v>597</v>
      </c>
      <c r="C17" s="0" t="s">
        <v>598</v>
      </c>
      <c r="D17" s="0" t="s">
        <v>599</v>
      </c>
      <c r="E17" s="0" t="s">
        <v>360</v>
      </c>
    </row>
    <row r="18" customFormat="false" ht="15" hidden="false" customHeight="false" outlineLevel="0" collapsed="false">
      <c r="A18" s="0" t="s">
        <v>600</v>
      </c>
      <c r="B18" s="0" t="s">
        <v>601</v>
      </c>
      <c r="C18" s="0" t="s">
        <v>602</v>
      </c>
      <c r="D18" s="0" t="s">
        <v>603</v>
      </c>
      <c r="E18" s="0" t="s">
        <v>604</v>
      </c>
    </row>
    <row r="19" customFormat="false" ht="15" hidden="false" customHeight="false" outlineLevel="0" collapsed="false">
      <c r="A19" s="0" t="s">
        <v>605</v>
      </c>
      <c r="B19" s="0" t="s">
        <v>606</v>
      </c>
      <c r="C19" s="0" t="s">
        <v>607</v>
      </c>
      <c r="D19" s="0" t="s">
        <v>608</v>
      </c>
      <c r="E19" s="0" t="s">
        <v>609</v>
      </c>
    </row>
    <row r="20" customFormat="false" ht="15" hidden="false" customHeight="false" outlineLevel="0" collapsed="false">
      <c r="A20" s="0" t="s">
        <v>610</v>
      </c>
      <c r="B20" s="0" t="s">
        <v>611</v>
      </c>
      <c r="C20" s="0" t="s">
        <v>612</v>
      </c>
      <c r="D20" s="0" t="s">
        <v>613</v>
      </c>
      <c r="E20" s="0" t="s">
        <v>614</v>
      </c>
    </row>
    <row r="21" customFormat="false" ht="15" hidden="false" customHeight="false" outlineLevel="0" collapsed="false">
      <c r="A21" s="0" t="s">
        <v>615</v>
      </c>
      <c r="B21" s="0" t="s">
        <v>616</v>
      </c>
      <c r="C21" s="0" t="s">
        <v>617</v>
      </c>
      <c r="D21" s="0" t="s">
        <v>362</v>
      </c>
      <c r="E21" s="0" t="s">
        <v>618</v>
      </c>
    </row>
    <row r="22" customFormat="false" ht="15" hidden="false" customHeight="false" outlineLevel="0" collapsed="false">
      <c r="A22" s="0" t="s">
        <v>619</v>
      </c>
      <c r="B22" s="0" t="s">
        <v>620</v>
      </c>
      <c r="C22" s="0" t="s">
        <v>621</v>
      </c>
      <c r="D22" s="0" t="s">
        <v>622</v>
      </c>
      <c r="E22" s="0" t="s">
        <v>623</v>
      </c>
    </row>
    <row r="23" customFormat="false" ht="15" hidden="false" customHeight="false" outlineLevel="0" collapsed="false">
      <c r="A23" s="0" t="s">
        <v>624</v>
      </c>
      <c r="B23" s="0" t="s">
        <v>625</v>
      </c>
      <c r="C23" s="0" t="s">
        <v>626</v>
      </c>
      <c r="D23" s="0" t="s">
        <v>627</v>
      </c>
      <c r="E23" s="0" t="s">
        <v>360</v>
      </c>
    </row>
    <row r="24" customFormat="false" ht="15" hidden="false" customHeight="false" outlineLevel="0" collapsed="false">
      <c r="A24" s="0" t="s">
        <v>628</v>
      </c>
      <c r="B24" s="0" t="s">
        <v>629</v>
      </c>
      <c r="C24" s="0" t="s">
        <v>630</v>
      </c>
      <c r="D24" s="0" t="s">
        <v>613</v>
      </c>
      <c r="E24" s="0" t="s">
        <v>360</v>
      </c>
    </row>
    <row r="25" customFormat="false" ht="15" hidden="false" customHeight="false" outlineLevel="0" collapsed="false">
      <c r="A25" s="0" t="s">
        <v>631</v>
      </c>
      <c r="B25" s="0" t="s">
        <v>632</v>
      </c>
      <c r="C25" s="0" t="s">
        <v>633</v>
      </c>
      <c r="D25" s="0" t="s">
        <v>634</v>
      </c>
      <c r="E25" s="0" t="s">
        <v>360</v>
      </c>
    </row>
    <row r="26" customFormat="false" ht="15" hidden="false" customHeight="false" outlineLevel="0" collapsed="false">
      <c r="A26" s="0" t="s">
        <v>635</v>
      </c>
      <c r="B26" s="0" t="s">
        <v>505</v>
      </c>
      <c r="C26" s="0" t="s">
        <v>636</v>
      </c>
      <c r="D26" s="0" t="s">
        <v>637</v>
      </c>
      <c r="E26" s="0" t="s">
        <v>360</v>
      </c>
    </row>
    <row r="27" customFormat="false" ht="15" hidden="false" customHeight="false" outlineLevel="0" collapsed="false">
      <c r="A27" s="0" t="s">
        <v>638</v>
      </c>
      <c r="B27" s="0" t="s">
        <v>639</v>
      </c>
      <c r="C27" s="0" t="s">
        <v>640</v>
      </c>
      <c r="D27" s="0" t="s">
        <v>641</v>
      </c>
      <c r="E27" s="0" t="s">
        <v>642</v>
      </c>
    </row>
    <row r="28" customFormat="false" ht="15" hidden="false" customHeight="false" outlineLevel="0" collapsed="false">
      <c r="A28" s="0" t="s">
        <v>643</v>
      </c>
      <c r="B28" s="0" t="s">
        <v>644</v>
      </c>
      <c r="C28" s="0" t="s">
        <v>645</v>
      </c>
      <c r="D28" s="0" t="s">
        <v>646</v>
      </c>
      <c r="E28" s="0" t="s">
        <v>647</v>
      </c>
    </row>
    <row r="29" customFormat="false" ht="15" hidden="false" customHeight="false" outlineLevel="0" collapsed="false">
      <c r="A29" s="0" t="s">
        <v>434</v>
      </c>
      <c r="B29" s="0" t="s">
        <v>648</v>
      </c>
      <c r="C29" s="0" t="s">
        <v>649</v>
      </c>
      <c r="D29" s="0" t="s">
        <v>362</v>
      </c>
      <c r="E29" s="0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5" hidden="false" customHeight="false" outlineLevel="0" collapsed="false">
      <c r="A1" s="0" t="s">
        <v>650</v>
      </c>
    </row>
    <row r="3" customFormat="false" ht="15" hidden="false" customHeight="false" outlineLevel="0" collapsed="false">
      <c r="A3" s="0" t="s">
        <v>651</v>
      </c>
    </row>
    <row r="5" customFormat="false" ht="15" hidden="false" customHeight="false" outlineLevel="0" collapsed="false">
      <c r="A5" s="0" t="s">
        <v>652</v>
      </c>
    </row>
    <row r="6" customFormat="false" ht="15" hidden="false" customHeight="false" outlineLevel="0" collapsed="false">
      <c r="A6" s="0" t="s">
        <v>653</v>
      </c>
    </row>
    <row r="7" customFormat="false" ht="15" hidden="false" customHeight="false" outlineLevel="0" collapsed="false">
      <c r="A7" s="0" t="s">
        <v>654</v>
      </c>
    </row>
    <row r="8" customFormat="false" ht="15" hidden="false" customHeight="false" outlineLevel="0" collapsed="false">
      <c r="A8" s="0" t="s">
        <v>655</v>
      </c>
    </row>
    <row r="9" customFormat="false" ht="15" hidden="false" customHeight="false" outlineLevel="0" collapsed="false">
      <c r="A9" s="0" t="s">
        <v>656</v>
      </c>
    </row>
    <row r="10" customFormat="false" ht="15" hidden="false" customHeight="false" outlineLevel="0" collapsed="false">
      <c r="A10" s="0" t="s">
        <v>657</v>
      </c>
    </row>
    <row r="11" customFormat="false" ht="15" hidden="false" customHeight="false" outlineLevel="0" collapsed="false">
      <c r="A11" s="0" t="s">
        <v>658</v>
      </c>
    </row>
    <row r="12" customFormat="false" ht="15" hidden="false" customHeight="false" outlineLevel="0" collapsed="false">
      <c r="A12" s="0" t="s">
        <v>659</v>
      </c>
    </row>
    <row r="13" customFormat="false" ht="15" hidden="false" customHeight="false" outlineLevel="0" collapsed="false">
      <c r="A13" s="0" t="s">
        <v>660</v>
      </c>
    </row>
    <row r="14" customFormat="false" ht="15" hidden="false" customHeight="false" outlineLevel="0" collapsed="false">
      <c r="A14" s="0" t="s">
        <v>661</v>
      </c>
    </row>
    <row r="15" customFormat="false" ht="15" hidden="false" customHeight="false" outlineLevel="0" collapsed="false">
      <c r="A15" s="0" t="s">
        <v>662</v>
      </c>
    </row>
    <row r="16" customFormat="false" ht="15" hidden="false" customHeight="false" outlineLevel="0" collapsed="false">
      <c r="A16" s="0" t="s">
        <v>663</v>
      </c>
    </row>
    <row r="17" customFormat="false" ht="15" hidden="false" customHeight="false" outlineLevel="0" collapsed="false">
      <c r="A17" s="0" t="s">
        <v>664</v>
      </c>
    </row>
    <row r="18" customFormat="false" ht="15" hidden="false" customHeight="false" outlineLevel="0" collapsed="false">
      <c r="A18" s="0" t="s">
        <v>665</v>
      </c>
    </row>
    <row r="19" customFormat="false" ht="15" hidden="false" customHeight="false" outlineLevel="0" collapsed="false">
      <c r="A19" s="0" t="s">
        <v>666</v>
      </c>
    </row>
    <row r="20" customFormat="false" ht="15" hidden="false" customHeight="false" outlineLevel="0" collapsed="false">
      <c r="A20" s="0" t="s">
        <v>667</v>
      </c>
    </row>
    <row r="21" customFormat="false" ht="15" hidden="false" customHeight="false" outlineLevel="0" collapsed="false">
      <c r="A21" s="0" t="s">
        <v>668</v>
      </c>
    </row>
    <row r="22" customFormat="false" ht="15" hidden="false" customHeight="false" outlineLevel="0" collapsed="false">
      <c r="A22" s="0" t="s">
        <v>669</v>
      </c>
    </row>
    <row r="23" customFormat="false" ht="15" hidden="false" customHeight="false" outlineLevel="0" collapsed="false">
      <c r="A23" s="0" t="s">
        <v>670</v>
      </c>
    </row>
    <row r="24" customFormat="false" ht="15" hidden="false" customHeight="false" outlineLevel="0" collapsed="false">
      <c r="A24" s="0" t="s">
        <v>671</v>
      </c>
    </row>
    <row r="25" customFormat="false" ht="15" hidden="false" customHeight="false" outlineLevel="0" collapsed="false">
      <c r="A25" s="0" t="s">
        <v>672</v>
      </c>
    </row>
    <row r="26" customFormat="false" ht="15" hidden="false" customHeight="false" outlineLevel="0" collapsed="false">
      <c r="A26" s="0" t="s">
        <v>673</v>
      </c>
    </row>
    <row r="27" customFormat="false" ht="15" hidden="false" customHeight="false" outlineLevel="0" collapsed="false">
      <c r="A27" s="0" t="s">
        <v>674</v>
      </c>
    </row>
    <row r="28" customFormat="false" ht="15" hidden="false" customHeight="false" outlineLevel="0" collapsed="false">
      <c r="A28" s="0" t="s">
        <v>675</v>
      </c>
    </row>
    <row r="29" customFormat="false" ht="15" hidden="false" customHeight="false" outlineLevel="0" collapsed="false">
      <c r="A29" s="0" t="s">
        <v>676</v>
      </c>
    </row>
    <row r="30" customFormat="false" ht="15" hidden="false" customHeight="false" outlineLevel="0" collapsed="false">
      <c r="A30" s="0" t="s">
        <v>677</v>
      </c>
    </row>
    <row r="31" customFormat="false" ht="15" hidden="false" customHeight="false" outlineLevel="0" collapsed="false">
      <c r="A31" s="0" t="s">
        <v>666</v>
      </c>
    </row>
    <row r="32" customFormat="false" ht="15" hidden="false" customHeight="false" outlineLevel="0" collapsed="false">
      <c r="A32" s="0" t="s">
        <v>678</v>
      </c>
    </row>
    <row r="33" customFormat="false" ht="15" hidden="false" customHeight="false" outlineLevel="0" collapsed="false">
      <c r="A33" s="0" t="s">
        <v>679</v>
      </c>
    </row>
    <row r="34" customFormat="false" ht="15" hidden="false" customHeight="false" outlineLevel="0" collapsed="false">
      <c r="A34" s="0" t="s">
        <v>666</v>
      </c>
    </row>
    <row r="35" customFormat="false" ht="15" hidden="false" customHeight="false" outlineLevel="0" collapsed="false">
      <c r="A35" s="0" t="s">
        <v>680</v>
      </c>
    </row>
    <row r="36" customFormat="false" ht="15" hidden="false" customHeight="false" outlineLevel="0" collapsed="false">
      <c r="A36" s="0" t="s">
        <v>681</v>
      </c>
    </row>
    <row r="37" customFormat="false" ht="15" hidden="false" customHeight="false" outlineLevel="0" collapsed="false">
      <c r="A37" s="0" t="s">
        <v>666</v>
      </c>
    </row>
    <row r="38" customFormat="false" ht="15" hidden="false" customHeight="false" outlineLevel="0" collapsed="false">
      <c r="A38" s="0" t="s">
        <v>682</v>
      </c>
    </row>
    <row r="39" customFormat="false" ht="15" hidden="false" customHeight="false" outlineLevel="0" collapsed="false">
      <c r="A39" s="0" t="s">
        <v>683</v>
      </c>
    </row>
    <row r="40" customFormat="false" ht="15" hidden="false" customHeight="false" outlineLevel="0" collapsed="false">
      <c r="A40" s="0" t="s">
        <v>666</v>
      </c>
    </row>
    <row r="41" customFormat="false" ht="15" hidden="false" customHeight="false" outlineLevel="0" collapsed="false">
      <c r="A41" s="0" t="s">
        <v>684</v>
      </c>
    </row>
    <row r="42" customFormat="false" ht="15" hidden="false" customHeight="false" outlineLevel="0" collapsed="false">
      <c r="A42" s="0" t="s">
        <v>685</v>
      </c>
    </row>
    <row r="43" customFormat="false" ht="15" hidden="false" customHeight="false" outlineLevel="0" collapsed="false">
      <c r="A43" s="0" t="s">
        <v>686</v>
      </c>
    </row>
    <row r="44" customFormat="false" ht="15" hidden="false" customHeight="false" outlineLevel="0" collapsed="false">
      <c r="A44" s="0" t="s">
        <v>687</v>
      </c>
    </row>
    <row r="45" customFormat="false" ht="15" hidden="false" customHeight="false" outlineLevel="0" collapsed="false">
      <c r="A45" s="0" t="s">
        <v>688</v>
      </c>
    </row>
    <row r="46" customFormat="false" ht="15" hidden="false" customHeight="false" outlineLevel="0" collapsed="false">
      <c r="A46" s="0" t="s">
        <v>689</v>
      </c>
    </row>
    <row r="47" customFormat="false" ht="15" hidden="false" customHeight="false" outlineLevel="0" collapsed="false">
      <c r="A47" s="0" t="s">
        <v>690</v>
      </c>
    </row>
    <row r="48" customFormat="false" ht="15" hidden="false" customHeight="false" outlineLevel="0" collapsed="false">
      <c r="A48" s="0" t="s">
        <v>691</v>
      </c>
    </row>
    <row r="49" customFormat="false" ht="15" hidden="false" customHeight="false" outlineLevel="0" collapsed="false">
      <c r="A49" s="0" t="s">
        <v>689</v>
      </c>
    </row>
    <row r="50" customFormat="false" ht="15" hidden="false" customHeight="false" outlineLevel="0" collapsed="false">
      <c r="A50" s="0" t="s">
        <v>692</v>
      </c>
    </row>
    <row r="51" customFormat="false" ht="15" hidden="false" customHeight="false" outlineLevel="0" collapsed="false">
      <c r="A51" s="0" t="s">
        <v>693</v>
      </c>
    </row>
    <row r="52" customFormat="false" ht="15" hidden="false" customHeight="false" outlineLevel="0" collapsed="false">
      <c r="A52" s="0" t="s">
        <v>689</v>
      </c>
    </row>
    <row r="53" customFormat="false" ht="15" hidden="false" customHeight="false" outlineLevel="0" collapsed="false">
      <c r="A53" s="0" t="s">
        <v>694</v>
      </c>
    </row>
    <row r="54" customFormat="false" ht="15" hidden="false" customHeight="false" outlineLevel="0" collapsed="false">
      <c r="A54" s="0" t="s">
        <v>695</v>
      </c>
    </row>
    <row r="55" customFormat="false" ht="15" hidden="false" customHeight="false" outlineLevel="0" collapsed="false">
      <c r="A55" s="0" t="s">
        <v>666</v>
      </c>
    </row>
    <row r="56" customFormat="false" ht="15" hidden="false" customHeight="false" outlineLevel="0" collapsed="false">
      <c r="A56" s="0" t="s">
        <v>696</v>
      </c>
    </row>
    <row r="57" customFormat="false" ht="15" hidden="false" customHeight="false" outlineLevel="0" collapsed="false">
      <c r="A57" s="0" t="s">
        <v>697</v>
      </c>
    </row>
    <row r="58" customFormat="false" ht="15" hidden="false" customHeight="false" outlineLevel="0" collapsed="false">
      <c r="A58" s="0" t="s">
        <v>666</v>
      </c>
    </row>
    <row r="59" customFormat="false" ht="15" hidden="false" customHeight="false" outlineLevel="0" collapsed="false">
      <c r="A59" s="0" t="s">
        <v>698</v>
      </c>
    </row>
    <row r="60" customFormat="false" ht="15" hidden="false" customHeight="false" outlineLevel="0" collapsed="false">
      <c r="A60" s="0" t="s">
        <v>699</v>
      </c>
    </row>
    <row r="61" customFormat="false" ht="15" hidden="false" customHeight="false" outlineLevel="0" collapsed="false">
      <c r="A61" s="0" t="s">
        <v>700</v>
      </c>
    </row>
    <row r="62" customFormat="false" ht="15" hidden="false" customHeight="false" outlineLevel="0" collapsed="false">
      <c r="A62" s="0" t="s">
        <v>701</v>
      </c>
    </row>
    <row r="63" customFormat="false" ht="15" hidden="false" customHeight="false" outlineLevel="0" collapsed="false">
      <c r="A63" s="0" t="s">
        <v>702</v>
      </c>
    </row>
    <row r="64" customFormat="false" ht="15" hidden="false" customHeight="false" outlineLevel="0" collapsed="false">
      <c r="A64" s="0" t="s">
        <v>703</v>
      </c>
    </row>
    <row r="65" customFormat="false" ht="15" hidden="false" customHeight="false" outlineLevel="0" collapsed="false">
      <c r="A65" s="0" t="s">
        <v>704</v>
      </c>
    </row>
    <row r="66" customFormat="false" ht="15" hidden="false" customHeight="false" outlineLevel="0" collapsed="false">
      <c r="A66" s="0" t="s">
        <v>705</v>
      </c>
    </row>
    <row r="67" customFormat="false" ht="15" hidden="false" customHeight="false" outlineLevel="0" collapsed="false">
      <c r="A67" s="0" t="s">
        <v>706</v>
      </c>
    </row>
    <row r="68" customFormat="false" ht="15" hidden="false" customHeight="false" outlineLevel="0" collapsed="false">
      <c r="A68" s="0" t="s">
        <v>707</v>
      </c>
    </row>
    <row r="69" customFormat="false" ht="15" hidden="false" customHeight="false" outlineLevel="0" collapsed="false">
      <c r="A69" s="0" t="s">
        <v>708</v>
      </c>
    </row>
    <row r="70" customFormat="false" ht="15" hidden="false" customHeight="false" outlineLevel="0" collapsed="false">
      <c r="A70" s="0" t="s">
        <v>709</v>
      </c>
    </row>
    <row r="71" customFormat="false" ht="15" hidden="false" customHeight="false" outlineLevel="0" collapsed="false">
      <c r="A71" s="0" t="s">
        <v>710</v>
      </c>
    </row>
    <row r="72" customFormat="false" ht="15" hidden="false" customHeight="false" outlineLevel="0" collapsed="false">
      <c r="A72" s="0" t="s">
        <v>711</v>
      </c>
    </row>
    <row r="73" customFormat="false" ht="15" hidden="false" customHeight="false" outlineLevel="0" collapsed="false">
      <c r="A73" s="0" t="s">
        <v>712</v>
      </c>
    </row>
    <row r="74" customFormat="false" ht="15" hidden="false" customHeight="false" outlineLevel="0" collapsed="false">
      <c r="A74" s="0" t="s">
        <v>713</v>
      </c>
    </row>
    <row r="75" customFormat="false" ht="15" hidden="false" customHeight="false" outlineLevel="0" collapsed="false">
      <c r="A75" s="0" t="s">
        <v>714</v>
      </c>
    </row>
    <row r="76" customFormat="false" ht="15" hidden="false" customHeight="false" outlineLevel="0" collapsed="false">
      <c r="A76" s="0" t="s">
        <v>666</v>
      </c>
    </row>
    <row r="77" customFormat="false" ht="15" hidden="false" customHeight="false" outlineLevel="0" collapsed="false">
      <c r="A77" s="0" t="s">
        <v>715</v>
      </c>
    </row>
    <row r="78" customFormat="false" ht="15" hidden="false" customHeight="false" outlineLevel="0" collapsed="false">
      <c r="A78" s="0" t="s">
        <v>716</v>
      </c>
    </row>
    <row r="79" customFormat="false" ht="15" hidden="false" customHeight="false" outlineLevel="0" collapsed="false">
      <c r="A79" s="0" t="s">
        <v>666</v>
      </c>
    </row>
    <row r="80" customFormat="false" ht="15" hidden="false" customHeight="false" outlineLevel="0" collapsed="false">
      <c r="A80" s="0" t="s">
        <v>717</v>
      </c>
    </row>
    <row r="81" customFormat="false" ht="15" hidden="false" customHeight="false" outlineLevel="0" collapsed="false">
      <c r="A81" s="0" t="s">
        <v>718</v>
      </c>
    </row>
    <row r="82" customFormat="false" ht="15" hidden="false" customHeight="false" outlineLevel="0" collapsed="false">
      <c r="A82" s="0" t="s">
        <v>666</v>
      </c>
    </row>
    <row r="83" customFormat="false" ht="15" hidden="false" customHeight="false" outlineLevel="0" collapsed="false">
      <c r="A83" s="0" t="s">
        <v>719</v>
      </c>
    </row>
    <row r="84" customFormat="false" ht="15" hidden="false" customHeight="false" outlineLevel="0" collapsed="false">
      <c r="A84" s="0" t="s">
        <v>720</v>
      </c>
    </row>
    <row r="85" customFormat="false" ht="15" hidden="false" customHeight="false" outlineLevel="0" collapsed="false">
      <c r="A85" s="0" t="s">
        <v>666</v>
      </c>
    </row>
    <row r="86" customFormat="false" ht="15" hidden="false" customHeight="false" outlineLevel="0" collapsed="false">
      <c r="A86" s="0" t="s">
        <v>721</v>
      </c>
    </row>
    <row r="87" customFormat="false" ht="15" hidden="false" customHeight="false" outlineLevel="0" collapsed="false">
      <c r="A87" s="0" t="s">
        <v>722</v>
      </c>
    </row>
    <row r="88" customFormat="false" ht="15" hidden="false" customHeight="false" outlineLevel="0" collapsed="false">
      <c r="A88" s="0" t="s">
        <v>723</v>
      </c>
    </row>
    <row r="89" customFormat="false" ht="15" hidden="false" customHeight="false" outlineLevel="0" collapsed="false">
      <c r="A89" s="0" t="s">
        <v>724</v>
      </c>
    </row>
    <row r="90" customFormat="false" ht="15" hidden="false" customHeight="false" outlineLevel="0" collapsed="false">
      <c r="A90" s="0" t="s">
        <v>725</v>
      </c>
    </row>
    <row r="91" customFormat="false" ht="15" hidden="false" customHeight="false" outlineLevel="0" collapsed="false">
      <c r="A91" s="0" t="s">
        <v>726</v>
      </c>
    </row>
    <row r="92" customFormat="false" ht="15" hidden="false" customHeight="false" outlineLevel="0" collapsed="false">
      <c r="A92" s="0" t="s">
        <v>727</v>
      </c>
    </row>
    <row r="93" customFormat="false" ht="15" hidden="false" customHeight="false" outlineLevel="0" collapsed="false">
      <c r="A93" s="0" t="s">
        <v>728</v>
      </c>
    </row>
    <row r="94" customFormat="false" ht="15" hidden="false" customHeight="false" outlineLevel="0" collapsed="false">
      <c r="A94" s="0" t="s">
        <v>666</v>
      </c>
    </row>
    <row r="95" customFormat="false" ht="15" hidden="false" customHeight="false" outlineLevel="0" collapsed="false">
      <c r="A95" s="0" t="s">
        <v>729</v>
      </c>
    </row>
    <row r="96" customFormat="false" ht="15" hidden="false" customHeight="false" outlineLevel="0" collapsed="false">
      <c r="A96" s="0" t="s">
        <v>730</v>
      </c>
    </row>
    <row r="97" customFormat="false" ht="15" hidden="false" customHeight="false" outlineLevel="0" collapsed="false">
      <c r="A97" s="0" t="s">
        <v>723</v>
      </c>
    </row>
    <row r="98" customFormat="false" ht="15" hidden="false" customHeight="false" outlineLevel="0" collapsed="false">
      <c r="A98" s="0" t="s">
        <v>731</v>
      </c>
    </row>
    <row r="99" customFormat="false" ht="15" hidden="false" customHeight="false" outlineLevel="0" collapsed="false">
      <c r="A99" s="0" t="s">
        <v>732</v>
      </c>
    </row>
    <row r="100" customFormat="false" ht="15" hidden="false" customHeight="false" outlineLevel="0" collapsed="false">
      <c r="A100" s="0" t="s">
        <v>733</v>
      </c>
    </row>
    <row r="101" customFormat="false" ht="15" hidden="false" customHeight="false" outlineLevel="0" collapsed="false">
      <c r="A101" s="0" t="s">
        <v>734</v>
      </c>
    </row>
    <row r="102" customFormat="false" ht="15" hidden="false" customHeight="false" outlineLevel="0" collapsed="false">
      <c r="A102" s="0" t="s">
        <v>735</v>
      </c>
    </row>
    <row r="103" customFormat="false" ht="15" hidden="false" customHeight="false" outlineLevel="0" collapsed="false">
      <c r="A103" s="0" t="s">
        <v>666</v>
      </c>
    </row>
    <row r="105" customFormat="false" ht="15" hidden="false" customHeight="false" outlineLevel="0" collapsed="false">
      <c r="A105" s="0" t="s">
        <v>736</v>
      </c>
    </row>
    <row r="106" customFormat="false" ht="15" hidden="false" customHeight="false" outlineLevel="0" collapsed="false">
      <c r="A106" s="0" t="s">
        <v>737</v>
      </c>
    </row>
    <row r="107" customFormat="false" ht="15" hidden="false" customHeight="false" outlineLevel="0" collapsed="false">
      <c r="A107" s="0" t="s">
        <v>738</v>
      </c>
    </row>
    <row r="108" customFormat="false" ht="15" hidden="false" customHeight="false" outlineLevel="0" collapsed="false">
      <c r="A108" s="0" t="s">
        <v>739</v>
      </c>
    </row>
    <row r="109" customFormat="false" ht="15" hidden="false" customHeight="false" outlineLevel="0" collapsed="false">
      <c r="A109" s="0" t="s">
        <v>740</v>
      </c>
    </row>
    <row r="110" customFormat="false" ht="15" hidden="false" customHeight="false" outlineLevel="0" collapsed="false">
      <c r="A110" s="0" t="s">
        <v>741</v>
      </c>
    </row>
    <row r="111" customFormat="false" ht="15" hidden="false" customHeight="false" outlineLevel="0" collapsed="false">
      <c r="A111" s="0" t="s">
        <v>742</v>
      </c>
    </row>
    <row r="112" customFormat="false" ht="15" hidden="false" customHeight="false" outlineLevel="0" collapsed="false">
      <c r="A112" s="0" t="s">
        <v>743</v>
      </c>
    </row>
    <row r="113" customFormat="false" ht="15" hidden="false" customHeight="false" outlineLevel="0" collapsed="false">
      <c r="A113" s="0" t="s">
        <v>744</v>
      </c>
    </row>
    <row r="114" customFormat="false" ht="15" hidden="false" customHeight="false" outlineLevel="0" collapsed="false">
      <c r="A114" s="0" t="s">
        <v>745</v>
      </c>
    </row>
    <row r="115" customFormat="false" ht="15" hidden="false" customHeight="false" outlineLevel="0" collapsed="false">
      <c r="A115" s="0" t="s">
        <v>746</v>
      </c>
    </row>
    <row r="116" customFormat="false" ht="15" hidden="false" customHeight="false" outlineLevel="0" collapsed="false">
      <c r="A116" s="0" t="s">
        <v>747</v>
      </c>
    </row>
    <row r="117" customFormat="false" ht="15" hidden="false" customHeight="false" outlineLevel="0" collapsed="false">
      <c r="A117" s="0" t="s">
        <v>737</v>
      </c>
    </row>
    <row r="119" customFormat="false" ht="15" hidden="false" customHeight="false" outlineLevel="0" collapsed="false">
      <c r="A119" s="0" t="s">
        <v>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</cols>
  <sheetData>
    <row r="1" customFormat="false" ht="15" hidden="false" customHeight="false" outlineLevel="0" collapsed="false">
      <c r="A1" s="4" t="s">
        <v>749</v>
      </c>
    </row>
    <row r="2" customFormat="false" ht="15" hidden="false" customHeight="false" outlineLevel="0" collapsed="false">
      <c r="A2" s="0" t="s">
        <v>750</v>
      </c>
      <c r="B2" s="6" t="n">
        <v>0.15</v>
      </c>
    </row>
    <row r="3" customFormat="false" ht="15" hidden="false" customHeight="false" outlineLevel="0" collapsed="false">
      <c r="A3" s="0" t="s">
        <v>751</v>
      </c>
      <c r="B3" s="6" t="n">
        <v>0.06</v>
      </c>
    </row>
    <row r="4" customFormat="false" ht="15" hidden="false" customHeight="false" outlineLevel="0" collapsed="false">
      <c r="A4" s="0" t="s">
        <v>752</v>
      </c>
      <c r="B4" s="6" t="n">
        <v>4</v>
      </c>
    </row>
    <row r="5" customFormat="false" ht="15" hidden="false" customHeight="false" outlineLevel="0" collapsed="false">
      <c r="A5" s="0" t="s">
        <v>753</v>
      </c>
      <c r="B5" s="6" t="n">
        <v>12</v>
      </c>
    </row>
    <row r="6" customFormat="false" ht="15" hidden="false" customHeight="false" outlineLevel="0" collapsed="false">
      <c r="A6" s="0" t="s">
        <v>754</v>
      </c>
      <c r="B6" s="6" t="n">
        <v>20</v>
      </c>
    </row>
    <row r="7" customFormat="false" ht="15" hidden="false" customHeight="false" outlineLevel="0" collapsed="false">
      <c r="A7" s="0" t="s">
        <v>755</v>
      </c>
      <c r="B7" s="6" t="n">
        <v>10</v>
      </c>
    </row>
    <row r="8" customFormat="false" ht="15" hidden="false" customHeight="false" outlineLevel="0" collapsed="false">
      <c r="A8" s="0" t="s">
        <v>756</v>
      </c>
      <c r="B8" s="6" t="n">
        <v>16</v>
      </c>
    </row>
    <row r="9" customFormat="false" ht="15" hidden="false" customHeight="false" outlineLevel="0" collapsed="false">
      <c r="A9" s="0" t="s">
        <v>757</v>
      </c>
      <c r="B9" s="6" t="n">
        <v>10</v>
      </c>
    </row>
    <row r="10" customFormat="false" ht="15" hidden="false" customHeight="false" outlineLevel="0" collapsed="false">
      <c r="A10" s="0" t="s">
        <v>758</v>
      </c>
      <c r="B10" s="6" t="n">
        <v>25</v>
      </c>
    </row>
    <row r="12" customFormat="false" ht="15" hidden="false" customHeight="false" outlineLevel="0" collapsed="false">
      <c r="A12" s="0" t="s">
        <v>759</v>
      </c>
      <c r="B12" s="0" t="n">
        <f aca="false">B4*B5</f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2026-10-13T21:16:40Z</dcterms:created>
  <dc:creator>openpyxl</dc:creator>
  <dc:description/>
  <dc:language>en-US</dc:language>
  <cp:lastModifiedBy/>
  <dcterms:modified xsi:type="dcterms:W3CDTF">2026-10-13T21:16:40Z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