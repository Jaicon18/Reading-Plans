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<sst xmlns="http://schemas.openxmlformats.org/spreadsheetml/2006/main" count="1499" uniqueCount="1026">
  <si>
    <t xml:space="preserve">Bank of America - Broomfield, CO (CO1-111)   |   METAL FRAMING &amp; DRYWALL TAKEOFF</t>
  </si>
  <si>
    <t xml:space="preserve">Bid set: boa_SIN_MARKUPS.pdf   ·   2026-10-21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</si>
  <si>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</si>
  <si>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</si>
  <si>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</si>
  <si>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</si>
  <si>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</si>
  <si>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</si>
  <si>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</si>
  <si>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</si>
  <si>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</si>
  <si>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</si>
  <si>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</si>
  <si>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</si>
  <si>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</si>
  <si>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</si>
  <si>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</si>
  <si>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</si>
  <si>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</si>
  <si>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</si>
  <si>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</si>
  <si>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</si>
  <si>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n/a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</si>
  <si>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</si>
  <si>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</si>
  <si>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</si>
  <si>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</si>
  <si>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</si>
  <si>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</si>
  <si>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</si>
  <si>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</si>
  <si>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</si>
  <si>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</si>
  <si>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</si>
  <si>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</si>
  <si>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</si>
  <si>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</si>
  <si>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</si>
  <si>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</si>
  <si>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</si>
  <si>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</si>
  <si>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</si>
  <si>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</si>
  <si>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</si>
  <si>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</si>
  <si>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</si>
  <si>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</si>
  <si>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</si>
  <si>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</si>
  <si>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</si>
  <si>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</si>
  <si>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</si>
  <si>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</si>
  <si>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</si>
  <si>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</si>
  <si>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</si>
  <si>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</si>
  <si>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</si>
  <si>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</si>
  <si>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</si>
  <si>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</si>
  <si>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#A-EXT-N1  -  North facade, grid F, Office 1 ME 105 (from the Central Zone storefront jamb to the NE corner)</t>
  </si>
  <si>
    <t xml:space="preserve">A-EXT-N1</t>
  </si>
  <si>
    <t xml:space="preserve">6"</t>
  </si>
  <si>
    <t xml:space="preserve">North facade, grid F, Office 1 ME 105 (from the Central Zone storefront jamb to the NE corner)</t>
  </si>
  <si>
    <t xml:space="preserve">5/A09.26</t>
  </si>
  <si>
    <t xml:space="preserve">[DERIVED]</t>
  </si>
  <si>
    <t xml:space="preserve">EXT-6CFMF  #A-EXT-E1+A-EXT-E2  -  East facade, grid 8, Offices 105-108 and Cash Window 116 (high zone, F to B) + East facade, grid 8, Cash Window 116 / Work Room 119 (low zone, B to A)</t>
  </si>
  <si>
    <t xml:space="preserve">A-EXT-E1+A-EXT-E2</t>
  </si>
  <si>
    <t xml:space="preserve">East facade, grid 8, Offices 105-108 and Cash Window 116 (high zone, F to B) + East facade, grid 8, Cash Window 116 / Work Room 119 (low zone, B to A)</t>
  </si>
  <si>
    <t xml:space="preserve">EXT-6CFMF  #A-EXT-S1+A-EXT-S2  -  South facade, grid A, grids 3 to 6 (Wellness 115, Corridor 111 / door 123, NER 121, Break Room 118) + South facade, grid A, grids 6 to 8 (Break Room 118, Work Room 119)</t>
  </si>
  <si>
    <t xml:space="preserve">A-EXT-S1+A-EXT-S2</t>
  </si>
  <si>
    <t xml:space="preserve">South facade, grid A, grids 3 to 6 (Wellness 115, Corridor 111 / door 123, NER 121, Break Room 118) + South facade, grid A, grids 6 to 8 (Break Room 118, Work Room 119)</t>
  </si>
  <si>
    <t xml:space="preserve">EXT-6CFMF  #A-EXT-W3A+A-EXT-W3B  -  West facade, grid 3, Offices 109 / 110 (high zone, D to B) + West facade, grid 3, restrooms 114 / 113, Janitor 112, Wellness 115 (low zone, B to A)</t>
  </si>
  <si>
    <t xml:space="preserve">A-EXT-W3A+A-EXT-W3B</t>
  </si>
  <si>
    <t xml:space="preserve">West facade, grid 3, Offices 109 / 110 (high zone, D to B) + West facade, grid 3, restrooms 114 / 113, Janitor 112, Wellness 115 (low zone, B to A)</t>
  </si>
  <si>
    <t xml:space="preserve">EXT-6CFMF  #A-EXT-WJ  -  West drive-up recess: jog on line D between grid 2 and grid 3 (south face of ATM Room 102); faces south, kept in the W facade with the drive-up canopy (same as A-CEIL canopy band W)</t>
  </si>
  <si>
    <t xml:space="preserve">A-EXT-WJ</t>
  </si>
  <si>
    <t xml:space="preserve">West drive-up recess: jog on line D between grid 2 and grid 3 (south face of ATM Room 102); faces south, kept in the W facade with the drive-up canopy (same as A-CEIL canopy band W)</t>
  </si>
  <si>
    <t xml:space="preserve">EXT-6CFMF  #A-EXT-W2  -  West facade, grid 2, 24 HR Vestibule 101 and ATM Room 102 (drive-up ATM)</t>
  </si>
  <si>
    <t xml:space="preserve">A-EXT-W2</t>
  </si>
  <si>
    <t xml:space="preserve">West facade, grid 2, 24 HR Vestibule 101 and ATM Room 102 (drive-up ATM)</t>
  </si>
  <si>
    <t xml:space="preserve">TYPE CANOPY-COL</t>
  </si>
  <si>
    <t xml:space="preserve">CANOPY-COL  #A-EXT-CW1  -  Drive-up canopy column on grid 1 near grid G (west of the building)</t>
  </si>
  <si>
    <t xml:space="preserve">A-EXT-CW1</t>
  </si>
  <si>
    <t xml:space="preserve">3-5/8"</t>
  </si>
  <si>
    <t xml:space="preserve">Drive-up canopy column on grid 1 near grid G (west of the building)</t>
  </si>
  <si>
    <t xml:space="preserve">5/A09.25</t>
  </si>
  <si>
    <t xml:space="preserve">CANOPY-COL  #A-EXT-CW2  -  Drive-up canopy column on grid 1 near grid E.4 (west of the building)</t>
  </si>
  <si>
    <t xml:space="preserve">A-EXT-CW2</t>
  </si>
  <si>
    <t xml:space="preserve">Drive-up canopy column on grid 1 near grid E.4 (west of the building)</t>
  </si>
  <si>
    <t xml:space="preserve">CANOPY-COL  #A-EXT-CW3  -  Drive-up canopy column on grid 1 near grid C.5 (west of the building)</t>
  </si>
  <si>
    <t xml:space="preserve">A-EXT-CW3</t>
  </si>
  <si>
    <t xml:space="preserve">Drive-up canopy column on grid 1 near grid C.5 (west of the building)</t>
  </si>
  <si>
    <t xml:space="preserve">CANOPY-COL  #A-EXT-CW4  -  Drive-up canopy column on grid 1 near grid B.2 (west of the building)</t>
  </si>
  <si>
    <t xml:space="preserve">A-EXT-CW4</t>
  </si>
  <si>
    <t xml:space="preserve">Drive-up canopy column on grid 1 near grid B.2 (west of the building)</t>
  </si>
  <si>
    <t xml:space="preserve">TYPE EXT-PARAPET</t>
  </si>
  <si>
    <t xml:space="preserve">EXT-PARAPET  #A-PAR-G  -  North parapet line G, grids 2-4 (over the vestibule storefront and piers)</t>
  </si>
  <si>
    <t xml:space="preserve">A-PAR-G</t>
  </si>
  <si>
    <t xml:space="preserve">6" parapet</t>
  </si>
  <si>
    <t xml:space="preserve">North parapet line G, grids 2-4 (over the vestibule storefront and piers)</t>
  </si>
  <si>
    <t xml:space="preserve">4/A09.26</t>
  </si>
  <si>
    <t xml:space="preserve">EXT-PARAPET  #A-PAR-4R  -  Return of the high parapet at grid 4 (south of line G, over the roof)</t>
  </si>
  <si>
    <t xml:space="preserve">A-PAR-4R</t>
  </si>
  <si>
    <t xml:space="preserve">Return of the high parapet at grid 4 (south of line G, over the roof)</t>
  </si>
  <si>
    <t xml:space="preserve">EXT-PARAPET  #A-PAR-F  -  North parapet line F, grids 4-8</t>
  </si>
  <si>
    <t xml:space="preserve">A-PAR-F</t>
  </si>
  <si>
    <t xml:space="preserve">North parapet line F, grids 4-8</t>
  </si>
  <si>
    <t xml:space="preserve">EXT-PARAPET  #A-PAR-8H+A-PAR-8L  -  East parapet grid 8, F to B (high roof) + East parapet grid 8, B to A (low roof)</t>
  </si>
  <si>
    <t xml:space="preserve">A-PAR-8H+A-PAR-8L</t>
  </si>
  <si>
    <t xml:space="preserve">East parapet grid 8, F to B (high roof) + East parapet grid 8, B to A (low roof)</t>
  </si>
  <si>
    <t xml:space="preserve">EXT-PARAPET  #A-PAR-A  -  South parapet line A, grids 3-8</t>
  </si>
  <si>
    <t xml:space="preserve">A-PAR-A</t>
  </si>
  <si>
    <t xml:space="preserve">South parapet line A, grids 3-8</t>
  </si>
  <si>
    <t xml:space="preserve">EXT-PARAPET  #A-PAR-3H+A-PAR-3L  -  West parapet grid 3, D to B + West parapet grid 3, B to A</t>
  </si>
  <si>
    <t xml:space="preserve">A-PAR-3H+A-PAR-3L</t>
  </si>
  <si>
    <t xml:space="preserve">West parapet grid 3, D to B + West parapet grid 3, B to A</t>
  </si>
  <si>
    <t xml:space="preserve">EXT-PARAPET  #A-PAR-D  -  Jog parapet line D, grids 2-3 (end of the high parapet)</t>
  </si>
  <si>
    <t xml:space="preserve">A-PAR-D</t>
  </si>
  <si>
    <t xml:space="preserve">Jog parapet line D, grids 2-3 (end of the high parapet)</t>
  </si>
  <si>
    <t xml:space="preserve">EXT-PARAPET  #A-PAR-2  -  West parapet grid 2, G to D (high parapet)</t>
  </si>
  <si>
    <t xml:space="preserve">A-PAR-2</t>
  </si>
  <si>
    <t xml:space="preserve">West parapet grid 2, G to D (high parapet)</t>
  </si>
  <si>
    <t xml:space="preserve">TYPE F</t>
  </si>
  <si>
    <t xml:space="preserve">F  #A-INT-001  -  Diagonal ATM partition between 24 HR Vestibule 101 (NE side) and ATM Room 102 (SW side)</t>
  </si>
  <si>
    <t xml:space="preserve">A-INT-001</t>
  </si>
  <si>
    <t xml:space="preserve">Diagonal ATM partition between 24 HR Vestibule 101 (NE side) and ATM Room 102 (SW side)</t>
  </si>
  <si>
    <t xml:space="preserve">12/A12.01</t>
  </si>
  <si>
    <t xml:space="preserve">TYPE B2</t>
  </si>
  <si>
    <t xml:space="preserve">B2  #A-INT-002  -  ATM Room 102 east wall to Central Zone 103 (grid 4)</t>
  </si>
  <si>
    <t xml:space="preserve">A-INT-002</t>
  </si>
  <si>
    <t xml:space="preserve">ATM Room 102 east wall to Central Zone 103 (grid 4)</t>
  </si>
  <si>
    <t xml:space="preserve">1/A12.01</t>
  </si>
  <si>
    <t xml:space="preserve">[CONFIRMED]</t>
  </si>
  <si>
    <t xml:space="preserve">B2  #A-INT-030  -  Break Room 118 / Work Room 119 wall</t>
  </si>
  <si>
    <t xml:space="preserve">A-INT-030</t>
  </si>
  <si>
    <t xml:space="preserve">Break Room 118 / Work Room 119 wall</t>
  </si>
  <si>
    <t xml:space="preserve">B2  #A-INT-044a+A-INT-044b  -  Women's Restroom 114 east wall to Corridor 111, north of grid B (high deck zone) + Women's Restroom 114 east wall to Corridor 111 (door 114), south of grid B (low deck zone)</t>
  </si>
  <si>
    <t xml:space="preserve">A-INT-044a+A-INT-044b</t>
  </si>
  <si>
    <t xml:space="preserve">Women's Restroom 114 east wall to Corridor 111, north of grid B (high deck zone) + Women's Restroom 114 east wall to Corridor 111 (door 114), south of grid B (low deck zone)</t>
  </si>
  <si>
    <t xml:space="preserve">B2  #A-INT-045  -  Men's 113 / Storage 117 / Wellness 115 east wall to Corridor 111 (doors 113, 117, 115)</t>
  </si>
  <si>
    <t xml:space="preserve">A-INT-045</t>
  </si>
  <si>
    <t xml:space="preserve">Men's 113 / Storage 117 / Wellness 115 east wall to Corridor 111 (doors 113, 117, 115)</t>
  </si>
  <si>
    <t xml:space="preserve">TYPE G</t>
  </si>
  <si>
    <t xml:space="preserve">G  #A-INT-003  -  ATM Room 102 / Office 5 CB 109 wall</t>
  </si>
  <si>
    <t xml:space="preserve">A-INT-003</t>
  </si>
  <si>
    <t xml:space="preserve">1-5/8"</t>
  </si>
  <si>
    <t xml:space="preserve">ATM Room 102 / Office 5 CB 109 wall</t>
  </si>
  <si>
    <t xml:space="preserve">5/A12.01</t>
  </si>
  <si>
    <t xml:space="preserve">G  #A-INT-005  -  Office 5 CB 109 / Office 6 CB 110 wall</t>
  </si>
  <si>
    <t xml:space="preserve">A-INT-005</t>
  </si>
  <si>
    <t xml:space="preserve">Office 5 CB 109 / Office 6 CB 110 wall</t>
  </si>
  <si>
    <t xml:space="preserve">G  #A-INT-007  -  Office 6 CB 110 / Women's Restroom 114 wall</t>
  </si>
  <si>
    <t xml:space="preserve">A-INT-007</t>
  </si>
  <si>
    <t xml:space="preserve">Office 6 CB 110 / Women's Restroom 114 wall</t>
  </si>
  <si>
    <t xml:space="preserve">G  #A-INT-028  -  Office 4 CB 108 / Cash Window 116 wall</t>
  </si>
  <si>
    <t xml:space="preserve">A-INT-028</t>
  </si>
  <si>
    <t xml:space="preserve">Office 4 CB 108 / Cash Window 116 wall</t>
  </si>
  <si>
    <t xml:space="preserve">G  #A-INT-033  -  Office 2 CL 106 / Office 3 SB 107 wall</t>
  </si>
  <si>
    <t xml:space="preserve">A-INT-033</t>
  </si>
  <si>
    <t xml:space="preserve">Office 2 CL 106 / Office 3 SB 107 wall</t>
  </si>
  <si>
    <t xml:space="preserve">G  #A-INT-034  -  Office 3 SB 107 / Office 4 CB 108 wall</t>
  </si>
  <si>
    <t xml:space="preserve">A-INT-034</t>
  </si>
  <si>
    <t xml:space="preserve">Office 3 SB 107 / Office 4 CB 108 wall</t>
  </si>
  <si>
    <t xml:space="preserve">G  #A-INT-035  -  Office front OF-E north stub (Central Zone / Office 1 ME 105)</t>
  </si>
  <si>
    <t xml:space="preserve">A-INT-035</t>
  </si>
  <si>
    <t xml:space="preserve">Office front OF-E north stub (Central Zone / Office 1 ME 105)</t>
  </si>
  <si>
    <t xml:space="preserve">G  #A-INT-036  -  Office front OF-E stub at Office 105 / 106</t>
  </si>
  <si>
    <t xml:space="preserve">A-INT-036</t>
  </si>
  <si>
    <t xml:space="preserve">Office front OF-E stub at Office 105 / 106</t>
  </si>
  <si>
    <t xml:space="preserve">G  #A-INT-037  -  Office front OF-E stub at Office 106 / 107</t>
  </si>
  <si>
    <t xml:space="preserve">A-INT-037</t>
  </si>
  <si>
    <t xml:space="preserve">Office front OF-E stub at Office 106 / 107</t>
  </si>
  <si>
    <t xml:space="preserve">G  #A-INT-038  -  Office front OF-E stub at Office 107 / 108</t>
  </si>
  <si>
    <t xml:space="preserve">A-INT-038</t>
  </si>
  <si>
    <t xml:space="preserve">Office front OF-E stub at Office 107 / 108</t>
  </si>
  <si>
    <t xml:space="preserve">TYPE G1</t>
  </si>
  <si>
    <t xml:space="preserve">G1  #A-INT-004  -  Office front OF-W stub between Office 5 CB 109 / Office 6 CB 110 and Central Zone</t>
  </si>
  <si>
    <t xml:space="preserve">A-INT-004</t>
  </si>
  <si>
    <t xml:space="preserve">Office front OF-W stub between Office 5 CB 109 / Office 6 CB 110 and Central Zone</t>
  </si>
  <si>
    <t xml:space="preserve">G1  #A-INT-006  -  Office front OF-W south stub (Office 6 CB 110 / Central Zone)</t>
  </si>
  <si>
    <t xml:space="preserve">A-INT-006</t>
  </si>
  <si>
    <t xml:space="preserve">Office front OF-W south stub (Office 6 CB 110 / Central Zone)</t>
  </si>
  <si>
    <t xml:space="preserve">G1  #A-INT-032  -  Office 1 ME 105 / Office 2 CL 106 wall</t>
  </si>
  <si>
    <t xml:space="preserve">A-INT-032</t>
  </si>
  <si>
    <t xml:space="preserve">Office 1 ME 105 / Office 2 CL 106 wall</t>
  </si>
  <si>
    <t xml:space="preserve">TYPE A1</t>
  </si>
  <si>
    <t xml:space="preserve">A1  #A-INT-008  -  Corridor 111 north wall to Central Zone (door 111)</t>
  </si>
  <si>
    <t xml:space="preserve">A-INT-008</t>
  </si>
  <si>
    <t xml:space="preserve">Corridor 111 north wall to Central Zone (door 111)</t>
  </si>
  <si>
    <t xml:space="preserve">3/A12.01</t>
  </si>
  <si>
    <t xml:space="preserve">A1  #A-INT-010  -  MW01 cabinet recess east wall (Calling Cubes 122)</t>
  </si>
  <si>
    <t xml:space="preserve">A-INT-010</t>
  </si>
  <si>
    <t xml:space="preserve">MW01 cabinet recess east wall (Calling Cubes 122)</t>
  </si>
  <si>
    <t xml:space="preserve">A1  #A-INT-011  -  MW01 cabinet recess south wall (Calling Cubes 122)</t>
  </si>
  <si>
    <t xml:space="preserve">A-INT-011</t>
  </si>
  <si>
    <t xml:space="preserve">MW01 cabinet recess south wall (Calling Cubes 122)</t>
  </si>
  <si>
    <t xml:space="preserve">A1  #A-INT-012  -  Calling Cubes 122 north wall to Waiting 104</t>
  </si>
  <si>
    <t xml:space="preserve">A-INT-012</t>
  </si>
  <si>
    <t xml:space="preserve">Calling Cubes 122 north wall to Waiting 104</t>
  </si>
  <si>
    <t xml:space="preserve">A1  #A-INT-015  -  Calling Cubes 122 south wall to Break Room 118</t>
  </si>
  <si>
    <t xml:space="preserve">A-INT-015</t>
  </si>
  <si>
    <t xml:space="preserve">Calling Cubes 122 south wall to Break Room 118</t>
  </si>
  <si>
    <t xml:space="preserve">A1  #A-INT-017  -  Corridor 111 east wall to Break Room 118 / Electrical 120 / NER 121 (door 118B)</t>
  </si>
  <si>
    <t xml:space="preserve">A-INT-017</t>
  </si>
  <si>
    <t xml:space="preserve">Corridor 111 east wall to Break Room 118 / Electrical 120 / NER 121 (door 118B)</t>
  </si>
  <si>
    <t xml:space="preserve">A1  #A-INT-021  -  Break Room 118 NE return below Calling Cubes SE corner</t>
  </si>
  <si>
    <t xml:space="preserve">A-INT-021</t>
  </si>
  <si>
    <t xml:space="preserve">Break Room 118 NE return below Calling Cubes SE corner</t>
  </si>
  <si>
    <t xml:space="preserve">A1  #A-INT-022  -  Break Room 118 north wall to Cash Window customer area (door 118A)</t>
  </si>
  <si>
    <t xml:space="preserve">A-INT-022</t>
  </si>
  <si>
    <t xml:space="preserve">Break Room 118 north wall to Cash Window customer area (door 118A)</t>
  </si>
  <si>
    <t xml:space="preserve">A1  #A-INT-031  -  Work Room 119 north wall to Cash Window 116 (door 119)</t>
  </si>
  <si>
    <t xml:space="preserve">A-INT-031</t>
  </si>
  <si>
    <t xml:space="preserve">Work Room 119 north wall to Cash Window 116 (door 119)</t>
  </si>
  <si>
    <t xml:space="preserve">TYPE A5</t>
  </si>
  <si>
    <t xml:space="preserve">A5  #A-INT-009  -  Calling Cubes 122 west wall (MW01 recessed cabinet + FEC-1)</t>
  </si>
  <si>
    <t xml:space="preserve">A-INT-009</t>
  </si>
  <si>
    <t xml:space="preserve">Calling Cubes 122 west wall (MW01 recessed cabinet + FEC-1)</t>
  </si>
  <si>
    <t xml:space="preserve">A5  #A-INT-014a+A-INT-014b  -  Calling Cubes 122 east wall, north of grid B (high) + Calling Cubes 122 east wall, south of grid B (low)</t>
  </si>
  <si>
    <t xml:space="preserve">A-INT-014a+A-INT-014b</t>
  </si>
  <si>
    <t xml:space="preserve">Calling Cubes 122 east wall, north of grid B (high) + Calling Cubes 122 east wall, south of grid B (low)</t>
  </si>
  <si>
    <t xml:space="preserve">A5  #A-INT-016a+A-INT-016b  -  Corridor 111 east wall to Calling Cubes 122, north of grid B (high) + Corridor 111 east wall to Calling Cubes 122, south of grid B (door 122)</t>
  </si>
  <si>
    <t xml:space="preserve">A-INT-016a+A-INT-016b</t>
  </si>
  <si>
    <t xml:space="preserve">Corridor 111 east wall to Calling Cubes 122, north of grid B (high) + Corridor 111 east wall to Calling Cubes 122, south of grid B (door 122)</t>
  </si>
  <si>
    <t xml:space="preserve">A5  #A-INT-029  -  Cash Window 116 west wall to Break Room 118 (door 116)</t>
  </si>
  <si>
    <t xml:space="preserve">A-INT-029</t>
  </si>
  <si>
    <t xml:space="preserve">Cash Window 116 west wall to Break Room 118 (door 116)</t>
  </si>
  <si>
    <t xml:space="preserve">TYPE C1</t>
  </si>
  <si>
    <t xml:space="preserve">C1  #A-INT-013+A-INT-013RW+A-INT-013RE  -  Furred monitor box on the north face of Calling Cubes north wall (keynote 7, 85" display) + West 8" return of the C1 furred monitor box, north face of Calling Cubes (keynote 7) + East 8" return of the C1 furred monitor box, north face of Calling Cubes (keynote 7)</t>
  </si>
  <si>
    <t xml:space="preserve">A-INT-013+A-INT-013RW+A-INT-013RE</t>
  </si>
  <si>
    <t xml:space="preserve">Furred monitor box on the north face of Calling Cubes north wall (keynote 7, 85" display) + West 8" return of the C1 furred monitor box, north face of Calling Cubes (keynote 7) + East 8" return of the C1 furred monitor box, north face of Calling Cubes (keynote 7)</t>
  </si>
  <si>
    <t xml:space="preserve">6/A12.01</t>
  </si>
  <si>
    <t xml:space="preserve">C1  #A-INT-025  -  Furring at Future FCAM south of the teller line (Cash Window 116)</t>
  </si>
  <si>
    <t xml:space="preserve">A-INT-025</t>
  </si>
  <si>
    <t xml:space="preserve">Furring at Future FCAM south of the teller line (Cash Window 116)</t>
  </si>
  <si>
    <t xml:space="preserve">C1  #A-INT-039  -  Restroom plumbing chase, Women's Restroom 114 face</t>
  </si>
  <si>
    <t xml:space="preserve">A-INT-039</t>
  </si>
  <si>
    <t xml:space="preserve">Restroom plumbing chase, Women's Restroom 114 face</t>
  </si>
  <si>
    <t xml:space="preserve">C1  #A-INT-040  -  Restroom plumbing chase, Men's Restroom 113 face</t>
  </si>
  <si>
    <t xml:space="preserve">A-INT-040</t>
  </si>
  <si>
    <t xml:space="preserve">Restroom plumbing chase, Men's Restroom 113 face</t>
  </si>
  <si>
    <t xml:space="preserve">C1  #A-INT-049  -  Interior column box at the VEST-S / VEST-E corner (grille 103 north jamb, grid 4)</t>
  </si>
  <si>
    <t xml:space="preserve">A-INT-049</t>
  </si>
  <si>
    <t xml:space="preserve">Interior column box at the VEST-S / VEST-E corner (grille 103 north jamb, grid 4)</t>
  </si>
  <si>
    <t xml:space="preserve">3/A08.21</t>
  </si>
  <si>
    <t xml:space="preserve">C1  #A-INT-050  -  Interior column box at grille 103 south jamb / 24 HR Vestibule SE corner (grid 4 / E)</t>
  </si>
  <si>
    <t xml:space="preserve">A-INT-050</t>
  </si>
  <si>
    <t xml:space="preserve">Interior column box at grille 103 south jamb / 24 HR Vestibule SE corner (grid 4 / E)</t>
  </si>
  <si>
    <t xml:space="preserve">C1  #A-INT-051  -  NE storefront pier (grid 4 / G), interior C1 faces (Vestibule 100 / Central Zone 103)</t>
  </si>
  <si>
    <t xml:space="preserve">A-INT-051</t>
  </si>
  <si>
    <t xml:space="preserve">NE storefront pier (grid 4 / G), interior C1 faces (Vestibule 100 / Central Zone 103)</t>
  </si>
  <si>
    <t xml:space="preserve">2/A09.25</t>
  </si>
  <si>
    <t xml:space="preserve">C1  #A-INT-052  -  NW storefront pier (grid 2 / G), interior C1 faces (Vestibule 100)</t>
  </si>
  <si>
    <t xml:space="preserve">A-INT-052</t>
  </si>
  <si>
    <t xml:space="preserve">NW storefront pier (grid 2 / G), interior C1 faces (Vestibule 100)</t>
  </si>
  <si>
    <t xml:space="preserve">1/A09.25</t>
  </si>
  <si>
    <t xml:space="preserve">TYPE B</t>
  </si>
  <si>
    <t xml:space="preserve">B  #A-INT-018  -  Electrical 120 north wall to Break Room 118</t>
  </si>
  <si>
    <t xml:space="preserve">A-INT-018</t>
  </si>
  <si>
    <t xml:space="preserve">Electrical 120 north wall to Break Room 118</t>
  </si>
  <si>
    <t xml:space="preserve">B  #A-INT-019  -  Electrical 120 / NER 121 east wall to Break Room 118 (doors 120, 121)</t>
  </si>
  <si>
    <t xml:space="preserve">A-INT-019</t>
  </si>
  <si>
    <t xml:space="preserve">Electrical 120 / NER 121 east wall to Break Room 118 (doors 120, 121)</t>
  </si>
  <si>
    <t xml:space="preserve">B  #A-INT-020  -  Electrical 120 / NER 121 wall</t>
  </si>
  <si>
    <t xml:space="preserve">A-INT-020</t>
  </si>
  <si>
    <t xml:space="preserve">Electrical 120 / NER 121 wall</t>
  </si>
  <si>
    <t xml:space="preserve">B  #A-INT-046  -  Men's Restroom 113 south wall to Janitor 112 / Storage 117 (door 112)</t>
  </si>
  <si>
    <t xml:space="preserve">A-INT-046</t>
  </si>
  <si>
    <t xml:space="preserve">Men's Restroom 113 south wall to Janitor 112 / Storage 117 (door 112)</t>
  </si>
  <si>
    <t xml:space="preserve">B  #A-INT-047  -  Janitor Closet 112 / Storage 117 wall</t>
  </si>
  <si>
    <t xml:space="preserve">A-INT-047</t>
  </si>
  <si>
    <t xml:space="preserve">Janitor Closet 112 / Storage 117 wall</t>
  </si>
  <si>
    <t xml:space="preserve">B  #A-INT-048  -  Janitor 112 / Storage 117 south wall to Wellness 115</t>
  </si>
  <si>
    <t xml:space="preserve">A-INT-048</t>
  </si>
  <si>
    <t xml:space="preserve">Janitor 112 / Storage 117 south wall to Wellness 115</t>
  </si>
  <si>
    <t xml:space="preserve">TYPE A1K</t>
  </si>
  <si>
    <t xml:space="preserve">A1K  #A-INT-023  -  Teller line south ballistic wall, west segment (Cash Window 116)</t>
  </si>
  <si>
    <t xml:space="preserve">A-INT-023</t>
  </si>
  <si>
    <t xml:space="preserve">Teller line south ballistic wall, west segment (Cash Window 116)</t>
  </si>
  <si>
    <t xml:space="preserve">4/A12.01</t>
  </si>
  <si>
    <t xml:space="preserve">A1K  #A-INT-024  -  Teller line south ballistic wall, east segment (Cash Window 116 / Future FCAM)</t>
  </si>
  <si>
    <t xml:space="preserve">A-INT-024</t>
  </si>
  <si>
    <t xml:space="preserve">Teller line south ballistic wall, east segment (Cash Window 116 / Future FCAM)</t>
  </si>
  <si>
    <t xml:space="preserve">A1K  #A-INT-027  -  Teller line north ballistic wall, east segment (Cash Window 116)</t>
  </si>
  <si>
    <t xml:space="preserve">A-INT-027</t>
  </si>
  <si>
    <t xml:space="preserve">Teller line north ballistic wall, east segment (Cash Window 116)</t>
  </si>
  <si>
    <t xml:space="preserve">TYPE B2K</t>
  </si>
  <si>
    <t xml:space="preserve">B2K  #A-INT-026  -  Teller line north ballistic wall, west segment (Office 4 CB 108 / Cash Window 116)</t>
  </si>
  <si>
    <t xml:space="preserve">A-INT-026</t>
  </si>
  <si>
    <t xml:space="preserve">Teller line north ballistic wall, west segment (Office 4 CB 108 / Cash Window 116)</t>
  </si>
  <si>
    <t xml:space="preserve">TYPE BULKHEAD-G</t>
  </si>
  <si>
    <t xml:space="preserve">BULKHEAD-G  #A-INT-056+A-INT-057+A-INT-058+A-INT-059  -  Central Zone 103 / Waiting 104 (ACT-4 field) / Office 1 ME 105 / underside of the CONT. BOX BEAM (bulkhead soffit over the opening) + Central Zone 103 / Waiting 104 (ACT-4 field) / Office 2 CL 106 / underside of the CONT. BOX BEAM (bulkhead soffit over the opening) + Central Zone 103 / Waiting 104 (ACT-4 field) / Office 3 SB 107 / underside of the CONT. BOX BEAM (bulkhead soffit over the opening) + Central Zone 103 / Waiting 104 (ACT-4 field) / Office 4 CB 108 / underside of the CONT. BOX BEAM (bulkhead soffit over the opening)</t>
  </si>
  <si>
    <t xml:space="preserve">A-INT-056+A-INT-057+A-INT-058+A-INT-059</t>
  </si>
  <si>
    <t xml:space="preserve">Central Zone 103 / Waiting 104 (ACT-4 field) / Office 1 ME 105 / underside of the CONT. BOX BEAM (bulkhead soffit over the opening) + Central Zone 103 / Waiting 104 (ACT-4 field) / Office 2 CL 106 / underside of the CONT. BOX BEAM (bulkhead soffit over the opening) + Central Zone 103 / Waiting 104 (ACT-4 field) / Office 3 SB 107 / underside of the CONT. BOX BEAM (bulkhead soffit over the opening) + Central Zone 103 / Waiting 104 (ACT-4 field) / Office 4 CB 108 / underside of the CONT. BOX BEAM (bulkhead soffit over the opening)</t>
  </si>
  <si>
    <t xml:space="preserve">9/A12.01</t>
  </si>
  <si>
    <t xml:space="preserve">BULKHEAD-G  #A-INT-060+A-INT-061  -  Central Zone 103 / Waiting 104 (ACT-4 field) / Office 5 CB 109 / underside of the CONT. BOX BEAM (bulkhead soffit over the opening) + Central Zone 103 / Waiting 104 (ACT-4 field) / Office 6 CB 110 / underside of the CONT. BOX BEAM (bulkhead soffit over the opening)</t>
  </si>
  <si>
    <t xml:space="preserve">A-INT-060+A-INT-061</t>
  </si>
  <si>
    <t xml:space="preserve">Central Zone 103 / Waiting 104 (ACT-4 field) / Office 5 CB 109 / underside of the CONT. BOX BEAM (bulkhead soffit over the opening) + Central Zone 103 / Waiting 104 (ACT-4 field) / Office 6 CB 110 / underside of the CONT. BOX BEAM (bulkhead soffit over the opening)</t>
  </si>
  <si>
    <t xml:space="preserve">TOTAL - PARTITIONS</t>
  </si>
  <si>
    <t xml:space="preserve">TYPE OTHER FRAMING (NOT A PARTITION)</t>
  </si>
  <si>
    <t xml:space="preserve">fascia_box  #A-FAS-N  -  N fascia, outer corner to outer corner (owns NW &amp; NE corners)</t>
  </si>
  <si>
    <t xml:space="preserve">A-FAS-N</t>
  </si>
  <si>
    <t xml:space="preserve">N fascia, outer corner to outer corner (owns NW &amp; NE corners)</t>
  </si>
  <si>
    <t xml:space="preserve">3/A09.26</t>
  </si>
  <si>
    <t xml:space="preserve">fascia_box  #A-FAS-W  -  W (drive-up) fascia, from N fascia inner face to S return outer face</t>
  </si>
  <si>
    <t xml:space="preserve">A-FAS-W</t>
  </si>
  <si>
    <t xml:space="preserve">W (drive-up) fascia, from N fascia inner face to S return outer face</t>
  </si>
  <si>
    <t xml:space="preserve">16/A09.27</t>
  </si>
  <si>
    <t xml:space="preserve">fascia_box  #A-FAS-WS  -  drive-up canopy south return at grid B (W canopy, separate line)</t>
  </si>
  <si>
    <t xml:space="preserve">A-FAS-WS</t>
  </si>
  <si>
    <t xml:space="preserve">drive-up canopy south return at grid B (W canopy, separate line)</t>
  </si>
  <si>
    <t xml:space="preserve">fascia_box  #A-FAS-E  -  E fascia, from N fascia inner face to S return outer face</t>
  </si>
  <si>
    <t xml:space="preserve">A-FAS-E</t>
  </si>
  <si>
    <t xml:space="preserve">E fascia, from N fascia inner face to S return outer face</t>
  </si>
  <si>
    <t xml:space="preserve">7/A09.26</t>
  </si>
  <si>
    <t xml:space="preserve">fascia_box  #A-FAS-ES  -  E canopy south return (wall to fascia)</t>
  </si>
  <si>
    <t xml:space="preserve">A-FAS-ES</t>
  </si>
  <si>
    <t xml:space="preserve">E canopy south return (wall to fascia)</t>
  </si>
  <si>
    <t xml:space="preserve">fascia_box  #A-FAS-S  -  S entrance canopy front fascia, outer corner to outer corner</t>
  </si>
  <si>
    <t xml:space="preserve">A-FAS-S</t>
  </si>
  <si>
    <t xml:space="preserve">S entrance canopy front fascia, outer corner to outer corner</t>
  </si>
  <si>
    <t xml:space="preserve">fascia_box  #A-FAS-SW  -  S canopy west return (wall to front fascia)</t>
  </si>
  <si>
    <t xml:space="preserve">A-FAS-SW</t>
  </si>
  <si>
    <t xml:space="preserve">S canopy west return (wall to front fascia)</t>
  </si>
  <si>
    <t xml:space="preserve">fascia_box  #A-FAS-SE  -  S canopy east return (wall to front fascia)</t>
  </si>
  <si>
    <t xml:space="preserve">A-FAS-SE</t>
  </si>
  <si>
    <t xml:space="preserve">S canopy east return (wall to front fascia)</t>
  </si>
  <si>
    <t xml:space="preserve">storefront_cripples  #A-EXT-SC-N-VEST  -  North facade, line G, above the Vestibule 100 storefront (grids 2-4)</t>
  </si>
  <si>
    <t xml:space="preserve">A-EXT-SC-N-VEST</t>
  </si>
  <si>
    <t xml:space="preserve">North facade, line G, above the Vestibule 100 storefront (grids 2-4)</t>
  </si>
  <si>
    <t xml:space="preserve">storefront_cripples  #A-EXT-SC-N-CZ  -  North facade, line F, above the Central Zone 103 storefront (grid 4 pier to office wall)</t>
  </si>
  <si>
    <t xml:space="preserve">A-EXT-SC-N-CZ</t>
  </si>
  <si>
    <t xml:space="preserve">North facade, line F, above the Central Zone 103 storefront (grid 4 pier to office wall)</t>
  </si>
  <si>
    <t xml:space="preserve">storefront_cripples  #A-EXT-SC-W-VEST  -  West facade, grid 2, above the Vestibule 100 west storefront</t>
  </si>
  <si>
    <t xml:space="preserve">A-EXT-SC-W-VEST</t>
  </si>
  <si>
    <t xml:space="preserve">West facade, grid 2, above the Vestibule 100 west storefront</t>
  </si>
  <si>
    <t xml:space="preserve">pier_part  #A-EXT-P2  -  Storefront pier at grid 2 / G (NW corner of Vestibule 100)</t>
  </si>
  <si>
    <t xml:space="preserve">A-EXT-P2</t>
  </si>
  <si>
    <t xml:space="preserve">Storefront pier at grid 2 / G (NW corner of Vestibule 100)</t>
  </si>
  <si>
    <t xml:space="preserve">pier_part  #A-EXT-P4  -  Storefront pier at grid 4 / G (NE corner of Vestibule 100, west jamb of the Central Zone storefront)</t>
  </si>
  <si>
    <t xml:space="preserve">A-EXT-P4</t>
  </si>
  <si>
    <t xml:space="preserve">Storefront pier at grid 4 / G (NE corner of Vestibule 100, west jamb of the Central Zone storefront)</t>
  </si>
  <si>
    <t xml:space="preserve">roof_step  #A-EXT-RS1  -  Roof step along grid B, grids 3-8: upper exterior row (low-roof side, above the low deck)</t>
  </si>
  <si>
    <t xml:space="preserve">A-EXT-RS1</t>
  </si>
  <si>
    <t xml:space="preserve">Roof step along grid B, grids 3-8: upper exterior row (low-roof side, above the low deck)</t>
  </si>
  <si>
    <t xml:space="preserve">4/A02.02</t>
  </si>
  <si>
    <t xml:space="preserve">roof_step  #A-EXT-RS2  -  Roof step along grid B, grids 3-8: interior row (high side, high T/STEEL down to the bottom of the box)</t>
  </si>
  <si>
    <t xml:space="preserve">A-EXT-RS2</t>
  </si>
  <si>
    <t xml:space="preserve">Roof step along grid B, grids 3-8: interior row (high side, high T/STEEL down to the bottom of the box)</t>
  </si>
  <si>
    <t xml:space="preserve">4/A02.02-GYP</t>
  </si>
  <si>
    <t xml:space="preserve">roof_step  #A-EXT-RS3  -  Roof step along grid B, grids 3-8: lower row (below the low deck, low-roof side)</t>
  </si>
  <si>
    <t xml:space="preserve">A-EXT-RS3</t>
  </si>
  <si>
    <t xml:space="preserve">Roof step along grid B, grids 3-8: lower row (below the low deck, low-roof side)</t>
  </si>
  <si>
    <t xml:space="preserve">vestibule_head  #VEST-HEAD-S  -  VEST-HEAD-S</t>
  </si>
  <si>
    <t xml:space="preserve">VEST-HEAD-S</t>
  </si>
  <si>
    <t xml:space="preserve">7/A12.10</t>
  </si>
  <si>
    <t xml:space="preserve">vestibule_head  #VEST-HEAD-E  -  Central Zone 103 (ACT-4 11'-6" field)</t>
  </si>
  <si>
    <t xml:space="preserve">VEST-HEAD-E</t>
  </si>
  <si>
    <t xml:space="preserve">Central Zone 103 (ACT-4 11'-6" field)</t>
  </si>
  <si>
    <t xml:space="preserve">5/A12.10</t>
  </si>
  <si>
    <t xml:space="preserve">grille_head  #A-INT-055  -  Central Zone 103 (ACT-4 11'-6" field) / grille head soffit (underside, 24 HR Vestibule / Central Zone)</t>
  </si>
  <si>
    <t xml:space="preserve">A-INT-055</t>
  </si>
  <si>
    <t xml:space="preserve">2-1/2"</t>
  </si>
  <si>
    <t xml:space="preserve">Central Zone 103 (ACT-4 11'-6" field) / grille head soffit (underside, 24 HR Vestibule / Central Zone)</t>
  </si>
  <si>
    <t xml:space="preserve">4/A08.21</t>
  </si>
  <si>
    <t xml:space="preserve">ceiling_transition  #A-CTR-104N  -  WAITING - N edge of GB ceiling against ACT-4 (11.5' ACT vs 11.0' GB)</t>
  </si>
  <si>
    <t xml:space="preserve">A-CTR-104N</t>
  </si>
  <si>
    <t xml:space="preserve">WAITING - N edge of GB ceiling against ACT-4 (11.5' ACT vs 11.0' GB)</t>
  </si>
  <si>
    <t xml:space="preserve">7/A09.33</t>
  </si>
  <si>
    <t xml:space="preserve">ceiling_transition  #A-CTR-104W  -  WAITING - W edge of GB ceiling against ACT-4 (11.5' ACT vs 11.0' GB)</t>
  </si>
  <si>
    <t xml:space="preserve">A-CTR-104W</t>
  </si>
  <si>
    <t xml:space="preserve">WAITING - W edge of GB ceiling against ACT-4 (11.5' ACT vs 11.0' GB)</t>
  </si>
  <si>
    <t xml:space="preserve">ceiling_transition  #A-CTR-104E  -  WAITING - E edge of GB ceiling against ACT-4 (11.5' ACT vs 11.0' GB)</t>
  </si>
  <si>
    <t xml:space="preserve">A-CTR-104E</t>
  </si>
  <si>
    <t xml:space="preserve">WAITING - E edge of GB ceiling against ACT-4 (11.5' ACT vs 11.0' GB)</t>
  </si>
  <si>
    <t xml:space="preserve">ceiling_transition  #A-CTR-116NW  -  CASH WINDOW 116 - GB soffit strip north of grid B (high deck zone) - W edge of GB ceiling against ACT-4 (9.0' ACT vs 8.0' GB)</t>
  </si>
  <si>
    <t xml:space="preserve">A-CTR-116NW</t>
  </si>
  <si>
    <t xml:space="preserve">CASH WINDOW 116 - GB soffit strip north of grid B (high deck zone) - W edge of GB ceiling against ACT-4 (9.0' ACT vs 8.0' GB)</t>
  </si>
  <si>
    <t xml:space="preserve">ceiling_transition  #A-CTR-116NE  -  CASH WINDOW 116 - GB soffit strip north of grid B (high deck zone) - E edge of GB ceiling against ACT-4 (9.0' ACT vs 8.0' GB)</t>
  </si>
  <si>
    <t xml:space="preserve">A-CTR-116NE</t>
  </si>
  <si>
    <t xml:space="preserve">CASH WINDOW 116 - GB soffit strip north of grid B (high deck zone) - E edge of GB ceiling against ACT-4 (9.0' ACT vs 8.0' GB)</t>
  </si>
  <si>
    <t xml:space="preserve">ceiling_transition  #A-CTR-116SW  -  CASH WINDOW 116 - GB soffit strip south of grid B (LOW deck zone) - W edge of GB ceiling against ACT-4 (9.0' ACT vs 8.0' GB)</t>
  </si>
  <si>
    <t xml:space="preserve">A-CTR-116SW</t>
  </si>
  <si>
    <t xml:space="preserve">CASH WINDOW 116 - GB soffit strip south of grid B (LOW deck zone) - W edge of GB ceiling against ACT-4 (9.0' ACT vs 8.0' GB)</t>
  </si>
  <si>
    <t xml:space="preserve">ceiling_transition  #A-CTR-116SE  -  CASH WINDOW 116 - GB soffit strip south of grid B (LOW deck zone) - E edge of GB ceiling against ACT-4 (9.0' ACT vs 8.0' GB)</t>
  </si>
  <si>
    <t xml:space="preserve">A-CTR-116SE</t>
  </si>
  <si>
    <t xml:space="preserve">CASH WINDOW 116 - GB soffit strip south of grid B (LOW deck zone) - E edge of GB ceiling against ACT-4 (9.0' ACT vs 8.0' GB)</t>
  </si>
  <si>
    <t xml:space="preserve">alcove  #A-INT-041+A-INT-042+A-INT-043  -  Lavatory niche north return (corridor niche between restrooms) + Lavatory niche back wall (lavatories, corridor niche) + Lavatory niche south return</t>
  </si>
  <si>
    <t xml:space="preserve">A-INT-041+A-INT-042+A-INT-043</t>
  </si>
  <si>
    <t xml:space="preserve">Lavatory niche north return (corridor niche between restrooms) + Lavatory niche back wall (lavatories, corridor niche) + Lavatory niche south return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</si>
  <si>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</si>
  <si>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</si>
  <si>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</si>
  <si>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</si>
  <si>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</si>
  <si>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</si>
  <si>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</si>
  <si>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</si>
  <si>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</si>
  <si>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</si>
  <si>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</si>
  <si>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</si>
  <si>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</si>
  <si>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</si>
  <si>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</si>
  <si>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gauges)'; 1/A09.25; 2/A09.25; studs_out.json; cut_ft = piece length carrying the most LF in studs_out.json</t>
  </si>
  <si>
    <t xml:space="preserve">3-5/8" metal stud (LF of material)</t>
  </si>
  <si>
    <t xml:space="preserve">familias_out.json '3-5/8" stud (all gauges)'; 5/A09.25; studs_out.json; cut_ft = piece length carrying the most LF in studs_out.json</t>
  </si>
  <si>
    <t xml:space="preserve">1-5/8" metal stud (LF of material)</t>
  </si>
  <si>
    <t xml:space="preserve">familias_out.json '1-5/8" stud'; 5/A12.01; studs_out.json; cut_ft = piece length carrying the most LF in studs_out.json</t>
  </si>
  <si>
    <t xml:space="preserve">6" parapet infill stud (LF of material)</t>
  </si>
  <si>
    <t xml:space="preserve">familias_out.json '6" parapet stud'; 1/A09.01; 2/A09.01; 1/A09.02; 4/A09.26; cut_ft = piece length carrying the most LF in studs_out.json</t>
  </si>
  <si>
    <t xml:space="preserve">Track, ceilings / soffits / canopy</t>
  </si>
  <si>
    <t xml:space="preserve">run 10 ft</t>
  </si>
  <si>
    <t xml:space="preserve">familias_out.json 'ceiling / soffit track'; corridas_out.json</t>
  </si>
  <si>
    <t xml:space="preserve">Bracing 1-1/2" C.R. channel</t>
  </si>
  <si>
    <t xml:space="preserve">C.R. channel 16 ft</t>
  </si>
  <si>
    <t xml:space="preserve">familias_out.json 'bracing C.R. channel'; corridas_out.json</t>
  </si>
  <si>
    <t xml:space="preserve">Purlin, top track to deck</t>
  </si>
  <si>
    <t xml:space="preserve">familias_out.json 'purlin (track to deck)'; corridas_out.json</t>
  </si>
  <si>
    <t xml:space="preserve">Header / metal stud box beam</t>
  </si>
  <si>
    <t xml:space="preserve">familias_out.json 'header / box beam'; headers_in.json; 7/S5.20</t>
  </si>
  <si>
    <t xml:space="preserve">Sill track</t>
  </si>
  <si>
    <t xml:space="preserve">familias_out.json 'sill track'; headers_in.json; 7/S5.20</t>
  </si>
  <si>
    <t xml:space="preserve">Furring channel (ceilings)</t>
  </si>
  <si>
    <t xml:space="preserve">hat channel 12 ft</t>
  </si>
  <si>
    <t xml:space="preserve">familias_out.json 'furring channel'; A04.01</t>
  </si>
  <si>
    <t xml:space="preserve">Carrying channel (ceilings)</t>
  </si>
  <si>
    <t xml:space="preserve">familias_out.json 'carrying channel'; A04.01</t>
  </si>
  <si>
    <t xml:space="preserve">Hanger wire</t>
  </si>
  <si>
    <t xml:space="preserve">familias_out.json 'hanger wire'; A04.01</t>
  </si>
  <si>
    <t xml:space="preserve">Hanger wire 12 ga - hanger count (one per hanger, height per room)</t>
  </si>
  <si>
    <t xml:space="preserve">PCS</t>
  </si>
  <si>
    <t xml:space="preserve">each</t>
  </si>
  <si>
    <t xml:space="preserve">familias_out.json hanger_pcs.total_pcs; wire bought on the LF row</t>
  </si>
  <si>
    <t xml:space="preserve">Framed openings - MEP, light slots and diffusers</t>
  </si>
  <si>
    <t xml:space="preserve">framed_openings_out.json 'framed openings MEP'; 6/A09.33; 4/A09.33</t>
  </si>
  <si>
    <t xml:space="preserve">5/8" gypsum board, regular</t>
  </si>
  <si>
    <t xml:space="preserve">SF</t>
  </si>
  <si>
    <t xml:space="preserve">4x12 sheet</t>
  </si>
  <si>
    <t xml:space="preserve">familias_out.json '5/8" gyp board regular (walls + ceilings)'; board_out.json</t>
  </si>
  <si>
    <t xml:space="preserve">5/8" gypsum board, MOISTURE RESISTANT</t>
  </si>
  <si>
    <t xml:space="preserve">familias_out.json '5/8" gyp MOISTURE RESISTANT'; board_out.json</t>
  </si>
  <si>
    <t xml:space="preserve">Ballistic panel UL752</t>
  </si>
  <si>
    <t xml:space="preserve">4x8 sheet</t>
  </si>
  <si>
    <t xml:space="preserve">familias_out.json 'ballistic panel'; board_out.json</t>
  </si>
  <si>
    <t xml:space="preserve">3/8" gypsum board</t>
  </si>
  <si>
    <t xml:space="preserve">familias_out.json '3/8" gyp board'; board_out.json</t>
  </si>
  <si>
    <t xml:space="preserve">5/8" glass mat sheathing (exterior face of the stud)</t>
  </si>
  <si>
    <t xml:space="preserve">familias_out.json '5/8" glass mat sheathing'</t>
  </si>
  <si>
    <t xml:space="preserve">5/8" EXTERIOR gypsum sheathing</t>
  </si>
  <si>
    <t xml:space="preserve">familias_out.json '5/8" EXTERIOR gyp sheathing'; board_out.json</t>
  </si>
  <si>
    <t xml:space="preserve">FRP panels</t>
  </si>
  <si>
    <t xml:space="preserve">familias_out.json 'FRP'; D/A08.01; 5/A08.01; 1/A08.01</t>
  </si>
  <si>
    <t xml:space="preserve">Cement board (substrate under the FRP cove base band)</t>
  </si>
  <si>
    <t xml:space="preserve">3x5 sheet</t>
  </si>
  <si>
    <t xml:space="preserve">familias_out.json 'cement board'; 1/A08.01; 3/A08.01</t>
  </si>
  <si>
    <t xml:space="preserve">Blocking FRT / 2X FRT wood</t>
  </si>
  <si>
    <t xml:space="preserve">LF (lumber cut to length)</t>
  </si>
  <si>
    <t xml:space="preserve">familias_out.json 'FRT blocking'; 13/A12.02; 9/A12.02; 8/A12.01; 9/A12.01; 7/A11.01; 10/A12.01</t>
  </si>
  <si>
    <t xml:space="preserve">Stud blocking at edge of gypboard (structural detail)</t>
  </si>
  <si>
    <t xml:space="preserve">familias_out.json metal_blocking_by_origin 'metal stud blocking (362CR / STUD BLOCKING)' (edge); 4/S5.20</t>
  </si>
  <si>
    <t xml:space="preserve">Metal stud blocking at wall-mounted items (notes)</t>
  </si>
  <si>
    <t xml:space="preserve">familias_out.json metal_blocking_by_origin 'metal stud blocking (362CR / STUD BLOCKING)' (items); 4/S5.20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</si>
  <si>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</si>
  <si>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</si>
  <si>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molding)'; 8/A12.01; 9/A12.01; 7/A11.01; 10/A12.01; 4/A08.21; 1/A08.21</t>
  </si>
  <si>
    <t xml:space="preserve">Sealant at base of gypsum (exterior, not acoustical)</t>
  </si>
  <si>
    <t xml:space="preserve">tube (25 LF per tube)</t>
  </si>
  <si>
    <t xml:space="preserve">familias_out.json sealant_exterior_lf 'sealant at base of gypsum (exterior)'; 5/A09.26; 9/A09.27 (not acoustical)</t>
  </si>
  <si>
    <t xml:space="preserve">Bottom track 6"</t>
  </si>
  <si>
    <t xml:space="preserve">familias_out.json track_by_element 'bottom track (all)' (R73.3)</t>
  </si>
  <si>
    <t xml:space="preserve">Bottom track - other framing (not a partition type, see source)</t>
  </si>
  <si>
    <t xml:space="preserve">Bottom track 3-5/8"</t>
  </si>
  <si>
    <t xml:space="preserve">Parapet bottom track</t>
  </si>
  <si>
    <t xml:space="preserve">Bottom track - roof step and heads (vestibule / bulkhead)</t>
  </si>
  <si>
    <t xml:space="preserve">Bottom track 1-5/8"</t>
  </si>
  <si>
    <t xml:space="preserve">Top / deflection track 6"</t>
  </si>
  <si>
    <t xml:space="preserve">familias_out.json track_by_element 'top / deflection track (all)' (R73.3)</t>
  </si>
  <si>
    <t xml:space="preserve">Top / deflection track - other framing (not a partition type, see source)</t>
  </si>
  <si>
    <t xml:space="preserve">Top / deflection track 3-5/8"</t>
  </si>
  <si>
    <t xml:space="preserve">Parapet top track</t>
  </si>
  <si>
    <t xml:space="preserve">Top track - roof step and heads (vestibule / bulkhead)</t>
  </si>
  <si>
    <t xml:space="preserve">Top / deflection track 1-5/8"</t>
  </si>
  <si>
    <t xml:space="preserve">Blocking 2X wood (not labeled FRT)</t>
  </si>
  <si>
    <t xml:space="preserve">familias_out.json wood_blocking_lf 'FRT blocking' (v76)</t>
  </si>
  <si>
    <t xml:space="preserve">5/8" FRT plywood sheathing (canopy and soffits)</t>
  </si>
  <si>
    <t xml:space="preserve">4x12 ft sheet (Inputs)</t>
  </si>
  <si>
    <t xml:space="preserve">familias_out.json FRT plywood by material; 1/A09.25; 2/A09.25; 12/A12.01; 3/A09.26; 16/A09.27; 7/A09.26; 5/A09.25; 11/A09.27</t>
  </si>
  <si>
    <t xml:space="preserve">Exterior sheathing 5/8" FRT plywood bonded to 2-1/2" polyiso</t>
  </si>
  <si>
    <t xml:space="preserve">FRT plywood substrate (3/4 in.)</t>
  </si>
  <si>
    <t xml:space="preserve">3/4" FRT plywood at storefront piers</t>
  </si>
  <si>
    <t xml:space="preserve">5/8" FRT plywood at canopy column wraps</t>
  </si>
  <si>
    <t xml:space="preserve">Additional head track at openings over 4'-0" wide</t>
  </si>
  <si>
    <t xml:space="preserve">accesorios.py [CRITERION]: 2/S5.20 HEAD TRACK @ NON LOAD BRG 'ADD FULL LENGTH ADDL HEAD TRACK @ OPNG &gt;4'-0"'; Estimator user decision #1: R.O. + 1'-4" (8" bearing each side)</t>
  </si>
  <si>
    <t xml:space="preserve">Stud reinforcement at MEP penetrations</t>
  </si>
  <si>
    <t xml:space="preserve">accesorios.py [CRITERION]: 6/S5.20 (PENETRATION THRU STUDS: 16 GAUGE PLATE REINFORCEMENT REQD AT PENETRATIONS; 1" DIA. AND SMALLER OPENING CENTERED IN WEB; FLANGES SHALL NOT BE NOTCHED OR CUT); M01.01 (mep.cruces, registered to A02.01); 6/S5.20 plate; 6/S5.20 (PENETR</t>
  </si>
  <si>
    <t xml:space="preserve">Extra framing - ATM recess (only what a detail prints at the recess; the wall stays in its type)</t>
  </si>
  <si>
    <t xml:space="preserve">accesorios.py [DERIVED]: 6/A08.11; 5/A08.11; 7/A08.11; A02.01 (p24) vector + A02.01 printed 30'-4 1/4" (grid 2, NW pier north face to jog outer face) minus printed 1'-11 3/4" (pier) and 6'-6" (storefront) minus the jog thickness (vector); 6/A08.11: "2 1/2" METAL ST</t>
  </si>
  <si>
    <t xml:space="preserve">2-1/2" CFMF @ 16" O.C. at coiling grille head (4/A08.21)</t>
  </si>
  <si>
    <t xml:space="preserve">accesorios.py [DERIVED]: 4/A08.21 printed 1'-6" + 2'-4 1/2" (chain), '6" CFMF BOX BEAM HEADER' x 2, '5/8" GYP. BD., TYP.'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</si>
  <si>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</si>
  <si>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</si>
  <si>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</si>
  <si>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A,B,C,D/A08.01 '5'-0" TO TOP OF FRP' (WC-3 FRP panel, toilet room finish schedule); 1/A08.01 rectilinear L polygon (one step at the lavatory alcove); A05.01 finish key note 6 'FRP FROM FLOOR TO 4'-0" AFF, WIDTH TO MATCH WIDTH OF MOP SINK AT</t>
  </si>
  <si>
    <t xml:space="preserve">Power-driven fasteners and duct sleeves</t>
  </si>
  <si>
    <t xml:space="preserve">accesorios.py [DERIVED]: S5.10 parapet wall infill framing note 'PAFs SPACED AT 12" O.C. MAX.'; M01.01 (FD tags; position = tag xy + registration); M01.01 (mep.cruces, registered to A02.01); 6/S5.20 plate; M01.01 overlay ov_M0101_NE.png; opening_schedule</t>
  </si>
  <si>
    <t xml:space="preserve">Access panel 2'x2'</t>
  </si>
  <si>
    <t xml:space="preserve">accesorios.py [CONFIRMED]: A04.01 RCP key note 4 '2' X 2' LOCKING ACCESS PANEL. KEYED TO MATCH MAIN ENTRY.' (1 circle, Vestibule 100 GB 10'-0")</t>
  </si>
  <si>
    <t xml:space="preserve">Drywall screws 1-1/4" bugle head</t>
  </si>
  <si>
    <t xml:space="preserve">accesorios.py [DERIVED]: Inputs!B20 (Drywall screws per SF of board = 1.2) x 17872.8 SF of board</t>
  </si>
  <si>
    <t xml:space="preserve">Framing screws, pan head self-drilling</t>
  </si>
  <si>
    <t xml:space="preserve">accesorios.py [DERIVED]: Inputs!B21 (Framing screws per stud piece = 4) x 1779 stud pieces</t>
  </si>
  <si>
    <t xml:space="preserve">Power-driven fasteners, slab pins for the bottom track</t>
  </si>
  <si>
    <t xml:space="preserve">accesorios.py [DERIVED]: 533.86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</si>
  <si>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</si>
  <si>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215.14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</si>
  <si>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</si>
  <si>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</si>
  <si>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</si>
  <si>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17872.8 SF of board</t>
  </si>
  <si>
    <t xml:space="preserve">Joint tape, paper</t>
  </si>
  <si>
    <t xml:space="preserve">accesorios.py [DERIVED]: Inputs!B24 (Joint tape (LF per SF) = 0.37) x 17872.8 SF of board</t>
  </si>
  <si>
    <t xml:space="preserve">Level 5 finish</t>
  </si>
  <si>
    <t xml:space="preserve">accesorios.py [CRITERION]: 1/A11.04 11'-9 1/4" V.I.F.; A00.40 WC-18 'WALL SURFACE TO BE LEVEL 5'; A05.01 key note 12 circle; 6/A11.01 11'-9 1/4" V.I.F.; A00.40 WC-18 'WALL SURFACE TO BE LEVEL 5'; A05.01 key note 12 circle; 5/A11.04 11'-9 1/4" V.I.F.; A00.40 WC-18 'WA</t>
  </si>
  <si>
    <t xml:space="preserve">Deflection clips at non-load-bearing walls to structure</t>
  </si>
  <si>
    <t xml:space="preserve">accesorios.py [CRITERION]: S1.11 LIGHT GAUGE STEEL FRAMING note 2 'PROVIDE MANUFACTURER'S STANDARD VERTICAL DEFLECTION CLIPS AT NON-LOAD-BEARING WALLS'; 1/A12.01, 3/A12.01, 4/A12.01 'CONTINUOUS SLIP TRACK'; 8/A12.01, 9/A12.01 'CONT. SLIP TRACK'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</si>
  <si>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</si>
  <si>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</si>
  <si>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</si>
  <si>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</si>
  <si>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 HEAD TRACK @ NON LOAD BRG 'ADD FULL LENGTH ADDL HEAD TRACK @ OPNG &gt;4'-0"'?</t>
  </si>
  <si>
    <t xml:space="preserve">100.56 lf</t>
  </si>
  <si>
    <t xml:space="preserve">RFI-ACC-stud-reinforcement-mep</t>
  </si>
  <si>
    <t xml:space="preserve">stud reinforcement MEP: plates at double-row stud walls: one per cut row (R72.9) vs one per crossing</t>
  </si>
  <si>
    <t xml:space="preserve">-11 pcs</t>
  </si>
  <si>
    <t xml:space="preserve">RFI-ACC-stud-reinforcement-mep-2</t>
  </si>
  <si>
    <t xml:space="preserve">stud reinforcement MEP: crossings read by hand (not found by mep.cruces): confirm each one on the M / P sheets (R73.5)</t>
  </si>
  <si>
    <t xml:space="preserve">6 pcs</t>
  </si>
  <si>
    <t xml:space="preserve">RFI-ACC-stud-reinforcement-mep-3</t>
  </si>
  <si>
    <t xml:space="preserve">stud reinforcement MEP: pipes over 1 in. through the stud web: the penetration detail draws a plate (R73.5)</t>
  </si>
  <si>
    <t xml:space="preserve">11 pcs</t>
  </si>
  <si>
    <t xml:space="preserve">RFI-ACC-stud-reinforcement-mep-4</t>
  </si>
  <si>
    <t xml:space="preserve">stud reinforcement MEP: duct / fire damper openings listed outside the registered MEP sweep (R73.5)</t>
  </si>
  <si>
    <t xml:space="preserve">RFI-ACC-gypsum-board-jamb-return</t>
  </si>
  <si>
    <t xml:space="preserve">gypsum board jamb return: jamb return width not dimensioned</t>
  </si>
  <si>
    <t xml:space="preserve">-40.74 sf</t>
  </si>
  <si>
    <t xml:space="preserve">RFI-ACC-expansion-anchors</t>
  </si>
  <si>
    <t xml:space="preserve">expansion anchors: untagged parts of piers / boxes (A-EXT-P2, A-EXT-P4) without anchorage in the schedule (R72.8)</t>
  </si>
  <si>
    <t xml:space="preserve">9.41 pcs</t>
  </si>
  <si>
    <t xml:space="preserve">RFI-ACC-slab-pins</t>
  </si>
  <si>
    <t xml:space="preserve">slab pins: pin spacing: 12" (interior anchorage) vs 16" (fastener schedule) vs 24" (type K box)</t>
  </si>
  <si>
    <t xml:space="preserve">16in: -133.46 pcs; 24in: -266.93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</si>
  <si>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</si>
  <si>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</si>
  <si>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799 pcs</t>
  </si>
  <si>
    <t xml:space="preserve">RFI-ACC-stud-reinforcement-mep-5</t>
  </si>
  <si>
    <t xml:space="preserve">stud reinforcement MEP: fire dampers (4) and the 10" trunk at Office 106/107 read by hand; pipes &gt; 1" (P-01..P-07, P-09) draw a plate per 6/S5.20</t>
  </si>
  <si>
    <t xml:space="preserve">FD 4 x 1 = +4 pcs; manual duct +1; pipes 8 x 1 = +8 pcs</t>
  </si>
  <si>
    <t xml:space="preserve">RFI-ACC-level-5-finish</t>
  </si>
  <si>
    <t xml:space="preserve">Level 5 finish: WC-20 (key note 9) extent not drawn in any elevation and WC-20 missing in A00.40</t>
  </si>
  <si>
    <t xml:space="preserve">carried 15.21 x (10.0 - 0.375) = 146.4 SF; if the whole diagonal face incl. ATM surround: 17.46 x 9.625 = 168.1 SF (+21.7)</t>
  </si>
  <si>
    <t xml:space="preserve">RFI-ACC-pvc-trim-at-frp</t>
  </si>
  <si>
    <t xml:space="preserve">PVC trim at FRP: Women's 114 width 11'-7 1/2" (1/A08.01) vs 11'-8" (A02.01)</t>
  </si>
  <si>
    <t xml:space="preserve">+0.083 ft x 2 on perimeter -&gt; +0.33 LF PVC, +0.83 SF FRP</t>
  </si>
  <si>
    <t xml:space="preserve">RFI-ACC-deflection-clips-2</t>
  </si>
  <si>
    <t xml:space="preserve">deflection clips: S1.11 note 2 asks for deflection clips and the A12.01 types draw continuous slip track (R73.6)</t>
  </si>
  <si>
    <t xml:space="preserve">one clip per full-height stud of walls to structure (accesorios computes)</t>
  </si>
  <si>
    <t xml:space="preserve">RFI-ACC-slab-pins-2</t>
  </si>
  <si>
    <t xml:space="preserve">slab pins: A1K/A5K print PAFs @ 2'-0" alternating sides; interior anchorage S5.20 @ 12"</t>
  </si>
  <si>
    <t xml:space="preserve">A1K/A5K bottom track LF / 2 - LF / 1</t>
  </si>
  <si>
    <t xml:space="preserve">RFI-ACC-extra-framing-atm</t>
  </si>
  <si>
    <t xml:space="preserve">extra framing ATM: DU ATM 6/A08.11 prints 2-1/2" studs sistered to the 6" studs; count / height not printed</t>
  </si>
  <si>
    <t xml:space="preserve">carried 5 studs x 6'-0" = 30.0 LF (W1 / R78.36); if only the 2 jamb studs: -18.0 LF</t>
  </si>
  <si>
    <t xml:space="preserve">RFI-ACC-access-panel</t>
  </si>
  <si>
    <t xml:space="preserve">access panel: M general note 16 (M00.01) 'PROVIDE ACCESS PANELS FOR ALL EQUIPMENT, DAMPERS ... ABOVE CEILINGS': only 1 drawn (RCP key note 4); FCU-2 / dampers above GB ceilings (Vestibules, Waiting, Restrooms) may need more</t>
  </si>
  <si>
    <t xml:space="preserve">+n panels (not drawn)</t>
  </si>
  <si>
    <t xml:space="preserve">RFI-C1</t>
  </si>
  <si>
    <t xml:space="preserve">Carrying channel direction of the suspended GWB ceilings is not printed (no suspended-GWB ceiling detail in the set). Carried E-W for the whole project.</t>
  </si>
  <si>
    <t xml:space="preserve">N-S instead of E-W: carrying -3.08 LF, furring 32.06 LF, hanger wire 0.0 LF</t>
  </si>
  <si>
    <t xml:space="preserve">RFI-C2</t>
  </si>
  <si>
    <t xml:space="preserve">No suspended GWB ceiling assembly is detailed (furring/carrying/hanger size &amp; spacing). Per E14 / R70.1 the GWB ceilings are carried as furring channel + carrying channel @48" + hanger wire @48". 6/A09.33 (typical trimless fixture, not bubbled on A04.01) shows '3 5/8" METAL STUD FRAMING @ 16" O.C.' -- local detail, does not change the field.</t>
  </si>
  <si>
    <t xml:space="preserve">stud_joist instead of furring: furring -815.83 LF, 3-5/8" stud +815.83 LF</t>
  </si>
  <si>
    <t xml:space="preserve">RFI-C3</t>
  </si>
  <si>
    <t xml:space="preserve">R-11C / R-11CE: schedule description 12' vs catalog '-20'-0"'. A04.01 draws and labels 12'. Carried 12'.</t>
  </si>
  <si>
    <t xml:space="preserve">+64 LF framed openings if 20' fixtures (2 sides x 8' x 4)</t>
  </si>
  <si>
    <t xml:space="preserve">RFI-C4</t>
  </si>
  <si>
    <t xml:space="preserve">UU4 (x4, drive-up canopy) scheduled 55'-0" but A04.01 draws 49.18' bars; the drive-up soffit is 55.47' long (fascia to fascia). Carried 55' (+1/4") per 54.1; UU5 50' vs 49.18' drawn.</t>
  </si>
  <si>
    <t xml:space="preserve">-46.56 LF framed openings if the drawn 49.18' length governs (UU4)</t>
  </si>
  <si>
    <t xml:space="preserve">RFI-C5</t>
  </si>
  <si>
    <t xml:space="preserve">Rough-opening widths not printed for R-11A/R-11C/R-11CE (6/A09.33), UU1-UU6 (4/A09.33 'COORD. W/ FIXTURE CUTSHEET') and slot diffusers (M00.03 'SEE DRAWING'): sides carried (SIDES_ONLY), ends pending.</t>
  </si>
  <si>
    <t xml:space="preserve">+2 x W x qty per tag (see framed_openings rfis: LF per inch of width)</t>
  </si>
  <si>
    <t xml:space="preserve">RFI-C6</t>
  </si>
  <si>
    <t xml:space="preserve">Drive-up canopy (W): 15/A09.27 labels only spray foam on the wall behind the canopy, no glass-mat sheathing (3/A09.26 &amp; 7/A09.26 label '5/8" GLASS-MAT SHEATHING'). W band carried with sheathing 'none' (R78.13).</t>
  </si>
  <si>
    <t xml:space="preserve">+111.52 SF 5/8" glass mat if the W band gets it (56.344 LF x 1.9792 ft)</t>
  </si>
  <si>
    <t xml:space="preserve">RFI-C7</t>
  </si>
  <si>
    <t xml:space="preserve">Restrooms 113/114: A04.01 shows 2'x2' diffuser/grille symbols (drawn 12"x12"); M01.01 shows 2'-0" linear slots (75 / 60 CFM). Carried per M01.01 as 2' slot openings (SIDES_ONLY 2 x 2' x 4 = 16 LF).</t>
  </si>
  <si>
    <t xml:space="preserve">-16 LF framed openings if 12"x12" grilles (fit the 16" module)</t>
  </si>
  <si>
    <t xml:space="preserve">RFI-C8</t>
  </si>
  <si>
    <t xml:space="preserve">Cash Window 116 CSR soffit: GB 8'-0" strip 3'-5" x 12'-0" between ACT-4 9'-0" fields. No detail is bubbled on A04.01 or on the enlarged RCP 4/A12.08; carried per R70.1 as a suspended furring ceiling with the typical transitions 7/A09.33 on its edges. The set nevertheless details this soffit as stud framing: 9/A12.08 CSR LINE SECTION ('3 5/8" METAL STUDS AT 16" O.C.', bubbled on 1, 2, 5, 6/A12.08) and 10/A09.33 CEILING DETAIL @ CSR SOFFIT (studs to deck both faces, CONT. TRACK, no kickers, no hangers). Confirm the system.</t>
  </si>
  <si>
    <t xml:space="preserve">framed soffit (10/A09.33) instead of furring + transitions: furring -48.04 LF, carrying -13.64 LF, hanger wire -59.0 LF (8 pcs x 7.375), kickers -105.44 LF 3-5/8", soffit bottom joists +37.52 LF 3-5/8" @ 16" (11 x 3.411); vertical studs to deck and ceiling track unchanged; net 3-5/8" stud about -67.9 LF</t>
  </si>
  <si>
    <t xml:space="preserve">RFI-C9</t>
  </si>
  <si>
    <t xml:space="preserve">S2.20 labels B.O.D. 15'-4 1/2" NO SLOPE only in the F-E bay; E-B bay has no B.O.D. label (beams at grid B and D marked (high), leader '@ LOW ROOF' near grid E between grids 5-6 refers to a steel support). Waiting 104 and the north part of the cash strip carried at 15'-4 1/2".</t>
  </si>
  <si>
    <t xml:space="preserve">if E-B were the low roof (13'-0 5/8"): waiting hanger drop 4.375 -&gt; 2.052 ft and transition vertical studs 4.375 -&gt; 2.052 ft (-2.323 ft per piece)</t>
  </si>
  <si>
    <t xml:space="preserve">RFI-C10</t>
  </si>
  <si>
    <t xml:space="preserve">Low roof B-&gt;A slopes 13'-0 5/8" -&gt; 12'-6 3/8"; restrooms 113/114 and the south cash strip carried at the high end (HEIGHT DE DECK).</t>
  </si>
  <si>
    <t xml:space="preserve">-15.62 LF hanger wire if the low end governs</t>
  </si>
  <si>
    <t xml:space="preserve">RFI-C11</t>
  </si>
  <si>
    <t xml:space="preserve">Canopy fascia box stud spacing not printed (3/A09.26, 7/A09.26, 16/A09.27); carried 16" o.c. from 5/A09.33 '3 5/8" CFMF @ 16" O.C.' (same canopy assembly).</t>
  </si>
  <si>
    <t xml:space="preserve">@24" instead: about -1/3 of fascia studs</t>
  </si>
  <si>
    <t xml:space="preserve">RFI-C12</t>
  </si>
  <si>
    <t xml:space="preserve">Canopy soffit joist direction carried perpendicular to the building wall (studs drawn wall-&gt;fascia in 3/A09.26); drive-up canopy W (55' x 21') could run N-S between the W12x19 / W10x12 steel.</t>
  </si>
  <si>
    <t xml:space="preserve">rotated joists: 3-5/8" stud 212.33 LF</t>
  </si>
  <si>
    <t xml:space="preserve">RFI-X1</t>
  </si>
  <si>
    <t xml:space="preserve">Exterior elevation titles are swapped N/S: bubble 1/A09.01 (called from the NORTH edge, looking south) is titled 'SOUTH ELEVATION' but shows the north facade (grid order 8..1, storefront entry); bubble 2/A09.02 (called from the SOUTH edge, looking north) is titled 'NORTH ELEVATION' but shows the south facade (grid order 1..8, door 123). Facades assigned by the north arrow (R71.1). Confirm titles.</t>
  </si>
  <si>
    <t xml:space="preserve">0 (assignment only)</t>
  </si>
  <si>
    <t xml:space="preserve">RFI-X2</t>
  </si>
  <si>
    <t xml:space="preserve">Parapet roof-side face: wall sections A09.21-A09.23 label '5/8" EXTERIOR GYPSUM SHEATHING' while 4/A09.26 labels 'FULLY ADHERED ROOF MEMBRANE ON 5/8" DENS DECK OR EQUAL'. Carried as 5/8" exterior gypsum sheathing (53.5 / 55.3). Confirm whether the cover board is by the roofer.</t>
  </si>
  <si>
    <t xml:space="preserve">- 954.9 SF exterior gyp sheathing if by roofer</t>
  </si>
  <si>
    <t xml:space="preserve">RFI-X3</t>
  </si>
  <si>
    <t xml:space="preserve">Canopy beams (S2.20 '(CANOPY)' W12x19 / W16x26, T/STEEL 11'-9" to 12'-2 3/4") are drawn inside the 6" stud plane in sections A/B/C (A09.21), D/E (A09.22) and H/J (A09.23), below the roof perimeter beam. Studs carried full height to the roof perimeter beam (10/S5.10, 6/S5.10). Alternative: studs stop under the canopy beam and a second short row runs from the canopy beam to the roof beam (two more track runs per wall).</t>
  </si>
  <si>
    <t xml:space="preserve">if split at the canopy beam (E26 strict reading, ADV_ext #1, DERIVED from studs_out): about -188 to -206 LF 600S162-54 (each affected stud loses d of the canopy beam: N1 -14.2, E1 -47 to -58, W3A -35.3, W2 -22.4 to -28.8, WJ -8.1, SC-N-VEST -12.2, SC-N-CZ -27.5, SC-W-VEST -10.5, P2+P4 -11) and +321 LF 600T track (deflection + bottom track at the canopy beam on 160.5 LF of affected lines)</t>
  </si>
  <si>
    <t xml:space="preserve">RFI-X4</t>
  </si>
  <si>
    <t xml:space="preserve">Roof step at grid B (4/A02.02): row heights are not dimensioned; measured in vector at 1 1/2" = 1'-0". The two T/STEEL lines in the detail are 29.3" apart vs 27.875" from the S2.20 B.O.D. values (5 %).</t>
  </si>
  <si>
    <t xml:space="preserve">+/- 5 % of 3 rows x 52.33 ft (about +/- 0.4 ft per row height)</t>
  </si>
  <si>
    <t xml:space="preserve">RFI-X5</t>
  </si>
  <si>
    <t xml:space="preserve">Storefront pier jamb strips: label '3/4" FRT PLYWOOD' (singular) but 1/A09.25 and 2/A09.25 draw two 3/4" plies at each storefront jamb. Carried 1 ply (label).</t>
  </si>
  <si>
    <t xml:space="preserve">+ 23.59 SF 3/4" FRT plywood if 2 plies</t>
  </si>
  <si>
    <t xml:space="preserve">RFI-X7</t>
  </si>
  <si>
    <t xml:space="preserve">Exterior 6" CFMF part of the storefront piers: anchorage of its bottom track not stated (R72.8).</t>
  </si>
  <si>
    <t xml:space="preserve">anchors vs pins on 2 x (3.375 + 2.896) ft of bottom track</t>
  </si>
  <si>
    <t xml:space="preserve">RFI-X8</t>
  </si>
  <si>
    <t xml:space="preserve">Drive-up canopy column wraps (5/A09.25): stud gauge and O.C. not printed (16" used); wrap height taken from T/SLAB 0'-0" to the canopy soffit framing B/STUD 10'-7 1/4" (15/A09.27) - the drive lane / island level at the columns is not dimensioned.</t>
  </si>
  <si>
    <t xml:space="preserve">per 0.25 ft of height: 4 wraps x 12 studs x 0.25 = 12 LF 3-5/8" stud and 5.67 SF plywood per wrap</t>
  </si>
  <si>
    <t xml:space="preserve">RFI-X10</t>
  </si>
  <si>
    <t xml:space="preserve">Plan details 1/A09.25, 2/A09.25, 5/A09.25 and 7/A08.11 are drawn mirrored with respect to A02.01 (grid F above G, D above E; S2.20 revision note 'BUILDING FOOTPRINT MIRRORED NORTH-SOUTH'). Layers and dimensions read from the details, geometry assigned per the plan. Also 1/A08.01 (restrooms 113 / 114 enlarged plan) is rotated 180 degrees relative to A02.01 (doors, WC and Janitor 112 / Storage 117 reversed): toilet-accessory blocking assigned per room; grab bars / TA-3 / TA-5 / TA-9 / TA-10 / TA-17 sit on the inner face of the west exterior wall A-EXT-W3B.</t>
  </si>
  <si>
    <t xml:space="preserve">0</t>
  </si>
  <si>
    <t xml:space="preserve">RFI-X11</t>
  </si>
  <si>
    <t xml:space="preserve">High parapet (T.O. PARAPET 2): return of 4.5 ft at grid 4 south of line G read on the roof plan A02.02 (keynote 10) - no dimension printed.</t>
  </si>
  <si>
    <t xml:space="preserve">+/- 1 ft x 4.29 ft parapet</t>
  </si>
  <si>
    <t xml:space="preserve">RFI-ENS-01</t>
  </si>
  <si>
    <t xml:space="preserve">MR board: reading A-INT placed the two corridor-niche fixtures as lavatories (MR on the niche back wall A-INT-042); 1/A08.01 shows the restroom lavatory and water closet on the chase walls and the niche pair is the high-low drinking fountain. MR carried on the chase faces of A-INT-039 (114) and A-INT-040 (113) only.</t>
  </si>
  <si>
    <t xml:space="preserve">if the niche fixtures were lavatories: + MR on A-INT-042 corridor face (same SF moved from regular to MR)</t>
  </si>
  <si>
    <t xml:space="preserve">RFI-ENS-02</t>
  </si>
  <si>
    <t xml:space="preserve">Ceiling transition trim: 7/A09.33 draws a shadow molding at the upper ceiling too (upper condition). Carried 2 corner bead + 1 shadow molding per LF; if the upper shadow molding also applies (ACT side) add 1 LF per LF.</t>
  </si>
  <si>
    <t xml:space="preserve">+101.05 LF metal trim (transitions 101.05 LF x 1)</t>
  </si>
  <si>
    <t xml:space="preserve">RFI-ENS-03</t>
  </si>
  <si>
    <t xml:space="preserve">DU ATM recess: 6/A08.11 prints '2 1/2" METAL STUD SISTERED TO 6" METAL STUD W/ MINERAL WOOL INSULATION' without count or spacing. Carried 5 studs across the 4'-6" surround x 6'-0" = 30 LF (more material, 53.3). If only the two jambs are sistered: 12 LF.</t>
  </si>
  <si>
    <t xml:space="preserve">-18.0 LF extra framing ATM recess (2-1/2" stud) if only 2 jambs</t>
  </si>
  <si>
    <t xml:space="preserve">RFI-ENS-04</t>
  </si>
  <si>
    <t xml:space="preserve">Cash Window 116 GB ceiling crosses the deck break at grid B. Hanger wire carried with the high drop (7.375 ft) for all hangers; south half hangs from the low deck (13'-0 5/8" - 8'-0" = 5.052 ft).</t>
  </si>
  <si>
    <t xml:space="preserve">about half of the 116 hangers at 5.052 ft instead of 7.375 ft: -2.32 LF per hanger in the low half</t>
  </si>
  <si>
    <t xml:space="preserve">RFI-ENS-05</t>
  </si>
  <si>
    <t xml:space="preserve">Storefront pier exterior 6" CFMF L: 1/A09.25 and 2/A09.25 print partial stud chains (carried 3.375 LF NW pier, 2.8958 LF NE pier). Alternative = finished plan L 2'-6 3/4" + 1'-11 3/4" = 4.4583 LF per pier.</t>
  </si>
  <si>
    <t xml:space="preserve">+1.0833 LF (A-EXT-P2) / +1.5625 LF (A-EXT-P4) of 6" CFMF pier part</t>
  </si>
  <si>
    <t xml:space="preserve">RFI-REF-01</t>
  </si>
  <si>
    <t xml:space="preserve">Fascia box: the details also draw a plywood layer on TOP of the box and part of its back face; only the outer face and the bottom (R78.14) are carried. Top / back plywood extent is not labeled separately.</t>
  </si>
  <si>
    <t xml:space="preserve">+71.5 SF 5/8" ext. grade FRT plywood if the top of the box is sheathed (same width as the bottom, 237.595 LF of fascia)</t>
  </si>
  <si>
    <t xml:space="preserve">RFI-REF-02</t>
  </si>
  <si>
    <t xml:space="preserve">Exterior walls that own the building corner (A-EXT-S1 W end, A-EXT-S2 E end, A-EXT-N1 E end, A-EXT-WJ W end) carry their interior board face to the OUTER corner (board_caras: sum of face pieces = wall length). The room face physically stops at the inner face of the crossing exterior wall (0.88-0.97 ft per end).</t>
  </si>
  <si>
    <t xml:space="preserve">-51.5 SF 5/8" board (S1 -0.887 x 12.5313, S2 -0.880 x 12.5313, N1 -0.967 x 15.375, WJ -0.942 x 15.375) and -3.67 LF sealant at base of gypsum if the faces stop at the inner corner</t>
  </si>
  <si>
    <t xml:space="preserve">RFI-REF-03</t>
  </si>
  <si>
    <t xml:space="preserve">High parapet on grid 2 north of the vestibule storefront: the coping runs continuous from line G down grid 2 (A02.02), but A-PP-W-2 sums only its base walls A-EXT-W2 + A-EXT-SC-W-VEST (W2 / R78.37); the west leg of the NW pier (vertical 318.66-337.5 pt on A02.01) is not under any base wall of the W facade.</t>
  </si>
  <si>
    <t xml:space="preserve">+1.05 to +1.98 LF parapet x 4.2917 = +4.5 to +8.5 SF 5/8" exterior gyp sheathing (roof side) and the same LF of FRT blocking x plies</t>
  </si>
  <si>
    <t xml:space="preserve">RFI-REF-04</t>
  </si>
  <si>
    <t xml:space="preserve">Recessed accessories without a printed size: TA-13 hand dryer with ADA recess kit (x2, drawn 17.2" wide on A/A08.01, more than a 16" bay), FEC-1 recessed extinguisher cabinet (A00.40) and TA-2 recessed paper towel dispensers (x2, Break 118 / Wellness 115). Carried 0 (R71.6 / R60.5); 58.4 asks header + sill at 2'-0" PENDING when not printed.</t>
  </si>
  <si>
    <t xml:space="preserve">TA-13: +5.53 LF header and +5.53 LF sill track (2 x (1.433 + 1.333)); FEC-1 + TA-2 x2 at 2'-0": +10.0 LF header and +10.0 LF sill track (3 x (2.0 + 1.333))</t>
  </si>
  <si>
    <t xml:space="preserve">RFI-REF-05</t>
  </si>
  <si>
    <t xml:space="preserve">8/A12.10 DETAIL @ WALL TERMINATION is bubbled only at the west end of VEST-S (3/A12.10); carried there (FRT blocking 10.0 LF). The glass also ends against the 1'-0" C1 box A-INT-049 at the east end of VEST-S and the south end of VEST-E (no bubble). The 'FRT PLYWOOD' behind the 5/8" gyp in 8/A12.10 has no width (break lines).</t>
  </si>
  <si>
    <t xml:space="preserve">+20.0 LF FRT blocking if 8/A12.10 applies at the two C1-box ends; FRT plywood +10.0 SF per foot of width per termination</t>
  </si>
  <si>
    <t xml:space="preserve">RFI-REF-06</t>
  </si>
  <si>
    <t xml:space="preserve">S1.10 general note 7: 'DELEGATED STRUCTURAL DESIGN AND DEFERRED SUBMITTALS INCLUDE: ... 2. COLD FORMED STEEL FRAMING'; S1.11 light gauge notes ask for supplier shop drawings. CFS delegated design, PE-stamped calculations and shop drawings: confirm whether they are in the framing bid.</t>
  </si>
  <si>
    <t xml:space="preserve">0 in quantities; engineering / submittal cost item (Clarifications)</t>
  </si>
  <si>
    <t xml:space="preserve">RFI-REF-07</t>
  </si>
  <si>
    <t xml:space="preserve">8/S5.20 MECH. CHASE FRAMING IN WALL (toe-to-toe stud posts each side, 1'-10" max, cold rolled channel; plumbing chases 4'-0" apart min.) is not bubbled on the plans; the P01.01 pipes on A-EXT-N1 / A-EXT-E1 cross the walls (mep.cruces), no vertical riser inside a stud wall is drawn. Not carried.</t>
  </si>
  <si>
    <t xml:space="preserve">per vertical chase in a 6" exterior wall: +2 studs x 14.36 = +28.7 LF 600S162-54 + about 1.83 LF cold rolled channel per row (PENDING: count of risers in walls, P03.01)</t>
  </si>
  <si>
    <t xml:space="preserve">RFI-REF-08</t>
  </si>
  <si>
    <t xml:space="preserve">E02.02 key note 29: 'PROVIDE 8'x7'-6"x3/4" FIRE-RATED PLYWOOD BACKBOARDS MOUNTED VERTICALLY ALONG NER ROOM WALL SHOWN'. Carried per the architectural drawings: 7'-6" long (A02.01) x 7'-6" high (5/A11.03, 6" AFF). 'BACKBOARDS' is plural; the key-note tag is not located as text on E02.02.</t>
  </si>
  <si>
    <t xml:space="preserve">+3.75 SF 3/4" FRT plywood if the 8' side runs along the wall; +60 SF per additional 8' x 7'-6" board on another NER wall</t>
  </si>
  <si>
    <t xml:space="preserve">RFI-REF-09</t>
  </si>
  <si>
    <t xml:space="preserve">12/A09.27 SECTION DETAIL @ STUCCO BASE: 'CEMENT BOARD ON RIGID INSULATION' on the foundation face below T/BASE 0'-6". Taken as foundation / insulation work by others (not carried).</t>
  </si>
  <si>
    <t xml:space="preserve">if included: LF of stucco walls x (1'-2" + depth to footing, not printed) of cement board</t>
  </si>
  <si>
    <t xml:space="preserve">RFI-REF-10</t>
  </si>
  <si>
    <t xml:space="preserve">Edge-of-gypboard stud blocking 4/S5.20 (NTS, no location, REGLA 56.8 / 59.14): carried (b) one row on every face whose board piece exceeds the 12 ft sheet = 560.96 LF 362CR22 (53.3).</t>
  </si>
  <si>
    <t xml:space="preserve">(a) exterior walls + double-layer types (G, G1, A1K, B2K) only = 425.60 LF: -135.36 LF metal stud blocking</t>
  </si>
  <si>
    <t xml:space="preserve">RFI-REF-11</t>
  </si>
  <si>
    <t xml:space="preserve">A08.01 key note 8 'GC TO MOUNT THE MIRROR TO THE FACE OF GYPSUM BOARD AND PROVIDE FRP AROUND THE MIRROR'S HOUSING' (TA-7, Men's 113 and Women's 114): the mirror rises above the 5'-0" FRP (elevation A/A08.01). Strip width and mirror height are not dimensioned; not carried (the FRP schema has only the 5'-0" perimeter and the mop sink).</t>
  </si>
  <si>
    <t xml:space="preserve">per mirror (2): FRP = (2 x h + w) x strip width above 5'-0" + PVC edge trim on both edges; with the drawn 2'-0" wide mirror and a 4" strip about +1.8 SF FRP and +11 LF PVC trim per mirror (PENDING: not printed)</t>
  </si>
  <si>
    <t xml:space="preserve">RFI-REF-12</t>
  </si>
  <si>
    <t xml:space="preserve">A12.04 labels the shelving blocking of MW05 / MW06 / MW08 'PROVIDE ADDITIONAL PRESSURE TREATED BLOCKING IN PARTITION' while sheet note D (A12.03-A12.06) says 'PROVIDE FRTW BLOCKING AT ALL MILLWORK VERTICAL SURFACE CLEATS AND MOUNTING LOCATIONS'. Carried as FRT blocking.</t>
  </si>
  <si>
    <t xml:space="preserve">material only, same LF (pressure-treated wood instead of FRTW on the MW05 / MW06 / MW08 rows)</t>
  </si>
  <si>
    <t xml:space="preserve">RFI-INT-01</t>
  </si>
  <si>
    <t xml:space="preserve">Tag 'B2K' (PC0011) at the north end of the teller line is not in the A12.01 schedule. Taken as the 6" ballistic type = A5K row of 4/A12.01 (6" stud, 7 5/8", 14 ga @ 24", 5/8" + 3/8" level-2 fiberglass to 8'-0" + 3/8" gyp above): measured 7.68" = 7 5/8" and the K family adds 3/8" (B2 7 1/4" + 3/8").</t>
  </si>
  <si>
    <t xml:space="preserve">if plain B2 instead: -13.9 SF ballistic panel, -12.8 SF 3/8" gyp; studs 20 ga @16" instead of 14 ga @24" on 1.74 LF</t>
  </si>
  <si>
    <t xml:space="preserve">RFI-INT-02</t>
  </si>
  <si>
    <t xml:space="preserve">Customer side of the teller-line K walls is not labeled on plan; taken as the side away from the teller area (north wall: north face; south wall: south face). The north A1K (PT0011) customer face sits in a 3.3" closed cavity against the G wall (A02.01 vector 1115.76 / 1120.68 pt).</t>
  </si>
  <si>
    <t xml:space="preserve">no quantity change if reversed (same face length); confirm panel side and the cavity</t>
  </si>
  <si>
    <t xml:space="preserve">RFI-INT-03</t>
  </si>
  <si>
    <t xml:space="preserve">G / G1 (5/A12.01) board drawn above the scheduled ceiling without a top dimension; taken to deck (9/A12.01 office-front note '2 LAYERS ... TO EXTEND TO UNDERSIDE OF DECK', 53.3). Data: the three G1 bands (A-INT-004, A-INT-006, A-INT-032) measure 12.72 pt = 8.48" on A02.01 vs 8" in the A12.01 schedule (the type governs; length unchanged).</t>
  </si>
  <si>
    <t xml:space="preserve">if board stops at ceiling + 6": -2249.8 SF 5/8" board (2 layers each face)</t>
  </si>
  <si>
    <t xml:space="preserve">RFI-INT-04</t>
  </si>
  <si>
    <t xml:space="preserve">C1 (6/A12.01) and the C1 boxes (3/A08.21, A09.25) have no top dimension (break line); studs and board taken to deck (60.11 / 53.3).</t>
  </si>
  <si>
    <t xml:space="preserve">if board stops at the room ceiling + 6": -195.2 SF 5/8" board; MR alternative (ADV_int #4): chase faces A-INT-039 / 040 MR only up to ceiling + 6" and regular above: -78.4 SF MR / +78.4 SF regular (by face: 013 group -43.9, 025 -10.2, 049 -18.0, 050 -10.9, 051 -19.7, 052 -15.3 SF regular if C1 stops at ceiling + 6")</t>
  </si>
  <si>
    <t xml:space="preserve">RFI-INT-05</t>
  </si>
  <si>
    <t xml:space="preserve">Vestibule heads VEST-HEAD-S / VEST-HEAD-E: 'METAL STUD FRAMING &amp; BOX HEADER AS NEEDED' without stud size or box size; 3-5/8" @ 16" assumed, studs from the head (10'-0") to deck; VEST-E Central Zone face board taken to deck.</t>
  </si>
  <si>
    <t xml:space="preserve">VEST-E board to Central Zone ceiling + 6" (12'-0") instead of deck: -21.7 SF</t>
  </si>
  <si>
    <t xml:space="preserve">RFI-INT-06</t>
  </si>
  <si>
    <t xml:space="preserve">Wall A-INT-044 (B2, Women's 114 / Corridor) crosses the grid-B deck break 0.45 ft south of its north end; door 114's north jamb is 0.8" north of grid B. Split at grid B (D9): A-INT-044a 0.4467 ft at 15'-4 1/2" (high), A-INT-044b 5.095 ft at 13'-0 5/8" (low high end); door 114 in A-INT-044b.</t>
  </si>
  <si>
    <t xml:space="preserve">whole wall at the high-zone B.O.D. 15'-4 1/2" instead: +11.84 SF per face (+23.7 SF 5/8" board) and about +2.32 LF per 6" stud of A-INT-044b</t>
  </si>
  <si>
    <t xml:space="preserve">RFI-INT-07</t>
  </si>
  <si>
    <t xml:space="preserve">Grille 103 head elevation not dimensioned (A00.30 HEIGHT 13'-6 1/2" conflicts with ceilings); head framing length taken from the 4/A08.21 chain 1'-6" + 2'-4 1/2" (independent of the elevation).</t>
  </si>
  <si>
    <t xml:space="preserve">none for the head framing; affects only the vendor opening</t>
  </si>
  <si>
    <t xml:space="preserve">RFI-INT-08</t>
  </si>
  <si>
    <t xml:space="preserve">Office front CONT. BOX BEAM depth not printed (8/9/A12.01); bulkhead studs counted from the head to deck (box depth not subtracted, 53.3).</t>
  </si>
  <si>
    <t xml:space="preserve">per 1" of box depth: -0.0833 ft x stud count of each bulkhead</t>
  </si>
  <si>
    <t xml:space="preserve">RFI-INT-09</t>
  </si>
  <si>
    <t xml:space="preserve">Opening-table data check for the A-OPEN task: plan bubble '111' is the door in the corridor north wall (gap 1160.4-1220.4 pt, vertical 1229-1236) and '122' is the door in the corridor east wall (1253.76-1313.76 pt); the table xy_pt of 111 / 122 are swapped. VEST-S printed chain 4'-9 1/2" + 6'-2" + 4'-8 1/4" adds to 15'-7 3/4" (15.6458), the table carries 15'-8".</t>
  </si>
  <si>
    <t xml:space="preserve">VEST-S header +/- 0.0208 ft x 4 pieces; 111 / 122 refs placed by the plan bubbles (heads 8.1667 / 7.1667 copied from the table rows)</t>
  </si>
  <si>
    <t xml:space="preserve">RFI-INT-10</t>
  </si>
  <si>
    <t xml:space="preserve">Candidate tag PA0034 'B' (smaller symbol) inside the janitor closet is counted on the Janitor 112 / Storage 117 wall A-INT-047 (thickness 4.88" = B / A1).</t>
  </si>
  <si>
    <t xml:space="preserve">if A1 (default) instead of B: board stops at ceiling + 6" -&gt; both rooms are open to structure, so no board change; type count moves 3.5 LF B -&gt; A1</t>
  </si>
  <si>
    <t xml:space="preserve">RFI-INT-11</t>
  </si>
  <si>
    <t xml:space="preserve">Walls only partly under an S2.20 beam (or under two candidate beams): studs carried to deck over the whole length: A-INT-003 (two parallel beams with different marks within 1 ft of the band (W12X19 3.015 ft, W12X19 3.015 ft, W8X10 3.82 ft)); A-INT-005 (beam W8X10 covers only 3.36 ft = 28.9 % of the wall); A-INT-032 (beam W8X10 covers only 3.354 ft = 28.5 % of the wall); A-INT-037 (beam W14X30 covers only 1.795 ft = 55.2 % of the wall); A-INT-046 (beam W8X10 covers only 5.287 ft = 45.1 % of the wall); A-INT-048 (beam (unlabeled) covers only 5.287 ft = 45.1 % of the wall)</t>
  </si>
  <si>
    <t xml:space="preserve">per wall: covered length x beam depth (d) of studs and board</t>
  </si>
  <si>
    <t xml:space="preserve">RFI-FO-01</t>
  </si>
  <si>
    <t xml:space="preserve">RFI R-11C: opening width not printed (6/A09.33); confirm R-11C/R-11CE rough opening width (Focal Point FSM2L trimless) - ends not carried; ends not carried</t>
  </si>
  <si>
    <t xml:space="preserve">+2 x W x 2 LF (ends; W pending); 0.3333 LF per inch of opening width</t>
  </si>
  <si>
    <t xml:space="preserve">RFI-FO-02</t>
  </si>
  <si>
    <t xml:space="preserve">RFI R-11CE: opening width not printed (6/A09.33); confirm R-11CE rough opening width - ends not carried; ends not carried</t>
  </si>
  <si>
    <t xml:space="preserve">RFI-FO-03</t>
  </si>
  <si>
    <t xml:space="preserve">RFI R-11A: opening width not printed (6/A09.33); confirm R-11A rough opening width - ends not carried; ends not carried</t>
  </si>
  <si>
    <t xml:space="preserve">RFI-FO-04</t>
  </si>
  <si>
    <t xml:space="preserve">RFI UU1: opening width not printed (4/A09.33); confirm UU1 rough opening width (Coronet LSR-WET-2.5) - ends not carried; ends not carried</t>
  </si>
  <si>
    <t xml:space="preserve">+2 x W x 1 LF (ends; W pending); 0.1667 LF per inch of opening width</t>
  </si>
  <si>
    <t xml:space="preserve">RFI-FO-05</t>
  </si>
  <si>
    <t xml:space="preserve">RFI UU2: opening width not printed (4/A09.33); confirm UU2 rough opening width (Coronet LSR-WET-2.5) - ends not carried; ends not carried</t>
  </si>
  <si>
    <t xml:space="preserve">+2 x W x 5 LF (ends; W pending); 0.8333 LF per inch of opening width</t>
  </si>
  <si>
    <t xml:space="preserve">RFI-FO-06</t>
  </si>
  <si>
    <t xml:space="preserve">RFI UU3: opening width not printed (4/A09.33); confirm UU3 rough opening width (Coronet LSR-WET-2.5) - ends not carried; ends not carried</t>
  </si>
  <si>
    <t xml:space="preserve">+2 x W x 9 LF (ends; W pending); 1.5 LF per inch of opening width</t>
  </si>
  <si>
    <t xml:space="preserve">RFI-FO-07</t>
  </si>
  <si>
    <t xml:space="preserve">RFI UU4: opening width not printed (4/A09.33); confirm UU4 rough opening width (Coronet LSR-WET-2.5) - ends not carried; ends not carried</t>
  </si>
  <si>
    <t xml:space="preserve">+2 x W x 4 LF (ends; W pending); 0.6667 LF per inch of opening width</t>
  </si>
  <si>
    <t xml:space="preserve">RFI-FO-08</t>
  </si>
  <si>
    <t xml:space="preserve">RFI UU5: opening width not printed (4/A09.33); confirm UU5 rough opening width (Coronet LSR-WET-2.5) - ends not carried; ends not carried</t>
  </si>
  <si>
    <t xml:space="preserve">RFI-FO-09</t>
  </si>
  <si>
    <t xml:space="preserve">RFI UU6: opening width not printed (4/A09.33); confirm UU6 rough opening width (Coronet LSR-WET-2.5) - ends not carried; ends not carried</t>
  </si>
  <si>
    <t xml:space="preserve">RFI-FO-10</t>
  </si>
  <si>
    <t xml:space="preserve">RFI SD-VEST: opening width not printed (M00.03); confirm slot diffuser (SD / TBDI-10) section rough opening width in GWB - ends not carried; ends not carried</t>
  </si>
  <si>
    <t xml:space="preserve">+2 x W x 12 LF (ends; W pending); 2 LF per inch of opening width</t>
  </si>
  <si>
    <t xml:space="preserve">RFI-FO-11</t>
  </si>
  <si>
    <t xml:space="preserve">RFI SD-RR: opening width not printed (M00.03); confirm restroom slot diffuser rough opening width; A04.01 shows 2'x2' diffuser symbols at these points (RFI-C7); ends not carried</t>
  </si>
  <si>
    <t xml:space="preserve">RFI-SCOPE-CL1</t>
  </si>
  <si>
    <t xml:space="preserve">RFI: confirm 7/8" hat channel @ 16" O.C. under EPS-5 metal panel (cladding substrate) - not quantified, by cladding installer (A09.26, A09.27, 1/A09.31, 2/A09.31, 3/A09.25) is cladding substrate by the cladding installer, excluded from metal frame / drywall scope;</t>
  </si>
  <si>
    <t xml:space="preserve">n/a: cladding substrate not measured (by the cladding installer); if included, quantify it over the EPS-5 metal panel areas (A09.26, A09.27, 1/A09.31, 2/A09.31, 3/A09.25)</t>
  </si>
  <si>
    <t xml:space="preserve">RFI-SCOPE-CL2</t>
  </si>
  <si>
    <t xml:space="preserve">RFI: confirm self-furring metal lath under 7/8" cement plaster / stucco (cladding substrate) - not quantified, by plaster installer (A09.26, A09.27, 5/A09.31, 6/A09.31) is cladding substrate by the cladding installer, excluded from metal frame / drywall scope;</t>
  </si>
  <si>
    <t xml:space="preserve">n/a: cladding substrate not measured (by the cladding installer); if included, quantify it over the stucco areas (A09.26, A09.27, 5/A09.31, 6/A09.31)</t>
  </si>
  <si>
    <t xml:space="preserve">RFI-COR-01</t>
  </si>
  <si>
    <t xml:space="preserve">Bracing: 123.04 LF of C.R. channel run across openings without studs (53.4 literal, corridas_out.json)</t>
  </si>
  <si>
    <t xml:space="preserve">-123.04 LF bracing C.R. channel if it is not run across openings</t>
  </si>
  <si>
    <t xml:space="preserve">RFI-COR-02</t>
  </si>
  <si>
    <t xml:space="preserve">Bottom track: 50.5 LF of door rough openings are NOT deducted from the bottom track (corridas_out.json)</t>
  </si>
  <si>
    <t xml:space="preserve">-50.5 LF bottom track if door R.O. are deducted</t>
  </si>
  <si>
    <t xml:space="preserve">RFI-PEND-01</t>
  </si>
  <si>
    <t xml:space="preserve">equipment mounted on walls (A00.40 equipment schedule: combo/cork boards, wall clock, wall-mount phones #24, monitor arms, FMX-12 dispenser ...): A02.01 note C obliges blocking; the A11.02 items (Break, Work, Wellness, Calling Cubes) are carried in BLK-EQ. Still open: items on the office elevations A11.01 / A11.03 / A11.04 (#7 combo boards, #9 clocks, #3 hooks, #111 monitor arms) - one row of metal stud blocking per item once counted</t>
  </si>
  <si>
    <t xml:space="preserve">n/a: blocking at wall-mounted equipment not located on plan; add 1 row of metal stud blocking per item once located (not carried)</t>
  </si>
  <si>
    <t xml:space="preserve">RFI-OPEN-01</t>
  </si>
  <si>
    <t xml:space="preserve">SF-AF2-N-CZ head detail is not called by any section; read as 2/A09.26 (steel header framing, S2.20 HSS9x5x5/8 on that line). If 11/A09.27 governs instead, a metal stud box beam applies.</t>
  </si>
  <si>
    <t xml:space="preserve">+4 x (26.25 + 1.333) = +110.33 LF header / box beam</t>
  </si>
  <si>
    <t xml:space="preserve">RFI-OPEN-02</t>
  </si>
  <si>
    <t xml:space="preserve">Teller (CSR) line 12'-0 1/4" R.O. HOLD: no header printed and the span exceeds the 7/S5.20 maximum of 8'-0"; carried 0 LF (R71.10).</t>
  </si>
  <si>
    <t xml:space="preserve">+26.71 LF (2-362CSJ20) or +53.42 LF (4-piece box)</t>
  </si>
  <si>
    <t xml:space="preserve">RFI-OPEN-03</t>
  </si>
  <si>
    <t xml:space="preserve">DU ATM R.O.: 7/A08.11 gives 2'-2 1/2" and 5/A08.11 gives 2'-2 1/8"; sill and head are dimensioned from the finished drive lane (slab-to-lane offset not printed).</t>
  </si>
  <si>
    <t xml:space="preserve">0.125 in on the R.O. (about 0.04 LF header / sill track)</t>
  </si>
  <si>
    <t xml:space="preserve">RFI-OPEN-04</t>
  </si>
  <si>
    <t xml:space="preserve">Type A door R.O. sits exactly at the SINGLE TRACK limit of the 7/S5.20 header schedule (3'-4" = row maximum); a larger field R.O. moves the row to DOUBLE TRACK.</t>
  </si>
  <si>
    <t xml:space="preserve">+4.67 LF per door, 13 doors = +60.7 LF header</t>
  </si>
  <si>
    <t xml:space="preserve">RFI-REV-01</t>
  </si>
  <si>
    <t xml:space="preserve">B2K / A1K type-change block (A02.01, teller line north wall): the hatched Z block x 1653.96-1661.76 pt is carried in A1K A-INT-027 (printed 3'-5"); resolution item 12 gave it to B2K A-INT-026 (2.2067 LF).</t>
  </si>
  <si>
    <t xml:space="preserve">B2K +0.4334 LF, A1K -0.4333 LF if the block is B2K</t>
  </si>
  <si>
    <t xml:space="preserve">RFI-REV-02</t>
  </si>
  <si>
    <t xml:space="preserve">Corner bead at the office-front bulkheads (TR-01) carried on both bottom edges of each bulkhead box (2 x 45.0 LF of openings = 90.0 LF, 8/A12.01, 9/A12.01).</t>
  </si>
  <si>
    <t xml:space="preserve">-45.0 LF metal trim if only one edge per opening</t>
  </si>
  <si>
    <t xml:space="preserve">41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</si>
  <si>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</si>
  <si>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</si>
  <si>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</si>
  <si>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</si>
  <si>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</si>
  <si>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</si>
  <si>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1/41</t>
  </si>
  <si>
    <t xml:space="preserve">Floor plan</t>
  </si>
  <si>
    <t xml:space="preserve">A1K</t>
  </si>
  <si>
    <t xml:space="preserve">RFI-INT-02: Customer side of the teller-line K walls is not labeled on plan; taken as the side away from the teller area (north wall: north face; south wall: south face). The north A1K (PT0011) customer face sits in a 3.3" closed cavity against the G wall (A02.01 vector 1115.76 / 1120.68 pt). | Delta: no quantity change if reversed (same face length); confirm panel side and the cavity</t>
  </si>
  <si>
    <t xml:space="preserve">4/A12.01 TELLER SIDE / CUSTOMER SIDE</t>
  </si>
  <si>
    <t xml:space="preserve">/home/user/boa27b/work/etapas/2_lectura/A/img/int/W_A-INT-027.png</t>
  </si>
  <si>
    <t xml:space="preserve">2/41</t>
  </si>
  <si>
    <t xml:space="preserve">B</t>
  </si>
  <si>
    <t xml:space="preserve">RFI-INT-10: Candidate tag PA0034 'B' (smaller symbol) inside the janitor closet is counted on the Janitor 112 / Storage 117 wall A-INT-047 (thickness 4.88" = B / A1). | Delta: if A1 (default) instead of B: board stops at ceiling + 6" -&gt; both rooms are open to structure, so no board change; type count moves 3.5 LF B -&gt; A1</t>
  </si>
  <si>
    <t xml:space="preserve">A02.01</t>
  </si>
  <si>
    <t xml:space="preserve">/home/user/boa27b/work/etapas/2_lectura/A/img/int/W_A-INT-047.png</t>
  </si>
  <si>
    <t xml:space="preserve">3/41</t>
  </si>
  <si>
    <t xml:space="preserve">B2</t>
  </si>
  <si>
    <t xml:space="preserve">RFI-INT-06: Wall A-INT-044 (B2, Women's 114 / Corridor) crosses the grid-B deck break 0.45 ft south of its north end; door 114's north jamb is 0.8" north of grid B. Split at grid B (D9): A-INT-044a 0.4467 ft at 15'-4 1/2" (high), A-INT-044b 5.095 ft at 13'-0 5/8" (low high end); door 114 in A-INT-044b. | Delta: whole wall at the high-zone B.O.D. 15'-4 1/2" instead: +11.84 SF per face (+23.7 SF 5/8" board) and about +2.32 LF per 6" stud of A-INT-044b</t>
  </si>
  <si>
    <t xml:space="preserve">S2.20</t>
  </si>
  <si>
    <t xml:space="preserve">/home/user/boa27b/work/etapas/2_lectura/A/img/int/W_A-INT-044.png</t>
  </si>
  <si>
    <t xml:space="preserve">4/41</t>
  </si>
  <si>
    <t xml:space="preserve">B2K</t>
  </si>
  <si>
    <t xml:space="preserve">RFI-INT-01: Tag 'B2K' (PC0011) at the north end of the teller line is not in the A12.01 schedule. Taken as the 6" ballistic type = A5K row of 4/A12.01 (6" stud, 7 5/8", 14 ga @ 24", 5/8" + 3/8" level-2 fiberglass to 8'-0" + 3/8" gyp above): measured 7.68" = 7 5/8" and the K family adds 3/8" (B2 7 1/4" + 3/8"). | Delta: if plain B2 instead: -13.9 SF ballistic panel, -12.8 SF 3/8" gyp; studs 20 ga @16" instead of 14 ga @24" on 1.74 LF</t>
  </si>
  <si>
    <t xml:space="preserve">A02.01 tag B2K + 4/A12.01</t>
  </si>
  <si>
    <t xml:space="preserve">/home/user/boa27b/work/etapas/2_lectura/A/img/int/W_A-INT-026.png</t>
  </si>
  <si>
    <t xml:space="preserve">5/41</t>
  </si>
  <si>
    <t xml:space="preserve">RFI-REV-01: B2K / A1K type-change block (A02.01, teller line north wall): the hatched Z block x 1653.96-1661.76 pt is carried in A1K A-INT-027 (printed 3'-5"); resolution item 12 gave it to B2K A-INT-026 (2.2067 LF). | Delta: B2K +0.4334 LF, A1K -0.4333 LF if the block is B2K</t>
  </si>
  <si>
    <t xml:space="preserve">A02.01; 4/A12.01</t>
  </si>
  <si>
    <t xml:space="preserve">/home/user/boa27b/work/etapas/3_revision/img_res/03_12_zoom_type_change.png</t>
  </si>
  <si>
    <t xml:space="preserve">6/41</t>
  </si>
  <si>
    <t xml:space="preserve">BULKHEAD-G</t>
  </si>
  <si>
    <t xml:space="preserve">RFI-REV-02: Corner bead at the office-front bulkheads (TR-01) carried on both bottom edges of each bulkhead box (2 x 45.0 LF of openings = 90.0 LF, 8/A12.01, 9/A12.01). | Delta: -45.0 LF metal trim if only one edge per opening</t>
  </si>
  <si>
    <t xml:space="preserve">8/A12.01; 9/A12.01</t>
  </si>
  <si>
    <t xml:space="preserve">7/41</t>
  </si>
  <si>
    <t xml:space="preserve">RFI-INT-08: Office front CONT. BOX BEAM depth not printed (8/9/A12.01); bulkhead studs counted from the head to deck (box depth not subtracted, 53.3). | Delta: per 1" of box depth: -0.0833 ft x stud count of each bulkhead</t>
  </si>
  <si>
    <t xml:space="preserve">8/A12.01, 9/A12.01, 7/A11.01, 8/A11.01</t>
  </si>
  <si>
    <t xml:space="preserve">/home/user/boa27b/work/etapas/2_lectura/A/img/int/det_9_8_A1201.png</t>
  </si>
  <si>
    <t xml:space="preserve">8/41</t>
  </si>
  <si>
    <t xml:space="preserve">C1</t>
  </si>
  <si>
    <t xml:space="preserve">RFI-INT-04: C1 (6/A12.01) and the C1 boxes (3/A08.21, A09.25) have no top dimension (break line); studs and board taken to deck (60.11 / 53.3). | Delta: if board stops at the room ceiling + 6": -195.2 SF 5/8" board; MR alternative (ADV_int #4): chase faces A-INT-039 / 040 MR only up to ceiling + 6" and regular above: -78.4 SF MR / +78.4 SF regular (by face: 013 group -43.9, 025 -10.2, 049 -18.0, 050 -10.9, 051 -19.7, 052 -15.3 SF regular if C1 stops at ceiling + 6")</t>
  </si>
  <si>
    <t xml:space="preserve">/home/user/boa27b/work/etapas/2_lectura/A/img/int/det_6_A1201.png</t>
  </si>
  <si>
    <t xml:space="preserve">9/41</t>
  </si>
  <si>
    <t xml:space="preserve">CANOPY-COL</t>
  </si>
  <si>
    <t xml:space="preserve">RFI-X8: Drive-up canopy column wraps (5/A09.25): stud gauge and O.C. not printed (16" used); wrap height taken from T/SLAB 0'-0" to the canopy soffit framing B/STUD 10'-7 1/4" (15/A09.27) - the drive lane / island level at the columns is not dimensioned. | Delta: per 0.25 ft of height: 4 wraps x 12 studs x 0.25 = 12 LF 3-5/8" stud and 5.67 SF plywood per wrap</t>
  </si>
  <si>
    <t xml:space="preserve">5/A09.25, 15/A09.27</t>
  </si>
  <si>
    <t xml:space="preserve">/home/user/boa27b/work/etapas/2_lectura/A/img/ext/A0925_5.png</t>
  </si>
  <si>
    <t xml:space="preserve">10/41</t>
  </si>
  <si>
    <t xml:space="preserve">EXT-6CFMF</t>
  </si>
  <si>
    <t xml:space="preserve">RFI-ENS-05: Storefront pier exterior 6" CFMF L: 1/A09.25 and 2/A09.25 print partial stud chains (carried 3.375 LF NW pier, 2.8958 LF NE pier). Alternative = finished plan L 2'-6 3/4" + 1'-11 3/4" = 4.4583 LF per pier. | Delta: +1.0833 LF (A-EXT-P2) / +1.5625 LF (A-EXT-P4) of 6" CFMF pier part</t>
  </si>
  <si>
    <t xml:space="preserve">1/A09.25; 2/A09.25</t>
  </si>
  <si>
    <t xml:space="preserve">/home/user/boa27b/work/etapas/3_revision/img_res/07_13_1-A09.25_storefront_pier_grid2.png</t>
  </si>
  <si>
    <t xml:space="preserve">11/41</t>
  </si>
  <si>
    <t xml:space="preserve">RFI-X3: Canopy beams (S2.20 '(CANOPY)' W12x19 / W16x26, T/STEEL 11'-9" to 12'-2 3/4") are drawn inside the 6" stud plane in sections A/B/C (A09.21), D/E (A09.22) and H/J (A09.23), below the roof perimeter beam. Studs carried full height to the roof perimeter beam (10/S5.10, 6/S5.10). Alternative: studs stop under the canopy beam and a second short row runs from the canopy beam to the roof beam (two more track runs per wall). | Delta: if split at the canopy beam (E26 strict reading, ADV_ext #1, DERIVED from studs_out): about -188 to -206 LF 600S162-54 (each affected stud loses d of the canopy beam: N1 -14.2, E1 -47 to -58, W3A -35.3, W2 -22.4 to -28.8, WJ -8.1, SC-N-VEST -12.2, SC-N-CZ -27.5, SC-W-VEST -10.5, P2+P4 -11) and +321 LF 600T track (deflection + bottom track at the canopy beam on 160.5 LF of affected lines)</t>
  </si>
  <si>
    <t xml:space="preserve">S2.20, A09.21-A09.23, 10/S5.10</t>
  </si>
  <si>
    <t xml:space="preserve">/home/user/boa27b/work/etapas/2_lectura/A/img/ext/A0923_H_canopy.png</t>
  </si>
  <si>
    <t xml:space="preserve">12/41</t>
  </si>
  <si>
    <t xml:space="preserve">RFI-X7: Exterior 6" CFMF part of the storefront piers: anchorage of its bottom track not stated (R72.8). | Delta: anchors vs pins on 2 x (3.375 + 2.896) ft of bottom track</t>
  </si>
  <si>
    <t xml:space="preserve">1/A09.25, 2/A09.25, S1.11</t>
  </si>
  <si>
    <t xml:space="preserve">/home/user/boa27b/work/etapas/2_lectura/A/img/ext/A0925_2.png</t>
  </si>
  <si>
    <t xml:space="preserve">13/41</t>
  </si>
  <si>
    <t xml:space="preserve">EXT-PARAPET</t>
  </si>
  <si>
    <t xml:space="preserve">RFI-X11: High parapet (T.O. PARAPET 2): return of 4.5 ft at grid 4 south of line G read on the roof plan A02.02 (keynote 10) - no dimension printed. | Delta: +/- 1 ft x 4.29 ft parapet</t>
  </si>
  <si>
    <t xml:space="preserve">A02.02</t>
  </si>
  <si>
    <t xml:space="preserve">/home/user/boa27b/work/etapas/2_lectura/A/img/ext/roof_NW.png</t>
  </si>
  <si>
    <t xml:space="preserve">14/41</t>
  </si>
  <si>
    <t xml:space="preserve">RFI-X2: Parapet roof-side face: wall sections A09.21-A09.23 label '5/8" EXTERIOR GYPSUM SHEATHING' while 4/A09.26 labels 'FULLY ADHERED ROOF MEMBRANE ON 5/8" DENS DECK OR EQUAL'. Carried as 5/8" exterior gypsum sheathing (53.5 / 55.3). Confirm whether the cover board is by the roofer. | Delta: - 954.9 SF exterior gyp sheathing if by roofer</t>
  </si>
  <si>
    <t xml:space="preserve">C/A09.21, 4/A09.26</t>
  </si>
  <si>
    <t xml:space="preserve">/home/user/boa27b/work/etapas/2_lectura/A/img/ext/A0926_4.png</t>
  </si>
  <si>
    <t xml:space="preserve">15/41</t>
  </si>
  <si>
    <t xml:space="preserve">G</t>
  </si>
  <si>
    <t xml:space="preserve">RFI-INT-03: G / G1 (5/A12.01) board drawn above the scheduled ceiling without a top dimension; taken to deck (9/A12.01 office-front note '2 LAYERS ... TO EXTEND TO UNDERSIDE OF DECK', 53.3). Data: the three G1 bands (A-INT-004, A-INT-006, A-INT-032) measure 12.72 pt = 8.48" on A02.01 vs 8" in the A12.01 schedule (the type governs; length unchanged). | Delta: if board stops at ceiling + 6": -2249.8 SF 5/8" board (2 layers each face)</t>
  </si>
  <si>
    <t xml:space="preserve">5/A12.01, 9/A12.01</t>
  </si>
  <si>
    <t xml:space="preserve">/home/user/boa27b/work/etapas/2_lectura/A/img/int/det_5_A1201.png</t>
  </si>
  <si>
    <t xml:space="preserve">16/41</t>
  </si>
  <si>
    <t xml:space="preserve">RFI-INT-11: Walls only partly under an S2.20 beam (or under two candidate beams): studs carried to deck over the whole length: A-INT-003 (two parallel beams with different marks within 1 ft of the band (W12X19 3.015 ft, W12X19 3.015 ft, W8X10 3.82 ft)); A-INT-005 (beam W8X10 covers only 3.36 ft = 28.9 % of the wall); A-INT-032 (beam W8X10 covers only 3.354 ft = 28.5 % of the wall); A-INT-037 (beam W14X30 covers only 1.795 ft = 55.2 % of the wall); A-INT-046 (beam W8X10 covers only 5.287 ft = 45.1 % of the wall); A-INT-048 (beam (unlabeled) covers only 5.287 ft = 45.1 % of the wall) | Delta: per wall: covered length x beam depth (d) of studs and board</t>
  </si>
  <si>
    <t xml:space="preserve">/home/user/boa27b/work/etapas/2_lectura/A/img/int/W_A-INT-005.png</t>
  </si>
  <si>
    <t xml:space="preserve">17/41</t>
  </si>
  <si>
    <t xml:space="preserve">Detail</t>
  </si>
  <si>
    <t xml:space="preserve">RFI-X1: Exterior elevation titles are swapped N/S: bubble 1/A09.01 (called from the NORTH edge, looking south) is titled 'SOUTH ELEVATION' but shows the north facade (grid order 8..1, storefront entry); bubble 2/A09.02 (called from the SOUTH edge, looking north) is titled 'NORTH ELEVATION' but shows the south facade (grid order 1..8, door 123). Facades assigned by the north arrow (R71.1). Confirm titles. | Delta: 0 (assignment only)</t>
  </si>
  <si>
    <t xml:space="preserve">1/A09.01</t>
  </si>
  <si>
    <t xml:space="preserve">/home/user/boa27b/work/etapas/2_lectura/A/img/ext/callouts_4.png</t>
  </si>
  <si>
    <t xml:space="preserve">18/41</t>
  </si>
  <si>
    <t xml:space="preserve">RFI-INT-09: Opening-table data check for the A-OPEN task: plan bubble '111' is the door in the corridor north wall (gap 1160.4-1220.4 pt, vertical 1229-1236) and '122' is the door in the corridor east wall (1253.76-1313.76 pt); the table xy_pt of 111 / 122 are swapped. VEST-S printed chain 4'-9 1/2" + 6'-2" + 4'-8 1/4" adds to 15'-7 3/4" (15.6458), the table carries 15'-8". | Delta: VEST-S header +/- 0.0208 ft x 4 pieces; 111 / 122 refs placed by the plan bubbles (heads 8.1667 / 7.1667 copied from the table rows)</t>
  </si>
  <si>
    <t xml:space="preserve">1/A12.10</t>
  </si>
  <si>
    <t xml:space="preserve">/home/user/boa27b/work/etapas/2_lectura/A/img/int/W_A-INT-008.png</t>
  </si>
  <si>
    <t xml:space="preserve">19/41</t>
  </si>
  <si>
    <t xml:space="preserve">RFI-OPEN-03: DU ATM R.O.: 7/A08.11 gives 2'-2 1/2" and 5/A08.11 gives 2'-2 1/8"; sill and head are dimensioned from the finished drive lane (slab-to-lane offset not printed). | Delta: 0.125 in on the R.O. (about 0.04 LF header / sill track)</t>
  </si>
  <si>
    <t xml:space="preserve">7/A08.11</t>
  </si>
  <si>
    <t xml:space="preserve">20/41</t>
  </si>
  <si>
    <t xml:space="preserve">RFI-ENS-01: MR board: reading A-INT placed the two corridor-niche fixtures as lavatories (MR on the niche back wall A-INT-042); 1/A08.01 shows the restroom lavatory and water closet on the chase walls and the niche pair is the high-low drinking fountain. MR carried on the chase faces of A-INT-039 (114) and A-INT-040 (113) only. | Delta: if the niche fixtures were lavatories: + MR on A-INT-042 corridor face (same SF moved from regular to MR)</t>
  </si>
  <si>
    <t xml:space="preserve">1/A08.01</t>
  </si>
  <si>
    <t xml:space="preserve">/home/user/boa27b/work/etapas/2_lectura/A/img/acc/A0801_1_plan.png</t>
  </si>
  <si>
    <t xml:space="preserve">21/41</t>
  </si>
  <si>
    <t xml:space="preserve">RFI-ACC-pvc-trim-at-frp: PVC trim at FRP: Women's 114 width 11'-7 1/2" (1/A08.01) vs 11'-8" (A02.01) | Delta: +0.083 ft x 2 on perimeter -&gt; +0.33 LF PVC, +0.83 SF FRP</t>
  </si>
  <si>
    <t xml:space="preserve">22/41</t>
  </si>
  <si>
    <t xml:space="preserve">RFI-X4: Roof step at grid B (4/A02.02): row heights are not dimensioned; measured in vector at 1 1/2" = 1'-0". The two T/STEEL lines in the detail are 29.3" apart vs 27.875" from the S2.20 B.O.D. values (5 %). | Delta: +/- 5 % of 3 rows x 52.33 ft (about +/- 0.4 ft per row height)</t>
  </si>
  <si>
    <t xml:space="preserve">/home/user/boa27b/work/etapas/2_lectura/A/img/ext/A0202_4.png</t>
  </si>
  <si>
    <t xml:space="preserve">23/41</t>
  </si>
  <si>
    <t xml:space="preserve">RFI-ENS-03: DU ATM recess: 6/A08.11 prints '2 1/2" METAL STUD SISTERED TO 6" METAL STUD W/ MINERAL WOOL INSULATION' without count or spacing. Carried 5 studs across the 4'-6" surround x 6'-0" = 30 LF (more material, 53.3). If only the two jambs are sistered: 12 LF. | Delta: -18.0 LF extra framing ATM recess (2-1/2" stud) if only 2 jambs</t>
  </si>
  <si>
    <t xml:space="preserve">6/A08.11</t>
  </si>
  <si>
    <t xml:space="preserve">/home/user/boa27b/work/etapas/2_lectura/A/img/acc/A0811_6_DU_section.png</t>
  </si>
  <si>
    <t xml:space="preserve">24/41</t>
  </si>
  <si>
    <t xml:space="preserve">RFI-INT-07: Grille 103 head elevation not dimensioned (A00.30 HEIGHT 13'-6 1/2" conflicts with ceilings); head framing length taken from the 4/A08.21 chain 1'-6" + 2'-4 1/2" (independent of the elevation). | Delta: none for the head framing; affects only the vendor opening</t>
  </si>
  <si>
    <t xml:space="preserve">/home/user/boa27b/work/etapas/2_lectura/A/img/open/A0821_4_grille_head.png</t>
  </si>
  <si>
    <t xml:space="preserve">25/41</t>
  </si>
  <si>
    <t xml:space="preserve">RFI-X5: Storefront pier jamb strips: label '3/4" FRT PLYWOOD' (singular) but 1/A09.25 and 2/A09.25 draw two 3/4" plies at each storefront jamb. Carried 1 ply (label). | Delta: + 23.59 SF 3/4" FRT plywood if 2 plies</t>
  </si>
  <si>
    <t xml:space="preserve">/home/user/boa27b/work/etapas/2_lectura/A/img/ext/A0925_1z.png</t>
  </si>
  <si>
    <t xml:space="preserve">26/41</t>
  </si>
  <si>
    <t xml:space="preserve">RFI-X10: Plan details 1/A09.25, 2/A09.25, 5/A09.25 and 7/A08.11 are drawn mirrored with respect to A02.01 (grid F above G, D above E; S2.20 revision note 'BUILDING FOOTPRINT MIRRORED NORTH-SOUTH'). Layers and dimensions read from the details, geometry assigned per the plan. Also 1/A08.01 (restrooms 113 / 114 enlarged plan) is rotated 180 degrees relative to A02.01 (doors, WC and Janitor 112 / Storage 117 reversed): toilet-accessory blocking assigned per room; grab bars / TA-3 / TA-5 / TA-9 / TA-10 / TA-17 sit on the inner face of the west exterior wall A-EXT-W3B. | Delta: 0</t>
  </si>
  <si>
    <t xml:space="preserve">/home/user/boa27b/work/etapas/2_lectura/A/img/ext/A0925_1.png</t>
  </si>
  <si>
    <t xml:space="preserve">27/41</t>
  </si>
  <si>
    <t xml:space="preserve">RFI-OPEN-01: SF-AF2-N-CZ head detail is not called by any section; read as 2/A09.26 (steel header framing, S2.20 HSS9x5x5/8 on that line). If 11/A09.27 governs instead, a metal stud box beam applies. | Delta: +4 x (26.25 + 1.333) = +110.33 LF header / box beam</t>
  </si>
  <si>
    <t xml:space="preserve">2/A09.26</t>
  </si>
  <si>
    <t xml:space="preserve">28/41</t>
  </si>
  <si>
    <t xml:space="preserve">RFI-C11: Canopy fascia box stud spacing not printed (3/A09.26, 7/A09.26, 16/A09.27); carried 16" o.c. from 5/A09.33 '3 5/8" CFMF @ 16" O.C.' (same canopy assembly). | Delta: @24" instead: about -1/3 of fascia studs</t>
  </si>
  <si>
    <t xml:space="preserve">/home/user/boa27b/work/etapas/2_lectura/A/img/ceil/d3_A0926.png</t>
  </si>
  <si>
    <t xml:space="preserve">29/41</t>
  </si>
  <si>
    <t xml:space="preserve">RFI-C12: Canopy soffit joist direction carried perpendicular to the building wall (studs drawn wall-&gt;fascia in 3/A09.26); drive-up canopy W (55' x 21') could run N-S between the W12x19 / W10x12 steel. | Delta: rotated joists: 3-5/8" stud 212.33 LF</t>
  </si>
  <si>
    <t xml:space="preserve">30/41</t>
  </si>
  <si>
    <t xml:space="preserve">RFI-ACC-gypsum-board-jamb-return: gypsum board jamb return: jamb return width not dimensioned | Delta: -40.74 sf</t>
  </si>
  <si>
    <t xml:space="preserve">11/A09.27</t>
  </si>
  <si>
    <t xml:space="preserve">31/41</t>
  </si>
  <si>
    <t xml:space="preserve">RFI-C6: Drive-up canopy (W): 15/A09.27 labels only spray foam on the wall behind the canopy, no glass-mat sheathing (3/A09.26 &amp; 7/A09.26 label '5/8" GLASS-MAT SHEATHING'). W band carried with sheathing 'none' (R78.13). | Delta: +111.52 SF 5/8" glass mat if the W band gets it (56.344 LF x 1.9792 ft)</t>
  </si>
  <si>
    <t xml:space="preserve">15/A09.27</t>
  </si>
  <si>
    <t xml:space="preserve">/home/user/boa27b/work/etapas/2_lectura/A/img/ceil/d15_A0927.png</t>
  </si>
  <si>
    <t xml:space="preserve">32/41</t>
  </si>
  <si>
    <t xml:space="preserve">RFI-C5: Rough-opening widths not printed for R-11A/R-11C/R-11CE (6/A09.33), UU1-UU6 (4/A09.33 'COORD. W/ FIXTURE CUTSHEET') and slot diffusers (M00.03 'SEE DRAWING'): sides carried (SIDES_ONLY), ends pending. | Delta: +2 x W x qty per tag (see framed_openings rfis: LF per inch of width)</t>
  </si>
  <si>
    <t xml:space="preserve">6/A09.33</t>
  </si>
  <si>
    <t xml:space="preserve">/home/user/boa27b/work/etapas/2_lectura/A/img/ceil/d6_A0933.png</t>
  </si>
  <si>
    <t xml:space="preserve">33/41</t>
  </si>
  <si>
    <t xml:space="preserve">RFI-C8: Cash Window 116 CSR soffit: GB 8'-0" strip 3'-5" x 12'-0" between ACT-4 9'-0" fields. No detail is bubbled on A04.01 or on the enlarged RCP 4/A12.08; carried per R70.1 as a suspended furring ceiling with the typical transitions 7/A09.33 on its edges. The set nevertheless details this soffit as stud framing: 9/A12.08 CSR LINE SECTION ('3 5/8" METAL STUDS AT 16" O.C.', bubbled on 1, 2, 5, 6/A12.08) and 10/A09.33 CEILING DETAIL @ CSR SOFFIT (studs to deck both faces, CONT. TRACK, no kickers, no hangers). Confirm the system. | Delta: framed soffit (10/A09.33) instead of furring + transitions: furring -48.04 LF, carrying -13.64 LF, hanger wire -59.0 LF (8 pcs x 7.375), kickers -105.44 LF 3-5/8", soffit bottom joists +37.52 LF 3-5/8" @ 16" (11 x 3.411); vertical studs to deck and ceiling track unchanged; net 3-5/8" stud about -67.9 LF</t>
  </si>
  <si>
    <t xml:space="preserve">/home/user/boa27b/work/Back-check/img_acc/F1_A1208_sec9_rcp4.png</t>
  </si>
  <si>
    <t xml:space="preserve">34/41</t>
  </si>
  <si>
    <t xml:space="preserve">RFI-ENS-02: Ceiling transition trim: 7/A09.33 draws a shadow molding at the upper ceiling too (upper condition). Carried 2 corner bead + 1 shadow molding per LF; if the upper shadow molding also applies (ACT side) add 1 LF per LF. | Delta: +101.05 LF metal trim (transitions 101.05 LF x 1)</t>
  </si>
  <si>
    <t xml:space="preserve">/home/user/boa27b/work/etapas/2_lectura/A/img/ceil/d7_A0933.png</t>
  </si>
  <si>
    <t xml:space="preserve">35/41</t>
  </si>
  <si>
    <t xml:space="preserve">RFI-ACC-deflection-clips: deflection clips: deflection clips: the general note asks for them at non-load-bearing walls and the partition details draw a slip / deflection track (R73.6) | Delta: 799 pcs</t>
  </si>
  <si>
    <t xml:space="preserve">36/41</t>
  </si>
  <si>
    <t xml:space="preserve">RFI-ACC-slab-pins: slab pins: pin spacing: 12" (interior anchorage) vs 16" (fastener schedule) vs 24" (type K box) | Delta: 16in: -133.46 pcs; 24in: -266.93 pcs</t>
  </si>
  <si>
    <t xml:space="preserve">11/A12.01</t>
  </si>
  <si>
    <t xml:space="preserve">37/41</t>
  </si>
  <si>
    <t xml:space="preserve">RFI-INT-05: Vestibule heads VEST-HEAD-S / VEST-HEAD-E: 'METAL STUD FRAMING &amp; BOX HEADER AS NEEDED' without stud size or box size; 3-5/8" @ 16" assumed, studs from the head (10'-0") to deck; VEST-E Central Zone face board taken to deck. | Delta: VEST-E board to Central Zone ceiling + 6" (12'-0") instead of deck: -21.7 SF</t>
  </si>
  <si>
    <t xml:space="preserve">/home/user/boa27b/work/etapas/2_lectura/A/img/int/A1210_5_4_heads.png</t>
  </si>
  <si>
    <t xml:space="preserve">38/41</t>
  </si>
  <si>
    <t xml:space="preserve">RFI-ACC-additional-head-track: additional head track: openings with their own box (openings_extra) &gt; 4'-0": do they also take the additional head track of 2/S5.20 HEAD TRACK @ NON LOAD BRG 'ADD FULL LENGTH ADDL HEAD TRACK @ OPNG &gt;4'-0"'? | Delta: 100.56 lf</t>
  </si>
  <si>
    <t xml:space="preserve">2/S5.20</t>
  </si>
  <si>
    <t xml:space="preserve">39/41</t>
  </si>
  <si>
    <t xml:space="preserve">RFI-ACC-stud-reinforcement-mep: stud reinforcement MEP: plates at double-row stud walls: one per cut row (R72.9) vs one per crossing | Delta: -11 pcs</t>
  </si>
  <si>
    <t xml:space="preserve">6/S5.20</t>
  </si>
  <si>
    <t xml:space="preserve">40/41</t>
  </si>
  <si>
    <t xml:space="preserve">RFI-OPEN-02: Teller (CSR) line 12'-0 1/4" R.O. HOLD: no header printed and the span exceeds the 7/S5.20 maximum of 8'-0"; carried 0 LF (R71.10). | Delta: +26.71 LF (2-362CSJ20) or +53.42 LF (4-piece box)</t>
  </si>
  <si>
    <t xml:space="preserve">7/S5.20</t>
  </si>
  <si>
    <t xml:space="preserve">41/41</t>
  </si>
  <si>
    <t xml:space="preserve">RFI-OPEN-04: Type A door R.O. sits exactly at the SINGLE TRACK limit of the 7/S5.20 header schedule (3'-4" = row maximum); a larger field R.O. moves the row to DOUBLE TRACK. | Delta: +4.67 LF per door, 13 doors = +60.7 LF header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</si>
  <si>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</si>
  <si>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</si>
  <si>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</si>
  <si>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</si>
  <si>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</si>
  <si>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</si>
  <si>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Partition Takeoff (types A1, A1K, A5, B, B2, B2K, C1, F, G, G1); 3-5/8" stud 6994.55 LF, 1-5/8" stud 3847.86 LF; 1/A12.01, 3/A12.01, 5/A12.01</t>
  </si>
  <si>
    <t xml:space="preserve">ALC-02</t>
  </si>
  <si>
    <t xml:space="preserve">Exterior wall framing (CFMF)</t>
  </si>
  <si>
    <t xml:space="preserve">EXT-6CFMF 215.14 LF; 6" stud 4656.26 LF; 5/A09.26</t>
  </si>
  <si>
    <t xml:space="preserve">ALC-03</t>
  </si>
  <si>
    <t xml:space="preserve">Parapet framing</t>
  </si>
  <si>
    <t xml:space="preserve">EXT-PARAPET 269.14 LF; 6" parapet stud 1001.46 LF; 4/A09.26; S5.10</t>
  </si>
  <si>
    <t xml:space="preserve">ALC-04</t>
  </si>
  <si>
    <t xml:space="preserve">Top / deflection and bottom track</t>
  </si>
  <si>
    <t xml:space="preserve">bottom track 1352.11 LF and top / deflection track 1352.11 LF by stud size (R71.8); deflection clips 0 + RFI (S1.11 note 2 vs continuous slip track 1/A12.01)</t>
  </si>
  <si>
    <t xml:space="preserve">ALC-05</t>
  </si>
  <si>
    <t xml:space="preserve">Headers, sills and jambs at openings</t>
  </si>
  <si>
    <t xml:space="preserve">header / box beam 796.79 LF, sill track 119.12 LF, additional head track 56 LF, jamb return 67.91 SF; 7/S5.20, 2/S5.20, 11/A09.27</t>
  </si>
  <si>
    <t xml:space="preserve">ALC-06</t>
  </si>
  <si>
    <t xml:space="preserve">Bracing / bridging</t>
  </si>
  <si>
    <t xml:space="preserve">bracing 1-1/2" C.R. channel 2509.27 LF (corridas_out.json); S5.20</t>
  </si>
  <si>
    <t xml:space="preserve">ALC-07</t>
  </si>
  <si>
    <t xml:space="preserve">Gypsum board on walls (layers per type)</t>
  </si>
  <si>
    <t xml:space="preserve">5/8" gypsum board regular 17548.3 SF (walls by face, board_out.json + ceilings); A12.01</t>
  </si>
  <si>
    <t xml:space="preserve">ALC-08</t>
  </si>
  <si>
    <t xml:space="preserve">Moisture / abuse / special board at wet zones</t>
  </si>
  <si>
    <t xml:space="preserve">5/8" moisture resistant gypsum board 258.87 SF behind the restroom fixtures; 1/A08.01, A08.01 note F</t>
  </si>
  <si>
    <t xml:space="preserve">ALC-09</t>
  </si>
  <si>
    <t xml:space="preserve">Exterior gypsum / glass mat sheathing</t>
  </si>
  <si>
    <t xml:space="preserve">5/8" glass mat sheathing 362.16 SF; 5/8" exterior gypsum sheathing 952.24 SF; 5/A09.26, 4/A09.26</t>
  </si>
  <si>
    <t xml:space="preserve">ALC-10</t>
  </si>
  <si>
    <t xml:space="preserve">FRT plywood sheathing / substrate</t>
  </si>
  <si>
    <t xml:space="preserve">FRT plywood 6705.03 SF by material and use (frt_plywood_by_material); A09.26, A11.03</t>
  </si>
  <si>
    <t xml:space="preserve">ALC-11</t>
  </si>
  <si>
    <t xml:space="preserve">Gypsum board ceilings</t>
  </si>
  <si>
    <t xml:space="preserve">suspended gypsum board ceilings by room (A04.01 'NEW SUSPENDED GYPSUM WALL BOARD'), board inside the 5/8" regular row; RFI-C1, RFI-C2</t>
  </si>
  <si>
    <t xml:space="preserve">ALC-12</t>
  </si>
  <si>
    <t xml:space="preserve">Ceiling suspension (furring / carrying channel / hanger wire / ceiling track)</t>
  </si>
  <si>
    <t xml:space="preserve">furring channel 815.83 LF, carrying channel 336.03 LF, hanger wire 592.63 LF (121 hangers), ceiling / soffit track 1244.13 LF; A04.01</t>
  </si>
  <si>
    <t xml:space="preserve">ALC-13</t>
  </si>
  <si>
    <t xml:space="preserve">Soffits and bulkheads (framing + board)</t>
  </si>
  <si>
    <t xml:space="preserve">office-front bulkheads BULKHEAD-G 45 LF (9/A12.01), vestibule heads (7/A12.10, 5/A12.10), ceiling transitions (7/A09.33): OTHER FRAMING rows</t>
  </si>
  <si>
    <t xml:space="preserve">ALC-14</t>
  </si>
  <si>
    <t xml:space="preserve">Canopy / marquee framing and sheathing</t>
  </si>
  <si>
    <t xml:space="preserve">canopy fascia boxes and soffit joists (3/A09.26, 7/A09.26, 16/A09.27), FRT plywood canopy sheathing and column wraps (frt_plywood_by_material), CANOPY-COL 22.67 LF (5/A09.25)</t>
  </si>
  <si>
    <t xml:space="preserve">ALC-15</t>
  </si>
  <si>
    <t xml:space="preserve">Column furring / wraps</t>
  </si>
  <si>
    <t xml:space="preserve">interior column boxes C1 (3/A08.21, 1/A09.25, 2/A09.25) and drive-up canopy column wraps CANOPY-COL 22.67 LF (5/A09.25)</t>
  </si>
  <si>
    <t xml:space="preserve">ALC-16</t>
  </si>
  <si>
    <t xml:space="preserve">Blocking (FRT wood / metal) for millwork and accessories</t>
  </si>
  <si>
    <t xml:space="preserve">FRT blocking 989.85 LF; metal stud blocking 603.94 LF (edge of gypboard 4/S5.20 + wall-mounted items); RFI-PEND-01</t>
  </si>
  <si>
    <t xml:space="preserve">ALC-17</t>
  </si>
  <si>
    <t xml:space="preserve">Framed openings (MEP, access panels, diffusers)</t>
  </si>
  <si>
    <t xml:space="preserve">framed openings MEP 918.88 LF (framed_openings_out.json, ends pending RFI-FO); access panel 1 PCS (A04.01 key note 4); M00.01 / P00.01 legends only</t>
  </si>
  <si>
    <t xml:space="preserve">ALC-18</t>
  </si>
  <si>
    <t xml:space="preserve">Trim: corner bead, casing bead, control joints, reveals</t>
  </si>
  <si>
    <t xml:space="preserve">metal trim (corner bead, casing bead, shadow molding) 1052.1 LF (A12.01, A09.33, A08.21). No gypsum board control joint is labeled or detailed: A00.00 abbreviation only, A09.01 / A09.22 / A09.31 are stucco control joints, p17 and S3.20 are pavement / slab joints; reveals A09.26 are ACM</t>
  </si>
  <si>
    <t xml:space="preserve">ALC-19</t>
  </si>
  <si>
    <t xml:space="preserve">Acoustical sealant / sound attenuation (EXCLUDED: estimator standing order, all projects)</t>
  </si>
  <si>
    <t xml:space="preserve">NOT APPLICABLE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</si>
  <si>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</si>
  <si>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</si>
  <si>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</si>
  <si>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FRP 334.75 SF, cement board 31.88 SF, PVC trim at FRP 223.5 LF; A08.01</t>
  </si>
  <si>
    <t xml:space="preserve">ALC-21</t>
  </si>
  <si>
    <t xml:space="preserve">Shaft walls / area separation walls</t>
  </si>
  <si>
    <t xml:space="preserve">NOT APPLICABLE: no shaft wall or area separation wall in the A12.01 partition schedule or on A02.01 (scan found no mention in the set)</t>
  </si>
  <si>
    <t xml:space="preserve">ALC-22</t>
  </si>
  <si>
    <t xml:space="preserve">Rated assemblies (UL designs) and their board type</t>
  </si>
  <si>
    <t xml:space="preserve">NOT APPLICABLE: no rated partition and no UL design in the A12.01 schedule; 'FIRE RATED' on A11.03 / E02.02 is the 3/4" fire-rated plywood backboard (carried in FRT plywood), A12.02 is the NER paint note, M00.01 / M03.01 / E00.01 are generic penetration notes and E04.02 is a firestop detail</t>
  </si>
  <si>
    <t xml:space="preserve">ALC-23</t>
  </si>
  <si>
    <t xml:space="preserve">Special panels (ballistic, lead-lined, abuse)</t>
  </si>
  <si>
    <t xml:space="preserve">ballistic panel 85.34 SF (A1K / A5K / B2K, 4/A12.01 '3/8" UL752 LISTED LEVEL-2 FIBERGLASS'); 3/8" gypsum board 65.65 SF</t>
  </si>
  <si>
    <t xml:space="preserve">ALC-24</t>
  </si>
  <si>
    <t xml:space="preserve">Finish level (Level 4 / Level 5)</t>
  </si>
  <si>
    <t xml:space="preserve">Level 5 finish 859.27 SF (A00.40 WC-18 / WC-22, A05.01 key notes; A08.11, A12.02 WC-20)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</si>
  <si>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</si>
  <si>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</si>
  <si>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</si>
  <si>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</si>
  <si>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"b8d8bba8e711f71f6b99faf76e67912722678d2034f762d6a94d112038b2a6b5", "evidencias": "0d063403618da9c8aef89767ed2b74b557f7974a79647d2c0a59b8248c99da08", "familias_out": "692263d1ce585822763cc34e1260a2286a0accf0121b7e0388721eae5d16b756", "reglas": "177a49c3146aaf8f9e5137cc871673167657f0d0a37fd7a5e09230365bdcedce",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</si>
</sst>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s">
        <v>20</v>
      </c>
    </row>
    <row r="14" customFormat="false" ht="15" hidden="false" customHeight="false" outlineLevel="0" collapsed="false">
      <c r="A14" s="0" t="s">
        <v>23</v>
      </c>
      <c r="B14" s="0" t="s">
        <v>22</v>
      </c>
      <c r="C14" s="0" t="s">
        <v>20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13.604</v>
      </c>
      <c r="D6" s="0" t="n">
        <v>14.358</v>
      </c>
      <c r="E6" s="0" t="n">
        <v>1</v>
      </c>
      <c r="F6" s="0" t="s">
        <v>63</v>
      </c>
      <c r="G6" s="0" t="n">
        <v>16</v>
      </c>
      <c r="H6" s="0" t="n">
        <v>209.16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75.34</v>
      </c>
      <c r="D7" s="0" t="n">
        <v>13.462</v>
      </c>
      <c r="E7" s="0" t="n">
        <v>1</v>
      </c>
      <c r="F7" s="0" t="s">
        <v>63</v>
      </c>
      <c r="G7" s="0" t="n">
        <v>16</v>
      </c>
      <c r="H7" s="0" t="n">
        <v>1025.91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53.5</v>
      </c>
      <c r="D8" s="0" t="n">
        <v>11.172</v>
      </c>
      <c r="E8" s="0" t="n">
        <v>1</v>
      </c>
      <c r="F8" s="0" t="s">
        <v>63</v>
      </c>
      <c r="G8" s="0" t="n">
        <v>16</v>
      </c>
      <c r="H8" s="0" t="n">
        <v>643.2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46.947</v>
      </c>
      <c r="D9" s="0" t="n">
        <v>12.919</v>
      </c>
      <c r="E9" s="0" t="n">
        <v>1</v>
      </c>
      <c r="F9" s="0" t="s">
        <v>63</v>
      </c>
      <c r="G9" s="0" t="n">
        <v>16</v>
      </c>
      <c r="H9" s="0" t="n">
        <v>623.36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4.848</v>
      </c>
      <c r="D10" s="0" t="n">
        <v>14.358</v>
      </c>
      <c r="E10" s="0" t="n">
        <v>1</v>
      </c>
      <c r="F10" s="0" t="s">
        <v>63</v>
      </c>
      <c r="G10" s="0" t="n">
        <v>16</v>
      </c>
      <c r="H10" s="0" t="n">
        <v>74.54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20.9</v>
      </c>
      <c r="D11" s="0" t="n">
        <v>14.358</v>
      </c>
      <c r="E11" s="0" t="n">
        <v>1</v>
      </c>
      <c r="F11" s="0" t="s">
        <v>63</v>
      </c>
      <c r="G11" s="0" t="n">
        <v>16</v>
      </c>
      <c r="H11" s="0" t="n">
        <v>315.57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5" t="s">
        <v>82</v>
      </c>
    </row>
    <row r="13" customFormat="false" ht="15" hidden="false" customHeight="false" outlineLevel="0" collapsed="false">
      <c r="A13" s="0" t="s">
        <v>83</v>
      </c>
      <c r="B13" s="0" t="s">
        <v>84</v>
      </c>
      <c r="C13" s="0" t="n">
        <v>5.667</v>
      </c>
      <c r="D13" s="0" t="n">
        <v>10.604</v>
      </c>
      <c r="E13" s="0" t="n">
        <v>0</v>
      </c>
      <c r="F13" s="0" t="s">
        <v>85</v>
      </c>
      <c r="G13" s="0" t="n">
        <v>16</v>
      </c>
      <c r="H13" s="0" t="n">
        <v>0</v>
      </c>
      <c r="I13" s="0" t="s">
        <v>86</v>
      </c>
      <c r="J13" s="0" t="s">
        <v>87</v>
      </c>
      <c r="K13" s="0" t="s">
        <v>66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5.667</v>
      </c>
      <c r="D14" s="0" t="n">
        <v>10.604</v>
      </c>
      <c r="E14" s="0" t="n">
        <v>0</v>
      </c>
      <c r="F14" s="0" t="s">
        <v>85</v>
      </c>
      <c r="G14" s="0" t="n">
        <v>16</v>
      </c>
      <c r="H14" s="0" t="n">
        <v>0</v>
      </c>
      <c r="I14" s="0" t="s">
        <v>90</v>
      </c>
      <c r="J14" s="0" t="s">
        <v>87</v>
      </c>
      <c r="K14" s="0" t="s">
        <v>66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5.667</v>
      </c>
      <c r="D15" s="0" t="n">
        <v>10.604</v>
      </c>
      <c r="E15" s="0" t="n">
        <v>0</v>
      </c>
      <c r="F15" s="0" t="s">
        <v>85</v>
      </c>
      <c r="G15" s="0" t="n">
        <v>16</v>
      </c>
      <c r="H15" s="0" t="n">
        <v>0</v>
      </c>
      <c r="I15" s="0" t="s">
        <v>93</v>
      </c>
      <c r="J15" s="0" t="s">
        <v>87</v>
      </c>
      <c r="K15" s="0" t="s">
        <v>66</v>
      </c>
    </row>
    <row r="16" customFormat="false" ht="15" hidden="false" customHeight="false" outlineLevel="0" collapsed="false">
      <c r="A16" s="0" t="s">
        <v>94</v>
      </c>
      <c r="B16" s="0" t="s">
        <v>95</v>
      </c>
      <c r="C16" s="0" t="n">
        <v>5.667</v>
      </c>
      <c r="D16" s="0" t="n">
        <v>10.604</v>
      </c>
      <c r="E16" s="0" t="n">
        <v>0</v>
      </c>
      <c r="F16" s="0" t="s">
        <v>85</v>
      </c>
      <c r="G16" s="0" t="n">
        <v>16</v>
      </c>
      <c r="H16" s="0" t="n">
        <v>0</v>
      </c>
      <c r="I16" s="0" t="s">
        <v>96</v>
      </c>
      <c r="J16" s="0" t="s">
        <v>87</v>
      </c>
      <c r="K16" s="0" t="s">
        <v>66</v>
      </c>
    </row>
    <row r="17" customFormat="false" ht="15" hidden="false" customHeight="false" outlineLevel="0" collapsed="false">
      <c r="A17" s="5" t="s">
        <v>97</v>
      </c>
    </row>
    <row r="18" customFormat="false" ht="15" hidden="false" customHeight="false" outlineLevel="0" collapsed="false">
      <c r="A18" s="0" t="s">
        <v>98</v>
      </c>
      <c r="B18" s="0" t="s">
        <v>99</v>
      </c>
      <c r="C18" s="0" t="n">
        <v>16.2</v>
      </c>
      <c r="D18" s="0" t="n">
        <v>4.292</v>
      </c>
      <c r="E18" s="0" t="n">
        <v>0</v>
      </c>
      <c r="F18" s="0" t="s">
        <v>100</v>
      </c>
      <c r="G18" s="0" t="n">
        <v>16</v>
      </c>
      <c r="H18" s="0" t="n">
        <v>0</v>
      </c>
      <c r="I18" s="0" t="s">
        <v>101</v>
      </c>
      <c r="J18" s="0" t="s">
        <v>102</v>
      </c>
      <c r="K18" s="0" t="s">
        <v>66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n">
        <v>3.876</v>
      </c>
      <c r="D19" s="0" t="n">
        <v>4.292</v>
      </c>
      <c r="E19" s="0" t="n">
        <v>0</v>
      </c>
      <c r="F19" s="0" t="s">
        <v>100</v>
      </c>
      <c r="G19" s="0" t="n">
        <v>16</v>
      </c>
      <c r="H19" s="0" t="n">
        <v>0</v>
      </c>
      <c r="I19" s="0" t="s">
        <v>105</v>
      </c>
      <c r="J19" s="0" t="s">
        <v>102</v>
      </c>
      <c r="K19" s="0" t="s">
        <v>66</v>
      </c>
    </row>
    <row r="20" customFormat="false" ht="15" hidden="false" customHeight="false" outlineLevel="0" collapsed="false">
      <c r="A20" s="0" t="s">
        <v>106</v>
      </c>
      <c r="B20" s="0" t="s">
        <v>107</v>
      </c>
      <c r="C20" s="0" t="n">
        <v>40</v>
      </c>
      <c r="D20" s="0" t="n">
        <v>2.042</v>
      </c>
      <c r="E20" s="0" t="n">
        <v>0</v>
      </c>
      <c r="F20" s="0" t="s">
        <v>100</v>
      </c>
      <c r="G20" s="0" t="n">
        <v>16</v>
      </c>
      <c r="H20" s="0" t="n">
        <v>0</v>
      </c>
      <c r="I20" s="0" t="s">
        <v>108</v>
      </c>
      <c r="J20" s="0" t="s">
        <v>102</v>
      </c>
      <c r="K20" s="0" t="s">
        <v>66</v>
      </c>
    </row>
    <row r="21" customFormat="false" ht="15" hidden="false" customHeight="false" outlineLevel="0" collapsed="false">
      <c r="A21" s="0" t="s">
        <v>109</v>
      </c>
      <c r="B21" s="0" t="s">
        <v>110</v>
      </c>
      <c r="C21" s="0" t="n">
        <v>75.933</v>
      </c>
      <c r="D21" s="0" t="n">
        <v>2.901</v>
      </c>
      <c r="E21" s="0" t="n">
        <v>0</v>
      </c>
      <c r="F21" s="0" t="s">
        <v>100</v>
      </c>
      <c r="G21" s="0" t="n">
        <v>16</v>
      </c>
      <c r="H21" s="0" t="n">
        <v>0</v>
      </c>
      <c r="I21" s="0" t="s">
        <v>111</v>
      </c>
      <c r="J21" s="0" t="s">
        <v>102</v>
      </c>
      <c r="K21" s="0" t="s">
        <v>66</v>
      </c>
    </row>
    <row r="22" customFormat="false" ht="15" hidden="false" customHeight="false" outlineLevel="0" collapsed="false">
      <c r="A22" s="0" t="s">
        <v>112</v>
      </c>
      <c r="B22" s="0" t="s">
        <v>113</v>
      </c>
      <c r="C22" s="0" t="n">
        <v>52.333</v>
      </c>
      <c r="D22" s="0" t="n">
        <v>4.885</v>
      </c>
      <c r="E22" s="0" t="n">
        <v>0</v>
      </c>
      <c r="F22" s="0" t="s">
        <v>100</v>
      </c>
      <c r="G22" s="0" t="n">
        <v>16</v>
      </c>
      <c r="H22" s="0" t="n">
        <v>0</v>
      </c>
      <c r="I22" s="0" t="s">
        <v>114</v>
      </c>
      <c r="J22" s="0" t="s">
        <v>102</v>
      </c>
      <c r="K22" s="0" t="s">
        <v>66</v>
      </c>
    </row>
    <row r="23" customFormat="false" ht="15" hidden="false" customHeight="false" outlineLevel="0" collapsed="false">
      <c r="A23" s="0" t="s">
        <v>115</v>
      </c>
      <c r="B23" s="0" t="s">
        <v>116</v>
      </c>
      <c r="C23" s="0" t="n">
        <v>47.927</v>
      </c>
      <c r="D23" s="0" t="n">
        <v>3.403</v>
      </c>
      <c r="E23" s="0" t="n">
        <v>0</v>
      </c>
      <c r="F23" s="0" t="s">
        <v>100</v>
      </c>
      <c r="G23" s="0" t="n">
        <v>16</v>
      </c>
      <c r="H23" s="0" t="n">
        <v>0</v>
      </c>
      <c r="I23" s="0" t="s">
        <v>117</v>
      </c>
      <c r="J23" s="0" t="s">
        <v>102</v>
      </c>
      <c r="K23" s="0" t="s">
        <v>66</v>
      </c>
    </row>
    <row r="24" customFormat="false" ht="15" hidden="false" customHeight="false" outlineLevel="0" collapsed="false">
      <c r="A24" s="0" t="s">
        <v>118</v>
      </c>
      <c r="B24" s="0" t="s">
        <v>119</v>
      </c>
      <c r="C24" s="0" t="n">
        <v>3.867</v>
      </c>
      <c r="D24" s="0" t="n">
        <v>4.292</v>
      </c>
      <c r="E24" s="0" t="n">
        <v>0</v>
      </c>
      <c r="F24" s="0" t="s">
        <v>100</v>
      </c>
      <c r="G24" s="0" t="n">
        <v>16</v>
      </c>
      <c r="H24" s="0" t="n">
        <v>0</v>
      </c>
      <c r="I24" s="0" t="s">
        <v>120</v>
      </c>
      <c r="J24" s="0" t="s">
        <v>102</v>
      </c>
      <c r="K24" s="0" t="s">
        <v>66</v>
      </c>
    </row>
    <row r="25" customFormat="false" ht="15" hidden="false" customHeight="false" outlineLevel="0" collapsed="false">
      <c r="A25" s="0" t="s">
        <v>121</v>
      </c>
      <c r="B25" s="0" t="s">
        <v>122</v>
      </c>
      <c r="C25" s="0" t="n">
        <v>29</v>
      </c>
      <c r="D25" s="0" t="n">
        <v>4.292</v>
      </c>
      <c r="E25" s="0" t="n">
        <v>0</v>
      </c>
      <c r="F25" s="0" t="s">
        <v>100</v>
      </c>
      <c r="G25" s="0" t="n">
        <v>16</v>
      </c>
      <c r="H25" s="0" t="n">
        <v>0</v>
      </c>
      <c r="I25" s="0" t="s">
        <v>123</v>
      </c>
      <c r="J25" s="0" t="s">
        <v>102</v>
      </c>
      <c r="K25" s="0" t="s">
        <v>66</v>
      </c>
    </row>
    <row r="26" customFormat="false" ht="15" hidden="false" customHeight="false" outlineLevel="0" collapsed="false">
      <c r="A26" s="5" t="s">
        <v>124</v>
      </c>
    </row>
    <row r="27" customFormat="false" ht="15" hidden="false" customHeight="false" outlineLevel="0" collapsed="false">
      <c r="A27" s="0" t="s">
        <v>125</v>
      </c>
      <c r="B27" s="0" t="s">
        <v>126</v>
      </c>
      <c r="C27" s="0" t="n">
        <v>17.747</v>
      </c>
      <c r="D27" s="0" t="n">
        <v>15.375</v>
      </c>
      <c r="E27" s="0" t="n">
        <v>2</v>
      </c>
      <c r="F27" s="0" t="s">
        <v>85</v>
      </c>
      <c r="G27" s="0" t="n">
        <v>16</v>
      </c>
      <c r="H27" s="0" t="n">
        <v>325.1</v>
      </c>
      <c r="I27" s="0" t="s">
        <v>127</v>
      </c>
      <c r="J27" s="0" t="s">
        <v>128</v>
      </c>
      <c r="K27" s="0" t="s">
        <v>66</v>
      </c>
    </row>
    <row r="28" customFormat="false" ht="15" hidden="false" customHeight="false" outlineLevel="0" collapsed="false">
      <c r="A28" s="5" t="s">
        <v>129</v>
      </c>
    </row>
    <row r="29" customFormat="false" ht="15" hidden="false" customHeight="false" outlineLevel="0" collapsed="false">
      <c r="A29" s="0" t="s">
        <v>130</v>
      </c>
      <c r="B29" s="0" t="s">
        <v>131</v>
      </c>
      <c r="C29" s="0" t="n">
        <v>5.667</v>
      </c>
      <c r="D29" s="0" t="n">
        <v>15.375</v>
      </c>
      <c r="E29" s="0" t="n">
        <v>2</v>
      </c>
      <c r="F29" s="0" t="s">
        <v>63</v>
      </c>
      <c r="G29" s="0" t="n">
        <v>16</v>
      </c>
      <c r="H29" s="0" t="n">
        <v>111.64</v>
      </c>
      <c r="I29" s="0" t="s">
        <v>132</v>
      </c>
      <c r="J29" s="0" t="s">
        <v>133</v>
      </c>
      <c r="K29" s="0" t="s">
        <v>134</v>
      </c>
    </row>
    <row r="30" customFormat="false" ht="15" hidden="false" customHeight="false" outlineLevel="0" collapsed="false">
      <c r="A30" s="0" t="s">
        <v>135</v>
      </c>
      <c r="B30" s="0" t="s">
        <v>136</v>
      </c>
      <c r="C30" s="0" t="n">
        <v>11.407</v>
      </c>
      <c r="D30" s="0" t="n">
        <v>11.631</v>
      </c>
      <c r="E30" s="0" t="n">
        <v>2</v>
      </c>
      <c r="F30" s="0" t="s">
        <v>63</v>
      </c>
      <c r="G30" s="0" t="n">
        <v>16</v>
      </c>
      <c r="H30" s="0" t="n">
        <v>265.34</v>
      </c>
      <c r="I30" s="0" t="s">
        <v>137</v>
      </c>
      <c r="J30" s="0" t="s">
        <v>133</v>
      </c>
      <c r="K30" s="0" t="s">
        <v>66</v>
      </c>
    </row>
    <row r="31" customFormat="false" ht="15" hidden="false" customHeight="false" outlineLevel="0" collapsed="false">
      <c r="A31" s="0" t="s">
        <v>138</v>
      </c>
      <c r="B31" s="0" t="s">
        <v>139</v>
      </c>
      <c r="C31" s="0" t="n">
        <v>5.542</v>
      </c>
      <c r="D31" s="0" t="n">
        <v>13.239</v>
      </c>
      <c r="E31" s="0" t="n">
        <v>2</v>
      </c>
      <c r="F31" s="0" t="s">
        <v>63</v>
      </c>
      <c r="G31" s="0" t="n">
        <v>16</v>
      </c>
      <c r="H31" s="0" t="n">
        <v>98.96</v>
      </c>
      <c r="I31" s="0" t="s">
        <v>140</v>
      </c>
      <c r="J31" s="0" t="s">
        <v>133</v>
      </c>
      <c r="K31" s="0" t="s">
        <v>66</v>
      </c>
    </row>
    <row r="32" customFormat="false" ht="15" hidden="false" customHeight="false" outlineLevel="0" collapsed="false">
      <c r="A32" s="0" t="s">
        <v>141</v>
      </c>
      <c r="B32" s="0" t="s">
        <v>142</v>
      </c>
      <c r="C32" s="0" t="n">
        <v>15.787</v>
      </c>
      <c r="D32" s="0" t="n">
        <v>12.863</v>
      </c>
      <c r="E32" s="0" t="n">
        <v>2</v>
      </c>
      <c r="F32" s="0" t="s">
        <v>63</v>
      </c>
      <c r="G32" s="0" t="n">
        <v>16</v>
      </c>
      <c r="H32" s="0" t="n">
        <v>262.8</v>
      </c>
      <c r="I32" s="0" t="s">
        <v>143</v>
      </c>
      <c r="J32" s="0" t="s">
        <v>133</v>
      </c>
      <c r="K32" s="0" t="s">
        <v>66</v>
      </c>
    </row>
    <row r="33" customFormat="false" ht="15" hidden="false" customHeight="false" outlineLevel="0" collapsed="false">
      <c r="A33" s="5" t="s">
        <v>144</v>
      </c>
    </row>
    <row r="34" customFormat="false" ht="15" hidden="false" customHeight="false" outlineLevel="0" collapsed="false">
      <c r="A34" s="0" t="s">
        <v>145</v>
      </c>
      <c r="B34" s="0" t="s">
        <v>146</v>
      </c>
      <c r="C34" s="0" t="n">
        <v>12.333</v>
      </c>
      <c r="D34" s="0" t="n">
        <v>15.375</v>
      </c>
      <c r="E34" s="0" t="n">
        <v>4</v>
      </c>
      <c r="F34" s="0" t="s">
        <v>147</v>
      </c>
      <c r="G34" s="0" t="n">
        <v>16</v>
      </c>
      <c r="H34" s="0" t="n">
        <v>758.5</v>
      </c>
      <c r="I34" s="0" t="s">
        <v>148</v>
      </c>
      <c r="J34" s="0" t="s">
        <v>149</v>
      </c>
      <c r="K34" s="0" t="s">
        <v>66</v>
      </c>
    </row>
    <row r="35" customFormat="false" ht="15" hidden="false" customHeight="false" outlineLevel="0" collapsed="false">
      <c r="A35" s="0" t="s">
        <v>150</v>
      </c>
      <c r="B35" s="0" t="s">
        <v>151</v>
      </c>
      <c r="C35" s="0" t="n">
        <v>11.625</v>
      </c>
      <c r="D35" s="0" t="n">
        <v>15.375</v>
      </c>
      <c r="E35" s="0" t="n">
        <v>4</v>
      </c>
      <c r="F35" s="0" t="s">
        <v>147</v>
      </c>
      <c r="G35" s="0" t="n">
        <v>16</v>
      </c>
      <c r="H35" s="0" t="n">
        <v>714.94</v>
      </c>
      <c r="I35" s="0" t="s">
        <v>152</v>
      </c>
      <c r="J35" s="0" t="s">
        <v>149</v>
      </c>
      <c r="K35" s="0" t="s">
        <v>134</v>
      </c>
    </row>
    <row r="36" customFormat="false" ht="15" hidden="false" customHeight="false" outlineLevel="0" collapsed="false">
      <c r="A36" s="0" t="s">
        <v>153</v>
      </c>
      <c r="B36" s="0" t="s">
        <v>154</v>
      </c>
      <c r="C36" s="0" t="n">
        <v>11.625</v>
      </c>
      <c r="D36" s="0" t="n">
        <v>15.375</v>
      </c>
      <c r="E36" s="0" t="n">
        <v>4</v>
      </c>
      <c r="F36" s="0" t="s">
        <v>147</v>
      </c>
      <c r="G36" s="0" t="n">
        <v>16</v>
      </c>
      <c r="H36" s="0" t="n">
        <v>714.94</v>
      </c>
      <c r="I36" s="0" t="s">
        <v>155</v>
      </c>
      <c r="J36" s="0" t="s">
        <v>149</v>
      </c>
      <c r="K36" s="0" t="s">
        <v>134</v>
      </c>
    </row>
    <row r="37" customFormat="false" ht="15" hidden="false" customHeight="false" outlineLevel="0" collapsed="false">
      <c r="A37" s="0" t="s">
        <v>156</v>
      </c>
      <c r="B37" s="0" t="s">
        <v>157</v>
      </c>
      <c r="C37" s="0" t="n">
        <v>10.073</v>
      </c>
      <c r="D37" s="0" t="n">
        <v>15.375</v>
      </c>
      <c r="E37" s="0" t="n">
        <v>4</v>
      </c>
      <c r="F37" s="0" t="s">
        <v>147</v>
      </c>
      <c r="G37" s="0" t="n">
        <v>16</v>
      </c>
      <c r="H37" s="0" t="n">
        <v>619.51</v>
      </c>
      <c r="I37" s="0" t="s">
        <v>158</v>
      </c>
      <c r="J37" s="0" t="s">
        <v>149</v>
      </c>
      <c r="K37" s="0" t="s">
        <v>66</v>
      </c>
    </row>
    <row r="38" customFormat="false" ht="15" hidden="false" customHeight="false" outlineLevel="0" collapsed="false">
      <c r="A38" s="0" t="s">
        <v>159</v>
      </c>
      <c r="B38" s="0" t="s">
        <v>160</v>
      </c>
      <c r="C38" s="0" t="n">
        <v>11.771</v>
      </c>
      <c r="D38" s="0" t="n">
        <v>15.375</v>
      </c>
      <c r="E38" s="0" t="n">
        <v>4</v>
      </c>
      <c r="F38" s="0" t="s">
        <v>147</v>
      </c>
      <c r="G38" s="0" t="n">
        <v>16</v>
      </c>
      <c r="H38" s="0" t="n">
        <v>723.9</v>
      </c>
      <c r="I38" s="0" t="s">
        <v>161</v>
      </c>
      <c r="J38" s="0" t="s">
        <v>149</v>
      </c>
      <c r="K38" s="0" t="s">
        <v>134</v>
      </c>
    </row>
    <row r="39" customFormat="false" ht="15" hidden="false" customHeight="false" outlineLevel="0" collapsed="false">
      <c r="A39" s="0" t="s">
        <v>162</v>
      </c>
      <c r="B39" s="0" t="s">
        <v>163</v>
      </c>
      <c r="C39" s="0" t="n">
        <v>11.771</v>
      </c>
      <c r="D39" s="0" t="n">
        <v>15.375</v>
      </c>
      <c r="E39" s="0" t="n">
        <v>4</v>
      </c>
      <c r="F39" s="0" t="s">
        <v>147</v>
      </c>
      <c r="G39" s="0" t="n">
        <v>16</v>
      </c>
      <c r="H39" s="0" t="n">
        <v>723.9</v>
      </c>
      <c r="I39" s="0" t="s">
        <v>164</v>
      </c>
      <c r="J39" s="0" t="s">
        <v>149</v>
      </c>
      <c r="K39" s="0" t="s">
        <v>134</v>
      </c>
    </row>
    <row r="40" customFormat="false" ht="15" hidden="false" customHeight="false" outlineLevel="0" collapsed="false">
      <c r="A40" s="0" t="s">
        <v>165</v>
      </c>
      <c r="B40" s="0" t="s">
        <v>166</v>
      </c>
      <c r="C40" s="0" t="n">
        <v>2.42</v>
      </c>
      <c r="D40" s="0" t="n">
        <v>14.383</v>
      </c>
      <c r="E40" s="0" t="n">
        <v>4</v>
      </c>
      <c r="F40" s="0" t="s">
        <v>147</v>
      </c>
      <c r="G40" s="0" t="n">
        <v>16</v>
      </c>
      <c r="H40" s="0" t="n">
        <v>139.24</v>
      </c>
      <c r="I40" s="0" t="s">
        <v>167</v>
      </c>
      <c r="J40" s="0" t="s">
        <v>149</v>
      </c>
      <c r="K40" s="0" t="s">
        <v>66</v>
      </c>
    </row>
    <row r="41" customFormat="false" ht="15" hidden="false" customHeight="false" outlineLevel="0" collapsed="false">
      <c r="A41" s="0" t="s">
        <v>168</v>
      </c>
      <c r="B41" s="0" t="s">
        <v>169</v>
      </c>
      <c r="C41" s="0" t="n">
        <v>3.467</v>
      </c>
      <c r="D41" s="0" t="n">
        <v>14.383</v>
      </c>
      <c r="E41" s="0" t="n">
        <v>4</v>
      </c>
      <c r="F41" s="0" t="s">
        <v>147</v>
      </c>
      <c r="G41" s="0" t="n">
        <v>16</v>
      </c>
      <c r="H41" s="0" t="n">
        <v>199.45</v>
      </c>
      <c r="I41" s="0" t="s">
        <v>170</v>
      </c>
      <c r="J41" s="0" t="s">
        <v>149</v>
      </c>
      <c r="K41" s="0" t="s">
        <v>66</v>
      </c>
    </row>
    <row r="42" customFormat="false" ht="15" hidden="false" customHeight="false" outlineLevel="0" collapsed="false">
      <c r="A42" s="0" t="s">
        <v>171</v>
      </c>
      <c r="B42" s="0" t="s">
        <v>172</v>
      </c>
      <c r="C42" s="0" t="n">
        <v>3.253</v>
      </c>
      <c r="D42" s="0" t="n">
        <v>15.375</v>
      </c>
      <c r="E42" s="0" t="n">
        <v>4</v>
      </c>
      <c r="F42" s="0" t="s">
        <v>147</v>
      </c>
      <c r="G42" s="0" t="n">
        <v>16</v>
      </c>
      <c r="H42" s="0" t="n">
        <v>200.08</v>
      </c>
      <c r="I42" s="0" t="s">
        <v>173</v>
      </c>
      <c r="J42" s="0" t="s">
        <v>149</v>
      </c>
      <c r="K42" s="0" t="s">
        <v>66</v>
      </c>
    </row>
    <row r="43" customFormat="false" ht="15" hidden="false" customHeight="false" outlineLevel="0" collapsed="false">
      <c r="A43" s="0" t="s">
        <v>174</v>
      </c>
      <c r="B43" s="0" t="s">
        <v>175</v>
      </c>
      <c r="C43" s="0" t="n">
        <v>3.253</v>
      </c>
      <c r="D43" s="0" t="n">
        <v>14.225</v>
      </c>
      <c r="E43" s="0" t="n">
        <v>4</v>
      </c>
      <c r="F43" s="0" t="s">
        <v>147</v>
      </c>
      <c r="G43" s="0" t="n">
        <v>16</v>
      </c>
      <c r="H43" s="0" t="n">
        <v>185.11</v>
      </c>
      <c r="I43" s="0" t="s">
        <v>176</v>
      </c>
      <c r="J43" s="0" t="s">
        <v>149</v>
      </c>
      <c r="K43" s="0" t="s">
        <v>66</v>
      </c>
    </row>
    <row r="44" customFormat="false" ht="15" hidden="false" customHeight="false" outlineLevel="0" collapsed="false">
      <c r="A44" s="5" t="s">
        <v>177</v>
      </c>
    </row>
    <row r="45" customFormat="false" ht="15" hidden="false" customHeight="false" outlineLevel="0" collapsed="false">
      <c r="A45" s="0" t="s">
        <v>178</v>
      </c>
      <c r="B45" s="0" t="s">
        <v>179</v>
      </c>
      <c r="C45" s="0" t="n">
        <v>3.507</v>
      </c>
      <c r="D45" s="0" t="n">
        <v>15.375</v>
      </c>
      <c r="E45" s="0" t="n">
        <v>4</v>
      </c>
      <c r="F45" s="0" t="s">
        <v>147</v>
      </c>
      <c r="G45" s="0" t="n">
        <v>16</v>
      </c>
      <c r="H45" s="0" t="n">
        <v>215.66</v>
      </c>
      <c r="I45" s="0" t="s">
        <v>180</v>
      </c>
      <c r="J45" s="0" t="s">
        <v>149</v>
      </c>
      <c r="K45" s="0" t="s">
        <v>66</v>
      </c>
    </row>
    <row r="46" customFormat="false" ht="15" hidden="false" customHeight="false" outlineLevel="0" collapsed="false">
      <c r="A46" s="0" t="s">
        <v>181</v>
      </c>
      <c r="B46" s="0" t="s">
        <v>182</v>
      </c>
      <c r="C46" s="0" t="n">
        <v>3.18</v>
      </c>
      <c r="D46" s="0" t="n">
        <v>15.375</v>
      </c>
      <c r="E46" s="0" t="n">
        <v>4</v>
      </c>
      <c r="F46" s="0" t="s">
        <v>147</v>
      </c>
      <c r="G46" s="0" t="n">
        <v>16</v>
      </c>
      <c r="H46" s="0" t="n">
        <v>195.58</v>
      </c>
      <c r="I46" s="0" t="s">
        <v>183</v>
      </c>
      <c r="J46" s="0" t="s">
        <v>149</v>
      </c>
      <c r="K46" s="0" t="s">
        <v>66</v>
      </c>
    </row>
    <row r="47" customFormat="false" ht="15" hidden="false" customHeight="false" outlineLevel="0" collapsed="false">
      <c r="A47" s="0" t="s">
        <v>184</v>
      </c>
      <c r="B47" s="0" t="s">
        <v>185</v>
      </c>
      <c r="C47" s="0" t="n">
        <v>11.771</v>
      </c>
      <c r="D47" s="0" t="n">
        <v>15.375</v>
      </c>
      <c r="E47" s="0" t="n">
        <v>4</v>
      </c>
      <c r="F47" s="0" t="s">
        <v>147</v>
      </c>
      <c r="G47" s="0" t="n">
        <v>16</v>
      </c>
      <c r="H47" s="0" t="n">
        <v>723.9</v>
      </c>
      <c r="I47" s="0" t="s">
        <v>186</v>
      </c>
      <c r="J47" s="0" t="s">
        <v>149</v>
      </c>
      <c r="K47" s="0" t="s">
        <v>134</v>
      </c>
    </row>
    <row r="48" customFormat="false" ht="15" hidden="false" customHeight="false" outlineLevel="0" collapsed="false">
      <c r="A48" s="5" t="s">
        <v>187</v>
      </c>
    </row>
    <row r="49" customFormat="false" ht="15" hidden="false" customHeight="false" outlineLevel="0" collapsed="false">
      <c r="A49" s="0" t="s">
        <v>188</v>
      </c>
      <c r="B49" s="0" t="s">
        <v>189</v>
      </c>
      <c r="C49" s="0" t="n">
        <v>5.583</v>
      </c>
      <c r="D49" s="0" t="n">
        <v>15.375</v>
      </c>
      <c r="E49" s="0" t="n">
        <v>2</v>
      </c>
      <c r="F49" s="0" t="s">
        <v>85</v>
      </c>
      <c r="G49" s="0" t="n">
        <v>16</v>
      </c>
      <c r="H49" s="0" t="n">
        <v>62.81</v>
      </c>
      <c r="I49" s="0" t="s">
        <v>190</v>
      </c>
      <c r="J49" s="0" t="s">
        <v>191</v>
      </c>
      <c r="K49" s="0" t="s">
        <v>134</v>
      </c>
    </row>
    <row r="50" customFormat="false" ht="15" hidden="false" customHeight="false" outlineLevel="0" collapsed="false">
      <c r="A50" s="0" t="s">
        <v>192</v>
      </c>
      <c r="B50" s="0" t="s">
        <v>193</v>
      </c>
      <c r="C50" s="0" t="n">
        <v>3.533</v>
      </c>
      <c r="D50" s="0" t="n">
        <v>15.375</v>
      </c>
      <c r="E50" s="0" t="n">
        <v>2</v>
      </c>
      <c r="F50" s="0" t="s">
        <v>85</v>
      </c>
      <c r="G50" s="0" t="n">
        <v>16</v>
      </c>
      <c r="H50" s="0" t="n">
        <v>63.6</v>
      </c>
      <c r="I50" s="0" t="s">
        <v>194</v>
      </c>
      <c r="J50" s="0" t="s">
        <v>191</v>
      </c>
      <c r="K50" s="0" t="s">
        <v>66</v>
      </c>
    </row>
    <row r="51" customFormat="false" ht="15" hidden="false" customHeight="false" outlineLevel="0" collapsed="false">
      <c r="A51" s="0" t="s">
        <v>195</v>
      </c>
      <c r="B51" s="0" t="s">
        <v>196</v>
      </c>
      <c r="C51" s="0" t="n">
        <v>2.02</v>
      </c>
      <c r="D51" s="0" t="n">
        <v>15.375</v>
      </c>
      <c r="E51" s="0" t="n">
        <v>2</v>
      </c>
      <c r="F51" s="0" t="s">
        <v>85</v>
      </c>
      <c r="G51" s="0" t="n">
        <v>16</v>
      </c>
      <c r="H51" s="0" t="n">
        <v>36.36</v>
      </c>
      <c r="I51" s="0" t="s">
        <v>197</v>
      </c>
      <c r="J51" s="0" t="s">
        <v>191</v>
      </c>
      <c r="K51" s="0" t="s">
        <v>66</v>
      </c>
    </row>
    <row r="52" customFormat="false" ht="15" hidden="false" customHeight="false" outlineLevel="0" collapsed="false">
      <c r="A52" s="0" t="s">
        <v>198</v>
      </c>
      <c r="B52" s="0" t="s">
        <v>199</v>
      </c>
      <c r="C52" s="0" t="n">
        <v>17.02</v>
      </c>
      <c r="D52" s="0" t="n">
        <v>15.375</v>
      </c>
      <c r="E52" s="0" t="n">
        <v>2</v>
      </c>
      <c r="F52" s="0" t="s">
        <v>85</v>
      </c>
      <c r="G52" s="0" t="n">
        <v>16</v>
      </c>
      <c r="H52" s="0" t="n">
        <v>348.91</v>
      </c>
      <c r="I52" s="0" t="s">
        <v>200</v>
      </c>
      <c r="J52" s="0" t="s">
        <v>191</v>
      </c>
      <c r="K52" s="0" t="s">
        <v>66</v>
      </c>
    </row>
    <row r="53" customFormat="false" ht="15" hidden="false" customHeight="false" outlineLevel="0" collapsed="false">
      <c r="A53" s="0" t="s">
        <v>201</v>
      </c>
      <c r="B53" s="0" t="s">
        <v>202</v>
      </c>
      <c r="C53" s="0" t="n">
        <v>15.812</v>
      </c>
      <c r="D53" s="0" t="n">
        <v>12.969</v>
      </c>
      <c r="E53" s="0" t="n">
        <v>2</v>
      </c>
      <c r="F53" s="0" t="s">
        <v>85</v>
      </c>
      <c r="G53" s="0" t="n">
        <v>16</v>
      </c>
      <c r="H53" s="0" t="n">
        <v>284.62</v>
      </c>
      <c r="I53" s="0" t="s">
        <v>203</v>
      </c>
      <c r="J53" s="0" t="s">
        <v>191</v>
      </c>
      <c r="K53" s="0" t="s">
        <v>134</v>
      </c>
    </row>
    <row r="54" customFormat="false" ht="15" hidden="false" customHeight="false" outlineLevel="0" collapsed="false">
      <c r="A54" s="0" t="s">
        <v>204</v>
      </c>
      <c r="B54" s="0" t="s">
        <v>205</v>
      </c>
      <c r="C54" s="0" t="n">
        <v>20.52</v>
      </c>
      <c r="D54" s="0" t="n">
        <v>11.819</v>
      </c>
      <c r="E54" s="0" t="n">
        <v>2</v>
      </c>
      <c r="F54" s="0" t="s">
        <v>85</v>
      </c>
      <c r="G54" s="0" t="n">
        <v>16</v>
      </c>
      <c r="H54" s="0" t="n">
        <v>360.89</v>
      </c>
      <c r="I54" s="0" t="s">
        <v>206</v>
      </c>
      <c r="J54" s="0" t="s">
        <v>191</v>
      </c>
      <c r="K54" s="0" t="s">
        <v>66</v>
      </c>
    </row>
    <row r="55" customFormat="false" ht="15" hidden="false" customHeight="false" outlineLevel="0" collapsed="false">
      <c r="A55" s="0" t="s">
        <v>207</v>
      </c>
      <c r="B55" s="0" t="s">
        <v>208</v>
      </c>
      <c r="C55" s="0" t="n">
        <v>1.733</v>
      </c>
      <c r="D55" s="0" t="n">
        <v>11.819</v>
      </c>
      <c r="E55" s="0" t="n">
        <v>2</v>
      </c>
      <c r="F55" s="0" t="s">
        <v>85</v>
      </c>
      <c r="G55" s="0" t="n">
        <v>16</v>
      </c>
      <c r="H55" s="0" t="n">
        <v>32.07</v>
      </c>
      <c r="I55" s="0" t="s">
        <v>209</v>
      </c>
      <c r="J55" s="0" t="s">
        <v>191</v>
      </c>
      <c r="K55" s="0" t="s">
        <v>66</v>
      </c>
    </row>
    <row r="56" customFormat="false" ht="15" hidden="false" customHeight="false" outlineLevel="0" collapsed="false">
      <c r="A56" s="0" t="s">
        <v>210</v>
      </c>
      <c r="B56" s="0" t="s">
        <v>211</v>
      </c>
      <c r="C56" s="0" t="n">
        <v>5.5</v>
      </c>
      <c r="D56" s="0" t="n">
        <v>12.925</v>
      </c>
      <c r="E56" s="0" t="n">
        <v>2</v>
      </c>
      <c r="F56" s="0" t="s">
        <v>85</v>
      </c>
      <c r="G56" s="0" t="n">
        <v>16</v>
      </c>
      <c r="H56" s="0" t="n">
        <v>47.31</v>
      </c>
      <c r="I56" s="0" t="s">
        <v>212</v>
      </c>
      <c r="J56" s="0" t="s">
        <v>191</v>
      </c>
      <c r="K56" s="0" t="s">
        <v>134</v>
      </c>
    </row>
    <row r="57" customFormat="false" ht="15" hidden="false" customHeight="false" outlineLevel="0" collapsed="false">
      <c r="A57" s="0" t="s">
        <v>213</v>
      </c>
      <c r="B57" s="0" t="s">
        <v>214</v>
      </c>
      <c r="C57" s="0" t="n">
        <v>11.667</v>
      </c>
      <c r="D57" s="0" t="n">
        <v>12.773</v>
      </c>
      <c r="E57" s="0" t="n">
        <v>2</v>
      </c>
      <c r="F57" s="0" t="s">
        <v>85</v>
      </c>
      <c r="G57" s="0" t="n">
        <v>16</v>
      </c>
      <c r="H57" s="0" t="n">
        <v>168.05</v>
      </c>
      <c r="I57" s="0" t="s">
        <v>215</v>
      </c>
      <c r="J57" s="0" t="s">
        <v>191</v>
      </c>
      <c r="K57" s="0" t="s">
        <v>134</v>
      </c>
    </row>
    <row r="58" customFormat="false" ht="15" hidden="false" customHeight="false" outlineLevel="0" collapsed="false">
      <c r="A58" s="5" t="s">
        <v>216</v>
      </c>
    </row>
    <row r="59" customFormat="false" ht="15" hidden="false" customHeight="false" outlineLevel="0" collapsed="false">
      <c r="A59" s="0" t="s">
        <v>217</v>
      </c>
      <c r="B59" s="0" t="s">
        <v>218</v>
      </c>
      <c r="C59" s="0" t="n">
        <v>14.127</v>
      </c>
      <c r="D59" s="0" t="n">
        <v>15.375</v>
      </c>
      <c r="E59" s="0" t="n">
        <v>2</v>
      </c>
      <c r="F59" s="0" t="s">
        <v>63</v>
      </c>
      <c r="G59" s="0" t="n">
        <v>16</v>
      </c>
      <c r="H59" s="0" t="n">
        <v>244.58</v>
      </c>
      <c r="I59" s="0" t="s">
        <v>219</v>
      </c>
      <c r="J59" s="0" t="s">
        <v>191</v>
      </c>
      <c r="K59" s="0" t="s">
        <v>66</v>
      </c>
    </row>
    <row r="60" customFormat="false" ht="15" hidden="false" customHeight="false" outlineLevel="0" collapsed="false">
      <c r="A60" s="0" t="s">
        <v>220</v>
      </c>
      <c r="B60" s="0" t="s">
        <v>221</v>
      </c>
      <c r="C60" s="0" t="n">
        <v>19.407</v>
      </c>
      <c r="D60" s="0" t="n">
        <v>14.227</v>
      </c>
      <c r="E60" s="0" t="n">
        <v>2</v>
      </c>
      <c r="F60" s="0" t="s">
        <v>63</v>
      </c>
      <c r="G60" s="0" t="n">
        <v>16</v>
      </c>
      <c r="H60" s="0" t="n">
        <v>378.92</v>
      </c>
      <c r="I60" s="0" t="s">
        <v>222</v>
      </c>
      <c r="J60" s="0" t="s">
        <v>191</v>
      </c>
      <c r="K60" s="0" t="s">
        <v>66</v>
      </c>
    </row>
    <row r="61" customFormat="false" ht="15" hidden="false" customHeight="false" outlineLevel="0" collapsed="false">
      <c r="A61" s="0" t="s">
        <v>223</v>
      </c>
      <c r="B61" s="0" t="s">
        <v>224</v>
      </c>
      <c r="C61" s="0" t="n">
        <v>4.873</v>
      </c>
      <c r="D61" s="0" t="n">
        <v>14.433</v>
      </c>
      <c r="E61" s="0" t="n">
        <v>2</v>
      </c>
      <c r="F61" s="0" t="s">
        <v>63</v>
      </c>
      <c r="G61" s="0" t="n">
        <v>16</v>
      </c>
      <c r="H61" s="0" t="n">
        <v>39.94</v>
      </c>
      <c r="I61" s="0" t="s">
        <v>225</v>
      </c>
      <c r="J61" s="0" t="s">
        <v>191</v>
      </c>
      <c r="K61" s="0" t="s">
        <v>66</v>
      </c>
    </row>
    <row r="62" customFormat="false" ht="15" hidden="false" customHeight="false" outlineLevel="0" collapsed="false">
      <c r="A62" s="0" t="s">
        <v>226</v>
      </c>
      <c r="B62" s="0" t="s">
        <v>227</v>
      </c>
      <c r="C62" s="0" t="n">
        <v>6.938</v>
      </c>
      <c r="D62" s="0" t="n">
        <v>11.774</v>
      </c>
      <c r="E62" s="0" t="n">
        <v>2</v>
      </c>
      <c r="F62" s="0" t="s">
        <v>63</v>
      </c>
      <c r="G62" s="0" t="n">
        <v>16</v>
      </c>
      <c r="H62" s="0" t="n">
        <v>80.57</v>
      </c>
      <c r="I62" s="0" t="s">
        <v>228</v>
      </c>
      <c r="J62" s="0" t="s">
        <v>191</v>
      </c>
      <c r="K62" s="0" t="s">
        <v>134</v>
      </c>
    </row>
    <row r="63" customFormat="false" ht="15" hidden="false" customHeight="false" outlineLevel="0" collapsed="false">
      <c r="A63" s="5" t="s">
        <v>229</v>
      </c>
    </row>
    <row r="64" customFormat="false" ht="15" hidden="false" customHeight="false" outlineLevel="0" collapsed="false">
      <c r="A64" s="0" t="s">
        <v>230</v>
      </c>
      <c r="B64" s="0" t="s">
        <v>231</v>
      </c>
      <c r="C64" s="0" t="n">
        <v>11.333</v>
      </c>
      <c r="D64" s="0" t="n">
        <v>15.375</v>
      </c>
      <c r="E64" s="0" t="n">
        <v>1</v>
      </c>
      <c r="F64" s="0" t="s">
        <v>85</v>
      </c>
      <c r="G64" s="0" t="n">
        <v>16</v>
      </c>
      <c r="H64" s="0" t="n">
        <v>174.25</v>
      </c>
      <c r="I64" s="0" t="s">
        <v>232</v>
      </c>
      <c r="J64" s="0" t="s">
        <v>233</v>
      </c>
      <c r="K64" s="0" t="s">
        <v>66</v>
      </c>
    </row>
    <row r="65" customFormat="false" ht="15" hidden="false" customHeight="false" outlineLevel="0" collapsed="false">
      <c r="A65" s="0" t="s">
        <v>234</v>
      </c>
      <c r="B65" s="0" t="s">
        <v>235</v>
      </c>
      <c r="C65" s="0" t="n">
        <v>2.98</v>
      </c>
      <c r="D65" s="0" t="n">
        <v>12.923</v>
      </c>
      <c r="E65" s="0" t="n">
        <v>1</v>
      </c>
      <c r="F65" s="0" t="s">
        <v>85</v>
      </c>
      <c r="G65" s="0" t="n">
        <v>16</v>
      </c>
      <c r="H65" s="0" t="n">
        <v>38.51</v>
      </c>
      <c r="I65" s="0" t="s">
        <v>236</v>
      </c>
      <c r="J65" s="0" t="s">
        <v>233</v>
      </c>
      <c r="K65" s="0" t="s">
        <v>66</v>
      </c>
    </row>
    <row r="66" customFormat="false" ht="15" hidden="false" customHeight="false" outlineLevel="0" collapsed="false">
      <c r="A66" s="0" t="s">
        <v>237</v>
      </c>
      <c r="B66" s="0" t="s">
        <v>238</v>
      </c>
      <c r="C66" s="0" t="n">
        <v>10.027</v>
      </c>
      <c r="D66" s="0" t="n">
        <v>12.924</v>
      </c>
      <c r="E66" s="0" t="n">
        <v>1</v>
      </c>
      <c r="F66" s="0" t="s">
        <v>85</v>
      </c>
      <c r="G66" s="0" t="n">
        <v>16</v>
      </c>
      <c r="H66" s="0" t="n">
        <v>129.58</v>
      </c>
      <c r="I66" s="0" t="s">
        <v>239</v>
      </c>
      <c r="J66" s="0" t="s">
        <v>233</v>
      </c>
      <c r="K66" s="0" t="s">
        <v>66</v>
      </c>
    </row>
    <row r="67" customFormat="false" ht="15" hidden="false" customHeight="false" outlineLevel="0" collapsed="false">
      <c r="A67" s="0" t="s">
        <v>240</v>
      </c>
      <c r="B67" s="0" t="s">
        <v>241</v>
      </c>
      <c r="C67" s="0" t="n">
        <v>10.027</v>
      </c>
      <c r="D67" s="0" t="n">
        <v>12.894</v>
      </c>
      <c r="E67" s="0" t="n">
        <v>1</v>
      </c>
      <c r="F67" s="0" t="s">
        <v>85</v>
      </c>
      <c r="G67" s="0" t="n">
        <v>16</v>
      </c>
      <c r="H67" s="0" t="n">
        <v>129.29</v>
      </c>
      <c r="I67" s="0" t="s">
        <v>242</v>
      </c>
      <c r="J67" s="0" t="s">
        <v>233</v>
      </c>
      <c r="K67" s="0" t="s">
        <v>66</v>
      </c>
    </row>
    <row r="68" customFormat="false" ht="15" hidden="false" customHeight="false" outlineLevel="0" collapsed="false">
      <c r="A68" s="0" t="s">
        <v>243</v>
      </c>
      <c r="B68" s="0" t="s">
        <v>244</v>
      </c>
      <c r="C68" s="0" t="n">
        <v>4</v>
      </c>
      <c r="D68" s="0" t="n">
        <v>15.375</v>
      </c>
      <c r="E68" s="0" t="n">
        <v>1</v>
      </c>
      <c r="F68" s="0" t="s">
        <v>85</v>
      </c>
      <c r="G68" s="0" t="n">
        <v>16</v>
      </c>
      <c r="H68" s="0" t="n">
        <v>61.52</v>
      </c>
      <c r="I68" s="0" t="s">
        <v>245</v>
      </c>
      <c r="J68" s="0" t="s">
        <v>246</v>
      </c>
      <c r="K68" s="0" t="s">
        <v>66</v>
      </c>
    </row>
    <row r="69" customFormat="false" ht="15" hidden="false" customHeight="false" outlineLevel="0" collapsed="false">
      <c r="A69" s="0" t="s">
        <v>247</v>
      </c>
      <c r="B69" s="0" t="s">
        <v>248</v>
      </c>
      <c r="C69" s="0" t="n">
        <v>2.533</v>
      </c>
      <c r="D69" s="0" t="n">
        <v>15.375</v>
      </c>
      <c r="E69" s="0" t="n">
        <v>1</v>
      </c>
      <c r="F69" s="0" t="s">
        <v>85</v>
      </c>
      <c r="G69" s="0" t="n">
        <v>16</v>
      </c>
      <c r="H69" s="0" t="n">
        <v>38.95</v>
      </c>
      <c r="I69" s="0" t="s">
        <v>249</v>
      </c>
      <c r="J69" s="0" t="s">
        <v>246</v>
      </c>
      <c r="K69" s="0" t="s">
        <v>66</v>
      </c>
    </row>
    <row r="70" customFormat="false" ht="15" hidden="false" customHeight="false" outlineLevel="0" collapsed="false">
      <c r="A70" s="0" t="s">
        <v>250</v>
      </c>
      <c r="B70" s="0" t="s">
        <v>251</v>
      </c>
      <c r="C70" s="0" t="n">
        <v>4.051</v>
      </c>
      <c r="D70" s="0" t="n">
        <v>15.375</v>
      </c>
      <c r="E70" s="0" t="n">
        <v>1</v>
      </c>
      <c r="F70" s="0" t="s">
        <v>85</v>
      </c>
      <c r="G70" s="0" t="n">
        <v>16</v>
      </c>
      <c r="H70" s="0" t="n">
        <v>62.29</v>
      </c>
      <c r="I70" s="0" t="s">
        <v>252</v>
      </c>
      <c r="J70" s="0" t="s">
        <v>253</v>
      </c>
      <c r="K70" s="0" t="s">
        <v>66</v>
      </c>
    </row>
    <row r="71" customFormat="false" ht="15" hidden="false" customHeight="false" outlineLevel="0" collapsed="false">
      <c r="A71" s="0" t="s">
        <v>254</v>
      </c>
      <c r="B71" s="0" t="s">
        <v>255</v>
      </c>
      <c r="C71" s="0" t="n">
        <v>3.132</v>
      </c>
      <c r="D71" s="0" t="n">
        <v>15.375</v>
      </c>
      <c r="E71" s="0" t="n">
        <v>1</v>
      </c>
      <c r="F71" s="0" t="s">
        <v>85</v>
      </c>
      <c r="G71" s="0" t="n">
        <v>16</v>
      </c>
      <c r="H71" s="0" t="n">
        <v>48.15</v>
      </c>
      <c r="I71" s="0" t="s">
        <v>256</v>
      </c>
      <c r="J71" s="0" t="s">
        <v>257</v>
      </c>
      <c r="K71" s="0" t="s">
        <v>66</v>
      </c>
    </row>
    <row r="72" customFormat="false" ht="15" hidden="false" customHeight="false" outlineLevel="0" collapsed="false">
      <c r="A72" s="5" t="s">
        <v>258</v>
      </c>
    </row>
    <row r="73" customFormat="false" ht="15" hidden="false" customHeight="false" outlineLevel="0" collapsed="false">
      <c r="A73" s="0" t="s">
        <v>259</v>
      </c>
      <c r="B73" s="0" t="s">
        <v>260</v>
      </c>
      <c r="C73" s="0" t="n">
        <v>9.987</v>
      </c>
      <c r="D73" s="0" t="n">
        <v>12.829</v>
      </c>
      <c r="E73" s="0" t="n">
        <v>2</v>
      </c>
      <c r="F73" s="0" t="s">
        <v>85</v>
      </c>
      <c r="G73" s="0" t="n">
        <v>16</v>
      </c>
      <c r="H73" s="0" t="n">
        <v>256.24</v>
      </c>
      <c r="I73" s="0" t="s">
        <v>261</v>
      </c>
      <c r="J73" s="0" t="s">
        <v>133</v>
      </c>
      <c r="K73" s="0" t="s">
        <v>66</v>
      </c>
    </row>
    <row r="74" customFormat="false" ht="15" hidden="false" customHeight="false" outlineLevel="0" collapsed="false">
      <c r="A74" s="0" t="s">
        <v>262</v>
      </c>
      <c r="B74" s="0" t="s">
        <v>263</v>
      </c>
      <c r="C74" s="0" t="n">
        <v>13.74</v>
      </c>
      <c r="D74" s="0" t="n">
        <v>12.829</v>
      </c>
      <c r="E74" s="0" t="n">
        <v>2</v>
      </c>
      <c r="F74" s="0" t="s">
        <v>85</v>
      </c>
      <c r="G74" s="0" t="n">
        <v>16</v>
      </c>
      <c r="H74" s="0" t="n">
        <v>257</v>
      </c>
      <c r="I74" s="0" t="s">
        <v>264</v>
      </c>
      <c r="J74" s="0" t="s">
        <v>133</v>
      </c>
      <c r="K74" s="0" t="s">
        <v>66</v>
      </c>
    </row>
    <row r="75" customFormat="false" ht="15" hidden="false" customHeight="false" outlineLevel="0" collapsed="false">
      <c r="A75" s="0" t="s">
        <v>265</v>
      </c>
      <c r="B75" s="0" t="s">
        <v>266</v>
      </c>
      <c r="C75" s="0" t="n">
        <v>9.583</v>
      </c>
      <c r="D75" s="0" t="n">
        <v>12.701</v>
      </c>
      <c r="E75" s="0" t="n">
        <v>2</v>
      </c>
      <c r="F75" s="0" t="s">
        <v>85</v>
      </c>
      <c r="G75" s="0" t="n">
        <v>16</v>
      </c>
      <c r="H75" s="0" t="n">
        <v>243.42</v>
      </c>
      <c r="I75" s="0" t="s">
        <v>267</v>
      </c>
      <c r="J75" s="0" t="s">
        <v>133</v>
      </c>
      <c r="K75" s="0" t="s">
        <v>134</v>
      </c>
    </row>
    <row r="76" customFormat="false" ht="15" hidden="false" customHeight="false" outlineLevel="0" collapsed="false">
      <c r="A76" s="0" t="s">
        <v>268</v>
      </c>
      <c r="B76" s="0" t="s">
        <v>269</v>
      </c>
      <c r="C76" s="0" t="n">
        <v>11.729</v>
      </c>
      <c r="D76" s="0" t="n">
        <v>12.75</v>
      </c>
      <c r="E76" s="0" t="n">
        <v>2</v>
      </c>
      <c r="F76" s="0" t="s">
        <v>85</v>
      </c>
      <c r="G76" s="0" t="n">
        <v>16</v>
      </c>
      <c r="H76" s="0" t="n">
        <v>251.35</v>
      </c>
      <c r="I76" s="0" t="s">
        <v>270</v>
      </c>
      <c r="J76" s="0" t="s">
        <v>133</v>
      </c>
      <c r="K76" s="0" t="s">
        <v>134</v>
      </c>
    </row>
    <row r="77" customFormat="false" ht="15" hidden="false" customHeight="false" outlineLevel="0" collapsed="false">
      <c r="A77" s="0" t="s">
        <v>271</v>
      </c>
      <c r="B77" s="0" t="s">
        <v>272</v>
      </c>
      <c r="C77" s="0" t="n">
        <v>3.5</v>
      </c>
      <c r="D77" s="0" t="n">
        <v>12.741</v>
      </c>
      <c r="E77" s="0" t="n">
        <v>2</v>
      </c>
      <c r="F77" s="0" t="s">
        <v>85</v>
      </c>
      <c r="G77" s="0" t="n">
        <v>16</v>
      </c>
      <c r="H77" s="0" t="n">
        <v>89.18</v>
      </c>
      <c r="I77" s="0" t="s">
        <v>273</v>
      </c>
      <c r="J77" s="0" t="s">
        <v>133</v>
      </c>
      <c r="K77" s="0" t="s">
        <v>134</v>
      </c>
    </row>
    <row r="78" customFormat="false" ht="15" hidden="false" customHeight="false" outlineLevel="0" collapsed="false">
      <c r="A78" s="0" t="s">
        <v>274</v>
      </c>
      <c r="B78" s="0" t="s">
        <v>275</v>
      </c>
      <c r="C78" s="0" t="n">
        <v>11.729</v>
      </c>
      <c r="D78" s="0" t="n">
        <v>12.669</v>
      </c>
      <c r="E78" s="0" t="n">
        <v>2</v>
      </c>
      <c r="F78" s="0" t="s">
        <v>85</v>
      </c>
      <c r="G78" s="0" t="n">
        <v>16</v>
      </c>
      <c r="H78" s="0" t="n">
        <v>297.25</v>
      </c>
      <c r="I78" s="0" t="s">
        <v>276</v>
      </c>
      <c r="J78" s="0" t="s">
        <v>133</v>
      </c>
      <c r="K78" s="0" t="s">
        <v>134</v>
      </c>
    </row>
    <row r="79" customFormat="false" ht="15" hidden="false" customHeight="false" outlineLevel="0" collapsed="false">
      <c r="A79" s="5" t="s">
        <v>277</v>
      </c>
    </row>
    <row r="80" customFormat="false" ht="15" hidden="false" customHeight="false" outlineLevel="0" collapsed="false">
      <c r="A80" s="0" t="s">
        <v>278</v>
      </c>
      <c r="B80" s="0" t="s">
        <v>279</v>
      </c>
      <c r="C80" s="0" t="n">
        <v>1.767</v>
      </c>
      <c r="D80" s="0" t="n">
        <v>12.925</v>
      </c>
      <c r="E80" s="0" t="n">
        <v>2</v>
      </c>
      <c r="F80" s="0" t="s">
        <v>85</v>
      </c>
      <c r="G80" s="0" t="n">
        <v>24</v>
      </c>
      <c r="H80" s="0" t="n">
        <v>45.66</v>
      </c>
      <c r="I80" s="0" t="s">
        <v>280</v>
      </c>
      <c r="J80" s="0" t="s">
        <v>281</v>
      </c>
      <c r="K80" s="0" t="s">
        <v>66</v>
      </c>
    </row>
    <row r="81" customFormat="false" ht="15" hidden="false" customHeight="false" outlineLevel="0" collapsed="false">
      <c r="A81" s="0" t="s">
        <v>282</v>
      </c>
      <c r="B81" s="0" t="s">
        <v>283</v>
      </c>
      <c r="C81" s="0" t="n">
        <v>3.417</v>
      </c>
      <c r="D81" s="0" t="n">
        <v>12.937</v>
      </c>
      <c r="E81" s="0" t="n">
        <v>2</v>
      </c>
      <c r="F81" s="0" t="s">
        <v>85</v>
      </c>
      <c r="G81" s="0" t="n">
        <v>24</v>
      </c>
      <c r="H81" s="0" t="n">
        <v>88.4</v>
      </c>
      <c r="I81" s="0" t="s">
        <v>284</v>
      </c>
      <c r="J81" s="0" t="s">
        <v>281</v>
      </c>
      <c r="K81" s="0" t="s">
        <v>134</v>
      </c>
    </row>
    <row r="82" customFormat="false" ht="15" hidden="false" customHeight="false" outlineLevel="0" collapsed="false">
      <c r="A82" s="0" t="s">
        <v>285</v>
      </c>
      <c r="B82" s="0" t="s">
        <v>286</v>
      </c>
      <c r="C82" s="0" t="n">
        <v>3.417</v>
      </c>
      <c r="D82" s="0" t="n">
        <v>15.375</v>
      </c>
      <c r="E82" s="0" t="n">
        <v>2</v>
      </c>
      <c r="F82" s="0" t="s">
        <v>85</v>
      </c>
      <c r="G82" s="0" t="n">
        <v>24</v>
      </c>
      <c r="H82" s="0" t="n">
        <v>105.06</v>
      </c>
      <c r="I82" s="0" t="s">
        <v>287</v>
      </c>
      <c r="J82" s="0" t="s">
        <v>281</v>
      </c>
      <c r="K82" s="0" t="s">
        <v>134</v>
      </c>
    </row>
    <row r="83" customFormat="false" ht="15" hidden="false" customHeight="false" outlineLevel="0" collapsed="false">
      <c r="A83" s="5" t="s">
        <v>288</v>
      </c>
    </row>
    <row r="84" customFormat="false" ht="15" hidden="false" customHeight="false" outlineLevel="0" collapsed="false">
      <c r="A84" s="0" t="s">
        <v>289</v>
      </c>
      <c r="B84" s="0" t="s">
        <v>290</v>
      </c>
      <c r="C84" s="0" t="n">
        <v>1.773</v>
      </c>
      <c r="D84" s="0" t="n">
        <v>15.375</v>
      </c>
      <c r="E84" s="0" t="n">
        <v>2</v>
      </c>
      <c r="F84" s="0" t="s">
        <v>63</v>
      </c>
      <c r="G84" s="0" t="n">
        <v>24</v>
      </c>
      <c r="H84" s="0" t="n">
        <v>54.52</v>
      </c>
      <c r="I84" s="0" t="s">
        <v>291</v>
      </c>
      <c r="J84" s="0" t="s">
        <v>281</v>
      </c>
      <c r="K84" s="0" t="s">
        <v>66</v>
      </c>
    </row>
    <row r="85" customFormat="false" ht="15" hidden="false" customHeight="false" outlineLevel="0" collapsed="false">
      <c r="A85" s="5" t="s">
        <v>292</v>
      </c>
    </row>
    <row r="86" customFormat="false" ht="15" hidden="false" customHeight="false" outlineLevel="0" collapsed="false">
      <c r="A86" s="0" t="s">
        <v>293</v>
      </c>
      <c r="B86" s="0" t="s">
        <v>294</v>
      </c>
      <c r="C86" s="0" t="n">
        <v>30</v>
      </c>
      <c r="D86" s="0" t="n">
        <v>6.262</v>
      </c>
      <c r="E86" s="0" t="n">
        <v>5</v>
      </c>
      <c r="F86" s="0" t="s">
        <v>147</v>
      </c>
      <c r="G86" s="0" t="n">
        <v>16</v>
      </c>
      <c r="H86" s="0" t="n">
        <v>766.88</v>
      </c>
      <c r="I86" s="0" t="s">
        <v>295</v>
      </c>
      <c r="J86" s="0" t="s">
        <v>296</v>
      </c>
      <c r="K86" s="0" t="s">
        <v>66</v>
      </c>
    </row>
    <row r="87" customFormat="false" ht="15" hidden="false" customHeight="false" outlineLevel="0" collapsed="false">
      <c r="A87" s="0" t="s">
        <v>297</v>
      </c>
      <c r="B87" s="0" t="s">
        <v>298</v>
      </c>
      <c r="C87" s="0" t="n">
        <v>15</v>
      </c>
      <c r="D87" s="0" t="n">
        <v>7.375</v>
      </c>
      <c r="E87" s="0" t="n">
        <v>5</v>
      </c>
      <c r="F87" s="0" t="s">
        <v>147</v>
      </c>
      <c r="G87" s="0" t="n">
        <v>16</v>
      </c>
      <c r="H87" s="0" t="n">
        <v>453.08</v>
      </c>
      <c r="I87" s="0" t="s">
        <v>299</v>
      </c>
      <c r="J87" s="0" t="s">
        <v>296</v>
      </c>
      <c r="K87" s="0" t="s">
        <v>66</v>
      </c>
    </row>
    <row r="88" customFormat="false" ht="15" hidden="false" customHeight="false" outlineLevel="0" collapsed="false">
      <c r="B88" s="6" t="s">
        <v>300</v>
      </c>
      <c r="C88" s="4" t="n">
        <f aca="false">SUM(C5:C87)</f>
        <v>955.6</v>
      </c>
      <c r="H88" s="4" t="n">
        <f aca="false">SUM(H5:H87)</f>
        <v>15809.5</v>
      </c>
    </row>
    <row r="90" customFormat="false" ht="15" hidden="false" customHeight="false" outlineLevel="0" collapsed="false">
      <c r="A90" s="5" t="s">
        <v>301</v>
      </c>
    </row>
    <row r="91" customFormat="false" ht="15" hidden="false" customHeight="false" outlineLevel="0" collapsed="false">
      <c r="A91" s="0" t="s">
        <v>302</v>
      </c>
      <c r="B91" s="0" t="s">
        <v>303</v>
      </c>
      <c r="C91" s="0" t="n">
        <v>78.161</v>
      </c>
      <c r="D91" s="0" t="n">
        <v>1.865</v>
      </c>
      <c r="E91" s="0" t="n">
        <v>0</v>
      </c>
      <c r="F91" s="0" t="s">
        <v>85</v>
      </c>
      <c r="G91" s="0" t="n">
        <v>16</v>
      </c>
      <c r="H91" s="0" t="n">
        <v>0</v>
      </c>
      <c r="I91" s="0" t="s">
        <v>304</v>
      </c>
      <c r="J91" s="0" t="s">
        <v>305</v>
      </c>
      <c r="K91" s="0" t="s">
        <v>66</v>
      </c>
    </row>
    <row r="92" customFormat="false" ht="15" hidden="false" customHeight="false" outlineLevel="0" collapsed="false">
      <c r="A92" s="0" t="s">
        <v>306</v>
      </c>
      <c r="B92" s="0" t="s">
        <v>307</v>
      </c>
      <c r="C92" s="0" t="n">
        <v>55.994</v>
      </c>
      <c r="D92" s="0" t="n">
        <v>1.865</v>
      </c>
      <c r="E92" s="0" t="n">
        <v>0</v>
      </c>
      <c r="F92" s="0" t="s">
        <v>85</v>
      </c>
      <c r="G92" s="0" t="n">
        <v>16</v>
      </c>
      <c r="H92" s="0" t="n">
        <v>0</v>
      </c>
      <c r="I92" s="0" t="s">
        <v>308</v>
      </c>
      <c r="J92" s="0" t="s">
        <v>309</v>
      </c>
      <c r="K92" s="0" t="s">
        <v>66</v>
      </c>
    </row>
    <row r="93" customFormat="false" ht="15" hidden="false" customHeight="false" outlineLevel="0" collapsed="false">
      <c r="A93" s="0" t="s">
        <v>310</v>
      </c>
      <c r="B93" s="0" t="s">
        <v>311</v>
      </c>
      <c r="C93" s="0" t="n">
        <v>20.983</v>
      </c>
      <c r="D93" s="0" t="n">
        <v>1.865</v>
      </c>
      <c r="E93" s="0" t="n">
        <v>0</v>
      </c>
      <c r="F93" s="0" t="s">
        <v>85</v>
      </c>
      <c r="G93" s="0" t="n">
        <v>16</v>
      </c>
      <c r="H93" s="0" t="n">
        <v>0</v>
      </c>
      <c r="I93" s="0" t="s">
        <v>312</v>
      </c>
      <c r="J93" s="0" t="s">
        <v>309</v>
      </c>
      <c r="K93" s="0" t="s">
        <v>66</v>
      </c>
    </row>
    <row r="94" customFormat="false" ht="15" hidden="false" customHeight="false" outlineLevel="0" collapsed="false">
      <c r="A94" s="0" t="s">
        <v>313</v>
      </c>
      <c r="B94" s="0" t="s">
        <v>314</v>
      </c>
      <c r="C94" s="0" t="n">
        <v>52.056</v>
      </c>
      <c r="D94" s="0" t="n">
        <v>1.865</v>
      </c>
      <c r="E94" s="0" t="n">
        <v>0</v>
      </c>
      <c r="F94" s="0" t="s">
        <v>85</v>
      </c>
      <c r="G94" s="0" t="n">
        <v>16</v>
      </c>
      <c r="H94" s="0" t="n">
        <v>0</v>
      </c>
      <c r="I94" s="0" t="s">
        <v>315</v>
      </c>
      <c r="J94" s="0" t="s">
        <v>316</v>
      </c>
      <c r="K94" s="0" t="s">
        <v>66</v>
      </c>
    </row>
    <row r="95" customFormat="false" ht="15" hidden="false" customHeight="false" outlineLevel="0" collapsed="false">
      <c r="A95" s="0" t="s">
        <v>317</v>
      </c>
      <c r="B95" s="0" t="s">
        <v>318</v>
      </c>
      <c r="C95" s="0" t="n">
        <v>2.467</v>
      </c>
      <c r="D95" s="0" t="n">
        <v>1.865</v>
      </c>
      <c r="E95" s="0" t="n">
        <v>0</v>
      </c>
      <c r="F95" s="0" t="s">
        <v>85</v>
      </c>
      <c r="G95" s="0" t="n">
        <v>16</v>
      </c>
      <c r="H95" s="0" t="n">
        <v>0</v>
      </c>
      <c r="I95" s="0" t="s">
        <v>319</v>
      </c>
      <c r="J95" s="0" t="s">
        <v>316</v>
      </c>
      <c r="K95" s="0" t="s">
        <v>66</v>
      </c>
    </row>
    <row r="96" customFormat="false" ht="15" hidden="false" customHeight="false" outlineLevel="0" collapsed="false">
      <c r="A96" s="0" t="s">
        <v>320</v>
      </c>
      <c r="B96" s="0" t="s">
        <v>321</v>
      </c>
      <c r="C96" s="0" t="n">
        <v>23</v>
      </c>
      <c r="D96" s="0" t="n">
        <v>1.865</v>
      </c>
      <c r="E96" s="0" t="n">
        <v>0</v>
      </c>
      <c r="F96" s="0" t="s">
        <v>85</v>
      </c>
      <c r="G96" s="0" t="n">
        <v>16</v>
      </c>
      <c r="H96" s="0" t="n">
        <v>0</v>
      </c>
      <c r="I96" s="0" t="s">
        <v>322</v>
      </c>
      <c r="J96" s="0" t="s">
        <v>316</v>
      </c>
      <c r="K96" s="0" t="s">
        <v>66</v>
      </c>
    </row>
    <row r="97" customFormat="false" ht="15" hidden="false" customHeight="false" outlineLevel="0" collapsed="false">
      <c r="A97" s="0" t="s">
        <v>323</v>
      </c>
      <c r="B97" s="0" t="s">
        <v>324</v>
      </c>
      <c r="C97" s="0" t="n">
        <v>2.467</v>
      </c>
      <c r="D97" s="0" t="n">
        <v>1.865</v>
      </c>
      <c r="E97" s="0" t="n">
        <v>0</v>
      </c>
      <c r="F97" s="0" t="s">
        <v>85</v>
      </c>
      <c r="G97" s="0" t="n">
        <v>16</v>
      </c>
      <c r="H97" s="0" t="n">
        <v>0</v>
      </c>
      <c r="I97" s="0" t="s">
        <v>325</v>
      </c>
      <c r="J97" s="0" t="s">
        <v>316</v>
      </c>
      <c r="K97" s="0" t="s">
        <v>66</v>
      </c>
    </row>
    <row r="98" customFormat="false" ht="15" hidden="false" customHeight="false" outlineLevel="0" collapsed="false">
      <c r="A98" s="0" t="s">
        <v>326</v>
      </c>
      <c r="B98" s="0" t="s">
        <v>327</v>
      </c>
      <c r="C98" s="0" t="n">
        <v>2.467</v>
      </c>
      <c r="D98" s="0" t="n">
        <v>1.865</v>
      </c>
      <c r="E98" s="0" t="n">
        <v>0</v>
      </c>
      <c r="F98" s="0" t="s">
        <v>85</v>
      </c>
      <c r="G98" s="0" t="n">
        <v>16</v>
      </c>
      <c r="H98" s="0" t="n">
        <v>0</v>
      </c>
      <c r="I98" s="0" t="s">
        <v>328</v>
      </c>
      <c r="J98" s="0" t="s">
        <v>316</v>
      </c>
      <c r="K98" s="0" t="s">
        <v>66</v>
      </c>
    </row>
    <row r="99" customFormat="false" ht="15" hidden="false" customHeight="false" outlineLevel="0" collapsed="false">
      <c r="A99" s="0" t="s">
        <v>329</v>
      </c>
      <c r="B99" s="0" t="s">
        <v>330</v>
      </c>
      <c r="C99" s="0" t="n">
        <v>12.562</v>
      </c>
      <c r="D99" s="0" t="n">
        <v>4.983</v>
      </c>
      <c r="E99" s="0" t="n">
        <v>1</v>
      </c>
      <c r="F99" s="0" t="s">
        <v>63</v>
      </c>
      <c r="G99" s="0" t="n">
        <v>16</v>
      </c>
      <c r="H99" s="0" t="n">
        <v>86.37</v>
      </c>
      <c r="I99" s="0" t="s">
        <v>331</v>
      </c>
      <c r="J99" s="0" t="s">
        <v>65</v>
      </c>
      <c r="K99" s="0" t="s">
        <v>66</v>
      </c>
    </row>
    <row r="100" customFormat="false" ht="15" hidden="false" customHeight="false" outlineLevel="0" collapsed="false">
      <c r="A100" s="0" t="s">
        <v>332</v>
      </c>
      <c r="B100" s="0" t="s">
        <v>333</v>
      </c>
      <c r="C100" s="0" t="n">
        <v>26.25</v>
      </c>
      <c r="D100" s="0" t="n">
        <v>4.525</v>
      </c>
      <c r="E100" s="0" t="n">
        <v>1</v>
      </c>
      <c r="F100" s="0" t="s">
        <v>63</v>
      </c>
      <c r="G100" s="0" t="n">
        <v>16</v>
      </c>
      <c r="H100" s="0" t="n">
        <v>180.47</v>
      </c>
      <c r="I100" s="0" t="s">
        <v>334</v>
      </c>
      <c r="J100" s="0" t="s">
        <v>65</v>
      </c>
      <c r="K100" s="0" t="s">
        <v>66</v>
      </c>
    </row>
    <row r="101" customFormat="false" ht="15" hidden="false" customHeight="false" outlineLevel="0" collapsed="false">
      <c r="A101" s="0" t="s">
        <v>335</v>
      </c>
      <c r="B101" s="0" t="s">
        <v>336</v>
      </c>
      <c r="C101" s="0" t="n">
        <v>6.5</v>
      </c>
      <c r="D101" s="0" t="n">
        <v>4.983</v>
      </c>
      <c r="E101" s="0" t="n">
        <v>1</v>
      </c>
      <c r="F101" s="0" t="s">
        <v>63</v>
      </c>
      <c r="G101" s="0" t="n">
        <v>16</v>
      </c>
      <c r="H101" s="0" t="n">
        <v>44.69</v>
      </c>
      <c r="I101" s="0" t="s">
        <v>337</v>
      </c>
      <c r="J101" s="0" t="s">
        <v>65</v>
      </c>
      <c r="K101" s="0" t="s">
        <v>66</v>
      </c>
    </row>
    <row r="102" customFormat="false" ht="15" hidden="false" customHeight="false" outlineLevel="0" collapsed="false">
      <c r="A102" s="0" t="s">
        <v>338</v>
      </c>
      <c r="B102" s="0" t="s">
        <v>339</v>
      </c>
      <c r="C102" s="0" t="n">
        <v>3.375</v>
      </c>
      <c r="D102" s="0" t="n">
        <v>14.358</v>
      </c>
      <c r="E102" s="0" t="n">
        <v>0</v>
      </c>
      <c r="F102" s="0" t="s">
        <v>63</v>
      </c>
      <c r="G102" s="0" t="n">
        <v>16</v>
      </c>
      <c r="H102" s="0" t="n">
        <v>0</v>
      </c>
      <c r="I102" s="0" t="s">
        <v>340</v>
      </c>
      <c r="J102" s="0" t="s">
        <v>257</v>
      </c>
      <c r="K102" s="0" t="s">
        <v>66</v>
      </c>
    </row>
    <row r="103" customFormat="false" ht="15" hidden="false" customHeight="false" outlineLevel="0" collapsed="false">
      <c r="A103" s="0" t="s">
        <v>341</v>
      </c>
      <c r="B103" s="0" t="s">
        <v>342</v>
      </c>
      <c r="C103" s="0" t="n">
        <v>2.896</v>
      </c>
      <c r="D103" s="0" t="n">
        <v>14.358</v>
      </c>
      <c r="E103" s="0" t="n">
        <v>0</v>
      </c>
      <c r="F103" s="0" t="s">
        <v>63</v>
      </c>
      <c r="G103" s="0" t="n">
        <v>16</v>
      </c>
      <c r="H103" s="0" t="n">
        <v>0</v>
      </c>
      <c r="I103" s="0" t="s">
        <v>343</v>
      </c>
      <c r="J103" s="0" t="s">
        <v>253</v>
      </c>
      <c r="K103" s="0" t="s">
        <v>66</v>
      </c>
    </row>
    <row r="104" customFormat="false" ht="15" hidden="false" customHeight="false" outlineLevel="0" collapsed="false">
      <c r="A104" s="0" t="s">
        <v>344</v>
      </c>
      <c r="B104" s="0" t="s">
        <v>345</v>
      </c>
      <c r="C104" s="0" t="n">
        <v>52.333</v>
      </c>
      <c r="D104" s="0" t="n">
        <v>3.226</v>
      </c>
      <c r="E104" s="0" t="n">
        <v>0</v>
      </c>
      <c r="F104" s="0" t="s">
        <v>85</v>
      </c>
      <c r="G104" s="0" t="n">
        <v>16</v>
      </c>
      <c r="H104" s="0" t="n">
        <v>0</v>
      </c>
      <c r="I104" s="0" t="s">
        <v>346</v>
      </c>
      <c r="J104" s="0" t="s">
        <v>347</v>
      </c>
      <c r="K104" s="0" t="s">
        <v>66</v>
      </c>
    </row>
    <row r="105" customFormat="false" ht="15" hidden="false" customHeight="false" outlineLevel="0" collapsed="false">
      <c r="A105" s="0" t="s">
        <v>348</v>
      </c>
      <c r="B105" s="0" t="s">
        <v>349</v>
      </c>
      <c r="C105" s="0" t="n">
        <v>52.333</v>
      </c>
      <c r="D105" s="0" t="n">
        <v>3.584</v>
      </c>
      <c r="E105" s="0" t="n">
        <v>2</v>
      </c>
      <c r="F105" s="0" t="s">
        <v>85</v>
      </c>
      <c r="G105" s="0" t="n">
        <v>16</v>
      </c>
      <c r="H105" s="0" t="n">
        <v>255.15</v>
      </c>
      <c r="I105" s="0" t="s">
        <v>350</v>
      </c>
      <c r="J105" s="0" t="s">
        <v>351</v>
      </c>
      <c r="K105" s="0" t="s">
        <v>66</v>
      </c>
    </row>
    <row r="106" customFormat="false" ht="15" hidden="false" customHeight="false" outlineLevel="0" collapsed="false">
      <c r="A106" s="0" t="s">
        <v>352</v>
      </c>
      <c r="B106" s="0" t="s">
        <v>353</v>
      </c>
      <c r="C106" s="0" t="n">
        <v>52.333</v>
      </c>
      <c r="D106" s="0" t="n">
        <v>1.141</v>
      </c>
      <c r="E106" s="0" t="n">
        <v>1</v>
      </c>
      <c r="F106" s="0" t="s">
        <v>85</v>
      </c>
      <c r="G106" s="0" t="n">
        <v>16</v>
      </c>
      <c r="H106" s="0" t="n">
        <v>59.72</v>
      </c>
      <c r="I106" s="0" t="s">
        <v>354</v>
      </c>
      <c r="J106" s="0" t="s">
        <v>351</v>
      </c>
      <c r="K106" s="0" t="s">
        <v>66</v>
      </c>
    </row>
    <row r="107" customFormat="false" ht="15" hidden="false" customHeight="false" outlineLevel="0" collapsed="false">
      <c r="A107" s="0" t="s">
        <v>355</v>
      </c>
      <c r="B107" s="0" t="s">
        <v>356</v>
      </c>
      <c r="C107" s="0" t="n">
        <v>15.646</v>
      </c>
      <c r="D107" s="0" t="n">
        <v>5.375</v>
      </c>
      <c r="E107" s="0" t="n">
        <v>0</v>
      </c>
      <c r="F107" s="0" t="s">
        <v>85</v>
      </c>
      <c r="G107" s="0" t="n">
        <v>16</v>
      </c>
      <c r="H107" s="0" t="n">
        <v>0</v>
      </c>
      <c r="I107" s="0" t="s">
        <v>356</v>
      </c>
      <c r="J107" s="0" t="s">
        <v>357</v>
      </c>
      <c r="K107" s="0" t="s">
        <v>66</v>
      </c>
    </row>
    <row r="108" customFormat="false" ht="15" hidden="false" customHeight="false" outlineLevel="0" collapsed="false">
      <c r="A108" s="0" t="s">
        <v>358</v>
      </c>
      <c r="B108" s="0" t="s">
        <v>359</v>
      </c>
      <c r="C108" s="0" t="n">
        <v>6.417</v>
      </c>
      <c r="D108" s="0" t="n">
        <v>4.383</v>
      </c>
      <c r="E108" s="0" t="n">
        <v>1</v>
      </c>
      <c r="F108" s="0" t="s">
        <v>85</v>
      </c>
      <c r="G108" s="0" t="n">
        <v>16</v>
      </c>
      <c r="H108" s="0" t="n">
        <v>28.13</v>
      </c>
      <c r="I108" s="0" t="s">
        <v>360</v>
      </c>
      <c r="J108" s="0" t="s">
        <v>361</v>
      </c>
      <c r="K108" s="0" t="s">
        <v>66</v>
      </c>
    </row>
    <row r="109" customFormat="false" ht="15" hidden="false" customHeight="false" outlineLevel="0" collapsed="false">
      <c r="A109" s="0" t="s">
        <v>362</v>
      </c>
      <c r="B109" s="0" t="s">
        <v>363</v>
      </c>
      <c r="C109" s="0" t="n">
        <v>13.333</v>
      </c>
      <c r="D109" s="0" t="n">
        <v>3.875</v>
      </c>
      <c r="E109" s="0" t="n">
        <v>2</v>
      </c>
      <c r="F109" s="0" t="s">
        <v>364</v>
      </c>
      <c r="G109" s="0" t="n">
        <v>16</v>
      </c>
      <c r="H109" s="0" t="n">
        <v>24.44</v>
      </c>
      <c r="I109" s="0" t="s">
        <v>365</v>
      </c>
      <c r="J109" s="0" t="s">
        <v>366</v>
      </c>
      <c r="K109" s="0" t="s">
        <v>66</v>
      </c>
    </row>
    <row r="110" customFormat="false" ht="15" hidden="false" customHeight="false" outlineLevel="0" collapsed="false">
      <c r="A110" s="0" t="s">
        <v>367</v>
      </c>
      <c r="B110" s="0" t="s">
        <v>368</v>
      </c>
      <c r="C110" s="0" t="n">
        <v>17.028</v>
      </c>
      <c r="D110" s="0" t="n">
        <v>4.375</v>
      </c>
      <c r="E110" s="0" t="n">
        <v>3</v>
      </c>
      <c r="F110" s="0" t="s">
        <v>85</v>
      </c>
      <c r="G110" s="0" t="n">
        <v>16</v>
      </c>
      <c r="H110" s="0" t="n">
        <v>32.64</v>
      </c>
      <c r="I110" s="0" t="s">
        <v>369</v>
      </c>
      <c r="J110" s="0" t="s">
        <v>370</v>
      </c>
      <c r="K110" s="0" t="s">
        <v>66</v>
      </c>
    </row>
    <row r="111" customFormat="false" ht="15" hidden="false" customHeight="false" outlineLevel="0" collapsed="false">
      <c r="A111" s="0" t="s">
        <v>371</v>
      </c>
      <c r="B111" s="0" t="s">
        <v>372</v>
      </c>
      <c r="C111" s="0" t="n">
        <v>30</v>
      </c>
      <c r="D111" s="0" t="n">
        <v>4.375</v>
      </c>
      <c r="E111" s="0" t="n">
        <v>3</v>
      </c>
      <c r="F111" s="0" t="s">
        <v>85</v>
      </c>
      <c r="G111" s="0" t="n">
        <v>16</v>
      </c>
      <c r="H111" s="0" t="n">
        <v>57.5</v>
      </c>
      <c r="I111" s="0" t="s">
        <v>373</v>
      </c>
      <c r="J111" s="0" t="s">
        <v>370</v>
      </c>
      <c r="K111" s="0" t="s">
        <v>66</v>
      </c>
    </row>
    <row r="112" customFormat="false" ht="15" hidden="false" customHeight="false" outlineLevel="0" collapsed="false">
      <c r="A112" s="0" t="s">
        <v>374</v>
      </c>
      <c r="B112" s="0" t="s">
        <v>375</v>
      </c>
      <c r="C112" s="0" t="n">
        <v>30</v>
      </c>
      <c r="D112" s="0" t="n">
        <v>4.375</v>
      </c>
      <c r="E112" s="0" t="n">
        <v>3</v>
      </c>
      <c r="F112" s="0" t="s">
        <v>85</v>
      </c>
      <c r="G112" s="0" t="n">
        <v>16</v>
      </c>
      <c r="H112" s="0" t="n">
        <v>57.5</v>
      </c>
      <c r="I112" s="0" t="s">
        <v>376</v>
      </c>
      <c r="J112" s="0" t="s">
        <v>370</v>
      </c>
      <c r="K112" s="0" t="s">
        <v>66</v>
      </c>
    </row>
    <row r="113" customFormat="false" ht="15" hidden="false" customHeight="false" outlineLevel="0" collapsed="false">
      <c r="A113" s="0" t="s">
        <v>377</v>
      </c>
      <c r="B113" s="0" t="s">
        <v>378</v>
      </c>
      <c r="C113" s="0" t="n">
        <v>6.439</v>
      </c>
      <c r="D113" s="0" t="n">
        <v>7.375</v>
      </c>
      <c r="E113" s="0" t="n">
        <v>3</v>
      </c>
      <c r="F113" s="0" t="s">
        <v>85</v>
      </c>
      <c r="G113" s="0" t="n">
        <v>16</v>
      </c>
      <c r="H113" s="0" t="n">
        <v>15.56</v>
      </c>
      <c r="I113" s="0" t="s">
        <v>379</v>
      </c>
      <c r="J113" s="0" t="s">
        <v>370</v>
      </c>
      <c r="K113" s="0" t="s">
        <v>66</v>
      </c>
    </row>
    <row r="114" customFormat="false" ht="15" hidden="false" customHeight="false" outlineLevel="0" collapsed="false">
      <c r="A114" s="0" t="s">
        <v>380</v>
      </c>
      <c r="B114" s="0" t="s">
        <v>381</v>
      </c>
      <c r="C114" s="0" t="n">
        <v>6.439</v>
      </c>
      <c r="D114" s="0" t="n">
        <v>7.375</v>
      </c>
      <c r="E114" s="0" t="n">
        <v>3</v>
      </c>
      <c r="F114" s="0" t="s">
        <v>85</v>
      </c>
      <c r="G114" s="0" t="n">
        <v>16</v>
      </c>
      <c r="H114" s="0" t="n">
        <v>15.56</v>
      </c>
      <c r="I114" s="0" t="s">
        <v>382</v>
      </c>
      <c r="J114" s="0" t="s">
        <v>370</v>
      </c>
      <c r="K114" s="0" t="s">
        <v>66</v>
      </c>
    </row>
    <row r="115" customFormat="false" ht="15" hidden="false" customHeight="false" outlineLevel="0" collapsed="false">
      <c r="A115" s="0" t="s">
        <v>383</v>
      </c>
      <c r="B115" s="0" t="s">
        <v>384</v>
      </c>
      <c r="C115" s="0" t="n">
        <v>5.572</v>
      </c>
      <c r="D115" s="0" t="n">
        <v>5.052</v>
      </c>
      <c r="E115" s="0" t="n">
        <v>3</v>
      </c>
      <c r="F115" s="0" t="s">
        <v>85</v>
      </c>
      <c r="G115" s="0" t="n">
        <v>16</v>
      </c>
      <c r="H115" s="0" t="n">
        <v>13.47</v>
      </c>
      <c r="I115" s="0" t="s">
        <v>385</v>
      </c>
      <c r="J115" s="0" t="s">
        <v>370</v>
      </c>
      <c r="K115" s="0" t="s">
        <v>66</v>
      </c>
    </row>
    <row r="116" customFormat="false" ht="15" hidden="false" customHeight="false" outlineLevel="0" collapsed="false">
      <c r="A116" s="0" t="s">
        <v>386</v>
      </c>
      <c r="B116" s="0" t="s">
        <v>387</v>
      </c>
      <c r="C116" s="0" t="n">
        <v>5.572</v>
      </c>
      <c r="D116" s="0" t="n">
        <v>5.052</v>
      </c>
      <c r="E116" s="0" t="n">
        <v>3</v>
      </c>
      <c r="F116" s="0" t="s">
        <v>85</v>
      </c>
      <c r="G116" s="0" t="n">
        <v>16</v>
      </c>
      <c r="H116" s="0" t="n">
        <v>13.47</v>
      </c>
      <c r="I116" s="0" t="s">
        <v>388</v>
      </c>
      <c r="J116" s="0" t="s">
        <v>370</v>
      </c>
      <c r="K116" s="0" t="s">
        <v>66</v>
      </c>
    </row>
    <row r="117" customFormat="false" ht="15" hidden="false" customHeight="false" outlineLevel="0" collapsed="false">
      <c r="A117" s="0" t="s">
        <v>389</v>
      </c>
      <c r="B117" s="0" t="s">
        <v>390</v>
      </c>
      <c r="C117" s="0" t="n">
        <v>7.487</v>
      </c>
      <c r="D117" s="0" t="n">
        <v>12.309</v>
      </c>
      <c r="E117" s="0" t="n">
        <v>2</v>
      </c>
      <c r="F117" s="0" t="s">
        <v>85</v>
      </c>
      <c r="G117" s="0" t="n">
        <v>16</v>
      </c>
      <c r="H117" s="0" t="n">
        <v>138.78</v>
      </c>
      <c r="I117" s="0" t="s">
        <v>391</v>
      </c>
      <c r="J117" s="0" t="s">
        <v>191</v>
      </c>
      <c r="K117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7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0" t="s">
        <v>393</v>
      </c>
    </row>
    <row r="3" customFormat="false" ht="15" hidden="false" customHeight="false" outlineLevel="0" collapsed="false">
      <c r="A3" s="2" t="s">
        <v>394</v>
      </c>
      <c r="B3" s="2" t="s">
        <v>395</v>
      </c>
      <c r="C3" s="2" t="s">
        <v>396</v>
      </c>
      <c r="D3" s="2" t="s">
        <v>397</v>
      </c>
      <c r="E3" s="2" t="s">
        <v>398</v>
      </c>
      <c r="F3" s="2" t="s">
        <v>399</v>
      </c>
      <c r="G3" s="2" t="s">
        <v>400</v>
      </c>
      <c r="H3" s="2" t="s">
        <v>401</v>
      </c>
      <c r="I3" s="2" t="s">
        <v>402</v>
      </c>
      <c r="J3" s="2" t="s">
        <v>403</v>
      </c>
    </row>
    <row r="4" customFormat="false" ht="15" hidden="false" customHeight="false" outlineLevel="0" collapsed="false">
      <c r="A4" s="0" t="s">
        <v>404</v>
      </c>
      <c r="B4" s="0" t="s">
        <v>405</v>
      </c>
      <c r="C4" s="0" t="n">
        <v>4656.26</v>
      </c>
      <c r="D4" s="0" t="n">
        <f aca="false">Inputs!$B$5</f>
        <v>0.15</v>
      </c>
      <c r="E4" s="0" t="n">
        <f aca="false">C4*D4</f>
        <v>698.439</v>
      </c>
      <c r="F4" s="0" t="n">
        <f aca="false">C4+E4</f>
        <v>5354.699</v>
      </c>
      <c r="G4" s="0" t="s">
        <v>406</v>
      </c>
      <c r="H4" s="0" t="n">
        <f aca="false">ROUNDUP(F4/Inputs!$B$10,0)</f>
        <v>268</v>
      </c>
      <c r="I4" s="0" t="s">
        <v>407</v>
      </c>
    </row>
    <row r="5" customFormat="false" ht="15" hidden="false" customHeight="false" outlineLevel="0" collapsed="false">
      <c r="A5" s="0" t="s">
        <v>408</v>
      </c>
      <c r="B5" s="0" t="s">
        <v>405</v>
      </c>
      <c r="C5" s="0" t="n">
        <v>6994.55</v>
      </c>
      <c r="D5" s="0" t="n">
        <f aca="false">Inputs!$B$5</f>
        <v>0.15</v>
      </c>
      <c r="E5" s="0" t="n">
        <f aca="false">C5*D5</f>
        <v>1049.1825</v>
      </c>
      <c r="F5" s="0" t="n">
        <f aca="false">C5+E5</f>
        <v>8043.7325</v>
      </c>
      <c r="G5" s="0" t="s">
        <v>406</v>
      </c>
      <c r="H5" s="0" t="n">
        <f aca="false">ROUNDUP(F5/Inputs!$B$10,0)</f>
        <v>403</v>
      </c>
      <c r="I5" s="0" t="s">
        <v>409</v>
      </c>
    </row>
    <row r="6" customFormat="false" ht="15" hidden="false" customHeight="false" outlineLevel="0" collapsed="false">
      <c r="A6" s="0" t="s">
        <v>410</v>
      </c>
      <c r="B6" s="0" t="s">
        <v>405</v>
      </c>
      <c r="C6" s="0" t="n">
        <v>3847.86</v>
      </c>
      <c r="D6" s="0" t="n">
        <f aca="false">Inputs!$B$5</f>
        <v>0.15</v>
      </c>
      <c r="E6" s="0" t="n">
        <f aca="false">C6*D6</f>
        <v>577.179</v>
      </c>
      <c r="F6" s="0" t="n">
        <f aca="false">C6+E6</f>
        <v>4425.039</v>
      </c>
      <c r="G6" s="0" t="s">
        <v>406</v>
      </c>
      <c r="H6" s="0" t="n">
        <f aca="false">ROUNDUP(F6/Inputs!$B$10,0)</f>
        <v>222</v>
      </c>
      <c r="I6" s="0" t="s">
        <v>411</v>
      </c>
    </row>
    <row r="7" customFormat="false" ht="15" hidden="false" customHeight="false" outlineLevel="0" collapsed="false">
      <c r="A7" s="0" t="s">
        <v>412</v>
      </c>
      <c r="B7" s="0" t="s">
        <v>405</v>
      </c>
      <c r="C7" s="0" t="n">
        <v>1001.46</v>
      </c>
      <c r="D7" s="0" t="n">
        <f aca="false">Inputs!$B$5</f>
        <v>0.15</v>
      </c>
      <c r="E7" s="0" t="n">
        <f aca="false">C7*D7</f>
        <v>150.219</v>
      </c>
      <c r="F7" s="0" t="n">
        <f aca="false">C7+E7</f>
        <v>1151.679</v>
      </c>
      <c r="G7" s="0" t="s">
        <v>406</v>
      </c>
      <c r="H7" s="0" t="n">
        <f aca="false">ROUNDUP(F7/Inputs!$B$10,0)</f>
        <v>58</v>
      </c>
      <c r="I7" s="0" t="s">
        <v>413</v>
      </c>
    </row>
    <row r="8" customFormat="false" ht="15" hidden="false" customHeight="false" outlineLevel="0" collapsed="false">
      <c r="A8" s="0" t="s">
        <v>414</v>
      </c>
      <c r="B8" s="0" t="s">
        <v>405</v>
      </c>
      <c r="C8" s="0" t="n">
        <v>1244.13</v>
      </c>
      <c r="D8" s="0" t="n">
        <f aca="false">Inputs!$B$5</f>
        <v>0.15</v>
      </c>
      <c r="E8" s="0" t="n">
        <f aca="false">C8*D8</f>
        <v>186.6195</v>
      </c>
      <c r="F8" s="0" t="n">
        <f aca="false">C8+E8</f>
        <v>1430.7495</v>
      </c>
      <c r="G8" s="0" t="s">
        <v>415</v>
      </c>
      <c r="H8" s="0" t="n">
        <f aca="false">ROUNDUP(F8/Inputs!$B$11,0)</f>
        <v>144</v>
      </c>
      <c r="I8" s="0" t="s">
        <v>416</v>
      </c>
    </row>
    <row r="9" customFormat="false" ht="15" hidden="false" customHeight="false" outlineLevel="0" collapsed="false">
      <c r="A9" s="0" t="s">
        <v>417</v>
      </c>
      <c r="B9" s="0" t="s">
        <v>405</v>
      </c>
      <c r="C9" s="0" t="n">
        <v>2509.27</v>
      </c>
      <c r="D9" s="0" t="n">
        <f aca="false">Inputs!$B$5</f>
        <v>0.15</v>
      </c>
      <c r="E9" s="0" t="n">
        <f aca="false">C9*D9</f>
        <v>376.3905</v>
      </c>
      <c r="F9" s="0" t="n">
        <f aca="false">C9+E9</f>
        <v>2885.6605</v>
      </c>
      <c r="G9" s="0" t="s">
        <v>418</v>
      </c>
      <c r="H9" s="0" t="n">
        <f aca="false">ROUNDUP(F9/Inputs!$B$16,0)</f>
        <v>181</v>
      </c>
      <c r="I9" s="0" t="s">
        <v>419</v>
      </c>
    </row>
    <row r="10" customFormat="false" ht="15" hidden="false" customHeight="false" outlineLevel="0" collapsed="false">
      <c r="A10" s="0" t="s">
        <v>420</v>
      </c>
      <c r="B10" s="0" t="s">
        <v>405</v>
      </c>
      <c r="C10" s="0" t="n">
        <v>313.57</v>
      </c>
      <c r="D10" s="0" t="n">
        <f aca="false">Inputs!$B$5</f>
        <v>0.15</v>
      </c>
      <c r="E10" s="0" t="n">
        <f aca="false">C10*D10</f>
        <v>47.0355</v>
      </c>
      <c r="F10" s="0" t="n">
        <f aca="false">C10+E10</f>
        <v>360.6055</v>
      </c>
      <c r="G10" s="0" t="s">
        <v>415</v>
      </c>
      <c r="H10" s="0" t="n">
        <f aca="false">ROUNDUP(F10/Inputs!$B$11,0)</f>
        <v>37</v>
      </c>
      <c r="I10" s="0" t="s">
        <v>421</v>
      </c>
    </row>
    <row r="11" customFormat="false" ht="15" hidden="false" customHeight="false" outlineLevel="0" collapsed="false">
      <c r="A11" s="0" t="s">
        <v>422</v>
      </c>
      <c r="B11" s="0" t="s">
        <v>405</v>
      </c>
      <c r="C11" s="0" t="n">
        <v>796.79</v>
      </c>
      <c r="D11" s="0" t="n">
        <f aca="false">Inputs!$B$5</f>
        <v>0.15</v>
      </c>
      <c r="E11" s="0" t="n">
        <f aca="false">C11*D11</f>
        <v>119.5185</v>
      </c>
      <c r="F11" s="0" t="n">
        <f aca="false">C11+E11</f>
        <v>916.3085</v>
      </c>
      <c r="G11" s="0" t="s">
        <v>406</v>
      </c>
      <c r="H11" s="0" t="n">
        <f aca="false">ROUNDUP(F11/Inputs!$B$10,0)</f>
        <v>46</v>
      </c>
      <c r="I11" s="0" t="s">
        <v>423</v>
      </c>
    </row>
    <row r="12" customFormat="false" ht="15" hidden="false" customHeight="false" outlineLevel="0" collapsed="false">
      <c r="A12" s="0" t="s">
        <v>424</v>
      </c>
      <c r="B12" s="0" t="s">
        <v>405</v>
      </c>
      <c r="C12" s="0" t="n">
        <v>119.12</v>
      </c>
      <c r="D12" s="0" t="n">
        <f aca="false">Inputs!$B$5</f>
        <v>0.15</v>
      </c>
      <c r="E12" s="0" t="n">
        <f aca="false">C12*D12</f>
        <v>17.868</v>
      </c>
      <c r="F12" s="0" t="n">
        <f aca="false">C12+E12</f>
        <v>136.988</v>
      </c>
      <c r="G12" s="0" t="s">
        <v>415</v>
      </c>
      <c r="H12" s="0" t="n">
        <f aca="false">ROUNDUP(F12/Inputs!$B$11,0)</f>
        <v>14</v>
      </c>
      <c r="I12" s="0" t="s">
        <v>425</v>
      </c>
    </row>
    <row r="13" customFormat="false" ht="15" hidden="false" customHeight="false" outlineLevel="0" collapsed="false">
      <c r="A13" s="0" t="s">
        <v>426</v>
      </c>
      <c r="B13" s="0" t="s">
        <v>405</v>
      </c>
      <c r="C13" s="0" t="n">
        <v>815.83</v>
      </c>
      <c r="D13" s="0" t="n">
        <f aca="false">Inputs!$B$5</f>
        <v>0.15</v>
      </c>
      <c r="E13" s="0" t="n">
        <f aca="false">C13*D13</f>
        <v>122.3745</v>
      </c>
      <c r="F13" s="0" t="n">
        <f aca="false">C13+E13</f>
        <v>938.2045</v>
      </c>
      <c r="G13" s="0" t="s">
        <v>427</v>
      </c>
      <c r="H13" s="0" t="n">
        <f aca="false">ROUNDUP(F13/Inputs!$B$17,0)</f>
        <v>79</v>
      </c>
      <c r="I13" s="0" t="s">
        <v>428</v>
      </c>
    </row>
    <row r="14" customFormat="false" ht="15" hidden="false" customHeight="false" outlineLevel="0" collapsed="false">
      <c r="A14" s="0" t="s">
        <v>429</v>
      </c>
      <c r="B14" s="0" t="s">
        <v>405</v>
      </c>
      <c r="C14" s="0" t="n">
        <v>336.03</v>
      </c>
      <c r="D14" s="0" t="n">
        <f aca="false">Inputs!$B$5</f>
        <v>0.15</v>
      </c>
      <c r="E14" s="0" t="n">
        <f aca="false">C14*D14</f>
        <v>50.4045</v>
      </c>
      <c r="F14" s="0" t="n">
        <f aca="false">C14+E14</f>
        <v>386.4345</v>
      </c>
      <c r="G14" s="0" t="s">
        <v>418</v>
      </c>
      <c r="H14" s="0" t="n">
        <f aca="false">ROUNDUP(F14/Inputs!$B$16,0)</f>
        <v>25</v>
      </c>
      <c r="I14" s="0" t="s">
        <v>430</v>
      </c>
    </row>
    <row r="15" customFormat="false" ht="15" hidden="false" customHeight="false" outlineLevel="0" collapsed="false">
      <c r="A15" s="0" t="s">
        <v>431</v>
      </c>
      <c r="B15" s="0" t="s">
        <v>405</v>
      </c>
      <c r="C15" s="0" t="n">
        <v>592.63</v>
      </c>
      <c r="D15" s="0" t="n">
        <f aca="false">Inputs!$B$5</f>
        <v>0.15</v>
      </c>
      <c r="E15" s="0" t="n">
        <f aca="false">C15*D15</f>
        <v>88.8945</v>
      </c>
      <c r="F15" s="0" t="n">
        <f aca="false">C15+E15</f>
        <v>681.5245</v>
      </c>
      <c r="G15" s="0" t="s">
        <v>33</v>
      </c>
      <c r="H15" s="0" t="n">
        <f aca="false">ROUNDUP(F15,0)</f>
        <v>682</v>
      </c>
      <c r="I15" s="0" t="s">
        <v>432</v>
      </c>
    </row>
    <row r="16" customFormat="false" ht="15" hidden="false" customHeight="false" outlineLevel="0" collapsed="false">
      <c r="A16" s="0" t="s">
        <v>433</v>
      </c>
      <c r="B16" s="0" t="s">
        <v>434</v>
      </c>
      <c r="C16" s="0" t="n">
        <v>121</v>
      </c>
      <c r="D16" s="0" t="n">
        <v>0</v>
      </c>
      <c r="E16" s="0" t="n">
        <f aca="false">C16*D16</f>
        <v>0</v>
      </c>
      <c r="F16" s="0" t="n">
        <f aca="false">C16+E16</f>
        <v>121</v>
      </c>
      <c r="G16" s="0" t="s">
        <v>435</v>
      </c>
      <c r="H16" s="0" t="n">
        <f aca="false">ROUNDUP(F16,0)</f>
        <v>121</v>
      </c>
      <c r="I16" s="0" t="s">
        <v>436</v>
      </c>
    </row>
    <row r="17" customFormat="false" ht="15" hidden="false" customHeight="false" outlineLevel="0" collapsed="false">
      <c r="A17" s="0" t="s">
        <v>437</v>
      </c>
      <c r="B17" s="0" t="s">
        <v>405</v>
      </c>
      <c r="C17" s="0" t="n">
        <v>918.88</v>
      </c>
      <c r="D17" s="0" t="n">
        <f aca="false">Inputs!$B$5</f>
        <v>0.15</v>
      </c>
      <c r="E17" s="0" t="n">
        <f aca="false">C17*D17</f>
        <v>137.832</v>
      </c>
      <c r="F17" s="0" t="n">
        <f aca="false">C17+E17</f>
        <v>1056.712</v>
      </c>
      <c r="G17" s="0" t="s">
        <v>406</v>
      </c>
      <c r="H17" s="0" t="n">
        <f aca="false">ROUNDUP(F17/Inputs!$B$10,0)</f>
        <v>53</v>
      </c>
      <c r="I17" s="0" t="s">
        <v>438</v>
      </c>
    </row>
    <row r="18" customFormat="false" ht="15" hidden="false" customHeight="false" outlineLevel="0" collapsed="false">
      <c r="A18" s="0" t="s">
        <v>439</v>
      </c>
      <c r="B18" s="0" t="s">
        <v>440</v>
      </c>
      <c r="C18" s="0" t="n">
        <v>17548.27</v>
      </c>
      <c r="D18" s="0" t="n">
        <f aca="false">Inputs!$B$6</f>
        <v>0.06</v>
      </c>
      <c r="E18" s="0" t="n">
        <f aca="false">C18*D18</f>
        <v>1052.8962</v>
      </c>
      <c r="F18" s="0" t="n">
        <f aca="false">C18+E18</f>
        <v>18601.1662</v>
      </c>
      <c r="G18" s="0" t="s">
        <v>441</v>
      </c>
      <c r="H18" s="0" t="n">
        <f aca="false">ROUNDUP(F18/Inputs!$B$9,0)</f>
        <v>388</v>
      </c>
      <c r="I18" s="0" t="s">
        <v>442</v>
      </c>
    </row>
    <row r="19" customFormat="false" ht="15" hidden="false" customHeight="false" outlineLevel="0" collapsed="false">
      <c r="A19" s="0" t="s">
        <v>443</v>
      </c>
      <c r="B19" s="0" t="s">
        <v>440</v>
      </c>
      <c r="C19" s="0" t="n">
        <v>258.87</v>
      </c>
      <c r="D19" s="0" t="n">
        <f aca="false">Inputs!$B$6</f>
        <v>0.06</v>
      </c>
      <c r="E19" s="0" t="n">
        <f aca="false">C19*D19</f>
        <v>15.5322</v>
      </c>
      <c r="F19" s="0" t="n">
        <f aca="false">C19+E19</f>
        <v>274.4022</v>
      </c>
      <c r="G19" s="0" t="s">
        <v>441</v>
      </c>
      <c r="H19" s="0" t="n">
        <f aca="false">ROUNDUP(F19/Inputs!$B$9,0)</f>
        <v>6</v>
      </c>
      <c r="I19" s="0" t="s">
        <v>444</v>
      </c>
    </row>
    <row r="20" customFormat="false" ht="15" hidden="false" customHeight="false" outlineLevel="0" collapsed="false">
      <c r="A20" s="0" t="s">
        <v>445</v>
      </c>
      <c r="B20" s="0" t="s">
        <v>440</v>
      </c>
      <c r="C20" s="0" t="n">
        <v>85.34</v>
      </c>
      <c r="D20" s="0" t="n">
        <f aca="false">Inputs!$B$6</f>
        <v>0.06</v>
      </c>
      <c r="E20" s="0" t="n">
        <f aca="false">C20*D20</f>
        <v>5.1204</v>
      </c>
      <c r="F20" s="0" t="n">
        <f aca="false">C20+E20</f>
        <v>90.4604</v>
      </c>
      <c r="G20" s="0" t="s">
        <v>446</v>
      </c>
      <c r="H20" s="0" t="n">
        <f aca="false">ROUNDUP(F20/32,0)</f>
        <v>3</v>
      </c>
      <c r="I20" s="0" t="s">
        <v>447</v>
      </c>
    </row>
    <row r="21" customFormat="false" ht="15" hidden="false" customHeight="false" outlineLevel="0" collapsed="false">
      <c r="A21" s="0" t="s">
        <v>448</v>
      </c>
      <c r="B21" s="0" t="s">
        <v>440</v>
      </c>
      <c r="C21" s="0" t="n">
        <v>65.65</v>
      </c>
      <c r="D21" s="0" t="n">
        <f aca="false">Inputs!$B$6</f>
        <v>0.06</v>
      </c>
      <c r="E21" s="0" t="n">
        <f aca="false">C21*D21</f>
        <v>3.939</v>
      </c>
      <c r="F21" s="0" t="n">
        <f aca="false">C21+E21</f>
        <v>69.589</v>
      </c>
      <c r="G21" s="0" t="s">
        <v>446</v>
      </c>
      <c r="H21" s="0" t="n">
        <f aca="false">ROUNDUP(F21/32,0)</f>
        <v>3</v>
      </c>
      <c r="I21" s="0" t="s">
        <v>449</v>
      </c>
    </row>
    <row r="22" customFormat="false" ht="15" hidden="false" customHeight="false" outlineLevel="0" collapsed="false">
      <c r="A22" s="0" t="s">
        <v>450</v>
      </c>
      <c r="B22" s="0" t="s">
        <v>440</v>
      </c>
      <c r="C22" s="0" t="n">
        <v>362.16</v>
      </c>
      <c r="D22" s="0" t="n">
        <f aca="false">Inputs!$B$6</f>
        <v>0.06</v>
      </c>
      <c r="E22" s="0" t="n">
        <f aca="false">C22*D22</f>
        <v>21.7296</v>
      </c>
      <c r="F22" s="0" t="n">
        <f aca="false">C22+E22</f>
        <v>383.8896</v>
      </c>
      <c r="G22" s="0" t="s">
        <v>446</v>
      </c>
      <c r="H22" s="0" t="n">
        <f aca="false">ROUNDUP(F22/32,0)</f>
        <v>12</v>
      </c>
      <c r="I22" s="0" t="s">
        <v>451</v>
      </c>
    </row>
    <row r="23" customFormat="false" ht="15" hidden="false" customHeight="false" outlineLevel="0" collapsed="false">
      <c r="A23" s="0" t="s">
        <v>452</v>
      </c>
      <c r="B23" s="0" t="s">
        <v>440</v>
      </c>
      <c r="C23" s="0" t="n">
        <v>952.24</v>
      </c>
      <c r="D23" s="0" t="n">
        <f aca="false">Inputs!$B$6</f>
        <v>0.06</v>
      </c>
      <c r="E23" s="0" t="n">
        <f aca="false">C23*D23</f>
        <v>57.1344</v>
      </c>
      <c r="F23" s="0" t="n">
        <f aca="false">C23+E23</f>
        <v>1009.3744</v>
      </c>
      <c r="G23" s="0" t="s">
        <v>446</v>
      </c>
      <c r="H23" s="0" t="n">
        <f aca="false">ROUNDUP(F23/32,0)</f>
        <v>32</v>
      </c>
      <c r="I23" s="0" t="s">
        <v>453</v>
      </c>
    </row>
    <row r="24" customFormat="false" ht="15" hidden="false" customHeight="false" outlineLevel="0" collapsed="false">
      <c r="A24" s="0" t="s">
        <v>454</v>
      </c>
      <c r="B24" s="0" t="s">
        <v>440</v>
      </c>
      <c r="C24" s="0" t="n">
        <v>334.75</v>
      </c>
      <c r="D24" s="0" t="n">
        <f aca="false">Inputs!$B$6</f>
        <v>0.06</v>
      </c>
      <c r="E24" s="0" t="n">
        <f aca="false">C24*D24</f>
        <v>20.085</v>
      </c>
      <c r="F24" s="0" t="n">
        <f aca="false">C24+E24</f>
        <v>354.835</v>
      </c>
      <c r="G24" s="0" t="s">
        <v>446</v>
      </c>
      <c r="H24" s="0" t="n">
        <f aca="false">ROUNDUP(F24/32,0)</f>
        <v>12</v>
      </c>
      <c r="I24" s="0" t="s">
        <v>455</v>
      </c>
    </row>
    <row r="25" customFormat="false" ht="15" hidden="false" customHeight="false" outlineLevel="0" collapsed="false">
      <c r="A25" s="0" t="s">
        <v>456</v>
      </c>
      <c r="B25" s="0" t="s">
        <v>440</v>
      </c>
      <c r="C25" s="0" t="n">
        <v>31.88</v>
      </c>
      <c r="D25" s="0" t="n">
        <f aca="false">Inputs!$B$6</f>
        <v>0.06</v>
      </c>
      <c r="E25" s="0" t="n">
        <f aca="false">C25*D25</f>
        <v>1.9128</v>
      </c>
      <c r="F25" s="0" t="n">
        <f aca="false">C25+E25</f>
        <v>33.7928</v>
      </c>
      <c r="G25" s="0" t="s">
        <v>457</v>
      </c>
      <c r="H25" s="0" t="n">
        <f aca="false">ROUNDUP(F25/15,0)</f>
        <v>3</v>
      </c>
      <c r="I25" s="0" t="s">
        <v>458</v>
      </c>
    </row>
    <row r="26" customFormat="false" ht="15" hidden="false" customHeight="false" outlineLevel="0" collapsed="false">
      <c r="A26" s="0" t="s">
        <v>459</v>
      </c>
      <c r="B26" s="0" t="s">
        <v>405</v>
      </c>
      <c r="C26" s="0" t="n">
        <v>985.85</v>
      </c>
      <c r="D26" s="0" t="n">
        <f aca="false">Inputs!$B$6</f>
        <v>0.06</v>
      </c>
      <c r="E26" s="0" t="n">
        <f aca="false">C26*D26</f>
        <v>59.151</v>
      </c>
      <c r="F26" s="0" t="n">
        <f aca="false">C26+E26</f>
        <v>1045.001</v>
      </c>
      <c r="G26" s="0" t="s">
        <v>460</v>
      </c>
      <c r="H26" s="0" t="n">
        <f aca="false">ROUNDUP(F26,0)</f>
        <v>1046</v>
      </c>
      <c r="I26" s="0" t="s">
        <v>461</v>
      </c>
    </row>
    <row r="27" customFormat="false" ht="15" hidden="false" customHeight="false" outlineLevel="0" collapsed="false">
      <c r="A27" s="0" t="s">
        <v>462</v>
      </c>
      <c r="B27" s="0" t="s">
        <v>405</v>
      </c>
      <c r="C27" s="0" t="n">
        <v>560.96</v>
      </c>
      <c r="D27" s="0" t="n">
        <f aca="false">Inputs!$B$5</f>
        <v>0.15</v>
      </c>
      <c r="E27" s="0" t="n">
        <f aca="false">C27*D27</f>
        <v>84.144</v>
      </c>
      <c r="F27" s="0" t="n">
        <f aca="false">C27+E27</f>
        <v>645.104</v>
      </c>
      <c r="G27" s="0" t="s">
        <v>406</v>
      </c>
      <c r="H27" s="0" t="n">
        <f aca="false">ROUNDUP(F27/Inputs!$B$10,0)</f>
        <v>33</v>
      </c>
      <c r="I27" s="0" t="s">
        <v>463</v>
      </c>
    </row>
    <row r="28" customFormat="false" ht="15" hidden="false" customHeight="false" outlineLevel="0" collapsed="false">
      <c r="A28" s="0" t="s">
        <v>464</v>
      </c>
      <c r="B28" s="0" t="s">
        <v>405</v>
      </c>
      <c r="C28" s="0" t="n">
        <v>42.98</v>
      </c>
      <c r="D28" s="0" t="n">
        <f aca="false">Inputs!$B$5</f>
        <v>0.15</v>
      </c>
      <c r="E28" s="0" t="n">
        <f aca="false">C28*D28</f>
        <v>6.447</v>
      </c>
      <c r="F28" s="0" t="n">
        <f aca="false">C28+E28</f>
        <v>49.427</v>
      </c>
      <c r="G28" s="0" t="s">
        <v>406</v>
      </c>
      <c r="H28" s="0" t="n">
        <f aca="false">ROUNDUP(F28/Inputs!$B$10,0)</f>
        <v>3</v>
      </c>
      <c r="I28" s="0" t="s">
        <v>465</v>
      </c>
    </row>
    <row r="29" customFormat="false" ht="15" hidden="false" customHeight="false" outlineLevel="0" collapsed="false">
      <c r="A29" s="0" t="s">
        <v>466</v>
      </c>
      <c r="B29" s="0" t="s">
        <v>405</v>
      </c>
      <c r="C29" s="0" t="n">
        <v>1052.1</v>
      </c>
      <c r="D29" s="0" t="n">
        <f aca="false">Inputs!$B$5</f>
        <v>0.15</v>
      </c>
      <c r="E29" s="0" t="n">
        <f aca="false">C29*D29</f>
        <v>157.815</v>
      </c>
      <c r="F29" s="0" t="n">
        <f aca="false">C29+E29</f>
        <v>1209.915</v>
      </c>
      <c r="G29" s="0" t="s">
        <v>467</v>
      </c>
      <c r="H29" s="0" t="n">
        <f aca="false">ROUNDUP(F29/Inputs!$B$18,0)</f>
        <v>121</v>
      </c>
      <c r="I29" s="0" t="s">
        <v>468</v>
      </c>
    </row>
    <row r="30" customFormat="false" ht="15" hidden="false" customHeight="false" outlineLevel="0" collapsed="false">
      <c r="A30" s="0" t="s">
        <v>469</v>
      </c>
      <c r="B30" s="0" t="s">
        <v>405</v>
      </c>
      <c r="C30" s="0" t="n">
        <v>211.81</v>
      </c>
      <c r="D30" s="0" t="n">
        <f aca="false">Inputs!$B$6</f>
        <v>0.06</v>
      </c>
      <c r="E30" s="0" t="n">
        <f aca="false">C30*D30</f>
        <v>12.7086</v>
      </c>
      <c r="F30" s="0" t="n">
        <f aca="false">C30+E30</f>
        <v>224.5186</v>
      </c>
      <c r="G30" s="0" t="s">
        <v>470</v>
      </c>
      <c r="H30" s="0" t="n">
        <f aca="false">ROUNDUP(F30/Inputs!$B$15,0)</f>
        <v>9</v>
      </c>
      <c r="I30" s="0" t="s">
        <v>471</v>
      </c>
    </row>
    <row r="31" customFormat="false" ht="15" hidden="false" customHeight="false" outlineLevel="0" collapsed="false">
      <c r="A31" s="0" t="s">
        <v>472</v>
      </c>
      <c r="B31" s="0" t="s">
        <v>405</v>
      </c>
      <c r="C31" s="0" t="n">
        <v>300.67</v>
      </c>
      <c r="D31" s="0" t="n">
        <f aca="false">Inputs!$B$5</f>
        <v>0.15</v>
      </c>
      <c r="E31" s="0" t="n">
        <f aca="false">C31*D31</f>
        <v>45.1005</v>
      </c>
      <c r="F31" s="0" t="n">
        <f aca="false">C31+E31</f>
        <v>345.7705</v>
      </c>
      <c r="G31" s="0" t="s">
        <v>415</v>
      </c>
      <c r="H31" s="0" t="n">
        <f aca="false">ROUNDUP(F31/Inputs!$B$11,0)</f>
        <v>35</v>
      </c>
      <c r="I31" s="0" t="s">
        <v>473</v>
      </c>
    </row>
    <row r="32" customFormat="false" ht="15" hidden="false" customHeight="false" outlineLevel="0" collapsed="false">
      <c r="A32" s="0" t="s">
        <v>474</v>
      </c>
      <c r="B32" s="0" t="s">
        <v>405</v>
      </c>
      <c r="C32" s="0" t="n">
        <v>64.92</v>
      </c>
      <c r="D32" s="0" t="n">
        <f aca="false">Inputs!$B$5</f>
        <v>0.15</v>
      </c>
      <c r="E32" s="0" t="n">
        <f aca="false">C32*D32</f>
        <v>9.738</v>
      </c>
      <c r="F32" s="0" t="n">
        <f aca="false">C32+E32</f>
        <v>74.658</v>
      </c>
      <c r="G32" s="0" t="s">
        <v>415</v>
      </c>
      <c r="H32" s="0" t="n">
        <f aca="false">ROUNDUP(F32/Inputs!$B$11,0)</f>
        <v>8</v>
      </c>
      <c r="I32" s="0" t="s">
        <v>473</v>
      </c>
    </row>
    <row r="33" customFormat="false" ht="15" hidden="false" customHeight="false" outlineLevel="0" collapsed="false">
      <c r="A33" s="0" t="s">
        <v>475</v>
      </c>
      <c r="B33" s="0" t="s">
        <v>405</v>
      </c>
      <c r="C33" s="0" t="n">
        <v>248.27</v>
      </c>
      <c r="D33" s="0" t="n">
        <f aca="false">Inputs!$B$5</f>
        <v>0.15</v>
      </c>
      <c r="E33" s="0" t="n">
        <f aca="false">C33*D33</f>
        <v>37.2405</v>
      </c>
      <c r="F33" s="0" t="n">
        <f aca="false">C33+E33</f>
        <v>285.5105</v>
      </c>
      <c r="G33" s="0" t="s">
        <v>415</v>
      </c>
      <c r="H33" s="0" t="n">
        <f aca="false">ROUNDUP(F33/Inputs!$B$11,0)</f>
        <v>29</v>
      </c>
      <c r="I33" s="0" t="s">
        <v>473</v>
      </c>
    </row>
    <row r="34" customFormat="false" ht="15" hidden="false" customHeight="false" outlineLevel="0" collapsed="false">
      <c r="A34" s="0" t="s">
        <v>476</v>
      </c>
      <c r="B34" s="0" t="s">
        <v>405</v>
      </c>
      <c r="C34" s="0" t="n">
        <v>269.15</v>
      </c>
      <c r="D34" s="0" t="n">
        <f aca="false">Inputs!$B$5</f>
        <v>0.15</v>
      </c>
      <c r="E34" s="0" t="n">
        <f aca="false">C34*D34</f>
        <v>40.3725</v>
      </c>
      <c r="F34" s="0" t="n">
        <f aca="false">C34+E34</f>
        <v>309.5225</v>
      </c>
      <c r="G34" s="0" t="s">
        <v>415</v>
      </c>
      <c r="H34" s="0" t="n">
        <f aca="false">ROUNDUP(F34/Inputs!$B$11,0)</f>
        <v>31</v>
      </c>
      <c r="I34" s="0" t="s">
        <v>473</v>
      </c>
    </row>
    <row r="35" customFormat="false" ht="15" hidden="false" customHeight="false" outlineLevel="0" collapsed="false">
      <c r="A35" s="0" t="s">
        <v>477</v>
      </c>
      <c r="B35" s="0" t="s">
        <v>405</v>
      </c>
      <c r="C35" s="0" t="n">
        <v>179.06</v>
      </c>
      <c r="D35" s="0" t="n">
        <f aca="false">Inputs!$B$5</f>
        <v>0.15</v>
      </c>
      <c r="E35" s="0" t="n">
        <f aca="false">C35*D35</f>
        <v>26.859</v>
      </c>
      <c r="F35" s="0" t="n">
        <f aca="false">C35+E35</f>
        <v>205.919</v>
      </c>
      <c r="G35" s="0" t="s">
        <v>415</v>
      </c>
      <c r="H35" s="0" t="n">
        <f aca="false">ROUNDUP(F35/Inputs!$B$11,0)</f>
        <v>21</v>
      </c>
      <c r="I35" s="0" t="s">
        <v>473</v>
      </c>
    </row>
    <row r="36" customFormat="false" ht="15" hidden="false" customHeight="false" outlineLevel="0" collapsed="false">
      <c r="A36" s="0" t="s">
        <v>478</v>
      </c>
      <c r="B36" s="0" t="s">
        <v>405</v>
      </c>
      <c r="C36" s="0" t="n">
        <v>290.1</v>
      </c>
      <c r="D36" s="0" t="n">
        <f aca="false">Inputs!$B$5</f>
        <v>0.15</v>
      </c>
      <c r="E36" s="0" t="n">
        <f aca="false">C36*D36</f>
        <v>43.515</v>
      </c>
      <c r="F36" s="0" t="n">
        <f aca="false">C36+E36</f>
        <v>333.615</v>
      </c>
      <c r="G36" s="0" t="s">
        <v>415</v>
      </c>
      <c r="H36" s="0" t="n">
        <f aca="false">ROUNDUP(F36/Inputs!$B$11,0)</f>
        <v>34</v>
      </c>
      <c r="I36" s="0" t="s">
        <v>473</v>
      </c>
    </row>
    <row r="37" customFormat="false" ht="15" hidden="false" customHeight="false" outlineLevel="0" collapsed="false">
      <c r="A37" s="0" t="s">
        <v>479</v>
      </c>
      <c r="B37" s="0" t="s">
        <v>405</v>
      </c>
      <c r="C37" s="0" t="n">
        <v>300.67</v>
      </c>
      <c r="D37" s="0" t="n">
        <f aca="false">Inputs!$B$5</f>
        <v>0.15</v>
      </c>
      <c r="E37" s="0" t="n">
        <f aca="false">C37*D37</f>
        <v>45.1005</v>
      </c>
      <c r="F37" s="0" t="n">
        <f aca="false">C37+E37</f>
        <v>345.7705</v>
      </c>
      <c r="G37" s="0" t="s">
        <v>415</v>
      </c>
      <c r="H37" s="0" t="n">
        <f aca="false">ROUNDUP(F37/Inputs!$B$11,0)</f>
        <v>35</v>
      </c>
      <c r="I37" s="0" t="s">
        <v>480</v>
      </c>
    </row>
    <row r="38" customFormat="false" ht="15" hidden="false" customHeight="false" outlineLevel="0" collapsed="false">
      <c r="A38" s="0" t="s">
        <v>481</v>
      </c>
      <c r="B38" s="0" t="s">
        <v>405</v>
      </c>
      <c r="C38" s="0" t="n">
        <v>64.92</v>
      </c>
      <c r="D38" s="0" t="n">
        <f aca="false">Inputs!$B$5</f>
        <v>0.15</v>
      </c>
      <c r="E38" s="0" t="n">
        <f aca="false">C38*D38</f>
        <v>9.738</v>
      </c>
      <c r="F38" s="0" t="n">
        <f aca="false">C38+E38</f>
        <v>74.658</v>
      </c>
      <c r="G38" s="0" t="s">
        <v>415</v>
      </c>
      <c r="H38" s="0" t="n">
        <f aca="false">ROUNDUP(F38/Inputs!$B$11,0)</f>
        <v>8</v>
      </c>
      <c r="I38" s="0" t="s">
        <v>480</v>
      </c>
    </row>
    <row r="39" customFormat="false" ht="15" hidden="false" customHeight="false" outlineLevel="0" collapsed="false">
      <c r="A39" s="0" t="s">
        <v>482</v>
      </c>
      <c r="B39" s="0" t="s">
        <v>405</v>
      </c>
      <c r="C39" s="0" t="n">
        <v>248.27</v>
      </c>
      <c r="D39" s="0" t="n">
        <f aca="false">Inputs!$B$5</f>
        <v>0.15</v>
      </c>
      <c r="E39" s="0" t="n">
        <f aca="false">C39*D39</f>
        <v>37.2405</v>
      </c>
      <c r="F39" s="0" t="n">
        <f aca="false">C39+E39</f>
        <v>285.5105</v>
      </c>
      <c r="G39" s="0" t="s">
        <v>415</v>
      </c>
      <c r="H39" s="0" t="n">
        <f aca="false">ROUNDUP(F39/Inputs!$B$11,0)</f>
        <v>29</v>
      </c>
      <c r="I39" s="0" t="s">
        <v>480</v>
      </c>
    </row>
    <row r="40" customFormat="false" ht="15" hidden="false" customHeight="false" outlineLevel="0" collapsed="false">
      <c r="A40" s="0" t="s">
        <v>483</v>
      </c>
      <c r="B40" s="0" t="s">
        <v>405</v>
      </c>
      <c r="C40" s="0" t="n">
        <v>269.15</v>
      </c>
      <c r="D40" s="0" t="n">
        <f aca="false">Inputs!$B$5</f>
        <v>0.15</v>
      </c>
      <c r="E40" s="0" t="n">
        <f aca="false">C40*D40</f>
        <v>40.3725</v>
      </c>
      <c r="F40" s="0" t="n">
        <f aca="false">C40+E40</f>
        <v>309.5225</v>
      </c>
      <c r="G40" s="0" t="s">
        <v>415</v>
      </c>
      <c r="H40" s="0" t="n">
        <f aca="false">ROUNDUP(F40/Inputs!$B$11,0)</f>
        <v>31</v>
      </c>
      <c r="I40" s="0" t="s">
        <v>480</v>
      </c>
    </row>
    <row r="41" customFormat="false" ht="15" hidden="false" customHeight="false" outlineLevel="0" collapsed="false">
      <c r="A41" s="0" t="s">
        <v>484</v>
      </c>
      <c r="B41" s="0" t="s">
        <v>405</v>
      </c>
      <c r="C41" s="0" t="n">
        <v>179.06</v>
      </c>
      <c r="D41" s="0" t="n">
        <f aca="false">Inputs!$B$5</f>
        <v>0.15</v>
      </c>
      <c r="E41" s="0" t="n">
        <f aca="false">C41*D41</f>
        <v>26.859</v>
      </c>
      <c r="F41" s="0" t="n">
        <f aca="false">C41+E41</f>
        <v>205.919</v>
      </c>
      <c r="G41" s="0" t="s">
        <v>415</v>
      </c>
      <c r="H41" s="0" t="n">
        <f aca="false">ROUNDUP(F41/Inputs!$B$11,0)</f>
        <v>21</v>
      </c>
      <c r="I41" s="0" t="s">
        <v>480</v>
      </c>
    </row>
    <row r="42" customFormat="false" ht="15" hidden="false" customHeight="false" outlineLevel="0" collapsed="false">
      <c r="A42" s="0" t="s">
        <v>485</v>
      </c>
      <c r="B42" s="0" t="s">
        <v>405</v>
      </c>
      <c r="C42" s="0" t="n">
        <v>290.1</v>
      </c>
      <c r="D42" s="0" t="n">
        <f aca="false">Inputs!$B$5</f>
        <v>0.15</v>
      </c>
      <c r="E42" s="0" t="n">
        <f aca="false">C42*D42</f>
        <v>43.515</v>
      </c>
      <c r="F42" s="0" t="n">
        <f aca="false">C42+E42</f>
        <v>333.615</v>
      </c>
      <c r="G42" s="0" t="s">
        <v>415</v>
      </c>
      <c r="H42" s="0" t="n">
        <f aca="false">ROUNDUP(F42/Inputs!$B$11,0)</f>
        <v>34</v>
      </c>
      <c r="I42" s="0" t="s">
        <v>480</v>
      </c>
    </row>
    <row r="43" customFormat="false" ht="15" hidden="false" customHeight="false" outlineLevel="0" collapsed="false">
      <c r="A43" s="0" t="s">
        <v>486</v>
      </c>
      <c r="B43" s="0" t="s">
        <v>405</v>
      </c>
      <c r="C43" s="0" t="n">
        <v>4</v>
      </c>
      <c r="D43" s="0" t="n">
        <f aca="false">Inputs!$B$6</f>
        <v>0.06</v>
      </c>
      <c r="E43" s="0" t="n">
        <f aca="false">C43*D43</f>
        <v>0.24</v>
      </c>
      <c r="F43" s="0" t="n">
        <f aca="false">C43+E43</f>
        <v>4.24</v>
      </c>
      <c r="G43" s="0" t="s">
        <v>460</v>
      </c>
      <c r="H43" s="0" t="n">
        <f aca="false">ROUNDUP(F43,0)</f>
        <v>5</v>
      </c>
      <c r="I43" s="0" t="s">
        <v>487</v>
      </c>
    </row>
    <row r="44" customFormat="false" ht="15" hidden="false" customHeight="false" outlineLevel="0" collapsed="false">
      <c r="A44" s="0" t="s">
        <v>488</v>
      </c>
      <c r="B44" s="0" t="s">
        <v>440</v>
      </c>
      <c r="C44" s="0" t="n">
        <v>1943.4</v>
      </c>
      <c r="D44" s="0" t="n">
        <f aca="false">Inputs!$B$6</f>
        <v>0.06</v>
      </c>
      <c r="E44" s="0" t="n">
        <f aca="false">C44*D44</f>
        <v>116.604</v>
      </c>
      <c r="F44" s="0" t="n">
        <f aca="false">C44+E44</f>
        <v>2060.004</v>
      </c>
      <c r="G44" s="0" t="s">
        <v>489</v>
      </c>
      <c r="H44" s="0" t="n">
        <f aca="false">ROUNDUP(F44/Inputs!$B$9,0)</f>
        <v>43</v>
      </c>
      <c r="I44" s="0" t="s">
        <v>490</v>
      </c>
    </row>
    <row r="45" customFormat="false" ht="15" hidden="false" customHeight="false" outlineLevel="0" collapsed="false">
      <c r="A45" s="0" t="s">
        <v>491</v>
      </c>
      <c r="B45" s="0" t="s">
        <v>440</v>
      </c>
      <c r="C45" s="0" t="n">
        <v>3832.11</v>
      </c>
      <c r="D45" s="0" t="n">
        <f aca="false">Inputs!$B$6</f>
        <v>0.06</v>
      </c>
      <c r="E45" s="0" t="n">
        <f aca="false">C45*D45</f>
        <v>229.9266</v>
      </c>
      <c r="F45" s="0" t="n">
        <f aca="false">C45+E45</f>
        <v>4062.0366</v>
      </c>
      <c r="G45" s="0" t="s">
        <v>489</v>
      </c>
      <c r="H45" s="0" t="n">
        <f aca="false">ROUNDUP(F45/Inputs!$B$9,0)</f>
        <v>85</v>
      </c>
      <c r="I45" s="0" t="s">
        <v>490</v>
      </c>
    </row>
    <row r="46" customFormat="false" ht="15" hidden="false" customHeight="false" outlineLevel="0" collapsed="false">
      <c r="A46" s="0" t="s">
        <v>492</v>
      </c>
      <c r="B46" s="0" t="s">
        <v>440</v>
      </c>
      <c r="C46" s="0" t="n">
        <v>665.55</v>
      </c>
      <c r="D46" s="0" t="n">
        <f aca="false">Inputs!$B$6</f>
        <v>0.06</v>
      </c>
      <c r="E46" s="0" t="n">
        <f aca="false">C46*D46</f>
        <v>39.933</v>
      </c>
      <c r="F46" s="0" t="n">
        <f aca="false">C46+E46</f>
        <v>705.483</v>
      </c>
      <c r="G46" s="0" t="s">
        <v>489</v>
      </c>
      <c r="H46" s="0" t="n">
        <f aca="false">ROUNDUP(F46/Inputs!$B$9,0)</f>
        <v>15</v>
      </c>
      <c r="I46" s="0" t="s">
        <v>490</v>
      </c>
    </row>
    <row r="47" customFormat="false" ht="15" hidden="false" customHeight="false" outlineLevel="0" collapsed="false">
      <c r="A47" s="0" t="s">
        <v>493</v>
      </c>
      <c r="B47" s="0" t="s">
        <v>440</v>
      </c>
      <c r="C47" s="0" t="n">
        <v>23.59</v>
      </c>
      <c r="D47" s="0" t="n">
        <f aca="false">Inputs!$B$6</f>
        <v>0.06</v>
      </c>
      <c r="E47" s="0" t="n">
        <f aca="false">C47*D47</f>
        <v>1.4154</v>
      </c>
      <c r="F47" s="0" t="n">
        <f aca="false">C47+E47</f>
        <v>25.0054</v>
      </c>
      <c r="G47" s="0" t="s">
        <v>489</v>
      </c>
      <c r="H47" s="0" t="n">
        <f aca="false">ROUNDUP(F47/Inputs!$B$9,0)</f>
        <v>1</v>
      </c>
      <c r="I47" s="0" t="s">
        <v>490</v>
      </c>
    </row>
    <row r="48" customFormat="false" ht="15" hidden="false" customHeight="false" outlineLevel="0" collapsed="false">
      <c r="A48" s="0" t="s">
        <v>494</v>
      </c>
      <c r="B48" s="0" t="s">
        <v>440</v>
      </c>
      <c r="C48" s="0" t="n">
        <v>240.37</v>
      </c>
      <c r="D48" s="0" t="n">
        <f aca="false">Inputs!$B$6</f>
        <v>0.06</v>
      </c>
      <c r="E48" s="0" t="n">
        <f aca="false">C48*D48</f>
        <v>14.4222</v>
      </c>
      <c r="F48" s="0" t="n">
        <f aca="false">C48+E48</f>
        <v>254.7922</v>
      </c>
      <c r="G48" s="0" t="s">
        <v>489</v>
      </c>
      <c r="H48" s="0" t="n">
        <f aca="false">ROUNDUP(F48/Inputs!$B$9,0)</f>
        <v>6</v>
      </c>
      <c r="I48" s="0" t="s">
        <v>490</v>
      </c>
    </row>
    <row r="49" customFormat="false" ht="15" hidden="false" customHeight="false" outlineLevel="0" collapsed="false">
      <c r="A49" s="0" t="s">
        <v>495</v>
      </c>
      <c r="B49" s="0" t="s">
        <v>405</v>
      </c>
      <c r="C49" s="0" t="n">
        <v>56</v>
      </c>
      <c r="D49" s="0" t="n">
        <f aca="false">Inputs!$B$5</f>
        <v>0.15</v>
      </c>
      <c r="E49" s="0" t="n">
        <f aca="false">C49*D49</f>
        <v>8.4</v>
      </c>
      <c r="F49" s="0" t="n">
        <f aca="false">C49+E49</f>
        <v>64.4</v>
      </c>
      <c r="G49" s="0" t="s">
        <v>415</v>
      </c>
      <c r="H49" s="0" t="n">
        <f aca="false">ROUNDUP(F49/Inputs!$B$11,0)</f>
        <v>7</v>
      </c>
      <c r="I49" s="0" t="s">
        <v>496</v>
      </c>
    </row>
    <row r="50" customFormat="false" ht="15" hidden="false" customHeight="false" outlineLevel="0" collapsed="false">
      <c r="A50" s="0" t="s">
        <v>497</v>
      </c>
      <c r="B50" s="0" t="s">
        <v>434</v>
      </c>
      <c r="C50" s="0" t="n">
        <v>27</v>
      </c>
      <c r="D50" s="0" t="n">
        <v>0</v>
      </c>
      <c r="E50" s="0" t="n">
        <f aca="false">C50*D50</f>
        <v>0</v>
      </c>
      <c r="F50" s="0" t="n">
        <f aca="false">C50+E50</f>
        <v>27</v>
      </c>
      <c r="G50" s="0" t="s">
        <v>435</v>
      </c>
      <c r="H50" s="0" t="n">
        <f aca="false">ROUNDUP(F50,0)</f>
        <v>27</v>
      </c>
      <c r="I50" s="0" t="s">
        <v>498</v>
      </c>
    </row>
    <row r="51" customFormat="false" ht="15" hidden="false" customHeight="false" outlineLevel="0" collapsed="false">
      <c r="A51" s="0" t="s">
        <v>499</v>
      </c>
      <c r="B51" s="0" t="s">
        <v>405</v>
      </c>
      <c r="C51" s="0" t="n">
        <v>30</v>
      </c>
      <c r="D51" s="0" t="n">
        <f aca="false">Inputs!$B$5</f>
        <v>0.15</v>
      </c>
      <c r="E51" s="0" t="n">
        <f aca="false">C51*D51</f>
        <v>4.5</v>
      </c>
      <c r="F51" s="0" t="n">
        <f aca="false">C51+E51</f>
        <v>34.5</v>
      </c>
      <c r="G51" s="0" t="s">
        <v>406</v>
      </c>
      <c r="H51" s="0" t="n">
        <f aca="false">ROUNDUP(F51/Inputs!$B$10,0)</f>
        <v>2</v>
      </c>
      <c r="I51" s="0" t="s">
        <v>500</v>
      </c>
    </row>
    <row r="52" customFormat="false" ht="15" hidden="false" customHeight="false" outlineLevel="0" collapsed="false">
      <c r="A52" s="0" t="s">
        <v>501</v>
      </c>
      <c r="B52" s="0" t="s">
        <v>405</v>
      </c>
      <c r="C52" s="0" t="n">
        <v>31.05</v>
      </c>
      <c r="D52" s="0" t="n">
        <f aca="false">Inputs!$B$5</f>
        <v>0.15</v>
      </c>
      <c r="E52" s="0" t="n">
        <f aca="false">C52*D52</f>
        <v>4.6575</v>
      </c>
      <c r="F52" s="0" t="n">
        <f aca="false">C52+E52</f>
        <v>35.7075</v>
      </c>
      <c r="G52" s="0" t="s">
        <v>406</v>
      </c>
      <c r="H52" s="0" t="n">
        <f aca="false">ROUNDUP(F52/Inputs!$B$10,0)</f>
        <v>2</v>
      </c>
      <c r="I52" s="0" t="s">
        <v>502</v>
      </c>
    </row>
    <row r="53" customFormat="false" ht="15" hidden="false" customHeight="false" outlineLevel="0" collapsed="false">
      <c r="A53" s="0" t="s">
        <v>503</v>
      </c>
      <c r="B53" s="0" t="s">
        <v>440</v>
      </c>
      <c r="C53" s="0" t="n">
        <v>67.91</v>
      </c>
      <c r="D53" s="0" t="n">
        <f aca="false">Inputs!$B$6</f>
        <v>0.06</v>
      </c>
      <c r="E53" s="0" t="n">
        <f aca="false">C53*D53</f>
        <v>4.0746</v>
      </c>
      <c r="F53" s="0" t="n">
        <f aca="false">C53+E53</f>
        <v>71.9846</v>
      </c>
      <c r="G53" s="0" t="s">
        <v>489</v>
      </c>
      <c r="H53" s="0" t="n">
        <f aca="false">ROUNDUP(F53/Inputs!$B$9,0)</f>
        <v>2</v>
      </c>
      <c r="I53" s="0" t="s">
        <v>504</v>
      </c>
    </row>
    <row r="54" customFormat="false" ht="15" hidden="false" customHeight="false" outlineLevel="0" collapsed="false">
      <c r="A54" s="0" t="s">
        <v>505</v>
      </c>
      <c r="B54" s="0" t="s">
        <v>405</v>
      </c>
      <c r="C54" s="0" t="n">
        <v>223.5</v>
      </c>
      <c r="D54" s="0" t="n">
        <f aca="false">Inputs!$B$6</f>
        <v>0.06</v>
      </c>
      <c r="E54" s="0" t="n">
        <f aca="false">C54*D54</f>
        <v>13.41</v>
      </c>
      <c r="F54" s="0" t="n">
        <f aca="false">C54+E54</f>
        <v>236.91</v>
      </c>
      <c r="G54" s="0" t="s">
        <v>467</v>
      </c>
      <c r="H54" s="0" t="n">
        <f aca="false">ROUNDUP(F54/Inputs!$B$18,0)</f>
        <v>24</v>
      </c>
      <c r="I54" s="0" t="s">
        <v>506</v>
      </c>
    </row>
    <row r="55" customFormat="false" ht="15" hidden="false" customHeight="false" outlineLevel="0" collapsed="false">
      <c r="A55" s="0" t="s">
        <v>507</v>
      </c>
      <c r="B55" s="0" t="s">
        <v>434</v>
      </c>
      <c r="C55" s="0" t="n">
        <v>298</v>
      </c>
      <c r="D55" s="0" t="n">
        <v>0</v>
      </c>
      <c r="E55" s="0" t="n">
        <f aca="false">C55*D55</f>
        <v>0</v>
      </c>
      <c r="F55" s="0" t="n">
        <f aca="false">C55+E55</f>
        <v>298</v>
      </c>
      <c r="G55" s="0" t="s">
        <v>435</v>
      </c>
      <c r="H55" s="0" t="n">
        <f aca="false">ROUNDUP(F55,0)</f>
        <v>298</v>
      </c>
      <c r="I55" s="0" t="s">
        <v>508</v>
      </c>
    </row>
    <row r="56" customFormat="false" ht="15" hidden="false" customHeight="false" outlineLevel="0" collapsed="false">
      <c r="A56" s="0" t="s">
        <v>509</v>
      </c>
      <c r="B56" s="0" t="s">
        <v>434</v>
      </c>
      <c r="C56" s="0" t="n">
        <v>1</v>
      </c>
      <c r="D56" s="0" t="n">
        <v>0</v>
      </c>
      <c r="E56" s="0" t="n">
        <f aca="false">C56*D56</f>
        <v>0</v>
      </c>
      <c r="F56" s="0" t="n">
        <f aca="false">C56+E56</f>
        <v>1</v>
      </c>
      <c r="G56" s="0" t="s">
        <v>435</v>
      </c>
      <c r="H56" s="0" t="n">
        <f aca="false">ROUNDUP(F56,0)</f>
        <v>1</v>
      </c>
      <c r="I56" s="0" t="s">
        <v>510</v>
      </c>
    </row>
    <row r="57" customFormat="false" ht="15" hidden="false" customHeight="false" outlineLevel="0" collapsed="false">
      <c r="A57" s="0" t="s">
        <v>511</v>
      </c>
      <c r="B57" s="0" t="s">
        <v>434</v>
      </c>
      <c r="C57" s="0" t="n">
        <v>21447.35</v>
      </c>
      <c r="D57" s="0" t="n">
        <v>0</v>
      </c>
      <c r="E57" s="0" t="n">
        <f aca="false">C57*D57</f>
        <v>0</v>
      </c>
      <c r="F57" s="0" t="n">
        <f aca="false">C57+E57</f>
        <v>21447.35</v>
      </c>
      <c r="G57" s="0" t="s">
        <v>435</v>
      </c>
      <c r="H57" s="0" t="n">
        <f aca="false">ROUNDUP(F57,0)</f>
        <v>21448</v>
      </c>
      <c r="I57" s="0" t="s">
        <v>512</v>
      </c>
      <c r="J57" s="0" t="n">
        <f aca="false">Inputs!$B$20*17872.8</f>
        <v>21447.36</v>
      </c>
    </row>
    <row r="58" customFormat="false" ht="15" hidden="false" customHeight="false" outlineLevel="0" collapsed="false">
      <c r="A58" s="0" t="s">
        <v>513</v>
      </c>
      <c r="B58" s="0" t="s">
        <v>434</v>
      </c>
      <c r="C58" s="0" t="n">
        <v>7116</v>
      </c>
      <c r="D58" s="0" t="n">
        <v>0</v>
      </c>
      <c r="E58" s="0" t="n">
        <f aca="false">C58*D58</f>
        <v>0</v>
      </c>
      <c r="F58" s="0" t="n">
        <f aca="false">C58+E58</f>
        <v>7116</v>
      </c>
      <c r="G58" s="0" t="s">
        <v>435</v>
      </c>
      <c r="H58" s="0" t="n">
        <f aca="false">ROUNDUP(F58,0)</f>
        <v>7116</v>
      </c>
      <c r="I58" s="0" t="s">
        <v>514</v>
      </c>
      <c r="J58" s="0" t="n">
        <f aca="false">Inputs!$B$21*1779</f>
        <v>7116</v>
      </c>
    </row>
    <row r="59" customFormat="false" ht="15" hidden="false" customHeight="false" outlineLevel="0" collapsed="false">
      <c r="A59" s="0" t="s">
        <v>515</v>
      </c>
      <c r="B59" s="0" t="s">
        <v>434</v>
      </c>
      <c r="C59" s="0" t="n">
        <v>533.86</v>
      </c>
      <c r="D59" s="0" t="n">
        <v>0</v>
      </c>
      <c r="E59" s="0" t="n">
        <f aca="false">C59*D59</f>
        <v>0</v>
      </c>
      <c r="F59" s="0" t="n">
        <f aca="false">C59+E59</f>
        <v>533.86</v>
      </c>
      <c r="G59" s="0" t="s">
        <v>435</v>
      </c>
      <c r="H59" s="0" t="n">
        <f aca="false">ROUNDUP(F59,0)</f>
        <v>534</v>
      </c>
      <c r="I59" s="0" t="s">
        <v>516</v>
      </c>
      <c r="J59" s="0" t="n">
        <f aca="false">533.86/Inputs!$B$22</f>
        <v>533.86</v>
      </c>
    </row>
    <row r="60" customFormat="false" ht="15" hidden="false" customHeight="false" outlineLevel="0" collapsed="false">
      <c r="A60" s="0" t="s">
        <v>517</v>
      </c>
      <c r="B60" s="0" t="s">
        <v>434</v>
      </c>
      <c r="C60" s="0" t="n">
        <v>322.69</v>
      </c>
      <c r="D60" s="0" t="n">
        <v>0</v>
      </c>
      <c r="E60" s="0" t="n">
        <f aca="false">C60*D60</f>
        <v>0</v>
      </c>
      <c r="F60" s="0" t="n">
        <f aca="false">C60+E60</f>
        <v>322.69</v>
      </c>
      <c r="G60" s="0" t="s">
        <v>435</v>
      </c>
      <c r="H60" s="0" t="n">
        <f aca="false">ROUNDUP(F60,0)</f>
        <v>323</v>
      </c>
      <c r="I60" s="0" t="s">
        <v>518</v>
      </c>
      <c r="J60" s="0" t="n">
        <f aca="false">215.14/Inputs!$B$25</f>
        <v>322.693865306735</v>
      </c>
    </row>
    <row r="61" customFormat="false" ht="15" hidden="false" customHeight="false" outlineLevel="0" collapsed="false">
      <c r="A61" s="0" t="s">
        <v>519</v>
      </c>
      <c r="B61" s="0" t="s">
        <v>520</v>
      </c>
      <c r="C61" s="0" t="n">
        <v>1286.84</v>
      </c>
      <c r="D61" s="0" t="n">
        <v>0</v>
      </c>
      <c r="E61" s="0" t="n">
        <f aca="false">C61*D61</f>
        <v>0</v>
      </c>
      <c r="F61" s="0" t="n">
        <f aca="false">C61+E61</f>
        <v>1286.84</v>
      </c>
      <c r="G61" s="0" t="s">
        <v>521</v>
      </c>
      <c r="H61" s="0" t="n">
        <f aca="false">ROUNDUP(F61,0)</f>
        <v>1287</v>
      </c>
      <c r="I61" s="0" t="s">
        <v>522</v>
      </c>
      <c r="J61" s="0" t="n">
        <f aca="false">Inputs!$B$23*17872.8</f>
        <v>1286.8416</v>
      </c>
    </row>
    <row r="62" customFormat="false" ht="15" hidden="false" customHeight="false" outlineLevel="0" collapsed="false">
      <c r="A62" s="0" t="s">
        <v>523</v>
      </c>
      <c r="B62" s="0" t="s">
        <v>405</v>
      </c>
      <c r="C62" s="0" t="n">
        <v>6612.93</v>
      </c>
      <c r="D62" s="0" t="n">
        <v>0</v>
      </c>
      <c r="E62" s="0" t="n">
        <f aca="false">C62*D62</f>
        <v>0</v>
      </c>
      <c r="F62" s="0" t="n">
        <f aca="false">C62+E62</f>
        <v>6612.93</v>
      </c>
      <c r="G62" s="0" t="s">
        <v>405</v>
      </c>
      <c r="H62" s="0" t="n">
        <f aca="false">ROUNDUP(F62,0)</f>
        <v>6613</v>
      </c>
      <c r="I62" s="0" t="s">
        <v>524</v>
      </c>
      <c r="J62" s="0" t="n">
        <f aca="false">Inputs!$B$24*17872.8</f>
        <v>6612.936</v>
      </c>
    </row>
    <row r="63" customFormat="false" ht="15" hidden="false" customHeight="false" outlineLevel="0" collapsed="false">
      <c r="A63" s="0" t="s">
        <v>525</v>
      </c>
      <c r="B63" s="0" t="s">
        <v>440</v>
      </c>
      <c r="C63" s="0" t="n">
        <v>859.27</v>
      </c>
      <c r="D63" s="0" t="n">
        <f aca="false">Inputs!$B$6</f>
        <v>0.06</v>
      </c>
      <c r="E63" s="0" t="n">
        <f aca="false">C63*D63</f>
        <v>51.5562</v>
      </c>
      <c r="F63" s="0" t="n">
        <f aca="false">C63+E63</f>
        <v>910.8262</v>
      </c>
      <c r="G63" s="0" t="s">
        <v>440</v>
      </c>
      <c r="H63" s="0" t="n">
        <f aca="false">ROUNDUP(F63,0)</f>
        <v>911</v>
      </c>
      <c r="I63" s="0" t="s">
        <v>526</v>
      </c>
    </row>
    <row r="64" customFormat="false" ht="15" hidden="false" customHeight="false" outlineLevel="0" collapsed="false">
      <c r="A64" s="0" t="s">
        <v>527</v>
      </c>
      <c r="B64" s="0" t="s">
        <v>434</v>
      </c>
      <c r="C64" s="0" t="n">
        <v>0</v>
      </c>
      <c r="D64" s="0" t="n">
        <v>0</v>
      </c>
      <c r="E64" s="0" t="n">
        <f aca="false">C64*D64</f>
        <v>0</v>
      </c>
      <c r="F64" s="0" t="n">
        <f aca="false">C64+E64</f>
        <v>0</v>
      </c>
      <c r="G64" s="0" t="s">
        <v>435</v>
      </c>
      <c r="H64" s="0" t="n">
        <f aca="false">ROUNDUP(F64,0)</f>
        <v>0</v>
      </c>
      <c r="I64" s="0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529</v>
      </c>
      <c r="B1" s="2" t="s">
        <v>530</v>
      </c>
      <c r="C1" s="2" t="s">
        <v>531</v>
      </c>
    </row>
    <row r="2" customFormat="false" ht="15" hidden="false" customHeight="false" outlineLevel="0" collapsed="false">
      <c r="A2" s="0" t="s">
        <v>532</v>
      </c>
      <c r="B2" s="0" t="s">
        <v>533</v>
      </c>
      <c r="C2" s="0" t="s">
        <v>534</v>
      </c>
    </row>
    <row r="3" customFormat="false" ht="15" hidden="false" customHeight="false" outlineLevel="0" collapsed="false">
      <c r="A3" s="0" t="s">
        <v>535</v>
      </c>
      <c r="B3" s="0" t="s">
        <v>536</v>
      </c>
      <c r="C3" s="0" t="s">
        <v>537</v>
      </c>
    </row>
    <row r="4" customFormat="false" ht="15" hidden="false" customHeight="false" outlineLevel="0" collapsed="false">
      <c r="A4" s="0" t="s">
        <v>538</v>
      </c>
      <c r="B4" s="0" t="s">
        <v>539</v>
      </c>
      <c r="C4" s="0" t="s">
        <v>540</v>
      </c>
    </row>
    <row r="5" customFormat="false" ht="15" hidden="false" customHeight="false" outlineLevel="0" collapsed="false">
      <c r="A5" s="0" t="s">
        <v>541</v>
      </c>
      <c r="B5" s="0" t="s">
        <v>542</v>
      </c>
      <c r="C5" s="0" t="s">
        <v>543</v>
      </c>
    </row>
    <row r="6" customFormat="false" ht="15" hidden="false" customHeight="false" outlineLevel="0" collapsed="false">
      <c r="A6" s="0" t="s">
        <v>544</v>
      </c>
      <c r="B6" s="0" t="s">
        <v>545</v>
      </c>
      <c r="C6" s="0" t="s">
        <v>540</v>
      </c>
    </row>
    <row r="7" customFormat="false" ht="15" hidden="false" customHeight="false" outlineLevel="0" collapsed="false">
      <c r="A7" s="0" t="s">
        <v>546</v>
      </c>
      <c r="B7" s="0" t="s">
        <v>547</v>
      </c>
      <c r="C7" s="0" t="s">
        <v>548</v>
      </c>
    </row>
    <row r="8" customFormat="false" ht="15" hidden="false" customHeight="false" outlineLevel="0" collapsed="false">
      <c r="A8" s="0" t="s">
        <v>549</v>
      </c>
      <c r="B8" s="0" t="s">
        <v>550</v>
      </c>
      <c r="C8" s="0" t="s">
        <v>551</v>
      </c>
    </row>
    <row r="9" customFormat="false" ht="15" hidden="false" customHeight="false" outlineLevel="0" collapsed="false">
      <c r="A9" s="0" t="s">
        <v>552</v>
      </c>
      <c r="B9" s="0" t="s">
        <v>553</v>
      </c>
      <c r="C9" s="0" t="s">
        <v>554</v>
      </c>
    </row>
    <row r="10" customFormat="false" ht="15" hidden="false" customHeight="false" outlineLevel="0" collapsed="false">
      <c r="A10" s="0" t="s">
        <v>555</v>
      </c>
      <c r="B10" s="0" t="s">
        <v>556</v>
      </c>
      <c r="C10" s="0" t="s">
        <v>557</v>
      </c>
    </row>
    <row r="11" customFormat="false" ht="15" hidden="false" customHeight="false" outlineLevel="0" collapsed="false">
      <c r="A11" s="0" t="s">
        <v>558</v>
      </c>
      <c r="B11" s="0" t="s">
        <v>559</v>
      </c>
      <c r="C11" s="0" t="s">
        <v>560</v>
      </c>
    </row>
    <row r="12" customFormat="false" ht="15" hidden="false" customHeight="false" outlineLevel="0" collapsed="false">
      <c r="A12" s="0" t="s">
        <v>561</v>
      </c>
      <c r="B12" s="0" t="s">
        <v>562</v>
      </c>
      <c r="C12" s="0" t="s">
        <v>563</v>
      </c>
    </row>
    <row r="13" customFormat="false" ht="15" hidden="false" customHeight="false" outlineLevel="0" collapsed="false">
      <c r="A13" s="0" t="s">
        <v>564</v>
      </c>
      <c r="B13" s="0" t="s">
        <v>565</v>
      </c>
      <c r="C13" s="0" t="s">
        <v>566</v>
      </c>
    </row>
    <row r="14" customFormat="false" ht="15" hidden="false" customHeight="false" outlineLevel="0" collapsed="false">
      <c r="A14" s="0" t="s">
        <v>567</v>
      </c>
      <c r="B14" s="0" t="s">
        <v>568</v>
      </c>
      <c r="C14" s="0" t="s">
        <v>569</v>
      </c>
    </row>
    <row r="15" customFormat="false" ht="15" hidden="false" customHeight="false" outlineLevel="0" collapsed="false">
      <c r="A15" s="0" t="s">
        <v>570</v>
      </c>
      <c r="B15" s="0" t="s">
        <v>571</v>
      </c>
      <c r="C15" s="0" t="s">
        <v>572</v>
      </c>
    </row>
    <row r="16" customFormat="false" ht="15" hidden="false" customHeight="false" outlineLevel="0" collapsed="false">
      <c r="A16" s="0" t="s">
        <v>573</v>
      </c>
      <c r="B16" s="0" t="s">
        <v>574</v>
      </c>
      <c r="C16" s="0" t="s">
        <v>575</v>
      </c>
    </row>
    <row r="17" customFormat="false" ht="15" hidden="false" customHeight="false" outlineLevel="0" collapsed="false">
      <c r="A17" s="0" t="s">
        <v>576</v>
      </c>
      <c r="B17" s="0" t="s">
        <v>577</v>
      </c>
      <c r="C17" s="0" t="s">
        <v>578</v>
      </c>
    </row>
    <row r="18" customFormat="false" ht="15" hidden="false" customHeight="false" outlineLevel="0" collapsed="false">
      <c r="A18" s="0" t="s">
        <v>579</v>
      </c>
      <c r="B18" s="0" t="s">
        <v>580</v>
      </c>
      <c r="C18" s="0" t="s">
        <v>581</v>
      </c>
    </row>
    <row r="19" customFormat="false" ht="15" hidden="false" customHeight="false" outlineLevel="0" collapsed="false">
      <c r="A19" s="0" t="s">
        <v>582</v>
      </c>
      <c r="B19" s="0" t="s">
        <v>583</v>
      </c>
      <c r="C19" s="0" t="s">
        <v>584</v>
      </c>
    </row>
    <row r="20" customFormat="false" ht="15" hidden="false" customHeight="false" outlineLevel="0" collapsed="false">
      <c r="A20" s="0" t="s">
        <v>585</v>
      </c>
      <c r="B20" s="0" t="s">
        <v>586</v>
      </c>
      <c r="C20" s="0" t="s">
        <v>587</v>
      </c>
    </row>
    <row r="21" customFormat="false" ht="15" hidden="false" customHeight="false" outlineLevel="0" collapsed="false">
      <c r="A21" s="0" t="s">
        <v>588</v>
      </c>
      <c r="B21" s="0" t="s">
        <v>589</v>
      </c>
      <c r="C21" s="0" t="s">
        <v>590</v>
      </c>
    </row>
    <row r="22" customFormat="false" ht="15" hidden="false" customHeight="false" outlineLevel="0" collapsed="false">
      <c r="A22" s="0" t="s">
        <v>591</v>
      </c>
      <c r="B22" s="0" t="s">
        <v>592</v>
      </c>
      <c r="C22" s="0" t="s">
        <v>593</v>
      </c>
    </row>
    <row r="23" customFormat="false" ht="15" hidden="false" customHeight="false" outlineLevel="0" collapsed="false">
      <c r="A23" s="0" t="s">
        <v>594</v>
      </c>
      <c r="B23" s="0" t="s">
        <v>595</v>
      </c>
      <c r="C23" s="0" t="s">
        <v>596</v>
      </c>
    </row>
    <row r="24" customFormat="false" ht="15" hidden="false" customHeight="false" outlineLevel="0" collapsed="false">
      <c r="A24" s="0" t="s">
        <v>597</v>
      </c>
      <c r="B24" s="0" t="s">
        <v>598</v>
      </c>
      <c r="C24" s="0" t="s">
        <v>599</v>
      </c>
    </row>
    <row r="25" customFormat="false" ht="15" hidden="false" customHeight="false" outlineLevel="0" collapsed="false">
      <c r="A25" s="0" t="s">
        <v>600</v>
      </c>
      <c r="B25" s="0" t="s">
        <v>601</v>
      </c>
      <c r="C25" s="0" t="s">
        <v>602</v>
      </c>
    </row>
    <row r="26" customFormat="false" ht="15" hidden="false" customHeight="false" outlineLevel="0" collapsed="false">
      <c r="A26" s="0" t="s">
        <v>603</v>
      </c>
      <c r="B26" s="0" t="s">
        <v>604</v>
      </c>
      <c r="C26" s="0" t="s">
        <v>605</v>
      </c>
    </row>
    <row r="27" customFormat="false" ht="15" hidden="false" customHeight="false" outlineLevel="0" collapsed="false">
      <c r="A27" s="0" t="s">
        <v>606</v>
      </c>
      <c r="B27" s="0" t="s">
        <v>607</v>
      </c>
      <c r="C27" s="0" t="s">
        <v>608</v>
      </c>
    </row>
    <row r="28" customFormat="false" ht="15" hidden="false" customHeight="false" outlineLevel="0" collapsed="false">
      <c r="A28" s="0" t="s">
        <v>609</v>
      </c>
      <c r="B28" s="0" t="s">
        <v>610</v>
      </c>
      <c r="C28" s="0" t="s">
        <v>611</v>
      </c>
    </row>
    <row r="29" customFormat="false" ht="15" hidden="false" customHeight="false" outlineLevel="0" collapsed="false">
      <c r="A29" s="0" t="s">
        <v>612</v>
      </c>
      <c r="B29" s="0" t="s">
        <v>613</v>
      </c>
      <c r="C29" s="0" t="s">
        <v>614</v>
      </c>
    </row>
    <row r="30" customFormat="false" ht="15" hidden="false" customHeight="false" outlineLevel="0" collapsed="false">
      <c r="A30" s="0" t="s">
        <v>615</v>
      </c>
      <c r="B30" s="0" t="s">
        <v>616</v>
      </c>
      <c r="C30" s="0" t="s">
        <v>617</v>
      </c>
    </row>
    <row r="31" customFormat="false" ht="15" hidden="false" customHeight="false" outlineLevel="0" collapsed="false">
      <c r="A31" s="0" t="s">
        <v>618</v>
      </c>
      <c r="B31" s="0" t="s">
        <v>619</v>
      </c>
      <c r="C31" s="0" t="s">
        <v>620</v>
      </c>
    </row>
    <row r="32" customFormat="false" ht="15" hidden="false" customHeight="false" outlineLevel="0" collapsed="false">
      <c r="A32" s="0" t="s">
        <v>621</v>
      </c>
      <c r="B32" s="0" t="s">
        <v>622</v>
      </c>
      <c r="C32" s="0" t="s">
        <v>623</v>
      </c>
    </row>
    <row r="33" customFormat="false" ht="15" hidden="false" customHeight="false" outlineLevel="0" collapsed="false">
      <c r="A33" s="0" t="s">
        <v>624</v>
      </c>
      <c r="B33" s="0" t="s">
        <v>625</v>
      </c>
      <c r="C33" s="0" t="s">
        <v>626</v>
      </c>
    </row>
    <row r="34" customFormat="false" ht="15" hidden="false" customHeight="false" outlineLevel="0" collapsed="false">
      <c r="A34" s="0" t="s">
        <v>627</v>
      </c>
      <c r="B34" s="0" t="s">
        <v>628</v>
      </c>
      <c r="C34" s="0" t="s">
        <v>629</v>
      </c>
    </row>
    <row r="35" customFormat="false" ht="15" hidden="false" customHeight="false" outlineLevel="0" collapsed="false">
      <c r="A35" s="0" t="s">
        <v>630</v>
      </c>
      <c r="B35" s="0" t="s">
        <v>631</v>
      </c>
      <c r="C35" s="0" t="s">
        <v>632</v>
      </c>
    </row>
    <row r="36" customFormat="false" ht="15" hidden="false" customHeight="false" outlineLevel="0" collapsed="false">
      <c r="A36" s="0" t="s">
        <v>633</v>
      </c>
      <c r="B36" s="0" t="s">
        <v>634</v>
      </c>
      <c r="C36" s="0" t="s">
        <v>635</v>
      </c>
    </row>
    <row r="37" customFormat="false" ht="15" hidden="false" customHeight="false" outlineLevel="0" collapsed="false">
      <c r="A37" s="0" t="s">
        <v>636</v>
      </c>
      <c r="B37" s="0" t="s">
        <v>637</v>
      </c>
      <c r="C37" s="0" t="s">
        <v>638</v>
      </c>
    </row>
    <row r="38" customFormat="false" ht="15" hidden="false" customHeight="false" outlineLevel="0" collapsed="false">
      <c r="A38" s="0" t="s">
        <v>639</v>
      </c>
      <c r="B38" s="0" t="s">
        <v>640</v>
      </c>
      <c r="C38" s="0" t="s">
        <v>641</v>
      </c>
    </row>
    <row r="39" customFormat="false" ht="15" hidden="false" customHeight="false" outlineLevel="0" collapsed="false">
      <c r="A39" s="0" t="s">
        <v>642</v>
      </c>
      <c r="B39" s="0" t="s">
        <v>643</v>
      </c>
      <c r="C39" s="0" t="s">
        <v>644</v>
      </c>
    </row>
    <row r="40" customFormat="false" ht="15" hidden="false" customHeight="false" outlineLevel="0" collapsed="false">
      <c r="A40" s="0" t="s">
        <v>645</v>
      </c>
      <c r="B40" s="0" t="s">
        <v>646</v>
      </c>
      <c r="C40" s="0" t="s">
        <v>647</v>
      </c>
    </row>
    <row r="41" customFormat="false" ht="15" hidden="false" customHeight="false" outlineLevel="0" collapsed="false">
      <c r="A41" s="0" t="s">
        <v>648</v>
      </c>
      <c r="B41" s="0" t="s">
        <v>649</v>
      </c>
      <c r="C41" s="0" t="s">
        <v>650</v>
      </c>
    </row>
    <row r="42" customFormat="false" ht="15" hidden="false" customHeight="false" outlineLevel="0" collapsed="false">
      <c r="A42" s="0" t="s">
        <v>651</v>
      </c>
      <c r="B42" s="0" t="s">
        <v>652</v>
      </c>
      <c r="C42" s="0" t="s">
        <v>653</v>
      </c>
    </row>
    <row r="43" customFormat="false" ht="15" hidden="false" customHeight="false" outlineLevel="0" collapsed="false">
      <c r="A43" s="0" t="s">
        <v>654</v>
      </c>
      <c r="B43" s="0" t="s">
        <v>655</v>
      </c>
      <c r="C43" s="0" t="s">
        <v>656</v>
      </c>
    </row>
    <row r="44" customFormat="false" ht="15" hidden="false" customHeight="false" outlineLevel="0" collapsed="false">
      <c r="A44" s="0" t="s">
        <v>657</v>
      </c>
      <c r="B44" s="0" t="s">
        <v>658</v>
      </c>
      <c r="C44" s="0" t="s">
        <v>659</v>
      </c>
    </row>
    <row r="45" customFormat="false" ht="15" hidden="false" customHeight="false" outlineLevel="0" collapsed="false">
      <c r="A45" s="0" t="s">
        <v>660</v>
      </c>
      <c r="B45" s="0" t="s">
        <v>661</v>
      </c>
      <c r="C45" s="0" t="s">
        <v>662</v>
      </c>
    </row>
    <row r="46" customFormat="false" ht="15" hidden="false" customHeight="false" outlineLevel="0" collapsed="false">
      <c r="A46" s="0" t="s">
        <v>663</v>
      </c>
      <c r="B46" s="0" t="s">
        <v>664</v>
      </c>
      <c r="C46" s="0" t="s">
        <v>665</v>
      </c>
    </row>
    <row r="47" customFormat="false" ht="15" hidden="false" customHeight="false" outlineLevel="0" collapsed="false">
      <c r="A47" s="0" t="s">
        <v>666</v>
      </c>
      <c r="B47" s="0" t="s">
        <v>667</v>
      </c>
      <c r="C47" s="0" t="s">
        <v>668</v>
      </c>
    </row>
    <row r="48" customFormat="false" ht="15" hidden="false" customHeight="false" outlineLevel="0" collapsed="false">
      <c r="A48" s="0" t="s">
        <v>669</v>
      </c>
      <c r="B48" s="0" t="s">
        <v>670</v>
      </c>
      <c r="C48" s="0" t="s">
        <v>671</v>
      </c>
    </row>
    <row r="49" customFormat="false" ht="15" hidden="false" customHeight="false" outlineLevel="0" collapsed="false">
      <c r="A49" s="0" t="s">
        <v>672</v>
      </c>
      <c r="B49" s="0" t="s">
        <v>673</v>
      </c>
      <c r="C49" s="0" t="s">
        <v>674</v>
      </c>
    </row>
    <row r="50" customFormat="false" ht="15" hidden="false" customHeight="false" outlineLevel="0" collapsed="false">
      <c r="A50" s="0" t="s">
        <v>675</v>
      </c>
      <c r="B50" s="0" t="s">
        <v>676</v>
      </c>
      <c r="C50" s="0" t="s">
        <v>677</v>
      </c>
    </row>
    <row r="51" customFormat="false" ht="15" hidden="false" customHeight="false" outlineLevel="0" collapsed="false">
      <c r="A51" s="0" t="s">
        <v>678</v>
      </c>
      <c r="B51" s="0" t="s">
        <v>679</v>
      </c>
      <c r="C51" s="0" t="s">
        <v>680</v>
      </c>
    </row>
    <row r="52" customFormat="false" ht="15" hidden="false" customHeight="false" outlineLevel="0" collapsed="false">
      <c r="A52" s="0" t="s">
        <v>681</v>
      </c>
      <c r="B52" s="0" t="s">
        <v>682</v>
      </c>
      <c r="C52" s="0" t="s">
        <v>683</v>
      </c>
    </row>
    <row r="53" customFormat="false" ht="15" hidden="false" customHeight="false" outlineLevel="0" collapsed="false">
      <c r="A53" s="0" t="s">
        <v>684</v>
      </c>
      <c r="B53" s="0" t="s">
        <v>685</v>
      </c>
      <c r="C53" s="0" t="s">
        <v>686</v>
      </c>
    </row>
    <row r="54" customFormat="false" ht="15" hidden="false" customHeight="false" outlineLevel="0" collapsed="false">
      <c r="A54" s="0" t="s">
        <v>687</v>
      </c>
      <c r="B54" s="0" t="s">
        <v>688</v>
      </c>
      <c r="C54" s="0" t="s">
        <v>689</v>
      </c>
    </row>
    <row r="55" customFormat="false" ht="15" hidden="false" customHeight="false" outlineLevel="0" collapsed="false">
      <c r="A55" s="0" t="s">
        <v>690</v>
      </c>
      <c r="B55" s="0" t="s">
        <v>691</v>
      </c>
      <c r="C55" s="0" t="s">
        <v>692</v>
      </c>
    </row>
    <row r="56" customFormat="false" ht="15" hidden="false" customHeight="false" outlineLevel="0" collapsed="false">
      <c r="A56" s="0" t="s">
        <v>693</v>
      </c>
      <c r="B56" s="0" t="s">
        <v>694</v>
      </c>
      <c r="C56" s="0" t="s">
        <v>695</v>
      </c>
    </row>
    <row r="57" customFormat="false" ht="15" hidden="false" customHeight="false" outlineLevel="0" collapsed="false">
      <c r="A57" s="0" t="s">
        <v>696</v>
      </c>
      <c r="B57" s="0" t="s">
        <v>697</v>
      </c>
      <c r="C57" s="0" t="s">
        <v>698</v>
      </c>
    </row>
    <row r="58" customFormat="false" ht="15" hidden="false" customHeight="false" outlineLevel="0" collapsed="false">
      <c r="A58" s="0" t="s">
        <v>699</v>
      </c>
      <c r="B58" s="0" t="s">
        <v>700</v>
      </c>
      <c r="C58" s="0" t="s">
        <v>701</v>
      </c>
    </row>
    <row r="59" customFormat="false" ht="15" hidden="false" customHeight="false" outlineLevel="0" collapsed="false">
      <c r="A59" s="0" t="s">
        <v>702</v>
      </c>
      <c r="B59" s="0" t="s">
        <v>703</v>
      </c>
      <c r="C59" s="0" t="s">
        <v>704</v>
      </c>
    </row>
    <row r="60" customFormat="false" ht="15" hidden="false" customHeight="false" outlineLevel="0" collapsed="false">
      <c r="A60" s="0" t="s">
        <v>705</v>
      </c>
      <c r="B60" s="0" t="s">
        <v>706</v>
      </c>
      <c r="C60" s="0" t="s">
        <v>707</v>
      </c>
    </row>
    <row r="61" customFormat="false" ht="15" hidden="false" customHeight="false" outlineLevel="0" collapsed="false">
      <c r="A61" s="0" t="s">
        <v>708</v>
      </c>
      <c r="B61" s="0" t="s">
        <v>709</v>
      </c>
      <c r="C61" s="0" t="s">
        <v>710</v>
      </c>
    </row>
    <row r="62" customFormat="false" ht="15" hidden="false" customHeight="false" outlineLevel="0" collapsed="false">
      <c r="A62" s="0" t="s">
        <v>711</v>
      </c>
      <c r="B62" s="0" t="s">
        <v>712</v>
      </c>
      <c r="C62" s="0" t="s">
        <v>713</v>
      </c>
    </row>
    <row r="63" customFormat="false" ht="15" hidden="false" customHeight="false" outlineLevel="0" collapsed="false">
      <c r="A63" s="0" t="s">
        <v>714</v>
      </c>
      <c r="B63" s="0" t="s">
        <v>715</v>
      </c>
      <c r="C63" s="0" t="s">
        <v>716</v>
      </c>
    </row>
    <row r="64" customFormat="false" ht="15" hidden="false" customHeight="false" outlineLevel="0" collapsed="false">
      <c r="A64" s="0" t="s">
        <v>717</v>
      </c>
      <c r="B64" s="0" t="s">
        <v>718</v>
      </c>
      <c r="C64" s="0" t="s">
        <v>719</v>
      </c>
    </row>
    <row r="65" customFormat="false" ht="15" hidden="false" customHeight="false" outlineLevel="0" collapsed="false">
      <c r="A65" s="0" t="s">
        <v>720</v>
      </c>
      <c r="B65" s="0" t="s">
        <v>721</v>
      </c>
      <c r="C65" s="0" t="s">
        <v>722</v>
      </c>
    </row>
    <row r="66" customFormat="false" ht="15" hidden="false" customHeight="false" outlineLevel="0" collapsed="false">
      <c r="A66" s="0" t="s">
        <v>723</v>
      </c>
      <c r="B66" s="0" t="s">
        <v>724</v>
      </c>
      <c r="C66" s="0" t="s">
        <v>725</v>
      </c>
    </row>
    <row r="67" customFormat="false" ht="15" hidden="false" customHeight="false" outlineLevel="0" collapsed="false">
      <c r="A67" s="0" t="s">
        <v>726</v>
      </c>
      <c r="B67" s="0" t="s">
        <v>727</v>
      </c>
      <c r="C67" s="0" t="s">
        <v>728</v>
      </c>
    </row>
    <row r="68" customFormat="false" ht="15" hidden="false" customHeight="false" outlineLevel="0" collapsed="false">
      <c r="A68" s="0" t="s">
        <v>729</v>
      </c>
      <c r="B68" s="0" t="s">
        <v>730</v>
      </c>
      <c r="C68" s="0" t="s">
        <v>728</v>
      </c>
    </row>
    <row r="69" customFormat="false" ht="15" hidden="false" customHeight="false" outlineLevel="0" collapsed="false">
      <c r="A69" s="0" t="s">
        <v>731</v>
      </c>
      <c r="B69" s="0" t="s">
        <v>732</v>
      </c>
      <c r="C69" s="0" t="s">
        <v>728</v>
      </c>
    </row>
    <row r="70" customFormat="false" ht="15" hidden="false" customHeight="false" outlineLevel="0" collapsed="false">
      <c r="A70" s="0" t="s">
        <v>733</v>
      </c>
      <c r="B70" s="0" t="s">
        <v>734</v>
      </c>
      <c r="C70" s="0" t="s">
        <v>735</v>
      </c>
    </row>
    <row r="71" customFormat="false" ht="15" hidden="false" customHeight="false" outlineLevel="0" collapsed="false">
      <c r="A71" s="0" t="s">
        <v>736</v>
      </c>
      <c r="B71" s="0" t="s">
        <v>737</v>
      </c>
      <c r="C71" s="0" t="s">
        <v>738</v>
      </c>
    </row>
    <row r="72" customFormat="false" ht="15" hidden="false" customHeight="false" outlineLevel="0" collapsed="false">
      <c r="A72" s="0" t="s">
        <v>739</v>
      </c>
      <c r="B72" s="0" t="s">
        <v>740</v>
      </c>
      <c r="C72" s="0" t="s">
        <v>741</v>
      </c>
    </row>
    <row r="73" customFormat="false" ht="15" hidden="false" customHeight="false" outlineLevel="0" collapsed="false">
      <c r="A73" s="0" t="s">
        <v>742</v>
      </c>
      <c r="B73" s="0" t="s">
        <v>743</v>
      </c>
      <c r="C73" s="0" t="s">
        <v>744</v>
      </c>
    </row>
    <row r="74" customFormat="false" ht="15" hidden="false" customHeight="false" outlineLevel="0" collapsed="false">
      <c r="A74" s="0" t="s">
        <v>745</v>
      </c>
      <c r="B74" s="0" t="s">
        <v>746</v>
      </c>
      <c r="C74" s="0" t="s">
        <v>735</v>
      </c>
    </row>
    <row r="75" customFormat="false" ht="15" hidden="false" customHeight="false" outlineLevel="0" collapsed="false">
      <c r="A75" s="0" t="s">
        <v>747</v>
      </c>
      <c r="B75" s="0" t="s">
        <v>748</v>
      </c>
      <c r="C75" s="0" t="s">
        <v>735</v>
      </c>
    </row>
    <row r="76" customFormat="false" ht="15" hidden="false" customHeight="false" outlineLevel="0" collapsed="false">
      <c r="A76" s="0" t="s">
        <v>749</v>
      </c>
      <c r="B76" s="0" t="s">
        <v>750</v>
      </c>
      <c r="C76" s="0" t="s">
        <v>751</v>
      </c>
    </row>
    <row r="77" customFormat="false" ht="15" hidden="false" customHeight="false" outlineLevel="0" collapsed="false">
      <c r="A77" s="0" t="s">
        <v>752</v>
      </c>
      <c r="B77" s="0" t="s">
        <v>753</v>
      </c>
      <c r="C77" s="0" t="s">
        <v>744</v>
      </c>
    </row>
    <row r="78" customFormat="false" ht="15" hidden="false" customHeight="false" outlineLevel="0" collapsed="false">
      <c r="A78" s="0" t="s">
        <v>754</v>
      </c>
      <c r="B78" s="0" t="s">
        <v>755</v>
      </c>
      <c r="C78" s="0" t="s">
        <v>756</v>
      </c>
    </row>
    <row r="79" customFormat="false" ht="15" hidden="false" customHeight="false" outlineLevel="0" collapsed="false">
      <c r="A79" s="0" t="s">
        <v>757</v>
      </c>
      <c r="B79" s="0" t="s">
        <v>758</v>
      </c>
      <c r="C79" s="0" t="s">
        <v>759</v>
      </c>
    </row>
    <row r="80" customFormat="false" ht="15" hidden="false" customHeight="false" outlineLevel="0" collapsed="false">
      <c r="A80" s="0" t="s">
        <v>760</v>
      </c>
      <c r="B80" s="0" t="s">
        <v>761</v>
      </c>
      <c r="C80" s="0" t="s">
        <v>762</v>
      </c>
    </row>
    <row r="81" customFormat="false" ht="15" hidden="false" customHeight="false" outlineLevel="0" collapsed="false">
      <c r="A81" s="0" t="s">
        <v>763</v>
      </c>
      <c r="B81" s="0" t="s">
        <v>764</v>
      </c>
      <c r="C81" s="0" t="s">
        <v>765</v>
      </c>
    </row>
    <row r="82" customFormat="false" ht="15" hidden="false" customHeight="false" outlineLevel="0" collapsed="false">
      <c r="A82" s="0" t="s">
        <v>766</v>
      </c>
      <c r="B82" s="0" t="s">
        <v>767</v>
      </c>
      <c r="C82" s="0" t="s">
        <v>768</v>
      </c>
    </row>
    <row r="83" customFormat="false" ht="15" hidden="false" customHeight="false" outlineLevel="0" collapsed="false">
      <c r="A83" s="0" t="s">
        <v>769</v>
      </c>
      <c r="B83" s="0" t="s">
        <v>770</v>
      </c>
      <c r="C83" s="0" t="s">
        <v>771</v>
      </c>
    </row>
    <row r="84" customFormat="false" ht="15" hidden="false" customHeight="false" outlineLevel="0" collapsed="false">
      <c r="A84" s="0" t="s">
        <v>772</v>
      </c>
      <c r="B84" s="0" t="s">
        <v>773</v>
      </c>
      <c r="C84" s="0" t="s">
        <v>774</v>
      </c>
    </row>
    <row r="85" customFormat="false" ht="15" hidden="false" customHeight="false" outlineLevel="0" collapsed="false">
      <c r="A85" s="0" t="s">
        <v>775</v>
      </c>
      <c r="B85" s="0" t="s">
        <v>776</v>
      </c>
      <c r="C85" s="0" t="s">
        <v>777</v>
      </c>
    </row>
    <row r="86" customFormat="false" ht="15" hidden="false" customHeight="false" outlineLevel="0" collapsed="false">
      <c r="A86" s="0" t="s">
        <v>778</v>
      </c>
      <c r="B86" s="0" t="s">
        <v>779</v>
      </c>
      <c r="C86" s="0" t="s">
        <v>780</v>
      </c>
    </row>
    <row r="87" customFormat="false" ht="15" hidden="false" customHeight="false" outlineLevel="0" collapsed="false">
      <c r="A87" s="0" t="s">
        <v>781</v>
      </c>
      <c r="B87" s="0" t="s">
        <v>782</v>
      </c>
      <c r="C87" s="0" t="s">
        <v>783</v>
      </c>
    </row>
    <row r="88" customFormat="false" ht="15" hidden="false" customHeight="false" outlineLevel="0" collapsed="false">
      <c r="A88" s="0" t="s">
        <v>784</v>
      </c>
      <c r="B88" s="0" t="s">
        <v>785</v>
      </c>
      <c r="C88" s="0" t="s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0" t="s">
        <v>787</v>
      </c>
    </row>
    <row r="2" customFormat="false" ht="15" hidden="false" customHeight="false" outlineLevel="0" collapsed="false">
      <c r="A2" s="0" t="s">
        <v>788</v>
      </c>
      <c r="B2" s="0" t="s">
        <v>789</v>
      </c>
      <c r="C2" s="0" t="s">
        <v>790</v>
      </c>
      <c r="D2" s="0" t="s">
        <v>791</v>
      </c>
      <c r="E2" s="0" t="s">
        <v>792</v>
      </c>
      <c r="F2" s="0" t="s">
        <v>793</v>
      </c>
    </row>
    <row r="3" customFormat="false" ht="15" hidden="false" customHeight="false" outlineLevel="0" collapsed="false">
      <c r="A3" s="0" t="s">
        <v>794</v>
      </c>
      <c r="B3" s="0" t="s">
        <v>795</v>
      </c>
      <c r="C3" s="0" t="s">
        <v>796</v>
      </c>
      <c r="D3" s="0" t="s">
        <v>797</v>
      </c>
      <c r="E3" s="0" t="s">
        <v>798</v>
      </c>
      <c r="F3" s="0" t="s">
        <v>799</v>
      </c>
    </row>
    <row r="4" customFormat="false" ht="15" hidden="false" customHeight="false" outlineLevel="0" collapsed="false">
      <c r="A4" s="0" t="s">
        <v>800</v>
      </c>
      <c r="B4" s="0" t="s">
        <v>795</v>
      </c>
      <c r="C4" s="0" t="s">
        <v>801</v>
      </c>
      <c r="D4" s="0" t="s">
        <v>802</v>
      </c>
      <c r="E4" s="0" t="s">
        <v>803</v>
      </c>
      <c r="F4" s="0" t="s">
        <v>804</v>
      </c>
    </row>
    <row r="5" customFormat="false" ht="15" hidden="false" customHeight="false" outlineLevel="0" collapsed="false">
      <c r="A5" s="0" t="s">
        <v>805</v>
      </c>
      <c r="B5" s="0" t="s">
        <v>795</v>
      </c>
      <c r="C5" s="0" t="s">
        <v>806</v>
      </c>
      <c r="D5" s="0" t="s">
        <v>807</v>
      </c>
      <c r="E5" s="0" t="s">
        <v>808</v>
      </c>
      <c r="F5" s="0" t="s">
        <v>809</v>
      </c>
    </row>
    <row r="6" customFormat="false" ht="15" hidden="false" customHeight="false" outlineLevel="0" collapsed="false">
      <c r="A6" s="0" t="s">
        <v>810</v>
      </c>
      <c r="B6" s="0" t="s">
        <v>795</v>
      </c>
      <c r="C6" s="0" t="s">
        <v>811</v>
      </c>
      <c r="D6" s="0" t="s">
        <v>812</v>
      </c>
      <c r="E6" s="0" t="s">
        <v>813</v>
      </c>
      <c r="F6" s="0" t="s">
        <v>814</v>
      </c>
    </row>
    <row r="7" customFormat="false" ht="15" hidden="false" customHeight="false" outlineLevel="0" collapsed="false">
      <c r="A7" s="0" t="s">
        <v>815</v>
      </c>
      <c r="B7" s="0" t="s">
        <v>795</v>
      </c>
      <c r="C7" s="0" t="s">
        <v>811</v>
      </c>
      <c r="D7" s="0" t="s">
        <v>816</v>
      </c>
      <c r="E7" s="0" t="s">
        <v>817</v>
      </c>
      <c r="F7" s="0" t="s">
        <v>818</v>
      </c>
    </row>
    <row r="8" customFormat="false" ht="15" hidden="false" customHeight="false" outlineLevel="0" collapsed="false">
      <c r="A8" s="0" t="s">
        <v>819</v>
      </c>
      <c r="B8" s="0" t="s">
        <v>795</v>
      </c>
      <c r="C8" s="0" t="s">
        <v>820</v>
      </c>
      <c r="D8" s="0" t="s">
        <v>821</v>
      </c>
      <c r="E8" s="0" t="s">
        <v>822</v>
      </c>
    </row>
    <row r="9" customFormat="false" ht="15" hidden="false" customHeight="false" outlineLevel="0" collapsed="false">
      <c r="A9" s="0" t="s">
        <v>823</v>
      </c>
      <c r="B9" s="0" t="s">
        <v>795</v>
      </c>
      <c r="C9" s="0" t="s">
        <v>820</v>
      </c>
      <c r="D9" s="0" t="s">
        <v>824</v>
      </c>
      <c r="E9" s="0" t="s">
        <v>825</v>
      </c>
      <c r="F9" s="0" t="s">
        <v>826</v>
      </c>
    </row>
    <row r="10" customFormat="false" ht="15" hidden="false" customHeight="false" outlineLevel="0" collapsed="false">
      <c r="A10" s="0" t="s">
        <v>827</v>
      </c>
      <c r="B10" s="0" t="s">
        <v>795</v>
      </c>
      <c r="C10" s="0" t="s">
        <v>828</v>
      </c>
      <c r="D10" s="0" t="s">
        <v>829</v>
      </c>
      <c r="E10" s="0" t="s">
        <v>233</v>
      </c>
      <c r="F10" s="0" t="s">
        <v>830</v>
      </c>
    </row>
    <row r="11" customFormat="false" ht="15" hidden="false" customHeight="false" outlineLevel="0" collapsed="false">
      <c r="A11" s="0" t="s">
        <v>831</v>
      </c>
      <c r="B11" s="0" t="s">
        <v>795</v>
      </c>
      <c r="C11" s="0" t="s">
        <v>832</v>
      </c>
      <c r="D11" s="0" t="s">
        <v>833</v>
      </c>
      <c r="E11" s="0" t="s">
        <v>834</v>
      </c>
      <c r="F11" s="0" t="s">
        <v>835</v>
      </c>
    </row>
    <row r="12" customFormat="false" ht="15" hidden="false" customHeight="false" outlineLevel="0" collapsed="false">
      <c r="A12" s="0" t="s">
        <v>836</v>
      </c>
      <c r="B12" s="0" t="s">
        <v>795</v>
      </c>
      <c r="C12" s="0" t="s">
        <v>837</v>
      </c>
      <c r="D12" s="0" t="s">
        <v>838</v>
      </c>
      <c r="E12" s="0" t="s">
        <v>839</v>
      </c>
      <c r="F12" s="0" t="s">
        <v>840</v>
      </c>
    </row>
    <row r="13" customFormat="false" ht="15" hidden="false" customHeight="false" outlineLevel="0" collapsed="false">
      <c r="A13" s="0" t="s">
        <v>841</v>
      </c>
      <c r="B13" s="0" t="s">
        <v>795</v>
      </c>
      <c r="C13" s="0" t="s">
        <v>837</v>
      </c>
      <c r="D13" s="0" t="s">
        <v>842</v>
      </c>
      <c r="E13" s="0" t="s">
        <v>843</v>
      </c>
      <c r="F13" s="0" t="s">
        <v>844</v>
      </c>
    </row>
    <row r="14" customFormat="false" ht="15" hidden="false" customHeight="false" outlineLevel="0" collapsed="false">
      <c r="A14" s="0" t="s">
        <v>845</v>
      </c>
      <c r="B14" s="0" t="s">
        <v>795</v>
      </c>
      <c r="C14" s="0" t="s">
        <v>837</v>
      </c>
      <c r="D14" s="0" t="s">
        <v>846</v>
      </c>
      <c r="E14" s="0" t="s">
        <v>847</v>
      </c>
      <c r="F14" s="0" t="s">
        <v>848</v>
      </c>
    </row>
    <row r="15" customFormat="false" ht="15" hidden="false" customHeight="false" outlineLevel="0" collapsed="false">
      <c r="A15" s="0" t="s">
        <v>849</v>
      </c>
      <c r="B15" s="0" t="s">
        <v>795</v>
      </c>
      <c r="C15" s="0" t="s">
        <v>850</v>
      </c>
      <c r="D15" s="0" t="s">
        <v>851</v>
      </c>
      <c r="E15" s="0" t="s">
        <v>852</v>
      </c>
      <c r="F15" s="0" t="s">
        <v>853</v>
      </c>
    </row>
    <row r="16" customFormat="false" ht="15" hidden="false" customHeight="false" outlineLevel="0" collapsed="false">
      <c r="A16" s="0" t="s">
        <v>854</v>
      </c>
      <c r="B16" s="0" t="s">
        <v>795</v>
      </c>
      <c r="C16" s="0" t="s">
        <v>850</v>
      </c>
      <c r="D16" s="0" t="s">
        <v>855</v>
      </c>
      <c r="E16" s="0" t="s">
        <v>856</v>
      </c>
      <c r="F16" s="0" t="s">
        <v>857</v>
      </c>
    </row>
    <row r="17" customFormat="false" ht="15" hidden="false" customHeight="false" outlineLevel="0" collapsed="false">
      <c r="A17" s="0" t="s">
        <v>858</v>
      </c>
      <c r="B17" s="0" t="s">
        <v>795</v>
      </c>
      <c r="C17" s="0" t="s">
        <v>859</v>
      </c>
      <c r="D17" s="0" t="s">
        <v>860</v>
      </c>
      <c r="E17" s="0" t="s">
        <v>861</v>
      </c>
      <c r="F17" s="0" t="s">
        <v>862</v>
      </c>
    </row>
    <row r="18" customFormat="false" ht="15" hidden="false" customHeight="false" outlineLevel="0" collapsed="false">
      <c r="A18" s="0" t="s">
        <v>863</v>
      </c>
      <c r="B18" s="0" t="s">
        <v>795</v>
      </c>
      <c r="C18" s="0" t="s">
        <v>859</v>
      </c>
      <c r="D18" s="0" t="s">
        <v>864</v>
      </c>
      <c r="E18" s="0" t="s">
        <v>808</v>
      </c>
      <c r="F18" s="0" t="s">
        <v>865</v>
      </c>
    </row>
    <row r="19" customFormat="false" ht="15" hidden="false" customHeight="false" outlineLevel="0" collapsed="false">
      <c r="A19" s="0" t="s">
        <v>866</v>
      </c>
      <c r="B19" s="0" t="s">
        <v>867</v>
      </c>
      <c r="C19" s="0" t="n">
        <v>1</v>
      </c>
      <c r="D19" s="0" t="s">
        <v>868</v>
      </c>
      <c r="E19" s="0" t="s">
        <v>869</v>
      </c>
      <c r="F19" s="0" t="s">
        <v>870</v>
      </c>
    </row>
    <row r="20" customFormat="false" ht="15" hidden="false" customHeight="false" outlineLevel="0" collapsed="false">
      <c r="A20" s="0" t="s">
        <v>871</v>
      </c>
      <c r="B20" s="0" t="s">
        <v>867</v>
      </c>
      <c r="C20" s="0" t="n">
        <v>2</v>
      </c>
      <c r="D20" s="0" t="s">
        <v>872</v>
      </c>
      <c r="E20" s="0" t="s">
        <v>873</v>
      </c>
      <c r="F20" s="0" t="s">
        <v>874</v>
      </c>
    </row>
    <row r="21" customFormat="false" ht="15" hidden="false" customHeight="false" outlineLevel="0" collapsed="false">
      <c r="A21" s="0" t="s">
        <v>875</v>
      </c>
      <c r="B21" s="0" t="s">
        <v>867</v>
      </c>
      <c r="C21" s="0" t="n">
        <v>3</v>
      </c>
      <c r="D21" s="0" t="s">
        <v>876</v>
      </c>
      <c r="E21" s="0" t="s">
        <v>877</v>
      </c>
    </row>
    <row r="22" customFormat="false" ht="15" hidden="false" customHeight="false" outlineLevel="0" collapsed="false">
      <c r="A22" s="0" t="s">
        <v>878</v>
      </c>
      <c r="B22" s="0" t="s">
        <v>867</v>
      </c>
      <c r="C22" s="0" t="n">
        <v>4</v>
      </c>
      <c r="D22" s="0" t="s">
        <v>879</v>
      </c>
      <c r="E22" s="0" t="s">
        <v>880</v>
      </c>
      <c r="F22" s="0" t="s">
        <v>881</v>
      </c>
    </row>
    <row r="23" customFormat="false" ht="15" hidden="false" customHeight="false" outlineLevel="0" collapsed="false">
      <c r="A23" s="0" t="s">
        <v>882</v>
      </c>
      <c r="B23" s="0" t="s">
        <v>867</v>
      </c>
      <c r="C23" s="0" t="n">
        <v>4</v>
      </c>
      <c r="D23" s="0" t="s">
        <v>883</v>
      </c>
      <c r="E23" s="0" t="s">
        <v>880</v>
      </c>
    </row>
    <row r="24" customFormat="false" ht="15" hidden="false" customHeight="false" outlineLevel="0" collapsed="false">
      <c r="A24" s="0" t="s">
        <v>884</v>
      </c>
      <c r="B24" s="0" t="s">
        <v>867</v>
      </c>
      <c r="C24" s="0" t="n">
        <v>5</v>
      </c>
      <c r="D24" s="0" t="s">
        <v>885</v>
      </c>
      <c r="E24" s="0" t="s">
        <v>347</v>
      </c>
      <c r="F24" s="0" t="s">
        <v>886</v>
      </c>
    </row>
    <row r="25" customFormat="false" ht="15" hidden="false" customHeight="false" outlineLevel="0" collapsed="false">
      <c r="A25" s="0" t="s">
        <v>887</v>
      </c>
      <c r="B25" s="0" t="s">
        <v>867</v>
      </c>
      <c r="C25" s="0" t="n">
        <v>6</v>
      </c>
      <c r="D25" s="0" t="s">
        <v>888</v>
      </c>
      <c r="E25" s="0" t="s">
        <v>889</v>
      </c>
      <c r="F25" s="0" t="s">
        <v>890</v>
      </c>
    </row>
    <row r="26" customFormat="false" ht="15" hidden="false" customHeight="false" outlineLevel="0" collapsed="false">
      <c r="A26" s="0" t="s">
        <v>891</v>
      </c>
      <c r="B26" s="0" t="s">
        <v>867</v>
      </c>
      <c r="C26" s="0" t="n">
        <v>7</v>
      </c>
      <c r="D26" s="0" t="s">
        <v>892</v>
      </c>
      <c r="E26" s="0" t="s">
        <v>366</v>
      </c>
      <c r="F26" s="0" t="s">
        <v>893</v>
      </c>
    </row>
    <row r="27" customFormat="false" ht="15" hidden="false" customHeight="false" outlineLevel="0" collapsed="false">
      <c r="A27" s="0" t="s">
        <v>894</v>
      </c>
      <c r="B27" s="0" t="s">
        <v>867</v>
      </c>
      <c r="C27" s="0" t="n">
        <v>8</v>
      </c>
      <c r="D27" s="0" t="s">
        <v>895</v>
      </c>
      <c r="E27" s="0" t="s">
        <v>257</v>
      </c>
      <c r="F27" s="0" t="s">
        <v>896</v>
      </c>
    </row>
    <row r="28" customFormat="false" ht="15" hidden="false" customHeight="false" outlineLevel="0" collapsed="false">
      <c r="A28" s="0" t="s">
        <v>897</v>
      </c>
      <c r="B28" s="0" t="s">
        <v>867</v>
      </c>
      <c r="C28" s="0" t="n">
        <v>8</v>
      </c>
      <c r="D28" s="0" t="s">
        <v>898</v>
      </c>
      <c r="E28" s="0" t="s">
        <v>257</v>
      </c>
      <c r="F28" s="0" t="s">
        <v>899</v>
      </c>
    </row>
    <row r="29" customFormat="false" ht="15" hidden="false" customHeight="false" outlineLevel="0" collapsed="false">
      <c r="A29" s="0" t="s">
        <v>900</v>
      </c>
      <c r="B29" s="0" t="s">
        <v>867</v>
      </c>
      <c r="C29" s="0" t="n">
        <v>9</v>
      </c>
      <c r="D29" s="0" t="s">
        <v>901</v>
      </c>
      <c r="E29" s="0" t="s">
        <v>902</v>
      </c>
      <c r="F29" s="0" t="s">
        <v>893</v>
      </c>
    </row>
    <row r="30" customFormat="false" ht="15" hidden="false" customHeight="false" outlineLevel="0" collapsed="false">
      <c r="A30" s="0" t="s">
        <v>903</v>
      </c>
      <c r="B30" s="0" t="s">
        <v>867</v>
      </c>
      <c r="C30" s="0" t="n">
        <v>10</v>
      </c>
      <c r="D30" s="0" t="s">
        <v>904</v>
      </c>
      <c r="E30" s="0" t="s">
        <v>305</v>
      </c>
      <c r="F30" s="0" t="s">
        <v>905</v>
      </c>
    </row>
    <row r="31" customFormat="false" ht="15" hidden="false" customHeight="false" outlineLevel="0" collapsed="false">
      <c r="A31" s="0" t="s">
        <v>906</v>
      </c>
      <c r="B31" s="0" t="s">
        <v>867</v>
      </c>
      <c r="C31" s="0" t="n">
        <v>10</v>
      </c>
      <c r="D31" s="0" t="s">
        <v>907</v>
      </c>
      <c r="E31" s="0" t="s">
        <v>305</v>
      </c>
      <c r="F31" s="0" t="s">
        <v>905</v>
      </c>
    </row>
    <row r="32" customFormat="false" ht="15" hidden="false" customHeight="false" outlineLevel="0" collapsed="false">
      <c r="A32" s="0" t="s">
        <v>908</v>
      </c>
      <c r="B32" s="0" t="s">
        <v>867</v>
      </c>
      <c r="C32" s="0" t="n">
        <v>11</v>
      </c>
      <c r="D32" s="0" t="s">
        <v>909</v>
      </c>
      <c r="E32" s="0" t="s">
        <v>910</v>
      </c>
    </row>
    <row r="33" customFormat="false" ht="15" hidden="false" customHeight="false" outlineLevel="0" collapsed="false">
      <c r="A33" s="0" t="s">
        <v>911</v>
      </c>
      <c r="B33" s="0" t="s">
        <v>867</v>
      </c>
      <c r="C33" s="0" t="n">
        <v>12</v>
      </c>
      <c r="D33" s="0" t="s">
        <v>912</v>
      </c>
      <c r="E33" s="0" t="s">
        <v>913</v>
      </c>
      <c r="F33" s="0" t="s">
        <v>914</v>
      </c>
    </row>
    <row r="34" customFormat="false" ht="15" hidden="false" customHeight="false" outlineLevel="0" collapsed="false">
      <c r="A34" s="0" t="s">
        <v>915</v>
      </c>
      <c r="B34" s="0" t="s">
        <v>867</v>
      </c>
      <c r="C34" s="0" t="n">
        <v>13</v>
      </c>
      <c r="D34" s="0" t="s">
        <v>916</v>
      </c>
      <c r="E34" s="0" t="s">
        <v>917</v>
      </c>
      <c r="F34" s="0" t="s">
        <v>918</v>
      </c>
    </row>
    <row r="35" customFormat="false" ht="15" hidden="false" customHeight="false" outlineLevel="0" collapsed="false">
      <c r="A35" s="0" t="s">
        <v>919</v>
      </c>
      <c r="B35" s="0" t="s">
        <v>867</v>
      </c>
      <c r="C35" s="0" t="n">
        <v>14</v>
      </c>
      <c r="D35" s="0" t="s">
        <v>920</v>
      </c>
      <c r="E35" s="0" t="s">
        <v>370</v>
      </c>
      <c r="F35" s="0" t="s">
        <v>921</v>
      </c>
    </row>
    <row r="36" customFormat="false" ht="15" hidden="false" customHeight="false" outlineLevel="0" collapsed="false">
      <c r="A36" s="0" t="s">
        <v>922</v>
      </c>
      <c r="B36" s="0" t="s">
        <v>867</v>
      </c>
      <c r="C36" s="0" t="n">
        <v>14</v>
      </c>
      <c r="D36" s="0" t="s">
        <v>923</v>
      </c>
      <c r="E36" s="0" t="s">
        <v>370</v>
      </c>
      <c r="F36" s="0" t="s">
        <v>924</v>
      </c>
    </row>
    <row r="37" customFormat="false" ht="15" hidden="false" customHeight="false" outlineLevel="0" collapsed="false">
      <c r="A37" s="0" t="s">
        <v>925</v>
      </c>
      <c r="B37" s="0" t="s">
        <v>867</v>
      </c>
      <c r="C37" s="0" t="n">
        <v>15</v>
      </c>
      <c r="D37" s="0" t="s">
        <v>926</v>
      </c>
      <c r="E37" s="0" t="s">
        <v>133</v>
      </c>
    </row>
    <row r="38" customFormat="false" ht="15" hidden="false" customHeight="false" outlineLevel="0" collapsed="false">
      <c r="A38" s="0" t="s">
        <v>927</v>
      </c>
      <c r="B38" s="0" t="s">
        <v>867</v>
      </c>
      <c r="C38" s="0" t="n">
        <v>16</v>
      </c>
      <c r="D38" s="0" t="s">
        <v>928</v>
      </c>
      <c r="E38" s="0" t="s">
        <v>929</v>
      </c>
    </row>
    <row r="39" customFormat="false" ht="15" hidden="false" customHeight="false" outlineLevel="0" collapsed="false">
      <c r="A39" s="0" t="s">
        <v>930</v>
      </c>
      <c r="B39" s="0" t="s">
        <v>867</v>
      </c>
      <c r="C39" s="0" t="n">
        <v>17</v>
      </c>
      <c r="D39" s="0" t="s">
        <v>931</v>
      </c>
      <c r="E39" s="0" t="s">
        <v>357</v>
      </c>
      <c r="F39" s="0" t="s">
        <v>932</v>
      </c>
    </row>
    <row r="40" customFormat="false" ht="15" hidden="false" customHeight="false" outlineLevel="0" collapsed="false">
      <c r="A40" s="0" t="s">
        <v>933</v>
      </c>
      <c r="B40" s="0" t="s">
        <v>867</v>
      </c>
      <c r="C40" s="0" t="n">
        <v>18</v>
      </c>
      <c r="D40" s="0" t="s">
        <v>934</v>
      </c>
      <c r="E40" s="0" t="s">
        <v>935</v>
      </c>
    </row>
    <row r="41" customFormat="false" ht="15" hidden="false" customHeight="false" outlineLevel="0" collapsed="false">
      <c r="A41" s="0" t="s">
        <v>936</v>
      </c>
      <c r="B41" s="0" t="s">
        <v>867</v>
      </c>
      <c r="C41" s="0" t="n">
        <v>19</v>
      </c>
      <c r="D41" s="0" t="s">
        <v>937</v>
      </c>
      <c r="E41" s="0" t="s">
        <v>938</v>
      </c>
    </row>
    <row r="42" customFormat="false" ht="15" hidden="false" customHeight="false" outlineLevel="0" collapsed="false">
      <c r="A42" s="0" t="s">
        <v>939</v>
      </c>
      <c r="B42" s="0" t="s">
        <v>867</v>
      </c>
      <c r="C42" s="0" t="n">
        <v>20</v>
      </c>
      <c r="D42" s="0" t="s">
        <v>940</v>
      </c>
      <c r="E42" s="0" t="s">
        <v>941</v>
      </c>
    </row>
    <row r="43" customFormat="false" ht="15" hidden="false" customHeight="false" outlineLevel="0" collapsed="false">
      <c r="A43" s="0" t="s">
        <v>942</v>
      </c>
      <c r="B43" s="0" t="s">
        <v>867</v>
      </c>
      <c r="C43" s="0" t="n">
        <v>20</v>
      </c>
      <c r="D43" s="0" t="s">
        <v>943</v>
      </c>
      <c r="E43" s="0" t="s">
        <v>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944</v>
      </c>
      <c r="B1" s="0" t="s">
        <v>945</v>
      </c>
      <c r="C1" s="0" t="s">
        <v>59</v>
      </c>
      <c r="D1" s="0" t="s">
        <v>946</v>
      </c>
    </row>
    <row r="2" customFormat="false" ht="15" hidden="false" customHeight="false" outlineLevel="0" collapsed="false">
      <c r="A2" s="0" t="s">
        <v>947</v>
      </c>
      <c r="B2" s="0" t="s">
        <v>948</v>
      </c>
      <c r="C2" s="0" t="s">
        <v>949</v>
      </c>
      <c r="D2" s="0" t="s">
        <v>950</v>
      </c>
    </row>
    <row r="3" customFormat="false" ht="15" hidden="false" customHeight="false" outlineLevel="0" collapsed="false">
      <c r="A3" s="0" t="s">
        <v>951</v>
      </c>
      <c r="B3" s="0" t="s">
        <v>952</v>
      </c>
      <c r="C3" s="0" t="s">
        <v>949</v>
      </c>
      <c r="D3" s="0" t="s">
        <v>953</v>
      </c>
    </row>
    <row r="4" customFormat="false" ht="15" hidden="false" customHeight="false" outlineLevel="0" collapsed="false">
      <c r="A4" s="0" t="s">
        <v>954</v>
      </c>
      <c r="B4" s="0" t="s">
        <v>955</v>
      </c>
      <c r="C4" s="0" t="s">
        <v>949</v>
      </c>
      <c r="D4" s="0" t="s">
        <v>956</v>
      </c>
    </row>
    <row r="5" customFormat="false" ht="15" hidden="false" customHeight="false" outlineLevel="0" collapsed="false">
      <c r="A5" s="0" t="s">
        <v>957</v>
      </c>
      <c r="B5" s="0" t="s">
        <v>958</v>
      </c>
      <c r="C5" s="0" t="s">
        <v>949</v>
      </c>
      <c r="D5" s="0" t="s">
        <v>959</v>
      </c>
    </row>
    <row r="6" customFormat="false" ht="15" hidden="false" customHeight="false" outlineLevel="0" collapsed="false">
      <c r="A6" s="0" t="s">
        <v>960</v>
      </c>
      <c r="B6" s="0" t="s">
        <v>961</v>
      </c>
      <c r="C6" s="0" t="s">
        <v>949</v>
      </c>
      <c r="D6" s="0" t="s">
        <v>962</v>
      </c>
    </row>
    <row r="7" customFormat="false" ht="15" hidden="false" customHeight="false" outlineLevel="0" collapsed="false">
      <c r="A7" s="0" t="s">
        <v>963</v>
      </c>
      <c r="B7" s="0" t="s">
        <v>964</v>
      </c>
      <c r="C7" s="0" t="s">
        <v>949</v>
      </c>
      <c r="D7" s="0" t="s">
        <v>965</v>
      </c>
    </row>
    <row r="8" customFormat="false" ht="15" hidden="false" customHeight="false" outlineLevel="0" collapsed="false">
      <c r="A8" s="0" t="s">
        <v>966</v>
      </c>
      <c r="B8" s="0" t="s">
        <v>967</v>
      </c>
      <c r="C8" s="0" t="s">
        <v>949</v>
      </c>
      <c r="D8" s="0" t="s">
        <v>968</v>
      </c>
    </row>
    <row r="9" customFormat="false" ht="15" hidden="false" customHeight="false" outlineLevel="0" collapsed="false">
      <c r="A9" s="0" t="s">
        <v>969</v>
      </c>
      <c r="B9" s="0" t="s">
        <v>970</v>
      </c>
      <c r="C9" s="0" t="s">
        <v>949</v>
      </c>
      <c r="D9" s="0" t="s">
        <v>971</v>
      </c>
    </row>
    <row r="10" customFormat="false" ht="15" hidden="false" customHeight="false" outlineLevel="0" collapsed="false">
      <c r="A10" s="0" t="s">
        <v>972</v>
      </c>
      <c r="B10" s="0" t="s">
        <v>973</v>
      </c>
      <c r="C10" s="0" t="s">
        <v>949</v>
      </c>
      <c r="D10" s="0" t="s">
        <v>974</v>
      </c>
    </row>
    <row r="11" customFormat="false" ht="15" hidden="false" customHeight="false" outlineLevel="0" collapsed="false">
      <c r="A11" s="0" t="s">
        <v>975</v>
      </c>
      <c r="B11" s="0" t="s">
        <v>976</v>
      </c>
      <c r="C11" s="0" t="s">
        <v>949</v>
      </c>
      <c r="D11" s="0" t="s">
        <v>977</v>
      </c>
    </row>
    <row r="12" customFormat="false" ht="15" hidden="false" customHeight="false" outlineLevel="0" collapsed="false">
      <c r="A12" s="0" t="s">
        <v>978</v>
      </c>
      <c r="B12" s="0" t="s">
        <v>979</v>
      </c>
      <c r="C12" s="0" t="s">
        <v>949</v>
      </c>
      <c r="D12" s="0" t="s">
        <v>980</v>
      </c>
    </row>
    <row r="13" customFormat="false" ht="15" hidden="false" customHeight="false" outlineLevel="0" collapsed="false">
      <c r="A13" s="0" t="s">
        <v>981</v>
      </c>
      <c r="B13" s="0" t="s">
        <v>982</v>
      </c>
      <c r="C13" s="0" t="s">
        <v>949</v>
      </c>
      <c r="D13" s="0" t="s">
        <v>983</v>
      </c>
    </row>
    <row r="14" customFormat="false" ht="15" hidden="false" customHeight="false" outlineLevel="0" collapsed="false">
      <c r="A14" s="0" t="s">
        <v>984</v>
      </c>
      <c r="B14" s="0" t="s">
        <v>985</v>
      </c>
      <c r="C14" s="0" t="s">
        <v>949</v>
      </c>
      <c r="D14" s="0" t="s">
        <v>986</v>
      </c>
    </row>
    <row r="15" customFormat="false" ht="15" hidden="false" customHeight="false" outlineLevel="0" collapsed="false">
      <c r="A15" s="0" t="s">
        <v>987</v>
      </c>
      <c r="B15" s="0" t="s">
        <v>988</v>
      </c>
      <c r="C15" s="0" t="s">
        <v>949</v>
      </c>
      <c r="D15" s="0" t="s">
        <v>989</v>
      </c>
    </row>
    <row r="16" customFormat="false" ht="15" hidden="false" customHeight="false" outlineLevel="0" collapsed="false">
      <c r="A16" s="0" t="s">
        <v>990</v>
      </c>
      <c r="B16" s="0" t="s">
        <v>991</v>
      </c>
      <c r="C16" s="0" t="s">
        <v>949</v>
      </c>
      <c r="D16" s="0" t="s">
        <v>992</v>
      </c>
    </row>
    <row r="17" customFormat="false" ht="15" hidden="false" customHeight="false" outlineLevel="0" collapsed="false">
      <c r="A17" s="0" t="s">
        <v>993</v>
      </c>
      <c r="B17" s="0" t="s">
        <v>994</v>
      </c>
      <c r="C17" s="0" t="s">
        <v>949</v>
      </c>
      <c r="D17" s="0" t="s">
        <v>995</v>
      </c>
    </row>
    <row r="18" customFormat="false" ht="15" hidden="false" customHeight="false" outlineLevel="0" collapsed="false">
      <c r="A18" s="0" t="s">
        <v>996</v>
      </c>
      <c r="B18" s="0" t="s">
        <v>997</v>
      </c>
      <c r="C18" s="0" t="s">
        <v>949</v>
      </c>
      <c r="D18" s="0" t="s">
        <v>998</v>
      </c>
    </row>
    <row r="19" customFormat="false" ht="15" hidden="false" customHeight="false" outlineLevel="0" collapsed="false">
      <c r="A19" s="0" t="s">
        <v>999</v>
      </c>
      <c r="B19" s="0" t="s">
        <v>1000</v>
      </c>
      <c r="C19" s="0" t="s">
        <v>949</v>
      </c>
      <c r="D19" s="0" t="s">
        <v>1001</v>
      </c>
    </row>
    <row r="20" customFormat="false" ht="15" hidden="false" customHeight="false" outlineLevel="0" collapsed="false">
      <c r="A20" s="0" t="s">
        <v>1002</v>
      </c>
      <c r="B20" s="0" t="s">
        <v>1003</v>
      </c>
      <c r="C20" s="0" t="s">
        <v>1004</v>
      </c>
      <c r="D20" s="0" t="s">
        <v>1005</v>
      </c>
    </row>
    <row r="21" customFormat="false" ht="15" hidden="false" customHeight="false" outlineLevel="0" collapsed="false">
      <c r="A21" s="0" t="s">
        <v>1006</v>
      </c>
      <c r="B21" s="0" t="s">
        <v>1007</v>
      </c>
      <c r="C21" s="0" t="s">
        <v>949</v>
      </c>
      <c r="D21" s="0" t="s">
        <v>1008</v>
      </c>
    </row>
    <row r="22" customFormat="false" ht="15" hidden="false" customHeight="false" outlineLevel="0" collapsed="false">
      <c r="A22" s="0" t="s">
        <v>1009</v>
      </c>
      <c r="B22" s="0" t="s">
        <v>1010</v>
      </c>
      <c r="C22" s="0" t="s">
        <v>1004</v>
      </c>
      <c r="D22" s="0" t="s">
        <v>1011</v>
      </c>
    </row>
    <row r="23" customFormat="false" ht="15" hidden="false" customHeight="false" outlineLevel="0" collapsed="false">
      <c r="A23" s="0" t="s">
        <v>1012</v>
      </c>
      <c r="B23" s="0" t="s">
        <v>1013</v>
      </c>
      <c r="C23" s="0" t="s">
        <v>1004</v>
      </c>
      <c r="D23" s="0" t="s">
        <v>1014</v>
      </c>
    </row>
    <row r="24" customFormat="false" ht="15" hidden="false" customHeight="false" outlineLevel="0" collapsed="false">
      <c r="A24" s="0" t="s">
        <v>1015</v>
      </c>
      <c r="B24" s="0" t="s">
        <v>1016</v>
      </c>
      <c r="C24" s="0" t="s">
        <v>949</v>
      </c>
      <c r="D24" s="0" t="s">
        <v>1017</v>
      </c>
    </row>
    <row r="25" customFormat="false" ht="15" hidden="false" customHeight="false" outlineLevel="0" collapsed="false">
      <c r="A25" s="0" t="s">
        <v>1018</v>
      </c>
      <c r="B25" s="0" t="s">
        <v>1019</v>
      </c>
      <c r="C25" s="0" t="s">
        <v>949</v>
      </c>
      <c r="D25" s="0" t="s">
        <v>1020</v>
      </c>
    </row>
    <row r="26" customFormat="false" ht="15" hidden="false" customHeight="false" outlineLevel="0" collapsed="false">
      <c r="A26" s="0" t="s">
        <v>1021</v>
      </c>
      <c r="B26" s="0" t="s">
        <v>1022</v>
      </c>
      <c r="C26" s="0" t="s">
        <v>1004</v>
      </c>
      <c r="D26" s="0" t="s">
        <v>1023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1024</v>
      </c>
    </row>
    <row r="2" customFormat="false" ht="15" hidden="false" customHeight="false" outlineLevel="0" collapsed="false">
      <c r="A2" s="0" t="s">
        <v>1025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2026-10-21T13:33:20Z</dcterms:created>
  <dc:creator>openpyxl</dc:creator>
  <dc:description/>
  <dc:language>en-US</dc:language>
  <cp:lastModifiedBy/>
  <dcterms:modified xsi:type="dcterms:W3CDTF">2026-10-21T13:33:20Z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