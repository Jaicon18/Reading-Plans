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<sst xmlns="http://schemas.openxmlformats.org/spreadsheetml/2006/main" count="1182" uniqueCount="775">
  <si>
    <t xml:space="preserve">Bank of America - Broomfield, CO (CO1-111)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</si>
  <si>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</si>
  <si>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</si>
  <si>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</si>
  <si>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</si>
  <si>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</si>
  <si>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</si>
  <si>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</si>
  <si>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</si>
  <si>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</si>
  <si>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</si>
  <si>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</si>
  <si>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</si>
  <si>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</si>
  <si>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</si>
  <si>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</si>
  <si>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</si>
  <si>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</si>
  <si>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</si>
  <si>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</si>
  <si>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</si>
  <si>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</si>
  <si>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</si>
  <si>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</si>
  <si>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</si>
  <si>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</si>
  <si>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</si>
  <si>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</si>
  <si>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</si>
  <si>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</si>
  <si>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</si>
  <si>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</si>
  <si>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</si>
  <si>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</si>
  <si>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</si>
  <si>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</si>
  <si>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</si>
  <si>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</si>
  <si>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</si>
  <si>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</si>
  <si>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</si>
  <si>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</si>
  <si>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</si>
  <si>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</si>
  <si>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</si>
  <si>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</si>
  <si>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</si>
  <si>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</si>
  <si>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</si>
  <si>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</si>
  <si>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</si>
  <si>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</si>
  <si>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</si>
  <si>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</si>
  <si>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</si>
  <si>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</si>
  <si>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</si>
  <si>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</si>
  <si>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</si>
  <si>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</t>
  </si>
  <si>
    <t xml:space="preserve">G  #W001  -  103 / 105</t>
  </si>
  <si>
    <t xml:space="preserve">W001</t>
  </si>
  <si>
    <t xml:space="preserve">1-5/8"</t>
  </si>
  <si>
    <t xml:space="preserve">103 / 105</t>
  </si>
  <si>
    <t xml:space="preserve">5/A12.01</t>
  </si>
  <si>
    <t xml:space="preserve">[DERIVED]</t>
  </si>
  <si>
    <t xml:space="preserve">G  #W002  -  103 / 105 / 106 / no board (abutting walls)</t>
  </si>
  <si>
    <t xml:space="preserve">W002</t>
  </si>
  <si>
    <t xml:space="preserve">103 / 105 / 106 / no board (abutting walls)</t>
  </si>
  <si>
    <t xml:space="preserve">G  #W003  -  103 / 106 / 107 / no board (abutting walls)</t>
  </si>
  <si>
    <t xml:space="preserve">W003</t>
  </si>
  <si>
    <t xml:space="preserve">103 / 106 / 107 / no board (abutting walls)</t>
  </si>
  <si>
    <t xml:space="preserve">G  #W004  -  103 / 107 / 108 / no board (abutting walls)</t>
  </si>
  <si>
    <t xml:space="preserve">W004</t>
  </si>
  <si>
    <t xml:space="preserve">103 / 107 / 108 / no board (abutting walls)</t>
  </si>
  <si>
    <t xml:space="preserve">G  #W007  -  106 / 107</t>
  </si>
  <si>
    <t xml:space="preserve">W007</t>
  </si>
  <si>
    <t xml:space="preserve">106 / 107</t>
  </si>
  <si>
    <t xml:space="preserve">[CONFIRMED]</t>
  </si>
  <si>
    <t xml:space="preserve">G  #W008  -  107 / 108</t>
  </si>
  <si>
    <t xml:space="preserve">W008</t>
  </si>
  <si>
    <t xml:space="preserve">107 / 108</t>
  </si>
  <si>
    <t xml:space="preserve">G  #W009+W005  -  108 / cavity behind A1K W049 / 116 + 103 / 108 / no board (abutting walls) (incl. jog W005 0.973 LF)</t>
  </si>
  <si>
    <t xml:space="preserve">W009+W005</t>
  </si>
  <si>
    <t xml:space="preserve">108 / cavity behind A1K W049 / 116 + 103 / 108 / no board (abutting walls) (incl. jog W005 0.973 LF)</t>
  </si>
  <si>
    <t xml:space="preserve">G  #W010  -  102 / no board (abutting walls) / 109</t>
  </si>
  <si>
    <t xml:space="preserve">W010</t>
  </si>
  <si>
    <t xml:space="preserve">102 / no board (abutting walls) / 109</t>
  </si>
  <si>
    <t xml:space="preserve">G  #W014  -  109 / 110</t>
  </si>
  <si>
    <t xml:space="preserve">W014</t>
  </si>
  <si>
    <t xml:space="preserve">109 / 110</t>
  </si>
  <si>
    <t xml:space="preserve">G  #W015  -  110 / 114</t>
  </si>
  <si>
    <t xml:space="preserve">W015</t>
  </si>
  <si>
    <t xml:space="preserve">110 / 114</t>
  </si>
  <si>
    <t xml:space="preserve">TYPE G1</t>
  </si>
  <si>
    <t xml:space="preserve">G1  #W006  -  105 / 106</t>
  </si>
  <si>
    <t xml:space="preserve">W006</t>
  </si>
  <si>
    <t xml:space="preserve">105 / 106</t>
  </si>
  <si>
    <t xml:space="preserve">G1  #W012+W011  -  109 / 110 / no board (abutting walls) / 103 + 109 / 103 (incl. jog W011 0.333 LF)</t>
  </si>
  <si>
    <t xml:space="preserve">W012+W011</t>
  </si>
  <si>
    <t xml:space="preserve">109 / 110 / no board (abutting walls) / 103 + 109 / 103 (incl. jog W011 0.333 LF)</t>
  </si>
  <si>
    <t xml:space="preserve">G1  #W013  -  110 / 114 / no board (abutting walls) / 103 / 111</t>
  </si>
  <si>
    <t xml:space="preserve">W013</t>
  </si>
  <si>
    <t xml:space="preserve">110 / 114 / no board (abutting walls) / 103 / 111</t>
  </si>
  <si>
    <t xml:space="preserve">TYPE B2</t>
  </si>
  <si>
    <t xml:space="preserve">B2  #W016  -  102 / 103</t>
  </si>
  <si>
    <t xml:space="preserve">W016</t>
  </si>
  <si>
    <t xml:space="preserve">6"</t>
  </si>
  <si>
    <t xml:space="preserve">102 / 103</t>
  </si>
  <si>
    <t xml:space="preserve">1/A12.01</t>
  </si>
  <si>
    <t xml:space="preserve">B2  #W023  -  114 / 111</t>
  </si>
  <si>
    <t xml:space="preserve">W023</t>
  </si>
  <si>
    <t xml:space="preserve">114 / 111</t>
  </si>
  <si>
    <t xml:space="preserve">B2  #W024  -  113 / 117 / 115 / no board (abutting walls) / 111</t>
  </si>
  <si>
    <t xml:space="preserve">W024</t>
  </si>
  <si>
    <t xml:space="preserve">113 / 117 / 115 / no board (abutting walls) / 111</t>
  </si>
  <si>
    <t xml:space="preserve">B2  #W043  -  118 / 116 / 119 / no board (abutting walls)</t>
  </si>
  <si>
    <t xml:space="preserve">W043</t>
  </si>
  <si>
    <t xml:space="preserve">118 / 116 / 119 / no board (abutting walls)</t>
  </si>
  <si>
    <t xml:space="preserve">TYPE F</t>
  </si>
  <si>
    <t xml:space="preserve">F  #W017  -  101 / 102 / no board (abutting walls)</t>
  </si>
  <si>
    <t xml:space="preserve">W017</t>
  </si>
  <si>
    <t xml:space="preserve">3-5/8"</t>
  </si>
  <si>
    <t xml:space="preserve">101 / 102 / no board (abutting walls)</t>
  </si>
  <si>
    <t xml:space="preserve">12/A12.01</t>
  </si>
  <si>
    <t xml:space="preserve">TYPE C1</t>
  </si>
  <si>
    <t xml:space="preserve">C1  #W018+P001+P002  -  114 + P001 + P002 (incl. jog P001 1.0 LF) (incl. jog P002 1.0 LF)</t>
  </si>
  <si>
    <t xml:space="preserve">W018+P001+P002</t>
  </si>
  <si>
    <t xml:space="preserve">114 + P001 + P002 (incl. jog P001 1.0 LF) (incl. jog P002 1.0 LF)</t>
  </si>
  <si>
    <t xml:space="preserve">6/A12.01</t>
  </si>
  <si>
    <t xml:space="preserve">C1  #W019  -  113</t>
  </si>
  <si>
    <t xml:space="preserve">W019</t>
  </si>
  <si>
    <t xml:space="preserve">113</t>
  </si>
  <si>
    <t xml:space="preserve">C1  #W033+W034+W035  -  104 / recess cavity (in-wall box 9/A12.02) / no board (abutting walls) + 104 (incl. jog W034 0.313 LF) (incl. jog W035 0.313 LF)</t>
  </si>
  <si>
    <t xml:space="preserve">W033+W034+W035</t>
  </si>
  <si>
    <t xml:space="preserve">104 / recess cavity (in-wall box 9/A12.02) / no board (abutting walls) + 104 (incl. jog W034 0.313 LF) (incl. jog W035 0.313 LF)</t>
  </si>
  <si>
    <t xml:space="preserve">C1  #W052  -  116 / FCAM recess cavity</t>
  </si>
  <si>
    <t xml:space="preserve">W052</t>
  </si>
  <si>
    <t xml:space="preserve">116 / FCAM recess cavity</t>
  </si>
  <si>
    <t xml:space="preserve">TYPE A1</t>
  </si>
  <si>
    <t xml:space="preserve">A1  #W020  -  114 / chase cavity / 113 / no board (abutting walls) / 111</t>
  </si>
  <si>
    <t xml:space="preserve">W020</t>
  </si>
  <si>
    <t xml:space="preserve">114 / chase cavity / 113 / no board (abutting walls) / 111</t>
  </si>
  <si>
    <t xml:space="preserve">3/A12.01</t>
  </si>
  <si>
    <t xml:space="preserve">A1  #W021  -  114 / no board (abutting walls) / 111</t>
  </si>
  <si>
    <t xml:space="preserve">W021</t>
  </si>
  <si>
    <t xml:space="preserve">114 / no board (abutting walls) / 111</t>
  </si>
  <si>
    <t xml:space="preserve">A1  #W022  -  111 / 113 / no board (abutting walls)</t>
  </si>
  <si>
    <t xml:space="preserve">W022</t>
  </si>
  <si>
    <t xml:space="preserve">111 / 113 / no board (abutting walls)</t>
  </si>
  <si>
    <t xml:space="preserve">A1  #W028  -  103 / no board (abutting walls) / 111</t>
  </si>
  <si>
    <t xml:space="preserve">W028</t>
  </si>
  <si>
    <t xml:space="preserve">103 / no board (abutting walls) / 111</t>
  </si>
  <si>
    <t xml:space="preserve">A1  #W030  -  104 / MW01 printer niche (open to 103) / 122 / no board (abutting walls)</t>
  </si>
  <si>
    <t xml:space="preserve">W030</t>
  </si>
  <si>
    <t xml:space="preserve">104 / MW01 printer niche (open to 103) / 122 / no board (abutting walls)</t>
  </si>
  <si>
    <t xml:space="preserve">A1  #W031  -  MW01 niche / no board (abutting walls) / 122</t>
  </si>
  <si>
    <t xml:space="preserve">W031</t>
  </si>
  <si>
    <t xml:space="preserve">MW01 niche / no board (abutting walls) / 122</t>
  </si>
  <si>
    <t xml:space="preserve">A1  #W032  -  MW01 niche / 122</t>
  </si>
  <si>
    <t xml:space="preserve">W032</t>
  </si>
  <si>
    <t xml:space="preserve">MW01 niche / 122</t>
  </si>
  <si>
    <t xml:space="preserve">A1  #W037  -  122 / no board (abutting walls) / 118</t>
  </si>
  <si>
    <t xml:space="preserve">W037</t>
  </si>
  <si>
    <t xml:space="preserve">122 / no board (abutting walls) / 118</t>
  </si>
  <si>
    <t xml:space="preserve">A1  #W039  -  111 / 118 / 120 / 121 / no board (abutting walls)</t>
  </si>
  <si>
    <t xml:space="preserve">W039</t>
  </si>
  <si>
    <t xml:space="preserve">111 / 118 / 120 / 121 / no board (abutting walls)</t>
  </si>
  <si>
    <t xml:space="preserve">A1  #W040  -  118 / no board (abutting walls) / 103</t>
  </si>
  <si>
    <t xml:space="preserve">W040</t>
  </si>
  <si>
    <t xml:space="preserve">118 / no board (abutting walls) / 103</t>
  </si>
  <si>
    <t xml:space="preserve">A1  #W041  -  103 / 118</t>
  </si>
  <si>
    <t xml:space="preserve">W041</t>
  </si>
  <si>
    <t xml:space="preserve">103 / 118</t>
  </si>
  <si>
    <t xml:space="preserve">A1  #W044  -  116 / 119</t>
  </si>
  <si>
    <t xml:space="preserve">W044</t>
  </si>
  <si>
    <t xml:space="preserve">116 / 119</t>
  </si>
  <si>
    <t xml:space="preserve">TYPE B</t>
  </si>
  <si>
    <t xml:space="preserve">B  #W025  -  113 / 112 / 117 / no board (abutting walls)</t>
  </si>
  <si>
    <t xml:space="preserve">W025</t>
  </si>
  <si>
    <t xml:space="preserve">113 / 112 / 117 / no board (abutting walls)</t>
  </si>
  <si>
    <t xml:space="preserve">B  #W026  -  112 / 117</t>
  </si>
  <si>
    <t xml:space="preserve">W026</t>
  </si>
  <si>
    <t xml:space="preserve">112 / 117</t>
  </si>
  <si>
    <t xml:space="preserve">B  #W027  -  112 / 117 / no board (abutting walls) / 115</t>
  </si>
  <si>
    <t xml:space="preserve">W027</t>
  </si>
  <si>
    <t xml:space="preserve">112 / 117 / no board (abutting walls) / 115</t>
  </si>
  <si>
    <t xml:space="preserve">B  #W045  -  118 / 120 / no board (abutting walls)</t>
  </si>
  <si>
    <t xml:space="preserve">W045</t>
  </si>
  <si>
    <t xml:space="preserve">118 / 120 / no board (abutting walls)</t>
  </si>
  <si>
    <t xml:space="preserve">B  #W046  -  120 / 121</t>
  </si>
  <si>
    <t xml:space="preserve">W046</t>
  </si>
  <si>
    <t xml:space="preserve">120 / 121</t>
  </si>
  <si>
    <t xml:space="preserve">B  #W047  -  120 / 121 / no board (abutting walls) / 118</t>
  </si>
  <si>
    <t xml:space="preserve">W047</t>
  </si>
  <si>
    <t xml:space="preserve">120 / 121 / no board (abutting walls) / 118</t>
  </si>
  <si>
    <t xml:space="preserve">TYPE A5</t>
  </si>
  <si>
    <t xml:space="preserve">A5  #W029+W038  -  103 / 122 + 111 / 122 (incl. jog W038 0.967 LF)</t>
  </si>
  <si>
    <t xml:space="preserve">W029+W038</t>
  </si>
  <si>
    <t xml:space="preserve">103 / 122 + 111 / 122 (incl. jog W038 0.967 LF)</t>
  </si>
  <si>
    <t xml:space="preserve">A5  #W036a+W036b  -  103 / 122 + 103 / 122 / no board (abutting walls)</t>
  </si>
  <si>
    <t xml:space="preserve">W036a+W036b</t>
  </si>
  <si>
    <t xml:space="preserve">103 / 122 + 103 / 122 / no board (abutting walls)</t>
  </si>
  <si>
    <t xml:space="preserve">A5  #W042  -  118 / no board (abutting walls) / 116</t>
  </si>
  <si>
    <t xml:space="preserve">W042</t>
  </si>
  <si>
    <t xml:space="preserve">118 / no board (abutting walls) / 116</t>
  </si>
  <si>
    <t xml:space="preserve">TYPE B2K</t>
  </si>
  <si>
    <t xml:space="preserve">B2K  #W048  -  108 / 103 / no board (abutting walls)</t>
  </si>
  <si>
    <t xml:space="preserve">W048</t>
  </si>
  <si>
    <t xml:space="preserve">108 / 103 / no board (abutting walls)</t>
  </si>
  <si>
    <t xml:space="preserve">4/A12.01</t>
  </si>
  <si>
    <t xml:space="preserve">TYPE A1K</t>
  </si>
  <si>
    <t xml:space="preserve">A1K  #W049  -  cavity to G W009 (customer side per 4/A12.01? RFI-03) / 116</t>
  </si>
  <si>
    <t xml:space="preserve">W049</t>
  </si>
  <si>
    <t xml:space="preserve">cavity to G W009 (customer side per 4/A12.01? RFI-03) / 116</t>
  </si>
  <si>
    <t xml:space="preserve">A1K  #W050  -  103 / no board (abutting walls) / 116</t>
  </si>
  <si>
    <t xml:space="preserve">W050</t>
  </si>
  <si>
    <t xml:space="preserve">103 / no board (abutting walls) / 116</t>
  </si>
  <si>
    <t xml:space="preserve">A1K  #W051  -  116 / C1 FCAM box W052 cavity</t>
  </si>
  <si>
    <t xml:space="preserve">W051</t>
  </si>
  <si>
    <t xml:space="preserve">116 / C1 FCAM box W052 cavity</t>
  </si>
  <si>
    <t xml:space="preserve">TYPE BULKHEAD-G</t>
  </si>
  <si>
    <t xml:space="preserve">BULKHEAD-G  #BH105+BH106+BH107+BH108  -  103 / 105 + 103 / 106 + 103 / 107 + 103 / 108</t>
  </si>
  <si>
    <t xml:space="preserve">BH105+BH106+BH107+BH108</t>
  </si>
  <si>
    <t xml:space="preserve">103 / 105 + 103 / 106 + 103 / 107 + 103 / 108</t>
  </si>
  <si>
    <t xml:space="preserve">8/A12.01</t>
  </si>
  <si>
    <t xml:space="preserve">BULKHEAD-G  #BH109+BH110  -  103 / 109 + 103 / 110</t>
  </si>
  <si>
    <t xml:space="preserve">BH109+BH110</t>
  </si>
  <si>
    <t xml:space="preserve">103 / 109 + 103 / 110</t>
  </si>
  <si>
    <t xml:space="preserve">TYPE EXT-6CFMF</t>
  </si>
  <si>
    <t xml:space="preserve">EXT-6CFMF  #EXT-N1  -  103 / 105</t>
  </si>
  <si>
    <t xml:space="preserve">EXT-N1</t>
  </si>
  <si>
    <t xml:space="preserve">C/A09.21</t>
  </si>
  <si>
    <t xml:space="preserve">EXT-6CFMF  #EXT-E1+EXT-E2  -  105 / 106 / 107 / 108 / 116 + 116 / 119</t>
  </si>
  <si>
    <t xml:space="preserve">EXT-E1+EXT-E2</t>
  </si>
  <si>
    <t xml:space="preserve">105 / 106 / 107 / 108 / 116 + 116 / 119</t>
  </si>
  <si>
    <t xml:space="preserve">D/A09.22; E/A09.22</t>
  </si>
  <si>
    <t xml:space="preserve">EXT-6CFMF  #EXT-S1+EXT-S2  -  115 / 111 / 121 / 118 + 118 / 119</t>
  </si>
  <si>
    <t xml:space="preserve">EXT-S1+EXT-S2</t>
  </si>
  <si>
    <t xml:space="preserve">115 / 111 / 121 / 118 + 118 / 119</t>
  </si>
  <si>
    <t xml:space="preserve">F/A09.22</t>
  </si>
  <si>
    <t xml:space="preserve">EXT-6CFMF  #EXT-W3a+EXT-W3b  -  109 / 110 / 114 + 114 / chase 113/114 (1'-1") / 113 / 112 / 115</t>
  </si>
  <si>
    <t xml:space="preserve">EXT-W3a+EXT-W3b</t>
  </si>
  <si>
    <t xml:space="preserve">109 / 110 / 114 + 114 / chase 113/114 (1'-1") / 113 / 112 / 115</t>
  </si>
  <si>
    <t xml:space="preserve">H/A09.23</t>
  </si>
  <si>
    <t xml:space="preserve">EXT-6CFMF  #EXT-W1  -  100 / 102</t>
  </si>
  <si>
    <t xml:space="preserve">EXT-W1</t>
  </si>
  <si>
    <t xml:space="preserve">100 / 102</t>
  </si>
  <si>
    <t xml:space="preserve">J/A09.23</t>
  </si>
  <si>
    <t xml:space="preserve">EXT-6CFMF  #EXT-W2  -  102</t>
  </si>
  <si>
    <t xml:space="preserve">EXT-W2</t>
  </si>
  <si>
    <t xml:space="preserve">102</t>
  </si>
  <si>
    <t xml:space="preserve">EXT-6CFMF  #PIER-1  -  100</t>
  </si>
  <si>
    <t xml:space="preserve">PIER-1</t>
  </si>
  <si>
    <t xml:space="preserve">100</t>
  </si>
  <si>
    <t xml:space="preserve">1/A09.25</t>
  </si>
  <si>
    <t xml:space="preserve">EXT-6CFMF  #PIER-2  -  100/103</t>
  </si>
  <si>
    <t xml:space="preserve">PIER-2</t>
  </si>
  <si>
    <t xml:space="preserve">100/103</t>
  </si>
  <si>
    <t xml:space="preserve">2/A09.25</t>
  </si>
  <si>
    <t xml:space="preserve">TYPE EXT-PARAPET</t>
  </si>
  <si>
    <t xml:space="preserve">EXT-PARAPET  #PAR-NT-G+PAR-NT-4  -  PAR-NT-G + PAR-NT-4 (incl. jog PAR-NT-4 0.993 LF)</t>
  </si>
  <si>
    <t xml:space="preserve">PAR-NT-G+PAR-NT-4</t>
  </si>
  <si>
    <t xml:space="preserve">6" parapet</t>
  </si>
  <si>
    <t xml:space="preserve">PAR-NT-G + PAR-NT-4 (incl. jog PAR-NT-4 0.993 LF)</t>
  </si>
  <si>
    <t xml:space="preserve">A02.01; 4/A09.26; A02.02; 11/S5.10</t>
  </si>
  <si>
    <t xml:space="preserve">EXT-PARAPET  #PAR-WT-2  -  PAR-WT-2</t>
  </si>
  <si>
    <t xml:space="preserve">PAR-WT-2</t>
  </si>
  <si>
    <t xml:space="preserve">EXT-PARAPET  #PAR-WT-D  -  PAR-WT-D</t>
  </si>
  <si>
    <t xml:space="preserve">PAR-WT-D</t>
  </si>
  <si>
    <t xml:space="preserve">EXT-PARAPET  #PAR-N-F  -  PAR-N-F</t>
  </si>
  <si>
    <t xml:space="preserve">PAR-N-F</t>
  </si>
  <si>
    <t xml:space="preserve">EXT-PARAPET  #PAR-E-8a+PAR-E-8b  -  PAR-E-8a + PAR-E-8b</t>
  </si>
  <si>
    <t xml:space="preserve">PAR-E-8a+PAR-E-8b</t>
  </si>
  <si>
    <t xml:space="preserve">PAR-E-8a + PAR-E-8b</t>
  </si>
  <si>
    <t xml:space="preserve">EXT-PARAPET  #PAR-S-A  -  PAR-S-A</t>
  </si>
  <si>
    <t xml:space="preserve">PAR-S-A</t>
  </si>
  <si>
    <t xml:space="preserve">EXT-PARAPET  #PAR-W-3a+PAR-W-3b  -  PAR-W-3a + PAR-W-3b</t>
  </si>
  <si>
    <t xml:space="preserve">PAR-W-3a+PAR-W-3b</t>
  </si>
  <si>
    <t xml:space="preserve">PAR-W-3a + PAR-W-3b</t>
  </si>
  <si>
    <t xml:space="preserve">TYPE CANOPY-COL</t>
  </si>
  <si>
    <t xml:space="preserve">CANOPY-COL  #CW-1/G  -  CW-1/G</t>
  </si>
  <si>
    <t xml:space="preserve">CW-1/G</t>
  </si>
  <si>
    <t xml:space="preserve">5/A09.25; A02.01</t>
  </si>
  <si>
    <t xml:space="preserve">CANOPY-COL  #CW-1/E.4  -  CW-1/E.4</t>
  </si>
  <si>
    <t xml:space="preserve">CW-1/E.4</t>
  </si>
  <si>
    <t xml:space="preserve">CANOPY-COL  #CW-1/C.5  -  CW-1/C.5</t>
  </si>
  <si>
    <t xml:space="preserve">CW-1/C.5</t>
  </si>
  <si>
    <t xml:space="preserve">CANOPY-COL  #CW-1/B.2  -  CW-1/B.2</t>
  </si>
  <si>
    <t xml:space="preserve">CW-1/B.2</t>
  </si>
  <si>
    <t xml:space="preserve">TOTAL - PARTITIONS</t>
  </si>
  <si>
    <t xml:space="preserve">TYPE OTHER FRAMING (NOT A PARTITION)</t>
  </si>
  <si>
    <t xml:space="preserve">storefront_cripples  #SFC-N1  -  103</t>
  </si>
  <si>
    <t xml:space="preserve">SFC-N1</t>
  </si>
  <si>
    <t xml:space="preserve">103</t>
  </si>
  <si>
    <t xml:space="preserve">2/A09.26</t>
  </si>
  <si>
    <t xml:space="preserve">storefront_cripples  #SFC-N2  -  100</t>
  </si>
  <si>
    <t xml:space="preserve">SFC-N2</t>
  </si>
  <si>
    <t xml:space="preserve">storefront_cripples  #SFC-W1  -  100</t>
  </si>
  <si>
    <t xml:space="preserve">SFC-W1</t>
  </si>
  <si>
    <t xml:space="preserve">roof_step  #RS-1  -  RS-1</t>
  </si>
  <si>
    <t xml:space="preserve">RS-1</t>
  </si>
  <si>
    <t xml:space="preserve">4/A02.02</t>
  </si>
  <si>
    <t xml:space="preserve">roof_step  #RS-2  -  rooms south of B (low side)</t>
  </si>
  <si>
    <t xml:space="preserve">RS-2</t>
  </si>
  <si>
    <t xml:space="preserve">rooms south of B (low side)</t>
  </si>
  <si>
    <t xml:space="preserve">roof_step  #RS-3  -  rooms north of B (high side)</t>
  </si>
  <si>
    <t xml:space="preserve">RS-3</t>
  </si>
  <si>
    <t xml:space="preserve">rooms north of B (high side)</t>
  </si>
  <si>
    <t xml:space="preserve">fascia_box  #FB-N  -  FB-N</t>
  </si>
  <si>
    <t xml:space="preserve">FB-N</t>
  </si>
  <si>
    <t xml:space="preserve">3-5/8" canopy</t>
  </si>
  <si>
    <t xml:space="preserve">3/A09.26; C/A09.21; A04.01</t>
  </si>
  <si>
    <t xml:space="preserve">fascia_box  #FB-W  -  FB-W</t>
  </si>
  <si>
    <t xml:space="preserve">FB-W</t>
  </si>
  <si>
    <t xml:space="preserve">16/A09.27; 15/A09.27; A04.01</t>
  </si>
  <si>
    <t xml:space="preserve">fascia_box  #FB-W-S  -  FB-W-S</t>
  </si>
  <si>
    <t xml:space="preserve">FB-W-S</t>
  </si>
  <si>
    <t xml:space="preserve">16/A09.27; A04.01</t>
  </si>
  <si>
    <t xml:space="preserve">fascia_box  #FB-E  -  FB-E</t>
  </si>
  <si>
    <t xml:space="preserve">FB-E</t>
  </si>
  <si>
    <t xml:space="preserve">7/A09.26; A04.01</t>
  </si>
  <si>
    <t xml:space="preserve">fascia_box  #FB-E-S  -  FB-E-S</t>
  </si>
  <si>
    <t xml:space="preserve">FB-E-S</t>
  </si>
  <si>
    <t xml:space="preserve">fascia_box  #FB-S  -  FB-S</t>
  </si>
  <si>
    <t xml:space="preserve">FB-S</t>
  </si>
  <si>
    <t xml:space="preserve">7/A09.26; F/A09.22; A04.01</t>
  </si>
  <si>
    <t xml:space="preserve">vestibule_head  #VH-S  -  100 / 101</t>
  </si>
  <si>
    <t xml:space="preserve">VH-S</t>
  </si>
  <si>
    <t xml:space="preserve">100 / 101</t>
  </si>
  <si>
    <t xml:space="preserve">4/A12.10</t>
  </si>
  <si>
    <t xml:space="preserve">vestibule_head  #VH-E  -  100 / 103</t>
  </si>
  <si>
    <t xml:space="preserve">VH-E</t>
  </si>
  <si>
    <t xml:space="preserve">100 / 103</t>
  </si>
  <si>
    <t xml:space="preserve">grille_head  #GH-103  -  GH-103</t>
  </si>
  <si>
    <t xml:space="preserve">GH-103</t>
  </si>
  <si>
    <t xml:space="preserve">2-1/2"</t>
  </si>
  <si>
    <t xml:space="preserve">4/A08.21</t>
  </si>
  <si>
    <t xml:space="preserve">soffit_side  #CSR-WN  -  CSR-WN</t>
  </si>
  <si>
    <t xml:space="preserve">CSR-WN</t>
  </si>
  <si>
    <t xml:space="preserve">A04.01; 10/A09.33; 9/A12.08</t>
  </si>
  <si>
    <t xml:space="preserve">soffit_side  #CSR-WS  -  CSR-WS</t>
  </si>
  <si>
    <t xml:space="preserve">CSR-WS</t>
  </si>
  <si>
    <t xml:space="preserve">soffit_side  #CSR-EN  -  CSR-EN</t>
  </si>
  <si>
    <t xml:space="preserve">CSR-EN</t>
  </si>
  <si>
    <t xml:space="preserve">soffit_side  #CSR-ES  -  CSR-ES</t>
  </si>
  <si>
    <t xml:space="preserve">CSR-ES</t>
  </si>
  <si>
    <t xml:space="preserve">ceiling_transition  #TR-104  -  GWB 104 at 11'-0" lower than ACT-4 103 at 11'-6"; S edge = wall A1 (122) -&gt; not a transition. Board face 11'-0" to 11'-6"+6" = 1.0 ft</t>
  </si>
  <si>
    <t xml:space="preserve">TR-104</t>
  </si>
  <si>
    <t xml:space="preserve">GWB 104 at 11'-0" lower than ACT-4 103 at 11'-6"; S edge = wall A1 (122) -&gt; not a transition. Board face 11'-0" to 11'-6"+6" = 1.0 ft</t>
  </si>
  <si>
    <t xml:space="preserve">A04.01 vector + 7/A09.33</t>
  </si>
  <si>
    <t xml:space="preserve">ceiling_transition  #TR-103-103CSR  -  ACT/ACT: ACT-4 11'-6" vs ACT-4 9'-0" both room 103. Face 9'-0" to 12'-0" = 3.0 ft</t>
  </si>
  <si>
    <t xml:space="preserve">TR-103-103CSR</t>
  </si>
  <si>
    <t xml:space="preserve">ACT/ACT: ACT-4 11'-6" vs ACT-4 9'-0" both room 103. Face 9'-0" to 12'-0" = 3.0 ft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</si>
  <si>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</si>
  <si>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</si>
  <si>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</si>
  <si>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</si>
  <si>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</si>
  <si>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</si>
  <si>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</si>
  <si>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</si>
  <si>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</si>
  <si>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</si>
  <si>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</si>
  <si>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</si>
  <si>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600S162-54 (exterior, S1.11 note 5) / 600S137-33 (interior A5, B2) / 14 GA (B2K)</t>
  </si>
  <si>
    <t xml:space="preserve">LF</t>
  </si>
  <si>
    <t xml:space="preserve">stick 20 ft</t>
  </si>
  <si>
    <t xml:space="preserve">familias_out.json '6" stud (all gauges)'; 7/S5.20; S1.11; 3/A12.01; 1/A12.01</t>
  </si>
  <si>
    <t xml:space="preserve">3-5/8" metal stud 362S137-33 (A1, B, C1, F, soffits, transitions, canopy) / 14 GA (A1K)</t>
  </si>
  <si>
    <t xml:space="preserve">familias_out.json '3-5/8" stud (all gauges)'; 7/S5.20; 3/A12.01; 4/A12.01</t>
  </si>
  <si>
    <t xml:space="preserve">1-5/8" metal stud, double row (G, G1, office bulkheads)</t>
  </si>
  <si>
    <t xml:space="preserve">familias_out.json '1-5/8" stud'; 5/A12.01; 8/A12.01</t>
  </si>
  <si>
    <t xml:space="preserve">6" parapet stud 600S162-54 @ 16" O.C. (parapet infill)</t>
  </si>
  <si>
    <t xml:space="preserve">familias_out.json '6" parapet stud'; 11/S5.10</t>
  </si>
  <si>
    <t xml:space="preserve">Bottom track, all walls (not deducted at doors)</t>
  </si>
  <si>
    <t xml:space="preserve">run 10 ft</t>
  </si>
  <si>
    <t xml:space="preserve">familias_out.json 'bottom track (all)'; 7/S5.20 600T125-33; 11/S5.10 600T125-54</t>
  </si>
  <si>
    <t xml:space="preserve">Top / deflection track, all walls</t>
  </si>
  <si>
    <t xml:space="preserve">familias_out.json 'top / deflection track (all)'; 7/S5.20 600T200-97; 3/A12.01 continuous slip track</t>
  </si>
  <si>
    <t xml:space="preserve">Ceiling / soffit track (ceiling perimeter, soffit sides, transitions, fascia, canopy soffit)</t>
  </si>
  <si>
    <t xml:space="preserve">familias_out.json 'ceiling / soffit track'; 7/A09.33; 10/A09.33; 7/A09.26</t>
  </si>
  <si>
    <t xml:space="preserve">Bracing - 1-1/2" C.R. channel @ 48" O.C.</t>
  </si>
  <si>
    <t xml:space="preserve">C.R. channel 16 ft</t>
  </si>
  <si>
    <t xml:space="preserve">familias_out.json 'bracing C.R. channel'; F/1/S5.20</t>
  </si>
  <si>
    <t xml:space="preserve">Purlin 1x1x1 16 GA across min. (2) flutes (top track to deck parallel to flute)</t>
  </si>
  <si>
    <t xml:space="preserve">familias_out.json 'purlin (track to deck)'; 10/A09.33</t>
  </si>
  <si>
    <t xml:space="preserve">Header / box beam (R.O. + 1'-4" x pieces)</t>
  </si>
  <si>
    <t xml:space="preserve">familias_out.json 'header / box beam'; 7/S5.20; 11/A09.27; 8/A12.01; 4/A08.21; 4/A12.10</t>
  </si>
  <si>
    <t xml:space="preserve">Sill track (R.O. + 1'-4", double over 4'-0")</t>
  </si>
  <si>
    <t xml:space="preserve">familias_out.json 'sill track'; 2/S5.20; 9/S5.20</t>
  </si>
  <si>
    <t xml:space="preserve">Furring channel 7/8" hat @ 16" O.C. (GWB ceilings)</t>
  </si>
  <si>
    <t xml:space="preserve">hat channel 12 ft</t>
  </si>
  <si>
    <t xml:space="preserve">familias_out.json 'furring channel'; A04.01</t>
  </si>
  <si>
    <t xml:space="preserve">Carrying channel 1-1/2" C.R. @ 48" O.C.</t>
  </si>
  <si>
    <t xml:space="preserve">familias_out.json 'carrying channel'; A04.01</t>
  </si>
  <si>
    <t xml:space="preserve">Hanger wire 12 ga</t>
  </si>
  <si>
    <t xml:space="preserve">familias_out.json 'hanger wire'; A04.01; S2.20</t>
  </si>
  <si>
    <t xml:space="preserve">5/8" gypsum board, regular (walls + ceilings)</t>
  </si>
  <si>
    <t xml:space="preserve">SF</t>
  </si>
  <si>
    <t xml:space="preserve">4x12 sheet</t>
  </si>
  <si>
    <t xml:space="preserve">familias_out.json '5/8" gyp board regular (walls + ceilings)'; 3/A12.01; 1/A12.01; 5/A12.01; A04.01</t>
  </si>
  <si>
    <t xml:space="preserve">5/8" gypsum board, moisture resistant (behind toilet and lavatory)</t>
  </si>
  <si>
    <t xml:space="preserve">familias_out.json '5/8" gyp MOISTURE RESISTANT'; F/A08.01</t>
  </si>
  <si>
    <t xml:space="preserve">3/8" UL752 Level-2 fiberglass ballistic panel (NIJ Type II)</t>
  </si>
  <si>
    <t xml:space="preserve">4x8 sheet</t>
  </si>
  <si>
    <t xml:space="preserve">familias_out.json 'ballistic panel'; 4/A12.01</t>
  </si>
  <si>
    <t xml:space="preserve">3/8" gypsum board (above ballistic panel to structure)</t>
  </si>
  <si>
    <t xml:space="preserve">familias_out.json '3/8" gyp board'; 4/A12.01</t>
  </si>
  <si>
    <t xml:space="preserve">5/8" glass mat sheathing (base strip and canopy band)</t>
  </si>
  <si>
    <t xml:space="preserve">familias_out.json '5/8" glass mat sheathing'; 5/A09.26; 9/A09.27; 7/A09.26</t>
  </si>
  <si>
    <t xml:space="preserve">5/8" exterior gypsum sheathing (parapet roof side)</t>
  </si>
  <si>
    <t xml:space="preserve">familias_out.json '5/8" EXTERIOR gyp sheathing'; 4/A09.26; C/A09.21</t>
  </si>
  <si>
    <t xml:space="preserve">FRT blocking (labeled FRT / FRTW / 2X / plywood blocking)</t>
  </si>
  <si>
    <t xml:space="preserve">familias_out.json 'FRT blocking'; 4/A09.26; A08.01 note E; A00.30 note D</t>
  </si>
  <si>
    <t xml:space="preserve">Metal stud blocking 362CR22 (STUD BLOCKING)</t>
  </si>
  <si>
    <t xml:space="preserve">familias_out.json 'metal stud blocking (362CR / STUD BLOCKING)'; 4/S5.20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</si>
  <si>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</si>
  <si>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</si>
  <si>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molding)'; 7/A09.33; 8/A12.01; 6/A09.33</t>
  </si>
  <si>
    <t xml:space="preserve">Cement board at tile cove base</t>
  </si>
  <si>
    <t xml:space="preserve">3x5 sheet</t>
  </si>
  <si>
    <t xml:space="preserve">familias_out.json 'cement board'; A08.01 CT-12C</t>
  </si>
  <si>
    <t xml:space="preserve">FRP panel</t>
  </si>
  <si>
    <t xml:space="preserve">4x10 sheet</t>
  </si>
  <si>
    <t xml:space="preserve">familias_out.json 'FRP'; A/A08.01; A05.01 key note 6</t>
  </si>
  <si>
    <t xml:space="preserve">Acoustical sealant</t>
  </si>
  <si>
    <t xml:space="preserve">tube (25 LF per tube)</t>
  </si>
  <si>
    <t xml:space="preserve">familias_out.json 'acoustical sealant'; 1/A12.01; 3/A12.01; 4/A12.01</t>
  </si>
  <si>
    <t xml:space="preserve">Framed openings - recessed fixtures and air devices in GWB ceilings and canopy soffits</t>
  </si>
  <si>
    <t xml:space="preserve">framed_openings_out.json; E00.01; E02.01; M01.01; 6/A09.33</t>
  </si>
  <si>
    <t xml:space="preserve">5/8" exterior grade FRT plywood (canopy soffits, fascia, column wraps)</t>
  </si>
  <si>
    <t xml:space="preserve">4x12 ft sheet (Inputs)</t>
  </si>
  <si>
    <t xml:space="preserve">familias_out.json FRT plywood by material; 7/A09.26; 11/A09.27; 12/A12.01</t>
  </si>
  <si>
    <t xml:space="preserve">5/8" FRT plywood bonded to 2-1/2" polyiso (exterior sheathing / nailbase)</t>
  </si>
  <si>
    <t xml:space="preserve">3/4" FRT plywood</t>
  </si>
  <si>
    <t xml:space="preserve">5/8"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</si>
  <si>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</si>
  <si>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</si>
  <si>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</si>
  <si>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</si>
  <si>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</si>
  <si>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</si>
  <si>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</si>
  <si>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</si>
  <si>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</si>
  <si>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1/P01.01 '2" ST' solid (above ceiling, P01.01 general note 1); 6/S5.20; 1/P01.01 '2" ST 10 GPM'; 6/S5.20; 1/P01.01 '2" ST 15 GPM'; 6/S5.20; 1/P01.01 '2" ST' 'CO'; 6/S5.20; 1/P01.01 'UP TO DRAIN'; 6/S5.20; 1/P01.01 'CO'; 6/S5.20; 1/</t>
  </si>
  <si>
    <t xml:space="preserve">Extra framing - sistered stud and furring at the ATM recess</t>
  </si>
  <si>
    <t xml:space="preserve">accesorios.py [CRITERION]: 6/A08.11; 7/A08.11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</si>
  <si>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</si>
  <si>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</si>
  <si>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</si>
  <si>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</si>
  <si>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</si>
  <si>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'5'-0" TO TOP OF FRP' dimensioned from top of the 6" CT-12C cove base (dimension string 6" + 5'-0"); 3/A08.01 layer order: cove base below, clear sealant, FRP panel above. FRP band vector 5.000 ft in A/A08.01; 1/A08.01 room polyg</t>
  </si>
  <si>
    <t xml:space="preserve">Power-driven fasteners and duct sleeves</t>
  </si>
  <si>
    <t xml:space="preserve">accesorios.py [DERIVED]: Parapet infill: PAFs SPACED AT 12" O.C. MAX to the steel beam; 1/M01.01 'FD' labels; 1/M01.01 12"o / 21"x17" FCU-1; 1/M01.01 12"x10" R-1B; 1/M01.01 12"x14"/14"x12"; 1/M01.01 14"x12"; 1/M01.01 14"x14"/10"o; 1/M01.01 14"x16"/18"x18"; 1/M01.01</t>
  </si>
  <si>
    <t xml:space="preserve">Access panel 2'x2'</t>
  </si>
  <si>
    <t xml:space="preserve">accesorios.py [CONFIRMED]: A04.01 key note 4</t>
  </si>
  <si>
    <t xml:space="preserve">Drywall screws 1-1/4" bugle head</t>
  </si>
  <si>
    <t xml:space="preserve">accesorios.py [DERIVED]: Inputs!B20 (Drywall screws per SF of board = 1.2) x 17015.8 SF of board</t>
  </si>
  <si>
    <t xml:space="preserve">Framing screws, pan head self-drilling</t>
  </si>
  <si>
    <t xml:space="preserve">accesorios.py [DERIVED]: Inputs!B21 (Framing screws per stud piece = 4) x 1739 stud pieces</t>
  </si>
  <si>
    <t xml:space="preserve">Power-driven fasteners, slab pins for the bottom track</t>
  </si>
  <si>
    <t xml:space="preserve">accesorios.py [DERIVED]: 480.89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</si>
  <si>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</si>
  <si>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216.83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</si>
  <si>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</si>
  <si>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</si>
  <si>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</si>
  <si>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17015.8 SF of board</t>
  </si>
  <si>
    <t xml:space="preserve">Joint tape, paper</t>
  </si>
  <si>
    <t xml:space="preserve">accesorios.py [DERIVED]: Inputs!B24 (Joint tape (LF per SF) = 0.37) x 17015.8 SF of board</t>
  </si>
  <si>
    <t xml:space="preserve">Level 5 finish</t>
  </si>
  <si>
    <t xml:space="preserve">accesorios.py [DERIVED]: 1/A11.04 OFFICE 1 - SOUTH '11'-9 1/4" V.I.F.' (CONFIRMED); h = ceiling 9'-0" ACT-4 A04.01 (vector 1/A11.04 (477.5-153.5)/36 = 9.0); A05.01 WC-18 tag; 6/A11.01 OFFICE 2 - SOUTH '11'-9 1/4" V.I.F.' (CONFIRMED); h = ceiling 9'-0" ACT-4 A04.01 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</si>
  <si>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</si>
  <si>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</si>
  <si>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</si>
  <si>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</si>
  <si>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</si>
  <si>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107.04 lf</t>
  </si>
  <si>
    <t xml:space="preserve">RFI-ACC-extra-framing-atm</t>
  </si>
  <si>
    <t xml:space="preserve">extra framing ATM: ATM-DU drive-up (NHA 9D TTW): ATM recess not fully dimensioned (width CONFIRMED, sistered height DERIVED, furring rows DERIVED)</t>
  </si>
  <si>
    <t xml:space="preserve">8.21 lf</t>
  </si>
  <si>
    <t xml:space="preserve">RFI-ACC-gypsum-board-jamb-return</t>
  </si>
  <si>
    <t xml:space="preserve">gypsum board jamb return: jamb return width not dimensioned</t>
  </si>
  <si>
    <t xml:space="preserve">-54.69 sf</t>
  </si>
  <si>
    <t xml:space="preserve">RFI-ACC-slab-pins</t>
  </si>
  <si>
    <t xml:space="preserve">slab pins: pin spacing: 12" (interior anchorage) vs 16" (fastener schedule) vs 24" (type K box)</t>
  </si>
  <si>
    <t xml:space="preserve">16in: -120.22 pcs; 24in: -240.45 pcs</t>
  </si>
  <si>
    <t xml:space="preserve">RFI-A01</t>
  </si>
  <si>
    <t xml:space="preserve">Exterior stud: S1.11 note 5 calls 600S162-54 @ 16" O.C. and @ 12" O.C. within 6 ft of building corners; 7/S5.20 calls 600S137-33 @ 16" O.C. Carried S1.11 (more material).</t>
  </si>
  <si>
    <t xml:space="preserve">33 mil vs 54 mil gauge; corner zones add studs at 12" O.C. within 6 ft each side (included in 6" stud LF)</t>
  </si>
  <si>
    <t xml:space="preserve">RFI-A02</t>
  </si>
  <si>
    <t xml:space="preserve">No header schedule row for exterior non-load-bearing walls; openings 3'-4" to 4'-0": 9/S5.20 single vs 7/S5.20 double. Carried double.</t>
  </si>
  <si>
    <t xml:space="preserve">1 track piece x (R.O. + 1'-4") per opening</t>
  </si>
  <si>
    <t xml:space="preserve">RFI-A03</t>
  </si>
  <si>
    <t xml:space="preserve">S2.20 note '@ LOW ROOF' south of grid E without a B.O.D.; zone E-B carried at 15'-4 1/2".</t>
  </si>
  <si>
    <t xml:space="preserve">-2.32 ft per stud / hanger in zone E-B if 13'-0 5/8"</t>
  </si>
  <si>
    <t xml:space="preserve">RFI-A04</t>
  </si>
  <si>
    <t xml:space="preserve">Canopy B.O.D. printed 111'-9" on S2.20 (typo); 11'-9" carried (T/STEEL J, H/A09.23).</t>
  </si>
  <si>
    <t xml:space="preserve">n/a: no partition to deck at canopy</t>
  </si>
  <si>
    <t xml:space="preserve">RFI-A05</t>
  </si>
  <si>
    <t xml:space="preserve">Canopy beam in the exterior stud plane (C/A09.21, D/A09.22, H/A09.23, 7/S5.11): stud carried continuous to the roof beam.</t>
  </si>
  <si>
    <t xml:space="preserve">split stud: -1.02 to -1.31 ft per stud and +2 track lines per LF</t>
  </si>
  <si>
    <t xml:space="preserve">RFI-A06</t>
  </si>
  <si>
    <t xml:space="preserve">Beam on grid 3 F-E has no mark on S2.20.</t>
  </si>
  <si>
    <t xml:space="preserve">W12: stud 14.36 ft; W16: 14.07 ft</t>
  </si>
  <si>
    <t xml:space="preserve">RFI-A07</t>
  </si>
  <si>
    <t xml:space="preserve">Board sheet length not specified; 12 ft carried.</t>
  </si>
  <si>
    <t xml:space="preserve">n/a: sheet size is an Inputs parameter</t>
  </si>
  <si>
    <t xml:space="preserve">RFI-A08</t>
  </si>
  <si>
    <t xml:space="preserve">Furring / carrying / hanger spacing not printed (16" / 48" / 48" carried).</t>
  </si>
  <si>
    <t xml:space="preserve">furring at 24": approx. -33% furring LF</t>
  </si>
  <si>
    <t xml:space="preserve">RFI-01</t>
  </si>
  <si>
    <t xml:space="preserve">Office front CONT. BOX BEAM length per front: full drawn bulkhead line (carried) vs first to last jamb.</t>
  </si>
  <si>
    <t xml:space="preserve">-3.39 ft (east) and -3.11 ft (west) x 4 pieces</t>
  </si>
  <si>
    <t xml:space="preserve">RFI-02</t>
  </si>
  <si>
    <t xml:space="preserve">Office front HOLD: east 8'-0 1/2" (7/A11.01) vs west 8'-0" (8/A11.01).</t>
  </si>
  <si>
    <t xml:space="preserve">0.5 in of bulkhead height</t>
  </si>
  <si>
    <t xml:space="preserve">RFI-03</t>
  </si>
  <si>
    <t xml:space="preserve">Ballistic panel face at the teller pod side walls (A1K) and B2K without schedule row (derived 6" 14 GA @ 24", 7-5/8").</t>
  </si>
  <si>
    <t xml:space="preserve">contour 9.547 ft carried vs 11.287 ft (+1.74 ft x 8 ft panel)</t>
  </si>
  <si>
    <t xml:space="preserve">RFI-04</t>
  </si>
  <si>
    <t xml:space="preserve">C1 (6/A12.01) top of stud and board not labeled; carried to underside of structure.</t>
  </si>
  <si>
    <t xml:space="preserve">to 6" above ceiling: approx. -40% C1 board</t>
  </si>
  <si>
    <t xml:space="preserve">RFI-05</t>
  </si>
  <si>
    <t xml:space="preserve">MW01 printer niche: framing above cabinet on the open side not shown.</t>
  </si>
  <si>
    <t xml:space="preserve">n/a: not carried</t>
  </si>
  <si>
    <t xml:space="preserve">RFI-07</t>
  </si>
  <si>
    <t xml:space="preserve">Door 119 R.O. measured 3'-6" vs 3'-4" nominal.</t>
  </si>
  <si>
    <t xml:space="preserve">+0.17 ft header</t>
  </si>
  <si>
    <t xml:space="preserve">RFI-08</t>
  </si>
  <si>
    <t xml:space="preserve">Vestibule heads: height from storefront head to structure and stud size not printed (4-7/A12.10).</t>
  </si>
  <si>
    <t xml:space="preserve">approx. 102 LF of 3-5/8" stud change family if 6"</t>
  </si>
  <si>
    <t xml:space="preserve">RFI-09</t>
  </si>
  <si>
    <t xml:space="preserve">G / G1 (5/A12.01) top not labeled; carried to underside of deck per 8, 9, 10/A12.01.</t>
  </si>
  <si>
    <t xml:space="preserve">n/a</t>
  </si>
  <si>
    <t xml:space="preserve">RFI-C02</t>
  </si>
  <si>
    <t xml:space="preserve">Glass mat band B/STUD 10'-7 1/4" (carried) vs 10'-8 5/8".</t>
  </si>
  <si>
    <t xml:space="preserve">-21.2 SF glass mat</t>
  </si>
  <si>
    <t xml:space="preserve">RFI-C03</t>
  </si>
  <si>
    <t xml:space="preserve">Parapet roof-side exterior gypsum sheathing measured from B.O.D. (carried) vs from top of roofing.</t>
  </si>
  <si>
    <t xml:space="preserve">-160 SF</t>
  </si>
  <si>
    <t xml:space="preserve">RFI-C04</t>
  </si>
  <si>
    <t xml:space="preserve">Drive-up ATM R.O. 2'-2 1/2" (7/A08.11) vs 2'-2 1/8" (5/A08.11).</t>
  </si>
  <si>
    <t xml:space="preserve">-0.13 LF header</t>
  </si>
  <si>
    <t xml:space="preserve">RFI-C05</t>
  </si>
  <si>
    <t xml:space="preserve">ATM surround (FRT plywood, furring, fiber cement): GC or vendor?</t>
  </si>
  <si>
    <t xml:space="preserve">-32.6 SF FRT plywood if vendor</t>
  </si>
  <si>
    <t xml:space="preserve">RFI-C06</t>
  </si>
  <si>
    <t xml:space="preserve">Gypsum board jamb return width not dimensioned.</t>
  </si>
  <si>
    <t xml:space="preserve">approx. 15.2 SF per inch of width</t>
  </si>
  <si>
    <t xml:space="preserve">RFI-C07</t>
  </si>
  <si>
    <t xml:space="preserve">Coiling grille 103 height 13'-6" (A00.30) vs 10'-0" derived (4/A08.21, A04.01).</t>
  </si>
  <si>
    <t xml:space="preserve">+7.0 LF FRT blocking</t>
  </si>
  <si>
    <t xml:space="preserve">RFI-C09</t>
  </si>
  <si>
    <t xml:space="preserve">Storefront pier jamb FRT plywood width not dimensioned.</t>
  </si>
  <si>
    <t xml:space="preserve">9.6 SF</t>
  </si>
  <si>
    <t xml:space="preserve">RFI-C10</t>
  </si>
  <si>
    <t xml:space="preserve">Drive-up canopy joist direction (E-W carried).</t>
  </si>
  <si>
    <t xml:space="preserve">+90 LF 3-5/8" if N-S</t>
  </si>
  <si>
    <t xml:space="preserve">RFI-C11</t>
  </si>
  <si>
    <t xml:space="preserve">Roof hatch size and ladder bracket levels.</t>
  </si>
  <si>
    <t xml:space="preserve">2.4 LF blocking</t>
  </si>
  <si>
    <t xml:space="preserve">RFI-C12</t>
  </si>
  <si>
    <t xml:space="preserve">Cladding substrate (hat channel at EPS-5 metal panel, stucco lath, ACM supports) excluded - by cladding installer.</t>
  </si>
  <si>
    <t xml:space="preserve">n/a: excluded scope</t>
  </si>
  <si>
    <t xml:space="preserve">RFI-C13</t>
  </si>
  <si>
    <t xml:space="preserve">Gypsum board at the 1'-1" chase on exterior wall W3b.</t>
  </si>
  <si>
    <t xml:space="preserve">-4.1 SF</t>
  </si>
  <si>
    <t xml:space="preserve">RFI-D1</t>
  </si>
  <si>
    <t xml:space="preserve">Carrying channel direction for GWB ceilings not shown; N-S carried.</t>
  </si>
  <si>
    <t xml:space="preserve">E-W: furring -39.2 LF, carrying +6.7 LF</t>
  </si>
  <si>
    <t xml:space="preserve">RFI-D2</t>
  </si>
  <si>
    <t xml:space="preserve">7/A09.33 trims where the GWB is the low ceiling (104): 4 LF/LF carried.</t>
  </si>
  <si>
    <t xml:space="preserve">-154.05 LF trim at 2 LF/LF</t>
  </si>
  <si>
    <t xml:space="preserve">RFI-D3</t>
  </si>
  <si>
    <t xml:space="preserve">Waiting 104 cloud: 7/A09.33 transition (carried) or 8/A09.33 bulkhead with 3-5/8" framing.</t>
  </si>
  <si>
    <t xml:space="preserve">furring 408.6 LF becomes 3-5/8" joists</t>
  </si>
  <si>
    <t xml:space="preserve">RFI-D4</t>
  </si>
  <si>
    <t xml:space="preserve">CSR soffit: 10/A09.33 shows a partition on one side; plans show ACT both sides. 2 drop lines carried.</t>
  </si>
  <si>
    <t xml:space="preserve">-1 drop line: -(6.454 x 7.375 + 5.559 x 5.052) LF studs, -24 LF track</t>
  </si>
  <si>
    <t xml:space="preserve">RFI-D5</t>
  </si>
  <si>
    <t xml:space="preserve">Vertical stud spacing at 7/A09.33 transition not printed; 16" carried.</t>
  </si>
  <si>
    <t xml:space="preserve">-83.1 LF at 24"</t>
  </si>
  <si>
    <t xml:space="preserve">RFI-D6</t>
  </si>
  <si>
    <t xml:space="preserve">Shadow molding at ACT edges of the CSR soffit: drywall or ACT scope?</t>
  </si>
  <si>
    <t xml:space="preserve">-24.03 LF</t>
  </si>
  <si>
    <t xml:space="preserve">RFI-D7</t>
  </si>
  <si>
    <t xml:space="preserve">M01.01 shows 12 x 4'-0" slot diffusers in GWB vestibules 100/101 not shown on A04.01.</t>
  </si>
  <si>
    <t xml:space="preserve">111.4 LF framed openings</t>
  </si>
  <si>
    <t xml:space="preserve">RFI-D8</t>
  </si>
  <si>
    <t xml:space="preserve">Restroom air devices: 2'-0" slot (M01.01, carried) vs 2'x2' (A04.01 legend).</t>
  </si>
  <si>
    <t xml:space="preserve">+10.9 LF</t>
  </si>
  <si>
    <t xml:space="preserve">RFI-D10</t>
  </si>
  <si>
    <t xml:space="preserve">Gypsum edge trim at trimless slots: long sides only or full perimeter.</t>
  </si>
  <si>
    <t xml:space="preserve">-2.64 LF</t>
  </si>
  <si>
    <t xml:space="preserve">RFI-E01</t>
  </si>
  <si>
    <t xml:space="preserve">Restroom width 11'-8" (A02.01) vs 11'-7 1/2" (1/A08.01).</t>
  </si>
  <si>
    <t xml:space="preserve">+0.083 LF perimeter per room</t>
  </si>
  <si>
    <t xml:space="preserve">RFI-E03</t>
  </si>
  <si>
    <t xml:space="preserve">FRP width at mop sink taken from the fixture model (24").</t>
  </si>
  <si>
    <t xml:space="preserve">+/-0.67 SF per inch</t>
  </si>
  <si>
    <t xml:space="preserve">RFI-E04</t>
  </si>
  <si>
    <t xml:space="preserve">Moisture resistant board behind the break room sink (no note on plans).</t>
  </si>
  <si>
    <t xml:space="preserve">+30 SF MR (reclassified)</t>
  </si>
  <si>
    <t xml:space="preserve">RFI-E05</t>
  </si>
  <si>
    <t xml:space="preserve">Moisture resistant board behind the mop sink (F/A08.01 names toilet and lavatory only).</t>
  </si>
  <si>
    <t xml:space="preserve">+16 SF MR (reclassified)</t>
  </si>
  <si>
    <t xml:space="preserve">RFI-E06</t>
  </si>
  <si>
    <t xml:space="preserve">Carrier and moisture resistant board at the wall-hung drinking fountain niche.</t>
  </si>
  <si>
    <t xml:space="preserve">2.5 ft niche</t>
  </si>
  <si>
    <t xml:space="preserve">RFI-E07</t>
  </si>
  <si>
    <t xml:space="preserve">WC-20 (Level 5) extent not drawn; carried on the 24 HR vestibule 101 diagonal wall.</t>
  </si>
  <si>
    <t xml:space="preserve">-168 SF Level 5 if not there</t>
  </si>
  <si>
    <t xml:space="preserve">RFI-E09</t>
  </si>
  <si>
    <t xml:space="preserve">Wall stop blocking material and length (A00.30 note D); metal 2'-0" per stop carried.</t>
  </si>
  <si>
    <t xml:space="preserve">-6.0 LF at 1'-4"</t>
  </si>
  <si>
    <t xml:space="preserve">RFI-E11</t>
  </si>
  <si>
    <t xml:space="preserve">Additional blocking rows at uppers / open shelving (MW07, MW12, MW18).</t>
  </si>
  <si>
    <t xml:space="preserve">16.96 LF</t>
  </si>
  <si>
    <t xml:space="preserve">RFI-D9</t>
  </si>
  <si>
    <t xml:space="preserve">R-11C / R-11CE: schedule description 12' vs catalog suffix 20'-0"; 12' carried (drawn 12').</t>
  </si>
  <si>
    <t xml:space="preserve">+64 LF framed openings if 20'</t>
  </si>
  <si>
    <t xml:space="preserve">RFI-E12</t>
  </si>
  <si>
    <t xml:space="preserve">85" monitor blocking: 18" high 3/4" FRT plywood (A03.01 key note 24) carried as 3.686 LF of FRT blocking.</t>
  </si>
  <si>
    <t xml:space="preserve">n/a: LF unchanged; width 11" vs 18"</t>
  </si>
  <si>
    <t xml:space="preserve">RFI-E14</t>
  </si>
  <si>
    <t xml:space="preserve">Lockers blocking rows (A02.01 key note 5, 6/A11.02): 2 rows metal carried.</t>
  </si>
  <si>
    <t xml:space="preserve">+/-4.86 LF per row</t>
  </si>
  <si>
    <t xml:space="preserve">RFI-E15</t>
  </si>
  <si>
    <t xml:space="preserve">Roof ladder bracket levels (3/A09.30): 4 levels x 2'-0" FRT carried.</t>
  </si>
  <si>
    <t xml:space="preserve">-2.0 LF per level</t>
  </si>
  <si>
    <t xml:space="preserve">RFI-E16</t>
  </si>
  <si>
    <t xml:space="preserve">Water heater WH-1 2X blocking (3/P00.01): 2 x 2'-0" carried.</t>
  </si>
  <si>
    <t xml:space="preserve">+/-2.0 LF</t>
  </si>
  <si>
    <t xml:space="preserve">RFI-E17</t>
  </si>
  <si>
    <t xml:space="preserve">Access panel at the pressure reducing valve (P00.01 note, P03.01): location not shown.</t>
  </si>
  <si>
    <t xml:space="preserve">+1 access panel if in a GWB wall or ceiling</t>
  </si>
  <si>
    <t xml:space="preserve">RFI-A05b</t>
  </si>
  <si>
    <t xml:space="preserve">Architectural sections draw the 6" CFMF continuous to the parapet; structure cuts it at the perimeter beam (10/S5.10). Structure followed.</t>
  </si>
  <si>
    <t xml:space="preserve">continuous stud: +d of the beam (1.02 to 1.48 ft) per stud and no parapet infill</t>
  </si>
  <si>
    <t xml:space="preserve">RFI-COMP-1</t>
  </si>
  <si>
    <t xml:space="preserve">Owner wall signs (A09.01 / A09.02 key note 1): mounting by sign vendor; extra backing behind the parapet nailbase?</t>
  </si>
  <si>
    <t xml:space="preserve">approx. 160 LF blocking if required</t>
  </si>
  <si>
    <t xml:space="preserve">RFI-COMP-2</t>
  </si>
  <si>
    <t xml:space="preserve">Canopy lane signage (A04.01 key note 8): mounting / blocking not drawn.</t>
  </si>
  <si>
    <t xml:space="preserve">n/a: not quantified</t>
  </si>
  <si>
    <t xml:space="preserve">RFI-COMP-3</t>
  </si>
  <si>
    <t xml:space="preserve">Chief PAC527L in-wall box 14.25" x 22" (9, 13/A12.02) fits the 14 3/8" stud bay only at exact spacing; not framed.</t>
  </si>
  <si>
    <t xml:space="preserve">+5.04 LF track if framed</t>
  </si>
  <si>
    <t xml:space="preserve">RFI-COMP-4</t>
  </si>
  <si>
    <t xml:space="preserve">TA-14 recessed waste receptacle 14.1" at the stud bay limit; not framed.</t>
  </si>
  <si>
    <t xml:space="preserve">+10.02 LF track if framed</t>
  </si>
  <si>
    <t xml:space="preserve">RFI-COMP-5</t>
  </si>
  <si>
    <t xml:space="preserve">TA-13 hand dryer recess x2 (A08.01, A/A08.01): 1.43 ft wide &gt; stud bay, needs header + sill track (58.4). Not carried: framed_openings.py sends it to TO_HEADER_SILL and no tool consumes that list (tool change proposed).</t>
  </si>
  <si>
    <t xml:space="preserve">+11.05 LF track (2 x 2 x (1.43 + 1.333)) + 4 jamb studs</t>
  </si>
  <si>
    <t xml:space="preserve">RFI-EXT-1</t>
  </si>
  <si>
    <t xml:space="preserve">HSS9x5x5/8 (LLV) B.O.S. 8'-7 1/2" on grid 2 G-E (S2.20) runs in the EXT-W1 plane 15.43 ft beyond SF-W1: studs carried continuous.</t>
  </si>
  <si>
    <t xml:space="preserve">studs stop at the HSS: +30.85 LF track, approx. -9 LF 6" stud</t>
  </si>
  <si>
    <t xml:space="preserve">RFI-EXT-2</t>
  </si>
  <si>
    <t xml:space="preserve">Canopy beams (W16x26 F 4-7, W12x19 G 2-4, W16x26 grid 2) stacked over the storefront HSS inside the wall cavity (3, 7/A09.26): storefront cripples carried continuous.</t>
  </si>
  <si>
    <t xml:space="preserve">-46.5 LF stud, +90.6 LF track if cut at the canopy beam</t>
  </si>
  <si>
    <t xml:space="preserve">RFI-EXT-3</t>
  </si>
  <si>
    <t xml:space="preserve">Fascia box: 5/8" ext. grade FRT plywood drawn also on the back face (1.467 ft) and bottom (0.378 ft) in 7/A09.26 and 3/A09.26; canon.py generates the front face only (tool change proposed).</t>
  </si>
  <si>
    <t xml:space="preserve">+444 SF FRT plywood (240.82 LF x 1.845 ft)</t>
  </si>
  <si>
    <t xml:space="preserve">RFI-EXT-4</t>
  </si>
  <si>
    <t xml:space="preserve">ATM drive-up '(2) LAYERS 3/4" FRT PLYWOOD PLINTH' (6/A08.11): rough carpentry / ATM vendor, not carried.</t>
  </si>
  <si>
    <t xml:space="preserve">+18.4 SF 3/4" FRT plywood if by drywall</t>
  </si>
  <si>
    <t xml:space="preserve">RFI-EXT-5</t>
  </si>
  <si>
    <t xml:space="preserve">Roof step bottom closure (4/A02.02): 1.29 ft board return not carried.</t>
  </si>
  <si>
    <t xml:space="preserve">+66.9 SF 5/8" board, +103.7 LF corner bead, +51.8 LF track</t>
  </si>
  <si>
    <t xml:space="preserve">RFI-EXT-6</t>
  </si>
  <si>
    <t xml:space="preserve">Double jamb stud at storefront ends against walls (9/S5.20 DBL JAMB STUD): only the wall end stud carried.</t>
  </si>
  <si>
    <t xml:space="preserve">+28.7 LF 6" stud</t>
  </si>
  <si>
    <t xml:space="preserve">RFI-EXT-7</t>
  </si>
  <si>
    <t xml:space="preserve">Parapet roof side: 4/A09.26 says DENS DECK, C/A09.21 and J/A09.23 say EXTERIOR GYPSUM SHEATHING; carried as exterior gypsum sheathing (drywall).</t>
  </si>
  <si>
    <t xml:space="preserve">-935.5 SF if by roofer</t>
  </si>
  <si>
    <t xml:space="preserve">RFI-EXT-8</t>
  </si>
  <si>
    <t xml:space="preserve">Storefront pier board wraps an L of approx. 3.15 ft per pier (1, 2/A09.25) vs 2.563 ft carried.</t>
  </si>
  <si>
    <t xml:space="preserve">+18 SF</t>
  </si>
  <si>
    <t xml:space="preserve">RFI-BC-4</t>
  </si>
  <si>
    <t xml:space="preserve">Office front CONT. BOX BEAM runs wall to wall: +1'-4" bearing added per E1 / E22 (carried).</t>
  </si>
  <si>
    <t xml:space="preserve">-10.67 LF header (2 runs x 1.333 x 4 pieces)</t>
  </si>
  <si>
    <t xml:space="preserve">RFI-BC-5</t>
  </si>
  <si>
    <t xml:space="preserve">Lavatory niche back wall (8.69 LF) typed A1 by note A inside a run tagged B2.</t>
  </si>
  <si>
    <t xml:space="preserve">+19.5 SF board and 6" stud if B2</t>
  </si>
  <si>
    <t xml:space="preserve">RFI-BC-6</t>
  </si>
  <si>
    <t xml:space="preserve">Parapet length basis: stud centerline on N / E / S, exterior face on W.</t>
  </si>
  <si>
    <t xml:space="preserve">+4.1 LF if all at the exterior face</t>
  </si>
  <si>
    <t xml:space="preserve">RFI-CJ</t>
  </si>
  <si>
    <t xml:space="preserve">Control joints in gypsum board are not labeled anywhere in the set (CJ only in the stucco legend A09.31 and civil). Excluded; confirm per ASTM C840 / GA-216 (runs &gt; 30 ft, ceilings &gt; 2,500 SF).</t>
  </si>
  <si>
    <t xml:space="preserve">n/a: excluded until confirmed</t>
  </si>
  <si>
    <t xml:space="preserve">RFI-ASM-01</t>
  </si>
  <si>
    <t xml:space="preserve">Walls partially under a beam (&lt;70% covered) carried to deck; walls &gt;= 70% under a beam stop under it (E26).</t>
  </si>
  <si>
    <t xml:space="preserve">per wall: -d of the beam (0.66 to 1.15 ft) per stud</t>
  </si>
  <si>
    <t xml:space="preserve">RFI-ASM-02</t>
  </si>
  <si>
    <t xml:space="preserve">Canopy soffit wall line measured equal to the fascia line (CS-W, CS-N); E13 asks for a separate measurement.</t>
  </si>
  <si>
    <t xml:space="preserve">track: wall line at corners differs by the canopy depth</t>
  </si>
  <si>
    <t xml:space="preserve">#</t>
  </si>
  <si>
    <t xml:space="preserve">Item</t>
  </si>
  <si>
    <t xml:space="preserve">Sheet + detail</t>
  </si>
  <si>
    <t xml:space="preserve">Image</t>
  </si>
  <si>
    <t xml:space="preserve">Confirm exterior stud gauge and 12" corner zones (RFI-A01): S1.11 vs 7/S5.20.</t>
  </si>
  <si>
    <t xml:space="preserve">see RFI</t>
  </si>
  <si>
    <t xml:space="preserve">Planos marcados</t>
  </si>
  <si>
    <t xml:space="preserve">Confirm B.O.D. in zone E-B (RFI-A03) - drives stud and hanger heights in Waiting 104 area.</t>
  </si>
  <si>
    <t xml:space="preserve">Confirm office front CONT. BOX BEAM run length per front (RFI-01).</t>
  </si>
  <si>
    <t xml:space="preserve">Confirm ballistic contour faces at the teller pod (RFI-03).</t>
  </si>
  <si>
    <t xml:space="preserve">Confirm C1 furring height (RFI-04) and vestibule head height / stud size (RFI-08).</t>
  </si>
  <si>
    <t xml:space="preserve">Confirm canopy linear fixtures UU1-UU6 framed openings are by drywall contractor (54.1, 4,5/A09.33).</t>
  </si>
  <si>
    <t xml:space="preserve">Confirm canopy beam in exterior wall plane (RFI-A05): continuous vs split stud.</t>
  </si>
  <si>
    <t xml:space="preserve">Confirm Level 5 WC-20 extent (RFI-E07).</t>
  </si>
  <si>
    <t xml:space="preserve">Check walls partially under beams (vigas_sobre_walls.py &lt;70%) carried to deck (RFI-ASM-01).</t>
  </si>
  <si>
    <t xml:space="preserve">W036a (A5) band touches the roof step RS bands at grid B (partition_types warning R11): the roof step is at roof level, the partition at floor level.</t>
  </si>
  <si>
    <t xml:space="preserve">Exterior outside-corner trim sweep: only the trims listed in detail callouts are carried; project-wide outside corners of partitions not swept one by one.</t>
  </si>
  <si>
    <t xml:space="preserve">E02.x wall-mounted electrical equipment not crossed against walls (MEP sweep covered P01.01, P01.02, M01.01, M01.02).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</si>
  <si>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</si>
  <si>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</si>
  <si>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</si>
  <si>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</si>
  <si>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QUANTIFIED</t>
  </si>
  <si>
    <t xml:space="preserve">Partition Takeoff; 3-5/8" / 6" / 1-5/8" stud rows; A12.01</t>
  </si>
  <si>
    <t xml:space="preserve">ALC-02</t>
  </si>
  <si>
    <t xml:space="preserve">EXT-6CFMF rows; C/A09.21, D/A09.22, H/A09.23</t>
  </si>
  <si>
    <t xml:space="preserve">ALC-03</t>
  </si>
  <si>
    <t xml:space="preserve">EXT-PARAPET rows; 11/S5.10, 4/A09.26</t>
  </si>
  <si>
    <t xml:space="preserve">ALC-04</t>
  </si>
  <si>
    <t xml:space="preserve">bottom and top / deflection track rows; 7/S5.20, 3/A12.01</t>
  </si>
  <si>
    <t xml:space="preserve">ALC-05</t>
  </si>
  <si>
    <t xml:space="preserve">header / box beam and sill track rows; 7/S5.20, 2/S5.20</t>
  </si>
  <si>
    <t xml:space="preserve">ALC-06</t>
  </si>
  <si>
    <t xml:space="preserve">bracing row; F/1/S5.20</t>
  </si>
  <si>
    <t xml:space="preserve">ALC-07</t>
  </si>
  <si>
    <t xml:space="preserve">5/8" gypsum board regular row; A12.01</t>
  </si>
  <si>
    <t xml:space="preserve">ALC-08</t>
  </si>
  <si>
    <t xml:space="preserve">5/8" moisture resistant row; F/A08.01</t>
  </si>
  <si>
    <t xml:space="preserve">ALC-09</t>
  </si>
  <si>
    <t xml:space="preserve">glass mat and exterior gypsum sheathing rows; 5/A09.26, 4/A09.26</t>
  </si>
  <si>
    <t xml:space="preserve">ALC-10</t>
  </si>
  <si>
    <t xml:space="preserve">FRT plywood rows by material; 7/A09.26, 11/A09.27, 12/A12.01</t>
  </si>
  <si>
    <t xml:space="preserve">ALC-11</t>
  </si>
  <si>
    <t xml:space="preserve">GWB ceilings 100, 101, 104, 113, 114 in board row; A04.01</t>
  </si>
  <si>
    <t xml:space="preserve">ALC-12</t>
  </si>
  <si>
    <t xml:space="preserve">furring, carrying, hanger wire and ceiling track rows; A04.01, A09.33</t>
  </si>
  <si>
    <t xml:space="preserve">ALC-13</t>
  </si>
  <si>
    <t xml:space="preserve">CSR soffit, transitions, office bulkheads; 10/A09.33, 7/A09.33, 8/A12.01</t>
  </si>
  <si>
    <t xml:space="preserve">ALC-14</t>
  </si>
  <si>
    <t xml:space="preserve">canopy soffit joists, fascia box, canopy columns; 7/A09.26, 16/A09.27, 5/A09.25</t>
  </si>
  <si>
    <t xml:space="preserve">ALC-15</t>
  </si>
  <si>
    <t xml:space="preserve">canopy columns CANOPY-COL 5/A09.25</t>
  </si>
  <si>
    <t xml:space="preserve">ALC-16</t>
  </si>
  <si>
    <t xml:space="preserve">FRT blocking and metal stud blocking rows; A08.01, 4/S5.20, 4/A09.26</t>
  </si>
  <si>
    <t xml:space="preserve">ALC-17</t>
  </si>
  <si>
    <t xml:space="preserve">framed openings row; E00.01, E02.01, M01.01</t>
  </si>
  <si>
    <t xml:space="preserve">ALC-18</t>
  </si>
  <si>
    <t xml:space="preserve">metal trim row; control joints not labeled on the set (excluded with RFI per 26)</t>
  </si>
  <si>
    <t xml:space="preserve">ALC-19</t>
  </si>
  <si>
    <t xml:space="preserve">acoustical sealant row; 1, 3, 4, 5/A12.01</t>
  </si>
  <si>
    <t xml:space="preserve">ALC-20</t>
  </si>
  <si>
    <t xml:space="preserve">FRP and cement board rows; A08.01</t>
  </si>
  <si>
    <t xml:space="preserve">ALC-21</t>
  </si>
  <si>
    <t xml:space="preserve">NOT APPLICABLE</t>
  </si>
  <si>
    <t xml:space="preserve">A02.01: no shaft walls or area separation walls on the construction plan</t>
  </si>
  <si>
    <t xml:space="preserve">ALC-22</t>
  </si>
  <si>
    <t xml:space="preserve">A02.01, A05.01: no rated partition assemblies (fire rating column empty on A12.01 schedule)</t>
  </si>
  <si>
    <t xml:space="preserve">ALC-23</t>
  </si>
  <si>
    <t xml:space="preserve">ballistic panel row; 4/A12.01</t>
  </si>
  <si>
    <t xml:space="preserve">ALC-24</t>
  </si>
  <si>
    <t xml:space="preserve">Level 5 finish row; A00.40, A05.01</t>
  </si>
  <si>
    <t xml:space="preserve">ALC-X25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</si>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</sst>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3" t="n">
        <v>20</v>
      </c>
      <c r="C14" s="4" t="s">
        <v>20</v>
      </c>
    </row>
    <row r="15" customFormat="false" ht="15" hidden="false" customHeight="false" outlineLevel="0" collapsed="false">
      <c r="A15" s="0" t="s">
        <v>23</v>
      </c>
      <c r="B15" s="3" t="n">
        <v>25</v>
      </c>
      <c r="C15" s="4" t="s">
        <v>24</v>
      </c>
    </row>
    <row r="16" customFormat="false" ht="15" hidden="false" customHeight="false" outlineLevel="0" collapsed="false">
      <c r="A16" s="0" t="s">
        <v>25</v>
      </c>
      <c r="B16" s="3" t="n">
        <v>16</v>
      </c>
      <c r="C16" s="4" t="s">
        <v>26</v>
      </c>
    </row>
    <row r="17" customFormat="false" ht="15" hidden="false" customHeight="false" outlineLevel="0" collapsed="false">
      <c r="A17" s="0" t="s">
        <v>27</v>
      </c>
      <c r="B17" s="3" t="n">
        <v>12</v>
      </c>
      <c r="C17" s="4" t="s">
        <v>28</v>
      </c>
    </row>
    <row r="18" customFormat="false" ht="15" hidden="false" customHeight="false" outlineLevel="0" collapsed="false">
      <c r="A18" s="0" t="s">
        <v>29</v>
      </c>
      <c r="B18" s="3" t="n">
        <v>10</v>
      </c>
      <c r="C18" s="4" t="s">
        <v>30</v>
      </c>
    </row>
    <row r="19" customFormat="false" ht="15" hidden="false" customHeight="false" outlineLevel="0" collapsed="false">
      <c r="A19" s="0" t="s">
        <v>31</v>
      </c>
      <c r="B19" s="3" t="s">
        <v>32</v>
      </c>
      <c r="C19" s="4" t="s">
        <v>33</v>
      </c>
    </row>
    <row r="20" customFormat="false" ht="15" hidden="false" customHeight="false" outlineLevel="0" collapsed="false">
      <c r="A20" s="0" t="s">
        <v>34</v>
      </c>
      <c r="B20" s="3" t="n">
        <v>1.2</v>
      </c>
      <c r="C20" s="4" t="s">
        <v>35</v>
      </c>
    </row>
    <row r="21" customFormat="false" ht="15" hidden="false" customHeight="false" outlineLevel="0" collapsed="false">
      <c r="A21" s="0" t="s">
        <v>36</v>
      </c>
      <c r="B21" s="3" t="n">
        <v>4</v>
      </c>
      <c r="C21" s="4" t="s">
        <v>37</v>
      </c>
    </row>
    <row r="22" customFormat="false" ht="15" hidden="false" customHeight="false" outlineLevel="0" collapsed="false">
      <c r="A22" s="0" t="s">
        <v>38</v>
      </c>
      <c r="B22" s="3" t="n">
        <v>1</v>
      </c>
      <c r="C22" s="4" t="s">
        <v>39</v>
      </c>
    </row>
    <row r="23" customFormat="false" ht="15" hidden="false" customHeight="false" outlineLevel="0" collapsed="false">
      <c r="A23" s="0" t="s">
        <v>40</v>
      </c>
      <c r="B23" s="3" t="n">
        <v>0.072</v>
      </c>
      <c r="C23" s="4" t="s">
        <v>41</v>
      </c>
    </row>
    <row r="24" customFormat="false" ht="15" hidden="false" customHeight="false" outlineLevel="0" collapsed="false">
      <c r="A24" s="0" t="s">
        <v>42</v>
      </c>
      <c r="B24" s="3" t="n">
        <v>0.37</v>
      </c>
      <c r="C24" s="4" t="s">
        <v>43</v>
      </c>
    </row>
    <row r="25" customFormat="false" ht="15" hidden="false" customHeight="false" outlineLevel="0" collapsed="false">
      <c r="A25" s="0" t="s">
        <v>44</v>
      </c>
      <c r="B25" s="3" t="n">
        <v>0.6667</v>
      </c>
      <c r="C25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36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0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</row>
    <row r="5" customFormat="false" ht="15" hidden="false" customHeight="false" outlineLevel="0" collapsed="false">
      <c r="A5" s="5" t="s">
        <v>59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n">
        <v>2.42</v>
      </c>
      <c r="D6" s="0" t="n">
        <v>14.383</v>
      </c>
      <c r="E6" s="0" t="n">
        <v>4</v>
      </c>
      <c r="F6" s="0" t="s">
        <v>62</v>
      </c>
      <c r="G6" s="0" t="n">
        <v>16</v>
      </c>
      <c r="H6" s="0" t="n">
        <v>139.22</v>
      </c>
      <c r="I6" s="0" t="s">
        <v>63</v>
      </c>
      <c r="J6" s="0" t="s">
        <v>64</v>
      </c>
      <c r="K6" s="0" t="s">
        <v>65</v>
      </c>
    </row>
    <row r="7" customFormat="false" ht="15" hidden="false" customHeight="false" outlineLevel="0" collapsed="false">
      <c r="A7" s="0" t="s">
        <v>66</v>
      </c>
      <c r="B7" s="0" t="s">
        <v>67</v>
      </c>
      <c r="C7" s="0" t="n">
        <v>3.467</v>
      </c>
      <c r="D7" s="0" t="n">
        <v>14.383</v>
      </c>
      <c r="E7" s="0" t="n">
        <v>8</v>
      </c>
      <c r="F7" s="0" t="s">
        <v>62</v>
      </c>
      <c r="G7" s="0" t="n">
        <v>16</v>
      </c>
      <c r="H7" s="0" t="n">
        <v>179.13</v>
      </c>
      <c r="I7" s="0" t="s">
        <v>68</v>
      </c>
      <c r="J7" s="0" t="s">
        <v>64</v>
      </c>
      <c r="K7" s="0" t="s">
        <v>65</v>
      </c>
    </row>
    <row r="8" customFormat="false" ht="15" hidden="false" customHeight="false" outlineLevel="0" collapsed="false">
      <c r="A8" s="0" t="s">
        <v>69</v>
      </c>
      <c r="B8" s="0" t="s">
        <v>70</v>
      </c>
      <c r="C8" s="0" t="n">
        <v>3.253</v>
      </c>
      <c r="D8" s="0" t="n">
        <v>15.375</v>
      </c>
      <c r="E8" s="0" t="n">
        <v>8</v>
      </c>
      <c r="F8" s="0" t="s">
        <v>62</v>
      </c>
      <c r="G8" s="0" t="n">
        <v>16</v>
      </c>
      <c r="H8" s="0" t="n">
        <v>184.28</v>
      </c>
      <c r="I8" s="0" t="s">
        <v>71</v>
      </c>
      <c r="J8" s="0" t="s">
        <v>64</v>
      </c>
      <c r="K8" s="0" t="s">
        <v>65</v>
      </c>
    </row>
    <row r="9" customFormat="false" ht="15" hidden="false" customHeight="false" outlineLevel="0" collapsed="false">
      <c r="A9" s="0" t="s">
        <v>72</v>
      </c>
      <c r="B9" s="0" t="s">
        <v>73</v>
      </c>
      <c r="C9" s="0" t="n">
        <v>3.253</v>
      </c>
      <c r="D9" s="0" t="n">
        <v>14.225</v>
      </c>
      <c r="E9" s="0" t="n">
        <v>8</v>
      </c>
      <c r="F9" s="0" t="s">
        <v>62</v>
      </c>
      <c r="G9" s="0" t="n">
        <v>16</v>
      </c>
      <c r="H9" s="0" t="n">
        <v>170.5</v>
      </c>
      <c r="I9" s="0" t="s">
        <v>74</v>
      </c>
      <c r="J9" s="0" t="s">
        <v>64</v>
      </c>
      <c r="K9" s="0" t="s">
        <v>65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n">
        <v>11.771</v>
      </c>
      <c r="D10" s="0" t="n">
        <v>15.375</v>
      </c>
      <c r="E10" s="0" t="n">
        <v>4</v>
      </c>
      <c r="F10" s="0" t="s">
        <v>62</v>
      </c>
      <c r="G10" s="0" t="n">
        <v>16</v>
      </c>
      <c r="H10" s="0" t="n">
        <v>723.92</v>
      </c>
      <c r="I10" s="0" t="s">
        <v>77</v>
      </c>
      <c r="J10" s="0" t="s">
        <v>64</v>
      </c>
      <c r="K10" s="0" t="s">
        <v>78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11.771</v>
      </c>
      <c r="D11" s="0" t="n">
        <v>15.375</v>
      </c>
      <c r="E11" s="0" t="n">
        <v>4</v>
      </c>
      <c r="F11" s="0" t="s">
        <v>62</v>
      </c>
      <c r="G11" s="0" t="n">
        <v>16</v>
      </c>
      <c r="H11" s="0" t="n">
        <v>723.92</v>
      </c>
      <c r="I11" s="0" t="s">
        <v>81</v>
      </c>
      <c r="J11" s="0" t="s">
        <v>64</v>
      </c>
      <c r="K11" s="0" t="s">
        <v>78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11.046</v>
      </c>
      <c r="D12" s="0" t="n">
        <v>15.375</v>
      </c>
      <c r="E12" s="0" t="n">
        <v>6</v>
      </c>
      <c r="F12" s="0" t="s">
        <v>62</v>
      </c>
      <c r="G12" s="0" t="n">
        <v>16</v>
      </c>
      <c r="H12" s="0" t="n">
        <v>568.01</v>
      </c>
      <c r="I12" s="0" t="s">
        <v>84</v>
      </c>
      <c r="J12" s="0" t="s">
        <v>64</v>
      </c>
      <c r="K12" s="0" t="s">
        <v>65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12.333</v>
      </c>
      <c r="D13" s="0" t="n">
        <v>15.375</v>
      </c>
      <c r="E13" s="0" t="n">
        <v>8</v>
      </c>
      <c r="F13" s="0" t="s">
        <v>62</v>
      </c>
      <c r="G13" s="0" t="n">
        <v>16</v>
      </c>
      <c r="H13" s="0" t="n">
        <v>718.32</v>
      </c>
      <c r="I13" s="0" t="s">
        <v>87</v>
      </c>
      <c r="J13" s="0" t="s">
        <v>64</v>
      </c>
      <c r="K13" s="0" t="s">
        <v>65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10.96</v>
      </c>
      <c r="D14" s="0" t="n">
        <v>15.375</v>
      </c>
      <c r="E14" s="0" t="n">
        <v>4</v>
      </c>
      <c r="F14" s="0" t="s">
        <v>62</v>
      </c>
      <c r="G14" s="0" t="n">
        <v>16</v>
      </c>
      <c r="H14" s="0" t="n">
        <v>674.04</v>
      </c>
      <c r="I14" s="0" t="s">
        <v>90</v>
      </c>
      <c r="J14" s="0" t="s">
        <v>64</v>
      </c>
      <c r="K14" s="0" t="s">
        <v>65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11.625</v>
      </c>
      <c r="D15" s="0" t="n">
        <v>15.375</v>
      </c>
      <c r="E15" s="0" t="n">
        <v>4</v>
      </c>
      <c r="F15" s="0" t="s">
        <v>62</v>
      </c>
      <c r="G15" s="0" t="n">
        <v>16</v>
      </c>
      <c r="H15" s="0" t="n">
        <v>714.94</v>
      </c>
      <c r="I15" s="0" t="s">
        <v>93</v>
      </c>
      <c r="J15" s="0" t="s">
        <v>64</v>
      </c>
      <c r="K15" s="0" t="s">
        <v>78</v>
      </c>
    </row>
    <row r="16" customFormat="false" ht="15" hidden="false" customHeight="false" outlineLevel="0" collapsed="false">
      <c r="A16" s="5" t="s">
        <v>94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n">
        <v>11.771</v>
      </c>
      <c r="D17" s="0" t="n">
        <v>15.375</v>
      </c>
      <c r="E17" s="0" t="n">
        <v>4</v>
      </c>
      <c r="F17" s="0" t="s">
        <v>62</v>
      </c>
      <c r="G17" s="0" t="n">
        <v>16</v>
      </c>
      <c r="H17" s="0" t="n">
        <v>723.92</v>
      </c>
      <c r="I17" s="0" t="s">
        <v>97</v>
      </c>
      <c r="J17" s="0" t="s">
        <v>64</v>
      </c>
      <c r="K17" s="0" t="s">
        <v>78</v>
      </c>
    </row>
    <row r="18" customFormat="false" ht="15" hidden="false" customHeight="false" outlineLevel="0" collapsed="false">
      <c r="A18" s="0" t="s">
        <v>98</v>
      </c>
      <c r="B18" s="0" t="s">
        <v>99</v>
      </c>
      <c r="C18" s="0" t="n">
        <v>3.84</v>
      </c>
      <c r="D18" s="0" t="n">
        <v>15.375</v>
      </c>
      <c r="E18" s="0" t="n">
        <v>8</v>
      </c>
      <c r="F18" s="0" t="s">
        <v>62</v>
      </c>
      <c r="G18" s="0" t="n">
        <v>16</v>
      </c>
      <c r="H18" s="0" t="n">
        <v>220.57</v>
      </c>
      <c r="I18" s="0" t="s">
        <v>100</v>
      </c>
      <c r="J18" s="0" t="s">
        <v>64</v>
      </c>
      <c r="K18" s="0" t="s">
        <v>65</v>
      </c>
    </row>
    <row r="19" customFormat="false" ht="15" hidden="false" customHeight="false" outlineLevel="0" collapsed="false">
      <c r="A19" s="0" t="s">
        <v>101</v>
      </c>
      <c r="B19" s="0" t="s">
        <v>102</v>
      </c>
      <c r="C19" s="0" t="n">
        <v>3.56</v>
      </c>
      <c r="D19" s="0" t="n">
        <v>15.375</v>
      </c>
      <c r="E19" s="0" t="n">
        <v>12</v>
      </c>
      <c r="F19" s="0" t="s">
        <v>62</v>
      </c>
      <c r="G19" s="0" t="n">
        <v>16</v>
      </c>
      <c r="H19" s="0" t="n">
        <v>195.8</v>
      </c>
      <c r="I19" s="0" t="s">
        <v>103</v>
      </c>
      <c r="J19" s="0" t="s">
        <v>64</v>
      </c>
      <c r="K19" s="0" t="s">
        <v>65</v>
      </c>
    </row>
    <row r="20" customFormat="false" ht="15" hidden="false" customHeight="false" outlineLevel="0" collapsed="false">
      <c r="A20" s="5" t="s">
        <v>104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5.667</v>
      </c>
      <c r="D21" s="0" t="n">
        <v>15.375</v>
      </c>
      <c r="E21" s="0" t="n">
        <v>2</v>
      </c>
      <c r="F21" s="0" t="s">
        <v>107</v>
      </c>
      <c r="G21" s="0" t="n">
        <v>16</v>
      </c>
      <c r="H21" s="0" t="n">
        <v>111.66</v>
      </c>
      <c r="I21" s="0" t="s">
        <v>108</v>
      </c>
      <c r="J21" s="0" t="s">
        <v>109</v>
      </c>
      <c r="K21" s="0" t="s">
        <v>78</v>
      </c>
    </row>
    <row r="22" customFormat="false" ht="15" hidden="false" customHeight="false" outlineLevel="0" collapsed="false">
      <c r="A22" s="0" t="s">
        <v>110</v>
      </c>
      <c r="B22" s="0" t="s">
        <v>111</v>
      </c>
      <c r="C22" s="0" t="n">
        <v>1.413</v>
      </c>
      <c r="D22" s="0" t="n">
        <v>12.985</v>
      </c>
      <c r="E22" s="0" t="n">
        <v>2</v>
      </c>
      <c r="F22" s="0" t="s">
        <v>107</v>
      </c>
      <c r="G22" s="0" t="n">
        <v>16</v>
      </c>
      <c r="H22" s="0" t="n">
        <v>36.7</v>
      </c>
      <c r="I22" s="0" t="s">
        <v>112</v>
      </c>
      <c r="J22" s="0" t="s">
        <v>109</v>
      </c>
      <c r="K22" s="0" t="s">
        <v>65</v>
      </c>
    </row>
    <row r="23" customFormat="false" ht="15" hidden="false" customHeight="false" outlineLevel="0" collapsed="false">
      <c r="A23" s="0" t="s">
        <v>113</v>
      </c>
      <c r="B23" s="0" t="s">
        <v>114</v>
      </c>
      <c r="C23" s="0" t="n">
        <v>15.38</v>
      </c>
      <c r="D23" s="0" t="n">
        <v>12.855</v>
      </c>
      <c r="E23" s="0" t="n">
        <v>5</v>
      </c>
      <c r="F23" s="0" t="s">
        <v>107</v>
      </c>
      <c r="G23" s="0" t="n">
        <v>16</v>
      </c>
      <c r="H23" s="0" t="n">
        <v>241.62</v>
      </c>
      <c r="I23" s="0" t="s">
        <v>115</v>
      </c>
      <c r="J23" s="0" t="s">
        <v>109</v>
      </c>
      <c r="K23" s="0" t="s">
        <v>65</v>
      </c>
    </row>
    <row r="24" customFormat="false" ht="15" hidden="false" customHeight="false" outlineLevel="0" collapsed="false">
      <c r="A24" s="0" t="s">
        <v>116</v>
      </c>
      <c r="B24" s="0" t="s">
        <v>117</v>
      </c>
      <c r="C24" s="0" t="n">
        <v>11.74</v>
      </c>
      <c r="D24" s="0" t="n">
        <v>11.638</v>
      </c>
      <c r="E24" s="0" t="n">
        <v>4</v>
      </c>
      <c r="F24" s="0" t="s">
        <v>107</v>
      </c>
      <c r="G24" s="0" t="n">
        <v>16</v>
      </c>
      <c r="H24" s="0" t="n">
        <v>268.53</v>
      </c>
      <c r="I24" s="0" t="s">
        <v>118</v>
      </c>
      <c r="J24" s="0" t="s">
        <v>109</v>
      </c>
      <c r="K24" s="0" t="s">
        <v>65</v>
      </c>
    </row>
    <row r="25" customFormat="false" ht="15" hidden="false" customHeight="false" outlineLevel="0" collapsed="false">
      <c r="A25" s="5" t="s">
        <v>119</v>
      </c>
    </row>
    <row r="26" customFormat="false" ht="15" hidden="false" customHeight="false" outlineLevel="0" collapsed="false">
      <c r="A26" s="0" t="s">
        <v>120</v>
      </c>
      <c r="B26" s="0" t="s">
        <v>121</v>
      </c>
      <c r="C26" s="0" t="n">
        <v>16.914</v>
      </c>
      <c r="D26" s="0" t="n">
        <v>15.375</v>
      </c>
      <c r="E26" s="0" t="n">
        <v>3</v>
      </c>
      <c r="F26" s="0" t="s">
        <v>122</v>
      </c>
      <c r="G26" s="0" t="n">
        <v>16</v>
      </c>
      <c r="H26" s="0" t="n">
        <v>304.46</v>
      </c>
      <c r="I26" s="0" t="s">
        <v>123</v>
      </c>
      <c r="J26" s="0" t="s">
        <v>124</v>
      </c>
      <c r="K26" s="0" t="s">
        <v>65</v>
      </c>
    </row>
    <row r="27" customFormat="false" ht="15" hidden="false" customHeight="false" outlineLevel="0" collapsed="false">
      <c r="A27" s="5" t="s">
        <v>125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12.027</v>
      </c>
      <c r="D28" s="0" t="n">
        <v>13.329</v>
      </c>
      <c r="E28" s="0" t="n">
        <v>1</v>
      </c>
      <c r="F28" s="0" t="s">
        <v>122</v>
      </c>
      <c r="G28" s="0" t="n">
        <v>16</v>
      </c>
      <c r="H28" s="0" t="n">
        <v>129.55</v>
      </c>
      <c r="I28" s="0" t="s">
        <v>128</v>
      </c>
      <c r="J28" s="0" t="s">
        <v>129</v>
      </c>
      <c r="K28" s="0" t="s">
        <v>65</v>
      </c>
    </row>
    <row r="29" customFormat="false" ht="15" hidden="false" customHeight="false" outlineLevel="0" collapsed="false">
      <c r="A29" s="0" t="s">
        <v>130</v>
      </c>
      <c r="B29" s="0" t="s">
        <v>131</v>
      </c>
      <c r="C29" s="0" t="n">
        <v>10.027</v>
      </c>
      <c r="D29" s="0" t="n">
        <v>12.891</v>
      </c>
      <c r="E29" s="0" t="n">
        <v>1</v>
      </c>
      <c r="F29" s="0" t="s">
        <v>122</v>
      </c>
      <c r="G29" s="0" t="n">
        <v>16</v>
      </c>
      <c r="H29" s="0" t="n">
        <v>129.26</v>
      </c>
      <c r="I29" s="0" t="s">
        <v>132</v>
      </c>
      <c r="J29" s="0" t="s">
        <v>129</v>
      </c>
      <c r="K29" s="0" t="s">
        <v>65</v>
      </c>
    </row>
    <row r="30" customFormat="false" ht="15" hidden="false" customHeight="false" outlineLevel="0" collapsed="false">
      <c r="A30" s="0" t="s">
        <v>133</v>
      </c>
      <c r="B30" s="0" t="s">
        <v>134</v>
      </c>
      <c r="C30" s="0" t="n">
        <v>10.626</v>
      </c>
      <c r="D30" s="0" t="n">
        <v>15.375</v>
      </c>
      <c r="E30" s="0" t="n">
        <v>3</v>
      </c>
      <c r="F30" s="0" t="s">
        <v>122</v>
      </c>
      <c r="G30" s="0" t="n">
        <v>16</v>
      </c>
      <c r="H30" s="0" t="n">
        <v>163.37</v>
      </c>
      <c r="I30" s="0" t="s">
        <v>135</v>
      </c>
      <c r="J30" s="0" t="s">
        <v>129</v>
      </c>
      <c r="K30" s="0" t="s">
        <v>65</v>
      </c>
    </row>
    <row r="31" customFormat="false" ht="15" hidden="false" customHeight="false" outlineLevel="0" collapsed="false">
      <c r="A31" s="0" t="s">
        <v>136</v>
      </c>
      <c r="B31" s="0" t="s">
        <v>137</v>
      </c>
      <c r="C31" s="0" t="n">
        <v>2.98</v>
      </c>
      <c r="D31" s="0" t="n">
        <v>12.92</v>
      </c>
      <c r="E31" s="0" t="n">
        <v>2</v>
      </c>
      <c r="F31" s="0" t="s">
        <v>122</v>
      </c>
      <c r="G31" s="0" t="n">
        <v>16</v>
      </c>
      <c r="H31" s="0" t="n">
        <v>38.5</v>
      </c>
      <c r="I31" s="0" t="s">
        <v>138</v>
      </c>
      <c r="J31" s="0" t="s">
        <v>129</v>
      </c>
      <c r="K31" s="0" t="s">
        <v>65</v>
      </c>
    </row>
    <row r="32" customFormat="false" ht="15" hidden="false" customHeight="false" outlineLevel="0" collapsed="false">
      <c r="A32" s="5" t="s">
        <v>139</v>
      </c>
    </row>
    <row r="33" customFormat="false" ht="15" hidden="false" customHeight="false" outlineLevel="0" collapsed="false">
      <c r="A33" s="0" t="s">
        <v>140</v>
      </c>
      <c r="B33" s="0" t="s">
        <v>141</v>
      </c>
      <c r="C33" s="0" t="n">
        <v>4.887</v>
      </c>
      <c r="D33" s="0" t="n">
        <v>11.814</v>
      </c>
      <c r="E33" s="0" t="n">
        <v>6</v>
      </c>
      <c r="F33" s="0" t="s">
        <v>122</v>
      </c>
      <c r="G33" s="0" t="n">
        <v>16</v>
      </c>
      <c r="H33" s="0" t="n">
        <v>64.51</v>
      </c>
      <c r="I33" s="0" t="s">
        <v>142</v>
      </c>
      <c r="J33" s="0" t="s">
        <v>143</v>
      </c>
      <c r="K33" s="0" t="s">
        <v>65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n">
        <v>1.9</v>
      </c>
      <c r="D34" s="0" t="n">
        <v>12.952</v>
      </c>
      <c r="E34" s="0" t="n">
        <v>3</v>
      </c>
      <c r="F34" s="0" t="s">
        <v>122</v>
      </c>
      <c r="G34" s="0" t="n">
        <v>16</v>
      </c>
      <c r="H34" s="0" t="n">
        <v>28.8</v>
      </c>
      <c r="I34" s="0" t="s">
        <v>146</v>
      </c>
      <c r="J34" s="0" t="s">
        <v>143</v>
      </c>
      <c r="K34" s="0" t="s">
        <v>65</v>
      </c>
    </row>
    <row r="35" customFormat="false" ht="15" hidden="false" customHeight="false" outlineLevel="0" collapsed="false">
      <c r="A35" s="0" t="s">
        <v>147</v>
      </c>
      <c r="B35" s="0" t="s">
        <v>148</v>
      </c>
      <c r="C35" s="0" t="n">
        <v>1.9</v>
      </c>
      <c r="D35" s="0" t="n">
        <v>12.859</v>
      </c>
      <c r="E35" s="0" t="n">
        <v>3</v>
      </c>
      <c r="F35" s="0" t="s">
        <v>122</v>
      </c>
      <c r="G35" s="0" t="n">
        <v>16</v>
      </c>
      <c r="H35" s="0" t="n">
        <v>28.8</v>
      </c>
      <c r="I35" s="0" t="s">
        <v>149</v>
      </c>
      <c r="J35" s="0" t="s">
        <v>143</v>
      </c>
      <c r="K35" s="0" t="s">
        <v>65</v>
      </c>
    </row>
    <row r="36" customFormat="false" ht="15" hidden="false" customHeight="false" outlineLevel="0" collapsed="false">
      <c r="A36" s="0" t="s">
        <v>150</v>
      </c>
      <c r="B36" s="0" t="s">
        <v>151</v>
      </c>
      <c r="C36" s="0" t="n">
        <v>5.583</v>
      </c>
      <c r="D36" s="0" t="n">
        <v>15.375</v>
      </c>
      <c r="E36" s="0" t="n">
        <v>3</v>
      </c>
      <c r="F36" s="0" t="s">
        <v>122</v>
      </c>
      <c r="G36" s="0" t="n">
        <v>16</v>
      </c>
      <c r="H36" s="0" t="n">
        <v>55.81</v>
      </c>
      <c r="I36" s="0" t="s">
        <v>152</v>
      </c>
      <c r="J36" s="0" t="s">
        <v>143</v>
      </c>
      <c r="K36" s="0" t="s">
        <v>78</v>
      </c>
    </row>
    <row r="37" customFormat="false" ht="15" hidden="false" customHeight="false" outlineLevel="0" collapsed="false">
      <c r="A37" s="0" t="s">
        <v>153</v>
      </c>
      <c r="B37" s="0" t="s">
        <v>154</v>
      </c>
      <c r="C37" s="0" t="n">
        <v>17.02</v>
      </c>
      <c r="D37" s="0" t="n">
        <v>15.375</v>
      </c>
      <c r="E37" s="0" t="n">
        <v>4</v>
      </c>
      <c r="F37" s="0" t="s">
        <v>122</v>
      </c>
      <c r="G37" s="0" t="n">
        <v>16</v>
      </c>
      <c r="H37" s="0" t="n">
        <v>347.27</v>
      </c>
      <c r="I37" s="0" t="s">
        <v>155</v>
      </c>
      <c r="J37" s="0" t="s">
        <v>143</v>
      </c>
      <c r="K37" s="0" t="s">
        <v>65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0" t="n">
        <v>3.533</v>
      </c>
      <c r="D38" s="0" t="n">
        <v>15.375</v>
      </c>
      <c r="E38" s="0" t="n">
        <v>3</v>
      </c>
      <c r="F38" s="0" t="s">
        <v>122</v>
      </c>
      <c r="G38" s="0" t="n">
        <v>16</v>
      </c>
      <c r="H38" s="0" t="n">
        <v>79.88</v>
      </c>
      <c r="I38" s="0" t="s">
        <v>158</v>
      </c>
      <c r="J38" s="0" t="s">
        <v>143</v>
      </c>
      <c r="K38" s="0" t="s">
        <v>65</v>
      </c>
    </row>
    <row r="39" customFormat="false" ht="15" hidden="false" customHeight="false" outlineLevel="0" collapsed="false">
      <c r="A39" s="0" t="s">
        <v>159</v>
      </c>
      <c r="B39" s="0" t="s">
        <v>160</v>
      </c>
      <c r="C39" s="0" t="n">
        <v>2.02</v>
      </c>
      <c r="D39" s="0" t="n">
        <v>15.375</v>
      </c>
      <c r="E39" s="0" t="n">
        <v>2</v>
      </c>
      <c r="F39" s="0" t="s">
        <v>122</v>
      </c>
      <c r="G39" s="0" t="n">
        <v>16</v>
      </c>
      <c r="H39" s="0" t="n">
        <v>49.24</v>
      </c>
      <c r="I39" s="0" t="s">
        <v>161</v>
      </c>
      <c r="J39" s="0" t="s">
        <v>143</v>
      </c>
      <c r="K39" s="0" t="s">
        <v>65</v>
      </c>
    </row>
    <row r="40" customFormat="false" ht="15" hidden="false" customHeight="false" outlineLevel="0" collapsed="false">
      <c r="A40" s="0" t="s">
        <v>162</v>
      </c>
      <c r="B40" s="0" t="s">
        <v>163</v>
      </c>
      <c r="C40" s="0" t="n">
        <v>15.833</v>
      </c>
      <c r="D40" s="0" t="n">
        <v>12.965</v>
      </c>
      <c r="E40" s="0" t="n">
        <v>4</v>
      </c>
      <c r="F40" s="0" t="s">
        <v>122</v>
      </c>
      <c r="G40" s="0" t="n">
        <v>16</v>
      </c>
      <c r="H40" s="0" t="n">
        <v>275.94</v>
      </c>
      <c r="I40" s="0" t="s">
        <v>164</v>
      </c>
      <c r="J40" s="0" t="s">
        <v>143</v>
      </c>
      <c r="K40" s="0" t="s">
        <v>65</v>
      </c>
    </row>
    <row r="41" customFormat="false" ht="15" hidden="false" customHeight="false" outlineLevel="0" collapsed="false">
      <c r="A41" s="0" t="s">
        <v>165</v>
      </c>
      <c r="B41" s="0" t="s">
        <v>166</v>
      </c>
      <c r="C41" s="0" t="n">
        <v>17.06</v>
      </c>
      <c r="D41" s="0" t="n">
        <v>11.748</v>
      </c>
      <c r="E41" s="0" t="n">
        <v>5</v>
      </c>
      <c r="F41" s="0" t="s">
        <v>122</v>
      </c>
      <c r="G41" s="0" t="n">
        <v>16</v>
      </c>
      <c r="H41" s="0" t="n">
        <v>336.39</v>
      </c>
      <c r="I41" s="0" t="s">
        <v>167</v>
      </c>
      <c r="J41" s="0" t="s">
        <v>143</v>
      </c>
      <c r="K41" s="0" t="s">
        <v>65</v>
      </c>
    </row>
    <row r="42" customFormat="false" ht="15" hidden="false" customHeight="false" outlineLevel="0" collapsed="false">
      <c r="A42" s="0" t="s">
        <v>168</v>
      </c>
      <c r="B42" s="0" t="s">
        <v>169</v>
      </c>
      <c r="C42" s="0" t="n">
        <v>2.14</v>
      </c>
      <c r="D42" s="0" t="n">
        <v>11.819</v>
      </c>
      <c r="E42" s="0" t="n">
        <v>3</v>
      </c>
      <c r="F42" s="0" t="s">
        <v>122</v>
      </c>
      <c r="G42" s="0" t="n">
        <v>16</v>
      </c>
      <c r="H42" s="0" t="n">
        <v>35.93</v>
      </c>
      <c r="I42" s="0" t="s">
        <v>170</v>
      </c>
      <c r="J42" s="0" t="s">
        <v>143</v>
      </c>
      <c r="K42" s="0" t="s">
        <v>65</v>
      </c>
    </row>
    <row r="43" customFormat="false" ht="15" hidden="false" customHeight="false" outlineLevel="0" collapsed="false">
      <c r="A43" s="0" t="s">
        <v>171</v>
      </c>
      <c r="B43" s="0" t="s">
        <v>172</v>
      </c>
      <c r="C43" s="0" t="n">
        <v>5.107</v>
      </c>
      <c r="D43" s="0" t="n">
        <v>12.921</v>
      </c>
      <c r="E43" s="0" t="n">
        <v>2</v>
      </c>
      <c r="F43" s="0" t="s">
        <v>122</v>
      </c>
      <c r="G43" s="0" t="n">
        <v>16</v>
      </c>
      <c r="H43" s="0" t="n">
        <v>40.04</v>
      </c>
      <c r="I43" s="0" t="s">
        <v>173</v>
      </c>
      <c r="J43" s="0" t="s">
        <v>143</v>
      </c>
      <c r="K43" s="0" t="s">
        <v>65</v>
      </c>
    </row>
    <row r="44" customFormat="false" ht="15" hidden="false" customHeight="false" outlineLevel="0" collapsed="false">
      <c r="A44" s="0" t="s">
        <v>174</v>
      </c>
      <c r="B44" s="0" t="s">
        <v>175</v>
      </c>
      <c r="C44" s="0" t="n">
        <v>8.167</v>
      </c>
      <c r="D44" s="0" t="n">
        <v>12.769</v>
      </c>
      <c r="E44" s="0" t="n">
        <v>2</v>
      </c>
      <c r="F44" s="0" t="s">
        <v>122</v>
      </c>
      <c r="G44" s="0" t="n">
        <v>16</v>
      </c>
      <c r="H44" s="0" t="n">
        <v>151.09</v>
      </c>
      <c r="I44" s="0" t="s">
        <v>176</v>
      </c>
      <c r="J44" s="0" t="s">
        <v>143</v>
      </c>
      <c r="K44" s="0" t="s">
        <v>65</v>
      </c>
    </row>
    <row r="45" customFormat="false" ht="15" hidden="false" customHeight="false" outlineLevel="0" collapsed="false">
      <c r="A45" s="5" t="s">
        <v>177</v>
      </c>
    </row>
    <row r="46" customFormat="false" ht="15" hidden="false" customHeight="false" outlineLevel="0" collapsed="false">
      <c r="A46" s="0" t="s">
        <v>178</v>
      </c>
      <c r="B46" s="0" t="s">
        <v>179</v>
      </c>
      <c r="C46" s="0" t="n">
        <v>11.729</v>
      </c>
      <c r="D46" s="0" t="n">
        <v>12.746</v>
      </c>
      <c r="E46" s="0" t="n">
        <v>4</v>
      </c>
      <c r="F46" s="0" t="s">
        <v>122</v>
      </c>
      <c r="G46" s="0" t="n">
        <v>16</v>
      </c>
      <c r="H46" s="0" t="n">
        <v>246.09</v>
      </c>
      <c r="I46" s="0" t="s">
        <v>180</v>
      </c>
      <c r="J46" s="0" t="s">
        <v>109</v>
      </c>
      <c r="K46" s="0" t="s">
        <v>78</v>
      </c>
    </row>
    <row r="47" customFormat="false" ht="15" hidden="false" customHeight="false" outlineLevel="0" collapsed="false">
      <c r="A47" s="0" t="s">
        <v>181</v>
      </c>
      <c r="B47" s="0" t="s">
        <v>182</v>
      </c>
      <c r="C47" s="0" t="n">
        <v>3.523</v>
      </c>
      <c r="D47" s="0" t="n">
        <v>12.742</v>
      </c>
      <c r="E47" s="0" t="n">
        <v>2</v>
      </c>
      <c r="F47" s="0" t="s">
        <v>122</v>
      </c>
      <c r="G47" s="0" t="n">
        <v>16</v>
      </c>
      <c r="H47" s="0" t="n">
        <v>89.78</v>
      </c>
      <c r="I47" s="0" t="s">
        <v>183</v>
      </c>
      <c r="J47" s="0" t="s">
        <v>109</v>
      </c>
      <c r="K47" s="0" t="s">
        <v>65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n">
        <v>11.729</v>
      </c>
      <c r="D48" s="0" t="n">
        <v>12.665</v>
      </c>
      <c r="E48" s="0" t="n">
        <v>4</v>
      </c>
      <c r="F48" s="0" t="s">
        <v>122</v>
      </c>
      <c r="G48" s="0" t="n">
        <v>16</v>
      </c>
      <c r="H48" s="0" t="n">
        <v>292</v>
      </c>
      <c r="I48" s="0" t="s">
        <v>186</v>
      </c>
      <c r="J48" s="0" t="s">
        <v>109</v>
      </c>
      <c r="K48" s="0" t="s">
        <v>78</v>
      </c>
    </row>
    <row r="49" customFormat="false" ht="15" hidden="false" customHeight="false" outlineLevel="0" collapsed="false">
      <c r="A49" s="0" t="s">
        <v>187</v>
      </c>
      <c r="B49" s="0" t="s">
        <v>188</v>
      </c>
      <c r="C49" s="0" t="n">
        <v>9.987</v>
      </c>
      <c r="D49" s="0" t="n">
        <v>12.825</v>
      </c>
      <c r="E49" s="0" t="n">
        <v>3</v>
      </c>
      <c r="F49" s="0" t="s">
        <v>122</v>
      </c>
      <c r="G49" s="0" t="n">
        <v>16</v>
      </c>
      <c r="H49" s="0" t="n">
        <v>250.96</v>
      </c>
      <c r="I49" s="0" t="s">
        <v>189</v>
      </c>
      <c r="J49" s="0" t="s">
        <v>109</v>
      </c>
      <c r="K49" s="0" t="s">
        <v>65</v>
      </c>
    </row>
    <row r="50" customFormat="false" ht="15" hidden="false" customHeight="false" outlineLevel="0" collapsed="false">
      <c r="A50" s="0" t="s">
        <v>190</v>
      </c>
      <c r="B50" s="0" t="s">
        <v>191</v>
      </c>
      <c r="C50" s="0" t="n">
        <v>9.583</v>
      </c>
      <c r="D50" s="0" t="n">
        <v>12.697</v>
      </c>
      <c r="E50" s="0" t="n">
        <v>2</v>
      </c>
      <c r="F50" s="0" t="s">
        <v>122</v>
      </c>
      <c r="G50" s="0" t="n">
        <v>16</v>
      </c>
      <c r="H50" s="0" t="n">
        <v>243.34</v>
      </c>
      <c r="I50" s="0" t="s">
        <v>192</v>
      </c>
      <c r="J50" s="0" t="s">
        <v>109</v>
      </c>
      <c r="K50" s="0" t="s">
        <v>78</v>
      </c>
    </row>
    <row r="51" customFormat="false" ht="15" hidden="false" customHeight="false" outlineLevel="0" collapsed="false">
      <c r="A51" s="0" t="s">
        <v>193</v>
      </c>
      <c r="B51" s="0" t="s">
        <v>194</v>
      </c>
      <c r="C51" s="0" t="n">
        <v>13.74</v>
      </c>
      <c r="D51" s="0" t="n">
        <v>12.821</v>
      </c>
      <c r="E51" s="0" t="n">
        <v>4</v>
      </c>
      <c r="F51" s="0" t="s">
        <v>122</v>
      </c>
      <c r="G51" s="0" t="n">
        <v>16</v>
      </c>
      <c r="H51" s="0" t="n">
        <v>251.55</v>
      </c>
      <c r="I51" s="0" t="s">
        <v>195</v>
      </c>
      <c r="J51" s="0" t="s">
        <v>109</v>
      </c>
      <c r="K51" s="0" t="s">
        <v>65</v>
      </c>
    </row>
    <row r="52" customFormat="false" ht="15" hidden="false" customHeight="false" outlineLevel="0" collapsed="false">
      <c r="A52" s="5" t="s">
        <v>196</v>
      </c>
    </row>
    <row r="53" customFormat="false" ht="15" hidden="false" customHeight="false" outlineLevel="0" collapsed="false">
      <c r="A53" s="0" t="s">
        <v>197</v>
      </c>
      <c r="B53" s="0" t="s">
        <v>198</v>
      </c>
      <c r="C53" s="0" t="n">
        <v>11.56</v>
      </c>
      <c r="D53" s="0" t="n">
        <v>15.375</v>
      </c>
      <c r="E53" s="0" t="n">
        <v>2</v>
      </c>
      <c r="F53" s="0" t="s">
        <v>107</v>
      </c>
      <c r="G53" s="0" t="n">
        <v>16</v>
      </c>
      <c r="H53" s="0" t="n">
        <v>239.86</v>
      </c>
      <c r="I53" s="0" t="s">
        <v>199</v>
      </c>
      <c r="J53" s="0" t="s">
        <v>143</v>
      </c>
      <c r="K53" s="0" t="s">
        <v>65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0" t="n">
        <v>19.407</v>
      </c>
      <c r="D54" s="0" t="n">
        <v>13.699</v>
      </c>
      <c r="E54" s="0" t="n">
        <v>3</v>
      </c>
      <c r="F54" s="0" t="s">
        <v>107</v>
      </c>
      <c r="G54" s="0" t="n">
        <v>16</v>
      </c>
      <c r="H54" s="0" t="n">
        <v>374.25</v>
      </c>
      <c r="I54" s="0" t="s">
        <v>202</v>
      </c>
      <c r="J54" s="0" t="s">
        <v>143</v>
      </c>
      <c r="K54" s="0" t="s">
        <v>65</v>
      </c>
    </row>
    <row r="55" customFormat="false" ht="15" hidden="false" customHeight="false" outlineLevel="0" collapsed="false">
      <c r="A55" s="0" t="s">
        <v>203</v>
      </c>
      <c r="B55" s="0" t="s">
        <v>204</v>
      </c>
      <c r="C55" s="0" t="n">
        <v>3.713</v>
      </c>
      <c r="D55" s="0" t="n">
        <v>11.783</v>
      </c>
      <c r="E55" s="0" t="n">
        <v>4</v>
      </c>
      <c r="F55" s="0" t="s">
        <v>107</v>
      </c>
      <c r="G55" s="0" t="n">
        <v>16</v>
      </c>
      <c r="H55" s="0" t="n">
        <v>60.92</v>
      </c>
      <c r="I55" s="0" t="s">
        <v>205</v>
      </c>
      <c r="J55" s="0" t="s">
        <v>143</v>
      </c>
      <c r="K55" s="0" t="s">
        <v>65</v>
      </c>
    </row>
    <row r="56" customFormat="false" ht="15" hidden="false" customHeight="false" outlineLevel="0" collapsed="false">
      <c r="A56" s="5" t="s">
        <v>206</v>
      </c>
    </row>
    <row r="57" customFormat="false" ht="15" hidden="false" customHeight="false" outlineLevel="0" collapsed="false">
      <c r="A57" s="0" t="s">
        <v>207</v>
      </c>
      <c r="B57" s="0" t="s">
        <v>208</v>
      </c>
      <c r="C57" s="0" t="n">
        <v>1.693</v>
      </c>
      <c r="D57" s="0" t="n">
        <v>15.375</v>
      </c>
      <c r="E57" s="0" t="n">
        <v>3</v>
      </c>
      <c r="F57" s="0" t="s">
        <v>107</v>
      </c>
      <c r="G57" s="0" t="n">
        <v>24</v>
      </c>
      <c r="H57" s="0" t="n">
        <v>45.4</v>
      </c>
      <c r="I57" s="0" t="s">
        <v>209</v>
      </c>
      <c r="J57" s="0" t="s">
        <v>210</v>
      </c>
      <c r="K57" s="0" t="s">
        <v>65</v>
      </c>
    </row>
    <row r="58" customFormat="false" ht="15" hidden="false" customHeight="false" outlineLevel="0" collapsed="false">
      <c r="A58" s="5" t="s">
        <v>211</v>
      </c>
    </row>
    <row r="59" customFormat="false" ht="15" hidden="false" customHeight="false" outlineLevel="0" collapsed="false">
      <c r="A59" s="0" t="s">
        <v>212</v>
      </c>
      <c r="B59" s="0" t="s">
        <v>213</v>
      </c>
      <c r="C59" s="0" t="n">
        <v>2.98</v>
      </c>
      <c r="D59" s="0" t="n">
        <v>15.375</v>
      </c>
      <c r="E59" s="0" t="n">
        <v>2</v>
      </c>
      <c r="F59" s="0" t="s">
        <v>122</v>
      </c>
      <c r="G59" s="0" t="n">
        <v>24</v>
      </c>
      <c r="H59" s="0" t="n">
        <v>91.64</v>
      </c>
      <c r="I59" s="0" t="s">
        <v>214</v>
      </c>
      <c r="J59" s="0" t="s">
        <v>210</v>
      </c>
      <c r="K59" s="0" t="s">
        <v>65</v>
      </c>
    </row>
    <row r="60" customFormat="false" ht="15" hidden="false" customHeight="false" outlineLevel="0" collapsed="false">
      <c r="A60" s="0" t="s">
        <v>215</v>
      </c>
      <c r="B60" s="0" t="s">
        <v>216</v>
      </c>
      <c r="C60" s="0" t="n">
        <v>1.593</v>
      </c>
      <c r="D60" s="0" t="n">
        <v>12.921</v>
      </c>
      <c r="E60" s="0" t="n">
        <v>3</v>
      </c>
      <c r="F60" s="0" t="s">
        <v>122</v>
      </c>
      <c r="G60" s="0" t="n">
        <v>24</v>
      </c>
      <c r="H60" s="0" t="n">
        <v>35.57</v>
      </c>
      <c r="I60" s="0" t="s">
        <v>217</v>
      </c>
      <c r="J60" s="0" t="s">
        <v>210</v>
      </c>
      <c r="K60" s="0" t="s">
        <v>65</v>
      </c>
    </row>
    <row r="61" customFormat="false" ht="15" hidden="false" customHeight="false" outlineLevel="0" collapsed="false">
      <c r="A61" s="0" t="s">
        <v>218</v>
      </c>
      <c r="B61" s="0" t="s">
        <v>219</v>
      </c>
      <c r="C61" s="0" t="n">
        <v>2.98</v>
      </c>
      <c r="D61" s="0" t="n">
        <v>12.933</v>
      </c>
      <c r="E61" s="0" t="n">
        <v>2</v>
      </c>
      <c r="F61" s="0" t="s">
        <v>122</v>
      </c>
      <c r="G61" s="0" t="n">
        <v>24</v>
      </c>
      <c r="H61" s="0" t="n">
        <v>77.08</v>
      </c>
      <c r="I61" s="0" t="s">
        <v>220</v>
      </c>
      <c r="J61" s="0" t="s">
        <v>210</v>
      </c>
      <c r="K61" s="0" t="s">
        <v>65</v>
      </c>
    </row>
    <row r="62" customFormat="false" ht="15" hidden="false" customHeight="false" outlineLevel="0" collapsed="false">
      <c r="A62" s="5" t="s">
        <v>221</v>
      </c>
    </row>
    <row r="63" customFormat="false" ht="15" hidden="false" customHeight="false" outlineLevel="0" collapsed="false">
      <c r="A63" s="0" t="s">
        <v>222</v>
      </c>
      <c r="B63" s="0" t="s">
        <v>223</v>
      </c>
      <c r="C63" s="0" t="n">
        <v>30</v>
      </c>
      <c r="D63" s="0" t="n">
        <v>6.262</v>
      </c>
      <c r="E63" s="0" t="n">
        <v>4</v>
      </c>
      <c r="F63" s="0" t="s">
        <v>62</v>
      </c>
      <c r="G63" s="0" t="n">
        <v>16</v>
      </c>
      <c r="H63" s="0" t="n">
        <v>751.48</v>
      </c>
      <c r="I63" s="0" t="s">
        <v>224</v>
      </c>
      <c r="J63" s="0" t="s">
        <v>225</v>
      </c>
      <c r="K63" s="0" t="s">
        <v>78</v>
      </c>
    </row>
    <row r="64" customFormat="false" ht="15" hidden="false" customHeight="false" outlineLevel="0" collapsed="false">
      <c r="A64" s="0" t="s">
        <v>226</v>
      </c>
      <c r="B64" s="0" t="s">
        <v>227</v>
      </c>
      <c r="C64" s="0" t="n">
        <v>15</v>
      </c>
      <c r="D64" s="0" t="n">
        <v>7.375</v>
      </c>
      <c r="E64" s="0" t="n">
        <v>4</v>
      </c>
      <c r="F64" s="0" t="s">
        <v>62</v>
      </c>
      <c r="G64" s="0" t="n">
        <v>16</v>
      </c>
      <c r="H64" s="0" t="n">
        <v>442.48</v>
      </c>
      <c r="I64" s="0" t="s">
        <v>228</v>
      </c>
      <c r="J64" s="0" t="s">
        <v>225</v>
      </c>
      <c r="K64" s="0" t="s">
        <v>78</v>
      </c>
    </row>
    <row r="65" customFormat="false" ht="15" hidden="false" customHeight="false" outlineLevel="0" collapsed="false">
      <c r="A65" s="5" t="s">
        <v>229</v>
      </c>
    </row>
    <row r="66" customFormat="false" ht="15" hidden="false" customHeight="false" outlineLevel="0" collapsed="false">
      <c r="A66" s="0" t="s">
        <v>230</v>
      </c>
      <c r="B66" s="0" t="s">
        <v>231</v>
      </c>
      <c r="C66" s="0" t="n">
        <v>12.69</v>
      </c>
      <c r="D66" s="0" t="n">
        <v>14.358</v>
      </c>
      <c r="E66" s="0" t="n">
        <v>2</v>
      </c>
      <c r="F66" s="0" t="s">
        <v>107</v>
      </c>
      <c r="G66" s="0" t="n">
        <v>16</v>
      </c>
      <c r="H66" s="0" t="n">
        <v>195.11</v>
      </c>
      <c r="I66" s="0" t="s">
        <v>63</v>
      </c>
      <c r="J66" s="0" t="s">
        <v>232</v>
      </c>
      <c r="K66" s="0" t="s">
        <v>65</v>
      </c>
    </row>
    <row r="67" customFormat="false" ht="15" hidden="false" customHeight="false" outlineLevel="0" collapsed="false">
      <c r="A67" s="0" t="s">
        <v>233</v>
      </c>
      <c r="B67" s="0" t="s">
        <v>234</v>
      </c>
      <c r="C67" s="0" t="n">
        <v>75.434</v>
      </c>
      <c r="D67" s="0" t="n">
        <v>13.547</v>
      </c>
      <c r="E67" s="0" t="n">
        <v>5</v>
      </c>
      <c r="F67" s="0" t="s">
        <v>107</v>
      </c>
      <c r="G67" s="0" t="n">
        <v>16</v>
      </c>
      <c r="H67" s="0" t="n">
        <v>1095.23</v>
      </c>
      <c r="I67" s="0" t="s">
        <v>235</v>
      </c>
      <c r="J67" s="0" t="s">
        <v>236</v>
      </c>
      <c r="K67" s="0" t="s">
        <v>65</v>
      </c>
    </row>
    <row r="68" customFormat="false" ht="15" hidden="false" customHeight="false" outlineLevel="0" collapsed="false">
      <c r="A68" s="0" t="s">
        <v>237</v>
      </c>
      <c r="B68" s="0" t="s">
        <v>238</v>
      </c>
      <c r="C68" s="0" t="n">
        <v>51.834</v>
      </c>
      <c r="D68" s="0" t="n">
        <v>11.17</v>
      </c>
      <c r="E68" s="0" t="n">
        <v>4</v>
      </c>
      <c r="F68" s="0" t="s">
        <v>107</v>
      </c>
      <c r="G68" s="0" t="n">
        <v>16</v>
      </c>
      <c r="H68" s="0" t="n">
        <v>649.55</v>
      </c>
      <c r="I68" s="0" t="s">
        <v>239</v>
      </c>
      <c r="J68" s="0" t="s">
        <v>240</v>
      </c>
      <c r="K68" s="0" t="s">
        <v>65</v>
      </c>
    </row>
    <row r="69" customFormat="false" ht="15" hidden="false" customHeight="false" outlineLevel="0" collapsed="false">
      <c r="A69" s="0" t="s">
        <v>241</v>
      </c>
      <c r="B69" s="0" t="s">
        <v>242</v>
      </c>
      <c r="C69" s="0" t="n">
        <v>47.427</v>
      </c>
      <c r="D69" s="0" t="n">
        <v>13.068</v>
      </c>
      <c r="E69" s="0" t="n">
        <v>3</v>
      </c>
      <c r="F69" s="0" t="s">
        <v>107</v>
      </c>
      <c r="G69" s="0" t="n">
        <v>16</v>
      </c>
      <c r="H69" s="0" t="n">
        <v>664.6</v>
      </c>
      <c r="I69" s="0" t="s">
        <v>243</v>
      </c>
      <c r="J69" s="0" t="s">
        <v>244</v>
      </c>
      <c r="K69" s="0" t="s">
        <v>65</v>
      </c>
    </row>
    <row r="70" customFormat="false" ht="15" hidden="false" customHeight="false" outlineLevel="0" collapsed="false">
      <c r="A70" s="0" t="s">
        <v>245</v>
      </c>
      <c r="B70" s="0" t="s">
        <v>246</v>
      </c>
      <c r="C70" s="0" t="n">
        <v>20.957</v>
      </c>
      <c r="D70" s="0" t="n">
        <v>14.358</v>
      </c>
      <c r="E70" s="0" t="n">
        <v>2</v>
      </c>
      <c r="F70" s="0" t="s">
        <v>107</v>
      </c>
      <c r="G70" s="0" t="n">
        <v>16</v>
      </c>
      <c r="H70" s="0" t="n">
        <v>322.2</v>
      </c>
      <c r="I70" s="0" t="s">
        <v>247</v>
      </c>
      <c r="J70" s="0" t="s">
        <v>248</v>
      </c>
      <c r="K70" s="0" t="s">
        <v>65</v>
      </c>
    </row>
    <row r="71" customFormat="false" ht="15" hidden="false" customHeight="false" outlineLevel="0" collapsed="false">
      <c r="A71" s="0" t="s">
        <v>249</v>
      </c>
      <c r="B71" s="0" t="s">
        <v>250</v>
      </c>
      <c r="C71" s="0" t="n">
        <v>3.367</v>
      </c>
      <c r="D71" s="0" t="n">
        <v>14.358</v>
      </c>
      <c r="E71" s="0" t="n">
        <v>1</v>
      </c>
      <c r="F71" s="0" t="s">
        <v>107</v>
      </c>
      <c r="G71" s="0" t="n">
        <v>16</v>
      </c>
      <c r="H71" s="0" t="n">
        <v>51.77</v>
      </c>
      <c r="I71" s="0" t="s">
        <v>251</v>
      </c>
      <c r="J71" s="0" t="s">
        <v>248</v>
      </c>
      <c r="K71" s="0" t="s">
        <v>65</v>
      </c>
    </row>
    <row r="72" customFormat="false" ht="15" hidden="false" customHeight="false" outlineLevel="0" collapsed="false">
      <c r="A72" s="0" t="s">
        <v>252</v>
      </c>
      <c r="B72" s="0" t="s">
        <v>253</v>
      </c>
      <c r="C72" s="0" t="n">
        <v>2.563</v>
      </c>
      <c r="D72" s="0" t="n">
        <v>14.358</v>
      </c>
      <c r="E72" s="0" t="n">
        <v>1</v>
      </c>
      <c r="F72" s="0" t="s">
        <v>107</v>
      </c>
      <c r="G72" s="0" t="n">
        <v>16</v>
      </c>
      <c r="H72" s="0" t="n">
        <v>39.41</v>
      </c>
      <c r="I72" s="0" t="s">
        <v>254</v>
      </c>
      <c r="J72" s="0" t="s">
        <v>255</v>
      </c>
      <c r="K72" s="0" t="s">
        <v>65</v>
      </c>
    </row>
    <row r="73" customFormat="false" ht="15" hidden="false" customHeight="false" outlineLevel="0" collapsed="false">
      <c r="A73" s="0" t="s">
        <v>256</v>
      </c>
      <c r="B73" s="0" t="s">
        <v>257</v>
      </c>
      <c r="C73" s="0" t="n">
        <v>2.563</v>
      </c>
      <c r="D73" s="0" t="n">
        <v>14.358</v>
      </c>
      <c r="E73" s="0" t="n">
        <v>1</v>
      </c>
      <c r="F73" s="0" t="s">
        <v>107</v>
      </c>
      <c r="G73" s="0" t="n">
        <v>16</v>
      </c>
      <c r="H73" s="0" t="n">
        <v>39.41</v>
      </c>
      <c r="I73" s="0" t="s">
        <v>258</v>
      </c>
      <c r="J73" s="0" t="s">
        <v>259</v>
      </c>
      <c r="K73" s="0" t="s">
        <v>65</v>
      </c>
    </row>
    <row r="74" customFormat="false" ht="15" hidden="false" customHeight="false" outlineLevel="0" collapsed="false">
      <c r="A74" s="5" t="s">
        <v>260</v>
      </c>
    </row>
    <row r="75" customFormat="false" ht="15" hidden="false" customHeight="false" outlineLevel="0" collapsed="false">
      <c r="A75" s="0" t="s">
        <v>261</v>
      </c>
      <c r="B75" s="0" t="s">
        <v>262</v>
      </c>
      <c r="C75" s="0" t="n">
        <v>17.193</v>
      </c>
      <c r="D75" s="0" t="n">
        <v>4.292</v>
      </c>
      <c r="E75" s="0" t="n">
        <v>0</v>
      </c>
      <c r="F75" s="0" t="s">
        <v>263</v>
      </c>
      <c r="G75" s="0" t="n">
        <v>16</v>
      </c>
      <c r="H75" s="0" t="n">
        <v>0</v>
      </c>
      <c r="I75" s="0" t="s">
        <v>264</v>
      </c>
      <c r="J75" s="0" t="s">
        <v>265</v>
      </c>
      <c r="K75" s="0" t="s">
        <v>65</v>
      </c>
    </row>
    <row r="76" customFormat="false" ht="15" hidden="false" customHeight="false" outlineLevel="0" collapsed="false">
      <c r="A76" s="0" t="s">
        <v>266</v>
      </c>
      <c r="B76" s="0" t="s">
        <v>267</v>
      </c>
      <c r="C76" s="0" t="n">
        <v>29</v>
      </c>
      <c r="D76" s="0" t="n">
        <v>4.292</v>
      </c>
      <c r="E76" s="0" t="n">
        <v>0</v>
      </c>
      <c r="F76" s="0" t="s">
        <v>263</v>
      </c>
      <c r="G76" s="0" t="n">
        <v>16</v>
      </c>
      <c r="H76" s="0" t="n">
        <v>0</v>
      </c>
      <c r="I76" s="0" t="s">
        <v>267</v>
      </c>
      <c r="J76" s="0" t="s">
        <v>265</v>
      </c>
      <c r="K76" s="0" t="s">
        <v>65</v>
      </c>
    </row>
    <row r="77" customFormat="false" ht="15" hidden="false" customHeight="false" outlineLevel="0" collapsed="false">
      <c r="A77" s="0" t="s">
        <v>268</v>
      </c>
      <c r="B77" s="0" t="s">
        <v>269</v>
      </c>
      <c r="C77" s="0" t="n">
        <v>3.867</v>
      </c>
      <c r="D77" s="0" t="n">
        <v>4.292</v>
      </c>
      <c r="E77" s="0" t="n">
        <v>0</v>
      </c>
      <c r="F77" s="0" t="s">
        <v>263</v>
      </c>
      <c r="G77" s="0" t="n">
        <v>16</v>
      </c>
      <c r="H77" s="0" t="n">
        <v>0</v>
      </c>
      <c r="I77" s="0" t="s">
        <v>269</v>
      </c>
      <c r="J77" s="0" t="s">
        <v>265</v>
      </c>
      <c r="K77" s="0" t="s">
        <v>65</v>
      </c>
    </row>
    <row r="78" customFormat="false" ht="15" hidden="false" customHeight="false" outlineLevel="0" collapsed="false">
      <c r="A78" s="0" t="s">
        <v>270</v>
      </c>
      <c r="B78" s="0" t="s">
        <v>271</v>
      </c>
      <c r="C78" s="0" t="n">
        <v>40</v>
      </c>
      <c r="D78" s="0" t="n">
        <v>2.042</v>
      </c>
      <c r="E78" s="0" t="n">
        <v>0</v>
      </c>
      <c r="F78" s="0" t="s">
        <v>263</v>
      </c>
      <c r="G78" s="0" t="n">
        <v>16</v>
      </c>
      <c r="H78" s="0" t="n">
        <v>0</v>
      </c>
      <c r="I78" s="0" t="s">
        <v>271</v>
      </c>
      <c r="J78" s="0" t="s">
        <v>265</v>
      </c>
      <c r="K78" s="0" t="s">
        <v>65</v>
      </c>
    </row>
    <row r="79" customFormat="false" ht="15" hidden="false" customHeight="false" outlineLevel="0" collapsed="false">
      <c r="A79" s="0" t="s">
        <v>272</v>
      </c>
      <c r="B79" s="0" t="s">
        <v>273</v>
      </c>
      <c r="C79" s="0" t="n">
        <v>75.934</v>
      </c>
      <c r="D79" s="0" t="n">
        <v>2.901</v>
      </c>
      <c r="E79" s="0" t="n">
        <v>0</v>
      </c>
      <c r="F79" s="0" t="s">
        <v>263</v>
      </c>
      <c r="G79" s="0" t="n">
        <v>16</v>
      </c>
      <c r="H79" s="0" t="n">
        <v>0</v>
      </c>
      <c r="I79" s="0" t="s">
        <v>274</v>
      </c>
      <c r="J79" s="0" t="s">
        <v>265</v>
      </c>
      <c r="K79" s="0" t="s">
        <v>65</v>
      </c>
    </row>
    <row r="80" customFormat="false" ht="15" hidden="false" customHeight="false" outlineLevel="0" collapsed="false">
      <c r="A80" s="0" t="s">
        <v>275</v>
      </c>
      <c r="B80" s="0" t="s">
        <v>276</v>
      </c>
      <c r="C80" s="0" t="n">
        <v>52.333</v>
      </c>
      <c r="D80" s="0" t="n">
        <v>4.885</v>
      </c>
      <c r="E80" s="0" t="n">
        <v>0</v>
      </c>
      <c r="F80" s="0" t="s">
        <v>263</v>
      </c>
      <c r="G80" s="0" t="n">
        <v>16</v>
      </c>
      <c r="H80" s="0" t="n">
        <v>0</v>
      </c>
      <c r="I80" s="0" t="s">
        <v>276</v>
      </c>
      <c r="J80" s="0" t="s">
        <v>265</v>
      </c>
      <c r="K80" s="0" t="s">
        <v>65</v>
      </c>
    </row>
    <row r="81" customFormat="false" ht="15" hidden="false" customHeight="false" outlineLevel="0" collapsed="false">
      <c r="A81" s="0" t="s">
        <v>277</v>
      </c>
      <c r="B81" s="0" t="s">
        <v>278</v>
      </c>
      <c r="C81" s="0" t="n">
        <v>47.927</v>
      </c>
      <c r="D81" s="0" t="n">
        <v>3.403</v>
      </c>
      <c r="E81" s="0" t="n">
        <v>0</v>
      </c>
      <c r="F81" s="0" t="s">
        <v>263</v>
      </c>
      <c r="G81" s="0" t="n">
        <v>16</v>
      </c>
      <c r="H81" s="0" t="n">
        <v>0</v>
      </c>
      <c r="I81" s="0" t="s">
        <v>279</v>
      </c>
      <c r="J81" s="0" t="s">
        <v>265</v>
      </c>
      <c r="K81" s="0" t="s">
        <v>65</v>
      </c>
    </row>
    <row r="82" customFormat="false" ht="15" hidden="false" customHeight="false" outlineLevel="0" collapsed="false">
      <c r="A82" s="5" t="s">
        <v>280</v>
      </c>
    </row>
    <row r="83" customFormat="false" ht="15" hidden="false" customHeight="false" outlineLevel="0" collapsed="false">
      <c r="A83" s="0" t="s">
        <v>281</v>
      </c>
      <c r="B83" s="0" t="s">
        <v>282</v>
      </c>
      <c r="C83" s="0" t="n">
        <v>5.667</v>
      </c>
      <c r="D83" s="0" t="n">
        <v>10.604</v>
      </c>
      <c r="E83" s="0" t="n">
        <v>0</v>
      </c>
      <c r="F83" s="0" t="s">
        <v>122</v>
      </c>
      <c r="G83" s="0" t="n">
        <v>16</v>
      </c>
      <c r="H83" s="0" t="n">
        <v>0</v>
      </c>
      <c r="I83" s="0" t="s">
        <v>282</v>
      </c>
      <c r="J83" s="0" t="s">
        <v>283</v>
      </c>
      <c r="K83" s="0" t="s">
        <v>65</v>
      </c>
    </row>
    <row r="84" customFormat="false" ht="15" hidden="false" customHeight="false" outlineLevel="0" collapsed="false">
      <c r="A84" s="0" t="s">
        <v>284</v>
      </c>
      <c r="B84" s="0" t="s">
        <v>285</v>
      </c>
      <c r="C84" s="0" t="n">
        <v>5.667</v>
      </c>
      <c r="D84" s="0" t="n">
        <v>10.604</v>
      </c>
      <c r="E84" s="0" t="n">
        <v>0</v>
      </c>
      <c r="F84" s="0" t="s">
        <v>122</v>
      </c>
      <c r="G84" s="0" t="n">
        <v>16</v>
      </c>
      <c r="H84" s="0" t="n">
        <v>0</v>
      </c>
      <c r="I84" s="0" t="s">
        <v>285</v>
      </c>
      <c r="J84" s="0" t="s">
        <v>283</v>
      </c>
      <c r="K84" s="0" t="s">
        <v>65</v>
      </c>
    </row>
    <row r="85" customFormat="false" ht="15" hidden="false" customHeight="false" outlineLevel="0" collapsed="false">
      <c r="A85" s="0" t="s">
        <v>286</v>
      </c>
      <c r="B85" s="0" t="s">
        <v>287</v>
      </c>
      <c r="C85" s="0" t="n">
        <v>5.667</v>
      </c>
      <c r="D85" s="0" t="n">
        <v>10.604</v>
      </c>
      <c r="E85" s="0" t="n">
        <v>0</v>
      </c>
      <c r="F85" s="0" t="s">
        <v>122</v>
      </c>
      <c r="G85" s="0" t="n">
        <v>16</v>
      </c>
      <c r="H85" s="0" t="n">
        <v>0</v>
      </c>
      <c r="I85" s="0" t="s">
        <v>287</v>
      </c>
      <c r="J85" s="0" t="s">
        <v>283</v>
      </c>
      <c r="K85" s="0" t="s">
        <v>65</v>
      </c>
    </row>
    <row r="86" customFormat="false" ht="15" hidden="false" customHeight="false" outlineLevel="0" collapsed="false">
      <c r="A86" s="0" t="s">
        <v>288</v>
      </c>
      <c r="B86" s="0" t="s">
        <v>289</v>
      </c>
      <c r="C86" s="0" t="n">
        <v>5.667</v>
      </c>
      <c r="D86" s="0" t="n">
        <v>10.604</v>
      </c>
      <c r="E86" s="0" t="n">
        <v>0</v>
      </c>
      <c r="F86" s="0" t="s">
        <v>122</v>
      </c>
      <c r="G86" s="0" t="n">
        <v>16</v>
      </c>
      <c r="H86" s="0" t="n">
        <v>0</v>
      </c>
      <c r="I86" s="0" t="s">
        <v>289</v>
      </c>
      <c r="J86" s="0" t="s">
        <v>283</v>
      </c>
      <c r="K86" s="0" t="s">
        <v>65</v>
      </c>
    </row>
    <row r="87" customFormat="false" ht="15" hidden="false" customHeight="false" outlineLevel="0" collapsed="false">
      <c r="B87" s="6" t="s">
        <v>290</v>
      </c>
      <c r="C87" s="4" t="n">
        <f aca="false">SUM(C5:C86)</f>
        <v>927.968</v>
      </c>
      <c r="H87" s="4" t="n">
        <f aca="false">SUM(H5:H86)</f>
        <v>15403.6</v>
      </c>
    </row>
    <row r="89" customFormat="false" ht="15" hidden="false" customHeight="false" outlineLevel="0" collapsed="false">
      <c r="A89" s="5" t="s">
        <v>291</v>
      </c>
    </row>
    <row r="90" customFormat="false" ht="15" hidden="false" customHeight="false" outlineLevel="0" collapsed="false">
      <c r="A90" s="0" t="s">
        <v>292</v>
      </c>
      <c r="B90" s="0" t="s">
        <v>293</v>
      </c>
      <c r="C90" s="0" t="n">
        <v>26.247</v>
      </c>
      <c r="D90" s="0" t="n">
        <v>4.525</v>
      </c>
      <c r="E90" s="0" t="n">
        <v>1</v>
      </c>
      <c r="F90" s="0" t="s">
        <v>107</v>
      </c>
      <c r="G90" s="0" t="n">
        <v>16</v>
      </c>
      <c r="H90" s="0" t="n">
        <v>180.45</v>
      </c>
      <c r="I90" s="0" t="s">
        <v>294</v>
      </c>
      <c r="J90" s="0" t="s">
        <v>295</v>
      </c>
      <c r="K90" s="0" t="s">
        <v>65</v>
      </c>
    </row>
    <row r="91" customFormat="false" ht="15" hidden="false" customHeight="false" outlineLevel="0" collapsed="false">
      <c r="A91" s="0" t="s">
        <v>296</v>
      </c>
      <c r="B91" s="0" t="s">
        <v>297</v>
      </c>
      <c r="C91" s="0" t="n">
        <v>12.563</v>
      </c>
      <c r="D91" s="0" t="n">
        <v>4.983</v>
      </c>
      <c r="E91" s="0" t="n">
        <v>1</v>
      </c>
      <c r="F91" s="0" t="s">
        <v>107</v>
      </c>
      <c r="G91" s="0" t="n">
        <v>16</v>
      </c>
      <c r="H91" s="0" t="n">
        <v>86.37</v>
      </c>
      <c r="I91" s="0" t="s">
        <v>254</v>
      </c>
      <c r="J91" s="0" t="s">
        <v>295</v>
      </c>
      <c r="K91" s="0" t="s">
        <v>65</v>
      </c>
    </row>
    <row r="92" customFormat="false" ht="15" hidden="false" customHeight="false" outlineLevel="0" collapsed="false">
      <c r="A92" s="0" t="s">
        <v>298</v>
      </c>
      <c r="B92" s="0" t="s">
        <v>299</v>
      </c>
      <c r="C92" s="0" t="n">
        <v>6.5</v>
      </c>
      <c r="D92" s="0" t="n">
        <v>4.983</v>
      </c>
      <c r="E92" s="0" t="n">
        <v>1</v>
      </c>
      <c r="F92" s="0" t="s">
        <v>107</v>
      </c>
      <c r="G92" s="0" t="n">
        <v>16</v>
      </c>
      <c r="H92" s="0" t="n">
        <v>44.69</v>
      </c>
      <c r="I92" s="0" t="s">
        <v>254</v>
      </c>
      <c r="J92" s="0" t="s">
        <v>295</v>
      </c>
      <c r="K92" s="0" t="s">
        <v>65</v>
      </c>
    </row>
    <row r="93" customFormat="false" ht="15" hidden="false" customHeight="false" outlineLevel="0" collapsed="false">
      <c r="A93" s="0" t="s">
        <v>300</v>
      </c>
      <c r="B93" s="0" t="s">
        <v>301</v>
      </c>
      <c r="C93" s="0" t="n">
        <v>51.833</v>
      </c>
      <c r="D93" s="0" t="n">
        <v>3.113</v>
      </c>
      <c r="E93" s="0" t="n">
        <v>0</v>
      </c>
      <c r="F93" s="0" t="s">
        <v>122</v>
      </c>
      <c r="G93" s="0" t="n">
        <v>16</v>
      </c>
      <c r="H93" s="0" t="n">
        <v>0</v>
      </c>
      <c r="I93" s="0" t="s">
        <v>301</v>
      </c>
      <c r="J93" s="0" t="s">
        <v>302</v>
      </c>
      <c r="K93" s="0" t="s">
        <v>65</v>
      </c>
    </row>
    <row r="94" customFormat="false" ht="15" hidden="false" customHeight="false" outlineLevel="0" collapsed="false">
      <c r="A94" s="0" t="s">
        <v>303</v>
      </c>
      <c r="B94" s="0" t="s">
        <v>304</v>
      </c>
      <c r="C94" s="0" t="n">
        <v>51.833</v>
      </c>
      <c r="D94" s="0" t="n">
        <v>1.131</v>
      </c>
      <c r="E94" s="0" t="n">
        <v>1</v>
      </c>
      <c r="F94" s="0" t="s">
        <v>122</v>
      </c>
      <c r="G94" s="0" t="n">
        <v>16</v>
      </c>
      <c r="H94" s="0" t="n">
        <v>58.62</v>
      </c>
      <c r="I94" s="0" t="s">
        <v>305</v>
      </c>
      <c r="J94" s="0" t="s">
        <v>302</v>
      </c>
      <c r="K94" s="0" t="s">
        <v>65</v>
      </c>
    </row>
    <row r="95" customFormat="false" ht="15" hidden="false" customHeight="false" outlineLevel="0" collapsed="false">
      <c r="A95" s="0" t="s">
        <v>306</v>
      </c>
      <c r="B95" s="0" t="s">
        <v>307</v>
      </c>
      <c r="C95" s="0" t="n">
        <v>51.833</v>
      </c>
      <c r="D95" s="0" t="n">
        <v>3.46</v>
      </c>
      <c r="E95" s="0" t="n">
        <v>1</v>
      </c>
      <c r="F95" s="0" t="s">
        <v>122</v>
      </c>
      <c r="G95" s="0" t="n">
        <v>16</v>
      </c>
      <c r="H95" s="0" t="n">
        <v>179.34</v>
      </c>
      <c r="I95" s="0" t="s">
        <v>308</v>
      </c>
      <c r="J95" s="0" t="s">
        <v>302</v>
      </c>
      <c r="K95" s="0" t="s">
        <v>65</v>
      </c>
    </row>
    <row r="96" customFormat="false" ht="15" hidden="false" customHeight="false" outlineLevel="0" collapsed="false">
      <c r="A96" s="0" t="s">
        <v>309</v>
      </c>
      <c r="B96" s="0" t="s">
        <v>310</v>
      </c>
      <c r="C96" s="0" t="n">
        <v>78.16</v>
      </c>
      <c r="D96" s="0" t="n">
        <v>1.865</v>
      </c>
      <c r="E96" s="0" t="n">
        <v>0</v>
      </c>
      <c r="F96" s="0" t="s">
        <v>311</v>
      </c>
      <c r="G96" s="0" t="n">
        <v>16</v>
      </c>
      <c r="H96" s="0" t="n">
        <v>0</v>
      </c>
      <c r="I96" s="0" t="s">
        <v>310</v>
      </c>
      <c r="J96" s="0" t="s">
        <v>312</v>
      </c>
      <c r="K96" s="0" t="s">
        <v>65</v>
      </c>
    </row>
    <row r="97" customFormat="false" ht="15" hidden="false" customHeight="false" outlineLevel="0" collapsed="false">
      <c r="A97" s="0" t="s">
        <v>313</v>
      </c>
      <c r="B97" s="0" t="s">
        <v>314</v>
      </c>
      <c r="C97" s="0" t="n">
        <v>56.52</v>
      </c>
      <c r="D97" s="0" t="n">
        <v>1.865</v>
      </c>
      <c r="E97" s="0" t="n">
        <v>0</v>
      </c>
      <c r="F97" s="0" t="s">
        <v>311</v>
      </c>
      <c r="G97" s="0" t="n">
        <v>16</v>
      </c>
      <c r="H97" s="0" t="n">
        <v>0</v>
      </c>
      <c r="I97" s="0" t="s">
        <v>314</v>
      </c>
      <c r="J97" s="0" t="s">
        <v>315</v>
      </c>
      <c r="K97" s="0" t="s">
        <v>65</v>
      </c>
    </row>
    <row r="98" customFormat="false" ht="15" hidden="false" customHeight="false" outlineLevel="0" collapsed="false">
      <c r="A98" s="0" t="s">
        <v>316</v>
      </c>
      <c r="B98" s="0" t="s">
        <v>317</v>
      </c>
      <c r="C98" s="0" t="n">
        <v>21.58</v>
      </c>
      <c r="D98" s="0" t="n">
        <v>1.865</v>
      </c>
      <c r="E98" s="0" t="n">
        <v>0</v>
      </c>
      <c r="F98" s="0" t="s">
        <v>311</v>
      </c>
      <c r="G98" s="0" t="n">
        <v>16</v>
      </c>
      <c r="H98" s="0" t="n">
        <v>0</v>
      </c>
      <c r="I98" s="0" t="s">
        <v>317</v>
      </c>
      <c r="J98" s="0" t="s">
        <v>318</v>
      </c>
      <c r="K98" s="0" t="s">
        <v>65</v>
      </c>
    </row>
    <row r="99" customFormat="false" ht="15" hidden="false" customHeight="false" outlineLevel="0" collapsed="false">
      <c r="A99" s="0" t="s">
        <v>319</v>
      </c>
      <c r="B99" s="0" t="s">
        <v>320</v>
      </c>
      <c r="C99" s="0" t="n">
        <v>52.58</v>
      </c>
      <c r="D99" s="0" t="n">
        <v>1.865</v>
      </c>
      <c r="E99" s="0" t="n">
        <v>0</v>
      </c>
      <c r="F99" s="0" t="s">
        <v>311</v>
      </c>
      <c r="G99" s="0" t="n">
        <v>16</v>
      </c>
      <c r="H99" s="0" t="n">
        <v>0</v>
      </c>
      <c r="I99" s="0" t="s">
        <v>320</v>
      </c>
      <c r="J99" s="0" t="s">
        <v>321</v>
      </c>
      <c r="K99" s="0" t="s">
        <v>65</v>
      </c>
    </row>
    <row r="100" customFormat="false" ht="15" hidden="false" customHeight="false" outlineLevel="0" collapsed="false">
      <c r="A100" s="0" t="s">
        <v>322</v>
      </c>
      <c r="B100" s="0" t="s">
        <v>323</v>
      </c>
      <c r="C100" s="0" t="n">
        <v>2.993</v>
      </c>
      <c r="D100" s="0" t="n">
        <v>1.865</v>
      </c>
      <c r="E100" s="0" t="n">
        <v>0</v>
      </c>
      <c r="F100" s="0" t="s">
        <v>311</v>
      </c>
      <c r="G100" s="0" t="n">
        <v>16</v>
      </c>
      <c r="H100" s="0" t="n">
        <v>0</v>
      </c>
      <c r="I100" s="0" t="s">
        <v>323</v>
      </c>
      <c r="J100" s="0" t="s">
        <v>321</v>
      </c>
      <c r="K100" s="0" t="s">
        <v>65</v>
      </c>
    </row>
    <row r="101" customFormat="false" ht="15" hidden="false" customHeight="false" outlineLevel="0" collapsed="false">
      <c r="A101" s="0" t="s">
        <v>324</v>
      </c>
      <c r="B101" s="0" t="s">
        <v>325</v>
      </c>
      <c r="C101" s="0" t="n">
        <v>28.986</v>
      </c>
      <c r="D101" s="0" t="n">
        <v>1.865</v>
      </c>
      <c r="E101" s="0" t="n">
        <v>0</v>
      </c>
      <c r="F101" s="0" t="s">
        <v>311</v>
      </c>
      <c r="G101" s="0" t="n">
        <v>16</v>
      </c>
      <c r="H101" s="0" t="n">
        <v>0</v>
      </c>
      <c r="I101" s="0" t="s">
        <v>325</v>
      </c>
      <c r="J101" s="0" t="s">
        <v>326</v>
      </c>
      <c r="K101" s="0" t="s">
        <v>65</v>
      </c>
    </row>
    <row r="102" customFormat="false" ht="15" hidden="false" customHeight="false" outlineLevel="0" collapsed="false">
      <c r="A102" s="0" t="s">
        <v>327</v>
      </c>
      <c r="B102" s="0" t="s">
        <v>328</v>
      </c>
      <c r="C102" s="0" t="n">
        <v>15.646</v>
      </c>
      <c r="D102" s="0" t="n">
        <v>5.375</v>
      </c>
      <c r="E102" s="0" t="n">
        <v>2</v>
      </c>
      <c r="F102" s="0" t="s">
        <v>122</v>
      </c>
      <c r="G102" s="0" t="n">
        <v>16</v>
      </c>
      <c r="H102" s="0" t="n">
        <v>15.64</v>
      </c>
      <c r="I102" s="0" t="s">
        <v>329</v>
      </c>
      <c r="J102" s="0" t="s">
        <v>330</v>
      </c>
      <c r="K102" s="0" t="s">
        <v>65</v>
      </c>
    </row>
    <row r="103" customFormat="false" ht="15" hidden="false" customHeight="false" outlineLevel="0" collapsed="false">
      <c r="A103" s="0" t="s">
        <v>331</v>
      </c>
      <c r="B103" s="0" t="s">
        <v>332</v>
      </c>
      <c r="C103" s="0" t="n">
        <v>6.417</v>
      </c>
      <c r="D103" s="0" t="n">
        <v>5.375</v>
      </c>
      <c r="E103" s="0" t="n">
        <v>2</v>
      </c>
      <c r="F103" s="0" t="s">
        <v>122</v>
      </c>
      <c r="G103" s="0" t="n">
        <v>16</v>
      </c>
      <c r="H103" s="0" t="n">
        <v>16.04</v>
      </c>
      <c r="I103" s="0" t="s">
        <v>333</v>
      </c>
      <c r="J103" s="0" t="s">
        <v>330</v>
      </c>
      <c r="K103" s="0" t="s">
        <v>65</v>
      </c>
    </row>
    <row r="104" customFormat="false" ht="15" hidden="false" customHeight="false" outlineLevel="0" collapsed="false">
      <c r="A104" s="0" t="s">
        <v>334</v>
      </c>
      <c r="B104" s="0" t="s">
        <v>335</v>
      </c>
      <c r="C104" s="0" t="n">
        <v>13.333</v>
      </c>
      <c r="D104" s="0" t="n">
        <v>2</v>
      </c>
      <c r="E104" s="0" t="n">
        <v>0</v>
      </c>
      <c r="F104" s="0" t="s">
        <v>336</v>
      </c>
      <c r="G104" s="0" t="n">
        <v>16</v>
      </c>
      <c r="H104" s="0" t="n">
        <v>0</v>
      </c>
      <c r="I104" s="0" t="s">
        <v>335</v>
      </c>
      <c r="J104" s="0" t="s">
        <v>337</v>
      </c>
      <c r="K104" s="0" t="s">
        <v>65</v>
      </c>
    </row>
    <row r="105" customFormat="false" ht="15" hidden="false" customHeight="false" outlineLevel="0" collapsed="false">
      <c r="A105" s="0" t="s">
        <v>338</v>
      </c>
      <c r="B105" s="0" t="s">
        <v>339</v>
      </c>
      <c r="C105" s="0" t="n">
        <v>6.454</v>
      </c>
      <c r="D105" s="0" t="n">
        <v>7.375</v>
      </c>
      <c r="E105" s="0" t="n">
        <v>0</v>
      </c>
      <c r="F105" s="0" t="s">
        <v>122</v>
      </c>
      <c r="G105" s="0" t="n">
        <v>16</v>
      </c>
      <c r="H105" s="0" t="n">
        <v>0</v>
      </c>
      <c r="I105" s="0" t="s">
        <v>339</v>
      </c>
      <c r="J105" s="0" t="s">
        <v>340</v>
      </c>
      <c r="K105" s="0" t="s">
        <v>65</v>
      </c>
    </row>
    <row r="106" customFormat="false" ht="15" hidden="false" customHeight="false" outlineLevel="0" collapsed="false">
      <c r="A106" s="0" t="s">
        <v>341</v>
      </c>
      <c r="B106" s="0" t="s">
        <v>342</v>
      </c>
      <c r="C106" s="0" t="n">
        <v>5.559</v>
      </c>
      <c r="D106" s="0" t="n">
        <v>5.052</v>
      </c>
      <c r="E106" s="0" t="n">
        <v>0</v>
      </c>
      <c r="F106" s="0" t="s">
        <v>122</v>
      </c>
      <c r="G106" s="0" t="n">
        <v>16</v>
      </c>
      <c r="H106" s="0" t="n">
        <v>0</v>
      </c>
      <c r="I106" s="0" t="s">
        <v>342</v>
      </c>
      <c r="J106" s="0" t="s">
        <v>340</v>
      </c>
      <c r="K106" s="0" t="s">
        <v>65</v>
      </c>
    </row>
    <row r="107" customFormat="false" ht="15" hidden="false" customHeight="false" outlineLevel="0" collapsed="false">
      <c r="A107" s="0" t="s">
        <v>343</v>
      </c>
      <c r="B107" s="0" t="s">
        <v>344</v>
      </c>
      <c r="C107" s="0" t="n">
        <v>6.454</v>
      </c>
      <c r="D107" s="0" t="n">
        <v>7.375</v>
      </c>
      <c r="E107" s="0" t="n">
        <v>0</v>
      </c>
      <c r="F107" s="0" t="s">
        <v>122</v>
      </c>
      <c r="G107" s="0" t="n">
        <v>16</v>
      </c>
      <c r="H107" s="0" t="n">
        <v>0</v>
      </c>
      <c r="I107" s="0" t="s">
        <v>344</v>
      </c>
      <c r="J107" s="0" t="s">
        <v>340</v>
      </c>
      <c r="K107" s="0" t="s">
        <v>65</v>
      </c>
    </row>
    <row r="108" customFormat="false" ht="15" hidden="false" customHeight="false" outlineLevel="0" collapsed="false">
      <c r="A108" s="0" t="s">
        <v>345</v>
      </c>
      <c r="B108" s="0" t="s">
        <v>346</v>
      </c>
      <c r="C108" s="0" t="n">
        <v>5.559</v>
      </c>
      <c r="D108" s="0" t="n">
        <v>5.052</v>
      </c>
      <c r="E108" s="0" t="n">
        <v>0</v>
      </c>
      <c r="F108" s="0" t="s">
        <v>122</v>
      </c>
      <c r="G108" s="0" t="n">
        <v>16</v>
      </c>
      <c r="H108" s="0" t="n">
        <v>0</v>
      </c>
      <c r="I108" s="0" t="s">
        <v>346</v>
      </c>
      <c r="J108" s="0" t="s">
        <v>340</v>
      </c>
      <c r="K108" s="0" t="s">
        <v>65</v>
      </c>
    </row>
    <row r="109" customFormat="false" ht="15" hidden="false" customHeight="false" outlineLevel="0" collapsed="false">
      <c r="A109" s="0" t="s">
        <v>347</v>
      </c>
      <c r="B109" s="0" t="s">
        <v>348</v>
      </c>
      <c r="C109" s="0" t="n">
        <v>77.027</v>
      </c>
      <c r="D109" s="0" t="n">
        <v>4.375</v>
      </c>
      <c r="E109" s="0" t="n">
        <v>0</v>
      </c>
      <c r="F109" s="0" t="s">
        <v>122</v>
      </c>
      <c r="G109" s="0" t="n">
        <v>16</v>
      </c>
      <c r="H109" s="0" t="n">
        <v>0</v>
      </c>
      <c r="I109" s="0" t="s">
        <v>349</v>
      </c>
      <c r="J109" s="0" t="s">
        <v>350</v>
      </c>
      <c r="K109" s="0" t="s">
        <v>65</v>
      </c>
    </row>
    <row r="110" customFormat="false" ht="15" hidden="false" customHeight="false" outlineLevel="0" collapsed="false">
      <c r="A110" s="0" t="s">
        <v>351</v>
      </c>
      <c r="B110" s="0" t="s">
        <v>352</v>
      </c>
      <c r="C110" s="0" t="n">
        <v>5.093</v>
      </c>
      <c r="D110" s="0" t="n">
        <v>6.375</v>
      </c>
      <c r="E110" s="0" t="n">
        <v>0</v>
      </c>
      <c r="F110" s="0" t="s">
        <v>122</v>
      </c>
      <c r="G110" s="0" t="n">
        <v>16</v>
      </c>
      <c r="H110" s="0" t="n">
        <v>0</v>
      </c>
      <c r="I110" s="0" t="s">
        <v>353</v>
      </c>
      <c r="J110" s="0" t="s">
        <v>350</v>
      </c>
      <c r="K110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354</v>
      </c>
    </row>
    <row r="2" customFormat="false" ht="15" hidden="false" customHeight="false" outlineLevel="0" collapsed="false">
      <c r="A2" s="0" t="s">
        <v>355</v>
      </c>
    </row>
    <row r="3" customFormat="false" ht="15" hidden="false" customHeight="false" outlineLevel="0" collapsed="false">
      <c r="A3" s="2" t="s">
        <v>356</v>
      </c>
      <c r="B3" s="2" t="s">
        <v>357</v>
      </c>
      <c r="C3" s="2" t="s">
        <v>358</v>
      </c>
      <c r="D3" s="2" t="s">
        <v>359</v>
      </c>
      <c r="E3" s="2" t="s">
        <v>360</v>
      </c>
      <c r="F3" s="2" t="s">
        <v>361</v>
      </c>
      <c r="G3" s="2" t="s">
        <v>362</v>
      </c>
      <c r="H3" s="2" t="s">
        <v>363</v>
      </c>
      <c r="I3" s="2" t="s">
        <v>364</v>
      </c>
      <c r="J3" s="2" t="s">
        <v>365</v>
      </c>
    </row>
    <row r="4" customFormat="false" ht="15" hidden="false" customHeight="false" outlineLevel="0" collapsed="false">
      <c r="A4" s="0" t="s">
        <v>366</v>
      </c>
      <c r="B4" s="0" t="s">
        <v>367</v>
      </c>
      <c r="C4" s="0" t="n">
        <v>4332.86</v>
      </c>
      <c r="D4" s="0" t="n">
        <f aca="false">Inputs!$B$5</f>
        <v>0.15</v>
      </c>
      <c r="E4" s="0" t="n">
        <f aca="false">C4*D4</f>
        <v>649.929</v>
      </c>
      <c r="F4" s="0" t="n">
        <f aca="false">C4+E4</f>
        <v>4982.789</v>
      </c>
      <c r="G4" s="0" t="s">
        <v>368</v>
      </c>
      <c r="H4" s="0" t="n">
        <f aca="false">ROUNDUP(F4/Inputs!$B$10,0)</f>
        <v>250</v>
      </c>
      <c r="I4" s="0" t="s">
        <v>369</v>
      </c>
    </row>
    <row r="5" customFormat="false" ht="15" hidden="false" customHeight="false" outlineLevel="0" collapsed="false">
      <c r="A5" s="0" t="s">
        <v>370</v>
      </c>
      <c r="B5" s="0" t="s">
        <v>367</v>
      </c>
      <c r="C5" s="0" t="n">
        <v>6697.57</v>
      </c>
      <c r="D5" s="0" t="n">
        <f aca="false">Inputs!$B$5</f>
        <v>0.15</v>
      </c>
      <c r="E5" s="0" t="n">
        <f aca="false">C5*D5</f>
        <v>1004.6355</v>
      </c>
      <c r="F5" s="0" t="n">
        <f aca="false">C5+E5</f>
        <v>7702.2055</v>
      </c>
      <c r="G5" s="0" t="s">
        <v>368</v>
      </c>
      <c r="H5" s="0" t="n">
        <f aca="false">ROUNDUP(F5/Inputs!$B$10,0)</f>
        <v>386</v>
      </c>
      <c r="I5" s="0" t="s">
        <v>371</v>
      </c>
    </row>
    <row r="6" customFormat="false" ht="15" hidden="false" customHeight="false" outlineLevel="0" collapsed="false">
      <c r="A6" s="0" t="s">
        <v>372</v>
      </c>
      <c r="B6" s="0" t="s">
        <v>367</v>
      </c>
      <c r="C6" s="0" t="n">
        <v>4001.61</v>
      </c>
      <c r="D6" s="0" t="n">
        <f aca="false">Inputs!$B$5</f>
        <v>0.15</v>
      </c>
      <c r="E6" s="0" t="n">
        <f aca="false">C6*D6</f>
        <v>600.2415</v>
      </c>
      <c r="F6" s="0" t="n">
        <f aca="false">C6+E6</f>
        <v>4601.8515</v>
      </c>
      <c r="G6" s="0" t="s">
        <v>368</v>
      </c>
      <c r="H6" s="0" t="n">
        <f aca="false">ROUNDUP(F6/Inputs!$B$10,0)</f>
        <v>231</v>
      </c>
      <c r="I6" s="0" t="s">
        <v>373</v>
      </c>
    </row>
    <row r="7" customFormat="false" ht="15" hidden="false" customHeight="false" outlineLevel="0" collapsed="false">
      <c r="A7" s="0" t="s">
        <v>374</v>
      </c>
      <c r="B7" s="0" t="s">
        <v>367</v>
      </c>
      <c r="C7" s="0" t="n">
        <v>992.88</v>
      </c>
      <c r="D7" s="0" t="n">
        <f aca="false">Inputs!$B$5</f>
        <v>0.15</v>
      </c>
      <c r="E7" s="0" t="n">
        <f aca="false">C7*D7</f>
        <v>148.932</v>
      </c>
      <c r="F7" s="0" t="n">
        <f aca="false">C7+E7</f>
        <v>1141.812</v>
      </c>
      <c r="G7" s="0" t="s">
        <v>368</v>
      </c>
      <c r="H7" s="0" t="n">
        <f aca="false">ROUNDUP(F7/Inputs!$B$10,0)</f>
        <v>58</v>
      </c>
      <c r="I7" s="0" t="s">
        <v>375</v>
      </c>
    </row>
    <row r="8" customFormat="false" ht="15" hidden="false" customHeight="false" outlineLevel="0" collapsed="false">
      <c r="A8" s="0" t="s">
        <v>376</v>
      </c>
      <c r="B8" s="0" t="s">
        <v>367</v>
      </c>
      <c r="C8" s="0" t="n">
        <v>1326.91</v>
      </c>
      <c r="D8" s="0" t="n">
        <f aca="false">Inputs!$B$5</f>
        <v>0.15</v>
      </c>
      <c r="E8" s="0" t="n">
        <f aca="false">C8*D8</f>
        <v>199.0365</v>
      </c>
      <c r="F8" s="0" t="n">
        <f aca="false">C8+E8</f>
        <v>1525.9465</v>
      </c>
      <c r="G8" s="0" t="s">
        <v>377</v>
      </c>
      <c r="H8" s="0" t="n">
        <f aca="false">ROUNDUP(F8/Inputs!$B$11,0)</f>
        <v>153</v>
      </c>
      <c r="I8" s="0" t="s">
        <v>378</v>
      </c>
    </row>
    <row r="9" customFormat="false" ht="15" hidden="false" customHeight="false" outlineLevel="0" collapsed="false">
      <c r="A9" s="0" t="s">
        <v>379</v>
      </c>
      <c r="B9" s="0" t="s">
        <v>367</v>
      </c>
      <c r="C9" s="0" t="n">
        <v>1326.91</v>
      </c>
      <c r="D9" s="0" t="n">
        <f aca="false">Inputs!$B$5</f>
        <v>0.15</v>
      </c>
      <c r="E9" s="0" t="n">
        <f aca="false">C9*D9</f>
        <v>199.0365</v>
      </c>
      <c r="F9" s="0" t="n">
        <f aca="false">C9+E9</f>
        <v>1525.9465</v>
      </c>
      <c r="G9" s="0" t="s">
        <v>377</v>
      </c>
      <c r="H9" s="0" t="n">
        <f aca="false">ROUNDUP(F9/Inputs!$B$11,0)</f>
        <v>153</v>
      </c>
      <c r="I9" s="0" t="s">
        <v>380</v>
      </c>
    </row>
    <row r="10" customFormat="false" ht="15" hidden="false" customHeight="false" outlineLevel="0" collapsed="false">
      <c r="A10" s="0" t="s">
        <v>381</v>
      </c>
      <c r="B10" s="0" t="s">
        <v>367</v>
      </c>
      <c r="C10" s="0" t="n">
        <v>1335.15</v>
      </c>
      <c r="D10" s="0" t="n">
        <f aca="false">Inputs!$B$5</f>
        <v>0.15</v>
      </c>
      <c r="E10" s="0" t="n">
        <f aca="false">C10*D10</f>
        <v>200.2725</v>
      </c>
      <c r="F10" s="0" t="n">
        <f aca="false">C10+E10</f>
        <v>1535.4225</v>
      </c>
      <c r="G10" s="0" t="s">
        <v>377</v>
      </c>
      <c r="H10" s="0" t="n">
        <f aca="false">ROUNDUP(F10/Inputs!$B$11,0)</f>
        <v>154</v>
      </c>
      <c r="I10" s="0" t="s">
        <v>382</v>
      </c>
    </row>
    <row r="11" customFormat="false" ht="15" hidden="false" customHeight="false" outlineLevel="0" collapsed="false">
      <c r="A11" s="0" t="s">
        <v>383</v>
      </c>
      <c r="B11" s="0" t="s">
        <v>367</v>
      </c>
      <c r="C11" s="0" t="n">
        <v>2401.31</v>
      </c>
      <c r="D11" s="0" t="n">
        <f aca="false">Inputs!$B$5</f>
        <v>0.15</v>
      </c>
      <c r="E11" s="0" t="n">
        <f aca="false">C11*D11</f>
        <v>360.1965</v>
      </c>
      <c r="F11" s="0" t="n">
        <f aca="false">C11+E11</f>
        <v>2761.5065</v>
      </c>
      <c r="G11" s="0" t="s">
        <v>384</v>
      </c>
      <c r="H11" s="0" t="n">
        <f aca="false">ROUNDUP(F11/Inputs!$B$16,0)</f>
        <v>173</v>
      </c>
      <c r="I11" s="0" t="s">
        <v>385</v>
      </c>
    </row>
    <row r="12" customFormat="false" ht="15" hidden="false" customHeight="false" outlineLevel="0" collapsed="false">
      <c r="A12" s="0" t="s">
        <v>386</v>
      </c>
      <c r="B12" s="0" t="s">
        <v>367</v>
      </c>
      <c r="C12" s="0" t="n">
        <v>240.68</v>
      </c>
      <c r="D12" s="0" t="n">
        <f aca="false">Inputs!$B$5</f>
        <v>0.15</v>
      </c>
      <c r="E12" s="0" t="n">
        <f aca="false">C12*D12</f>
        <v>36.102</v>
      </c>
      <c r="F12" s="0" t="n">
        <f aca="false">C12+E12</f>
        <v>276.782</v>
      </c>
      <c r="G12" s="0" t="s">
        <v>377</v>
      </c>
      <c r="H12" s="0" t="n">
        <f aca="false">ROUNDUP(F12/Inputs!$B$11,0)</f>
        <v>28</v>
      </c>
      <c r="I12" s="0" t="s">
        <v>387</v>
      </c>
    </row>
    <row r="13" customFormat="false" ht="15" hidden="false" customHeight="false" outlineLevel="0" collapsed="false">
      <c r="A13" s="0" t="s">
        <v>388</v>
      </c>
      <c r="B13" s="0" t="s">
        <v>367</v>
      </c>
      <c r="C13" s="0" t="n">
        <v>818.25</v>
      </c>
      <c r="D13" s="0" t="n">
        <f aca="false">Inputs!$B$5</f>
        <v>0.15</v>
      </c>
      <c r="E13" s="0" t="n">
        <f aca="false">C13*D13</f>
        <v>122.7375</v>
      </c>
      <c r="F13" s="0" t="n">
        <f aca="false">C13+E13</f>
        <v>940.9875</v>
      </c>
      <c r="G13" s="0" t="s">
        <v>368</v>
      </c>
      <c r="H13" s="0" t="n">
        <f aca="false">ROUNDUP(F13/Inputs!$B$10,0)</f>
        <v>48</v>
      </c>
      <c r="I13" s="0" t="s">
        <v>389</v>
      </c>
    </row>
    <row r="14" customFormat="false" ht="15" hidden="false" customHeight="false" outlineLevel="0" collapsed="false">
      <c r="A14" s="0" t="s">
        <v>390</v>
      </c>
      <c r="B14" s="0" t="s">
        <v>367</v>
      </c>
      <c r="C14" s="0" t="n">
        <v>115.58</v>
      </c>
      <c r="D14" s="0" t="n">
        <f aca="false">Inputs!$B$5</f>
        <v>0.15</v>
      </c>
      <c r="E14" s="0" t="n">
        <f aca="false">C14*D14</f>
        <v>17.337</v>
      </c>
      <c r="F14" s="0" t="n">
        <f aca="false">C14+E14</f>
        <v>132.917</v>
      </c>
      <c r="G14" s="0" t="s">
        <v>377</v>
      </c>
      <c r="H14" s="0" t="n">
        <f aca="false">ROUNDUP(F14/Inputs!$B$11,0)</f>
        <v>14</v>
      </c>
      <c r="I14" s="0" t="s">
        <v>391</v>
      </c>
    </row>
    <row r="15" customFormat="false" ht="15" hidden="false" customHeight="false" outlineLevel="0" collapsed="false">
      <c r="A15" s="0" t="s">
        <v>392</v>
      </c>
      <c r="B15" s="0" t="s">
        <v>367</v>
      </c>
      <c r="C15" s="0" t="n">
        <v>807.01</v>
      </c>
      <c r="D15" s="0" t="n">
        <f aca="false">Inputs!$B$5</f>
        <v>0.15</v>
      </c>
      <c r="E15" s="0" t="n">
        <f aca="false">C15*D15</f>
        <v>121.0515</v>
      </c>
      <c r="F15" s="0" t="n">
        <f aca="false">C15+E15</f>
        <v>928.0615</v>
      </c>
      <c r="G15" s="0" t="s">
        <v>393</v>
      </c>
      <c r="H15" s="0" t="n">
        <f aca="false">ROUNDUP(F15/Inputs!$B$17,0)</f>
        <v>78</v>
      </c>
      <c r="I15" s="0" t="s">
        <v>394</v>
      </c>
    </row>
    <row r="16" customFormat="false" ht="15" hidden="false" customHeight="false" outlineLevel="0" collapsed="false">
      <c r="A16" s="0" t="s">
        <v>395</v>
      </c>
      <c r="B16" s="0" t="s">
        <v>367</v>
      </c>
      <c r="C16" s="0" t="n">
        <v>315.75</v>
      </c>
      <c r="D16" s="0" t="n">
        <f aca="false">Inputs!$B$5</f>
        <v>0.15</v>
      </c>
      <c r="E16" s="0" t="n">
        <f aca="false">C16*D16</f>
        <v>47.3625</v>
      </c>
      <c r="F16" s="0" t="n">
        <f aca="false">C16+E16</f>
        <v>363.1125</v>
      </c>
      <c r="G16" s="0" t="s">
        <v>384</v>
      </c>
      <c r="H16" s="0" t="n">
        <f aca="false">ROUNDUP(F16/Inputs!$B$16,0)</f>
        <v>23</v>
      </c>
      <c r="I16" s="0" t="s">
        <v>396</v>
      </c>
    </row>
    <row r="17" customFormat="false" ht="15" hidden="false" customHeight="false" outlineLevel="0" collapsed="false">
      <c r="A17" s="0" t="s">
        <v>397</v>
      </c>
      <c r="B17" s="0" t="s">
        <v>367</v>
      </c>
      <c r="C17" s="0" t="n">
        <v>530.11</v>
      </c>
      <c r="D17" s="0" t="n">
        <f aca="false">Inputs!$B$6</f>
        <v>0.06</v>
      </c>
      <c r="E17" s="0" t="n">
        <f aca="false">C17*D17</f>
        <v>31.8066</v>
      </c>
      <c r="F17" s="0" t="n">
        <f aca="false">C17+E17</f>
        <v>561.9166</v>
      </c>
      <c r="G17" s="0" t="s">
        <v>32</v>
      </c>
      <c r="H17" s="0" t="n">
        <f aca="false">ROUNDUP(F17,0)</f>
        <v>562</v>
      </c>
      <c r="I17" s="0" t="s">
        <v>398</v>
      </c>
    </row>
    <row r="18" customFormat="false" ht="15" hidden="false" customHeight="false" outlineLevel="0" collapsed="false">
      <c r="A18" s="0" t="s">
        <v>399</v>
      </c>
      <c r="B18" s="0" t="s">
        <v>400</v>
      </c>
      <c r="C18" s="0" t="n">
        <v>16705.36</v>
      </c>
      <c r="D18" s="0" t="n">
        <f aca="false">Inputs!$B$6</f>
        <v>0.06</v>
      </c>
      <c r="E18" s="0" t="n">
        <f aca="false">C18*D18</f>
        <v>1002.3216</v>
      </c>
      <c r="F18" s="0" t="n">
        <f aca="false">C18+E18</f>
        <v>17707.6816</v>
      </c>
      <c r="G18" s="0" t="s">
        <v>401</v>
      </c>
      <c r="H18" s="0" t="n">
        <f aca="false">ROUNDUP(F18/Inputs!$B$9,0)</f>
        <v>369</v>
      </c>
      <c r="I18" s="0" t="s">
        <v>402</v>
      </c>
    </row>
    <row r="19" customFormat="false" ht="15" hidden="false" customHeight="false" outlineLevel="0" collapsed="false">
      <c r="A19" s="0" t="s">
        <v>403</v>
      </c>
      <c r="B19" s="0" t="s">
        <v>400</v>
      </c>
      <c r="C19" s="0" t="n">
        <v>258.81</v>
      </c>
      <c r="D19" s="0" t="n">
        <f aca="false">Inputs!$B$6</f>
        <v>0.06</v>
      </c>
      <c r="E19" s="0" t="n">
        <f aca="false">C19*D19</f>
        <v>15.5286</v>
      </c>
      <c r="F19" s="0" t="n">
        <f aca="false">C19+E19</f>
        <v>274.3386</v>
      </c>
      <c r="G19" s="0" t="s">
        <v>401</v>
      </c>
      <c r="H19" s="0" t="n">
        <f aca="false">ROUNDUP(F19/Inputs!$B$9,0)</f>
        <v>6</v>
      </c>
      <c r="I19" s="0" t="s">
        <v>404</v>
      </c>
    </row>
    <row r="20" customFormat="false" ht="15" hidden="false" customHeight="false" outlineLevel="0" collapsed="false">
      <c r="A20" s="0" t="s">
        <v>405</v>
      </c>
      <c r="B20" s="0" t="s">
        <v>400</v>
      </c>
      <c r="C20" s="0" t="n">
        <v>76.38</v>
      </c>
      <c r="D20" s="0" t="n">
        <f aca="false">Inputs!$B$6</f>
        <v>0.06</v>
      </c>
      <c r="E20" s="0" t="n">
        <f aca="false">C20*D20</f>
        <v>4.5828</v>
      </c>
      <c r="F20" s="0" t="n">
        <f aca="false">C20+E20</f>
        <v>80.9628</v>
      </c>
      <c r="G20" s="0" t="s">
        <v>406</v>
      </c>
      <c r="H20" s="0" t="n">
        <f aca="false">ROUNDUP(F20/32,0)</f>
        <v>3</v>
      </c>
      <c r="I20" s="0" t="s">
        <v>407</v>
      </c>
    </row>
    <row r="21" customFormat="false" ht="15" hidden="false" customHeight="false" outlineLevel="0" collapsed="false">
      <c r="A21" s="0" t="s">
        <v>408</v>
      </c>
      <c r="B21" s="0" t="s">
        <v>400</v>
      </c>
      <c r="C21" s="0" t="n">
        <v>51.68</v>
      </c>
      <c r="D21" s="0" t="n">
        <f aca="false">Inputs!$B$6</f>
        <v>0.06</v>
      </c>
      <c r="E21" s="0" t="n">
        <f aca="false">C21*D21</f>
        <v>3.1008</v>
      </c>
      <c r="F21" s="0" t="n">
        <f aca="false">C21+E21</f>
        <v>54.7808</v>
      </c>
      <c r="G21" s="0" t="s">
        <v>406</v>
      </c>
      <c r="H21" s="0" t="n">
        <f aca="false">ROUNDUP(F21/32,0)</f>
        <v>2</v>
      </c>
      <c r="I21" s="0" t="s">
        <v>409</v>
      </c>
    </row>
    <row r="22" customFormat="false" ht="15" hidden="false" customHeight="false" outlineLevel="0" collapsed="false">
      <c r="A22" s="0" t="s">
        <v>410</v>
      </c>
      <c r="B22" s="0" t="s">
        <v>400</v>
      </c>
      <c r="C22" s="0" t="n">
        <v>476.97</v>
      </c>
      <c r="D22" s="0" t="n">
        <f aca="false">Inputs!$B$6</f>
        <v>0.06</v>
      </c>
      <c r="E22" s="0" t="n">
        <f aca="false">C22*D22</f>
        <v>28.6182</v>
      </c>
      <c r="F22" s="0" t="n">
        <f aca="false">C22+E22</f>
        <v>505.5882</v>
      </c>
      <c r="G22" s="0" t="s">
        <v>406</v>
      </c>
      <c r="H22" s="0" t="n">
        <f aca="false">ROUNDUP(F22/32,0)</f>
        <v>16</v>
      </c>
      <c r="I22" s="0" t="s">
        <v>411</v>
      </c>
    </row>
    <row r="23" customFormat="false" ht="15" hidden="false" customHeight="false" outlineLevel="0" collapsed="false">
      <c r="A23" s="0" t="s">
        <v>412</v>
      </c>
      <c r="B23" s="0" t="s">
        <v>400</v>
      </c>
      <c r="C23" s="0" t="n">
        <v>935.51</v>
      </c>
      <c r="D23" s="0" t="n">
        <f aca="false">Inputs!$B$6</f>
        <v>0.06</v>
      </c>
      <c r="E23" s="0" t="n">
        <f aca="false">C23*D23</f>
        <v>56.1306</v>
      </c>
      <c r="F23" s="0" t="n">
        <f aca="false">C23+E23</f>
        <v>991.6406</v>
      </c>
      <c r="G23" s="0" t="s">
        <v>406</v>
      </c>
      <c r="H23" s="0" t="n">
        <f aca="false">ROUNDUP(F23/32,0)</f>
        <v>31</v>
      </c>
      <c r="I23" s="0" t="s">
        <v>413</v>
      </c>
    </row>
    <row r="24" customFormat="false" ht="15" hidden="false" customHeight="false" outlineLevel="0" collapsed="false">
      <c r="A24" s="0" t="s">
        <v>414</v>
      </c>
      <c r="B24" s="0" t="s">
        <v>367</v>
      </c>
      <c r="C24" s="0" t="n">
        <v>941.89</v>
      </c>
      <c r="D24" s="0" t="n">
        <f aca="false">Inputs!$B$6</f>
        <v>0.06</v>
      </c>
      <c r="E24" s="0" t="n">
        <f aca="false">C24*D24</f>
        <v>56.5134</v>
      </c>
      <c r="F24" s="0" t="n">
        <f aca="false">C24+E24</f>
        <v>998.4034</v>
      </c>
      <c r="H24" s="0" t="n">
        <f aca="false">ROUNDUP(F24,0)</f>
        <v>999</v>
      </c>
      <c r="I24" s="0" t="s">
        <v>415</v>
      </c>
    </row>
    <row r="25" customFormat="false" ht="15" hidden="false" customHeight="false" outlineLevel="0" collapsed="false">
      <c r="A25" s="0" t="s">
        <v>416</v>
      </c>
      <c r="B25" s="0" t="s">
        <v>367</v>
      </c>
      <c r="C25" s="0" t="n">
        <v>639.26</v>
      </c>
      <c r="D25" s="0" t="n">
        <f aca="false">Inputs!$B$5</f>
        <v>0.15</v>
      </c>
      <c r="E25" s="0" t="n">
        <f aca="false">C25*D25</f>
        <v>95.889</v>
      </c>
      <c r="F25" s="0" t="n">
        <f aca="false">C25+E25</f>
        <v>735.149</v>
      </c>
      <c r="G25" s="0" t="s">
        <v>368</v>
      </c>
      <c r="H25" s="0" t="n">
        <f aca="false">ROUNDUP(F25/Inputs!$B$10,0)</f>
        <v>37</v>
      </c>
      <c r="I25" s="0" t="s">
        <v>417</v>
      </c>
    </row>
    <row r="26" customFormat="false" ht="15" hidden="false" customHeight="false" outlineLevel="0" collapsed="false">
      <c r="A26" s="0" t="s">
        <v>418</v>
      </c>
      <c r="B26" s="0" t="s">
        <v>367</v>
      </c>
      <c r="C26" s="0" t="n">
        <v>1266.47</v>
      </c>
      <c r="D26" s="0" t="n">
        <f aca="false">Inputs!$B$5</f>
        <v>0.15</v>
      </c>
      <c r="E26" s="0" t="n">
        <f aca="false">C26*D26</f>
        <v>189.9705</v>
      </c>
      <c r="F26" s="0" t="n">
        <f aca="false">C26+E26</f>
        <v>1456.4405</v>
      </c>
      <c r="G26" s="0" t="s">
        <v>419</v>
      </c>
      <c r="H26" s="0" t="n">
        <f aca="false">ROUNDUP(F26/Inputs!$B$18,0)</f>
        <v>146</v>
      </c>
      <c r="I26" s="0" t="s">
        <v>420</v>
      </c>
    </row>
    <row r="27" customFormat="false" ht="15" hidden="false" customHeight="false" outlineLevel="0" collapsed="false">
      <c r="A27" s="0" t="s">
        <v>421</v>
      </c>
      <c r="B27" s="0" t="s">
        <v>400</v>
      </c>
      <c r="C27" s="0" t="n">
        <v>31.38</v>
      </c>
      <c r="D27" s="0" t="n">
        <f aca="false">Inputs!$B$6</f>
        <v>0.06</v>
      </c>
      <c r="E27" s="0" t="n">
        <f aca="false">C27*D27</f>
        <v>1.8828</v>
      </c>
      <c r="F27" s="0" t="n">
        <f aca="false">C27+E27</f>
        <v>33.2628</v>
      </c>
      <c r="G27" s="0" t="s">
        <v>422</v>
      </c>
      <c r="H27" s="0" t="n">
        <f aca="false">ROUNDUP(F27/15,0)</f>
        <v>3</v>
      </c>
      <c r="I27" s="0" t="s">
        <v>423</v>
      </c>
    </row>
    <row r="28" customFormat="false" ht="15" hidden="false" customHeight="false" outlineLevel="0" collapsed="false">
      <c r="A28" s="0" t="s">
        <v>424</v>
      </c>
      <c r="B28" s="0" t="s">
        <v>400</v>
      </c>
      <c r="C28" s="0" t="n">
        <v>329.75</v>
      </c>
      <c r="D28" s="0" t="n">
        <f aca="false">Inputs!$B$6</f>
        <v>0.06</v>
      </c>
      <c r="E28" s="0" t="n">
        <f aca="false">C28*D28</f>
        <v>19.785</v>
      </c>
      <c r="F28" s="0" t="n">
        <f aca="false">C28+E28</f>
        <v>349.535</v>
      </c>
      <c r="G28" s="0" t="s">
        <v>425</v>
      </c>
      <c r="H28" s="0" t="n">
        <f aca="false">ROUNDUP(F28/40,0)</f>
        <v>9</v>
      </c>
      <c r="I28" s="0" t="s">
        <v>426</v>
      </c>
    </row>
    <row r="29" customFormat="false" ht="15" hidden="false" customHeight="false" outlineLevel="0" collapsed="false">
      <c r="A29" s="0" t="s">
        <v>427</v>
      </c>
      <c r="B29" s="0" t="s">
        <v>367</v>
      </c>
      <c r="C29" s="0" t="n">
        <v>1184.93</v>
      </c>
      <c r="D29" s="0" t="n">
        <f aca="false">Inputs!$B$6</f>
        <v>0.06</v>
      </c>
      <c r="E29" s="0" t="n">
        <f aca="false">C29*D29</f>
        <v>71.0958</v>
      </c>
      <c r="F29" s="0" t="n">
        <f aca="false">C29+E29</f>
        <v>1256.0258</v>
      </c>
      <c r="G29" s="0" t="s">
        <v>428</v>
      </c>
      <c r="H29" s="0" t="n">
        <f aca="false">ROUNDUP(F29/Inputs!$B$15,0)</f>
        <v>51</v>
      </c>
      <c r="I29" s="0" t="s">
        <v>429</v>
      </c>
    </row>
    <row r="30" customFormat="false" ht="15" hidden="false" customHeight="false" outlineLevel="0" collapsed="false">
      <c r="A30" s="0" t="s">
        <v>430</v>
      </c>
      <c r="B30" s="0" t="s">
        <v>367</v>
      </c>
      <c r="C30" s="0" t="n">
        <v>949.87</v>
      </c>
      <c r="D30" s="0" t="n">
        <f aca="false">Inputs!$B$5</f>
        <v>0.15</v>
      </c>
      <c r="E30" s="0" t="n">
        <f aca="false">C30*D30</f>
        <v>142.4805</v>
      </c>
      <c r="F30" s="0" t="n">
        <f aca="false">C30+E30</f>
        <v>1092.3505</v>
      </c>
      <c r="G30" s="0" t="s">
        <v>368</v>
      </c>
      <c r="H30" s="0" t="n">
        <f aca="false">ROUNDUP(F30/Inputs!$B$10,0)</f>
        <v>55</v>
      </c>
      <c r="I30" s="0" t="s">
        <v>431</v>
      </c>
    </row>
    <row r="31" customFormat="false" ht="15" hidden="false" customHeight="false" outlineLevel="0" collapsed="false">
      <c r="A31" s="0" t="s">
        <v>432</v>
      </c>
      <c r="B31" s="0" t="s">
        <v>400</v>
      </c>
      <c r="C31" s="0" t="n">
        <v>2120.11</v>
      </c>
      <c r="D31" s="0" t="n">
        <f aca="false">Inputs!$B$6</f>
        <v>0.06</v>
      </c>
      <c r="E31" s="0" t="n">
        <f aca="false">C31*D31</f>
        <v>127.2066</v>
      </c>
      <c r="F31" s="0" t="n">
        <f aca="false">C31+E31</f>
        <v>2247.3166</v>
      </c>
      <c r="G31" s="0" t="s">
        <v>433</v>
      </c>
      <c r="H31" s="0" t="n">
        <f aca="false">ROUNDUP(F31/Inputs!$B$9,0)</f>
        <v>47</v>
      </c>
      <c r="I31" s="0" t="s">
        <v>434</v>
      </c>
    </row>
    <row r="32" customFormat="false" ht="15" hidden="false" customHeight="false" outlineLevel="0" collapsed="false">
      <c r="A32" s="0" t="s">
        <v>435</v>
      </c>
      <c r="B32" s="0" t="s">
        <v>400</v>
      </c>
      <c r="C32" s="0" t="n">
        <v>3957.23</v>
      </c>
      <c r="D32" s="0" t="n">
        <f aca="false">Inputs!$B$6</f>
        <v>0.06</v>
      </c>
      <c r="E32" s="0" t="n">
        <f aca="false">C32*D32</f>
        <v>237.4338</v>
      </c>
      <c r="F32" s="0" t="n">
        <f aca="false">C32+E32</f>
        <v>4194.6638</v>
      </c>
      <c r="G32" s="0" t="s">
        <v>433</v>
      </c>
      <c r="H32" s="0" t="n">
        <f aca="false">ROUNDUP(F32/Inputs!$B$9,0)</f>
        <v>88</v>
      </c>
      <c r="I32" s="0" t="s">
        <v>434</v>
      </c>
    </row>
    <row r="33" customFormat="false" ht="15" hidden="false" customHeight="false" outlineLevel="0" collapsed="false">
      <c r="A33" s="0" t="s">
        <v>436</v>
      </c>
      <c r="B33" s="0" t="s">
        <v>400</v>
      </c>
      <c r="C33" s="0" t="n">
        <v>693.96</v>
      </c>
      <c r="D33" s="0" t="n">
        <f aca="false">Inputs!$B$6</f>
        <v>0.06</v>
      </c>
      <c r="E33" s="0" t="n">
        <f aca="false">C33*D33</f>
        <v>41.6376</v>
      </c>
      <c r="F33" s="0" t="n">
        <f aca="false">C33+E33</f>
        <v>735.5976</v>
      </c>
      <c r="G33" s="0" t="s">
        <v>433</v>
      </c>
      <c r="H33" s="0" t="n">
        <f aca="false">ROUNDUP(F33/Inputs!$B$9,0)</f>
        <v>16</v>
      </c>
      <c r="I33" s="0" t="s">
        <v>434</v>
      </c>
    </row>
    <row r="34" customFormat="false" ht="15" hidden="false" customHeight="false" outlineLevel="0" collapsed="false">
      <c r="A34" s="0" t="s">
        <v>437</v>
      </c>
      <c r="B34" s="0" t="s">
        <v>400</v>
      </c>
      <c r="C34" s="0" t="n">
        <v>32.62</v>
      </c>
      <c r="D34" s="0" t="n">
        <f aca="false">Inputs!$B$6</f>
        <v>0.06</v>
      </c>
      <c r="E34" s="0" t="n">
        <f aca="false">C34*D34</f>
        <v>1.9572</v>
      </c>
      <c r="F34" s="0" t="n">
        <f aca="false">C34+E34</f>
        <v>34.5772</v>
      </c>
      <c r="G34" s="0" t="s">
        <v>433</v>
      </c>
      <c r="H34" s="0" t="n">
        <f aca="false">ROUNDUP(F34/Inputs!$B$9,0)</f>
        <v>1</v>
      </c>
      <c r="I34" s="0" t="s">
        <v>434</v>
      </c>
    </row>
    <row r="35" customFormat="false" ht="15" hidden="false" customHeight="false" outlineLevel="0" collapsed="false">
      <c r="A35" s="0" t="s">
        <v>438</v>
      </c>
      <c r="B35" s="0" t="s">
        <v>367</v>
      </c>
      <c r="C35" s="0" t="n">
        <v>219.61</v>
      </c>
      <c r="D35" s="0" t="n">
        <f aca="false">Inputs!$B$6</f>
        <v>0.06</v>
      </c>
      <c r="E35" s="0" t="n">
        <f aca="false">C35*D35</f>
        <v>13.1766</v>
      </c>
      <c r="F35" s="0" t="n">
        <f aca="false">C35+E35</f>
        <v>232.7866</v>
      </c>
      <c r="G35" s="0" t="s">
        <v>428</v>
      </c>
      <c r="H35" s="0" t="n">
        <f aca="false">ROUNDUP(F35/Inputs!$B$15,0)</f>
        <v>10</v>
      </c>
      <c r="I35" s="0" t="s">
        <v>439</v>
      </c>
    </row>
    <row r="36" customFormat="false" ht="15" hidden="false" customHeight="false" outlineLevel="0" collapsed="false">
      <c r="A36" s="0" t="s">
        <v>440</v>
      </c>
      <c r="B36" s="0" t="s">
        <v>441</v>
      </c>
      <c r="C36" s="0" t="n">
        <v>113</v>
      </c>
      <c r="D36" s="0" t="n">
        <v>0</v>
      </c>
      <c r="E36" s="0" t="n">
        <f aca="false">C36*D36</f>
        <v>0</v>
      </c>
      <c r="F36" s="0" t="n">
        <f aca="false">C36+E36</f>
        <v>113</v>
      </c>
      <c r="H36" s="0" t="n">
        <f aca="false">ROUNDUP(F36,0)</f>
        <v>113</v>
      </c>
      <c r="I36" s="0" t="s">
        <v>442</v>
      </c>
    </row>
    <row r="37" customFormat="false" ht="15" hidden="false" customHeight="false" outlineLevel="0" collapsed="false">
      <c r="A37" s="0" t="s">
        <v>443</v>
      </c>
      <c r="B37" s="0" t="s">
        <v>367</v>
      </c>
      <c r="C37" s="0" t="n">
        <v>56</v>
      </c>
      <c r="D37" s="0" t="n">
        <f aca="false">Inputs!$B$5</f>
        <v>0.15</v>
      </c>
      <c r="E37" s="0" t="n">
        <f aca="false">C37*D37</f>
        <v>8.4</v>
      </c>
      <c r="F37" s="0" t="n">
        <f aca="false">C37+E37</f>
        <v>64.4</v>
      </c>
      <c r="G37" s="0" t="s">
        <v>377</v>
      </c>
      <c r="H37" s="0" t="n">
        <f aca="false">ROUNDUP(F37/Inputs!$B$11,0)</f>
        <v>7</v>
      </c>
      <c r="I37" s="0" t="s">
        <v>444</v>
      </c>
    </row>
    <row r="38" customFormat="false" ht="15" hidden="false" customHeight="false" outlineLevel="0" collapsed="false">
      <c r="A38" s="0" t="s">
        <v>445</v>
      </c>
      <c r="B38" s="0" t="s">
        <v>441</v>
      </c>
      <c r="C38" s="0" t="n">
        <v>32</v>
      </c>
      <c r="D38" s="0" t="n">
        <v>0</v>
      </c>
      <c r="E38" s="0" t="n">
        <f aca="false">C38*D38</f>
        <v>0</v>
      </c>
      <c r="F38" s="0" t="n">
        <f aca="false">C38+E38</f>
        <v>32</v>
      </c>
      <c r="G38" s="0" t="s">
        <v>446</v>
      </c>
      <c r="H38" s="0" t="n">
        <f aca="false">ROUNDUP(F38,0)</f>
        <v>32</v>
      </c>
      <c r="I38" s="0" t="s">
        <v>447</v>
      </c>
    </row>
    <row r="39" customFormat="false" ht="15" hidden="false" customHeight="false" outlineLevel="0" collapsed="false">
      <c r="A39" s="0" t="s">
        <v>448</v>
      </c>
      <c r="B39" s="0" t="s">
        <v>367</v>
      </c>
      <c r="C39" s="0" t="n">
        <v>22.42</v>
      </c>
      <c r="D39" s="0" t="n">
        <f aca="false">Inputs!$B$5</f>
        <v>0.15</v>
      </c>
      <c r="E39" s="0" t="n">
        <f aca="false">C39*D39</f>
        <v>3.363</v>
      </c>
      <c r="F39" s="0" t="n">
        <f aca="false">C39+E39</f>
        <v>25.783</v>
      </c>
      <c r="G39" s="0" t="s">
        <v>368</v>
      </c>
      <c r="H39" s="0" t="n">
        <f aca="false">ROUNDUP(F39/Inputs!$B$10,0)</f>
        <v>2</v>
      </c>
      <c r="I39" s="0" t="s">
        <v>449</v>
      </c>
    </row>
    <row r="40" customFormat="false" ht="15" hidden="false" customHeight="false" outlineLevel="0" collapsed="false">
      <c r="A40" s="0" t="s">
        <v>450</v>
      </c>
      <c r="B40" s="0" t="s">
        <v>367</v>
      </c>
      <c r="C40" s="0" t="n">
        <v>10.43</v>
      </c>
      <c r="D40" s="0" t="n">
        <f aca="false">Inputs!$B$5</f>
        <v>0.15</v>
      </c>
      <c r="E40" s="0" t="n">
        <f aca="false">C40*D40</f>
        <v>1.5645</v>
      </c>
      <c r="F40" s="0" t="n">
        <f aca="false">C40+E40</f>
        <v>11.9945</v>
      </c>
      <c r="G40" s="0" t="s">
        <v>368</v>
      </c>
      <c r="H40" s="0" t="n">
        <f aca="false">ROUNDUP(F40/Inputs!$B$10,0)</f>
        <v>1</v>
      </c>
      <c r="I40" s="0" t="s">
        <v>451</v>
      </c>
    </row>
    <row r="41" customFormat="false" ht="15" hidden="false" customHeight="false" outlineLevel="0" collapsed="false">
      <c r="A41" s="0" t="s">
        <v>452</v>
      </c>
      <c r="B41" s="0" t="s">
        <v>400</v>
      </c>
      <c r="C41" s="0" t="n">
        <v>91.16</v>
      </c>
      <c r="D41" s="0" t="n">
        <f aca="false">Inputs!$B$6</f>
        <v>0.06</v>
      </c>
      <c r="E41" s="0" t="n">
        <f aca="false">C41*D41</f>
        <v>5.4696</v>
      </c>
      <c r="F41" s="0" t="n">
        <f aca="false">C41+E41</f>
        <v>96.6296</v>
      </c>
      <c r="G41" s="0" t="s">
        <v>433</v>
      </c>
      <c r="H41" s="0" t="n">
        <f aca="false">ROUNDUP(F41/Inputs!$B$9,0)</f>
        <v>3</v>
      </c>
      <c r="I41" s="0" t="s">
        <v>453</v>
      </c>
    </row>
    <row r="42" customFormat="false" ht="15" hidden="false" customHeight="false" outlineLevel="0" collapsed="false">
      <c r="A42" s="0" t="s">
        <v>454</v>
      </c>
      <c r="B42" s="0" t="s">
        <v>367</v>
      </c>
      <c r="C42" s="0" t="n">
        <v>221.5</v>
      </c>
      <c r="D42" s="0" t="n">
        <f aca="false">Inputs!$B$6</f>
        <v>0.06</v>
      </c>
      <c r="E42" s="0" t="n">
        <f aca="false">C42*D42</f>
        <v>13.29</v>
      </c>
      <c r="F42" s="0" t="n">
        <f aca="false">C42+E42</f>
        <v>234.79</v>
      </c>
      <c r="G42" s="0" t="s">
        <v>419</v>
      </c>
      <c r="H42" s="0" t="n">
        <f aca="false">ROUNDUP(F42/Inputs!$B$18,0)</f>
        <v>24</v>
      </c>
      <c r="I42" s="0" t="s">
        <v>455</v>
      </c>
    </row>
    <row r="43" customFormat="false" ht="15" hidden="false" customHeight="false" outlineLevel="0" collapsed="false">
      <c r="A43" s="0" t="s">
        <v>456</v>
      </c>
      <c r="B43" s="0" t="s">
        <v>441</v>
      </c>
      <c r="C43" s="0" t="n">
        <v>293</v>
      </c>
      <c r="D43" s="0" t="n">
        <v>0</v>
      </c>
      <c r="E43" s="0" t="n">
        <f aca="false">C43*D43</f>
        <v>0</v>
      </c>
      <c r="F43" s="0" t="n">
        <f aca="false">C43+E43</f>
        <v>293</v>
      </c>
      <c r="G43" s="0" t="s">
        <v>446</v>
      </c>
      <c r="H43" s="0" t="n">
        <f aca="false">ROUNDUP(F43,0)</f>
        <v>293</v>
      </c>
      <c r="I43" s="0" t="s">
        <v>457</v>
      </c>
    </row>
    <row r="44" customFormat="false" ht="15" hidden="false" customHeight="false" outlineLevel="0" collapsed="false">
      <c r="A44" s="0" t="s">
        <v>458</v>
      </c>
      <c r="B44" s="0" t="s">
        <v>441</v>
      </c>
      <c r="C44" s="0" t="n">
        <v>1</v>
      </c>
      <c r="D44" s="0" t="n">
        <v>0</v>
      </c>
      <c r="E44" s="0" t="n">
        <f aca="false">C44*D44</f>
        <v>0</v>
      </c>
      <c r="F44" s="0" t="n">
        <f aca="false">C44+E44</f>
        <v>1</v>
      </c>
      <c r="G44" s="0" t="s">
        <v>446</v>
      </c>
      <c r="H44" s="0" t="n">
        <f aca="false">ROUNDUP(F44,0)</f>
        <v>1</v>
      </c>
      <c r="I44" s="0" t="s">
        <v>459</v>
      </c>
    </row>
    <row r="45" customFormat="false" ht="15" hidden="false" customHeight="false" outlineLevel="0" collapsed="false">
      <c r="A45" s="0" t="s">
        <v>460</v>
      </c>
      <c r="B45" s="0" t="s">
        <v>441</v>
      </c>
      <c r="C45" s="0" t="n">
        <v>20419.02</v>
      </c>
      <c r="D45" s="0" t="n">
        <v>0</v>
      </c>
      <c r="E45" s="0" t="n">
        <f aca="false">C45*D45</f>
        <v>0</v>
      </c>
      <c r="F45" s="0" t="n">
        <f aca="false">C45+E45</f>
        <v>20419.02</v>
      </c>
      <c r="G45" s="0" t="s">
        <v>446</v>
      </c>
      <c r="H45" s="0" t="n">
        <f aca="false">ROUNDUP(F45,0)</f>
        <v>20420</v>
      </c>
      <c r="I45" s="0" t="s">
        <v>461</v>
      </c>
      <c r="J45" s="0" t="n">
        <f aca="false">Inputs!$B$20*17015.8</f>
        <v>20418.96</v>
      </c>
    </row>
    <row r="46" customFormat="false" ht="15" hidden="false" customHeight="false" outlineLevel="0" collapsed="false">
      <c r="A46" s="0" t="s">
        <v>462</v>
      </c>
      <c r="B46" s="0" t="s">
        <v>441</v>
      </c>
      <c r="C46" s="0" t="n">
        <v>6956</v>
      </c>
      <c r="D46" s="0" t="n">
        <v>0</v>
      </c>
      <c r="E46" s="0" t="n">
        <f aca="false">C46*D46</f>
        <v>0</v>
      </c>
      <c r="F46" s="0" t="n">
        <f aca="false">C46+E46</f>
        <v>6956</v>
      </c>
      <c r="G46" s="0" t="s">
        <v>446</v>
      </c>
      <c r="H46" s="0" t="n">
        <f aca="false">ROUNDUP(F46,0)</f>
        <v>6956</v>
      </c>
      <c r="I46" s="0" t="s">
        <v>463</v>
      </c>
      <c r="J46" s="0" t="n">
        <f aca="false">Inputs!$B$21*1739</f>
        <v>6956</v>
      </c>
    </row>
    <row r="47" customFormat="false" ht="15" hidden="false" customHeight="false" outlineLevel="0" collapsed="false">
      <c r="A47" s="0" t="s">
        <v>464</v>
      </c>
      <c r="B47" s="0" t="s">
        <v>441</v>
      </c>
      <c r="C47" s="0" t="n">
        <v>480.89</v>
      </c>
      <c r="D47" s="0" t="n">
        <v>0</v>
      </c>
      <c r="E47" s="0" t="n">
        <f aca="false">C47*D47</f>
        <v>0</v>
      </c>
      <c r="F47" s="0" t="n">
        <f aca="false">C47+E47</f>
        <v>480.89</v>
      </c>
      <c r="G47" s="0" t="s">
        <v>446</v>
      </c>
      <c r="H47" s="0" t="n">
        <f aca="false">ROUNDUP(F47,0)</f>
        <v>481</v>
      </c>
      <c r="I47" s="0" t="s">
        <v>465</v>
      </c>
      <c r="J47" s="0" t="n">
        <f aca="false">480.89/Inputs!$B$22</f>
        <v>480.89</v>
      </c>
    </row>
    <row r="48" customFormat="false" ht="15" hidden="false" customHeight="false" outlineLevel="0" collapsed="false">
      <c r="A48" s="0" t="s">
        <v>466</v>
      </c>
      <c r="B48" s="0" t="s">
        <v>441</v>
      </c>
      <c r="C48" s="0" t="n">
        <v>325.25</v>
      </c>
      <c r="D48" s="0" t="n">
        <v>0</v>
      </c>
      <c r="E48" s="0" t="n">
        <f aca="false">C48*D48</f>
        <v>0</v>
      </c>
      <c r="F48" s="0" t="n">
        <f aca="false">C48+E48</f>
        <v>325.25</v>
      </c>
      <c r="G48" s="0" t="s">
        <v>446</v>
      </c>
      <c r="H48" s="0" t="n">
        <f aca="false">ROUNDUP(F48,0)</f>
        <v>326</v>
      </c>
      <c r="I48" s="0" t="s">
        <v>467</v>
      </c>
      <c r="J48" s="0" t="n">
        <f aca="false">216.83/Inputs!$B$25</f>
        <v>325.228738563072</v>
      </c>
    </row>
    <row r="49" customFormat="false" ht="15" hidden="false" customHeight="false" outlineLevel="0" collapsed="false">
      <c r="A49" s="0" t="s">
        <v>468</v>
      </c>
      <c r="B49" s="0" t="s">
        <v>469</v>
      </c>
      <c r="C49" s="0" t="n">
        <v>1225.14</v>
      </c>
      <c r="D49" s="0" t="n">
        <v>0</v>
      </c>
      <c r="E49" s="0" t="n">
        <f aca="false">C49*D49</f>
        <v>0</v>
      </c>
      <c r="F49" s="0" t="n">
        <f aca="false">C49+E49</f>
        <v>1225.14</v>
      </c>
      <c r="G49" s="0" t="s">
        <v>470</v>
      </c>
      <c r="H49" s="0" t="n">
        <f aca="false">ROUNDUP(F49,0)</f>
        <v>1226</v>
      </c>
      <c r="I49" s="0" t="s">
        <v>471</v>
      </c>
      <c r="J49" s="0" t="n">
        <f aca="false">Inputs!$B$23*17015.8</f>
        <v>1225.1376</v>
      </c>
    </row>
    <row r="50" customFormat="false" ht="15" hidden="false" customHeight="false" outlineLevel="0" collapsed="false">
      <c r="A50" s="0" t="s">
        <v>472</v>
      </c>
      <c r="B50" s="0" t="s">
        <v>367</v>
      </c>
      <c r="C50" s="0" t="n">
        <v>6295.86</v>
      </c>
      <c r="D50" s="0" t="n">
        <v>0</v>
      </c>
      <c r="E50" s="0" t="n">
        <f aca="false">C50*D50</f>
        <v>0</v>
      </c>
      <c r="F50" s="0" t="n">
        <f aca="false">C50+E50</f>
        <v>6295.86</v>
      </c>
      <c r="G50" s="0" t="s">
        <v>367</v>
      </c>
      <c r="H50" s="0" t="n">
        <f aca="false">ROUNDUP(F50,0)</f>
        <v>6296</v>
      </c>
      <c r="I50" s="0" t="s">
        <v>473</v>
      </c>
      <c r="J50" s="0" t="n">
        <f aca="false">Inputs!$B$24*17015.8</f>
        <v>6295.846</v>
      </c>
    </row>
    <row r="51" customFormat="false" ht="15" hidden="false" customHeight="false" outlineLevel="0" collapsed="false">
      <c r="A51" s="0" t="s">
        <v>474</v>
      </c>
      <c r="B51" s="0" t="s">
        <v>400</v>
      </c>
      <c r="C51" s="0" t="n">
        <v>881.13</v>
      </c>
      <c r="D51" s="0" t="n">
        <f aca="false">Inputs!$B$6</f>
        <v>0.06</v>
      </c>
      <c r="E51" s="0" t="n">
        <f aca="false">C51*D51</f>
        <v>52.8678</v>
      </c>
      <c r="F51" s="0" t="n">
        <f aca="false">C51+E51</f>
        <v>933.9978</v>
      </c>
      <c r="G51" s="0" t="s">
        <v>400</v>
      </c>
      <c r="H51" s="0" t="n">
        <f aca="false">ROUNDUP(F51,0)</f>
        <v>934</v>
      </c>
      <c r="I51" s="0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476</v>
      </c>
      <c r="B1" s="2" t="s">
        <v>477</v>
      </c>
      <c r="C1" s="2" t="s">
        <v>478</v>
      </c>
    </row>
    <row r="2" customFormat="false" ht="15" hidden="false" customHeight="false" outlineLevel="0" collapsed="false">
      <c r="A2" s="0" t="s">
        <v>479</v>
      </c>
      <c r="B2" s="0" t="s">
        <v>480</v>
      </c>
      <c r="C2" s="0" t="s">
        <v>481</v>
      </c>
    </row>
    <row r="3" customFormat="false" ht="15" hidden="false" customHeight="false" outlineLevel="0" collapsed="false">
      <c r="A3" s="0" t="s">
        <v>482</v>
      </c>
      <c r="B3" s="0" t="s">
        <v>483</v>
      </c>
      <c r="C3" s="0" t="s">
        <v>484</v>
      </c>
    </row>
    <row r="4" customFormat="false" ht="15" hidden="false" customHeight="false" outlineLevel="0" collapsed="false">
      <c r="A4" s="0" t="s">
        <v>485</v>
      </c>
      <c r="B4" s="0" t="s">
        <v>486</v>
      </c>
      <c r="C4" s="0" t="s">
        <v>487</v>
      </c>
    </row>
    <row r="5" customFormat="false" ht="15" hidden="false" customHeight="false" outlineLevel="0" collapsed="false">
      <c r="A5" s="0" t="s">
        <v>488</v>
      </c>
      <c r="B5" s="0" t="s">
        <v>489</v>
      </c>
      <c r="C5" s="0" t="s">
        <v>490</v>
      </c>
    </row>
    <row r="6" customFormat="false" ht="15" hidden="false" customHeight="false" outlineLevel="0" collapsed="false">
      <c r="A6" s="0" t="s">
        <v>491</v>
      </c>
      <c r="B6" s="0" t="s">
        <v>492</v>
      </c>
      <c r="C6" s="0" t="s">
        <v>493</v>
      </c>
    </row>
    <row r="7" customFormat="false" ht="15" hidden="false" customHeight="false" outlineLevel="0" collapsed="false">
      <c r="A7" s="0" t="s">
        <v>494</v>
      </c>
      <c r="B7" s="0" t="s">
        <v>495</v>
      </c>
      <c r="C7" s="0" t="s">
        <v>496</v>
      </c>
    </row>
    <row r="8" customFormat="false" ht="15" hidden="false" customHeight="false" outlineLevel="0" collapsed="false">
      <c r="A8" s="0" t="s">
        <v>497</v>
      </c>
      <c r="B8" s="0" t="s">
        <v>498</v>
      </c>
      <c r="C8" s="0" t="s">
        <v>499</v>
      </c>
    </row>
    <row r="9" customFormat="false" ht="15" hidden="false" customHeight="false" outlineLevel="0" collapsed="false">
      <c r="A9" s="0" t="s">
        <v>500</v>
      </c>
      <c r="B9" s="0" t="s">
        <v>501</v>
      </c>
      <c r="C9" s="0" t="s">
        <v>502</v>
      </c>
    </row>
    <row r="10" customFormat="false" ht="15" hidden="false" customHeight="false" outlineLevel="0" collapsed="false">
      <c r="A10" s="0" t="s">
        <v>503</v>
      </c>
      <c r="B10" s="0" t="s">
        <v>504</v>
      </c>
      <c r="C10" s="0" t="s">
        <v>505</v>
      </c>
    </row>
    <row r="11" customFormat="false" ht="15" hidden="false" customHeight="false" outlineLevel="0" collapsed="false">
      <c r="A11" s="0" t="s">
        <v>506</v>
      </c>
      <c r="B11" s="0" t="s">
        <v>507</v>
      </c>
      <c r="C11" s="0" t="s">
        <v>508</v>
      </c>
    </row>
    <row r="12" customFormat="false" ht="15" hidden="false" customHeight="false" outlineLevel="0" collapsed="false">
      <c r="A12" s="0" t="s">
        <v>509</v>
      </c>
      <c r="B12" s="0" t="s">
        <v>510</v>
      </c>
      <c r="C12" s="0" t="s">
        <v>511</v>
      </c>
    </row>
    <row r="13" customFormat="false" ht="15" hidden="false" customHeight="false" outlineLevel="0" collapsed="false">
      <c r="A13" s="0" t="s">
        <v>512</v>
      </c>
      <c r="B13" s="0" t="s">
        <v>513</v>
      </c>
      <c r="C13" s="0" t="s">
        <v>514</v>
      </c>
    </row>
    <row r="14" customFormat="false" ht="15" hidden="false" customHeight="false" outlineLevel="0" collapsed="false">
      <c r="A14" s="0" t="s">
        <v>515</v>
      </c>
      <c r="B14" s="0" t="s">
        <v>516</v>
      </c>
      <c r="C14" s="0" t="s">
        <v>517</v>
      </c>
    </row>
    <row r="15" customFormat="false" ht="15" hidden="false" customHeight="false" outlineLevel="0" collapsed="false">
      <c r="A15" s="0" t="s">
        <v>518</v>
      </c>
      <c r="B15" s="0" t="s">
        <v>519</v>
      </c>
      <c r="C15" s="0" t="s">
        <v>520</v>
      </c>
    </row>
    <row r="16" customFormat="false" ht="15" hidden="false" customHeight="false" outlineLevel="0" collapsed="false">
      <c r="A16" s="0" t="s">
        <v>521</v>
      </c>
      <c r="B16" s="0" t="s">
        <v>522</v>
      </c>
      <c r="C16" s="0" t="s">
        <v>523</v>
      </c>
    </row>
    <row r="17" customFormat="false" ht="15" hidden="false" customHeight="false" outlineLevel="0" collapsed="false">
      <c r="A17" s="0" t="s">
        <v>524</v>
      </c>
      <c r="B17" s="0" t="s">
        <v>525</v>
      </c>
      <c r="C17" s="0" t="s">
        <v>526</v>
      </c>
    </row>
    <row r="18" customFormat="false" ht="15" hidden="false" customHeight="false" outlineLevel="0" collapsed="false">
      <c r="A18" s="0" t="s">
        <v>527</v>
      </c>
      <c r="B18" s="0" t="s">
        <v>528</v>
      </c>
      <c r="C18" s="0" t="s">
        <v>529</v>
      </c>
    </row>
    <row r="19" customFormat="false" ht="15" hidden="false" customHeight="false" outlineLevel="0" collapsed="false">
      <c r="A19" s="0" t="s">
        <v>530</v>
      </c>
      <c r="B19" s="0" t="s">
        <v>531</v>
      </c>
      <c r="C19" s="0" t="s">
        <v>532</v>
      </c>
    </row>
    <row r="20" customFormat="false" ht="15" hidden="false" customHeight="false" outlineLevel="0" collapsed="false">
      <c r="A20" s="0" t="s">
        <v>533</v>
      </c>
      <c r="B20" s="0" t="s">
        <v>534</v>
      </c>
      <c r="C20" s="0" t="s">
        <v>535</v>
      </c>
    </row>
    <row r="21" customFormat="false" ht="15" hidden="false" customHeight="false" outlineLevel="0" collapsed="false">
      <c r="A21" s="0" t="s">
        <v>536</v>
      </c>
      <c r="B21" s="0" t="s">
        <v>537</v>
      </c>
      <c r="C21" s="0" t="s">
        <v>538</v>
      </c>
    </row>
    <row r="22" customFormat="false" ht="15" hidden="false" customHeight="false" outlineLevel="0" collapsed="false">
      <c r="A22" s="0" t="s">
        <v>539</v>
      </c>
      <c r="B22" s="0" t="s">
        <v>540</v>
      </c>
      <c r="C22" s="0" t="s">
        <v>541</v>
      </c>
    </row>
    <row r="23" customFormat="false" ht="15" hidden="false" customHeight="false" outlineLevel="0" collapsed="false">
      <c r="A23" s="0" t="s">
        <v>542</v>
      </c>
      <c r="B23" s="0" t="s">
        <v>543</v>
      </c>
      <c r="C23" s="0" t="s">
        <v>544</v>
      </c>
    </row>
    <row r="24" customFormat="false" ht="15" hidden="false" customHeight="false" outlineLevel="0" collapsed="false">
      <c r="A24" s="0" t="s">
        <v>545</v>
      </c>
      <c r="B24" s="0" t="s">
        <v>546</v>
      </c>
      <c r="C24" s="0" t="s">
        <v>547</v>
      </c>
    </row>
    <row r="25" customFormat="false" ht="15" hidden="false" customHeight="false" outlineLevel="0" collapsed="false">
      <c r="A25" s="0" t="s">
        <v>548</v>
      </c>
      <c r="B25" s="0" t="s">
        <v>549</v>
      </c>
      <c r="C25" s="0" t="s">
        <v>550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553</v>
      </c>
    </row>
    <row r="27" customFormat="false" ht="15" hidden="false" customHeight="false" outlineLevel="0" collapsed="false">
      <c r="A27" s="0" t="s">
        <v>554</v>
      </c>
      <c r="B27" s="0" t="s">
        <v>555</v>
      </c>
      <c r="C27" s="0" t="s">
        <v>556</v>
      </c>
    </row>
    <row r="28" customFormat="false" ht="15" hidden="false" customHeight="false" outlineLevel="0" collapsed="false">
      <c r="A28" s="0" t="s">
        <v>557</v>
      </c>
      <c r="B28" s="0" t="s">
        <v>558</v>
      </c>
      <c r="C28" s="0" t="s">
        <v>559</v>
      </c>
    </row>
    <row r="29" customFormat="false" ht="15" hidden="false" customHeight="false" outlineLevel="0" collapsed="false">
      <c r="A29" s="0" t="s">
        <v>560</v>
      </c>
      <c r="B29" s="0" t="s">
        <v>561</v>
      </c>
      <c r="C29" s="0" t="s">
        <v>562</v>
      </c>
    </row>
    <row r="30" customFormat="false" ht="15" hidden="false" customHeight="false" outlineLevel="0" collapsed="false">
      <c r="A30" s="0" t="s">
        <v>563</v>
      </c>
      <c r="B30" s="0" t="s">
        <v>564</v>
      </c>
      <c r="C30" s="0" t="s">
        <v>565</v>
      </c>
    </row>
    <row r="31" customFormat="false" ht="15" hidden="false" customHeight="false" outlineLevel="0" collapsed="false">
      <c r="A31" s="0" t="s">
        <v>566</v>
      </c>
      <c r="B31" s="0" t="s">
        <v>567</v>
      </c>
      <c r="C31" s="0" t="s">
        <v>568</v>
      </c>
    </row>
    <row r="32" customFormat="false" ht="15" hidden="false" customHeight="false" outlineLevel="0" collapsed="false">
      <c r="A32" s="0" t="s">
        <v>569</v>
      </c>
      <c r="B32" s="0" t="s">
        <v>570</v>
      </c>
      <c r="C32" s="0" t="s">
        <v>571</v>
      </c>
    </row>
    <row r="33" customFormat="false" ht="15" hidden="false" customHeight="false" outlineLevel="0" collapsed="false">
      <c r="A33" s="0" t="s">
        <v>572</v>
      </c>
      <c r="B33" s="0" t="s">
        <v>573</v>
      </c>
      <c r="C33" s="0" t="s">
        <v>574</v>
      </c>
    </row>
    <row r="34" customFormat="false" ht="15" hidden="false" customHeight="false" outlineLevel="0" collapsed="false">
      <c r="A34" s="0" t="s">
        <v>575</v>
      </c>
      <c r="B34" s="0" t="s">
        <v>576</v>
      </c>
      <c r="C34" s="0" t="s">
        <v>577</v>
      </c>
    </row>
    <row r="35" customFormat="false" ht="15" hidden="false" customHeight="false" outlineLevel="0" collapsed="false">
      <c r="A35" s="0" t="s">
        <v>578</v>
      </c>
      <c r="B35" s="0" t="s">
        <v>579</v>
      </c>
      <c r="C35" s="0" t="s">
        <v>580</v>
      </c>
    </row>
    <row r="36" customFormat="false" ht="15" hidden="false" customHeight="false" outlineLevel="0" collapsed="false">
      <c r="A36" s="0" t="s">
        <v>581</v>
      </c>
      <c r="B36" s="0" t="s">
        <v>582</v>
      </c>
      <c r="C36" s="0" t="s">
        <v>583</v>
      </c>
    </row>
    <row r="37" customFormat="false" ht="15" hidden="false" customHeight="false" outlineLevel="0" collapsed="false">
      <c r="A37" s="0" t="s">
        <v>584</v>
      </c>
      <c r="B37" s="0" t="s">
        <v>585</v>
      </c>
      <c r="C37" s="0" t="s">
        <v>586</v>
      </c>
    </row>
    <row r="38" customFormat="false" ht="15" hidden="false" customHeight="false" outlineLevel="0" collapsed="false">
      <c r="A38" s="0" t="s">
        <v>587</v>
      </c>
      <c r="B38" s="0" t="s">
        <v>588</v>
      </c>
      <c r="C38" s="0" t="s">
        <v>589</v>
      </c>
    </row>
    <row r="39" customFormat="false" ht="15" hidden="false" customHeight="false" outlineLevel="0" collapsed="false">
      <c r="A39" s="0" t="s">
        <v>590</v>
      </c>
      <c r="B39" s="0" t="s">
        <v>591</v>
      </c>
      <c r="C39" s="0" t="s">
        <v>592</v>
      </c>
    </row>
    <row r="40" customFormat="false" ht="15" hidden="false" customHeight="false" outlineLevel="0" collapsed="false">
      <c r="A40" s="0" t="s">
        <v>593</v>
      </c>
      <c r="B40" s="0" t="s">
        <v>594</v>
      </c>
      <c r="C40" s="0" t="s">
        <v>595</v>
      </c>
    </row>
    <row r="41" customFormat="false" ht="15" hidden="false" customHeight="false" outlineLevel="0" collapsed="false">
      <c r="A41" s="0" t="s">
        <v>596</v>
      </c>
      <c r="B41" s="0" t="s">
        <v>597</v>
      </c>
      <c r="C41" s="0" t="s">
        <v>598</v>
      </c>
    </row>
    <row r="42" customFormat="false" ht="15" hidden="false" customHeight="false" outlineLevel="0" collapsed="false">
      <c r="A42" s="0" t="s">
        <v>599</v>
      </c>
      <c r="B42" s="0" t="s">
        <v>600</v>
      </c>
      <c r="C42" s="0" t="s">
        <v>601</v>
      </c>
    </row>
    <row r="43" customFormat="false" ht="15" hidden="false" customHeight="false" outlineLevel="0" collapsed="false">
      <c r="A43" s="0" t="s">
        <v>602</v>
      </c>
      <c r="B43" s="0" t="s">
        <v>603</v>
      </c>
      <c r="C43" s="0" t="s">
        <v>604</v>
      </c>
    </row>
    <row r="44" customFormat="false" ht="15" hidden="false" customHeight="false" outlineLevel="0" collapsed="false">
      <c r="A44" s="0" t="s">
        <v>605</v>
      </c>
      <c r="B44" s="0" t="s">
        <v>606</v>
      </c>
      <c r="C44" s="0" t="s">
        <v>607</v>
      </c>
    </row>
    <row r="45" customFormat="false" ht="15" hidden="false" customHeight="false" outlineLevel="0" collapsed="false">
      <c r="A45" s="0" t="s">
        <v>608</v>
      </c>
      <c r="B45" s="0" t="s">
        <v>609</v>
      </c>
      <c r="C45" s="0" t="s">
        <v>610</v>
      </c>
    </row>
    <row r="46" customFormat="false" ht="15" hidden="false" customHeight="false" outlineLevel="0" collapsed="false">
      <c r="A46" s="0" t="s">
        <v>611</v>
      </c>
      <c r="B46" s="0" t="s">
        <v>612</v>
      </c>
      <c r="C46" s="0" t="s">
        <v>613</v>
      </c>
    </row>
    <row r="47" customFormat="false" ht="15" hidden="false" customHeight="false" outlineLevel="0" collapsed="false">
      <c r="A47" s="0" t="s">
        <v>614</v>
      </c>
      <c r="B47" s="0" t="s">
        <v>615</v>
      </c>
      <c r="C47" s="0" t="s">
        <v>616</v>
      </c>
    </row>
    <row r="48" customFormat="false" ht="15" hidden="false" customHeight="false" outlineLevel="0" collapsed="false">
      <c r="A48" s="0" t="s">
        <v>617</v>
      </c>
      <c r="B48" s="0" t="s">
        <v>618</v>
      </c>
      <c r="C48" s="0" t="s">
        <v>619</v>
      </c>
    </row>
    <row r="49" customFormat="false" ht="15" hidden="false" customHeight="false" outlineLevel="0" collapsed="false">
      <c r="A49" s="0" t="s">
        <v>620</v>
      </c>
      <c r="B49" s="0" t="s">
        <v>621</v>
      </c>
      <c r="C49" s="0" t="s">
        <v>622</v>
      </c>
    </row>
    <row r="50" customFormat="false" ht="15" hidden="false" customHeight="false" outlineLevel="0" collapsed="false">
      <c r="A50" s="0" t="s">
        <v>623</v>
      </c>
      <c r="B50" s="0" t="s">
        <v>624</v>
      </c>
      <c r="C50" s="0" t="s">
        <v>625</v>
      </c>
    </row>
    <row r="51" customFormat="false" ht="15" hidden="false" customHeight="false" outlineLevel="0" collapsed="false">
      <c r="A51" s="0" t="s">
        <v>626</v>
      </c>
      <c r="B51" s="0" t="s">
        <v>627</v>
      </c>
      <c r="C51" s="0" t="s">
        <v>628</v>
      </c>
    </row>
    <row r="52" customFormat="false" ht="15" hidden="false" customHeight="false" outlineLevel="0" collapsed="false">
      <c r="A52" s="0" t="s">
        <v>629</v>
      </c>
      <c r="B52" s="0" t="s">
        <v>630</v>
      </c>
      <c r="C52" s="0" t="s">
        <v>631</v>
      </c>
    </row>
    <row r="53" customFormat="false" ht="15" hidden="false" customHeight="false" outlineLevel="0" collapsed="false">
      <c r="A53" s="0" t="s">
        <v>632</v>
      </c>
      <c r="B53" s="0" t="s">
        <v>633</v>
      </c>
      <c r="C53" s="0" t="s">
        <v>634</v>
      </c>
    </row>
    <row r="54" customFormat="false" ht="15" hidden="false" customHeight="false" outlineLevel="0" collapsed="false">
      <c r="A54" s="0" t="s">
        <v>635</v>
      </c>
      <c r="B54" s="0" t="s">
        <v>636</v>
      </c>
      <c r="C54" s="0" t="s">
        <v>637</v>
      </c>
    </row>
    <row r="55" customFormat="false" ht="15" hidden="false" customHeight="false" outlineLevel="0" collapsed="false">
      <c r="A55" s="0" t="s">
        <v>638</v>
      </c>
      <c r="B55" s="0" t="s">
        <v>639</v>
      </c>
      <c r="C55" s="0" t="s">
        <v>640</v>
      </c>
    </row>
    <row r="56" customFormat="false" ht="15" hidden="false" customHeight="false" outlineLevel="0" collapsed="false">
      <c r="A56" s="0" t="s">
        <v>641</v>
      </c>
      <c r="B56" s="0" t="s">
        <v>642</v>
      </c>
      <c r="C56" s="0" t="s">
        <v>643</v>
      </c>
    </row>
    <row r="57" customFormat="false" ht="15" hidden="false" customHeight="false" outlineLevel="0" collapsed="false">
      <c r="A57" s="0" t="s">
        <v>644</v>
      </c>
      <c r="B57" s="0" t="s">
        <v>645</v>
      </c>
      <c r="C57" s="0" t="s">
        <v>646</v>
      </c>
    </row>
    <row r="58" customFormat="false" ht="15" hidden="false" customHeight="false" outlineLevel="0" collapsed="false">
      <c r="A58" s="0" t="s">
        <v>647</v>
      </c>
      <c r="B58" s="0" t="s">
        <v>648</v>
      </c>
      <c r="C58" s="0" t="s">
        <v>649</v>
      </c>
    </row>
    <row r="59" customFormat="false" ht="15" hidden="false" customHeight="false" outlineLevel="0" collapsed="false">
      <c r="A59" s="0" t="s">
        <v>650</v>
      </c>
      <c r="B59" s="0" t="s">
        <v>651</v>
      </c>
      <c r="C59" s="0" t="s">
        <v>652</v>
      </c>
    </row>
    <row r="60" customFormat="false" ht="15" hidden="false" customHeight="false" outlineLevel="0" collapsed="false">
      <c r="A60" s="0" t="s">
        <v>653</v>
      </c>
      <c r="B60" s="0" t="s">
        <v>654</v>
      </c>
      <c r="C60" s="0" t="s">
        <v>655</v>
      </c>
    </row>
    <row r="61" customFormat="false" ht="15" hidden="false" customHeight="false" outlineLevel="0" collapsed="false">
      <c r="A61" s="0" t="s">
        <v>656</v>
      </c>
      <c r="B61" s="0" t="s">
        <v>657</v>
      </c>
      <c r="C61" s="0" t="s">
        <v>658</v>
      </c>
    </row>
    <row r="62" customFormat="false" ht="15" hidden="false" customHeight="false" outlineLevel="0" collapsed="false">
      <c r="A62" s="0" t="s">
        <v>659</v>
      </c>
      <c r="B62" s="0" t="s">
        <v>660</v>
      </c>
      <c r="C62" s="0" t="s">
        <v>661</v>
      </c>
    </row>
    <row r="63" customFormat="false" ht="15" hidden="false" customHeight="false" outlineLevel="0" collapsed="false">
      <c r="A63" s="0" t="s">
        <v>662</v>
      </c>
      <c r="B63" s="0" t="s">
        <v>663</v>
      </c>
      <c r="C63" s="0" t="s">
        <v>664</v>
      </c>
    </row>
    <row r="64" customFormat="false" ht="15" hidden="false" customHeight="false" outlineLevel="0" collapsed="false">
      <c r="A64" s="0" t="s">
        <v>665</v>
      </c>
      <c r="B64" s="0" t="s">
        <v>666</v>
      </c>
      <c r="C64" s="0" t="s">
        <v>667</v>
      </c>
    </row>
    <row r="65" customFormat="false" ht="15" hidden="false" customHeight="false" outlineLevel="0" collapsed="false">
      <c r="A65" s="0" t="s">
        <v>668</v>
      </c>
      <c r="B65" s="0" t="s">
        <v>669</v>
      </c>
      <c r="C65" s="0" t="s">
        <v>670</v>
      </c>
    </row>
    <row r="66" customFormat="false" ht="15" hidden="false" customHeight="false" outlineLevel="0" collapsed="false">
      <c r="A66" s="0" t="s">
        <v>671</v>
      </c>
      <c r="B66" s="0" t="s">
        <v>672</v>
      </c>
      <c r="C66" s="0" t="s">
        <v>673</v>
      </c>
    </row>
    <row r="67" customFormat="false" ht="15" hidden="false" customHeight="false" outlineLevel="0" collapsed="false">
      <c r="A67" s="0" t="s">
        <v>674</v>
      </c>
      <c r="B67" s="0" t="s">
        <v>675</v>
      </c>
      <c r="C67" s="0" t="s">
        <v>676</v>
      </c>
    </row>
    <row r="68" customFormat="false" ht="15" hidden="false" customHeight="false" outlineLevel="0" collapsed="false">
      <c r="A68" s="0" t="s">
        <v>677</v>
      </c>
      <c r="B68" s="0" t="s">
        <v>678</v>
      </c>
      <c r="C68" s="0" t="s">
        <v>679</v>
      </c>
    </row>
    <row r="69" customFormat="false" ht="15" hidden="false" customHeight="false" outlineLevel="0" collapsed="false">
      <c r="A69" s="0" t="s">
        <v>680</v>
      </c>
      <c r="B69" s="0" t="s">
        <v>681</v>
      </c>
      <c r="C69" s="0" t="s">
        <v>682</v>
      </c>
    </row>
    <row r="70" customFormat="false" ht="15" hidden="false" customHeight="false" outlineLevel="0" collapsed="false">
      <c r="A70" s="0" t="s">
        <v>683</v>
      </c>
      <c r="B70" s="0" t="s">
        <v>684</v>
      </c>
      <c r="C70" s="0" t="s">
        <v>685</v>
      </c>
    </row>
    <row r="71" customFormat="false" ht="15" hidden="false" customHeight="false" outlineLevel="0" collapsed="false">
      <c r="A71" s="0" t="s">
        <v>686</v>
      </c>
      <c r="B71" s="0" t="s">
        <v>687</v>
      </c>
      <c r="C71" s="0" t="s">
        <v>688</v>
      </c>
    </row>
    <row r="72" customFormat="false" ht="15" hidden="false" customHeight="false" outlineLevel="0" collapsed="false">
      <c r="A72" s="0" t="s">
        <v>689</v>
      </c>
      <c r="B72" s="0" t="s">
        <v>690</v>
      </c>
      <c r="C72" s="0" t="s">
        <v>691</v>
      </c>
    </row>
    <row r="73" customFormat="false" ht="15" hidden="false" customHeight="false" outlineLevel="0" collapsed="false">
      <c r="A73" s="0" t="s">
        <v>692</v>
      </c>
      <c r="B73" s="0" t="s">
        <v>693</v>
      </c>
      <c r="C73" s="0" t="s">
        <v>694</v>
      </c>
    </row>
    <row r="74" customFormat="false" ht="15" hidden="false" customHeight="false" outlineLevel="0" collapsed="false">
      <c r="A74" s="0" t="s">
        <v>695</v>
      </c>
      <c r="B74" s="0" t="s">
        <v>696</v>
      </c>
      <c r="C74" s="0" t="s">
        <v>697</v>
      </c>
    </row>
    <row r="75" customFormat="false" ht="15" hidden="false" customHeight="false" outlineLevel="0" collapsed="false">
      <c r="A75" s="0" t="s">
        <v>698</v>
      </c>
      <c r="B75" s="0" t="s">
        <v>699</v>
      </c>
      <c r="C75" s="0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0" t="s">
        <v>701</v>
      </c>
      <c r="B1" s="0" t="s">
        <v>702</v>
      </c>
      <c r="C1" s="0" t="s">
        <v>703</v>
      </c>
      <c r="D1" s="0" t="s">
        <v>704</v>
      </c>
    </row>
    <row r="2" customFormat="false" ht="15" hidden="false" customHeight="false" outlineLevel="0" collapsed="false">
      <c r="A2" s="0" t="n">
        <v>1</v>
      </c>
      <c r="B2" s="0" t="s">
        <v>705</v>
      </c>
      <c r="C2" s="0" t="s">
        <v>706</v>
      </c>
      <c r="D2" s="0" t="s">
        <v>707</v>
      </c>
    </row>
    <row r="3" customFormat="false" ht="15" hidden="false" customHeight="false" outlineLevel="0" collapsed="false">
      <c r="A3" s="0" t="n">
        <v>2</v>
      </c>
      <c r="B3" s="0" t="s">
        <v>708</v>
      </c>
      <c r="C3" s="0" t="s">
        <v>706</v>
      </c>
      <c r="D3" s="0" t="s">
        <v>707</v>
      </c>
    </row>
    <row r="4" customFormat="false" ht="15" hidden="false" customHeight="false" outlineLevel="0" collapsed="false">
      <c r="A4" s="0" t="n">
        <v>3</v>
      </c>
      <c r="B4" s="0" t="s">
        <v>709</v>
      </c>
      <c r="C4" s="0" t="s">
        <v>706</v>
      </c>
      <c r="D4" s="0" t="s">
        <v>707</v>
      </c>
    </row>
    <row r="5" customFormat="false" ht="15" hidden="false" customHeight="false" outlineLevel="0" collapsed="false">
      <c r="A5" s="0" t="n">
        <v>4</v>
      </c>
      <c r="B5" s="0" t="s">
        <v>710</v>
      </c>
      <c r="C5" s="0" t="s">
        <v>706</v>
      </c>
      <c r="D5" s="0" t="s">
        <v>707</v>
      </c>
    </row>
    <row r="6" customFormat="false" ht="15" hidden="false" customHeight="false" outlineLevel="0" collapsed="false">
      <c r="A6" s="0" t="n">
        <v>5</v>
      </c>
      <c r="B6" s="0" t="s">
        <v>711</v>
      </c>
      <c r="C6" s="0" t="s">
        <v>706</v>
      </c>
      <c r="D6" s="0" t="s">
        <v>707</v>
      </c>
    </row>
    <row r="7" customFormat="false" ht="15" hidden="false" customHeight="false" outlineLevel="0" collapsed="false">
      <c r="A7" s="0" t="n">
        <v>6</v>
      </c>
      <c r="B7" s="0" t="s">
        <v>712</v>
      </c>
      <c r="C7" s="0" t="s">
        <v>706</v>
      </c>
      <c r="D7" s="0" t="s">
        <v>707</v>
      </c>
    </row>
    <row r="8" customFormat="false" ht="15" hidden="false" customHeight="false" outlineLevel="0" collapsed="false">
      <c r="A8" s="0" t="n">
        <v>7</v>
      </c>
      <c r="B8" s="0" t="s">
        <v>713</v>
      </c>
      <c r="C8" s="0" t="s">
        <v>706</v>
      </c>
      <c r="D8" s="0" t="s">
        <v>707</v>
      </c>
    </row>
    <row r="9" customFormat="false" ht="15" hidden="false" customHeight="false" outlineLevel="0" collapsed="false">
      <c r="A9" s="0" t="n">
        <v>8</v>
      </c>
      <c r="B9" s="0" t="s">
        <v>714</v>
      </c>
      <c r="C9" s="0" t="s">
        <v>706</v>
      </c>
      <c r="D9" s="0" t="s">
        <v>707</v>
      </c>
    </row>
    <row r="10" customFormat="false" ht="15" hidden="false" customHeight="false" outlineLevel="0" collapsed="false">
      <c r="A10" s="0" t="n">
        <v>9</v>
      </c>
      <c r="B10" s="0" t="s">
        <v>715</v>
      </c>
      <c r="C10" s="0" t="s">
        <v>706</v>
      </c>
      <c r="D10" s="0" t="s">
        <v>707</v>
      </c>
    </row>
    <row r="11" customFormat="false" ht="15" hidden="false" customHeight="false" outlineLevel="0" collapsed="false">
      <c r="A11" s="0" t="n">
        <v>10</v>
      </c>
      <c r="B11" s="0" t="s">
        <v>716</v>
      </c>
      <c r="C11" s="0" t="s">
        <v>706</v>
      </c>
      <c r="D11" s="0" t="s">
        <v>707</v>
      </c>
    </row>
    <row r="12" customFormat="false" ht="15" hidden="false" customHeight="false" outlineLevel="0" collapsed="false">
      <c r="A12" s="0" t="n">
        <v>11</v>
      </c>
      <c r="B12" s="0" t="s">
        <v>717</v>
      </c>
      <c r="C12" s="0" t="s">
        <v>706</v>
      </c>
      <c r="D12" s="0" t="s">
        <v>707</v>
      </c>
    </row>
    <row r="13" customFormat="false" ht="15" hidden="false" customHeight="false" outlineLevel="0" collapsed="false">
      <c r="A13" s="0" t="n">
        <v>12</v>
      </c>
      <c r="B13" s="0" t="s">
        <v>718</v>
      </c>
      <c r="C13" s="0" t="s">
        <v>706</v>
      </c>
      <c r="D13" s="0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719</v>
      </c>
      <c r="B1" s="0" t="s">
        <v>720</v>
      </c>
      <c r="C1" s="0" t="s">
        <v>58</v>
      </c>
      <c r="D1" s="0" t="s">
        <v>721</v>
      </c>
    </row>
    <row r="2" customFormat="false" ht="15" hidden="false" customHeight="false" outlineLevel="0" collapsed="false">
      <c r="A2" s="0" t="s">
        <v>722</v>
      </c>
      <c r="B2" s="0" t="s">
        <v>722</v>
      </c>
      <c r="C2" s="0" t="s">
        <v>723</v>
      </c>
      <c r="D2" s="0" t="s">
        <v>724</v>
      </c>
    </row>
    <row r="3" customFormat="false" ht="15" hidden="false" customHeight="false" outlineLevel="0" collapsed="false">
      <c r="A3" s="0" t="s">
        <v>725</v>
      </c>
      <c r="B3" s="0" t="s">
        <v>725</v>
      </c>
      <c r="C3" s="0" t="s">
        <v>723</v>
      </c>
      <c r="D3" s="0" t="s">
        <v>726</v>
      </c>
    </row>
    <row r="4" customFormat="false" ht="15" hidden="false" customHeight="false" outlineLevel="0" collapsed="false">
      <c r="A4" s="0" t="s">
        <v>727</v>
      </c>
      <c r="B4" s="0" t="s">
        <v>727</v>
      </c>
      <c r="C4" s="0" t="s">
        <v>723</v>
      </c>
      <c r="D4" s="0" t="s">
        <v>728</v>
      </c>
    </row>
    <row r="5" customFormat="false" ht="15" hidden="false" customHeight="false" outlineLevel="0" collapsed="false">
      <c r="A5" s="0" t="s">
        <v>729</v>
      </c>
      <c r="B5" s="0" t="s">
        <v>729</v>
      </c>
      <c r="C5" s="0" t="s">
        <v>723</v>
      </c>
      <c r="D5" s="0" t="s">
        <v>730</v>
      </c>
    </row>
    <row r="6" customFormat="false" ht="15" hidden="false" customHeight="false" outlineLevel="0" collapsed="false">
      <c r="A6" s="0" t="s">
        <v>731</v>
      </c>
      <c r="B6" s="0" t="s">
        <v>731</v>
      </c>
      <c r="C6" s="0" t="s">
        <v>723</v>
      </c>
      <c r="D6" s="0" t="s">
        <v>732</v>
      </c>
    </row>
    <row r="7" customFormat="false" ht="15" hidden="false" customHeight="false" outlineLevel="0" collapsed="false">
      <c r="A7" s="0" t="s">
        <v>733</v>
      </c>
      <c r="B7" s="0" t="s">
        <v>733</v>
      </c>
      <c r="C7" s="0" t="s">
        <v>723</v>
      </c>
      <c r="D7" s="0" t="s">
        <v>734</v>
      </c>
    </row>
    <row r="8" customFormat="false" ht="15" hidden="false" customHeight="false" outlineLevel="0" collapsed="false">
      <c r="A8" s="0" t="s">
        <v>735</v>
      </c>
      <c r="B8" s="0" t="s">
        <v>735</v>
      </c>
      <c r="C8" s="0" t="s">
        <v>723</v>
      </c>
      <c r="D8" s="0" t="s">
        <v>736</v>
      </c>
    </row>
    <row r="9" customFormat="false" ht="15" hidden="false" customHeight="false" outlineLevel="0" collapsed="false">
      <c r="A9" s="0" t="s">
        <v>737</v>
      </c>
      <c r="B9" s="0" t="s">
        <v>737</v>
      </c>
      <c r="C9" s="0" t="s">
        <v>723</v>
      </c>
      <c r="D9" s="0" t="s">
        <v>738</v>
      </c>
    </row>
    <row r="10" customFormat="false" ht="15" hidden="false" customHeight="false" outlineLevel="0" collapsed="false">
      <c r="A10" s="0" t="s">
        <v>739</v>
      </c>
      <c r="B10" s="0" t="s">
        <v>739</v>
      </c>
      <c r="C10" s="0" t="s">
        <v>723</v>
      </c>
      <c r="D10" s="0" t="s">
        <v>740</v>
      </c>
    </row>
    <row r="11" customFormat="false" ht="15" hidden="false" customHeight="false" outlineLevel="0" collapsed="false">
      <c r="A11" s="0" t="s">
        <v>741</v>
      </c>
      <c r="B11" s="0" t="s">
        <v>741</v>
      </c>
      <c r="C11" s="0" t="s">
        <v>723</v>
      </c>
      <c r="D11" s="0" t="s">
        <v>742</v>
      </c>
    </row>
    <row r="12" customFormat="false" ht="15" hidden="false" customHeight="false" outlineLevel="0" collapsed="false">
      <c r="A12" s="0" t="s">
        <v>743</v>
      </c>
      <c r="B12" s="0" t="s">
        <v>743</v>
      </c>
      <c r="C12" s="0" t="s">
        <v>723</v>
      </c>
      <c r="D12" s="0" t="s">
        <v>744</v>
      </c>
    </row>
    <row r="13" customFormat="false" ht="15" hidden="false" customHeight="false" outlineLevel="0" collapsed="false">
      <c r="A13" s="0" t="s">
        <v>745</v>
      </c>
      <c r="B13" s="0" t="s">
        <v>745</v>
      </c>
      <c r="C13" s="0" t="s">
        <v>723</v>
      </c>
      <c r="D13" s="0" t="s">
        <v>746</v>
      </c>
    </row>
    <row r="14" customFormat="false" ht="15" hidden="false" customHeight="false" outlineLevel="0" collapsed="false">
      <c r="A14" s="0" t="s">
        <v>747</v>
      </c>
      <c r="B14" s="0" t="s">
        <v>747</v>
      </c>
      <c r="C14" s="0" t="s">
        <v>723</v>
      </c>
      <c r="D14" s="0" t="s">
        <v>748</v>
      </c>
    </row>
    <row r="15" customFormat="false" ht="15" hidden="false" customHeight="false" outlineLevel="0" collapsed="false">
      <c r="A15" s="0" t="s">
        <v>749</v>
      </c>
      <c r="B15" s="0" t="s">
        <v>749</v>
      </c>
      <c r="C15" s="0" t="s">
        <v>723</v>
      </c>
      <c r="D15" s="0" t="s">
        <v>750</v>
      </c>
    </row>
    <row r="16" customFormat="false" ht="15" hidden="false" customHeight="false" outlineLevel="0" collapsed="false">
      <c r="A16" s="0" t="s">
        <v>751</v>
      </c>
      <c r="B16" s="0" t="s">
        <v>751</v>
      </c>
      <c r="C16" s="0" t="s">
        <v>723</v>
      </c>
      <c r="D16" s="0" t="s">
        <v>752</v>
      </c>
    </row>
    <row r="17" customFormat="false" ht="15" hidden="false" customHeight="false" outlineLevel="0" collapsed="false">
      <c r="A17" s="0" t="s">
        <v>753</v>
      </c>
      <c r="B17" s="0" t="s">
        <v>753</v>
      </c>
      <c r="C17" s="0" t="s">
        <v>723</v>
      </c>
      <c r="D17" s="0" t="s">
        <v>754</v>
      </c>
    </row>
    <row r="18" customFormat="false" ht="15" hidden="false" customHeight="false" outlineLevel="0" collapsed="false">
      <c r="A18" s="0" t="s">
        <v>755</v>
      </c>
      <c r="B18" s="0" t="s">
        <v>755</v>
      </c>
      <c r="C18" s="0" t="s">
        <v>723</v>
      </c>
      <c r="D18" s="0" t="s">
        <v>756</v>
      </c>
    </row>
    <row r="19" customFormat="false" ht="15" hidden="false" customHeight="false" outlineLevel="0" collapsed="false">
      <c r="A19" s="0" t="s">
        <v>757</v>
      </c>
      <c r="B19" s="0" t="s">
        <v>757</v>
      </c>
      <c r="C19" s="0" t="s">
        <v>723</v>
      </c>
      <c r="D19" s="0" t="s">
        <v>758</v>
      </c>
    </row>
    <row r="20" customFormat="false" ht="15" hidden="false" customHeight="false" outlineLevel="0" collapsed="false">
      <c r="A20" s="0" t="s">
        <v>759</v>
      </c>
      <c r="B20" s="0" t="s">
        <v>759</v>
      </c>
      <c r="C20" s="0" t="s">
        <v>723</v>
      </c>
      <c r="D20" s="0" t="s">
        <v>760</v>
      </c>
    </row>
    <row r="21" customFormat="false" ht="15" hidden="false" customHeight="false" outlineLevel="0" collapsed="false">
      <c r="A21" s="0" t="s">
        <v>761</v>
      </c>
      <c r="B21" s="0" t="s">
        <v>761</v>
      </c>
      <c r="C21" s="0" t="s">
        <v>723</v>
      </c>
      <c r="D21" s="0" t="s">
        <v>762</v>
      </c>
    </row>
    <row r="22" customFormat="false" ht="15" hidden="false" customHeight="false" outlineLevel="0" collapsed="false">
      <c r="A22" s="0" t="s">
        <v>763</v>
      </c>
      <c r="B22" s="0" t="s">
        <v>763</v>
      </c>
      <c r="C22" s="0" t="s">
        <v>764</v>
      </c>
      <c r="D22" s="0" t="s">
        <v>765</v>
      </c>
    </row>
    <row r="23" customFormat="false" ht="15" hidden="false" customHeight="false" outlineLevel="0" collapsed="false">
      <c r="A23" s="0" t="s">
        <v>766</v>
      </c>
      <c r="B23" s="0" t="s">
        <v>766</v>
      </c>
      <c r="C23" s="0" t="s">
        <v>764</v>
      </c>
      <c r="D23" s="0" t="s">
        <v>767</v>
      </c>
    </row>
    <row r="24" customFormat="false" ht="15" hidden="false" customHeight="false" outlineLevel="0" collapsed="false">
      <c r="A24" s="0" t="s">
        <v>768</v>
      </c>
      <c r="B24" s="0" t="s">
        <v>768</v>
      </c>
      <c r="C24" s="0" t="s">
        <v>723</v>
      </c>
      <c r="D24" s="0" t="s">
        <v>769</v>
      </c>
    </row>
    <row r="25" customFormat="false" ht="15" hidden="false" customHeight="false" outlineLevel="0" collapsed="false">
      <c r="A25" s="0" t="s">
        <v>770</v>
      </c>
      <c r="B25" s="0" t="s">
        <v>770</v>
      </c>
      <c r="C25" s="0" t="s">
        <v>723</v>
      </c>
      <c r="D25" s="0" t="s">
        <v>771</v>
      </c>
    </row>
    <row r="26" customFormat="false" ht="15" hidden="false" customHeight="false" outlineLevel="0" collapsed="false">
      <c r="A26" s="0" t="s">
        <v>772</v>
      </c>
      <c r="B26" s="0" t="s">
        <v>773</v>
      </c>
      <c r="C26" s="0" t="s">
        <v>764</v>
      </c>
      <c r="D26" s="0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2026-10-17T16:07:34Z</dcterms:created>
  <dc:creator>openpyxl</dc:creator>
  <dc:description/>
  <dc:language>en-US</dc:language>
  <cp:lastModifiedBy/>
  <dcterms:modified xsi:type="dcterms:W3CDTF">2026-10-17T16:07:34Z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