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<sst xmlns="http://schemas.openxmlformats.org/spreadsheetml/2006/main" count="915" uniqueCount="594">
  <si>
    <t xml:space="preserve">Bank of America - Broomfield, CO (CO1-111) - PRUEBA 16B v67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</si>
  <si>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</si>
  <si>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</si>
  <si>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</si>
  <si>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</si>
  <si>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</si>
  <si>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</si>
  <si>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</si>
  <si>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</si>
  <si>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</si>
  <si>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</si>
  <si>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</si>
  <si>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</si>
  <si>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</si>
  <si>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</si>
  <si>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 - PRUEBA 16B v67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</si>
  <si>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</si>
  <si>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</si>
  <si>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</si>
  <si>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</si>
  <si>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</si>
  <si>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</si>
  <si>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</si>
  <si>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</si>
  <si>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</si>
  <si>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</si>
  <si>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</si>
  <si>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</si>
  <si>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</t>
  </si>
  <si>
    <t xml:space="preserve">G  #G-01  -  ATM ROOM 102 / OFFICE 109</t>
  </si>
  <si>
    <t xml:space="preserve">G-01</t>
  </si>
  <si>
    <t xml:space="preserve">1-5/8"</t>
  </si>
  <si>
    <t xml:space="preserve">ATM ROOM 102 / OFFICE 109</t>
  </si>
  <si>
    <t xml:space="preserve">5/A12.01</t>
  </si>
  <si>
    <t xml:space="preserve">[CONFIRMADO]</t>
  </si>
  <si>
    <t xml:space="preserve">G  #G-02  -  OFFICE 109 / OFFICE 110</t>
  </si>
  <si>
    <t xml:space="preserve">G-02</t>
  </si>
  <si>
    <t xml:space="preserve">OFFICE 109 / OFFICE 110</t>
  </si>
  <si>
    <t xml:space="preserve">G  #G-03  -  OFFICE 110 / WOMEN 114</t>
  </si>
  <si>
    <t xml:space="preserve">G-03</t>
  </si>
  <si>
    <t xml:space="preserve">OFFICE 110 / WOMEN 114</t>
  </si>
  <si>
    <t xml:space="preserve">G  #G-04  -  OFFICE 106 / OFFICE 107</t>
  </si>
  <si>
    <t xml:space="preserve">G-04</t>
  </si>
  <si>
    <t xml:space="preserve">OFFICE 106 / OFFICE 107</t>
  </si>
  <si>
    <t xml:space="preserve">G  #G-05  -  OFFICE 107 / OFFICE 108</t>
  </si>
  <si>
    <t xml:space="preserve">G-05</t>
  </si>
  <si>
    <t xml:space="preserve">OFFICE 107 / OFFICE 108</t>
  </si>
  <si>
    <t xml:space="preserve">G  #G-06  -  OFFICE 108 / CASH WINDOW 116</t>
  </si>
  <si>
    <t xml:space="preserve">G-06</t>
  </si>
  <si>
    <t xml:space="preserve">OFFICE 108 / CASH WINDOW 116</t>
  </si>
  <si>
    <t xml:space="preserve">[DERIVADO]</t>
  </si>
  <si>
    <t xml:space="preserve">G  #G-07  -  OFFICE 105 / CENTRAL ZONE 103</t>
  </si>
  <si>
    <t xml:space="preserve">G-07</t>
  </si>
  <si>
    <t xml:space="preserve">OFFICE 105 / CENTRAL ZONE 103</t>
  </si>
  <si>
    <t xml:space="preserve">G  #G-08  -  OFFICE 106 / CENTRAL ZONE 103</t>
  </si>
  <si>
    <t xml:space="preserve">G-08</t>
  </si>
  <si>
    <t xml:space="preserve">OFFICE 106 / CENTRAL ZONE 103</t>
  </si>
  <si>
    <t xml:space="preserve">G  #G-09  -  OFFICE 107 / CENTRAL ZONE 103</t>
  </si>
  <si>
    <t xml:space="preserve">G-09</t>
  </si>
  <si>
    <t xml:space="preserve">OFFICE 107 / CENTRAL ZONE 103</t>
  </si>
  <si>
    <t xml:space="preserve">G  #G-10  -  OFFICE 108 / CENTRAL ZONE 103</t>
  </si>
  <si>
    <t xml:space="preserve">G-10</t>
  </si>
  <si>
    <t xml:space="preserve">OFFICE 108 / CENTRAL ZONE 103</t>
  </si>
  <si>
    <t xml:space="preserve">TYPE G1</t>
  </si>
  <si>
    <t xml:space="preserve">G1  #G1-01  -  OFFICE 105 / OFFICE 106</t>
  </si>
  <si>
    <t xml:space="preserve">G1-01</t>
  </si>
  <si>
    <t xml:space="preserve">OFFICE 105 / OFFICE 106</t>
  </si>
  <si>
    <t xml:space="preserve">G1  #G1-02  -  OFFICE 109 / CENTRAL ZONE 103</t>
  </si>
  <si>
    <t xml:space="preserve">G1-02</t>
  </si>
  <si>
    <t xml:space="preserve">OFFICE 109 / CENTRAL ZONE 103</t>
  </si>
  <si>
    <t xml:space="preserve">G1  #G1-03  -  OFFICE 110 / CENTRAL ZONE 103</t>
  </si>
  <si>
    <t xml:space="preserve">G1-03</t>
  </si>
  <si>
    <t xml:space="preserve">OFFICE 110 / CENTRAL ZONE 103</t>
  </si>
  <si>
    <t xml:space="preserve">TYPE BULKHEAD-G</t>
  </si>
  <si>
    <t xml:space="preserve">BULKHEAD-G  #BH-105+BH-106+BH-107+BH-108  -  OFFICE 105 / CENTRAL ZONE 103 + OFFICE 106 / CENTRAL ZONE 103 + OFFICE 107 / CENTRAL ZONE 103 + OFFICE 108 / CENTRAL ZONE 103</t>
  </si>
  <si>
    <t xml:space="preserve">BH-105+BH-106+BH-107+BH-108</t>
  </si>
  <si>
    <t xml:space="preserve">OFFICE 105 / CENTRAL ZONE 103 + OFFICE 106 / CENTRAL ZONE 103 + OFFICE 107 / CENTRAL ZONE 103 + OFFICE 108 / CENTRAL ZONE 103</t>
  </si>
  <si>
    <t xml:space="preserve">8/A12.01</t>
  </si>
  <si>
    <t xml:space="preserve">BULKHEAD-G  #BH-109+BH-110  -  OFFICE 109 / CENTRAL ZONE 103 + OFFICE 110 / CENTRAL ZONE 103</t>
  </si>
  <si>
    <t xml:space="preserve">BH-109+BH-110</t>
  </si>
  <si>
    <t xml:space="preserve">OFFICE 109 / CENTRAL ZONE 103 + OFFICE 110 / CENTRAL ZONE 103</t>
  </si>
  <si>
    <t xml:space="preserve">TYPE A1</t>
  </si>
  <si>
    <t xml:space="preserve">A1  #A1-01  -  WAITING 104 (ACT-4 11'-6") / CALLING CUBES 122 (ACT-5 8'-6")</t>
  </si>
  <si>
    <t xml:space="preserve">A1-01</t>
  </si>
  <si>
    <t xml:space="preserve">3-5/8"</t>
  </si>
  <si>
    <t xml:space="preserve">WAITING 104 (ACT-4 11'-6") / CALLING CUBES 122 (ACT-5 8'-6")</t>
  </si>
  <si>
    <t xml:space="preserve">3/A12.01</t>
  </si>
  <si>
    <t xml:space="preserve">A1  #A1-02  -  MW01 ALCOVE (ACT-4 11'-6") / CALLING CUBES 122</t>
  </si>
  <si>
    <t xml:space="preserve">A1-02</t>
  </si>
  <si>
    <t xml:space="preserve">MW01 ALCOVE (ACT-4 11'-6") / CALLING CUBES 122</t>
  </si>
  <si>
    <t xml:space="preserve">A1  #A1-03  -  MW01 ALCOVE / CALLING CUBES 122</t>
  </si>
  <si>
    <t xml:space="preserve">A1-03</t>
  </si>
  <si>
    <t xml:space="preserve">MW01 ALCOVE / CALLING CUBES 122</t>
  </si>
  <si>
    <t xml:space="preserve">A1  #A1-04  -  CALLING CUBES 122 / BREAK ROOM 118 (ACT-5 8'-6")</t>
  </si>
  <si>
    <t xml:space="preserve">A1-04</t>
  </si>
  <si>
    <t xml:space="preserve">CALLING CUBES 122 / BREAK ROOM 118 (ACT-5 8'-6")</t>
  </si>
  <si>
    <t xml:space="preserve">A1  #A1-05  -  CORRIDOR 111 (ACT-4 8'-6") / BREAK/ELECTRICAL/NER (120,121 OPEN TO STRUCTURE, A04.01 kn 1)</t>
  </si>
  <si>
    <t xml:space="preserve">A1-05</t>
  </si>
  <si>
    <t xml:space="preserve">CORRIDOR 111 (ACT-4 8'-6") / BREAK/ELECTRICAL/NER (120,121 OPEN TO STRUCTURE, A04.01 kn 1)</t>
  </si>
  <si>
    <t xml:space="preserve">A1  #A1-06  -  BREAK ROOM 118 / 118A VESTIBULE (ACT-4 9'-0")</t>
  </si>
  <si>
    <t xml:space="preserve">A1-06</t>
  </si>
  <si>
    <t xml:space="preserve">BREAK ROOM 118 / 118A VESTIBULE (ACT-4 9'-0")</t>
  </si>
  <si>
    <t xml:space="preserve">A1  #A1-07  -  BREAK ROOM 118 / 118A</t>
  </si>
  <si>
    <t xml:space="preserve">A1-07</t>
  </si>
  <si>
    <t xml:space="preserve">BREAK ROOM 118 / 118A</t>
  </si>
  <si>
    <t xml:space="preserve">A1  #A1-08  -  CASH WINDOW 116 (ACT-4 9'-0") / WORK ROOM 119 (ACT-5 8'-6")</t>
  </si>
  <si>
    <t xml:space="preserve">A1-08</t>
  </si>
  <si>
    <t xml:space="preserve">CASH WINDOW 116 (ACT-4 9'-0") / WORK ROOM 119 (ACT-5 8'-6")</t>
  </si>
  <si>
    <t xml:space="preserve">A1  #A1-09  -  CORRIDOR 111 / CENTRAL ZONE 103 (ACT-4 11'-6")</t>
  </si>
  <si>
    <t xml:space="preserve">A1-09</t>
  </si>
  <si>
    <t xml:space="preserve">CORRIDOR 111 / CENTRAL ZONE 103 (ACT-4 11'-6")</t>
  </si>
  <si>
    <t xml:space="preserve">TYPE A5</t>
  </si>
  <si>
    <t xml:space="preserve">A5  #A5-01  -  CENTRAL ZONE / CORRIDOR (ACT-4 11'-6") / CALLING CUBES 122</t>
  </si>
  <si>
    <t xml:space="preserve">A5-01</t>
  </si>
  <si>
    <t xml:space="preserve">6"</t>
  </si>
  <si>
    <t xml:space="preserve">CENTRAL ZONE / CORRIDOR (ACT-4 11'-6") / CALLING CUBES 122</t>
  </si>
  <si>
    <t xml:space="preserve">A5  #A5-02  -  CALLING CUBES 122 / CENTRAL ZONE 103 (ACT-4 11'-6")</t>
  </si>
  <si>
    <t xml:space="preserve">A5-02</t>
  </si>
  <si>
    <t xml:space="preserve">CALLING CUBES 122 / CENTRAL ZONE 103 (ACT-4 11'-6")</t>
  </si>
  <si>
    <t xml:space="preserve">A5  #A5-03  -  BREAK ROOM 118 / CASH WINDOW 116 / FCAM</t>
  </si>
  <si>
    <t xml:space="preserve">A5-03</t>
  </si>
  <si>
    <t xml:space="preserve">BREAK ROOM 118 / CASH WINDOW 116 / FCAM</t>
  </si>
  <si>
    <t xml:space="preserve">TYPE B</t>
  </si>
  <si>
    <t xml:space="preserve">B  #B-01  -  ELECTRICAL 120 / BREAK ROOM 118 / 118B</t>
  </si>
  <si>
    <t xml:space="preserve">B-01</t>
  </si>
  <si>
    <t xml:space="preserve">ELECTRICAL 120 / BREAK ROOM 118 / 118B</t>
  </si>
  <si>
    <t xml:space="preserve">1/A12.01</t>
  </si>
  <si>
    <t xml:space="preserve">B  #B-02  -  ELECTRICAL 120 / NER 121</t>
  </si>
  <si>
    <t xml:space="preserve">B-02</t>
  </si>
  <si>
    <t xml:space="preserve">ELECTRICAL 120 / NER 121</t>
  </si>
  <si>
    <t xml:space="preserve">B  #B-03  -  ELECTRICAL/NER / BREAK ROOM 118</t>
  </si>
  <si>
    <t xml:space="preserve">B-03</t>
  </si>
  <si>
    <t xml:space="preserve">ELECTRICAL/NER / BREAK ROOM 118</t>
  </si>
  <si>
    <t xml:space="preserve">B  #B-04  -  JANITOR 112 / STORAGE 117 (OPEN) / WELLNESS 115</t>
  </si>
  <si>
    <t xml:space="preserve">B-04</t>
  </si>
  <si>
    <t xml:space="preserve">JANITOR 112 / STORAGE 117 (OPEN) / WELLNESS 115</t>
  </si>
  <si>
    <t xml:space="preserve">B  #B-05  -  JANITOR 112 / STORAGE 117</t>
  </si>
  <si>
    <t xml:space="preserve">B-05</t>
  </si>
  <si>
    <t xml:space="preserve">JANITOR 112 / STORAGE 117</t>
  </si>
  <si>
    <t xml:space="preserve">B  #B-06  -  MEN 113 (GB 8'-6") / JANITOR 112 / STORAGE 117</t>
  </si>
  <si>
    <t xml:space="preserve">B-06</t>
  </si>
  <si>
    <t xml:space="preserve">MEN 113 (GB 8'-6") / JANITOR 112 / STORAGE 117</t>
  </si>
  <si>
    <t xml:space="preserve">TYPE B2</t>
  </si>
  <si>
    <t xml:space="preserve">B2  #B2-01  -  RESTROOMS / JANITOR / WELLNESS / CORRIDOR 111</t>
  </si>
  <si>
    <t xml:space="preserve">B2-01</t>
  </si>
  <si>
    <t xml:space="preserve">RESTROOMS / JANITOR / WELLNESS / CORRIDOR 111</t>
  </si>
  <si>
    <t xml:space="preserve">B2  #B2-02  -  ATM ROOM 102 / CENTRAL ZONE 103</t>
  </si>
  <si>
    <t xml:space="preserve">B2-02</t>
  </si>
  <si>
    <t xml:space="preserve">ATM ROOM 102 / CENTRAL ZONE 103</t>
  </si>
  <si>
    <t xml:space="preserve">B2  #B2-03  -  BREAK ROOM 118 / WORK ROOM 119</t>
  </si>
  <si>
    <t xml:space="preserve">B2-03</t>
  </si>
  <si>
    <t xml:space="preserve">BREAK ROOM 118 / WORK ROOM 119</t>
  </si>
  <si>
    <t xml:space="preserve">TYPE A1K</t>
  </si>
  <si>
    <t xml:space="preserve">A1K  #A1K-01  -  TELLER (CASH WINDOW 116) / CUSTOMER (CENTRAL ZONE / FCAM)</t>
  </si>
  <si>
    <t xml:space="preserve">A1K-01</t>
  </si>
  <si>
    <t xml:space="preserve">TELLER (CASH WINDOW 116) / CUSTOMER (CENTRAL ZONE / FCAM)</t>
  </si>
  <si>
    <t xml:space="preserve">4/A12.01</t>
  </si>
  <si>
    <t xml:space="preserve">A1K  #A1K-02  -  TELLER (CASH WINDOW 116) / CUSTOMER (CENTRAL ZONE / FCAM)</t>
  </si>
  <si>
    <t xml:space="preserve">A1K-02</t>
  </si>
  <si>
    <t xml:space="preserve">A1K  #A1K-03  -  TELLER (CASH WINDOW 116) / CUSTOMER (CENTRAL ZONE / FCAM)</t>
  </si>
  <si>
    <t xml:space="preserve">A1K-03</t>
  </si>
  <si>
    <t xml:space="preserve">TYPE B2K</t>
  </si>
  <si>
    <t xml:space="preserve">B2K  #B2K-01  -  TELLER (CASH WINDOW 116) / CUSTOMER (CENTRAL ZONE / FCAM)</t>
  </si>
  <si>
    <t xml:space="preserve">B2K-01</t>
  </si>
  <si>
    <t xml:space="preserve">TYPE F</t>
  </si>
  <si>
    <t xml:space="preserve">F  #F-01  -  24 HR VESTIBULE 101 (GB 10'-0") / ATM ROOM 102 (ACT-5 8'-6")</t>
  </si>
  <si>
    <t xml:space="preserve">F-01</t>
  </si>
  <si>
    <t xml:space="preserve">24 HR VESTIBULE 101 (GB 10'-0") / ATM ROOM 102 (ACT-5 8'-6")</t>
  </si>
  <si>
    <t xml:space="preserve">12/A12.01</t>
  </si>
  <si>
    <t xml:space="preserve">TYPE C1</t>
  </si>
  <si>
    <t xml:space="preserve">C1  #C1-01  -  WOMEN 114 (lavatory) / MEN 113 (lavatory)</t>
  </si>
  <si>
    <t xml:space="preserve">C1-01</t>
  </si>
  <si>
    <t xml:space="preserve">WOMEN 114 (lavatory) / MEN 113 (lavatory)</t>
  </si>
  <si>
    <t xml:space="preserve">6/A12.01</t>
  </si>
  <si>
    <t xml:space="preserve">C1  #C1-02  -  WAITING 104 (display / backboard kn 6,7 A02.01)</t>
  </si>
  <si>
    <t xml:space="preserve">C1-02</t>
  </si>
  <si>
    <t xml:space="preserve">WAITING 104 (display / backboard kn 6,7 A02.01)</t>
  </si>
  <si>
    <t xml:space="preserve">C1  #C1-03  -  FUTURE FCAM</t>
  </si>
  <si>
    <t xml:space="preserve">C1-03</t>
  </si>
  <si>
    <t xml:space="preserve">FUTURE FCAM</t>
  </si>
  <si>
    <t xml:space="preserve">C1  #CW-1  -  VESTIBULE</t>
  </si>
  <si>
    <t xml:space="preserve">CW-1</t>
  </si>
  <si>
    <t xml:space="preserve">VESTIBULE</t>
  </si>
  <si>
    <t xml:space="preserve">C1  #CW-2  -  VESTIBULE</t>
  </si>
  <si>
    <t xml:space="preserve">CW-2</t>
  </si>
  <si>
    <t xml:space="preserve">C1  #CW-3  -  VESTIBULE</t>
  </si>
  <si>
    <t xml:space="preserve">CW-3</t>
  </si>
  <si>
    <t xml:space="preserve">C1  #CW-4  -  VESTIBULE</t>
  </si>
  <si>
    <t xml:space="preserve">CW-4</t>
  </si>
  <si>
    <t xml:space="preserve">TYPE EXT-6CFMF</t>
  </si>
  <si>
    <t xml:space="preserve">EXT-6CFMF  #EXT-N1  -  OFFICE 105</t>
  </si>
  <si>
    <t xml:space="preserve">EXT-N1</t>
  </si>
  <si>
    <t xml:space="preserve">OFFICE 105</t>
  </si>
  <si>
    <t xml:space="preserve">C/A09.21</t>
  </si>
  <si>
    <t xml:space="preserve">EXT-6CFMF  #EXT-E1+EXT-E2  -  OFFICES 105-108 / CASH WINDOW + CASH WINDOW / WORK ROOM 119</t>
  </si>
  <si>
    <t xml:space="preserve">EXT-E1+EXT-E2</t>
  </si>
  <si>
    <t xml:space="preserve">OFFICES 105-108 / CASH WINDOW + CASH WINDOW / WORK ROOM 119</t>
  </si>
  <si>
    <t xml:space="preserve">EXT-6CFMF  #EXT-S1  -  WELLNESS / CORRIDOR / NER / BREAK / WORK</t>
  </si>
  <si>
    <t xml:space="preserve">EXT-S1</t>
  </si>
  <si>
    <t xml:space="preserve">WELLNESS / CORRIDOR / NER / BREAK / WORK</t>
  </si>
  <si>
    <t xml:space="preserve">EXT-6CFMF  #EXT-W1+EXT-W2  -  OFFICES 109/110 + WOMEN 114 (toilet) / MEN 113 (toilet) / CHASE END / JANITOR / WELLNESS</t>
  </si>
  <si>
    <t xml:space="preserve">EXT-W1+EXT-W2</t>
  </si>
  <si>
    <t xml:space="preserve">OFFICES 109/110 + WOMEN 114 (toilet) / MEN 113 (toilet) / CHASE END / JANITOR / WELLNESS</t>
  </si>
  <si>
    <t xml:space="preserve">EXT-6CFMF  #EXT-W3a  -  VESTIBULE 100</t>
  </si>
  <si>
    <t xml:space="preserve">EXT-W3a</t>
  </si>
  <si>
    <t xml:space="preserve">VESTIBULE 100</t>
  </si>
  <si>
    <t xml:space="preserve">EXT-6CFMF  #EXT-W3  -  VESTIBULE 101 / ATM ROOM 102</t>
  </si>
  <si>
    <t xml:space="preserve">EXT-W3</t>
  </si>
  <si>
    <t xml:space="preserve">VESTIBULE 101 / ATM ROOM 102</t>
  </si>
  <si>
    <t xml:space="preserve">EXT-6CFMF  #EXT-W4  -  OFFICE 109 / ATM ROOM</t>
  </si>
  <si>
    <t xml:space="preserve">EXT-W4</t>
  </si>
  <si>
    <t xml:space="preserve">OFFICE 109 / ATM ROOM</t>
  </si>
  <si>
    <t xml:space="preserve">TYPE CANOPY-COL</t>
  </si>
  <si>
    <t xml:space="preserve">CANOPY-COL  #CC-1  -  CC-1</t>
  </si>
  <si>
    <t xml:space="preserve">CC-1</t>
  </si>
  <si>
    <t xml:space="preserve">5/A09.25</t>
  </si>
  <si>
    <t xml:space="preserve">CANOPY-COL  #CC-2  -  CC-2</t>
  </si>
  <si>
    <t xml:space="preserve">CC-2</t>
  </si>
  <si>
    <t xml:space="preserve">CANOPY-COL  #CC-3  -  CC-3</t>
  </si>
  <si>
    <t xml:space="preserve">CC-3</t>
  </si>
  <si>
    <t xml:space="preserve">CANOPY-COL  #CC-4  -  CC-4</t>
  </si>
  <si>
    <t xml:space="preserve">CC-4</t>
  </si>
  <si>
    <t xml:space="preserve">TYPE EXT-PARAPET</t>
  </si>
  <si>
    <t xml:space="preserve">EXT-PARAPET  #PAR-N1+PAR-N2  -  PAR-N1 + PAR-N2</t>
  </si>
  <si>
    <t xml:space="preserve">PAR-N1+PAR-N2</t>
  </si>
  <si>
    <t xml:space="preserve">6" parapet</t>
  </si>
  <si>
    <t xml:space="preserve">PAR-N1 + PAR-N2</t>
  </si>
  <si>
    <t xml:space="preserve">11/S5.10</t>
  </si>
  <si>
    <t xml:space="preserve">EXT-PARAPET  #PAR-E1+PAR-E2  -  PAR-E1 + PAR-E2</t>
  </si>
  <si>
    <t xml:space="preserve">PAR-E1+PAR-E2</t>
  </si>
  <si>
    <t xml:space="preserve">PAR-E1 + PAR-E2</t>
  </si>
  <si>
    <t xml:space="preserve">EXT-PARAPET  #PAR-S1  -  PAR-S1</t>
  </si>
  <si>
    <t xml:space="preserve">PAR-S1</t>
  </si>
  <si>
    <t xml:space="preserve">EXT-PARAPET  #PAR-W1+PAR-W2+PAR-W3  -  PAR-W1 + PAR-W2 + PAR-W3</t>
  </si>
  <si>
    <t xml:space="preserve">PAR-W1+PAR-W2+PAR-W3</t>
  </si>
  <si>
    <t xml:space="preserve">PAR-W1 + PAR-W2 + PAR-W3</t>
  </si>
  <si>
    <t xml:space="preserve">TOTAL - PARTITIONS</t>
  </si>
  <si>
    <t xml:space="preserve">TYPE OTHER FRAMING (NOT A PARTITION)</t>
  </si>
  <si>
    <t xml:space="preserve">storefront_cripples  #SFC-N1  -  VESTIBULE / CENTRAL ZONE</t>
  </si>
  <si>
    <t xml:space="preserve">SFC-N1</t>
  </si>
  <si>
    <t xml:space="preserve">VESTIBULE / CENTRAL ZONE</t>
  </si>
  <si>
    <t xml:space="preserve">2/A09.26</t>
  </si>
  <si>
    <t xml:space="preserve">storefront_cripples  #SFC-N2  -  VESTIBULE / CENTRAL ZONE</t>
  </si>
  <si>
    <t xml:space="preserve">SFC-N2</t>
  </si>
  <si>
    <t xml:space="preserve">storefront_cripples  #SFC-W1  -  VESTIBULE / CENTRAL ZONE</t>
  </si>
  <si>
    <t xml:space="preserve">SFC-W1</t>
  </si>
  <si>
    <t xml:space="preserve">vestibule_head  #VH-101  -  VESTIBULE 100 / 24 HR VESTIBULE 101</t>
  </si>
  <si>
    <t xml:space="preserve">VH-101</t>
  </si>
  <si>
    <t xml:space="preserve">VESTIBULE 100 / 24 HR VESTIBULE 101</t>
  </si>
  <si>
    <t xml:space="preserve">4/A12.10</t>
  </si>
  <si>
    <t xml:space="preserve">vestibule_head  #VH-100A  -  VESTIBULE 100 / CENTRAL ZONE 103</t>
  </si>
  <si>
    <t xml:space="preserve">VH-100A</t>
  </si>
  <si>
    <t xml:space="preserve">VESTIBULE 100 / CENTRAL ZONE 103</t>
  </si>
  <si>
    <t xml:space="preserve">grille_head  #GH-103  -  GH-103</t>
  </si>
  <si>
    <t xml:space="preserve">GH-103</t>
  </si>
  <si>
    <t xml:space="preserve">2-1/2"</t>
  </si>
  <si>
    <t xml:space="preserve">4/A08.21</t>
  </si>
  <si>
    <t xml:space="preserve">roof_step  #RS-1  -  RS-1</t>
  </si>
  <si>
    <t xml:space="preserve">RS-1</t>
  </si>
  <si>
    <t xml:space="preserve">4/A02.02</t>
  </si>
  <si>
    <t xml:space="preserve">roof_step  #RS-2  -  BELOW ROOF STEP (beam enclosure)</t>
  </si>
  <si>
    <t xml:space="preserve">RS-2</t>
  </si>
  <si>
    <t xml:space="preserve">BELOW ROOF STEP (beam enclosure)</t>
  </si>
  <si>
    <t xml:space="preserve">roof_step  #RS-3  -  BELOW ROOF STEP (beam enclosure)</t>
  </si>
  <si>
    <t xml:space="preserve">RS-3</t>
  </si>
  <si>
    <t xml:space="preserve">fascia_box  #FB-N  -  FB-N</t>
  </si>
  <si>
    <t xml:space="preserve">FB-N</t>
  </si>
  <si>
    <t xml:space="preserve">3-5/8" canopy</t>
  </si>
  <si>
    <t xml:space="preserve">7/A09.26</t>
  </si>
  <si>
    <t xml:space="preserve">fascia_box  #FB-E  -  FB-E</t>
  </si>
  <si>
    <t xml:space="preserve">FB-E</t>
  </si>
  <si>
    <t xml:space="preserve">fascia_box  #FB-W  -  FB-W</t>
  </si>
  <si>
    <t xml:space="preserve">FB-W</t>
  </si>
  <si>
    <t xml:space="preserve">fascia_box  #FB-S  -  FB-S</t>
  </si>
  <si>
    <t xml:space="preserve">FB-S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</si>
  <si>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</si>
  <si>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</si>
  <si>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</si>
  <si>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</si>
  <si>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</si>
  <si>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</si>
  <si>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</si>
  <si>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</si>
  <si>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</si>
  <si>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</si>
  <si>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</si>
  <si>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(exterior) / 600S137-33</t>
  </si>
  <si>
    <t xml:space="preserve">LF</t>
  </si>
  <si>
    <t xml:space="preserve">stick 20 ft</t>
  </si>
  <si>
    <t xml:space="preserve">familias_out.json '6" stud (todos los gauges)'; C/A09.21, 7/S5.20, S1.11 n.5</t>
  </si>
  <si>
    <t xml:space="preserve">6" parapet stud 600S162-54</t>
  </si>
  <si>
    <t xml:space="preserve">familias_out.json '6" parapet stud'; 11/S5.10</t>
  </si>
  <si>
    <t xml:space="preserve">3-5/8" metal stud 362S137-33 (A1K/B2K 14 GA)</t>
  </si>
  <si>
    <t xml:space="preserve">familias_out.json '3-5/8" stud (todos los gauges)'; 3/A12.01, 1/A12.01, 4/A12.01, 6/A12.01, 12/A12.01, 7/A09.26</t>
  </si>
  <si>
    <t xml:space="preserve">1-5/8" metal stud (G / G1 double row)</t>
  </si>
  <si>
    <t xml:space="preserve">familias_out.json '1-5/8" stud'; 5/A12.01, 8/A12.01</t>
  </si>
  <si>
    <t xml:space="preserve">Bottom track 600T125-33 / 362T125-33 / 162T125</t>
  </si>
  <si>
    <t xml:space="preserve">piece 10 ft</t>
  </si>
  <si>
    <t xml:space="preserve">familias_out.json 'bottom track (todos)'; 7/S5.20, 3/S5.20</t>
  </si>
  <si>
    <t xml:space="preserve">Top / deflection slip track 600T200-97 / CONT. SLIP TRACK</t>
  </si>
  <si>
    <t xml:space="preserve">familias_out.json 'top / deflection track (todos)'; 7/S5.20, 3/A12.01, 10/S5.10</t>
  </si>
  <si>
    <t xml:space="preserve">Ceiling / soffit track 362T125</t>
  </si>
  <si>
    <t xml:space="preserve">familias_out.json 'track de ceilings / soffits'; 7/A09.33, 7/A09.26</t>
  </si>
  <si>
    <t xml:space="preserve">Bracing 1-1/2" C.R. channel @ 48" O.C.</t>
  </si>
  <si>
    <t xml:space="preserve">piece 16 ft</t>
  </si>
  <si>
    <t xml:space="preserve">familias_out.json 'bracing C.R. channel'; F/1/S5.20</t>
  </si>
  <si>
    <t xml:space="preserve">Purlin 1x1x1 16GA across min (2) flutes</t>
  </si>
  <si>
    <t xml:space="preserve">familias_out.json 'purlin (track to deck)'; 10/A09.33</t>
  </si>
  <si>
    <t xml:space="preserve">Header / box beam (track, 362CSJ20, box beam)</t>
  </si>
  <si>
    <t xml:space="preserve">piece 20 ft</t>
  </si>
  <si>
    <t xml:space="preserve">familias_out.json 'header / box beam'; 7/S5.20, 9/S5.20, 11/A09.27, 8/A12.01, 4/A08.21</t>
  </si>
  <si>
    <t xml:space="preserve">Sill track</t>
  </si>
  <si>
    <t xml:space="preserve">familias_out.json 'sill track'; 2/S5.20</t>
  </si>
  <si>
    <t xml:space="preserve">Furring channel 7/8" hat</t>
  </si>
  <si>
    <t xml:space="preserve">piece 12 ft</t>
  </si>
  <si>
    <t xml:space="preserve">familias_out.json 'furring channel'; A04.01</t>
  </si>
  <si>
    <t xml:space="preserve">Carrying channel 1-1/2" C.R.</t>
  </si>
  <si>
    <t xml:space="preserve">familias_out.json 'carrying channel'; A04.01</t>
  </si>
  <si>
    <t xml:space="preserve">Hanger wire 12 GA</t>
  </si>
  <si>
    <t xml:space="preserve">familias_out.json 'hanger wire'; 3/A09.33</t>
  </si>
  <si>
    <t xml:space="preserve">5/8" gypsum board regular (walls + ceilings)</t>
  </si>
  <si>
    <t xml:space="preserve">SF</t>
  </si>
  <si>
    <t xml:space="preserve">4x12 sheet</t>
  </si>
  <si>
    <t xml:space="preserve">familias_out.json '5/8" gyp board regular (walls + ceilings)'; A12.01, A04.01</t>
  </si>
  <si>
    <t xml:space="preserve">5/8" gypsum board moisture resistant</t>
  </si>
  <si>
    <t xml:space="preserve">familias_out.json '5/8" gyp MOISTURE RESISTANT'; F/A08.01</t>
  </si>
  <si>
    <t xml:space="preserve">Ballistic panel 3/8" UL752 Level-2 fiberglass</t>
  </si>
  <si>
    <t xml:space="preserve">4x8 sheet</t>
  </si>
  <si>
    <t xml:space="preserve">familias_out.json 'ballistic panel'; 4/A12.01</t>
  </si>
  <si>
    <t xml:space="preserve">3/8" gypsum board</t>
  </si>
  <si>
    <t xml:space="preserve">familias_out.json '3/8" gyp board'; 4/A12.01</t>
  </si>
  <si>
    <t xml:space="preserve">5/8" glass mat sheathing</t>
  </si>
  <si>
    <t xml:space="preserve">familias_out.json '5/8" glass mat sheathing'; 5/A09.26, 7/A09.26</t>
  </si>
  <si>
    <t xml:space="preserve">5/8" exterior gypsum sheathing (parapet)</t>
  </si>
  <si>
    <t xml:space="preserve">familias_out.json '5/8" EXTERIOR gyp sheathing'; A09.21, 4/A09.26</t>
  </si>
  <si>
    <t xml:space="preserve">FRT plywood (nailbase / fascia / soffit / strips)</t>
  </si>
  <si>
    <t xml:space="preserve">familias_out.json 'FRT plywood (SF)'; A09.21, 7/A09.26, 12/A12.01</t>
  </si>
  <si>
    <t xml:space="preserve">FRT blocking</t>
  </si>
  <si>
    <t xml:space="preserve">familias_out.json 'FRT blocking'; 4/A09.26, 8/A12.01, 3/A08.21</t>
  </si>
  <si>
    <t xml:space="preserve">Metal stud blocking 362CR22</t>
  </si>
  <si>
    <t xml:space="preserve">familias_out.json 'metal stud blocking (362CR / STUD BLOCKING)'; 4/S5.20</t>
  </si>
  <si>
    <t xml:space="preserve">Metal trim - corner bead, casing bead, shadow molding, J-bead</t>
  </si>
  <si>
    <t xml:space="preserve">familias_out.json 'metal trim (corner bead, casing, shadow molding)'; 8/A12.01, 7/A09.33, 4/A08.21</t>
  </si>
  <si>
    <t xml:space="preserve">Cement board (tile cove base)</t>
  </si>
  <si>
    <t xml:space="preserve">3x5 sheet</t>
  </si>
  <si>
    <t xml:space="preserve">familias_out.json 'cement board'; A08.01</t>
  </si>
  <si>
    <t xml:space="preserve">FRP panel</t>
  </si>
  <si>
    <t xml:space="preserve">4x10 sheet</t>
  </si>
  <si>
    <t xml:space="preserve">familias_out.json 'FRP'; A/A08.01, 5/A08.01</t>
  </si>
  <si>
    <t xml:space="preserve">Acoustical sealant</t>
  </si>
  <si>
    <t xml:space="preserve">familias_out.json 'acoustical sealant'; 3/A12.01, 1/A12.01, 4/A12.01, 5/A12.01</t>
  </si>
  <si>
    <t xml:space="preserve">Framed openings MEP (3-5/8" track)</t>
  </si>
  <si>
    <t xml:space="preserve">framed_openings_out.json 'framed openings MEP'; E02.01, M01.01, 6/A09.33</t>
  </si>
  <si>
    <t xml:space="preserve">Column wraps C1 vestibule (count) - framing/board/trim included in 3-5/8" stud, 5/8" board and metal trim rows</t>
  </si>
  <si>
    <t xml:space="preserve">EA</t>
  </si>
  <si>
    <t xml:space="preserve">A02.01 cajas C1; 6/A12.01; canon column_wrap CW-1..CW-4</t>
  </si>
  <si>
    <t xml:space="preserve">Additional head track at openings over 4'-0" wide</t>
  </si>
  <si>
    <t xml:space="preserve">run 10 ft</t>
  </si>
  <si>
    <t xml:space="preserve">accesorios.py [CRITERIO]: HEAD TRACK @ NON LOAD BRG: ADD FULL LENGTH ADDL HEAD TRACK @ OPNG &gt; 4'-0"; decisión usuario #1: R.O. + 1'-4" (8" de bearing cada lado)</t>
  </si>
  <si>
    <t xml:space="preserve">Stud reinforcement at MEP penetrations</t>
  </si>
  <si>
    <t xml:space="preserve">PCS</t>
  </si>
  <si>
    <t xml:space="preserve">each</t>
  </si>
  <si>
    <t xml:space="preserve">accesorios.py [CRITERIO]: 6/S5.20; M01.01 duct/FD cruzando G-01 (lectura visual - RFI-15); 6/S5.20; M01.01 duct/FD cruzando G-02 (lectura visual - RFI-15); 6/S5.20; M01.01 duct/FD cruzando G-03 (lectura visual - RFI-15); 6/S5.20; M01.01 duct/FD cruzando A1-04 (lectu</t>
  </si>
  <si>
    <t xml:space="preserve">Extra framing - sistered stud and furring at the ATM recess</t>
  </si>
  <si>
    <t xml:space="preserve">accesorios.py [DERIVADO]: 6/A08.11 2 1/2" METAL STUD SISTERED TO 6" METAL STUD</t>
  </si>
  <si>
    <t xml:space="preserve">2-1/2" CFMF @ 16" O.C. at coiling grille head (4/A08.21)</t>
  </si>
  <si>
    <t xml:space="preserve">accesorios.py [DERIVADO]: 4/A08.21 1'-6"</t>
  </si>
  <si>
    <t xml:space="preserve">Gypsum board jamb return at openings</t>
  </si>
  <si>
    <t xml:space="preserve">4x12 ft sheet</t>
  </si>
  <si>
    <t xml:space="preserve">accesorios.py [CRITERIO]: criterio estimador (ref v4: ancho del return = profundidad del stud 6", no acotado; RFI con delta a 0.20 ft)</t>
  </si>
  <si>
    <t xml:space="preserve">PVC trim - edge trim molding and inside corner molding at the FRP</t>
  </si>
  <si>
    <t xml:space="preserve">trim stick 10 ft</t>
  </si>
  <si>
    <t xml:space="preserve">accesorios.py [DERIVADO]: A/A08.01 '5'-0" TO TOP OF FRP'; A08.01; A05.01 kn 6 FRP 4'-0" AFF - ancho 28" [53.3 - RFI-10]</t>
  </si>
  <si>
    <t xml:space="preserve">Power-driven fasteners and duct sleeves</t>
  </si>
  <si>
    <t xml:space="preserve">accesorios.py [DERIVADO]: parapet infill: PAFs SPACED AT 12" O.C. MAX al steel beam</t>
  </si>
  <si>
    <t xml:space="preserve">Access panel 2'x2' locking access panel</t>
  </si>
  <si>
    <t xml:space="preserve">accesorios.py [CONFIRMADO]: A04.01 kn 4</t>
  </si>
  <si>
    <t xml:space="preserve">Drywall screws 1-1/4" bugle head</t>
  </si>
  <si>
    <t xml:space="preserve">accesorios.py [DERIVADO]: criterio estimador (Inputs B20: GA-216 field 12" O.C., perimeter 8" O.C.)</t>
  </si>
  <si>
    <t xml:space="preserve">Framing screws, pan head self-drilling</t>
  </si>
  <si>
    <t xml:space="preserve">accesorios.py [DERIVADO]: criterio estimador (Inputs B21: 2 por conexión stud-track en cada extremo)</t>
  </si>
  <si>
    <t xml:space="preserve">Power-driven fasteners, slab pins for the bottom track</t>
  </si>
  <si>
    <t xml:space="preserve">accesorios.py [DERIVADO]: criterio estimador (Handoff - Approved: el más cerrado de los tres del set, SILL TRACK ANCHORAGE interior @ 12" O.C.)</t>
  </si>
  <si>
    <t xml:space="preserve">Expansion anchors Hilti 1/4" Kwik Bolt II, exterior bottom track @ 8" O.C.</t>
  </si>
  <si>
    <t xml:space="preserve">accesorios.py [DERIVADO]: SILL TRACK ANCHORAGE exterior walls @ 8" O.C. (schedule de studs)</t>
  </si>
  <si>
    <t xml:space="preserve">Joint compound, all purpose</t>
  </si>
  <si>
    <t xml:space="preserve">LB</t>
  </si>
  <si>
    <t xml:space="preserve">lb</t>
  </si>
  <si>
    <t xml:space="preserve">accesorios.py [DERIVADO]: criterio estimador (Inputs B23: 72 lb / 1,000 SF level 4)</t>
  </si>
  <si>
    <t xml:space="preserve">Joint tape, paper</t>
  </si>
  <si>
    <t xml:space="preserve">accesorios.py [DERIVADO]: criterio estimador (Inputs B24: 370 LF / 1,000 SF)</t>
  </si>
  <si>
    <t xml:space="preserve">Level 5 finish</t>
  </si>
  <si>
    <t xml:space="preserve">accesorios.py [DERIVADO]: A05.01; A05.01 kn 10; A05.01 kn 9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</si>
  <si>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</si>
  <si>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</si>
  <si>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</si>
  <si>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</si>
  <si>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S2.20 canopy 'B.O.D. EL. 111'-9"' (typo). Se usa 11'-9" (T/STEEL 11'-9" en A09.23).</t>
  </si>
  <si>
    <t xml:space="preserve">0 (aclaracion)</t>
  </si>
  <si>
    <t xml:space="preserve">RFI-02</t>
  </si>
  <si>
    <t xml:space="preserve">Elevaciones A09.01: rotulo 'SOUTH ELEVATION' dibuja la fachada norte (nota S2.20 mirrored N-S). Confirmar.</t>
  </si>
  <si>
    <t xml:space="preserve">0 (asignacion de fachada)</t>
  </si>
  <si>
    <t xml:space="preserve">RFI-03</t>
  </si>
  <si>
    <t xml:space="preserve">Exterior studs: S1.11 n.5 600S162-54 @12" a 6 ft de esquinas / @16" vs 7/S5.20 600S137-33 @16". Se carga S1.11 (mas material, 56.2).</t>
  </si>
  <si>
    <t xml:space="preserve">approx -10% 6" stud LF si rige 7/S5.20</t>
  </si>
  <si>
    <t xml:space="preserve">RFI-04</t>
  </si>
  <si>
    <t xml:space="preserve">Perimeter beam d por fachada para T/STUD exterior (10/S5.10): W12x19 / W10x12 / W14x22 / W18x35 tomados de S2.20.</t>
  </si>
  <si>
    <t xml:space="preserve">+/- 1 ft x studs exteriores</t>
  </si>
  <si>
    <t xml:space="preserve">RFI-05</t>
  </si>
  <si>
    <t xml:space="preserve">Altura de walls interiores bajo viga (E26): studs paran bajo W12x14/W14x22/W14x30 segun vigas_sobre_walls.py.</t>
  </si>
  <si>
    <t xml:space="preserve">+1.0-1.3 ft por stud si van a deck</t>
  </si>
  <si>
    <t xml:space="preserve">RFI-06</t>
  </si>
  <si>
    <t xml:space="preserve">Roof step 4/A02.02: alto de las 2 filas bajo la viga no acotado; se uso d W14x22 13.74".</t>
  </si>
  <si>
    <t xml:space="preserve">+/- 100 LF 3-5/8"</t>
  </si>
  <si>
    <t xml:space="preserve">RFI-07</t>
  </si>
  <si>
    <t xml:space="preserve">Suspension de GB ceilings (furring/carrying/hangers) no detallada; se uso ASTM C754 16/48/48.</t>
  </si>
  <si>
    <t xml:space="preserve">furring +/- 25%</t>
  </si>
  <si>
    <t xml:space="preserve">RFI-08</t>
  </si>
  <si>
    <t xml:space="preserve">Canopy soffit / fascia: profundidad y largos por fachada medidos en A04.01 (sin cota).</t>
  </si>
  <si>
    <t xml:space="preserve">+/- 10% canopy</t>
  </si>
  <si>
    <t xml:space="preserve">RFI-09</t>
  </si>
  <si>
    <t xml:space="preserve">Office front CONT. BOX BEAM: largo del run por frente medido (E 42.73 / W 22.02 ft) sin cota impresa.</t>
  </si>
  <si>
    <t xml:space="preserve">+/- 4 x 2 ft</t>
  </si>
  <si>
    <t xml:space="preserve">RFI-10</t>
  </si>
  <si>
    <t xml:space="preserve">FRP mop sink: ancho no acotado; se cargan 28" (53.3).</t>
  </si>
  <si>
    <t xml:space="preserve">-2.7 SF con 24"</t>
  </si>
  <si>
    <t xml:space="preserve">RFI-11</t>
  </si>
  <si>
    <t xml:space="preserve">Additional head track 2/S5.20 en aberturas con box propio &gt; 4'-0" (vestibule, grille, office fronts).</t>
  </si>
  <si>
    <t xml:space="preserve">+106.93 LF</t>
  </si>
  <si>
    <t xml:space="preserve">RFI-12</t>
  </si>
  <si>
    <t xml:space="preserve">Plywood backboard kn 6 A02.01 (calling cubes): tamano no acotado; se cargan 10' x 8'.</t>
  </si>
  <si>
    <t xml:space="preserve">+/- 40 SF</t>
  </si>
  <si>
    <t xml:space="preserve">RFI-14</t>
  </si>
  <si>
    <t xml:space="preserve">Gypsum board jamb return: ancho no acotado.</t>
  </si>
  <si>
    <t xml:space="preserve">-66.47 SF</t>
  </si>
  <si>
    <t xml:space="preserve">RFI-15</t>
  </si>
  <si>
    <t xml:space="preserve">Penetraciones MEP en walls a deck leidas a ojo en M01.01 (sin registro geometrico); confirmar plates 6/S5.20.</t>
  </si>
  <si>
    <t xml:space="preserve">+/- 10 PCS</t>
  </si>
  <si>
    <t xml:space="preserve">RFI-16</t>
  </si>
  <si>
    <t xml:space="preserve">Slot diffusers en GB ceilings: largo/ancho no tabulado en M00.03.</t>
  </si>
  <si>
    <t xml:space="preserve">+/- 40 LF framed openings</t>
  </si>
  <si>
    <t xml:space="preserve">RFI-17</t>
  </si>
  <si>
    <t xml:space="preserve">Bottom track en doors no se descuenta (E10); delta si se descuenta.</t>
  </si>
  <si>
    <t xml:space="preserve">-50.49 LF</t>
  </si>
  <si>
    <t xml:space="preserve">RFI-18</t>
  </si>
  <si>
    <t xml:space="preserve">Bracing cruza vanos sin studs (53.4 literal).</t>
  </si>
  <si>
    <t xml:space="preserve">-117.18 LF</t>
  </si>
  <si>
    <t xml:space="preserve">RFI-20</t>
  </si>
  <si>
    <t xml:space="preserve">3/4" FRT plywood backboards ELECTRICAL 120 / NER 121 (A11.03): incluidos; confirmar si son Div 26/27.</t>
  </si>
  <si>
    <t xml:space="preserve">-318 SF si son by others</t>
  </si>
  <si>
    <t xml:space="preserve">RFI-21</t>
  </si>
  <si>
    <t xml:space="preserve">3/4" FRT plywood en jambs (1-4/A09.25): ancho no acotado, se carga 6".</t>
  </si>
  <si>
    <t xml:space="preserve">+/- 60 SF</t>
  </si>
  <si>
    <t xml:space="preserve">RFI-22</t>
  </si>
  <si>
    <t xml:space="preserve">Recessed accessories (TA-13 x2, TA-14 x2, TA-2 x2, FEC-1, FEC-2): ancho no impreso -&gt; 0 header/sill (59.8); confirmar.</t>
  </si>
  <si>
    <t xml:space="preserve">+8 aberturas x (2 x 2'-0" track + 2 jambs)</t>
  </si>
  <si>
    <t xml:space="preserve">RFI-23</t>
  </si>
  <si>
    <t xml:space="preserve">Parapet roof side: 4/A09.26 dibuja 5/8" DENS DECK bajo membrana; se carga como exterior gyp sheathing (53.5). Confirmar si es del roofer.</t>
  </si>
  <si>
    <t xml:space="preserve">-820.86 SF si es Div 07</t>
  </si>
  <si>
    <t xml:space="preserve">RFI-24</t>
  </si>
  <si>
    <t xml:space="preserve">Canopy linear light pockets 4/A09.33 y 5/A09.33: framing/trim del pocket no cuantificado aparte (framed openings UU si).</t>
  </si>
  <si>
    <t xml:space="preserve">+~590 LF shadow molding, +~590 LF corner bead</t>
  </si>
  <si>
    <t xml:space="preserve">RFI-25</t>
  </si>
  <si>
    <t xml:space="preserve">CSR soffit 116 (9/A12.08, 10/A09.33): modelado como GB furring + transicion; el detalle dibuja 3-5/8" studs @16.</t>
  </si>
  <si>
    <t xml:space="preserve">+~40 LF 3-5/8", -37 LF furring</t>
  </si>
  <si>
    <t xml:space="preserve">RFI-26</t>
  </si>
  <si>
    <t xml:space="preserve">Acoustical sealant incluye 208.5 LF de sealant at base of gypsum exterior (5/A09.26) por la tool; reclasificar.</t>
  </si>
  <si>
    <t xml:space="preserve">0 (clasificacion)</t>
  </si>
  <si>
    <t xml:space="preserve">RFI-19</t>
  </si>
  <si>
    <t xml:space="preserve">R-11C/CE: descripcion 12' vs catalogo 20'-0"; se carga 12' (dibujo).</t>
  </si>
  <si>
    <t xml:space="preserve">+64 LF framed openings</t>
  </si>
  <si>
    <t xml:space="preserve">RFI-ACC-additional_h</t>
  </si>
  <si>
    <t xml:space="preserve">aberturas con box propio (openings_extra) &gt; 4'-0": ¿llevan también el head track adicional de 2/S5.20?</t>
  </si>
  <si>
    <t xml:space="preserve">106.93</t>
  </si>
  <si>
    <t xml:space="preserve">RFI-ACC-gypsum_board</t>
  </si>
  <si>
    <t xml:space="preserve">ancho del jamb return no acotado</t>
  </si>
  <si>
    <t xml:space="preserve">-66.47</t>
  </si>
  <si>
    <t xml:space="preserve">RFI-ACC-slab_pins</t>
  </si>
  <si>
    <t xml:space="preserve">spacing del pin: 12" (anchorage interior) vs 16" (fastener schedule) vs 24" (caja del tipo K)</t>
  </si>
  <si>
    <t xml:space="preserve">-123.65</t>
  </si>
  <si>
    <t xml:space="preserve">RFI-ACC1</t>
  </si>
  <si>
    <t xml:space="preserve">additional head track: aberturas con box propio (openings_extra) &gt; 4'-0": ¿llevan también el head track adicional de 2/S5.20?</t>
  </si>
  <si>
    <t xml:space="preserve">106.93 lf</t>
  </si>
  <si>
    <t xml:space="preserve">RFI-ACC2</t>
  </si>
  <si>
    <t xml:space="preserve">gypsum board jamb return: ancho del jamb return no acotado</t>
  </si>
  <si>
    <t xml:space="preserve">-66.47 sf</t>
  </si>
  <si>
    <t xml:space="preserve">RFI-ACC3</t>
  </si>
  <si>
    <t xml:space="preserve">slab pins: spacing del pin: 12" (anchorage interior) vs 16" (fastener schedule) vs 24" (caja del tipo K)</t>
  </si>
  <si>
    <t xml:space="preserve">{'delta_16in': -123.65, 'delta_24in': -247.31} pcs</t>
  </si>
  <si>
    <t xml:space="preserve">#</t>
  </si>
  <si>
    <t xml:space="preserve">Punto</t>
  </si>
  <si>
    <t xml:space="preserve">Hoja + detalle</t>
  </si>
  <si>
    <t xml:space="preserve">Imagen</t>
  </si>
  <si>
    <t xml:space="preserve">Column wraps C1 del vestibule (4): caras medidas en planta, sin cadena FOS impresa (E8).</t>
  </si>
  <si>
    <t xml:space="preserve">11_PLANO_C1.jpg</t>
  </si>
  <si>
    <t xml:space="preserve">Canopy drive-up oeste (grid 1): 4 CANOPY-COL 5/A09.25 cuantificadas (CC-1..CC-4, 1'-8" x 1'-8", a B/CANOPY 10'-6"); soffit oeste como canopy_joist.</t>
  </si>
  <si>
    <t xml:space="preserve">A5-01 y B2-01 cruzan / tocan grid B: altura al extremo alto del wall (53.2, 59.13); back-check rev2 propone tramo LOW (-10 a -12 LF 6" stud).</t>
  </si>
  <si>
    <t xml:space="preserve">S2.20</t>
  </si>
  <si>
    <t xml:space="preserve">Stubs de 4" (0.33 ft) de office front no modelados como walls (jogs).</t>
  </si>
  <si>
    <t xml:space="preserve">10/A12.01</t>
  </si>
  <si>
    <t xml:space="preserve">01_PLANO_G.jpg</t>
  </si>
  <si>
    <t xml:space="preserve">Ceiling 101 y 104 poligonos derivados (sin cotas completas).</t>
  </si>
  <si>
    <t xml:space="preserve">A04.01</t>
  </si>
  <si>
    <t xml:space="preserve">Parapet por fachada con largos de contorno exterior aproximados; HP 19'-8" en tower N (16.25 ft) y W (29.6 ft).</t>
  </si>
  <si>
    <t xml:space="preserve">Millwork / toilet accessory blocking: LF por regla (34), no por elevacion.</t>
  </si>
  <si>
    <t xml:space="preserve">4/S5.20</t>
  </si>
  <si>
    <t xml:space="preserve">MEP sweep visual (RFI-15).</t>
  </si>
  <si>
    <t xml:space="preserve">6/S5.20</t>
  </si>
  <si>
    <t xml:space="preserve">FRP 5'-0" sobre cove base (criterio 53.9.1) vs critico (4'-6" desde base, -63 SF). Se mantiene 53.9.1.</t>
  </si>
  <si>
    <t xml:space="preserve">A/A08.01</t>
  </si>
  <si>
    <t xml:space="preserve">Back-check: canopy fascia band posiblemente corta 25-45 LF; drinking fountain alcove B2-01 returns ~3.8 LF.</t>
  </si>
  <si>
    <t xml:space="preserve">ATM 2x4/4x4 FRT framing (6/A08.11) = Div 06 rough carpentry, EXCLUDED.</t>
  </si>
  <si>
    <t xml:space="preserve">6/A08.11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</si>
  <si>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</si>
  <si>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</si>
  <si>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</si>
  <si>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</si>
  <si>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</si>
  <si>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</si>
  <si>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</si>
  <si>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Partition Takeoff; studs/track familias_out.json; 3/A12.01, 1/A12.01, 5/A12.01</t>
  </si>
  <si>
    <t xml:space="preserve">ALC-02</t>
  </si>
  <si>
    <t xml:space="preserve">Exterior wall framing (CFMF)</t>
  </si>
  <si>
    <t xml:space="preserve">6" stud EXT C/A09.21, 10/S5.10, S1.11</t>
  </si>
  <si>
    <t xml:space="preserve">ALC-03</t>
  </si>
  <si>
    <t xml:space="preserve">Parapet framing</t>
  </si>
  <si>
    <t xml:space="preserve">6" parapet stud 11/S5.10 (E3)</t>
  </si>
  <si>
    <t xml:space="preserve">ALC-04</t>
  </si>
  <si>
    <t xml:space="preserve">Top / deflection and bottom track</t>
  </si>
  <si>
    <t xml:space="preserve">bottom + top/deflection track 7/S5.20, 3/A12.01</t>
  </si>
  <si>
    <t xml:space="preserve">ALC-05</t>
  </si>
  <si>
    <t xml:space="preserve">Headers, sills and jambs at openings</t>
  </si>
  <si>
    <t xml:space="preserve">header/box beam + sill track 7/S5.20, 2/S5.20, 11/A09.27</t>
  </si>
  <si>
    <t xml:space="preserve">ALC-06</t>
  </si>
  <si>
    <t xml:space="preserve">Bracing / bridging</t>
  </si>
  <si>
    <t xml:space="preserve">bracing C.R. channel F/1/S5.20</t>
  </si>
  <si>
    <t xml:space="preserve">ALC-07</t>
  </si>
  <si>
    <t xml:space="preserve">Gypsum board on walls (layers per type)</t>
  </si>
  <si>
    <t xml:space="preserve">5/8" gyp regular board_caras A12.01</t>
  </si>
  <si>
    <t xml:space="preserve">ALC-08</t>
  </si>
  <si>
    <t xml:space="preserve">Moisture / abuse / special board at wet zones</t>
  </si>
  <si>
    <t xml:space="preserve">5/8" MR F/A08.01</t>
  </si>
  <si>
    <t xml:space="preserve">ALC-09</t>
  </si>
  <si>
    <t xml:space="preserve">Exterior gypsum / glass mat sheathing</t>
  </si>
  <si>
    <t xml:space="preserve">glass mat 5/A09.26, 7/A09.26; exterior gyp sheathing parapet A09.21</t>
  </si>
  <si>
    <t xml:space="preserve">ALC-10</t>
  </si>
  <si>
    <t xml:space="preserve">FRT plywood sheathing / substrate</t>
  </si>
  <si>
    <t xml:space="preserve">FRT plywood nailbase A09.21, 7/A09.26, 12/A12.01</t>
  </si>
  <si>
    <t xml:space="preserve">ALC-11</t>
  </si>
  <si>
    <t xml:space="preserve">Gypsum board ceilings</t>
  </si>
  <si>
    <t xml:space="preserve">GB ceilings A04.01</t>
  </si>
  <si>
    <t xml:space="preserve">ALC-12</t>
  </si>
  <si>
    <t xml:space="preserve">Ceiling suspension (furring / carrying channel / hanger wire / ceiling track)</t>
  </si>
  <si>
    <t xml:space="preserve">furring, carrying, hanger wire, ceiling track A04.01 (RFI-07)</t>
  </si>
  <si>
    <t xml:space="preserve">ALC-13</t>
  </si>
  <si>
    <t xml:space="preserve">Soffits and bulkheads (framing + board)</t>
  </si>
  <si>
    <t xml:space="preserve">office bulkheads 8/A12.01, 9/A12.01; transitions 7/A09.33</t>
  </si>
  <si>
    <t xml:space="preserve">ALC-14</t>
  </si>
  <si>
    <t xml:space="preserve">Canopy / marquee framing and sheathing</t>
  </si>
  <si>
    <t xml:space="preserve">canopy soffit + fascia 7/A09.26, 3/A09.26</t>
  </si>
  <si>
    <t xml:space="preserve">ALC-15</t>
  </si>
  <si>
    <t xml:space="preserve">Column furring / wraps</t>
  </si>
  <si>
    <t xml:space="preserve">column wraps C1 (A02.01, 6/A12.01) en 3-5/8" stud</t>
  </si>
  <si>
    <t xml:space="preserve">ALC-16</t>
  </si>
  <si>
    <t xml:space="preserve">Blocking (FRT wood / metal) for millwork and accessories</t>
  </si>
  <si>
    <t xml:space="preserve">FRT blocking + metal stud blocking 4/S5.20, 8/A12.01</t>
  </si>
  <si>
    <t xml:space="preserve">ALC-17</t>
  </si>
  <si>
    <t xml:space="preserve">Framed openings (MEP, access panels, diffusers)</t>
  </si>
  <si>
    <t xml:space="preserve">framed openings MEP E02.01, M01.01; access panel A04.01 kn 4</t>
  </si>
  <si>
    <t xml:space="preserve">ALC-18</t>
  </si>
  <si>
    <t xml:space="preserve">Trim: corner bead, casing bead, control joints, reveals</t>
  </si>
  <si>
    <t xml:space="preserve">metal trim 8/A12.01, 7/A09.33, 4/A08.21</t>
  </si>
  <si>
    <t xml:space="preserve">ALC-19</t>
  </si>
  <si>
    <t xml:space="preserve">Acoustical sealant / sound attenuation</t>
  </si>
  <si>
    <t xml:space="preserve">acoustical sealant 3/A12.01, 1/A12.01, 4/A12.01</t>
  </si>
  <si>
    <t xml:space="preserve">ALC-20</t>
  </si>
  <si>
    <t xml:space="preserve">FRP / cement board / tile backer</t>
  </si>
  <si>
    <t xml:space="preserve">FRP A/A08.01; cement board A08.01</t>
  </si>
  <si>
    <t xml:space="preserve">ALC-21</t>
  </si>
  <si>
    <t xml:space="preserve">Shaft walls / area separation walls</t>
  </si>
  <si>
    <t xml:space="preserve">NO APLICA</t>
  </si>
  <si>
    <t xml:space="preserve">NO APLICA: A02.01 y A12.01 sin shaft walls ni area separation walls (schedule de partition types sin tipo shaft)</t>
  </si>
  <si>
    <t xml:space="preserve">ALC-22</t>
  </si>
  <si>
    <t xml:space="preserve">Rated assemblies (UL designs) and their board type</t>
  </si>
  <si>
    <t xml:space="preserve">NO APLICA: A12.01 FIRE RATING '--' en todos los types; menciones en A02.01, A05.01, E00.01, E02.02, E04.02, M00.01, M00.03 son notas genericas de penetraciones/backboard (sin UL design)</t>
  </si>
  <si>
    <t xml:space="preserve">ALC-23</t>
  </si>
  <si>
    <t xml:space="preserve">Special panels (ballistic, lead-lined, abuse)</t>
  </si>
  <si>
    <t xml:space="preserve">ballistic panel + 3/8" gyp 4/A12.01</t>
  </si>
  <si>
    <t xml:space="preserve">ALC-24</t>
  </si>
  <si>
    <t xml:space="preserve">Finish level (Level 4 / Level 5)</t>
  </si>
  <si>
    <t xml:space="preserve">Level 5 finish A00.40, A05.01 kn 9, 10</t>
  </si>
  <si>
    <t xml:space="preserve">ALC-X25</t>
  </si>
  <si>
    <t xml:space="preserve">batt insulation</t>
  </si>
  <si>
    <t xml:space="preserve">EXCLUDED (criterio del estimador: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</si>
</sst>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11.625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714.94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11.625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714.94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11.625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714.94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11.767</v>
      </c>
      <c r="D9" s="0" t="n">
        <v>15.375</v>
      </c>
      <c r="E9" s="0" t="n">
        <v>4</v>
      </c>
      <c r="F9" s="0" t="s">
        <v>31</v>
      </c>
      <c r="G9" s="0" t="n">
        <v>16</v>
      </c>
      <c r="H9" s="0" t="n">
        <v>723.92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11.767</v>
      </c>
      <c r="D10" s="0" t="n">
        <v>15.375</v>
      </c>
      <c r="E10" s="0" t="n">
        <v>4</v>
      </c>
      <c r="F10" s="0" t="s">
        <v>31</v>
      </c>
      <c r="G10" s="0" t="n">
        <v>16</v>
      </c>
      <c r="H10" s="0" t="n">
        <v>723.92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10.504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646</v>
      </c>
      <c r="I11" s="0" t="s">
        <v>49</v>
      </c>
      <c r="J11" s="0" t="s">
        <v>33</v>
      </c>
      <c r="K11" s="0" t="s">
        <v>50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n">
        <v>2.42</v>
      </c>
      <c r="D12" s="0" t="n">
        <v>14.383</v>
      </c>
      <c r="E12" s="0" t="n">
        <v>4</v>
      </c>
      <c r="F12" s="0" t="s">
        <v>31</v>
      </c>
      <c r="G12" s="0" t="n">
        <v>16</v>
      </c>
      <c r="H12" s="0" t="n">
        <v>148.82</v>
      </c>
      <c r="I12" s="0" t="s">
        <v>53</v>
      </c>
      <c r="J12" s="0" t="s">
        <v>33</v>
      </c>
      <c r="K12" s="0" t="s">
        <v>50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n">
        <v>3.133</v>
      </c>
      <c r="D13" s="0" t="n">
        <v>14.383</v>
      </c>
      <c r="E13" s="0" t="n">
        <v>4</v>
      </c>
      <c r="F13" s="0" t="s">
        <v>31</v>
      </c>
      <c r="G13" s="0" t="n">
        <v>16</v>
      </c>
      <c r="H13" s="0" t="n">
        <v>192.68</v>
      </c>
      <c r="I13" s="0" t="s">
        <v>56</v>
      </c>
      <c r="J13" s="0" t="s">
        <v>33</v>
      </c>
      <c r="K13" s="0" t="s">
        <v>50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n">
        <v>2.42</v>
      </c>
      <c r="D14" s="0" t="n">
        <v>14.383</v>
      </c>
      <c r="E14" s="0" t="n">
        <v>4</v>
      </c>
      <c r="F14" s="0" t="s">
        <v>31</v>
      </c>
      <c r="G14" s="0" t="n">
        <v>16</v>
      </c>
      <c r="H14" s="0" t="n">
        <v>148.82</v>
      </c>
      <c r="I14" s="0" t="s">
        <v>59</v>
      </c>
      <c r="J14" s="0" t="s">
        <v>33</v>
      </c>
      <c r="K14" s="0" t="s">
        <v>50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n">
        <v>2.413</v>
      </c>
      <c r="D15" s="0" t="n">
        <v>14.222</v>
      </c>
      <c r="E15" s="0" t="n">
        <v>4</v>
      </c>
      <c r="F15" s="0" t="s">
        <v>31</v>
      </c>
      <c r="G15" s="0" t="n">
        <v>16</v>
      </c>
      <c r="H15" s="0" t="n">
        <v>148.4</v>
      </c>
      <c r="I15" s="0" t="s">
        <v>62</v>
      </c>
      <c r="J15" s="0" t="s">
        <v>33</v>
      </c>
      <c r="K15" s="0" t="s">
        <v>50</v>
      </c>
    </row>
    <row r="16" customFormat="false" ht="15" hidden="false" customHeight="false" outlineLevel="0" collapsed="false">
      <c r="A16" s="5" t="s">
        <v>63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11.771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723.92</v>
      </c>
      <c r="I17" s="0" t="s">
        <v>66</v>
      </c>
      <c r="J17" s="0" t="s">
        <v>33</v>
      </c>
      <c r="K17" s="0" t="s">
        <v>34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2.667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164.02</v>
      </c>
      <c r="I18" s="0" t="s">
        <v>69</v>
      </c>
      <c r="J18" s="0" t="s">
        <v>33</v>
      </c>
      <c r="K18" s="0" t="s">
        <v>50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n">
        <v>2.667</v>
      </c>
      <c r="D19" s="0" t="n">
        <v>15.375</v>
      </c>
      <c r="E19" s="0" t="n">
        <v>4</v>
      </c>
      <c r="F19" s="0" t="s">
        <v>31</v>
      </c>
      <c r="G19" s="0" t="n">
        <v>16</v>
      </c>
      <c r="H19" s="0" t="n">
        <v>164.02</v>
      </c>
      <c r="I19" s="0" t="s">
        <v>72</v>
      </c>
      <c r="J19" s="0" t="s">
        <v>33</v>
      </c>
      <c r="K19" s="0" t="s">
        <v>50</v>
      </c>
    </row>
    <row r="20" customFormat="false" ht="15" hidden="false" customHeight="false" outlineLevel="0" collapsed="false">
      <c r="A20" s="5" t="s">
        <v>73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0" t="n">
        <v>30</v>
      </c>
      <c r="D21" s="0" t="n">
        <v>6.222</v>
      </c>
      <c r="E21" s="0" t="n">
        <v>4</v>
      </c>
      <c r="F21" s="0" t="s">
        <v>31</v>
      </c>
      <c r="G21" s="0" t="n">
        <v>16</v>
      </c>
      <c r="H21" s="0" t="n">
        <v>880</v>
      </c>
      <c r="I21" s="0" t="s">
        <v>76</v>
      </c>
      <c r="J21" s="0" t="s">
        <v>77</v>
      </c>
      <c r="K21" s="0" t="s">
        <v>50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n">
        <v>15</v>
      </c>
      <c r="D22" s="0" t="n">
        <v>7.333</v>
      </c>
      <c r="E22" s="0" t="n">
        <v>4</v>
      </c>
      <c r="F22" s="0" t="s">
        <v>31</v>
      </c>
      <c r="G22" s="0" t="n">
        <v>16</v>
      </c>
      <c r="H22" s="0" t="n">
        <v>440</v>
      </c>
      <c r="I22" s="0" t="s">
        <v>80</v>
      </c>
      <c r="J22" s="0" t="s">
        <v>77</v>
      </c>
      <c r="K22" s="0" t="s">
        <v>50</v>
      </c>
    </row>
    <row r="23" customFormat="false" ht="15" hidden="false" customHeight="false" outlineLevel="0" collapsed="false">
      <c r="A23" s="5" t="s">
        <v>81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n">
        <v>16.42</v>
      </c>
      <c r="D24" s="0" t="n">
        <v>15.375</v>
      </c>
      <c r="E24" s="0" t="n">
        <v>2</v>
      </c>
      <c r="F24" s="0" t="s">
        <v>84</v>
      </c>
      <c r="G24" s="0" t="n">
        <v>16</v>
      </c>
      <c r="H24" s="0" t="n">
        <v>344.82</v>
      </c>
      <c r="I24" s="0" t="s">
        <v>85</v>
      </c>
      <c r="J24" s="0" t="s">
        <v>86</v>
      </c>
      <c r="K24" s="0" t="s">
        <v>50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3.127</v>
      </c>
      <c r="D25" s="0" t="n">
        <v>15.375</v>
      </c>
      <c r="E25" s="0" t="n">
        <v>2</v>
      </c>
      <c r="F25" s="0" t="s">
        <v>84</v>
      </c>
      <c r="G25" s="0" t="n">
        <v>16</v>
      </c>
      <c r="H25" s="0" t="n">
        <v>65.66</v>
      </c>
      <c r="I25" s="0" t="s">
        <v>89</v>
      </c>
      <c r="J25" s="0" t="s">
        <v>86</v>
      </c>
      <c r="K25" s="0" t="s">
        <v>50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0" t="n">
        <v>2.02</v>
      </c>
      <c r="D26" s="0" t="n">
        <v>15.375</v>
      </c>
      <c r="E26" s="0" t="n">
        <v>2</v>
      </c>
      <c r="F26" s="0" t="s">
        <v>84</v>
      </c>
      <c r="G26" s="0" t="n">
        <v>16</v>
      </c>
      <c r="H26" s="0" t="n">
        <v>42.42</v>
      </c>
      <c r="I26" s="0" t="s">
        <v>92</v>
      </c>
      <c r="J26" s="0" t="s">
        <v>86</v>
      </c>
      <c r="K26" s="0" t="s">
        <v>50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0" t="n">
        <v>15.813</v>
      </c>
      <c r="D27" s="0" t="n">
        <v>12.971</v>
      </c>
      <c r="E27" s="0" t="n">
        <v>2</v>
      </c>
      <c r="F27" s="0" t="s">
        <v>84</v>
      </c>
      <c r="G27" s="0" t="n">
        <v>16</v>
      </c>
      <c r="H27" s="0" t="n">
        <v>284.64</v>
      </c>
      <c r="I27" s="0" t="s">
        <v>95</v>
      </c>
      <c r="J27" s="0" t="s">
        <v>86</v>
      </c>
      <c r="K27" s="0" t="s">
        <v>34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0" t="n">
        <v>20.52</v>
      </c>
      <c r="D28" s="0" t="n">
        <v>11.818</v>
      </c>
      <c r="E28" s="0" t="n">
        <v>2</v>
      </c>
      <c r="F28" s="0" t="s">
        <v>84</v>
      </c>
      <c r="G28" s="0" t="n">
        <v>16</v>
      </c>
      <c r="H28" s="0" t="n">
        <v>450.68</v>
      </c>
      <c r="I28" s="0" t="s">
        <v>98</v>
      </c>
      <c r="J28" s="0" t="s">
        <v>86</v>
      </c>
      <c r="K28" s="0" t="s">
        <v>50</v>
      </c>
    </row>
    <row r="29" customFormat="false" ht="15" hidden="false" customHeight="false" outlineLevel="0" collapsed="false">
      <c r="A29" s="0" t="s">
        <v>99</v>
      </c>
      <c r="B29" s="0" t="s">
        <v>100</v>
      </c>
      <c r="C29" s="0" t="n">
        <v>2.544</v>
      </c>
      <c r="D29" s="0" t="n">
        <v>11.826</v>
      </c>
      <c r="E29" s="0" t="n">
        <v>2</v>
      </c>
      <c r="F29" s="0" t="s">
        <v>84</v>
      </c>
      <c r="G29" s="0" t="n">
        <v>16</v>
      </c>
      <c r="H29" s="0" t="n">
        <v>47.07</v>
      </c>
      <c r="I29" s="0" t="s">
        <v>101</v>
      </c>
      <c r="J29" s="0" t="s">
        <v>86</v>
      </c>
      <c r="K29" s="0" t="s">
        <v>50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0" t="n">
        <v>4.633</v>
      </c>
      <c r="D30" s="0" t="n">
        <v>12.927</v>
      </c>
      <c r="E30" s="0" t="n">
        <v>2</v>
      </c>
      <c r="F30" s="0" t="s">
        <v>84</v>
      </c>
      <c r="G30" s="0" t="n">
        <v>16</v>
      </c>
      <c r="H30" s="0" t="n">
        <v>85.71</v>
      </c>
      <c r="I30" s="0" t="s">
        <v>104</v>
      </c>
      <c r="J30" s="0" t="s">
        <v>86</v>
      </c>
      <c r="K30" s="0" t="s">
        <v>50</v>
      </c>
    </row>
    <row r="31" customFormat="false" ht="15" hidden="false" customHeight="false" outlineLevel="0" collapsed="false">
      <c r="A31" s="0" t="s">
        <v>105</v>
      </c>
      <c r="B31" s="0" t="s">
        <v>106</v>
      </c>
      <c r="C31" s="0" t="n">
        <v>11.667</v>
      </c>
      <c r="D31" s="0" t="n">
        <v>12.775</v>
      </c>
      <c r="E31" s="0" t="n">
        <v>2</v>
      </c>
      <c r="F31" s="0" t="s">
        <v>84</v>
      </c>
      <c r="G31" s="0" t="n">
        <v>16</v>
      </c>
      <c r="H31" s="0" t="n">
        <v>215.84</v>
      </c>
      <c r="I31" s="0" t="s">
        <v>107</v>
      </c>
      <c r="J31" s="0" t="s">
        <v>86</v>
      </c>
      <c r="K31" s="0" t="s">
        <v>34</v>
      </c>
    </row>
    <row r="32" customFormat="false" ht="15" hidden="false" customHeight="false" outlineLevel="0" collapsed="false">
      <c r="A32" s="0" t="s">
        <v>108</v>
      </c>
      <c r="B32" s="0" t="s">
        <v>109</v>
      </c>
      <c r="C32" s="0" t="n">
        <v>5</v>
      </c>
      <c r="D32" s="0" t="n">
        <v>15.375</v>
      </c>
      <c r="E32" s="0" t="n">
        <v>2</v>
      </c>
      <c r="F32" s="0" t="s">
        <v>84</v>
      </c>
      <c r="G32" s="0" t="n">
        <v>16</v>
      </c>
      <c r="H32" s="0" t="n">
        <v>105</v>
      </c>
      <c r="I32" s="0" t="s">
        <v>110</v>
      </c>
      <c r="J32" s="0" t="s">
        <v>86</v>
      </c>
      <c r="K32" s="0" t="s">
        <v>50</v>
      </c>
    </row>
    <row r="33" customFormat="false" ht="15" hidden="false" customHeight="false" outlineLevel="0" collapsed="false">
      <c r="A33" s="5" t="s">
        <v>111</v>
      </c>
    </row>
    <row r="34" customFormat="false" ht="15" hidden="false" customHeight="false" outlineLevel="0" collapsed="false">
      <c r="A34" s="0" t="s">
        <v>112</v>
      </c>
      <c r="B34" s="0" t="s">
        <v>113</v>
      </c>
      <c r="C34" s="0" t="n">
        <v>15.467</v>
      </c>
      <c r="D34" s="0" t="n">
        <v>15.375</v>
      </c>
      <c r="E34" s="0" t="n">
        <v>2</v>
      </c>
      <c r="F34" s="0" t="s">
        <v>114</v>
      </c>
      <c r="G34" s="0" t="n">
        <v>16</v>
      </c>
      <c r="H34" s="0" t="n">
        <v>324.8</v>
      </c>
      <c r="I34" s="0" t="s">
        <v>115</v>
      </c>
      <c r="J34" s="0" t="s">
        <v>86</v>
      </c>
      <c r="K34" s="0" t="s">
        <v>50</v>
      </c>
    </row>
    <row r="35" customFormat="false" ht="15" hidden="false" customHeight="false" outlineLevel="0" collapsed="false">
      <c r="A35" s="0" t="s">
        <v>116</v>
      </c>
      <c r="B35" s="0" t="s">
        <v>117</v>
      </c>
      <c r="C35" s="0" t="n">
        <v>19</v>
      </c>
      <c r="D35" s="0" t="n">
        <v>14.222</v>
      </c>
      <c r="E35" s="0" t="n">
        <v>2</v>
      </c>
      <c r="F35" s="0" t="s">
        <v>114</v>
      </c>
      <c r="G35" s="0" t="n">
        <v>16</v>
      </c>
      <c r="H35" s="0" t="n">
        <v>399</v>
      </c>
      <c r="I35" s="0" t="s">
        <v>118</v>
      </c>
      <c r="J35" s="0" t="s">
        <v>86</v>
      </c>
      <c r="K35" s="0" t="s">
        <v>34</v>
      </c>
    </row>
    <row r="36" customFormat="false" ht="15" hidden="false" customHeight="false" outlineLevel="0" collapsed="false">
      <c r="A36" s="0" t="s">
        <v>119</v>
      </c>
      <c r="B36" s="0" t="s">
        <v>120</v>
      </c>
      <c r="C36" s="0" t="n">
        <v>6.947</v>
      </c>
      <c r="D36" s="0" t="n">
        <v>11.773</v>
      </c>
      <c r="E36" s="0" t="n">
        <v>2</v>
      </c>
      <c r="F36" s="0" t="s">
        <v>114</v>
      </c>
      <c r="G36" s="0" t="n">
        <v>16</v>
      </c>
      <c r="H36" s="0" t="n">
        <v>128.52</v>
      </c>
      <c r="I36" s="0" t="s">
        <v>121</v>
      </c>
      <c r="J36" s="0" t="s">
        <v>86</v>
      </c>
      <c r="K36" s="0" t="s">
        <v>50</v>
      </c>
    </row>
    <row r="37" customFormat="false" ht="15" hidden="false" customHeight="false" outlineLevel="0" collapsed="false">
      <c r="A37" s="5" t="s">
        <v>122</v>
      </c>
    </row>
    <row r="38" customFormat="false" ht="15" hidden="false" customHeight="false" outlineLevel="0" collapsed="false">
      <c r="A38" s="0" t="s">
        <v>123</v>
      </c>
      <c r="B38" s="0" t="s">
        <v>124</v>
      </c>
      <c r="C38" s="0" t="n">
        <v>9.583</v>
      </c>
      <c r="D38" s="0" t="n">
        <v>12.831</v>
      </c>
      <c r="E38" s="0" t="n">
        <v>2</v>
      </c>
      <c r="F38" s="0" t="s">
        <v>84</v>
      </c>
      <c r="G38" s="0" t="n">
        <v>16</v>
      </c>
      <c r="H38" s="0" t="n">
        <v>245.92</v>
      </c>
      <c r="I38" s="0" t="s">
        <v>125</v>
      </c>
      <c r="J38" s="0" t="s">
        <v>126</v>
      </c>
      <c r="K38" s="0" t="s">
        <v>34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n">
        <v>9.583</v>
      </c>
      <c r="D39" s="0" t="n">
        <v>12.702</v>
      </c>
      <c r="E39" s="0" t="n">
        <v>2</v>
      </c>
      <c r="F39" s="0" t="s">
        <v>84</v>
      </c>
      <c r="G39" s="0" t="n">
        <v>16</v>
      </c>
      <c r="H39" s="0" t="n">
        <v>243.44</v>
      </c>
      <c r="I39" s="0" t="s">
        <v>129</v>
      </c>
      <c r="J39" s="0" t="s">
        <v>126</v>
      </c>
      <c r="K39" s="0" t="s">
        <v>34</v>
      </c>
    </row>
    <row r="40" customFormat="false" ht="15" hidden="false" customHeight="false" outlineLevel="0" collapsed="false">
      <c r="A40" s="0" t="s">
        <v>130</v>
      </c>
      <c r="B40" s="0" t="s">
        <v>131</v>
      </c>
      <c r="C40" s="0" t="n">
        <v>13.74</v>
      </c>
      <c r="D40" s="0" t="n">
        <v>12.831</v>
      </c>
      <c r="E40" s="0" t="n">
        <v>2</v>
      </c>
      <c r="F40" s="0" t="s">
        <v>84</v>
      </c>
      <c r="G40" s="0" t="n">
        <v>16</v>
      </c>
      <c r="H40" s="0" t="n">
        <v>352.6</v>
      </c>
      <c r="I40" s="0" t="s">
        <v>132</v>
      </c>
      <c r="J40" s="0" t="s">
        <v>126</v>
      </c>
      <c r="K40" s="0" t="s">
        <v>50</v>
      </c>
    </row>
    <row r="41" customFormat="false" ht="15" hidden="false" customHeight="false" outlineLevel="0" collapsed="false">
      <c r="A41" s="0" t="s">
        <v>133</v>
      </c>
      <c r="B41" s="0" t="s">
        <v>134</v>
      </c>
      <c r="C41" s="0" t="n">
        <v>11.733</v>
      </c>
      <c r="D41" s="0" t="n">
        <v>12.67</v>
      </c>
      <c r="E41" s="0" t="n">
        <v>2</v>
      </c>
      <c r="F41" s="0" t="s">
        <v>84</v>
      </c>
      <c r="G41" s="0" t="n">
        <v>16</v>
      </c>
      <c r="H41" s="0" t="n">
        <v>297.32</v>
      </c>
      <c r="I41" s="0" t="s">
        <v>135</v>
      </c>
      <c r="J41" s="0" t="s">
        <v>126</v>
      </c>
      <c r="K41" s="0" t="s">
        <v>50</v>
      </c>
    </row>
    <row r="42" customFormat="false" ht="15" hidden="false" customHeight="false" outlineLevel="0" collapsed="false">
      <c r="A42" s="0" t="s">
        <v>136</v>
      </c>
      <c r="B42" s="0" t="s">
        <v>137</v>
      </c>
      <c r="C42" s="0" t="n">
        <v>3.5</v>
      </c>
      <c r="D42" s="0" t="n">
        <v>12.743</v>
      </c>
      <c r="E42" s="0" t="n">
        <v>2</v>
      </c>
      <c r="F42" s="0" t="s">
        <v>84</v>
      </c>
      <c r="G42" s="0" t="n">
        <v>16</v>
      </c>
      <c r="H42" s="0" t="n">
        <v>89.2</v>
      </c>
      <c r="I42" s="0" t="s">
        <v>138</v>
      </c>
      <c r="J42" s="0" t="s">
        <v>126</v>
      </c>
      <c r="K42" s="0" t="s">
        <v>50</v>
      </c>
    </row>
    <row r="43" customFormat="false" ht="15" hidden="false" customHeight="false" outlineLevel="0" collapsed="false">
      <c r="A43" s="0" t="s">
        <v>139</v>
      </c>
      <c r="B43" s="0" t="s">
        <v>140</v>
      </c>
      <c r="C43" s="0" t="n">
        <v>11.733</v>
      </c>
      <c r="D43" s="0" t="n">
        <v>12.751</v>
      </c>
      <c r="E43" s="0" t="n">
        <v>2</v>
      </c>
      <c r="F43" s="0" t="s">
        <v>84</v>
      </c>
      <c r="G43" s="0" t="n">
        <v>16</v>
      </c>
      <c r="H43" s="0" t="n">
        <v>299.22</v>
      </c>
      <c r="I43" s="0" t="s">
        <v>141</v>
      </c>
      <c r="J43" s="0" t="s">
        <v>126</v>
      </c>
      <c r="K43" s="0" t="s">
        <v>50</v>
      </c>
    </row>
    <row r="44" customFormat="false" ht="15" hidden="false" customHeight="false" outlineLevel="0" collapsed="false">
      <c r="A44" s="5" t="s">
        <v>142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n">
        <v>25.013</v>
      </c>
      <c r="D45" s="0" t="n">
        <v>13.051</v>
      </c>
      <c r="E45" s="0" t="n">
        <v>2</v>
      </c>
      <c r="F45" s="0" t="s">
        <v>114</v>
      </c>
      <c r="G45" s="0" t="n">
        <v>16</v>
      </c>
      <c r="H45" s="0" t="n">
        <v>652.88</v>
      </c>
      <c r="I45" s="0" t="s">
        <v>145</v>
      </c>
      <c r="J45" s="0" t="s">
        <v>126</v>
      </c>
      <c r="K45" s="0" t="s">
        <v>50</v>
      </c>
    </row>
    <row r="46" customFormat="false" ht="15" hidden="false" customHeight="false" outlineLevel="0" collapsed="false">
      <c r="A46" s="0" t="s">
        <v>146</v>
      </c>
      <c r="B46" s="0" t="s">
        <v>147</v>
      </c>
      <c r="C46" s="0" t="n">
        <v>5.66</v>
      </c>
      <c r="D46" s="0" t="n">
        <v>15.375</v>
      </c>
      <c r="E46" s="0" t="n">
        <v>2</v>
      </c>
      <c r="F46" s="0" t="s">
        <v>114</v>
      </c>
      <c r="G46" s="0" t="n">
        <v>16</v>
      </c>
      <c r="H46" s="0" t="n">
        <v>174.04</v>
      </c>
      <c r="I46" s="0" t="s">
        <v>148</v>
      </c>
      <c r="J46" s="0" t="s">
        <v>126</v>
      </c>
      <c r="K46" s="0" t="s">
        <v>50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n">
        <v>11.407</v>
      </c>
      <c r="D47" s="0" t="n">
        <v>11.63</v>
      </c>
      <c r="E47" s="0" t="n">
        <v>2</v>
      </c>
      <c r="F47" s="0" t="s">
        <v>114</v>
      </c>
      <c r="G47" s="0" t="n">
        <v>16</v>
      </c>
      <c r="H47" s="0" t="n">
        <v>291.44</v>
      </c>
      <c r="I47" s="0" t="s">
        <v>151</v>
      </c>
      <c r="J47" s="0" t="s">
        <v>126</v>
      </c>
      <c r="K47" s="0" t="s">
        <v>50</v>
      </c>
    </row>
    <row r="48" customFormat="false" ht="15" hidden="false" customHeight="false" outlineLevel="0" collapsed="false">
      <c r="A48" s="5" t="s">
        <v>152</v>
      </c>
    </row>
    <row r="49" customFormat="false" ht="15" hidden="false" customHeight="false" outlineLevel="0" collapsed="false">
      <c r="A49" s="0" t="s">
        <v>153</v>
      </c>
      <c r="B49" s="0" t="s">
        <v>154</v>
      </c>
      <c r="C49" s="0" t="n">
        <v>2.573</v>
      </c>
      <c r="D49" s="0" t="n">
        <v>15.375</v>
      </c>
      <c r="E49" s="0" t="n">
        <v>2</v>
      </c>
      <c r="F49" s="0" t="s">
        <v>84</v>
      </c>
      <c r="G49" s="0" t="n">
        <v>24</v>
      </c>
      <c r="H49" s="0" t="n">
        <v>61.43</v>
      </c>
      <c r="I49" s="0" t="s">
        <v>155</v>
      </c>
      <c r="J49" s="0" t="s">
        <v>156</v>
      </c>
      <c r="K49" s="0" t="s">
        <v>50</v>
      </c>
    </row>
    <row r="50" customFormat="false" ht="15" hidden="false" customHeight="false" outlineLevel="0" collapsed="false">
      <c r="A50" s="0" t="s">
        <v>157</v>
      </c>
      <c r="B50" s="0" t="s">
        <v>158</v>
      </c>
      <c r="C50" s="0" t="n">
        <v>2.624</v>
      </c>
      <c r="D50" s="0" t="n">
        <v>12.939</v>
      </c>
      <c r="E50" s="0" t="n">
        <v>2</v>
      </c>
      <c r="F50" s="0" t="s">
        <v>84</v>
      </c>
      <c r="G50" s="0" t="n">
        <v>24</v>
      </c>
      <c r="H50" s="0" t="n">
        <v>56.25</v>
      </c>
      <c r="I50" s="0" t="s">
        <v>155</v>
      </c>
      <c r="J50" s="0" t="s">
        <v>156</v>
      </c>
      <c r="K50" s="0" t="s">
        <v>50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n">
        <v>1.162</v>
      </c>
      <c r="D51" s="0" t="n">
        <v>12.927</v>
      </c>
      <c r="E51" s="0" t="n">
        <v>2</v>
      </c>
      <c r="F51" s="0" t="s">
        <v>84</v>
      </c>
      <c r="G51" s="0" t="n">
        <v>24</v>
      </c>
      <c r="H51" s="0" t="n">
        <v>24.9</v>
      </c>
      <c r="I51" s="0" t="s">
        <v>155</v>
      </c>
      <c r="J51" s="0" t="s">
        <v>156</v>
      </c>
      <c r="K51" s="0" t="s">
        <v>50</v>
      </c>
    </row>
    <row r="52" customFormat="false" ht="15" hidden="false" customHeight="false" outlineLevel="0" collapsed="false">
      <c r="A52" s="5" t="s">
        <v>161</v>
      </c>
    </row>
    <row r="53" customFormat="false" ht="15" hidden="false" customHeight="false" outlineLevel="0" collapsed="false">
      <c r="A53" s="0" t="s">
        <v>162</v>
      </c>
      <c r="B53" s="0" t="s">
        <v>163</v>
      </c>
      <c r="C53" s="0" t="n">
        <v>1.262</v>
      </c>
      <c r="D53" s="0" t="n">
        <v>15.375</v>
      </c>
      <c r="E53" s="0" t="n">
        <v>2</v>
      </c>
      <c r="F53" s="0" t="s">
        <v>114</v>
      </c>
      <c r="G53" s="0" t="n">
        <v>24</v>
      </c>
      <c r="H53" s="0" t="n">
        <v>30.13</v>
      </c>
      <c r="I53" s="0" t="s">
        <v>155</v>
      </c>
      <c r="J53" s="0" t="s">
        <v>156</v>
      </c>
      <c r="K53" s="0" t="s">
        <v>50</v>
      </c>
    </row>
    <row r="54" customFormat="false" ht="15" hidden="false" customHeight="false" outlineLevel="0" collapsed="false">
      <c r="A54" s="5" t="s">
        <v>164</v>
      </c>
    </row>
    <row r="55" customFormat="false" ht="15" hidden="false" customHeight="false" outlineLevel="0" collapsed="false">
      <c r="A55" s="0" t="s">
        <v>165</v>
      </c>
      <c r="B55" s="0" t="s">
        <v>166</v>
      </c>
      <c r="C55" s="0" t="n">
        <v>17.46</v>
      </c>
      <c r="D55" s="0" t="n">
        <v>15.375</v>
      </c>
      <c r="E55" s="0" t="n">
        <v>2</v>
      </c>
      <c r="F55" s="0" t="s">
        <v>84</v>
      </c>
      <c r="G55" s="0" t="n">
        <v>16</v>
      </c>
      <c r="H55" s="0" t="n">
        <v>331.74</v>
      </c>
      <c r="I55" s="0" t="s">
        <v>167</v>
      </c>
      <c r="J55" s="0" t="s">
        <v>168</v>
      </c>
      <c r="K55" s="0" t="s">
        <v>50</v>
      </c>
    </row>
    <row r="56" customFormat="false" ht="15" hidden="false" customHeight="false" outlineLevel="0" collapsed="false">
      <c r="A56" s="5" t="s">
        <v>169</v>
      </c>
    </row>
    <row r="57" customFormat="false" ht="15" hidden="false" customHeight="false" outlineLevel="0" collapsed="false">
      <c r="A57" s="0" t="s">
        <v>170</v>
      </c>
      <c r="B57" s="0" t="s">
        <v>171</v>
      </c>
      <c r="C57" s="0" t="n">
        <v>10.028</v>
      </c>
      <c r="D57" s="0" t="n">
        <v>12.918</v>
      </c>
      <c r="E57" s="0" t="n">
        <v>2</v>
      </c>
      <c r="F57" s="0" t="s">
        <v>84</v>
      </c>
      <c r="G57" s="0" t="n">
        <v>16</v>
      </c>
      <c r="H57" s="0" t="n">
        <v>259.08</v>
      </c>
      <c r="I57" s="0" t="s">
        <v>172</v>
      </c>
      <c r="J57" s="0" t="s">
        <v>173</v>
      </c>
      <c r="K57" s="0" t="s">
        <v>50</v>
      </c>
    </row>
    <row r="58" customFormat="false" ht="15" hidden="false" customHeight="false" outlineLevel="0" collapsed="false">
      <c r="A58" s="0" t="s">
        <v>174</v>
      </c>
      <c r="B58" s="0" t="s">
        <v>175</v>
      </c>
      <c r="C58" s="0" t="n">
        <v>9.294</v>
      </c>
      <c r="D58" s="0" t="n">
        <v>15.375</v>
      </c>
      <c r="E58" s="0" t="n">
        <v>1</v>
      </c>
      <c r="F58" s="0" t="s">
        <v>84</v>
      </c>
      <c r="G58" s="0" t="n">
        <v>16</v>
      </c>
      <c r="H58" s="0" t="n">
        <v>142.9</v>
      </c>
      <c r="I58" s="0" t="s">
        <v>176</v>
      </c>
      <c r="J58" s="0" t="s">
        <v>173</v>
      </c>
      <c r="K58" s="0" t="s">
        <v>50</v>
      </c>
    </row>
    <row r="59" customFormat="false" ht="15" hidden="false" customHeight="false" outlineLevel="0" collapsed="false">
      <c r="A59" s="0" t="s">
        <v>177</v>
      </c>
      <c r="B59" s="0" t="s">
        <v>178</v>
      </c>
      <c r="C59" s="0" t="n">
        <v>2.15</v>
      </c>
      <c r="D59" s="0" t="n">
        <v>12.925</v>
      </c>
      <c r="E59" s="0" t="n">
        <v>1</v>
      </c>
      <c r="F59" s="0" t="s">
        <v>84</v>
      </c>
      <c r="G59" s="0" t="n">
        <v>16</v>
      </c>
      <c r="H59" s="0" t="n">
        <v>27.79</v>
      </c>
      <c r="I59" s="0" t="s">
        <v>179</v>
      </c>
      <c r="J59" s="0" t="s">
        <v>173</v>
      </c>
      <c r="K59" s="0" t="s">
        <v>50</v>
      </c>
    </row>
    <row r="60" customFormat="false" ht="15" hidden="false" customHeight="false" outlineLevel="0" collapsed="false">
      <c r="A60" s="0" t="s">
        <v>180</v>
      </c>
      <c r="B60" s="0" t="s">
        <v>181</v>
      </c>
      <c r="C60" s="0" t="n">
        <v>3.75</v>
      </c>
      <c r="D60" s="0" t="n">
        <v>15.375</v>
      </c>
      <c r="E60" s="0" t="n">
        <v>1</v>
      </c>
      <c r="F60" s="0" t="s">
        <v>84</v>
      </c>
      <c r="G60" s="0" t="n">
        <v>16</v>
      </c>
      <c r="H60" s="0" t="n">
        <v>39.38</v>
      </c>
      <c r="I60" s="0" t="s">
        <v>182</v>
      </c>
      <c r="J60" s="0" t="s">
        <v>173</v>
      </c>
      <c r="K60" s="0" t="s">
        <v>50</v>
      </c>
    </row>
    <row r="61" customFormat="false" ht="15" hidden="false" customHeight="false" outlineLevel="0" collapsed="false">
      <c r="A61" s="0" t="s">
        <v>183</v>
      </c>
      <c r="B61" s="0" t="s">
        <v>184</v>
      </c>
      <c r="C61" s="0" t="n">
        <v>3.75</v>
      </c>
      <c r="D61" s="0" t="n">
        <v>15.375</v>
      </c>
      <c r="E61" s="0" t="n">
        <v>1</v>
      </c>
      <c r="F61" s="0" t="s">
        <v>84</v>
      </c>
      <c r="G61" s="0" t="n">
        <v>16</v>
      </c>
      <c r="H61" s="0" t="n">
        <v>39.38</v>
      </c>
      <c r="I61" s="0" t="s">
        <v>182</v>
      </c>
      <c r="J61" s="0" t="s">
        <v>173</v>
      </c>
      <c r="K61" s="0" t="s">
        <v>50</v>
      </c>
    </row>
    <row r="62" customFormat="false" ht="15" hidden="false" customHeight="false" outlineLevel="0" collapsed="false">
      <c r="A62" s="0" t="s">
        <v>185</v>
      </c>
      <c r="B62" s="0" t="s">
        <v>186</v>
      </c>
      <c r="C62" s="0" t="n">
        <v>3</v>
      </c>
      <c r="D62" s="0" t="n">
        <v>15.375</v>
      </c>
      <c r="E62" s="0" t="n">
        <v>1</v>
      </c>
      <c r="F62" s="0" t="s">
        <v>84</v>
      </c>
      <c r="G62" s="0" t="n">
        <v>16</v>
      </c>
      <c r="H62" s="0" t="n">
        <v>31.5</v>
      </c>
      <c r="I62" s="0" t="s">
        <v>182</v>
      </c>
      <c r="J62" s="0" t="s">
        <v>173</v>
      </c>
      <c r="K62" s="0" t="s">
        <v>50</v>
      </c>
    </row>
    <row r="63" customFormat="false" ht="15" hidden="false" customHeight="false" outlineLevel="0" collapsed="false">
      <c r="A63" s="0" t="s">
        <v>187</v>
      </c>
      <c r="B63" s="0" t="s">
        <v>188</v>
      </c>
      <c r="C63" s="0" t="n">
        <v>3</v>
      </c>
      <c r="D63" s="0" t="n">
        <v>15.375</v>
      </c>
      <c r="E63" s="0" t="n">
        <v>1</v>
      </c>
      <c r="F63" s="0" t="s">
        <v>84</v>
      </c>
      <c r="G63" s="0" t="n">
        <v>16</v>
      </c>
      <c r="H63" s="0" t="n">
        <v>31.5</v>
      </c>
      <c r="I63" s="0" t="s">
        <v>182</v>
      </c>
      <c r="J63" s="0" t="s">
        <v>173</v>
      </c>
      <c r="K63" s="0" t="s">
        <v>50</v>
      </c>
    </row>
    <row r="64" customFormat="false" ht="15" hidden="false" customHeight="false" outlineLevel="0" collapsed="false">
      <c r="A64" s="5" t="s">
        <v>189</v>
      </c>
    </row>
    <row r="65" customFormat="false" ht="15" hidden="false" customHeight="false" outlineLevel="0" collapsed="false">
      <c r="A65" s="0" t="s">
        <v>190</v>
      </c>
      <c r="B65" s="0" t="s">
        <v>191</v>
      </c>
      <c r="C65" s="0" t="n">
        <v>12.638</v>
      </c>
      <c r="D65" s="0" t="n">
        <v>14.362</v>
      </c>
      <c r="E65" s="0" t="n">
        <v>1</v>
      </c>
      <c r="F65" s="0" t="s">
        <v>114</v>
      </c>
      <c r="G65" s="0" t="n">
        <v>16</v>
      </c>
      <c r="H65" s="0" t="n">
        <v>194.31</v>
      </c>
      <c r="I65" s="0" t="s">
        <v>192</v>
      </c>
      <c r="J65" s="0" t="s">
        <v>193</v>
      </c>
      <c r="K65" s="0" t="s">
        <v>50</v>
      </c>
    </row>
    <row r="66" customFormat="false" ht="15" hidden="false" customHeight="false" outlineLevel="0" collapsed="false">
      <c r="A66" s="0" t="s">
        <v>194</v>
      </c>
      <c r="B66" s="0" t="s">
        <v>195</v>
      </c>
      <c r="C66" s="0" t="n">
        <v>75.333</v>
      </c>
      <c r="D66" s="0" t="n">
        <v>13.68</v>
      </c>
      <c r="E66" s="0" t="n">
        <v>1</v>
      </c>
      <c r="F66" s="0" t="s">
        <v>114</v>
      </c>
      <c r="G66" s="0" t="n">
        <v>16</v>
      </c>
      <c r="H66" s="0" t="n">
        <v>1100.52</v>
      </c>
      <c r="I66" s="0" t="s">
        <v>196</v>
      </c>
      <c r="J66" s="0" t="s">
        <v>193</v>
      </c>
      <c r="K66" s="0" t="s">
        <v>50</v>
      </c>
    </row>
    <row r="67" customFormat="false" ht="15" hidden="false" customHeight="false" outlineLevel="0" collapsed="false">
      <c r="A67" s="0" t="s">
        <v>197</v>
      </c>
      <c r="B67" s="0" t="s">
        <v>198</v>
      </c>
      <c r="C67" s="0" t="n">
        <v>51.729</v>
      </c>
      <c r="D67" s="0" t="n">
        <v>11.056</v>
      </c>
      <c r="E67" s="0" t="n">
        <v>1</v>
      </c>
      <c r="F67" s="0" t="s">
        <v>114</v>
      </c>
      <c r="G67" s="0" t="n">
        <v>16</v>
      </c>
      <c r="H67" s="0" t="n">
        <v>648.22</v>
      </c>
      <c r="I67" s="0" t="s">
        <v>199</v>
      </c>
      <c r="J67" s="0" t="s">
        <v>193</v>
      </c>
      <c r="K67" s="0" t="s">
        <v>34</v>
      </c>
    </row>
    <row r="68" customFormat="false" ht="15" hidden="false" customHeight="false" outlineLevel="0" collapsed="false">
      <c r="A68" s="0" t="s">
        <v>200</v>
      </c>
      <c r="B68" s="0" t="s">
        <v>201</v>
      </c>
      <c r="C68" s="0" t="n">
        <v>47.413</v>
      </c>
      <c r="D68" s="0" t="n">
        <v>13.075</v>
      </c>
      <c r="E68" s="0" t="n">
        <v>1</v>
      </c>
      <c r="F68" s="0" t="s">
        <v>114</v>
      </c>
      <c r="G68" s="0" t="n">
        <v>16</v>
      </c>
      <c r="H68" s="0" t="n">
        <v>671.25</v>
      </c>
      <c r="I68" s="0" t="s">
        <v>202</v>
      </c>
      <c r="J68" s="0" t="s">
        <v>193</v>
      </c>
      <c r="K68" s="0" t="s">
        <v>50</v>
      </c>
    </row>
    <row r="69" customFormat="false" ht="15" hidden="false" customHeight="false" outlineLevel="0" collapsed="false">
      <c r="A69" s="0" t="s">
        <v>203</v>
      </c>
      <c r="B69" s="0" t="s">
        <v>204</v>
      </c>
      <c r="C69" s="0" t="n">
        <v>1.92</v>
      </c>
      <c r="D69" s="0" t="n">
        <v>14.553</v>
      </c>
      <c r="E69" s="0" t="n">
        <v>1</v>
      </c>
      <c r="F69" s="0" t="s">
        <v>114</v>
      </c>
      <c r="G69" s="0" t="n">
        <v>16</v>
      </c>
      <c r="H69" s="0" t="n">
        <v>29.52</v>
      </c>
      <c r="I69" s="0" t="s">
        <v>205</v>
      </c>
      <c r="J69" s="0" t="s">
        <v>193</v>
      </c>
      <c r="K69" s="0" t="s">
        <v>50</v>
      </c>
    </row>
    <row r="70" customFormat="false" ht="15" hidden="false" customHeight="false" outlineLevel="0" collapsed="false">
      <c r="A70" s="0" t="s">
        <v>206</v>
      </c>
      <c r="B70" s="0" t="s">
        <v>207</v>
      </c>
      <c r="C70" s="0" t="n">
        <v>18.987</v>
      </c>
      <c r="D70" s="0" t="n">
        <v>14.553</v>
      </c>
      <c r="E70" s="0" t="n">
        <v>1</v>
      </c>
      <c r="F70" s="0" t="s">
        <v>114</v>
      </c>
      <c r="G70" s="0" t="n">
        <v>16</v>
      </c>
      <c r="H70" s="0" t="n">
        <v>291.93</v>
      </c>
      <c r="I70" s="0" t="s">
        <v>208</v>
      </c>
      <c r="J70" s="0" t="s">
        <v>193</v>
      </c>
      <c r="K70" s="0" t="s">
        <v>50</v>
      </c>
    </row>
    <row r="71" customFormat="false" ht="15" hidden="false" customHeight="false" outlineLevel="0" collapsed="false">
      <c r="A71" s="0" t="s">
        <v>209</v>
      </c>
      <c r="B71" s="0" t="s">
        <v>210</v>
      </c>
      <c r="C71" s="0" t="n">
        <v>3.96</v>
      </c>
      <c r="D71" s="0" t="n">
        <v>14.362</v>
      </c>
      <c r="E71" s="0" t="n">
        <v>1</v>
      </c>
      <c r="F71" s="0" t="s">
        <v>114</v>
      </c>
      <c r="G71" s="0" t="n">
        <v>16</v>
      </c>
      <c r="H71" s="0" t="n">
        <v>60.88</v>
      </c>
      <c r="I71" s="0" t="s">
        <v>211</v>
      </c>
      <c r="J71" s="0" t="s">
        <v>193</v>
      </c>
      <c r="K71" s="0" t="s">
        <v>50</v>
      </c>
    </row>
    <row r="72" customFormat="false" ht="15" hidden="false" customHeight="false" outlineLevel="0" collapsed="false">
      <c r="A72" s="5" t="s">
        <v>212</v>
      </c>
    </row>
    <row r="73" customFormat="false" ht="15" hidden="false" customHeight="false" outlineLevel="0" collapsed="false">
      <c r="A73" s="0" t="s">
        <v>213</v>
      </c>
      <c r="B73" s="0" t="s">
        <v>214</v>
      </c>
      <c r="C73" s="0" t="n">
        <v>6.667</v>
      </c>
      <c r="D73" s="0" t="n">
        <v>10.5</v>
      </c>
      <c r="E73" s="0" t="n">
        <v>0</v>
      </c>
      <c r="F73" s="0" t="s">
        <v>84</v>
      </c>
      <c r="G73" s="0" t="n">
        <v>16</v>
      </c>
      <c r="H73" s="0" t="n">
        <v>0</v>
      </c>
      <c r="I73" s="0" t="s">
        <v>214</v>
      </c>
      <c r="J73" s="0" t="s">
        <v>215</v>
      </c>
      <c r="K73" s="0" t="s">
        <v>50</v>
      </c>
    </row>
    <row r="74" customFormat="false" ht="15" hidden="false" customHeight="false" outlineLevel="0" collapsed="false">
      <c r="A74" s="0" t="s">
        <v>216</v>
      </c>
      <c r="B74" s="0" t="s">
        <v>217</v>
      </c>
      <c r="C74" s="0" t="n">
        <v>6.667</v>
      </c>
      <c r="D74" s="0" t="n">
        <v>10.5</v>
      </c>
      <c r="E74" s="0" t="n">
        <v>0</v>
      </c>
      <c r="F74" s="0" t="s">
        <v>84</v>
      </c>
      <c r="G74" s="0" t="n">
        <v>16</v>
      </c>
      <c r="H74" s="0" t="n">
        <v>0</v>
      </c>
      <c r="I74" s="0" t="s">
        <v>217</v>
      </c>
      <c r="J74" s="0" t="s">
        <v>215</v>
      </c>
      <c r="K74" s="0" t="s">
        <v>50</v>
      </c>
    </row>
    <row r="75" customFormat="false" ht="15" hidden="false" customHeight="false" outlineLevel="0" collapsed="false">
      <c r="A75" s="0" t="s">
        <v>218</v>
      </c>
      <c r="B75" s="0" t="s">
        <v>219</v>
      </c>
      <c r="C75" s="0" t="n">
        <v>6.667</v>
      </c>
      <c r="D75" s="0" t="n">
        <v>10.5</v>
      </c>
      <c r="E75" s="0" t="n">
        <v>0</v>
      </c>
      <c r="F75" s="0" t="s">
        <v>84</v>
      </c>
      <c r="G75" s="0" t="n">
        <v>16</v>
      </c>
      <c r="H75" s="0" t="n">
        <v>0</v>
      </c>
      <c r="I75" s="0" t="s">
        <v>219</v>
      </c>
      <c r="J75" s="0" t="s">
        <v>215</v>
      </c>
      <c r="K75" s="0" t="s">
        <v>50</v>
      </c>
    </row>
    <row r="76" customFormat="false" ht="15" hidden="false" customHeight="false" outlineLevel="0" collapsed="false">
      <c r="A76" s="0" t="s">
        <v>220</v>
      </c>
      <c r="B76" s="0" t="s">
        <v>221</v>
      </c>
      <c r="C76" s="0" t="n">
        <v>6.667</v>
      </c>
      <c r="D76" s="0" t="n">
        <v>10.5</v>
      </c>
      <c r="E76" s="0" t="n">
        <v>0</v>
      </c>
      <c r="F76" s="0" t="s">
        <v>84</v>
      </c>
      <c r="G76" s="0" t="n">
        <v>16</v>
      </c>
      <c r="H76" s="0" t="n">
        <v>0</v>
      </c>
      <c r="I76" s="0" t="s">
        <v>221</v>
      </c>
      <c r="J76" s="0" t="s">
        <v>215</v>
      </c>
      <c r="K76" s="0" t="s">
        <v>50</v>
      </c>
    </row>
    <row r="77" customFormat="false" ht="15" hidden="false" customHeight="false" outlineLevel="0" collapsed="false">
      <c r="A77" s="5" t="s">
        <v>222</v>
      </c>
    </row>
    <row r="78" customFormat="false" ht="15" hidden="false" customHeight="false" outlineLevel="0" collapsed="false">
      <c r="A78" s="0" t="s">
        <v>223</v>
      </c>
      <c r="B78" s="0" t="s">
        <v>224</v>
      </c>
      <c r="C78" s="0" t="n">
        <v>57.5</v>
      </c>
      <c r="D78" s="0" t="n">
        <v>2.678</v>
      </c>
      <c r="E78" s="0" t="n">
        <v>0</v>
      </c>
      <c r="F78" s="0" t="s">
        <v>225</v>
      </c>
      <c r="G78" s="0" t="n">
        <v>16</v>
      </c>
      <c r="H78" s="0" t="n">
        <v>0</v>
      </c>
      <c r="I78" s="0" t="s">
        <v>226</v>
      </c>
      <c r="J78" s="0" t="s">
        <v>227</v>
      </c>
      <c r="K78" s="0" t="s">
        <v>50</v>
      </c>
    </row>
    <row r="79" customFormat="false" ht="15" hidden="false" customHeight="false" outlineLevel="0" collapsed="false">
      <c r="A79" s="0" t="s">
        <v>228</v>
      </c>
      <c r="B79" s="0" t="s">
        <v>229</v>
      </c>
      <c r="C79" s="0" t="n">
        <v>76.83</v>
      </c>
      <c r="D79" s="0" t="n">
        <v>3.007</v>
      </c>
      <c r="E79" s="0" t="n">
        <v>0</v>
      </c>
      <c r="F79" s="0" t="s">
        <v>225</v>
      </c>
      <c r="G79" s="0" t="n">
        <v>16</v>
      </c>
      <c r="H79" s="0" t="n">
        <v>0</v>
      </c>
      <c r="I79" s="0" t="s">
        <v>230</v>
      </c>
      <c r="J79" s="0" t="s">
        <v>227</v>
      </c>
      <c r="K79" s="0" t="s">
        <v>50</v>
      </c>
    </row>
    <row r="80" customFormat="false" ht="15" hidden="false" customHeight="false" outlineLevel="0" collapsed="false">
      <c r="A80" s="0" t="s">
        <v>231</v>
      </c>
      <c r="B80" s="0" t="s">
        <v>232</v>
      </c>
      <c r="C80" s="0" t="n">
        <v>53.58</v>
      </c>
      <c r="D80" s="0" t="n">
        <v>4.886</v>
      </c>
      <c r="E80" s="0" t="n">
        <v>0</v>
      </c>
      <c r="F80" s="0" t="s">
        <v>225</v>
      </c>
      <c r="G80" s="0" t="n">
        <v>16</v>
      </c>
      <c r="H80" s="0" t="n">
        <v>0</v>
      </c>
      <c r="I80" s="0" t="s">
        <v>232</v>
      </c>
      <c r="J80" s="0" t="s">
        <v>227</v>
      </c>
      <c r="K80" s="0" t="s">
        <v>50</v>
      </c>
    </row>
    <row r="81" customFormat="false" ht="15" hidden="false" customHeight="false" outlineLevel="0" collapsed="false">
      <c r="A81" s="0" t="s">
        <v>233</v>
      </c>
      <c r="B81" s="0" t="s">
        <v>234</v>
      </c>
      <c r="C81" s="0" t="n">
        <v>76.83</v>
      </c>
      <c r="D81" s="0" t="n">
        <v>3.865</v>
      </c>
      <c r="E81" s="0" t="n">
        <v>0</v>
      </c>
      <c r="F81" s="0" t="s">
        <v>225</v>
      </c>
      <c r="G81" s="0" t="n">
        <v>16</v>
      </c>
      <c r="H81" s="0" t="n">
        <v>0</v>
      </c>
      <c r="I81" s="0" t="s">
        <v>235</v>
      </c>
      <c r="J81" s="0" t="s">
        <v>227</v>
      </c>
      <c r="K81" s="0" t="s">
        <v>50</v>
      </c>
    </row>
    <row r="82" customFormat="false" ht="15" hidden="false" customHeight="false" outlineLevel="0" collapsed="false">
      <c r="B82" s="6" t="s">
        <v>236</v>
      </c>
      <c r="C82" s="3" t="n">
        <f aca="false">SUM(C5:C81)</f>
        <v>929.955</v>
      </c>
      <c r="H82" s="3" t="n">
        <f aca="false">SUM(H5:H81)</f>
        <v>16462.17</v>
      </c>
    </row>
    <row r="84" customFormat="false" ht="15" hidden="false" customHeight="false" outlineLevel="0" collapsed="false">
      <c r="A84" s="5" t="s">
        <v>237</v>
      </c>
    </row>
    <row r="85" customFormat="false" ht="15" hidden="false" customHeight="false" outlineLevel="0" collapsed="false">
      <c r="A85" s="0" t="s">
        <v>238</v>
      </c>
      <c r="B85" s="0" t="s">
        <v>239</v>
      </c>
      <c r="C85" s="0" t="n">
        <v>12.563</v>
      </c>
      <c r="D85" s="0" t="n">
        <v>4.987</v>
      </c>
      <c r="E85" s="0" t="n">
        <v>1</v>
      </c>
      <c r="F85" s="0" t="s">
        <v>114</v>
      </c>
      <c r="G85" s="0" t="n">
        <v>16</v>
      </c>
      <c r="H85" s="0" t="n">
        <v>67.53</v>
      </c>
      <c r="I85" s="0" t="s">
        <v>240</v>
      </c>
      <c r="J85" s="0" t="s">
        <v>241</v>
      </c>
      <c r="K85" s="0" t="s">
        <v>50</v>
      </c>
    </row>
    <row r="86" customFormat="false" ht="15" hidden="false" customHeight="false" outlineLevel="0" collapsed="false">
      <c r="A86" s="0" t="s">
        <v>242</v>
      </c>
      <c r="B86" s="0" t="s">
        <v>243</v>
      </c>
      <c r="C86" s="0" t="n">
        <v>26.25</v>
      </c>
      <c r="D86" s="0" t="n">
        <v>4.987</v>
      </c>
      <c r="E86" s="0" t="n">
        <v>1</v>
      </c>
      <c r="F86" s="0" t="s">
        <v>114</v>
      </c>
      <c r="G86" s="0" t="n">
        <v>16</v>
      </c>
      <c r="H86" s="0" t="n">
        <v>141.09</v>
      </c>
      <c r="I86" s="0" t="s">
        <v>240</v>
      </c>
      <c r="J86" s="0" t="s">
        <v>241</v>
      </c>
      <c r="K86" s="0" t="s">
        <v>50</v>
      </c>
    </row>
    <row r="87" customFormat="false" ht="15" hidden="false" customHeight="false" outlineLevel="0" collapsed="false">
      <c r="A87" s="0" t="s">
        <v>244</v>
      </c>
      <c r="B87" s="0" t="s">
        <v>245</v>
      </c>
      <c r="C87" s="0" t="n">
        <v>6.5</v>
      </c>
      <c r="D87" s="0" t="n">
        <v>4.987</v>
      </c>
      <c r="E87" s="0" t="n">
        <v>1</v>
      </c>
      <c r="F87" s="0" t="s">
        <v>114</v>
      </c>
      <c r="G87" s="0" t="n">
        <v>16</v>
      </c>
      <c r="H87" s="0" t="n">
        <v>34.94</v>
      </c>
      <c r="I87" s="0" t="s">
        <v>240</v>
      </c>
      <c r="J87" s="0" t="s">
        <v>241</v>
      </c>
      <c r="K87" s="0" t="s">
        <v>50</v>
      </c>
    </row>
    <row r="88" customFormat="false" ht="15" hidden="false" customHeight="false" outlineLevel="0" collapsed="false">
      <c r="A88" s="0" t="s">
        <v>246</v>
      </c>
      <c r="B88" s="0" t="s">
        <v>247</v>
      </c>
      <c r="C88" s="0" t="n">
        <v>15.646</v>
      </c>
      <c r="D88" s="0" t="n">
        <v>6.708</v>
      </c>
      <c r="E88" s="0" t="n">
        <v>2</v>
      </c>
      <c r="F88" s="0" t="s">
        <v>84</v>
      </c>
      <c r="G88" s="0" t="n">
        <v>16</v>
      </c>
      <c r="H88" s="0" t="n">
        <v>57.36</v>
      </c>
      <c r="I88" s="0" t="s">
        <v>248</v>
      </c>
      <c r="J88" s="0" t="s">
        <v>249</v>
      </c>
      <c r="K88" s="0" t="s">
        <v>50</v>
      </c>
    </row>
    <row r="89" customFormat="false" ht="15" hidden="false" customHeight="false" outlineLevel="0" collapsed="false">
      <c r="A89" s="0" t="s">
        <v>250</v>
      </c>
      <c r="B89" s="0" t="s">
        <v>251</v>
      </c>
      <c r="C89" s="0" t="n">
        <v>6.531</v>
      </c>
      <c r="D89" s="0" t="n">
        <v>6.708</v>
      </c>
      <c r="E89" s="0" t="n">
        <v>2</v>
      </c>
      <c r="F89" s="0" t="s">
        <v>84</v>
      </c>
      <c r="G89" s="0" t="n">
        <v>16</v>
      </c>
      <c r="H89" s="0" t="n">
        <v>33.74</v>
      </c>
      <c r="I89" s="0" t="s">
        <v>252</v>
      </c>
      <c r="J89" s="0" t="s">
        <v>249</v>
      </c>
      <c r="K89" s="0" t="s">
        <v>50</v>
      </c>
    </row>
    <row r="90" customFormat="false" ht="15" hidden="false" customHeight="false" outlineLevel="0" collapsed="false">
      <c r="A90" s="0" t="s">
        <v>253</v>
      </c>
      <c r="B90" s="0" t="s">
        <v>254</v>
      </c>
      <c r="C90" s="0" t="n">
        <v>13.333</v>
      </c>
      <c r="D90" s="0" t="n">
        <v>1.5</v>
      </c>
      <c r="E90" s="0" t="n">
        <v>0</v>
      </c>
      <c r="F90" s="0" t="s">
        <v>255</v>
      </c>
      <c r="G90" s="0" t="n">
        <v>16</v>
      </c>
      <c r="H90" s="0" t="n">
        <v>0</v>
      </c>
      <c r="I90" s="0" t="s">
        <v>254</v>
      </c>
      <c r="J90" s="0" t="s">
        <v>256</v>
      </c>
      <c r="K90" s="0" t="s">
        <v>50</v>
      </c>
    </row>
    <row r="91" customFormat="false" ht="15" hidden="false" customHeight="false" outlineLevel="0" collapsed="false">
      <c r="A91" s="0" t="s">
        <v>257</v>
      </c>
      <c r="B91" s="0" t="s">
        <v>258</v>
      </c>
      <c r="C91" s="0" t="n">
        <v>51.729</v>
      </c>
      <c r="D91" s="0" t="n">
        <v>2.323</v>
      </c>
      <c r="E91" s="0" t="n">
        <v>0</v>
      </c>
      <c r="F91" s="0" t="s">
        <v>84</v>
      </c>
      <c r="G91" s="0" t="n">
        <v>16</v>
      </c>
      <c r="H91" s="0" t="n">
        <v>0</v>
      </c>
      <c r="I91" s="0" t="s">
        <v>258</v>
      </c>
      <c r="J91" s="0" t="s">
        <v>259</v>
      </c>
      <c r="K91" s="0" t="s">
        <v>50</v>
      </c>
    </row>
    <row r="92" customFormat="false" ht="15" hidden="false" customHeight="false" outlineLevel="0" collapsed="false">
      <c r="A92" s="0" t="s">
        <v>260</v>
      </c>
      <c r="B92" s="0" t="s">
        <v>261</v>
      </c>
      <c r="C92" s="0" t="n">
        <v>51.729</v>
      </c>
      <c r="D92" s="0" t="n">
        <v>1.145</v>
      </c>
      <c r="E92" s="0" t="n">
        <v>1</v>
      </c>
      <c r="F92" s="0" t="s">
        <v>84</v>
      </c>
      <c r="G92" s="0" t="n">
        <v>16</v>
      </c>
      <c r="H92" s="0" t="n">
        <v>59.23</v>
      </c>
      <c r="I92" s="0" t="s">
        <v>262</v>
      </c>
      <c r="J92" s="0" t="s">
        <v>259</v>
      </c>
      <c r="K92" s="0" t="s">
        <v>50</v>
      </c>
    </row>
    <row r="93" customFormat="false" ht="15" hidden="false" customHeight="false" outlineLevel="0" collapsed="false">
      <c r="A93" s="0" t="s">
        <v>263</v>
      </c>
      <c r="B93" s="0" t="s">
        <v>264</v>
      </c>
      <c r="C93" s="0" t="n">
        <v>51.729</v>
      </c>
      <c r="D93" s="0" t="n">
        <v>1.145</v>
      </c>
      <c r="E93" s="0" t="n">
        <v>1</v>
      </c>
      <c r="F93" s="0" t="s">
        <v>84</v>
      </c>
      <c r="G93" s="0" t="n">
        <v>16</v>
      </c>
      <c r="H93" s="0" t="n">
        <v>59.23</v>
      </c>
      <c r="I93" s="0" t="s">
        <v>262</v>
      </c>
      <c r="J93" s="0" t="s">
        <v>259</v>
      </c>
      <c r="K93" s="0" t="s">
        <v>50</v>
      </c>
    </row>
    <row r="94" customFormat="false" ht="15" hidden="false" customHeight="false" outlineLevel="0" collapsed="false">
      <c r="A94" s="0" t="s">
        <v>265</v>
      </c>
      <c r="B94" s="0" t="s">
        <v>266</v>
      </c>
      <c r="C94" s="0" t="n">
        <v>60</v>
      </c>
      <c r="D94" s="0" t="n">
        <v>1.864</v>
      </c>
      <c r="E94" s="0" t="n">
        <v>0</v>
      </c>
      <c r="F94" s="0" t="s">
        <v>267</v>
      </c>
      <c r="G94" s="0" t="n">
        <v>16</v>
      </c>
      <c r="H94" s="0" t="n">
        <v>0</v>
      </c>
      <c r="I94" s="0" t="s">
        <v>266</v>
      </c>
      <c r="J94" s="0" t="s">
        <v>268</v>
      </c>
      <c r="K94" s="0" t="s">
        <v>50</v>
      </c>
    </row>
    <row r="95" customFormat="false" ht="15" hidden="false" customHeight="false" outlineLevel="0" collapsed="false">
      <c r="A95" s="0" t="s">
        <v>269</v>
      </c>
      <c r="B95" s="0" t="s">
        <v>270</v>
      </c>
      <c r="C95" s="0" t="n">
        <v>54</v>
      </c>
      <c r="D95" s="0" t="n">
        <v>1.864</v>
      </c>
      <c r="E95" s="0" t="n">
        <v>0</v>
      </c>
      <c r="F95" s="0" t="s">
        <v>267</v>
      </c>
      <c r="G95" s="0" t="n">
        <v>16</v>
      </c>
      <c r="H95" s="0" t="n">
        <v>0</v>
      </c>
      <c r="I95" s="0" t="s">
        <v>270</v>
      </c>
      <c r="J95" s="0" t="s">
        <v>268</v>
      </c>
      <c r="K95" s="0" t="s">
        <v>50</v>
      </c>
    </row>
    <row r="96" customFormat="false" ht="15" hidden="false" customHeight="false" outlineLevel="0" collapsed="false">
      <c r="A96" s="0" t="s">
        <v>271</v>
      </c>
      <c r="B96" s="0" t="s">
        <v>272</v>
      </c>
      <c r="C96" s="0" t="n">
        <v>73.3</v>
      </c>
      <c r="D96" s="0" t="n">
        <v>1.864</v>
      </c>
      <c r="E96" s="0" t="n">
        <v>0</v>
      </c>
      <c r="F96" s="0" t="s">
        <v>267</v>
      </c>
      <c r="G96" s="0" t="n">
        <v>16</v>
      </c>
      <c r="H96" s="0" t="n">
        <v>0</v>
      </c>
      <c r="I96" s="0" t="s">
        <v>272</v>
      </c>
      <c r="J96" s="0" t="s">
        <v>268</v>
      </c>
      <c r="K96" s="0" t="s">
        <v>50</v>
      </c>
    </row>
    <row r="97" customFormat="false" ht="15" hidden="false" customHeight="false" outlineLevel="0" collapsed="false">
      <c r="A97" s="0" t="s">
        <v>273</v>
      </c>
      <c r="B97" s="0" t="s">
        <v>274</v>
      </c>
      <c r="C97" s="0" t="n">
        <v>29.2</v>
      </c>
      <c r="D97" s="0" t="n">
        <v>1.864</v>
      </c>
      <c r="E97" s="0" t="n">
        <v>0</v>
      </c>
      <c r="F97" s="0" t="s">
        <v>267</v>
      </c>
      <c r="G97" s="0" t="n">
        <v>16</v>
      </c>
      <c r="H97" s="0" t="n">
        <v>0</v>
      </c>
      <c r="I97" s="0" t="s">
        <v>274</v>
      </c>
      <c r="J97" s="0" t="s">
        <v>268</v>
      </c>
      <c r="K97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52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0" t="s">
        <v>276</v>
      </c>
    </row>
    <row r="3" customFormat="false" ht="15" hidden="false" customHeight="false" outlineLevel="0" collapsed="false">
      <c r="A3" s="4" t="s">
        <v>277</v>
      </c>
      <c r="B3" s="4" t="s">
        <v>278</v>
      </c>
      <c r="C3" s="4" t="s">
        <v>279</v>
      </c>
      <c r="D3" s="4" t="s">
        <v>280</v>
      </c>
      <c r="E3" s="4" t="s">
        <v>281</v>
      </c>
      <c r="F3" s="4" t="s">
        <v>282</v>
      </c>
      <c r="G3" s="4" t="s">
        <v>283</v>
      </c>
      <c r="H3" s="4" t="s">
        <v>284</v>
      </c>
      <c r="I3" s="4" t="s">
        <v>285</v>
      </c>
    </row>
    <row r="4" customFormat="false" ht="15" hidden="false" customHeight="false" outlineLevel="0" collapsed="false">
      <c r="A4" s="0" t="s">
        <v>286</v>
      </c>
      <c r="B4" s="0" t="s">
        <v>287</v>
      </c>
      <c r="C4" s="0" t="n">
        <v>4324.03</v>
      </c>
      <c r="D4" s="0" t="n">
        <f aca="false">Inputs!$B$4</f>
        <v>0.15</v>
      </c>
      <c r="E4" s="0" t="n">
        <f aca="false">C4*D4</f>
        <v>648.6045</v>
      </c>
      <c r="F4" s="0" t="n">
        <f aca="false">C4+E4</f>
        <v>4972.6345</v>
      </c>
      <c r="G4" s="0" t="s">
        <v>288</v>
      </c>
      <c r="H4" s="0" t="n">
        <f aca="false">ROUNDUP(ROUNDUP(F4/14.4,0)/MAX(1,INT(20/14.4)),0)</f>
        <v>346</v>
      </c>
      <c r="I4" s="0" t="s">
        <v>289</v>
      </c>
    </row>
    <row r="5" customFormat="false" ht="15" hidden="false" customHeight="false" outlineLevel="0" collapsed="false">
      <c r="A5" s="0" t="s">
        <v>290</v>
      </c>
      <c r="B5" s="0" t="s">
        <v>287</v>
      </c>
      <c r="C5" s="0" t="n">
        <v>979.19</v>
      </c>
      <c r="D5" s="0" t="n">
        <f aca="false">Inputs!$B$4</f>
        <v>0.15</v>
      </c>
      <c r="E5" s="0" t="n">
        <f aca="false">C5*D5</f>
        <v>146.8785</v>
      </c>
      <c r="F5" s="0" t="n">
        <f aca="false">C5+E5</f>
        <v>1126.0685</v>
      </c>
      <c r="G5" s="0" t="s">
        <v>288</v>
      </c>
      <c r="H5" s="0" t="n">
        <f aca="false">ROUNDUP(ROUNDUP(F5/3,0)/MAX(1,INT(20/3)),0)</f>
        <v>63</v>
      </c>
      <c r="I5" s="0" t="s">
        <v>291</v>
      </c>
    </row>
    <row r="6" customFormat="false" ht="15" hidden="false" customHeight="false" outlineLevel="0" collapsed="false">
      <c r="A6" s="0" t="s">
        <v>292</v>
      </c>
      <c r="B6" s="0" t="s">
        <v>287</v>
      </c>
      <c r="C6" s="0" t="n">
        <v>5713.21</v>
      </c>
      <c r="D6" s="0" t="n">
        <f aca="false">Inputs!$B$4</f>
        <v>0.15</v>
      </c>
      <c r="E6" s="0" t="n">
        <f aca="false">C6*D6</f>
        <v>856.9815</v>
      </c>
      <c r="F6" s="0" t="n">
        <f aca="false">C6+E6</f>
        <v>6570.1915</v>
      </c>
      <c r="G6" s="0" t="s">
        <v>288</v>
      </c>
      <c r="H6" s="0" t="n">
        <f aca="false">ROUNDUP(ROUNDUP(F6/14,0)/MAX(1,INT(20/14)),0)</f>
        <v>470</v>
      </c>
      <c r="I6" s="0" t="s">
        <v>293</v>
      </c>
    </row>
    <row r="7" customFormat="false" ht="15" hidden="false" customHeight="false" outlineLevel="0" collapsed="false">
      <c r="A7" s="0" t="s">
        <v>294</v>
      </c>
      <c r="B7" s="0" t="s">
        <v>287</v>
      </c>
      <c r="C7" s="0" t="n">
        <v>3734.25</v>
      </c>
      <c r="D7" s="0" t="n">
        <f aca="false">Inputs!$B$4</f>
        <v>0.15</v>
      </c>
      <c r="E7" s="0" t="n">
        <f aca="false">C7*D7</f>
        <v>560.1375</v>
      </c>
      <c r="F7" s="0" t="n">
        <f aca="false">C7+E7</f>
        <v>4294.3875</v>
      </c>
      <c r="G7" s="0" t="s">
        <v>288</v>
      </c>
      <c r="H7" s="0" t="n">
        <f aca="false">ROUNDUP(ROUNDUP(F7/15,0)/MAX(1,INT(20/15)),0)</f>
        <v>287</v>
      </c>
      <c r="I7" s="0" t="s">
        <v>295</v>
      </c>
    </row>
    <row r="8" customFormat="false" ht="15" hidden="false" customHeight="false" outlineLevel="0" collapsed="false">
      <c r="A8" s="0" t="s">
        <v>296</v>
      </c>
      <c r="B8" s="0" t="s">
        <v>287</v>
      </c>
      <c r="C8" s="0" t="n">
        <v>1317.4</v>
      </c>
      <c r="D8" s="0" t="n">
        <f aca="false">Inputs!$B$4</f>
        <v>0.15</v>
      </c>
      <c r="E8" s="0" t="n">
        <f aca="false">C8*D8</f>
        <v>197.61</v>
      </c>
      <c r="F8" s="0" t="n">
        <f aca="false">C8+E8</f>
        <v>1515.01</v>
      </c>
      <c r="G8" s="0" t="s">
        <v>297</v>
      </c>
      <c r="H8" s="0" t="n">
        <f aca="false">ROUNDUP(F8/10,0)</f>
        <v>152</v>
      </c>
      <c r="I8" s="0" t="s">
        <v>298</v>
      </c>
    </row>
    <row r="9" customFormat="false" ht="15" hidden="false" customHeight="false" outlineLevel="0" collapsed="false">
      <c r="A9" s="0" t="s">
        <v>299</v>
      </c>
      <c r="B9" s="0" t="s">
        <v>287</v>
      </c>
      <c r="C9" s="0" t="n">
        <v>1317.4</v>
      </c>
      <c r="D9" s="0" t="n">
        <f aca="false">Inputs!$B$4</f>
        <v>0.15</v>
      </c>
      <c r="E9" s="0" t="n">
        <f aca="false">C9*D9</f>
        <v>197.61</v>
      </c>
      <c r="F9" s="0" t="n">
        <f aca="false">C9+E9</f>
        <v>1515.01</v>
      </c>
      <c r="G9" s="0" t="s">
        <v>297</v>
      </c>
      <c r="H9" s="0" t="n">
        <f aca="false">ROUNDUP(F9/10,0)</f>
        <v>152</v>
      </c>
      <c r="I9" s="0" t="s">
        <v>300</v>
      </c>
    </row>
    <row r="10" customFormat="false" ht="15" hidden="false" customHeight="false" outlineLevel="0" collapsed="false">
      <c r="A10" s="0" t="s">
        <v>301</v>
      </c>
      <c r="B10" s="0" t="s">
        <v>287</v>
      </c>
      <c r="C10" s="0" t="n">
        <v>1317.45</v>
      </c>
      <c r="D10" s="0" t="n">
        <f aca="false">Inputs!$B$4</f>
        <v>0.15</v>
      </c>
      <c r="E10" s="0" t="n">
        <f aca="false">C10*D10</f>
        <v>197.6175</v>
      </c>
      <c r="F10" s="0" t="n">
        <f aca="false">C10+E10</f>
        <v>1515.0675</v>
      </c>
      <c r="G10" s="0" t="s">
        <v>297</v>
      </c>
      <c r="H10" s="0" t="n">
        <f aca="false">ROUNDUP(F10/10,0)</f>
        <v>152</v>
      </c>
      <c r="I10" s="0" t="s">
        <v>302</v>
      </c>
    </row>
    <row r="11" customFormat="false" ht="15" hidden="false" customHeight="false" outlineLevel="0" collapsed="false">
      <c r="A11" s="0" t="s">
        <v>303</v>
      </c>
      <c r="B11" s="0" t="s">
        <v>287</v>
      </c>
      <c r="C11" s="0" t="n">
        <v>2319.25</v>
      </c>
      <c r="D11" s="0" t="n">
        <f aca="false">Inputs!$B$4</f>
        <v>0.15</v>
      </c>
      <c r="E11" s="0" t="n">
        <f aca="false">C11*D11</f>
        <v>347.8875</v>
      </c>
      <c r="F11" s="0" t="n">
        <f aca="false">C11+E11</f>
        <v>2667.1375</v>
      </c>
      <c r="G11" s="0" t="s">
        <v>304</v>
      </c>
      <c r="H11" s="0" t="n">
        <f aca="false">ROUNDUP(F11/16,0)</f>
        <v>167</v>
      </c>
      <c r="I11" s="0" t="s">
        <v>305</v>
      </c>
    </row>
    <row r="12" customFormat="false" ht="15" hidden="false" customHeight="false" outlineLevel="0" collapsed="false">
      <c r="A12" s="0" t="s">
        <v>306</v>
      </c>
      <c r="B12" s="0" t="s">
        <v>287</v>
      </c>
      <c r="C12" s="0" t="n">
        <v>167.71</v>
      </c>
      <c r="D12" s="0" t="n">
        <f aca="false">Inputs!$B$4</f>
        <v>0.15</v>
      </c>
      <c r="E12" s="0" t="n">
        <f aca="false">C12*D12</f>
        <v>25.1565</v>
      </c>
      <c r="F12" s="0" t="n">
        <f aca="false">C12+E12</f>
        <v>192.8665</v>
      </c>
      <c r="G12" s="0" t="s">
        <v>297</v>
      </c>
      <c r="H12" s="0" t="n">
        <f aca="false">ROUNDUP(F12/10,0)</f>
        <v>20</v>
      </c>
      <c r="I12" s="0" t="s">
        <v>307</v>
      </c>
    </row>
    <row r="13" customFormat="false" ht="15" hidden="false" customHeight="false" outlineLevel="0" collapsed="false">
      <c r="A13" s="0" t="s">
        <v>308</v>
      </c>
      <c r="B13" s="0" t="s">
        <v>287</v>
      </c>
      <c r="C13" s="0" t="n">
        <v>819.37</v>
      </c>
      <c r="D13" s="0" t="n">
        <f aca="false">Inputs!$B$4</f>
        <v>0.15</v>
      </c>
      <c r="E13" s="0" t="n">
        <f aca="false">C13*D13</f>
        <v>122.9055</v>
      </c>
      <c r="F13" s="0" t="n">
        <f aca="false">C13+E13</f>
        <v>942.2755</v>
      </c>
      <c r="G13" s="0" t="s">
        <v>309</v>
      </c>
      <c r="H13" s="0" t="n">
        <f aca="false">ROUNDUP(F13/20,0)</f>
        <v>48</v>
      </c>
      <c r="I13" s="0" t="s">
        <v>310</v>
      </c>
    </row>
    <row r="14" customFormat="false" ht="15" hidden="false" customHeight="false" outlineLevel="0" collapsed="false">
      <c r="A14" s="0" t="s">
        <v>311</v>
      </c>
      <c r="B14" s="0" t="s">
        <v>287</v>
      </c>
      <c r="C14" s="0" t="n">
        <v>119.52</v>
      </c>
      <c r="D14" s="0" t="n">
        <f aca="false">Inputs!$B$4</f>
        <v>0.15</v>
      </c>
      <c r="E14" s="0" t="n">
        <f aca="false">C14*D14</f>
        <v>17.928</v>
      </c>
      <c r="F14" s="0" t="n">
        <f aca="false">C14+E14</f>
        <v>137.448</v>
      </c>
      <c r="G14" s="0" t="s">
        <v>297</v>
      </c>
      <c r="H14" s="0" t="n">
        <f aca="false">ROUNDUP(F14/10,0)</f>
        <v>14</v>
      </c>
      <c r="I14" s="0" t="s">
        <v>312</v>
      </c>
    </row>
    <row r="15" customFormat="false" ht="15" hidden="false" customHeight="false" outlineLevel="0" collapsed="false">
      <c r="A15" s="0" t="s">
        <v>313</v>
      </c>
      <c r="B15" s="0" t="s">
        <v>287</v>
      </c>
      <c r="C15" s="0" t="n">
        <v>808.16</v>
      </c>
      <c r="D15" s="0" t="n">
        <f aca="false">Inputs!$B$4</f>
        <v>0.15</v>
      </c>
      <c r="E15" s="0" t="n">
        <f aca="false">C15*D15</f>
        <v>121.224</v>
      </c>
      <c r="F15" s="0" t="n">
        <f aca="false">C15+E15</f>
        <v>929.384</v>
      </c>
      <c r="G15" s="0" t="s">
        <v>314</v>
      </c>
      <c r="H15" s="0" t="n">
        <f aca="false">ROUNDUP(F15/12,0)</f>
        <v>78</v>
      </c>
      <c r="I15" s="0" t="s">
        <v>315</v>
      </c>
    </row>
    <row r="16" customFormat="false" ht="15" hidden="false" customHeight="false" outlineLevel="0" collapsed="false">
      <c r="A16" s="0" t="s">
        <v>316</v>
      </c>
      <c r="B16" s="0" t="s">
        <v>287</v>
      </c>
      <c r="C16" s="0" t="n">
        <v>336.64</v>
      </c>
      <c r="D16" s="0" t="n">
        <f aca="false">Inputs!$B$4</f>
        <v>0.15</v>
      </c>
      <c r="E16" s="0" t="n">
        <f aca="false">C16*D16</f>
        <v>50.496</v>
      </c>
      <c r="F16" s="0" t="n">
        <f aca="false">C16+E16</f>
        <v>387.136</v>
      </c>
      <c r="G16" s="0" t="s">
        <v>304</v>
      </c>
      <c r="H16" s="0" t="n">
        <f aca="false">ROUNDUP(F16/16,0)</f>
        <v>25</v>
      </c>
      <c r="I16" s="0" t="s">
        <v>317</v>
      </c>
    </row>
    <row r="17" customFormat="false" ht="15" hidden="false" customHeight="false" outlineLevel="0" collapsed="false">
      <c r="A17" s="0" t="s">
        <v>318</v>
      </c>
      <c r="B17" s="0" t="s">
        <v>287</v>
      </c>
      <c r="C17" s="0" t="n">
        <v>589.22</v>
      </c>
      <c r="D17" s="0" t="n">
        <f aca="false">Inputs!$B$4</f>
        <v>0.15</v>
      </c>
      <c r="E17" s="0" t="n">
        <f aca="false">C17*D17</f>
        <v>88.383</v>
      </c>
      <c r="F17" s="0" t="n">
        <f aca="false">C17+E17</f>
        <v>677.603</v>
      </c>
      <c r="G17" s="0" t="s">
        <v>287</v>
      </c>
      <c r="H17" s="0" t="n">
        <f aca="false">ROUNDUP(F17,0)</f>
        <v>678</v>
      </c>
      <c r="I17" s="0" t="s">
        <v>319</v>
      </c>
    </row>
    <row r="18" customFormat="false" ht="15" hidden="false" customHeight="false" outlineLevel="0" collapsed="false">
      <c r="A18" s="0" t="s">
        <v>320</v>
      </c>
      <c r="B18" s="0" t="s">
        <v>321</v>
      </c>
      <c r="C18" s="0" t="n">
        <v>17434.93</v>
      </c>
      <c r="D18" s="0" t="n">
        <f aca="false">Inputs!$B$5</f>
        <v>0.06</v>
      </c>
      <c r="E18" s="0" t="n">
        <f aca="false">C18*D18</f>
        <v>1046.0958</v>
      </c>
      <c r="F18" s="0" t="n">
        <f aca="false">C18+E18</f>
        <v>18481.0258</v>
      </c>
      <c r="G18" s="0" t="s">
        <v>322</v>
      </c>
      <c r="H18" s="0" t="n">
        <f aca="false">ROUNDUP(F18/48,0)</f>
        <v>386</v>
      </c>
      <c r="I18" s="0" t="s">
        <v>323</v>
      </c>
    </row>
    <row r="19" customFormat="false" ht="15" hidden="false" customHeight="false" outlineLevel="0" collapsed="false">
      <c r="A19" s="0" t="s">
        <v>324</v>
      </c>
      <c r="B19" s="0" t="s">
        <v>321</v>
      </c>
      <c r="C19" s="0" t="n">
        <v>435.29</v>
      </c>
      <c r="D19" s="0" t="n">
        <f aca="false">Inputs!$B$5</f>
        <v>0.06</v>
      </c>
      <c r="E19" s="0" t="n">
        <f aca="false">C19*D19</f>
        <v>26.1174</v>
      </c>
      <c r="F19" s="0" t="n">
        <f aca="false">C19+E19</f>
        <v>461.4074</v>
      </c>
      <c r="G19" s="0" t="s">
        <v>322</v>
      </c>
      <c r="H19" s="0" t="n">
        <f aca="false">ROUNDUP(F19/48,0)</f>
        <v>10</v>
      </c>
      <c r="I19" s="0" t="s">
        <v>325</v>
      </c>
    </row>
    <row r="20" customFormat="false" ht="15" hidden="false" customHeight="false" outlineLevel="0" collapsed="false">
      <c r="A20" s="0" t="s">
        <v>326</v>
      </c>
      <c r="B20" s="0" t="s">
        <v>321</v>
      </c>
      <c r="C20" s="0" t="n">
        <v>60.97</v>
      </c>
      <c r="D20" s="0" t="n">
        <f aca="false">Inputs!$B$5</f>
        <v>0.06</v>
      </c>
      <c r="E20" s="0" t="n">
        <f aca="false">C20*D20</f>
        <v>3.6582</v>
      </c>
      <c r="F20" s="0" t="n">
        <f aca="false">C20+E20</f>
        <v>64.6282</v>
      </c>
      <c r="G20" s="0" t="s">
        <v>327</v>
      </c>
      <c r="H20" s="0" t="n">
        <f aca="false">ROUNDUP(F20/32,0)</f>
        <v>3</v>
      </c>
      <c r="I20" s="0" t="s">
        <v>328</v>
      </c>
    </row>
    <row r="21" customFormat="false" ht="15" hidden="false" customHeight="false" outlineLevel="0" collapsed="false">
      <c r="A21" s="0" t="s">
        <v>329</v>
      </c>
      <c r="B21" s="0" t="s">
        <v>321</v>
      </c>
      <c r="C21" s="0" t="n">
        <v>46.97</v>
      </c>
      <c r="D21" s="0" t="n">
        <f aca="false">Inputs!$B$5</f>
        <v>0.06</v>
      </c>
      <c r="E21" s="0" t="n">
        <f aca="false">C21*D21</f>
        <v>2.8182</v>
      </c>
      <c r="F21" s="0" t="n">
        <f aca="false">C21+E21</f>
        <v>49.7882</v>
      </c>
      <c r="G21" s="0" t="s">
        <v>327</v>
      </c>
      <c r="H21" s="0" t="n">
        <f aca="false">ROUNDUP(F21/32,0)</f>
        <v>2</v>
      </c>
      <c r="I21" s="0" t="s">
        <v>330</v>
      </c>
    </row>
    <row r="22" customFormat="false" ht="15" hidden="false" customHeight="false" outlineLevel="0" collapsed="false">
      <c r="A22" s="0" t="s">
        <v>331</v>
      </c>
      <c r="B22" s="0" t="s">
        <v>321</v>
      </c>
      <c r="C22" s="0" t="n">
        <v>447.88</v>
      </c>
      <c r="D22" s="0" t="n">
        <f aca="false">Inputs!$B$5</f>
        <v>0.06</v>
      </c>
      <c r="E22" s="0" t="n">
        <f aca="false">C22*D22</f>
        <v>26.8728</v>
      </c>
      <c r="F22" s="0" t="n">
        <f aca="false">C22+E22</f>
        <v>474.7528</v>
      </c>
      <c r="G22" s="0" t="s">
        <v>327</v>
      </c>
      <c r="H22" s="0" t="n">
        <f aca="false">ROUNDUP(F22/32,0)</f>
        <v>15</v>
      </c>
      <c r="I22" s="0" t="s">
        <v>332</v>
      </c>
    </row>
    <row r="23" customFormat="false" ht="15" hidden="false" customHeight="false" outlineLevel="0" collapsed="false">
      <c r="A23" s="0" t="s">
        <v>333</v>
      </c>
      <c r="B23" s="0" t="s">
        <v>321</v>
      </c>
      <c r="C23" s="0" t="n">
        <v>820.86</v>
      </c>
      <c r="D23" s="0" t="n">
        <f aca="false">Inputs!$B$5</f>
        <v>0.06</v>
      </c>
      <c r="E23" s="0" t="n">
        <f aca="false">C23*D23</f>
        <v>49.2516</v>
      </c>
      <c r="F23" s="0" t="n">
        <f aca="false">C23+E23</f>
        <v>870.1116</v>
      </c>
      <c r="G23" s="0" t="s">
        <v>327</v>
      </c>
      <c r="H23" s="0" t="n">
        <f aca="false">ROUNDUP(F23/32,0)</f>
        <v>28</v>
      </c>
      <c r="I23" s="0" t="s">
        <v>334</v>
      </c>
    </row>
    <row r="24" customFormat="false" ht="15" hidden="false" customHeight="false" outlineLevel="0" collapsed="false">
      <c r="A24" s="0" t="s">
        <v>335</v>
      </c>
      <c r="B24" s="0" t="s">
        <v>321</v>
      </c>
      <c r="C24" s="0" t="n">
        <v>6748.89</v>
      </c>
      <c r="D24" s="0" t="n">
        <f aca="false">Inputs!$B$5</f>
        <v>0.06</v>
      </c>
      <c r="E24" s="0" t="n">
        <f aca="false">C24*D24</f>
        <v>404.9334</v>
      </c>
      <c r="F24" s="0" t="n">
        <f aca="false">C24+E24</f>
        <v>7153.8234</v>
      </c>
      <c r="G24" s="0" t="s">
        <v>327</v>
      </c>
      <c r="H24" s="0" t="n">
        <f aca="false">ROUNDUP(F24/32,0)</f>
        <v>224</v>
      </c>
      <c r="I24" s="0" t="s">
        <v>336</v>
      </c>
    </row>
    <row r="25" customFormat="false" ht="15" hidden="false" customHeight="false" outlineLevel="0" collapsed="false">
      <c r="A25" s="0" t="s">
        <v>337</v>
      </c>
      <c r="B25" s="0" t="s">
        <v>287</v>
      </c>
      <c r="C25" s="0" t="n">
        <v>365.99</v>
      </c>
      <c r="D25" s="0" t="n">
        <f aca="false">Inputs!$B$5</f>
        <v>0.06</v>
      </c>
      <c r="E25" s="0" t="n">
        <f aca="false">C25*D25</f>
        <v>21.9594</v>
      </c>
      <c r="F25" s="0" t="n">
        <f aca="false">C25+E25</f>
        <v>387.9494</v>
      </c>
      <c r="G25" s="0" t="s">
        <v>287</v>
      </c>
      <c r="H25" s="0" t="n">
        <f aca="false">ROUNDUP(F25,0)</f>
        <v>388</v>
      </c>
      <c r="I25" s="0" t="s">
        <v>338</v>
      </c>
    </row>
    <row r="26" customFormat="false" ht="15" hidden="false" customHeight="false" outlineLevel="0" collapsed="false">
      <c r="A26" s="0" t="s">
        <v>339</v>
      </c>
      <c r="B26" s="0" t="s">
        <v>287</v>
      </c>
      <c r="C26" s="0" t="n">
        <v>840.15</v>
      </c>
      <c r="D26" s="0" t="n">
        <f aca="false">Inputs!$B$4</f>
        <v>0.15</v>
      </c>
      <c r="E26" s="0" t="n">
        <f aca="false">C26*D26</f>
        <v>126.0225</v>
      </c>
      <c r="F26" s="0" t="n">
        <f aca="false">C26+E26</f>
        <v>966.1725</v>
      </c>
      <c r="G26" s="0" t="s">
        <v>297</v>
      </c>
      <c r="H26" s="0" t="n">
        <f aca="false">ROUNDUP(ROUNDUP(F26/2,0)/MAX(1,INT(10/2)),0)</f>
        <v>97</v>
      </c>
      <c r="I26" s="0" t="s">
        <v>340</v>
      </c>
    </row>
    <row r="27" customFormat="false" ht="15" hidden="false" customHeight="false" outlineLevel="0" collapsed="false">
      <c r="A27" s="0" t="s">
        <v>341</v>
      </c>
      <c r="B27" s="0" t="s">
        <v>287</v>
      </c>
      <c r="C27" s="0" t="n">
        <v>1141.5</v>
      </c>
      <c r="D27" s="0" t="n">
        <f aca="false">Inputs!$B$4</f>
        <v>0.15</v>
      </c>
      <c r="E27" s="0" t="n">
        <f aca="false">C27*D27</f>
        <v>171.225</v>
      </c>
      <c r="F27" s="0" t="n">
        <f aca="false">C27+E27</f>
        <v>1312.725</v>
      </c>
      <c r="G27" s="0" t="s">
        <v>297</v>
      </c>
      <c r="H27" s="0" t="n">
        <f aca="false">ROUNDUP(F27/10,0)</f>
        <v>132</v>
      </c>
      <c r="I27" s="0" t="s">
        <v>342</v>
      </c>
    </row>
    <row r="28" customFormat="false" ht="15" hidden="false" customHeight="false" outlineLevel="0" collapsed="false">
      <c r="A28" s="0" t="s">
        <v>343</v>
      </c>
      <c r="B28" s="0" t="s">
        <v>321</v>
      </c>
      <c r="C28" s="0" t="n">
        <v>36.46</v>
      </c>
      <c r="D28" s="0" t="n">
        <f aca="false">Inputs!$B$5</f>
        <v>0.06</v>
      </c>
      <c r="E28" s="0" t="n">
        <f aca="false">C28*D28</f>
        <v>2.1876</v>
      </c>
      <c r="F28" s="0" t="n">
        <f aca="false">C28+E28</f>
        <v>38.6476</v>
      </c>
      <c r="G28" s="0" t="s">
        <v>344</v>
      </c>
      <c r="H28" s="0" t="n">
        <f aca="false">ROUNDUP(F28/15,0)</f>
        <v>3</v>
      </c>
      <c r="I28" s="0" t="s">
        <v>345</v>
      </c>
    </row>
    <row r="29" customFormat="false" ht="15" hidden="false" customHeight="false" outlineLevel="0" collapsed="false">
      <c r="A29" s="0" t="s">
        <v>346</v>
      </c>
      <c r="B29" s="0" t="s">
        <v>321</v>
      </c>
      <c r="C29" s="0" t="n">
        <v>383.26</v>
      </c>
      <c r="D29" s="0" t="n">
        <f aca="false">Inputs!$B$5</f>
        <v>0.06</v>
      </c>
      <c r="E29" s="0" t="n">
        <f aca="false">C29*D29</f>
        <v>22.9956</v>
      </c>
      <c r="F29" s="0" t="n">
        <f aca="false">C29+E29</f>
        <v>406.2556</v>
      </c>
      <c r="G29" s="0" t="s">
        <v>347</v>
      </c>
      <c r="H29" s="0" t="n">
        <f aca="false">ROUNDUP(F29/40,0)</f>
        <v>11</v>
      </c>
      <c r="I29" s="0" t="s">
        <v>348</v>
      </c>
    </row>
    <row r="30" customFormat="false" ht="15" hidden="false" customHeight="false" outlineLevel="0" collapsed="false">
      <c r="A30" s="0" t="s">
        <v>349</v>
      </c>
      <c r="B30" s="0" t="s">
        <v>287</v>
      </c>
      <c r="C30" s="0" t="n">
        <v>991.61</v>
      </c>
      <c r="D30" s="0" t="n">
        <f aca="false">Inputs!$B$5</f>
        <v>0.06</v>
      </c>
      <c r="E30" s="0" t="n">
        <f aca="false">C30*D30</f>
        <v>59.4966</v>
      </c>
      <c r="F30" s="0" t="n">
        <f aca="false">C30+E30</f>
        <v>1051.1066</v>
      </c>
      <c r="G30" s="0" t="s">
        <v>287</v>
      </c>
      <c r="H30" s="0" t="n">
        <f aca="false">ROUNDUP(F30,0)</f>
        <v>1052</v>
      </c>
      <c r="I30" s="0" t="s">
        <v>350</v>
      </c>
    </row>
    <row r="31" customFormat="false" ht="15" hidden="false" customHeight="false" outlineLevel="0" collapsed="false">
      <c r="A31" s="0" t="s">
        <v>351</v>
      </c>
      <c r="B31" s="0" t="s">
        <v>287</v>
      </c>
      <c r="C31" s="0" t="n">
        <v>895.25</v>
      </c>
      <c r="D31" s="0" t="n">
        <f aca="false">Inputs!$B$4</f>
        <v>0.15</v>
      </c>
      <c r="E31" s="0" t="n">
        <f aca="false">C31*D31</f>
        <v>134.2875</v>
      </c>
      <c r="F31" s="0" t="n">
        <f aca="false">C31+E31</f>
        <v>1029.5375</v>
      </c>
      <c r="G31" s="0" t="s">
        <v>297</v>
      </c>
      <c r="H31" s="0" t="n">
        <f aca="false">ROUNDUP(F31/10,0)</f>
        <v>103</v>
      </c>
      <c r="I31" s="0" t="s">
        <v>352</v>
      </c>
    </row>
    <row r="32" customFormat="false" ht="15" hidden="false" customHeight="false" outlineLevel="0" collapsed="false">
      <c r="A32" s="0" t="s">
        <v>353</v>
      </c>
      <c r="B32" s="0" t="s">
        <v>354</v>
      </c>
      <c r="C32" s="0" t="n">
        <v>4</v>
      </c>
      <c r="D32" s="0" t="n">
        <v>0</v>
      </c>
      <c r="E32" s="0" t="n">
        <f aca="false">C32*D32</f>
        <v>0</v>
      </c>
      <c r="F32" s="0" t="n">
        <f aca="false">C32+E32</f>
        <v>4</v>
      </c>
      <c r="G32" s="0" t="s">
        <v>354</v>
      </c>
      <c r="H32" s="0" t="n">
        <f aca="false">ROUNDUP(F32,0)</f>
        <v>4</v>
      </c>
      <c r="I32" s="0" t="s">
        <v>355</v>
      </c>
    </row>
    <row r="33" customFormat="false" ht="15" hidden="false" customHeight="false" outlineLevel="0" collapsed="false">
      <c r="A33" s="0" t="s">
        <v>356</v>
      </c>
      <c r="B33" s="0" t="s">
        <v>287</v>
      </c>
      <c r="C33" s="0" t="n">
        <v>56</v>
      </c>
      <c r="D33" s="0" t="n">
        <f aca="false">Inputs!$B$4</f>
        <v>0.15</v>
      </c>
      <c r="E33" s="0" t="n">
        <f aca="false">C33*D33</f>
        <v>8.4</v>
      </c>
      <c r="F33" s="0" t="n">
        <f aca="false">C33+E33</f>
        <v>64.4</v>
      </c>
      <c r="G33" s="0" t="s">
        <v>357</v>
      </c>
      <c r="H33" s="0" t="n">
        <f aca="false">ROUNDUP(F33/10,0)</f>
        <v>7</v>
      </c>
      <c r="I33" s="0" t="s">
        <v>358</v>
      </c>
    </row>
    <row r="34" customFormat="false" ht="15" hidden="false" customHeight="false" outlineLevel="0" collapsed="false">
      <c r="A34" s="0" t="s">
        <v>359</v>
      </c>
      <c r="B34" s="0" t="s">
        <v>360</v>
      </c>
      <c r="C34" s="0" t="n">
        <v>28</v>
      </c>
      <c r="D34" s="0" t="n">
        <v>0</v>
      </c>
      <c r="E34" s="0" t="n">
        <f aca="false">C34*D34</f>
        <v>0</v>
      </c>
      <c r="F34" s="0" t="n">
        <f aca="false">C34+E34</f>
        <v>28</v>
      </c>
      <c r="G34" s="0" t="s">
        <v>361</v>
      </c>
      <c r="H34" s="0" t="n">
        <f aca="false">ROUNDUP(F34,0)</f>
        <v>28</v>
      </c>
      <c r="I34" s="0" t="s">
        <v>362</v>
      </c>
    </row>
    <row r="35" customFormat="false" ht="15" hidden="false" customHeight="false" outlineLevel="0" collapsed="false">
      <c r="A35" s="0" t="s">
        <v>363</v>
      </c>
      <c r="B35" s="0" t="s">
        <v>287</v>
      </c>
      <c r="C35" s="0" t="n">
        <v>43.25</v>
      </c>
      <c r="D35" s="0" t="n">
        <f aca="false">Inputs!$B$4</f>
        <v>0.15</v>
      </c>
      <c r="E35" s="0" t="n">
        <f aca="false">C35*D35</f>
        <v>6.4875</v>
      </c>
      <c r="F35" s="0" t="n">
        <f aca="false">C35+E35</f>
        <v>49.7375</v>
      </c>
      <c r="G35" s="0" t="s">
        <v>288</v>
      </c>
      <c r="H35" s="0" t="n">
        <f aca="false">ROUNDUP(ROUNDUP(F35/20,0)/MAX(1,INT(20/20)),0)</f>
        <v>3</v>
      </c>
      <c r="I35" s="0" t="s">
        <v>364</v>
      </c>
    </row>
    <row r="36" customFormat="false" ht="15" hidden="false" customHeight="false" outlineLevel="0" collapsed="false">
      <c r="A36" s="0" t="s">
        <v>365</v>
      </c>
      <c r="B36" s="0" t="s">
        <v>287</v>
      </c>
      <c r="C36" s="0" t="n">
        <v>4.93</v>
      </c>
      <c r="D36" s="0" t="n">
        <f aca="false">Inputs!$B$4</f>
        <v>0.15</v>
      </c>
      <c r="E36" s="0" t="n">
        <f aca="false">C36*D36</f>
        <v>0.7395</v>
      </c>
      <c r="F36" s="0" t="n">
        <f aca="false">C36+E36</f>
        <v>5.6695</v>
      </c>
      <c r="G36" s="0" t="s">
        <v>288</v>
      </c>
      <c r="H36" s="0" t="n">
        <f aca="false">ROUNDUP(F36/20,0)</f>
        <v>1</v>
      </c>
      <c r="I36" s="0" t="s">
        <v>366</v>
      </c>
    </row>
    <row r="37" customFormat="false" ht="15" hidden="false" customHeight="false" outlineLevel="0" collapsed="false">
      <c r="A37" s="0" t="s">
        <v>367</v>
      </c>
      <c r="B37" s="0" t="s">
        <v>321</v>
      </c>
      <c r="C37" s="0" t="n">
        <v>110.78</v>
      </c>
      <c r="D37" s="0" t="n">
        <f aca="false">Inputs!$B$5</f>
        <v>0.06</v>
      </c>
      <c r="E37" s="0" t="n">
        <f aca="false">C37*D37</f>
        <v>6.6468</v>
      </c>
      <c r="F37" s="0" t="n">
        <f aca="false">C37+E37</f>
        <v>117.4268</v>
      </c>
      <c r="G37" s="0" t="s">
        <v>368</v>
      </c>
      <c r="H37" s="0" t="n">
        <f aca="false">ROUNDUP(F37/48,0)</f>
        <v>3</v>
      </c>
      <c r="I37" s="0" t="s">
        <v>369</v>
      </c>
    </row>
    <row r="38" customFormat="false" ht="15" hidden="false" customHeight="false" outlineLevel="0" collapsed="false">
      <c r="A38" s="0" t="s">
        <v>370</v>
      </c>
      <c r="B38" s="0" t="s">
        <v>287</v>
      </c>
      <c r="C38" s="0" t="n">
        <v>232.51</v>
      </c>
      <c r="D38" s="0" t="n">
        <f aca="false">Inputs!$B$5</f>
        <v>0.06</v>
      </c>
      <c r="E38" s="0" t="n">
        <f aca="false">C38*D38</f>
        <v>13.9506</v>
      </c>
      <c r="F38" s="0" t="n">
        <f aca="false">C38+E38</f>
        <v>246.4606</v>
      </c>
      <c r="G38" s="0" t="s">
        <v>371</v>
      </c>
      <c r="H38" s="0" t="n">
        <f aca="false">ROUNDUP(F38/10,0)</f>
        <v>25</v>
      </c>
      <c r="I38" s="0" t="s">
        <v>372</v>
      </c>
    </row>
    <row r="39" customFormat="false" ht="15" hidden="false" customHeight="false" outlineLevel="0" collapsed="false">
      <c r="A39" s="0" t="s">
        <v>373</v>
      </c>
      <c r="B39" s="0" t="s">
        <v>360</v>
      </c>
      <c r="C39" s="0" t="n">
        <v>269</v>
      </c>
      <c r="D39" s="0" t="n">
        <v>0</v>
      </c>
      <c r="E39" s="0" t="n">
        <f aca="false">C39*D39</f>
        <v>0</v>
      </c>
      <c r="F39" s="0" t="n">
        <f aca="false">C39+E39</f>
        <v>269</v>
      </c>
      <c r="G39" s="0" t="s">
        <v>361</v>
      </c>
      <c r="H39" s="0" t="n">
        <f aca="false">ROUNDUP(F39,0)</f>
        <v>269</v>
      </c>
      <c r="I39" s="0" t="s">
        <v>374</v>
      </c>
    </row>
    <row r="40" customFormat="false" ht="15" hidden="false" customHeight="false" outlineLevel="0" collapsed="false">
      <c r="A40" s="0" t="s">
        <v>375</v>
      </c>
      <c r="B40" s="0" t="s">
        <v>360</v>
      </c>
      <c r="C40" s="0" t="n">
        <v>1</v>
      </c>
      <c r="D40" s="0" t="n">
        <v>0</v>
      </c>
      <c r="E40" s="0" t="n">
        <f aca="false">C40*D40</f>
        <v>0</v>
      </c>
      <c r="F40" s="0" t="n">
        <f aca="false">C40+E40</f>
        <v>1</v>
      </c>
      <c r="G40" s="0" t="s">
        <v>361</v>
      </c>
      <c r="H40" s="0" t="n">
        <f aca="false">ROUNDUP(F40,0)</f>
        <v>1</v>
      </c>
      <c r="I40" s="0" t="s">
        <v>376</v>
      </c>
    </row>
    <row r="41" customFormat="false" ht="15" hidden="false" customHeight="false" outlineLevel="0" collapsed="false">
      <c r="A41" s="0" t="s">
        <v>377</v>
      </c>
      <c r="B41" s="0" t="s">
        <v>360</v>
      </c>
      <c r="C41" s="0" t="n">
        <v>21500.63</v>
      </c>
      <c r="D41" s="0" t="n">
        <v>0</v>
      </c>
      <c r="E41" s="0" t="n">
        <f aca="false">C41*D41</f>
        <v>0</v>
      </c>
      <c r="F41" s="0" t="n">
        <f aca="false">C41+E41</f>
        <v>21500.63</v>
      </c>
      <c r="G41" s="0" t="s">
        <v>361</v>
      </c>
      <c r="H41" s="0" t="n">
        <f aca="false">ROUNDUP(F41,0)</f>
        <v>21501</v>
      </c>
      <c r="I41" s="0" t="s">
        <v>378</v>
      </c>
    </row>
    <row r="42" customFormat="false" ht="15" hidden="false" customHeight="false" outlineLevel="0" collapsed="false">
      <c r="A42" s="0" t="s">
        <v>379</v>
      </c>
      <c r="B42" s="0" t="s">
        <v>360</v>
      </c>
      <c r="C42" s="0" t="n">
        <v>6332</v>
      </c>
      <c r="D42" s="0" t="n">
        <v>0</v>
      </c>
      <c r="E42" s="0" t="n">
        <f aca="false">C42*D42</f>
        <v>0</v>
      </c>
      <c r="F42" s="0" t="n">
        <f aca="false">C42+E42</f>
        <v>6332</v>
      </c>
      <c r="G42" s="0" t="s">
        <v>361</v>
      </c>
      <c r="H42" s="0" t="n">
        <f aca="false">ROUNDUP(F42,0)</f>
        <v>6332</v>
      </c>
      <c r="I42" s="0" t="s">
        <v>380</v>
      </c>
    </row>
    <row r="43" customFormat="false" ht="15" hidden="false" customHeight="false" outlineLevel="0" collapsed="false">
      <c r="A43" s="0" t="s">
        <v>381</v>
      </c>
      <c r="B43" s="0" t="s">
        <v>360</v>
      </c>
      <c r="C43" s="0" t="n">
        <v>494.61</v>
      </c>
      <c r="D43" s="0" t="n">
        <v>0</v>
      </c>
      <c r="E43" s="0" t="n">
        <f aca="false">C43*D43</f>
        <v>0</v>
      </c>
      <c r="F43" s="0" t="n">
        <f aca="false">C43+E43</f>
        <v>494.61</v>
      </c>
      <c r="G43" s="0" t="s">
        <v>361</v>
      </c>
      <c r="H43" s="0" t="n">
        <f aca="false">ROUNDUP(F43,0)</f>
        <v>495</v>
      </c>
      <c r="I43" s="0" t="s">
        <v>382</v>
      </c>
    </row>
    <row r="44" customFormat="false" ht="15" hidden="false" customHeight="false" outlineLevel="0" collapsed="false">
      <c r="A44" s="0" t="s">
        <v>383</v>
      </c>
      <c r="B44" s="0" t="s">
        <v>360</v>
      </c>
      <c r="C44" s="0" t="n">
        <v>317.97</v>
      </c>
      <c r="D44" s="0" t="n">
        <v>0</v>
      </c>
      <c r="E44" s="0" t="n">
        <f aca="false">C44*D44</f>
        <v>0</v>
      </c>
      <c r="F44" s="0" t="n">
        <f aca="false">C44+E44</f>
        <v>317.97</v>
      </c>
      <c r="G44" s="0" t="s">
        <v>361</v>
      </c>
      <c r="H44" s="0" t="n">
        <f aca="false">ROUNDUP(F44,0)</f>
        <v>318</v>
      </c>
      <c r="I44" s="0" t="s">
        <v>384</v>
      </c>
    </row>
    <row r="45" customFormat="false" ht="15" hidden="false" customHeight="false" outlineLevel="0" collapsed="false">
      <c r="A45" s="0" t="s">
        <v>385</v>
      </c>
      <c r="B45" s="0" t="s">
        <v>386</v>
      </c>
      <c r="C45" s="0" t="n">
        <v>1290.04</v>
      </c>
      <c r="D45" s="0" t="n">
        <v>0</v>
      </c>
      <c r="E45" s="0" t="n">
        <f aca="false">C45*D45</f>
        <v>0</v>
      </c>
      <c r="F45" s="0" t="n">
        <f aca="false">C45+E45</f>
        <v>1290.04</v>
      </c>
      <c r="G45" s="0" t="s">
        <v>387</v>
      </c>
      <c r="H45" s="0" t="n">
        <f aca="false">ROUNDUP(F45,0)</f>
        <v>1291</v>
      </c>
      <c r="I45" s="0" t="s">
        <v>388</v>
      </c>
    </row>
    <row r="46" customFormat="false" ht="15" hidden="false" customHeight="false" outlineLevel="0" collapsed="false">
      <c r="A46" s="0" t="s">
        <v>389</v>
      </c>
      <c r="B46" s="0" t="s">
        <v>287</v>
      </c>
      <c r="C46" s="0" t="n">
        <v>6629.36</v>
      </c>
      <c r="D46" s="0" t="n">
        <v>0</v>
      </c>
      <c r="E46" s="0" t="n">
        <f aca="false">C46*D46</f>
        <v>0</v>
      </c>
      <c r="F46" s="0" t="n">
        <f aca="false">C46+E46</f>
        <v>6629.36</v>
      </c>
      <c r="G46" s="0" t="s">
        <v>287</v>
      </c>
      <c r="H46" s="0" t="n">
        <f aca="false">ROUNDUP(F46,0)</f>
        <v>6630</v>
      </c>
      <c r="I46" s="0" t="s">
        <v>390</v>
      </c>
    </row>
    <row r="47" customFormat="false" ht="15" hidden="false" customHeight="false" outlineLevel="0" collapsed="false">
      <c r="A47" s="0" t="s">
        <v>391</v>
      </c>
      <c r="B47" s="0" t="s">
        <v>321</v>
      </c>
      <c r="C47" s="0" t="n">
        <v>953.52</v>
      </c>
      <c r="D47" s="0" t="n">
        <f aca="false">Inputs!$B$5</f>
        <v>0.06</v>
      </c>
      <c r="E47" s="0" t="n">
        <f aca="false">C47*D47</f>
        <v>57.2112</v>
      </c>
      <c r="F47" s="0" t="n">
        <f aca="false">C47+E47</f>
        <v>1010.7312</v>
      </c>
      <c r="G47" s="0" t="s">
        <v>321</v>
      </c>
      <c r="H47" s="0" t="n">
        <f aca="false">ROUNDUP(F47,0)</f>
        <v>1011</v>
      </c>
      <c r="I47" s="0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4" t="s">
        <v>393</v>
      </c>
      <c r="B1" s="4" t="s">
        <v>394</v>
      </c>
      <c r="C1" s="4" t="s">
        <v>395</v>
      </c>
    </row>
    <row r="2" customFormat="false" ht="15" hidden="false" customHeight="false" outlineLevel="0" collapsed="false">
      <c r="A2" s="0" t="s">
        <v>396</v>
      </c>
      <c r="B2" s="0" t="s">
        <v>397</v>
      </c>
      <c r="C2" s="0" t="s">
        <v>398</v>
      </c>
    </row>
    <row r="3" customFormat="false" ht="15" hidden="false" customHeight="false" outlineLevel="0" collapsed="false">
      <c r="A3" s="0" t="s">
        <v>399</v>
      </c>
      <c r="B3" s="0" t="s">
        <v>400</v>
      </c>
      <c r="C3" s="0" t="s">
        <v>401</v>
      </c>
    </row>
    <row r="4" customFormat="false" ht="15" hidden="false" customHeight="false" outlineLevel="0" collapsed="false">
      <c r="A4" s="0" t="s">
        <v>402</v>
      </c>
      <c r="B4" s="0" t="s">
        <v>403</v>
      </c>
      <c r="C4" s="0" t="s">
        <v>404</v>
      </c>
    </row>
    <row r="5" customFormat="false" ht="15" hidden="false" customHeight="false" outlineLevel="0" collapsed="false">
      <c r="A5" s="0" t="s">
        <v>405</v>
      </c>
      <c r="B5" s="0" t="s">
        <v>406</v>
      </c>
      <c r="C5" s="0" t="s">
        <v>407</v>
      </c>
    </row>
    <row r="6" customFormat="false" ht="15" hidden="false" customHeight="false" outlineLevel="0" collapsed="false">
      <c r="A6" s="0" t="s">
        <v>408</v>
      </c>
      <c r="B6" s="0" t="s">
        <v>409</v>
      </c>
      <c r="C6" s="0" t="s">
        <v>410</v>
      </c>
    </row>
    <row r="7" customFormat="false" ht="15" hidden="false" customHeight="false" outlineLevel="0" collapsed="false">
      <c r="A7" s="0" t="s">
        <v>411</v>
      </c>
      <c r="B7" s="0" t="s">
        <v>412</v>
      </c>
      <c r="C7" s="0" t="s">
        <v>413</v>
      </c>
    </row>
    <row r="8" customFormat="false" ht="15" hidden="false" customHeight="false" outlineLevel="0" collapsed="false">
      <c r="A8" s="0" t="s">
        <v>414</v>
      </c>
      <c r="B8" s="0" t="s">
        <v>415</v>
      </c>
      <c r="C8" s="0" t="s">
        <v>416</v>
      </c>
    </row>
    <row r="9" customFormat="false" ht="15" hidden="false" customHeight="false" outlineLevel="0" collapsed="false">
      <c r="A9" s="0" t="s">
        <v>417</v>
      </c>
      <c r="B9" s="0" t="s">
        <v>418</v>
      </c>
      <c r="C9" s="0" t="s">
        <v>419</v>
      </c>
    </row>
    <row r="10" customFormat="false" ht="15" hidden="false" customHeight="false" outlineLevel="0" collapsed="false">
      <c r="A10" s="0" t="s">
        <v>420</v>
      </c>
      <c r="B10" s="0" t="s">
        <v>421</v>
      </c>
      <c r="C10" s="0" t="s">
        <v>422</v>
      </c>
    </row>
    <row r="11" customFormat="false" ht="15" hidden="false" customHeight="false" outlineLevel="0" collapsed="false">
      <c r="A11" s="0" t="s">
        <v>423</v>
      </c>
      <c r="B11" s="0" t="s">
        <v>424</v>
      </c>
      <c r="C11" s="0" t="s">
        <v>425</v>
      </c>
    </row>
    <row r="12" customFormat="false" ht="15" hidden="false" customHeight="false" outlineLevel="0" collapsed="false">
      <c r="A12" s="0" t="s">
        <v>426</v>
      </c>
      <c r="B12" s="0" t="s">
        <v>427</v>
      </c>
      <c r="C12" s="0" t="s">
        <v>428</v>
      </c>
    </row>
    <row r="13" customFormat="false" ht="15" hidden="false" customHeight="false" outlineLevel="0" collapsed="false">
      <c r="A13" s="0" t="s">
        <v>429</v>
      </c>
      <c r="B13" s="0" t="s">
        <v>430</v>
      </c>
      <c r="C13" s="0" t="s">
        <v>431</v>
      </c>
    </row>
    <row r="14" customFormat="false" ht="15" hidden="false" customHeight="false" outlineLevel="0" collapsed="false">
      <c r="A14" s="0" t="s">
        <v>432</v>
      </c>
      <c r="B14" s="0" t="s">
        <v>433</v>
      </c>
      <c r="C14" s="0" t="s">
        <v>434</v>
      </c>
    </row>
    <row r="15" customFormat="false" ht="15" hidden="false" customHeight="false" outlineLevel="0" collapsed="false">
      <c r="A15" s="0" t="s">
        <v>435</v>
      </c>
      <c r="B15" s="0" t="s">
        <v>436</v>
      </c>
      <c r="C15" s="0" t="s">
        <v>437</v>
      </c>
    </row>
    <row r="16" customFormat="false" ht="15" hidden="false" customHeight="false" outlineLevel="0" collapsed="false">
      <c r="A16" s="0" t="s">
        <v>438</v>
      </c>
      <c r="B16" s="0" t="s">
        <v>439</v>
      </c>
      <c r="C16" s="0" t="s">
        <v>440</v>
      </c>
    </row>
    <row r="17" customFormat="false" ht="15" hidden="false" customHeight="false" outlineLevel="0" collapsed="false">
      <c r="A17" s="0" t="s">
        <v>441</v>
      </c>
      <c r="B17" s="0" t="s">
        <v>442</v>
      </c>
      <c r="C17" s="0" t="s">
        <v>443</v>
      </c>
    </row>
    <row r="18" customFormat="false" ht="15" hidden="false" customHeight="false" outlineLevel="0" collapsed="false">
      <c r="A18" s="0" t="s">
        <v>444</v>
      </c>
      <c r="B18" s="0" t="s">
        <v>445</v>
      </c>
      <c r="C18" s="0" t="s">
        <v>446</v>
      </c>
    </row>
    <row r="19" customFormat="false" ht="15" hidden="false" customHeight="false" outlineLevel="0" collapsed="false">
      <c r="A19" s="0" t="s">
        <v>447</v>
      </c>
      <c r="B19" s="0" t="s">
        <v>448</v>
      </c>
      <c r="C19" s="0" t="s">
        <v>449</v>
      </c>
    </row>
    <row r="20" customFormat="false" ht="15" hidden="false" customHeight="false" outlineLevel="0" collapsed="false">
      <c r="A20" s="0" t="s">
        <v>450</v>
      </c>
      <c r="B20" s="0" t="s">
        <v>451</v>
      </c>
      <c r="C20" s="0" t="s">
        <v>452</v>
      </c>
    </row>
    <row r="21" customFormat="false" ht="15" hidden="false" customHeight="false" outlineLevel="0" collapsed="false">
      <c r="A21" s="0" t="s">
        <v>453</v>
      </c>
      <c r="B21" s="0" t="s">
        <v>454</v>
      </c>
      <c r="C21" s="0" t="s">
        <v>455</v>
      </c>
    </row>
    <row r="22" customFormat="false" ht="15" hidden="false" customHeight="false" outlineLevel="0" collapsed="false">
      <c r="A22" s="0" t="s">
        <v>456</v>
      </c>
      <c r="B22" s="0" t="s">
        <v>457</v>
      </c>
      <c r="C22" s="0" t="s">
        <v>458</v>
      </c>
    </row>
    <row r="23" customFormat="false" ht="15" hidden="false" customHeight="false" outlineLevel="0" collapsed="false">
      <c r="A23" s="0" t="s">
        <v>459</v>
      </c>
      <c r="B23" s="0" t="s">
        <v>460</v>
      </c>
      <c r="C23" s="0" t="s">
        <v>461</v>
      </c>
    </row>
    <row r="24" customFormat="false" ht="15" hidden="false" customHeight="false" outlineLevel="0" collapsed="false">
      <c r="A24" s="0" t="s">
        <v>462</v>
      </c>
      <c r="B24" s="0" t="s">
        <v>463</v>
      </c>
      <c r="C24" s="0" t="s">
        <v>464</v>
      </c>
    </row>
    <row r="25" customFormat="false" ht="15" hidden="false" customHeight="false" outlineLevel="0" collapsed="false">
      <c r="A25" s="0" t="s">
        <v>465</v>
      </c>
      <c r="B25" s="0" t="s">
        <v>466</v>
      </c>
      <c r="C25" s="0" t="s">
        <v>467</v>
      </c>
    </row>
    <row r="26" customFormat="false" ht="15" hidden="false" customHeight="false" outlineLevel="0" collapsed="false">
      <c r="A26" s="0" t="s">
        <v>468</v>
      </c>
      <c r="B26" s="0" t="s">
        <v>469</v>
      </c>
      <c r="C26" s="0" t="s">
        <v>470</v>
      </c>
    </row>
    <row r="27" customFormat="false" ht="15" hidden="false" customHeight="false" outlineLevel="0" collapsed="false">
      <c r="A27" s="0" t="s">
        <v>471</v>
      </c>
      <c r="B27" s="0" t="s">
        <v>472</v>
      </c>
      <c r="C27" s="0" t="s">
        <v>473</v>
      </c>
    </row>
    <row r="28" customFormat="false" ht="15" hidden="false" customHeight="false" outlineLevel="0" collapsed="false">
      <c r="A28" s="0" t="s">
        <v>474</v>
      </c>
      <c r="B28" s="0" t="s">
        <v>475</v>
      </c>
      <c r="C28" s="0" t="s">
        <v>476</v>
      </c>
    </row>
    <row r="29" customFormat="false" ht="15" hidden="false" customHeight="false" outlineLevel="0" collapsed="false">
      <c r="A29" s="0" t="s">
        <v>477</v>
      </c>
      <c r="B29" s="0" t="s">
        <v>478</v>
      </c>
      <c r="C29" s="0" t="s">
        <v>479</v>
      </c>
    </row>
    <row r="30" customFormat="false" ht="15" hidden="false" customHeight="false" outlineLevel="0" collapsed="false">
      <c r="A30" s="0" t="s">
        <v>480</v>
      </c>
      <c r="B30" s="0" t="s">
        <v>481</v>
      </c>
      <c r="C30" s="0" t="s">
        <v>482</v>
      </c>
    </row>
    <row r="31" customFormat="false" ht="15" hidden="false" customHeight="false" outlineLevel="0" collapsed="false">
      <c r="A31" s="0" t="s">
        <v>483</v>
      </c>
      <c r="B31" s="0" t="s">
        <v>484</v>
      </c>
      <c r="C31" s="0" t="s">
        <v>485</v>
      </c>
    </row>
    <row r="32" customFormat="false" ht="15" hidden="false" customHeight="false" outlineLevel="0" collapsed="false">
      <c r="A32" s="0" t="s">
        <v>486</v>
      </c>
      <c r="B32" s="0" t="s">
        <v>487</v>
      </c>
      <c r="C32" s="0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489</v>
      </c>
      <c r="B1" s="0" t="s">
        <v>490</v>
      </c>
      <c r="C1" s="0" t="s">
        <v>491</v>
      </c>
      <c r="D1" s="0" t="s">
        <v>492</v>
      </c>
    </row>
    <row r="2" customFormat="false" ht="15" hidden="false" customHeight="false" outlineLevel="0" collapsed="false">
      <c r="A2" s="0" t="n">
        <v>1</v>
      </c>
      <c r="B2" s="0" t="s">
        <v>493</v>
      </c>
      <c r="C2" s="0" t="s">
        <v>173</v>
      </c>
      <c r="D2" s="0" t="s">
        <v>494</v>
      </c>
    </row>
    <row r="3" customFormat="false" ht="15" hidden="false" customHeight="false" outlineLevel="0" collapsed="false">
      <c r="A3" s="0" t="n">
        <v>2</v>
      </c>
      <c r="B3" s="0" t="s">
        <v>495</v>
      </c>
      <c r="C3" s="0" t="s">
        <v>215</v>
      </c>
    </row>
    <row r="4" customFormat="false" ht="15" hidden="false" customHeight="false" outlineLevel="0" collapsed="false">
      <c r="A4" s="0" t="n">
        <v>11</v>
      </c>
      <c r="B4" s="0" t="s">
        <v>496</v>
      </c>
      <c r="C4" s="0" t="s">
        <v>497</v>
      </c>
    </row>
    <row r="5" customFormat="false" ht="15" hidden="false" customHeight="false" outlineLevel="0" collapsed="false">
      <c r="A5" s="0" t="n">
        <v>3</v>
      </c>
      <c r="B5" s="0" t="s">
        <v>498</v>
      </c>
      <c r="C5" s="0" t="s">
        <v>499</v>
      </c>
      <c r="D5" s="0" t="s">
        <v>500</v>
      </c>
    </row>
    <row r="6" customFormat="false" ht="15" hidden="false" customHeight="false" outlineLevel="0" collapsed="false">
      <c r="A6" s="0" t="n">
        <v>4</v>
      </c>
      <c r="B6" s="0" t="s">
        <v>501</v>
      </c>
      <c r="C6" s="0" t="s">
        <v>502</v>
      </c>
    </row>
    <row r="7" customFormat="false" ht="15" hidden="false" customHeight="false" outlineLevel="0" collapsed="false">
      <c r="A7" s="0" t="n">
        <v>5</v>
      </c>
      <c r="B7" s="0" t="s">
        <v>503</v>
      </c>
      <c r="C7" s="0" t="s">
        <v>227</v>
      </c>
    </row>
    <row r="8" customFormat="false" ht="15" hidden="false" customHeight="false" outlineLevel="0" collapsed="false">
      <c r="A8" s="0" t="n">
        <v>6</v>
      </c>
      <c r="B8" s="0" t="s">
        <v>504</v>
      </c>
      <c r="C8" s="0" t="s">
        <v>505</v>
      </c>
    </row>
    <row r="9" customFormat="false" ht="15" hidden="false" customHeight="false" outlineLevel="0" collapsed="false">
      <c r="A9" s="0" t="n">
        <v>7</v>
      </c>
      <c r="B9" s="0" t="s">
        <v>506</v>
      </c>
      <c r="C9" s="0" t="s">
        <v>507</v>
      </c>
    </row>
    <row r="10" customFormat="false" ht="15" hidden="false" customHeight="false" outlineLevel="0" collapsed="false">
      <c r="A10" s="0" t="n">
        <v>8</v>
      </c>
      <c r="B10" s="0" t="s">
        <v>508</v>
      </c>
      <c r="C10" s="0" t="s">
        <v>509</v>
      </c>
    </row>
    <row r="11" customFormat="false" ht="15" hidden="false" customHeight="false" outlineLevel="0" collapsed="false">
      <c r="A11" s="0" t="n">
        <v>9</v>
      </c>
      <c r="B11" s="0" t="s">
        <v>510</v>
      </c>
      <c r="C11" s="0" t="s">
        <v>268</v>
      </c>
    </row>
    <row r="12" customFormat="false" ht="15" hidden="false" customHeight="false" outlineLevel="0" collapsed="false">
      <c r="A12" s="0" t="n">
        <v>10</v>
      </c>
      <c r="B12" s="0" t="s">
        <v>511</v>
      </c>
      <c r="C12" s="0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513</v>
      </c>
      <c r="B1" s="0" t="s">
        <v>514</v>
      </c>
      <c r="C1" s="0" t="s">
        <v>515</v>
      </c>
      <c r="D1" s="0" t="s">
        <v>516</v>
      </c>
    </row>
    <row r="2" customFormat="false" ht="15" hidden="false" customHeight="false" outlineLevel="0" collapsed="false">
      <c r="A2" s="0" t="s">
        <v>517</v>
      </c>
      <c r="B2" s="0" t="s">
        <v>518</v>
      </c>
      <c r="C2" s="0" t="s">
        <v>519</v>
      </c>
      <c r="D2" s="0" t="s">
        <v>520</v>
      </c>
    </row>
    <row r="3" customFormat="false" ht="15" hidden="false" customHeight="false" outlineLevel="0" collapsed="false">
      <c r="A3" s="0" t="s">
        <v>521</v>
      </c>
      <c r="B3" s="0" t="s">
        <v>522</v>
      </c>
      <c r="C3" s="0" t="s">
        <v>519</v>
      </c>
      <c r="D3" s="0" t="s">
        <v>523</v>
      </c>
    </row>
    <row r="4" customFormat="false" ht="15" hidden="false" customHeight="false" outlineLevel="0" collapsed="false">
      <c r="A4" s="0" t="s">
        <v>524</v>
      </c>
      <c r="B4" s="0" t="s">
        <v>525</v>
      </c>
      <c r="C4" s="0" t="s">
        <v>519</v>
      </c>
      <c r="D4" s="0" t="s">
        <v>526</v>
      </c>
    </row>
    <row r="5" customFormat="false" ht="15" hidden="false" customHeight="false" outlineLevel="0" collapsed="false">
      <c r="A5" s="0" t="s">
        <v>527</v>
      </c>
      <c r="B5" s="0" t="s">
        <v>528</v>
      </c>
      <c r="C5" s="0" t="s">
        <v>519</v>
      </c>
      <c r="D5" s="0" t="s">
        <v>529</v>
      </c>
    </row>
    <row r="6" customFormat="false" ht="15" hidden="false" customHeight="false" outlineLevel="0" collapsed="false">
      <c r="A6" s="0" t="s">
        <v>530</v>
      </c>
      <c r="B6" s="0" t="s">
        <v>531</v>
      </c>
      <c r="C6" s="0" t="s">
        <v>519</v>
      </c>
      <c r="D6" s="0" t="s">
        <v>532</v>
      </c>
    </row>
    <row r="7" customFormat="false" ht="15" hidden="false" customHeight="false" outlineLevel="0" collapsed="false">
      <c r="A7" s="0" t="s">
        <v>533</v>
      </c>
      <c r="B7" s="0" t="s">
        <v>534</v>
      </c>
      <c r="C7" s="0" t="s">
        <v>519</v>
      </c>
      <c r="D7" s="0" t="s">
        <v>535</v>
      </c>
    </row>
    <row r="8" customFormat="false" ht="15" hidden="false" customHeight="false" outlineLevel="0" collapsed="false">
      <c r="A8" s="0" t="s">
        <v>536</v>
      </c>
      <c r="B8" s="0" t="s">
        <v>537</v>
      </c>
      <c r="C8" s="0" t="s">
        <v>519</v>
      </c>
      <c r="D8" s="0" t="s">
        <v>538</v>
      </c>
    </row>
    <row r="9" customFormat="false" ht="15" hidden="false" customHeight="false" outlineLevel="0" collapsed="false">
      <c r="A9" s="0" t="s">
        <v>539</v>
      </c>
      <c r="B9" s="0" t="s">
        <v>540</v>
      </c>
      <c r="C9" s="0" t="s">
        <v>519</v>
      </c>
      <c r="D9" s="0" t="s">
        <v>541</v>
      </c>
    </row>
    <row r="10" customFormat="false" ht="15" hidden="false" customHeight="false" outlineLevel="0" collapsed="false">
      <c r="A10" s="0" t="s">
        <v>542</v>
      </c>
      <c r="B10" s="0" t="s">
        <v>543</v>
      </c>
      <c r="C10" s="0" t="s">
        <v>519</v>
      </c>
      <c r="D10" s="0" t="s">
        <v>544</v>
      </c>
    </row>
    <row r="11" customFormat="false" ht="15" hidden="false" customHeight="false" outlineLevel="0" collapsed="false">
      <c r="A11" s="0" t="s">
        <v>545</v>
      </c>
      <c r="B11" s="0" t="s">
        <v>546</v>
      </c>
      <c r="C11" s="0" t="s">
        <v>519</v>
      </c>
      <c r="D11" s="0" t="s">
        <v>547</v>
      </c>
    </row>
    <row r="12" customFormat="false" ht="15" hidden="false" customHeight="false" outlineLevel="0" collapsed="false">
      <c r="A12" s="0" t="s">
        <v>548</v>
      </c>
      <c r="B12" s="0" t="s">
        <v>549</v>
      </c>
      <c r="C12" s="0" t="s">
        <v>519</v>
      </c>
      <c r="D12" s="0" t="s">
        <v>550</v>
      </c>
    </row>
    <row r="13" customFormat="false" ht="15" hidden="false" customHeight="false" outlineLevel="0" collapsed="false">
      <c r="A13" s="0" t="s">
        <v>551</v>
      </c>
      <c r="B13" s="0" t="s">
        <v>552</v>
      </c>
      <c r="C13" s="0" t="s">
        <v>519</v>
      </c>
      <c r="D13" s="0" t="s">
        <v>553</v>
      </c>
    </row>
    <row r="14" customFormat="false" ht="15" hidden="false" customHeight="false" outlineLevel="0" collapsed="false">
      <c r="A14" s="0" t="s">
        <v>554</v>
      </c>
      <c r="B14" s="0" t="s">
        <v>555</v>
      </c>
      <c r="C14" s="0" t="s">
        <v>519</v>
      </c>
      <c r="D14" s="0" t="s">
        <v>556</v>
      </c>
    </row>
    <row r="15" customFormat="false" ht="15" hidden="false" customHeight="false" outlineLevel="0" collapsed="false">
      <c r="A15" s="0" t="s">
        <v>557</v>
      </c>
      <c r="B15" s="0" t="s">
        <v>558</v>
      </c>
      <c r="C15" s="0" t="s">
        <v>519</v>
      </c>
      <c r="D15" s="0" t="s">
        <v>559</v>
      </c>
    </row>
    <row r="16" customFormat="false" ht="15" hidden="false" customHeight="false" outlineLevel="0" collapsed="false">
      <c r="A16" s="0" t="s">
        <v>560</v>
      </c>
      <c r="B16" s="0" t="s">
        <v>561</v>
      </c>
      <c r="C16" s="0" t="s">
        <v>519</v>
      </c>
      <c r="D16" s="0" t="s">
        <v>562</v>
      </c>
    </row>
    <row r="17" customFormat="false" ht="15" hidden="false" customHeight="false" outlineLevel="0" collapsed="false">
      <c r="A17" s="0" t="s">
        <v>563</v>
      </c>
      <c r="B17" s="0" t="s">
        <v>564</v>
      </c>
      <c r="C17" s="0" t="s">
        <v>519</v>
      </c>
      <c r="D17" s="0" t="s">
        <v>565</v>
      </c>
    </row>
    <row r="18" customFormat="false" ht="15" hidden="false" customHeight="false" outlineLevel="0" collapsed="false">
      <c r="A18" s="0" t="s">
        <v>566</v>
      </c>
      <c r="B18" s="0" t="s">
        <v>567</v>
      </c>
      <c r="C18" s="0" t="s">
        <v>519</v>
      </c>
      <c r="D18" s="0" t="s">
        <v>568</v>
      </c>
    </row>
    <row r="19" customFormat="false" ht="15" hidden="false" customHeight="false" outlineLevel="0" collapsed="false">
      <c r="A19" s="0" t="s">
        <v>569</v>
      </c>
      <c r="B19" s="0" t="s">
        <v>570</v>
      </c>
      <c r="C19" s="0" t="s">
        <v>519</v>
      </c>
      <c r="D19" s="0" t="s">
        <v>571</v>
      </c>
    </row>
    <row r="20" customFormat="false" ht="15" hidden="false" customHeight="false" outlineLevel="0" collapsed="false">
      <c r="A20" s="0" t="s">
        <v>572</v>
      </c>
      <c r="B20" s="0" t="s">
        <v>573</v>
      </c>
      <c r="C20" s="0" t="s">
        <v>519</v>
      </c>
      <c r="D20" s="0" t="s">
        <v>574</v>
      </c>
    </row>
    <row r="21" customFormat="false" ht="15" hidden="false" customHeight="false" outlineLevel="0" collapsed="false">
      <c r="A21" s="0" t="s">
        <v>575</v>
      </c>
      <c r="B21" s="0" t="s">
        <v>576</v>
      </c>
      <c r="C21" s="0" t="s">
        <v>519</v>
      </c>
      <c r="D21" s="0" t="s">
        <v>577</v>
      </c>
    </row>
    <row r="22" customFormat="false" ht="15" hidden="false" customHeight="false" outlineLevel="0" collapsed="false">
      <c r="A22" s="0" t="s">
        <v>578</v>
      </c>
      <c r="B22" s="0" t="s">
        <v>579</v>
      </c>
      <c r="C22" s="0" t="s">
        <v>580</v>
      </c>
      <c r="D22" s="0" t="s">
        <v>581</v>
      </c>
    </row>
    <row r="23" customFormat="false" ht="15" hidden="false" customHeight="false" outlineLevel="0" collapsed="false">
      <c r="A23" s="0" t="s">
        <v>582</v>
      </c>
      <c r="B23" s="0" t="s">
        <v>583</v>
      </c>
      <c r="C23" s="0" t="s">
        <v>580</v>
      </c>
      <c r="D23" s="0" t="s">
        <v>584</v>
      </c>
    </row>
    <row r="24" customFormat="false" ht="15" hidden="false" customHeight="false" outlineLevel="0" collapsed="false">
      <c r="A24" s="0" t="s">
        <v>585</v>
      </c>
      <c r="B24" s="0" t="s">
        <v>586</v>
      </c>
      <c r="C24" s="0" t="s">
        <v>519</v>
      </c>
      <c r="D24" s="0" t="s">
        <v>587</v>
      </c>
    </row>
    <row r="25" customFormat="false" ht="15" hidden="false" customHeight="false" outlineLevel="0" collapsed="false">
      <c r="A25" s="0" t="s">
        <v>588</v>
      </c>
      <c r="B25" s="0" t="s">
        <v>589</v>
      </c>
      <c r="C25" s="0" t="s">
        <v>519</v>
      </c>
      <c r="D25" s="0" t="s">
        <v>590</v>
      </c>
    </row>
    <row r="26" customFormat="false" ht="15" hidden="false" customHeight="false" outlineLevel="0" collapsed="false">
      <c r="A26" s="0" t="s">
        <v>591</v>
      </c>
      <c r="B26" s="0" t="s">
        <v>592</v>
      </c>
      <c r="C26" s="0" t="s">
        <v>580</v>
      </c>
      <c r="D26" s="0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2026-10-17T10:53:11Z</dcterms:created>
  <dc:creator>openpyxl</dc:creator>
  <dc:description/>
  <dc:language>en-US</dc:language>
  <cp:lastModifiedBy/>
  <dcterms:modified xsi:type="dcterms:W3CDTF">2026-10-17T10:53:12Z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