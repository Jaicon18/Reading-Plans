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<sst xmlns="http://schemas.openxmlformats.org/spreadsheetml/2006/main" count="1224" uniqueCount="806">
  <si>
    <t xml:space="preserve">Bank of America - Broomfield, CO (CO1-111, NWC Hwy 7 and Palisade Pkwy)   |   METAL FRAMING &amp; DRYWALL TAKEOFF</t>
  </si>
  <si>
    <t xml:space="preserve">Bid set: 2025.08.26_CO1-111_Broomfield_PERMIT SET_BID SET.pdf   ·   2026-10-19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</si>
  <si>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</si>
  <si>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</si>
  <si>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</si>
  <si>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</si>
  <si>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</si>
  <si>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</si>
  <si>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</si>
  <si>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</si>
  <si>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</si>
  <si>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</si>
  <si>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</si>
  <si>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</si>
  <si>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</si>
  <si>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</si>
  <si>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</si>
  <si>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</si>
  <si>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</si>
  <si>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</si>
  <si>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</si>
  <si>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</si>
  <si>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</si>
  <si>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</si>
  <si>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</si>
  <si>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</si>
  <si>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</si>
  <si>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</si>
  <si>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</si>
  <si>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</si>
  <si>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</si>
  <si>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</si>
  <si>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</si>
  <si>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</si>
  <si>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</si>
  <si>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</si>
  <si>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</si>
  <si>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</si>
  <si>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</si>
  <si>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</si>
  <si>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</si>
  <si>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</si>
  <si>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</si>
  <si>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</si>
  <si>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</si>
  <si>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</si>
  <si>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</si>
  <si>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(CO1-111, NWC Hwy 7 and Palisade Pkwy)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</si>
  <si>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</si>
  <si>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</si>
  <si>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</si>
  <si>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</si>
  <si>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</si>
  <si>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</si>
  <si>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</si>
  <si>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</si>
  <si>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</si>
  <si>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</si>
  <si>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</si>
  <si>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</si>
  <si>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EXT-6CFMF</t>
  </si>
  <si>
    <t xml:space="preserve">EXT-6CFMF  #EXT-F  -  105 OFFICE 1</t>
  </si>
  <si>
    <t xml:space="preserve">EXT-F</t>
  </si>
  <si>
    <t xml:space="preserve">6"</t>
  </si>
  <si>
    <t xml:space="preserve">105 OFFICE 1</t>
  </si>
  <si>
    <t xml:space="preserve">C/A09.21</t>
  </si>
  <si>
    <t xml:space="preserve">[DERIVED]</t>
  </si>
  <si>
    <t xml:space="preserve">EXT-6CFMF  #EXT-8-1+EXT-8-2  -  105, 106, 107, 108 (OFFICES 1-4), 116 CASH WINDOW (north part) + 116 CASH WINDOW (south part), 119 WORK ROOM</t>
  </si>
  <si>
    <t xml:space="preserve">EXT-8-1+EXT-8-2</t>
  </si>
  <si>
    <t xml:space="preserve">105, 106, 107, 108 (OFFICES 1-4), 116 CASH WINDOW (north part) + 116 CASH WINDOW (south part), 119 WORK ROOM</t>
  </si>
  <si>
    <t xml:space="preserve">D/A09.22; E/A09.22</t>
  </si>
  <si>
    <t xml:space="preserve">EXT-6CFMF  #EXT-A-1+EXT-A-2  -  115 WELLNESS, 111 CORRIDOR (door 123), 121 NER, 118 BREAK ROOM (west part) + 118 BREAK ROOM (east part), 119 WORK ROOM</t>
  </si>
  <si>
    <t xml:space="preserve">EXT-A-1+EXT-A-2</t>
  </si>
  <si>
    <t xml:space="preserve">115 WELLNESS, 111 CORRIDOR (door 123), 121 NER, 118 BREAK ROOM (west part) + 118 BREAK ROOM (east part), 119 WORK ROOM</t>
  </si>
  <si>
    <t xml:space="preserve">F/A09.22</t>
  </si>
  <si>
    <t xml:space="preserve">EXT-6CFMF  #EXT-3-1+EXT-3-2  -  109 OFFICE 5, 110 OFFICE 6, 114 (north end) + 114 WOMEN'S RESTROOM, 113 MEN'S RESTROOM, 112 JANITOR, 115 WELLNESS</t>
  </si>
  <si>
    <t xml:space="preserve">EXT-3-1+EXT-3-2</t>
  </si>
  <si>
    <t xml:space="preserve">109 OFFICE 5, 110 OFFICE 6, 114 (north end) + 114 WOMEN'S RESTROOM, 113 MEN'S RESTROOM, 112 JANITOR, 115 WELLNESS</t>
  </si>
  <si>
    <t xml:space="preserve">H/A09.23</t>
  </si>
  <si>
    <t xml:space="preserve">EXT-6CFMF  #EXT-D  -  102 ATM ROOM</t>
  </si>
  <si>
    <t xml:space="preserve">EXT-D</t>
  </si>
  <si>
    <t xml:space="preserve">102 ATM ROOM</t>
  </si>
  <si>
    <t xml:space="preserve">J/A09.23</t>
  </si>
  <si>
    <t xml:space="preserve">EXT-6CFMF  #EXT-2  -  100 VESTIBULE (south of SF-W), 101 24 HR VESTIBULE, 102 ATM ROOM</t>
  </si>
  <si>
    <t xml:space="preserve">EXT-2</t>
  </si>
  <si>
    <t xml:space="preserve">100 VESTIBULE (south of SF-W), 101 24 HR VESTIBULE, 102 ATM ROOM</t>
  </si>
  <si>
    <t xml:space="preserve">TYPE C1</t>
  </si>
  <si>
    <t xml:space="preserve">C1  #PIER-NW  -  100 VESTIBULE (pier east face) / 100 VESTIBULE (pier south face)</t>
  </si>
  <si>
    <t xml:space="preserve">PIER-NW</t>
  </si>
  <si>
    <t xml:space="preserve">mixed</t>
  </si>
  <si>
    <t xml:space="preserve">100 VESTIBULE (pier east face) / 100 VESTIBULE (pier south face)</t>
  </si>
  <si>
    <t xml:space="preserve">1/A09.25</t>
  </si>
  <si>
    <t xml:space="preserve">C1  #PIER-NE  -  100 VESTIBULE (pier west face) / 100 VESTIBULE / 103 CENTRAL ZONE (pier south face) / 103 CENTRAL ZONE (pier east face)</t>
  </si>
  <si>
    <t xml:space="preserve">PIER-NE</t>
  </si>
  <si>
    <t xml:space="preserve">100 VESTIBULE (pier west face) / 100 VESTIBULE / 103 CENTRAL ZONE (pier south face) / 103 CENTRAL ZONE (pier east face)</t>
  </si>
  <si>
    <t xml:space="preserve">2/A09.25</t>
  </si>
  <si>
    <t xml:space="preserve">C1  #C1-5  -  C1 furring south of A1K-2, FUTURE FCAM (Break Room 118)</t>
  </si>
  <si>
    <t xml:space="preserve">C1-5</t>
  </si>
  <si>
    <t xml:space="preserve">3-5/8"</t>
  </si>
  <si>
    <t xml:space="preserve">C1 furring south of A1K-2, FUTURE FCAM (Break Room 118)</t>
  </si>
  <si>
    <t xml:space="preserve">6/A12.01</t>
  </si>
  <si>
    <t xml:space="preserve">C1  #C1-3  -  C1 display furring on the Waiting 104 side of A1-1 (key note 7, 85" display)</t>
  </si>
  <si>
    <t xml:space="preserve">C1-3</t>
  </si>
  <si>
    <t xml:space="preserve">C1 display furring on the Waiting 104 side of A1-1 (key note 7, 85" display)</t>
  </si>
  <si>
    <t xml:space="preserve">[CONFIRMED]</t>
  </si>
  <si>
    <t xml:space="preserve">C1  #C1-4  -  restroom plumbing chase, Women's Restroom 114 face</t>
  </si>
  <si>
    <t xml:space="preserve">C1-4</t>
  </si>
  <si>
    <t xml:space="preserve">restroom plumbing chase, Women's Restroom 114 face</t>
  </si>
  <si>
    <t xml:space="preserve">C1  #C1-6  -  restroom plumbing chase, Men's Restroom 113 face</t>
  </si>
  <si>
    <t xml:space="preserve">C1-6</t>
  </si>
  <si>
    <t xml:space="preserve">restroom plumbing chase, Men's Restroom 113 face</t>
  </si>
  <si>
    <t xml:space="preserve">C1  #C1-1  -  interior column box at grid 4 between Vestibule 100, 24 HR Vestibule 101 and Central Zone 103</t>
  </si>
  <si>
    <t xml:space="preserve">C1-1</t>
  </si>
  <si>
    <t xml:space="preserve">interior column box at grid 4 between Vestibule 100, 24 HR Vestibule 101 and Central Zone 103</t>
  </si>
  <si>
    <t xml:space="preserve">C1  #C1-2  -  interior column box at grid 4/E (end of F-1, top of B2-1; grille 103 jamb)</t>
  </si>
  <si>
    <t xml:space="preserve">C1-2</t>
  </si>
  <si>
    <t xml:space="preserve">interior column box at grid 4/E (end of F-1, top of B2-1; grille 103 jamb)</t>
  </si>
  <si>
    <t xml:space="preserve">TYPE CANOPY-COL</t>
  </si>
  <si>
    <t xml:space="preserve">CANOPY-COL  #CW-1  -  CW-1</t>
  </si>
  <si>
    <t xml:space="preserve">CW-1</t>
  </si>
  <si>
    <t xml:space="preserve">5/A09.25</t>
  </si>
  <si>
    <t xml:space="preserve">CANOPY-COL  #CW-2  -  CW-2</t>
  </si>
  <si>
    <t xml:space="preserve">CW-2</t>
  </si>
  <si>
    <t xml:space="preserve">CANOPY-COL  #CW-3  -  CW-3</t>
  </si>
  <si>
    <t xml:space="preserve">CW-3</t>
  </si>
  <si>
    <t xml:space="preserve">CANOPY-COL  #CW-4  -  CW-4</t>
  </si>
  <si>
    <t xml:space="preserve">CW-4</t>
  </si>
  <si>
    <t xml:space="preserve">TYPE EXT-PARAPET</t>
  </si>
  <si>
    <t xml:space="preserve">EXT-PARAPET  #PAR-G  -  PAR-G</t>
  </si>
  <si>
    <t xml:space="preserve">PAR-G</t>
  </si>
  <si>
    <t xml:space="preserve">6" parapet</t>
  </si>
  <si>
    <t xml:space="preserve">4/A09.26</t>
  </si>
  <si>
    <t xml:space="preserve">EXT-PARAPET  #PAR-4  -  PAR-4</t>
  </si>
  <si>
    <t xml:space="preserve">PAR-4</t>
  </si>
  <si>
    <t xml:space="preserve">EXT-PARAPET  #PAR-F  -  PAR-F</t>
  </si>
  <si>
    <t xml:space="preserve">PAR-F</t>
  </si>
  <si>
    <t xml:space="preserve">EXT-PARAPET  #PAR-8-1+PAR-8-2  -  PAR-8-1 + PAR-8-2</t>
  </si>
  <si>
    <t xml:space="preserve">PAR-8-1+PAR-8-2</t>
  </si>
  <si>
    <t xml:space="preserve">PAR-8-1 + PAR-8-2</t>
  </si>
  <si>
    <t xml:space="preserve">EXT-PARAPET  #PAR-A  -  PAR-A</t>
  </si>
  <si>
    <t xml:space="preserve">PAR-A</t>
  </si>
  <si>
    <t xml:space="preserve">EXT-PARAPET  #PAR-3-1+PAR-3-2  -  PAR-3-1 + PAR-3-2</t>
  </si>
  <si>
    <t xml:space="preserve">PAR-3-1+PAR-3-2</t>
  </si>
  <si>
    <t xml:space="preserve">PAR-3-1 + PAR-3-2</t>
  </si>
  <si>
    <t xml:space="preserve">EXT-PARAPET  #PAR-D  -  PAR-D</t>
  </si>
  <si>
    <t xml:space="preserve">PAR-D</t>
  </si>
  <si>
    <t xml:space="preserve">EXT-PARAPET  #PAR-2  -  PAR-2</t>
  </si>
  <si>
    <t xml:space="preserve">PAR-2</t>
  </si>
  <si>
    <t xml:space="preserve">TYPE A1</t>
  </si>
  <si>
    <t xml:space="preserve">A1  #A1u-1  -  east office front north stub (Office 1 105 / Central Zone 103)</t>
  </si>
  <si>
    <t xml:space="preserve">A1u-1</t>
  </si>
  <si>
    <t xml:space="preserve">east office front north stub (Office 1 105 / Central Zone 103)</t>
  </si>
  <si>
    <t xml:space="preserve">3/A12.01</t>
  </si>
  <si>
    <t xml:space="preserve">A1  #A1-1+A1u-2+A1u-3  -  Waiting 104 / Calling Cubes 122 and MW01 alcove (north wall) + east office front south 4" stub (Office 4 108) on top of B2K + west office front north 4" stub (Office 5 109)</t>
  </si>
  <si>
    <t xml:space="preserve">A1-1+A1u-2+A1u-3</t>
  </si>
  <si>
    <t xml:space="preserve">Waiting 104 / Calling Cubes 122 and MW01 alcove (north wall) + east office front south 4" stub (Office 4 108) on top of B2K + west office front north 4" stub (Office 5 109)</t>
  </si>
  <si>
    <t xml:space="preserve">A1  #A1-4+A1u-4  -  Central Zone 103 / Corridor 111 (north side of corridor, door 111) + west office front south stub (Office 6 110 / Central Zone 103)</t>
  </si>
  <si>
    <t xml:space="preserve">A1-4+A1u-4</t>
  </si>
  <si>
    <t xml:space="preserve">Central Zone 103 / Corridor 111 (north side of corridor, door 111) + west office front south stub (Office 6 110 / Central Zone 103)</t>
  </si>
  <si>
    <t xml:space="preserve">A1  #A1-3  -  MW01 alcove (Central Zone 103) / Calling Cubes 122 (MW07)</t>
  </si>
  <si>
    <t xml:space="preserve">A1-3</t>
  </si>
  <si>
    <t xml:space="preserve">MW01 alcove (Central Zone 103) / Calling Cubes 122 (MW07)</t>
  </si>
  <si>
    <t xml:space="preserve">A1  #A1-2  -  MW01 alcove (Central Zone 103) / Calling Cubes 122</t>
  </si>
  <si>
    <t xml:space="preserve">A1-2</t>
  </si>
  <si>
    <t xml:space="preserve">MW01 alcove (Central Zone 103) / Calling Cubes 122</t>
  </si>
  <si>
    <t xml:space="preserve">A1  #A1-7  -  end of the MW21 alcove (Break Room 118 / Central Zone 103)</t>
  </si>
  <si>
    <t xml:space="preserve">A1-7</t>
  </si>
  <si>
    <t xml:space="preserve">end of the MW21 alcove (Break Room 118 / Central Zone 103)</t>
  </si>
  <si>
    <t xml:space="preserve">A1  #A1-6  -  Central Zone 103 / Break Room 118 (door 118A)</t>
  </si>
  <si>
    <t xml:space="preserve">A1-6</t>
  </si>
  <si>
    <t xml:space="preserve">Central Zone 103 / Break Room 118 (door 118A)</t>
  </si>
  <si>
    <t xml:space="preserve">A1  #A1-5  -  Calling Cubes 122 / Break Room 118 (MW21) - south wall</t>
  </si>
  <si>
    <t xml:space="preserve">A1-5</t>
  </si>
  <si>
    <t xml:space="preserve">Calling Cubes 122 / Break Room 118 (MW21) - south wall</t>
  </si>
  <si>
    <t xml:space="preserve">A1  #A1-8  -  Corridor 111 east wall (Break Room 118, Electrical 120, NER 121; door 118B)</t>
  </si>
  <si>
    <t xml:space="preserve">A1-8</t>
  </si>
  <si>
    <t xml:space="preserve">Corridor 111 east wall (Break Room 118, Electrical 120, NER 121; door 118B)</t>
  </si>
  <si>
    <t xml:space="preserve">A1  #A1-9  -  Break Room 118 / Work Room 119 (door 119)</t>
  </si>
  <si>
    <t xml:space="preserve">A1-9</t>
  </si>
  <si>
    <t xml:space="preserve">Break Room 118 / Work Room 119 (door 119)</t>
  </si>
  <si>
    <t xml:space="preserve">A1  #A1u-5+A1u-6+A1u-7  -  drinking fountain alcove north return (Women's Restroom 114 / Corridor 111 alcove) + drinking fountain alcove back wall (Restrooms 114 / 113 and chase / Corridor 111 alcove) + drinking fountain alcove south return (Corridor 111 alcove / Men's Restroom 113)</t>
  </si>
  <si>
    <t xml:space="preserve">A1u-5+A1u-6+A1u-7</t>
  </si>
  <si>
    <t xml:space="preserve">drinking fountain alcove north return (Women's Restroom 114 / Corridor 111 alcove) + drinking fountain alcove back wall (Restrooms 114 / 113 and chase / Corridor 111 alcove) + drinking fountain alcove south return (Corridor 111 alcove / Men's Restroom 113)</t>
  </si>
  <si>
    <t xml:space="preserve">TYPE G</t>
  </si>
  <si>
    <t xml:space="preserve">G  #G-1  -  east office front stub between Office 1 105 and Office 2 106</t>
  </si>
  <si>
    <t xml:space="preserve">G-1</t>
  </si>
  <si>
    <t xml:space="preserve">1-5/8"</t>
  </si>
  <si>
    <t xml:space="preserve">east office front stub between Office 1 105 and Office 2 106</t>
  </si>
  <si>
    <t xml:space="preserve">5/A12.01</t>
  </si>
  <si>
    <t xml:space="preserve">G  #G-2  -  east office front stub between Office 2 106 and Office 3 107</t>
  </si>
  <si>
    <t xml:space="preserve">G-2</t>
  </si>
  <si>
    <t xml:space="preserve">east office front stub between Office 2 106 and Office 3 107</t>
  </si>
  <si>
    <t xml:space="preserve">G  #G-3  -  Office 2 106 / Office 3 107</t>
  </si>
  <si>
    <t xml:space="preserve">G-3</t>
  </si>
  <si>
    <t xml:space="preserve">Office 2 106 / Office 3 107</t>
  </si>
  <si>
    <t xml:space="preserve">G  #G-4  -  east office front stub between Office 3 107 and Office 4 108</t>
  </si>
  <si>
    <t xml:space="preserve">G-4</t>
  </si>
  <si>
    <t xml:space="preserve">east office front stub between Office 3 107 and Office 4 108</t>
  </si>
  <si>
    <t xml:space="preserve">G  #G-5  -  Office 3 107 / Office 4 108</t>
  </si>
  <si>
    <t xml:space="preserve">G-5</t>
  </si>
  <si>
    <t xml:space="preserve">Office 3 107 / Office 4 108</t>
  </si>
  <si>
    <t xml:space="preserve">G  #G-6  -  Office 4 108 / Cash Window 116</t>
  </si>
  <si>
    <t xml:space="preserve">G-6</t>
  </si>
  <si>
    <t xml:space="preserve">Office 4 108 / Cash Window 116</t>
  </si>
  <si>
    <t xml:space="preserve">G  #G-7  -  ATM Room 102 / Office 5 109</t>
  </si>
  <si>
    <t xml:space="preserve">G-7</t>
  </si>
  <si>
    <t xml:space="preserve">ATM Room 102 / Office 5 109</t>
  </si>
  <si>
    <t xml:space="preserve">G  #G-8  -  Office 5 109 / Office 6 110</t>
  </si>
  <si>
    <t xml:space="preserve">G-8</t>
  </si>
  <si>
    <t xml:space="preserve">Office 5 109 / Office 6 110</t>
  </si>
  <si>
    <t xml:space="preserve">G  #G-9  -  Office 6 110 / Women's Restroom 114</t>
  </si>
  <si>
    <t xml:space="preserve">G-9</t>
  </si>
  <si>
    <t xml:space="preserve">Office 6 110 / Women's Restroom 114</t>
  </si>
  <si>
    <t xml:space="preserve">TYPE G1</t>
  </si>
  <si>
    <t xml:space="preserve">G1  #G1-1  -  Office 1 105 / Office 2 106</t>
  </si>
  <si>
    <t xml:space="preserve">G1-1</t>
  </si>
  <si>
    <t xml:space="preserve">Office 1 105 / Office 2 106</t>
  </si>
  <si>
    <t xml:space="preserve">G1  #G1-2  -  west office front stub between Office 5 109 and Office 6 110</t>
  </si>
  <si>
    <t xml:space="preserve">G1-2</t>
  </si>
  <si>
    <t xml:space="preserve">west office front stub between Office 5 109 and Office 6 110</t>
  </si>
  <si>
    <t xml:space="preserve">TYPE BULKHEAD-G</t>
  </si>
  <si>
    <t xml:space="preserve">BULKHEAD-G  #BH-1+BH-2+BH-3+BH-4  -  office bulkhead over DFC-1A front of Office 105 (east front) + office bulkhead over DFC-1A front of Office 106 (east front) + office bulkhead over DFC-1A front of Office 107 (east front) + office bulkhead over DFC-1A front of Office 108 (east front)</t>
  </si>
  <si>
    <t xml:space="preserve">BH-1+BH-2+BH-3+BH-4</t>
  </si>
  <si>
    <t xml:space="preserve">office bulkhead over DFC-1A front of Office 105 (east front) + office bulkhead over DFC-1A front of Office 106 (east front) + office bulkhead over DFC-1A front of Office 107 (east front) + office bulkhead over DFC-1A front of Office 108 (east front)</t>
  </si>
  <si>
    <t xml:space="preserve">9/A12.01</t>
  </si>
  <si>
    <t xml:space="preserve">BULKHEAD-G  #BH-5+BH-6  -  office bulkhead over DFC-1A front of Office 109 (west front) + office bulkhead over DFC-1A front of Office 110 (west front)</t>
  </si>
  <si>
    <t xml:space="preserve">BH-5+BH-6</t>
  </si>
  <si>
    <t xml:space="preserve">office bulkhead over DFC-1A front of Office 109 (west front) + office bulkhead over DFC-1A front of Office 110 (west front)</t>
  </si>
  <si>
    <t xml:space="preserve">TYPE B2K</t>
  </si>
  <si>
    <t xml:space="preserve">B2K  #B2K-1  -  Cash Window 116 north ballistic return at the east office front end (Office 4 108 / teller area)</t>
  </si>
  <si>
    <t xml:space="preserve">B2K-1</t>
  </si>
  <si>
    <t xml:space="preserve">Cash Window 116 north ballistic return at the east office front end (Office 4 108 / teller area)</t>
  </si>
  <si>
    <t xml:space="preserve">4/A12.01</t>
  </si>
  <si>
    <t xml:space="preserve">TYPE A1K</t>
  </si>
  <si>
    <t xml:space="preserve">A1K  #A1K-1  -  Cash Window 116 north ballistic wall (south of the G wall void)</t>
  </si>
  <si>
    <t xml:space="preserve">A1K-1</t>
  </si>
  <si>
    <t xml:space="preserve">Cash Window 116 north ballistic wall (south of the G wall void)</t>
  </si>
  <si>
    <t xml:space="preserve">A1K  #A1K-2  -  Cash Window 116 south ballistic wall (teller area / void at Break Room 118)</t>
  </si>
  <si>
    <t xml:space="preserve">A1K-2</t>
  </si>
  <si>
    <t xml:space="preserve">Cash Window 116 south ballistic wall (teller area / void at Break Room 118)</t>
  </si>
  <si>
    <t xml:space="preserve">A1K  #A1K-3  -  Cash Window 116 south-west ballistic wall at the teller line end (teller area / Break Room 118)</t>
  </si>
  <si>
    <t xml:space="preserve">A1K-3</t>
  </si>
  <si>
    <t xml:space="preserve">Cash Window 116 south-west ballistic wall at the teller line end (teller area / Break Room 118)</t>
  </si>
  <si>
    <t xml:space="preserve">TYPE B2</t>
  </si>
  <si>
    <t xml:space="preserve">B2  #B2-1  -  ATM Room 102 east wall to Central Zone 103 (grid 4)</t>
  </si>
  <si>
    <t xml:space="preserve">B2-1</t>
  </si>
  <si>
    <t xml:space="preserve">ATM Room 102 east wall to Central Zone 103 (grid 4)</t>
  </si>
  <si>
    <t xml:space="preserve">1/A12.01</t>
  </si>
  <si>
    <t xml:space="preserve">B2  #B2-4  -  Break Room 118 / Work Room 119 (door 116)</t>
  </si>
  <si>
    <t xml:space="preserve">B2-4</t>
  </si>
  <si>
    <t xml:space="preserve">Break Room 118 / Work Room 119 (door 116)</t>
  </si>
  <si>
    <t xml:space="preserve">B2  #B2-2a+B2-2b  -  Women's Restroom 114 / Corridor 111, north of grid B + Women's Restroom 114 / Corridor 111 (door 114)</t>
  </si>
  <si>
    <t xml:space="preserve">B2-2a+B2-2b</t>
  </si>
  <si>
    <t xml:space="preserve">Women's Restroom 114 / Corridor 111, north of grid B + Women's Restroom 114 / Corridor 111 (door 114)</t>
  </si>
  <si>
    <t xml:space="preserve">B2  #B2-3  -  Corridor 111 west wall (Men's 113, Storage 117, Wellness 115; doors 113, 117, 115)</t>
  </si>
  <si>
    <t xml:space="preserve">B2-3</t>
  </si>
  <si>
    <t xml:space="preserve">Corridor 111 west wall (Men's 113, Storage 117, Wellness 115; doors 113, 117, 115)</t>
  </si>
  <si>
    <t xml:space="preserve">TYPE A5</t>
  </si>
  <si>
    <t xml:space="preserve">A5  #A5-2  -  Central Zone 103 / Calling Cubes 122 (west wall, FEC-1 recess)</t>
  </si>
  <si>
    <t xml:space="preserve">A5-2</t>
  </si>
  <si>
    <t xml:space="preserve">Central Zone 103 / Calling Cubes 122 (west wall, FEC-1 recess)</t>
  </si>
  <si>
    <t xml:space="preserve">A5  #A5-1a+A5-1b  -  Calling Cubes 122 / Central Zone 103 (east wall, north of grid B) + Calling Cubes 122 / Central Zone 103 (east wall, south of grid B)</t>
  </si>
  <si>
    <t xml:space="preserve">A5-1a+A5-1b</t>
  </si>
  <si>
    <t xml:space="preserve">Calling Cubes 122 / Central Zone 103 (east wall, north of grid B) + Calling Cubes 122 / Central Zone 103 (east wall, south of grid B)</t>
  </si>
  <si>
    <t xml:space="preserve">A5  #A5-3a+A5-3b  -  Corridor 111 / Calling Cubes 122 stub north of grid B + Corridor 111 / Calling Cubes 122 (door 122)</t>
  </si>
  <si>
    <t xml:space="preserve">A5-3a+A5-3b</t>
  </si>
  <si>
    <t xml:space="preserve">Corridor 111 / Calling Cubes 122 stub north of grid B + Corridor 111 / Calling Cubes 122 (door 122)</t>
  </si>
  <si>
    <t xml:space="preserve">A5  #A5-4  -  Break Room 118 (FUTURE FCAM) - wall south of the teller line</t>
  </si>
  <si>
    <t xml:space="preserve">A5-4</t>
  </si>
  <si>
    <t xml:space="preserve">Break Room 118 (FUTURE FCAM) - wall south of the teller line</t>
  </si>
  <si>
    <t xml:space="preserve">TYPE B</t>
  </si>
  <si>
    <t xml:space="preserve">B  #B-1  -  Break Room 118 / Electrical 120 (north wall)</t>
  </si>
  <si>
    <t xml:space="preserve">B-1</t>
  </si>
  <si>
    <t xml:space="preserve">Break Room 118 / Electrical 120 (north wall)</t>
  </si>
  <si>
    <t xml:space="preserve">B  #B-5  -  Electrical 120 and NER 121 east wall to Break Room 118 (doors 120, 121)</t>
  </si>
  <si>
    <t xml:space="preserve">B-5</t>
  </si>
  <si>
    <t xml:space="preserve">Electrical 120 and NER 121 east wall to Break Room 118 (doors 120, 121)</t>
  </si>
  <si>
    <t xml:space="preserve">B  #B-4  -  Electrical 120 / NER 121</t>
  </si>
  <si>
    <t xml:space="preserve">B-4</t>
  </si>
  <si>
    <t xml:space="preserve">Electrical 120 / NER 121</t>
  </si>
  <si>
    <t xml:space="preserve">B  #B-2  -  Men's Restroom 113 / Janitor Closet 112 and Storage 117 (door 112)</t>
  </si>
  <si>
    <t xml:space="preserve">B-2</t>
  </si>
  <si>
    <t xml:space="preserve">Men's Restroom 113 / Janitor Closet 112 and Storage 117 (door 112)</t>
  </si>
  <si>
    <t xml:space="preserve">B  #B-3  -  Janitor Closet 112 and Storage 117 / Wellness 115</t>
  </si>
  <si>
    <t xml:space="preserve">B-3</t>
  </si>
  <si>
    <t xml:space="preserve">Janitor Closet 112 and Storage 117 / Wellness 115</t>
  </si>
  <si>
    <t xml:space="preserve">B  #B-6  -  Janitor Closet 112 / Storage 117</t>
  </si>
  <si>
    <t xml:space="preserve">B-6</t>
  </si>
  <si>
    <t xml:space="preserve">Janitor Closet 112 / Storage 117</t>
  </si>
  <si>
    <t xml:space="preserve">TYPE F</t>
  </si>
  <si>
    <t xml:space="preserve">F  #F-1  -  60 deg diagonal partition 24 HR Vestibule 101 / ATM Room 102 (walk-up ATM)</t>
  </si>
  <si>
    <t xml:space="preserve">F-1</t>
  </si>
  <si>
    <t xml:space="preserve">60 deg diagonal partition 24 HR Vestibule 101 / ATM Room 102 (walk-up ATM)</t>
  </si>
  <si>
    <t xml:space="preserve">12/A12.01</t>
  </si>
  <si>
    <t xml:space="preserve">TOTAL - PARTITIONS</t>
  </si>
  <si>
    <t xml:space="preserve">TYPE OTHER FRAMING (NOT A PARTITION)</t>
  </si>
  <si>
    <t xml:space="preserve">ceiling_transition  #R-TR104-W  -  WAITING 104 GB island, W edge against ACT-4 11'-6" CENTRAL ZONE 103</t>
  </si>
  <si>
    <t xml:space="preserve">R-TR104-W</t>
  </si>
  <si>
    <t xml:space="preserve">WAITING 104 GB island, W edge against ACT-4 11'-6" CENTRAL ZONE 103</t>
  </si>
  <si>
    <t xml:space="preserve">8/A09.33</t>
  </si>
  <si>
    <t xml:space="preserve">ceiling_transition  #R-TR104-N  -  WAITING 104 GB island, N edge against ACT-4 11'-6" CENTRAL ZONE 103</t>
  </si>
  <si>
    <t xml:space="preserve">R-TR104-N</t>
  </si>
  <si>
    <t xml:space="preserve">WAITING 104 GB island, N edge against ACT-4 11'-6" CENTRAL ZONE 103</t>
  </si>
  <si>
    <t xml:space="preserve">ceiling_transition  #R-TR104-E  -  WAITING 104 GB island, E edge against ACT-4 11'-6" CENTRAL ZONE 103</t>
  </si>
  <si>
    <t xml:space="preserve">R-TR104-E</t>
  </si>
  <si>
    <t xml:space="preserve">WAITING 104 GB island, E edge against ACT-4 11'-6" CENTRAL ZONE 103</t>
  </si>
  <si>
    <t xml:space="preserve">soffit_side  #R-CSR-W-N  -  CSR soffit (CASH WINDOW 116) W long edge, north of grid B</t>
  </si>
  <si>
    <t xml:space="preserve">R-CSR-W-N</t>
  </si>
  <si>
    <t xml:space="preserve">CSR soffit (CASH WINDOW 116) W long edge, north of grid B</t>
  </si>
  <si>
    <t xml:space="preserve">10/A09.33</t>
  </si>
  <si>
    <t xml:space="preserve">soffit_side  #R-CSR-W-S  -  CSR soffit (CASH WINDOW 116) W long edge, south of grid B</t>
  </si>
  <si>
    <t xml:space="preserve">R-CSR-W-S</t>
  </si>
  <si>
    <t xml:space="preserve">CSR soffit (CASH WINDOW 116) W long edge, south of grid B</t>
  </si>
  <si>
    <t xml:space="preserve">soffit_side  #R-CSR-E-N  -  CSR soffit (CASH WINDOW 116) E long edge, north of grid B</t>
  </si>
  <si>
    <t xml:space="preserve">R-CSR-E-N</t>
  </si>
  <si>
    <t xml:space="preserve">CSR soffit (CASH WINDOW 116) E long edge, north of grid B</t>
  </si>
  <si>
    <t xml:space="preserve">soffit_side  #R-CSR-E-S  -  CSR soffit (CASH WINDOW 116) E long edge, south of grid B</t>
  </si>
  <si>
    <t xml:space="preserve">R-CSR-E-S</t>
  </si>
  <si>
    <t xml:space="preserve">CSR soffit (CASH WINDOW 116) E long edge, south of grid B</t>
  </si>
  <si>
    <t xml:space="preserve">storefront_cripples  #SFC-N-VEST  -  100 VESTIBULE</t>
  </si>
  <si>
    <t xml:space="preserve">SFC-N-VEST</t>
  </si>
  <si>
    <t xml:space="preserve">100 VESTIBULE</t>
  </si>
  <si>
    <t xml:space="preserve">2/A09.26</t>
  </si>
  <si>
    <t xml:space="preserve">storefront_cripples  #SFC-N-CZ  -  103 CENTRAL ZONE / 104 WAITING</t>
  </si>
  <si>
    <t xml:space="preserve">SFC-N-CZ</t>
  </si>
  <si>
    <t xml:space="preserve">103 CENTRAL ZONE / 104 WAITING</t>
  </si>
  <si>
    <t xml:space="preserve">storefront_cripples  #SFC-W  -  100 VESTIBULE</t>
  </si>
  <si>
    <t xml:space="preserve">SFC-W</t>
  </si>
  <si>
    <t xml:space="preserve">vestibule_head  #VH-S  -  VH-S</t>
  </si>
  <si>
    <t xml:space="preserve">VH-S</t>
  </si>
  <si>
    <t xml:space="preserve">6/A12.10</t>
  </si>
  <si>
    <t xml:space="preserve">vestibule_head  #VH-E  -  VH-E</t>
  </si>
  <si>
    <t xml:space="preserve">VH-E</t>
  </si>
  <si>
    <t xml:space="preserve">4/A12.10</t>
  </si>
  <si>
    <t xml:space="preserve">roof_step  #RS-1  -  RS-1</t>
  </si>
  <si>
    <t xml:space="preserve">RS-1</t>
  </si>
  <si>
    <t xml:space="preserve">4/A02.02</t>
  </si>
  <si>
    <t xml:space="preserve">roof_step  #RS-2  -  north side (high roof rooms 116 / 118 / corridor, above ceiling)</t>
  </si>
  <si>
    <t xml:space="preserve">RS-2</t>
  </si>
  <si>
    <t xml:space="preserve">north side (high roof rooms 116 / 118 / corridor, above ceiling)</t>
  </si>
  <si>
    <t xml:space="preserve">roof_step  #RS-3  -  south side (low roof rooms 113 / 114 / 121, above ceiling) / roof step soffit bottom (horizontal, underside of the step box)</t>
  </si>
  <si>
    <t xml:space="preserve">RS-3</t>
  </si>
  <si>
    <t xml:space="preserve">south side (low roof rooms 113 / 114 / 121, above ceiling) / roof step soffit bottom (horizontal, underside of the step box)</t>
  </si>
  <si>
    <t xml:space="preserve">fascia_box  #FB-W  -  FB-W</t>
  </si>
  <si>
    <t xml:space="preserve">FB-W</t>
  </si>
  <si>
    <t xml:space="preserve">3-5/8" canopy</t>
  </si>
  <si>
    <t xml:space="preserve">16/A09.27</t>
  </si>
  <si>
    <t xml:space="preserve">fascia_box  #FB-N  -  FB-N</t>
  </si>
  <si>
    <t xml:space="preserve">FB-N</t>
  </si>
  <si>
    <t xml:space="preserve">3/A09.26</t>
  </si>
  <si>
    <t xml:space="preserve">fascia_box  #FB-E  -  FB-E</t>
  </si>
  <si>
    <t xml:space="preserve">FB-E</t>
  </si>
  <si>
    <t xml:space="preserve">7/A09.26</t>
  </si>
  <si>
    <t xml:space="preserve">fascia_box  #FB-S  -  FB-S</t>
  </si>
  <si>
    <t xml:space="preserve">FB-S</t>
  </si>
  <si>
    <t xml:space="preserve">grille_head  #GH-103  -  101 / 103</t>
  </si>
  <si>
    <t xml:space="preserve">GH-103</t>
  </si>
  <si>
    <t xml:space="preserve">2-1/2"</t>
  </si>
  <si>
    <t xml:space="preserve">101 / 103</t>
  </si>
  <si>
    <t xml:space="preserve">4/A08.21</t>
  </si>
  <si>
    <t xml:space="preserve">ceiling_transition  #R-TR103-CSR  -  CENTRAL ZONE 103: ACT-4 11'-6" (north) drops to ACT-4 9'-0" (south, west of the CSR soffit), free edge between A5-1 and the wall stub at x 1622</t>
  </si>
  <si>
    <t xml:space="preserve">R-TR103-CSR</t>
  </si>
  <si>
    <t xml:space="preserve">CENTRAL ZONE 103: ACT-4 11'-6" (north) drops to ACT-4 9'-0" (south, west of the CSR soffit), free edge between A5-1 and the wall stub at x 1622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</si>
  <si>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</si>
  <si>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</si>
  <si>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</si>
  <si>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</si>
  <si>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</si>
  <si>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</si>
  <si>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</si>
  <si>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</si>
  <si>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</si>
  <si>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</si>
  <si>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</si>
  <si>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</si>
  <si>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600S162-54 exterior / 600S137-33 interior</t>
  </si>
  <si>
    <t xml:space="preserve">LF</t>
  </si>
  <si>
    <t xml:space="preserve">stick 20 ft</t>
  </si>
  <si>
    <t xml:space="preserve">familias_out.json '6" stud (all gauges)'; 7/S5.20; A12.01; S1.11</t>
  </si>
  <si>
    <t xml:space="preserve">3-5/8" metal stud 362S137-33 (all gauges)</t>
  </si>
  <si>
    <t xml:space="preserve">familias_out.json '3-5/8" stud (all gauges)'; 7/S5.20; A12.01</t>
  </si>
  <si>
    <t xml:space="preserve">1-5/8" metal stud (G / G1 double row)</t>
  </si>
  <si>
    <t xml:space="preserve">familias_out.json '1-5/8" stud'; 5/A12.01; 6/A12.01</t>
  </si>
  <si>
    <t xml:space="preserve">Parapet 6" stud 600S162-54 by bay (11/S5.10)</t>
  </si>
  <si>
    <t xml:space="preserve">familias_out.json '6" parapet stud'; 11/S5.10; 6/S5.10</t>
  </si>
  <si>
    <t xml:space="preserve">Ceiling / soffit track 3-5/8"</t>
  </si>
  <si>
    <t xml:space="preserve">run 10 ft</t>
  </si>
  <si>
    <t xml:space="preserve">familias_out.json 'ceiling / soffit track'; 7/A09.33; 9/A12.08; 7/A09.26</t>
  </si>
  <si>
    <t xml:space="preserve">Purlin (track to deck, flute parallel)</t>
  </si>
  <si>
    <t xml:space="preserve">familias_out.json 'purlin (track to deck)'; 10/A09.33; S2.20</t>
  </si>
  <si>
    <t xml:space="preserve">Header / box beam (metal stud, by pieces)</t>
  </si>
  <si>
    <t xml:space="preserve">familias_out.json 'header / box beam'; 7/S5.20; 2/S5.20; 4/A08.21; A12.10</t>
  </si>
  <si>
    <t xml:space="preserve">Sill track (by pieces)</t>
  </si>
  <si>
    <t xml:space="preserve">familias_out.json 'sill track'; 2/S5.20</t>
  </si>
  <si>
    <t xml:space="preserve">Bracing 1-1/2" C.R. channel @ 48" O.C.</t>
  </si>
  <si>
    <t xml:space="preserve">C.R. channel 16 ft</t>
  </si>
  <si>
    <t xml:space="preserve">familias_out.json 'bracing C.R. channel'; F/1/S5.20</t>
  </si>
  <si>
    <t xml:space="preserve">7/8" furring channel @ 16" O.C.</t>
  </si>
  <si>
    <t xml:space="preserve">hat channel 12 ft</t>
  </si>
  <si>
    <t xml:space="preserve">familias_out.json 'furring channel'; A04.01; A09.33</t>
  </si>
  <si>
    <t xml:space="preserve">1-1/2" carrying channel @ 48" O.C.</t>
  </si>
  <si>
    <t xml:space="preserve">familias_out.json 'carrying channel'; A04.01; A09.33</t>
  </si>
  <si>
    <t xml:space="preserve">Hanger wire 12 ga</t>
  </si>
  <si>
    <t xml:space="preserve">familias_out.json 'hanger wire'; A04.01; S2.20 B.O.D.</t>
  </si>
  <si>
    <t xml:space="preserve">5/8" gypsum board, regular (walls + ceilings)</t>
  </si>
  <si>
    <t xml:space="preserve">SF</t>
  </si>
  <si>
    <t xml:space="preserve">4x12 ft sheet</t>
  </si>
  <si>
    <t xml:space="preserve">familias_out.json '5/8" gyp board regular (walls + ceilings)'; A12.01; A04.01</t>
  </si>
  <si>
    <t xml:space="preserve">5/8" gypsum board, moisture resistant (behind toilet / lavatory)</t>
  </si>
  <si>
    <t xml:space="preserve">familias_out.json '5/8" gyp MOISTURE RESISTANT'; F/A08.01; 1/A08.01</t>
  </si>
  <si>
    <t xml:space="preserve">Ballistic panel UL752 level 2 fiberglass</t>
  </si>
  <si>
    <t xml:space="preserve">4x8 sheet</t>
  </si>
  <si>
    <t xml:space="preserve">familias_out.json 'ballistic panel'; 4/A12.01</t>
  </si>
  <si>
    <t xml:space="preserve">3/8" gypsum board over ballistic panel</t>
  </si>
  <si>
    <t xml:space="preserve">familias_out.json '3/8" gyp board'; 4/A12.01</t>
  </si>
  <si>
    <t xml:space="preserve">5/8" glass mat sheathing</t>
  </si>
  <si>
    <t xml:space="preserve">familias_out.json '5/8" glass mat sheathing'; 3/A09.26; 7/A09.26; 9/A09.27</t>
  </si>
  <si>
    <t xml:space="preserve">5/8" exterior gypsum sheathing (parapet)</t>
  </si>
  <si>
    <t xml:space="preserve">familias_out.json '5/8" EXTERIOR gyp sheathing'; C/A09.21; 11/S5.10</t>
  </si>
  <si>
    <t xml:space="preserve">FRT blocking</t>
  </si>
  <si>
    <t xml:space="preserve">piece 8 ft</t>
  </si>
  <si>
    <t xml:space="preserve">familias_out.json 'FRT blocking'; 4/A09.26; A08.01; A12.03</t>
  </si>
  <si>
    <t xml:space="preserve">Metal stud blocking 362CR / stud blocking</t>
  </si>
  <si>
    <t xml:space="preserve">familias_out.json 'metal stud blocking (362CR / STUD BLOCKING)'; 4/S5.20</t>
  </si>
  <si>
    <t xml:space="preserve">Metal trim (corner bead, casing bead, shadow molding)</t>
  </si>
  <si>
    <t xml:space="preserve">trim stick 10 ft</t>
  </si>
  <si>
    <t xml:space="preserve">familias_out.json 'metal trim (corner bead, casing, shadow molding)'; 53.1; A12.01; 9/A12.08</t>
  </si>
  <si>
    <t xml:space="preserve">Cement board at tile cove base</t>
  </si>
  <si>
    <t xml:space="preserve">3x5 sheet</t>
  </si>
  <si>
    <t xml:space="preserve">familias_out.json 'cement board'; A08.01; 58.7</t>
  </si>
  <si>
    <t xml:space="preserve">FRP panels</t>
  </si>
  <si>
    <t xml:space="preserve">familias_out.json 'FRP'; A/A08.01; A08.01</t>
  </si>
  <si>
    <t xml:space="preserve">Acoustical sealant</t>
  </si>
  <si>
    <t xml:space="preserve">tube (25 LF per tube)</t>
  </si>
  <si>
    <t xml:space="preserve">familias_out.json 'acoustical sealant'; A12.01 details</t>
  </si>
  <si>
    <t xml:space="preserve">Framed openings MEP (3-5/8" framing at fixtures / diffusers / access panel)</t>
  </si>
  <si>
    <t xml:space="preserve">framed_openings_out.json 'framed openings MEP'; E02.01; M01.01; A04.01</t>
  </si>
  <si>
    <t xml:space="preserve">Bottom track 6" 16 GA</t>
  </si>
  <si>
    <t xml:space="preserve">familias_out.json 'bottom track (all)' split by stud size (R71.8 track size tool); 7/S5.20; A12.01</t>
  </si>
  <si>
    <t xml:space="preserve">Bottom track storefront piers (3-5/8" + 6" parts)</t>
  </si>
  <si>
    <t xml:space="preserve">Bottom track 3-5/8" 20 GA</t>
  </si>
  <si>
    <t xml:space="preserve">Bottom track 1-5/8" 20 GA</t>
  </si>
  <si>
    <t xml:space="preserve">Bottom track 6" 14 GA</t>
  </si>
  <si>
    <t xml:space="preserve">Bottom track 3-5/8" 14 GA</t>
  </si>
  <si>
    <t xml:space="preserve">Bottom track 6" 20 GA</t>
  </si>
  <si>
    <t xml:space="preserve">Bottom track 2-1/2" 20 GA grille head (4/A08.21)</t>
  </si>
  <si>
    <t xml:space="preserve">Bottom track other framing (parapets, storefront cripples, vestibule heads, roof step, fascia, transitions)</t>
  </si>
  <si>
    <t xml:space="preserve">Top / deflection track 6" 16 GA</t>
  </si>
  <si>
    <t xml:space="preserve">familias_out.json 'top / deflection track (all)' split by stud size (R71.8 track size tool); 7/S5.20; A12.01</t>
  </si>
  <si>
    <t xml:space="preserve">Top / deflection track storefront piers (3-5/8" + 6" parts)</t>
  </si>
  <si>
    <t xml:space="preserve">Top / deflection track 3-5/8" 20 GA</t>
  </si>
  <si>
    <t xml:space="preserve">Top / deflection track 1-5/8" 20 GA</t>
  </si>
  <si>
    <t xml:space="preserve">Top / deflection track 6" 14 GA</t>
  </si>
  <si>
    <t xml:space="preserve">Top / deflection track 3-5/8" 14 GA</t>
  </si>
  <si>
    <t xml:space="preserve">Top / deflection track 6" 20 GA</t>
  </si>
  <si>
    <t xml:space="preserve">Top / deflection track 2-1/2" 20 GA grille head (4/A08.21)</t>
  </si>
  <si>
    <t xml:space="preserve">Top / deflection track other framing (parapets, storefront cripples, vestibule heads, roof step, fascia, transitions)</t>
  </si>
  <si>
    <t xml:space="preserve">5/8" exterior grade FRT plywood (canopy soffits, fascia, column wraps)</t>
  </si>
  <si>
    <t xml:space="preserve">4x12 ft sheet (Inputs)</t>
  </si>
  <si>
    <t xml:space="preserve">familias_out.json FRT plywood by material; canon rows</t>
  </si>
  <si>
    <t xml:space="preserve">5/8" FRT plywood bonded to 2-1/2" polyiso (exterior sheathing / nailbase)</t>
  </si>
  <si>
    <t xml:space="preserve">3/4" FRT plywood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</si>
  <si>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</si>
  <si>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</si>
  <si>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</si>
  <si>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</si>
  <si>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</si>
  <si>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</si>
  <si>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2/S5.20 'ADD FULL LENGTH ADDL HEAD TRACK @ OPNG &gt;4'-0"'; 9/S5.20 'HEAD TRACK (DOUBLE TRACK @ OPNG &gt; 4'-0")';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</si>
  <si>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</si>
  <si>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</si>
  <si>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 (mep.cruces vs A02.01 band, registro M01.01 this run); 6/S5.20; P01.01 (mep.cruces vs A02.01 band, registro P01.01 this run); 6/S5.20; P01.02 (mep.cruces vs A02.01 band, registro P01.02 this run); 6/S5.20; M01.01 FD symbol a</t>
  </si>
  <si>
    <t xml:space="preserve">Extra framing - sistered stud and furring at the ATM recess</t>
  </si>
  <si>
    <t xml:space="preserve">accesorios.py [CRITERION]: 6/A08.11</t>
  </si>
  <si>
    <t xml:space="preserve">2-1/2" CFMF @ 16" O.C. at coiling grille head (4/A08.21)</t>
  </si>
  <si>
    <t xml:space="preserve">accesorios.py [DERIVED]: 4/A08.21 COILING GRILLE HEAD DETAIL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</si>
  <si>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</si>
  <si>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</si>
  <si>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</si>
  <si>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A/A08.01, B/A08.01, C/A08.01, D/A08.01 '5'-0" TO TOP OF FRP'; WC-3 = FIBER REINFORCED PLASTIC PANEL (A00.40); 1/A08.01 rectilinear polygon: 4 + step (2) + TA-13 recess notch (4) = 10 vertices; inside 7, outside 3; jogs &lt; 6" sin trim (R72.10</t>
  </si>
  <si>
    <t xml:space="preserve">Power-driven fasteners and duct sleeves</t>
  </si>
  <si>
    <t xml:space="preserve">accesorios.py [DERIVED]: Parapet infill: PAFs SPACED AT 12" O.C. MAX to the steel beam; M01.01 (mep.cruces vs A02.01 band, registro M01.01 this run); M01.01 (p76) duct drawn through the A02.01 band of A1K-2 (manual, R72.5); M01.01 (p76) duct drawn through the A02.0</t>
  </si>
  <si>
    <t xml:space="preserve">Access panel 2' x 2'</t>
  </si>
  <si>
    <t xml:space="preserve">accesorios.py [CONFIRMED]: A04.01 key note 4 '2' X 2' LOCKING ACCESS PANEL. KEYED TO MATCH MAIN ENTRY.'</t>
  </si>
  <si>
    <t xml:space="preserve">Drywall screws 1-1/4" bugle head</t>
  </si>
  <si>
    <t xml:space="preserve">accesorios.py [DERIVED]: Inputs!B20 (Drywall screws per SF of board = 1.2) x 17307.4 SF of board</t>
  </si>
  <si>
    <t xml:space="preserve">Framing screws, pan head self-drilling</t>
  </si>
  <si>
    <t xml:space="preserve">accesorios.py [DERIVED]: Inputs!B21 (Framing screws per stud piece = 4) x 1738 stud pieces</t>
  </si>
  <si>
    <t xml:space="preserve">Power-driven fasteners, slab pins for the bottom track</t>
  </si>
  <si>
    <t xml:space="preserve">accesorios.py [DERIVED]: 524.36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</si>
  <si>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</si>
  <si>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214.11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</si>
  <si>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</si>
  <si>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</si>
  <si>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</si>
  <si>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17307.4 SF of board</t>
  </si>
  <si>
    <t xml:space="preserve">Joint tape, paper</t>
  </si>
  <si>
    <t xml:space="preserve">accesorios.py [DERIVED]: Inputs!B24 (Joint tape (LF per SF) = 0.37) x 17307.4 SF of board</t>
  </si>
  <si>
    <t xml:space="preserve">Level 5 finish</t>
  </si>
  <si>
    <t xml:space="preserve">accesorios.py [DERIVED]: A00.40 WC-18 'WALL SURFACE TO BE LEVEL 5'; A05.01 WC-18 tag; 1/A11.04; A00.40 WC-18 'WALL SURFACE TO BE LEVEL 5'; A05.01 WC-18 tag; 6/A11.01; A00.40 WC-18 'WALL SURFACE TO BE LEVEL 5'; A05.01 WC-18 tag; 5/A11.04; A00.40 WC-18 'WALL SURFACE 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</si>
  <si>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</si>
  <si>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</si>
  <si>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</si>
  <si>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</si>
  <si>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</si>
  <si>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106.97 lf</t>
  </si>
  <si>
    <t xml:space="preserve">RFI-ACC-stud-reinforcement-mep</t>
  </si>
  <si>
    <t xml:space="preserve">stud reinforcement MEP: plates en walls de doble fila de studs: una por fila cortada (R72.9) vs una por cruce</t>
  </si>
  <si>
    <t xml:space="preserve">-19 pcs</t>
  </si>
  <si>
    <t xml:space="preserve">RFI-ACC-extra-framing-atm</t>
  </si>
  <si>
    <t xml:space="preserve">extra framing ATM: ATM DU west: ATM recess not fully dimensioned (width DERIVED, sistered height CRITERION, furring rows CRITERION)</t>
  </si>
  <si>
    <t xml:space="preserve">9.85 lf</t>
  </si>
  <si>
    <t xml:space="preserve">RFI-ACC-gypsum-board-jamb-return</t>
  </si>
  <si>
    <t xml:space="preserve">gypsum board jamb return: jamb return width not dimensioned</t>
  </si>
  <si>
    <t xml:space="preserve">-46.19 sf</t>
  </si>
  <si>
    <t xml:space="preserve">RFI-ACC-pvc-trim-at-frp</t>
  </si>
  <si>
    <t xml:space="preserve">PVC trim at FRP: room 113: 2 inside corner(s) en jogs &lt; 6" sin PVC trim (R72.10)</t>
  </si>
  <si>
    <t xml:space="preserve">10 lf</t>
  </si>
  <si>
    <t xml:space="preserve">RFI-ACC-pvc-trim-at-frp-2</t>
  </si>
  <si>
    <t xml:space="preserve">PVC trim at FRP: room 114: 2 inside corner(s) en jogs &lt; 6" sin PVC trim (R72.10)</t>
  </si>
  <si>
    <t xml:space="preserve">RFI-ACC-slab-pins</t>
  </si>
  <si>
    <t xml:space="preserve">slab pins: pin spacing: 12" (interior anchorage) vs 16" (fastener schedule) vs 24" (type K box)</t>
  </si>
  <si>
    <t xml:space="preserve">16in: -131.09 pcs; 24in: -262.18 pcs</t>
  </si>
  <si>
    <t xml:space="preserve">RFI-A-CL-01 cladding substrate scope (60.4)</t>
  </si>
  <si>
    <t xml:space="preserve">7/8" hat channel @ 16" O.C. under EPS-5 (2/A09.31, 1/A09.31, 3/A09.25, A09.26, A09.27), self-furring metal lath under PT-3 stucco (6/A09.31, 5/A09.31) and furring under the ATM fiber cement panel (6/A08.11) are cladding substrate: confirm they are by the cladding / plaster installer and excluded from metal frame / drywall scope.</t>
  </si>
  <si>
    <t xml:space="preserve">None: 0; None: hat channel 753.3 LF (N 141.3 + S 154.0 + E 312.4 + W 145.6); lath 1035.49 SF (S 371.9 + E 355.68 + W 307.91); ATM furring 26.88 SF</t>
  </si>
  <si>
    <t xml:space="preserve">RFI-A-CL-02 ACM Citadel Envelope 2000 sub-framing</t>
  </si>
  <si>
    <t xml:space="preserve">EPS-1 / EPS-3 Citadel Envelope 2000 rainscreen (A09.01/A09.02 legend) is drawn on shims with no hat channel (3/A09.31, 4/A09.31, 5/A09.26); its sub-framing is the panel manufacturer's system. No hat channel row taken for ACM. Confirm.</t>
  </si>
  <si>
    <t xml:space="preserve">None: 0; None: ACM area not quantified in this read: PENDING</t>
  </si>
  <si>
    <t xml:space="preserve">RFI-A-CL-03 PT-3 on canopy / storefront columns</t>
  </si>
  <si>
    <t xml:space="preserve">Drive-up canopy column at grid 1 is labeled PT-3 / PT-03 on 1/A09.01 and 2/A09.02 (face 1.59 ft wide, vector 834.3-862.9 pt p36 and 2106.6-2135.1 pt p35, slab to B/CANOPY 10'-6"); the 6 dark columns on 2/A09.01 (28.4 pt = 1.58 ft wide) are not labeled. Column wrap perimeter not in the elevations. Is stucco + lath on these columns?</t>
  </si>
  <si>
    <t xml:space="preserve">None: 63.6 SF lath; None: +379.2 SF lath; None: 0</t>
  </si>
  <si>
    <t xml:space="preserve">RFI-A-CL-04 EPS-5 / PT-3 behind canopy fascia</t>
  </si>
  <si>
    <t xml:space="preserve">Areas taken as visible in elevation: EPS-5 from T/BASE 0'-6" to B/CANOPY 10'-6", PT-3 from 0'-6" to T/CANOPY 12'-8". Does the panel / stucco continue concealed behind the EPS-1 canopy fascia (10'-6" to 12'-8")?</t>
  </si>
  <si>
    <t xml:space="preserve">None: 0; None: +2.167 ft x EPS-5 run lengths (N 39.8, S 23.1, E 48.1, W 22.6 ft) = 289.5 SF = +217.1 LF hat channel</t>
  </si>
  <si>
    <t xml:space="preserve">RFI-A-CL-05 ATM fiber cement extent / furring</t>
  </si>
  <si>
    <t xml:space="preserve">6/A08.11 'FIBER CEMENT PANEL ON FURRING ON 5/8" FRT PLYWOOD' extent not dimensioned; taken as the ATM surround outline 4'-6" x 7'-3" (5/A08.11) less the 26.4" x 31.3" R.O. Furring type / spacing not printed (SF only).</t>
  </si>
  <si>
    <t xml:space="preserve">None: 0; None: -26.88 SF</t>
  </si>
  <si>
    <t xml:space="preserve">RFI-A-OP-01 north arrow vs elevation titles</t>
  </si>
  <si>
    <t xml:space="preserve">A02.01 north arrow points up (plan top = north) but 1/A09.01 titled SOUTH ELEVATION shows the plan-top facade (grids 8..1, vestibule door 100) and 2/A09.02 titled NORTH ELEVATION shows the plan-bottom facade (door 123). Which governs the facade letters?</t>
  </si>
  <si>
    <t xml:space="preserve">None: 0 LF (naming only); None: 0 LF (naming only)</t>
  </si>
  <si>
    <t xml:space="preserve">RFI-A-OP-02 CONT. BOX BEAM run ends east front</t>
  </si>
  <si>
    <t xml:space="preserve">8/A12.01 does not draw where the CONT. BOX BEAM ends along the east office front (offices 105-108). Wall to wall (43.31 ft) or first to last vendor jamb (39.97 ft)?</t>
  </si>
  <si>
    <t xml:space="preserve">None: 0; None: -(43.313-39.973) x 4 pieces = -13.36 LF box beam</t>
  </si>
  <si>
    <t xml:space="preserve">RFI-A-OP-03 CONT. BOX BEAM run ends west front</t>
  </si>
  <si>
    <t xml:space="preserve">Same for the west office front (offices 109-110): wall to wall 21.57 ft or jamb to jamb 18.51 ft?</t>
  </si>
  <si>
    <t xml:space="preserve">None: 0; None: -(21.573-18.507) x 4 = -12.27 LF box beam</t>
  </si>
  <si>
    <t xml:space="preserve">RFI-A-OP-04 BOX HEADER AS NEEDED size</t>
  </si>
  <si>
    <t xml:space="preserve">4/5/6/7 A12.10 call METAL STUD FRAMING &amp; BOX HEADER AS NEEDED over the vestibule frames without size. Confirm a box header (2 C + 2 track) is required over each frame line.</t>
  </si>
  <si>
    <t xml:space="preserve">None: 0; None: VF-S -(15.667+1.333)x4 = -68.0 LF; VF-E -(6.417+1.333)x4 = -31.0 LF</t>
  </si>
  <si>
    <t xml:space="preserve">RFI-A-OP-05 DU ATM R.O.</t>
  </si>
  <si>
    <t xml:space="preserve">7/A08.11 prints 2'-2 1/2" R.O. and 5/A08.11 prints 2'-2 1/8" (26.4") R.O. for the drive-up ATM. Which governs? Also confirm the 2'-8 1/8" sill datum (finished drive-lane vs interior slab).</t>
  </si>
  <si>
    <t xml:space="preserve">None: 0; None: -0.031 x 4 = -0.13 LF header, -0.03 LF sill</t>
  </si>
  <si>
    <t xml:space="preserve">RFI-A-OP-06 CSR line header</t>
  </si>
  <si>
    <t xml:space="preserve">No header is called over the 12'-0 1/4" R.O. HOLD teller opening of Cash Window 116 (9/A12.08 shows a 3 5/8" stud soffit at GB 8'-0"). Is a box header required?</t>
  </si>
  <si>
    <t xml:space="preserve">None: 0; None: +(12.021+1.333)x4 = +53.42 LF; None: +(12.021+1.333)x2 = +26.71 LF</t>
  </si>
  <si>
    <t xml:space="preserve">RFI-A-OP-07 FEC-1 cabinet size</t>
  </si>
  <si>
    <t xml:space="preserve">FEC-1 recessed cabinet size not printed (A00.41 refers to spec 10 44 00). If wider than the 14 3/8" stud bay a framed opening is needed.</t>
  </si>
  <si>
    <t xml:space="preserve">None: 0; None: +(2.0+1.333) header + (2.0+1.333) sill = +6.67 LF track</t>
  </si>
  <si>
    <t xml:space="preserve">RFI-A-OP-08 door 123 head callout</t>
  </si>
  <si>
    <t xml:space="preserve">Section F/A09.22 head callout at door 123 reads 3/A09.25 (window jamb) while 14/A09.27 is the HM DOOR HEAD (METAL STUD BOX BEAM AS REQUIRED, HEAD 8'-2"). 14/A09.27 used.</t>
  </si>
  <si>
    <t xml:space="preserve">None: 0; None: -(3.333+1.333)x3 = -14.0 LF</t>
  </si>
  <si>
    <t xml:space="preserve">RFI-A-OP-09 office front head height</t>
  </si>
  <si>
    <t xml:space="preserve">Office front (DFC-1A) head height not dimensioned in 8/9 A12.01; taken = DFC-1A door height 7'-10" (A00.30). Confirm vendor frame height.</t>
  </si>
  <si>
    <t xml:space="preserve">None: 0 LF header (affects cripples / board above only)</t>
  </si>
  <si>
    <t xml:space="preserve">RFI-RCP-01</t>
  </si>
  <si>
    <t xml:space="preserve">GWB suspended ceiling spacing (furring channel, carrying channel, hangers) is not printed on A04.01 / A09.33 / S5.20. Carried 7/8" furring @16", 1-1/2" carrying @48", hangers @48" (CRITERION).</t>
  </si>
  <si>
    <t xml:space="preserve">furring @24" O.C.: furring channel -255.9 LF (805.8 -&gt; 549.9) over rooms 100, 101, 104, 113, 114; carrying + hangers @36": carrying +67.4 LF (316.5 -&gt; 383.9); hangers +46 pcs (113 -&gt; 159), hanger wire +219.3 LF</t>
  </si>
  <si>
    <t xml:space="preserve">RFI-RCP-02</t>
  </si>
  <si>
    <t xml:space="preserve">Carrying channel direction not shown. Carried N-S (53.3, more LF).</t>
  </si>
  <si>
    <t xml:space="preserve">E-W: furring -28.4 LF (805.8 -&gt; 777.4), carrying +5.4 LF (316.5 -&gt; 321.9), hangers 113 pcs both</t>
  </si>
  <si>
    <t xml:space="preserve">RFI-RCP-03</t>
  </si>
  <si>
    <t xml:space="preserve">CSR soffit (116): 4/A12.08 shows ACT-4 9'-0" on both long sides and 9/A12.08 paints all sides -&gt; 2 drop lines carried; typical 10/A09.33 shows one side at a scheduled partition (1 drop line). Confirm.</t>
  </si>
  <si>
    <t xml:space="preserve">1 drop line (10/A09.33): -1 drop line: about -69.5 LF 3-5/8" studs (6 x 7.375 + 5 x 5.052), -24.04 LF ceiling/soffit track, -18.0 SF 5/8" GB, -12.02 LF corner bead</t>
  </si>
  <si>
    <t xml:space="preserve">RFI-RCP-03b</t>
  </si>
  <si>
    <t xml:space="preserve">CSR soffit blocking: 9/A12.08 draws one 5/8" FRT plywood strip; 10/A09.33 draws two FRTW blocks. Carried 1 run.</t>
  </si>
  <si>
    <t xml:space="preserve">2 runs (10/A09.33): +12.02 LF FRT blocking</t>
  </si>
  <si>
    <t xml:space="preserve">RFI-RCP-04</t>
  </si>
  <si>
    <t xml:space="preserve">Low roof south of grid B slopes (S2.20 B.O.D. 13'-0 5/8" at B to 12'-6 3/8" at A). Carried 13'-0 5/8" for restrooms 113/114 hangers and the CSR south drop studs.</t>
  </si>
  <si>
    <t xml:space="preserve">interpolated / 12'-6 3/8": up to -0.521 ft per hanger: 24 hangers (113 + 114) = -12.5 LF hanger wire; CSR south drop studs 2 x 5 x 0.521 = -5.2 LF 3-5/8"</t>
  </si>
  <si>
    <t xml:space="preserve">RFI-RCP-06</t>
  </si>
  <si>
    <t xml:space="preserve">Recessed fixture widths not printed: R-11A/C/CE (FSM2L) carried 2.64 in drawn; UU1-UU6 carried 2.5 in from catalog LSR-WET-2.5 while A04.01 draws 7.56 pt = 5.04 in.</t>
  </si>
  <si>
    <t xml:space="preserve">UU at 5.04 in drawn: +2 x (5.04-2.5)/12 x 21 fixtures = +8.9 LF framed openings</t>
  </si>
  <si>
    <t xml:space="preserve">RFI-RCP-07</t>
  </si>
  <si>
    <t xml:space="preserve">Slot diffuser SD (TBDI-10) section lengths are SEE DRAWING (M00.03); 2 vestibule rows and one restroom slot are partly hidden by duct graphics on M01.01 and were assumed equal to the visible sections (4'-0" / 2'-0").</t>
  </si>
  <si>
    <t xml:space="preserve">hidden sections shorter (visible line 2.55-2.93 ft): 5 vestibule sections at their visible lengths (2.55, 2.73, 2.76, 2.73, 2.78 ft) + 114 E slot 1.25 ft: -2 x (6.45 + 0.75) = -14.4 LF framed openings</t>
  </si>
  <si>
    <t xml:space="preserve">RFI-RCP-08</t>
  </si>
  <si>
    <t xml:space="preserve">Canopy soffit 3 5/8" metal stud framing: spacing and direction not printed (3/A09.26, 7/A09.26, 15-16/A09.27). Carried @16" (5/A09.33 CFMF @16") perpendicular to the building wall.</t>
  </si>
  <si>
    <t xml:space="preserve">joists parallel to the wall (on hangers to steel): W canopy: 17 joists x 49.32 ft (mean chord) = 838.4 LF vs 43 x 18.65 = 802.0 LF -&gt; +36.4 LF; other canopies recalculated by canon.py</t>
  </si>
  <si>
    <t xml:space="preserve">RFI-A-EXT-01 canopy beam in the exterior wall cavity</t>
  </si>
  <si>
    <t xml:space="preserve">S2.20 canopy beams W12x19 / W16x26 (CANOPY) run on the exterior wall lines inside the 6" CFMF cavity (C/A09.21, H/A09.23, J/A09.23, 7/A09.26, 15/A09.27). Studs carried continuous slab to underside of the roof beam. Confirm or split at the canopy beam.</t>
  </si>
  <si>
    <t xml:space="preserve">None: 0; None: per wall: +L bottom track +L top track, -studs x canopy beam depth (inventario.py rfi_split computes it from canopy_beam)</t>
  </si>
  <si>
    <t xml:space="preserve">RFI-A-EXT-02 glass mat band height behind canopies</t>
  </si>
  <si>
    <t xml:space="preserve">band glass mat height carried T/STUD 12'-7" - B/STUD 10'-8 5/8" = 1.865 ft (7/A09.26). The same detail prints a second B/STUD 10'-7 1/4" (soffit) and draws the glass mat strip over the canopy framing depth only.</t>
  </si>
  <si>
    <t xml:space="preserve">None: 0; None: +0.114 x 184.34 LF band = +21.0 SF glass mat, -21.0 SF nailbase</t>
  </si>
  <si>
    <t xml:space="preserve">RFI-A-EXT-03 D jog parapet height</t>
  </si>
  <si>
    <t xml:space="preserve">The parapet on the D jog (grid 2 to 3) is carried HP (T/STUD 19'-8") as the return of the grid 2 T.O. PARAPET 2; 2/A09.01 shows the step near D but no section cuts the jog.</t>
  </si>
  <si>
    <t xml:space="preserve">None: 0; None: -2.25 ft x 3.907 LF parapet studs height, -8.8 SF ext gyp sheathing, -8.7 SF nailbase strip</t>
  </si>
  <si>
    <t xml:space="preserve">RFI-A-EXT-04 low roof slope (grid B to A)</t>
  </si>
  <si>
    <t xml:space="preserve">Low roof B.O.D. slopes 13'-0 5/8" (B) to 12'-6 3/8" (A). Exterior wall studs on grids 3 and 8 (B..A) carried at the high end (13'-0 5/8" - W14x22); parapets on those lines at the average (55.3); grid A at 12'-6 3/8".</t>
  </si>
  <si>
    <t xml:space="preserve">None: 0; None: -0.26 ft x (studs of EXT-8-2 + EXT-3-2, about 2 x 21) = about -11 LF 6" studs</t>
  </si>
  <si>
    <t xml:space="preserve">RFI-A-EXT-05 building corner zones</t>
  </si>
  <si>
    <t xml:space="preserve">S1.11: studs within 6 ft of building corners 600S162-54 @ 12" O.C. Applied at the NE, SE, SW corners and the convex D-jog corner (EXT-2 / EXT-D); NW corner is pier + storefront.</t>
  </si>
  <si>
    <t xml:space="preserve">None: 0; None: EXT-2 and EXT-D @ 16": about -2 studs x 14.36 = -28.7 LF 6" studs</t>
  </si>
  <si>
    <t xml:space="preserve">RFI-A-EXT-06 exterior stud gauge</t>
  </si>
  <si>
    <t xml:space="preserve">S1.11 general notes require 600S162-54 @ 16" (12" at corners) for exterior studs; 7/S5.20 METAL STUD PROPERTIES lists 600S137-33 EXTERIOR WALLS @ 16". S1.11 carried (minimum unless the LGMF submittal shows otherwise).</t>
  </si>
  <si>
    <t xml:space="preserve">None: 0; None: same LF, lighter gauge (price only)</t>
  </si>
  <si>
    <t xml:space="preserve">RFI-A-EXT-07 vestibule head framing</t>
  </si>
  <si>
    <t xml:space="preserve">4-7/A12.10 METAL STUD FRAMING &amp; BOX HEADER AS NEEDED: stud size not printed (3 5/8" carried) and no gypsum board drawn on the framing above the 10'-0" GB ceiling (faces none).</t>
  </si>
  <si>
    <t xml:space="preserve">None: 0; None: VH-S + VH-E studs move from 3 5/8" to 6" (same LF); None: +2 x (15.667 x 5.375 + 6.417 x 4.383) = +224.7 SF 5/8" GB</t>
  </si>
  <si>
    <t xml:space="preserve">RFI-A-EXT-08 storefront pier studs</t>
  </si>
  <si>
    <t xml:space="preserve">1/A09.25 and 2/A09.25 do not dimension stud counts; studs_drawn taken as the framing members drawn (NW: 2 x 3 5/8" + 2 x 6"; NE: 2 x 3 5/8" + 3 x 6").</t>
  </si>
  <si>
    <t xml:space="preserve">None: 0; None: NW +4 x 14.36, NE +5 x 14.36 = +129.2 LF</t>
  </si>
  <si>
    <t xml:space="preserve">RFI-A-EXT-09 canopy column wrap top and gauge</t>
  </si>
  <si>
    <t xml:space="preserve">5/A09.25 does not give the wrap height or gauge; carried T/SLAB to B/STUD 10'-7 1/4" (16/A09.27 soffit framing) with 3 5/8" 20 ga.</t>
  </si>
  <si>
    <t xml:space="preserve">None: 0; None: -0.104 x 4 wraps x 8 studs = -3.3 LF</t>
  </si>
  <si>
    <t xml:space="preserve">RFI-A-INT-01</t>
  </si>
  <si>
    <t xml:space="preserve">Untagged DFC-1A office front stubs (A1u-1 2.42 ft, A1u-4 2.67 ft, 4" end stubs A1u-2 / A1u-3) are drawn at G / G1 thickness but carry no tag; A02.01 note A types them A1. Confirm type.</t>
  </si>
  <si>
    <t xml:space="preserve">None: 0; None: studs: 3-5/8" -(5.75 ft x 1 row) -&gt; 1-5/8" +(5.75 ft x 2 rows); board ~+2 layers x 2 faces x 5.75 ft x (deck - ceiling+6")</t>
  </si>
  <si>
    <t xml:space="preserve">RFI-A-INT-02</t>
  </si>
  <si>
    <t xml:space="preserve">Tag B2K (inventory PC0011) at the Cash Window north return is not in the A12.01 schedule. Carried 4/A12.01 row A5K (6" 14 ga @24", 7 5/8") = kevlar hatch on a B2 line.</t>
  </si>
  <si>
    <t xml:space="preserve">None: 0; None: -1.88 ft ballistic contour (-15.0 SF panel at 8'-0"), stud gauge 14 -&gt; 20 ga</t>
  </si>
  <si>
    <t xml:space="preserve">RFI-A-INT-03</t>
  </si>
  <si>
    <t xml:space="preserve">Ballistic (kevlar) walls at Cash Window 116: the customer side is not labeled on A02.01, and A1K-1 / A1K-2 face a 3.3 in enclosed void (behind G-6 and C1-5). Carried the face away from the teller area as the customer face (fiberglass panel + 5/8").</t>
  </si>
  <si>
    <t xml:space="preserve">None: 0; None: 0 SF ballistic (same L), board location only</t>
  </si>
  <si>
    <t xml:space="preserve">RFI-A-INT-04</t>
  </si>
  <si>
    <t xml:space="preserve">6/A12.01 PARTITION TYPE C1 draws studs and one-side 5/8" board up to a break line with no top condition. Carried studs and board to structure (53.3).</t>
  </si>
  <si>
    <t xml:space="preserve">None: 0; None: C1-4/C1-6 restrooms: -2 x 10.03 x (13.052 - 9.0) = -81.3 SF 5/8" MR; C1-3: -10.0 x (15.375 - 11.5) = -38.8 SF; C1-5: -2.63 x (13.052 - 9.0) = -10.6 SF</t>
  </si>
  <si>
    <t xml:space="preserve">RFI-A-INT-05</t>
  </si>
  <si>
    <t xml:space="preserve">7/S5.20 METAL STUD PROPERTIES lists only 362S137-33 (interior) and 600S137-33 (exterior). Gauge of the 6" interior studs (A5, B2) and of the 1-5/8" studs (G, G1, bulkheads) is not printed; carried 33 mil.</t>
  </si>
  <si>
    <t xml:space="preserve">None: 0 LF; None: 0 LF (price only)</t>
  </si>
  <si>
    <t xml:space="preserve">RFI-A-INT-06</t>
  </si>
  <si>
    <t xml:space="preserve">Janitor 112 / Storage 117 partition (B-6, 3.5 ft) is tagged 'B' with a smaller symbol (inventory PA0034, ambiguous). Carried type B.</t>
  </si>
  <si>
    <t xml:space="preserve">None: 0; None: board to ceiling+6" both faces: rooms open to structure -&gt; 0 SF; sealant top -2 x 3.5 LF</t>
  </si>
  <si>
    <t xml:space="preserve">RFI-A-INT-07</t>
  </si>
  <si>
    <t xml:space="preserve">Low roof south of grid B slopes from B.O.D. 13'-0 5/8" (grid B) to 12'-6 3/8" (grid A, F/A09.22 T/STEEL). Stud height of interior walls south of grid B carried at 13'-0 5/8" (53.3).</t>
  </si>
  <si>
    <t xml:space="preserve">None: 0; None: up to -0.521 ft per stud at grid A</t>
  </si>
  <si>
    <t xml:space="preserve">RFI-A-INT-08</t>
  </si>
  <si>
    <t xml:space="preserve">Deck break at grid B (D9) splits A5-1, A5-3 and B2-2; B2-2a (0.56 ft) and A5-3a (0.96 ft) are short pieces north of grid B, and door 114 starts 3.2 pt north of grid B. Confirm the step location / heights at these walls.</t>
  </si>
  <si>
    <t xml:space="preserve">None: 0; None: -(0.56 + 0.96 + 15.09) ft x 2.323 ft studs 6" region</t>
  </si>
  <si>
    <t xml:space="preserve">RFI-A-INT-09</t>
  </si>
  <si>
    <t xml:space="preserve">Restroom chase C1 linings (C1-4, C1-6) are drawn 7.32 pt = 4.88 in thick with two finish lines vs C1 3 5/8" + 5/8" = 4 1/4". Confirm one layer of 5/8" MR (vs 2 layers / tile backer).</t>
  </si>
  <si>
    <t xml:space="preserve">None: 0; None: +2 x 10.03 x 13.052 = +261.8 SF</t>
  </si>
  <si>
    <t xml:space="preserve">RFI-A-INT-11</t>
  </si>
  <si>
    <t xml:space="preserve">the beam-over-wall overlay tool (S2.20) finds S2.20 beams over only part of G1-1, G-2, G-8, G-7 (two parallel marks W12x19 / W8x10) and B-2 / B-3 (W8x10 / W14x22: S2.20 labels the south header of the roof opening W14x22). Carried these walls to the deck (beam_override, 53.3); walls with &gt;= 50 % coverage stop under the beam (G-2: north 45 % under the W12x14 line, south 55 % under the W14x30 - tool mark used) (stops_under_beam).</t>
  </si>
  <si>
    <t xml:space="preserve">None: 0; None: G1-1 / G-8 -3.35 ft x 0.657 ft x 2 rows each; B-2 / B-3 -5.29 ft x 0.657; G-7 -3.8 ft x (0.657..1.017) x 2</t>
  </si>
  <si>
    <t xml:space="preserve">RFI-ADV-ADV4-02</t>
  </si>
  <si>
    <t xml:space="preserve">RFI: A05.01 key note 9 calls for Level 5 finish and P-15 tinted primer behind wallcovering WC-20 on the 24 HR Vestibule 101 face of the diagonal ATM partition (type F), but the same wall is tagged P-24 and WC-20 is not defined in A00.40. The finish schedule referenced by A05.01 (A00.31) is not in the set. We carry Level 5 on that face (161.99 SF). Please confirm WC-20 and issue A00.31. Delta if the wall is paint P-24 only: -161.99 SF Level 5.</t>
  </si>
  <si>
    <t xml:space="preserve">see question: see question</t>
  </si>
  <si>
    <t xml:space="preserve">RFI-ADV-ADV4-03</t>
  </si>
  <si>
    <t xml:space="preserve">If the 8/A12.10 termination is the same glass end as the airlock jamb in 3/A08.21 (one piece, not two): -10.04 LF FRT blocking.</t>
  </si>
  <si>
    <t xml:space="preserve">RFI-ADV-ADV5-03</t>
  </si>
  <si>
    <t xml:space="preserve">RFI: 3/P00.01 calls '2X BLOCKING BETWEEN STUDS' for the platform-mounted water heater WH-1 in Janitor 112, with no material given. We carry metal stud blocking, 3 levels x 2 bays = 8.0 LF. If 2x FRT wood is required: move 8.0 LF from metal stud blocking to FRT blocking.</t>
  </si>
  <si>
    <t xml:space="preserve">RFI-ADV-ADV5-06</t>
  </si>
  <si>
    <t xml:space="preserve">MORNING REVIEW (R71.6 / R59.8): recessed TA-2, TA-13, TA-14 and FEC-1 have no printed rough-in widths. We carry 0 header/sill. Delta if the manufacturer's rough-ins exceed one stud bay: up to +44.4 LF track.</t>
  </si>
  <si>
    <t xml:space="preserve">RFI-ADV-ADV5-08</t>
  </si>
  <si>
    <t xml:space="preserve">RFI (documents): A00.60 key note 13 references A08.12, and A03.01 note D and A05.01 general notes A/B reference finish schedule A00.31. Neither sheet is in the bid set or the A00.00 index. Please issue them. Our finishes are based on A00.40 and A05.01, and WC-20 (key note 9) is carried as Level 5 (see RFI-ACC-06). Delta: 0 until issued.</t>
  </si>
  <si>
    <t xml:space="preserve">RFI-CLIPS</t>
  </si>
  <si>
    <t xml:space="preserve">S1.11 LGSF note 2 asks for manufacturer's standard vertical deflection clips at non-load-bearing walls; the A12.01 type details draw a deflection track. Confirm whether clips are required in addition.</t>
  </si>
  <si>
    <t xml:space="preserve">+563 PCS deflection clips (one per full-height stud of walls to structure, cierres_resumen.json) if required; 0 if the deflection track governs</t>
  </si>
  <si>
    <t xml:space="preserve">RFI-DOOR116</t>
  </si>
  <si>
    <t xml:space="preserve">Door 116 sits exactly on the A5 / B2 type change (A02.01); which wall carries the opening?</t>
  </si>
  <si>
    <t xml:space="preserve">3.333 LF moves between A5 and B2 (A5-4 3.28 / B2-4 15.073 carried; alternate A5-4 6.613 / B2-4 11.74); line total 18.353 LF unchanged</t>
  </si>
  <si>
    <t xml:space="preserve">RFI-BLOCKING-EDGE</t>
  </si>
  <si>
    <t xml:space="preserve">4/S5.20 'PROVIDE BLOCKING AT THE EDGE OF GYPBOARD' gives no location (56.8 / 59.14): carried (b) every face with board taller than the 12 ft sheet = 570.1 LF metal stud blocking (canon.py 'blocking edge').</t>
  </si>
  <si>
    <t xml:space="preserve">(a) exterior walls + double-layer walls only (EXT-*, G, G1: 20 walls) = 309.26 LF -&gt; -260.84 LF metal stud blocking</t>
  </si>
  <si>
    <t xml:space="preserve">RFI-BRACING-OPENINGS</t>
  </si>
  <si>
    <t xml:space="preserve">Bracing C.R. channel across openings without studs (53.4 literal carried).</t>
  </si>
  <si>
    <t xml:space="preserve">-116.78 LF bracing if not run across openings (corridas.py)</t>
  </si>
  <si>
    <t xml:space="preserve">RFI-BOTTOM-TRACK-DOORS</t>
  </si>
  <si>
    <t xml:space="preserve">Bottom track at door R.O. not deducted (E10, estimator criterion).</t>
  </si>
  <si>
    <t xml:space="preserve">-50.49 LF bottom track if deducted (corridas.py)</t>
  </si>
  <si>
    <t xml:space="preserve">RFI-CANOPY-BEAM</t>
  </si>
  <si>
    <t xml:space="preserve">Canopy beam inside the exterior wall cavity (C/A09.21, 7/A09.26, 15/A09.27): studs carried continuous.</t>
  </si>
  <si>
    <t xml:space="preserve">if the wall is split at the beam: +111.59 LF bottom, +111.59 LF top, -104.33 LF 6" stud (canon.py)</t>
  </si>
  <si>
    <t xml:space="preserve">RFI-FO-66</t>
  </si>
  <si>
    <t xml:space="preserve">RFI R-11C: schedule description 12.0 ft vs catalog 20.0 ft; carried 12.0 ft (desc = drawn); alternate 20.0 ft</t>
  </si>
  <si>
    <t xml:space="preserve">32.0 LF</t>
  </si>
  <si>
    <t xml:space="preserve">RFI-FO-67</t>
  </si>
  <si>
    <t xml:space="preserve">RFI R-11CE: schedule description 12.0 ft vs catalog 20.0 ft; carried 12.0 ft (desc = drawn); alternate 20.0 ft</t>
  </si>
  <si>
    <t xml:space="preserve">RFI-CLAD-68</t>
  </si>
  <si>
    <t xml:space="preserve">RFI: confirm 7/8" hat channel @ 16" O.C. at EPS-5 formed metal wall panel, north facade (2/A09.31, 1/A09.31, 1/A09.01) is cladding substrate by the cladding installer, excluded from metal frame / drywall scope; add 141.3 LF if included.</t>
  </si>
  <si>
    <t xml:space="preserve">141.3 LF EXCLUDED (cladding substrate by others, 60.4)</t>
  </si>
  <si>
    <t xml:space="preserve">RFI-CLAD-69</t>
  </si>
  <si>
    <t xml:space="preserve">RFI: confirm 7/8" hat channel @ 16" O.C. at EPS-5 formed metal wall panel, south facade (2/A09.31, 1/A09.31, 2/A09.02) is cladding substrate by the cladding installer, excluded from metal frame / drywall scope; add 154.0 LF if included.</t>
  </si>
  <si>
    <t xml:space="preserve">154.0 LF EXCLUDED (cladding substrate by others, 60.4)</t>
  </si>
  <si>
    <t xml:space="preserve">RFI-CLAD-70</t>
  </si>
  <si>
    <t xml:space="preserve">RFI: confirm Self-furring metal lath at PT-3 7/8" 3-coat cement plaster (stucco), south facade (6/A09.31, 5/A09.31, 2/A09.02) is cladding substrate by the cladding installer, excluded from metal frame / drywall scope; add 371.9 SF if included.</t>
  </si>
  <si>
    <t xml:space="preserve">371.9 SF EXCLUDED (cladding substrate by others, 60.4)</t>
  </si>
  <si>
    <t xml:space="preserve">RFI-CLAD-71</t>
  </si>
  <si>
    <t xml:space="preserve">RFI: confirm 7/8" hat channel @ 16" O.C. at EPS-5 formed metal wall panel, east facade (2/A09.31, 1/A09.31, 1/A09.02) is cladding substrate by the cladding installer, excluded from metal frame / drywall scope; add 312.4 LF if included.</t>
  </si>
  <si>
    <t xml:space="preserve">312.4 LF EXCLUDED (cladding substrate by others, 60.4)</t>
  </si>
  <si>
    <t xml:space="preserve">RFI-CLAD-72</t>
  </si>
  <si>
    <t xml:space="preserve">RFI: confirm Self-furring metal lath at PT-3 7/8" 3-coat cement plaster (stucco), east facade (6/A09.31, 5/A09.31, 1/A09.02) is cladding substrate by the cladding installer, excluded from metal frame / drywall scope; add 355.68 SF if included.</t>
  </si>
  <si>
    <t xml:space="preserve">355.68 SF EXCLUDED (cladding substrate by others, 60.4)</t>
  </si>
  <si>
    <t xml:space="preserve">RFI-CLAD-73</t>
  </si>
  <si>
    <t xml:space="preserve">RFI: confirm 7/8" hat channel @ 16" O.C. at EPS-5 formed metal wall panel, west facade (2/A09.31, 1/A09.31, 2/A09.01) is cladding substrate by the cladding installer, excluded from metal frame / drywall scope; add 145.6 LF if included.</t>
  </si>
  <si>
    <t xml:space="preserve">145.6 LF EXCLUDED (cladding substrate by others, 60.4)</t>
  </si>
  <si>
    <t xml:space="preserve">RFI-CLAD-74</t>
  </si>
  <si>
    <t xml:space="preserve">RFI: confirm Self-furring metal lath at PT-3 7/8" 3-coat cement plaster (stucco), west facade (6/A09.31, 5/A09.31, 2/A09.01) is cladding substrate by the cladding installer, excluded from metal frame / drywall scope; add 307.91 SF if included.</t>
  </si>
  <si>
    <t xml:space="preserve">307.91 SF EXCLUDED (cladding substrate by others, 60.4)</t>
  </si>
  <si>
    <t xml:space="preserve">RFI-CLAD-75</t>
  </si>
  <si>
    <t xml:space="preserve">RFI: confirm Furring under fiber cement panel on 5/8" FRT plywood at drive-up ATM surround (NHA 9D DU), west facade (6/A08.11, 5/A08.11, 2/A09.01) is cladding substrate by the cladding installer, excluded from metal frame / drywall scope; add 26.88 SF if included.</t>
  </si>
  <si>
    <t xml:space="preserve">26.88 SF EXCLUDED (cladding substrate by others, 60.4)</t>
  </si>
  <si>
    <t xml:space="preserve">#</t>
  </si>
  <si>
    <t xml:space="preserve">Item</t>
  </si>
  <si>
    <t xml:space="preserve">Sheet + detail</t>
  </si>
  <si>
    <t xml:space="preserve">Image</t>
  </si>
  <si>
    <t xml:space="preserve">Door 116 on the A5 / B2 type change: A reading carried (A5-4 3.28 LF, B2-4 15.073 LF); alternate moves 3.333 LF to A5 (RFI-DOOR116).</t>
  </si>
  <si>
    <t xml:space="preserve">A02.01; 4/A12.01</t>
  </si>
  <si>
    <t xml:space="preserve">3_revision/img_resol/int/019_B2.png</t>
  </si>
  <si>
    <t xml:space="preserve">Tag B2K (PC0011) not in the A12.01 schedule: carried as B2 framing with the K (kevlar) build-up of 4/A12.01 (RFI-ACC-03).</t>
  </si>
  <si>
    <t xml:space="preserve">1_inventario/recortes/PC0011_B2K_A02.01_p24.png</t>
  </si>
  <si>
    <t xml:space="preserve">Elevation titles swapped N/S (1/A09.01 'SOUTH' shows the north face): the north arrow of A02.01 governs (R71.1).</t>
  </si>
  <si>
    <t xml:space="preserve">A09.01; A09.02; A02.01</t>
  </si>
  <si>
    <t xml:space="preserve">img/B/ext/north_arrow_A02.01.png</t>
  </si>
  <si>
    <t xml:space="preserve">EXT-D facade corrected W -&gt; S in Stage 3; the facade sheathing totals of A still carry its 3.35 LF inside the W facade (N/E/S/W totals; project total unchanged).</t>
  </si>
  <si>
    <t xml:space="preserve">A02.01; C/A09.21</t>
  </si>
  <si>
    <t xml:space="preserve">3_revision/img_resol/ext/002_EXT-D.png</t>
  </si>
  <si>
    <t xml:space="preserve">Deflection clips (S1.11 note 2) not in any tool family: EXCLUDED per wall + RFI-CLIPS with delta in PCS (morning review note P04).</t>
  </si>
  <si>
    <t xml:space="preserve">S1.11; A12.01</t>
  </si>
  <si>
    <t xml:space="preserve">img/A/acc/S5.20_stud_schedule.png</t>
  </si>
  <si>
    <t xml:space="preserve">Two tool contradictions worked around without editing tools: hatch_extent (P01) and fos_chain (P02); planmark.py missing from the zip and rebuilt outside tools/ (P03).</t>
  </si>
  <si>
    <t xml:space="preserve">Ceiling suspension spacings (furring 16", carrying 48", hanger 48") are not printed: CRITERION + RFI.</t>
  </si>
  <si>
    <t xml:space="preserve">A09.33; A04.01</t>
  </si>
  <si>
    <t xml:space="preserve">img/A/rcp/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</si>
  <si>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</si>
  <si>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</si>
  <si>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</si>
  <si>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</si>
  <si>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</si>
  <si>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</si>
  <si>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in Material Summary from familias_out.json; scan sheets: A00.00, A02.02, A08.11, A08.21, A09.21, A09.25, A09.26, A09.27</t>
  </si>
  <si>
    <t xml:space="preserve">ALC-02</t>
  </si>
  <si>
    <t xml:space="preserve">Exterior wall framing (CFMF)</t>
  </si>
  <si>
    <t xml:space="preserve">quantified in Material Summary from familias_out.json; scan sheets: A08.21, A09.25, A09.26, A09.27, A09.33, E04.01, S1.14, S5.20</t>
  </si>
  <si>
    <t xml:space="preserve">ALC-03</t>
  </si>
  <si>
    <t xml:space="preserve">Parapet framing</t>
  </si>
  <si>
    <t xml:space="preserve">quantified in Material Summary from familias_out.json; scan sheets: A02.02, A09.01, A09.22, A09.26, A09.27, S5.10, S5.11</t>
  </si>
  <si>
    <t xml:space="preserve">ALC-04</t>
  </si>
  <si>
    <t xml:space="preserve">Top / deflection and bottom track</t>
  </si>
  <si>
    <t xml:space="preserve">bottom track + top / deflection track rows by stud size (familias_out.json); scan sheets: A12.01, M03.01, S1.11, S5.10, S5.20</t>
  </si>
  <si>
    <t xml:space="preserve">ALC-05</t>
  </si>
  <si>
    <t xml:space="preserve">Headers, sills and jambs at openings</t>
  </si>
  <si>
    <t xml:space="preserve">quantified in Material Summary from familias_out.json; scan sheets: A08.21, A09.25, A09.26, A09.27, A09.30, A12.01, A12.02, A12.10</t>
  </si>
  <si>
    <t xml:space="preserve">ALC-06</t>
  </si>
  <si>
    <t xml:space="preserve">Bracing / bridging</t>
  </si>
  <si>
    <t xml:space="preserve">quantified in Material Summary from familias_out.json; scan sheets: A09.33, S1.11, S1.14, S5.10, S5.20</t>
  </si>
  <si>
    <t xml:space="preserve">ALC-07</t>
  </si>
  <si>
    <t xml:space="preserve">Gypsum board on walls (layers per type)</t>
  </si>
  <si>
    <t xml:space="preserve">quantified in Material Summary from familias_out.json; scan sheets: A00.00, A02.02, A08.01, A08.11, A08.21, A09.25, A09.26, A09.27</t>
  </si>
  <si>
    <t xml:space="preserve">ALC-08</t>
  </si>
  <si>
    <t xml:space="preserve">Moisture / abuse / special board at wet zones</t>
  </si>
  <si>
    <t xml:space="preserve">quantified in Material Summary from familias_out.json; scan sheets: A08.01</t>
  </si>
  <si>
    <t xml:space="preserve">ALC-09</t>
  </si>
  <si>
    <t xml:space="preserve">Exterior gypsum / glass mat sheathing</t>
  </si>
  <si>
    <t xml:space="preserve">quantified in Material Summary from familias_out.json; scan sheets: A09.26, A09.27, A09.33</t>
  </si>
  <si>
    <t xml:space="preserve">ALC-10</t>
  </si>
  <si>
    <t xml:space="preserve">FRT plywood sheathing / substrate</t>
  </si>
  <si>
    <t xml:space="preserve">ALC-11</t>
  </si>
  <si>
    <t xml:space="preserve">Gypsum board ceilings</t>
  </si>
  <si>
    <t xml:space="preserve">quantified in Material Summary from familias_out.json; scan sheets: A9.22</t>
  </si>
  <si>
    <t xml:space="preserve">ALC-12</t>
  </si>
  <si>
    <t xml:space="preserve">Ceiling suspension (furring / carrying channel / hanger wire / ceiling track)</t>
  </si>
  <si>
    <t xml:space="preserve">quantified in Material Summary from familias_out.json; scan sheets: A09.33, A9.22, M00.01, M00.02, P00.01</t>
  </si>
  <si>
    <t xml:space="preserve">ALC-13</t>
  </si>
  <si>
    <t xml:space="preserve">Soffits and bulkheads (framing + board)</t>
  </si>
  <si>
    <t xml:space="preserve">quantified in Material Summary from familias_out.json; scan sheets: A09.01, A09.22, A09.27, A09.33, A12.01, A12.02, A12.08, A9.22</t>
  </si>
  <si>
    <t xml:space="preserve">ALC-14</t>
  </si>
  <si>
    <t xml:space="preserve">Canopy / marquee framing and sheathing</t>
  </si>
  <si>
    <t xml:space="preserve">quantified in Material Summary from familias_out.json; scan sheets: A00.60, A02.02, A09.01, A09.22, A09.25, A09.26, A09.27, A09.33</t>
  </si>
  <si>
    <t xml:space="preserve">ALC-15</t>
  </si>
  <si>
    <t xml:space="preserve">Column furring / wraps</t>
  </si>
  <si>
    <t xml:space="preserve">canopy column wraps 5/A09.25 (CW-1..4) + interior C1 wraps; 0 hits in the keyword scan, quantified from 5/A09.25; scan sheets: none</t>
  </si>
  <si>
    <t xml:space="preserve">ALC-16</t>
  </si>
  <si>
    <t xml:space="preserve">Blocking (FRT wood / metal) for millwork and accessories</t>
  </si>
  <si>
    <t xml:space="preserve">quantified in Material Summary from familias_out.json; scan sheets: A00.00, A02.02, A08.01, A08.21, A09.21, A09.26, A09.30, A09.33</t>
  </si>
  <si>
    <t xml:space="preserve">ALC-17</t>
  </si>
  <si>
    <t xml:space="preserve">Framed openings (MEP, access panels, diffusers)</t>
  </si>
  <si>
    <t xml:space="preserve">quantified in Material Summary from familias_out.json; scan sheets: A9.22, M00.01, P00.01</t>
  </si>
  <si>
    <t xml:space="preserve">ALC-18</t>
  </si>
  <si>
    <t xml:space="preserve">Trim: corner bead, casing bead, control joints, reveals</t>
  </si>
  <si>
    <t xml:space="preserve">quantified in Material Summary from familias_out.json; scan sheets: A00.00, A08.21, A09.01, A09.22, A09.26, A09.31, A09.33, A12.01</t>
  </si>
  <si>
    <t xml:space="preserve">ALC-19</t>
  </si>
  <si>
    <t xml:space="preserve">Acoustical sealant / sound attenuation</t>
  </si>
  <si>
    <t xml:space="preserve">quantified in Material Summary from familias_out.json; scan sheets: A12.01</t>
  </si>
  <si>
    <t xml:space="preserve">ALC-20</t>
  </si>
  <si>
    <t xml:space="preserve">FRP / cement board / tile backer</t>
  </si>
  <si>
    <t xml:space="preserve">quantified in Material Summary from familias_out.json; scan sheets: A08.01, A09.26, A09.27, A12.02</t>
  </si>
  <si>
    <t xml:space="preserve">ALC-21</t>
  </si>
  <si>
    <t xml:space="preserve">Shaft walls / area separation walls</t>
  </si>
  <si>
    <t xml:space="preserve">NOT APPLICABLE</t>
  </si>
  <si>
    <t xml:space="preserve">no shaft wall / area separation wall in the set: keyword scan 0 sheets; A12.01 partition types list none; A02.01 has no shaft; scan sheets: none</t>
  </si>
  <si>
    <t xml:space="preserve">ALC-22</t>
  </si>
  <si>
    <t xml:space="preserve">Rated assemblies (UL designs) and their board type</t>
  </si>
  <si>
    <t xml:space="preserve">rated assemblies: A12.01 types carry their board (5/8" regular / type X per detail); no UL design changes the board count; scan sheets: A11.03, A12.02, E00.01, E02.02, E04.02, M00.01, M03.01</t>
  </si>
  <si>
    <t xml:space="preserve">ALC-23</t>
  </si>
  <si>
    <t xml:space="preserve">Special panels (ballistic, lead-lined, abuse)</t>
  </si>
  <si>
    <t xml:space="preserve">ALC-24</t>
  </si>
  <si>
    <t xml:space="preserve">Finish level (Level 4 / Level 5)</t>
  </si>
  <si>
    <t xml:space="preserve">Level 5 finish from the finish schedule WC-18 / WC-22 tags (accesorios.py Level 5 finish); scan sheets: A08.11, A12.02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</si>
  <si>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</si>
  <si>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</si>
  <si>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</si>
  <si>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</si>
  <si>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"f15fcad59a3ba47c5f7187fb3e42f26a73e914c59ed7e3da836c49bf9a660bb9", "evidencias": "e5980d1b497a10f2e0ef20ab3a4c7f34d1644d9853c1a77f368923c917add107", "familias_out": "ab8083884bdc433ac17edff9b3cd7159c15517d03d5220489a05cd6881bca108", "reglas": "9c4ddfdf1360c08fc32d1b552676f330af7762e07c882c3cd6b5ba629d38f374", "version": "v72b"}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</si>
</sst>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1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12.64</v>
      </c>
      <c r="D6" s="0" t="n">
        <v>14.358</v>
      </c>
      <c r="E6" s="0" t="n">
        <v>1</v>
      </c>
      <c r="F6" s="0" t="s">
        <v>63</v>
      </c>
      <c r="G6" s="0" t="n">
        <v>16</v>
      </c>
      <c r="H6" s="0" t="n">
        <v>194.34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76.44</v>
      </c>
      <c r="D7" s="0" t="n">
        <v>13.545</v>
      </c>
      <c r="E7" s="0" t="n">
        <v>1</v>
      </c>
      <c r="F7" s="0" t="s">
        <v>63</v>
      </c>
      <c r="G7" s="0" t="n">
        <v>16</v>
      </c>
      <c r="H7" s="0" t="n">
        <v>1052.29</v>
      </c>
      <c r="I7" s="0" t="s">
        <v>69</v>
      </c>
      <c r="J7" s="0" t="s">
        <v>70</v>
      </c>
      <c r="K7" s="0" t="s">
        <v>66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n">
        <v>51.733</v>
      </c>
      <c r="D8" s="0" t="n">
        <v>11.17</v>
      </c>
      <c r="E8" s="0" t="n">
        <v>1</v>
      </c>
      <c r="F8" s="0" t="s">
        <v>63</v>
      </c>
      <c r="G8" s="0" t="n">
        <v>16</v>
      </c>
      <c r="H8" s="0" t="n">
        <v>621.04</v>
      </c>
      <c r="I8" s="0" t="s">
        <v>73</v>
      </c>
      <c r="J8" s="0" t="s">
        <v>74</v>
      </c>
      <c r="K8" s="0" t="s">
        <v>66</v>
      </c>
    </row>
    <row r="9" customFormat="false" ht="15" hidden="false" customHeight="false" outlineLevel="0" collapsed="false">
      <c r="A9" s="0" t="s">
        <v>75</v>
      </c>
      <c r="B9" s="0" t="s">
        <v>76</v>
      </c>
      <c r="C9" s="0" t="n">
        <v>48.48</v>
      </c>
      <c r="D9" s="0" t="n">
        <v>13.076</v>
      </c>
      <c r="E9" s="0" t="n">
        <v>1</v>
      </c>
      <c r="F9" s="0" t="s">
        <v>63</v>
      </c>
      <c r="G9" s="0" t="n">
        <v>16</v>
      </c>
      <c r="H9" s="0" t="n">
        <v>654.4</v>
      </c>
      <c r="I9" s="0" t="s">
        <v>77</v>
      </c>
      <c r="J9" s="0" t="s">
        <v>78</v>
      </c>
      <c r="K9" s="0" t="s">
        <v>66</v>
      </c>
    </row>
    <row r="10" customFormat="false" ht="15" hidden="false" customHeight="false" outlineLevel="0" collapsed="false">
      <c r="A10" s="0" t="s">
        <v>79</v>
      </c>
      <c r="B10" s="0" t="s">
        <v>80</v>
      </c>
      <c r="C10" s="0" t="n">
        <v>3.353</v>
      </c>
      <c r="D10" s="0" t="n">
        <v>14.358</v>
      </c>
      <c r="E10" s="0" t="n">
        <v>1</v>
      </c>
      <c r="F10" s="0" t="s">
        <v>63</v>
      </c>
      <c r="G10" s="0" t="n">
        <v>16</v>
      </c>
      <c r="H10" s="0" t="n">
        <v>51.55</v>
      </c>
      <c r="I10" s="0" t="s">
        <v>81</v>
      </c>
      <c r="J10" s="0" t="s">
        <v>82</v>
      </c>
      <c r="K10" s="0" t="s">
        <v>66</v>
      </c>
    </row>
    <row r="11" customFormat="false" ht="15" hidden="false" customHeight="false" outlineLevel="0" collapsed="false">
      <c r="A11" s="0" t="s">
        <v>83</v>
      </c>
      <c r="B11" s="0" t="s">
        <v>84</v>
      </c>
      <c r="C11" s="0" t="n">
        <v>21.46</v>
      </c>
      <c r="D11" s="0" t="n">
        <v>14.358</v>
      </c>
      <c r="E11" s="0" t="n">
        <v>1</v>
      </c>
      <c r="F11" s="0" t="s">
        <v>63</v>
      </c>
      <c r="G11" s="0" t="n">
        <v>16</v>
      </c>
      <c r="H11" s="0" t="n">
        <v>324.2</v>
      </c>
      <c r="I11" s="0" t="s">
        <v>85</v>
      </c>
      <c r="J11" s="0" t="s">
        <v>82</v>
      </c>
      <c r="K11" s="0" t="s">
        <v>66</v>
      </c>
    </row>
    <row r="12" customFormat="false" ht="15" hidden="false" customHeight="false" outlineLevel="0" collapsed="false">
      <c r="A12" s="5" t="s">
        <v>86</v>
      </c>
    </row>
    <row r="13" customFormat="false" ht="15" hidden="false" customHeight="false" outlineLevel="0" collapsed="false">
      <c r="A13" s="0" t="s">
        <v>87</v>
      </c>
      <c r="B13" s="0" t="s">
        <v>88</v>
      </c>
      <c r="C13" s="0" t="n">
        <v>2.6</v>
      </c>
      <c r="D13" s="0" t="n">
        <v>14.358</v>
      </c>
      <c r="E13" s="0" t="n">
        <v>1</v>
      </c>
      <c r="F13" s="0" t="s">
        <v>89</v>
      </c>
      <c r="G13" s="0" t="n">
        <v>16</v>
      </c>
      <c r="H13" s="0" t="n">
        <v>39.98</v>
      </c>
      <c r="I13" s="0" t="s">
        <v>90</v>
      </c>
      <c r="J13" s="0" t="s">
        <v>91</v>
      </c>
      <c r="K13" s="0" t="s">
        <v>66</v>
      </c>
    </row>
    <row r="14" customFormat="false" ht="15" hidden="false" customHeight="false" outlineLevel="0" collapsed="false">
      <c r="A14" s="0" t="s">
        <v>92</v>
      </c>
      <c r="B14" s="0" t="s">
        <v>93</v>
      </c>
      <c r="C14" s="0" t="n">
        <v>3.894</v>
      </c>
      <c r="D14" s="0" t="n">
        <v>14.358</v>
      </c>
      <c r="E14" s="0" t="n">
        <v>1</v>
      </c>
      <c r="F14" s="0" t="s">
        <v>89</v>
      </c>
      <c r="G14" s="0" t="n">
        <v>16</v>
      </c>
      <c r="H14" s="0" t="n">
        <v>59.88</v>
      </c>
      <c r="I14" s="0" t="s">
        <v>94</v>
      </c>
      <c r="J14" s="0" t="s">
        <v>95</v>
      </c>
      <c r="K14" s="0" t="s">
        <v>66</v>
      </c>
    </row>
    <row r="15" customFormat="false" ht="15" hidden="false" customHeight="false" outlineLevel="0" collapsed="false">
      <c r="A15" s="0" t="s">
        <v>96</v>
      </c>
      <c r="B15" s="0" t="s">
        <v>97</v>
      </c>
      <c r="C15" s="0" t="n">
        <v>2.98</v>
      </c>
      <c r="D15" s="0" t="n">
        <v>13.052</v>
      </c>
      <c r="E15" s="0" t="n">
        <v>1</v>
      </c>
      <c r="F15" s="0" t="s">
        <v>98</v>
      </c>
      <c r="G15" s="0" t="n">
        <v>16</v>
      </c>
      <c r="H15" s="0" t="n">
        <v>38.89</v>
      </c>
      <c r="I15" s="0" t="s">
        <v>99</v>
      </c>
      <c r="J15" s="0" t="s">
        <v>100</v>
      </c>
      <c r="K15" s="0" t="s">
        <v>66</v>
      </c>
    </row>
    <row r="16" customFormat="false" ht="15" hidden="false" customHeight="false" outlineLevel="0" collapsed="false">
      <c r="A16" s="0" t="s">
        <v>101</v>
      </c>
      <c r="B16" s="0" t="s">
        <v>102</v>
      </c>
      <c r="C16" s="0" t="n">
        <v>10</v>
      </c>
      <c r="D16" s="0" t="n">
        <v>15.375</v>
      </c>
      <c r="E16" s="0" t="n">
        <v>1.13</v>
      </c>
      <c r="F16" s="0" t="s">
        <v>98</v>
      </c>
      <c r="G16" s="0" t="n">
        <v>16</v>
      </c>
      <c r="H16" s="0" t="n">
        <v>174.27</v>
      </c>
      <c r="I16" s="0" t="s">
        <v>103</v>
      </c>
      <c r="J16" s="0" t="s">
        <v>100</v>
      </c>
      <c r="K16" s="0" t="s">
        <v>104</v>
      </c>
    </row>
    <row r="17" customFormat="false" ht="15" hidden="false" customHeight="false" outlineLevel="0" collapsed="false">
      <c r="A17" s="0" t="s">
        <v>105</v>
      </c>
      <c r="B17" s="0" t="s">
        <v>106</v>
      </c>
      <c r="C17" s="0" t="n">
        <v>10.027</v>
      </c>
      <c r="D17" s="0" t="n">
        <v>13.052</v>
      </c>
      <c r="E17" s="0" t="n">
        <v>1</v>
      </c>
      <c r="F17" s="0" t="s">
        <v>98</v>
      </c>
      <c r="G17" s="0" t="n">
        <v>16</v>
      </c>
      <c r="H17" s="0" t="n">
        <v>130.87</v>
      </c>
      <c r="I17" s="0" t="s">
        <v>107</v>
      </c>
      <c r="J17" s="0" t="s">
        <v>100</v>
      </c>
      <c r="K17" s="0" t="s">
        <v>66</v>
      </c>
    </row>
    <row r="18" customFormat="false" ht="15" hidden="false" customHeight="false" outlineLevel="0" collapsed="false">
      <c r="A18" s="0" t="s">
        <v>108</v>
      </c>
      <c r="B18" s="0" t="s">
        <v>109</v>
      </c>
      <c r="C18" s="0" t="n">
        <v>10.027</v>
      </c>
      <c r="D18" s="0" t="n">
        <v>13.052</v>
      </c>
      <c r="E18" s="0" t="n">
        <v>1</v>
      </c>
      <c r="F18" s="0" t="s">
        <v>98</v>
      </c>
      <c r="G18" s="0" t="n">
        <v>16</v>
      </c>
      <c r="H18" s="0" t="n">
        <v>130.87</v>
      </c>
      <c r="I18" s="0" t="s">
        <v>110</v>
      </c>
      <c r="J18" s="0" t="s">
        <v>100</v>
      </c>
      <c r="K18" s="0" t="s">
        <v>66</v>
      </c>
    </row>
    <row r="19" customFormat="false" ht="15" hidden="false" customHeight="false" outlineLevel="0" collapsed="false">
      <c r="A19" s="0" t="s">
        <v>111</v>
      </c>
      <c r="B19" s="0" t="s">
        <v>112</v>
      </c>
      <c r="C19" s="0" t="n">
        <v>4</v>
      </c>
      <c r="D19" s="0" t="n">
        <v>15.375</v>
      </c>
      <c r="E19" s="0" t="n">
        <v>1</v>
      </c>
      <c r="F19" s="0" t="s">
        <v>98</v>
      </c>
      <c r="G19" s="0" t="n">
        <v>16</v>
      </c>
      <c r="H19" s="0" t="n">
        <v>61.52</v>
      </c>
      <c r="I19" s="0" t="s">
        <v>113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114</v>
      </c>
      <c r="B20" s="0" t="s">
        <v>115</v>
      </c>
      <c r="C20" s="0" t="n">
        <v>2.94</v>
      </c>
      <c r="D20" s="0" t="n">
        <v>15.375</v>
      </c>
      <c r="E20" s="0" t="n">
        <v>1</v>
      </c>
      <c r="F20" s="0" t="s">
        <v>98</v>
      </c>
      <c r="G20" s="0" t="n">
        <v>16</v>
      </c>
      <c r="H20" s="0" t="n">
        <v>45.21</v>
      </c>
      <c r="I20" s="0" t="s">
        <v>116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5" t="s">
        <v>117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n">
        <v>5.666</v>
      </c>
      <c r="D22" s="0" t="n">
        <v>10.604</v>
      </c>
      <c r="E22" s="0" t="n">
        <v>0</v>
      </c>
      <c r="F22" s="0" t="s">
        <v>98</v>
      </c>
      <c r="G22" s="0" t="n">
        <v>16</v>
      </c>
      <c r="H22" s="0" t="n">
        <v>0</v>
      </c>
      <c r="I22" s="0" t="s">
        <v>119</v>
      </c>
      <c r="J22" s="0" t="s">
        <v>120</v>
      </c>
      <c r="K22" s="0" t="s">
        <v>66</v>
      </c>
    </row>
    <row r="23" customFormat="false" ht="15" hidden="false" customHeight="false" outlineLevel="0" collapsed="false">
      <c r="A23" s="0" t="s">
        <v>121</v>
      </c>
      <c r="B23" s="0" t="s">
        <v>122</v>
      </c>
      <c r="C23" s="0" t="n">
        <v>5.666</v>
      </c>
      <c r="D23" s="0" t="n">
        <v>10.604</v>
      </c>
      <c r="E23" s="0" t="n">
        <v>0</v>
      </c>
      <c r="F23" s="0" t="s">
        <v>98</v>
      </c>
      <c r="G23" s="0" t="n">
        <v>16</v>
      </c>
      <c r="H23" s="0" t="n">
        <v>0</v>
      </c>
      <c r="I23" s="0" t="s">
        <v>122</v>
      </c>
      <c r="J23" s="0" t="s">
        <v>120</v>
      </c>
      <c r="K23" s="0" t="s">
        <v>66</v>
      </c>
    </row>
    <row r="24" customFormat="false" ht="15" hidden="false" customHeight="false" outlineLevel="0" collapsed="false">
      <c r="A24" s="0" t="s">
        <v>123</v>
      </c>
      <c r="B24" s="0" t="s">
        <v>124</v>
      </c>
      <c r="C24" s="0" t="n">
        <v>5.666</v>
      </c>
      <c r="D24" s="0" t="n">
        <v>10.604</v>
      </c>
      <c r="E24" s="0" t="n">
        <v>0</v>
      </c>
      <c r="F24" s="0" t="s">
        <v>98</v>
      </c>
      <c r="G24" s="0" t="n">
        <v>16</v>
      </c>
      <c r="H24" s="0" t="n">
        <v>0</v>
      </c>
      <c r="I24" s="0" t="s">
        <v>124</v>
      </c>
      <c r="J24" s="0" t="s">
        <v>120</v>
      </c>
      <c r="K24" s="0" t="s">
        <v>66</v>
      </c>
    </row>
    <row r="25" customFormat="false" ht="15" hidden="false" customHeight="false" outlineLevel="0" collapsed="false">
      <c r="A25" s="0" t="s">
        <v>125</v>
      </c>
      <c r="B25" s="0" t="s">
        <v>126</v>
      </c>
      <c r="C25" s="0" t="n">
        <v>5.666</v>
      </c>
      <c r="D25" s="0" t="n">
        <v>10.604</v>
      </c>
      <c r="E25" s="0" t="n">
        <v>0</v>
      </c>
      <c r="F25" s="0" t="s">
        <v>98</v>
      </c>
      <c r="G25" s="0" t="n">
        <v>16</v>
      </c>
      <c r="H25" s="0" t="n">
        <v>0</v>
      </c>
      <c r="I25" s="0" t="s">
        <v>126</v>
      </c>
      <c r="J25" s="0" t="s">
        <v>120</v>
      </c>
      <c r="K25" s="0" t="s">
        <v>66</v>
      </c>
    </row>
    <row r="26" customFormat="false" ht="15" hidden="false" customHeight="false" outlineLevel="0" collapsed="false">
      <c r="A26" s="5" t="s">
        <v>127</v>
      </c>
    </row>
    <row r="27" customFormat="false" ht="15" hidden="false" customHeight="false" outlineLevel="0" collapsed="false">
      <c r="A27" s="0" t="s">
        <v>128</v>
      </c>
      <c r="B27" s="0" t="s">
        <v>129</v>
      </c>
      <c r="C27" s="0" t="n">
        <v>16.469</v>
      </c>
      <c r="D27" s="0" t="n">
        <v>4.292</v>
      </c>
      <c r="E27" s="0" t="n">
        <v>0</v>
      </c>
      <c r="F27" s="0" t="s">
        <v>130</v>
      </c>
      <c r="G27" s="0" t="n">
        <v>16</v>
      </c>
      <c r="H27" s="0" t="n">
        <v>0</v>
      </c>
      <c r="I27" s="0" t="s">
        <v>129</v>
      </c>
      <c r="J27" s="0" t="s">
        <v>131</v>
      </c>
      <c r="K27" s="0" t="s">
        <v>66</v>
      </c>
    </row>
    <row r="28" customFormat="false" ht="15" hidden="false" customHeight="false" outlineLevel="0" collapsed="false">
      <c r="A28" s="0" t="s">
        <v>132</v>
      </c>
      <c r="B28" s="0" t="s">
        <v>133</v>
      </c>
      <c r="C28" s="0" t="n">
        <v>3.876</v>
      </c>
      <c r="D28" s="0" t="n">
        <v>4.292</v>
      </c>
      <c r="E28" s="0" t="n">
        <v>0</v>
      </c>
      <c r="F28" s="0" t="s">
        <v>130</v>
      </c>
      <c r="G28" s="0" t="n">
        <v>16</v>
      </c>
      <c r="H28" s="0" t="n">
        <v>0</v>
      </c>
      <c r="I28" s="0" t="s">
        <v>133</v>
      </c>
      <c r="J28" s="0" t="s">
        <v>131</v>
      </c>
      <c r="K28" s="0" t="s">
        <v>66</v>
      </c>
    </row>
    <row r="29" customFormat="false" ht="15" hidden="false" customHeight="false" outlineLevel="0" collapsed="false">
      <c r="A29" s="0" t="s">
        <v>134</v>
      </c>
      <c r="B29" s="0" t="s">
        <v>135</v>
      </c>
      <c r="C29" s="0" t="n">
        <v>39.116</v>
      </c>
      <c r="D29" s="0" t="n">
        <v>2.042</v>
      </c>
      <c r="E29" s="0" t="n">
        <v>0</v>
      </c>
      <c r="F29" s="0" t="s">
        <v>130</v>
      </c>
      <c r="G29" s="0" t="n">
        <v>16</v>
      </c>
      <c r="H29" s="0" t="n">
        <v>0</v>
      </c>
      <c r="I29" s="0" t="s">
        <v>135</v>
      </c>
      <c r="J29" s="0" t="s">
        <v>131</v>
      </c>
      <c r="K29" s="0" t="s">
        <v>66</v>
      </c>
    </row>
    <row r="30" customFormat="false" ht="15" hidden="false" customHeight="false" outlineLevel="0" collapsed="false">
      <c r="A30" s="0" t="s">
        <v>136</v>
      </c>
      <c r="B30" s="0" t="s">
        <v>137</v>
      </c>
      <c r="C30" s="0" t="n">
        <v>75.818</v>
      </c>
      <c r="D30" s="0" t="n">
        <v>2.897</v>
      </c>
      <c r="E30" s="0" t="n">
        <v>0</v>
      </c>
      <c r="F30" s="0" t="s">
        <v>130</v>
      </c>
      <c r="G30" s="0" t="n">
        <v>16</v>
      </c>
      <c r="H30" s="0" t="n">
        <v>0</v>
      </c>
      <c r="I30" s="0" t="s">
        <v>138</v>
      </c>
      <c r="J30" s="0" t="s">
        <v>131</v>
      </c>
      <c r="K30" s="0" t="s">
        <v>66</v>
      </c>
    </row>
    <row r="31" customFormat="false" ht="15" hidden="false" customHeight="false" outlineLevel="0" collapsed="false">
      <c r="A31" s="0" t="s">
        <v>139</v>
      </c>
      <c r="B31" s="0" t="s">
        <v>140</v>
      </c>
      <c r="C31" s="0" t="n">
        <v>52.198</v>
      </c>
      <c r="D31" s="0" t="n">
        <v>4.886</v>
      </c>
      <c r="E31" s="0" t="n">
        <v>0</v>
      </c>
      <c r="F31" s="0" t="s">
        <v>130</v>
      </c>
      <c r="G31" s="0" t="n">
        <v>16</v>
      </c>
      <c r="H31" s="0" t="n">
        <v>0</v>
      </c>
      <c r="I31" s="0" t="s">
        <v>140</v>
      </c>
      <c r="J31" s="0" t="s">
        <v>131</v>
      </c>
      <c r="K31" s="0" t="s">
        <v>66</v>
      </c>
    </row>
    <row r="32" customFormat="false" ht="15" hidden="false" customHeight="false" outlineLevel="0" collapsed="false">
      <c r="A32" s="0" t="s">
        <v>141</v>
      </c>
      <c r="B32" s="0" t="s">
        <v>142</v>
      </c>
      <c r="C32" s="0" t="n">
        <v>47.927</v>
      </c>
      <c r="D32" s="0" t="n">
        <v>3.394</v>
      </c>
      <c r="E32" s="0" t="n">
        <v>0</v>
      </c>
      <c r="F32" s="0" t="s">
        <v>130</v>
      </c>
      <c r="G32" s="0" t="n">
        <v>16</v>
      </c>
      <c r="H32" s="0" t="n">
        <v>0</v>
      </c>
      <c r="I32" s="0" t="s">
        <v>143</v>
      </c>
      <c r="J32" s="0" t="s">
        <v>131</v>
      </c>
      <c r="K32" s="0" t="s">
        <v>66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n">
        <v>3.907</v>
      </c>
      <c r="D33" s="0" t="n">
        <v>4.292</v>
      </c>
      <c r="E33" s="0" t="n">
        <v>0</v>
      </c>
      <c r="F33" s="0" t="s">
        <v>130</v>
      </c>
      <c r="G33" s="0" t="n">
        <v>16</v>
      </c>
      <c r="H33" s="0" t="n">
        <v>0</v>
      </c>
      <c r="I33" s="0" t="s">
        <v>145</v>
      </c>
      <c r="J33" s="0" t="s">
        <v>131</v>
      </c>
      <c r="K33" s="0" t="s">
        <v>66</v>
      </c>
    </row>
    <row r="34" customFormat="false" ht="15" hidden="false" customHeight="false" outlineLevel="0" collapsed="false">
      <c r="A34" s="0" t="s">
        <v>146</v>
      </c>
      <c r="B34" s="0" t="s">
        <v>147</v>
      </c>
      <c r="C34" s="0" t="n">
        <v>28.891</v>
      </c>
      <c r="D34" s="0" t="n">
        <v>4.292</v>
      </c>
      <c r="E34" s="0" t="n">
        <v>0</v>
      </c>
      <c r="F34" s="0" t="s">
        <v>130</v>
      </c>
      <c r="G34" s="0" t="n">
        <v>16</v>
      </c>
      <c r="H34" s="0" t="n">
        <v>0</v>
      </c>
      <c r="I34" s="0" t="s">
        <v>147</v>
      </c>
      <c r="J34" s="0" t="s">
        <v>131</v>
      </c>
      <c r="K34" s="0" t="s">
        <v>66</v>
      </c>
    </row>
    <row r="35" customFormat="false" ht="15" hidden="false" customHeight="false" outlineLevel="0" collapsed="false">
      <c r="A35" s="5" t="s">
        <v>148</v>
      </c>
    </row>
    <row r="36" customFormat="false" ht="15" hidden="false" customHeight="false" outlineLevel="0" collapsed="false">
      <c r="A36" s="0" t="s">
        <v>149</v>
      </c>
      <c r="B36" s="0" t="s">
        <v>150</v>
      </c>
      <c r="C36" s="0" t="n">
        <v>2.42</v>
      </c>
      <c r="D36" s="0" t="n">
        <v>14.383</v>
      </c>
      <c r="E36" s="0" t="n">
        <v>2</v>
      </c>
      <c r="F36" s="0" t="s">
        <v>98</v>
      </c>
      <c r="G36" s="0" t="n">
        <v>16</v>
      </c>
      <c r="H36" s="0" t="n">
        <v>52.03</v>
      </c>
      <c r="I36" s="0" t="s">
        <v>151</v>
      </c>
      <c r="J36" s="0" t="s">
        <v>152</v>
      </c>
      <c r="K36" s="0" t="s">
        <v>66</v>
      </c>
    </row>
    <row r="37" customFormat="false" ht="15" hidden="false" customHeight="false" outlineLevel="0" collapsed="false">
      <c r="A37" s="0" t="s">
        <v>153</v>
      </c>
      <c r="B37" s="0" t="s">
        <v>154</v>
      </c>
      <c r="C37" s="0" t="n">
        <v>17.086</v>
      </c>
      <c r="D37" s="0" t="n">
        <v>15.375</v>
      </c>
      <c r="E37" s="0" t="n">
        <v>1.98</v>
      </c>
      <c r="F37" s="0" t="s">
        <v>98</v>
      </c>
      <c r="G37" s="0" t="n">
        <v>16</v>
      </c>
      <c r="H37" s="0" t="n">
        <v>364.02</v>
      </c>
      <c r="I37" s="0" t="s">
        <v>155</v>
      </c>
      <c r="J37" s="0" t="s">
        <v>152</v>
      </c>
      <c r="K37" s="0" t="s">
        <v>66</v>
      </c>
    </row>
    <row r="38" customFormat="false" ht="15" hidden="false" customHeight="false" outlineLevel="0" collapsed="false">
      <c r="A38" s="0" t="s">
        <v>156</v>
      </c>
      <c r="B38" s="0" t="s">
        <v>157</v>
      </c>
      <c r="C38" s="0" t="n">
        <v>8.254</v>
      </c>
      <c r="D38" s="0" t="n">
        <v>15.375</v>
      </c>
      <c r="E38" s="0" t="n">
        <v>1.93</v>
      </c>
      <c r="F38" s="0" t="s">
        <v>98</v>
      </c>
      <c r="G38" s="0" t="n">
        <v>16</v>
      </c>
      <c r="H38" s="0" t="n">
        <v>113.18</v>
      </c>
      <c r="I38" s="0" t="s">
        <v>158</v>
      </c>
      <c r="J38" s="0" t="s">
        <v>152</v>
      </c>
      <c r="K38" s="0" t="s">
        <v>66</v>
      </c>
    </row>
    <row r="39" customFormat="false" ht="15" hidden="false" customHeight="false" outlineLevel="0" collapsed="false">
      <c r="A39" s="0" t="s">
        <v>159</v>
      </c>
      <c r="B39" s="0" t="s">
        <v>160</v>
      </c>
      <c r="C39" s="0" t="n">
        <v>2.02</v>
      </c>
      <c r="D39" s="0" t="n">
        <v>15.375</v>
      </c>
      <c r="E39" s="0" t="n">
        <v>2</v>
      </c>
      <c r="F39" s="0" t="s">
        <v>98</v>
      </c>
      <c r="G39" s="0" t="n">
        <v>16</v>
      </c>
      <c r="H39" s="0" t="n">
        <v>49.24</v>
      </c>
      <c r="I39" s="0" t="s">
        <v>161</v>
      </c>
      <c r="J39" s="0" t="s">
        <v>152</v>
      </c>
      <c r="K39" s="0" t="s">
        <v>66</v>
      </c>
    </row>
    <row r="40" customFormat="false" ht="15" hidden="false" customHeight="false" outlineLevel="0" collapsed="false">
      <c r="A40" s="0" t="s">
        <v>162</v>
      </c>
      <c r="B40" s="0" t="s">
        <v>163</v>
      </c>
      <c r="C40" s="0" t="n">
        <v>3.533</v>
      </c>
      <c r="D40" s="0" t="n">
        <v>15.375</v>
      </c>
      <c r="E40" s="0" t="n">
        <v>1.89</v>
      </c>
      <c r="F40" s="0" t="s">
        <v>98</v>
      </c>
      <c r="G40" s="0" t="n">
        <v>16</v>
      </c>
      <c r="H40" s="0" t="n">
        <v>79.88</v>
      </c>
      <c r="I40" s="0" t="s">
        <v>164</v>
      </c>
      <c r="J40" s="0" t="s">
        <v>152</v>
      </c>
      <c r="K40" s="0" t="s">
        <v>66</v>
      </c>
    </row>
    <row r="41" customFormat="false" ht="15" hidden="false" customHeight="false" outlineLevel="0" collapsed="false">
      <c r="A41" s="0" t="s">
        <v>165</v>
      </c>
      <c r="B41" s="0" t="s">
        <v>166</v>
      </c>
      <c r="C41" s="0" t="n">
        <v>1.733</v>
      </c>
      <c r="D41" s="0" t="n">
        <v>11.91</v>
      </c>
      <c r="E41" s="0" t="n">
        <v>2</v>
      </c>
      <c r="F41" s="0" t="s">
        <v>98</v>
      </c>
      <c r="G41" s="0" t="n">
        <v>16</v>
      </c>
      <c r="H41" s="0" t="n">
        <v>32.06</v>
      </c>
      <c r="I41" s="0" t="s">
        <v>167</v>
      </c>
      <c r="J41" s="0" t="s">
        <v>152</v>
      </c>
      <c r="K41" s="0" t="s">
        <v>66</v>
      </c>
    </row>
    <row r="42" customFormat="false" ht="15" hidden="false" customHeight="false" outlineLevel="0" collapsed="false">
      <c r="A42" s="0" t="s">
        <v>168</v>
      </c>
      <c r="B42" s="0" t="s">
        <v>169</v>
      </c>
      <c r="C42" s="0" t="n">
        <v>5.513</v>
      </c>
      <c r="D42" s="0" t="n">
        <v>13.052</v>
      </c>
      <c r="E42" s="0" t="n">
        <v>1.93</v>
      </c>
      <c r="F42" s="0" t="s">
        <v>98</v>
      </c>
      <c r="G42" s="0" t="n">
        <v>16</v>
      </c>
      <c r="H42" s="0" t="n">
        <v>43.69</v>
      </c>
      <c r="I42" s="0" t="s">
        <v>170</v>
      </c>
      <c r="J42" s="0" t="s">
        <v>152</v>
      </c>
      <c r="K42" s="0" t="s">
        <v>66</v>
      </c>
    </row>
    <row r="43" customFormat="false" ht="15" hidden="false" customHeight="false" outlineLevel="0" collapsed="false">
      <c r="A43" s="0" t="s">
        <v>171</v>
      </c>
      <c r="B43" s="0" t="s">
        <v>172</v>
      </c>
      <c r="C43" s="0" t="n">
        <v>15.233</v>
      </c>
      <c r="D43" s="0" t="n">
        <v>13.052</v>
      </c>
      <c r="E43" s="0" t="n">
        <v>2</v>
      </c>
      <c r="F43" s="0" t="s">
        <v>98</v>
      </c>
      <c r="G43" s="0" t="n">
        <v>16</v>
      </c>
      <c r="H43" s="0" t="n">
        <v>274.2</v>
      </c>
      <c r="I43" s="0" t="s">
        <v>173</v>
      </c>
      <c r="J43" s="0" t="s">
        <v>152</v>
      </c>
      <c r="K43" s="0" t="s">
        <v>66</v>
      </c>
    </row>
    <row r="44" customFormat="false" ht="15" hidden="false" customHeight="false" outlineLevel="0" collapsed="false">
      <c r="A44" s="0" t="s">
        <v>174</v>
      </c>
      <c r="B44" s="0" t="s">
        <v>175</v>
      </c>
      <c r="C44" s="0" t="n">
        <v>20.52</v>
      </c>
      <c r="D44" s="0" t="n">
        <v>11.91</v>
      </c>
      <c r="E44" s="0" t="n">
        <v>1.96</v>
      </c>
      <c r="F44" s="0" t="s">
        <v>98</v>
      </c>
      <c r="G44" s="0" t="n">
        <v>16</v>
      </c>
      <c r="H44" s="0" t="n">
        <v>353.06</v>
      </c>
      <c r="I44" s="0" t="s">
        <v>176</v>
      </c>
      <c r="J44" s="0" t="s">
        <v>152</v>
      </c>
      <c r="K44" s="0" t="s">
        <v>66</v>
      </c>
    </row>
    <row r="45" customFormat="false" ht="15" hidden="false" customHeight="false" outlineLevel="0" collapsed="false">
      <c r="A45" s="0" t="s">
        <v>177</v>
      </c>
      <c r="B45" s="0" t="s">
        <v>178</v>
      </c>
      <c r="C45" s="0" t="n">
        <v>11.667</v>
      </c>
      <c r="D45" s="0" t="n">
        <v>13.052</v>
      </c>
      <c r="E45" s="0" t="n">
        <v>2</v>
      </c>
      <c r="F45" s="0" t="s">
        <v>98</v>
      </c>
      <c r="G45" s="0" t="n">
        <v>16</v>
      </c>
      <c r="H45" s="0" t="n">
        <v>162.22</v>
      </c>
      <c r="I45" s="0" t="s">
        <v>179</v>
      </c>
      <c r="J45" s="0" t="s">
        <v>152</v>
      </c>
      <c r="K45" s="0" t="s">
        <v>104</v>
      </c>
    </row>
    <row r="46" customFormat="false" ht="15" hidden="false" customHeight="false" outlineLevel="0" collapsed="false">
      <c r="A46" s="0" t="s">
        <v>180</v>
      </c>
      <c r="B46" s="0" t="s">
        <v>181</v>
      </c>
      <c r="C46" s="0" t="n">
        <v>7.487</v>
      </c>
      <c r="D46" s="0" t="n">
        <v>12.307</v>
      </c>
      <c r="E46" s="0" t="n">
        <v>1.64</v>
      </c>
      <c r="F46" s="0" t="s">
        <v>98</v>
      </c>
      <c r="G46" s="0" t="n">
        <v>16</v>
      </c>
      <c r="H46" s="0" t="n">
        <v>110.4</v>
      </c>
      <c r="I46" s="0" t="s">
        <v>182</v>
      </c>
      <c r="J46" s="0" t="s">
        <v>152</v>
      </c>
      <c r="K46" s="0" t="s">
        <v>66</v>
      </c>
    </row>
    <row r="47" customFormat="false" ht="15" hidden="false" customHeight="false" outlineLevel="0" collapsed="false">
      <c r="A47" s="5" t="s">
        <v>183</v>
      </c>
    </row>
    <row r="48" customFormat="false" ht="15" hidden="false" customHeight="false" outlineLevel="0" collapsed="false">
      <c r="A48" s="0" t="s">
        <v>184</v>
      </c>
      <c r="B48" s="0" t="s">
        <v>185</v>
      </c>
      <c r="C48" s="0" t="n">
        <v>3.467</v>
      </c>
      <c r="D48" s="0" t="n">
        <v>14.383</v>
      </c>
      <c r="E48" s="0" t="n">
        <v>3.59</v>
      </c>
      <c r="F48" s="0" t="s">
        <v>186</v>
      </c>
      <c r="G48" s="0" t="n">
        <v>16</v>
      </c>
      <c r="H48" s="0" t="n">
        <v>179.13</v>
      </c>
      <c r="I48" s="0" t="s">
        <v>187</v>
      </c>
      <c r="J48" s="0" t="s">
        <v>188</v>
      </c>
      <c r="K48" s="0" t="s">
        <v>66</v>
      </c>
    </row>
    <row r="49" customFormat="false" ht="15" hidden="false" customHeight="false" outlineLevel="0" collapsed="false">
      <c r="A49" s="0" t="s">
        <v>189</v>
      </c>
      <c r="B49" s="0" t="s">
        <v>190</v>
      </c>
      <c r="C49" s="0" t="n">
        <v>3.253</v>
      </c>
      <c r="D49" s="0" t="n">
        <v>14.225</v>
      </c>
      <c r="E49" s="0" t="n">
        <v>3.68</v>
      </c>
      <c r="F49" s="0" t="s">
        <v>186</v>
      </c>
      <c r="G49" s="0" t="n">
        <v>16</v>
      </c>
      <c r="H49" s="0" t="n">
        <v>170.5</v>
      </c>
      <c r="I49" s="0" t="s">
        <v>191</v>
      </c>
      <c r="J49" s="0" t="s">
        <v>188</v>
      </c>
      <c r="K49" s="0" t="s">
        <v>66</v>
      </c>
    </row>
    <row r="50" customFormat="false" ht="15" hidden="false" customHeight="false" outlineLevel="0" collapsed="false">
      <c r="A50" s="0" t="s">
        <v>192</v>
      </c>
      <c r="B50" s="0" t="s">
        <v>193</v>
      </c>
      <c r="C50" s="0" t="n">
        <v>11.771</v>
      </c>
      <c r="D50" s="0" t="n">
        <v>15.375</v>
      </c>
      <c r="E50" s="0" t="n">
        <v>4</v>
      </c>
      <c r="F50" s="0" t="s">
        <v>186</v>
      </c>
      <c r="G50" s="0" t="n">
        <v>16</v>
      </c>
      <c r="H50" s="0" t="n">
        <v>723.92</v>
      </c>
      <c r="I50" s="0" t="s">
        <v>194</v>
      </c>
      <c r="J50" s="0" t="s">
        <v>188</v>
      </c>
      <c r="K50" s="0" t="s">
        <v>104</v>
      </c>
    </row>
    <row r="51" customFormat="false" ht="15" hidden="false" customHeight="false" outlineLevel="0" collapsed="false">
      <c r="A51" s="0" t="s">
        <v>195</v>
      </c>
      <c r="B51" s="0" t="s">
        <v>196</v>
      </c>
      <c r="C51" s="0" t="n">
        <v>3.253</v>
      </c>
      <c r="D51" s="0" t="n">
        <v>14.225</v>
      </c>
      <c r="E51" s="0" t="n">
        <v>3.68</v>
      </c>
      <c r="F51" s="0" t="s">
        <v>186</v>
      </c>
      <c r="G51" s="0" t="n">
        <v>16</v>
      </c>
      <c r="H51" s="0" t="n">
        <v>170.5</v>
      </c>
      <c r="I51" s="0" t="s">
        <v>197</v>
      </c>
      <c r="J51" s="0" t="s">
        <v>188</v>
      </c>
      <c r="K51" s="0" t="s">
        <v>66</v>
      </c>
    </row>
    <row r="52" customFormat="false" ht="15" hidden="false" customHeight="false" outlineLevel="0" collapsed="false">
      <c r="A52" s="0" t="s">
        <v>198</v>
      </c>
      <c r="B52" s="0" t="s">
        <v>199</v>
      </c>
      <c r="C52" s="0" t="n">
        <v>11.771</v>
      </c>
      <c r="D52" s="0" t="n">
        <v>15.375</v>
      </c>
      <c r="E52" s="0" t="n">
        <v>4</v>
      </c>
      <c r="F52" s="0" t="s">
        <v>186</v>
      </c>
      <c r="G52" s="0" t="n">
        <v>16</v>
      </c>
      <c r="H52" s="0" t="n">
        <v>723.92</v>
      </c>
      <c r="I52" s="0" t="s">
        <v>200</v>
      </c>
      <c r="J52" s="0" t="s">
        <v>188</v>
      </c>
      <c r="K52" s="0" t="s">
        <v>104</v>
      </c>
    </row>
    <row r="53" customFormat="false" ht="15" hidden="false" customHeight="false" outlineLevel="0" collapsed="false">
      <c r="A53" s="0" t="s">
        <v>201</v>
      </c>
      <c r="B53" s="0" t="s">
        <v>202</v>
      </c>
      <c r="C53" s="0" t="n">
        <v>10.073</v>
      </c>
      <c r="D53" s="0" t="n">
        <v>15.375</v>
      </c>
      <c r="E53" s="0" t="n">
        <v>3.41</v>
      </c>
      <c r="F53" s="0" t="s">
        <v>186</v>
      </c>
      <c r="G53" s="0" t="n">
        <v>16</v>
      </c>
      <c r="H53" s="0" t="n">
        <v>527.85</v>
      </c>
      <c r="I53" s="0" t="s">
        <v>203</v>
      </c>
      <c r="J53" s="0" t="s">
        <v>188</v>
      </c>
      <c r="K53" s="0" t="s">
        <v>66</v>
      </c>
    </row>
    <row r="54" customFormat="false" ht="15" hidden="false" customHeight="false" outlineLevel="0" collapsed="false">
      <c r="A54" s="0" t="s">
        <v>204</v>
      </c>
      <c r="B54" s="0" t="s">
        <v>205</v>
      </c>
      <c r="C54" s="0" t="n">
        <v>12.333</v>
      </c>
      <c r="D54" s="0" t="n">
        <v>15.375</v>
      </c>
      <c r="E54" s="0" t="n">
        <v>3.79</v>
      </c>
      <c r="F54" s="0" t="s">
        <v>186</v>
      </c>
      <c r="G54" s="0" t="n">
        <v>16</v>
      </c>
      <c r="H54" s="0" t="n">
        <v>718.32</v>
      </c>
      <c r="I54" s="0" t="s">
        <v>206</v>
      </c>
      <c r="J54" s="0" t="s">
        <v>188</v>
      </c>
      <c r="K54" s="0" t="s">
        <v>66</v>
      </c>
    </row>
    <row r="55" customFormat="false" ht="15" hidden="false" customHeight="false" outlineLevel="0" collapsed="false">
      <c r="A55" s="0" t="s">
        <v>207</v>
      </c>
      <c r="B55" s="0" t="s">
        <v>208</v>
      </c>
      <c r="C55" s="0" t="n">
        <v>11.625</v>
      </c>
      <c r="D55" s="0" t="n">
        <v>15.375</v>
      </c>
      <c r="E55" s="0" t="n">
        <v>4</v>
      </c>
      <c r="F55" s="0" t="s">
        <v>186</v>
      </c>
      <c r="G55" s="0" t="n">
        <v>16</v>
      </c>
      <c r="H55" s="0" t="n">
        <v>714.94</v>
      </c>
      <c r="I55" s="0" t="s">
        <v>209</v>
      </c>
      <c r="J55" s="0" t="s">
        <v>188</v>
      </c>
      <c r="K55" s="0" t="s">
        <v>104</v>
      </c>
    </row>
    <row r="56" customFormat="false" ht="15" hidden="false" customHeight="false" outlineLevel="0" collapsed="false">
      <c r="A56" s="0" t="s">
        <v>210</v>
      </c>
      <c r="B56" s="0" t="s">
        <v>211</v>
      </c>
      <c r="C56" s="0" t="n">
        <v>12.333</v>
      </c>
      <c r="D56" s="0" t="n">
        <v>15.375</v>
      </c>
      <c r="E56" s="0" t="n">
        <v>3.79</v>
      </c>
      <c r="F56" s="0" t="s">
        <v>186</v>
      </c>
      <c r="G56" s="0" t="n">
        <v>16</v>
      </c>
      <c r="H56" s="0" t="n">
        <v>718.32</v>
      </c>
      <c r="I56" s="0" t="s">
        <v>212</v>
      </c>
      <c r="J56" s="0" t="s">
        <v>188</v>
      </c>
      <c r="K56" s="0" t="s">
        <v>66</v>
      </c>
    </row>
    <row r="57" customFormat="false" ht="15" hidden="false" customHeight="false" outlineLevel="0" collapsed="false">
      <c r="A57" s="5" t="s">
        <v>213</v>
      </c>
    </row>
    <row r="58" customFormat="false" ht="15" hidden="false" customHeight="false" outlineLevel="0" collapsed="false">
      <c r="A58" s="0" t="s">
        <v>214</v>
      </c>
      <c r="B58" s="0" t="s">
        <v>215</v>
      </c>
      <c r="C58" s="0" t="n">
        <v>11.771</v>
      </c>
      <c r="D58" s="0" t="n">
        <v>15.375</v>
      </c>
      <c r="E58" s="0" t="n">
        <v>4</v>
      </c>
      <c r="F58" s="0" t="s">
        <v>186</v>
      </c>
      <c r="G58" s="0" t="n">
        <v>16</v>
      </c>
      <c r="H58" s="0" t="n">
        <v>723.92</v>
      </c>
      <c r="I58" s="0" t="s">
        <v>216</v>
      </c>
      <c r="J58" s="0" t="s">
        <v>188</v>
      </c>
      <c r="K58" s="0" t="s">
        <v>104</v>
      </c>
    </row>
    <row r="59" customFormat="false" ht="15" hidden="false" customHeight="false" outlineLevel="0" collapsed="false">
      <c r="A59" s="0" t="s">
        <v>217</v>
      </c>
      <c r="B59" s="0" t="s">
        <v>218</v>
      </c>
      <c r="C59" s="0" t="n">
        <v>3.507</v>
      </c>
      <c r="D59" s="0" t="n">
        <v>15.375</v>
      </c>
      <c r="E59" s="0" t="n">
        <v>3.71</v>
      </c>
      <c r="F59" s="0" t="s">
        <v>186</v>
      </c>
      <c r="G59" s="0" t="n">
        <v>16</v>
      </c>
      <c r="H59" s="0" t="n">
        <v>200.09</v>
      </c>
      <c r="I59" s="0" t="s">
        <v>219</v>
      </c>
      <c r="J59" s="0" t="s">
        <v>188</v>
      </c>
      <c r="K59" s="0" t="s">
        <v>66</v>
      </c>
    </row>
    <row r="60" customFormat="false" ht="15" hidden="false" customHeight="false" outlineLevel="0" collapsed="false">
      <c r="A60" s="5" t="s">
        <v>220</v>
      </c>
    </row>
    <row r="61" customFormat="false" ht="15" hidden="false" customHeight="false" outlineLevel="0" collapsed="false">
      <c r="A61" s="0" t="s">
        <v>221</v>
      </c>
      <c r="B61" s="0" t="s">
        <v>222</v>
      </c>
      <c r="C61" s="0" t="n">
        <v>30</v>
      </c>
      <c r="D61" s="0" t="n">
        <v>6.262</v>
      </c>
      <c r="E61" s="0" t="n">
        <v>4</v>
      </c>
      <c r="F61" s="0" t="s">
        <v>186</v>
      </c>
      <c r="G61" s="0" t="n">
        <v>16</v>
      </c>
      <c r="H61" s="0" t="n">
        <v>751.48</v>
      </c>
      <c r="I61" s="0" t="s">
        <v>223</v>
      </c>
      <c r="J61" s="0" t="s">
        <v>224</v>
      </c>
      <c r="K61" s="0" t="s">
        <v>104</v>
      </c>
    </row>
    <row r="62" customFormat="false" ht="15" hidden="false" customHeight="false" outlineLevel="0" collapsed="false">
      <c r="A62" s="0" t="s">
        <v>225</v>
      </c>
      <c r="B62" s="0" t="s">
        <v>226</v>
      </c>
      <c r="C62" s="0" t="n">
        <v>15</v>
      </c>
      <c r="D62" s="0" t="n">
        <v>7.375</v>
      </c>
      <c r="E62" s="0" t="n">
        <v>4</v>
      </c>
      <c r="F62" s="0" t="s">
        <v>186</v>
      </c>
      <c r="G62" s="0" t="n">
        <v>16</v>
      </c>
      <c r="H62" s="0" t="n">
        <v>442.48</v>
      </c>
      <c r="I62" s="0" t="s">
        <v>227</v>
      </c>
      <c r="J62" s="0" t="s">
        <v>224</v>
      </c>
      <c r="K62" s="0" t="s">
        <v>104</v>
      </c>
    </row>
    <row r="63" customFormat="false" ht="15" hidden="false" customHeight="false" outlineLevel="0" collapsed="false">
      <c r="A63" s="5" t="s">
        <v>228</v>
      </c>
    </row>
    <row r="64" customFormat="false" ht="15" hidden="false" customHeight="false" outlineLevel="0" collapsed="false">
      <c r="A64" s="0" t="s">
        <v>229</v>
      </c>
      <c r="B64" s="0" t="s">
        <v>230</v>
      </c>
      <c r="C64" s="0" t="n">
        <v>1.88</v>
      </c>
      <c r="D64" s="0" t="n">
        <v>15.375</v>
      </c>
      <c r="E64" s="0" t="n">
        <v>2</v>
      </c>
      <c r="F64" s="0" t="s">
        <v>63</v>
      </c>
      <c r="G64" s="0" t="n">
        <v>24</v>
      </c>
      <c r="H64" s="0" t="n">
        <v>57.8</v>
      </c>
      <c r="I64" s="0" t="s">
        <v>231</v>
      </c>
      <c r="J64" s="0" t="s">
        <v>232</v>
      </c>
      <c r="K64" s="0" t="s">
        <v>66</v>
      </c>
    </row>
    <row r="65" customFormat="false" ht="15" hidden="false" customHeight="false" outlineLevel="0" collapsed="false">
      <c r="A65" s="5" t="s">
        <v>233</v>
      </c>
    </row>
    <row r="66" customFormat="false" ht="15" hidden="false" customHeight="false" outlineLevel="0" collapsed="false">
      <c r="A66" s="0" t="s">
        <v>234</v>
      </c>
      <c r="B66" s="0" t="s">
        <v>235</v>
      </c>
      <c r="C66" s="0" t="n">
        <v>2.98</v>
      </c>
      <c r="D66" s="0" t="n">
        <v>15.375</v>
      </c>
      <c r="E66" s="0" t="n">
        <v>2</v>
      </c>
      <c r="F66" s="0" t="s">
        <v>98</v>
      </c>
      <c r="G66" s="0" t="n">
        <v>24</v>
      </c>
      <c r="H66" s="0" t="n">
        <v>91.64</v>
      </c>
      <c r="I66" s="0" t="s">
        <v>236</v>
      </c>
      <c r="J66" s="0" t="s">
        <v>232</v>
      </c>
      <c r="K66" s="0" t="s">
        <v>66</v>
      </c>
    </row>
    <row r="67" customFormat="false" ht="15" hidden="false" customHeight="false" outlineLevel="0" collapsed="false">
      <c r="A67" s="0" t="s">
        <v>237</v>
      </c>
      <c r="B67" s="0" t="s">
        <v>238</v>
      </c>
      <c r="C67" s="0" t="n">
        <v>3.033</v>
      </c>
      <c r="D67" s="0" t="n">
        <v>13.052</v>
      </c>
      <c r="E67" s="0" t="n">
        <v>2</v>
      </c>
      <c r="F67" s="0" t="s">
        <v>98</v>
      </c>
      <c r="G67" s="0" t="n">
        <v>24</v>
      </c>
      <c r="H67" s="0" t="n">
        <v>79.18</v>
      </c>
      <c r="I67" s="0" t="s">
        <v>239</v>
      </c>
      <c r="J67" s="0" t="s">
        <v>232</v>
      </c>
      <c r="K67" s="0" t="s">
        <v>66</v>
      </c>
    </row>
    <row r="68" customFormat="false" ht="15" hidden="false" customHeight="false" outlineLevel="0" collapsed="false">
      <c r="A68" s="0" t="s">
        <v>240</v>
      </c>
      <c r="B68" s="0" t="s">
        <v>241</v>
      </c>
      <c r="C68" s="0" t="n">
        <v>2.093</v>
      </c>
      <c r="D68" s="0" t="n">
        <v>13.052</v>
      </c>
      <c r="E68" s="0" t="n">
        <v>2</v>
      </c>
      <c r="F68" s="0" t="s">
        <v>98</v>
      </c>
      <c r="G68" s="0" t="n">
        <v>24</v>
      </c>
      <c r="H68" s="0" t="n">
        <v>54.64</v>
      </c>
      <c r="I68" s="0" t="s">
        <v>242</v>
      </c>
      <c r="J68" s="0" t="s">
        <v>232</v>
      </c>
      <c r="K68" s="0" t="s">
        <v>66</v>
      </c>
    </row>
    <row r="69" customFormat="false" ht="15" hidden="false" customHeight="false" outlineLevel="0" collapsed="false">
      <c r="A69" s="5" t="s">
        <v>243</v>
      </c>
    </row>
    <row r="70" customFormat="false" ht="15" hidden="false" customHeight="false" outlineLevel="0" collapsed="false">
      <c r="A70" s="0" t="s">
        <v>244</v>
      </c>
      <c r="B70" s="0" t="s">
        <v>245</v>
      </c>
      <c r="C70" s="0" t="n">
        <v>5.66</v>
      </c>
      <c r="D70" s="0" t="n">
        <v>15.375</v>
      </c>
      <c r="E70" s="0" t="n">
        <v>2</v>
      </c>
      <c r="F70" s="0" t="s">
        <v>63</v>
      </c>
      <c r="G70" s="0" t="n">
        <v>16</v>
      </c>
      <c r="H70" s="0" t="n">
        <v>111.44</v>
      </c>
      <c r="I70" s="0" t="s">
        <v>246</v>
      </c>
      <c r="J70" s="0" t="s">
        <v>247</v>
      </c>
      <c r="K70" s="0" t="s">
        <v>66</v>
      </c>
    </row>
    <row r="71" customFormat="false" ht="15" hidden="false" customHeight="false" outlineLevel="0" collapsed="false">
      <c r="A71" s="0" t="s">
        <v>248</v>
      </c>
      <c r="B71" s="0" t="s">
        <v>249</v>
      </c>
      <c r="C71" s="0" t="n">
        <v>15.073</v>
      </c>
      <c r="D71" s="0" t="n">
        <v>11.91</v>
      </c>
      <c r="E71" s="0" t="n">
        <v>1.97</v>
      </c>
      <c r="F71" s="0" t="s">
        <v>63</v>
      </c>
      <c r="G71" s="0" t="n">
        <v>16</v>
      </c>
      <c r="H71" s="0" t="n">
        <v>306.42</v>
      </c>
      <c r="I71" s="0" t="s">
        <v>250</v>
      </c>
      <c r="J71" s="0" t="s">
        <v>247</v>
      </c>
      <c r="K71" s="0" t="s">
        <v>66</v>
      </c>
    </row>
    <row r="72" customFormat="false" ht="15" hidden="false" customHeight="false" outlineLevel="0" collapsed="false">
      <c r="A72" s="0" t="s">
        <v>251</v>
      </c>
      <c r="B72" s="0" t="s">
        <v>252</v>
      </c>
      <c r="C72" s="0" t="n">
        <v>5.534</v>
      </c>
      <c r="D72" s="0" t="n">
        <v>13.286</v>
      </c>
      <c r="E72" s="0" t="n">
        <v>1.93</v>
      </c>
      <c r="F72" s="0" t="s">
        <v>63</v>
      </c>
      <c r="G72" s="0" t="n">
        <v>16</v>
      </c>
      <c r="H72" s="0" t="n">
        <v>93.97</v>
      </c>
      <c r="I72" s="0" t="s">
        <v>253</v>
      </c>
      <c r="J72" s="0" t="s">
        <v>247</v>
      </c>
      <c r="K72" s="0" t="s">
        <v>66</v>
      </c>
    </row>
    <row r="73" customFormat="false" ht="15" hidden="false" customHeight="false" outlineLevel="0" collapsed="false">
      <c r="A73" s="0" t="s">
        <v>254</v>
      </c>
      <c r="B73" s="0" t="s">
        <v>255</v>
      </c>
      <c r="C73" s="0" t="n">
        <v>15.787</v>
      </c>
      <c r="D73" s="0" t="n">
        <v>13.052</v>
      </c>
      <c r="E73" s="0" t="n">
        <v>1.92</v>
      </c>
      <c r="F73" s="0" t="s">
        <v>63</v>
      </c>
      <c r="G73" s="0" t="n">
        <v>16</v>
      </c>
      <c r="H73" s="0" t="n">
        <v>252.84</v>
      </c>
      <c r="I73" s="0" t="s">
        <v>256</v>
      </c>
      <c r="J73" s="0" t="s">
        <v>247</v>
      </c>
      <c r="K73" s="0" t="s">
        <v>66</v>
      </c>
    </row>
    <row r="74" customFormat="false" ht="15" hidden="false" customHeight="false" outlineLevel="0" collapsed="false">
      <c r="A74" s="5" t="s">
        <v>257</v>
      </c>
    </row>
    <row r="75" customFormat="false" ht="15" hidden="false" customHeight="false" outlineLevel="0" collapsed="false">
      <c r="A75" s="0" t="s">
        <v>258</v>
      </c>
      <c r="B75" s="0" t="s">
        <v>259</v>
      </c>
      <c r="C75" s="0" t="n">
        <v>11</v>
      </c>
      <c r="D75" s="0" t="n">
        <v>15.375</v>
      </c>
      <c r="E75" s="0" t="n">
        <v>1.96</v>
      </c>
      <c r="F75" s="0" t="s">
        <v>63</v>
      </c>
      <c r="G75" s="0" t="n">
        <v>16</v>
      </c>
      <c r="H75" s="0" t="n">
        <v>227.34</v>
      </c>
      <c r="I75" s="0" t="s">
        <v>260</v>
      </c>
      <c r="J75" s="0" t="s">
        <v>152</v>
      </c>
      <c r="K75" s="0" t="s">
        <v>66</v>
      </c>
    </row>
    <row r="76" customFormat="false" ht="15" hidden="false" customHeight="false" outlineLevel="0" collapsed="false">
      <c r="A76" s="0" t="s">
        <v>261</v>
      </c>
      <c r="B76" s="0" t="s">
        <v>262</v>
      </c>
      <c r="C76" s="0" t="n">
        <v>19.814</v>
      </c>
      <c r="D76" s="0" t="n">
        <v>13.721</v>
      </c>
      <c r="E76" s="0" t="n">
        <v>1.98</v>
      </c>
      <c r="F76" s="0" t="s">
        <v>63</v>
      </c>
      <c r="G76" s="0" t="n">
        <v>16</v>
      </c>
      <c r="H76" s="0" t="n">
        <v>383.8</v>
      </c>
      <c r="I76" s="0" t="s">
        <v>263</v>
      </c>
      <c r="J76" s="0" t="s">
        <v>152</v>
      </c>
      <c r="K76" s="0" t="s">
        <v>66</v>
      </c>
    </row>
    <row r="77" customFormat="false" ht="15" hidden="false" customHeight="false" outlineLevel="0" collapsed="false">
      <c r="A77" s="0" t="s">
        <v>264</v>
      </c>
      <c r="B77" s="0" t="s">
        <v>265</v>
      </c>
      <c r="C77" s="0" t="n">
        <v>5.28</v>
      </c>
      <c r="D77" s="0" t="n">
        <v>12.543</v>
      </c>
      <c r="E77" s="0" t="n">
        <v>1.92</v>
      </c>
      <c r="F77" s="0" t="s">
        <v>63</v>
      </c>
      <c r="G77" s="0" t="n">
        <v>16</v>
      </c>
      <c r="H77" s="0" t="n">
        <v>43.61</v>
      </c>
      <c r="I77" s="0" t="s">
        <v>266</v>
      </c>
      <c r="J77" s="0" t="s">
        <v>152</v>
      </c>
      <c r="K77" s="0" t="s">
        <v>66</v>
      </c>
    </row>
    <row r="78" customFormat="false" ht="15" hidden="false" customHeight="false" outlineLevel="0" collapsed="false">
      <c r="A78" s="0" t="s">
        <v>267</v>
      </c>
      <c r="B78" s="0" t="s">
        <v>268</v>
      </c>
      <c r="C78" s="0" t="n">
        <v>3.28</v>
      </c>
      <c r="D78" s="0" t="n">
        <v>11.91</v>
      </c>
      <c r="E78" s="0" t="n">
        <v>2</v>
      </c>
      <c r="F78" s="0" t="s">
        <v>63</v>
      </c>
      <c r="G78" s="0" t="n">
        <v>16</v>
      </c>
      <c r="H78" s="0" t="n">
        <v>59.04</v>
      </c>
      <c r="I78" s="0" t="s">
        <v>269</v>
      </c>
      <c r="J78" s="0" t="s">
        <v>152</v>
      </c>
      <c r="K78" s="0" t="s">
        <v>66</v>
      </c>
    </row>
    <row r="79" customFormat="false" ht="15" hidden="false" customHeight="false" outlineLevel="0" collapsed="false">
      <c r="A79" s="5" t="s">
        <v>270</v>
      </c>
    </row>
    <row r="80" customFormat="false" ht="15" hidden="false" customHeight="false" outlineLevel="0" collapsed="false">
      <c r="A80" s="0" t="s">
        <v>271</v>
      </c>
      <c r="B80" s="0" t="s">
        <v>272</v>
      </c>
      <c r="C80" s="0" t="n">
        <v>9.987</v>
      </c>
      <c r="D80" s="0" t="n">
        <v>13.052</v>
      </c>
      <c r="E80" s="0" t="n">
        <v>1.96</v>
      </c>
      <c r="F80" s="0" t="s">
        <v>98</v>
      </c>
      <c r="G80" s="0" t="n">
        <v>16</v>
      </c>
      <c r="H80" s="0" t="n">
        <v>255.39</v>
      </c>
      <c r="I80" s="0" t="s">
        <v>273</v>
      </c>
      <c r="J80" s="0" t="s">
        <v>247</v>
      </c>
      <c r="K80" s="0" t="s">
        <v>66</v>
      </c>
    </row>
    <row r="81" customFormat="false" ht="15" hidden="false" customHeight="false" outlineLevel="0" collapsed="false">
      <c r="A81" s="0" t="s">
        <v>274</v>
      </c>
      <c r="B81" s="0" t="s">
        <v>275</v>
      </c>
      <c r="C81" s="0" t="n">
        <v>13.74</v>
      </c>
      <c r="D81" s="0" t="n">
        <v>13.052</v>
      </c>
      <c r="E81" s="0" t="n">
        <v>1.97</v>
      </c>
      <c r="F81" s="0" t="s">
        <v>98</v>
      </c>
      <c r="G81" s="0" t="n">
        <v>16</v>
      </c>
      <c r="H81" s="0" t="n">
        <v>257.8</v>
      </c>
      <c r="I81" s="0" t="s">
        <v>276</v>
      </c>
      <c r="J81" s="0" t="s">
        <v>247</v>
      </c>
      <c r="K81" s="0" t="s">
        <v>66</v>
      </c>
    </row>
    <row r="82" customFormat="false" ht="15" hidden="false" customHeight="false" outlineLevel="0" collapsed="false">
      <c r="A82" s="0" t="s">
        <v>277</v>
      </c>
      <c r="B82" s="0" t="s">
        <v>278</v>
      </c>
      <c r="C82" s="0" t="n">
        <v>9.58</v>
      </c>
      <c r="D82" s="0" t="n">
        <v>13.052</v>
      </c>
      <c r="E82" s="0" t="n">
        <v>2</v>
      </c>
      <c r="F82" s="0" t="s">
        <v>98</v>
      </c>
      <c r="G82" s="0" t="n">
        <v>16</v>
      </c>
      <c r="H82" s="0" t="n">
        <v>250.08</v>
      </c>
      <c r="I82" s="0" t="s">
        <v>279</v>
      </c>
      <c r="J82" s="0" t="s">
        <v>247</v>
      </c>
      <c r="K82" s="0" t="s">
        <v>66</v>
      </c>
    </row>
    <row r="83" customFormat="false" ht="15" hidden="false" customHeight="false" outlineLevel="0" collapsed="false">
      <c r="A83" s="0" t="s">
        <v>280</v>
      </c>
      <c r="B83" s="0" t="s">
        <v>281</v>
      </c>
      <c r="C83" s="0" t="n">
        <v>11.733</v>
      </c>
      <c r="D83" s="0" t="n">
        <v>13.052</v>
      </c>
      <c r="E83" s="0" t="n">
        <v>1.97</v>
      </c>
      <c r="F83" s="0" t="s">
        <v>98</v>
      </c>
      <c r="G83" s="0" t="n">
        <v>16</v>
      </c>
      <c r="H83" s="0" t="n">
        <v>253.18</v>
      </c>
      <c r="I83" s="0" t="s">
        <v>282</v>
      </c>
      <c r="J83" s="0" t="s">
        <v>247</v>
      </c>
      <c r="K83" s="0" t="s">
        <v>66</v>
      </c>
    </row>
    <row r="84" customFormat="false" ht="15" hidden="false" customHeight="false" outlineLevel="0" collapsed="false">
      <c r="A84" s="0" t="s">
        <v>283</v>
      </c>
      <c r="B84" s="0" t="s">
        <v>284</v>
      </c>
      <c r="C84" s="0" t="n">
        <v>11.733</v>
      </c>
      <c r="D84" s="0" t="n">
        <v>13.052</v>
      </c>
      <c r="E84" s="0" t="n">
        <v>1.97</v>
      </c>
      <c r="F84" s="0" t="s">
        <v>98</v>
      </c>
      <c r="G84" s="0" t="n">
        <v>16</v>
      </c>
      <c r="H84" s="0" t="n">
        <v>300.96</v>
      </c>
      <c r="I84" s="0" t="s">
        <v>285</v>
      </c>
      <c r="J84" s="0" t="s">
        <v>247</v>
      </c>
      <c r="K84" s="0" t="s">
        <v>66</v>
      </c>
    </row>
    <row r="85" customFormat="false" ht="15" hidden="false" customHeight="false" outlineLevel="0" collapsed="false">
      <c r="A85" s="0" t="s">
        <v>286</v>
      </c>
      <c r="B85" s="0" t="s">
        <v>287</v>
      </c>
      <c r="C85" s="0" t="n">
        <v>3.5</v>
      </c>
      <c r="D85" s="0" t="n">
        <v>13.052</v>
      </c>
      <c r="E85" s="0" t="n">
        <v>2</v>
      </c>
      <c r="F85" s="0" t="s">
        <v>98</v>
      </c>
      <c r="G85" s="0" t="n">
        <v>16</v>
      </c>
      <c r="H85" s="0" t="n">
        <v>91.36</v>
      </c>
      <c r="I85" s="0" t="s">
        <v>288</v>
      </c>
      <c r="J85" s="0" t="s">
        <v>247</v>
      </c>
      <c r="K85" s="0" t="s">
        <v>66</v>
      </c>
    </row>
    <row r="86" customFormat="false" ht="15" hidden="false" customHeight="false" outlineLevel="0" collapsed="false">
      <c r="A86" s="5" t="s">
        <v>289</v>
      </c>
    </row>
    <row r="87" customFormat="false" ht="15" hidden="false" customHeight="false" outlineLevel="0" collapsed="false">
      <c r="A87" s="0" t="s">
        <v>290</v>
      </c>
      <c r="B87" s="0" t="s">
        <v>291</v>
      </c>
      <c r="C87" s="0" t="n">
        <v>17.762</v>
      </c>
      <c r="D87" s="0" t="n">
        <v>15.375</v>
      </c>
      <c r="E87" s="0" t="n">
        <v>2</v>
      </c>
      <c r="F87" s="0" t="s">
        <v>98</v>
      </c>
      <c r="G87" s="0" t="n">
        <v>16</v>
      </c>
      <c r="H87" s="0" t="n">
        <v>325.38</v>
      </c>
      <c r="I87" s="0" t="s">
        <v>292</v>
      </c>
      <c r="J87" s="0" t="s">
        <v>293</v>
      </c>
      <c r="K87" s="0" t="s">
        <v>66</v>
      </c>
    </row>
    <row r="88" customFormat="false" ht="15" hidden="false" customHeight="false" outlineLevel="0" collapsed="false">
      <c r="B88" s="6" t="s">
        <v>294</v>
      </c>
      <c r="C88" s="4" t="n">
        <f aca="false">SUM(C5:C87)</f>
        <v>956.512</v>
      </c>
      <c r="H88" s="4" t="n">
        <f aca="false">SUM(H5:H87)</f>
        <v>15474.53</v>
      </c>
    </row>
    <row r="90" customFormat="false" ht="15" hidden="false" customHeight="false" outlineLevel="0" collapsed="false">
      <c r="A90" s="5" t="s">
        <v>295</v>
      </c>
    </row>
    <row r="91" customFormat="false" ht="15" hidden="false" customHeight="false" outlineLevel="0" collapsed="false">
      <c r="A91" s="0" t="s">
        <v>296</v>
      </c>
      <c r="B91" s="0" t="s">
        <v>297</v>
      </c>
      <c r="C91" s="0" t="n">
        <v>30</v>
      </c>
      <c r="D91" s="0" t="n">
        <v>4.375</v>
      </c>
      <c r="E91" s="0" t="n">
        <v>1</v>
      </c>
      <c r="F91" s="0" t="s">
        <v>98</v>
      </c>
      <c r="G91" s="0" t="n">
        <v>16</v>
      </c>
      <c r="H91" s="0" t="n">
        <v>30</v>
      </c>
      <c r="I91" s="0" t="s">
        <v>298</v>
      </c>
      <c r="J91" s="0" t="s">
        <v>299</v>
      </c>
      <c r="K91" s="0" t="s">
        <v>66</v>
      </c>
    </row>
    <row r="92" customFormat="false" ht="15" hidden="false" customHeight="false" outlineLevel="0" collapsed="false">
      <c r="A92" s="0" t="s">
        <v>300</v>
      </c>
      <c r="B92" s="0" t="s">
        <v>301</v>
      </c>
      <c r="C92" s="0" t="n">
        <v>17.027</v>
      </c>
      <c r="D92" s="0" t="n">
        <v>4.375</v>
      </c>
      <c r="E92" s="0" t="n">
        <v>1</v>
      </c>
      <c r="F92" s="0" t="s">
        <v>98</v>
      </c>
      <c r="G92" s="0" t="n">
        <v>16</v>
      </c>
      <c r="H92" s="0" t="n">
        <v>17.03</v>
      </c>
      <c r="I92" s="0" t="s">
        <v>302</v>
      </c>
      <c r="J92" s="0" t="s">
        <v>299</v>
      </c>
      <c r="K92" s="0" t="s">
        <v>66</v>
      </c>
    </row>
    <row r="93" customFormat="false" ht="15" hidden="false" customHeight="false" outlineLevel="0" collapsed="false">
      <c r="A93" s="0" t="s">
        <v>303</v>
      </c>
      <c r="B93" s="0" t="s">
        <v>304</v>
      </c>
      <c r="C93" s="0" t="n">
        <v>30</v>
      </c>
      <c r="D93" s="0" t="n">
        <v>4.375</v>
      </c>
      <c r="E93" s="0" t="n">
        <v>1</v>
      </c>
      <c r="F93" s="0" t="s">
        <v>98</v>
      </c>
      <c r="G93" s="0" t="n">
        <v>16</v>
      </c>
      <c r="H93" s="0" t="n">
        <v>30</v>
      </c>
      <c r="I93" s="0" t="s">
        <v>305</v>
      </c>
      <c r="J93" s="0" t="s">
        <v>299</v>
      </c>
      <c r="K93" s="0" t="s">
        <v>66</v>
      </c>
    </row>
    <row r="94" customFormat="false" ht="15" hidden="false" customHeight="false" outlineLevel="0" collapsed="false">
      <c r="A94" s="0" t="s">
        <v>306</v>
      </c>
      <c r="B94" s="0" t="s">
        <v>307</v>
      </c>
      <c r="C94" s="0" t="n">
        <v>6.551</v>
      </c>
      <c r="D94" s="0" t="n">
        <v>7.375</v>
      </c>
      <c r="E94" s="0" t="n">
        <v>1</v>
      </c>
      <c r="F94" s="0" t="s">
        <v>98</v>
      </c>
      <c r="G94" s="0" t="n">
        <v>16</v>
      </c>
      <c r="H94" s="0" t="n">
        <v>9.83</v>
      </c>
      <c r="I94" s="0" t="s">
        <v>308</v>
      </c>
      <c r="J94" s="0" t="s">
        <v>309</v>
      </c>
      <c r="K94" s="0" t="s">
        <v>66</v>
      </c>
    </row>
    <row r="95" customFormat="false" ht="15" hidden="false" customHeight="false" outlineLevel="0" collapsed="false">
      <c r="A95" s="0" t="s">
        <v>310</v>
      </c>
      <c r="B95" s="0" t="s">
        <v>311</v>
      </c>
      <c r="C95" s="0" t="n">
        <v>5.462</v>
      </c>
      <c r="D95" s="0" t="n">
        <v>5.052</v>
      </c>
      <c r="E95" s="0" t="n">
        <v>1</v>
      </c>
      <c r="F95" s="0" t="s">
        <v>98</v>
      </c>
      <c r="G95" s="0" t="n">
        <v>16</v>
      </c>
      <c r="H95" s="0" t="n">
        <v>8.19</v>
      </c>
      <c r="I95" s="0" t="s">
        <v>312</v>
      </c>
      <c r="J95" s="0" t="s">
        <v>309</v>
      </c>
      <c r="K95" s="0" t="s">
        <v>66</v>
      </c>
    </row>
    <row r="96" customFormat="false" ht="15" hidden="false" customHeight="false" outlineLevel="0" collapsed="false">
      <c r="A96" s="0" t="s">
        <v>313</v>
      </c>
      <c r="B96" s="0" t="s">
        <v>314</v>
      </c>
      <c r="C96" s="0" t="n">
        <v>6.551</v>
      </c>
      <c r="D96" s="0" t="n">
        <v>7.375</v>
      </c>
      <c r="E96" s="0" t="n">
        <v>1</v>
      </c>
      <c r="F96" s="0" t="s">
        <v>98</v>
      </c>
      <c r="G96" s="0" t="n">
        <v>16</v>
      </c>
      <c r="H96" s="0" t="n">
        <v>9.83</v>
      </c>
      <c r="I96" s="0" t="s">
        <v>315</v>
      </c>
      <c r="J96" s="0" t="s">
        <v>309</v>
      </c>
      <c r="K96" s="0" t="s">
        <v>66</v>
      </c>
    </row>
    <row r="97" customFormat="false" ht="15" hidden="false" customHeight="false" outlineLevel="0" collapsed="false">
      <c r="A97" s="0" t="s">
        <v>316</v>
      </c>
      <c r="B97" s="0" t="s">
        <v>317</v>
      </c>
      <c r="C97" s="0" t="n">
        <v>5.462</v>
      </c>
      <c r="D97" s="0" t="n">
        <v>5.052</v>
      </c>
      <c r="E97" s="0" t="n">
        <v>1</v>
      </c>
      <c r="F97" s="0" t="s">
        <v>98</v>
      </c>
      <c r="G97" s="0" t="n">
        <v>16</v>
      </c>
      <c r="H97" s="0" t="n">
        <v>8.19</v>
      </c>
      <c r="I97" s="0" t="s">
        <v>318</v>
      </c>
      <c r="J97" s="0" t="s">
        <v>309</v>
      </c>
      <c r="K97" s="0" t="s">
        <v>66</v>
      </c>
    </row>
    <row r="98" customFormat="false" ht="15" hidden="false" customHeight="false" outlineLevel="0" collapsed="false">
      <c r="A98" s="0" t="s">
        <v>319</v>
      </c>
      <c r="B98" s="0" t="s">
        <v>320</v>
      </c>
      <c r="C98" s="0" t="n">
        <v>12.563</v>
      </c>
      <c r="D98" s="0" t="n">
        <v>4.983</v>
      </c>
      <c r="E98" s="0" t="n">
        <v>1</v>
      </c>
      <c r="F98" s="0" t="s">
        <v>63</v>
      </c>
      <c r="G98" s="0" t="n">
        <v>16</v>
      </c>
      <c r="H98" s="0" t="n">
        <v>86.37</v>
      </c>
      <c r="I98" s="0" t="s">
        <v>321</v>
      </c>
      <c r="J98" s="0" t="s">
        <v>322</v>
      </c>
      <c r="K98" s="0" t="s">
        <v>104</v>
      </c>
    </row>
    <row r="99" customFormat="false" ht="15" hidden="false" customHeight="false" outlineLevel="0" collapsed="false">
      <c r="A99" s="0" t="s">
        <v>323</v>
      </c>
      <c r="B99" s="0" t="s">
        <v>324</v>
      </c>
      <c r="C99" s="0" t="n">
        <v>26.25</v>
      </c>
      <c r="D99" s="0" t="n">
        <v>4.525</v>
      </c>
      <c r="E99" s="0" t="n">
        <v>1</v>
      </c>
      <c r="F99" s="0" t="s">
        <v>63</v>
      </c>
      <c r="G99" s="0" t="n">
        <v>16</v>
      </c>
      <c r="H99" s="0" t="n">
        <v>180.47</v>
      </c>
      <c r="I99" s="0" t="s">
        <v>325</v>
      </c>
      <c r="J99" s="0" t="s">
        <v>322</v>
      </c>
      <c r="K99" s="0" t="s">
        <v>104</v>
      </c>
    </row>
    <row r="100" customFormat="false" ht="15" hidden="false" customHeight="false" outlineLevel="0" collapsed="false">
      <c r="A100" s="0" t="s">
        <v>326</v>
      </c>
      <c r="B100" s="0" t="s">
        <v>327</v>
      </c>
      <c r="C100" s="0" t="n">
        <v>6.5</v>
      </c>
      <c r="D100" s="0" t="n">
        <v>4.983</v>
      </c>
      <c r="E100" s="0" t="n">
        <v>1</v>
      </c>
      <c r="F100" s="0" t="s">
        <v>63</v>
      </c>
      <c r="G100" s="0" t="n">
        <v>16</v>
      </c>
      <c r="H100" s="0" t="n">
        <v>44.69</v>
      </c>
      <c r="I100" s="0" t="s">
        <v>321</v>
      </c>
      <c r="J100" s="0" t="s">
        <v>322</v>
      </c>
      <c r="K100" s="0" t="s">
        <v>104</v>
      </c>
    </row>
    <row r="101" customFormat="false" ht="15" hidden="false" customHeight="false" outlineLevel="0" collapsed="false">
      <c r="A101" s="0" t="s">
        <v>328</v>
      </c>
      <c r="B101" s="0" t="s">
        <v>329</v>
      </c>
      <c r="C101" s="0" t="n">
        <v>15.667</v>
      </c>
      <c r="D101" s="0" t="n">
        <v>5.375</v>
      </c>
      <c r="E101" s="0" t="n">
        <v>0</v>
      </c>
      <c r="F101" s="0" t="s">
        <v>98</v>
      </c>
      <c r="G101" s="0" t="n">
        <v>16</v>
      </c>
      <c r="H101" s="0" t="n">
        <v>0</v>
      </c>
      <c r="I101" s="0" t="s">
        <v>329</v>
      </c>
      <c r="J101" s="0" t="s">
        <v>330</v>
      </c>
      <c r="K101" s="0" t="s">
        <v>104</v>
      </c>
    </row>
    <row r="102" customFormat="false" ht="15" hidden="false" customHeight="false" outlineLevel="0" collapsed="false">
      <c r="A102" s="0" t="s">
        <v>331</v>
      </c>
      <c r="B102" s="0" t="s">
        <v>332</v>
      </c>
      <c r="C102" s="0" t="n">
        <v>6.417</v>
      </c>
      <c r="D102" s="0" t="n">
        <v>4.383</v>
      </c>
      <c r="E102" s="0" t="n">
        <v>0</v>
      </c>
      <c r="F102" s="0" t="s">
        <v>98</v>
      </c>
      <c r="G102" s="0" t="n">
        <v>16</v>
      </c>
      <c r="H102" s="0" t="n">
        <v>0</v>
      </c>
      <c r="I102" s="0" t="s">
        <v>332</v>
      </c>
      <c r="J102" s="0" t="s">
        <v>333</v>
      </c>
      <c r="K102" s="0" t="s">
        <v>104</v>
      </c>
    </row>
    <row r="103" customFormat="false" ht="15" hidden="false" customHeight="false" outlineLevel="0" collapsed="false">
      <c r="A103" s="0" t="s">
        <v>334</v>
      </c>
      <c r="B103" s="0" t="s">
        <v>335</v>
      </c>
      <c r="C103" s="0" t="n">
        <v>51.733</v>
      </c>
      <c r="D103" s="0" t="n">
        <v>3.112</v>
      </c>
      <c r="E103" s="0" t="n">
        <v>0</v>
      </c>
      <c r="F103" s="0" t="s">
        <v>98</v>
      </c>
      <c r="G103" s="0" t="n">
        <v>16</v>
      </c>
      <c r="H103" s="0" t="n">
        <v>0</v>
      </c>
      <c r="I103" s="0" t="s">
        <v>335</v>
      </c>
      <c r="J103" s="0" t="s">
        <v>336</v>
      </c>
      <c r="K103" s="0" t="s">
        <v>66</v>
      </c>
    </row>
    <row r="104" customFormat="false" ht="15" hidden="false" customHeight="false" outlineLevel="0" collapsed="false">
      <c r="A104" s="0" t="s">
        <v>337</v>
      </c>
      <c r="B104" s="0" t="s">
        <v>338</v>
      </c>
      <c r="C104" s="0" t="n">
        <v>51.733</v>
      </c>
      <c r="D104" s="0" t="n">
        <v>3.46</v>
      </c>
      <c r="E104" s="0" t="n">
        <v>1</v>
      </c>
      <c r="F104" s="0" t="s">
        <v>98</v>
      </c>
      <c r="G104" s="0" t="n">
        <v>16</v>
      </c>
      <c r="H104" s="0" t="n">
        <v>179</v>
      </c>
      <c r="I104" s="0" t="s">
        <v>339</v>
      </c>
      <c r="J104" s="0" t="s">
        <v>336</v>
      </c>
      <c r="K104" s="0" t="s">
        <v>66</v>
      </c>
    </row>
    <row r="105" customFormat="false" ht="15" hidden="false" customHeight="false" outlineLevel="0" collapsed="false">
      <c r="A105" s="0" t="s">
        <v>340</v>
      </c>
      <c r="B105" s="0" t="s">
        <v>341</v>
      </c>
      <c r="C105" s="0" t="n">
        <v>51.733</v>
      </c>
      <c r="D105" s="0" t="n">
        <v>1.131</v>
      </c>
      <c r="E105" s="0" t="n">
        <v>2</v>
      </c>
      <c r="F105" s="0" t="s">
        <v>98</v>
      </c>
      <c r="G105" s="0" t="n">
        <v>16</v>
      </c>
      <c r="H105" s="0" t="n">
        <v>124.21</v>
      </c>
      <c r="I105" s="0" t="s">
        <v>342</v>
      </c>
      <c r="J105" s="0" t="s">
        <v>336</v>
      </c>
      <c r="K105" s="0" t="s">
        <v>66</v>
      </c>
    </row>
    <row r="106" customFormat="false" ht="15" hidden="false" customHeight="false" outlineLevel="0" collapsed="false">
      <c r="A106" s="0" t="s">
        <v>343</v>
      </c>
      <c r="B106" s="0" t="s">
        <v>344</v>
      </c>
      <c r="C106" s="0" t="n">
        <v>93.563</v>
      </c>
      <c r="D106" s="0" t="n">
        <v>1.864</v>
      </c>
      <c r="E106" s="0" t="n">
        <v>0</v>
      </c>
      <c r="F106" s="0" t="s">
        <v>345</v>
      </c>
      <c r="G106" s="0" t="n">
        <v>16</v>
      </c>
      <c r="H106" s="0" t="n">
        <v>0</v>
      </c>
      <c r="I106" s="0" t="s">
        <v>344</v>
      </c>
      <c r="J106" s="0" t="s">
        <v>346</v>
      </c>
      <c r="K106" s="0" t="s">
        <v>66</v>
      </c>
    </row>
    <row r="107" customFormat="false" ht="15" hidden="false" customHeight="false" outlineLevel="0" collapsed="false">
      <c r="A107" s="0" t="s">
        <v>347</v>
      </c>
      <c r="B107" s="0" t="s">
        <v>348</v>
      </c>
      <c r="C107" s="0" t="n">
        <v>57.539</v>
      </c>
      <c r="D107" s="0" t="n">
        <v>1.864</v>
      </c>
      <c r="E107" s="0" t="n">
        <v>0</v>
      </c>
      <c r="F107" s="0" t="s">
        <v>345</v>
      </c>
      <c r="G107" s="0" t="n">
        <v>16</v>
      </c>
      <c r="H107" s="0" t="n">
        <v>0</v>
      </c>
      <c r="I107" s="0" t="s">
        <v>348</v>
      </c>
      <c r="J107" s="0" t="s">
        <v>349</v>
      </c>
      <c r="K107" s="0" t="s">
        <v>66</v>
      </c>
    </row>
    <row r="108" customFormat="false" ht="15" hidden="false" customHeight="false" outlineLevel="0" collapsed="false">
      <c r="A108" s="0" t="s">
        <v>350</v>
      </c>
      <c r="B108" s="0" t="s">
        <v>351</v>
      </c>
      <c r="C108" s="0" t="n">
        <v>56.464</v>
      </c>
      <c r="D108" s="0" t="n">
        <v>1.864</v>
      </c>
      <c r="E108" s="0" t="n">
        <v>0</v>
      </c>
      <c r="F108" s="0" t="s">
        <v>345</v>
      </c>
      <c r="G108" s="0" t="n">
        <v>16</v>
      </c>
      <c r="H108" s="0" t="n">
        <v>0</v>
      </c>
      <c r="I108" s="0" t="s">
        <v>351</v>
      </c>
      <c r="J108" s="0" t="s">
        <v>352</v>
      </c>
      <c r="K108" s="0" t="s">
        <v>66</v>
      </c>
    </row>
    <row r="109" customFormat="false" ht="15" hidden="false" customHeight="false" outlineLevel="0" collapsed="false">
      <c r="A109" s="0" t="s">
        <v>353</v>
      </c>
      <c r="B109" s="0" t="s">
        <v>354</v>
      </c>
      <c r="C109" s="0" t="n">
        <v>26.873</v>
      </c>
      <c r="D109" s="0" t="n">
        <v>1.864</v>
      </c>
      <c r="E109" s="0" t="n">
        <v>0</v>
      </c>
      <c r="F109" s="0" t="s">
        <v>345</v>
      </c>
      <c r="G109" s="0" t="n">
        <v>16</v>
      </c>
      <c r="H109" s="0" t="n">
        <v>0</v>
      </c>
      <c r="I109" s="0" t="s">
        <v>354</v>
      </c>
      <c r="J109" s="0" t="s">
        <v>352</v>
      </c>
      <c r="K109" s="0" t="s">
        <v>66</v>
      </c>
    </row>
    <row r="110" customFormat="false" ht="15" hidden="false" customHeight="false" outlineLevel="0" collapsed="false">
      <c r="A110" s="0" t="s">
        <v>355</v>
      </c>
      <c r="B110" s="0" t="s">
        <v>356</v>
      </c>
      <c r="C110" s="0" t="n">
        <v>13.333</v>
      </c>
      <c r="D110" s="0" t="n">
        <v>2</v>
      </c>
      <c r="E110" s="0" t="n">
        <v>2</v>
      </c>
      <c r="F110" s="0" t="s">
        <v>357</v>
      </c>
      <c r="G110" s="0" t="n">
        <v>16</v>
      </c>
      <c r="H110" s="0" t="n">
        <v>33.34</v>
      </c>
      <c r="I110" s="0" t="s">
        <v>358</v>
      </c>
      <c r="J110" s="0" t="s">
        <v>359</v>
      </c>
      <c r="K110" s="0" t="s">
        <v>66</v>
      </c>
    </row>
    <row r="111" customFormat="false" ht="15" hidden="false" customHeight="false" outlineLevel="0" collapsed="false">
      <c r="A111" s="0" t="s">
        <v>360</v>
      </c>
      <c r="B111" s="0" t="s">
        <v>361</v>
      </c>
      <c r="C111" s="0" t="n">
        <v>5.093</v>
      </c>
      <c r="D111" s="0" t="n">
        <v>6.375</v>
      </c>
      <c r="E111" s="0" t="n">
        <v>1</v>
      </c>
      <c r="F111" s="0" t="s">
        <v>98</v>
      </c>
      <c r="G111" s="0" t="n">
        <v>16</v>
      </c>
      <c r="H111" s="0" t="n">
        <v>15.28</v>
      </c>
      <c r="I111" s="0" t="s">
        <v>362</v>
      </c>
      <c r="J111" s="0" t="s">
        <v>299</v>
      </c>
      <c r="K111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363</v>
      </c>
    </row>
    <row r="2" customFormat="false" ht="15" hidden="false" customHeight="false" outlineLevel="0" collapsed="false">
      <c r="A2" s="0" t="s">
        <v>364</v>
      </c>
    </row>
    <row r="3" customFormat="false" ht="15" hidden="false" customHeight="false" outlineLevel="0" collapsed="false">
      <c r="A3" s="2" t="s">
        <v>365</v>
      </c>
      <c r="B3" s="2" t="s">
        <v>366</v>
      </c>
      <c r="C3" s="2" t="s">
        <v>367</v>
      </c>
      <c r="D3" s="2" t="s">
        <v>368</v>
      </c>
      <c r="E3" s="2" t="s">
        <v>369</v>
      </c>
      <c r="F3" s="2" t="s">
        <v>370</v>
      </c>
      <c r="G3" s="2" t="s">
        <v>371</v>
      </c>
      <c r="H3" s="2" t="s">
        <v>372</v>
      </c>
      <c r="I3" s="2" t="s">
        <v>373</v>
      </c>
      <c r="J3" s="2" t="s">
        <v>374</v>
      </c>
    </row>
    <row r="4" customFormat="false" ht="15" hidden="false" customHeight="false" outlineLevel="0" collapsed="false">
      <c r="A4" s="0" t="s">
        <v>375</v>
      </c>
      <c r="B4" s="0" t="s">
        <v>376</v>
      </c>
      <c r="C4" s="0" t="n">
        <v>4566.7</v>
      </c>
      <c r="D4" s="0" t="n">
        <f aca="false">Inputs!$B$5</f>
        <v>0.15</v>
      </c>
      <c r="E4" s="0" t="n">
        <f aca="false">C4*D4</f>
        <v>685.005</v>
      </c>
      <c r="F4" s="0" t="n">
        <f aca="false">C4+E4</f>
        <v>5251.705</v>
      </c>
      <c r="G4" s="0" t="s">
        <v>377</v>
      </c>
      <c r="H4" s="0" t="n">
        <f aca="false">ROUNDUP(F4/Inputs!$B$10,0)</f>
        <v>263</v>
      </c>
      <c r="I4" s="0" t="s">
        <v>378</v>
      </c>
    </row>
    <row r="5" customFormat="false" ht="15" hidden="false" customHeight="false" outlineLevel="0" collapsed="false">
      <c r="A5" s="0" t="s">
        <v>379</v>
      </c>
      <c r="B5" s="0" t="s">
        <v>376</v>
      </c>
      <c r="C5" s="0" t="n">
        <v>6902.94</v>
      </c>
      <c r="D5" s="0" t="n">
        <f aca="false">Inputs!$B$5</f>
        <v>0.15</v>
      </c>
      <c r="E5" s="0" t="n">
        <f aca="false">C5*D5</f>
        <v>1035.441</v>
      </c>
      <c r="F5" s="0" t="n">
        <f aca="false">C5+E5</f>
        <v>7938.381</v>
      </c>
      <c r="G5" s="0" t="s">
        <v>377</v>
      </c>
      <c r="H5" s="0" t="n">
        <f aca="false">ROUNDUP(F5/Inputs!$B$10,0)</f>
        <v>397</v>
      </c>
      <c r="I5" s="0" t="s">
        <v>380</v>
      </c>
    </row>
    <row r="6" customFormat="false" ht="15" hidden="false" customHeight="false" outlineLevel="0" collapsed="false">
      <c r="A6" s="0" t="s">
        <v>381</v>
      </c>
      <c r="B6" s="0" t="s">
        <v>376</v>
      </c>
      <c r="C6" s="0" t="n">
        <v>3599.24</v>
      </c>
      <c r="D6" s="0" t="n">
        <f aca="false">Inputs!$B$5</f>
        <v>0.15</v>
      </c>
      <c r="E6" s="0" t="n">
        <f aca="false">C6*D6</f>
        <v>539.886</v>
      </c>
      <c r="F6" s="0" t="n">
        <f aca="false">C6+E6</f>
        <v>4139.126</v>
      </c>
      <c r="G6" s="0" t="s">
        <v>377</v>
      </c>
      <c r="H6" s="0" t="n">
        <f aca="false">ROUNDUP(F6/Inputs!$B$10,0)</f>
        <v>207</v>
      </c>
      <c r="I6" s="0" t="s">
        <v>382</v>
      </c>
    </row>
    <row r="7" customFormat="false" ht="15" hidden="false" customHeight="false" outlineLevel="0" collapsed="false">
      <c r="A7" s="0" t="s">
        <v>383</v>
      </c>
      <c r="B7" s="0" t="s">
        <v>376</v>
      </c>
      <c r="C7" s="0" t="n">
        <v>1000.79</v>
      </c>
      <c r="D7" s="0" t="n">
        <f aca="false">Inputs!$B$5</f>
        <v>0.15</v>
      </c>
      <c r="E7" s="0" t="n">
        <f aca="false">C7*D7</f>
        <v>150.1185</v>
      </c>
      <c r="F7" s="0" t="n">
        <f aca="false">C7+E7</f>
        <v>1150.9085</v>
      </c>
      <c r="G7" s="0" t="s">
        <v>377</v>
      </c>
      <c r="H7" s="0" t="n">
        <f aca="false">ROUNDUP(F7/Inputs!$B$10,0)</f>
        <v>58</v>
      </c>
      <c r="I7" s="0" t="s">
        <v>384</v>
      </c>
    </row>
    <row r="8" customFormat="false" ht="15" hidden="false" customHeight="false" outlineLevel="0" collapsed="false">
      <c r="A8" s="0" t="s">
        <v>385</v>
      </c>
      <c r="B8" s="0" t="s">
        <v>376</v>
      </c>
      <c r="C8" s="0" t="n">
        <v>1240.29</v>
      </c>
      <c r="D8" s="0" t="n">
        <f aca="false">Inputs!$B$5</f>
        <v>0.15</v>
      </c>
      <c r="E8" s="0" t="n">
        <f aca="false">C8*D8</f>
        <v>186.0435</v>
      </c>
      <c r="F8" s="0" t="n">
        <f aca="false">C8+E8</f>
        <v>1426.3335</v>
      </c>
      <c r="G8" s="0" t="s">
        <v>386</v>
      </c>
      <c r="H8" s="0" t="n">
        <f aca="false">ROUNDUP(F8/Inputs!$B$11,0)</f>
        <v>143</v>
      </c>
      <c r="I8" s="0" t="s">
        <v>387</v>
      </c>
    </row>
    <row r="9" customFormat="false" ht="15" hidden="false" customHeight="false" outlineLevel="0" collapsed="false">
      <c r="A9" s="0" t="s">
        <v>388</v>
      </c>
      <c r="B9" s="0" t="s">
        <v>376</v>
      </c>
      <c r="C9" s="0" t="n">
        <v>185.65</v>
      </c>
      <c r="D9" s="0" t="n">
        <f aca="false">Inputs!$B$5</f>
        <v>0.15</v>
      </c>
      <c r="E9" s="0" t="n">
        <f aca="false">C9*D9</f>
        <v>27.8475</v>
      </c>
      <c r="F9" s="0" t="n">
        <f aca="false">C9+E9</f>
        <v>213.4975</v>
      </c>
      <c r="G9" s="0" t="s">
        <v>386</v>
      </c>
      <c r="H9" s="0" t="n">
        <f aca="false">ROUNDUP(F9/Inputs!$B$11,0)</f>
        <v>22</v>
      </c>
      <c r="I9" s="0" t="s">
        <v>389</v>
      </c>
    </row>
    <row r="10" customFormat="false" ht="15" hidden="false" customHeight="false" outlineLevel="0" collapsed="false">
      <c r="A10" s="0" t="s">
        <v>390</v>
      </c>
      <c r="B10" s="0" t="s">
        <v>376</v>
      </c>
      <c r="C10" s="0" t="n">
        <v>817.95</v>
      </c>
      <c r="D10" s="0" t="n">
        <f aca="false">Inputs!$B$5</f>
        <v>0.15</v>
      </c>
      <c r="E10" s="0" t="n">
        <f aca="false">C10*D10</f>
        <v>122.6925</v>
      </c>
      <c r="F10" s="0" t="n">
        <f aca="false">C10+E10</f>
        <v>940.6425</v>
      </c>
      <c r="G10" s="0" t="s">
        <v>377</v>
      </c>
      <c r="H10" s="0" t="n">
        <f aca="false">ROUNDUP(F10/Inputs!$B$10,0)</f>
        <v>48</v>
      </c>
      <c r="I10" s="0" t="s">
        <v>391</v>
      </c>
    </row>
    <row r="11" customFormat="false" ht="15" hidden="false" customHeight="false" outlineLevel="0" collapsed="false">
      <c r="A11" s="0" t="s">
        <v>392</v>
      </c>
      <c r="B11" s="0" t="s">
        <v>376</v>
      </c>
      <c r="C11" s="0" t="n">
        <v>119.12</v>
      </c>
      <c r="D11" s="0" t="n">
        <f aca="false">Inputs!$B$5</f>
        <v>0.15</v>
      </c>
      <c r="E11" s="0" t="n">
        <f aca="false">C11*D11</f>
        <v>17.868</v>
      </c>
      <c r="F11" s="0" t="n">
        <f aca="false">C11+E11</f>
        <v>136.988</v>
      </c>
      <c r="G11" s="0" t="s">
        <v>386</v>
      </c>
      <c r="H11" s="0" t="n">
        <f aca="false">ROUNDUP(F11/Inputs!$B$11,0)</f>
        <v>14</v>
      </c>
      <c r="I11" s="0" t="s">
        <v>393</v>
      </c>
    </row>
    <row r="12" customFormat="false" ht="15" hidden="false" customHeight="false" outlineLevel="0" collapsed="false">
      <c r="A12" s="0" t="s">
        <v>394</v>
      </c>
      <c r="B12" s="0" t="s">
        <v>376</v>
      </c>
      <c r="C12" s="0" t="n">
        <v>2455.14</v>
      </c>
      <c r="D12" s="0" t="n">
        <f aca="false">Inputs!$B$5</f>
        <v>0.15</v>
      </c>
      <c r="E12" s="0" t="n">
        <f aca="false">C12*D12</f>
        <v>368.271</v>
      </c>
      <c r="F12" s="0" t="n">
        <f aca="false">C12+E12</f>
        <v>2823.411</v>
      </c>
      <c r="G12" s="0" t="s">
        <v>395</v>
      </c>
      <c r="H12" s="0" t="n">
        <f aca="false">ROUNDUP(F12/Inputs!$B$16,0)</f>
        <v>177</v>
      </c>
      <c r="I12" s="0" t="s">
        <v>396</v>
      </c>
    </row>
    <row r="13" customFormat="false" ht="15" hidden="false" customHeight="false" outlineLevel="0" collapsed="false">
      <c r="A13" s="0" t="s">
        <v>397</v>
      </c>
      <c r="B13" s="0" t="s">
        <v>376</v>
      </c>
      <c r="C13" s="0" t="n">
        <v>805.84</v>
      </c>
      <c r="D13" s="0" t="n">
        <f aca="false">Inputs!$B$5</f>
        <v>0.15</v>
      </c>
      <c r="E13" s="0" t="n">
        <f aca="false">C13*D13</f>
        <v>120.876</v>
      </c>
      <c r="F13" s="0" t="n">
        <f aca="false">C13+E13</f>
        <v>926.716</v>
      </c>
      <c r="G13" s="0" t="s">
        <v>398</v>
      </c>
      <c r="H13" s="0" t="n">
        <f aca="false">ROUNDUP(F13/Inputs!$B$17,0)</f>
        <v>78</v>
      </c>
      <c r="I13" s="0" t="s">
        <v>399</v>
      </c>
    </row>
    <row r="14" customFormat="false" ht="15" hidden="false" customHeight="false" outlineLevel="0" collapsed="false">
      <c r="A14" s="0" t="s">
        <v>400</v>
      </c>
      <c r="B14" s="0" t="s">
        <v>376</v>
      </c>
      <c r="C14" s="0" t="n">
        <v>316.54</v>
      </c>
      <c r="D14" s="0" t="n">
        <f aca="false">Inputs!$B$5</f>
        <v>0.15</v>
      </c>
      <c r="E14" s="0" t="n">
        <f aca="false">C14*D14</f>
        <v>47.481</v>
      </c>
      <c r="F14" s="0" t="n">
        <f aca="false">C14+E14</f>
        <v>364.021</v>
      </c>
      <c r="G14" s="0" t="s">
        <v>395</v>
      </c>
      <c r="H14" s="0" t="n">
        <f aca="false">ROUNDUP(F14/Inputs!$B$16,0)</f>
        <v>23</v>
      </c>
      <c r="I14" s="0" t="s">
        <v>401</v>
      </c>
    </row>
    <row r="15" customFormat="false" ht="15" hidden="false" customHeight="false" outlineLevel="0" collapsed="false">
      <c r="A15" s="0" t="s">
        <v>402</v>
      </c>
      <c r="B15" s="0" t="s">
        <v>376</v>
      </c>
      <c r="C15" s="0" t="n">
        <v>533.62</v>
      </c>
      <c r="D15" s="0" t="n">
        <f aca="false">Inputs!$B$5</f>
        <v>0.15</v>
      </c>
      <c r="E15" s="0" t="n">
        <f aca="false">C15*D15</f>
        <v>80.043</v>
      </c>
      <c r="F15" s="0" t="n">
        <f aca="false">C15+E15</f>
        <v>613.663</v>
      </c>
      <c r="G15" s="0" t="s">
        <v>33</v>
      </c>
      <c r="H15" s="0" t="n">
        <f aca="false">ROUNDUP(F15,0)</f>
        <v>614</v>
      </c>
      <c r="I15" s="0" t="s">
        <v>403</v>
      </c>
    </row>
    <row r="16" customFormat="false" ht="15" hidden="false" customHeight="false" outlineLevel="0" collapsed="false">
      <c r="A16" s="0" t="s">
        <v>404</v>
      </c>
      <c r="B16" s="0" t="s">
        <v>405</v>
      </c>
      <c r="C16" s="0" t="n">
        <v>16975.46</v>
      </c>
      <c r="D16" s="0" t="n">
        <f aca="false">Inputs!$B$6</f>
        <v>0.06</v>
      </c>
      <c r="E16" s="0" t="n">
        <f aca="false">C16*D16</f>
        <v>1018.5276</v>
      </c>
      <c r="F16" s="0" t="n">
        <f aca="false">C16+E16</f>
        <v>17993.9876</v>
      </c>
      <c r="G16" s="0" t="s">
        <v>406</v>
      </c>
      <c r="H16" s="0" t="n">
        <f aca="false">ROUNDUP(F16/Inputs!$B$9,0)</f>
        <v>375</v>
      </c>
      <c r="I16" s="0" t="s">
        <v>407</v>
      </c>
    </row>
    <row r="17" customFormat="false" ht="15" hidden="false" customHeight="false" outlineLevel="0" collapsed="false">
      <c r="A17" s="0" t="s">
        <v>408</v>
      </c>
      <c r="B17" s="0" t="s">
        <v>405</v>
      </c>
      <c r="C17" s="0" t="n">
        <v>261.74</v>
      </c>
      <c r="D17" s="0" t="n">
        <f aca="false">Inputs!$B$6</f>
        <v>0.06</v>
      </c>
      <c r="E17" s="0" t="n">
        <f aca="false">C17*D17</f>
        <v>15.7044</v>
      </c>
      <c r="F17" s="0" t="n">
        <f aca="false">C17+E17</f>
        <v>277.4444</v>
      </c>
      <c r="G17" s="0" t="s">
        <v>406</v>
      </c>
      <c r="H17" s="0" t="n">
        <f aca="false">ROUNDUP(F17/Inputs!$B$9,0)</f>
        <v>6</v>
      </c>
      <c r="I17" s="0" t="s">
        <v>409</v>
      </c>
    </row>
    <row r="18" customFormat="false" ht="15" hidden="false" customHeight="false" outlineLevel="0" collapsed="false">
      <c r="A18" s="0" t="s">
        <v>410</v>
      </c>
      <c r="B18" s="0" t="s">
        <v>405</v>
      </c>
      <c r="C18" s="0" t="n">
        <v>91.19</v>
      </c>
      <c r="D18" s="0" t="n">
        <f aca="false">Inputs!$B$6</f>
        <v>0.06</v>
      </c>
      <c r="E18" s="0" t="n">
        <f aca="false">C18*D18</f>
        <v>5.4714</v>
      </c>
      <c r="F18" s="0" t="n">
        <f aca="false">C18+E18</f>
        <v>96.6614</v>
      </c>
      <c r="G18" s="0" t="s">
        <v>411</v>
      </c>
      <c r="H18" s="0" t="n">
        <f aca="false">ROUNDUP(F18/32,0)</f>
        <v>4</v>
      </c>
      <c r="I18" s="0" t="s">
        <v>412</v>
      </c>
    </row>
    <row r="19" customFormat="false" ht="15" hidden="false" customHeight="false" outlineLevel="0" collapsed="false">
      <c r="A19" s="0" t="s">
        <v>413</v>
      </c>
      <c r="B19" s="0" t="s">
        <v>405</v>
      </c>
      <c r="C19" s="0" t="n">
        <v>70.16</v>
      </c>
      <c r="D19" s="0" t="n">
        <f aca="false">Inputs!$B$6</f>
        <v>0.06</v>
      </c>
      <c r="E19" s="0" t="n">
        <f aca="false">C19*D19</f>
        <v>4.2096</v>
      </c>
      <c r="F19" s="0" t="n">
        <f aca="false">C19+E19</f>
        <v>74.3696</v>
      </c>
      <c r="G19" s="0" t="s">
        <v>411</v>
      </c>
      <c r="H19" s="0" t="n">
        <f aca="false">ROUNDUP(F19/32,0)</f>
        <v>3</v>
      </c>
      <c r="I19" s="0" t="s">
        <v>414</v>
      </c>
    </row>
    <row r="20" customFormat="false" ht="15" hidden="false" customHeight="false" outlineLevel="0" collapsed="false">
      <c r="A20" s="0" t="s">
        <v>415</v>
      </c>
      <c r="B20" s="0" t="s">
        <v>405</v>
      </c>
      <c r="C20" s="0" t="n">
        <v>454.93</v>
      </c>
      <c r="D20" s="0" t="n">
        <f aca="false">Inputs!$B$6</f>
        <v>0.06</v>
      </c>
      <c r="E20" s="0" t="n">
        <f aca="false">C20*D20</f>
        <v>27.2958</v>
      </c>
      <c r="F20" s="0" t="n">
        <f aca="false">C20+E20</f>
        <v>482.2258</v>
      </c>
      <c r="G20" s="0" t="s">
        <v>411</v>
      </c>
      <c r="H20" s="0" t="n">
        <f aca="false">ROUNDUP(F20/32,0)</f>
        <v>16</v>
      </c>
      <c r="I20" s="0" t="s">
        <v>416</v>
      </c>
    </row>
    <row r="21" customFormat="false" ht="15" hidden="false" customHeight="false" outlineLevel="0" collapsed="false">
      <c r="A21" s="0" t="s">
        <v>417</v>
      </c>
      <c r="B21" s="0" t="s">
        <v>405</v>
      </c>
      <c r="C21" s="0" t="n">
        <v>948.85</v>
      </c>
      <c r="D21" s="0" t="n">
        <f aca="false">Inputs!$B$6</f>
        <v>0.06</v>
      </c>
      <c r="E21" s="0" t="n">
        <f aca="false">C21*D21</f>
        <v>56.931</v>
      </c>
      <c r="F21" s="0" t="n">
        <f aca="false">C21+E21</f>
        <v>1005.781</v>
      </c>
      <c r="G21" s="0" t="s">
        <v>411</v>
      </c>
      <c r="H21" s="0" t="n">
        <f aca="false">ROUNDUP(F21/32,0)</f>
        <v>32</v>
      </c>
      <c r="I21" s="0" t="s">
        <v>418</v>
      </c>
    </row>
    <row r="22" customFormat="false" ht="15" hidden="false" customHeight="false" outlineLevel="0" collapsed="false">
      <c r="A22" s="0" t="s">
        <v>419</v>
      </c>
      <c r="B22" s="0" t="s">
        <v>376</v>
      </c>
      <c r="C22" s="0" t="n">
        <v>941.46</v>
      </c>
      <c r="D22" s="0" t="n">
        <f aca="false">Inputs!$B$6</f>
        <v>0.06</v>
      </c>
      <c r="E22" s="0" t="n">
        <f aca="false">C22*D22</f>
        <v>56.4876</v>
      </c>
      <c r="F22" s="0" t="n">
        <f aca="false">C22+E22</f>
        <v>997.9476</v>
      </c>
      <c r="G22" s="0" t="s">
        <v>420</v>
      </c>
      <c r="H22" s="0" t="n">
        <f aca="false">ROUNDUP(F22/8,0)</f>
        <v>125</v>
      </c>
      <c r="I22" s="0" t="s">
        <v>421</v>
      </c>
    </row>
    <row r="23" customFormat="false" ht="15" hidden="false" customHeight="false" outlineLevel="0" collapsed="false">
      <c r="A23" s="0" t="s">
        <v>422</v>
      </c>
      <c r="B23" s="0" t="s">
        <v>376</v>
      </c>
      <c r="C23" s="0" t="n">
        <v>629</v>
      </c>
      <c r="D23" s="0" t="n">
        <f aca="false">Inputs!$B$5</f>
        <v>0.15</v>
      </c>
      <c r="E23" s="0" t="n">
        <f aca="false">C23*D23</f>
        <v>94.35</v>
      </c>
      <c r="F23" s="0" t="n">
        <f aca="false">C23+E23</f>
        <v>723.35</v>
      </c>
      <c r="G23" s="0" t="s">
        <v>377</v>
      </c>
      <c r="H23" s="0" t="n">
        <f aca="false">ROUNDUP(F23/Inputs!$B$10,0)</f>
        <v>37</v>
      </c>
      <c r="I23" s="0" t="s">
        <v>423</v>
      </c>
    </row>
    <row r="24" customFormat="false" ht="15" hidden="false" customHeight="false" outlineLevel="0" collapsed="false">
      <c r="A24" s="0" t="s">
        <v>424</v>
      </c>
      <c r="B24" s="0" t="s">
        <v>376</v>
      </c>
      <c r="C24" s="0" t="n">
        <v>984.9</v>
      </c>
      <c r="D24" s="0" t="n">
        <f aca="false">Inputs!$B$5</f>
        <v>0.15</v>
      </c>
      <c r="E24" s="0" t="n">
        <f aca="false">C24*D24</f>
        <v>147.735</v>
      </c>
      <c r="F24" s="0" t="n">
        <f aca="false">C24+E24</f>
        <v>1132.635</v>
      </c>
      <c r="G24" s="0" t="s">
        <v>425</v>
      </c>
      <c r="H24" s="0" t="n">
        <f aca="false">ROUNDUP(F24/Inputs!$B$18,0)</f>
        <v>114</v>
      </c>
      <c r="I24" s="0" t="s">
        <v>426</v>
      </c>
    </row>
    <row r="25" customFormat="false" ht="15" hidden="false" customHeight="false" outlineLevel="0" collapsed="false">
      <c r="A25" s="0" t="s">
        <v>427</v>
      </c>
      <c r="B25" s="0" t="s">
        <v>405</v>
      </c>
      <c r="C25" s="0" t="n">
        <v>33.9</v>
      </c>
      <c r="D25" s="0" t="n">
        <f aca="false">Inputs!$B$6</f>
        <v>0.06</v>
      </c>
      <c r="E25" s="0" t="n">
        <f aca="false">C25*D25</f>
        <v>2.034</v>
      </c>
      <c r="F25" s="0" t="n">
        <f aca="false">C25+E25</f>
        <v>35.934</v>
      </c>
      <c r="G25" s="0" t="s">
        <v>428</v>
      </c>
      <c r="H25" s="0" t="n">
        <f aca="false">ROUNDUP(F25/15,0)</f>
        <v>3</v>
      </c>
      <c r="I25" s="0" t="s">
        <v>429</v>
      </c>
    </row>
    <row r="26" customFormat="false" ht="15" hidden="false" customHeight="false" outlineLevel="0" collapsed="false">
      <c r="A26" s="0" t="s">
        <v>430</v>
      </c>
      <c r="B26" s="0" t="s">
        <v>405</v>
      </c>
      <c r="C26" s="0" t="n">
        <v>354.95</v>
      </c>
      <c r="D26" s="0" t="n">
        <f aca="false">Inputs!$B$6</f>
        <v>0.06</v>
      </c>
      <c r="E26" s="0" t="n">
        <f aca="false">C26*D26</f>
        <v>21.297</v>
      </c>
      <c r="F26" s="0" t="n">
        <f aca="false">C26+E26</f>
        <v>376.247</v>
      </c>
      <c r="G26" s="0" t="s">
        <v>411</v>
      </c>
      <c r="H26" s="0" t="n">
        <f aca="false">ROUNDUP(F26/32,0)</f>
        <v>12</v>
      </c>
      <c r="I26" s="0" t="s">
        <v>431</v>
      </c>
    </row>
    <row r="27" customFormat="false" ht="15" hidden="false" customHeight="false" outlineLevel="0" collapsed="false">
      <c r="A27" s="0" t="s">
        <v>432</v>
      </c>
      <c r="B27" s="0" t="s">
        <v>376</v>
      </c>
      <c r="C27" s="0" t="n">
        <v>1187.93</v>
      </c>
      <c r="D27" s="0" t="n">
        <f aca="false">Inputs!$B$6</f>
        <v>0.06</v>
      </c>
      <c r="E27" s="0" t="n">
        <f aca="false">C27*D27</f>
        <v>71.2758</v>
      </c>
      <c r="F27" s="0" t="n">
        <f aca="false">C27+E27</f>
        <v>1259.2058</v>
      </c>
      <c r="G27" s="0" t="s">
        <v>433</v>
      </c>
      <c r="H27" s="0" t="n">
        <f aca="false">ROUNDUP(F27/Inputs!$B$15,0)</f>
        <v>51</v>
      </c>
      <c r="I27" s="0" t="s">
        <v>434</v>
      </c>
    </row>
    <row r="28" customFormat="false" ht="15" hidden="false" customHeight="false" outlineLevel="0" collapsed="false">
      <c r="A28" s="0" t="s">
        <v>435</v>
      </c>
      <c r="B28" s="0" t="s">
        <v>376</v>
      </c>
      <c r="C28" s="0" t="n">
        <v>940.9</v>
      </c>
      <c r="D28" s="0" t="n">
        <f aca="false">Inputs!$B$5</f>
        <v>0.15</v>
      </c>
      <c r="E28" s="0" t="n">
        <f aca="false">C28*D28</f>
        <v>141.135</v>
      </c>
      <c r="F28" s="0" t="n">
        <f aca="false">C28+E28</f>
        <v>1082.035</v>
      </c>
      <c r="G28" s="0" t="s">
        <v>377</v>
      </c>
      <c r="H28" s="0" t="n">
        <f aca="false">ROUNDUP(F28/Inputs!$B$10,0)</f>
        <v>55</v>
      </c>
      <c r="I28" s="0" t="s">
        <v>436</v>
      </c>
    </row>
    <row r="29" customFormat="false" ht="15" hidden="false" customHeight="false" outlineLevel="0" collapsed="false">
      <c r="A29" s="0" t="s">
        <v>437</v>
      </c>
      <c r="B29" s="0" t="s">
        <v>376</v>
      </c>
      <c r="C29" s="0" t="n">
        <v>214.11</v>
      </c>
      <c r="D29" s="0" t="n">
        <f aca="false">Inputs!$B$5</f>
        <v>0.15</v>
      </c>
      <c r="E29" s="0" t="n">
        <f aca="false">C29*D29</f>
        <v>32.1165</v>
      </c>
      <c r="F29" s="0" t="n">
        <f aca="false">C29+E29</f>
        <v>246.2265</v>
      </c>
      <c r="G29" s="0" t="s">
        <v>386</v>
      </c>
      <c r="H29" s="0" t="n">
        <f aca="false">ROUNDUP(F29/Inputs!$B$11,0)</f>
        <v>25</v>
      </c>
      <c r="I29" s="0" t="s">
        <v>438</v>
      </c>
    </row>
    <row r="30" customFormat="false" ht="15" hidden="false" customHeight="false" outlineLevel="0" collapsed="false">
      <c r="A30" s="0" t="s">
        <v>439</v>
      </c>
      <c r="B30" s="0" t="s">
        <v>376</v>
      </c>
      <c r="C30" s="0" t="n">
        <v>6.49</v>
      </c>
      <c r="D30" s="0" t="n">
        <f aca="false">Inputs!$B$5</f>
        <v>0.15</v>
      </c>
      <c r="E30" s="0" t="n">
        <f aca="false">C30*D30</f>
        <v>0.9735</v>
      </c>
      <c r="F30" s="0" t="n">
        <f aca="false">C30+E30</f>
        <v>7.4635</v>
      </c>
      <c r="G30" s="0" t="s">
        <v>386</v>
      </c>
      <c r="H30" s="0" t="n">
        <f aca="false">ROUNDUP(F30/Inputs!$B$11,0)</f>
        <v>1</v>
      </c>
      <c r="I30" s="0" t="s">
        <v>438</v>
      </c>
    </row>
    <row r="31" customFormat="false" ht="15" hidden="false" customHeight="false" outlineLevel="0" collapsed="false">
      <c r="A31" s="0" t="s">
        <v>440</v>
      </c>
      <c r="B31" s="0" t="s">
        <v>376</v>
      </c>
      <c r="C31" s="0" t="n">
        <v>236.14</v>
      </c>
      <c r="D31" s="0" t="n">
        <f aca="false">Inputs!$B$5</f>
        <v>0.15</v>
      </c>
      <c r="E31" s="0" t="n">
        <f aca="false">C31*D31</f>
        <v>35.421</v>
      </c>
      <c r="F31" s="0" t="n">
        <f aca="false">C31+E31</f>
        <v>271.561</v>
      </c>
      <c r="G31" s="0" t="s">
        <v>386</v>
      </c>
      <c r="H31" s="0" t="n">
        <f aca="false">ROUNDUP(F31/Inputs!$B$11,0)</f>
        <v>28</v>
      </c>
      <c r="I31" s="0" t="s">
        <v>438</v>
      </c>
    </row>
    <row r="32" customFormat="false" ht="15" hidden="false" customHeight="false" outlineLevel="0" collapsed="false">
      <c r="A32" s="0" t="s">
        <v>441</v>
      </c>
      <c r="B32" s="0" t="s">
        <v>376</v>
      </c>
      <c r="C32" s="0" t="n">
        <v>280.31</v>
      </c>
      <c r="D32" s="0" t="n">
        <f aca="false">Inputs!$B$5</f>
        <v>0.15</v>
      </c>
      <c r="E32" s="0" t="n">
        <f aca="false">C32*D32</f>
        <v>42.0465</v>
      </c>
      <c r="F32" s="0" t="n">
        <f aca="false">C32+E32</f>
        <v>322.3565</v>
      </c>
      <c r="G32" s="0" t="s">
        <v>386</v>
      </c>
      <c r="H32" s="0" t="n">
        <f aca="false">ROUNDUP(F32/Inputs!$B$11,0)</f>
        <v>33</v>
      </c>
      <c r="I32" s="0" t="s">
        <v>438</v>
      </c>
    </row>
    <row r="33" customFormat="false" ht="15" hidden="false" customHeight="false" outlineLevel="0" collapsed="false">
      <c r="A33" s="0" t="s">
        <v>442</v>
      </c>
      <c r="B33" s="0" t="s">
        <v>376</v>
      </c>
      <c r="C33" s="0" t="n">
        <v>1.88</v>
      </c>
      <c r="D33" s="0" t="n">
        <f aca="false">Inputs!$B$5</f>
        <v>0.15</v>
      </c>
      <c r="E33" s="0" t="n">
        <f aca="false">C33*D33</f>
        <v>0.282</v>
      </c>
      <c r="F33" s="0" t="n">
        <f aca="false">C33+E33</f>
        <v>2.162</v>
      </c>
      <c r="G33" s="0" t="s">
        <v>386</v>
      </c>
      <c r="H33" s="0" t="n">
        <f aca="false">ROUNDUP(F33/Inputs!$B$11,0)</f>
        <v>1</v>
      </c>
      <c r="I33" s="0" t="s">
        <v>438</v>
      </c>
    </row>
    <row r="34" customFormat="false" ht="15" hidden="false" customHeight="false" outlineLevel="0" collapsed="false">
      <c r="A34" s="0" t="s">
        <v>443</v>
      </c>
      <c r="B34" s="0" t="s">
        <v>376</v>
      </c>
      <c r="C34" s="0" t="n">
        <v>8.11</v>
      </c>
      <c r="D34" s="0" t="n">
        <f aca="false">Inputs!$B$5</f>
        <v>0.15</v>
      </c>
      <c r="E34" s="0" t="n">
        <f aca="false">C34*D34</f>
        <v>1.2165</v>
      </c>
      <c r="F34" s="0" t="n">
        <f aca="false">C34+E34</f>
        <v>9.3265</v>
      </c>
      <c r="G34" s="0" t="s">
        <v>386</v>
      </c>
      <c r="H34" s="0" t="n">
        <f aca="false">ROUNDUP(F34/Inputs!$B$11,0)</f>
        <v>1</v>
      </c>
      <c r="I34" s="0" t="s">
        <v>438</v>
      </c>
    </row>
    <row r="35" customFormat="false" ht="15" hidden="false" customHeight="false" outlineLevel="0" collapsed="false">
      <c r="A35" s="0" t="s">
        <v>444</v>
      </c>
      <c r="B35" s="0" t="s">
        <v>376</v>
      </c>
      <c r="C35" s="0" t="n">
        <v>81.43</v>
      </c>
      <c r="D35" s="0" t="n">
        <f aca="false">Inputs!$B$5</f>
        <v>0.15</v>
      </c>
      <c r="E35" s="0" t="n">
        <f aca="false">C35*D35</f>
        <v>12.2145</v>
      </c>
      <c r="F35" s="0" t="n">
        <f aca="false">C35+E35</f>
        <v>93.6445</v>
      </c>
      <c r="G35" s="0" t="s">
        <v>386</v>
      </c>
      <c r="H35" s="0" t="n">
        <f aca="false">ROUNDUP(F35/Inputs!$B$11,0)</f>
        <v>10</v>
      </c>
      <c r="I35" s="0" t="s">
        <v>438</v>
      </c>
    </row>
    <row r="36" customFormat="false" ht="15" hidden="false" customHeight="false" outlineLevel="0" collapsed="false">
      <c r="A36" s="0" t="s">
        <v>445</v>
      </c>
      <c r="B36" s="0" t="s">
        <v>376</v>
      </c>
      <c r="C36" s="0" t="n">
        <v>13.33</v>
      </c>
      <c r="D36" s="0" t="n">
        <f aca="false">Inputs!$B$5</f>
        <v>0.15</v>
      </c>
      <c r="E36" s="0" t="n">
        <f aca="false">C36*D36</f>
        <v>1.9995</v>
      </c>
      <c r="F36" s="0" t="n">
        <f aca="false">C36+E36</f>
        <v>15.3295</v>
      </c>
      <c r="G36" s="0" t="s">
        <v>386</v>
      </c>
      <c r="H36" s="0" t="n">
        <f aca="false">ROUNDUP(F36/Inputs!$B$11,0)</f>
        <v>2</v>
      </c>
      <c r="I36" s="0" t="s">
        <v>438</v>
      </c>
    </row>
    <row r="37" customFormat="false" ht="15" hidden="false" customHeight="false" outlineLevel="0" collapsed="false">
      <c r="A37" s="0" t="s">
        <v>446</v>
      </c>
      <c r="B37" s="0" t="s">
        <v>376</v>
      </c>
      <c r="C37" s="0" t="n">
        <v>490.8</v>
      </c>
      <c r="D37" s="0" t="n">
        <f aca="false">Inputs!$B$5</f>
        <v>0.15</v>
      </c>
      <c r="E37" s="0" t="n">
        <f aca="false">C37*D37</f>
        <v>73.62</v>
      </c>
      <c r="F37" s="0" t="n">
        <f aca="false">C37+E37</f>
        <v>564.42</v>
      </c>
      <c r="G37" s="0" t="s">
        <v>386</v>
      </c>
      <c r="H37" s="0" t="n">
        <f aca="false">ROUNDUP(F37/Inputs!$B$11,0)</f>
        <v>57</v>
      </c>
      <c r="I37" s="0" t="s">
        <v>438</v>
      </c>
    </row>
    <row r="38" customFormat="false" ht="15" hidden="false" customHeight="false" outlineLevel="0" collapsed="false">
      <c r="A38" s="0" t="s">
        <v>447</v>
      </c>
      <c r="B38" s="0" t="s">
        <v>376</v>
      </c>
      <c r="C38" s="0" t="n">
        <v>214.11</v>
      </c>
      <c r="D38" s="0" t="n">
        <f aca="false">Inputs!$B$5</f>
        <v>0.15</v>
      </c>
      <c r="E38" s="0" t="n">
        <f aca="false">C38*D38</f>
        <v>32.1165</v>
      </c>
      <c r="F38" s="0" t="n">
        <f aca="false">C38+E38</f>
        <v>246.2265</v>
      </c>
      <c r="G38" s="0" t="s">
        <v>386</v>
      </c>
      <c r="H38" s="0" t="n">
        <f aca="false">ROUNDUP(F38/Inputs!$B$11,0)</f>
        <v>25</v>
      </c>
      <c r="I38" s="0" t="s">
        <v>448</v>
      </c>
    </row>
    <row r="39" customFormat="false" ht="15" hidden="false" customHeight="false" outlineLevel="0" collapsed="false">
      <c r="A39" s="0" t="s">
        <v>449</v>
      </c>
      <c r="B39" s="0" t="s">
        <v>376</v>
      </c>
      <c r="C39" s="0" t="n">
        <v>6.49</v>
      </c>
      <c r="D39" s="0" t="n">
        <f aca="false">Inputs!$B$5</f>
        <v>0.15</v>
      </c>
      <c r="E39" s="0" t="n">
        <f aca="false">C39*D39</f>
        <v>0.9735</v>
      </c>
      <c r="F39" s="0" t="n">
        <f aca="false">C39+E39</f>
        <v>7.4635</v>
      </c>
      <c r="G39" s="0" t="s">
        <v>386</v>
      </c>
      <c r="H39" s="0" t="n">
        <f aca="false">ROUNDUP(F39/Inputs!$B$11,0)</f>
        <v>1</v>
      </c>
      <c r="I39" s="0" t="s">
        <v>448</v>
      </c>
    </row>
    <row r="40" customFormat="false" ht="15" hidden="false" customHeight="false" outlineLevel="0" collapsed="false">
      <c r="A40" s="0" t="s">
        <v>450</v>
      </c>
      <c r="B40" s="0" t="s">
        <v>376</v>
      </c>
      <c r="C40" s="0" t="n">
        <v>236.14</v>
      </c>
      <c r="D40" s="0" t="n">
        <f aca="false">Inputs!$B$5</f>
        <v>0.15</v>
      </c>
      <c r="E40" s="0" t="n">
        <f aca="false">C40*D40</f>
        <v>35.421</v>
      </c>
      <c r="F40" s="0" t="n">
        <f aca="false">C40+E40</f>
        <v>271.561</v>
      </c>
      <c r="G40" s="0" t="s">
        <v>386</v>
      </c>
      <c r="H40" s="0" t="n">
        <f aca="false">ROUNDUP(F40/Inputs!$B$11,0)</f>
        <v>28</v>
      </c>
      <c r="I40" s="0" t="s">
        <v>448</v>
      </c>
    </row>
    <row r="41" customFormat="false" ht="15" hidden="false" customHeight="false" outlineLevel="0" collapsed="false">
      <c r="A41" s="0" t="s">
        <v>451</v>
      </c>
      <c r="B41" s="0" t="s">
        <v>376</v>
      </c>
      <c r="C41" s="0" t="n">
        <v>280.31</v>
      </c>
      <c r="D41" s="0" t="n">
        <f aca="false">Inputs!$B$5</f>
        <v>0.15</v>
      </c>
      <c r="E41" s="0" t="n">
        <f aca="false">C41*D41</f>
        <v>42.0465</v>
      </c>
      <c r="F41" s="0" t="n">
        <f aca="false">C41+E41</f>
        <v>322.3565</v>
      </c>
      <c r="G41" s="0" t="s">
        <v>386</v>
      </c>
      <c r="H41" s="0" t="n">
        <f aca="false">ROUNDUP(F41/Inputs!$B$11,0)</f>
        <v>33</v>
      </c>
      <c r="I41" s="0" t="s">
        <v>448</v>
      </c>
    </row>
    <row r="42" customFormat="false" ht="15" hidden="false" customHeight="false" outlineLevel="0" collapsed="false">
      <c r="A42" s="0" t="s">
        <v>452</v>
      </c>
      <c r="B42" s="0" t="s">
        <v>376</v>
      </c>
      <c r="C42" s="0" t="n">
        <v>1.88</v>
      </c>
      <c r="D42" s="0" t="n">
        <f aca="false">Inputs!$B$5</f>
        <v>0.15</v>
      </c>
      <c r="E42" s="0" t="n">
        <f aca="false">C42*D42</f>
        <v>0.282</v>
      </c>
      <c r="F42" s="0" t="n">
        <f aca="false">C42+E42</f>
        <v>2.162</v>
      </c>
      <c r="G42" s="0" t="s">
        <v>386</v>
      </c>
      <c r="H42" s="0" t="n">
        <f aca="false">ROUNDUP(F42/Inputs!$B$11,0)</f>
        <v>1</v>
      </c>
      <c r="I42" s="0" t="s">
        <v>448</v>
      </c>
    </row>
    <row r="43" customFormat="false" ht="15" hidden="false" customHeight="false" outlineLevel="0" collapsed="false">
      <c r="A43" s="0" t="s">
        <v>453</v>
      </c>
      <c r="B43" s="0" t="s">
        <v>376</v>
      </c>
      <c r="C43" s="0" t="n">
        <v>8.11</v>
      </c>
      <c r="D43" s="0" t="n">
        <f aca="false">Inputs!$B$5</f>
        <v>0.15</v>
      </c>
      <c r="E43" s="0" t="n">
        <f aca="false">C43*D43</f>
        <v>1.2165</v>
      </c>
      <c r="F43" s="0" t="n">
        <f aca="false">C43+E43</f>
        <v>9.3265</v>
      </c>
      <c r="G43" s="0" t="s">
        <v>386</v>
      </c>
      <c r="H43" s="0" t="n">
        <f aca="false">ROUNDUP(F43/Inputs!$B$11,0)</f>
        <v>1</v>
      </c>
      <c r="I43" s="0" t="s">
        <v>448</v>
      </c>
    </row>
    <row r="44" customFormat="false" ht="15" hidden="false" customHeight="false" outlineLevel="0" collapsed="false">
      <c r="A44" s="0" t="s">
        <v>454</v>
      </c>
      <c r="B44" s="0" t="s">
        <v>376</v>
      </c>
      <c r="C44" s="0" t="n">
        <v>81.43</v>
      </c>
      <c r="D44" s="0" t="n">
        <f aca="false">Inputs!$B$5</f>
        <v>0.15</v>
      </c>
      <c r="E44" s="0" t="n">
        <f aca="false">C44*D44</f>
        <v>12.2145</v>
      </c>
      <c r="F44" s="0" t="n">
        <f aca="false">C44+E44</f>
        <v>93.6445</v>
      </c>
      <c r="G44" s="0" t="s">
        <v>386</v>
      </c>
      <c r="H44" s="0" t="n">
        <f aca="false">ROUNDUP(F44/Inputs!$B$11,0)</f>
        <v>10</v>
      </c>
      <c r="I44" s="0" t="s">
        <v>448</v>
      </c>
    </row>
    <row r="45" customFormat="false" ht="15" hidden="false" customHeight="false" outlineLevel="0" collapsed="false">
      <c r="A45" s="0" t="s">
        <v>455</v>
      </c>
      <c r="B45" s="0" t="s">
        <v>376</v>
      </c>
      <c r="C45" s="0" t="n">
        <v>13.33</v>
      </c>
      <c r="D45" s="0" t="n">
        <f aca="false">Inputs!$B$5</f>
        <v>0.15</v>
      </c>
      <c r="E45" s="0" t="n">
        <f aca="false">C45*D45</f>
        <v>1.9995</v>
      </c>
      <c r="F45" s="0" t="n">
        <f aca="false">C45+E45</f>
        <v>15.3295</v>
      </c>
      <c r="G45" s="0" t="s">
        <v>386</v>
      </c>
      <c r="H45" s="0" t="n">
        <f aca="false">ROUNDUP(F45/Inputs!$B$11,0)</f>
        <v>2</v>
      </c>
      <c r="I45" s="0" t="s">
        <v>448</v>
      </c>
    </row>
    <row r="46" customFormat="false" ht="15" hidden="false" customHeight="false" outlineLevel="0" collapsed="false">
      <c r="A46" s="0" t="s">
        <v>456</v>
      </c>
      <c r="B46" s="0" t="s">
        <v>376</v>
      </c>
      <c r="C46" s="0" t="n">
        <v>490.8</v>
      </c>
      <c r="D46" s="0" t="n">
        <f aca="false">Inputs!$B$5</f>
        <v>0.15</v>
      </c>
      <c r="E46" s="0" t="n">
        <f aca="false">C46*D46</f>
        <v>73.62</v>
      </c>
      <c r="F46" s="0" t="n">
        <f aca="false">C46+E46</f>
        <v>564.42</v>
      </c>
      <c r="G46" s="0" t="s">
        <v>386</v>
      </c>
      <c r="H46" s="0" t="n">
        <f aca="false">ROUNDUP(F46/Inputs!$B$11,0)</f>
        <v>57</v>
      </c>
      <c r="I46" s="0" t="s">
        <v>448</v>
      </c>
    </row>
    <row r="47" customFormat="false" ht="15" hidden="false" customHeight="false" outlineLevel="0" collapsed="false">
      <c r="A47" s="0" t="s">
        <v>457</v>
      </c>
      <c r="B47" s="0" t="s">
        <v>405</v>
      </c>
      <c r="C47" s="0" t="n">
        <v>2106.11</v>
      </c>
      <c r="D47" s="0" t="n">
        <f aca="false">Inputs!$B$6</f>
        <v>0.06</v>
      </c>
      <c r="E47" s="0" t="n">
        <f aca="false">C47*D47</f>
        <v>126.3666</v>
      </c>
      <c r="F47" s="0" t="n">
        <f aca="false">C47+E47</f>
        <v>2232.4766</v>
      </c>
      <c r="G47" s="0" t="s">
        <v>458</v>
      </c>
      <c r="H47" s="0" t="n">
        <f aca="false">ROUNDUP(F47/Inputs!$B$9,0)</f>
        <v>47</v>
      </c>
      <c r="I47" s="0" t="s">
        <v>459</v>
      </c>
    </row>
    <row r="48" customFormat="false" ht="15" hidden="false" customHeight="false" outlineLevel="0" collapsed="false">
      <c r="A48" s="0" t="s">
        <v>460</v>
      </c>
      <c r="B48" s="0" t="s">
        <v>405</v>
      </c>
      <c r="C48" s="0" t="n">
        <v>4036.25</v>
      </c>
      <c r="D48" s="0" t="n">
        <f aca="false">Inputs!$B$6</f>
        <v>0.06</v>
      </c>
      <c r="E48" s="0" t="n">
        <f aca="false">C48*D48</f>
        <v>242.175</v>
      </c>
      <c r="F48" s="0" t="n">
        <f aca="false">C48+E48</f>
        <v>4278.425</v>
      </c>
      <c r="G48" s="0" t="s">
        <v>458</v>
      </c>
      <c r="H48" s="0" t="n">
        <f aca="false">ROUNDUP(F48/Inputs!$B$9,0)</f>
        <v>90</v>
      </c>
      <c r="I48" s="0" t="s">
        <v>459</v>
      </c>
    </row>
    <row r="49" customFormat="false" ht="15" hidden="false" customHeight="false" outlineLevel="0" collapsed="false">
      <c r="A49" s="0" t="s">
        <v>461</v>
      </c>
      <c r="B49" s="0" t="s">
        <v>405</v>
      </c>
      <c r="C49" s="0" t="n">
        <v>700.33</v>
      </c>
      <c r="D49" s="0" t="n">
        <f aca="false">Inputs!$B$6</f>
        <v>0.06</v>
      </c>
      <c r="E49" s="0" t="n">
        <f aca="false">C49*D49</f>
        <v>42.0198</v>
      </c>
      <c r="F49" s="0" t="n">
        <f aca="false">C49+E49</f>
        <v>742.3498</v>
      </c>
      <c r="G49" s="0" t="s">
        <v>458</v>
      </c>
      <c r="H49" s="0" t="n">
        <f aca="false">ROUNDUP(F49/Inputs!$B$9,0)</f>
        <v>16</v>
      </c>
      <c r="I49" s="0" t="s">
        <v>459</v>
      </c>
    </row>
    <row r="50" customFormat="false" ht="15" hidden="false" customHeight="false" outlineLevel="0" collapsed="false">
      <c r="A50" s="0" t="s">
        <v>462</v>
      </c>
      <c r="B50" s="0" t="s">
        <v>376</v>
      </c>
      <c r="C50" s="0" t="n">
        <v>209.06</v>
      </c>
      <c r="D50" s="0" t="n">
        <f aca="false">Inputs!$B$6</f>
        <v>0.06</v>
      </c>
      <c r="E50" s="0" t="n">
        <f aca="false">C50*D50</f>
        <v>12.5436</v>
      </c>
      <c r="F50" s="0" t="n">
        <f aca="false">C50+E50</f>
        <v>221.6036</v>
      </c>
      <c r="G50" s="0" t="s">
        <v>433</v>
      </c>
      <c r="H50" s="0" t="n">
        <f aca="false">ROUNDUP(F50/Inputs!$B$15,0)</f>
        <v>9</v>
      </c>
      <c r="I50" s="0" t="s">
        <v>463</v>
      </c>
    </row>
    <row r="51" customFormat="false" ht="15" hidden="false" customHeight="false" outlineLevel="0" collapsed="false">
      <c r="A51" s="0" t="s">
        <v>464</v>
      </c>
      <c r="B51" s="0" t="s">
        <v>465</v>
      </c>
      <c r="C51" s="0" t="n">
        <v>113</v>
      </c>
      <c r="D51" s="0" t="n">
        <v>0</v>
      </c>
      <c r="E51" s="0" t="n">
        <f aca="false">C51*D51</f>
        <v>0</v>
      </c>
      <c r="F51" s="0" t="n">
        <f aca="false">C51+E51</f>
        <v>113</v>
      </c>
      <c r="H51" s="0" t="n">
        <f aca="false">ROUNDUP(F51,0)</f>
        <v>113</v>
      </c>
      <c r="I51" s="0" t="s">
        <v>466</v>
      </c>
    </row>
    <row r="52" customFormat="false" ht="15" hidden="false" customHeight="false" outlineLevel="0" collapsed="false">
      <c r="A52" s="0" t="s">
        <v>467</v>
      </c>
      <c r="B52" s="0" t="s">
        <v>376</v>
      </c>
      <c r="C52" s="0" t="n">
        <v>56</v>
      </c>
      <c r="D52" s="0" t="n">
        <f aca="false">Inputs!$B$5</f>
        <v>0.15</v>
      </c>
      <c r="E52" s="0" t="n">
        <f aca="false">C52*D52</f>
        <v>8.4</v>
      </c>
      <c r="F52" s="0" t="n">
        <f aca="false">C52+E52</f>
        <v>64.4</v>
      </c>
      <c r="G52" s="0" t="s">
        <v>386</v>
      </c>
      <c r="H52" s="0" t="n">
        <f aca="false">ROUNDUP(F52/Inputs!$B$11,0)</f>
        <v>7</v>
      </c>
      <c r="I52" s="0" t="s">
        <v>468</v>
      </c>
    </row>
    <row r="53" customFormat="false" ht="15" hidden="false" customHeight="false" outlineLevel="0" collapsed="false">
      <c r="A53" s="0" t="s">
        <v>469</v>
      </c>
      <c r="B53" s="0" t="s">
        <v>465</v>
      </c>
      <c r="C53" s="0" t="n">
        <v>58</v>
      </c>
      <c r="D53" s="0" t="n">
        <v>0</v>
      </c>
      <c r="E53" s="0" t="n">
        <f aca="false">C53*D53</f>
        <v>0</v>
      </c>
      <c r="F53" s="0" t="n">
        <f aca="false">C53+E53</f>
        <v>58</v>
      </c>
      <c r="G53" s="0" t="s">
        <v>470</v>
      </c>
      <c r="H53" s="0" t="n">
        <f aca="false">ROUNDUP(F53,0)</f>
        <v>58</v>
      </c>
      <c r="I53" s="0" t="s">
        <v>471</v>
      </c>
    </row>
    <row r="54" customFormat="false" ht="15" hidden="false" customHeight="false" outlineLevel="0" collapsed="false">
      <c r="A54" s="0" t="s">
        <v>472</v>
      </c>
      <c r="B54" s="0" t="s">
        <v>376</v>
      </c>
      <c r="C54" s="0" t="n">
        <v>48.9</v>
      </c>
      <c r="D54" s="0" t="n">
        <f aca="false">Inputs!$B$5</f>
        <v>0.15</v>
      </c>
      <c r="E54" s="0" t="n">
        <f aca="false">C54*D54</f>
        <v>7.335</v>
      </c>
      <c r="F54" s="0" t="n">
        <f aca="false">C54+E54</f>
        <v>56.235</v>
      </c>
      <c r="G54" s="0" t="s">
        <v>377</v>
      </c>
      <c r="H54" s="0" t="n">
        <f aca="false">ROUNDUP(F54/Inputs!$B$10,0)</f>
        <v>3</v>
      </c>
      <c r="I54" s="0" t="s">
        <v>473</v>
      </c>
    </row>
    <row r="55" customFormat="false" ht="15" hidden="false" customHeight="false" outlineLevel="0" collapsed="false">
      <c r="A55" s="0" t="s">
        <v>474</v>
      </c>
      <c r="B55" s="0" t="s">
        <v>376</v>
      </c>
      <c r="C55" s="0" t="n">
        <v>10.43</v>
      </c>
      <c r="D55" s="0" t="n">
        <f aca="false">Inputs!$B$5</f>
        <v>0.15</v>
      </c>
      <c r="E55" s="0" t="n">
        <f aca="false">C55*D55</f>
        <v>1.5645</v>
      </c>
      <c r="F55" s="0" t="n">
        <f aca="false">C55+E55</f>
        <v>11.9945</v>
      </c>
      <c r="G55" s="0" t="s">
        <v>377</v>
      </c>
      <c r="H55" s="0" t="n">
        <f aca="false">ROUNDUP(F55/Inputs!$B$10,0)</f>
        <v>1</v>
      </c>
      <c r="I55" s="0" t="s">
        <v>475</v>
      </c>
    </row>
    <row r="56" customFormat="false" ht="15" hidden="false" customHeight="false" outlineLevel="0" collapsed="false">
      <c r="A56" s="0" t="s">
        <v>476</v>
      </c>
      <c r="B56" s="0" t="s">
        <v>405</v>
      </c>
      <c r="C56" s="0" t="n">
        <v>76.99</v>
      </c>
      <c r="D56" s="0" t="n">
        <f aca="false">Inputs!$B$6</f>
        <v>0.06</v>
      </c>
      <c r="E56" s="0" t="n">
        <f aca="false">C56*D56</f>
        <v>4.6194</v>
      </c>
      <c r="F56" s="0" t="n">
        <f aca="false">C56+E56</f>
        <v>81.6094</v>
      </c>
      <c r="G56" s="0" t="s">
        <v>458</v>
      </c>
      <c r="H56" s="0" t="n">
        <f aca="false">ROUNDUP(F56/Inputs!$B$9,0)</f>
        <v>2</v>
      </c>
      <c r="I56" s="0" t="s">
        <v>477</v>
      </c>
    </row>
    <row r="57" customFormat="false" ht="15" hidden="false" customHeight="false" outlineLevel="0" collapsed="false">
      <c r="A57" s="0" t="s">
        <v>478</v>
      </c>
      <c r="B57" s="0" t="s">
        <v>376</v>
      </c>
      <c r="C57" s="0" t="n">
        <v>221.58</v>
      </c>
      <c r="D57" s="0" t="n">
        <f aca="false">Inputs!$B$6</f>
        <v>0.06</v>
      </c>
      <c r="E57" s="0" t="n">
        <f aca="false">C57*D57</f>
        <v>13.2948</v>
      </c>
      <c r="F57" s="0" t="n">
        <f aca="false">C57+E57</f>
        <v>234.8748</v>
      </c>
      <c r="G57" s="0" t="s">
        <v>425</v>
      </c>
      <c r="H57" s="0" t="n">
        <f aca="false">ROUNDUP(F57/Inputs!$B$18,0)</f>
        <v>24</v>
      </c>
      <c r="I57" s="0" t="s">
        <v>479</v>
      </c>
    </row>
    <row r="58" customFormat="false" ht="15" hidden="false" customHeight="false" outlineLevel="0" collapsed="false">
      <c r="A58" s="0" t="s">
        <v>480</v>
      </c>
      <c r="B58" s="0" t="s">
        <v>465</v>
      </c>
      <c r="C58" s="0" t="n">
        <v>298</v>
      </c>
      <c r="D58" s="0" t="n">
        <v>0</v>
      </c>
      <c r="E58" s="0" t="n">
        <f aca="false">C58*D58</f>
        <v>0</v>
      </c>
      <c r="F58" s="0" t="n">
        <f aca="false">C58+E58</f>
        <v>298</v>
      </c>
      <c r="G58" s="0" t="s">
        <v>470</v>
      </c>
      <c r="H58" s="0" t="n">
        <f aca="false">ROUNDUP(F58,0)</f>
        <v>298</v>
      </c>
      <c r="I58" s="0" t="s">
        <v>481</v>
      </c>
    </row>
    <row r="59" customFormat="false" ht="15" hidden="false" customHeight="false" outlineLevel="0" collapsed="false">
      <c r="A59" s="0" t="s">
        <v>482</v>
      </c>
      <c r="B59" s="0" t="s">
        <v>465</v>
      </c>
      <c r="C59" s="0" t="n">
        <v>1</v>
      </c>
      <c r="D59" s="0" t="n">
        <v>0</v>
      </c>
      <c r="E59" s="0" t="n">
        <f aca="false">C59*D59</f>
        <v>0</v>
      </c>
      <c r="F59" s="0" t="n">
        <f aca="false">C59+E59</f>
        <v>1</v>
      </c>
      <c r="G59" s="0" t="s">
        <v>470</v>
      </c>
      <c r="H59" s="0" t="n">
        <f aca="false">ROUNDUP(F59,0)</f>
        <v>1</v>
      </c>
      <c r="I59" s="0" t="s">
        <v>483</v>
      </c>
    </row>
    <row r="60" customFormat="false" ht="15" hidden="false" customHeight="false" outlineLevel="0" collapsed="false">
      <c r="A60" s="0" t="s">
        <v>484</v>
      </c>
      <c r="B60" s="0" t="s">
        <v>465</v>
      </c>
      <c r="C60" s="0" t="n">
        <v>20768.83</v>
      </c>
      <c r="D60" s="0" t="n">
        <v>0</v>
      </c>
      <c r="E60" s="0" t="n">
        <f aca="false">C60*D60</f>
        <v>0</v>
      </c>
      <c r="F60" s="0" t="n">
        <f aca="false">C60+E60</f>
        <v>20768.83</v>
      </c>
      <c r="G60" s="0" t="s">
        <v>470</v>
      </c>
      <c r="H60" s="0" t="n">
        <f aca="false">ROUNDUP(F60,0)</f>
        <v>20769</v>
      </c>
      <c r="I60" s="0" t="s">
        <v>485</v>
      </c>
      <c r="J60" s="0" t="n">
        <f aca="false">Inputs!$B$20*17307.4</f>
        <v>20768.88</v>
      </c>
    </row>
    <row r="61" customFormat="false" ht="15" hidden="false" customHeight="false" outlineLevel="0" collapsed="false">
      <c r="A61" s="0" t="s">
        <v>486</v>
      </c>
      <c r="B61" s="0" t="s">
        <v>465</v>
      </c>
      <c r="C61" s="0" t="n">
        <v>6952</v>
      </c>
      <c r="D61" s="0" t="n">
        <v>0</v>
      </c>
      <c r="E61" s="0" t="n">
        <f aca="false">C61*D61</f>
        <v>0</v>
      </c>
      <c r="F61" s="0" t="n">
        <f aca="false">C61+E61</f>
        <v>6952</v>
      </c>
      <c r="G61" s="0" t="s">
        <v>470</v>
      </c>
      <c r="H61" s="0" t="n">
        <f aca="false">ROUNDUP(F61,0)</f>
        <v>6952</v>
      </c>
      <c r="I61" s="0" t="s">
        <v>487</v>
      </c>
      <c r="J61" s="0" t="n">
        <f aca="false">Inputs!$B$21*1738</f>
        <v>6952</v>
      </c>
    </row>
    <row r="62" customFormat="false" ht="15" hidden="false" customHeight="false" outlineLevel="0" collapsed="false">
      <c r="A62" s="0" t="s">
        <v>488</v>
      </c>
      <c r="B62" s="0" t="s">
        <v>465</v>
      </c>
      <c r="C62" s="0" t="n">
        <v>524.36</v>
      </c>
      <c r="D62" s="0" t="n">
        <v>0</v>
      </c>
      <c r="E62" s="0" t="n">
        <f aca="false">C62*D62</f>
        <v>0</v>
      </c>
      <c r="F62" s="0" t="n">
        <f aca="false">C62+E62</f>
        <v>524.36</v>
      </c>
      <c r="G62" s="0" t="s">
        <v>470</v>
      </c>
      <c r="H62" s="0" t="n">
        <f aca="false">ROUNDUP(F62,0)</f>
        <v>525</v>
      </c>
      <c r="I62" s="0" t="s">
        <v>489</v>
      </c>
      <c r="J62" s="0" t="n">
        <f aca="false">524.36/Inputs!$B$22</f>
        <v>524.36</v>
      </c>
    </row>
    <row r="63" customFormat="false" ht="15" hidden="false" customHeight="false" outlineLevel="0" collapsed="false">
      <c r="A63" s="0" t="s">
        <v>490</v>
      </c>
      <c r="B63" s="0" t="s">
        <v>465</v>
      </c>
      <c r="C63" s="0" t="n">
        <v>321.14</v>
      </c>
      <c r="D63" s="0" t="n">
        <v>0</v>
      </c>
      <c r="E63" s="0" t="n">
        <f aca="false">C63*D63</f>
        <v>0</v>
      </c>
      <c r="F63" s="0" t="n">
        <f aca="false">C63+E63</f>
        <v>321.14</v>
      </c>
      <c r="G63" s="0" t="s">
        <v>470</v>
      </c>
      <c r="H63" s="0" t="n">
        <f aca="false">ROUNDUP(F63,0)</f>
        <v>322</v>
      </c>
      <c r="I63" s="0" t="s">
        <v>491</v>
      </c>
      <c r="J63" s="0" t="n">
        <f aca="false">214.11/Inputs!$B$25</f>
        <v>321.148942552872</v>
      </c>
    </row>
    <row r="64" customFormat="false" ht="15" hidden="false" customHeight="false" outlineLevel="0" collapsed="false">
      <c r="A64" s="0" t="s">
        <v>492</v>
      </c>
      <c r="B64" s="0" t="s">
        <v>493</v>
      </c>
      <c r="C64" s="0" t="n">
        <v>1246.13</v>
      </c>
      <c r="D64" s="0" t="n">
        <v>0</v>
      </c>
      <c r="E64" s="0" t="n">
        <f aca="false">C64*D64</f>
        <v>0</v>
      </c>
      <c r="F64" s="0" t="n">
        <f aca="false">C64+E64</f>
        <v>1246.13</v>
      </c>
      <c r="G64" s="0" t="s">
        <v>494</v>
      </c>
      <c r="H64" s="0" t="n">
        <f aca="false">ROUNDUP(F64,0)</f>
        <v>1247</v>
      </c>
      <c r="I64" s="0" t="s">
        <v>495</v>
      </c>
      <c r="J64" s="0" t="n">
        <f aca="false">Inputs!$B$23*17307.4</f>
        <v>1246.1328</v>
      </c>
    </row>
    <row r="65" customFormat="false" ht="15" hidden="false" customHeight="false" outlineLevel="0" collapsed="false">
      <c r="A65" s="0" t="s">
        <v>496</v>
      </c>
      <c r="B65" s="0" t="s">
        <v>376</v>
      </c>
      <c r="C65" s="0" t="n">
        <v>6403.72</v>
      </c>
      <c r="D65" s="0" t="n">
        <v>0</v>
      </c>
      <c r="E65" s="0" t="n">
        <f aca="false">C65*D65</f>
        <v>0</v>
      </c>
      <c r="F65" s="0" t="n">
        <f aca="false">C65+E65</f>
        <v>6403.72</v>
      </c>
      <c r="G65" s="0" t="s">
        <v>376</v>
      </c>
      <c r="H65" s="0" t="n">
        <f aca="false">ROUNDUP(F65,0)</f>
        <v>6404</v>
      </c>
      <c r="I65" s="0" t="s">
        <v>497</v>
      </c>
      <c r="J65" s="0" t="n">
        <f aca="false">Inputs!$B$24*17307.4</f>
        <v>6403.738</v>
      </c>
    </row>
    <row r="66" customFormat="false" ht="15" hidden="false" customHeight="false" outlineLevel="0" collapsed="false">
      <c r="A66" s="0" t="s">
        <v>498</v>
      </c>
      <c r="B66" s="0" t="s">
        <v>405</v>
      </c>
      <c r="C66" s="0" t="n">
        <v>874.77</v>
      </c>
      <c r="D66" s="0" t="n">
        <f aca="false">Inputs!$B$6</f>
        <v>0.06</v>
      </c>
      <c r="E66" s="0" t="n">
        <f aca="false">C66*D66</f>
        <v>52.4862</v>
      </c>
      <c r="F66" s="0" t="n">
        <f aca="false">C66+E66</f>
        <v>927.2562</v>
      </c>
      <c r="G66" s="0" t="s">
        <v>405</v>
      </c>
      <c r="H66" s="0" t="n">
        <f aca="false">ROUNDUP(F66,0)</f>
        <v>928</v>
      </c>
      <c r="I66" s="0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500</v>
      </c>
      <c r="B1" s="2" t="s">
        <v>501</v>
      </c>
      <c r="C1" s="2" t="s">
        <v>502</v>
      </c>
    </row>
    <row r="2" customFormat="false" ht="15" hidden="false" customHeight="false" outlineLevel="0" collapsed="false">
      <c r="A2" s="0" t="s">
        <v>503</v>
      </c>
      <c r="B2" s="0" t="s">
        <v>504</v>
      </c>
      <c r="C2" s="0" t="s">
        <v>505</v>
      </c>
    </row>
    <row r="3" customFormat="false" ht="15" hidden="false" customHeight="false" outlineLevel="0" collapsed="false">
      <c r="A3" s="0" t="s">
        <v>506</v>
      </c>
      <c r="B3" s="0" t="s">
        <v>507</v>
      </c>
      <c r="C3" s="0" t="s">
        <v>508</v>
      </c>
    </row>
    <row r="4" customFormat="false" ht="15" hidden="false" customHeight="false" outlineLevel="0" collapsed="false">
      <c r="A4" s="0" t="s">
        <v>509</v>
      </c>
      <c r="B4" s="0" t="s">
        <v>510</v>
      </c>
      <c r="C4" s="0" t="s">
        <v>511</v>
      </c>
    </row>
    <row r="5" customFormat="false" ht="15" hidden="false" customHeight="false" outlineLevel="0" collapsed="false">
      <c r="A5" s="0" t="s">
        <v>512</v>
      </c>
      <c r="B5" s="0" t="s">
        <v>513</v>
      </c>
      <c r="C5" s="0" t="s">
        <v>514</v>
      </c>
    </row>
    <row r="6" customFormat="false" ht="15" hidden="false" customHeight="false" outlineLevel="0" collapsed="false">
      <c r="A6" s="0" t="s">
        <v>515</v>
      </c>
      <c r="B6" s="0" t="s">
        <v>516</v>
      </c>
      <c r="C6" s="0" t="s">
        <v>517</v>
      </c>
    </row>
    <row r="7" customFormat="false" ht="15" hidden="false" customHeight="false" outlineLevel="0" collapsed="false">
      <c r="A7" s="0" t="s">
        <v>518</v>
      </c>
      <c r="B7" s="0" t="s">
        <v>519</v>
      </c>
      <c r="C7" s="0" t="s">
        <v>517</v>
      </c>
    </row>
    <row r="8" customFormat="false" ht="15" hidden="false" customHeight="false" outlineLevel="0" collapsed="false">
      <c r="A8" s="0" t="s">
        <v>520</v>
      </c>
      <c r="B8" s="0" t="s">
        <v>521</v>
      </c>
      <c r="C8" s="0" t="s">
        <v>522</v>
      </c>
    </row>
    <row r="9" customFormat="false" ht="15" hidden="false" customHeight="false" outlineLevel="0" collapsed="false">
      <c r="A9" s="0" t="s">
        <v>523</v>
      </c>
      <c r="B9" s="0" t="s">
        <v>524</v>
      </c>
      <c r="C9" s="0" t="s">
        <v>525</v>
      </c>
    </row>
    <row r="10" customFormat="false" ht="15" hidden="false" customHeight="false" outlineLevel="0" collapsed="false">
      <c r="A10" s="0" t="s">
        <v>526</v>
      </c>
      <c r="B10" s="0" t="s">
        <v>527</v>
      </c>
      <c r="C10" s="0" t="s">
        <v>528</v>
      </c>
    </row>
    <row r="11" customFormat="false" ht="15" hidden="false" customHeight="false" outlineLevel="0" collapsed="false">
      <c r="A11" s="0" t="s">
        <v>529</v>
      </c>
      <c r="B11" s="0" t="s">
        <v>530</v>
      </c>
      <c r="C11" s="0" t="s">
        <v>531</v>
      </c>
    </row>
    <row r="12" customFormat="false" ht="15" hidden="false" customHeight="false" outlineLevel="0" collapsed="false">
      <c r="A12" s="0" t="s">
        <v>532</v>
      </c>
      <c r="B12" s="0" t="s">
        <v>533</v>
      </c>
      <c r="C12" s="0" t="s">
        <v>534</v>
      </c>
    </row>
    <row r="13" customFormat="false" ht="15" hidden="false" customHeight="false" outlineLevel="0" collapsed="false">
      <c r="A13" s="0" t="s">
        <v>535</v>
      </c>
      <c r="B13" s="0" t="s">
        <v>536</v>
      </c>
      <c r="C13" s="0" t="s">
        <v>537</v>
      </c>
    </row>
    <row r="14" customFormat="false" ht="15" hidden="false" customHeight="false" outlineLevel="0" collapsed="false">
      <c r="A14" s="0" t="s">
        <v>538</v>
      </c>
      <c r="B14" s="0" t="s">
        <v>539</v>
      </c>
      <c r="C14" s="0" t="s">
        <v>540</v>
      </c>
    </row>
    <row r="15" customFormat="false" ht="15" hidden="false" customHeight="false" outlineLevel="0" collapsed="false">
      <c r="A15" s="0" t="s">
        <v>541</v>
      </c>
      <c r="B15" s="0" t="s">
        <v>542</v>
      </c>
      <c r="C15" s="0" t="s">
        <v>543</v>
      </c>
    </row>
    <row r="16" customFormat="false" ht="15" hidden="false" customHeight="false" outlineLevel="0" collapsed="false">
      <c r="A16" s="0" t="s">
        <v>544</v>
      </c>
      <c r="B16" s="0" t="s">
        <v>545</v>
      </c>
      <c r="C16" s="0" t="s">
        <v>546</v>
      </c>
    </row>
    <row r="17" customFormat="false" ht="15" hidden="false" customHeight="false" outlineLevel="0" collapsed="false">
      <c r="A17" s="0" t="s">
        <v>547</v>
      </c>
      <c r="B17" s="0" t="s">
        <v>548</v>
      </c>
      <c r="C17" s="0" t="s">
        <v>549</v>
      </c>
    </row>
    <row r="18" customFormat="false" ht="15" hidden="false" customHeight="false" outlineLevel="0" collapsed="false">
      <c r="A18" s="0" t="s">
        <v>550</v>
      </c>
      <c r="B18" s="0" t="s">
        <v>551</v>
      </c>
      <c r="C18" s="0" t="s">
        <v>552</v>
      </c>
    </row>
    <row r="19" customFormat="false" ht="15" hidden="false" customHeight="false" outlineLevel="0" collapsed="false">
      <c r="A19" s="0" t="s">
        <v>553</v>
      </c>
      <c r="B19" s="0" t="s">
        <v>554</v>
      </c>
      <c r="C19" s="0" t="s">
        <v>555</v>
      </c>
    </row>
    <row r="20" customFormat="false" ht="15" hidden="false" customHeight="false" outlineLevel="0" collapsed="false">
      <c r="A20" s="0" t="s">
        <v>556</v>
      </c>
      <c r="B20" s="0" t="s">
        <v>557</v>
      </c>
      <c r="C20" s="0" t="s">
        <v>558</v>
      </c>
    </row>
    <row r="21" customFormat="false" ht="15" hidden="false" customHeight="false" outlineLevel="0" collapsed="false">
      <c r="A21" s="0" t="s">
        <v>559</v>
      </c>
      <c r="B21" s="0" t="s">
        <v>560</v>
      </c>
      <c r="C21" s="0" t="s">
        <v>561</v>
      </c>
    </row>
    <row r="22" customFormat="false" ht="15" hidden="false" customHeight="false" outlineLevel="0" collapsed="false">
      <c r="A22" s="0" t="s">
        <v>562</v>
      </c>
      <c r="B22" s="0" t="s">
        <v>563</v>
      </c>
      <c r="C22" s="0" t="s">
        <v>564</v>
      </c>
    </row>
    <row r="23" customFormat="false" ht="15" hidden="false" customHeight="false" outlineLevel="0" collapsed="false">
      <c r="A23" s="0" t="s">
        <v>565</v>
      </c>
      <c r="B23" s="0" t="s">
        <v>566</v>
      </c>
      <c r="C23" s="0" t="s">
        <v>567</v>
      </c>
    </row>
    <row r="24" customFormat="false" ht="15" hidden="false" customHeight="false" outlineLevel="0" collapsed="false">
      <c r="A24" s="0" t="s">
        <v>568</v>
      </c>
      <c r="B24" s="0" t="s">
        <v>569</v>
      </c>
      <c r="C24" s="0" t="s">
        <v>570</v>
      </c>
    </row>
    <row r="25" customFormat="false" ht="15" hidden="false" customHeight="false" outlineLevel="0" collapsed="false">
      <c r="A25" s="0" t="s">
        <v>571</v>
      </c>
      <c r="B25" s="0" t="s">
        <v>572</v>
      </c>
      <c r="C25" s="0" t="s">
        <v>573</v>
      </c>
    </row>
    <row r="26" customFormat="false" ht="15" hidden="false" customHeight="false" outlineLevel="0" collapsed="false">
      <c r="A26" s="0" t="s">
        <v>574</v>
      </c>
      <c r="B26" s="0" t="s">
        <v>575</v>
      </c>
      <c r="C26" s="0" t="s">
        <v>576</v>
      </c>
    </row>
    <row r="27" customFormat="false" ht="15" hidden="false" customHeight="false" outlineLevel="0" collapsed="false">
      <c r="A27" s="0" t="s">
        <v>577</v>
      </c>
      <c r="B27" s="0" t="s">
        <v>578</v>
      </c>
      <c r="C27" s="0" t="s">
        <v>579</v>
      </c>
    </row>
    <row r="28" customFormat="false" ht="15" hidden="false" customHeight="false" outlineLevel="0" collapsed="false">
      <c r="A28" s="0" t="s">
        <v>580</v>
      </c>
      <c r="B28" s="0" t="s">
        <v>581</v>
      </c>
      <c r="C28" s="0" t="s">
        <v>582</v>
      </c>
    </row>
    <row r="29" customFormat="false" ht="15" hidden="false" customHeight="false" outlineLevel="0" collapsed="false">
      <c r="A29" s="0" t="s">
        <v>583</v>
      </c>
      <c r="B29" s="0" t="s">
        <v>584</v>
      </c>
      <c r="C29" s="0" t="s">
        <v>585</v>
      </c>
    </row>
    <row r="30" customFormat="false" ht="15" hidden="false" customHeight="false" outlineLevel="0" collapsed="false">
      <c r="A30" s="0" t="s">
        <v>586</v>
      </c>
      <c r="B30" s="0" t="s">
        <v>587</v>
      </c>
      <c r="C30" s="0" t="s">
        <v>588</v>
      </c>
    </row>
    <row r="31" customFormat="false" ht="15" hidden="false" customHeight="false" outlineLevel="0" collapsed="false">
      <c r="A31" s="0" t="s">
        <v>589</v>
      </c>
      <c r="B31" s="0" t="s">
        <v>590</v>
      </c>
      <c r="C31" s="0" t="s">
        <v>591</v>
      </c>
    </row>
    <row r="32" customFormat="false" ht="15" hidden="false" customHeight="false" outlineLevel="0" collapsed="false">
      <c r="A32" s="0" t="s">
        <v>592</v>
      </c>
      <c r="B32" s="0" t="s">
        <v>593</v>
      </c>
      <c r="C32" s="0" t="s">
        <v>594</v>
      </c>
    </row>
    <row r="33" customFormat="false" ht="15" hidden="false" customHeight="false" outlineLevel="0" collapsed="false">
      <c r="A33" s="0" t="s">
        <v>595</v>
      </c>
      <c r="B33" s="0" t="s">
        <v>596</v>
      </c>
      <c r="C33" s="0" t="s">
        <v>597</v>
      </c>
    </row>
    <row r="34" customFormat="false" ht="15" hidden="false" customHeight="false" outlineLevel="0" collapsed="false">
      <c r="A34" s="0" t="s">
        <v>598</v>
      </c>
      <c r="B34" s="0" t="s">
        <v>599</v>
      </c>
      <c r="C34" s="0" t="s">
        <v>600</v>
      </c>
    </row>
    <row r="35" customFormat="false" ht="15" hidden="false" customHeight="false" outlineLevel="0" collapsed="false">
      <c r="A35" s="0" t="s">
        <v>601</v>
      </c>
      <c r="B35" s="0" t="s">
        <v>602</v>
      </c>
      <c r="C35" s="0" t="s">
        <v>603</v>
      </c>
    </row>
    <row r="36" customFormat="false" ht="15" hidden="false" customHeight="false" outlineLevel="0" collapsed="false">
      <c r="A36" s="0" t="s">
        <v>604</v>
      </c>
      <c r="B36" s="0" t="s">
        <v>605</v>
      </c>
      <c r="C36" s="0" t="s">
        <v>606</v>
      </c>
    </row>
    <row r="37" customFormat="false" ht="15" hidden="false" customHeight="false" outlineLevel="0" collapsed="false">
      <c r="A37" s="0" t="s">
        <v>607</v>
      </c>
      <c r="B37" s="0" t="s">
        <v>608</v>
      </c>
      <c r="C37" s="0" t="s">
        <v>609</v>
      </c>
    </row>
    <row r="38" customFormat="false" ht="15" hidden="false" customHeight="false" outlineLevel="0" collapsed="false">
      <c r="A38" s="0" t="s">
        <v>610</v>
      </c>
      <c r="B38" s="0" t="s">
        <v>611</v>
      </c>
      <c r="C38" s="0" t="s">
        <v>612</v>
      </c>
    </row>
    <row r="39" customFormat="false" ht="15" hidden="false" customHeight="false" outlineLevel="0" collapsed="false">
      <c r="A39" s="0" t="s">
        <v>613</v>
      </c>
      <c r="B39" s="0" t="s">
        <v>614</v>
      </c>
      <c r="C39" s="0" t="s">
        <v>615</v>
      </c>
    </row>
    <row r="40" customFormat="false" ht="15" hidden="false" customHeight="false" outlineLevel="0" collapsed="false">
      <c r="A40" s="0" t="s">
        <v>616</v>
      </c>
      <c r="B40" s="0" t="s">
        <v>617</v>
      </c>
      <c r="C40" s="0" t="s">
        <v>618</v>
      </c>
    </row>
    <row r="41" customFormat="false" ht="15" hidden="false" customHeight="false" outlineLevel="0" collapsed="false">
      <c r="A41" s="0" t="s">
        <v>619</v>
      </c>
      <c r="B41" s="0" t="s">
        <v>620</v>
      </c>
      <c r="C41" s="0" t="s">
        <v>621</v>
      </c>
    </row>
    <row r="42" customFormat="false" ht="15" hidden="false" customHeight="false" outlineLevel="0" collapsed="false">
      <c r="A42" s="0" t="s">
        <v>622</v>
      </c>
      <c r="B42" s="0" t="s">
        <v>623</v>
      </c>
      <c r="C42" s="0" t="s">
        <v>624</v>
      </c>
    </row>
    <row r="43" customFormat="false" ht="15" hidden="false" customHeight="false" outlineLevel="0" collapsed="false">
      <c r="A43" s="0" t="s">
        <v>625</v>
      </c>
      <c r="B43" s="0" t="s">
        <v>626</v>
      </c>
      <c r="C43" s="0" t="s">
        <v>627</v>
      </c>
    </row>
    <row r="44" customFormat="false" ht="15" hidden="false" customHeight="false" outlineLevel="0" collapsed="false">
      <c r="A44" s="0" t="s">
        <v>628</v>
      </c>
      <c r="B44" s="0" t="s">
        <v>629</v>
      </c>
      <c r="C44" s="0" t="s">
        <v>630</v>
      </c>
    </row>
    <row r="45" customFormat="false" ht="15" hidden="false" customHeight="false" outlineLevel="0" collapsed="false">
      <c r="A45" s="0" t="s">
        <v>631</v>
      </c>
      <c r="B45" s="0" t="s">
        <v>632</v>
      </c>
      <c r="C45" s="0" t="s">
        <v>633</v>
      </c>
    </row>
    <row r="46" customFormat="false" ht="15" hidden="false" customHeight="false" outlineLevel="0" collapsed="false">
      <c r="A46" s="0" t="s">
        <v>634</v>
      </c>
      <c r="B46" s="0" t="s">
        <v>635</v>
      </c>
      <c r="C46" s="0" t="s">
        <v>636</v>
      </c>
    </row>
    <row r="47" customFormat="false" ht="15" hidden="false" customHeight="false" outlineLevel="0" collapsed="false">
      <c r="A47" s="0" t="s">
        <v>637</v>
      </c>
      <c r="B47" s="0" t="s">
        <v>638</v>
      </c>
      <c r="C47" s="0" t="s">
        <v>639</v>
      </c>
    </row>
    <row r="48" customFormat="false" ht="15" hidden="false" customHeight="false" outlineLevel="0" collapsed="false">
      <c r="A48" s="0" t="s">
        <v>640</v>
      </c>
      <c r="B48" s="0" t="s">
        <v>641</v>
      </c>
      <c r="C48" s="0" t="s">
        <v>642</v>
      </c>
    </row>
    <row r="49" customFormat="false" ht="15" hidden="false" customHeight="false" outlineLevel="0" collapsed="false">
      <c r="A49" s="0" t="s">
        <v>643</v>
      </c>
      <c r="B49" s="0" t="s">
        <v>644</v>
      </c>
      <c r="C49" s="0" t="s">
        <v>645</v>
      </c>
    </row>
    <row r="50" customFormat="false" ht="15" hidden="false" customHeight="false" outlineLevel="0" collapsed="false">
      <c r="A50" s="0" t="s">
        <v>646</v>
      </c>
      <c r="B50" s="0" t="s">
        <v>647</v>
      </c>
      <c r="C50" s="0" t="s">
        <v>648</v>
      </c>
    </row>
    <row r="51" customFormat="false" ht="15" hidden="false" customHeight="false" outlineLevel="0" collapsed="false">
      <c r="A51" s="0" t="s">
        <v>649</v>
      </c>
      <c r="B51" s="0" t="s">
        <v>650</v>
      </c>
      <c r="C51" s="0" t="s">
        <v>648</v>
      </c>
    </row>
    <row r="52" customFormat="false" ht="15" hidden="false" customHeight="false" outlineLevel="0" collapsed="false">
      <c r="A52" s="0" t="s">
        <v>651</v>
      </c>
      <c r="B52" s="0" t="s">
        <v>652</v>
      </c>
      <c r="C52" s="0" t="s">
        <v>648</v>
      </c>
    </row>
    <row r="53" customFormat="false" ht="15" hidden="false" customHeight="false" outlineLevel="0" collapsed="false">
      <c r="A53" s="0" t="s">
        <v>653</v>
      </c>
      <c r="B53" s="0" t="s">
        <v>654</v>
      </c>
      <c r="C53" s="0" t="s">
        <v>648</v>
      </c>
    </row>
    <row r="54" customFormat="false" ht="15" hidden="false" customHeight="false" outlineLevel="0" collapsed="false">
      <c r="A54" s="0" t="s">
        <v>655</v>
      </c>
      <c r="B54" s="0" t="s">
        <v>656</v>
      </c>
      <c r="C54" s="0" t="s">
        <v>648</v>
      </c>
    </row>
    <row r="55" customFormat="false" ht="15" hidden="false" customHeight="false" outlineLevel="0" collapsed="false">
      <c r="A55" s="0" t="s">
        <v>657</v>
      </c>
      <c r="B55" s="0" t="s">
        <v>658</v>
      </c>
      <c r="C55" s="0" t="s">
        <v>659</v>
      </c>
    </row>
    <row r="56" customFormat="false" ht="15" hidden="false" customHeight="false" outlineLevel="0" collapsed="false">
      <c r="A56" s="0" t="s">
        <v>660</v>
      </c>
      <c r="B56" s="0" t="s">
        <v>661</v>
      </c>
      <c r="C56" s="0" t="s">
        <v>662</v>
      </c>
    </row>
    <row r="57" customFormat="false" ht="15" hidden="false" customHeight="false" outlineLevel="0" collapsed="false">
      <c r="A57" s="0" t="s">
        <v>663</v>
      </c>
      <c r="B57" s="0" t="s">
        <v>664</v>
      </c>
      <c r="C57" s="0" t="s">
        <v>665</v>
      </c>
    </row>
    <row r="58" customFormat="false" ht="15" hidden="false" customHeight="false" outlineLevel="0" collapsed="false">
      <c r="A58" s="0" t="s">
        <v>666</v>
      </c>
      <c r="B58" s="0" t="s">
        <v>667</v>
      </c>
      <c r="C58" s="0" t="s">
        <v>668</v>
      </c>
    </row>
    <row r="59" customFormat="false" ht="15" hidden="false" customHeight="false" outlineLevel="0" collapsed="false">
      <c r="A59" s="0" t="s">
        <v>669</v>
      </c>
      <c r="B59" s="0" t="s">
        <v>670</v>
      </c>
      <c r="C59" s="0" t="s">
        <v>671</v>
      </c>
    </row>
    <row r="60" customFormat="false" ht="15" hidden="false" customHeight="false" outlineLevel="0" collapsed="false">
      <c r="A60" s="0" t="s">
        <v>672</v>
      </c>
      <c r="B60" s="0" t="s">
        <v>673</v>
      </c>
      <c r="C60" s="0" t="s">
        <v>674</v>
      </c>
    </row>
    <row r="61" customFormat="false" ht="15" hidden="false" customHeight="false" outlineLevel="0" collapsed="false">
      <c r="A61" s="0" t="s">
        <v>675</v>
      </c>
      <c r="B61" s="0" t="s">
        <v>676</v>
      </c>
      <c r="C61" s="0" t="s">
        <v>677</v>
      </c>
    </row>
    <row r="62" customFormat="false" ht="15" hidden="false" customHeight="false" outlineLevel="0" collapsed="false">
      <c r="A62" s="0" t="s">
        <v>678</v>
      </c>
      <c r="B62" s="0" t="s">
        <v>679</v>
      </c>
      <c r="C62" s="0" t="s">
        <v>677</v>
      </c>
    </row>
    <row r="63" customFormat="false" ht="15" hidden="false" customHeight="false" outlineLevel="0" collapsed="false">
      <c r="A63" s="0" t="s">
        <v>680</v>
      </c>
      <c r="B63" s="0" t="s">
        <v>681</v>
      </c>
      <c r="C63" s="0" t="s">
        <v>682</v>
      </c>
    </row>
    <row r="64" customFormat="false" ht="15" hidden="false" customHeight="false" outlineLevel="0" collapsed="false">
      <c r="A64" s="0" t="s">
        <v>683</v>
      </c>
      <c r="B64" s="0" t="s">
        <v>684</v>
      </c>
      <c r="C64" s="0" t="s">
        <v>685</v>
      </c>
    </row>
    <row r="65" customFormat="false" ht="15" hidden="false" customHeight="false" outlineLevel="0" collapsed="false">
      <c r="A65" s="0" t="s">
        <v>686</v>
      </c>
      <c r="B65" s="0" t="s">
        <v>687</v>
      </c>
      <c r="C65" s="0" t="s">
        <v>688</v>
      </c>
    </row>
    <row r="66" customFormat="false" ht="15" hidden="false" customHeight="false" outlineLevel="0" collapsed="false">
      <c r="A66" s="0" t="s">
        <v>689</v>
      </c>
      <c r="B66" s="0" t="s">
        <v>690</v>
      </c>
      <c r="C66" s="0" t="s">
        <v>691</v>
      </c>
    </row>
    <row r="67" customFormat="false" ht="15" hidden="false" customHeight="false" outlineLevel="0" collapsed="false">
      <c r="A67" s="0" t="s">
        <v>692</v>
      </c>
      <c r="B67" s="0" t="s">
        <v>693</v>
      </c>
      <c r="C67" s="0" t="s">
        <v>694</v>
      </c>
    </row>
    <row r="68" customFormat="false" ht="15" hidden="false" customHeight="false" outlineLevel="0" collapsed="false">
      <c r="A68" s="0" t="s">
        <v>695</v>
      </c>
      <c r="B68" s="0" t="s">
        <v>696</v>
      </c>
      <c r="C68" s="0" t="s">
        <v>697</v>
      </c>
    </row>
    <row r="69" customFormat="false" ht="15" hidden="false" customHeight="false" outlineLevel="0" collapsed="false">
      <c r="A69" s="0" t="s">
        <v>698</v>
      </c>
      <c r="B69" s="0" t="s">
        <v>699</v>
      </c>
      <c r="C69" s="0" t="s">
        <v>700</v>
      </c>
    </row>
    <row r="70" customFormat="false" ht="15" hidden="false" customHeight="false" outlineLevel="0" collapsed="false">
      <c r="A70" s="0" t="s">
        <v>701</v>
      </c>
      <c r="B70" s="0" t="s">
        <v>702</v>
      </c>
      <c r="C70" s="0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4"/>
    <col collapsed="false" customWidth="true" hidden="false" outlineLevel="0" max="4" min="4" style="0" width="49"/>
  </cols>
  <sheetData>
    <row r="1" customFormat="false" ht="15" hidden="false" customHeight="false" outlineLevel="0" collapsed="false">
      <c r="A1" s="0" t="s">
        <v>704</v>
      </c>
      <c r="B1" s="0" t="s">
        <v>705</v>
      </c>
      <c r="C1" s="0" t="s">
        <v>706</v>
      </c>
      <c r="D1" s="0" t="s">
        <v>707</v>
      </c>
    </row>
    <row r="2" customFormat="false" ht="15" hidden="false" customHeight="false" outlineLevel="0" collapsed="false">
      <c r="A2" s="0" t="n">
        <v>1</v>
      </c>
      <c r="B2" s="0" t="s">
        <v>708</v>
      </c>
      <c r="C2" s="0" t="s">
        <v>709</v>
      </c>
      <c r="D2" s="0" t="s">
        <v>710</v>
      </c>
    </row>
    <row r="3" customFormat="false" ht="15" hidden="false" customHeight="false" outlineLevel="0" collapsed="false">
      <c r="A3" s="0" t="n">
        <v>2</v>
      </c>
      <c r="B3" s="0" t="s">
        <v>711</v>
      </c>
      <c r="C3" s="0" t="s">
        <v>709</v>
      </c>
      <c r="D3" s="0" t="s">
        <v>712</v>
      </c>
    </row>
    <row r="4" customFormat="false" ht="15" hidden="false" customHeight="false" outlineLevel="0" collapsed="false">
      <c r="A4" s="0" t="n">
        <v>3</v>
      </c>
      <c r="B4" s="0" t="s">
        <v>713</v>
      </c>
      <c r="C4" s="0" t="s">
        <v>714</v>
      </c>
      <c r="D4" s="0" t="s">
        <v>715</v>
      </c>
    </row>
    <row r="5" customFormat="false" ht="15" hidden="false" customHeight="false" outlineLevel="0" collapsed="false">
      <c r="A5" s="0" t="n">
        <v>4</v>
      </c>
      <c r="B5" s="0" t="s">
        <v>716</v>
      </c>
      <c r="C5" s="0" t="s">
        <v>717</v>
      </c>
      <c r="D5" s="0" t="s">
        <v>718</v>
      </c>
    </row>
    <row r="6" customFormat="false" ht="15" hidden="false" customHeight="false" outlineLevel="0" collapsed="false">
      <c r="A6" s="0" t="n">
        <v>5</v>
      </c>
      <c r="B6" s="0" t="s">
        <v>719</v>
      </c>
      <c r="C6" s="0" t="s">
        <v>720</v>
      </c>
      <c r="D6" s="0" t="s">
        <v>721</v>
      </c>
    </row>
    <row r="7" customFormat="false" ht="15" hidden="false" customHeight="false" outlineLevel="0" collapsed="false">
      <c r="A7" s="0" t="n">
        <v>6</v>
      </c>
      <c r="B7" s="0" t="s">
        <v>722</v>
      </c>
      <c r="C7" s="0" t="s">
        <v>20</v>
      </c>
      <c r="D7" s="0" t="s">
        <v>20</v>
      </c>
    </row>
    <row r="8" customFormat="false" ht="15" hidden="false" customHeight="false" outlineLevel="0" collapsed="false">
      <c r="A8" s="0" t="n">
        <v>7</v>
      </c>
      <c r="B8" s="0" t="s">
        <v>723</v>
      </c>
      <c r="C8" s="0" t="s">
        <v>724</v>
      </c>
      <c r="D8" s="0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726</v>
      </c>
      <c r="B1" s="0" t="s">
        <v>727</v>
      </c>
      <c r="C1" s="0" t="s">
        <v>59</v>
      </c>
      <c r="D1" s="0" t="s">
        <v>728</v>
      </c>
    </row>
    <row r="2" customFormat="false" ht="15" hidden="false" customHeight="false" outlineLevel="0" collapsed="false">
      <c r="A2" s="0" t="s">
        <v>729</v>
      </c>
      <c r="B2" s="0" t="s">
        <v>730</v>
      </c>
      <c r="C2" s="0" t="s">
        <v>731</v>
      </c>
      <c r="D2" s="0" t="s">
        <v>732</v>
      </c>
    </row>
    <row r="3" customFormat="false" ht="15" hidden="false" customHeight="false" outlineLevel="0" collapsed="false">
      <c r="A3" s="0" t="s">
        <v>733</v>
      </c>
      <c r="B3" s="0" t="s">
        <v>734</v>
      </c>
      <c r="C3" s="0" t="s">
        <v>731</v>
      </c>
      <c r="D3" s="0" t="s">
        <v>735</v>
      </c>
    </row>
    <row r="4" customFormat="false" ht="15" hidden="false" customHeight="false" outlineLevel="0" collapsed="false">
      <c r="A4" s="0" t="s">
        <v>736</v>
      </c>
      <c r="B4" s="0" t="s">
        <v>737</v>
      </c>
      <c r="C4" s="0" t="s">
        <v>731</v>
      </c>
      <c r="D4" s="0" t="s">
        <v>738</v>
      </c>
    </row>
    <row r="5" customFormat="false" ht="15" hidden="false" customHeight="false" outlineLevel="0" collapsed="false">
      <c r="A5" s="0" t="s">
        <v>739</v>
      </c>
      <c r="B5" s="0" t="s">
        <v>740</v>
      </c>
      <c r="C5" s="0" t="s">
        <v>731</v>
      </c>
      <c r="D5" s="0" t="s">
        <v>741</v>
      </c>
    </row>
    <row r="6" customFormat="false" ht="15" hidden="false" customHeight="false" outlineLevel="0" collapsed="false">
      <c r="A6" s="0" t="s">
        <v>742</v>
      </c>
      <c r="B6" s="0" t="s">
        <v>743</v>
      </c>
      <c r="C6" s="0" t="s">
        <v>731</v>
      </c>
      <c r="D6" s="0" t="s">
        <v>744</v>
      </c>
    </row>
    <row r="7" customFormat="false" ht="15" hidden="false" customHeight="false" outlineLevel="0" collapsed="false">
      <c r="A7" s="0" t="s">
        <v>745</v>
      </c>
      <c r="B7" s="0" t="s">
        <v>746</v>
      </c>
      <c r="C7" s="0" t="s">
        <v>731</v>
      </c>
      <c r="D7" s="0" t="s">
        <v>747</v>
      </c>
    </row>
    <row r="8" customFormat="false" ht="15" hidden="false" customHeight="false" outlineLevel="0" collapsed="false">
      <c r="A8" s="0" t="s">
        <v>748</v>
      </c>
      <c r="B8" s="0" t="s">
        <v>749</v>
      </c>
      <c r="C8" s="0" t="s">
        <v>731</v>
      </c>
      <c r="D8" s="0" t="s">
        <v>750</v>
      </c>
    </row>
    <row r="9" customFormat="false" ht="15" hidden="false" customHeight="false" outlineLevel="0" collapsed="false">
      <c r="A9" s="0" t="s">
        <v>751</v>
      </c>
      <c r="B9" s="0" t="s">
        <v>752</v>
      </c>
      <c r="C9" s="0" t="s">
        <v>731</v>
      </c>
      <c r="D9" s="0" t="s">
        <v>753</v>
      </c>
    </row>
    <row r="10" customFormat="false" ht="15" hidden="false" customHeight="false" outlineLevel="0" collapsed="false">
      <c r="A10" s="0" t="s">
        <v>754</v>
      </c>
      <c r="B10" s="0" t="s">
        <v>755</v>
      </c>
      <c r="C10" s="0" t="s">
        <v>731</v>
      </c>
      <c r="D10" s="0" t="s">
        <v>756</v>
      </c>
    </row>
    <row r="11" customFormat="false" ht="15" hidden="false" customHeight="false" outlineLevel="0" collapsed="false">
      <c r="A11" s="0" t="s">
        <v>757</v>
      </c>
      <c r="B11" s="0" t="s">
        <v>758</v>
      </c>
      <c r="C11" s="0" t="s">
        <v>731</v>
      </c>
      <c r="D11" s="0" t="s">
        <v>732</v>
      </c>
    </row>
    <row r="12" customFormat="false" ht="15" hidden="false" customHeight="false" outlineLevel="0" collapsed="false">
      <c r="A12" s="0" t="s">
        <v>759</v>
      </c>
      <c r="B12" s="0" t="s">
        <v>760</v>
      </c>
      <c r="C12" s="0" t="s">
        <v>731</v>
      </c>
      <c r="D12" s="0" t="s">
        <v>761</v>
      </c>
    </row>
    <row r="13" customFormat="false" ht="15" hidden="false" customHeight="false" outlineLevel="0" collapsed="false">
      <c r="A13" s="0" t="s">
        <v>762</v>
      </c>
      <c r="B13" s="0" t="s">
        <v>763</v>
      </c>
      <c r="C13" s="0" t="s">
        <v>731</v>
      </c>
      <c r="D13" s="0" t="s">
        <v>764</v>
      </c>
    </row>
    <row r="14" customFormat="false" ht="15" hidden="false" customHeight="false" outlineLevel="0" collapsed="false">
      <c r="A14" s="0" t="s">
        <v>765</v>
      </c>
      <c r="B14" s="0" t="s">
        <v>766</v>
      </c>
      <c r="C14" s="0" t="s">
        <v>731</v>
      </c>
      <c r="D14" s="0" t="s">
        <v>767</v>
      </c>
    </row>
    <row r="15" customFormat="false" ht="15" hidden="false" customHeight="false" outlineLevel="0" collapsed="false">
      <c r="A15" s="0" t="s">
        <v>768</v>
      </c>
      <c r="B15" s="0" t="s">
        <v>769</v>
      </c>
      <c r="C15" s="0" t="s">
        <v>731</v>
      </c>
      <c r="D15" s="0" t="s">
        <v>770</v>
      </c>
    </row>
    <row r="16" customFormat="false" ht="15" hidden="false" customHeight="false" outlineLevel="0" collapsed="false">
      <c r="A16" s="0" t="s">
        <v>771</v>
      </c>
      <c r="B16" s="0" t="s">
        <v>772</v>
      </c>
      <c r="C16" s="0" t="s">
        <v>731</v>
      </c>
      <c r="D16" s="0" t="s">
        <v>773</v>
      </c>
    </row>
    <row r="17" customFormat="false" ht="15" hidden="false" customHeight="false" outlineLevel="0" collapsed="false">
      <c r="A17" s="0" t="s">
        <v>774</v>
      </c>
      <c r="B17" s="0" t="s">
        <v>775</v>
      </c>
      <c r="C17" s="0" t="s">
        <v>731</v>
      </c>
      <c r="D17" s="0" t="s">
        <v>776</v>
      </c>
    </row>
    <row r="18" customFormat="false" ht="15" hidden="false" customHeight="false" outlineLevel="0" collapsed="false">
      <c r="A18" s="0" t="s">
        <v>777</v>
      </c>
      <c r="B18" s="0" t="s">
        <v>778</v>
      </c>
      <c r="C18" s="0" t="s">
        <v>731</v>
      </c>
      <c r="D18" s="0" t="s">
        <v>779</v>
      </c>
    </row>
    <row r="19" customFormat="false" ht="15" hidden="false" customHeight="false" outlineLevel="0" collapsed="false">
      <c r="A19" s="0" t="s">
        <v>780</v>
      </c>
      <c r="B19" s="0" t="s">
        <v>781</v>
      </c>
      <c r="C19" s="0" t="s">
        <v>731</v>
      </c>
      <c r="D19" s="0" t="s">
        <v>782</v>
      </c>
    </row>
    <row r="20" customFormat="false" ht="15" hidden="false" customHeight="false" outlineLevel="0" collapsed="false">
      <c r="A20" s="0" t="s">
        <v>783</v>
      </c>
      <c r="B20" s="0" t="s">
        <v>784</v>
      </c>
      <c r="C20" s="0" t="s">
        <v>731</v>
      </c>
      <c r="D20" s="0" t="s">
        <v>785</v>
      </c>
    </row>
    <row r="21" customFormat="false" ht="15" hidden="false" customHeight="false" outlineLevel="0" collapsed="false">
      <c r="A21" s="0" t="s">
        <v>786</v>
      </c>
      <c r="B21" s="0" t="s">
        <v>787</v>
      </c>
      <c r="C21" s="0" t="s">
        <v>731</v>
      </c>
      <c r="D21" s="0" t="s">
        <v>788</v>
      </c>
    </row>
    <row r="22" customFormat="false" ht="15" hidden="false" customHeight="false" outlineLevel="0" collapsed="false">
      <c r="A22" s="0" t="s">
        <v>789</v>
      </c>
      <c r="B22" s="0" t="s">
        <v>790</v>
      </c>
      <c r="C22" s="0" t="s">
        <v>791</v>
      </c>
      <c r="D22" s="0" t="s">
        <v>792</v>
      </c>
    </row>
    <row r="23" customFormat="false" ht="15" hidden="false" customHeight="false" outlineLevel="0" collapsed="false">
      <c r="A23" s="0" t="s">
        <v>793</v>
      </c>
      <c r="B23" s="0" t="s">
        <v>794</v>
      </c>
      <c r="C23" s="0" t="s">
        <v>731</v>
      </c>
      <c r="D23" s="0" t="s">
        <v>795</v>
      </c>
    </row>
    <row r="24" customFormat="false" ht="15" hidden="false" customHeight="false" outlineLevel="0" collapsed="false">
      <c r="A24" s="0" t="s">
        <v>796</v>
      </c>
      <c r="B24" s="0" t="s">
        <v>797</v>
      </c>
      <c r="C24" s="0" t="s">
        <v>731</v>
      </c>
      <c r="D24" s="0" t="s">
        <v>785</v>
      </c>
    </row>
    <row r="25" customFormat="false" ht="15" hidden="false" customHeight="false" outlineLevel="0" collapsed="false">
      <c r="A25" s="0" t="s">
        <v>798</v>
      </c>
      <c r="B25" s="0" t="s">
        <v>799</v>
      </c>
      <c r="C25" s="0" t="s">
        <v>731</v>
      </c>
      <c r="D25" s="0" t="s">
        <v>800</v>
      </c>
    </row>
    <row r="26" customFormat="false" ht="15" hidden="false" customHeight="false" outlineLevel="0" collapsed="false">
      <c r="A26" s="0" t="s">
        <v>801</v>
      </c>
      <c r="B26" s="0" t="s">
        <v>802</v>
      </c>
      <c r="C26" s="0" t="s">
        <v>791</v>
      </c>
      <c r="D26" s="0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804</v>
      </c>
    </row>
    <row r="2" customFormat="false" ht="15" hidden="false" customHeight="false" outlineLevel="0" collapsed="false">
      <c r="A2" s="0" t="s">
        <v>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2026-10-19T20:43:20Z</dcterms:created>
  <dc:creator>openpyxl</dc:creator>
  <dc:description/>
  <dc:language>en-US</dc:language>
  <cp:lastModifiedBy/>
  <dcterms:modified xsi:type="dcterms:W3CDTF">2026-10-19T20:43:20Z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