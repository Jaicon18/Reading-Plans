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<sst xmlns="http://schemas.openxmlformats.org/spreadsheetml/2006/main" count="1052" uniqueCount="662">
  <si>
    <t xml:space="preserve">Bank of America - Broomfield, CO (CO1-111)   |   METAL FRAMING &amp; DRYWALL TAKEOFF</t>
  </si>
  <si>
    <t xml:space="preserve">Bid set: boa_SIN_MARKUPS.pdf (Drive 11IXNHfdM94K8kwL1RHo8clIoTQbezVBp)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</si>
  <si>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</si>
  <si>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</si>
  <si>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</si>
  <si>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</si>
  <si>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</si>
  <si>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</si>
  <si>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</si>
  <si>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</si>
  <si>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</si>
  <si>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</si>
  <si>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</si>
  <si>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</si>
  <si>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</si>
  <si>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</si>
  <si>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</si>
  <si>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</si>
  <si>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</si>
  <si>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</si>
  <si>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</si>
  <si>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</si>
  <si>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</si>
  <si>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</si>
  <si>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</si>
  <si>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</si>
  <si>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</si>
  <si>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</si>
  <si>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</si>
  <si>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</si>
  <si>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</si>
  <si>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</si>
  <si>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</si>
  <si>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</si>
  <si>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</si>
  <si>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</si>
  <si>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</si>
  <si>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</si>
  <si>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</si>
  <si>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</si>
  <si>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</si>
  <si>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</si>
  <si>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</si>
  <si>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</si>
  <si>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</si>
  <si>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</si>
  <si>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</si>
  <si>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</si>
  <si>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</si>
  <si>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</si>
  <si>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</si>
  <si>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</si>
  <si>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</si>
  <si>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</si>
  <si>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</si>
  <si>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</si>
  <si>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</si>
  <si>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</si>
  <si>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</si>
  <si>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</si>
  <si>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</si>
  <si>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#G1-01  -  105 / 106</t>
  </si>
  <si>
    <t xml:space="preserve">G1-01</t>
  </si>
  <si>
    <t xml:space="preserve">1-5/8"</t>
  </si>
  <si>
    <t xml:space="preserve">105 / 106</t>
  </si>
  <si>
    <t xml:space="preserve">5/A12.01</t>
  </si>
  <si>
    <t xml:space="preserve">[CONFIRMED]</t>
  </si>
  <si>
    <t xml:space="preserve">G1  #G1-S1  -  109 / 103</t>
  </si>
  <si>
    <t xml:space="preserve">G1-S1</t>
  </si>
  <si>
    <t xml:space="preserve">109 / 103</t>
  </si>
  <si>
    <t xml:space="preserve">[DERIVED]</t>
  </si>
  <si>
    <t xml:space="preserve">G1  #G1-S2  -  109 / 110 / 103</t>
  </si>
  <si>
    <t xml:space="preserve">G1-S2</t>
  </si>
  <si>
    <t xml:space="preserve">109 / 110 / 103</t>
  </si>
  <si>
    <t xml:space="preserve">G1  #G1-S3  -  110 / 103</t>
  </si>
  <si>
    <t xml:space="preserve">G1-S3</t>
  </si>
  <si>
    <t xml:space="preserve">110 / 103</t>
  </si>
  <si>
    <t xml:space="preserve">TYPE G</t>
  </si>
  <si>
    <t xml:space="preserve">G  #G-01  -  106 / 107</t>
  </si>
  <si>
    <t xml:space="preserve">G-01</t>
  </si>
  <si>
    <t xml:space="preserve">106 / 107</t>
  </si>
  <si>
    <t xml:space="preserve">G  #G-02  -  107 / 108</t>
  </si>
  <si>
    <t xml:space="preserve">G-02</t>
  </si>
  <si>
    <t xml:space="preserve">107 / 108</t>
  </si>
  <si>
    <t xml:space="preserve">G  #G-03+G-S5  -  108 / 116 + 103 / 108 (incl. jog G-S5 0.973 LF)</t>
  </si>
  <si>
    <t xml:space="preserve">G-03+G-S5</t>
  </si>
  <si>
    <t xml:space="preserve">108 / 116 + 103 / 108 (incl. jog G-S5 0.973 LF)</t>
  </si>
  <si>
    <t xml:space="preserve">G  #G-S1  -  103 / 105</t>
  </si>
  <si>
    <t xml:space="preserve">G-S1</t>
  </si>
  <si>
    <t xml:space="preserve">103 / 105</t>
  </si>
  <si>
    <t xml:space="preserve">G  #G-S2  -  103 / 106</t>
  </si>
  <si>
    <t xml:space="preserve">G-S2</t>
  </si>
  <si>
    <t xml:space="preserve">103 / 106</t>
  </si>
  <si>
    <t xml:space="preserve">G  #G-S3  -  103 / 107</t>
  </si>
  <si>
    <t xml:space="preserve">G-S3</t>
  </si>
  <si>
    <t xml:space="preserve">103 / 107</t>
  </si>
  <si>
    <t xml:space="preserve">G  #G-S4  -  103 / 108</t>
  </si>
  <si>
    <t xml:space="preserve">G-S4</t>
  </si>
  <si>
    <t xml:space="preserve">103 / 108</t>
  </si>
  <si>
    <t xml:space="preserve">G  #G-04  -  102 / 109</t>
  </si>
  <si>
    <t xml:space="preserve">G-04</t>
  </si>
  <si>
    <t xml:space="preserve">102 / 109</t>
  </si>
  <si>
    <t xml:space="preserve">G  #G-06  -  109 / 110</t>
  </si>
  <si>
    <t xml:space="preserve">G-06</t>
  </si>
  <si>
    <t xml:space="preserve">109 / 110</t>
  </si>
  <si>
    <t xml:space="preserve">G  #G-05  -  110 / 114</t>
  </si>
  <si>
    <t xml:space="preserve">G-05</t>
  </si>
  <si>
    <t xml:space="preserve">110 / 114</t>
  </si>
  <si>
    <t xml:space="preserve">TYPE B2K</t>
  </si>
  <si>
    <t xml:space="preserve">B2K  #B2K-01  -  108 / 103</t>
  </si>
  <si>
    <t xml:space="preserve">B2K-01</t>
  </si>
  <si>
    <t xml:space="preserve">6"</t>
  </si>
  <si>
    <t xml:space="preserve">108 / 103</t>
  </si>
  <si>
    <t xml:space="preserve">4/A12.01</t>
  </si>
  <si>
    <t xml:space="preserve">TYPE A1K</t>
  </si>
  <si>
    <t xml:space="preserve">A1K  #A1K-01  -  116 / 103</t>
  </si>
  <si>
    <t xml:space="preserve">A1K-01</t>
  </si>
  <si>
    <t xml:space="preserve">3-5/8"</t>
  </si>
  <si>
    <t xml:space="preserve">116 / 103</t>
  </si>
  <si>
    <t xml:space="preserve">A1K  #A1K-02  -  116 / 103</t>
  </si>
  <si>
    <t xml:space="preserve">A1K-02</t>
  </si>
  <si>
    <t xml:space="preserve">A1K  #A1K-03  -  118 / 103</t>
  </si>
  <si>
    <t xml:space="preserve">A1K-03</t>
  </si>
  <si>
    <t xml:space="preserve">118 / 103</t>
  </si>
  <si>
    <t xml:space="preserve">TYPE B2</t>
  </si>
  <si>
    <t xml:space="preserve">B2  #B2-01  -  102 / 103</t>
  </si>
  <si>
    <t xml:space="preserve">B2-01</t>
  </si>
  <si>
    <t xml:space="preserve">102 / 103</t>
  </si>
  <si>
    <t xml:space="preserve">1/A12.01</t>
  </si>
  <si>
    <t xml:space="preserve">B2  #B2-02  -  114 / 111</t>
  </si>
  <si>
    <t xml:space="preserve">B2-02</t>
  </si>
  <si>
    <t xml:space="preserve">114 / 111</t>
  </si>
  <si>
    <t xml:space="preserve">B2  #B2-03  -  113 / 117 / 115 / 111</t>
  </si>
  <si>
    <t xml:space="preserve">B2-03</t>
  </si>
  <si>
    <t xml:space="preserve">113 / 117 / 115 / 111</t>
  </si>
  <si>
    <t xml:space="preserve">B2  #B2-04  -  118 / 116 / 119</t>
  </si>
  <si>
    <t xml:space="preserve">B2-04</t>
  </si>
  <si>
    <t xml:space="preserve">118 / 116 / 119</t>
  </si>
  <si>
    <t xml:space="preserve">TYPE F</t>
  </si>
  <si>
    <t xml:space="preserve">F  #F-01  -  101 / 102</t>
  </si>
  <si>
    <t xml:space="preserve">F-01</t>
  </si>
  <si>
    <t xml:space="preserve">101 / 102</t>
  </si>
  <si>
    <t xml:space="preserve">12/A12.01</t>
  </si>
  <si>
    <t xml:space="preserve">TYPE C1</t>
  </si>
  <si>
    <t xml:space="preserve">C1  #C1-01  -  114</t>
  </si>
  <si>
    <t xml:space="preserve">C1-01</t>
  </si>
  <si>
    <t xml:space="preserve">114</t>
  </si>
  <si>
    <t xml:space="preserve">6/A12.01</t>
  </si>
  <si>
    <t xml:space="preserve">C1  #C1-02  -  113</t>
  </si>
  <si>
    <t xml:space="preserve">C1-02</t>
  </si>
  <si>
    <t xml:space="preserve">113</t>
  </si>
  <si>
    <t xml:space="preserve">C1  #C1-03  -  103</t>
  </si>
  <si>
    <t xml:space="preserve">C1-03</t>
  </si>
  <si>
    <t xml:space="preserve">103</t>
  </si>
  <si>
    <t xml:space="preserve">C1  #C1-04  -  116</t>
  </si>
  <si>
    <t xml:space="preserve">C1-04</t>
  </si>
  <si>
    <t xml:space="preserve">116</t>
  </si>
  <si>
    <t xml:space="preserve">C1  #PIER-NW  -  100</t>
  </si>
  <si>
    <t xml:space="preserve">PIER-NW</t>
  </si>
  <si>
    <t xml:space="preserve">100</t>
  </si>
  <si>
    <t xml:space="preserve">1/A09.25</t>
  </si>
  <si>
    <t xml:space="preserve">C1  #PIER-NE  -  100</t>
  </si>
  <si>
    <t xml:space="preserve">PIER-NE</t>
  </si>
  <si>
    <t xml:space="preserve">2/A09.25</t>
  </si>
  <si>
    <t xml:space="preserve">C1  #GBOX-N  -  101</t>
  </si>
  <si>
    <t xml:space="preserve">GBOX-N</t>
  </si>
  <si>
    <t xml:space="preserve">101</t>
  </si>
  <si>
    <t xml:space="preserve">3/A08.21</t>
  </si>
  <si>
    <t xml:space="preserve">C1  #GBOX-S  -  101</t>
  </si>
  <si>
    <t xml:space="preserve">GBOX-S</t>
  </si>
  <si>
    <t xml:space="preserve">TYPE A1</t>
  </si>
  <si>
    <t xml:space="preserve">A1  #A1-01  -  114 / 113 / 111</t>
  </si>
  <si>
    <t xml:space="preserve">A1-01</t>
  </si>
  <si>
    <t xml:space="preserve">114 / 113 / 111</t>
  </si>
  <si>
    <t xml:space="preserve">3/A12.01</t>
  </si>
  <si>
    <t xml:space="preserve">A1  #A1-02  -  114 / 111</t>
  </si>
  <si>
    <t xml:space="preserve">A1-02</t>
  </si>
  <si>
    <t xml:space="preserve">A1  #A1-03  -  111 / 113</t>
  </si>
  <si>
    <t xml:space="preserve">A1-03</t>
  </si>
  <si>
    <t xml:space="preserve">111 / 113</t>
  </si>
  <si>
    <t xml:space="preserve">A1  #A1-04  -  111 / 122 / 118 / 120 / 121</t>
  </si>
  <si>
    <t xml:space="preserve">A1-04</t>
  </si>
  <si>
    <t xml:space="preserve">111 / 122 / 118 / 120 / 121</t>
  </si>
  <si>
    <t xml:space="preserve">A1  #A1-05  -  103 / 122</t>
  </si>
  <si>
    <t xml:space="preserve">A1-05</t>
  </si>
  <si>
    <t xml:space="preserve">103 / 122</t>
  </si>
  <si>
    <t xml:space="preserve">A1  #A1-06  -  103 / 122</t>
  </si>
  <si>
    <t xml:space="preserve">A1-06</t>
  </si>
  <si>
    <t xml:space="preserve">A1  #A1-07  -  103 / 122</t>
  </si>
  <si>
    <t xml:space="preserve">A1-07</t>
  </si>
  <si>
    <t xml:space="preserve">A1  #A1-08  -  122 / 118</t>
  </si>
  <si>
    <t xml:space="preserve">A1-08</t>
  </si>
  <si>
    <t xml:space="preserve">122 / 118</t>
  </si>
  <si>
    <t xml:space="preserve">A1  #A1-09  -  118 / 103</t>
  </si>
  <si>
    <t xml:space="preserve">A1-09</t>
  </si>
  <si>
    <t xml:space="preserve">A1  #A1-12  -  103 / 111</t>
  </si>
  <si>
    <t xml:space="preserve">A1-12</t>
  </si>
  <si>
    <t xml:space="preserve">103 / 111</t>
  </si>
  <si>
    <t xml:space="preserve">A1  #A1-10  -  103 / 118</t>
  </si>
  <si>
    <t xml:space="preserve">A1-10</t>
  </si>
  <si>
    <t xml:space="preserve">103 / 118</t>
  </si>
  <si>
    <t xml:space="preserve">A1  #A1-11  -  116 / 119</t>
  </si>
  <si>
    <t xml:space="preserve">A1-11</t>
  </si>
  <si>
    <t xml:space="preserve">116 / 119</t>
  </si>
  <si>
    <t xml:space="preserve">TYPE B</t>
  </si>
  <si>
    <t xml:space="preserve">B  #B-01  -  113 / 112 / 117</t>
  </si>
  <si>
    <t xml:space="preserve">B-01</t>
  </si>
  <si>
    <t xml:space="preserve">113 / 112 / 117</t>
  </si>
  <si>
    <t xml:space="preserve">B  #B-02  -  112 / 117</t>
  </si>
  <si>
    <t xml:space="preserve">B-02</t>
  </si>
  <si>
    <t xml:space="preserve">112 / 117</t>
  </si>
  <si>
    <t xml:space="preserve">B  #B-03  -  112 / 117 / 115</t>
  </si>
  <si>
    <t xml:space="preserve">B-03</t>
  </si>
  <si>
    <t xml:space="preserve">112 / 117 / 115</t>
  </si>
  <si>
    <t xml:space="preserve">B  #B-04  -  118 / 120</t>
  </si>
  <si>
    <t xml:space="preserve">B-04</t>
  </si>
  <si>
    <t xml:space="preserve">118 / 120</t>
  </si>
  <si>
    <t xml:space="preserve">B  #B-05  -  120 / 121</t>
  </si>
  <si>
    <t xml:space="preserve">B-05</t>
  </si>
  <si>
    <t xml:space="preserve">120 / 121</t>
  </si>
  <si>
    <t xml:space="preserve">B  #B-06  -  120 / 121 / 118</t>
  </si>
  <si>
    <t xml:space="preserve">B-06</t>
  </si>
  <si>
    <t xml:space="preserve">120 / 121 / 118</t>
  </si>
  <si>
    <t xml:space="preserve">TYPE A5</t>
  </si>
  <si>
    <t xml:space="preserve">A5  #A5-01  -  103 / 122</t>
  </si>
  <si>
    <t xml:space="preserve">A5-01</t>
  </si>
  <si>
    <t xml:space="preserve">A5  #A5-02  -  122 / 103</t>
  </si>
  <si>
    <t xml:space="preserve">A5-02</t>
  </si>
  <si>
    <t xml:space="preserve">122 / 103</t>
  </si>
  <si>
    <t xml:space="preserve">A5  #A5-03  -  118 / 116</t>
  </si>
  <si>
    <t xml:space="preserve">A5-03</t>
  </si>
  <si>
    <t xml:space="preserve">118 / 116</t>
  </si>
  <si>
    <t xml:space="preserve">TYPE EXT-6CFMF</t>
  </si>
  <si>
    <t xml:space="preserve">EXT-6CFMF  #EXT-8N+EXT-8S  -  105-108,116 + 116,119</t>
  </si>
  <si>
    <t xml:space="preserve">EXT-8N+EXT-8S</t>
  </si>
  <si>
    <t xml:space="preserve">105-108,116 + 116,119</t>
  </si>
  <si>
    <t xml:space="preserve">C/A09.21</t>
  </si>
  <si>
    <t xml:space="preserve">EXT-6CFMF  #EXT-A  -  115,111,121,118,119</t>
  </si>
  <si>
    <t xml:space="preserve">EXT-A</t>
  </si>
  <si>
    <t xml:space="preserve">115,111,121,118,119</t>
  </si>
  <si>
    <t xml:space="preserve">EXT-6CFMF  #EXT-3N+EXT-3S  -  109,110 + 114,113,112,115</t>
  </si>
  <si>
    <t xml:space="preserve">EXT-3N+EXT-3S</t>
  </si>
  <si>
    <t xml:space="preserve">109,110 + 114,113,112,115</t>
  </si>
  <si>
    <t xml:space="preserve">EXT-6CFMF  #EXT-2  -  101,102</t>
  </si>
  <si>
    <t xml:space="preserve">EXT-2</t>
  </si>
  <si>
    <t xml:space="preserve">101,102</t>
  </si>
  <si>
    <t xml:space="preserve">EXT-6CFMF  #EXT-D  -  EXT-D</t>
  </si>
  <si>
    <t xml:space="preserve">EXT-D</t>
  </si>
  <si>
    <t xml:space="preserve">EXT-6CFMF  #EXT-FN  -  105</t>
  </si>
  <si>
    <t xml:space="preserve">EXT-FN</t>
  </si>
  <si>
    <t xml:space="preserve">105</t>
  </si>
  <si>
    <t xml:space="preserve">TYPE CANOPY-COL</t>
  </si>
  <si>
    <t xml:space="preserve">CANOPY-COL  #CCOL-G  -  CCOL-G</t>
  </si>
  <si>
    <t xml:space="preserve">CCOL-G</t>
  </si>
  <si>
    <t xml:space="preserve">5/A09.25</t>
  </si>
  <si>
    <t xml:space="preserve">CANOPY-COL  #CCOL-E4  -  CCOL-E4</t>
  </si>
  <si>
    <t xml:space="preserve">CCOL-E4</t>
  </si>
  <si>
    <t xml:space="preserve">CANOPY-COL  #CCOL-C5  -  CCOL-C5</t>
  </si>
  <si>
    <t xml:space="preserve">CCOL-C5</t>
  </si>
  <si>
    <t xml:space="preserve">CANOPY-COL  #CCOL-B2  -  CCOL-B2</t>
  </si>
  <si>
    <t xml:space="preserve">CCOL-B2</t>
  </si>
  <si>
    <t xml:space="preserve">TYPE EXT-PARAPET</t>
  </si>
  <si>
    <t xml:space="preserve">EXT-PARAPET  #PAR-2T+PAR-2  -  PAR-2T + PAR-2</t>
  </si>
  <si>
    <t xml:space="preserve">PAR-2T+PAR-2</t>
  </si>
  <si>
    <t xml:space="preserve">6" parapet</t>
  </si>
  <si>
    <t xml:space="preserve">PAR-2T + PAR-2</t>
  </si>
  <si>
    <t xml:space="preserve">11/S5.10</t>
  </si>
  <si>
    <t xml:space="preserve">EXT-PARAPET  #PAR-D  -  PAR-D</t>
  </si>
  <si>
    <t xml:space="preserve">PAR-D</t>
  </si>
  <si>
    <t xml:space="preserve">EXT-PARAPET  #PAR-3N+PAR-3S  -  PAR-3N + PAR-3S</t>
  </si>
  <si>
    <t xml:space="preserve">PAR-3N+PAR-3S</t>
  </si>
  <si>
    <t xml:space="preserve">PAR-3N + PAR-3S</t>
  </si>
  <si>
    <t xml:space="preserve">EXT-PARAPET  #PAR-A  -  PAR-A</t>
  </si>
  <si>
    <t xml:space="preserve">PAR-A</t>
  </si>
  <si>
    <t xml:space="preserve">EXT-PARAPET  #PAR-8S+PAR-8N  -  PAR-8S + PAR-8N</t>
  </si>
  <si>
    <t xml:space="preserve">PAR-8S+PAR-8N</t>
  </si>
  <si>
    <t xml:space="preserve">PAR-8S + PAR-8N</t>
  </si>
  <si>
    <t xml:space="preserve">EXT-PARAPET  #PAR-F  -  PAR-F</t>
  </si>
  <si>
    <t xml:space="preserve">PAR-F</t>
  </si>
  <si>
    <t xml:space="preserve">EXT-PARAPET  #PAR-GT  -  PAR-GT</t>
  </si>
  <si>
    <t xml:space="preserve">PAR-GT</t>
  </si>
  <si>
    <t xml:space="preserve">EXT-PARAPET  #PAR-4T  -  PAR-4T</t>
  </si>
  <si>
    <t xml:space="preserve">PAR-4T</t>
  </si>
  <si>
    <t xml:space="preserve">TYPE BULKHEAD-G</t>
  </si>
  <si>
    <t xml:space="preserve">BULKHEAD-G  #BH-105+BH-106+BH-107+BH-108  -  105 / 103 + 106 / 103 + 107 / 103 + 108 / 103</t>
  </si>
  <si>
    <t xml:space="preserve">BH-105+BH-106+BH-107+BH-108</t>
  </si>
  <si>
    <t xml:space="preserve">105 / 103 + 106 / 103 + 107 / 103 + 108 / 103</t>
  </si>
  <si>
    <t xml:space="preserve">9/A12.01</t>
  </si>
  <si>
    <t xml:space="preserve">BULKHEAD-G  #BH-109+BH-110  -  109 / 103 + 110 / 103</t>
  </si>
  <si>
    <t xml:space="preserve">BH-109+BH-110</t>
  </si>
  <si>
    <t xml:space="preserve">109 / 103 + 110 / 103</t>
  </si>
  <si>
    <t xml:space="preserve">TOTAL - PARTITIONS</t>
  </si>
  <si>
    <t xml:space="preserve">TYPE OTHER FRAMING (NOT A PARTITION)</t>
  </si>
  <si>
    <t xml:space="preserve">storefront_cripples  #SF-G1  -  100</t>
  </si>
  <si>
    <t xml:space="preserve">SF-G1</t>
  </si>
  <si>
    <t xml:space="preserve">storefront_cripples  #SF-G2  -  103</t>
  </si>
  <si>
    <t xml:space="preserve">SF-G2</t>
  </si>
  <si>
    <t xml:space="preserve">storefront_cripples  #SF-W1  -  101</t>
  </si>
  <si>
    <t xml:space="preserve">SF-W1</t>
  </si>
  <si>
    <t xml:space="preserve">vestibule_head  #VH-1  -  100 / 101</t>
  </si>
  <si>
    <t xml:space="preserve">VH-1</t>
  </si>
  <si>
    <t xml:space="preserve">100 / 101</t>
  </si>
  <si>
    <t xml:space="preserve">4/A12.10</t>
  </si>
  <si>
    <t xml:space="preserve">vestibule_head  #VH-2  -  100 / 103</t>
  </si>
  <si>
    <t xml:space="preserve">VH-2</t>
  </si>
  <si>
    <t xml:space="preserve">100 / 103</t>
  </si>
  <si>
    <t xml:space="preserve">grille_head  #GRILLE-HEAD  -  101 / 103</t>
  </si>
  <si>
    <t xml:space="preserve">GRILLE-HEAD</t>
  </si>
  <si>
    <t xml:space="preserve">2-1/2"</t>
  </si>
  <si>
    <t xml:space="preserve">101 / 103</t>
  </si>
  <si>
    <t xml:space="preserve">4/A08.21</t>
  </si>
  <si>
    <t xml:space="preserve">roof_step  #RS-1  -  RS-1</t>
  </si>
  <si>
    <t xml:space="preserve">RS-1</t>
  </si>
  <si>
    <t xml:space="preserve">4/A02.02</t>
  </si>
  <si>
    <t xml:space="preserve">roof_step  #RS-2  -  rooms south of B</t>
  </si>
  <si>
    <t xml:space="preserve">RS-2</t>
  </si>
  <si>
    <t xml:space="preserve">rooms south of B</t>
  </si>
  <si>
    <t xml:space="preserve">roof_step  #RS-3  -  rooms north of B</t>
  </si>
  <si>
    <t xml:space="preserve">RS-3</t>
  </si>
  <si>
    <t xml:space="preserve">rooms north of B</t>
  </si>
  <si>
    <t xml:space="preserve">soffit_side  #CSR-W  -  103</t>
  </si>
  <si>
    <t xml:space="preserve">CSR-W</t>
  </si>
  <si>
    <t xml:space="preserve">10/A09.33</t>
  </si>
  <si>
    <t xml:space="preserve">soffit_side  #CSR-E  -  116</t>
  </si>
  <si>
    <t xml:space="preserve">CSR-E</t>
  </si>
  <si>
    <t xml:space="preserve">fascia_box  #FASCIA-G  -  FASCIA-G</t>
  </si>
  <si>
    <t xml:space="preserve">FASCIA-G</t>
  </si>
  <si>
    <t xml:space="preserve">3-5/8" canopy</t>
  </si>
  <si>
    <t xml:space="preserve">A04.01 canopy fascia vector; 3/A09.26 SECTION DETAIL @ ENTRANCE CANOPY; A04.01</t>
  </si>
  <si>
    <t xml:space="preserve">fascia_box  #FASCIA-1  -  FASCIA-1</t>
  </si>
  <si>
    <t xml:space="preserve">FASCIA-1</t>
  </si>
  <si>
    <t xml:space="preserve">A04.01 canopy fascia vector; 15/A09.27, 16/A09.27 DRIVE UP CANOPY; A04.01</t>
  </si>
  <si>
    <t xml:space="preserve">fascia_box  #FASCIA-8  -  FASCIA-8</t>
  </si>
  <si>
    <t xml:space="preserve">FASCIA-8</t>
  </si>
  <si>
    <t xml:space="preserve">A04.01 canopy fascia vector; 7/A09.26 SECTION DETAIL @ SIDE CANOPY; A04.01</t>
  </si>
  <si>
    <t xml:space="preserve">fascia_box  #FASCIA-A  -  FASCIA-A</t>
  </si>
  <si>
    <t xml:space="preserve">FASCIA-A</t>
  </si>
  <si>
    <t xml:space="preserve">A04.01 canopy fascia vector; 7/A09.26 SIM (canopy door 123); A04.01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</si>
  <si>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</si>
  <si>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</si>
  <si>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</si>
  <si>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</si>
  <si>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</si>
  <si>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</si>
  <si>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</si>
  <si>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</si>
  <si>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</si>
  <si>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</si>
  <si>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</si>
  <si>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</si>
  <si>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600S162-54 / 600S137-33 (exterior CFMF)</t>
  </si>
  <si>
    <t xml:space="preserve">LF</t>
  </si>
  <si>
    <t xml:space="preserve">stick 20 ft</t>
  </si>
  <si>
    <t xml:space="preserve">familias_out.json '6" stud (all gauges)'; S1.11 note 5; 7/S5.20; J/A09.23</t>
  </si>
  <si>
    <t xml:space="preserve">3-5/8" metal stud 362S137-33 (A1K / B2K: 14 ga per 4/A12.01)</t>
  </si>
  <si>
    <t xml:space="preserve">familias_out.json '3-5/8" stud (all gauges)'; 3/A12.01; 1/A12.01; 12/A12.01; 7/S5.20</t>
  </si>
  <si>
    <t xml:space="preserve">1-5/8" metal stud (double row, type G / G1)</t>
  </si>
  <si>
    <t xml:space="preserve">familias_out.json '1-5/8" stud'; 5/A12.01</t>
  </si>
  <si>
    <t xml:space="preserve">6" parapet stud 600S162-54 @16"</t>
  </si>
  <si>
    <t xml:space="preserve">familias_out.json '6" parapet stud'; 11/S5.10; 4/A09.26</t>
  </si>
  <si>
    <t xml:space="preserve">Bottom track (all sizes)</t>
  </si>
  <si>
    <t xml:space="preserve">run 10 ft</t>
  </si>
  <si>
    <t xml:space="preserve">familias_out.json 'bottom track (all)'; 1/A12.01; 3/A12.01; 7/S5.20</t>
  </si>
  <si>
    <t xml:space="preserve">Top / deflection track (all sizes, slip track)</t>
  </si>
  <si>
    <t xml:space="preserve">familias_out.json 'top / deflection track (all)'; 1/A12.01; 3/A12.01; 10/S5.10</t>
  </si>
  <si>
    <t xml:space="preserve">Track at ceilings / soffits</t>
  </si>
  <si>
    <t xml:space="preserve">familias_out.json 'ceiling / soffit track'; 7/A09.33; 10/A09.33; 7/A09.26</t>
  </si>
  <si>
    <t xml:space="preserve">Bracing C.R. channel 1-1/2" @ 48"</t>
  </si>
  <si>
    <t xml:space="preserve">C.R. channel 16 ft</t>
  </si>
  <si>
    <t xml:space="preserve">familias_out.json 'bracing C.R. channel'; F/S5.20</t>
  </si>
  <si>
    <t xml:space="preserve">Purlin (track to deck)</t>
  </si>
  <si>
    <t xml:space="preserve">familias_out.json 'purlin (track to deck)'; 10/S5.10; 1/A12.01</t>
  </si>
  <si>
    <t xml:space="preserve">Header / box beam (track and stud pieces)</t>
  </si>
  <si>
    <t xml:space="preserve">familias_out.json 'header / box beam'; 7/S5.20; 6/A08.11; 8/A12.01</t>
  </si>
  <si>
    <t xml:space="preserve">Sill track</t>
  </si>
  <si>
    <t xml:space="preserve">familias_out.json 'sill track'; 2/S5.20</t>
  </si>
  <si>
    <t xml:space="preserve">Furring channel 7/8" @ 16" (GB ceilings)</t>
  </si>
  <si>
    <t xml:space="preserve">hat channel 12 ft</t>
  </si>
  <si>
    <t xml:space="preserve">familias_out.json 'furring channel'; A04.01; 10/A09.33</t>
  </si>
  <si>
    <t xml:space="preserve">Carrying channel 1-1/2" C.R. @ 48" (GB ceilings)</t>
  </si>
  <si>
    <t xml:space="preserve">familias_out.json 'carrying channel'; A04.01; 3/A09.33</t>
  </si>
  <si>
    <t xml:space="preserve">Hanger wire 12 ga</t>
  </si>
  <si>
    <t xml:space="preserve">familias_out.json 'hanger wire'; 3/A09.33</t>
  </si>
  <si>
    <t xml:space="preserve">5/8" gypsum board, regular (walls + ceilings)</t>
  </si>
  <si>
    <t xml:space="preserve">SF</t>
  </si>
  <si>
    <t xml:space="preserve">4x12 ft sheet</t>
  </si>
  <si>
    <t xml:space="preserve">familias_out.json '5/8" gyp board regular (walls + ceilings)'; 1/A12.01; 3/A12.01; 5/A12.01; A04.01</t>
  </si>
  <si>
    <t xml:space="preserve">5/8" gypsum board, moisture resistant</t>
  </si>
  <si>
    <t xml:space="preserve">familias_out.json '5/8" gyp MOISTURE RESISTANT'; A-D/A08.01</t>
  </si>
  <si>
    <t xml:space="preserve">Ballistic panel UL 752 (fiberglass) 3/8"</t>
  </si>
  <si>
    <t xml:space="preserve">4x8 ft sheet</t>
  </si>
  <si>
    <t xml:space="preserve">familias_out.json 'ballistic panel'; 4/A12.01</t>
  </si>
  <si>
    <t xml:space="preserve">3/8" gyp board (teller line customer side)</t>
  </si>
  <si>
    <t xml:space="preserve">familias_out.json '3/8" gyp board'; 4/A12.01</t>
  </si>
  <si>
    <t xml:space="preserve">5/8" glass mat sheathing (band / soffit)</t>
  </si>
  <si>
    <t xml:space="preserve">familias_out.json '5/8" glass mat sheathing'; A09.01; 7/A09.26</t>
  </si>
  <si>
    <t xml:space="preserve">5/8" exterior gyp sheathing (parapet roof side)</t>
  </si>
  <si>
    <t xml:space="preserve">familias_out.json '5/8" EXTERIOR gyp sheathing'; 4/A09.26; A/A09.21</t>
  </si>
  <si>
    <t xml:space="preserve">FRT blocking (2x wood)</t>
  </si>
  <si>
    <t xml:space="preserve">familias_out.json 'FRT blocking'; 8/A12.01; A02.01</t>
  </si>
  <si>
    <t xml:space="preserve">Metal stud blocking 362CR / stud blocking</t>
  </si>
  <si>
    <t xml:space="preserve">familias_out.json 'metal stud blocking (362CR / STUD BLOCKING)'; 4/S5.20</t>
  </si>
  <si>
    <t xml:space="preserve">Metal trim (corner bead, casing bead, shadow molding)</t>
  </si>
  <si>
    <t xml:space="preserve">trim stick 10 ft</t>
  </si>
  <si>
    <t xml:space="preserve">familias_out.json 'metal trim (corner bead, casing, shadow molding)'; 10/A09.33; 4/A12.01</t>
  </si>
  <si>
    <t xml:space="preserve">Cement board 1/2" (tile backer)</t>
  </si>
  <si>
    <t xml:space="preserve">3x5 ft sheet</t>
  </si>
  <si>
    <t xml:space="preserve">familias_out.json 'cement board'; A-D/A08.01</t>
  </si>
  <si>
    <t xml:space="preserve">FRP panel</t>
  </si>
  <si>
    <t xml:space="preserve">familias_out.json 'FRP'; A-D/A08.01; 5/A08.01</t>
  </si>
  <si>
    <t xml:space="preserve">Acoustical sealant</t>
  </si>
  <si>
    <t xml:space="preserve">tube (25 LF per tube)</t>
  </si>
  <si>
    <t xml:space="preserve">familias_out.json 'acoustical sealant'; 1/A12.01; 3/A12.01; 5/A12.01</t>
  </si>
  <si>
    <t xml:space="preserve">Framed openings MEP (track / stud framing at fixtures and slot diffusers)</t>
  </si>
  <si>
    <t xml:space="preserve">fo_out.json framed_openings.py 'framed openings MEP'; E00.01; E02.01; M03.01; M01.01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</si>
  <si>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</si>
  <si>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</si>
  <si>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C/A09.21; 7/A09.26; 12/A12.01</t>
  </si>
  <si>
    <t xml:space="preserve">5/8" FRT plywood bonded to 2-1/2" polyiso (exterior sheathing / nailbase)</t>
  </si>
  <si>
    <t xml:space="preserve">3/4" FRT plywood</t>
  </si>
  <si>
    <t xml:space="preserve">5/8"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</si>
  <si>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</si>
  <si>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</si>
  <si>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</si>
  <si>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</si>
  <si>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</si>
  <si>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</si>
  <si>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</si>
  <si>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</si>
  <si>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</si>
  <si>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registered sweep (offset dx -572.0 dy 22.0) crossing #0; 6/S5.20; 6/S5.20; M01.01 registered sweep (offset dx -572.0 dy 22.0) crossing #1; 6/S5.20; 6/S5.20; M01.01 registered sweep (offset dx -572.0 dy 22.0) crossing #2; 6/S</t>
  </si>
  <si>
    <t xml:space="preserve">Extra framing - sistered stud and furring at the ATM recess</t>
  </si>
  <si>
    <t xml:space="preserve">accesorios.py [CRITERION]: 6/A08.11 2 1/2" METAL STUD SISTERED TO 6" METAL STUD</t>
  </si>
  <si>
    <t xml:space="preserve">2-1/2" CFMF @ 16" O.C. at coiling grille head (4/A08.21)</t>
  </si>
  <si>
    <t xml:space="preserve">accesorios.py [DERIVED]: 4/A08.21 1'-6" chain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</si>
  <si>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</si>
  <si>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</si>
  <si>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</si>
  <si>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5'-0" TO TOP OF FRP; A08.01 rectangular room; A05.01 key note 6 FRP 4'-0" AFF WIDTH OF MOP SINK BOTH SIDES; 5/A08.01 (sink width not dimensioned: 2'-0" RFI-16)</t>
  </si>
  <si>
    <t xml:space="preserve">Power-driven fasteners and duct sleeves</t>
  </si>
  <si>
    <t xml:space="preserve">accesorios.py [DERIVED]: Parapet infill: PAFs SPACED AT 12" O.C. MAX to the steel beam; M01.01 registered sweep (offset dx -572.0 dy 22.0) crossing #0; 6/S5.20; M01.01 registered sweep (offset dx -572.0 dy 22.0) crossing #10; 6/S5.20; M01.01 registered sweep (offse</t>
  </si>
  <si>
    <t xml:space="preserve">Access panel</t>
  </si>
  <si>
    <t xml:space="preserve">accesorios.py [CONFIRMED]: A04.01 key note 4</t>
  </si>
  <si>
    <t xml:space="preserve">Drywall screws 1-1/4" bugle head</t>
  </si>
  <si>
    <t xml:space="preserve">accesorios.py [DERIVED]: Inputs!B20 (Drywall screws per SF of board = 1.2) x 19207.5 SF of board</t>
  </si>
  <si>
    <t xml:space="preserve">Framing screws, pan head self-drilling</t>
  </si>
  <si>
    <t xml:space="preserve">accesorios.py [DERIVED]: Inputs!B21 (Framing screws per stud piece = 4) x 1727 stud pieces</t>
  </si>
  <si>
    <t xml:space="preserve">Power-driven fasteners, slab pins for the bottom track</t>
  </si>
  <si>
    <t xml:space="preserve">accesorios.py [DERIVED]: 534.81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</si>
  <si>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</si>
  <si>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211.38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</si>
  <si>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</si>
  <si>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</si>
  <si>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</si>
  <si>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19207.5 SF of board</t>
  </si>
  <si>
    <t xml:space="preserve">Joint tape, paper</t>
  </si>
  <si>
    <t xml:space="preserve">accesorios.py [DERIVED]: Inputs!B24 (Joint tape (LF per SF) = 0.37) x 19207.5 SF of board</t>
  </si>
  <si>
    <t xml:space="preserve">Level 5 finish</t>
  </si>
  <si>
    <t xml:space="preserve">accesorios.py [DERIVED]: A05.01 WC-18 office 105; A00.40 WC-18 WALL SURFACE TO BE LEVEL 5; A05.01 WC-18 office 106; A00.40 WC-18 WALL SURFACE TO BE LEVEL 5; A05.01 WC-18 office 107; A00.40 WC-18 WALL SURFACE TO BE LEVEL 5; A05.01 WC-18 office 108; A00.40 WC-18 WALL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</si>
  <si>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</si>
  <si>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</si>
  <si>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</si>
  <si>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</si>
  <si>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</si>
  <si>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83.15 lf</t>
  </si>
  <si>
    <t xml:space="preserve">RFI-ACC-extra-framing-atm</t>
  </si>
  <si>
    <t xml:space="preserve">extra framing ATM: DU ATM: ATM recess not fully dimensioned (width CONFIRMED, sistered height DERIVED, furring rows DERIVED)</t>
  </si>
  <si>
    <t xml:space="preserve">4.78 lf</t>
  </si>
  <si>
    <t xml:space="preserve">RFI-ACC-gypsum-board-jamb-return</t>
  </si>
  <si>
    <t xml:space="preserve">gypsum board jamb return: jamb return width not dimensioned</t>
  </si>
  <si>
    <t xml:space="preserve">-50.04 sf</t>
  </si>
  <si>
    <t xml:space="preserve">RFI-ACC-slab-pins</t>
  </si>
  <si>
    <t xml:space="preserve">slab pins: pin spacing: 12" (interior anchorage) vs 16" (fastener schedule) vs 24" (type K box)</t>
  </si>
  <si>
    <t xml:space="preserve">16in: -133.7 pcs; 24in: -267.4 pcs</t>
  </si>
  <si>
    <t xml:space="preserve">RFI-01</t>
  </si>
  <si>
    <t xml:space="preserve">Elevation titles on A09.01 / A09.02 (NORTH / SOUTH) are transposed against the plan (S2.20 note: BUILDING FOOTPRINT MIRRORED NORTH-SOUTH). Take-off follows the grid lines (G = storefront side, A = egress side). Confirm.</t>
  </si>
  <si>
    <t xml:space="preserve">0 LF: identification only, quantities follow the grids</t>
  </si>
  <si>
    <t xml:space="preserve">RFI-02</t>
  </si>
  <si>
    <t xml:space="preserve">S1.11 note 5: exterior studs 600S162-54 @ 16" O.C., @ 12" within 6 ft of building corners, vs S5.20 600S137-33. Carried 600S162-54 @ 16" without the @ 12" corner zones. Confirm gauge and corner spacing.</t>
  </si>
  <si>
    <t xml:space="preserve">+115 LF to +246 LF 6" stud if @ 12" within 6 ft of building corners (4 to 8+ corners; whole studs x 15.4 ft) [DERIVED]</t>
  </si>
  <si>
    <t xml:space="preserve">RFI-03</t>
  </si>
  <si>
    <t xml:space="preserve">GB ceiling suspension is not detailed (A04.01 / A09.33): carried 7/8" furring channel @ 16", 1-1/2" C.R. @ 48", 12 ga hanger wire @ 48". Confirm system.</t>
  </si>
  <si>
    <t xml:space="preserve">-226.16 LF furring channel if @ 24" (canon formula per room); carrying direction N-S instead of E-W: +16.1 to +18.6 LF carrying channel</t>
  </si>
  <si>
    <t xml:space="preserve">RFI-04</t>
  </si>
  <si>
    <t xml:space="preserve">Bracing C.R. channel carried continuous across openings (literal). Confirm if it stops at openings.</t>
  </si>
  <si>
    <t xml:space="preserve">-103.42 LF bracing C.R. channel</t>
  </si>
  <si>
    <t xml:space="preserve">RFI-05</t>
  </si>
  <si>
    <t xml:space="preserve">Bottom track: door R.O. not deducted (estimator criterion). Confirm.</t>
  </si>
  <si>
    <t xml:space="preserve">-43.83 LF bottom track if door R.O. deducted (canon.py); -50.50 LF if openings 111 and 118A (openings_extra) are also deducted</t>
  </si>
  <si>
    <t xml:space="preserve">RFI-06</t>
  </si>
  <si>
    <t xml:space="preserve">Storefront heads (lobby G, vestibule G, vestibule west): S2.20 HSS9x5x5/8 (LLV) lintels = steel by others; no metal-stud header carried. Confirm.</t>
  </si>
  <si>
    <t xml:space="preserve">0 LF: steel by others, no metal-frame quantity</t>
  </si>
  <si>
    <t xml:space="preserve">RFI-07</t>
  </si>
  <si>
    <t xml:space="preserve">R-11C / R-11CE linear gyp slot (room 104): E00.01 description 12' vs catalog code WH-20'-0". Carried 12' (= drawn on A04.01).</t>
  </si>
  <si>
    <t xml:space="preserve">+64.0 LF framed openings MEP if 20'</t>
  </si>
  <si>
    <t xml:space="preserve">RFI-08</t>
  </si>
  <si>
    <t xml:space="preserve">UU1-UU6 linear recessed fixtures in canopy soffits: catalog LSR-WET-2.5 vs drawn width 5" to 6" (E02.01). Carried drawn width. UU5 50' is longer than the east canopy soffit (48.05 ft).</t>
  </si>
  <si>
    <t xml:space="preserve">-9.13 LF framed openings MEP at 2-1/2" width; &gt;= -3.9 LF if UU5 is limited to the soffit length</t>
  </si>
  <si>
    <t xml:space="preserve">RFI-09</t>
  </si>
  <si>
    <t xml:space="preserve">UU1-UU6 canopy soffit fixtures carried as framed openings in the canopy soffit framing (PT-4 on 5/8" FRT plywood on studs, 7/A09.26). Confirm the opening framing is by the framing contractor.</t>
  </si>
  <si>
    <t xml:space="preserve">-703.88 LF framed openings MEP if by others</t>
  </si>
  <si>
    <t xml:space="preserve">RFI-10</t>
  </si>
  <si>
    <t xml:space="preserve">6/A08.11 DU ATM: furring under the fiber cement panel carried in 'extra framing ATM' (accesorios.py rule) although it is cladding substrate (60.4). Confirm who furnishes it.</t>
  </si>
  <si>
    <t xml:space="preserve">-4.35 LF extra framing ATM (2 rows x 2.177 ft)</t>
  </si>
  <si>
    <t xml:space="preserve">RFI-11</t>
  </si>
  <si>
    <t xml:space="preserve">Cladding substrate (7/8" hat channel at EPS-5 metal panel A09.25 / A09.27, self-furring metal lath at PT-3 stucco A09.31, PT-4 stucco at canopy soffits with control joints and SA-4 vents A04.01 / 16/A09.27) EXCLUDED from metal frame / drywall scope (alcance_filtro.py). Confirm.</t>
  </si>
  <si>
    <t xml:space="preserve">n/a: excluded scope, not measured (quantity to be taken only if the RFI answer includes it)</t>
  </si>
  <si>
    <t xml:space="preserve">RFI-12</t>
  </si>
  <si>
    <t xml:space="preserve">E26 partial beams: G1-01, G-S3, G-04, G-06, B-01, B-03 are only partly under a beam (28-55 %); studs carried to deck full length. Confirm.</t>
  </si>
  <si>
    <t xml:space="preserve">-29.9 LF stud if studs stop under the beam where covered (recomputed per beam)</t>
  </si>
  <si>
    <t xml:space="preserve">RFI-13</t>
  </si>
  <si>
    <t xml:space="preserve">MEP penetrations: 3/4" domestic water (P01.02) carried with no plate (&lt;= 1" centered in web, 6/S5.20); MEP-20 duct crosses above door 119 header; MEP-30 (4" OD at EXT-8N) and MEP-31 (2" ST at G-01) added where the CAD line is cut at a fitting. Confirm.</t>
  </si>
  <si>
    <t xml:space="preserve">-2 PCS without MEP-30/31; +3 PCS if water lines take plates; -4 PCS if the 4 storm lines to exterior CO run below grade (check A09.02); +11 PCS if double-row G/G1 walls take one plate per row; -20 PCS if ducts pass between studs without cutting one (criterion carried: 1 stud cut per duct)</t>
  </si>
  <si>
    <t xml:space="preserve">RFI-14</t>
  </si>
  <si>
    <t xml:space="preserve">Fire-rated 3/4" FRT plywood backboards ELEC 120 / NER 121: carried full wall width per 1, 2, 3, 5/A11.03 (32.39 LF x 8'-0"); E02.02 note 29 calls 8'x7'-6" in NER. Confirm height.</t>
  </si>
  <si>
    <t xml:space="preserve">-16.2 SF 3/4" FRT plywood if 7'-6" high</t>
  </si>
  <si>
    <t xml:space="preserve">RFI-15</t>
  </si>
  <si>
    <t xml:space="preserve">Exterior opening perimeter 3/4" FRT plywood width not dimensioned (11/A09.27, 10/A09.27, 2/A09.26): carried 6".</t>
  </si>
  <si>
    <t xml:space="preserve">+115.56 SF FRT plywood per +6" of width (231.11 LF)</t>
  </si>
  <si>
    <t xml:space="preserve">RFI-16</t>
  </si>
  <si>
    <t xml:space="preserve">Mop sink FRP (A05.01 key note 6): sink width not dimensioned, carried 2'-0" both sides x 4'-0" AFF.</t>
  </si>
  <si>
    <t xml:space="preserve">+4 SF FRP per +6" of sink width</t>
  </si>
  <si>
    <t xml:space="preserve">RFI-18</t>
  </si>
  <si>
    <t xml:space="preserve">Roof step RS-2 / RS-3 (9/S5.10): second and third framing rows and their heights not dimensioned; carried 3 rows.</t>
  </si>
  <si>
    <t xml:space="preserve">-41 LF stud per row removed; +/-41 LF per foot of row height</t>
  </si>
  <si>
    <t xml:space="preserve">RFI-19</t>
  </si>
  <si>
    <t xml:space="preserve">FEC-1 recessed fire extinguisher cabinet framing: cabinet size not dimensioned; FEC-2 is a bracket (no framing).</t>
  </si>
  <si>
    <t xml:space="preserve">+6.67 LF framing if FEC-1 needs a 24" framed opening</t>
  </si>
  <si>
    <t xml:space="preserve">RFI-20</t>
  </si>
  <si>
    <t xml:space="preserve">Office front bulkheads BH-109 / BH-110: base taken from the 7'-6" HOLD clear opening dims (A02.01) and 8'-0 1/2" HOLD (A11.01). Confirm.</t>
  </si>
  <si>
    <t xml:space="preserve">+/-2 LF 1-5/8" stud per inch of base height change (approx.)</t>
  </si>
  <si>
    <t xml:space="preserve">RFI-21</t>
  </si>
  <si>
    <t xml:space="preserve">PAFs and duct sleeves: 20 duct sleeves carried in the metal frame scope (accesorios.py). Confirm they are not by the mechanical contractor.</t>
  </si>
  <si>
    <t xml:space="preserve">-20 PCS duct sleeves if by mechanical</t>
  </si>
  <si>
    <t xml:space="preserve">RFI-22</t>
  </si>
  <si>
    <t xml:space="preserve">SOUNDGUARD ISOLATOR by Marinoware between the two stud rows of types G / G1 and office bulkheads (5, 8, 9, 10/A12.01): not carried as a material row (no tool family). Confirm count per stud pair.</t>
  </si>
  <si>
    <t xml:space="preserve">+312 EA (2 per stud pair, as drawn); +156 EA minimum (1 per pair)</t>
  </si>
  <si>
    <t xml:space="preserve">RFI-23</t>
  </si>
  <si>
    <t xml:space="preserve">A02.01 note C 'PROVIDE BLOCKING FOR ALL EQUIPMENT AND ACCESSORIES MOUNTED ON WALLS': lockers, cork boards, wellness and work room equipment (A11.02, A03.01 key note 24 TV), roof ladder 3/A09.30 not located on elevations.</t>
  </si>
  <si>
    <t xml:space="preserve">+39 LF metal stud blocking; +8 LF 2x FRT blocking; +15 SF 3/4" FRT plywood</t>
  </si>
  <si>
    <t xml:space="preserve">RFI-24</t>
  </si>
  <si>
    <t xml:space="preserve">Board behind C1 furring (A1-05 behind C1-03, A1K-02 behind C1-04) and G-04 room 109 face over EXT-D: carried boarded (wall finished before furring). Confirm.</t>
  </si>
  <si>
    <t xml:space="preserve">-273.7 SF 5/8" gyp board regular if not boarded</t>
  </si>
  <si>
    <t xml:space="preserve">RFI-25</t>
  </si>
  <si>
    <t xml:space="preserve">Canopy fascia box (7/A09.26, 3/A09.26, 15/16/A09.27): 5/8" exterior FRT plywood carried on the front face only; the air barrier wraps top and back.</t>
  </si>
  <si>
    <t xml:space="preserve">+120.6 SF (top only) to +570 SF (top + back) 5/8" exterior FRT plywood</t>
  </si>
  <si>
    <t xml:space="preserve">RFI-26</t>
  </si>
  <si>
    <t xml:space="preserve">ATM plinths 'GC BUILT' (3, 4, 6/A08.11): carpentry not carried (Div 06 / ATM vendor).</t>
  </si>
  <si>
    <t xml:space="preserve">+12.8 LF 2x4 FRT; +5.3 LF 4x4 FRT; +30 SF 3/4" FRT plywood if in scope</t>
  </si>
  <si>
    <t xml:space="preserve">RFI-27</t>
  </si>
  <si>
    <t xml:space="preserve">Opening perimeter 3/4" FRT plywood: HM door 123 (4/A09.25, 14/A09.27) not in the list; DU ATM perimeter appears in two plywood rows (6/A08.11).</t>
  </si>
  <si>
    <t xml:space="preserve">+8.8 SF (door 123); -4.78 SF (DU ATM double)</t>
  </si>
  <si>
    <t xml:space="preserve">RFI-28</t>
  </si>
  <si>
    <t xml:space="preserve">Free ends of C1 furring (C1-03, C1-04, 6/A12.01): return board and corner bead not carried.</t>
  </si>
  <si>
    <t xml:space="preserve">+37.7 SF 5/8" gyp board; +82 LF corner bead</t>
  </si>
  <si>
    <t xml:space="preserve">RFI-29</t>
  </si>
  <si>
    <t xml:space="preserve">Canopy soffit track (corridas CSOF-x) plus the 2 fascia box tracks (7/A09.26): possible double where the joist rim acts as bottom track of the box.</t>
  </si>
  <si>
    <t xml:space="preserve">-241.2 LF track at ceilings / soffits if double</t>
  </si>
  <si>
    <t xml:space="preserve">RFI-30</t>
  </si>
  <si>
    <t xml:space="preserve">EXT-A grid 6 to 8: S2.20 shows W14x22 over 17.67 LF (W18x35 elsewhere); canon stops all EXT-A studs under W18x35.</t>
  </si>
  <si>
    <t xml:space="preserve">+4.7 LF 6" stud (0.333 ft x 14 studs)</t>
  </si>
  <si>
    <t xml:space="preserve">RFI-31</t>
  </si>
  <si>
    <t xml:space="preserve">SD / SDR TBDI-10 slot diffusers (M03.01 SIZE SEE DRAWING): framed at slot length 12'-0" / 2'-0"; drawn housing 12.87 / 2.29 ft on M01.01. Confirm with submittal.</t>
  </si>
  <si>
    <t xml:space="preserve">+9.3 LF framed openings MEP if framed to the housing</t>
  </si>
  <si>
    <t xml:space="preserve">RFI-32</t>
  </si>
  <si>
    <t xml:space="preserve">7/S5.20 exterior headers: 2-600CSJ18 up to 4'-0" and 2-600CSJ14 up to 8'-0" (GL-2 windows); purchase gauge not split in the header row.</t>
  </si>
  <si>
    <t xml:space="preserve">0 LF: gauge split only</t>
  </si>
  <si>
    <t xml:space="preserve">RFI-17</t>
  </si>
  <si>
    <t xml:space="preserve">Office front continuous box beam west (109-110): run carried 18.34 ft from plan vs printed 7'-6" HOLD openings; east 39.973 ft. Confirm extents (8/A12.01).</t>
  </si>
  <si>
    <t xml:space="preserve">-8.03 LF header (west) and -23.90 LF header (east) if framed opening by opening instead of continuous runs</t>
  </si>
  <si>
    <t xml:space="preserve">#</t>
  </si>
  <si>
    <t xml:space="preserve">Item</t>
  </si>
  <si>
    <t xml:space="preserve">Sheet + detail</t>
  </si>
  <si>
    <t xml:space="preserve">Image</t>
  </si>
  <si>
    <t xml:space="preserve">Elevation titles transposed vs plan; quantities follow grids</t>
  </si>
  <si>
    <t xml:space="preserve">A09.01; A09.02; S2.20</t>
  </si>
  <si>
    <t xml:space="preserve">A02.01_type_EXT.jpg</t>
  </si>
  <si>
    <t xml:space="preserve">Exterior stud gauge / corner spacing S1.11 vs S5.20 (RFI-02)</t>
  </si>
  <si>
    <t xml:space="preserve">S1.11; 7/S5.20</t>
  </si>
  <si>
    <t xml:space="preserve">GB ceiling suspension criterion (RFI-03)</t>
  </si>
  <si>
    <t xml:space="preserve">A04.01; 3/A09.33</t>
  </si>
  <si>
    <t xml:space="preserve">A04.01_GB_ceilings.jpg</t>
  </si>
  <si>
    <t xml:space="preserve">Framed openings MEP: R-11C/CE length, UU width and canopy scope (RFI-07/08/09)</t>
  </si>
  <si>
    <t xml:space="preserve">E00.01; E02.01; M03.01</t>
  </si>
  <si>
    <t xml:space="preserve">E02.01_framed_openings_fixtures.jpg</t>
  </si>
  <si>
    <t xml:space="preserve">MEP penetrations registered sweep, 31 crossings (RFI-13)</t>
  </si>
  <si>
    <t xml:space="preserve">M01.01; P01.01; P01.02; 6/S5.20</t>
  </si>
  <si>
    <t xml:space="preserve">A02.01_MEP_penetrations.jpg</t>
  </si>
  <si>
    <t xml:space="preserve">Door bulkheads BH-105..108 under beams (E26) shortened by beam depth</t>
  </si>
  <si>
    <t xml:space="preserve">9/A12.01; S2.20</t>
  </si>
  <si>
    <t xml:space="preserve">A02.01_type_G.jpg</t>
  </si>
  <si>
    <t xml:space="preserve">Partial beams over 6 walls carried to deck (RFI-12)</t>
  </si>
  <si>
    <t xml:space="preserve">S2.20; 10/S5.10</t>
  </si>
  <si>
    <t xml:space="preserve">Backboards height 8' (E02.02 note 29) and ELEC 120 extent (RFI-14)</t>
  </si>
  <si>
    <t xml:space="preserve">E02.02; A02.01 key note 6</t>
  </si>
  <si>
    <t xml:space="preserve">A02.01_type_A1.jpg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</si>
  <si>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</si>
  <si>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</si>
  <si>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</si>
  <si>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</si>
  <si>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</si>
  <si>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</si>
  <si>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familias_out.json (canon.py)</t>
  </si>
  <si>
    <t xml:space="preserve">ALC-02</t>
  </si>
  <si>
    <t xml:space="preserve">Exterior wall framing (CFMF)</t>
  </si>
  <si>
    <t xml:space="preserve">ALC-03</t>
  </si>
  <si>
    <t xml:space="preserve">Parapet framing</t>
  </si>
  <si>
    <t xml:space="preserve">ALC-04</t>
  </si>
  <si>
    <t xml:space="preserve">Top / deflection and bottom track</t>
  </si>
  <si>
    <t xml:space="preserve">ALC-05</t>
  </si>
  <si>
    <t xml:space="preserve">Headers, sills and jambs at openings</t>
  </si>
  <si>
    <t xml:space="preserve">ALC-06</t>
  </si>
  <si>
    <t xml:space="preserve">Bracing / bridging</t>
  </si>
  <si>
    <t xml:space="preserve">ALC-07</t>
  </si>
  <si>
    <t xml:space="preserve">Gypsum board on walls (layers per type)</t>
  </si>
  <si>
    <t xml:space="preserve">ALC-08</t>
  </si>
  <si>
    <t xml:space="preserve">Moisture / abuse / special board at wet zones</t>
  </si>
  <si>
    <t xml:space="preserve">ALC-09</t>
  </si>
  <si>
    <t xml:space="preserve">Exterior gypsum / glass mat sheathing</t>
  </si>
  <si>
    <t xml:space="preserve">ALC-10</t>
  </si>
  <si>
    <t xml:space="preserve">FRT plywood sheathing / substrate</t>
  </si>
  <si>
    <t xml:space="preserve">ALC-11</t>
  </si>
  <si>
    <t xml:space="preserve">Gypsum board ceilings</t>
  </si>
  <si>
    <t xml:space="preserve">ALC-12</t>
  </si>
  <si>
    <t xml:space="preserve">Ceiling suspension (furring / carrying channel / hanger wire / ceiling track)</t>
  </si>
  <si>
    <t xml:space="preserve">ALC-13</t>
  </si>
  <si>
    <t xml:space="preserve">Soffits and bulkheads (framing + board)</t>
  </si>
  <si>
    <t xml:space="preserve">ALC-14</t>
  </si>
  <si>
    <t xml:space="preserve">Canopy / marquee framing and sheathing</t>
  </si>
  <si>
    <t xml:space="preserve">ALC-15</t>
  </si>
  <si>
    <t xml:space="preserve">Column furring / wraps</t>
  </si>
  <si>
    <t xml:space="preserve">Canopy column wraps CCOL-G/E4/C5/B2 and glass boxes GBOX-N/S (5/A09.25)</t>
  </si>
  <si>
    <t xml:space="preserve">ALC-16</t>
  </si>
  <si>
    <t xml:space="preserve">Blocking (FRT wood / metal) for millwork and accessories</t>
  </si>
  <si>
    <t xml:space="preserve">ALC-17</t>
  </si>
  <si>
    <t xml:space="preserve">Framed openings (MEP, access panels, diffusers)</t>
  </si>
  <si>
    <t xml:space="preserve">framed_openings.py (E02.01 fixtures, M01.01 slot diffusers) + access panel; RFI-07/08/09</t>
  </si>
  <si>
    <t xml:space="preserve">ALC-18</t>
  </si>
  <si>
    <t xml:space="preserve">Trim: corner bead, casing bead, control joints, reveals</t>
  </si>
  <si>
    <t xml:space="preserve">ALC-19</t>
  </si>
  <si>
    <t xml:space="preserve">Acoustical sealant / sound attenuation</t>
  </si>
  <si>
    <t xml:space="preserve">ALC-20</t>
  </si>
  <si>
    <t xml:space="preserve">FRP / cement board / tile backer</t>
  </si>
  <si>
    <t xml:space="preserve">ALC-21</t>
  </si>
  <si>
    <t xml:space="preserve">Shaft walls / area separation walls</t>
  </si>
  <si>
    <t xml:space="preserve">NOT APPLICABLE</t>
  </si>
  <si>
    <t xml:space="preserve">A02.01: no shaft wall or area separation wall shown</t>
  </si>
  <si>
    <t xml:space="preserve">ALC-22</t>
  </si>
  <si>
    <t xml:space="preserve">Rated assemblies (UL designs) and their board type</t>
  </si>
  <si>
    <t xml:space="preserve">No rated partition assembly on A02.01; fire-rated 3/4" plywood backboards per A02.01 key note 6 and E02.02 note 29 carried in FRT plywood</t>
  </si>
  <si>
    <t xml:space="preserve">ALC-23</t>
  </si>
  <si>
    <t xml:space="preserve">Special panels (ballistic, lead-lined, abuse)</t>
  </si>
  <si>
    <t xml:space="preserve">Ballistic panel UL 752 per 4/A12.01 (types A1K/B2K)</t>
  </si>
  <si>
    <t xml:space="preserve">ALC-24</t>
  </si>
  <si>
    <t xml:space="preserve">Finish level (Level 4 / Level 5)</t>
  </si>
  <si>
    <t xml:space="preserve">Level 5 finish per A05.01 / A00.40 (accesorios.py)</t>
  </si>
  <si>
    <t xml:space="preserve">ALC-X1</t>
  </si>
  <si>
    <t xml:space="preserve">Cladding substrate (hat channel / metal lath)</t>
  </si>
  <si>
    <t xml:space="preserve">EXCLUDED by alcance_filtro.py; RFI-11</t>
  </si>
  <si>
    <t xml:space="preserve">ALC-X26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</si>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</sst>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9"/>
    <col collapsed="false" customWidth="true" hidden="false" outlineLevel="0" max="10" min="10" style="0" width="60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11.771</v>
      </c>
      <c r="D6" s="0" t="n">
        <v>15.375</v>
      </c>
      <c r="E6" s="0" t="n">
        <v>4</v>
      </c>
      <c r="F6" s="0" t="s">
        <v>63</v>
      </c>
      <c r="G6" s="0" t="n">
        <v>16</v>
      </c>
      <c r="H6" s="0" t="n">
        <v>723.92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1.173</v>
      </c>
      <c r="D7" s="0" t="n">
        <v>15.375</v>
      </c>
      <c r="E7" s="0" t="n">
        <v>4</v>
      </c>
      <c r="F7" s="0" t="s">
        <v>63</v>
      </c>
      <c r="G7" s="0" t="n">
        <v>16</v>
      </c>
      <c r="H7" s="0" t="n">
        <v>72.14</v>
      </c>
      <c r="I7" s="0" t="s">
        <v>69</v>
      </c>
      <c r="J7" s="0" t="s">
        <v>65</v>
      </c>
      <c r="K7" s="0" t="s">
        <v>70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n">
        <v>3.84</v>
      </c>
      <c r="D8" s="0" t="n">
        <v>15.375</v>
      </c>
      <c r="E8" s="0" t="n">
        <v>6</v>
      </c>
      <c r="F8" s="0" t="s">
        <v>63</v>
      </c>
      <c r="G8" s="0" t="n">
        <v>16</v>
      </c>
      <c r="H8" s="0" t="n">
        <v>220.57</v>
      </c>
      <c r="I8" s="0" t="s">
        <v>73</v>
      </c>
      <c r="J8" s="0" t="s">
        <v>65</v>
      </c>
      <c r="K8" s="0" t="s">
        <v>70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3.727</v>
      </c>
      <c r="D9" s="0" t="n">
        <v>15.375</v>
      </c>
      <c r="E9" s="0" t="n">
        <v>4</v>
      </c>
      <c r="F9" s="0" t="s">
        <v>63</v>
      </c>
      <c r="G9" s="0" t="n">
        <v>16</v>
      </c>
      <c r="H9" s="0" t="n">
        <v>201.73</v>
      </c>
      <c r="I9" s="0" t="s">
        <v>76</v>
      </c>
      <c r="J9" s="0" t="s">
        <v>65</v>
      </c>
      <c r="K9" s="0" t="s">
        <v>70</v>
      </c>
    </row>
    <row r="10" customFormat="false" ht="15" hidden="false" customHeight="false" outlineLevel="0" collapsed="false">
      <c r="A10" s="5" t="s">
        <v>77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n">
        <v>11.771</v>
      </c>
      <c r="D11" s="0" t="n">
        <v>15.375</v>
      </c>
      <c r="E11" s="0" t="n">
        <v>4</v>
      </c>
      <c r="F11" s="0" t="s">
        <v>63</v>
      </c>
      <c r="G11" s="0" t="n">
        <v>16</v>
      </c>
      <c r="H11" s="0" t="n">
        <v>723.92</v>
      </c>
      <c r="I11" s="0" t="s">
        <v>80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n">
        <v>11.771</v>
      </c>
      <c r="D12" s="0" t="n">
        <v>15.375</v>
      </c>
      <c r="E12" s="0" t="n">
        <v>4</v>
      </c>
      <c r="F12" s="0" t="s">
        <v>63</v>
      </c>
      <c r="G12" s="0" t="n">
        <v>16</v>
      </c>
      <c r="H12" s="0" t="n">
        <v>723.92</v>
      </c>
      <c r="I12" s="0" t="s">
        <v>83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n">
        <v>11.046</v>
      </c>
      <c r="D13" s="0" t="n">
        <v>15.375</v>
      </c>
      <c r="E13" s="0" t="n">
        <v>4</v>
      </c>
      <c r="F13" s="0" t="s">
        <v>63</v>
      </c>
      <c r="G13" s="0" t="n">
        <v>16</v>
      </c>
      <c r="H13" s="0" t="n">
        <v>679.32</v>
      </c>
      <c r="I13" s="0" t="s">
        <v>86</v>
      </c>
      <c r="J13" s="0" t="s">
        <v>65</v>
      </c>
      <c r="K13" s="0" t="s">
        <v>70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0" t="n">
        <v>2.42</v>
      </c>
      <c r="D14" s="0" t="n">
        <v>14.383</v>
      </c>
      <c r="E14" s="0" t="n">
        <v>4</v>
      </c>
      <c r="F14" s="0" t="s">
        <v>63</v>
      </c>
      <c r="G14" s="0" t="n">
        <v>16</v>
      </c>
      <c r="H14" s="0" t="n">
        <v>148.82</v>
      </c>
      <c r="I14" s="0" t="s">
        <v>89</v>
      </c>
      <c r="J14" s="0" t="s">
        <v>65</v>
      </c>
      <c r="K14" s="0" t="s">
        <v>70</v>
      </c>
    </row>
    <row r="15" customFormat="false" ht="15" hidden="false" customHeight="false" outlineLevel="0" collapsed="false">
      <c r="A15" s="0" t="s">
        <v>90</v>
      </c>
      <c r="B15" s="0" t="s">
        <v>91</v>
      </c>
      <c r="C15" s="0" t="n">
        <v>3.467</v>
      </c>
      <c r="D15" s="0" t="n">
        <v>14.383</v>
      </c>
      <c r="E15" s="0" t="n">
        <v>4</v>
      </c>
      <c r="F15" s="0" t="s">
        <v>63</v>
      </c>
      <c r="G15" s="0" t="n">
        <v>16</v>
      </c>
      <c r="H15" s="0" t="n">
        <v>213.22</v>
      </c>
      <c r="I15" s="0" t="s">
        <v>92</v>
      </c>
      <c r="J15" s="0" t="s">
        <v>65</v>
      </c>
      <c r="K15" s="0" t="s">
        <v>70</v>
      </c>
    </row>
    <row r="16" customFormat="false" ht="15" hidden="false" customHeight="false" outlineLevel="0" collapsed="false">
      <c r="A16" s="0" t="s">
        <v>93</v>
      </c>
      <c r="B16" s="0" t="s">
        <v>94</v>
      </c>
      <c r="C16" s="0" t="n">
        <v>3.253</v>
      </c>
      <c r="D16" s="0" t="n">
        <v>15.375</v>
      </c>
      <c r="E16" s="0" t="n">
        <v>4</v>
      </c>
      <c r="F16" s="0" t="s">
        <v>63</v>
      </c>
      <c r="G16" s="0" t="n">
        <v>16</v>
      </c>
      <c r="H16" s="0" t="n">
        <v>200.06</v>
      </c>
      <c r="I16" s="0" t="s">
        <v>95</v>
      </c>
      <c r="J16" s="0" t="s">
        <v>65</v>
      </c>
      <c r="K16" s="0" t="s">
        <v>70</v>
      </c>
    </row>
    <row r="17" customFormat="false" ht="15" hidden="false" customHeight="false" outlineLevel="0" collapsed="false">
      <c r="A17" s="0" t="s">
        <v>96</v>
      </c>
      <c r="B17" s="0" t="s">
        <v>97</v>
      </c>
      <c r="C17" s="0" t="n">
        <v>3.253</v>
      </c>
      <c r="D17" s="0" t="n">
        <v>14.225</v>
      </c>
      <c r="E17" s="0" t="n">
        <v>4</v>
      </c>
      <c r="F17" s="0" t="s">
        <v>63</v>
      </c>
      <c r="G17" s="0" t="n">
        <v>16</v>
      </c>
      <c r="H17" s="0" t="n">
        <v>200.06</v>
      </c>
      <c r="I17" s="0" t="s">
        <v>98</v>
      </c>
      <c r="J17" s="0" t="s">
        <v>65</v>
      </c>
      <c r="K17" s="0" t="s">
        <v>70</v>
      </c>
    </row>
    <row r="18" customFormat="false" ht="15" hidden="false" customHeight="false" outlineLevel="0" collapsed="false">
      <c r="A18" s="0" t="s">
        <v>99</v>
      </c>
      <c r="B18" s="0" t="s">
        <v>100</v>
      </c>
      <c r="C18" s="0" t="n">
        <v>15.646</v>
      </c>
      <c r="D18" s="0" t="n">
        <v>15.375</v>
      </c>
      <c r="E18" s="0" t="n">
        <v>4</v>
      </c>
      <c r="F18" s="0" t="s">
        <v>63</v>
      </c>
      <c r="G18" s="0" t="n">
        <v>16</v>
      </c>
      <c r="H18" s="0" t="n">
        <v>838.64</v>
      </c>
      <c r="I18" s="0" t="s">
        <v>101</v>
      </c>
      <c r="J18" s="0" t="s">
        <v>65</v>
      </c>
      <c r="K18" s="0" t="s">
        <v>66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n">
        <v>11.625</v>
      </c>
      <c r="D19" s="0" t="n">
        <v>15.375</v>
      </c>
      <c r="E19" s="0" t="n">
        <v>4</v>
      </c>
      <c r="F19" s="0" t="s">
        <v>63</v>
      </c>
      <c r="G19" s="0" t="n">
        <v>16</v>
      </c>
      <c r="H19" s="0" t="n">
        <v>714.94</v>
      </c>
      <c r="I19" s="0" t="s">
        <v>104</v>
      </c>
      <c r="J19" s="0" t="s">
        <v>65</v>
      </c>
      <c r="K19" s="0" t="s">
        <v>66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n">
        <v>11.625</v>
      </c>
      <c r="D20" s="0" t="n">
        <v>15.375</v>
      </c>
      <c r="E20" s="0" t="n">
        <v>4</v>
      </c>
      <c r="F20" s="0" t="s">
        <v>63</v>
      </c>
      <c r="G20" s="0" t="n">
        <v>16</v>
      </c>
      <c r="H20" s="0" t="n">
        <v>714.94</v>
      </c>
      <c r="I20" s="0" t="s">
        <v>107</v>
      </c>
      <c r="J20" s="0" t="s">
        <v>65</v>
      </c>
      <c r="K20" s="0" t="s">
        <v>66</v>
      </c>
    </row>
    <row r="21" customFormat="false" ht="15" hidden="false" customHeight="false" outlineLevel="0" collapsed="false">
      <c r="A21" s="5" t="s">
        <v>108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n">
        <v>1.693</v>
      </c>
      <c r="D22" s="0" t="n">
        <v>15.375</v>
      </c>
      <c r="E22" s="0" t="n">
        <v>2</v>
      </c>
      <c r="F22" s="0" t="s">
        <v>111</v>
      </c>
      <c r="G22" s="0" t="n">
        <v>24</v>
      </c>
      <c r="H22" s="0" t="n">
        <v>52.06</v>
      </c>
      <c r="I22" s="0" t="s">
        <v>112</v>
      </c>
      <c r="J22" s="0" t="s">
        <v>113</v>
      </c>
      <c r="K22" s="0" t="s">
        <v>70</v>
      </c>
    </row>
    <row r="23" customFormat="false" ht="15" hidden="false" customHeight="false" outlineLevel="0" collapsed="false">
      <c r="A23" s="5" t="s">
        <v>114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n">
        <v>3.413</v>
      </c>
      <c r="D24" s="0" t="n">
        <v>15.375</v>
      </c>
      <c r="E24" s="0" t="n">
        <v>2</v>
      </c>
      <c r="F24" s="0" t="s">
        <v>117</v>
      </c>
      <c r="G24" s="0" t="n">
        <v>24</v>
      </c>
      <c r="H24" s="0" t="n">
        <v>104.94</v>
      </c>
      <c r="I24" s="0" t="s">
        <v>118</v>
      </c>
      <c r="J24" s="0" t="s">
        <v>113</v>
      </c>
      <c r="K24" s="0" t="s">
        <v>70</v>
      </c>
    </row>
    <row r="25" customFormat="false" ht="15" hidden="false" customHeight="false" outlineLevel="0" collapsed="false">
      <c r="A25" s="0" t="s">
        <v>119</v>
      </c>
      <c r="B25" s="0" t="s">
        <v>120</v>
      </c>
      <c r="C25" s="0" t="n">
        <v>3.413</v>
      </c>
      <c r="D25" s="0" t="n">
        <v>12.939</v>
      </c>
      <c r="E25" s="0" t="n">
        <v>2</v>
      </c>
      <c r="F25" s="0" t="s">
        <v>117</v>
      </c>
      <c r="G25" s="0" t="n">
        <v>24</v>
      </c>
      <c r="H25" s="0" t="n">
        <v>88.32</v>
      </c>
      <c r="I25" s="0" t="s">
        <v>118</v>
      </c>
      <c r="J25" s="0" t="s">
        <v>113</v>
      </c>
      <c r="K25" s="0" t="s">
        <v>70</v>
      </c>
    </row>
    <row r="26" customFormat="false" ht="15" hidden="false" customHeight="false" outlineLevel="0" collapsed="false">
      <c r="A26" s="0" t="s">
        <v>121</v>
      </c>
      <c r="B26" s="0" t="s">
        <v>122</v>
      </c>
      <c r="C26" s="0" t="n">
        <v>2.24</v>
      </c>
      <c r="D26" s="0" t="n">
        <v>12.927</v>
      </c>
      <c r="E26" s="0" t="n">
        <v>2</v>
      </c>
      <c r="F26" s="0" t="s">
        <v>117</v>
      </c>
      <c r="G26" s="0" t="n">
        <v>24</v>
      </c>
      <c r="H26" s="0" t="n">
        <v>57.92</v>
      </c>
      <c r="I26" s="0" t="s">
        <v>123</v>
      </c>
      <c r="J26" s="0" t="s">
        <v>113</v>
      </c>
      <c r="K26" s="0" t="s">
        <v>70</v>
      </c>
    </row>
    <row r="27" customFormat="false" ht="15" hidden="false" customHeight="false" outlineLevel="0" collapsed="false">
      <c r="A27" s="5" t="s">
        <v>124</v>
      </c>
    </row>
    <row r="28" customFormat="false" ht="15" hidden="false" customHeight="false" outlineLevel="0" collapsed="false">
      <c r="A28" s="0" t="s">
        <v>125</v>
      </c>
      <c r="B28" s="0" t="s">
        <v>126</v>
      </c>
      <c r="C28" s="0" t="n">
        <v>5.487</v>
      </c>
      <c r="D28" s="0" t="n">
        <v>15.375</v>
      </c>
      <c r="E28" s="0" t="n">
        <v>2</v>
      </c>
      <c r="F28" s="0" t="s">
        <v>111</v>
      </c>
      <c r="G28" s="0" t="n">
        <v>16</v>
      </c>
      <c r="H28" s="0" t="n">
        <v>168.72</v>
      </c>
      <c r="I28" s="0" t="s">
        <v>127</v>
      </c>
      <c r="J28" s="0" t="s">
        <v>128</v>
      </c>
      <c r="K28" s="0" t="s">
        <v>70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5.153</v>
      </c>
      <c r="D29" s="0" t="n">
        <v>15.375</v>
      </c>
      <c r="E29" s="0" t="n">
        <v>2</v>
      </c>
      <c r="F29" s="0" t="s">
        <v>111</v>
      </c>
      <c r="G29" s="0" t="n">
        <v>16</v>
      </c>
      <c r="H29" s="0" t="n">
        <v>158.46</v>
      </c>
      <c r="I29" s="0" t="s">
        <v>131</v>
      </c>
      <c r="J29" s="0" t="s">
        <v>128</v>
      </c>
      <c r="K29" s="0" t="s">
        <v>70</v>
      </c>
    </row>
    <row r="30" customFormat="false" ht="15" hidden="false" customHeight="false" outlineLevel="0" collapsed="false">
      <c r="A30" s="0" t="s">
        <v>132</v>
      </c>
      <c r="B30" s="0" t="s">
        <v>133</v>
      </c>
      <c r="C30" s="0" t="n">
        <v>15.787</v>
      </c>
      <c r="D30" s="0" t="n">
        <v>12.865</v>
      </c>
      <c r="E30" s="0" t="n">
        <v>4</v>
      </c>
      <c r="F30" s="0" t="s">
        <v>111</v>
      </c>
      <c r="G30" s="0" t="n">
        <v>16</v>
      </c>
      <c r="H30" s="0" t="n">
        <v>395.7</v>
      </c>
      <c r="I30" s="0" t="s">
        <v>134</v>
      </c>
      <c r="J30" s="0" t="s">
        <v>128</v>
      </c>
      <c r="K30" s="0" t="s">
        <v>70</v>
      </c>
    </row>
    <row r="31" customFormat="false" ht="15" hidden="false" customHeight="false" outlineLevel="0" collapsed="false">
      <c r="A31" s="0" t="s">
        <v>135</v>
      </c>
      <c r="B31" s="0" t="s">
        <v>136</v>
      </c>
      <c r="C31" s="0" t="n">
        <v>15.073</v>
      </c>
      <c r="D31" s="0" t="n">
        <v>11.709</v>
      </c>
      <c r="E31" s="0" t="n">
        <v>3</v>
      </c>
      <c r="F31" s="0" t="s">
        <v>111</v>
      </c>
      <c r="G31" s="0" t="n">
        <v>16</v>
      </c>
      <c r="H31" s="0" t="n">
        <v>382.18</v>
      </c>
      <c r="I31" s="0" t="s">
        <v>137</v>
      </c>
      <c r="J31" s="0" t="s">
        <v>128</v>
      </c>
      <c r="K31" s="0" t="s">
        <v>70</v>
      </c>
    </row>
    <row r="32" customFormat="false" ht="15" hidden="false" customHeight="false" outlineLevel="0" collapsed="false">
      <c r="A32" s="5" t="s">
        <v>138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0" t="n">
        <v>18.067</v>
      </c>
      <c r="D33" s="0" t="n">
        <v>15.375</v>
      </c>
      <c r="E33" s="0" t="n">
        <v>2</v>
      </c>
      <c r="F33" s="0" t="s">
        <v>117</v>
      </c>
      <c r="G33" s="0" t="n">
        <v>16</v>
      </c>
      <c r="H33" s="0" t="n">
        <v>343.27</v>
      </c>
      <c r="I33" s="0" t="s">
        <v>141</v>
      </c>
      <c r="J33" s="0" t="s">
        <v>142</v>
      </c>
      <c r="K33" s="0" t="s">
        <v>70</v>
      </c>
    </row>
    <row r="34" customFormat="false" ht="15" hidden="false" customHeight="false" outlineLevel="0" collapsed="false">
      <c r="A34" s="5" t="s">
        <v>143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10.08</v>
      </c>
      <c r="D35" s="0" t="n">
        <v>12.926</v>
      </c>
      <c r="E35" s="0" t="n">
        <v>1</v>
      </c>
      <c r="F35" s="0" t="s">
        <v>117</v>
      </c>
      <c r="G35" s="0" t="n">
        <v>16</v>
      </c>
      <c r="H35" s="0" t="n">
        <v>130.29</v>
      </c>
      <c r="I35" s="0" t="s">
        <v>146</v>
      </c>
      <c r="J35" s="0" t="s">
        <v>147</v>
      </c>
      <c r="K35" s="0" t="s">
        <v>70</v>
      </c>
    </row>
    <row r="36" customFormat="false" ht="15" hidden="false" customHeight="false" outlineLevel="0" collapsed="false">
      <c r="A36" s="0" t="s">
        <v>148</v>
      </c>
      <c r="B36" s="0" t="s">
        <v>149</v>
      </c>
      <c r="C36" s="0" t="n">
        <v>10.08</v>
      </c>
      <c r="D36" s="0" t="n">
        <v>12.896</v>
      </c>
      <c r="E36" s="0" t="n">
        <v>1</v>
      </c>
      <c r="F36" s="0" t="s">
        <v>117</v>
      </c>
      <c r="G36" s="0" t="n">
        <v>16</v>
      </c>
      <c r="H36" s="0" t="n">
        <v>129.99</v>
      </c>
      <c r="I36" s="0" t="s">
        <v>150</v>
      </c>
      <c r="J36" s="0" t="s">
        <v>147</v>
      </c>
      <c r="K36" s="0" t="s">
        <v>70</v>
      </c>
    </row>
    <row r="37" customFormat="false" ht="15" hidden="false" customHeight="false" outlineLevel="0" collapsed="false">
      <c r="A37" s="0" t="s">
        <v>151</v>
      </c>
      <c r="B37" s="0" t="s">
        <v>152</v>
      </c>
      <c r="C37" s="0" t="n">
        <v>9.293</v>
      </c>
      <c r="D37" s="0" t="n">
        <v>15.375</v>
      </c>
      <c r="E37" s="0" t="n">
        <v>1</v>
      </c>
      <c r="F37" s="0" t="s">
        <v>117</v>
      </c>
      <c r="G37" s="0" t="n">
        <v>16</v>
      </c>
      <c r="H37" s="0" t="n">
        <v>142.88</v>
      </c>
      <c r="I37" s="0" t="s">
        <v>153</v>
      </c>
      <c r="J37" s="0" t="s">
        <v>147</v>
      </c>
      <c r="K37" s="0" t="s">
        <v>70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0" t="n">
        <v>2.98</v>
      </c>
      <c r="D38" s="0" t="n">
        <v>12.93</v>
      </c>
      <c r="E38" s="0" t="n">
        <v>1</v>
      </c>
      <c r="F38" s="0" t="s">
        <v>117</v>
      </c>
      <c r="G38" s="0" t="n">
        <v>16</v>
      </c>
      <c r="H38" s="0" t="n">
        <v>38.53</v>
      </c>
      <c r="I38" s="0" t="s">
        <v>156</v>
      </c>
      <c r="J38" s="0" t="s">
        <v>147</v>
      </c>
      <c r="K38" s="0" t="s">
        <v>70</v>
      </c>
    </row>
    <row r="39" customFormat="false" ht="15" hidden="false" customHeight="false" outlineLevel="0" collapsed="false">
      <c r="A39" s="0" t="s">
        <v>157</v>
      </c>
      <c r="B39" s="0" t="s">
        <v>158</v>
      </c>
      <c r="C39" s="0" t="n">
        <v>2.54</v>
      </c>
      <c r="D39" s="0" t="n">
        <v>15.375</v>
      </c>
      <c r="E39" s="0" t="n">
        <v>1</v>
      </c>
      <c r="F39" s="0" t="s">
        <v>111</v>
      </c>
      <c r="G39" s="0" t="n">
        <v>16</v>
      </c>
      <c r="H39" s="0" t="n">
        <v>30.75</v>
      </c>
      <c r="I39" s="0" t="s">
        <v>159</v>
      </c>
      <c r="J39" s="0" t="s">
        <v>160</v>
      </c>
      <c r="K39" s="0" t="s">
        <v>70</v>
      </c>
    </row>
    <row r="40" customFormat="false" ht="15" hidden="false" customHeight="false" outlineLevel="0" collapsed="false">
      <c r="A40" s="0" t="s">
        <v>161</v>
      </c>
      <c r="B40" s="0" t="s">
        <v>162</v>
      </c>
      <c r="C40" s="0" t="n">
        <v>2.587</v>
      </c>
      <c r="D40" s="0" t="n">
        <v>15.375</v>
      </c>
      <c r="E40" s="0" t="n">
        <v>1</v>
      </c>
      <c r="F40" s="0" t="s">
        <v>111</v>
      </c>
      <c r="G40" s="0" t="n">
        <v>16</v>
      </c>
      <c r="H40" s="0" t="n">
        <v>36.84</v>
      </c>
      <c r="I40" s="0" t="s">
        <v>159</v>
      </c>
      <c r="J40" s="0" t="s">
        <v>163</v>
      </c>
      <c r="K40" s="0" t="s">
        <v>70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0" t="n">
        <v>4</v>
      </c>
      <c r="D41" s="0" t="n">
        <v>15.375</v>
      </c>
      <c r="E41" s="0" t="n">
        <v>1</v>
      </c>
      <c r="F41" s="0" t="s">
        <v>117</v>
      </c>
      <c r="G41" s="0" t="n">
        <v>16</v>
      </c>
      <c r="H41" s="0" t="n">
        <v>61.5</v>
      </c>
      <c r="I41" s="0" t="s">
        <v>166</v>
      </c>
      <c r="J41" s="0" t="s">
        <v>167</v>
      </c>
      <c r="K41" s="0" t="s">
        <v>66</v>
      </c>
    </row>
    <row r="42" customFormat="false" ht="15" hidden="false" customHeight="false" outlineLevel="0" collapsed="false">
      <c r="A42" s="0" t="s">
        <v>168</v>
      </c>
      <c r="B42" s="0" t="s">
        <v>169</v>
      </c>
      <c r="C42" s="0" t="n">
        <v>4</v>
      </c>
      <c r="D42" s="0" t="n">
        <v>15.375</v>
      </c>
      <c r="E42" s="0" t="n">
        <v>1</v>
      </c>
      <c r="F42" s="0" t="s">
        <v>117</v>
      </c>
      <c r="G42" s="0" t="n">
        <v>16</v>
      </c>
      <c r="H42" s="0" t="n">
        <v>61.5</v>
      </c>
      <c r="I42" s="0" t="s">
        <v>166</v>
      </c>
      <c r="J42" s="0" t="s">
        <v>167</v>
      </c>
      <c r="K42" s="0" t="s">
        <v>66</v>
      </c>
    </row>
    <row r="43" customFormat="false" ht="15" hidden="false" customHeight="false" outlineLevel="0" collapsed="false">
      <c r="A43" s="5" t="s">
        <v>170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4.887</v>
      </c>
      <c r="D44" s="0" t="n">
        <v>11.816</v>
      </c>
      <c r="E44" s="0" t="n">
        <v>3</v>
      </c>
      <c r="F44" s="0" t="s">
        <v>117</v>
      </c>
      <c r="G44" s="0" t="n">
        <v>16</v>
      </c>
      <c r="H44" s="0" t="n">
        <v>71.7</v>
      </c>
      <c r="I44" s="0" t="s">
        <v>173</v>
      </c>
      <c r="J44" s="0" t="s">
        <v>174</v>
      </c>
      <c r="K44" s="0" t="s">
        <v>70</v>
      </c>
    </row>
    <row r="45" customFormat="false" ht="15" hidden="false" customHeight="false" outlineLevel="0" collapsed="false">
      <c r="A45" s="0" t="s">
        <v>175</v>
      </c>
      <c r="B45" s="0" t="s">
        <v>176</v>
      </c>
      <c r="C45" s="0" t="n">
        <v>1.3</v>
      </c>
      <c r="D45" s="0" t="n">
        <v>12.958</v>
      </c>
      <c r="E45" s="0" t="n">
        <v>2</v>
      </c>
      <c r="F45" s="0" t="s">
        <v>117</v>
      </c>
      <c r="G45" s="0" t="n">
        <v>16</v>
      </c>
      <c r="H45" s="0" t="n">
        <v>23.4</v>
      </c>
      <c r="I45" s="0" t="s">
        <v>131</v>
      </c>
      <c r="J45" s="0" t="s">
        <v>174</v>
      </c>
      <c r="K45" s="0" t="s">
        <v>70</v>
      </c>
    </row>
    <row r="46" customFormat="false" ht="15" hidden="false" customHeight="false" outlineLevel="0" collapsed="false">
      <c r="A46" s="0" t="s">
        <v>177</v>
      </c>
      <c r="B46" s="0" t="s">
        <v>178</v>
      </c>
      <c r="C46" s="0" t="n">
        <v>1.3</v>
      </c>
      <c r="D46" s="0" t="n">
        <v>12.865</v>
      </c>
      <c r="E46" s="0" t="n">
        <v>2</v>
      </c>
      <c r="F46" s="0" t="s">
        <v>117</v>
      </c>
      <c r="G46" s="0" t="n">
        <v>16</v>
      </c>
      <c r="H46" s="0" t="n">
        <v>23.4</v>
      </c>
      <c r="I46" s="0" t="s">
        <v>179</v>
      </c>
      <c r="J46" s="0" t="s">
        <v>174</v>
      </c>
      <c r="K46" s="0" t="s">
        <v>70</v>
      </c>
    </row>
    <row r="47" customFormat="false" ht="15" hidden="false" customHeight="false" outlineLevel="0" collapsed="false">
      <c r="A47" s="0" t="s">
        <v>180</v>
      </c>
      <c r="B47" s="0" t="s">
        <v>181</v>
      </c>
      <c r="C47" s="0" t="n">
        <v>24.427</v>
      </c>
      <c r="D47" s="0" t="n">
        <v>11.901</v>
      </c>
      <c r="E47" s="0" t="n">
        <v>5</v>
      </c>
      <c r="F47" s="0" t="s">
        <v>117</v>
      </c>
      <c r="G47" s="0" t="n">
        <v>16</v>
      </c>
      <c r="H47" s="0" t="n">
        <v>482.85</v>
      </c>
      <c r="I47" s="0" t="s">
        <v>182</v>
      </c>
      <c r="J47" s="0" t="s">
        <v>174</v>
      </c>
      <c r="K47" s="0" t="s">
        <v>70</v>
      </c>
    </row>
    <row r="48" customFormat="false" ht="15" hidden="false" customHeight="false" outlineLevel="0" collapsed="false">
      <c r="A48" s="0" t="s">
        <v>183</v>
      </c>
      <c r="B48" s="0" t="s">
        <v>184</v>
      </c>
      <c r="C48" s="0" t="n">
        <v>16.42</v>
      </c>
      <c r="D48" s="0" t="n">
        <v>15.375</v>
      </c>
      <c r="E48" s="0" t="n">
        <v>2</v>
      </c>
      <c r="F48" s="0" t="s">
        <v>117</v>
      </c>
      <c r="G48" s="0" t="n">
        <v>16</v>
      </c>
      <c r="H48" s="0" t="n">
        <v>344.82</v>
      </c>
      <c r="I48" s="0" t="s">
        <v>185</v>
      </c>
      <c r="J48" s="0" t="s">
        <v>174</v>
      </c>
      <c r="K48" s="0" t="s">
        <v>70</v>
      </c>
    </row>
    <row r="49" customFormat="false" ht="15" hidden="false" customHeight="false" outlineLevel="0" collapsed="false">
      <c r="A49" s="0" t="s">
        <v>186</v>
      </c>
      <c r="B49" s="0" t="s">
        <v>187</v>
      </c>
      <c r="C49" s="0" t="n">
        <v>3.127</v>
      </c>
      <c r="D49" s="0" t="n">
        <v>15.375</v>
      </c>
      <c r="E49" s="0" t="n">
        <v>2</v>
      </c>
      <c r="F49" s="0" t="s">
        <v>117</v>
      </c>
      <c r="G49" s="0" t="n">
        <v>16</v>
      </c>
      <c r="H49" s="0" t="n">
        <v>65.66</v>
      </c>
      <c r="I49" s="0" t="s">
        <v>185</v>
      </c>
      <c r="J49" s="0" t="s">
        <v>174</v>
      </c>
      <c r="K49" s="0" t="s">
        <v>70</v>
      </c>
    </row>
    <row r="50" customFormat="false" ht="15" hidden="false" customHeight="false" outlineLevel="0" collapsed="false">
      <c r="A50" s="0" t="s">
        <v>188</v>
      </c>
      <c r="B50" s="0" t="s">
        <v>189</v>
      </c>
      <c r="C50" s="0" t="n">
        <v>2.02</v>
      </c>
      <c r="D50" s="0" t="n">
        <v>15.375</v>
      </c>
      <c r="E50" s="0" t="n">
        <v>2</v>
      </c>
      <c r="F50" s="0" t="s">
        <v>117</v>
      </c>
      <c r="G50" s="0" t="n">
        <v>16</v>
      </c>
      <c r="H50" s="0" t="n">
        <v>42.42</v>
      </c>
      <c r="I50" s="0" t="s">
        <v>185</v>
      </c>
      <c r="J50" s="0" t="s">
        <v>174</v>
      </c>
      <c r="K50" s="0" t="s">
        <v>70</v>
      </c>
    </row>
    <row r="51" customFormat="false" ht="15" hidden="false" customHeight="false" outlineLevel="0" collapsed="false">
      <c r="A51" s="0" t="s">
        <v>190</v>
      </c>
      <c r="B51" s="0" t="s">
        <v>191</v>
      </c>
      <c r="C51" s="0" t="n">
        <v>15.427</v>
      </c>
      <c r="D51" s="0" t="n">
        <v>12.971</v>
      </c>
      <c r="E51" s="0" t="n">
        <v>2</v>
      </c>
      <c r="F51" s="0" t="s">
        <v>117</v>
      </c>
      <c r="G51" s="0" t="n">
        <v>16</v>
      </c>
      <c r="H51" s="0" t="n">
        <v>277.68</v>
      </c>
      <c r="I51" s="0" t="s">
        <v>192</v>
      </c>
      <c r="J51" s="0" t="s">
        <v>174</v>
      </c>
      <c r="K51" s="0" t="s">
        <v>70</v>
      </c>
    </row>
    <row r="52" customFormat="false" ht="15" hidden="false" customHeight="false" outlineLevel="0" collapsed="false">
      <c r="A52" s="0" t="s">
        <v>193</v>
      </c>
      <c r="B52" s="0" t="s">
        <v>194</v>
      </c>
      <c r="C52" s="0" t="n">
        <v>2.14</v>
      </c>
      <c r="D52" s="0" t="n">
        <v>11.821</v>
      </c>
      <c r="E52" s="0" t="n">
        <v>2</v>
      </c>
      <c r="F52" s="0" t="s">
        <v>117</v>
      </c>
      <c r="G52" s="0" t="n">
        <v>16</v>
      </c>
      <c r="H52" s="0" t="n">
        <v>44.94</v>
      </c>
      <c r="I52" s="0" t="s">
        <v>123</v>
      </c>
      <c r="J52" s="0" t="s">
        <v>174</v>
      </c>
      <c r="K52" s="0" t="s">
        <v>70</v>
      </c>
    </row>
    <row r="53" customFormat="false" ht="15" hidden="false" customHeight="false" outlineLevel="0" collapsed="false">
      <c r="A53" s="0" t="s">
        <v>195</v>
      </c>
      <c r="B53" s="0" t="s">
        <v>196</v>
      </c>
      <c r="C53" s="0" t="n">
        <v>5</v>
      </c>
      <c r="D53" s="0" t="n">
        <v>15.375</v>
      </c>
      <c r="E53" s="0" t="n">
        <v>2</v>
      </c>
      <c r="F53" s="0" t="s">
        <v>117</v>
      </c>
      <c r="G53" s="0" t="n">
        <v>16</v>
      </c>
      <c r="H53" s="0" t="n">
        <v>105</v>
      </c>
      <c r="I53" s="0" t="s">
        <v>197</v>
      </c>
      <c r="J53" s="0" t="s">
        <v>174</v>
      </c>
      <c r="K53" s="0" t="s">
        <v>70</v>
      </c>
    </row>
    <row r="54" customFormat="false" ht="15" hidden="false" customHeight="false" outlineLevel="0" collapsed="false">
      <c r="A54" s="0" t="s">
        <v>198</v>
      </c>
      <c r="B54" s="0" t="s">
        <v>199</v>
      </c>
      <c r="C54" s="0" t="n">
        <v>1.3</v>
      </c>
      <c r="D54" s="0" t="n">
        <v>12.927</v>
      </c>
      <c r="E54" s="0" t="n">
        <v>2</v>
      </c>
      <c r="F54" s="0" t="s">
        <v>117</v>
      </c>
      <c r="G54" s="0" t="n">
        <v>16</v>
      </c>
      <c r="H54" s="0" t="n">
        <v>27.3</v>
      </c>
      <c r="I54" s="0" t="s">
        <v>200</v>
      </c>
      <c r="J54" s="0" t="s">
        <v>174</v>
      </c>
      <c r="K54" s="0" t="s">
        <v>70</v>
      </c>
    </row>
    <row r="55" customFormat="false" ht="15" hidden="false" customHeight="false" outlineLevel="0" collapsed="false">
      <c r="A55" s="0" t="s">
        <v>201</v>
      </c>
      <c r="B55" s="0" t="s">
        <v>202</v>
      </c>
      <c r="C55" s="0" t="n">
        <v>11.667</v>
      </c>
      <c r="D55" s="0" t="n">
        <v>12.775</v>
      </c>
      <c r="E55" s="0" t="n">
        <v>2</v>
      </c>
      <c r="F55" s="0" t="s">
        <v>117</v>
      </c>
      <c r="G55" s="0" t="n">
        <v>16</v>
      </c>
      <c r="H55" s="0" t="n">
        <v>215.84</v>
      </c>
      <c r="I55" s="0" t="s">
        <v>203</v>
      </c>
      <c r="J55" s="0" t="s">
        <v>174</v>
      </c>
      <c r="K55" s="0" t="s">
        <v>66</v>
      </c>
    </row>
    <row r="56" customFormat="false" ht="15" hidden="false" customHeight="false" outlineLevel="0" collapsed="false">
      <c r="A56" s="5" t="s">
        <v>204</v>
      </c>
    </row>
    <row r="57" customFormat="false" ht="15" hidden="false" customHeight="false" outlineLevel="0" collapsed="false">
      <c r="A57" s="0" t="s">
        <v>205</v>
      </c>
      <c r="B57" s="0" t="s">
        <v>206</v>
      </c>
      <c r="C57" s="0" t="n">
        <v>11.667</v>
      </c>
      <c r="D57" s="0" t="n">
        <v>12.752</v>
      </c>
      <c r="E57" s="0" t="n">
        <v>3</v>
      </c>
      <c r="F57" s="0" t="s">
        <v>117</v>
      </c>
      <c r="G57" s="0" t="n">
        <v>16</v>
      </c>
      <c r="H57" s="0" t="n">
        <v>293.22</v>
      </c>
      <c r="I57" s="0" t="s">
        <v>207</v>
      </c>
      <c r="J57" s="0" t="s">
        <v>128</v>
      </c>
      <c r="K57" s="0" t="s">
        <v>66</v>
      </c>
    </row>
    <row r="58" customFormat="false" ht="15" hidden="false" customHeight="false" outlineLevel="0" collapsed="false">
      <c r="A58" s="0" t="s">
        <v>208</v>
      </c>
      <c r="B58" s="0" t="s">
        <v>209</v>
      </c>
      <c r="C58" s="0" t="n">
        <v>3.5</v>
      </c>
      <c r="D58" s="0" t="n">
        <v>12.743</v>
      </c>
      <c r="E58" s="0" t="n">
        <v>2</v>
      </c>
      <c r="F58" s="0" t="s">
        <v>117</v>
      </c>
      <c r="G58" s="0" t="n">
        <v>16</v>
      </c>
      <c r="H58" s="0" t="n">
        <v>89.2</v>
      </c>
      <c r="I58" s="0" t="s">
        <v>210</v>
      </c>
      <c r="J58" s="0" t="s">
        <v>128</v>
      </c>
      <c r="K58" s="0" t="s">
        <v>70</v>
      </c>
    </row>
    <row r="59" customFormat="false" ht="15" hidden="false" customHeight="false" outlineLevel="0" collapsed="false">
      <c r="A59" s="0" t="s">
        <v>211</v>
      </c>
      <c r="B59" s="0" t="s">
        <v>212</v>
      </c>
      <c r="C59" s="0" t="n">
        <v>11.733</v>
      </c>
      <c r="D59" s="0" t="n">
        <v>12.671</v>
      </c>
      <c r="E59" s="0" t="n">
        <v>3</v>
      </c>
      <c r="F59" s="0" t="s">
        <v>117</v>
      </c>
      <c r="G59" s="0" t="n">
        <v>16</v>
      </c>
      <c r="H59" s="0" t="n">
        <v>292.2</v>
      </c>
      <c r="I59" s="0" t="s">
        <v>213</v>
      </c>
      <c r="J59" s="0" t="s">
        <v>128</v>
      </c>
      <c r="K59" s="0" t="s">
        <v>70</v>
      </c>
    </row>
    <row r="60" customFormat="false" ht="15" hidden="false" customHeight="false" outlineLevel="0" collapsed="false">
      <c r="A60" s="0" t="s">
        <v>214</v>
      </c>
      <c r="B60" s="0" t="s">
        <v>215</v>
      </c>
      <c r="C60" s="0" t="n">
        <v>9.987</v>
      </c>
      <c r="D60" s="0" t="n">
        <v>12.831</v>
      </c>
      <c r="E60" s="0" t="n">
        <v>2</v>
      </c>
      <c r="F60" s="0" t="s">
        <v>117</v>
      </c>
      <c r="G60" s="0" t="n">
        <v>16</v>
      </c>
      <c r="H60" s="0" t="n">
        <v>256.28</v>
      </c>
      <c r="I60" s="0" t="s">
        <v>216</v>
      </c>
      <c r="J60" s="0" t="s">
        <v>128</v>
      </c>
      <c r="K60" s="0" t="s">
        <v>70</v>
      </c>
    </row>
    <row r="61" customFormat="false" ht="15" hidden="false" customHeight="false" outlineLevel="0" collapsed="false">
      <c r="A61" s="0" t="s">
        <v>217</v>
      </c>
      <c r="B61" s="0" t="s">
        <v>218</v>
      </c>
      <c r="C61" s="0" t="n">
        <v>9.583</v>
      </c>
      <c r="D61" s="0" t="n">
        <v>12.703</v>
      </c>
      <c r="E61" s="0" t="n">
        <v>2</v>
      </c>
      <c r="F61" s="0" t="s">
        <v>117</v>
      </c>
      <c r="G61" s="0" t="n">
        <v>16</v>
      </c>
      <c r="H61" s="0" t="n">
        <v>243.46</v>
      </c>
      <c r="I61" s="0" t="s">
        <v>219</v>
      </c>
      <c r="J61" s="0" t="s">
        <v>128</v>
      </c>
      <c r="K61" s="0" t="s">
        <v>66</v>
      </c>
    </row>
    <row r="62" customFormat="false" ht="15" hidden="false" customHeight="false" outlineLevel="0" collapsed="false">
      <c r="A62" s="0" t="s">
        <v>220</v>
      </c>
      <c r="B62" s="0" t="s">
        <v>221</v>
      </c>
      <c r="C62" s="0" t="n">
        <v>13.74</v>
      </c>
      <c r="D62" s="0" t="n">
        <v>12.823</v>
      </c>
      <c r="E62" s="0" t="n">
        <v>3</v>
      </c>
      <c r="F62" s="0" t="s">
        <v>117</v>
      </c>
      <c r="G62" s="0" t="n">
        <v>16</v>
      </c>
      <c r="H62" s="0" t="n">
        <v>347.16</v>
      </c>
      <c r="I62" s="0" t="s">
        <v>222</v>
      </c>
      <c r="J62" s="0" t="s">
        <v>128</v>
      </c>
      <c r="K62" s="0" t="s">
        <v>70</v>
      </c>
    </row>
    <row r="63" customFormat="false" ht="15" hidden="false" customHeight="false" outlineLevel="0" collapsed="false">
      <c r="A63" s="5" t="s">
        <v>223</v>
      </c>
    </row>
    <row r="64" customFormat="false" ht="15" hidden="false" customHeight="false" outlineLevel="0" collapsed="false">
      <c r="A64" s="0" t="s">
        <v>224</v>
      </c>
      <c r="B64" s="0" t="s">
        <v>225</v>
      </c>
      <c r="C64" s="0" t="n">
        <v>11.967</v>
      </c>
      <c r="D64" s="0" t="n">
        <v>15.375</v>
      </c>
      <c r="E64" s="0" t="n">
        <v>2</v>
      </c>
      <c r="F64" s="0" t="s">
        <v>111</v>
      </c>
      <c r="G64" s="0" t="n">
        <v>16</v>
      </c>
      <c r="H64" s="0" t="n">
        <v>251.3</v>
      </c>
      <c r="I64" s="0" t="s">
        <v>185</v>
      </c>
      <c r="J64" s="0" t="s">
        <v>174</v>
      </c>
      <c r="K64" s="0" t="s">
        <v>70</v>
      </c>
    </row>
    <row r="65" customFormat="false" ht="15" hidden="false" customHeight="false" outlineLevel="0" collapsed="false">
      <c r="A65" s="0" t="s">
        <v>226</v>
      </c>
      <c r="B65" s="0" t="s">
        <v>227</v>
      </c>
      <c r="C65" s="0" t="n">
        <v>19</v>
      </c>
      <c r="D65" s="0" t="n">
        <v>14.225</v>
      </c>
      <c r="E65" s="0" t="n">
        <v>2</v>
      </c>
      <c r="F65" s="0" t="s">
        <v>111</v>
      </c>
      <c r="G65" s="0" t="n">
        <v>16</v>
      </c>
      <c r="H65" s="0" t="n">
        <v>399</v>
      </c>
      <c r="I65" s="0" t="s">
        <v>228</v>
      </c>
      <c r="J65" s="0" t="s">
        <v>174</v>
      </c>
      <c r="K65" s="0" t="s">
        <v>66</v>
      </c>
    </row>
    <row r="66" customFormat="false" ht="15" hidden="false" customHeight="false" outlineLevel="0" collapsed="false">
      <c r="A66" s="0" t="s">
        <v>229</v>
      </c>
      <c r="B66" s="0" t="s">
        <v>230</v>
      </c>
      <c r="C66" s="0" t="n">
        <v>3.287</v>
      </c>
      <c r="D66" s="0" t="n">
        <v>11.776</v>
      </c>
      <c r="E66" s="0" t="n">
        <v>2</v>
      </c>
      <c r="F66" s="0" t="s">
        <v>111</v>
      </c>
      <c r="G66" s="0" t="n">
        <v>16</v>
      </c>
      <c r="H66" s="0" t="n">
        <v>60.81</v>
      </c>
      <c r="I66" s="0" t="s">
        <v>231</v>
      </c>
      <c r="J66" s="0" t="s">
        <v>174</v>
      </c>
      <c r="K66" s="0" t="s">
        <v>70</v>
      </c>
    </row>
    <row r="67" customFormat="false" ht="15" hidden="false" customHeight="false" outlineLevel="0" collapsed="false">
      <c r="A67" s="5" t="s">
        <v>232</v>
      </c>
    </row>
    <row r="68" customFormat="false" ht="15" hidden="false" customHeight="false" outlineLevel="0" collapsed="false">
      <c r="A68" s="0" t="s">
        <v>233</v>
      </c>
      <c r="B68" s="0" t="s">
        <v>234</v>
      </c>
      <c r="C68" s="0" t="n">
        <v>75.334</v>
      </c>
      <c r="D68" s="0" t="n">
        <v>13.551</v>
      </c>
      <c r="E68" s="0" t="n">
        <v>1</v>
      </c>
      <c r="F68" s="0" t="s">
        <v>111</v>
      </c>
      <c r="G68" s="0" t="n">
        <v>16</v>
      </c>
      <c r="H68" s="0" t="n">
        <v>1100.54</v>
      </c>
      <c r="I68" s="0" t="s">
        <v>235</v>
      </c>
      <c r="J68" s="0" t="s">
        <v>236</v>
      </c>
      <c r="K68" s="0" t="s">
        <v>70</v>
      </c>
    </row>
    <row r="69" customFormat="false" ht="15" hidden="false" customHeight="false" outlineLevel="0" collapsed="false">
      <c r="A69" s="0" t="s">
        <v>237</v>
      </c>
      <c r="B69" s="0" t="s">
        <v>238</v>
      </c>
      <c r="C69" s="0" t="n">
        <v>51.733</v>
      </c>
      <c r="D69" s="0" t="n">
        <v>11.065</v>
      </c>
      <c r="E69" s="0" t="n">
        <v>1</v>
      </c>
      <c r="F69" s="0" t="s">
        <v>111</v>
      </c>
      <c r="G69" s="0" t="n">
        <v>16</v>
      </c>
      <c r="H69" s="0" t="n">
        <v>648.73</v>
      </c>
      <c r="I69" s="0" t="s">
        <v>239</v>
      </c>
      <c r="J69" s="0" t="s">
        <v>236</v>
      </c>
      <c r="K69" s="0" t="s">
        <v>70</v>
      </c>
    </row>
    <row r="70" customFormat="false" ht="15" hidden="false" customHeight="false" outlineLevel="0" collapsed="false">
      <c r="A70" s="0" t="s">
        <v>240</v>
      </c>
      <c r="B70" s="0" t="s">
        <v>241</v>
      </c>
      <c r="C70" s="0" t="n">
        <v>47.414</v>
      </c>
      <c r="D70" s="0" t="n">
        <v>12.937</v>
      </c>
      <c r="E70" s="0" t="n">
        <v>1</v>
      </c>
      <c r="F70" s="0" t="s">
        <v>111</v>
      </c>
      <c r="G70" s="0" t="n">
        <v>16</v>
      </c>
      <c r="H70" s="0" t="n">
        <v>671.27</v>
      </c>
      <c r="I70" s="0" t="s">
        <v>242</v>
      </c>
      <c r="J70" s="0" t="s">
        <v>236</v>
      </c>
      <c r="K70" s="0" t="s">
        <v>70</v>
      </c>
    </row>
    <row r="71" customFormat="false" ht="15" hidden="false" customHeight="false" outlineLevel="0" collapsed="false">
      <c r="A71" s="0" t="s">
        <v>243</v>
      </c>
      <c r="B71" s="0" t="s">
        <v>244</v>
      </c>
      <c r="C71" s="0" t="n">
        <v>20.907</v>
      </c>
      <c r="D71" s="0" t="n">
        <v>14.067</v>
      </c>
      <c r="E71" s="0" t="n">
        <v>1</v>
      </c>
      <c r="F71" s="0" t="s">
        <v>111</v>
      </c>
      <c r="G71" s="0" t="n">
        <v>16</v>
      </c>
      <c r="H71" s="0" t="n">
        <v>321.45</v>
      </c>
      <c r="I71" s="0" t="s">
        <v>245</v>
      </c>
      <c r="J71" s="0" t="s">
        <v>236</v>
      </c>
      <c r="K71" s="0" t="s">
        <v>70</v>
      </c>
    </row>
    <row r="72" customFormat="false" ht="15" hidden="false" customHeight="false" outlineLevel="0" collapsed="false">
      <c r="A72" s="0" t="s">
        <v>246</v>
      </c>
      <c r="B72" s="0" t="s">
        <v>247</v>
      </c>
      <c r="C72" s="0" t="n">
        <v>3.351</v>
      </c>
      <c r="D72" s="0" t="n">
        <v>14.067</v>
      </c>
      <c r="E72" s="0" t="n">
        <v>0</v>
      </c>
      <c r="F72" s="0" t="s">
        <v>111</v>
      </c>
      <c r="G72" s="0" t="n">
        <v>16</v>
      </c>
      <c r="H72" s="0" t="n">
        <v>0</v>
      </c>
      <c r="I72" s="0" t="s">
        <v>247</v>
      </c>
      <c r="J72" s="0" t="s">
        <v>236</v>
      </c>
      <c r="K72" s="0" t="s">
        <v>70</v>
      </c>
    </row>
    <row r="73" customFormat="false" ht="15" hidden="false" customHeight="false" outlineLevel="0" collapsed="false">
      <c r="A73" s="0" t="s">
        <v>248</v>
      </c>
      <c r="B73" s="0" t="s">
        <v>249</v>
      </c>
      <c r="C73" s="0" t="n">
        <v>12.64</v>
      </c>
      <c r="D73" s="0" t="n">
        <v>14.358</v>
      </c>
      <c r="E73" s="0" t="n">
        <v>1</v>
      </c>
      <c r="F73" s="0" t="s">
        <v>111</v>
      </c>
      <c r="G73" s="0" t="n">
        <v>16</v>
      </c>
      <c r="H73" s="0" t="n">
        <v>194.34</v>
      </c>
      <c r="I73" s="0" t="s">
        <v>250</v>
      </c>
      <c r="J73" s="0" t="s">
        <v>236</v>
      </c>
      <c r="K73" s="0" t="s">
        <v>70</v>
      </c>
    </row>
    <row r="74" customFormat="false" ht="15" hidden="false" customHeight="false" outlineLevel="0" collapsed="false">
      <c r="A74" s="5" t="s">
        <v>251</v>
      </c>
    </row>
    <row r="75" customFormat="false" ht="15" hidden="false" customHeight="false" outlineLevel="0" collapsed="false">
      <c r="A75" s="0" t="s">
        <v>252</v>
      </c>
      <c r="B75" s="0" t="s">
        <v>253</v>
      </c>
      <c r="C75" s="0" t="n">
        <v>5.667</v>
      </c>
      <c r="D75" s="0" t="n">
        <v>10.5</v>
      </c>
      <c r="E75" s="0" t="n">
        <v>0</v>
      </c>
      <c r="F75" s="0" t="s">
        <v>117</v>
      </c>
      <c r="G75" s="0" t="n">
        <v>16</v>
      </c>
      <c r="H75" s="0" t="n">
        <v>0</v>
      </c>
      <c r="I75" s="0" t="s">
        <v>253</v>
      </c>
      <c r="J75" s="0" t="s">
        <v>254</v>
      </c>
      <c r="K75" s="0" t="s">
        <v>66</v>
      </c>
    </row>
    <row r="76" customFormat="false" ht="15" hidden="false" customHeight="false" outlineLevel="0" collapsed="false">
      <c r="A76" s="0" t="s">
        <v>255</v>
      </c>
      <c r="B76" s="0" t="s">
        <v>256</v>
      </c>
      <c r="C76" s="0" t="n">
        <v>5.667</v>
      </c>
      <c r="D76" s="0" t="n">
        <v>10.5</v>
      </c>
      <c r="E76" s="0" t="n">
        <v>0</v>
      </c>
      <c r="F76" s="0" t="s">
        <v>117</v>
      </c>
      <c r="G76" s="0" t="n">
        <v>16</v>
      </c>
      <c r="H76" s="0" t="n">
        <v>0</v>
      </c>
      <c r="I76" s="0" t="s">
        <v>256</v>
      </c>
      <c r="J76" s="0" t="s">
        <v>254</v>
      </c>
      <c r="K76" s="0" t="s">
        <v>66</v>
      </c>
    </row>
    <row r="77" customFormat="false" ht="15" hidden="false" customHeight="false" outlineLevel="0" collapsed="false">
      <c r="A77" s="0" t="s">
        <v>257</v>
      </c>
      <c r="B77" s="0" t="s">
        <v>258</v>
      </c>
      <c r="C77" s="0" t="n">
        <v>5.667</v>
      </c>
      <c r="D77" s="0" t="n">
        <v>10.5</v>
      </c>
      <c r="E77" s="0" t="n">
        <v>0</v>
      </c>
      <c r="F77" s="0" t="s">
        <v>117</v>
      </c>
      <c r="G77" s="0" t="n">
        <v>16</v>
      </c>
      <c r="H77" s="0" t="n">
        <v>0</v>
      </c>
      <c r="I77" s="0" t="s">
        <v>258</v>
      </c>
      <c r="J77" s="0" t="s">
        <v>254</v>
      </c>
      <c r="K77" s="0" t="s">
        <v>66</v>
      </c>
    </row>
    <row r="78" customFormat="false" ht="15" hidden="false" customHeight="false" outlineLevel="0" collapsed="false">
      <c r="A78" s="0" t="s">
        <v>259</v>
      </c>
      <c r="B78" s="0" t="s">
        <v>260</v>
      </c>
      <c r="C78" s="0" t="n">
        <v>5.667</v>
      </c>
      <c r="D78" s="0" t="n">
        <v>10.5</v>
      </c>
      <c r="E78" s="0" t="n">
        <v>0</v>
      </c>
      <c r="F78" s="0" t="s">
        <v>117</v>
      </c>
      <c r="G78" s="0" t="n">
        <v>16</v>
      </c>
      <c r="H78" s="0" t="n">
        <v>0</v>
      </c>
      <c r="I78" s="0" t="s">
        <v>260</v>
      </c>
      <c r="J78" s="0" t="s">
        <v>254</v>
      </c>
      <c r="K78" s="0" t="s">
        <v>66</v>
      </c>
    </row>
    <row r="79" customFormat="false" ht="15" hidden="false" customHeight="false" outlineLevel="0" collapsed="false">
      <c r="A79" s="5" t="s">
        <v>261</v>
      </c>
    </row>
    <row r="80" customFormat="false" ht="15" hidden="false" customHeight="false" outlineLevel="0" collapsed="false">
      <c r="A80" s="0" t="s">
        <v>262</v>
      </c>
      <c r="B80" s="0" t="s">
        <v>263</v>
      </c>
      <c r="C80" s="0" t="n">
        <v>30.21</v>
      </c>
      <c r="D80" s="0" t="n">
        <v>2.174</v>
      </c>
      <c r="E80" s="0" t="n">
        <v>0</v>
      </c>
      <c r="F80" s="0" t="s">
        <v>264</v>
      </c>
      <c r="G80" s="0" t="n">
        <v>16</v>
      </c>
      <c r="H80" s="0" t="n">
        <v>0</v>
      </c>
      <c r="I80" s="0" t="s">
        <v>265</v>
      </c>
      <c r="J80" s="0" t="s">
        <v>266</v>
      </c>
      <c r="K80" s="0" t="s">
        <v>70</v>
      </c>
    </row>
    <row r="81" customFormat="false" ht="15" hidden="false" customHeight="false" outlineLevel="0" collapsed="false">
      <c r="A81" s="0" t="s">
        <v>267</v>
      </c>
      <c r="B81" s="0" t="s">
        <v>268</v>
      </c>
      <c r="C81" s="0" t="n">
        <v>3.9</v>
      </c>
      <c r="D81" s="0" t="n">
        <v>2.042</v>
      </c>
      <c r="E81" s="0" t="n">
        <v>0</v>
      </c>
      <c r="F81" s="0" t="s">
        <v>264</v>
      </c>
      <c r="G81" s="0" t="n">
        <v>16</v>
      </c>
      <c r="H81" s="0" t="n">
        <v>0</v>
      </c>
      <c r="I81" s="0" t="s">
        <v>268</v>
      </c>
      <c r="J81" s="0" t="s">
        <v>266</v>
      </c>
      <c r="K81" s="0" t="s">
        <v>70</v>
      </c>
    </row>
    <row r="82" customFormat="false" ht="15" hidden="false" customHeight="false" outlineLevel="0" collapsed="false">
      <c r="A82" s="0" t="s">
        <v>269</v>
      </c>
      <c r="B82" s="0" t="s">
        <v>270</v>
      </c>
      <c r="C82" s="0" t="n">
        <v>47.372</v>
      </c>
      <c r="D82" s="0" t="n">
        <v>3.411</v>
      </c>
      <c r="E82" s="0" t="n">
        <v>0</v>
      </c>
      <c r="F82" s="0" t="s">
        <v>264</v>
      </c>
      <c r="G82" s="0" t="n">
        <v>16</v>
      </c>
      <c r="H82" s="0" t="n">
        <v>0</v>
      </c>
      <c r="I82" s="0" t="s">
        <v>271</v>
      </c>
      <c r="J82" s="0" t="s">
        <v>266</v>
      </c>
      <c r="K82" s="0" t="s">
        <v>70</v>
      </c>
    </row>
    <row r="83" customFormat="false" ht="15" hidden="false" customHeight="false" outlineLevel="0" collapsed="false">
      <c r="A83" s="0" t="s">
        <v>272</v>
      </c>
      <c r="B83" s="0" t="s">
        <v>273</v>
      </c>
      <c r="C83" s="0" t="n">
        <v>52.278</v>
      </c>
      <c r="D83" s="0" t="n">
        <v>4.883</v>
      </c>
      <c r="E83" s="0" t="n">
        <v>0</v>
      </c>
      <c r="F83" s="0" t="s">
        <v>264</v>
      </c>
      <c r="G83" s="0" t="n">
        <v>16</v>
      </c>
      <c r="H83" s="0" t="n">
        <v>0</v>
      </c>
      <c r="I83" s="0" t="s">
        <v>273</v>
      </c>
      <c r="J83" s="0" t="s">
        <v>266</v>
      </c>
      <c r="K83" s="0" t="s">
        <v>70</v>
      </c>
    </row>
    <row r="84" customFormat="false" ht="15" hidden="false" customHeight="false" outlineLevel="0" collapsed="false">
      <c r="A84" s="0" t="s">
        <v>274</v>
      </c>
      <c r="B84" s="0" t="s">
        <v>275</v>
      </c>
      <c r="C84" s="0" t="n">
        <v>76.355</v>
      </c>
      <c r="D84" s="0" t="n">
        <v>2.892</v>
      </c>
      <c r="E84" s="0" t="n">
        <v>0</v>
      </c>
      <c r="F84" s="0" t="s">
        <v>264</v>
      </c>
      <c r="G84" s="0" t="n">
        <v>16</v>
      </c>
      <c r="H84" s="0" t="n">
        <v>0</v>
      </c>
      <c r="I84" s="0" t="s">
        <v>276</v>
      </c>
      <c r="J84" s="0" t="s">
        <v>266</v>
      </c>
      <c r="K84" s="0" t="s">
        <v>70</v>
      </c>
    </row>
    <row r="85" customFormat="false" ht="15" hidden="false" customHeight="false" outlineLevel="0" collapsed="false">
      <c r="A85" s="0" t="s">
        <v>277</v>
      </c>
      <c r="B85" s="0" t="s">
        <v>278</v>
      </c>
      <c r="C85" s="0" t="n">
        <v>39.828</v>
      </c>
      <c r="D85" s="0" t="n">
        <v>2.042</v>
      </c>
      <c r="E85" s="0" t="n">
        <v>0</v>
      </c>
      <c r="F85" s="0" t="s">
        <v>264</v>
      </c>
      <c r="G85" s="0" t="n">
        <v>16</v>
      </c>
      <c r="H85" s="0" t="n">
        <v>0</v>
      </c>
      <c r="I85" s="0" t="s">
        <v>278</v>
      </c>
      <c r="J85" s="0" t="s">
        <v>266</v>
      </c>
      <c r="K85" s="0" t="s">
        <v>70</v>
      </c>
    </row>
    <row r="86" customFormat="false" ht="15" hidden="false" customHeight="false" outlineLevel="0" collapsed="false">
      <c r="A86" s="0" t="s">
        <v>279</v>
      </c>
      <c r="B86" s="0" t="s">
        <v>280</v>
      </c>
      <c r="C86" s="0" t="n">
        <v>16.35</v>
      </c>
      <c r="D86" s="0" t="n">
        <v>4.292</v>
      </c>
      <c r="E86" s="0" t="n">
        <v>0</v>
      </c>
      <c r="F86" s="0" t="s">
        <v>264</v>
      </c>
      <c r="G86" s="0" t="n">
        <v>16</v>
      </c>
      <c r="H86" s="0" t="n">
        <v>0</v>
      </c>
      <c r="I86" s="0" t="s">
        <v>280</v>
      </c>
      <c r="J86" s="0" t="s">
        <v>266</v>
      </c>
      <c r="K86" s="0" t="s">
        <v>70</v>
      </c>
    </row>
    <row r="87" customFormat="false" ht="15" hidden="false" customHeight="false" outlineLevel="0" collapsed="false">
      <c r="A87" s="0" t="s">
        <v>281</v>
      </c>
      <c r="B87" s="0" t="s">
        <v>282</v>
      </c>
      <c r="C87" s="0" t="n">
        <v>1.444</v>
      </c>
      <c r="D87" s="0" t="n">
        <v>4.292</v>
      </c>
      <c r="E87" s="0" t="n">
        <v>0</v>
      </c>
      <c r="F87" s="0" t="s">
        <v>264</v>
      </c>
      <c r="G87" s="0" t="n">
        <v>16</v>
      </c>
      <c r="H87" s="0" t="n">
        <v>0</v>
      </c>
      <c r="I87" s="0" t="s">
        <v>282</v>
      </c>
      <c r="J87" s="0" t="s">
        <v>266</v>
      </c>
      <c r="K87" s="0" t="s">
        <v>70</v>
      </c>
    </row>
    <row r="88" customFormat="false" ht="15" hidden="false" customHeight="false" outlineLevel="0" collapsed="false">
      <c r="A88" s="5" t="s">
        <v>283</v>
      </c>
    </row>
    <row r="89" customFormat="false" ht="15" hidden="false" customHeight="false" outlineLevel="0" collapsed="false">
      <c r="A89" s="0" t="s">
        <v>284</v>
      </c>
      <c r="B89" s="0" t="s">
        <v>285</v>
      </c>
      <c r="C89" s="0" t="n">
        <v>30</v>
      </c>
      <c r="D89" s="0" t="n">
        <v>6.262</v>
      </c>
      <c r="E89" s="0" t="n">
        <v>4</v>
      </c>
      <c r="F89" s="0" t="s">
        <v>63</v>
      </c>
      <c r="G89" s="0" t="n">
        <v>16</v>
      </c>
      <c r="H89" s="0" t="n">
        <v>880</v>
      </c>
      <c r="I89" s="0" t="s">
        <v>286</v>
      </c>
      <c r="J89" s="0" t="s">
        <v>287</v>
      </c>
      <c r="K89" s="0" t="s">
        <v>70</v>
      </c>
    </row>
    <row r="90" customFormat="false" ht="15" hidden="false" customHeight="false" outlineLevel="0" collapsed="false">
      <c r="A90" s="0" t="s">
        <v>288</v>
      </c>
      <c r="B90" s="0" t="s">
        <v>289</v>
      </c>
      <c r="C90" s="0" t="n">
        <v>14.5</v>
      </c>
      <c r="D90" s="0" t="n">
        <v>7.333</v>
      </c>
      <c r="E90" s="0" t="n">
        <v>4</v>
      </c>
      <c r="F90" s="0" t="s">
        <v>63</v>
      </c>
      <c r="G90" s="0" t="n">
        <v>16</v>
      </c>
      <c r="H90" s="0" t="n">
        <v>425.32</v>
      </c>
      <c r="I90" s="0" t="s">
        <v>290</v>
      </c>
      <c r="J90" s="0" t="s">
        <v>287</v>
      </c>
      <c r="K90" s="0" t="s">
        <v>70</v>
      </c>
    </row>
    <row r="91" customFormat="false" ht="15" hidden="false" customHeight="false" outlineLevel="0" collapsed="false">
      <c r="B91" s="6" t="s">
        <v>291</v>
      </c>
      <c r="C91" s="4" t="n">
        <f aca="false">SUM(C5:C90)</f>
        <v>952.037</v>
      </c>
      <c r="H91" s="4" t="n">
        <f aca="false">SUM(H5:H90)</f>
        <v>16959.34</v>
      </c>
    </row>
    <row r="93" customFormat="false" ht="15" hidden="false" customHeight="false" outlineLevel="0" collapsed="false">
      <c r="A93" s="5" t="s">
        <v>292</v>
      </c>
    </row>
    <row r="94" customFormat="false" ht="15" hidden="false" customHeight="false" outlineLevel="0" collapsed="false">
      <c r="A94" s="0" t="s">
        <v>293</v>
      </c>
      <c r="B94" s="0" t="s">
        <v>294</v>
      </c>
      <c r="C94" s="0" t="n">
        <v>12.563</v>
      </c>
      <c r="D94" s="0" t="n">
        <v>4.692</v>
      </c>
      <c r="E94" s="0" t="n">
        <v>1</v>
      </c>
      <c r="F94" s="0" t="s">
        <v>111</v>
      </c>
      <c r="G94" s="0" t="n">
        <v>16</v>
      </c>
      <c r="H94" s="0" t="n">
        <v>86.37</v>
      </c>
      <c r="I94" s="0" t="s">
        <v>159</v>
      </c>
      <c r="J94" s="0" t="s">
        <v>236</v>
      </c>
      <c r="K94" s="0" t="s">
        <v>66</v>
      </c>
    </row>
    <row r="95" customFormat="false" ht="15" hidden="false" customHeight="false" outlineLevel="0" collapsed="false">
      <c r="A95" s="0" t="s">
        <v>295</v>
      </c>
      <c r="B95" s="0" t="s">
        <v>296</v>
      </c>
      <c r="C95" s="0" t="n">
        <v>26.25</v>
      </c>
      <c r="D95" s="0" t="n">
        <v>4.983</v>
      </c>
      <c r="E95" s="0" t="n">
        <v>1</v>
      </c>
      <c r="F95" s="0" t="s">
        <v>111</v>
      </c>
      <c r="G95" s="0" t="n">
        <v>16</v>
      </c>
      <c r="H95" s="0" t="n">
        <v>180.47</v>
      </c>
      <c r="I95" s="0" t="s">
        <v>153</v>
      </c>
      <c r="J95" s="0" t="s">
        <v>236</v>
      </c>
      <c r="K95" s="0" t="s">
        <v>66</v>
      </c>
    </row>
    <row r="96" customFormat="false" ht="15" hidden="false" customHeight="false" outlineLevel="0" collapsed="false">
      <c r="A96" s="0" t="s">
        <v>297</v>
      </c>
      <c r="B96" s="0" t="s">
        <v>298</v>
      </c>
      <c r="C96" s="0" t="n">
        <v>6.5</v>
      </c>
      <c r="D96" s="0" t="n">
        <v>4.692</v>
      </c>
      <c r="E96" s="0" t="n">
        <v>1</v>
      </c>
      <c r="F96" s="0" t="s">
        <v>111</v>
      </c>
      <c r="G96" s="0" t="n">
        <v>16</v>
      </c>
      <c r="H96" s="0" t="n">
        <v>44.69</v>
      </c>
      <c r="I96" s="0" t="s">
        <v>166</v>
      </c>
      <c r="J96" s="0" t="s">
        <v>236</v>
      </c>
      <c r="K96" s="0" t="s">
        <v>70</v>
      </c>
    </row>
    <row r="97" customFormat="false" ht="15" hidden="false" customHeight="false" outlineLevel="0" collapsed="false">
      <c r="A97" s="0" t="s">
        <v>299</v>
      </c>
      <c r="B97" s="0" t="s">
        <v>300</v>
      </c>
      <c r="C97" s="0" t="n">
        <v>15.638</v>
      </c>
      <c r="D97" s="0" t="n">
        <v>5.375</v>
      </c>
      <c r="E97" s="0" t="n">
        <v>2</v>
      </c>
      <c r="F97" s="0" t="s">
        <v>117</v>
      </c>
      <c r="G97" s="0" t="n">
        <v>16</v>
      </c>
      <c r="H97" s="0" t="n">
        <v>168.1</v>
      </c>
      <c r="I97" s="0" t="s">
        <v>301</v>
      </c>
      <c r="J97" s="0" t="s">
        <v>302</v>
      </c>
      <c r="K97" s="0" t="s">
        <v>70</v>
      </c>
    </row>
    <row r="98" customFormat="false" ht="15" hidden="false" customHeight="false" outlineLevel="0" collapsed="false">
      <c r="A98" s="0" t="s">
        <v>303</v>
      </c>
      <c r="B98" s="0" t="s">
        <v>304</v>
      </c>
      <c r="C98" s="0" t="n">
        <v>6.364</v>
      </c>
      <c r="D98" s="0" t="n">
        <v>5.375</v>
      </c>
      <c r="E98" s="0" t="n">
        <v>2</v>
      </c>
      <c r="F98" s="0" t="s">
        <v>117</v>
      </c>
      <c r="G98" s="0" t="n">
        <v>16</v>
      </c>
      <c r="H98" s="0" t="n">
        <v>68.42</v>
      </c>
      <c r="I98" s="0" t="s">
        <v>305</v>
      </c>
      <c r="J98" s="0" t="s">
        <v>302</v>
      </c>
      <c r="K98" s="0" t="s">
        <v>70</v>
      </c>
    </row>
    <row r="99" customFormat="false" ht="15" hidden="false" customHeight="false" outlineLevel="0" collapsed="false">
      <c r="A99" s="0" t="s">
        <v>306</v>
      </c>
      <c r="B99" s="0" t="s">
        <v>307</v>
      </c>
      <c r="C99" s="0" t="n">
        <v>13.333</v>
      </c>
      <c r="D99" s="0" t="n">
        <v>1.5</v>
      </c>
      <c r="E99" s="0" t="n">
        <v>2</v>
      </c>
      <c r="F99" s="0" t="s">
        <v>308</v>
      </c>
      <c r="G99" s="0" t="n">
        <v>16</v>
      </c>
      <c r="H99" s="0" t="n">
        <v>40</v>
      </c>
      <c r="I99" s="0" t="s">
        <v>309</v>
      </c>
      <c r="J99" s="0" t="s">
        <v>310</v>
      </c>
      <c r="K99" s="0" t="s">
        <v>66</v>
      </c>
    </row>
    <row r="100" customFormat="false" ht="15" hidden="false" customHeight="false" outlineLevel="0" collapsed="false">
      <c r="A100" s="0" t="s">
        <v>311</v>
      </c>
      <c r="B100" s="0" t="s">
        <v>312</v>
      </c>
      <c r="C100" s="0" t="n">
        <v>52.278</v>
      </c>
      <c r="D100" s="0" t="n">
        <v>2.323</v>
      </c>
      <c r="E100" s="0" t="n">
        <v>0</v>
      </c>
      <c r="F100" s="0" t="s">
        <v>117</v>
      </c>
      <c r="G100" s="0" t="n">
        <v>16</v>
      </c>
      <c r="H100" s="0" t="n">
        <v>0</v>
      </c>
      <c r="I100" s="0" t="s">
        <v>312</v>
      </c>
      <c r="J100" s="0" t="s">
        <v>313</v>
      </c>
      <c r="K100" s="0" t="s">
        <v>70</v>
      </c>
    </row>
    <row r="101" customFormat="false" ht="15" hidden="false" customHeight="false" outlineLevel="0" collapsed="false">
      <c r="A101" s="0" t="s">
        <v>314</v>
      </c>
      <c r="B101" s="0" t="s">
        <v>315</v>
      </c>
      <c r="C101" s="0" t="n">
        <v>52.278</v>
      </c>
      <c r="D101" s="0" t="n">
        <v>4.052</v>
      </c>
      <c r="E101" s="0" t="n">
        <v>1</v>
      </c>
      <c r="F101" s="0" t="s">
        <v>117</v>
      </c>
      <c r="G101" s="0" t="n">
        <v>16</v>
      </c>
      <c r="H101" s="0" t="n">
        <v>211.83</v>
      </c>
      <c r="I101" s="0" t="s">
        <v>316</v>
      </c>
      <c r="J101" s="0" t="s">
        <v>313</v>
      </c>
      <c r="K101" s="0" t="s">
        <v>70</v>
      </c>
    </row>
    <row r="102" customFormat="false" ht="15" hidden="false" customHeight="false" outlineLevel="0" collapsed="false">
      <c r="A102" s="0" t="s">
        <v>317</v>
      </c>
      <c r="B102" s="0" t="s">
        <v>318</v>
      </c>
      <c r="C102" s="0" t="n">
        <v>52.278</v>
      </c>
      <c r="D102" s="0" t="n">
        <v>6.375</v>
      </c>
      <c r="E102" s="0" t="n">
        <v>1</v>
      </c>
      <c r="F102" s="0" t="s">
        <v>117</v>
      </c>
      <c r="G102" s="0" t="n">
        <v>16</v>
      </c>
      <c r="H102" s="0" t="n">
        <v>333.27</v>
      </c>
      <c r="I102" s="0" t="s">
        <v>319</v>
      </c>
      <c r="J102" s="0" t="s">
        <v>313</v>
      </c>
      <c r="K102" s="0" t="s">
        <v>70</v>
      </c>
    </row>
    <row r="103" customFormat="false" ht="15" hidden="false" customHeight="false" outlineLevel="0" collapsed="false">
      <c r="A103" s="0" t="s">
        <v>320</v>
      </c>
      <c r="B103" s="0" t="s">
        <v>321</v>
      </c>
      <c r="C103" s="0" t="n">
        <v>12.013</v>
      </c>
      <c r="D103" s="0" t="n">
        <v>7.375</v>
      </c>
      <c r="E103" s="0" t="n">
        <v>1</v>
      </c>
      <c r="F103" s="0" t="s">
        <v>117</v>
      </c>
      <c r="G103" s="0" t="n">
        <v>16</v>
      </c>
      <c r="H103" s="0" t="n">
        <v>48.05</v>
      </c>
      <c r="I103" s="0" t="s">
        <v>153</v>
      </c>
      <c r="J103" s="0" t="s">
        <v>322</v>
      </c>
      <c r="K103" s="0" t="s">
        <v>70</v>
      </c>
    </row>
    <row r="104" customFormat="false" ht="15" hidden="false" customHeight="false" outlineLevel="0" collapsed="false">
      <c r="A104" s="0" t="s">
        <v>323</v>
      </c>
      <c r="B104" s="0" t="s">
        <v>324</v>
      </c>
      <c r="C104" s="0" t="n">
        <v>12.013</v>
      </c>
      <c r="D104" s="0" t="n">
        <v>7.375</v>
      </c>
      <c r="E104" s="0" t="n">
        <v>1</v>
      </c>
      <c r="F104" s="0" t="s">
        <v>117</v>
      </c>
      <c r="G104" s="0" t="n">
        <v>16</v>
      </c>
      <c r="H104" s="0" t="n">
        <v>18.02</v>
      </c>
      <c r="I104" s="0" t="s">
        <v>156</v>
      </c>
      <c r="J104" s="0" t="s">
        <v>322</v>
      </c>
      <c r="K104" s="0" t="s">
        <v>70</v>
      </c>
    </row>
    <row r="105" customFormat="false" ht="15" hidden="false" customHeight="false" outlineLevel="0" collapsed="false">
      <c r="A105" s="0" t="s">
        <v>325</v>
      </c>
      <c r="B105" s="0" t="s">
        <v>326</v>
      </c>
      <c r="C105" s="0" t="n">
        <v>78.161</v>
      </c>
      <c r="D105" s="0" t="n">
        <v>1.864</v>
      </c>
      <c r="E105" s="0" t="n">
        <v>0</v>
      </c>
      <c r="F105" s="0" t="s">
        <v>327</v>
      </c>
      <c r="G105" s="0" t="n">
        <v>16</v>
      </c>
      <c r="H105" s="0" t="n">
        <v>0</v>
      </c>
      <c r="I105" s="0" t="s">
        <v>326</v>
      </c>
      <c r="J105" s="0" t="s">
        <v>328</v>
      </c>
      <c r="K105" s="0" t="s">
        <v>70</v>
      </c>
    </row>
    <row r="106" customFormat="false" ht="15" hidden="false" customHeight="false" outlineLevel="0" collapsed="false">
      <c r="A106" s="0" t="s">
        <v>329</v>
      </c>
      <c r="B106" s="0" t="s">
        <v>330</v>
      </c>
      <c r="C106" s="0" t="n">
        <v>78.44</v>
      </c>
      <c r="D106" s="0" t="n">
        <v>1.864</v>
      </c>
      <c r="E106" s="0" t="n">
        <v>0</v>
      </c>
      <c r="F106" s="0" t="s">
        <v>327</v>
      </c>
      <c r="G106" s="0" t="n">
        <v>16</v>
      </c>
      <c r="H106" s="0" t="n">
        <v>0</v>
      </c>
      <c r="I106" s="0" t="s">
        <v>330</v>
      </c>
      <c r="J106" s="0" t="s">
        <v>331</v>
      </c>
      <c r="K106" s="0" t="s">
        <v>70</v>
      </c>
    </row>
    <row r="107" customFormat="false" ht="15" hidden="false" customHeight="false" outlineLevel="0" collapsed="false">
      <c r="A107" s="0" t="s">
        <v>332</v>
      </c>
      <c r="B107" s="0" t="s">
        <v>333</v>
      </c>
      <c r="C107" s="0" t="n">
        <v>55.578</v>
      </c>
      <c r="D107" s="0" t="n">
        <v>1.864</v>
      </c>
      <c r="E107" s="0" t="n">
        <v>0</v>
      </c>
      <c r="F107" s="0" t="s">
        <v>327</v>
      </c>
      <c r="G107" s="0" t="n">
        <v>16</v>
      </c>
      <c r="H107" s="0" t="n">
        <v>0</v>
      </c>
      <c r="I107" s="0" t="s">
        <v>333</v>
      </c>
      <c r="J107" s="0" t="s">
        <v>334</v>
      </c>
      <c r="K107" s="0" t="s">
        <v>70</v>
      </c>
    </row>
    <row r="108" customFormat="false" ht="15" hidden="false" customHeight="false" outlineLevel="0" collapsed="false">
      <c r="A108" s="0" t="s">
        <v>335</v>
      </c>
      <c r="B108" s="0" t="s">
        <v>336</v>
      </c>
      <c r="C108" s="0" t="n">
        <v>29</v>
      </c>
      <c r="D108" s="0" t="n">
        <v>1.864</v>
      </c>
      <c r="E108" s="0" t="n">
        <v>0</v>
      </c>
      <c r="F108" s="0" t="s">
        <v>327</v>
      </c>
      <c r="G108" s="0" t="n">
        <v>16</v>
      </c>
      <c r="H108" s="0" t="n">
        <v>0</v>
      </c>
      <c r="I108" s="0" t="s">
        <v>336</v>
      </c>
      <c r="J108" s="0" t="s">
        <v>337</v>
      </c>
      <c r="K108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0" t="s">
        <v>339</v>
      </c>
    </row>
    <row r="3" customFormat="false" ht="15" hidden="false" customHeight="false" outlineLevel="0" collapsed="false">
      <c r="A3" s="2" t="s">
        <v>340</v>
      </c>
      <c r="B3" s="2" t="s">
        <v>341</v>
      </c>
      <c r="C3" s="2" t="s">
        <v>342</v>
      </c>
      <c r="D3" s="2" t="s">
        <v>343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</row>
    <row r="4" customFormat="false" ht="15" hidden="false" customHeight="false" outlineLevel="0" collapsed="false">
      <c r="A4" s="0" t="s">
        <v>350</v>
      </c>
      <c r="B4" s="0" t="s">
        <v>351</v>
      </c>
      <c r="C4" s="0" t="n">
        <v>4144.73</v>
      </c>
      <c r="D4" s="0" t="n">
        <f aca="false">Inputs!$B$5</f>
        <v>0.15</v>
      </c>
      <c r="E4" s="0" t="n">
        <f aca="false">C4*D4</f>
        <v>621.7095</v>
      </c>
      <c r="F4" s="0" t="n">
        <f aca="false">C4+E4</f>
        <v>4766.4395</v>
      </c>
      <c r="G4" s="0" t="s">
        <v>352</v>
      </c>
      <c r="H4" s="0" t="n">
        <f aca="false">ROUNDUP(F4/Inputs!$B$10,0)</f>
        <v>239</v>
      </c>
      <c r="I4" s="0" t="s">
        <v>353</v>
      </c>
    </row>
    <row r="5" customFormat="false" ht="15" hidden="false" customHeight="false" outlineLevel="0" collapsed="false">
      <c r="A5" s="0" t="s">
        <v>354</v>
      </c>
      <c r="B5" s="0" t="s">
        <v>351</v>
      </c>
      <c r="C5" s="0" t="n">
        <v>6953.16</v>
      </c>
      <c r="D5" s="0" t="n">
        <f aca="false">Inputs!$B$5</f>
        <v>0.15</v>
      </c>
      <c r="E5" s="0" t="n">
        <f aca="false">C5*D5</f>
        <v>1042.974</v>
      </c>
      <c r="F5" s="0" t="n">
        <f aca="false">C5+E5</f>
        <v>7996.134</v>
      </c>
      <c r="G5" s="0" t="s">
        <v>352</v>
      </c>
      <c r="H5" s="0" t="n">
        <f aca="false">ROUNDUP(F5/Inputs!$B$10,0)</f>
        <v>400</v>
      </c>
      <c r="I5" s="0" t="s">
        <v>355</v>
      </c>
    </row>
    <row r="6" customFormat="false" ht="15" hidden="false" customHeight="false" outlineLevel="0" collapsed="false">
      <c r="A6" s="0" t="s">
        <v>356</v>
      </c>
      <c r="B6" s="0" t="s">
        <v>351</v>
      </c>
      <c r="C6" s="0" t="n">
        <v>4031.14</v>
      </c>
      <c r="D6" s="0" t="n">
        <f aca="false">Inputs!$B$5</f>
        <v>0.15</v>
      </c>
      <c r="E6" s="0" t="n">
        <f aca="false">C6*D6</f>
        <v>604.671</v>
      </c>
      <c r="F6" s="0" t="n">
        <f aca="false">C6+E6</f>
        <v>4635.811</v>
      </c>
      <c r="G6" s="0" t="s">
        <v>352</v>
      </c>
      <c r="H6" s="0" t="n">
        <f aca="false">ROUNDUP(F6/Inputs!$B$10,0)</f>
        <v>232</v>
      </c>
      <c r="I6" s="0" t="s">
        <v>357</v>
      </c>
    </row>
    <row r="7" customFormat="false" ht="15" hidden="false" customHeight="false" outlineLevel="0" collapsed="false">
      <c r="A7" s="0" t="s">
        <v>358</v>
      </c>
      <c r="B7" s="0" t="s">
        <v>351</v>
      </c>
      <c r="C7" s="0" t="n">
        <v>930.82</v>
      </c>
      <c r="D7" s="0" t="n">
        <f aca="false">Inputs!$B$5</f>
        <v>0.15</v>
      </c>
      <c r="E7" s="0" t="n">
        <f aca="false">C7*D7</f>
        <v>139.623</v>
      </c>
      <c r="F7" s="0" t="n">
        <f aca="false">C7+E7</f>
        <v>1070.443</v>
      </c>
      <c r="G7" s="0" t="s">
        <v>352</v>
      </c>
      <c r="H7" s="0" t="n">
        <f aca="false">ROUNDUP(F7/Inputs!$B$10,0)</f>
        <v>54</v>
      </c>
      <c r="I7" s="0" t="s">
        <v>359</v>
      </c>
    </row>
    <row r="8" customFormat="false" ht="15" hidden="false" customHeight="false" outlineLevel="0" collapsed="false">
      <c r="A8" s="0" t="s">
        <v>360</v>
      </c>
      <c r="B8" s="0" t="s">
        <v>351</v>
      </c>
      <c r="C8" s="0" t="n">
        <v>1343.74</v>
      </c>
      <c r="D8" s="0" t="n">
        <f aca="false">Inputs!$B$5</f>
        <v>0.15</v>
      </c>
      <c r="E8" s="0" t="n">
        <f aca="false">C8*D8</f>
        <v>201.561</v>
      </c>
      <c r="F8" s="0" t="n">
        <f aca="false">C8+E8</f>
        <v>1545.301</v>
      </c>
      <c r="G8" s="0" t="s">
        <v>361</v>
      </c>
      <c r="H8" s="0" t="n">
        <f aca="false">ROUNDUP(F8/Inputs!$B$11,0)</f>
        <v>155</v>
      </c>
      <c r="I8" s="0" t="s">
        <v>362</v>
      </c>
    </row>
    <row r="9" customFormat="false" ht="15" hidden="false" customHeight="false" outlineLevel="0" collapsed="false">
      <c r="A9" s="0" t="s">
        <v>363</v>
      </c>
      <c r="B9" s="0" t="s">
        <v>351</v>
      </c>
      <c r="C9" s="0" t="n">
        <v>1343.74</v>
      </c>
      <c r="D9" s="0" t="n">
        <f aca="false">Inputs!$B$5</f>
        <v>0.15</v>
      </c>
      <c r="E9" s="0" t="n">
        <f aca="false">C9*D9</f>
        <v>201.561</v>
      </c>
      <c r="F9" s="0" t="n">
        <f aca="false">C9+E9</f>
        <v>1545.301</v>
      </c>
      <c r="G9" s="0" t="s">
        <v>361</v>
      </c>
      <c r="H9" s="0" t="n">
        <f aca="false">ROUNDUP(F9/Inputs!$B$11,0)</f>
        <v>155</v>
      </c>
      <c r="I9" s="0" t="s">
        <v>364</v>
      </c>
    </row>
    <row r="10" customFormat="false" ht="15" hidden="false" customHeight="false" outlineLevel="0" collapsed="false">
      <c r="A10" s="0" t="s">
        <v>365</v>
      </c>
      <c r="B10" s="0" t="s">
        <v>351</v>
      </c>
      <c r="C10" s="0" t="n">
        <v>1379.1</v>
      </c>
      <c r="D10" s="0" t="n">
        <f aca="false">Inputs!$B$5</f>
        <v>0.15</v>
      </c>
      <c r="E10" s="0" t="n">
        <f aca="false">C10*D10</f>
        <v>206.865</v>
      </c>
      <c r="F10" s="0" t="n">
        <f aca="false">C10+E10</f>
        <v>1585.965</v>
      </c>
      <c r="G10" s="0" t="s">
        <v>361</v>
      </c>
      <c r="H10" s="0" t="n">
        <f aca="false">ROUNDUP(F10/Inputs!$B$11,0)</f>
        <v>159</v>
      </c>
      <c r="I10" s="0" t="s">
        <v>366</v>
      </c>
    </row>
    <row r="11" customFormat="false" ht="15" hidden="false" customHeight="false" outlineLevel="0" collapsed="false">
      <c r="A11" s="0" t="s">
        <v>367</v>
      </c>
      <c r="B11" s="0" t="s">
        <v>351</v>
      </c>
      <c r="C11" s="0" t="n">
        <v>2471.64</v>
      </c>
      <c r="D11" s="0" t="n">
        <f aca="false">Inputs!$B$5</f>
        <v>0.15</v>
      </c>
      <c r="E11" s="0" t="n">
        <f aca="false">C11*D11</f>
        <v>370.746</v>
      </c>
      <c r="F11" s="0" t="n">
        <f aca="false">C11+E11</f>
        <v>2842.386</v>
      </c>
      <c r="G11" s="0" t="s">
        <v>368</v>
      </c>
      <c r="H11" s="0" t="n">
        <f aca="false">ROUNDUP(F11/Inputs!$B$16,0)</f>
        <v>178</v>
      </c>
      <c r="I11" s="0" t="s">
        <v>369</v>
      </c>
    </row>
    <row r="12" customFormat="false" ht="15" hidden="false" customHeight="false" outlineLevel="0" collapsed="false">
      <c r="A12" s="0" t="s">
        <v>370</v>
      </c>
      <c r="B12" s="0" t="s">
        <v>351</v>
      </c>
      <c r="C12" s="0" t="n">
        <v>348.81</v>
      </c>
      <c r="D12" s="0" t="n">
        <f aca="false">Inputs!$B$5</f>
        <v>0.15</v>
      </c>
      <c r="E12" s="0" t="n">
        <f aca="false">C12*D12</f>
        <v>52.3215</v>
      </c>
      <c r="F12" s="0" t="n">
        <f aca="false">C12+E12</f>
        <v>401.1315</v>
      </c>
      <c r="G12" s="0" t="s">
        <v>361</v>
      </c>
      <c r="H12" s="0" t="n">
        <f aca="false">ROUNDUP(F12/Inputs!$B$11,0)</f>
        <v>41</v>
      </c>
      <c r="I12" s="0" t="s">
        <v>371</v>
      </c>
    </row>
    <row r="13" customFormat="false" ht="15" hidden="false" customHeight="false" outlineLevel="0" collapsed="false">
      <c r="A13" s="0" t="s">
        <v>372</v>
      </c>
      <c r="B13" s="0" t="s">
        <v>351</v>
      </c>
      <c r="C13" s="0" t="n">
        <v>741.2</v>
      </c>
      <c r="D13" s="0" t="n">
        <f aca="false">Inputs!$B$5</f>
        <v>0.15</v>
      </c>
      <c r="E13" s="0" t="n">
        <f aca="false">C13*D13</f>
        <v>111.18</v>
      </c>
      <c r="F13" s="0" t="n">
        <f aca="false">C13+E13</f>
        <v>852.38</v>
      </c>
      <c r="G13" s="0" t="s">
        <v>352</v>
      </c>
      <c r="H13" s="0" t="n">
        <f aca="false">ROUNDUP(F13/Inputs!$B$10,0)</f>
        <v>43</v>
      </c>
      <c r="I13" s="0" t="s">
        <v>373</v>
      </c>
    </row>
    <row r="14" customFormat="false" ht="15" hidden="false" customHeight="false" outlineLevel="0" collapsed="false">
      <c r="A14" s="0" t="s">
        <v>374</v>
      </c>
      <c r="B14" s="0" t="s">
        <v>351</v>
      </c>
      <c r="C14" s="0" t="n">
        <v>119.09</v>
      </c>
      <c r="D14" s="0" t="n">
        <f aca="false">Inputs!$B$5</f>
        <v>0.15</v>
      </c>
      <c r="E14" s="0" t="n">
        <f aca="false">C14*D14</f>
        <v>17.8635</v>
      </c>
      <c r="F14" s="0" t="n">
        <f aca="false">C14+E14</f>
        <v>136.9535</v>
      </c>
      <c r="G14" s="0" t="s">
        <v>361</v>
      </c>
      <c r="H14" s="0" t="n">
        <f aca="false">ROUNDUP(F14/Inputs!$B$11,0)</f>
        <v>14</v>
      </c>
      <c r="I14" s="0" t="s">
        <v>375</v>
      </c>
    </row>
    <row r="15" customFormat="false" ht="15" hidden="false" customHeight="false" outlineLevel="0" collapsed="false">
      <c r="A15" s="0" t="s">
        <v>376</v>
      </c>
      <c r="B15" s="0" t="s">
        <v>351</v>
      </c>
      <c r="C15" s="0" t="n">
        <v>776.22</v>
      </c>
      <c r="D15" s="0" t="n">
        <f aca="false">Inputs!$B$5</f>
        <v>0.15</v>
      </c>
      <c r="E15" s="0" t="n">
        <f aca="false">C15*D15</f>
        <v>116.433</v>
      </c>
      <c r="F15" s="0" t="n">
        <f aca="false">C15+E15</f>
        <v>892.653</v>
      </c>
      <c r="G15" s="0" t="s">
        <v>377</v>
      </c>
      <c r="H15" s="0" t="n">
        <f aca="false">ROUNDUP(F15/Inputs!$B$17,0)</f>
        <v>75</v>
      </c>
      <c r="I15" s="0" t="s">
        <v>378</v>
      </c>
    </row>
    <row r="16" customFormat="false" ht="15" hidden="false" customHeight="false" outlineLevel="0" collapsed="false">
      <c r="A16" s="0" t="s">
        <v>379</v>
      </c>
      <c r="B16" s="0" t="s">
        <v>351</v>
      </c>
      <c r="C16" s="0" t="n">
        <v>307.79</v>
      </c>
      <c r="D16" s="0" t="n">
        <f aca="false">Inputs!$B$5</f>
        <v>0.15</v>
      </c>
      <c r="E16" s="0" t="n">
        <f aca="false">C16*D16</f>
        <v>46.1685</v>
      </c>
      <c r="F16" s="0" t="n">
        <f aca="false">C16+E16</f>
        <v>353.9585</v>
      </c>
      <c r="G16" s="0" t="s">
        <v>368</v>
      </c>
      <c r="H16" s="0" t="n">
        <f aca="false">ROUNDUP(F16/Inputs!$B$16,0)</f>
        <v>23</v>
      </c>
      <c r="I16" s="0" t="s">
        <v>380</v>
      </c>
    </row>
    <row r="17" customFormat="false" ht="15" hidden="false" customHeight="false" outlineLevel="0" collapsed="false">
      <c r="A17" s="0" t="s">
        <v>381</v>
      </c>
      <c r="B17" s="0" t="s">
        <v>351</v>
      </c>
      <c r="C17" s="0" t="n">
        <v>504.79</v>
      </c>
      <c r="D17" s="0" t="n">
        <f aca="false">Inputs!$B$5</f>
        <v>0.15</v>
      </c>
      <c r="E17" s="0" t="n">
        <f aca="false">C17*D17</f>
        <v>75.7185</v>
      </c>
      <c r="F17" s="0" t="n">
        <f aca="false">C17+E17</f>
        <v>580.5085</v>
      </c>
      <c r="G17" s="0" t="s">
        <v>33</v>
      </c>
      <c r="H17" s="0" t="n">
        <f aca="false">ROUNDUP(F17,0)</f>
        <v>581</v>
      </c>
      <c r="I17" s="0" t="s">
        <v>382</v>
      </c>
    </row>
    <row r="18" customFormat="false" ht="15" hidden="false" customHeight="false" outlineLevel="0" collapsed="false">
      <c r="A18" s="0" t="s">
        <v>383</v>
      </c>
      <c r="B18" s="0" t="s">
        <v>384</v>
      </c>
      <c r="C18" s="0" t="n">
        <v>18881.67</v>
      </c>
      <c r="D18" s="0" t="n">
        <f aca="false">Inputs!$B$6</f>
        <v>0.06</v>
      </c>
      <c r="E18" s="0" t="n">
        <f aca="false">C18*D18</f>
        <v>1132.9002</v>
      </c>
      <c r="F18" s="0" t="n">
        <f aca="false">C18+E18</f>
        <v>20014.5702</v>
      </c>
      <c r="G18" s="0" t="s">
        <v>385</v>
      </c>
      <c r="H18" s="0" t="n">
        <f aca="false">ROUNDUP(F18/Inputs!$B$9,0)</f>
        <v>417</v>
      </c>
      <c r="I18" s="0" t="s">
        <v>386</v>
      </c>
    </row>
    <row r="19" customFormat="false" ht="15" hidden="false" customHeight="false" outlineLevel="0" collapsed="false">
      <c r="A19" s="0" t="s">
        <v>387</v>
      </c>
      <c r="B19" s="0" t="s">
        <v>384</v>
      </c>
      <c r="C19" s="0" t="n">
        <v>260.29</v>
      </c>
      <c r="D19" s="0" t="n">
        <f aca="false">Inputs!$B$6</f>
        <v>0.06</v>
      </c>
      <c r="E19" s="0" t="n">
        <f aca="false">C19*D19</f>
        <v>15.6174</v>
      </c>
      <c r="F19" s="0" t="n">
        <f aca="false">C19+E19</f>
        <v>275.9074</v>
      </c>
      <c r="G19" s="0" t="s">
        <v>385</v>
      </c>
      <c r="H19" s="0" t="n">
        <f aca="false">ROUNDUP(F19/Inputs!$B$9,0)</f>
        <v>6</v>
      </c>
      <c r="I19" s="0" t="s">
        <v>388</v>
      </c>
    </row>
    <row r="20" customFormat="false" ht="15" hidden="false" customHeight="false" outlineLevel="0" collapsed="false">
      <c r="A20" s="0" t="s">
        <v>389</v>
      </c>
      <c r="B20" s="0" t="s">
        <v>384</v>
      </c>
      <c r="C20" s="0" t="n">
        <v>86.07</v>
      </c>
      <c r="D20" s="0" t="n">
        <f aca="false">Inputs!$B$6</f>
        <v>0.06</v>
      </c>
      <c r="E20" s="0" t="n">
        <f aca="false">C20*D20</f>
        <v>5.1642</v>
      </c>
      <c r="F20" s="0" t="n">
        <f aca="false">C20+E20</f>
        <v>91.2342</v>
      </c>
      <c r="G20" s="0" t="s">
        <v>390</v>
      </c>
      <c r="H20" s="0" t="n">
        <f aca="false">ROUNDUP(F20/32,0)</f>
        <v>3</v>
      </c>
      <c r="I20" s="0" t="s">
        <v>391</v>
      </c>
    </row>
    <row r="21" customFormat="false" ht="15" hidden="false" customHeight="false" outlineLevel="0" collapsed="false">
      <c r="A21" s="0" t="s">
        <v>392</v>
      </c>
      <c r="B21" s="0" t="s">
        <v>384</v>
      </c>
      <c r="C21" s="0" t="n">
        <v>65.55</v>
      </c>
      <c r="D21" s="0" t="n">
        <f aca="false">Inputs!$B$6</f>
        <v>0.06</v>
      </c>
      <c r="E21" s="0" t="n">
        <f aca="false">C21*D21</f>
        <v>3.933</v>
      </c>
      <c r="F21" s="0" t="n">
        <f aca="false">C21+E21</f>
        <v>69.483</v>
      </c>
      <c r="G21" s="0" t="s">
        <v>390</v>
      </c>
      <c r="H21" s="0" t="n">
        <f aca="false">ROUNDUP(F21/32,0)</f>
        <v>3</v>
      </c>
      <c r="I21" s="0" t="s">
        <v>393</v>
      </c>
    </row>
    <row r="22" customFormat="false" ht="15" hidden="false" customHeight="false" outlineLevel="0" collapsed="false">
      <c r="A22" s="0" t="s">
        <v>394</v>
      </c>
      <c r="B22" s="0" t="s">
        <v>384</v>
      </c>
      <c r="C22" s="0" t="n">
        <v>477.09</v>
      </c>
      <c r="D22" s="0" t="n">
        <f aca="false">Inputs!$B$6</f>
        <v>0.06</v>
      </c>
      <c r="E22" s="0" t="n">
        <f aca="false">C22*D22</f>
        <v>28.6254</v>
      </c>
      <c r="F22" s="0" t="n">
        <f aca="false">C22+E22</f>
        <v>505.7154</v>
      </c>
      <c r="G22" s="0" t="s">
        <v>390</v>
      </c>
      <c r="H22" s="0" t="n">
        <f aca="false">ROUNDUP(F22/32,0)</f>
        <v>16</v>
      </c>
      <c r="I22" s="0" t="s">
        <v>395</v>
      </c>
    </row>
    <row r="23" customFormat="false" ht="15" hidden="false" customHeight="false" outlineLevel="0" collapsed="false">
      <c r="A23" s="0" t="s">
        <v>396</v>
      </c>
      <c r="B23" s="0" t="s">
        <v>384</v>
      </c>
      <c r="C23" s="0" t="n">
        <v>869.01</v>
      </c>
      <c r="D23" s="0" t="n">
        <f aca="false">Inputs!$B$6</f>
        <v>0.06</v>
      </c>
      <c r="E23" s="0" t="n">
        <f aca="false">C23*D23</f>
        <v>52.1406</v>
      </c>
      <c r="F23" s="0" t="n">
        <f aca="false">C23+E23</f>
        <v>921.1506</v>
      </c>
      <c r="G23" s="0" t="s">
        <v>390</v>
      </c>
      <c r="H23" s="0" t="n">
        <f aca="false">ROUNDUP(F23/32,0)</f>
        <v>29</v>
      </c>
      <c r="I23" s="0" t="s">
        <v>397</v>
      </c>
    </row>
    <row r="24" customFormat="false" ht="15" hidden="false" customHeight="false" outlineLevel="0" collapsed="false">
      <c r="A24" s="0" t="s">
        <v>398</v>
      </c>
      <c r="B24" s="0" t="s">
        <v>351</v>
      </c>
      <c r="C24" s="0" t="n">
        <v>687.99</v>
      </c>
      <c r="D24" s="0" t="n">
        <f aca="false">Inputs!$B$6</f>
        <v>0.06</v>
      </c>
      <c r="E24" s="0" t="n">
        <f aca="false">C24*D24</f>
        <v>41.2794</v>
      </c>
      <c r="F24" s="0" t="n">
        <f aca="false">C24+E24</f>
        <v>729.2694</v>
      </c>
      <c r="G24" s="0" t="s">
        <v>351</v>
      </c>
      <c r="H24" s="0" t="n">
        <f aca="false">ROUNDUP(F24,0)</f>
        <v>730</v>
      </c>
      <c r="I24" s="0" t="s">
        <v>399</v>
      </c>
    </row>
    <row r="25" customFormat="false" ht="15" hidden="false" customHeight="false" outlineLevel="0" collapsed="false">
      <c r="A25" s="0" t="s">
        <v>400</v>
      </c>
      <c r="B25" s="0" t="s">
        <v>351</v>
      </c>
      <c r="C25" s="0" t="n">
        <v>776.06</v>
      </c>
      <c r="D25" s="0" t="n">
        <f aca="false">Inputs!$B$5</f>
        <v>0.15</v>
      </c>
      <c r="E25" s="0" t="n">
        <f aca="false">C25*D25</f>
        <v>116.409</v>
      </c>
      <c r="F25" s="0" t="n">
        <f aca="false">C25+E25</f>
        <v>892.469</v>
      </c>
      <c r="G25" s="0" t="s">
        <v>352</v>
      </c>
      <c r="H25" s="0" t="n">
        <f aca="false">ROUNDUP(F25/Inputs!$B$10,0)</f>
        <v>45</v>
      </c>
      <c r="I25" s="0" t="s">
        <v>401</v>
      </c>
    </row>
    <row r="26" customFormat="false" ht="15" hidden="false" customHeight="false" outlineLevel="0" collapsed="false">
      <c r="A26" s="0" t="s">
        <v>402</v>
      </c>
      <c r="B26" s="0" t="s">
        <v>351</v>
      </c>
      <c r="C26" s="0" t="n">
        <v>1184.44</v>
      </c>
      <c r="D26" s="0" t="n">
        <f aca="false">Inputs!$B$5</f>
        <v>0.15</v>
      </c>
      <c r="E26" s="0" t="n">
        <f aca="false">C26*D26</f>
        <v>177.666</v>
      </c>
      <c r="F26" s="0" t="n">
        <f aca="false">C26+E26</f>
        <v>1362.106</v>
      </c>
      <c r="G26" s="0" t="s">
        <v>403</v>
      </c>
      <c r="H26" s="0" t="n">
        <f aca="false">ROUNDUP(F26/Inputs!$B$18,0)</f>
        <v>137</v>
      </c>
      <c r="I26" s="0" t="s">
        <v>404</v>
      </c>
    </row>
    <row r="27" customFormat="false" ht="15" hidden="false" customHeight="false" outlineLevel="0" collapsed="false">
      <c r="A27" s="0" t="s">
        <v>405</v>
      </c>
      <c r="B27" s="0" t="s">
        <v>384</v>
      </c>
      <c r="C27" s="0" t="n">
        <v>31.8</v>
      </c>
      <c r="D27" s="0" t="n">
        <f aca="false">Inputs!$B$6</f>
        <v>0.06</v>
      </c>
      <c r="E27" s="0" t="n">
        <f aca="false">C27*D27</f>
        <v>1.908</v>
      </c>
      <c r="F27" s="0" t="n">
        <f aca="false">C27+E27</f>
        <v>33.708</v>
      </c>
      <c r="G27" s="0" t="s">
        <v>406</v>
      </c>
      <c r="H27" s="0" t="n">
        <f aca="false">ROUNDUP(F27/15,0)</f>
        <v>3</v>
      </c>
      <c r="I27" s="0" t="s">
        <v>407</v>
      </c>
    </row>
    <row r="28" customFormat="false" ht="15" hidden="false" customHeight="false" outlineLevel="0" collapsed="false">
      <c r="A28" s="0" t="s">
        <v>408</v>
      </c>
      <c r="B28" s="0" t="s">
        <v>384</v>
      </c>
      <c r="C28" s="0" t="n">
        <v>334.02</v>
      </c>
      <c r="D28" s="0" t="n">
        <f aca="false">Inputs!$B$6</f>
        <v>0.06</v>
      </c>
      <c r="E28" s="0" t="n">
        <f aca="false">C28*D28</f>
        <v>20.0412</v>
      </c>
      <c r="F28" s="0" t="n">
        <f aca="false">C28+E28</f>
        <v>354.0612</v>
      </c>
      <c r="G28" s="0" t="s">
        <v>390</v>
      </c>
      <c r="H28" s="0" t="n">
        <f aca="false">ROUNDUP(F28/32,0)</f>
        <v>12</v>
      </c>
      <c r="I28" s="0" t="s">
        <v>409</v>
      </c>
    </row>
    <row r="29" customFormat="false" ht="15" hidden="false" customHeight="false" outlineLevel="0" collapsed="false">
      <c r="A29" s="0" t="s">
        <v>410</v>
      </c>
      <c r="B29" s="0" t="s">
        <v>351</v>
      </c>
      <c r="C29" s="0" t="n">
        <v>1008.03</v>
      </c>
      <c r="D29" s="0" t="n">
        <f aca="false">Inputs!$B$6</f>
        <v>0.06</v>
      </c>
      <c r="E29" s="0" t="n">
        <f aca="false">C29*D29</f>
        <v>60.4818</v>
      </c>
      <c r="F29" s="0" t="n">
        <f aca="false">C29+E29</f>
        <v>1068.5118</v>
      </c>
      <c r="G29" s="0" t="s">
        <v>411</v>
      </c>
      <c r="H29" s="0" t="n">
        <f aca="false">ROUNDUP(F29/Inputs!$B$15,0)</f>
        <v>43</v>
      </c>
      <c r="I29" s="0" t="s">
        <v>412</v>
      </c>
    </row>
    <row r="30" customFormat="false" ht="15" hidden="false" customHeight="false" outlineLevel="0" collapsed="false">
      <c r="A30" s="0" t="s">
        <v>413</v>
      </c>
      <c r="B30" s="0" t="s">
        <v>351</v>
      </c>
      <c r="C30" s="0" t="n">
        <v>940.79</v>
      </c>
      <c r="D30" s="0" t="n">
        <f aca="false">Inputs!$B$5</f>
        <v>0.15</v>
      </c>
      <c r="E30" s="0" t="n">
        <f aca="false">C30*D30</f>
        <v>141.1185</v>
      </c>
      <c r="F30" s="0" t="n">
        <f aca="false">C30+E30</f>
        <v>1081.9085</v>
      </c>
      <c r="G30" s="0" t="s">
        <v>352</v>
      </c>
      <c r="H30" s="0" t="n">
        <f aca="false">ROUNDUP(F30/Inputs!$B$10,0)</f>
        <v>55</v>
      </c>
      <c r="I30" s="0" t="s">
        <v>414</v>
      </c>
    </row>
    <row r="31" customFormat="false" ht="15" hidden="false" customHeight="false" outlineLevel="0" collapsed="false">
      <c r="A31" s="0" t="s">
        <v>415</v>
      </c>
      <c r="B31" s="0" t="s">
        <v>384</v>
      </c>
      <c r="C31" s="0" t="n">
        <v>2278.85</v>
      </c>
      <c r="D31" s="0" t="n">
        <f aca="false">Inputs!$B$6</f>
        <v>0.06</v>
      </c>
      <c r="E31" s="0" t="n">
        <f aca="false">C31*D31</f>
        <v>136.731</v>
      </c>
      <c r="F31" s="0" t="n">
        <f aca="false">C31+E31</f>
        <v>2415.581</v>
      </c>
      <c r="G31" s="0" t="s">
        <v>416</v>
      </c>
      <c r="H31" s="0" t="n">
        <f aca="false">ROUNDUP(F31/Inputs!$B$9,0)</f>
        <v>51</v>
      </c>
      <c r="I31" s="0" t="s">
        <v>417</v>
      </c>
    </row>
    <row r="32" customFormat="false" ht="15" hidden="false" customHeight="false" outlineLevel="0" collapsed="false">
      <c r="A32" s="0" t="s">
        <v>418</v>
      </c>
      <c r="B32" s="0" t="s">
        <v>384</v>
      </c>
      <c r="C32" s="0" t="n">
        <v>3782.24</v>
      </c>
      <c r="D32" s="0" t="n">
        <f aca="false">Inputs!$B$6</f>
        <v>0.06</v>
      </c>
      <c r="E32" s="0" t="n">
        <f aca="false">C32*D32</f>
        <v>226.9344</v>
      </c>
      <c r="F32" s="0" t="n">
        <f aca="false">C32+E32</f>
        <v>4009.1744</v>
      </c>
      <c r="G32" s="0" t="s">
        <v>416</v>
      </c>
      <c r="H32" s="0" t="n">
        <f aca="false">ROUNDUP(F32/Inputs!$B$9,0)</f>
        <v>84</v>
      </c>
      <c r="I32" s="0" t="s">
        <v>417</v>
      </c>
    </row>
    <row r="33" customFormat="false" ht="15" hidden="false" customHeight="false" outlineLevel="0" collapsed="false">
      <c r="A33" s="0" t="s">
        <v>419</v>
      </c>
      <c r="B33" s="0" t="s">
        <v>384</v>
      </c>
      <c r="C33" s="0" t="n">
        <v>683.21</v>
      </c>
      <c r="D33" s="0" t="n">
        <f aca="false">Inputs!$B$6</f>
        <v>0.06</v>
      </c>
      <c r="E33" s="0" t="n">
        <f aca="false">C33*D33</f>
        <v>40.9926</v>
      </c>
      <c r="F33" s="0" t="n">
        <f aca="false">C33+E33</f>
        <v>724.2026</v>
      </c>
      <c r="G33" s="0" t="s">
        <v>416</v>
      </c>
      <c r="H33" s="0" t="n">
        <f aca="false">ROUNDUP(F33/Inputs!$B$9,0)</f>
        <v>16</v>
      </c>
      <c r="I33" s="0" t="s">
        <v>417</v>
      </c>
    </row>
    <row r="34" customFormat="false" ht="15" hidden="false" customHeight="false" outlineLevel="0" collapsed="false">
      <c r="A34" s="0" t="s">
        <v>420</v>
      </c>
      <c r="B34" s="0" t="s">
        <v>384</v>
      </c>
      <c r="C34" s="0" t="n">
        <v>4.78</v>
      </c>
      <c r="D34" s="0" t="n">
        <f aca="false">Inputs!$B$6</f>
        <v>0.06</v>
      </c>
      <c r="E34" s="0" t="n">
        <f aca="false">C34*D34</f>
        <v>0.2868</v>
      </c>
      <c r="F34" s="0" t="n">
        <f aca="false">C34+E34</f>
        <v>5.0668</v>
      </c>
      <c r="G34" s="0" t="s">
        <v>416</v>
      </c>
      <c r="H34" s="0" t="n">
        <f aca="false">ROUNDUP(F34/Inputs!$B$9,0)</f>
        <v>1</v>
      </c>
      <c r="I34" s="0" t="s">
        <v>417</v>
      </c>
    </row>
    <row r="35" customFormat="false" ht="15" hidden="false" customHeight="false" outlineLevel="0" collapsed="false">
      <c r="A35" s="0" t="s">
        <v>421</v>
      </c>
      <c r="B35" s="0" t="s">
        <v>351</v>
      </c>
      <c r="C35" s="0" t="n">
        <v>219.94</v>
      </c>
      <c r="D35" s="0" t="n">
        <f aca="false">Inputs!$B$6</f>
        <v>0.06</v>
      </c>
      <c r="E35" s="0" t="n">
        <f aca="false">C35*D35</f>
        <v>13.1964</v>
      </c>
      <c r="F35" s="0" t="n">
        <f aca="false">C35+E35</f>
        <v>233.1364</v>
      </c>
      <c r="G35" s="0" t="s">
        <v>411</v>
      </c>
      <c r="H35" s="0" t="n">
        <f aca="false">ROUNDUP(F35/Inputs!$B$15,0)</f>
        <v>10</v>
      </c>
      <c r="I35" s="0" t="s">
        <v>422</v>
      </c>
    </row>
    <row r="36" customFormat="false" ht="15" hidden="false" customHeight="false" outlineLevel="0" collapsed="false">
      <c r="A36" s="0" t="s">
        <v>423</v>
      </c>
      <c r="B36" s="0" t="s">
        <v>424</v>
      </c>
      <c r="C36" s="0" t="n">
        <v>108</v>
      </c>
      <c r="D36" s="0" t="n">
        <v>0</v>
      </c>
      <c r="E36" s="0" t="n">
        <f aca="false">C36*D36</f>
        <v>0</v>
      </c>
      <c r="F36" s="0" t="n">
        <f aca="false">C36+E36</f>
        <v>108</v>
      </c>
      <c r="H36" s="0" t="n">
        <f aca="false">ROUNDUP(F36,0)</f>
        <v>108</v>
      </c>
      <c r="I36" s="0" t="s">
        <v>425</v>
      </c>
    </row>
    <row r="37" customFormat="false" ht="15" hidden="false" customHeight="false" outlineLevel="0" collapsed="false">
      <c r="A37" s="0" t="s">
        <v>426</v>
      </c>
      <c r="B37" s="0" t="s">
        <v>351</v>
      </c>
      <c r="C37" s="0" t="n">
        <v>56</v>
      </c>
      <c r="D37" s="0" t="n">
        <f aca="false">Inputs!$B$5</f>
        <v>0.15</v>
      </c>
      <c r="E37" s="0" t="n">
        <f aca="false">C37*D37</f>
        <v>8.4</v>
      </c>
      <c r="F37" s="0" t="n">
        <f aca="false">C37+E37</f>
        <v>64.4</v>
      </c>
      <c r="G37" s="0" t="s">
        <v>361</v>
      </c>
      <c r="H37" s="0" t="n">
        <f aca="false">ROUNDUP(F37/Inputs!$B$11,0)</f>
        <v>7</v>
      </c>
      <c r="I37" s="0" t="s">
        <v>427</v>
      </c>
    </row>
    <row r="38" customFormat="false" ht="15" hidden="false" customHeight="false" outlineLevel="0" collapsed="false">
      <c r="A38" s="0" t="s">
        <v>428</v>
      </c>
      <c r="B38" s="0" t="s">
        <v>424</v>
      </c>
      <c r="C38" s="0" t="n">
        <v>29</v>
      </c>
      <c r="D38" s="0" t="n">
        <v>0</v>
      </c>
      <c r="E38" s="0" t="n">
        <f aca="false">C38*D38</f>
        <v>0</v>
      </c>
      <c r="F38" s="0" t="n">
        <f aca="false">C38+E38</f>
        <v>29</v>
      </c>
      <c r="G38" s="0" t="s">
        <v>429</v>
      </c>
      <c r="H38" s="0" t="n">
        <f aca="false">ROUNDUP(F38,0)</f>
        <v>29</v>
      </c>
      <c r="I38" s="0" t="s">
        <v>430</v>
      </c>
    </row>
    <row r="39" customFormat="false" ht="15" hidden="false" customHeight="false" outlineLevel="0" collapsed="false">
      <c r="A39" s="0" t="s">
        <v>431</v>
      </c>
      <c r="B39" s="0" t="s">
        <v>351</v>
      </c>
      <c r="C39" s="0" t="n">
        <v>12.17</v>
      </c>
      <c r="D39" s="0" t="n">
        <f aca="false">Inputs!$B$5</f>
        <v>0.15</v>
      </c>
      <c r="E39" s="0" t="n">
        <f aca="false">C39*D39</f>
        <v>1.8255</v>
      </c>
      <c r="F39" s="0" t="n">
        <f aca="false">C39+E39</f>
        <v>13.9955</v>
      </c>
      <c r="G39" s="0" t="s">
        <v>352</v>
      </c>
      <c r="H39" s="0" t="n">
        <f aca="false">ROUNDUP(F39/Inputs!$B$10,0)</f>
        <v>1</v>
      </c>
      <c r="I39" s="0" t="s">
        <v>432</v>
      </c>
    </row>
    <row r="40" customFormat="false" ht="15" hidden="false" customHeight="false" outlineLevel="0" collapsed="false">
      <c r="A40" s="0" t="s">
        <v>433</v>
      </c>
      <c r="B40" s="0" t="s">
        <v>351</v>
      </c>
      <c r="C40" s="0" t="n">
        <v>4.93</v>
      </c>
      <c r="D40" s="0" t="n">
        <f aca="false">Inputs!$B$5</f>
        <v>0.15</v>
      </c>
      <c r="E40" s="0" t="n">
        <f aca="false">C40*D40</f>
        <v>0.7395</v>
      </c>
      <c r="F40" s="0" t="n">
        <f aca="false">C40+E40</f>
        <v>5.6695</v>
      </c>
      <c r="G40" s="0" t="s">
        <v>352</v>
      </c>
      <c r="H40" s="0" t="n">
        <f aca="false">ROUNDUP(F40/Inputs!$B$10,0)</f>
        <v>1</v>
      </c>
      <c r="I40" s="0" t="s">
        <v>434</v>
      </c>
    </row>
    <row r="41" customFormat="false" ht="15" hidden="false" customHeight="false" outlineLevel="0" collapsed="false">
      <c r="A41" s="0" t="s">
        <v>435</v>
      </c>
      <c r="B41" s="0" t="s">
        <v>384</v>
      </c>
      <c r="C41" s="0" t="n">
        <v>83.41</v>
      </c>
      <c r="D41" s="0" t="n">
        <f aca="false">Inputs!$B$6</f>
        <v>0.06</v>
      </c>
      <c r="E41" s="0" t="n">
        <f aca="false">C41*D41</f>
        <v>5.0046</v>
      </c>
      <c r="F41" s="0" t="n">
        <f aca="false">C41+E41</f>
        <v>88.4146</v>
      </c>
      <c r="G41" s="0" t="s">
        <v>416</v>
      </c>
      <c r="H41" s="0" t="n">
        <f aca="false">ROUNDUP(F41/Inputs!$B$9,0)</f>
        <v>2</v>
      </c>
      <c r="I41" s="0" t="s">
        <v>436</v>
      </c>
    </row>
    <row r="42" customFormat="false" ht="15" hidden="false" customHeight="false" outlineLevel="0" collapsed="false">
      <c r="A42" s="0" t="s">
        <v>437</v>
      </c>
      <c r="B42" s="0" t="s">
        <v>351</v>
      </c>
      <c r="C42" s="0" t="n">
        <v>213.21</v>
      </c>
      <c r="D42" s="0" t="n">
        <f aca="false">Inputs!$B$6</f>
        <v>0.06</v>
      </c>
      <c r="E42" s="0" t="n">
        <f aca="false">C42*D42</f>
        <v>12.7926</v>
      </c>
      <c r="F42" s="0" t="n">
        <f aca="false">C42+E42</f>
        <v>226.0026</v>
      </c>
      <c r="G42" s="0" t="s">
        <v>403</v>
      </c>
      <c r="H42" s="0" t="n">
        <f aca="false">ROUNDUP(F42/Inputs!$B$18,0)</f>
        <v>23</v>
      </c>
      <c r="I42" s="0" t="s">
        <v>438</v>
      </c>
    </row>
    <row r="43" customFormat="false" ht="15" hidden="false" customHeight="false" outlineLevel="0" collapsed="false">
      <c r="A43" s="0" t="s">
        <v>439</v>
      </c>
      <c r="B43" s="0" t="s">
        <v>424</v>
      </c>
      <c r="C43" s="0" t="n">
        <v>294</v>
      </c>
      <c r="D43" s="0" t="n">
        <v>0</v>
      </c>
      <c r="E43" s="0" t="n">
        <f aca="false">C43*D43</f>
        <v>0</v>
      </c>
      <c r="F43" s="0" t="n">
        <f aca="false">C43+E43</f>
        <v>294</v>
      </c>
      <c r="G43" s="0" t="s">
        <v>429</v>
      </c>
      <c r="H43" s="0" t="n">
        <f aca="false">ROUNDUP(F43,0)</f>
        <v>294</v>
      </c>
      <c r="I43" s="0" t="s">
        <v>440</v>
      </c>
    </row>
    <row r="44" customFormat="false" ht="15" hidden="false" customHeight="false" outlineLevel="0" collapsed="false">
      <c r="A44" s="0" t="s">
        <v>441</v>
      </c>
      <c r="B44" s="0" t="s">
        <v>424</v>
      </c>
      <c r="C44" s="0" t="n">
        <v>1</v>
      </c>
      <c r="D44" s="0" t="n">
        <v>0</v>
      </c>
      <c r="E44" s="0" t="n">
        <f aca="false">C44*D44</f>
        <v>0</v>
      </c>
      <c r="F44" s="0" t="n">
        <f aca="false">C44+E44</f>
        <v>1</v>
      </c>
      <c r="G44" s="0" t="s">
        <v>429</v>
      </c>
      <c r="H44" s="0" t="n">
        <f aca="false">ROUNDUP(F44,0)</f>
        <v>1</v>
      </c>
      <c r="I44" s="0" t="s">
        <v>442</v>
      </c>
    </row>
    <row r="45" customFormat="false" ht="15" hidden="false" customHeight="false" outlineLevel="0" collapsed="false">
      <c r="A45" s="0" t="s">
        <v>443</v>
      </c>
      <c r="B45" s="0" t="s">
        <v>424</v>
      </c>
      <c r="C45" s="0" t="n">
        <v>23049.01</v>
      </c>
      <c r="D45" s="0" t="n">
        <v>0</v>
      </c>
      <c r="E45" s="0" t="n">
        <f aca="false">C45*D45</f>
        <v>0</v>
      </c>
      <c r="F45" s="0" t="n">
        <f aca="false">C45+E45</f>
        <v>23049.01</v>
      </c>
      <c r="G45" s="0" t="s">
        <v>429</v>
      </c>
      <c r="H45" s="0" t="n">
        <f aca="false">ROUNDUP(F45,0)</f>
        <v>23050</v>
      </c>
      <c r="I45" s="0" t="s">
        <v>444</v>
      </c>
      <c r="J45" s="0" t="n">
        <f aca="false">Inputs!$B$20*19207.5</f>
        <v>23049</v>
      </c>
    </row>
    <row r="46" customFormat="false" ht="15" hidden="false" customHeight="false" outlineLevel="0" collapsed="false">
      <c r="A46" s="0" t="s">
        <v>445</v>
      </c>
      <c r="B46" s="0" t="s">
        <v>424</v>
      </c>
      <c r="C46" s="0" t="n">
        <v>6908</v>
      </c>
      <c r="D46" s="0" t="n">
        <v>0</v>
      </c>
      <c r="E46" s="0" t="n">
        <f aca="false">C46*D46</f>
        <v>0</v>
      </c>
      <c r="F46" s="0" t="n">
        <f aca="false">C46+E46</f>
        <v>6908</v>
      </c>
      <c r="G46" s="0" t="s">
        <v>429</v>
      </c>
      <c r="H46" s="0" t="n">
        <f aca="false">ROUNDUP(F46,0)</f>
        <v>6908</v>
      </c>
      <c r="I46" s="0" t="s">
        <v>446</v>
      </c>
      <c r="J46" s="0" t="n">
        <f aca="false">Inputs!$B$21*1727</f>
        <v>6908</v>
      </c>
    </row>
    <row r="47" customFormat="false" ht="15" hidden="false" customHeight="false" outlineLevel="0" collapsed="false">
      <c r="A47" s="0" t="s">
        <v>447</v>
      </c>
      <c r="B47" s="0" t="s">
        <v>424</v>
      </c>
      <c r="C47" s="0" t="n">
        <v>534.81</v>
      </c>
      <c r="D47" s="0" t="n">
        <v>0</v>
      </c>
      <c r="E47" s="0" t="n">
        <f aca="false">C47*D47</f>
        <v>0</v>
      </c>
      <c r="F47" s="0" t="n">
        <f aca="false">C47+E47</f>
        <v>534.81</v>
      </c>
      <c r="G47" s="0" t="s">
        <v>429</v>
      </c>
      <c r="H47" s="0" t="n">
        <f aca="false">ROUNDUP(F47,0)</f>
        <v>535</v>
      </c>
      <c r="I47" s="0" t="s">
        <v>448</v>
      </c>
      <c r="J47" s="0" t="n">
        <f aca="false">534.81/Inputs!$B$22</f>
        <v>534.81</v>
      </c>
    </row>
    <row r="48" customFormat="false" ht="15" hidden="false" customHeight="false" outlineLevel="0" collapsed="false">
      <c r="A48" s="0" t="s">
        <v>449</v>
      </c>
      <c r="B48" s="0" t="s">
        <v>424</v>
      </c>
      <c r="C48" s="0" t="n">
        <v>317.07</v>
      </c>
      <c r="D48" s="0" t="n">
        <v>0</v>
      </c>
      <c r="E48" s="0" t="n">
        <f aca="false">C48*D48</f>
        <v>0</v>
      </c>
      <c r="F48" s="0" t="n">
        <f aca="false">C48+E48</f>
        <v>317.07</v>
      </c>
      <c r="G48" s="0" t="s">
        <v>429</v>
      </c>
      <c r="H48" s="0" t="n">
        <f aca="false">ROUNDUP(F48,0)</f>
        <v>318</v>
      </c>
      <c r="I48" s="0" t="s">
        <v>450</v>
      </c>
      <c r="J48" s="0" t="n">
        <f aca="false">211.38/Inputs!$B$25</f>
        <v>317.054147292635</v>
      </c>
    </row>
    <row r="49" customFormat="false" ht="15" hidden="false" customHeight="false" outlineLevel="0" collapsed="false">
      <c r="A49" s="0" t="s">
        <v>451</v>
      </c>
      <c r="B49" s="0" t="s">
        <v>452</v>
      </c>
      <c r="C49" s="0" t="n">
        <v>1382.94</v>
      </c>
      <c r="D49" s="0" t="n">
        <v>0</v>
      </c>
      <c r="E49" s="0" t="n">
        <f aca="false">C49*D49</f>
        <v>0</v>
      </c>
      <c r="F49" s="0" t="n">
        <f aca="false">C49+E49</f>
        <v>1382.94</v>
      </c>
      <c r="G49" s="0" t="s">
        <v>453</v>
      </c>
      <c r="H49" s="0" t="n">
        <f aca="false">ROUNDUP(F49,0)</f>
        <v>1383</v>
      </c>
      <c r="I49" s="0" t="s">
        <v>454</v>
      </c>
      <c r="J49" s="0" t="n">
        <f aca="false">Inputs!$B$23*19207.5</f>
        <v>1382.94</v>
      </c>
    </row>
    <row r="50" customFormat="false" ht="15" hidden="false" customHeight="false" outlineLevel="0" collapsed="false">
      <c r="A50" s="0" t="s">
        <v>455</v>
      </c>
      <c r="B50" s="0" t="s">
        <v>351</v>
      </c>
      <c r="C50" s="0" t="n">
        <v>7106.78</v>
      </c>
      <c r="D50" s="0" t="n">
        <v>0</v>
      </c>
      <c r="E50" s="0" t="n">
        <f aca="false">C50*D50</f>
        <v>0</v>
      </c>
      <c r="F50" s="0" t="n">
        <f aca="false">C50+E50</f>
        <v>7106.78</v>
      </c>
      <c r="G50" s="0" t="s">
        <v>351</v>
      </c>
      <c r="H50" s="0" t="n">
        <f aca="false">ROUNDUP(F50,0)</f>
        <v>7107</v>
      </c>
      <c r="I50" s="0" t="s">
        <v>456</v>
      </c>
      <c r="J50" s="0" t="n">
        <f aca="false">Inputs!$B$24*19207.5</f>
        <v>7106.775</v>
      </c>
    </row>
    <row r="51" customFormat="false" ht="15" hidden="false" customHeight="false" outlineLevel="0" collapsed="false">
      <c r="A51" s="0" t="s">
        <v>457</v>
      </c>
      <c r="B51" s="0" t="s">
        <v>384</v>
      </c>
      <c r="C51" s="0" t="n">
        <v>963.22</v>
      </c>
      <c r="D51" s="0" t="n">
        <f aca="false">Inputs!$B$6</f>
        <v>0.06</v>
      </c>
      <c r="E51" s="0" t="n">
        <f aca="false">C51*D51</f>
        <v>57.7932</v>
      </c>
      <c r="F51" s="0" t="n">
        <f aca="false">C51+E51</f>
        <v>1021.0132</v>
      </c>
      <c r="G51" s="0" t="s">
        <v>384</v>
      </c>
      <c r="H51" s="0" t="n">
        <f aca="false">ROUNDUP(F51,0)</f>
        <v>1022</v>
      </c>
      <c r="I51" s="0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459</v>
      </c>
      <c r="B1" s="2" t="s">
        <v>460</v>
      </c>
      <c r="C1" s="2" t="s">
        <v>461</v>
      </c>
    </row>
    <row r="2" customFormat="false" ht="15" hidden="false" customHeight="false" outlineLevel="0" collapsed="false">
      <c r="A2" s="0" t="s">
        <v>462</v>
      </c>
      <c r="B2" s="0" t="s">
        <v>463</v>
      </c>
      <c r="C2" s="0" t="s">
        <v>464</v>
      </c>
    </row>
    <row r="3" customFormat="false" ht="15" hidden="false" customHeight="false" outlineLevel="0" collapsed="false">
      <c r="A3" s="0" t="s">
        <v>465</v>
      </c>
      <c r="B3" s="0" t="s">
        <v>466</v>
      </c>
      <c r="C3" s="0" t="s">
        <v>467</v>
      </c>
    </row>
    <row r="4" customFormat="false" ht="15" hidden="false" customHeight="false" outlineLevel="0" collapsed="false">
      <c r="A4" s="0" t="s">
        <v>468</v>
      </c>
      <c r="B4" s="0" t="s">
        <v>469</v>
      </c>
      <c r="C4" s="0" t="s">
        <v>470</v>
      </c>
    </row>
    <row r="5" customFormat="false" ht="15" hidden="false" customHeight="false" outlineLevel="0" collapsed="false">
      <c r="A5" s="0" t="s">
        <v>471</v>
      </c>
      <c r="B5" s="0" t="s">
        <v>472</v>
      </c>
      <c r="C5" s="0" t="s">
        <v>473</v>
      </c>
    </row>
    <row r="6" customFormat="false" ht="15" hidden="false" customHeight="false" outlineLevel="0" collapsed="false">
      <c r="A6" s="0" t="s">
        <v>474</v>
      </c>
      <c r="B6" s="0" t="s">
        <v>475</v>
      </c>
      <c r="C6" s="0" t="s">
        <v>476</v>
      </c>
    </row>
    <row r="7" customFormat="false" ht="15" hidden="false" customHeight="false" outlineLevel="0" collapsed="false">
      <c r="A7" s="0" t="s">
        <v>477</v>
      </c>
      <c r="B7" s="0" t="s">
        <v>478</v>
      </c>
      <c r="C7" s="0" t="s">
        <v>479</v>
      </c>
    </row>
    <row r="8" customFormat="false" ht="15" hidden="false" customHeight="false" outlineLevel="0" collapsed="false">
      <c r="A8" s="0" t="s">
        <v>480</v>
      </c>
      <c r="B8" s="0" t="s">
        <v>481</v>
      </c>
      <c r="C8" s="0" t="s">
        <v>482</v>
      </c>
    </row>
    <row r="9" customFormat="false" ht="15" hidden="false" customHeight="false" outlineLevel="0" collapsed="false">
      <c r="A9" s="0" t="s">
        <v>483</v>
      </c>
      <c r="B9" s="0" t="s">
        <v>484</v>
      </c>
      <c r="C9" s="0" t="s">
        <v>485</v>
      </c>
    </row>
    <row r="10" customFormat="false" ht="15" hidden="false" customHeight="false" outlineLevel="0" collapsed="false">
      <c r="A10" s="0" t="s">
        <v>486</v>
      </c>
      <c r="B10" s="0" t="s">
        <v>487</v>
      </c>
      <c r="C10" s="0" t="s">
        <v>488</v>
      </c>
    </row>
    <row r="11" customFormat="false" ht="15" hidden="false" customHeight="false" outlineLevel="0" collapsed="false">
      <c r="A11" s="0" t="s">
        <v>489</v>
      </c>
      <c r="B11" s="0" t="s">
        <v>490</v>
      </c>
      <c r="C11" s="0" t="s">
        <v>491</v>
      </c>
    </row>
    <row r="12" customFormat="false" ht="15" hidden="false" customHeight="false" outlineLevel="0" collapsed="false">
      <c r="A12" s="0" t="s">
        <v>492</v>
      </c>
      <c r="B12" s="0" t="s">
        <v>493</v>
      </c>
      <c r="C12" s="0" t="s">
        <v>494</v>
      </c>
    </row>
    <row r="13" customFormat="false" ht="15" hidden="false" customHeight="false" outlineLevel="0" collapsed="false">
      <c r="A13" s="0" t="s">
        <v>495</v>
      </c>
      <c r="B13" s="0" t="s">
        <v>496</v>
      </c>
      <c r="C13" s="0" t="s">
        <v>497</v>
      </c>
    </row>
    <row r="14" customFormat="false" ht="15" hidden="false" customHeight="false" outlineLevel="0" collapsed="false">
      <c r="A14" s="0" t="s">
        <v>498</v>
      </c>
      <c r="B14" s="0" t="s">
        <v>499</v>
      </c>
      <c r="C14" s="0" t="s">
        <v>500</v>
      </c>
    </row>
    <row r="15" customFormat="false" ht="15" hidden="false" customHeight="false" outlineLevel="0" collapsed="false">
      <c r="A15" s="0" t="s">
        <v>501</v>
      </c>
      <c r="B15" s="0" t="s">
        <v>502</v>
      </c>
      <c r="C15" s="0" t="s">
        <v>503</v>
      </c>
    </row>
    <row r="16" customFormat="false" ht="15" hidden="false" customHeight="false" outlineLevel="0" collapsed="false">
      <c r="A16" s="0" t="s">
        <v>504</v>
      </c>
      <c r="B16" s="0" t="s">
        <v>505</v>
      </c>
      <c r="C16" s="0" t="s">
        <v>506</v>
      </c>
    </row>
    <row r="17" customFormat="false" ht="15" hidden="false" customHeight="false" outlineLevel="0" collapsed="false">
      <c r="A17" s="0" t="s">
        <v>507</v>
      </c>
      <c r="B17" s="0" t="s">
        <v>508</v>
      </c>
      <c r="C17" s="0" t="s">
        <v>509</v>
      </c>
    </row>
    <row r="18" customFormat="false" ht="15" hidden="false" customHeight="false" outlineLevel="0" collapsed="false">
      <c r="A18" s="0" t="s">
        <v>510</v>
      </c>
      <c r="B18" s="0" t="s">
        <v>511</v>
      </c>
      <c r="C18" s="0" t="s">
        <v>512</v>
      </c>
    </row>
    <row r="19" customFormat="false" ht="15" hidden="false" customHeight="false" outlineLevel="0" collapsed="false">
      <c r="A19" s="0" t="s">
        <v>513</v>
      </c>
      <c r="B19" s="0" t="s">
        <v>514</v>
      </c>
      <c r="C19" s="0" t="s">
        <v>515</v>
      </c>
    </row>
    <row r="20" customFormat="false" ht="15" hidden="false" customHeight="false" outlineLevel="0" collapsed="false">
      <c r="A20" s="0" t="s">
        <v>516</v>
      </c>
      <c r="B20" s="0" t="s">
        <v>517</v>
      </c>
      <c r="C20" s="0" t="s">
        <v>518</v>
      </c>
    </row>
    <row r="21" customFormat="false" ht="15" hidden="false" customHeight="false" outlineLevel="0" collapsed="false">
      <c r="A21" s="0" t="s">
        <v>519</v>
      </c>
      <c r="B21" s="0" t="s">
        <v>520</v>
      </c>
      <c r="C21" s="0" t="s">
        <v>521</v>
      </c>
    </row>
    <row r="22" customFormat="false" ht="15" hidden="false" customHeight="false" outlineLevel="0" collapsed="false">
      <c r="A22" s="0" t="s">
        <v>522</v>
      </c>
      <c r="B22" s="0" t="s">
        <v>523</v>
      </c>
      <c r="C22" s="0" t="s">
        <v>524</v>
      </c>
    </row>
    <row r="23" customFormat="false" ht="15" hidden="false" customHeight="false" outlineLevel="0" collapsed="false">
      <c r="A23" s="0" t="s">
        <v>525</v>
      </c>
      <c r="B23" s="0" t="s">
        <v>526</v>
      </c>
      <c r="C23" s="0" t="s">
        <v>527</v>
      </c>
    </row>
    <row r="24" customFormat="false" ht="15" hidden="false" customHeight="false" outlineLevel="0" collapsed="false">
      <c r="A24" s="0" t="s">
        <v>528</v>
      </c>
      <c r="B24" s="0" t="s">
        <v>529</v>
      </c>
      <c r="C24" s="0" t="s">
        <v>530</v>
      </c>
    </row>
    <row r="25" customFormat="false" ht="15" hidden="false" customHeight="false" outlineLevel="0" collapsed="false">
      <c r="A25" s="0" t="s">
        <v>531</v>
      </c>
      <c r="B25" s="0" t="s">
        <v>532</v>
      </c>
      <c r="C25" s="0" t="s">
        <v>533</v>
      </c>
    </row>
    <row r="26" customFormat="false" ht="15" hidden="false" customHeight="false" outlineLevel="0" collapsed="false">
      <c r="A26" s="0" t="s">
        <v>534</v>
      </c>
      <c r="B26" s="0" t="s">
        <v>535</v>
      </c>
      <c r="C26" s="0" t="s">
        <v>536</v>
      </c>
    </row>
    <row r="27" customFormat="false" ht="15" hidden="false" customHeight="false" outlineLevel="0" collapsed="false">
      <c r="A27" s="0" t="s">
        <v>537</v>
      </c>
      <c r="B27" s="0" t="s">
        <v>538</v>
      </c>
      <c r="C27" s="0" t="s">
        <v>539</v>
      </c>
    </row>
    <row r="28" customFormat="false" ht="15" hidden="false" customHeight="false" outlineLevel="0" collapsed="false">
      <c r="A28" s="0" t="s">
        <v>540</v>
      </c>
      <c r="B28" s="0" t="s">
        <v>541</v>
      </c>
      <c r="C28" s="0" t="s">
        <v>542</v>
      </c>
    </row>
    <row r="29" customFormat="false" ht="15" hidden="false" customHeight="false" outlineLevel="0" collapsed="false">
      <c r="A29" s="0" t="s">
        <v>543</v>
      </c>
      <c r="B29" s="0" t="s">
        <v>544</v>
      </c>
      <c r="C29" s="0" t="s">
        <v>545</v>
      </c>
    </row>
    <row r="30" customFormat="false" ht="15" hidden="false" customHeight="false" outlineLevel="0" collapsed="false">
      <c r="A30" s="0" t="s">
        <v>546</v>
      </c>
      <c r="B30" s="0" t="s">
        <v>547</v>
      </c>
      <c r="C30" s="0" t="s">
        <v>548</v>
      </c>
    </row>
    <row r="31" customFormat="false" ht="15" hidden="false" customHeight="false" outlineLevel="0" collapsed="false">
      <c r="A31" s="0" t="s">
        <v>549</v>
      </c>
      <c r="B31" s="0" t="s">
        <v>550</v>
      </c>
      <c r="C31" s="0" t="s">
        <v>551</v>
      </c>
    </row>
    <row r="32" customFormat="false" ht="15" hidden="false" customHeight="false" outlineLevel="0" collapsed="false">
      <c r="A32" s="0" t="s">
        <v>552</v>
      </c>
      <c r="B32" s="0" t="s">
        <v>553</v>
      </c>
      <c r="C32" s="0" t="s">
        <v>554</v>
      </c>
    </row>
    <row r="33" customFormat="false" ht="15" hidden="false" customHeight="false" outlineLevel="0" collapsed="false">
      <c r="A33" s="0" t="s">
        <v>555</v>
      </c>
      <c r="B33" s="0" t="s">
        <v>556</v>
      </c>
      <c r="C33" s="0" t="s">
        <v>557</v>
      </c>
    </row>
    <row r="34" customFormat="false" ht="15" hidden="false" customHeight="false" outlineLevel="0" collapsed="false">
      <c r="A34" s="0" t="s">
        <v>558</v>
      </c>
      <c r="B34" s="0" t="s">
        <v>559</v>
      </c>
      <c r="C34" s="0" t="s">
        <v>560</v>
      </c>
    </row>
    <row r="35" customFormat="false" ht="15" hidden="false" customHeight="false" outlineLevel="0" collapsed="false">
      <c r="A35" s="0" t="s">
        <v>561</v>
      </c>
      <c r="B35" s="0" t="s">
        <v>562</v>
      </c>
      <c r="C35" s="0" t="s">
        <v>563</v>
      </c>
    </row>
    <row r="36" customFormat="false" ht="15" hidden="false" customHeight="false" outlineLevel="0" collapsed="false">
      <c r="A36" s="0" t="s">
        <v>564</v>
      </c>
      <c r="B36" s="0" t="s">
        <v>565</v>
      </c>
      <c r="C36" s="0" t="s">
        <v>566</v>
      </c>
    </row>
    <row r="37" customFormat="false" ht="15" hidden="false" customHeight="false" outlineLevel="0" collapsed="false">
      <c r="A37" s="0" t="s">
        <v>567</v>
      </c>
      <c r="B37" s="0" t="s">
        <v>568</v>
      </c>
      <c r="C37" s="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3"/>
    <col collapsed="false" customWidth="true" hidden="false" outlineLevel="0" max="4" min="4" style="0" width="37"/>
  </cols>
  <sheetData>
    <row r="1" customFormat="false" ht="15" hidden="false" customHeight="false" outlineLevel="0" collapsed="false">
      <c r="A1" s="0" t="s">
        <v>570</v>
      </c>
      <c r="B1" s="0" t="s">
        <v>571</v>
      </c>
      <c r="C1" s="0" t="s">
        <v>572</v>
      </c>
      <c r="D1" s="0" t="s">
        <v>573</v>
      </c>
    </row>
    <row r="2" customFormat="false" ht="15" hidden="false" customHeight="false" outlineLevel="0" collapsed="false">
      <c r="A2" s="0" t="n">
        <v>1</v>
      </c>
      <c r="B2" s="0" t="s">
        <v>574</v>
      </c>
      <c r="C2" s="0" t="s">
        <v>575</v>
      </c>
      <c r="D2" s="0" t="s">
        <v>576</v>
      </c>
    </row>
    <row r="3" customFormat="false" ht="15" hidden="false" customHeight="false" outlineLevel="0" collapsed="false">
      <c r="A3" s="0" t="n">
        <v>2</v>
      </c>
      <c r="B3" s="0" t="s">
        <v>577</v>
      </c>
      <c r="C3" s="0" t="s">
        <v>578</v>
      </c>
      <c r="D3" s="0" t="s">
        <v>576</v>
      </c>
    </row>
    <row r="4" customFormat="false" ht="15" hidden="false" customHeight="false" outlineLevel="0" collapsed="false">
      <c r="A4" s="0" t="n">
        <v>3</v>
      </c>
      <c r="B4" s="0" t="s">
        <v>579</v>
      </c>
      <c r="C4" s="0" t="s">
        <v>580</v>
      </c>
      <c r="D4" s="0" t="s">
        <v>581</v>
      </c>
    </row>
    <row r="5" customFormat="false" ht="15" hidden="false" customHeight="false" outlineLevel="0" collapsed="false">
      <c r="A5" s="0" t="n">
        <v>4</v>
      </c>
      <c r="B5" s="0" t="s">
        <v>582</v>
      </c>
      <c r="C5" s="0" t="s">
        <v>583</v>
      </c>
      <c r="D5" s="0" t="s">
        <v>584</v>
      </c>
    </row>
    <row r="6" customFormat="false" ht="15" hidden="false" customHeight="false" outlineLevel="0" collapsed="false">
      <c r="A6" s="0" t="n">
        <v>5</v>
      </c>
      <c r="B6" s="0" t="s">
        <v>585</v>
      </c>
      <c r="C6" s="0" t="s">
        <v>586</v>
      </c>
      <c r="D6" s="0" t="s">
        <v>587</v>
      </c>
    </row>
    <row r="7" customFormat="false" ht="15" hidden="false" customHeight="false" outlineLevel="0" collapsed="false">
      <c r="A7" s="0" t="n">
        <v>6</v>
      </c>
      <c r="B7" s="0" t="s">
        <v>588</v>
      </c>
      <c r="C7" s="0" t="s">
        <v>589</v>
      </c>
      <c r="D7" s="0" t="s">
        <v>590</v>
      </c>
    </row>
    <row r="8" customFormat="false" ht="15" hidden="false" customHeight="false" outlineLevel="0" collapsed="false">
      <c r="A8" s="0" t="n">
        <v>7</v>
      </c>
      <c r="B8" s="0" t="s">
        <v>591</v>
      </c>
      <c r="C8" s="0" t="s">
        <v>592</v>
      </c>
      <c r="D8" s="0" t="s">
        <v>590</v>
      </c>
    </row>
    <row r="9" customFormat="false" ht="15" hidden="false" customHeight="false" outlineLevel="0" collapsed="false">
      <c r="A9" s="0" t="n">
        <v>8</v>
      </c>
      <c r="B9" s="0" t="s">
        <v>593</v>
      </c>
      <c r="C9" s="0" t="s">
        <v>594</v>
      </c>
      <c r="D9" s="0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596</v>
      </c>
      <c r="B1" s="0" t="s">
        <v>597</v>
      </c>
      <c r="C1" s="0" t="s">
        <v>59</v>
      </c>
      <c r="D1" s="0" t="s">
        <v>598</v>
      </c>
    </row>
    <row r="2" customFormat="false" ht="15" hidden="false" customHeight="false" outlineLevel="0" collapsed="false">
      <c r="A2" s="0" t="s">
        <v>599</v>
      </c>
      <c r="B2" s="0" t="s">
        <v>600</v>
      </c>
      <c r="C2" s="0" t="s">
        <v>601</v>
      </c>
      <c r="D2" s="0" t="s">
        <v>602</v>
      </c>
    </row>
    <row r="3" customFormat="false" ht="15" hidden="false" customHeight="false" outlineLevel="0" collapsed="false">
      <c r="A3" s="0" t="s">
        <v>603</v>
      </c>
      <c r="B3" s="0" t="s">
        <v>604</v>
      </c>
      <c r="C3" s="0" t="s">
        <v>601</v>
      </c>
      <c r="D3" s="0" t="s">
        <v>602</v>
      </c>
    </row>
    <row r="4" customFormat="false" ht="15" hidden="false" customHeight="false" outlineLevel="0" collapsed="false">
      <c r="A4" s="0" t="s">
        <v>605</v>
      </c>
      <c r="B4" s="0" t="s">
        <v>606</v>
      </c>
      <c r="C4" s="0" t="s">
        <v>601</v>
      </c>
      <c r="D4" s="0" t="s">
        <v>602</v>
      </c>
    </row>
    <row r="5" customFormat="false" ht="15" hidden="false" customHeight="false" outlineLevel="0" collapsed="false">
      <c r="A5" s="0" t="s">
        <v>607</v>
      </c>
      <c r="B5" s="0" t="s">
        <v>608</v>
      </c>
      <c r="C5" s="0" t="s">
        <v>601</v>
      </c>
      <c r="D5" s="0" t="s">
        <v>602</v>
      </c>
    </row>
    <row r="6" customFormat="false" ht="15" hidden="false" customHeight="false" outlineLevel="0" collapsed="false">
      <c r="A6" s="0" t="s">
        <v>609</v>
      </c>
      <c r="B6" s="0" t="s">
        <v>610</v>
      </c>
      <c r="C6" s="0" t="s">
        <v>601</v>
      </c>
      <c r="D6" s="0" t="s">
        <v>602</v>
      </c>
    </row>
    <row r="7" customFormat="false" ht="15" hidden="false" customHeight="false" outlineLevel="0" collapsed="false">
      <c r="A7" s="0" t="s">
        <v>611</v>
      </c>
      <c r="B7" s="0" t="s">
        <v>612</v>
      </c>
      <c r="C7" s="0" t="s">
        <v>601</v>
      </c>
      <c r="D7" s="0" t="s">
        <v>602</v>
      </c>
    </row>
    <row r="8" customFormat="false" ht="15" hidden="false" customHeight="false" outlineLevel="0" collapsed="false">
      <c r="A8" s="0" t="s">
        <v>613</v>
      </c>
      <c r="B8" s="0" t="s">
        <v>614</v>
      </c>
      <c r="C8" s="0" t="s">
        <v>601</v>
      </c>
      <c r="D8" s="0" t="s">
        <v>602</v>
      </c>
    </row>
    <row r="9" customFormat="false" ht="15" hidden="false" customHeight="false" outlineLevel="0" collapsed="false">
      <c r="A9" s="0" t="s">
        <v>615</v>
      </c>
      <c r="B9" s="0" t="s">
        <v>616</v>
      </c>
      <c r="C9" s="0" t="s">
        <v>601</v>
      </c>
      <c r="D9" s="0" t="s">
        <v>602</v>
      </c>
    </row>
    <row r="10" customFormat="false" ht="15" hidden="false" customHeight="false" outlineLevel="0" collapsed="false">
      <c r="A10" s="0" t="s">
        <v>617</v>
      </c>
      <c r="B10" s="0" t="s">
        <v>618</v>
      </c>
      <c r="C10" s="0" t="s">
        <v>601</v>
      </c>
      <c r="D10" s="0" t="s">
        <v>602</v>
      </c>
    </row>
    <row r="11" customFormat="false" ht="15" hidden="false" customHeight="false" outlineLevel="0" collapsed="false">
      <c r="A11" s="0" t="s">
        <v>619</v>
      </c>
      <c r="B11" s="0" t="s">
        <v>620</v>
      </c>
      <c r="C11" s="0" t="s">
        <v>601</v>
      </c>
      <c r="D11" s="0" t="s">
        <v>602</v>
      </c>
    </row>
    <row r="12" customFormat="false" ht="15" hidden="false" customHeight="false" outlineLevel="0" collapsed="false">
      <c r="A12" s="0" t="s">
        <v>621</v>
      </c>
      <c r="B12" s="0" t="s">
        <v>622</v>
      </c>
      <c r="C12" s="0" t="s">
        <v>601</v>
      </c>
      <c r="D12" s="0" t="s">
        <v>602</v>
      </c>
    </row>
    <row r="13" customFormat="false" ht="15" hidden="false" customHeight="false" outlineLevel="0" collapsed="false">
      <c r="A13" s="0" t="s">
        <v>623</v>
      </c>
      <c r="B13" s="0" t="s">
        <v>624</v>
      </c>
      <c r="C13" s="0" t="s">
        <v>601</v>
      </c>
      <c r="D13" s="0" t="s">
        <v>602</v>
      </c>
    </row>
    <row r="14" customFormat="false" ht="15" hidden="false" customHeight="false" outlineLevel="0" collapsed="false">
      <c r="A14" s="0" t="s">
        <v>625</v>
      </c>
      <c r="B14" s="0" t="s">
        <v>626</v>
      </c>
      <c r="C14" s="0" t="s">
        <v>601</v>
      </c>
      <c r="D14" s="0" t="s">
        <v>602</v>
      </c>
    </row>
    <row r="15" customFormat="false" ht="15" hidden="false" customHeight="false" outlineLevel="0" collapsed="false">
      <c r="A15" s="0" t="s">
        <v>627</v>
      </c>
      <c r="B15" s="0" t="s">
        <v>628</v>
      </c>
      <c r="C15" s="0" t="s">
        <v>601</v>
      </c>
      <c r="D15" s="0" t="s">
        <v>602</v>
      </c>
    </row>
    <row r="16" customFormat="false" ht="15" hidden="false" customHeight="false" outlineLevel="0" collapsed="false">
      <c r="A16" s="0" t="s">
        <v>629</v>
      </c>
      <c r="B16" s="0" t="s">
        <v>630</v>
      </c>
      <c r="C16" s="0" t="s">
        <v>601</v>
      </c>
      <c r="D16" s="0" t="s">
        <v>631</v>
      </c>
    </row>
    <row r="17" customFormat="false" ht="15" hidden="false" customHeight="false" outlineLevel="0" collapsed="false">
      <c r="A17" s="0" t="s">
        <v>632</v>
      </c>
      <c r="B17" s="0" t="s">
        <v>633</v>
      </c>
      <c r="C17" s="0" t="s">
        <v>601</v>
      </c>
      <c r="D17" s="0" t="s">
        <v>602</v>
      </c>
    </row>
    <row r="18" customFormat="false" ht="15" hidden="false" customHeight="false" outlineLevel="0" collapsed="false">
      <c r="A18" s="0" t="s">
        <v>634</v>
      </c>
      <c r="B18" s="0" t="s">
        <v>635</v>
      </c>
      <c r="C18" s="0" t="s">
        <v>601</v>
      </c>
      <c r="D18" s="0" t="s">
        <v>636</v>
      </c>
    </row>
    <row r="19" customFormat="false" ht="15" hidden="false" customHeight="false" outlineLevel="0" collapsed="false">
      <c r="A19" s="0" t="s">
        <v>637</v>
      </c>
      <c r="B19" s="0" t="s">
        <v>638</v>
      </c>
      <c r="C19" s="0" t="s">
        <v>601</v>
      </c>
      <c r="D19" s="0" t="s">
        <v>602</v>
      </c>
    </row>
    <row r="20" customFormat="false" ht="15" hidden="false" customHeight="false" outlineLevel="0" collapsed="false">
      <c r="A20" s="0" t="s">
        <v>639</v>
      </c>
      <c r="B20" s="0" t="s">
        <v>640</v>
      </c>
      <c r="C20" s="0" t="s">
        <v>601</v>
      </c>
      <c r="D20" s="0" t="s">
        <v>602</v>
      </c>
    </row>
    <row r="21" customFormat="false" ht="15" hidden="false" customHeight="false" outlineLevel="0" collapsed="false">
      <c r="A21" s="0" t="s">
        <v>641</v>
      </c>
      <c r="B21" s="0" t="s">
        <v>642</v>
      </c>
      <c r="C21" s="0" t="s">
        <v>601</v>
      </c>
      <c r="D21" s="0" t="s">
        <v>602</v>
      </c>
    </row>
    <row r="22" customFormat="false" ht="15" hidden="false" customHeight="false" outlineLevel="0" collapsed="false">
      <c r="A22" s="0" t="s">
        <v>643</v>
      </c>
      <c r="B22" s="0" t="s">
        <v>644</v>
      </c>
      <c r="C22" s="0" t="s">
        <v>645</v>
      </c>
      <c r="D22" s="0" t="s">
        <v>646</v>
      </c>
    </row>
    <row r="23" customFormat="false" ht="15" hidden="false" customHeight="false" outlineLevel="0" collapsed="false">
      <c r="A23" s="0" t="s">
        <v>647</v>
      </c>
      <c r="B23" s="0" t="s">
        <v>648</v>
      </c>
      <c r="C23" s="0" t="s">
        <v>601</v>
      </c>
      <c r="D23" s="0" t="s">
        <v>649</v>
      </c>
    </row>
    <row r="24" customFormat="false" ht="15" hidden="false" customHeight="false" outlineLevel="0" collapsed="false">
      <c r="A24" s="0" t="s">
        <v>650</v>
      </c>
      <c r="B24" s="0" t="s">
        <v>651</v>
      </c>
      <c r="C24" s="0" t="s">
        <v>601</v>
      </c>
      <c r="D24" s="0" t="s">
        <v>652</v>
      </c>
    </row>
    <row r="25" customFormat="false" ht="15" hidden="false" customHeight="false" outlineLevel="0" collapsed="false">
      <c r="A25" s="0" t="s">
        <v>653</v>
      </c>
      <c r="B25" s="0" t="s">
        <v>654</v>
      </c>
      <c r="C25" s="0" t="s">
        <v>601</v>
      </c>
      <c r="D25" s="0" t="s">
        <v>655</v>
      </c>
    </row>
    <row r="26" customFormat="false" ht="15" hidden="false" customHeight="false" outlineLevel="0" collapsed="false">
      <c r="A26" s="0" t="s">
        <v>656</v>
      </c>
      <c r="B26" s="0" t="s">
        <v>657</v>
      </c>
      <c r="C26" s="0" t="s">
        <v>459</v>
      </c>
      <c r="D26" s="0" t="s">
        <v>658</v>
      </c>
    </row>
    <row r="27" customFormat="false" ht="15" hidden="false" customHeight="false" outlineLevel="0" collapsed="false">
      <c r="A27" s="0" t="s">
        <v>659</v>
      </c>
      <c r="B27" s="0" t="s">
        <v>660</v>
      </c>
      <c r="C27" s="0" t="s">
        <v>645</v>
      </c>
      <c r="D27" s="0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2026-10-17T16:16:43Z</dcterms:created>
  <dc:creator>openpyxl</dc:creator>
  <dc:description/>
  <dc:language>en-US</dc:language>
  <cp:lastModifiedBy/>
  <dcterms:modified xsi:type="dcterms:W3CDTF">2026-10-17T16:16:43Z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