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Inputs" sheetId="1" state="visible" r:id="rId3"/>
    <sheet name="Partition Takeoff" sheetId="2" state="visible" r:id="rId4"/>
    <sheet name="Material Summary" sheetId="3" state="visible" r:id="rId5"/>
    <sheet name="Pending Items" sheetId="4" state="visible" r:id="rId6"/>
    <sheet name="Review Items" sheetId="5" state="visible" r:id="rId7"/>
    <sheet name="Scope Checklist"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<sst xmlns="http://schemas.openxmlformats.org/spreadsheetml/2006/main" count="1166" uniqueCount="808">
  <si>
    <t xml:space="preserve">Bank of America - Broomfield, CO (CO1-111)   |   METAL FRAMING &amp; DRYWALL TAKEOFF</t>
  </si>
  <si>
    <t xml:space="preserve">Bid set: 2025.08.26_CO1-111_Broomfield_PERMIT SET_BID SET.pdf   ·   2026-10-19   ·   Edit ONLY the yellow cells.</t>
  </si>
  <si>
    <t xml:space="preserve">PARAMETER</t>
  </si>
  <si>
    <t xml:space="preserve">VALUE</t>
  </si>
  <si>
    <t xml:space="preserve">NOTE / SOURCE</t>
  </si>
  <si>
    <t xml:space="preserve">Waste - ALL METAL, any type</t>
  </si>
  <si>
    <t xml:space="preserve">Estimator standing rule: 15% on everything that is metal.</t>
  </si>
  <si>
    <t xml:space="preserve">Waste - EVERYTHING THAT IS NOT METAL</t>
  </si>
  <si>
    <t xml:space="preserve">Estimator standing rule: same figure as board.</t>
  </si>
  <si>
    <t xml:space="preserve">Board sheet width (ft)</t>
  </si>
  <si>
    <t xml:space="preserve">Sheet size is a parameter; buy the size that wastes least.</t>
  </si>
  <si>
    <t xml:space="preserve">Board sheet length (ft)</t>
  </si>
  <si>
    <t xml:space="preserve">Change it and every sheet count re-rounds.</t>
  </si>
  <si>
    <t xml:space="preserve">SF per board sheet</t>
  </si>
  <si>
    <t xml:space="preserve">Width x length.</t>
  </si>
  <si>
    <t xml:space="preserve">Stud stock length (ft)</t>
  </si>
  <si>
    <t xml:space="preserve">Stud, header, framed opening and stud blocking: sticks.</t>
  </si>
  <si>
    <t xml:space="preserve">Track stock length (ft)</t>
  </si>
  <si>
    <t xml:space="preserve">Track, sill track and purlin: runs.</t>
  </si>
  <si>
    <t xml:space="preserve">Floor plan scale (pt/ft)</t>
  </si>
  <si>
    <t xml:space="preserve">Project value (canon constants).</t>
  </si>
  <si>
    <t xml:space="preserve">B.O. Deck (ft)</t>
  </si>
  <si>
    <t xml:space="preserve">T.O. Parapet (ft)</t>
  </si>
  <si>
    <t xml:space="preserve">Sealant coverage (LF per tube)</t>
  </si>
  <si>
    <t xml:space="preserve">Sealant yield per tube - set your supplier's figure.</t>
  </si>
  <si>
    <t xml:space="preserve">C.R. channel stock length (ft)</t>
  </si>
  <si>
    <t xml:space="preserve">1-1/2" cold-rolled channel (bracing, carrying channel).</t>
  </si>
  <si>
    <t xml:space="preserve">Hat / furring channel stock (ft)</t>
  </si>
  <si>
    <t xml:space="preserve">7/8" hat furring channel.</t>
  </si>
  <si>
    <t xml:space="preserve">Trim stick length (ft)</t>
  </si>
  <si>
    <t xml:space="preserve">Corner bead, casing bead, shadow molding, PVC trim.</t>
  </si>
  <si>
    <t xml:space="preserve">Hanger wire purchase</t>
  </si>
  <si>
    <t xml:space="preserve">continuous coil (LF)</t>
  </si>
  <si>
    <t xml:space="preserve">Bought by LF from a continuous coil; the hanger count goes on its own PCS row.</t>
  </si>
  <si>
    <t xml:space="preserve">Drywall screws per SF of board</t>
  </si>
  <si>
    <t xml:space="preserve">YIELD (GA-216 field / perimeter spacing).</t>
  </si>
  <si>
    <t xml:space="preserve">Framing screws per stud piece</t>
  </si>
  <si>
    <t xml:space="preserve">YIELD: 2 per stud-to-track connection, each end.</t>
  </si>
  <si>
    <t xml:space="preserve">Power-driven pin spacing (ft)</t>
  </si>
  <si>
    <t xml:space="preserve">YIELD: bottom track on slab, interior walls.</t>
  </si>
  <si>
    <t xml:space="preserve">Joint compound (lb per SF)</t>
  </si>
  <si>
    <t xml:space="preserve">YIELD: 72 lb per 1,000 SF, level 4 (estimator criterion).</t>
  </si>
  <si>
    <t xml:space="preserve">Joint tape (LF per SF)</t>
  </si>
  <si>
    <t xml:space="preserve">YIELD: 370 LF per 1,000 SF.</t>
  </si>
  <si>
    <t xml:space="preserve">Expansion anchor spacing (ft)</t>
  </si>
  <si>
    <t xml:space="preserve">YIELD: exterior bottom track on slab.</t>
  </si>
  <si>
    <t xml:space="preserve">ORGANIZED PARTITION TAKEOFF - Bank of America - Broomfield, CO (CO1-111)</t>
  </si>
  <si>
    <t xml:space="preserve">Grouped by partition type. Every row cites its DETAIL/SHEET and its status.</t>
  </si>
  <si>
    <t xml:space="preserve">Partition / Scope</t>
  </si>
  <si>
    <t xml:space="preserve">Wall #</t>
  </si>
  <si>
    <t xml:space="preserve">Length (LF)</t>
  </si>
  <si>
    <t xml:space="preserve">Height (FT)</t>
  </si>
  <si>
    <t xml:space="preserve">Layers</t>
  </si>
  <si>
    <t xml:space="preserve">Stud Size</t>
  </si>
  <si>
    <t xml:space="preserve">Stud O.C. (in)</t>
  </si>
  <si>
    <t xml:space="preserve">Board (SF)</t>
  </si>
  <si>
    <t xml:space="preserve">Location</t>
  </si>
  <si>
    <t xml:space="preserve">Source (DETAIL/SHEET)</t>
  </si>
  <si>
    <t xml:space="preserve">Status</t>
  </si>
  <si>
    <t xml:space="preserve">TYPE A1</t>
  </si>
  <si>
    <t xml:space="preserve">A1  #A-W1-01  -  Calling cubes 122 north wall (to waiting 104), incl. MW01 niche head; owns NE corner (runs to outer face of A5 A-W1-07)</t>
  </si>
  <si>
    <t xml:space="preserve">A-W1-01</t>
  </si>
  <si>
    <t xml:space="preserve">3-5/8"</t>
  </si>
  <si>
    <t xml:space="preserve">Calling cubes 122 north wall (to waiting 104), incl. MW01 niche head; owns NE corner (runs to outer face of A5 A-W1-07)</t>
  </si>
  <si>
    <t xml:space="preserve">3/A12.01</t>
  </si>
  <si>
    <t xml:space="preserve">[DERIVED]</t>
  </si>
  <si>
    <t xml:space="preserve">A1  #A-W1-02+A-W1-03  -  MW01 printer niche back wall (calling cubes 122 side) + MW01 niche bottom (south) wall over MW07; owns its corners (runs over top of A5 A-W1-04)</t>
  </si>
  <si>
    <t xml:space="preserve">A-W1-02+A-W1-03</t>
  </si>
  <si>
    <t xml:space="preserve">MW01 printer niche back wall (calling cubes 122 side) + MW01 niche bottom (south) wall over MW07; owns its corners (runs over top of A5 A-W1-04)</t>
  </si>
  <si>
    <t xml:space="preserve">A1  #A-W1-09+A-W1-10+A-W1-11+A-W1-14  -  Calling cubes 122 south wall (to break room 118, MW21 below); ends at faces of A5 A-W1-06 and A-W1-08 + Return south of calling cubes SE corner (break room 118 / central zone 103), owns the corner with A-W1-11 + Central zone 103 / break room 118 wall with door 118A, to the west end of A1K A-W1-18 (R70.3 door inside run) + Corridor 111 east wall (break room 118, electrical 120, NER 121), door 118B inside, to exterior inner face</t>
  </si>
  <si>
    <t xml:space="preserve">A-W1-09+A-W1-10+A-W1-11+A-W1-14</t>
  </si>
  <si>
    <t xml:space="preserve">Calling cubes 122 south wall (to break room 118, MW21 below); ends at faces of A5 A-W1-06 and A-W1-08 + Return south of calling cubes SE corner (break room 118 / central zone 103), owns the corner with A-W1-11 + Central zone 103 / break room 118 wall with door 118A, to the west end of A1K A-W1-18 (R70.3 door inside run) + Corridor 111 east wall (break room 118, electrical 120, NER 121), door 118B inside, to exterior inner face</t>
  </si>
  <si>
    <t xml:space="preserve">A1  #A-W1-13  -  Work room 119 north wall (to cash window 116), door 119 inside, to exterior inner face</t>
  </si>
  <si>
    <t xml:space="preserve">A-W1-13</t>
  </si>
  <si>
    <t xml:space="preserve">Work room 119 north wall (to cash window 116), door 119 inside, to exterior inner face</t>
  </si>
  <si>
    <t xml:space="preserve">A1  #A-W1-15  -  Corridor 111 north end: stub from women's restroom B2 wall to the A5 jog, door 111 inside (R70.3)</t>
  </si>
  <si>
    <t xml:space="preserve">A-W1-15</t>
  </si>
  <si>
    <t xml:space="preserve">Corridor 111 north end: stub from women's restroom B2 wall to the A5 jog, door 111 inside (R70.3)</t>
  </si>
  <si>
    <t xml:space="preserve">A1  #A-W1-19+A-W1-20+A-W1-21  -  Drinking fountain alcove (corridor 111), north return + Drinking fountain alcove (corridor 111), back wall + Drinking fountain alcove (corridor 111), south return</t>
  </si>
  <si>
    <t xml:space="preserve">A-W1-19+A-W1-20+A-W1-21</t>
  </si>
  <si>
    <t xml:space="preserve">Drinking fountain alcove (corridor 111), north return + Drinking fountain alcove (corridor 111), back wall + Drinking fountain alcove (corridor 111), south return</t>
  </si>
  <si>
    <t xml:space="preserve">TYPE A5</t>
  </si>
  <si>
    <t xml:space="preserve">A5  #A-W1-04+A-W1-05+A-W1-06  -  Calling cubes 122 west wall (central zone 103 side), MW07 + FEC-1 recess on it + Calling cubes 122 west wall jog + door 122 jamb stub, north of grid B (deck break split D9) + Calling cubes 122 west wall south of grid B, through door 122 to the jamb at the A1 south wall (owns that T)</t>
  </si>
  <si>
    <t xml:space="preserve">A-W1-04+A-W1-05+A-W1-06</t>
  </si>
  <si>
    <t xml:space="preserve">6"</t>
  </si>
  <si>
    <t xml:space="preserve">Calling cubes 122 west wall (central zone 103 side), MW07 + FEC-1 recess on it + Calling cubes 122 west wall jog + door 122 jamb stub, north of grid B (deck break split D9) + Calling cubes 122 west wall south of grid B, through door 122 to the jamb at the A1 south wall (owns that T)</t>
  </si>
  <si>
    <t xml:space="preserve">A5  #A-W1-07+A-W1-08  -  Calling cubes 122 east wall, north of grid B + Calling cubes 122 east wall, south of grid B; owns T with A1 south wall A-W1-09</t>
  </si>
  <si>
    <t xml:space="preserve">A-W1-07+A-W1-08</t>
  </si>
  <si>
    <t xml:space="preserve">Calling cubes 122 east wall, north of grid B + Calling cubes 122 east wall, south of grid B; owns T with A1 south wall A-W1-09</t>
  </si>
  <si>
    <t xml:space="preserve">A5  #A-W1-12  -  Break room 118 / cash window 116 wall from A1K south face to the B2 wall (PT0027), door 116 inside (R70.3)</t>
  </si>
  <si>
    <t xml:space="preserve">A-W1-12</t>
  </si>
  <si>
    <t xml:space="preserve">Break room 118 / cash window 116 wall from A1K south face to the B2 wall (PT0027), door 116 inside (R70.3)</t>
  </si>
  <si>
    <t xml:space="preserve">TYPE A1K</t>
  </si>
  <si>
    <t xml:space="preserve">A1K  #A-W1-16  -  Teller line north end (cash window 116 teller station / office 108 side), below the G wall and east of B2K</t>
  </si>
  <si>
    <t xml:space="preserve">A-W1-16</t>
  </si>
  <si>
    <t xml:space="preserve">Teller line north end (cash window 116 teller station / office 108 side), below the G wall and east of B2K</t>
  </si>
  <si>
    <t xml:space="preserve">4/A12.01</t>
  </si>
  <si>
    <t xml:space="preserve">A1K  #A-W1-17+A-W1-18  -  Teller line south end, east part (teller station 116 / FUTURE FCAM C1 box) + Teller line south end, west part (central zone 103 / cash window 116), hatch over the top of A5 A-W1-12 (R70.4)</t>
  </si>
  <si>
    <t xml:space="preserve">A-W1-17+A-W1-18</t>
  </si>
  <si>
    <t xml:space="preserve">Teller line south end, east part (teller station 116 / FUTURE FCAM C1 box) + Teller line south end, west part (central zone 103 / cash window 116), hatch over the top of A5 A-W1-12 (R70.4)</t>
  </si>
  <si>
    <t xml:space="preserve">TYPE B</t>
  </si>
  <si>
    <t xml:space="preserve">B  #A-W2-01+A-W2-02  -  Men's restroom 113 / janitor closet 112 wall (south of 113), west piece from exterior inner face to door 112 west jamb, under W8x10 roof-hatch framing + Men's restroom 113 / janitor closet 112 + storage 117 wall (south of 113), from door 112 west jamb to grid 4 B2 west face (door 112 inside)</t>
  </si>
  <si>
    <t xml:space="preserve">A-W2-01+A-W2-02</t>
  </si>
  <si>
    <t xml:space="preserve">Men's restroom 113 / janitor closet 112 wall (south of 113), west piece from exterior inner face to door 112 west jamb, under W8x10 roof-hatch framing + Men's restroom 113 / janitor closet 112 + storage 117 wall (south of 113), from door 112 west jamb to grid 4 B2 west face (door 112 inside)</t>
  </si>
  <si>
    <t xml:space="preserve">1/A12.01</t>
  </si>
  <si>
    <t xml:space="preserve">B  #A-W2-03+A-W2-04  -  Janitor closet 112 / wellness 115 wall, west piece from exterior inner face to the W14x22 hatch header end (joist at x 1014.6 pt) + Janitor closet 112 + storage 117 / wellness 115 wall, east piece to grid 4 B2 west face</t>
  </si>
  <si>
    <t xml:space="preserve">A-W2-03+A-W2-04</t>
  </si>
  <si>
    <t xml:space="preserve">Janitor closet 112 / wellness 115 wall, west piece from exterior inner face to the W14x22 hatch header end (joist at x 1014.6 pt) + Janitor closet 112 + storage 117 / wellness 115 wall, east piece to grid 4 B2 west face</t>
  </si>
  <si>
    <t xml:space="preserve">B  #A-W2-05  -  Janitor closet 112 / storage 117 wall (between MW06A and MW05), T between the two B walls</t>
  </si>
  <si>
    <t xml:space="preserve">A-W2-05</t>
  </si>
  <si>
    <t xml:space="preserve">Janitor closet 112 / storage 117 wall (between MW06A and MW05), T between the two B walls</t>
  </si>
  <si>
    <t xml:space="preserve">B  #A-W2-10+A-W2-12  -  Electrical 120 north wall (to break room 118 / FEC-2), from the grid 5 A1 corridor wall east face to the east face of the electrical/NER east wall (owns the NE corner) + Electrical 120 + NER 121 east wall (to break room 118), from the north B wall south face to the exterior inner face (doors 120, 121 inside)</t>
  </si>
  <si>
    <t xml:space="preserve">A-W2-10+A-W2-12</t>
  </si>
  <si>
    <t xml:space="preserve">Electrical 120 north wall (to break room 118 / FEC-2), from the grid 5 A1 corridor wall east face to the east face of the electrical/NER east wall (owns the NE corner) + Electrical 120 + NER 121 east wall (to break room 118), from the north B wall south face to the exterior inner face (doors 120, 121 inside)</t>
  </si>
  <si>
    <t xml:space="preserve">B  #A-W2-11  -  Electrical 120 / NER 121 separating wall, T between the grid 5 A1 wall and the east B wall</t>
  </si>
  <si>
    <t xml:space="preserve">A-W2-11</t>
  </si>
  <si>
    <t xml:space="preserve">Electrical 120 / NER 121 separating wall, T between the grid 5 A1 wall and the east B wall</t>
  </si>
  <si>
    <t xml:space="preserve">TYPE B2</t>
  </si>
  <si>
    <t xml:space="preserve">B2  #A-W2-06  -  Grid 4: women's restroom 114 / corridor 111 wall, north piece from G wall south face to the lavatory/drinking-fountain alcove (door 114 inside)</t>
  </si>
  <si>
    <t xml:space="preserve">A-W2-06</t>
  </si>
  <si>
    <t xml:space="preserve">Grid 4: women's restroom 114 / corridor 111 wall, north piece from G wall south face to the lavatory/drinking-fountain alcove (door 114 inside)</t>
  </si>
  <si>
    <t xml:space="preserve">B2  #A-W2-07  -  Grid 4: men's restroom 113 + storage 117 + wellness 115 / corridor 111 wall, south piece from the alcove to the exterior wall inner face (doors 113, 117, 115 inside)</t>
  </si>
  <si>
    <t xml:space="preserve">A-W2-07</t>
  </si>
  <si>
    <t xml:space="preserve">Grid 4: men's restroom 113 + storage 117 + wellness 115 / corridor 111 wall, south piece from the alcove to the exterior wall inner face (doors 113, 117, 115 inside)</t>
  </si>
  <si>
    <t xml:space="preserve">B2  #A-W2-08  -  Grid 4: ATM room 102 / central zone 103 wall, from the C1 pier box to the G wall north face (door 102 inside)</t>
  </si>
  <si>
    <t xml:space="preserve">A-W2-08</t>
  </si>
  <si>
    <t xml:space="preserve">Grid 4: ATM room 102 / central zone 103 wall, from the C1 pier box to the G wall north face (door 102 inside)</t>
  </si>
  <si>
    <t xml:space="preserve">B2  #A-W2-13  -  Grid 7: break room 118 / passage to cash window 116 + work room 119 wall, from the door 116 south jamb to the exterior inner face (door 116 inside, MW08 sink on the west face)</t>
  </si>
  <si>
    <t xml:space="preserve">A-W2-13</t>
  </si>
  <si>
    <t xml:space="preserve">Grid 7: break room 118 / passage to cash window 116 + work room 119 wall, from the door 116 south jamb to the exterior inner face (door 116 inside, MW08 sink on the west face)</t>
  </si>
  <si>
    <t xml:space="preserve">TYPE F</t>
  </si>
  <si>
    <t xml:space="preserve">F  #A-W2-09  -  Angled partition (60 deg to the grid 2 exterior wall) between 24 HR vestibule 101 (ATM lobby) and ATM room 102, from the west exterior inner face to the grid 4 B2 / C1 pier junction (ATM-WU inside)</t>
  </si>
  <si>
    <t xml:space="preserve">A-W2-09</t>
  </si>
  <si>
    <t xml:space="preserve">Angled partition (60 deg to the grid 2 exterior wall) between 24 HR vestibule 101 (ATM lobby) and ATM room 102, from the west exterior inner face to the grid 4 B2 / C1 pier junction (ATM-WU inside)</t>
  </si>
  <si>
    <t xml:space="preserve">12/A12.01</t>
  </si>
  <si>
    <t xml:space="preserve">TYPE B2K</t>
  </si>
  <si>
    <t xml:space="preserve">B2K  #A-W2-14  -  North end of the teller line: hatched (Kevlar) stub between the grid 7 office-front line (4" G end of office 108) and the start of the G wall / A1K teller line, office 108 (north) / central zone 103 (south)</t>
  </si>
  <si>
    <t xml:space="preserve">A-W2-14</t>
  </si>
  <si>
    <t xml:space="preserve">North end of the teller line: hatched (Kevlar) stub between the grid 7 office-front line (4" G end of office 108) and the start of the G wall / A1K teller line, office 108 (north) / central zone 103 (south)</t>
  </si>
  <si>
    <t xml:space="preserve">TYPE G</t>
  </si>
  <si>
    <t xml:space="preserve">G  #A-W3-01  -  East office front (grid 7), G stub between vendor office-front frames (DFC-1A)</t>
  </si>
  <si>
    <t xml:space="preserve">A-W3-01</t>
  </si>
  <si>
    <t xml:space="preserve">1-5/8"</t>
  </si>
  <si>
    <t xml:space="preserve">East office front (grid 7), G stub between vendor office-front frames (DFC-1A)</t>
  </si>
  <si>
    <t xml:space="preserve">5/A12.01</t>
  </si>
  <si>
    <t xml:space="preserve">G  #A-W3-03  -  East office front (grid 7), G stub between vendor office-front frames (DFC-1A)</t>
  </si>
  <si>
    <t xml:space="preserve">A-W3-03</t>
  </si>
  <si>
    <t xml:space="preserve">G  #A-W3-06+A-W3-12  -  East office front (grid 7), G stub between vendor office-front frames (DFC-1A) + Partition office 106 / office 107</t>
  </si>
  <si>
    <t xml:space="preserve">A-W3-06+A-W3-12</t>
  </si>
  <si>
    <t xml:space="preserve">East office front (grid 7), G stub between vendor office-front frames (DFC-1A) + Partition office 106 / office 107</t>
  </si>
  <si>
    <t xml:space="preserve">G  #A-W3-08+A-W3-13  -  East office front (grid 7), G stub between vendor office-front frames (DFC-1A) + Partition office 107 / office 108</t>
  </si>
  <si>
    <t xml:space="preserve">A-W3-08+A-W3-13</t>
  </si>
  <si>
    <t xml:space="preserve">East office front (grid 7), G stub between vendor office-front frames (DFC-1A) + Partition office 107 / office 108</t>
  </si>
  <si>
    <t xml:space="preserve">G  #A-W3-14  -  Partition office 108 / cash window 116 (G portion east of the B2K hatch)</t>
  </si>
  <si>
    <t xml:space="preserve">A-W3-14</t>
  </si>
  <si>
    <t xml:space="preserve">Partition office 108 / cash window 116 (G portion east of the B2K hatch)</t>
  </si>
  <si>
    <t xml:space="preserve">G  #A-W3-19+A-W3-20+A-W3-21  -  ATM room 102 / office 109 partition on grid D (west piece, under W12x19 (HI)) + ATM room 102 / office 109 partition on grid D (middle piece, under W8x10) + ATM room 102 / office 109 partition on grid D (east piece, to deck)</t>
  </si>
  <si>
    <t xml:space="preserve">A-W3-19+A-W3-20+A-W3-21</t>
  </si>
  <si>
    <t xml:space="preserve">ATM room 102 / office 109 partition on grid D (west piece, under W12x19 (HI)) + ATM room 102 / office 109 partition on grid D (middle piece, under W8x10) + ATM room 102 / office 109 partition on grid D (east piece, to deck)</t>
  </si>
  <si>
    <t xml:space="preserve">G  #A-W3-22  -  Partition office 109 / office 110</t>
  </si>
  <si>
    <t xml:space="preserve">A-W3-22</t>
  </si>
  <si>
    <t xml:space="preserve">Partition office 109 / office 110</t>
  </si>
  <si>
    <t xml:space="preserve">G  #A-W3-23  -  Partition office 110 / women's restroom 114</t>
  </si>
  <si>
    <t xml:space="preserve">A-W3-23</t>
  </si>
  <si>
    <t xml:space="preserve">Partition office 110 / women's restroom 114</t>
  </si>
  <si>
    <t xml:space="preserve">TYPE BULKHEAD-G</t>
  </si>
  <si>
    <t xml:space="preserve">BULKHEAD-G  #A-W3-02+A-W3-04+A-W3-07+A-W3-09  -  East office front, door_bulkhead above the vendor office front (7'-6" HOLD clear opening)</t>
  </si>
  <si>
    <t xml:space="preserve">A-W3-02+A-W3-04+A-W3-07+A-W3-09</t>
  </si>
  <si>
    <t xml:space="preserve">East office front, door_bulkhead above the vendor office front (7'-6" HOLD clear opening)</t>
  </si>
  <si>
    <t xml:space="preserve">8/A12.01</t>
  </si>
  <si>
    <t xml:space="preserve">BULKHEAD-G  #A-W3-15+A-W3-17  -  West office front, door_bulkhead above the vendor office front (7'-6" HOLD clear opening)</t>
  </si>
  <si>
    <t xml:space="preserve">A-W3-15+A-W3-17</t>
  </si>
  <si>
    <t xml:space="preserve">West office front, door_bulkhead above the vendor office front (7'-6" HOLD clear opening)</t>
  </si>
  <si>
    <t xml:space="preserve">TYPE G1</t>
  </si>
  <si>
    <t xml:space="preserve">G1  #A-W3-10+A-W3-11  -  Partition office 105 / office 106 (west part, to deck) + Partition office 105 / office 106 (east part, under W8x10)</t>
  </si>
  <si>
    <t xml:space="preserve">A-W3-10+A-W3-11</t>
  </si>
  <si>
    <t xml:space="preserve">Partition office 105 / office 106 (west part, to deck) + Partition office 105 / office 106 (east part, under W8x10)</t>
  </si>
  <si>
    <t xml:space="preserve">G1  #A-W3-16  -  West office front (grid 4), G1 stub between vendor office-front frames (DFC-1A)</t>
  </si>
  <si>
    <t xml:space="preserve">A-W3-16</t>
  </si>
  <si>
    <t xml:space="preserve">West office front (grid 4), G1 stub between vendor office-front frames (DFC-1A)</t>
  </si>
  <si>
    <t xml:space="preserve">G1  #A-W3-18  -  West office front (grid 4), G1 stub between vendor office-front frames (DFC-1A)</t>
  </si>
  <si>
    <t xml:space="preserve">A-W3-18</t>
  </si>
  <si>
    <t xml:space="preserve">TYPE C1</t>
  </si>
  <si>
    <t xml:space="preserve">C1  #A-W3-24  -  Plumbing chase between restrooms 114 and 113, north row (face WOMEN'S RESTROOM 114)</t>
  </si>
  <si>
    <t xml:space="preserve">A-W3-24</t>
  </si>
  <si>
    <t xml:space="preserve">Plumbing chase between restrooms 114 and 113, north row (face WOMEN'S RESTROOM 114)</t>
  </si>
  <si>
    <t xml:space="preserve">6/A12.01</t>
  </si>
  <si>
    <t xml:space="preserve">C1  #A-W3-25  -  Plumbing chase between restrooms 114 and 113, south row (face MEN'S RESTROOM 113)</t>
  </si>
  <si>
    <t xml:space="preserve">A-W3-25</t>
  </si>
  <si>
    <t xml:space="preserve">Plumbing chase between restrooms 114 and 113, south row (face MEN'S RESTROOM 113)</t>
  </si>
  <si>
    <t xml:space="preserve">C1  #A-W3-26  -  C1 furring (media wall, key note 7: 85" display monitor) in front of the north face of the calling cubes 122 A1 wall, facing Waiting 104</t>
  </si>
  <si>
    <t xml:space="preserve">A-W3-26</t>
  </si>
  <si>
    <t xml:space="preserve">C1 furring (media wall, key note 7: 85" display monitor) in front of the north face of the calling cubes 122 A1 wall, facing Waiting 104</t>
  </si>
  <si>
    <t xml:space="preserve">C1  #A-W3-32  -  C1 media-wall furring, west return from the back of A-W3-26 to the calling cubes A1 wall face</t>
  </si>
  <si>
    <t xml:space="preserve">A-W3-32</t>
  </si>
  <si>
    <t xml:space="preserve">C1 media-wall furring, west return from the back of A-W3-26 to the calling cubes A1 wall face</t>
  </si>
  <si>
    <t xml:space="preserve">C1  #A-W3-33  -  C1 media-wall furring, east return from the back of A-W3-26 to the calling cubes A1 wall face</t>
  </si>
  <si>
    <t xml:space="preserve">A-W3-33</t>
  </si>
  <si>
    <t xml:space="preserve">C1 media-wall furring, east return from the back of A-W3-26 to the calling cubes A1 wall face</t>
  </si>
  <si>
    <t xml:space="preserve">C1  #A-W3-27  -  C1 furring under the south face of the cash window A1K wall (FUTURE FCAM recess), facing cash window 116</t>
  </si>
  <si>
    <t xml:space="preserve">A-W3-27</t>
  </si>
  <si>
    <t xml:space="preserve">C1 furring under the south face of the cash window A1K wall (FUTURE FCAM recess), facing cash window 116</t>
  </si>
  <si>
    <t xml:space="preserve">C1  #A-W3-34  -  C1 FCAM furring, east return from the back of A-W3-27 to the A1K wall</t>
  </si>
  <si>
    <t xml:space="preserve">A-W3-34</t>
  </si>
  <si>
    <t xml:space="preserve">C1 FCAM furring, east return from the back of A-W3-27 to the A1K wall</t>
  </si>
  <si>
    <t xml:space="preserve">C1  #A-W3-30  -  Column wrap on grid 4 at the vestibule 100 / 24HR vestibule 101 / central zone 103 junction</t>
  </si>
  <si>
    <t xml:space="preserve">A-W3-30</t>
  </si>
  <si>
    <t xml:space="preserve">Column wrap on grid 4 at the vestibule 100 / 24HR vestibule 101 / central zone 103 junction</t>
  </si>
  <si>
    <t xml:space="preserve">C1  #A-W3-31  -  Column wrap on grid 4 north of the E/4 column (24HR vestibule 101 / ATM room 102 / central zone 103 corner)</t>
  </si>
  <si>
    <t xml:space="preserve">A-W3-31</t>
  </si>
  <si>
    <t xml:space="preserve">Column wrap on grid 4 north of the E/4 column (24HR vestibule 101 / ATM room 102 / central zone 103 corner)</t>
  </si>
  <si>
    <t xml:space="preserve">C1  #A-W4-30  -  NW storefront pier at grid 2 / G-F (vestibule 100)</t>
  </si>
  <si>
    <t xml:space="preserve">A-W4-30</t>
  </si>
  <si>
    <t xml:space="preserve">6" + 3-5/8" (parts)</t>
  </si>
  <si>
    <t xml:space="preserve">NW storefront pier at grid 2 / G-F (vestibule 100)</t>
  </si>
  <si>
    <t xml:space="preserve">1/A09.25</t>
  </si>
  <si>
    <t xml:space="preserve">C1  #A-W4-31  -  NE storefront pier at grid 4 / G-F (vestibule 100 / central zone 103)</t>
  </si>
  <si>
    <t xml:space="preserve">A-W4-31</t>
  </si>
  <si>
    <t xml:space="preserve">NE storefront pier at grid 4 / G-F (vestibule 100 / central zone 103)</t>
  </si>
  <si>
    <t xml:space="preserve">2/A09.25</t>
  </si>
  <si>
    <t xml:space="preserve">TYPE EXT-6CFMF</t>
  </si>
  <si>
    <t xml:space="preserve">EXT-6CFMF  #A-W4-01  -  West exterior wall grid 2 (24 HR vestibule 101 / ATM room 102), SF-W-VEST south jamb to jog at D</t>
  </si>
  <si>
    <t xml:space="preserve">A-W4-01</t>
  </si>
  <si>
    <t xml:space="preserve">West exterior wall grid 2 (24 HR vestibule 101 / ATM room 102), SF-W-VEST south jamb to jog at D</t>
  </si>
  <si>
    <t xml:space="preserve">J/A09.23</t>
  </si>
  <si>
    <t xml:space="preserve">EXT-6CFMF  #A-W4-02  -  West exterior jog wall on grid D between grid 2 and grid 3 (south wall of ATM room 102)</t>
  </si>
  <si>
    <t xml:space="preserve">A-W4-02</t>
  </si>
  <si>
    <t xml:space="preserve">West exterior jog wall on grid D between grid 2 and grid 3 (south wall of ATM room 102)</t>
  </si>
  <si>
    <t xml:space="preserve">EXT-6CFMF  #A-W4-03+A-W4-04  -  West exterior wall grid 3, offices 109 / 110 (jog at D to grid B deck break) + West exterior wall grid 3, restrooms 114 / 113, janitor 112, wellness 115 (grid B to SW corner)</t>
  </si>
  <si>
    <t xml:space="preserve">A-W4-03+A-W4-04</t>
  </si>
  <si>
    <t xml:space="preserve">West exterior wall grid 3, offices 109 / 110 (jog at D to grid B deck break) + West exterior wall grid 3, restrooms 114 / 113, janitor 112, wellness 115 (grid B to SW corner)</t>
  </si>
  <si>
    <t xml:space="preserve">H/A09.23</t>
  </si>
  <si>
    <t xml:space="preserve">EXT-6CFMF  #A-W4-05+A-W4-06  -  South exterior wall grid A, grid 3 to grid 6 (wellness 115, corridor 111 / door 123, NER 121, break room 118) + South exterior wall grid A, grid 6 to grid 8 (break room 118, work room 119)</t>
  </si>
  <si>
    <t xml:space="preserve">A-W4-05+A-W4-06</t>
  </si>
  <si>
    <t xml:space="preserve">South exterior wall grid A, grid 3 to grid 6 (wellness 115, corridor 111 / door 123, NER 121, break room 118) + South exterior wall grid A, grid 6 to grid 8 (break room 118, work room 119)</t>
  </si>
  <si>
    <t xml:space="preserve">F/A09.22</t>
  </si>
  <si>
    <t xml:space="preserve">EXT-6CFMF  #A-W4-07+A-W4-08  -  East exterior wall grid 8, offices 105-108 and cash window 116 (NE corner to grid B) + East exterior wall grid 8, cash window 116 / work room 119 (grid B to SE corner)</t>
  </si>
  <si>
    <t xml:space="preserve">A-W4-07+A-W4-08</t>
  </si>
  <si>
    <t xml:space="preserve">East exterior wall grid 8, offices 105-108 and cash window 116 (NE corner to grid B) + East exterior wall grid 8, cash window 116 / work room 119 (grid B to SE corner)</t>
  </si>
  <si>
    <t xml:space="preserve">D/A09.22; E/A09.22</t>
  </si>
  <si>
    <t xml:space="preserve">EXT-6CFMF  #A-W4-09  -  North exterior wall grid F, office 105 (SF-N-CENTRAL east jamb to grid 8)</t>
  </si>
  <si>
    <t xml:space="preserve">A-W4-09</t>
  </si>
  <si>
    <t xml:space="preserve">North exterior wall grid F, office 105 (SF-N-CENTRAL east jamb to grid 8)</t>
  </si>
  <si>
    <t xml:space="preserve">C/A09.21</t>
  </si>
  <si>
    <t xml:space="preserve">TYPE EXT-PARAPET</t>
  </si>
  <si>
    <t xml:space="preserve">EXT-PARAPET  #A-W4-50  -  HP parapet tower north, grid G from grid 2 to the grid-4 return (over SF-N-ENTRY and piers)</t>
  </si>
  <si>
    <t xml:space="preserve">A-W4-50</t>
  </si>
  <si>
    <t xml:space="preserve">6" parapet</t>
  </si>
  <si>
    <t xml:space="preserve">HP parapet tower north, grid G from grid 2 to the grid-4 return (over SF-N-ENTRY and piers)</t>
  </si>
  <si>
    <t xml:space="preserve">11/S5.10</t>
  </si>
  <si>
    <t xml:space="preserve">EXT-PARAPET  #A-W4-51  -  HP parapet return at grid 4 (tower east end), from G south to 384.7 pt (A02.02 keynote 10 ACM coping)</t>
  </si>
  <si>
    <t xml:space="preserve">A-W4-51</t>
  </si>
  <si>
    <t xml:space="preserve">HP parapet return at grid 4 (tower east end), from G south to 384.7 pt (A02.02 keynote 10 ACM coping)</t>
  </si>
  <si>
    <t xml:space="preserve">EXT-PARAPET  #A-W4-52  -  HP parapet west, grid 2 from G to the jog at D (over SF-W-VEST and A-W4-01)</t>
  </si>
  <si>
    <t xml:space="preserve">A-W4-52</t>
  </si>
  <si>
    <t xml:space="preserve">HP parapet west, grid 2 from G to the jog at D (over SF-W-VEST and A-W4-01)</t>
  </si>
  <si>
    <t xml:space="preserve">EXT-PARAPET  #A-W4-53  -  HP parapet on the jog, grid D from grid 2 to grid 3</t>
  </si>
  <si>
    <t xml:space="preserve">A-W4-53</t>
  </si>
  <si>
    <t xml:space="preserve">HP parapet on the jog, grid D from grid 2 to grid 3</t>
  </si>
  <si>
    <t xml:space="preserve">EXT-PARAPET  #A-W4-54  -  LP parapet north, grid F from the grid-4 HP return to grid 8 (over SF-N-CENTRAL and A-W4-09)</t>
  </si>
  <si>
    <t xml:space="preserve">A-W4-54</t>
  </si>
  <si>
    <t xml:space="preserve">LP parapet north, grid F from the grid-4 HP return to grid 8 (over SF-N-CENTRAL and A-W4-09)</t>
  </si>
  <si>
    <t xml:space="preserve">EXT-PARAPET  #A-W4-55+A-W4-56  -  LP parapet east, grid 8 from F to B (HI roof) + LP parapet east, grid 8 from B to A (LOW roof, sloped deck)</t>
  </si>
  <si>
    <t xml:space="preserve">A-W4-55+A-W4-56</t>
  </si>
  <si>
    <t xml:space="preserve">LP parapet east, grid 8 from F to B (HI roof) + LP parapet east, grid 8 from B to A (LOW roof, sloped deck)</t>
  </si>
  <si>
    <t xml:space="preserve">EXT-PARAPET  #A-W4-57+A-W4-58  -  LP parapet west, grid 3 from the jog (D) to B (HI roof) + LP parapet west, grid 3 from B to A (LOW roof, sloped deck)</t>
  </si>
  <si>
    <t xml:space="preserve">A-W4-57+A-W4-58</t>
  </si>
  <si>
    <t xml:space="preserve">LP parapet west, grid 3 from the jog (D) to B (HI roof) + LP parapet west, grid 3 from B to A (LOW roof, sloped deck)</t>
  </si>
  <si>
    <t xml:space="preserve">EXT-PARAPET  #A-W4-59  -  LP parapet south, grid A from grid 3 to grid 8 (LOW roof)</t>
  </si>
  <si>
    <t xml:space="preserve">A-W4-59</t>
  </si>
  <si>
    <t xml:space="preserve">LP parapet south, grid A from grid 3 to grid 8 (LOW roof)</t>
  </si>
  <si>
    <t xml:space="preserve">TYPE CANOPY-COL</t>
  </si>
  <si>
    <t xml:space="preserve">CANOPY-COL  #A-W4-40  -  Drive-up canopy column wrap at grid 1 (box y 308.04-338.04 pt)</t>
  </si>
  <si>
    <t xml:space="preserve">A-W4-40</t>
  </si>
  <si>
    <t xml:space="preserve">Drive-up canopy column wrap at grid 1 (box y 308.04-338.04 pt)</t>
  </si>
  <si>
    <t xml:space="preserve">5/A09.25</t>
  </si>
  <si>
    <t xml:space="preserve">CANOPY-COL  #A-W4-41  -  Drive-up canopy column wrap at grid 1 (box y 590.76-620.76 pt)</t>
  </si>
  <si>
    <t xml:space="preserve">A-W4-41</t>
  </si>
  <si>
    <t xml:space="preserve">Drive-up canopy column wrap at grid 1 (box y 590.76-620.76 pt)</t>
  </si>
  <si>
    <t xml:space="preserve">CANOPY-COL  #A-W4-42  -  Drive-up canopy column wrap at grid 1 (box y 873.36-903.36 pt)</t>
  </si>
  <si>
    <t xml:space="preserve">A-W4-42</t>
  </si>
  <si>
    <t xml:space="preserve">Drive-up canopy column wrap at grid 1 (box y 873.36-903.36 pt)</t>
  </si>
  <si>
    <t xml:space="preserve">CANOPY-COL  #A-W4-43  -  Drive-up canopy column wrap at grid 1 (box y 1156.08-1186.08 pt)</t>
  </si>
  <si>
    <t xml:space="preserve">A-W4-43</t>
  </si>
  <si>
    <t xml:space="preserve">Drive-up canopy column wrap at grid 1 (box y 1156.08-1186.08 pt)</t>
  </si>
  <si>
    <t xml:space="preserve">TOTAL - PARTITIONS</t>
  </si>
  <si>
    <t xml:space="preserve">TYPE OTHER FRAMING (NOT A PARTITION)</t>
  </si>
  <si>
    <t xml:space="preserve">ceiling_transition  #A-C-01  -  Waiting 104 GB 11'-0" island, N edge against Central Zone 103 ACT-4 11'-6"</t>
  </si>
  <si>
    <t xml:space="preserve">A-C-01</t>
  </si>
  <si>
    <t xml:space="preserve">Waiting 104 GB 11'-0" island, N edge against Central Zone 103 ACT-4 11'-6"</t>
  </si>
  <si>
    <t xml:space="preserve">7/A09.33</t>
  </si>
  <si>
    <t xml:space="preserve">ceiling_transition  #A-C-02  -  Waiting 104 GB 11'-0" island, W edge against Central Zone 103 ACT-4 11'-6"</t>
  </si>
  <si>
    <t xml:space="preserve">A-C-02</t>
  </si>
  <si>
    <t xml:space="preserve">Waiting 104 GB 11'-0" island, W edge against Central Zone 103 ACT-4 11'-6"</t>
  </si>
  <si>
    <t xml:space="preserve">ceiling_transition  #A-C-03  -  Waiting 104 GB 11'-0" island, E edge against Central Zone 103 ACT-4 11'-6"</t>
  </si>
  <si>
    <t xml:space="preserve">A-C-03</t>
  </si>
  <si>
    <t xml:space="preserve">Waiting 104 GB 11'-0" island, E edge against Central Zone 103 ACT-4 11'-6"</t>
  </si>
  <si>
    <t xml:space="preserve">ceiling_bulkhead  #A-C-04  -  Central Zone 103: step from ACT-4 11'-6" (north) down to the ACT-4 9'-0" alcove in front of the CSR line (4/A12.08), between the 122 east wall face and the CSR end wall face</t>
  </si>
  <si>
    <t xml:space="preserve">A-C-04</t>
  </si>
  <si>
    <t xml:space="preserve">Central Zone 103: step from ACT-4 11'-6" (north) down to the ACT-4 9'-0" alcove in front of the CSR line (4/A12.08), between the 122 east wall face and the CSR end wall face</t>
  </si>
  <si>
    <t xml:space="preserve">8/A09.33</t>
  </si>
  <si>
    <t xml:space="preserve">soffit_side  #A-C-05  -  CSR line soffit (Cash Window 116), W drop line (faces Central Zone 103 alcove ACT 9-0), part N of grid B</t>
  </si>
  <si>
    <t xml:space="preserve">A-C-05</t>
  </si>
  <si>
    <t xml:space="preserve">CSR line soffit (Cash Window 116), W drop line (faces Central Zone 103 alcove ACT 9-0), part N of grid B</t>
  </si>
  <si>
    <t xml:space="preserve">9/A12.08</t>
  </si>
  <si>
    <t xml:space="preserve">soffit_side  #A-C-06  -  CSR line soffit (Cash Window 116), W drop line (faces Central Zone 103 alcove ACT 9-0), part S of grid B</t>
  </si>
  <si>
    <t xml:space="preserve">A-C-06</t>
  </si>
  <si>
    <t xml:space="preserve">CSR line soffit (Cash Window 116), W drop line (faces Central Zone 103 alcove ACT 9-0), part S of grid B</t>
  </si>
  <si>
    <t xml:space="preserve">soffit_side  #A-C-07  -  CSR line soffit (Cash Window 116), E drop line (faces Cash Window 116 ACT 9-0), part N of grid B</t>
  </si>
  <si>
    <t xml:space="preserve">A-C-07</t>
  </si>
  <si>
    <t xml:space="preserve">CSR line soffit (Cash Window 116), E drop line (faces Cash Window 116 ACT 9-0), part N of grid B</t>
  </si>
  <si>
    <t xml:space="preserve">soffit_side  #A-C-08  -  CSR line soffit (Cash Window 116), E drop line (faces Cash Window 116 ACT 9-0), part S of grid B</t>
  </si>
  <si>
    <t xml:space="preserve">A-C-08</t>
  </si>
  <si>
    <t xml:space="preserve">CSR line soffit (Cash Window 116), E drop line (faces Cash Window 116 ACT 9-0), part S of grid B</t>
  </si>
  <si>
    <t xml:space="preserve">vestibule_head  #A-C-09  -  interior storefront 100/101 (doors 101) - box header + studs to deck</t>
  </si>
  <si>
    <t xml:space="preserve">A-C-09</t>
  </si>
  <si>
    <t xml:space="preserve">interior storefront 100/101 (doors 101) - box header + studs to deck</t>
  </si>
  <si>
    <t xml:space="preserve">6/A12.10</t>
  </si>
  <si>
    <t xml:space="preserve">vestibule_head  #A-C-10  -  vestibule 100 east storefront to Central Zone 103 (door 100A) - box header + studs to deck</t>
  </si>
  <si>
    <t xml:space="preserve">A-C-10</t>
  </si>
  <si>
    <t xml:space="preserve">vestibule 100 east storefront to Central Zone 103 (door 100A) - box header + studs to deck</t>
  </si>
  <si>
    <t xml:space="preserve">5/A12.10</t>
  </si>
  <si>
    <t xml:space="preserve">grille_head  #A-C-11  -  coiling grille between 24 HR Vestibule 101 and Central Zone 103 (grid 4), head over 13'-4" clear opening</t>
  </si>
  <si>
    <t xml:space="preserve">A-C-11</t>
  </si>
  <si>
    <t xml:space="preserve">2-1/2"</t>
  </si>
  <si>
    <t xml:space="preserve">coiling grille between 24 HR Vestibule 101 and Central Zone 103 (grid 4), head over 13'-4" clear opening</t>
  </si>
  <si>
    <t xml:space="preserve">4/A08.21</t>
  </si>
  <si>
    <t xml:space="preserve">storefront_cripples  #A-W4-20  -  North storefront SF-N-ENTRY (vestibule 100) framing above head, grid 2-4</t>
  </si>
  <si>
    <t xml:space="preserve">A-W4-20</t>
  </si>
  <si>
    <t xml:space="preserve">North storefront SF-N-ENTRY (vestibule 100) framing above head, grid 2-4</t>
  </si>
  <si>
    <t xml:space="preserve">2/A09.26</t>
  </si>
  <si>
    <t xml:space="preserve">[CONFIRMED]</t>
  </si>
  <si>
    <t xml:space="preserve">storefront_cripples  #A-W4-21  -  North storefront SF-N-CENTRAL (central zone 103) framing above head, grid 4 to office 105</t>
  </si>
  <si>
    <t xml:space="preserve">A-W4-21</t>
  </si>
  <si>
    <t xml:space="preserve">North storefront SF-N-CENTRAL (central zone 103) framing above head, grid 4 to office 105</t>
  </si>
  <si>
    <t xml:space="preserve">storefront_cripples  #A-W4-22  -  West storefront SF-W-VEST (vestibule 100) framing above head, grid 2</t>
  </si>
  <si>
    <t xml:space="preserve">A-W4-22</t>
  </si>
  <si>
    <t xml:space="preserve">West storefront SF-W-VEST (vestibule 100) framing above head, grid 2</t>
  </si>
  <si>
    <t xml:space="preserve">roof_step  #A-W4-60  -  Roof step at grid B, row 1 (upper outboard, above LOW roof)</t>
  </si>
  <si>
    <t xml:space="preserve">A-W4-60</t>
  </si>
  <si>
    <t xml:space="preserve">Roof step at grid B, row 1 (upper outboard, above LOW roof)</t>
  </si>
  <si>
    <t xml:space="preserve">4/A02.02</t>
  </si>
  <si>
    <t xml:space="preserve">roof_step  #A-W4-61  -  Roof step at grid B, row 2 (low side, LOW beam bottom to LOW deck)</t>
  </si>
  <si>
    <t xml:space="preserve">A-W4-61</t>
  </si>
  <si>
    <t xml:space="preserve">Roof step at grid B, row 2 (low side, LOW beam bottom to LOW deck)</t>
  </si>
  <si>
    <t xml:space="preserve">roof_step  #A-W4-62  -  Roof step at grid B, row 3 (high side, LOW beam bottom to HI deck)</t>
  </si>
  <si>
    <t xml:space="preserve">A-W4-62</t>
  </si>
  <si>
    <t xml:space="preserve">Roof step at grid B, row 3 (high side, LOW beam bottom to HI deck)</t>
  </si>
  <si>
    <t xml:space="preserve">fascia_box  #A-W4-70  -  Drive-up canopy north edge fascia (grid 1 to grid 2), owns NW canopy corner</t>
  </si>
  <si>
    <t xml:space="preserve">A-W4-70</t>
  </si>
  <si>
    <t xml:space="preserve">Drive-up canopy north edge fascia (grid 1 to grid 2), owns NW canopy corner</t>
  </si>
  <si>
    <t xml:space="preserve">3/A09.26</t>
  </si>
  <si>
    <t xml:space="preserve">fascia_box  #A-W4-71  -  North canopy fascia in front of the tower (grid 2 to grid 4 pier)</t>
  </si>
  <si>
    <t xml:space="preserve">A-W4-71</t>
  </si>
  <si>
    <t xml:space="preserve">North canopy fascia in front of the tower (grid 2 to grid 4 pier)</t>
  </si>
  <si>
    <t xml:space="preserve">fascia_box  #A-W4-72  -  North canopy fascia, grid 4 pier to grid 8 line</t>
  </si>
  <si>
    <t xml:space="preserve">A-W4-72</t>
  </si>
  <si>
    <t xml:space="preserve">North canopy fascia, grid 4 pier to grid 8 line</t>
  </si>
  <si>
    <t xml:space="preserve">fascia_box  #A-W4-73  -  North canopy fascia at NE canopy corner (east canopy)</t>
  </si>
  <si>
    <t xml:space="preserve">A-W4-73</t>
  </si>
  <si>
    <t xml:space="preserve">North canopy fascia at NE canopy corner (east canopy)</t>
  </si>
  <si>
    <t xml:space="preserve">fascia_box  #A-W4-74  -  Drive-up canopy west fascia (grid 1 side), north part (opposite grid 2 wall)</t>
  </si>
  <si>
    <t xml:space="preserve">A-W4-74</t>
  </si>
  <si>
    <t xml:space="preserve">Drive-up canopy west fascia (grid 1 side), north part (opposite grid 2 wall)</t>
  </si>
  <si>
    <t xml:space="preserve">fascia_box  #A-W4-75  -  Drive-up canopy west fascia (grid 1 side), south part (opposite grid 3 wall)</t>
  </si>
  <si>
    <t xml:space="preserve">A-W4-75</t>
  </si>
  <si>
    <t xml:space="preserve">Drive-up canopy west fascia (grid 1 side), south part (opposite grid 3 wall)</t>
  </si>
  <si>
    <t xml:space="preserve">fascia_box  #A-W4-76  -  Drive-up canopy south edge fascia at grid B (grid 1 to grid 3 wall)</t>
  </si>
  <si>
    <t xml:space="preserve">A-W4-76</t>
  </si>
  <si>
    <t xml:space="preserve">Drive-up canopy south edge fascia at grid B (grid 1 to grid 3 wall)</t>
  </si>
  <si>
    <t xml:space="preserve">fascia_box  #A-W4-77  -  East canopy fascia (grid 8 side), north canopy line to B.2</t>
  </si>
  <si>
    <t xml:space="preserve">A-W4-77</t>
  </si>
  <si>
    <t xml:space="preserve">East canopy fascia (grid 8 side), north canopy line to B.2</t>
  </si>
  <si>
    <t xml:space="preserve">fascia_box  #A-W4-78  -  East canopy south return fascia at B.2</t>
  </si>
  <si>
    <t xml:space="preserve">A-W4-78</t>
  </si>
  <si>
    <t xml:space="preserve">East canopy south return fascia at B.2</t>
  </si>
  <si>
    <t xml:space="preserve">fascia_box  #A-W4-79  -  South canopy front fascia (grid A, ~grid 3 to 5)</t>
  </si>
  <si>
    <t xml:space="preserve">A-W4-79</t>
  </si>
  <si>
    <t xml:space="preserve">South canopy front fascia (grid A, ~grid 3 to 5)</t>
  </si>
  <si>
    <t xml:space="preserve">fascia_box  #A-W4-80  -  South canopy west return fascia</t>
  </si>
  <si>
    <t xml:space="preserve">A-W4-80</t>
  </si>
  <si>
    <t xml:space="preserve">South canopy west return fascia</t>
  </si>
  <si>
    <t xml:space="preserve">fascia_box  #A-W4-81  -  South canopy east return fascia</t>
  </si>
  <si>
    <t xml:space="preserve">A-W4-81</t>
  </si>
  <si>
    <t xml:space="preserve">South canopy east return fascia</t>
  </si>
  <si>
    <t xml:space="preserve">MATERIAL SUMMARY - NET / WASTE / PURCHASE</t>
  </si>
  <si>
    <t xml:space="preserve">Waste lives HERE, in its own column, applied ONCE: Pieces = ROUNDUP(Net x (1 + waste) / stock). Every stock length, coverage and yield is an Inputs cell.</t>
  </si>
  <si>
    <t xml:space="preserve">Material</t>
  </si>
  <si>
    <t xml:space="preserve">Unit</t>
  </si>
  <si>
    <t xml:space="preserve">Net</t>
  </si>
  <si>
    <t xml:space="preserve">Waste %</t>
  </si>
  <si>
    <t xml:space="preserve">Waste</t>
  </si>
  <si>
    <t xml:space="preserve">Purchase</t>
  </si>
  <si>
    <t xml:space="preserve">Selling unit</t>
  </si>
  <si>
    <t xml:space="preserve">Pieces to buy</t>
  </si>
  <si>
    <t xml:space="preserve">Where it comes from</t>
  </si>
  <si>
    <t xml:space="preserve">Yield check (live formula)</t>
  </si>
  <si>
    <t xml:space="preserve">6" metal stud (exterior CFMF + interior 6", all gauges)</t>
  </si>
  <si>
    <t xml:space="preserve">LF</t>
  </si>
  <si>
    <t xml:space="preserve">stick 20 ft</t>
  </si>
  <si>
    <t xml:space="preserve">familias_out.json '6" stud (all gauges)' (canon.py over 4_canon/takeoff_canon.json)</t>
  </si>
  <si>
    <t xml:space="preserve">6" parapet stud 600S162-54 (infill bay by bay between HSS posts)</t>
  </si>
  <si>
    <t xml:space="preserve">familias_out.json '6" parapet stud' (canon.py over 4_canon/takeoff_canon.json)</t>
  </si>
  <si>
    <t xml:space="preserve">3-5/8" metal stud (all gauges)</t>
  </si>
  <si>
    <t xml:space="preserve">familias_out.json '3-5/8" stud (all gauges)' (canon.py over 4_canon/takeoff_canon.json)</t>
  </si>
  <si>
    <t xml:space="preserve">1-5/8" metal stud (double row G / G1)</t>
  </si>
  <si>
    <t xml:space="preserve">familias_out.json '1-5/8" stud' (canon.py over 4_canon/takeoff_canon.json)</t>
  </si>
  <si>
    <t xml:space="preserve">Bottom track (all sizes)</t>
  </si>
  <si>
    <t xml:space="preserve">run 10 ft</t>
  </si>
  <si>
    <t xml:space="preserve">familias_out.json 'bottom track (all)' (canon.py over 4_canon/takeoff_canon.json)</t>
  </si>
  <si>
    <t xml:space="preserve">Top / deflection track (all sizes)</t>
  </si>
  <si>
    <t xml:space="preserve">familias_out.json 'top / deflection track (all)' (canon.py over 4_canon/takeoff_canon.json)</t>
  </si>
  <si>
    <t xml:space="preserve">Ceiling / soffit track</t>
  </si>
  <si>
    <t xml:space="preserve">familias_out.json 'ceiling / soffit track' (canon.py over 4_canon/takeoff_canon.json)</t>
  </si>
  <si>
    <t xml:space="preserve">Purlin 1x1x1 16 ga (track to deck, flute parallel)</t>
  </si>
  <si>
    <t xml:space="preserve">familias_out.json 'purlin (track to deck)' (canon.py over 4_canon/takeoff_canon.json)</t>
  </si>
  <si>
    <t xml:space="preserve">Header / box beam (metal stud, by pieces)</t>
  </si>
  <si>
    <t xml:space="preserve">familias_out.json 'header / box beam' (canon.py over 4_canon/takeoff_canon.json)</t>
  </si>
  <si>
    <t xml:space="preserve">Sill track</t>
  </si>
  <si>
    <t xml:space="preserve">familias_out.json 'sill track' (canon.py over 4_canon/takeoff_canon.json)</t>
  </si>
  <si>
    <t xml:space="preserve">Bracing 1-1/2" C.R. channel</t>
  </si>
  <si>
    <t xml:space="preserve">C.R. channel 16 ft</t>
  </si>
  <si>
    <t xml:space="preserve">familias_out.json 'bracing C.R. channel' (canon.py over 4_canon/takeoff_canon.json)</t>
  </si>
  <si>
    <t xml:space="preserve">7/8" furring channel (hat)</t>
  </si>
  <si>
    <t xml:space="preserve">hat channel 12 ft</t>
  </si>
  <si>
    <t xml:space="preserve">familias_out.json 'furring channel' (canon.py over 4_canon/takeoff_canon.json)</t>
  </si>
  <si>
    <t xml:space="preserve">1-1/2" carrying channel (C.R.)</t>
  </si>
  <si>
    <t xml:space="preserve">familias_out.json 'carrying channel' (canon.py over 4_canon/takeoff_canon.json)</t>
  </si>
  <si>
    <t xml:space="preserve">Hanger wire 12 ga</t>
  </si>
  <si>
    <t xml:space="preserve">familias_out.json 'hanger wire' (canon.py over 4_canon/takeoff_canon.json)</t>
  </si>
  <si>
    <t xml:space="preserve">5/8" gyp board regular (walls + ceilings)</t>
  </si>
  <si>
    <t xml:space="preserve">SF</t>
  </si>
  <si>
    <t xml:space="preserve">4x12 sheet</t>
  </si>
  <si>
    <t xml:space="preserve">familias_out.json '5/8" gyp board regular (walls + ceilings)' (canon.py over 4_canon/takeoff_canon.json)</t>
  </si>
  <si>
    <t xml:space="preserve">5/8" gyp board moisture resistant</t>
  </si>
  <si>
    <t xml:space="preserve">familias_out.json '5/8" gyp MOISTURE RESISTANT' (canon.py over 4_canon/takeoff_canon.json)</t>
  </si>
  <si>
    <t xml:space="preserve">Ballistic panel 3/8" UL752 level 2 fiberglass</t>
  </si>
  <si>
    <t xml:space="preserve">4x8 sheet</t>
  </si>
  <si>
    <t xml:space="preserve">familias_out.json 'ballistic panel' (canon.py over 4_canon/takeoff_canon.json)</t>
  </si>
  <si>
    <t xml:space="preserve">3/8" gyp board over ballistic panel</t>
  </si>
  <si>
    <t xml:space="preserve">familias_out.json '3/8" gyp board' (canon.py over 4_canon/takeoff_canon.json)</t>
  </si>
  <si>
    <t xml:space="preserve">5/8" glass mat sheathing</t>
  </si>
  <si>
    <t xml:space="preserve">familias_out.json '5/8" glass mat sheathing' (canon.py over 4_canon/takeoff_canon.json)</t>
  </si>
  <si>
    <t xml:space="preserve">5/8" exterior gyp sheathing</t>
  </si>
  <si>
    <t xml:space="preserve">familias_out.json '5/8" EXTERIOR gyp sheathing' (canon.py over 4_canon/takeoff_canon.json)</t>
  </si>
  <si>
    <t xml:space="preserve">FRT blocking</t>
  </si>
  <si>
    <t xml:space="preserve">familias_out.json 'FRT blocking' (canon.py over 4_canon/takeoff_canon.json)</t>
  </si>
  <si>
    <t xml:space="preserve">Metal stud blocking 362CR22</t>
  </si>
  <si>
    <t xml:space="preserve">familias_out.json 'metal stud blocking (362CR / STUD BLOCKING)' (canon.py over 4_canon/takeoff_canon.json)</t>
  </si>
  <si>
    <t xml:space="preserve">Metal trim - corner bead, casing bead, shadow molding</t>
  </si>
  <si>
    <t xml:space="preserve">trim stick 10 ft</t>
  </si>
  <si>
    <t xml:space="preserve">familias_out.json 'metal trim (corner bead, casing, shadow molding)' (canon.py over 4_canon/takeoff_canon.json)</t>
  </si>
  <si>
    <t xml:space="preserve">Cement board (tile cove base)</t>
  </si>
  <si>
    <t xml:space="preserve">3x5 sheet</t>
  </si>
  <si>
    <t xml:space="preserve">familias_out.json 'cement board' (canon.py over 4_canon/takeoff_canon.json)</t>
  </si>
  <si>
    <t xml:space="preserve">FRP panel</t>
  </si>
  <si>
    <t xml:space="preserve">familias_out.json 'FRP' (canon.py over 4_canon/takeoff_canon.json)</t>
  </si>
  <si>
    <t xml:space="preserve">Acoustical sealant</t>
  </si>
  <si>
    <t xml:space="preserve">tube (25 LF per tube)</t>
  </si>
  <si>
    <t xml:space="preserve">familias_out.json 'acoustical sealant' (canon.py over 4_canon/takeoff_canon.json)</t>
  </si>
  <si>
    <t xml:space="preserve">Framed openings MEP (ceiling fixtures and air devices)</t>
  </si>
  <si>
    <t xml:space="preserve">framed_openings_out.json 'framed openings MEP' total_lf</t>
  </si>
  <si>
    <t xml:space="preserve">5/8" exterior grade FRT plywood (canopy soffits, fascia, column wraps)</t>
  </si>
  <si>
    <t xml:space="preserve">4x12 ft sheet (Inputs)</t>
  </si>
  <si>
    <t xml:space="preserve">familias_out.json FRT plywood by material; canon rows</t>
  </si>
  <si>
    <t xml:space="preserve">5/8" FRT plywood bonded to 2-1/2" polyiso (exterior sheathing / nailbase)</t>
  </si>
  <si>
    <t xml:space="preserve">3/4" FRT plywood</t>
  </si>
  <si>
    <t xml:space="preserve">Sealant at base of gypsum (exterior, not acoustical)</t>
  </si>
  <si>
    <t xml:space="preserve">familias_out.json acoustical sealant rows 'base of gypsum (exterior)'</t>
  </si>
  <si>
    <t xml:space="preserve">Hanger wire 12 ga - hanger count (one per hanger, height per room)</t>
  </si>
  <si>
    <t xml:space="preserve">PCS</t>
  </si>
  <si>
    <t xml:space="preserve">familias_out.json hanger_pcs.total_pcs; wire bought on the LF row</t>
  </si>
  <si>
    <t xml:space="preserve">Additional head track at openings over 4'-0" wide</t>
  </si>
  <si>
    <t xml:space="preserve">accesorios.py [CRITERION]: HEAD TRACK @ NON LOAD BRG: ADD FULL LENGTH ADDL HEAD TRACK @ OPNG &gt; 4'-0"; Estimator user decision #1: R.O. + 1'-4" (8" bearing each side)</t>
  </si>
  <si>
    <t xml:space="preserve">Stud reinforcement at MEP penetrations</t>
  </si>
  <si>
    <t xml:space="preserve">each</t>
  </si>
  <si>
    <t xml:space="preserve">accesorios.py [CRITERION]: 6/S5.20; M01.01; 6/S5.20; M01.01 registered sweep (mep_cruces.json), lines protrude &gt;= 3 pt beyond both faces; 6/S5.20; A02.01 / 5/A09.25 DETAIL @ CANOPY COLUMN: vertical leader inside the canopy column wrap A-W4-43 cavity (crosses no stud)</t>
  </si>
  <si>
    <t xml:space="preserve">Extra framing - sistered stud and furring at the ATM recess</t>
  </si>
  <si>
    <t xml:space="preserve">accesorios.py [CRITERION]: 6/A08.11</t>
  </si>
  <si>
    <t xml:space="preserve">2-1/2" CFMF @ 16" O.C. at coiling grille head (4/A08.21)</t>
  </si>
  <si>
    <t xml:space="preserve">accesorios.py [DERIVED]: 4/A08.21</t>
  </si>
  <si>
    <t xml:space="preserve">Gypsum board jamb return at openings</t>
  </si>
  <si>
    <t xml:space="preserve">accesorios.py [CRITERION]: Estimator criterion (return width = 6" stud depth, not dimensioned; RFI with delta at 0.20 ft)</t>
  </si>
  <si>
    <t xml:space="preserve">PVC trim - edge trim molding and inside corner molding at the FRP</t>
  </si>
  <si>
    <t xml:space="preserve">accesorios.py [DERIVED]: A-D/A08.01 '5'-0" TO TOP OF FRP' (WC-3 FRP above CT-12C cove base); 1/A08.01 room polygon (notch at TA-14 recess) vectors; KN 6/A05.01 'FRP FROM FLOOR TO 4'-0" AFF, WIDTH TO MATCH WIDTH OF MOP SINK AT BOTH SIDES'; 1/A08.01 mop sink vector 7</t>
  </si>
  <si>
    <t xml:space="preserve">Power-driven fasteners and duct sleeves</t>
  </si>
  <si>
    <t xml:space="preserve">accesorios.py [DERIVED]: 11/S5.10 PAFs SPACED AT 12" O.C. MAX.; M01.01; M01.01 registered sweep (mep_cruces.json), lines protrude &gt;= 3 pt beyond both faces</t>
  </si>
  <si>
    <t xml:space="preserve">Access panel 2'x2'</t>
  </si>
  <si>
    <t xml:space="preserve">accesorios.py [CONFIRMED]: A04.01</t>
  </si>
  <si>
    <t xml:space="preserve">Drywall screws 1-1/4" bugle head</t>
  </si>
  <si>
    <t xml:space="preserve">accesorios.py [DERIVED]: Inputs!B20 (Drywall screws per SF of board = 1.2) x 17522.3 SF of board</t>
  </si>
  <si>
    <t xml:space="preserve">Framing screws, pan head self-drilling</t>
  </si>
  <si>
    <t xml:space="preserve">accesorios.py [DERIVED]: Inputs!B21 (Framing screws per stud piece = 4) x 1761 stud pieces</t>
  </si>
  <si>
    <t xml:space="preserve">Power-driven fasteners, slab pins for the bottom track</t>
  </si>
  <si>
    <t xml:space="preserve">accesorios.py [DERIVED]: 481.36 LF of interior bottom track on slab / Inputs!B22 (Power-driven pin spacing (ft) = 1)</t>
  </si>
  <si>
    <t xml:space="preserve">Expansion anchors Hilti 1/4" Kwik Bolt II, exterior bottom track @ 8" O.C.</t>
  </si>
  <si>
    <t xml:space="preserve">accesorios.py [DERIVED]: 244.94 LF of exterior bottom track on slab / Inputs!B25 (Expansion anchor spacing (ft) = 0.667)</t>
  </si>
  <si>
    <t xml:space="preserve">Joint compound, all purpose</t>
  </si>
  <si>
    <t xml:space="preserve">LB</t>
  </si>
  <si>
    <t xml:space="preserve">lb</t>
  </si>
  <si>
    <t xml:space="preserve">accesorios.py [DERIVED]: Inputs!B23 (Joint compound (lb per SF) = 0.072) x 17522.3 SF of board</t>
  </si>
  <si>
    <t xml:space="preserve">Joint tape, paper</t>
  </si>
  <si>
    <t xml:space="preserve">accesorios.py [DERIVED]: Inputs!B24 (Joint tape (LF per SF) = 0.37) x 17522.3 SF of board</t>
  </si>
  <si>
    <t xml:space="preserve">Level 5 finish</t>
  </si>
  <si>
    <t xml:space="preserve">accesorios.py [DERIVED]: 1/A11.04 11'-9 1/4" V.I.F.; WC-18 'WALL SURFACE TO BE LEVEL 5' A00.40; tag A05.01; 5/A11.04 11'-9 1/4" V.I.F.; WC-18 'WALL SURFACE TO BE LEVEL 5' A00.40; tag A05.01; 11/A11.04 11'-9 1/4" V.I.F.; WC-18 'WALL SURFACE TO BE LEVEL 5' A00.40; ta</t>
  </si>
  <si>
    <t xml:space="preserve">RFI</t>
  </si>
  <si>
    <t xml:space="preserve">Question / condition</t>
  </si>
  <si>
    <t xml:space="preserve">Delta of each alternative</t>
  </si>
  <si>
    <t xml:space="preserve">RFI-ACC-additional-head-track</t>
  </si>
  <si>
    <t xml:space="preserve">additional head track: openings with their own box (openings_extra) &gt; 4'-0": do they also take the additional head track of 2/S5.20?</t>
  </si>
  <si>
    <t xml:space="preserve">119.65 lf</t>
  </si>
  <si>
    <t xml:space="preserve">RFI-ACC-extra-framing-atm</t>
  </si>
  <si>
    <t xml:space="preserve">extra framing ATM: ATM-DU: ATM recess not fully dimensioned (width CONFIRMED, sistered height CRITERION, furring rows CRITERION)</t>
  </si>
  <si>
    <t xml:space="preserve">10.06 lf</t>
  </si>
  <si>
    <t xml:space="preserve">RFI-ACC-gypsum-board-jamb-return</t>
  </si>
  <si>
    <t xml:space="preserve">gypsum board jamb return: jamb return width not dimensioned</t>
  </si>
  <si>
    <t xml:space="preserve">-40.29 sf</t>
  </si>
  <si>
    <t xml:space="preserve">RFI-ACC-slab-pins</t>
  </si>
  <si>
    <t xml:space="preserve">slab pins: pin spacing: 12" (interior anchorage) vs 16" (fastener schedule) vs 24" (type K box)</t>
  </si>
  <si>
    <t xml:space="preserve">16in: -120.34 pcs; 24in: -240.68 pcs</t>
  </si>
  <si>
    <t xml:space="preserve">RFI-ACC-level-5-finish</t>
  </si>
  <si>
    <t xml:space="preserve">Level 5 finish: Finish key note 9/A05.01 asks for LEVEL 5 under wallcovering WC-20 in 24 HR vestibule 101, but WC-20 is not in the A00.40 finish legend and no extent or height is drawn. Is WC-20 used? If so, confirm extent (public face of partition F, 15.21 ft excluding the ATM opening) and height.</t>
  </si>
  <si>
    <t xml:space="preserve">+136.9 SF of Level 5 finish (15.21 LF x 9.0 ft) if WC-20 is used; 0 carried</t>
  </si>
  <si>
    <t xml:space="preserve">RFI-ACC-pafs-and-duct-sleeves</t>
  </si>
  <si>
    <t xml:space="preserve">PAFs and duct sleeves: One duct sleeve is carried per fire damper and per duct crossing a stud wall (4 fire dampers + 15 ducts). Confirm sleeves at non-rated walls (ducts above the ceiling).</t>
  </si>
  <si>
    <t xml:space="preserve">-15 PCS of duct sleeves if only at fire dampers</t>
  </si>
  <si>
    <t xml:space="preserve">RFI-A0-01</t>
  </si>
  <si>
    <t xml:space="preserve">Exterior studs: 7/S5.20 METAL STUD PROPERTIES schedules 600S137-33 @ 16" O.C. for exterior walls; S1.11 note 5 requires 600S162-54 @ 16" O.C. and @ 12" O.C. within 6 ft of building corners. Which governs? The take-off carries S1.11 (54 mil, 12" O.C. zones at the 9 building-corner wall ends).</t>
  </si>
  <si>
    <t xml:space="preserve">If 7/S5.20 governs: -167.6 LF of 6" exterior stud (12" O.C. corner zones removed) and 54 mil -&gt; 33 mil on all 6" exterior studs (price only).</t>
  </si>
  <si>
    <t xml:space="preserve">RFI-A0-02</t>
  </si>
  <si>
    <t xml:space="preserve">The A12.01 partition schedules leave the 'SEE SPEC' columns blank and no specification book is included; 7/S5.20 only schedules 362S137-33 (interior) and 600S137-33 (exterior). Confirm the gauge of the 6" interior studs (A5, A8, B2), the 1-5/8" studs (G, G1) and the C1 / F studs.</t>
  </si>
  <si>
    <t xml:space="preserve">0 LF (gauge / price only).</t>
  </si>
  <si>
    <t xml:space="preserve">RFI-A0-03</t>
  </si>
  <si>
    <t xml:space="preserve">CSR teller line opening 12'-0 1/4" R.O. HOLD (1/A12.08, A02.01) exceeds the 8'-0" maximum span of the header schedule 7/S5.20, and no header is detailed (9/A12.08 shows only a 3-5/8" stud soffit). The opening is not inside a framed wall (teller millwork between the A1K end walls). Provide the header.</t>
  </si>
  <si>
    <t xml:space="preserve">Carried: metal stud box header, 4 pieces x (12.021 + 1.333) = 53.42 LF. If steel by others: -53.42 LF of header.</t>
  </si>
  <si>
    <t xml:space="preserve">RFI-A0-04</t>
  </si>
  <si>
    <t xml:space="preserve">Vestibule glazing heads 4-7/A12.10 'METAL STUD FRAMING &amp; BOX HEADER AS NEEDED': box member size is not printed. Confirm the member size for the 15'-7 3/4" head (door 101 line) and the 6'-5" head (door 100A line).</t>
  </si>
  <si>
    <t xml:space="preserve">Carried 4 pieces each: 67.92 + 31.00 = 98.92 LF of header. Member size changes the stud family only (0 LF).</t>
  </si>
  <si>
    <t xml:space="preserve">RFI-A0-05</t>
  </si>
  <si>
    <t xml:space="preserve">A1K / A5K: 4/A12.01 requires 14 GA METAL STUDS @ 24" O.C. MAX, while 7/S5.20 schedules interior walls @ 16" O.C. Confirm the spacing (carried @ 24").</t>
  </si>
  <si>
    <t xml:space="preserve">If 16" O.C.: +41.3 LF of 3-5/8" stud (14 GA).</t>
  </si>
  <si>
    <t xml:space="preserve">RFI-A0-06</t>
  </si>
  <si>
    <t xml:space="preserve">Door 103 (coiling grille): the A00.30 height column shows 13'-6 1/2" with width 'SEE PLAN'; A02.01 and 1/A08.21 give a 13'-4" R.O. / clear opening. Confirm grille width and opening height.</t>
  </si>
  <si>
    <t xml:space="preserve">Header carried 2 beams x 4 pieces at 13'-4": 117.33 LF. At 13'-6 1/2": +1.67 LF of header.</t>
  </si>
  <si>
    <t xml:space="preserve">RFI-A0-07</t>
  </si>
  <si>
    <t xml:space="preserve">Suspended gypsum board ceilings (A04.01 legend): furring channel, carrying channel and hanger spacing are not printed, A09.33 has no GWB suspension detail and no specification is included. Carried: furring 16" O.C., carrying 48" O.C., hangers 48" O.C. Confirm.</t>
  </si>
  <si>
    <t xml:space="preserve">Furring @ 24" O.C.: -226.9 LF of furring channel. Carrying / hangers scale with 48 / spacing.</t>
  </si>
  <si>
    <t xml:space="preserve">RFI-A0-08</t>
  </si>
  <si>
    <t xml:space="preserve">Carrying channel direction for the suspended gypsum ceilings is not shown. Carried E-W (perpendicular to the N-S roof joists of S2.20). Confirm.</t>
  </si>
  <si>
    <t xml:space="preserve">If N-S: -6.9 LF of carrying channel and +39.5 LF of furring channel.</t>
  </si>
  <si>
    <t xml:space="preserve">RFI-A0-09</t>
  </si>
  <si>
    <t xml:space="preserve">S2.20 prints 'B.O.D. EL. 111'-9" TYP. @ CANOPY'. Read as 11'-9" (matches T.O.S. EL. 11'-9" W12x19 (CANOPY) and T/STEEL 11'-9" on A09.23). Confirm.</t>
  </si>
  <si>
    <t xml:space="preserve">0 LF if 11'-9" as carried.</t>
  </si>
  <si>
    <t xml:space="preserve">RFI-A0-10</t>
  </si>
  <si>
    <t xml:space="preserve">Exterior elevations are titled SOUTH (1/A09.01, entrance face) and NORTH (2/A09.02, door 123 face), opposite to the A02.01 north arrow; S2.20 notes 'BUILDING FOOTPRINT MIRRORED NORTH-SOUTH'. Confirm the orientation. This take-off uses the A02.01 plan orientation and cites elevations by detail/sheet.</t>
  </si>
  <si>
    <t xml:space="preserve">0 (naming only).</t>
  </si>
  <si>
    <t xml:space="preserve">RFI-A0-12</t>
  </si>
  <si>
    <t xml:space="preserve">Interior door rough openings are not printed. Carried as door width + 4" (2" hollow metal frame face each side, 11/A12.02) and door height + 2" (10/A12.02). Confirm the R.O. convention.</t>
  </si>
  <si>
    <t xml:space="preserve">If R.O. = door + 4 1/2": a 3'-0" door moves out of the SINGLE TRACK row of 7/S5.20: +4.71 LF of header per 3'-0" door; -0.3 SF of board per door face.</t>
  </si>
  <si>
    <t xml:space="preserve">RFI-A0-13</t>
  </si>
  <si>
    <t xml:space="preserve">Drive-up ATM (5/A08.11): R.O. printed 2'-2 1/8"; sill 2'-8 1/8" and HOP 52 1/2" are measured from the finished drive lane, not from the slab. Confirm the R.O. width and the slab-to-lane offset.</t>
  </si>
  <si>
    <t xml:space="preserve">+0.09 LF of header at 26.4" wide; sill and head elevations shift by the lane offset.</t>
  </si>
  <si>
    <t xml:space="preserve">RFI-AC-01</t>
  </si>
  <si>
    <t xml:space="preserve">CSR soffit at Cash Window 116: the A04.01 legend hatch reads 'SUSPENDED GYPSUM BOARD CEILING/SOFFIT', but 9/A12.08 (called on 1/A12.08, 5/A12.08 and 6/A12.08) frames it with 3-5/8" studs @ 16" O.C. Carried as framed soffit per 9/A12.08. Confirm.</t>
  </si>
  <si>
    <t xml:space="preserve">Carried: 11 joists x 3.417 ft = 37.6 LF of 3-5/8" stud. If suspended furring instead: -37.6 LF of 3-5/8" stud, +48 LF furring channel, +6.8 LF carrying channel, +6 hangers (soffit sides still required).</t>
  </si>
  <si>
    <t xml:space="preserve">RFI-AC-03</t>
  </si>
  <si>
    <t xml:space="preserve">M00.01 general note 16 (access panels for all equipment and dampers) and P00.01 note 15 give no locations. One access panel is carried (A04.01 key note 4, Vestibule 100). Rooms 120 / 121 are open to structure (A04.01 key note 1): no panels there. Confirm whether dampers, VAV boxes or valves above the GWB ceilings of rooms 100, 101, 104, 113 and 114 need access panels.</t>
  </si>
  <si>
    <t xml:space="preserve">+1 PCS 2'x2' access panel and +8 LF framed opening per additional panel in a GWB ceiling.</t>
  </si>
  <si>
    <t xml:space="preserve">RFI-AN-01</t>
  </si>
  <si>
    <t xml:space="preserve">Drive-up ATM surround (6/A08.11 'FIBER CEMENT PANEL ON FURRING ON 5/8" FRT PLYWOOD', surround 4'-6" x 7'-3" on 5/A08.11): is the 5/8" FRT plywood the face of the facade nailbase (already carried) or an extra layer?</t>
  </si>
  <si>
    <t xml:space="preserve">Carried inside the facade nailbase. If an extra layer: +32.6 SF of 5/8" FRT plywood.</t>
  </si>
  <si>
    <t xml:space="preserve">RFI-AN-02</t>
  </si>
  <si>
    <t xml:space="preserve">Storefront piers 1/A09.25 (grid 2) and 2/A09.25 (grid 4): the interior 3-5/8" L is drawn with 4 C-studs per pier (carried as drawn). A field count at 16" O.C. would give 5 per pier. Confirm the stud count of the interior L.</t>
  </si>
  <si>
    <t xml:space="preserve">If 5 studs per pier: +30.75 LF of 3-5/8" stud (1 stud x 15.375 ft x 2 piers).</t>
  </si>
  <si>
    <t xml:space="preserve">RFI-AN-03</t>
  </si>
  <si>
    <t xml:space="preserve">Storefront piers 1/A09.25 and 2/A09.25: the exterior 6" CFMF L (2'-10 1/2" at grid 2, 2'-4 3/4" at grid 4) has its studs carried as drawn (12 studs), but its bottom and top track is not in the take-off. Confirm that the exterior L requires its own track.</t>
  </si>
  <si>
    <t xml:space="preserve">+10.54 LF of 6" track (bottom + top, 2 x 5.271 LF) if required; 6" studs unchanged.</t>
  </si>
  <si>
    <t xml:space="preserve">RFI-AW1-01</t>
  </si>
  <si>
    <t xml:space="preserve">A1K (4/A12.01) shows TELLER SIDE / CUSTOMER SIDE, but A02.01 does not mark which face of each A1K end wall at the teller line receives the 3/8" fiberglass panel. Carried on the public side, as one straight panel line of 8.744 ft x 8'-0". Confirm.</t>
  </si>
  <si>
    <t xml:space="preserve">Panel on the faces away from the teller stations: -0.17 LF of contour (-1.4 SF of ballistic panel); adding the free-end returns: +1.01 LF (+8.1 SF).</t>
  </si>
  <si>
    <t xml:space="preserve">RFI-AW1-03</t>
  </si>
  <si>
    <t xml:space="preserve">A5 wall at door 116 (break room 118 / cash window 116) sits under the edge of the S2.20 N-S W14x22 beam on grid 7: the bottom flange overlaps the east 2 1/4" of the 7 1/4" wall. Carried with studs stopping under the beam (E26). The same criterion is used at the drinking-fountain alcove back wall (W14x22, flange over its west face). Confirm, or top track to deck with an offset track.</t>
  </si>
  <si>
    <t xml:space="preserve">If to deck: +13.7 LF of 6" stud at the door 116 wall and +5.7 LF of 3-5/8" stud at the alcove back wall; board unchanged (faces to ceiling + 6").</t>
  </si>
  <si>
    <t xml:space="preserve">RFI-AW1-04</t>
  </si>
  <si>
    <t xml:space="preserve">The C1 furring box at the display wall (key note 7, waiting 104) is built against the north face of the A1 wall. Is 5/8" gypsum still required on the A1 face behind the C1 furring?</t>
  </si>
  <si>
    <t xml:space="preserve">Carried none. If required: +106.9 SF of 5/8" regular (9.293 ft x 11.5 ft).</t>
  </si>
  <si>
    <t xml:space="preserve">RFI-AW1-05</t>
  </si>
  <si>
    <t xml:space="preserve">Drinking-fountain / lavatory alcove in corridor 111 (back wall and two returns, 7.487 LF total): untagged and drawn 4 7/8" thick, while the restroom walls on either side are tagged B2 (6" studs, board to structure). Carried as A1 per A02.01 note A (3-5/8" studs, board to ceiling + 6"). Confirm A1 vs B2.</t>
  </si>
  <si>
    <t xml:space="preserve">If B2: 3-5/8" stud -162.3 LF / 6" stud +162.3 LF, and +43.3 SF of 5/8" regular (faces to structure).</t>
  </si>
  <si>
    <t xml:space="preserve">RFI-AW1-06</t>
  </si>
  <si>
    <t xml:space="preserve">Door 116 sits between the A5 wall (break room 118 side) and the B2 wall that continues south. Carried inside the A5 wall. Confirm the wall type around door 116 (A5 vs B2).</t>
  </si>
  <si>
    <t xml:space="preserve">0 LF (6" studs either way; header and jambs unchanged).</t>
  </si>
  <si>
    <t xml:space="preserve">RFI-AW2-01</t>
  </si>
  <si>
    <t xml:space="preserve">Partition tag 'B2K' (A02.01, north end of the teller line between office 108 and central zone 103) is not in the A12.01 partition schedule nor detailed. Carried as B2 (1/A12.01, 6" studs, 5/8" both faces to structure) plus the K layers of 4/A12.01 (3/8" UL752 Level 2 fiberglass to 8'-0", 3/8" gypsum above, 14 GA studs @ 24" O.C.); drawn thickness 7.68" matches 6 + 5/8 + 3/8 + 5/8 = 7 5/8". Customer side carried = central zone 103. Confirm type and customer side.</t>
  </si>
  <si>
    <t xml:space="preserve">If plain B2: -14.2 SF of ballistic panel and -13.1 SF of 3/8" gypsum. If the customer side is office 108: -0.08 LF of panel contour (-0.6 SF).</t>
  </si>
  <si>
    <t xml:space="preserve">RFI-AW2-03</t>
  </si>
  <si>
    <t xml:space="preserve">Janitor 112 / wellness 115 B wall: the S2.20 W14x22 roof-hatch header bears about 1/2" south of the wall face, its bottom flange covering about 2" of the 4 7/8" wall. Carried with studs stopping under the W14x22 (E26). Confirm the top condition (under the beam vs. to deck beside the flange).</t>
  </si>
  <si>
    <t xml:space="preserve">If to deck: +8.0 LF of 3-5/8" stud and +13.0 SF of 5/8" regular.</t>
  </si>
  <si>
    <t xml:space="preserve">RFI-AW3-01</t>
  </si>
  <si>
    <t xml:space="preserve">Partition type C1 (6/A12.01: 3-5/8" metal studs + 5/8" gypsum board one face) shows no top condition (break line). It is used at the restroom plumbing chase (1/A08.01), the media-wall furring at calling cubes, the FCAM furring, the storefront piers 1 and 2/A09.25, and two column wraps on grid 4. Carried to the underside of structure (more material, not printed). Do the C1 studs and board run to structure or stop at the scheduled ceiling + 6"?</t>
  </si>
  <si>
    <t xml:space="preserve">If they stop at ceiling + 6" (113/114 GB 8'-6", 104 GB 11'-0", 116 ACT 9'-0", 100/101 GB 10'-0"): -273.0 LF of 3-5/8" stud, -113.6 SF of 5/8" regular and -78.3 SF of 5/8" MR.</t>
  </si>
  <si>
    <t xml:space="preserve">RFI-AW3-02</t>
  </si>
  <si>
    <t xml:space="preserve">Office fronts (8/A12.01, 9/A12.01 'CONT. BOX BEAM'): does the continuous box beam run the full front between the end walls, or only over each 7'-6" HOLD clear opening?</t>
  </si>
  <si>
    <t xml:space="preserve">Carried one run per front: 267.60 LF. Boxes only over the openings: -55.60 LF of header.</t>
  </si>
  <si>
    <t xml:space="preserve">RFI-AW3-03</t>
  </si>
  <si>
    <t xml:space="preserve">Two office-front end stubs have no partition tag: the east front north end at the exterior wall (2.42 ft, drawn 6 1/8" like G) and the west front south end at office 110 (3.18 ft, drawn 8" like G1). A02.01 note A makes untagged partitions type A1. Carried as G / G1. Confirm.</t>
  </si>
  <si>
    <t xml:space="preserve">As A1: 5.60 LF move from double-row 1-5/8" (G/G1) to single-row 3-5/8" (A1), and -167.4 SF of 5/8" regular (2 layers -&gt; 1 layer per face).</t>
  </si>
  <si>
    <t xml:space="preserve">RFI-AW3-04</t>
  </si>
  <si>
    <t xml:space="preserve">Office-front head (bottom of the door bulkhead): 7/A11.01 (east front, offices 105-108) prints 8'-0 1/2" HOLD TYP. FROM SLAB; 8/A11.01 (west front, offices 109-110) prints 8'-0" CLEAR FINISHED OPENING. Same vendor system (DFC-1A). Confirm the west head height.</t>
  </si>
  <si>
    <t xml:space="preserve">At 8'-0 1/2": -2.5 SF of 5/8" regular and -1.2 LF of 1-5/8" stud on the two west bulkheads.</t>
  </si>
  <si>
    <t xml:space="preserve">RFI-AW3-05</t>
  </si>
  <si>
    <t xml:space="preserve">Two G partitions run alongside S2.20 beams without being under them: office 106/107 next to the W16x26 on grid E (flange edge about 1/4" from the wall face) and office 109/110 next to a W8x10 (flange overlapping the face about 1/4" for 3.36 ft). Studs carried to deck. Confirm that the double-row studs clear the beams.</t>
  </si>
  <si>
    <t xml:space="preserve">If they stop under the beams: -31.5 LF of 1-5/8" stud (-26.2 at 106/107, -5.3 at 109/110) and -70.4 SF of 5/8" regular (-61.6 and -8.8).</t>
  </si>
  <si>
    <t xml:space="preserve">RFI-AW4-01</t>
  </si>
  <si>
    <t xml:space="preserve">Wall sections A/B/C A09.21, D/E/F A09.22 and H/J A09.23 draw the 6" CFMF continuous from slab to T/STUD, outboard of the roof perimeter beams. Carried: exterior studs stop under the perimeter beam (B.O.D. - beam depth) and the parapet is counted from B.O.D. to T/STUD. Confirm whether the exterior studs run continuous.</t>
  </si>
  <si>
    <t xml:space="preserve">If continuous: +198.5 LF of 6" stud; track unchanged.</t>
  </si>
  <si>
    <t xml:space="preserve">RFI-AW4-02</t>
  </si>
  <si>
    <t xml:space="preserve">Storefront cripples (north entry, north central and west vestibule storefronts): carried from the top of the HSS9x5x5/8 lintel (T.O.S. 9'-4 1/2", S2.20) to the underside of the high perimeter beam. 2/A09.26 and A/A09.21 show the 6" framing continuous above the head to T/STUD. Confirm the stud length above the storefront.</t>
  </si>
  <si>
    <t xml:space="preserve">If studs start at T/OPENING 8'-6" and run to B.O.D.: +81.5 LF of 6" stud.</t>
  </si>
  <si>
    <t xml:space="preserve">RFI-AW4-03</t>
  </si>
  <si>
    <t xml:space="preserve">Drive-up ATM (grid 2): 6/A08.11 shows the 6" stud wall open from slab to the metal stud box beam at 6'-0", with the ATM chest below; 5/A08.11 gives the fascia R.O. 2'-2 1/8" x 2'-7 1/4" with sill 2'-8 1/8" above the drive lane. The framed wall opening width is not printed. Confirm the framed opening (width; sill at slab?).</t>
  </si>
  <si>
    <t xml:space="preserve">Opening from slab to 6'-0": -7.02 LF of sill track. If the width is the 54" ATM frame: +9.29 LF of header (23.33 vs 14.04 LF).</t>
  </si>
  <si>
    <t xml:space="preserve">RFI-AW4-04</t>
  </si>
  <si>
    <t xml:space="preserve">Drive-up ATM recess (6/A08.11): 2-1/2" metal studs sistered to the 6" studs; their top is not drawn (section break) and the number of furring rows is not dimensioned (the furring under the fiber cement panel is cladding, excluded). Carried: sistered height 7.885 ft, 0 furring rows. Confirm.</t>
  </si>
  <si>
    <t xml:space="preserve">+3.0 LF of 2-1/2" stud per +1 ft of sistered height; +2.18 LF per furring row if by us.</t>
  </si>
  <si>
    <t xml:space="preserve">RFI-AW4-05</t>
  </si>
  <si>
    <t xml:space="preserve">Roof step 4/A02.02 row 1 (outboard 3-5/8" studs above the low roof): 'TOP OF BLOCKING TO ALIGN WITH HIGHEST POINT OF TAPERED INSULATION' - stud height not dimensioned; carried 3.114 ft scaled from the detail. Confirm.</t>
  </si>
  <si>
    <t xml:space="preserve">Per +0.5 ft of stud: +20.0 LF of 3-5/8" stud and +25.9 SF of nailbase.</t>
  </si>
  <si>
    <t xml:space="preserve">RFI-AW4-06</t>
  </si>
  <si>
    <t xml:space="preserve">Glass mat band behind the canopies (3/ and 7/A09.26 'SPRAY FOAM INSULATION ON 5/8" GLASS-MAT SHEATHING'): the details give two B/STUD elevations (10'-8 5/8" fascia, 10'-7 1/4" soffit). Band carried T/STUD 12'-7" - B/STUD 10'-7 1/4" = 1.979 ft. Confirm.</t>
  </si>
  <si>
    <t xml:space="preserve">At 10'-8 5/8": -21.1 SF of glass mat and +21.1 SF of nailbase.</t>
  </si>
  <si>
    <t xml:space="preserve">RFI-AW4-07</t>
  </si>
  <si>
    <t xml:space="preserve">Canopy extents: band, fascia and soffit are carried only where S2.20 frames a canopy and A02.02 draws a canopy roof (north full length, east F to B.2, drive-up grid 1-2 G to B, south about grid 3-5). 1/A09.02 EAST and 2/A09.02 show the gray band at canopy height along the full facade (east A to B.2, south grid 5 to 8). Is that band a canopy (fascia + soffit) or a flat ACM band on the wall?</t>
  </si>
  <si>
    <t xml:space="preserve">If canopy: about +56.7 LF of fascia (29.1 + 27.6 ft) with 3-5/8" studs @ 16" x 1.865 ft, 2 soffit track lines and +112.2 SF of glass mat band (1.979 ft).</t>
  </si>
  <si>
    <t xml:space="preserve">RFI-AW4-08</t>
  </si>
  <si>
    <t xml:space="preserve">Drive-up canopy column wraps (5/A09.25, 4 at grid 1): wrap height not dimensioned; carried to the canopy soffit framing B/STUD 10'-7 1/4" (16/A09.27). Confirm.</t>
  </si>
  <si>
    <t xml:space="preserve">Per +1 ft of height: +48 LF of 3-5/8" stud and +22.7 SF of FRT plywood.</t>
  </si>
  <si>
    <t xml:space="preserve">RFI-AX-01</t>
  </si>
  <si>
    <t xml:space="preserve">Wall stop blocking size not printed (note D/A00.30). Carried one stud bay (16") per stop at 9 doors.</t>
  </si>
  <si>
    <t xml:space="preserve">+/-0.67 LF of metal blocking per stop (8" to 24").</t>
  </si>
  <si>
    <t xml:space="preserve">RFI-AX-02</t>
  </si>
  <si>
    <t xml:space="preserve">Locker blocking rows not printed (key note 5/A02.01). Carried 2 rows x 4.86 ft.</t>
  </si>
  <si>
    <t xml:space="preserve">+/-4.86 LF of metal blocking per row.</t>
  </si>
  <si>
    <t xml:space="preserve">RFI-AX-03</t>
  </si>
  <si>
    <t xml:space="preserve">Millwork FRTW blocking rows not dimensioned (note D/A12.03-A12.06). Carried 1 row for base-only units and 2 rows for base + upper / shelving.</t>
  </si>
  <si>
    <t xml:space="preserve">+/-1 row: MW01 3.13, MW05 3.50, MW07 6.63, MW12 9.27, MW13 11.67, MW18 3.33 LF of FRT blocking.</t>
  </si>
  <si>
    <t xml:space="preserve">RFI-AX-04</t>
  </si>
  <si>
    <t xml:space="preserve">Blocking width for wall-mounted accessories and equipment is not printed (toilet accessories except grab bars; security monitors 58 at calling cubes and work room). Carried one stud bay (16") per item: 13 toilet accessories (FRT, note E/A08.01) and 2 monitors (metal, note C/A02.01). Recessed units are in RFI-N-01.</t>
  </si>
  <si>
    <t xml:space="preserve">+/-0.67 LF per item (15 items).</t>
  </si>
  <si>
    <t xml:space="preserve">RFI-AX-05</t>
  </si>
  <si>
    <t xml:space="preserve">8/A12.10 wall termination is called only at the east end of 3/A12.10; the west end of the same glazing also dies into a wall. Confirm 1 or 2 terminations.</t>
  </si>
  <si>
    <t xml:space="preserve">If 2: +10.0 LF of FRT blocking and +20 LF of sealant.</t>
  </si>
  <si>
    <t xml:space="preserve">RFI-AX-06</t>
  </si>
  <si>
    <t xml:space="preserve">Coiling grille jamb blocking: pieces and height not dimensioned. Carried 3 drawn pieces x 11.5 ft (jamb to ceiling, 2/A08.21).</t>
  </si>
  <si>
    <t xml:space="preserve">+/-11.5 LF of FRT blocking per piece; to the grille head (9.95 ft): -4.65 LF.</t>
  </si>
  <si>
    <t xml:space="preserve">RFI-AX-07</t>
  </si>
  <si>
    <t xml:space="preserve">Roof ladder wall blocking extent not dimensioned (3/A09.30). Carried 2 rows x 1'-6".</t>
  </si>
  <si>
    <t xml:space="preserve">+/-1.5 LF of FRT blocking per row.</t>
  </si>
  <si>
    <t xml:space="preserve">RFI-AX-08</t>
  </si>
  <si>
    <t xml:space="preserve">Mop sink size is hidden under MW06A on 1/A08.01; FRP key note 6/A05.01 'width to match mop sink at both sides'. Carried 2 sides x 2.0 ft x 4.0 ft.</t>
  </si>
  <si>
    <t xml:space="preserve">+/-8 SF of FRP per 1 ft of sink width.</t>
  </si>
  <si>
    <t xml:space="preserve">RFI-N-01</t>
  </si>
  <si>
    <t xml:space="preserve">Recessed wall accessories without a printed size: TA-13 hand dryer with ADA recess kit (2), TA-14 recessed waste receptacle (2), TA-2 recessed paper towel dispenser (2, break room and wellness) and FEC-1 recessed fire extinguisher cabinet (1, spec section 10 44 00 not in the set). Carried as stud-bay devices with no framed opening. The Knox box (7" W, A00.40) and the Chief PAC527L in-wall box (14.25" W, 13/A12.02) fit the 14 5/8" stud bay: no framing. Provide the rough-in widths.</t>
  </si>
  <si>
    <t xml:space="preserve">Per unit wider than the stud bay: header + sill track of (width + 2'-8"). At 2'-0" each: +65.3 LF of track for the 7 units (7 x 2 x 4.667 LF).</t>
  </si>
  <si>
    <t xml:space="preserve">RFI-N-02</t>
  </si>
  <si>
    <t xml:space="preserve">Platform-mounted water heater WH-1 in janitor closet 112 (3/P00.01): '2X BLOCKING BETWEEN STUDS (TYP)' in 3 rows; the HoldRite 40-SWHP platform width is not dimensioned. Carried 3 rows x one stud bay (16"). Confirm the width (1 or 2 stud bays) and whether the 2X blocking must be fire-retardant treated.</t>
  </si>
  <si>
    <t xml:space="preserve">If 2 stud bays: +4.0 LF of wood blocking.</t>
  </si>
  <si>
    <t xml:space="preserve">RFI-N-03</t>
  </si>
  <si>
    <t xml:space="preserve">A00.40 lists 106 SECURITY MONITOR @ TELLER STATION, 111 WALL MOUNT MONITOR ARM (installed by GC) and 113 SECURITY MONITOR MOUNTING ARM (installed by GC), but no plan or elevation tags them. Confirm quantity and whether they are wall mounted (blocking per note C/A02.01).</t>
  </si>
  <si>
    <t xml:space="preserve">+1.33 LF of metal blocking per wall-mounted item; +4.0 LF if the three are wall mounted.</t>
  </si>
  <si>
    <t xml:space="preserve">RFI-N-04</t>
  </si>
  <si>
    <t xml:space="preserve">S5.30 braced frames: HSS X-braces (HSS4x4x1/4, HSS5x5x1/4) lie in the plane of the 6" CFMF exterior walls at grid 3 (A-B), grid 8 (A-B), grid A (6-8) and grid G (7-8), and HSS3-1/2 knee braces at grid B at the roof step. No detail shows how the studs are resolved where a brace crosses (studs cut with track / clips at each crossing, or furred faces). Provide the stud-to-brace detail.</t>
  </si>
  <si>
    <t xml:space="preserve">Carried 0. Per stud interrupted by a brace: +2 track / clip pieces (about +1.3 LF of 6" track); stud count at the braces to be confirmed with the detail.</t>
  </si>
  <si>
    <t xml:space="preserve">RFI-N-05</t>
  </si>
  <si>
    <t xml:space="preserve">Metal panel EPS-5 cladding: A09.31 (details 2 and 5), 3/A09.25 and 11/A09.27 draw 7/8" (vertical) hat channel @ 16" O.C. behind the panel. Carried as EXCLUDED (cladding substrate by the panel installer, Clarifications). Confirm.</t>
  </si>
  <si>
    <t xml:space="preserve">Carried 0. If by us: +0.75 LF of 7/8" hat channel per SF of EPS-5 wall (16" O.C.).</t>
  </si>
  <si>
    <t xml:space="preserve">RFI-N-06</t>
  </si>
  <si>
    <t xml:space="preserve">Sheet note C/A02.01 'CONTRACTOR SHALL PROVIDE BLOCKING FOR ALL EQUIPMENT AND ACCESSORIES MOUNTED ON WALLS': items drawn on the interior elevations without blocking in the take-off: cork / combo boards 69 (2'-6" and 4'-4", 5 and 6/A11.02), clock 9, coat hooks 3 (5 and 15/A11.02), fire extinguisher bracket FEC-2, wall phone 24 and TA-19 mirror (wellness, 14/15 A11.02), hand sanitizer 64. Confirm which need blocking.</t>
  </si>
  <si>
    <t xml:space="preserve">If all are blocked (one row each, metal per note C): about +15 LF of metal blocking.</t>
  </si>
  <si>
    <t xml:space="preserve">RFI-N-07</t>
  </si>
  <si>
    <t xml:space="preserve">Exterior signage: 'BANK OF AMERICA SIGN BY OWNER' (key note 1/A09.01; sheet note B 'covered under separate design and permit by owner vendor') and key note 3/A02.02 (signage wiring through the back of the parapet). No backing is drawn. Confirm whether sign backing in the exterior / parapet framing is by us.</t>
  </si>
  <si>
    <t xml:space="preserve">Carried 0. If by us: +1.33 LF of blocking per sign attachment row (sign sizes not in the set).</t>
  </si>
  <si>
    <t xml:space="preserve">RFI-N-08</t>
  </si>
  <si>
    <t xml:space="preserve">S1.10 note 7.2: 'DELEGATED STRUCTURAL DESIGN AND DEFERRED SUBMITTALS INCLUDE ... COLD FORMED STEEL FRAMING'. Sealed CFS engineering is not included in this proposal (Clarifications). Confirm that the delegated CFS design is by others, or that the quantities may change with it.</t>
  </si>
  <si>
    <t xml:space="preserve">0 LF (engineering cost only); member sizes may change with the delegated design.</t>
  </si>
  <si>
    <t xml:space="preserve">RFI-N-09</t>
  </si>
  <si>
    <t xml:space="preserve">NER 121 telephone backboard: E02.02 key note 29 prints '8'x7'-6"x3/4" FIRE-RATED PLYWOOD BACKBOARDS MOUNTED VERTICALLY', while the A02.01 wall is 7'-6" long and 6/A11.03 draws 7'-6" high (6" AFF to 8'-0"). Carried 8'-0" x 7'-6" as printed. Confirm.</t>
  </si>
  <si>
    <t xml:space="preserve">If limited to the 7'-6" wall: -3.75 SF of 3/4" FRT plywood.</t>
  </si>
  <si>
    <t xml:space="preserve">#</t>
  </si>
  <si>
    <t xml:space="preserve">Item</t>
  </si>
  <si>
    <t xml:space="preserve">Sheet + detail</t>
  </si>
  <si>
    <t xml:space="preserve">Image</t>
  </si>
  <si>
    <t xml:space="preserve">Unattended mode: tag sweep list (49 tags + B2K) with circled crop of every location - confirm it is complete</t>
  </si>
  <si>
    <t xml:space="preserve">1_inventario/inventario.md</t>
  </si>
  <si>
    <t xml:space="preserve">OVERVIEW_A02.01_p24.png</t>
  </si>
  <si>
    <t xml:space="preserve">Two 4" office front end pieces (A-W3-40 G, A-W3-41 G1, item 30-31) add about 147 LF of 1-5/8" studs (double row, full height): confirm they are framed pieces and not vendor frame</t>
  </si>
  <si>
    <t xml:space="preserve">8/A12.01, 10/A12.01</t>
  </si>
  <si>
    <t xml:space="preserve">3_revision/img_resol/R2</t>
  </si>
  <si>
    <t xml:space="preserve">Storefront pier exterior 6" CFMF L (5.271 LF) is not loaded by canon.py (tool gap, RFI-CR-01); proposal in PARA REVISAR</t>
  </si>
  <si>
    <t xml:space="preserve">1/A09.25, 2/A09.25</t>
  </si>
  <si>
    <t xml:space="preserve">Parapets (10 runs, 269.17 LF) were read only by reading A (protocol: reading B reads walls); verified by resolver R2 against A02.02 / A09.01</t>
  </si>
  <si>
    <t xml:space="preserve">11/S5.10, A02.02</t>
  </si>
  <si>
    <t xml:space="preserve">Canopy soffit recessed fixtures UU1-UU6 (about 695 LF framed openings) are in exterior FRT plywood soffits, not GWB: confirm rule 54.1 applies</t>
  </si>
  <si>
    <t xml:space="preserve">E00.01, E02.01, 3/A09.26</t>
  </si>
  <si>
    <t xml:space="preserve">2_lectura/tareas/AC/img</t>
  </si>
  <si>
    <t xml:space="preserve">Ceiling transition trim per LF taken as 4 (shadow molding top + 2 corner beads + shadow molding bottom); alternative 2 per LF</t>
  </si>
  <si>
    <t xml:space="preserve">work/img_orq + tareas/A0/img/A0933_7_transition.png</t>
  </si>
  <si>
    <t xml:space="preserve">Level 5: WC-20 named in A05.01 note 9 but not tagged on any sheet (RFI)</t>
  </si>
  <si>
    <t xml:space="preserve">A05.01, A00.40</t>
  </si>
  <si>
    <t xml:space="preserve">2_lectura/tareas/AX/img</t>
  </si>
  <si>
    <t xml:space="preserve">Door 116 assigned to A5 (A-W1-12, 6'-11 1/4" printed); B2 A-W2-13 = 11.407 LF</t>
  </si>
  <si>
    <t xml:space="preserve">A02.01</t>
  </si>
  <si>
    <t xml:space="preserve">3_revision/img_resol/R1</t>
  </si>
  <si>
    <t xml:space="preserve">B2K partition type not in A12.01 schedule: derived by family (B2 + K layers = 7 5/8") - RFI</t>
  </si>
  <si>
    <t xml:space="preserve">A12.01, A02.01</t>
  </si>
  <si>
    <t xml:space="preserve">3_revision/img_resol/R3</t>
  </si>
  <si>
    <t xml:space="preserve">Exterior sealant at base of gypsum: single source sealant_base_exterior; detail A-J A09.2x bottom beads set to 0 to avoid double count</t>
  </si>
  <si>
    <t xml:space="preserve">A09.21-A09.23</t>
  </si>
  <si>
    <t xml:space="preserve">2_lectura/A_conciliacion_interna.md</t>
  </si>
  <si>
    <t xml:space="preserve">Exterior gauge: S5.20 600S137-33 vs S1.11 600S162-54 and @12" within 6 ft of corners (RFI with delta)</t>
  </si>
  <si>
    <t xml:space="preserve">S1.11, 7/S5.20</t>
  </si>
  <si>
    <t xml:space="preserve">2_lectura/tareas/A0/img</t>
  </si>
  <si>
    <t xml:space="preserve">Furring channel spacing not printed: 16" O.C. assumed (RFI)</t>
  </si>
  <si>
    <t xml:space="preserve">A04.01, A09.33</t>
  </si>
  <si>
    <t xml:space="preserve">Wall ids are reading-A ids (A-Wn-nn), not renumbered by tag; Partition Takeoff numbering comes from partition_types.py</t>
  </si>
  <si>
    <t xml:space="preserve">n/a</t>
  </si>
  <si>
    <t xml:space="preserve">mep.py (tools) carries a project offset table (blind-protocol risk E24); not used - registration done by architectural background (&gt;= 25 matches)</t>
  </si>
  <si>
    <t xml:space="preserve">M01.01</t>
  </si>
  <si>
    <t xml:space="preserve">Scope ID</t>
  </si>
  <si>
    <t xml:space="preserve">Scope</t>
  </si>
  <si>
    <t xml:space="preserve">Note (quantity, NOT APPLICABLE + sheet, or RFI)</t>
  </si>
  <si>
    <t xml:space="preserve">ALC-01</t>
  </si>
  <si>
    <t xml:space="preserve">Interior partition framing (studs + tracks)</t>
  </si>
  <si>
    <t xml:space="preserve">QUANTIFIED</t>
  </si>
  <si>
    <t xml:space="preserve">canon.py families 6", 3-5/8", 1-5/8" stud + bottom/top track; A02.01 + A12.01 partition types</t>
  </si>
  <si>
    <t xml:space="preserve">ALC-02</t>
  </si>
  <si>
    <t xml:space="preserve">Exterior wall framing (CFMF)</t>
  </si>
  <si>
    <t xml:space="preserve">EXT-6CFMF 9 segments, 215.19 LF; A/A09.21-J/A09.23, S2.20</t>
  </si>
  <si>
    <t xml:space="preserve">ALC-03</t>
  </si>
  <si>
    <t xml:space="preserve">Parapet framing</t>
  </si>
  <si>
    <t xml:space="preserve">10 parapet runs bay by bay, 11/S5.10, A02.02</t>
  </si>
  <si>
    <t xml:space="preserve">ALC-04</t>
  </si>
  <si>
    <t xml:space="preserve">Top / deflection and bottom track</t>
  </si>
  <si>
    <t xml:space="preserve">canon.py corridas; A12.01, S5.20</t>
  </si>
  <si>
    <t xml:space="preserve">ALC-05</t>
  </si>
  <si>
    <t xml:space="preserve">Headers, sills and jambs at openings</t>
  </si>
  <si>
    <t xml:space="preserve">headers.py by pieces, 7/S5.20, 2/S5.20; sealed by closer.py</t>
  </si>
  <si>
    <t xml:space="preserve">ALC-06</t>
  </si>
  <si>
    <t xml:space="preserve">Bracing / bridging</t>
  </si>
  <si>
    <t xml:space="preserve">C.R. channel rows @48" F/1/S5.20</t>
  </si>
  <si>
    <t xml:space="preserve">ALC-07</t>
  </si>
  <si>
    <t xml:space="preserve">Gypsum board on walls (layers per type)</t>
  </si>
  <si>
    <t xml:space="preserve">board_caras.py face by face; A12.01</t>
  </si>
  <si>
    <t xml:space="preserve">ALC-08</t>
  </si>
  <si>
    <t xml:space="preserve">Moisture / abuse / special board at wet zones</t>
  </si>
  <si>
    <t xml:space="preserve">MR behind toilet and lavatory, F/A08.01, 1/A08.01</t>
  </si>
  <si>
    <t xml:space="preserve">ALC-09</t>
  </si>
  <si>
    <t xml:space="preserve">Exterior gypsum / glass mat sheathing</t>
  </si>
  <si>
    <t xml:space="preserve">5/A09.26, 9/A09.27, 7/A09.26, A09.21-A09.23</t>
  </si>
  <si>
    <t xml:space="preserve">ALC-10</t>
  </si>
  <si>
    <t xml:space="preserve">FRT plywood sheathing / substrate</t>
  </si>
  <si>
    <t xml:space="preserve">nailbase, canopy FRT, 3/4" backboards key note 6/A02.01, opening liners</t>
  </si>
  <si>
    <t xml:space="preserve">ALC-11</t>
  </si>
  <si>
    <t xml:space="preserve">Gypsum board ceilings</t>
  </si>
  <si>
    <t xml:space="preserve">A04.01 suspended gypsum board ceilings</t>
  </si>
  <si>
    <t xml:space="preserve">ALC-12</t>
  </si>
  <si>
    <t xml:space="preserve">Ceiling suspension (furring / carrying channel / hanger wire / ceiling track)</t>
  </si>
  <si>
    <t xml:space="preserve">A04.01 legend, A09.33; furring + carrying + hanger wire + ceiling track</t>
  </si>
  <si>
    <t xml:space="preserve">ALC-13</t>
  </si>
  <si>
    <t xml:space="preserve">Soffits and bulkheads (framing + board)</t>
  </si>
  <si>
    <t xml:space="preserve">CSR soffit 9/A12.08, transitions 7/A09.33, bulkhead 8/A09.33, vestibule heads A12.10</t>
  </si>
  <si>
    <t xml:space="preserve">ALC-14</t>
  </si>
  <si>
    <t xml:space="preserve">Canopy / marquee framing and sheathing</t>
  </si>
  <si>
    <t xml:space="preserve">canopy joists 3/A09.26, 7/A09.26, 16/A09.27; fascia boxes; canopy soffit track</t>
  </si>
  <si>
    <t xml:space="preserve">ALC-15</t>
  </si>
  <si>
    <t xml:space="preserve">Column furring / wraps</t>
  </si>
  <si>
    <t xml:space="preserve">CANOPY-COL 5/A09.25 and C1 wraps at grid 4</t>
  </si>
  <si>
    <t xml:space="preserve">ALC-16</t>
  </si>
  <si>
    <t xml:space="preserve">Blocking (FRT wood / metal) for millwork and accessories</t>
  </si>
  <si>
    <t xml:space="preserve">blocking_items: wall stops D/A00.30, millwork MW01-MW21, toilet accessories, monitors, parapet 4/A09.26</t>
  </si>
  <si>
    <t xml:space="preserve">ALC-17</t>
  </si>
  <si>
    <t xml:space="preserve">Framed openings (MEP, access panels, diffusers)</t>
  </si>
  <si>
    <t xml:space="preserve">framed_openings.py E00.01 / E02.01 / M01.01; access panel key note 4/A04.01</t>
  </si>
  <si>
    <t xml:space="preserve">ALC-18</t>
  </si>
  <si>
    <t xml:space="preserve">Trim: corner bead, casing bead, control joints, reveals</t>
  </si>
  <si>
    <t xml:space="preserve">metal trim from details; gypsum control joints not specified (closer.py project exclusion)</t>
  </si>
  <si>
    <t xml:space="preserve">ALC-19</t>
  </si>
  <si>
    <t xml:space="preserve">Acoustical sealant / sound attenuation</t>
  </si>
  <si>
    <t xml:space="preserve">sealant beads per partition detail A12.01; insulation EXCLUDED (estimator criterion)</t>
  </si>
  <si>
    <t xml:space="preserve">ALC-20</t>
  </si>
  <si>
    <t xml:space="preserve">FRP / cement board / tile backer</t>
  </si>
  <si>
    <t xml:space="preserve">FRP A/A08.01 + key note 6/A05.01 mop sink; cement board under tile cove base</t>
  </si>
  <si>
    <t xml:space="preserve">ALC-21</t>
  </si>
  <si>
    <t xml:space="preserve">Shaft walls / area separation walls</t>
  </si>
  <si>
    <t xml:space="preserve">NOT APPLICABLE</t>
  </si>
  <si>
    <t xml:space="preserve">NOT APPLICABLE: A12.01 partition schedule has no shaft wall or area separation types; set scan found no SHAFT text (alcances_escaneo)</t>
  </si>
  <si>
    <t xml:space="preserve">ALC-22</t>
  </si>
  <si>
    <t xml:space="preserve">Rated assemblies (UL designs) and their board type</t>
  </si>
  <si>
    <t xml:space="preserve">NOT APPLICABLE: A12.01 partition schedule FIRE RATING and U.L. NUMBER columns are '--' for every type; A02.01 key note 6 'FIRE RATED 3/4" PLYWOOD BACKBOARD' is counted in FRT plywood 3/4"</t>
  </si>
  <si>
    <t xml:space="preserve">ALC-23</t>
  </si>
  <si>
    <t xml:space="preserve">Special panels (ballistic, lead-lined, abuse)</t>
  </si>
  <si>
    <t xml:space="preserve">ballistic panel A1K / B2K, 4/A12.01 3/8" UL752 level 2</t>
  </si>
  <si>
    <t xml:space="preserve">ALC-24</t>
  </si>
  <si>
    <t xml:space="preserve">Finish level (Level 4 / Level 5)</t>
  </si>
  <si>
    <t xml:space="preserve">Level 5 at WC-18 / WC-22, A00.40, A05.01 notes 9-10; WC-20 RFI</t>
  </si>
  <si>
    <t xml:space="preserve">ALC-X25</t>
  </si>
  <si>
    <t xml:space="preserve">batt insulation</t>
  </si>
  <si>
    <t xml:space="preserve">EXCLUDED (estimator criterion: no insulation)</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</si>
</sst>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3"/>
      <name val="Cambria"/>
      <family val="0"/>
      <charset val="1"/>
    </font>
    <font>
      <b val="true"/>
      <sz val="11"/>
      <color rgb="FFFFFFFF"/>
      <name val="Cambria"/>
      <family val="0"/>
      <charset val="1"/>
    </font>
    <font>
      <b val="true"/>
      <sz val="11"/>
      <name val="Cambria"/>
      <family val="0"/>
      <charset val="1"/>
    </font>
  </fonts>
  <fills count="5">
    <fill>
      <patternFill patternType="none"/>
    </fill>
    <fill>
      <patternFill patternType="gray125"/>
    </fill>
    <fill>
      <patternFill patternType="solid">
        <fgColor rgb="FF1F4E78"/>
        <bgColor rgb="FF003366"/>
      </patternFill>
    </fill>
    <fill>
      <patternFill patternType="solid">
        <fgColor rgb="FFFFF2CC"/>
        <bgColor rgb="FFFFFFFF"/>
      </patternFill>
    </fill>
    <fill>
      <patternFill patternType="solid">
        <fgColor rgb="FFDDEBF7"/>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22"/>
    <col collapsed="false" customWidth="true" hidden="false" outlineLevel="0" max="3" min="3" style="0" width="60"/>
  </cols>
  <sheetData>
    <row r="1" customFormat="false" ht="16.15" hidden="false" customHeight="false" outlineLevel="0" collapsed="false">
      <c r="A1" s="1" t="s">
        <v>0</v>
      </c>
    </row>
    <row r="2" customFormat="false" ht="15" hidden="false" customHeight="false" outlineLevel="0" collapsed="false">
      <c r="A2" s="0" t="s">
        <v>1</v>
      </c>
    </row>
    <row r="4" customFormat="false" ht="15" hidden="false" customHeight="false" outlineLevel="0" collapsed="false">
      <c r="A4" s="2" t="s">
        <v>2</v>
      </c>
      <c r="B4" s="2" t="s">
        <v>3</v>
      </c>
      <c r="C4" s="2" t="s">
        <v>4</v>
      </c>
    </row>
    <row r="5" customFormat="false" ht="15" hidden="false" customHeight="false" outlineLevel="0" collapsed="false">
      <c r="A5" s="0" t="s">
        <v>5</v>
      </c>
      <c r="B5" s="3" t="n">
        <v>0.15</v>
      </c>
      <c r="C5" s="4" t="s">
        <v>6</v>
      </c>
    </row>
    <row r="6" customFormat="false" ht="15" hidden="false" customHeight="false" outlineLevel="0" collapsed="false">
      <c r="A6" s="0" t="s">
        <v>7</v>
      </c>
      <c r="B6" s="3" t="n">
        <v>0.06</v>
      </c>
      <c r="C6" s="4" t="s">
        <v>8</v>
      </c>
    </row>
    <row r="7" customFormat="false" ht="15" hidden="false" customHeight="false" outlineLevel="0" collapsed="false">
      <c r="A7" s="0" t="s">
        <v>9</v>
      </c>
      <c r="B7" s="3" t="n">
        <v>4</v>
      </c>
      <c r="C7" s="4" t="s">
        <v>10</v>
      </c>
    </row>
    <row r="8" customFormat="false" ht="15" hidden="false" customHeight="false" outlineLevel="0" collapsed="false">
      <c r="A8" s="0" t="s">
        <v>11</v>
      </c>
      <c r="B8" s="3" t="n">
        <v>12</v>
      </c>
      <c r="C8" s="4" t="s">
        <v>12</v>
      </c>
    </row>
    <row r="9" customFormat="false" ht="15" hidden="false" customHeight="false" outlineLevel="0" collapsed="false">
      <c r="A9" s="0" t="s">
        <v>13</v>
      </c>
      <c r="B9" s="0" t="n">
        <f aca="false">B7*B8</f>
        <v>48</v>
      </c>
      <c r="C9" s="0" t="s">
        <v>14</v>
      </c>
    </row>
    <row r="10" customFormat="false" ht="15" hidden="false" customHeight="false" outlineLevel="0" collapsed="false">
      <c r="A10" s="0" t="s">
        <v>15</v>
      </c>
      <c r="B10" s="3" t="n">
        <v>20</v>
      </c>
      <c r="C10" s="4" t="s">
        <v>16</v>
      </c>
    </row>
    <row r="11" customFormat="false" ht="15" hidden="false" customHeight="false" outlineLevel="0" collapsed="false">
      <c r="A11" s="0" t="s">
        <v>17</v>
      </c>
      <c r="B11" s="3" t="n">
        <v>10</v>
      </c>
      <c r="C11" s="4" t="s">
        <v>18</v>
      </c>
    </row>
    <row r="12" customFormat="false" ht="15" hidden="false" customHeight="false" outlineLevel="0" collapsed="false">
      <c r="A12" s="0" t="s">
        <v>19</v>
      </c>
      <c r="B12" s="3" t="n">
        <v>18</v>
      </c>
      <c r="C12" s="4" t="s">
        <v>20</v>
      </c>
    </row>
    <row r="13" customFormat="false" ht="15" hidden="false" customHeight="false" outlineLevel="0" collapsed="false">
      <c r="A13" s="0" t="s">
        <v>21</v>
      </c>
      <c r="B13" s="3" t="n">
        <v>15.375</v>
      </c>
      <c r="C13" s="4" t="s">
        <v>20</v>
      </c>
    </row>
    <row r="14" customFormat="false" ht="15" hidden="false" customHeight="false" outlineLevel="0" collapsed="false">
      <c r="A14" s="0" t="s">
        <v>22</v>
      </c>
      <c r="B14" s="3" t="n">
        <v>20</v>
      </c>
      <c r="C14" s="4" t="s">
        <v>20</v>
      </c>
    </row>
    <row r="15" customFormat="false" ht="15" hidden="false" customHeight="false" outlineLevel="0" collapsed="false">
      <c r="A15" s="0" t="s">
        <v>23</v>
      </c>
      <c r="B15" s="3" t="n">
        <v>25</v>
      </c>
      <c r="C15" s="4" t="s">
        <v>24</v>
      </c>
    </row>
    <row r="16" customFormat="false" ht="15" hidden="false" customHeight="false" outlineLevel="0" collapsed="false">
      <c r="A16" s="0" t="s">
        <v>25</v>
      </c>
      <c r="B16" s="3" t="n">
        <v>16</v>
      </c>
      <c r="C16" s="4" t="s">
        <v>26</v>
      </c>
    </row>
    <row r="17" customFormat="false" ht="15" hidden="false" customHeight="false" outlineLevel="0" collapsed="false">
      <c r="A17" s="0" t="s">
        <v>27</v>
      </c>
      <c r="B17" s="3" t="n">
        <v>12</v>
      </c>
      <c r="C17" s="4" t="s">
        <v>28</v>
      </c>
    </row>
    <row r="18" customFormat="false" ht="15" hidden="false" customHeight="false" outlineLevel="0" collapsed="false">
      <c r="A18" s="0" t="s">
        <v>29</v>
      </c>
      <c r="B18" s="3" t="n">
        <v>10</v>
      </c>
      <c r="C18" s="4" t="s">
        <v>30</v>
      </c>
    </row>
    <row r="19" customFormat="false" ht="15" hidden="false" customHeight="false" outlineLevel="0" collapsed="false">
      <c r="A19" s="0" t="s">
        <v>31</v>
      </c>
      <c r="B19" s="3" t="s">
        <v>32</v>
      </c>
      <c r="C19" s="4" t="s">
        <v>33</v>
      </c>
    </row>
    <row r="20" customFormat="false" ht="15" hidden="false" customHeight="false" outlineLevel="0" collapsed="false">
      <c r="A20" s="0" t="s">
        <v>34</v>
      </c>
      <c r="B20" s="3" t="n">
        <v>1.2</v>
      </c>
      <c r="C20" s="4" t="s">
        <v>35</v>
      </c>
    </row>
    <row r="21" customFormat="false" ht="15" hidden="false" customHeight="false" outlineLevel="0" collapsed="false">
      <c r="A21" s="0" t="s">
        <v>36</v>
      </c>
      <c r="B21" s="3" t="n">
        <v>4</v>
      </c>
      <c r="C21" s="4" t="s">
        <v>37</v>
      </c>
    </row>
    <row r="22" customFormat="false" ht="15" hidden="false" customHeight="false" outlineLevel="0" collapsed="false">
      <c r="A22" s="0" t="s">
        <v>38</v>
      </c>
      <c r="B22" s="3" t="n">
        <v>1</v>
      </c>
      <c r="C22" s="4" t="s">
        <v>39</v>
      </c>
    </row>
    <row r="23" customFormat="false" ht="15" hidden="false" customHeight="false" outlineLevel="0" collapsed="false">
      <c r="A23" s="0" t="s">
        <v>40</v>
      </c>
      <c r="B23" s="3" t="n">
        <v>0.072</v>
      </c>
      <c r="C23" s="4" t="s">
        <v>41</v>
      </c>
    </row>
    <row r="24" customFormat="false" ht="15" hidden="false" customHeight="false" outlineLevel="0" collapsed="false">
      <c r="A24" s="0" t="s">
        <v>42</v>
      </c>
      <c r="B24" s="3" t="n">
        <v>0.37</v>
      </c>
      <c r="C24" s="4" t="s">
        <v>43</v>
      </c>
    </row>
    <row r="25" customFormat="false" ht="15" hidden="false" customHeight="false" outlineLevel="0" collapsed="false">
      <c r="A25" s="0" t="s">
        <v>44</v>
      </c>
      <c r="B25" s="3" t="n">
        <v>0.667</v>
      </c>
      <c r="C25" s="4"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33"/>
    <col collapsed="false" customWidth="true" hidden="false" outlineLevel="0" max="3" min="3" style="0" width="14"/>
    <col collapsed="false" customWidth="true" hidden="false" outlineLevel="0" max="4" min="4" style="0" width="13"/>
    <col collapsed="false" customWidth="true" hidden="false" outlineLevel="0" max="5" min="5" style="0" width="10"/>
    <col collapsed="false" customWidth="true" hidden="false" outlineLevel="0" max="6" min="6" style="0" width="21"/>
    <col collapsed="false" customWidth="true" hidden="false" outlineLevel="0" max="7" min="7" style="0" width="16"/>
    <col collapsed="false" customWidth="true" hidden="false" outlineLevel="0" max="8" min="8" style="0" width="14"/>
    <col collapsed="false" customWidth="true" hidden="false" outlineLevel="0" max="9" min="9" style="0" width="60"/>
    <col collapsed="false" customWidth="true" hidden="false" outlineLevel="0" max="10" min="10" style="0" width="23"/>
    <col collapsed="false" customWidth="true" hidden="false" outlineLevel="0" max="11" min="11" style="0" width="13"/>
  </cols>
  <sheetData>
    <row r="1" customFormat="false" ht="16.15" hidden="false" customHeight="false" outlineLevel="0" collapsed="false">
      <c r="A1" s="1" t="s">
        <v>46</v>
      </c>
    </row>
    <row r="2" customFormat="false" ht="15" hidden="false" customHeight="false" outlineLevel="0" collapsed="false">
      <c r="A2" s="0" t="s">
        <v>47</v>
      </c>
    </row>
    <row r="4" customFormat="false" ht="15" hidden="false" customHeight="false" outlineLevel="0" collapsed="false">
      <c r="A4" s="2" t="s">
        <v>48</v>
      </c>
      <c r="B4" s="2" t="s">
        <v>49</v>
      </c>
      <c r="C4" s="2" t="s">
        <v>50</v>
      </c>
      <c r="D4" s="2" t="s">
        <v>51</v>
      </c>
      <c r="E4" s="2" t="s">
        <v>52</v>
      </c>
      <c r="F4" s="2" t="s">
        <v>53</v>
      </c>
      <c r="G4" s="2" t="s">
        <v>54</v>
      </c>
      <c r="H4" s="2" t="s">
        <v>55</v>
      </c>
      <c r="I4" s="2" t="s">
        <v>56</v>
      </c>
      <c r="J4" s="2" t="s">
        <v>57</v>
      </c>
      <c r="K4" s="2" t="s">
        <v>58</v>
      </c>
    </row>
    <row r="5" customFormat="false" ht="15" hidden="false" customHeight="false" outlineLevel="0" collapsed="false">
      <c r="A5" s="5" t="s">
        <v>59</v>
      </c>
    </row>
    <row r="6" customFormat="false" ht="15" hidden="false" customHeight="false" outlineLevel="0" collapsed="false">
      <c r="A6" s="0" t="s">
        <v>60</v>
      </c>
      <c r="B6" s="0" t="s">
        <v>61</v>
      </c>
      <c r="C6" s="0" t="n">
        <v>17.021</v>
      </c>
      <c r="D6" s="0" t="n">
        <v>15.375</v>
      </c>
      <c r="E6" s="0" t="n">
        <v>6</v>
      </c>
      <c r="F6" s="0" t="s">
        <v>62</v>
      </c>
      <c r="G6" s="0" t="n">
        <v>16</v>
      </c>
      <c r="H6" s="0" t="n">
        <v>249.72</v>
      </c>
      <c r="I6" s="0" t="s">
        <v>63</v>
      </c>
      <c r="J6" s="0" t="s">
        <v>64</v>
      </c>
      <c r="K6" s="0" t="s">
        <v>65</v>
      </c>
    </row>
    <row r="7" customFormat="false" ht="15" hidden="false" customHeight="false" outlineLevel="0" collapsed="false">
      <c r="A7" s="0" t="s">
        <v>66</v>
      </c>
      <c r="B7" s="0" t="s">
        <v>67</v>
      </c>
      <c r="C7" s="0" t="n">
        <v>5.552</v>
      </c>
      <c r="D7" s="0" t="n">
        <v>15.375</v>
      </c>
      <c r="E7" s="0" t="n">
        <v>3</v>
      </c>
      <c r="F7" s="0" t="s">
        <v>62</v>
      </c>
      <c r="G7" s="0" t="n">
        <v>16</v>
      </c>
      <c r="H7" s="0" t="n">
        <v>129.09</v>
      </c>
      <c r="I7" s="0" t="s">
        <v>68</v>
      </c>
      <c r="J7" s="0" t="s">
        <v>64</v>
      </c>
      <c r="K7" s="0" t="s">
        <v>65</v>
      </c>
    </row>
    <row r="8" customFormat="false" ht="15" hidden="false" customHeight="false" outlineLevel="0" collapsed="false">
      <c r="A8" s="0" t="s">
        <v>69</v>
      </c>
      <c r="B8" s="0" t="s">
        <v>70</v>
      </c>
      <c r="C8" s="0" t="n">
        <v>42.988</v>
      </c>
      <c r="D8" s="0" t="n">
        <v>12.356</v>
      </c>
      <c r="E8" s="0" t="n">
        <v>2</v>
      </c>
      <c r="F8" s="0" t="s">
        <v>62</v>
      </c>
      <c r="G8" s="0" t="n">
        <v>16</v>
      </c>
      <c r="H8" s="0" t="n">
        <v>698.97</v>
      </c>
      <c r="I8" s="0" t="s">
        <v>71</v>
      </c>
      <c r="J8" s="0" t="s">
        <v>64</v>
      </c>
      <c r="K8" s="0" t="s">
        <v>65</v>
      </c>
    </row>
    <row r="9" customFormat="false" ht="15" hidden="false" customHeight="false" outlineLevel="0" collapsed="false">
      <c r="A9" s="0" t="s">
        <v>72</v>
      </c>
      <c r="B9" s="0" t="s">
        <v>73</v>
      </c>
      <c r="C9" s="0" t="n">
        <v>11.667</v>
      </c>
      <c r="D9" s="0" t="n">
        <v>12.768</v>
      </c>
      <c r="E9" s="0" t="n">
        <v>2</v>
      </c>
      <c r="F9" s="0" t="s">
        <v>62</v>
      </c>
      <c r="G9" s="0" t="n">
        <v>16</v>
      </c>
      <c r="H9" s="0" t="n">
        <v>168.06</v>
      </c>
      <c r="I9" s="0" t="s">
        <v>74</v>
      </c>
      <c r="J9" s="0" t="s">
        <v>64</v>
      </c>
      <c r="K9" s="0" t="s">
        <v>65</v>
      </c>
    </row>
    <row r="10" customFormat="false" ht="15" hidden="false" customHeight="false" outlineLevel="0" collapsed="false">
      <c r="A10" s="0" t="s">
        <v>75</v>
      </c>
      <c r="B10" s="0" t="s">
        <v>76</v>
      </c>
      <c r="C10" s="0" t="n">
        <v>5.604</v>
      </c>
      <c r="D10" s="0" t="n">
        <v>15.375</v>
      </c>
      <c r="E10" s="0" t="n">
        <v>4</v>
      </c>
      <c r="F10" s="0" t="s">
        <v>62</v>
      </c>
      <c r="G10" s="0" t="n">
        <v>16</v>
      </c>
      <c r="H10" s="0" t="n">
        <v>55.84</v>
      </c>
      <c r="I10" s="0" t="s">
        <v>77</v>
      </c>
      <c r="J10" s="0" t="s">
        <v>64</v>
      </c>
      <c r="K10" s="0" t="s">
        <v>65</v>
      </c>
    </row>
    <row r="11" customFormat="false" ht="15" hidden="false" customHeight="false" outlineLevel="0" collapsed="false">
      <c r="A11" s="0" t="s">
        <v>78</v>
      </c>
      <c r="B11" s="0" t="s">
        <v>79</v>
      </c>
      <c r="C11" s="0" t="n">
        <v>7.487</v>
      </c>
      <c r="D11" s="0" t="n">
        <v>12.307</v>
      </c>
      <c r="E11" s="0" t="n">
        <v>3</v>
      </c>
      <c r="F11" s="0" t="s">
        <v>62</v>
      </c>
      <c r="G11" s="0" t="n">
        <v>16</v>
      </c>
      <c r="H11" s="0" t="n">
        <v>117.72</v>
      </c>
      <c r="I11" s="0" t="s">
        <v>80</v>
      </c>
      <c r="J11" s="0" t="s">
        <v>64</v>
      </c>
      <c r="K11" s="0" t="s">
        <v>65</v>
      </c>
    </row>
    <row r="12" customFormat="false" ht="15" hidden="false" customHeight="false" outlineLevel="0" collapsed="false">
      <c r="A12" s="5" t="s">
        <v>81</v>
      </c>
    </row>
    <row r="13" customFormat="false" ht="15" hidden="false" customHeight="false" outlineLevel="0" collapsed="false">
      <c r="A13" s="0" t="s">
        <v>82</v>
      </c>
      <c r="B13" s="0" t="s">
        <v>83</v>
      </c>
      <c r="C13" s="0" t="n">
        <v>16.28</v>
      </c>
      <c r="D13" s="0" t="n">
        <v>14.373</v>
      </c>
      <c r="E13" s="0" t="n">
        <v>4</v>
      </c>
      <c r="F13" s="0" t="s">
        <v>84</v>
      </c>
      <c r="G13" s="0" t="n">
        <v>16</v>
      </c>
      <c r="H13" s="0" t="n">
        <v>262.4</v>
      </c>
      <c r="I13" s="0" t="s">
        <v>85</v>
      </c>
      <c r="J13" s="0" t="s">
        <v>64</v>
      </c>
      <c r="K13" s="0" t="s">
        <v>65</v>
      </c>
    </row>
    <row r="14" customFormat="false" ht="15" hidden="false" customHeight="false" outlineLevel="0" collapsed="false">
      <c r="A14" s="0" t="s">
        <v>86</v>
      </c>
      <c r="B14" s="0" t="s">
        <v>87</v>
      </c>
      <c r="C14" s="0" t="n">
        <v>19.407</v>
      </c>
      <c r="D14" s="0" t="n">
        <v>13.697</v>
      </c>
      <c r="E14" s="0" t="n">
        <v>3</v>
      </c>
      <c r="F14" s="0" t="s">
        <v>84</v>
      </c>
      <c r="G14" s="0" t="n">
        <v>16</v>
      </c>
      <c r="H14" s="0" t="n">
        <v>374.75</v>
      </c>
      <c r="I14" s="0" t="s">
        <v>88</v>
      </c>
      <c r="J14" s="0" t="s">
        <v>64</v>
      </c>
      <c r="K14" s="0" t="s">
        <v>65</v>
      </c>
    </row>
    <row r="15" customFormat="false" ht="15" hidden="false" customHeight="false" outlineLevel="0" collapsed="false">
      <c r="A15" s="0" t="s">
        <v>89</v>
      </c>
      <c r="B15" s="0" t="s">
        <v>90</v>
      </c>
      <c r="C15" s="0" t="n">
        <v>6.938</v>
      </c>
      <c r="D15" s="0" t="n">
        <v>11.774</v>
      </c>
      <c r="E15" s="0" t="n">
        <v>2</v>
      </c>
      <c r="F15" s="0" t="s">
        <v>84</v>
      </c>
      <c r="G15" s="0" t="n">
        <v>16</v>
      </c>
      <c r="H15" s="0" t="n">
        <v>80.57</v>
      </c>
      <c r="I15" s="0" t="s">
        <v>91</v>
      </c>
      <c r="J15" s="0" t="s">
        <v>64</v>
      </c>
      <c r="K15" s="0" t="s">
        <v>65</v>
      </c>
    </row>
    <row r="16" customFormat="false" ht="15" hidden="false" customHeight="false" outlineLevel="0" collapsed="false">
      <c r="A16" s="5" t="s">
        <v>92</v>
      </c>
    </row>
    <row r="17" customFormat="false" ht="15" hidden="false" customHeight="false" outlineLevel="0" collapsed="false">
      <c r="A17" s="0" t="s">
        <v>93</v>
      </c>
      <c r="B17" s="0" t="s">
        <v>94</v>
      </c>
      <c r="C17" s="0" t="n">
        <v>3.417</v>
      </c>
      <c r="D17" s="0" t="n">
        <v>15.375</v>
      </c>
      <c r="E17" s="0" t="n">
        <v>2</v>
      </c>
      <c r="F17" s="0" t="s">
        <v>62</v>
      </c>
      <c r="G17" s="0" t="n">
        <v>24</v>
      </c>
      <c r="H17" s="0" t="n">
        <v>105.08</v>
      </c>
      <c r="I17" s="0" t="s">
        <v>95</v>
      </c>
      <c r="J17" s="0" t="s">
        <v>96</v>
      </c>
      <c r="K17" s="0" t="s">
        <v>65</v>
      </c>
    </row>
    <row r="18" customFormat="false" ht="15" hidden="false" customHeight="false" outlineLevel="0" collapsed="false">
      <c r="A18" s="0" t="s">
        <v>97</v>
      </c>
      <c r="B18" s="0" t="s">
        <v>98</v>
      </c>
      <c r="C18" s="0" t="n">
        <v>5.18</v>
      </c>
      <c r="D18" s="0" t="n">
        <v>12.928</v>
      </c>
      <c r="E18" s="0" t="n">
        <v>2</v>
      </c>
      <c r="F18" s="0" t="s">
        <v>62</v>
      </c>
      <c r="G18" s="0" t="n">
        <v>24</v>
      </c>
      <c r="H18" s="0" t="n">
        <v>126.1</v>
      </c>
      <c r="I18" s="0" t="s">
        <v>99</v>
      </c>
      <c r="J18" s="0" t="s">
        <v>96</v>
      </c>
      <c r="K18" s="0" t="s">
        <v>65</v>
      </c>
    </row>
    <row r="19" customFormat="false" ht="15" hidden="false" customHeight="false" outlineLevel="0" collapsed="false">
      <c r="A19" s="5" t="s">
        <v>100</v>
      </c>
    </row>
    <row r="20" customFormat="false" ht="15" hidden="false" customHeight="false" outlineLevel="0" collapsed="false">
      <c r="A20" s="0" t="s">
        <v>101</v>
      </c>
      <c r="B20" s="0" t="s">
        <v>102</v>
      </c>
      <c r="C20" s="0" t="n">
        <v>11.729</v>
      </c>
      <c r="D20" s="0" t="n">
        <v>12.527</v>
      </c>
      <c r="E20" s="0" t="n">
        <v>2</v>
      </c>
      <c r="F20" s="0" t="s">
        <v>62</v>
      </c>
      <c r="G20" s="0" t="n">
        <v>16</v>
      </c>
      <c r="H20" s="0" t="n">
        <v>246.1</v>
      </c>
      <c r="I20" s="0" t="s">
        <v>103</v>
      </c>
      <c r="J20" s="0" t="s">
        <v>104</v>
      </c>
      <c r="K20" s="0" t="s">
        <v>65</v>
      </c>
    </row>
    <row r="21" customFormat="false" ht="15" hidden="false" customHeight="false" outlineLevel="0" collapsed="false">
      <c r="A21" s="0" t="s">
        <v>105</v>
      </c>
      <c r="B21" s="0" t="s">
        <v>106</v>
      </c>
      <c r="C21" s="0" t="n">
        <v>11.729</v>
      </c>
      <c r="D21" s="0" t="n">
        <v>12.109</v>
      </c>
      <c r="E21" s="0" t="n">
        <v>2</v>
      </c>
      <c r="F21" s="0" t="s">
        <v>62</v>
      </c>
      <c r="G21" s="0" t="n">
        <v>16</v>
      </c>
      <c r="H21" s="0" t="n">
        <v>284.04</v>
      </c>
      <c r="I21" s="0" t="s">
        <v>107</v>
      </c>
      <c r="J21" s="0" t="s">
        <v>104</v>
      </c>
      <c r="K21" s="0" t="s">
        <v>65</v>
      </c>
    </row>
    <row r="22" customFormat="false" ht="15" hidden="false" customHeight="false" outlineLevel="0" collapsed="false">
      <c r="A22" s="0" t="s">
        <v>108</v>
      </c>
      <c r="B22" s="0" t="s">
        <v>109</v>
      </c>
      <c r="C22" s="0" t="n">
        <v>3.5</v>
      </c>
      <c r="D22" s="0" t="n">
        <v>12.741</v>
      </c>
      <c r="E22" s="0" t="n">
        <v>2</v>
      </c>
      <c r="F22" s="0" t="s">
        <v>62</v>
      </c>
      <c r="G22" s="0" t="n">
        <v>16</v>
      </c>
      <c r="H22" s="0" t="n">
        <v>88.94</v>
      </c>
      <c r="I22" s="0" t="s">
        <v>110</v>
      </c>
      <c r="J22" s="0" t="s">
        <v>104</v>
      </c>
      <c r="K22" s="0" t="s">
        <v>65</v>
      </c>
    </row>
    <row r="23" customFormat="false" ht="15" hidden="false" customHeight="false" outlineLevel="0" collapsed="false">
      <c r="A23" s="0" t="s">
        <v>111</v>
      </c>
      <c r="B23" s="0" t="s">
        <v>112</v>
      </c>
      <c r="C23" s="0" t="n">
        <v>23.73</v>
      </c>
      <c r="D23" s="0" t="n">
        <v>12.823</v>
      </c>
      <c r="E23" s="0" t="n">
        <v>2</v>
      </c>
      <c r="F23" s="0" t="s">
        <v>62</v>
      </c>
      <c r="G23" s="0" t="n">
        <v>16</v>
      </c>
      <c r="H23" s="0" t="n">
        <v>509.1</v>
      </c>
      <c r="I23" s="0" t="s">
        <v>113</v>
      </c>
      <c r="J23" s="0" t="s">
        <v>104</v>
      </c>
      <c r="K23" s="0" t="s">
        <v>65</v>
      </c>
    </row>
    <row r="24" customFormat="false" ht="15" hidden="false" customHeight="false" outlineLevel="0" collapsed="false">
      <c r="A24" s="0" t="s">
        <v>114</v>
      </c>
      <c r="B24" s="0" t="s">
        <v>115</v>
      </c>
      <c r="C24" s="0" t="n">
        <v>9.583</v>
      </c>
      <c r="D24" s="0" t="n">
        <v>12.696</v>
      </c>
      <c r="E24" s="0" t="n">
        <v>2</v>
      </c>
      <c r="F24" s="0" t="s">
        <v>62</v>
      </c>
      <c r="G24" s="0" t="n">
        <v>16</v>
      </c>
      <c r="H24" s="0" t="n">
        <v>243.34</v>
      </c>
      <c r="I24" s="0" t="s">
        <v>116</v>
      </c>
      <c r="J24" s="0" t="s">
        <v>104</v>
      </c>
      <c r="K24" s="0" t="s">
        <v>65</v>
      </c>
    </row>
    <row r="25" customFormat="false" ht="15" hidden="false" customHeight="false" outlineLevel="0" collapsed="false">
      <c r="A25" s="5" t="s">
        <v>117</v>
      </c>
    </row>
    <row r="26" customFormat="false" ht="15" hidden="false" customHeight="false" outlineLevel="0" collapsed="false">
      <c r="A26" s="0" t="s">
        <v>118</v>
      </c>
      <c r="B26" s="0" t="s">
        <v>119</v>
      </c>
      <c r="C26" s="0" t="n">
        <v>5.542</v>
      </c>
      <c r="D26" s="0" t="n">
        <v>13.052</v>
      </c>
      <c r="E26" s="0" t="n">
        <v>2</v>
      </c>
      <c r="F26" s="0" t="s">
        <v>84</v>
      </c>
      <c r="G26" s="0" t="n">
        <v>16</v>
      </c>
      <c r="H26" s="0" t="n">
        <v>96.36</v>
      </c>
      <c r="I26" s="0" t="s">
        <v>120</v>
      </c>
      <c r="J26" s="0" t="s">
        <v>104</v>
      </c>
      <c r="K26" s="0" t="s">
        <v>65</v>
      </c>
    </row>
    <row r="27" customFormat="false" ht="15" hidden="false" customHeight="false" outlineLevel="0" collapsed="false">
      <c r="A27" s="0" t="s">
        <v>121</v>
      </c>
      <c r="B27" s="0" t="s">
        <v>122</v>
      </c>
      <c r="C27" s="0" t="n">
        <v>15.787</v>
      </c>
      <c r="D27" s="0" t="n">
        <v>12.863</v>
      </c>
      <c r="E27" s="0" t="n">
        <v>2</v>
      </c>
      <c r="F27" s="0" t="s">
        <v>84</v>
      </c>
      <c r="G27" s="0" t="n">
        <v>16</v>
      </c>
      <c r="H27" s="0" t="n">
        <v>257.66</v>
      </c>
      <c r="I27" s="0" t="s">
        <v>123</v>
      </c>
      <c r="J27" s="0" t="s">
        <v>104</v>
      </c>
      <c r="K27" s="0" t="s">
        <v>65</v>
      </c>
    </row>
    <row r="28" customFormat="false" ht="15" hidden="false" customHeight="false" outlineLevel="0" collapsed="false">
      <c r="A28" s="0" t="s">
        <v>124</v>
      </c>
      <c r="B28" s="0" t="s">
        <v>125</v>
      </c>
      <c r="C28" s="0" t="n">
        <v>5.667</v>
      </c>
      <c r="D28" s="0" t="n">
        <v>15.375</v>
      </c>
      <c r="E28" s="0" t="n">
        <v>2</v>
      </c>
      <c r="F28" s="0" t="s">
        <v>84</v>
      </c>
      <c r="G28" s="0" t="n">
        <v>16</v>
      </c>
      <c r="H28" s="0" t="n">
        <v>111.66</v>
      </c>
      <c r="I28" s="0" t="s">
        <v>126</v>
      </c>
      <c r="J28" s="0" t="s">
        <v>104</v>
      </c>
      <c r="K28" s="0" t="s">
        <v>65</v>
      </c>
    </row>
    <row r="29" customFormat="false" ht="15" hidden="false" customHeight="false" outlineLevel="0" collapsed="false">
      <c r="A29" s="0" t="s">
        <v>127</v>
      </c>
      <c r="B29" s="0" t="s">
        <v>128</v>
      </c>
      <c r="C29" s="0" t="n">
        <v>11.407</v>
      </c>
      <c r="D29" s="0" t="n">
        <v>11.637</v>
      </c>
      <c r="E29" s="0" t="n">
        <v>2</v>
      </c>
      <c r="F29" s="0" t="s">
        <v>84</v>
      </c>
      <c r="G29" s="0" t="n">
        <v>16</v>
      </c>
      <c r="H29" s="0" t="n">
        <v>262.72</v>
      </c>
      <c r="I29" s="0" t="s">
        <v>129</v>
      </c>
      <c r="J29" s="0" t="s">
        <v>104</v>
      </c>
      <c r="K29" s="0" t="s">
        <v>65</v>
      </c>
    </row>
    <row r="30" customFormat="false" ht="15" hidden="false" customHeight="false" outlineLevel="0" collapsed="false">
      <c r="A30" s="5" t="s">
        <v>130</v>
      </c>
    </row>
    <row r="31" customFormat="false" ht="15" hidden="false" customHeight="false" outlineLevel="0" collapsed="false">
      <c r="A31" s="0" t="s">
        <v>131</v>
      </c>
      <c r="B31" s="0" t="s">
        <v>132</v>
      </c>
      <c r="C31" s="0" t="n">
        <v>18.066</v>
      </c>
      <c r="D31" s="0" t="n">
        <v>15.375</v>
      </c>
      <c r="E31" s="0" t="n">
        <v>2</v>
      </c>
      <c r="F31" s="0" t="s">
        <v>62</v>
      </c>
      <c r="G31" s="0" t="n">
        <v>16</v>
      </c>
      <c r="H31" s="0" t="n">
        <v>331.16</v>
      </c>
      <c r="I31" s="0" t="s">
        <v>133</v>
      </c>
      <c r="J31" s="0" t="s">
        <v>134</v>
      </c>
      <c r="K31" s="0" t="s">
        <v>65</v>
      </c>
    </row>
    <row r="32" customFormat="false" ht="15" hidden="false" customHeight="false" outlineLevel="0" collapsed="false">
      <c r="A32" s="5" t="s">
        <v>135</v>
      </c>
    </row>
    <row r="33" customFormat="false" ht="15" hidden="false" customHeight="false" outlineLevel="0" collapsed="false">
      <c r="A33" s="0" t="s">
        <v>136</v>
      </c>
      <c r="B33" s="0" t="s">
        <v>137</v>
      </c>
      <c r="C33" s="0" t="n">
        <v>2.207</v>
      </c>
      <c r="D33" s="0" t="n">
        <v>15.375</v>
      </c>
      <c r="E33" s="0" t="n">
        <v>4</v>
      </c>
      <c r="F33" s="0" t="s">
        <v>84</v>
      </c>
      <c r="G33" s="0" t="n">
        <v>24</v>
      </c>
      <c r="H33" s="0" t="n">
        <v>53.29</v>
      </c>
      <c r="I33" s="0" t="s">
        <v>138</v>
      </c>
      <c r="J33" s="0" t="s">
        <v>96</v>
      </c>
      <c r="K33" s="0" t="s">
        <v>65</v>
      </c>
    </row>
    <row r="34" customFormat="false" ht="15" hidden="false" customHeight="false" outlineLevel="0" collapsed="false">
      <c r="A34" s="5" t="s">
        <v>139</v>
      </c>
    </row>
    <row r="35" customFormat="false" ht="15" hidden="false" customHeight="false" outlineLevel="0" collapsed="false">
      <c r="A35" s="0" t="s">
        <v>140</v>
      </c>
      <c r="B35" s="0" t="s">
        <v>141</v>
      </c>
      <c r="C35" s="0" t="n">
        <v>2.42</v>
      </c>
      <c r="D35" s="0" t="n">
        <v>14.383</v>
      </c>
      <c r="E35" s="0" t="n">
        <v>4</v>
      </c>
      <c r="F35" s="0" t="s">
        <v>142</v>
      </c>
      <c r="G35" s="0" t="n">
        <v>16</v>
      </c>
      <c r="H35" s="0" t="n">
        <v>139.22</v>
      </c>
      <c r="I35" s="0" t="s">
        <v>143</v>
      </c>
      <c r="J35" s="0" t="s">
        <v>144</v>
      </c>
      <c r="K35" s="0" t="s">
        <v>65</v>
      </c>
    </row>
    <row r="36" customFormat="false" ht="15" hidden="false" customHeight="false" outlineLevel="0" collapsed="false">
      <c r="A36" s="0" t="s">
        <v>145</v>
      </c>
      <c r="B36" s="0" t="s">
        <v>146</v>
      </c>
      <c r="C36" s="0" t="n">
        <v>3.467</v>
      </c>
      <c r="D36" s="0" t="n">
        <v>14.383</v>
      </c>
      <c r="E36" s="0" t="n">
        <v>6</v>
      </c>
      <c r="F36" s="0" t="s">
        <v>142</v>
      </c>
      <c r="G36" s="0" t="n">
        <v>16</v>
      </c>
      <c r="H36" s="0" t="n">
        <v>299.19</v>
      </c>
      <c r="I36" s="0" t="s">
        <v>143</v>
      </c>
      <c r="J36" s="0" t="s">
        <v>144</v>
      </c>
      <c r="K36" s="0" t="s">
        <v>65</v>
      </c>
    </row>
    <row r="37" customFormat="false" ht="15" hidden="false" customHeight="false" outlineLevel="0" collapsed="false">
      <c r="A37" s="0" t="s">
        <v>147</v>
      </c>
      <c r="B37" s="0" t="s">
        <v>148</v>
      </c>
      <c r="C37" s="0" t="n">
        <v>15.024</v>
      </c>
      <c r="D37" s="0" t="n">
        <v>15.126</v>
      </c>
      <c r="E37" s="0" t="n">
        <v>6</v>
      </c>
      <c r="F37" s="0" t="s">
        <v>142</v>
      </c>
      <c r="G37" s="0" t="n">
        <v>16</v>
      </c>
      <c r="H37" s="0" t="n">
        <v>1001.57</v>
      </c>
      <c r="I37" s="0" t="s">
        <v>149</v>
      </c>
      <c r="J37" s="0" t="s">
        <v>144</v>
      </c>
      <c r="K37" s="0" t="s">
        <v>65</v>
      </c>
    </row>
    <row r="38" customFormat="false" ht="15" hidden="false" customHeight="false" outlineLevel="0" collapsed="false">
      <c r="A38" s="0" t="s">
        <v>150</v>
      </c>
      <c r="B38" s="0" t="s">
        <v>151</v>
      </c>
      <c r="C38" s="0" t="n">
        <v>15.024</v>
      </c>
      <c r="D38" s="0" t="n">
        <v>15.126</v>
      </c>
      <c r="E38" s="0" t="n">
        <v>6</v>
      </c>
      <c r="F38" s="0" t="s">
        <v>142</v>
      </c>
      <c r="G38" s="0" t="n">
        <v>16</v>
      </c>
      <c r="H38" s="0" t="n">
        <v>1001.57</v>
      </c>
      <c r="I38" s="0" t="s">
        <v>152</v>
      </c>
      <c r="J38" s="0" t="s">
        <v>144</v>
      </c>
      <c r="K38" s="0" t="s">
        <v>65</v>
      </c>
    </row>
    <row r="39" customFormat="false" ht="15" hidden="false" customHeight="false" outlineLevel="0" collapsed="false">
      <c r="A39" s="0" t="s">
        <v>153</v>
      </c>
      <c r="B39" s="0" t="s">
        <v>154</v>
      </c>
      <c r="C39" s="0" t="n">
        <v>10.073</v>
      </c>
      <c r="D39" s="0" t="n">
        <v>15.375</v>
      </c>
      <c r="E39" s="0" t="n">
        <v>4</v>
      </c>
      <c r="F39" s="0" t="s">
        <v>142</v>
      </c>
      <c r="G39" s="0" t="n">
        <v>16</v>
      </c>
      <c r="H39" s="0" t="n">
        <v>619.48</v>
      </c>
      <c r="I39" s="0" t="s">
        <v>155</v>
      </c>
      <c r="J39" s="0" t="s">
        <v>144</v>
      </c>
      <c r="K39" s="0" t="s">
        <v>65</v>
      </c>
    </row>
    <row r="40" customFormat="false" ht="15" hidden="false" customHeight="false" outlineLevel="0" collapsed="false">
      <c r="A40" s="0" t="s">
        <v>156</v>
      </c>
      <c r="B40" s="0" t="s">
        <v>157</v>
      </c>
      <c r="C40" s="0" t="n">
        <v>12.334</v>
      </c>
      <c r="D40" s="0" t="n">
        <v>14.829</v>
      </c>
      <c r="E40" s="0" t="n">
        <v>4</v>
      </c>
      <c r="F40" s="0" t="s">
        <v>142</v>
      </c>
      <c r="G40" s="0" t="n">
        <v>16</v>
      </c>
      <c r="H40" s="0" t="n">
        <v>731.62</v>
      </c>
      <c r="I40" s="0" t="s">
        <v>158</v>
      </c>
      <c r="J40" s="0" t="s">
        <v>144</v>
      </c>
      <c r="K40" s="0" t="s">
        <v>65</v>
      </c>
    </row>
    <row r="41" customFormat="false" ht="15" hidden="false" customHeight="false" outlineLevel="0" collapsed="false">
      <c r="A41" s="0" t="s">
        <v>159</v>
      </c>
      <c r="B41" s="0" t="s">
        <v>160</v>
      </c>
      <c r="C41" s="0" t="n">
        <v>11.625</v>
      </c>
      <c r="D41" s="0" t="n">
        <v>15.375</v>
      </c>
      <c r="E41" s="0" t="n">
        <v>4</v>
      </c>
      <c r="F41" s="0" t="s">
        <v>142</v>
      </c>
      <c r="G41" s="0" t="n">
        <v>16</v>
      </c>
      <c r="H41" s="0" t="n">
        <v>714.94</v>
      </c>
      <c r="I41" s="0" t="s">
        <v>161</v>
      </c>
      <c r="J41" s="0" t="s">
        <v>144</v>
      </c>
      <c r="K41" s="0" t="s">
        <v>65</v>
      </c>
    </row>
    <row r="42" customFormat="false" ht="15" hidden="false" customHeight="false" outlineLevel="0" collapsed="false">
      <c r="A42" s="0" t="s">
        <v>162</v>
      </c>
      <c r="B42" s="0" t="s">
        <v>163</v>
      </c>
      <c r="C42" s="0" t="n">
        <v>11.625</v>
      </c>
      <c r="D42" s="0" t="n">
        <v>15.375</v>
      </c>
      <c r="E42" s="0" t="n">
        <v>4</v>
      </c>
      <c r="F42" s="0" t="s">
        <v>142</v>
      </c>
      <c r="G42" s="0" t="n">
        <v>16</v>
      </c>
      <c r="H42" s="0" t="n">
        <v>714.94</v>
      </c>
      <c r="I42" s="0" t="s">
        <v>164</v>
      </c>
      <c r="J42" s="0" t="s">
        <v>144</v>
      </c>
      <c r="K42" s="0" t="s">
        <v>65</v>
      </c>
    </row>
    <row r="43" customFormat="false" ht="15" hidden="false" customHeight="false" outlineLevel="0" collapsed="false">
      <c r="A43" s="5" t="s">
        <v>165</v>
      </c>
    </row>
    <row r="44" customFormat="false" ht="15" hidden="false" customHeight="false" outlineLevel="0" collapsed="false">
      <c r="A44" s="0" t="s">
        <v>166</v>
      </c>
      <c r="B44" s="0" t="s">
        <v>167</v>
      </c>
      <c r="C44" s="0" t="n">
        <v>30</v>
      </c>
      <c r="D44" s="0" t="n">
        <v>6.262</v>
      </c>
      <c r="E44" s="0" t="n">
        <v>4</v>
      </c>
      <c r="F44" s="0" t="s">
        <v>142</v>
      </c>
      <c r="G44" s="0" t="n">
        <v>16</v>
      </c>
      <c r="H44" s="0" t="n">
        <v>751.48</v>
      </c>
      <c r="I44" s="0" t="s">
        <v>168</v>
      </c>
      <c r="J44" s="0" t="s">
        <v>169</v>
      </c>
      <c r="K44" s="0" t="s">
        <v>65</v>
      </c>
    </row>
    <row r="45" customFormat="false" ht="15" hidden="false" customHeight="false" outlineLevel="0" collapsed="false">
      <c r="A45" s="0" t="s">
        <v>170</v>
      </c>
      <c r="B45" s="0" t="s">
        <v>171</v>
      </c>
      <c r="C45" s="0" t="n">
        <v>15</v>
      </c>
      <c r="D45" s="0" t="n">
        <v>7.375</v>
      </c>
      <c r="E45" s="0" t="n">
        <v>4</v>
      </c>
      <c r="F45" s="0" t="s">
        <v>142</v>
      </c>
      <c r="G45" s="0" t="n">
        <v>16</v>
      </c>
      <c r="H45" s="0" t="n">
        <v>442.48</v>
      </c>
      <c r="I45" s="0" t="s">
        <v>172</v>
      </c>
      <c r="J45" s="0" t="s">
        <v>169</v>
      </c>
      <c r="K45" s="0" t="s">
        <v>65</v>
      </c>
    </row>
    <row r="46" customFormat="false" ht="15" hidden="false" customHeight="false" outlineLevel="0" collapsed="false">
      <c r="A46" s="5" t="s">
        <v>173</v>
      </c>
    </row>
    <row r="47" customFormat="false" ht="15" hidden="false" customHeight="false" outlineLevel="0" collapsed="false">
      <c r="A47" s="0" t="s">
        <v>174</v>
      </c>
      <c r="B47" s="0" t="s">
        <v>175</v>
      </c>
      <c r="C47" s="0" t="n">
        <v>11.771</v>
      </c>
      <c r="D47" s="0" t="n">
        <v>15.183</v>
      </c>
      <c r="E47" s="0" t="n">
        <v>4</v>
      </c>
      <c r="F47" s="0" t="s">
        <v>142</v>
      </c>
      <c r="G47" s="0" t="n">
        <v>16</v>
      </c>
      <c r="H47" s="0" t="n">
        <v>714.9</v>
      </c>
      <c r="I47" s="0" t="s">
        <v>176</v>
      </c>
      <c r="J47" s="0" t="s">
        <v>144</v>
      </c>
      <c r="K47" s="0" t="s">
        <v>65</v>
      </c>
    </row>
    <row r="48" customFormat="false" ht="15" hidden="false" customHeight="false" outlineLevel="0" collapsed="false">
      <c r="A48" s="0" t="s">
        <v>177</v>
      </c>
      <c r="B48" s="0" t="s">
        <v>178</v>
      </c>
      <c r="C48" s="0" t="n">
        <v>3.507</v>
      </c>
      <c r="D48" s="0" t="n">
        <v>15.375</v>
      </c>
      <c r="E48" s="0" t="n">
        <v>6</v>
      </c>
      <c r="F48" s="0" t="s">
        <v>142</v>
      </c>
      <c r="G48" s="0" t="n">
        <v>16</v>
      </c>
      <c r="H48" s="0" t="n">
        <v>323.52</v>
      </c>
      <c r="I48" s="0" t="s">
        <v>179</v>
      </c>
      <c r="J48" s="0" t="s">
        <v>144</v>
      </c>
      <c r="K48" s="0" t="s">
        <v>65</v>
      </c>
    </row>
    <row r="49" customFormat="false" ht="15" hidden="false" customHeight="false" outlineLevel="0" collapsed="false">
      <c r="A49" s="0" t="s">
        <v>180</v>
      </c>
      <c r="B49" s="0" t="s">
        <v>181</v>
      </c>
      <c r="C49" s="0" t="n">
        <v>3.18</v>
      </c>
      <c r="D49" s="0" t="n">
        <v>15.375</v>
      </c>
      <c r="E49" s="0" t="n">
        <v>4</v>
      </c>
      <c r="F49" s="0" t="s">
        <v>142</v>
      </c>
      <c r="G49" s="0" t="n">
        <v>16</v>
      </c>
      <c r="H49" s="0" t="n">
        <v>195.58</v>
      </c>
      <c r="I49" s="0" t="s">
        <v>179</v>
      </c>
      <c r="J49" s="0" t="s">
        <v>144</v>
      </c>
      <c r="K49" s="0" t="s">
        <v>65</v>
      </c>
    </row>
    <row r="50" customFormat="false" ht="15" hidden="false" customHeight="false" outlineLevel="0" collapsed="false">
      <c r="A50" s="5" t="s">
        <v>182</v>
      </c>
    </row>
    <row r="51" customFormat="false" ht="15" hidden="false" customHeight="false" outlineLevel="0" collapsed="false">
      <c r="A51" s="0" t="s">
        <v>183</v>
      </c>
      <c r="B51" s="0" t="s">
        <v>184</v>
      </c>
      <c r="C51" s="0" t="n">
        <v>10.027</v>
      </c>
      <c r="D51" s="0" t="n">
        <v>12.913</v>
      </c>
      <c r="E51" s="0" t="n">
        <v>1</v>
      </c>
      <c r="F51" s="0" t="s">
        <v>62</v>
      </c>
      <c r="G51" s="0" t="n">
        <v>16</v>
      </c>
      <c r="H51" s="0" t="n">
        <v>129.48</v>
      </c>
      <c r="I51" s="0" t="s">
        <v>185</v>
      </c>
      <c r="J51" s="0" t="s">
        <v>186</v>
      </c>
      <c r="K51" s="0" t="s">
        <v>65</v>
      </c>
    </row>
    <row r="52" customFormat="false" ht="15" hidden="false" customHeight="false" outlineLevel="0" collapsed="false">
      <c r="A52" s="0" t="s">
        <v>187</v>
      </c>
      <c r="B52" s="0" t="s">
        <v>188</v>
      </c>
      <c r="C52" s="0" t="n">
        <v>10.027</v>
      </c>
      <c r="D52" s="0" t="n">
        <v>12.898</v>
      </c>
      <c r="E52" s="0" t="n">
        <v>1</v>
      </c>
      <c r="F52" s="0" t="s">
        <v>62</v>
      </c>
      <c r="G52" s="0" t="n">
        <v>16</v>
      </c>
      <c r="H52" s="0" t="n">
        <v>129.33</v>
      </c>
      <c r="I52" s="0" t="s">
        <v>189</v>
      </c>
      <c r="J52" s="0" t="s">
        <v>186</v>
      </c>
      <c r="K52" s="0" t="s">
        <v>65</v>
      </c>
    </row>
    <row r="53" customFormat="false" ht="15" hidden="false" customHeight="false" outlineLevel="0" collapsed="false">
      <c r="A53" s="0" t="s">
        <v>190</v>
      </c>
      <c r="B53" s="0" t="s">
        <v>191</v>
      </c>
      <c r="C53" s="0" t="n">
        <v>10</v>
      </c>
      <c r="D53" s="0" t="n">
        <v>15.375</v>
      </c>
      <c r="E53" s="0" t="n">
        <v>1</v>
      </c>
      <c r="F53" s="0" t="s">
        <v>62</v>
      </c>
      <c r="G53" s="0" t="n">
        <v>16</v>
      </c>
      <c r="H53" s="0" t="n">
        <v>153.75</v>
      </c>
      <c r="I53" s="0" t="s">
        <v>192</v>
      </c>
      <c r="J53" s="0" t="s">
        <v>186</v>
      </c>
      <c r="K53" s="0" t="s">
        <v>65</v>
      </c>
    </row>
    <row r="54" customFormat="false" ht="15" hidden="false" customHeight="false" outlineLevel="0" collapsed="false">
      <c r="A54" s="0" t="s">
        <v>193</v>
      </c>
      <c r="B54" s="0" t="s">
        <v>194</v>
      </c>
      <c r="C54" s="0" t="n">
        <v>0.313</v>
      </c>
      <c r="D54" s="0" t="n">
        <v>15.375</v>
      </c>
      <c r="E54" s="0" t="n">
        <v>1</v>
      </c>
      <c r="F54" s="0" t="s">
        <v>62</v>
      </c>
      <c r="G54" s="0" t="n">
        <v>16</v>
      </c>
      <c r="H54" s="0" t="n">
        <v>4.81</v>
      </c>
      <c r="I54" s="0" t="s">
        <v>195</v>
      </c>
      <c r="J54" s="0" t="s">
        <v>186</v>
      </c>
      <c r="K54" s="0" t="s">
        <v>65</v>
      </c>
    </row>
    <row r="55" customFormat="false" ht="15" hidden="false" customHeight="false" outlineLevel="0" collapsed="false">
      <c r="A55" s="0" t="s">
        <v>196</v>
      </c>
      <c r="B55" s="0" t="s">
        <v>197</v>
      </c>
      <c r="C55" s="0" t="n">
        <v>0.313</v>
      </c>
      <c r="D55" s="0" t="n">
        <v>15.375</v>
      </c>
      <c r="E55" s="0" t="n">
        <v>1</v>
      </c>
      <c r="F55" s="0" t="s">
        <v>62</v>
      </c>
      <c r="G55" s="0" t="n">
        <v>16</v>
      </c>
      <c r="H55" s="0" t="n">
        <v>4.81</v>
      </c>
      <c r="I55" s="0" t="s">
        <v>198</v>
      </c>
      <c r="J55" s="0" t="s">
        <v>186</v>
      </c>
      <c r="K55" s="0" t="s">
        <v>65</v>
      </c>
    </row>
    <row r="56" customFormat="false" ht="15" hidden="false" customHeight="false" outlineLevel="0" collapsed="false">
      <c r="A56" s="0" t="s">
        <v>199</v>
      </c>
      <c r="B56" s="0" t="s">
        <v>200</v>
      </c>
      <c r="C56" s="0" t="n">
        <v>2.98</v>
      </c>
      <c r="D56" s="0" t="n">
        <v>12.92</v>
      </c>
      <c r="E56" s="0" t="n">
        <v>1</v>
      </c>
      <c r="F56" s="0" t="s">
        <v>62</v>
      </c>
      <c r="G56" s="0" t="n">
        <v>16</v>
      </c>
      <c r="H56" s="0" t="n">
        <v>38.5</v>
      </c>
      <c r="I56" s="0" t="s">
        <v>201</v>
      </c>
      <c r="J56" s="0" t="s">
        <v>186</v>
      </c>
      <c r="K56" s="0" t="s">
        <v>65</v>
      </c>
    </row>
    <row r="57" customFormat="false" ht="15" hidden="false" customHeight="false" outlineLevel="0" collapsed="false">
      <c r="A57" s="0" t="s">
        <v>202</v>
      </c>
      <c r="B57" s="0" t="s">
        <v>203</v>
      </c>
      <c r="C57" s="0" t="n">
        <v>0.227</v>
      </c>
      <c r="D57" s="0" t="n">
        <v>12.92</v>
      </c>
      <c r="E57" s="0" t="n">
        <v>1</v>
      </c>
      <c r="F57" s="0" t="s">
        <v>62</v>
      </c>
      <c r="G57" s="0" t="n">
        <v>16</v>
      </c>
      <c r="H57" s="0" t="n">
        <v>2.93</v>
      </c>
      <c r="I57" s="0" t="s">
        <v>204</v>
      </c>
      <c r="J57" s="0" t="s">
        <v>186</v>
      </c>
      <c r="K57" s="0" t="s">
        <v>65</v>
      </c>
    </row>
    <row r="58" customFormat="false" ht="15" hidden="false" customHeight="false" outlineLevel="0" collapsed="false">
      <c r="A58" s="0" t="s">
        <v>205</v>
      </c>
      <c r="B58" s="0" t="s">
        <v>206</v>
      </c>
      <c r="C58" s="0" t="n">
        <v>4</v>
      </c>
      <c r="D58" s="0" t="n">
        <v>14.383</v>
      </c>
      <c r="E58" s="0" t="n">
        <v>3</v>
      </c>
      <c r="F58" s="0" t="s">
        <v>62</v>
      </c>
      <c r="G58" s="0" t="n">
        <v>16</v>
      </c>
      <c r="H58" s="0" t="n">
        <v>50.72</v>
      </c>
      <c r="I58" s="0" t="s">
        <v>207</v>
      </c>
      <c r="J58" s="0" t="s">
        <v>186</v>
      </c>
      <c r="K58" s="0" t="s">
        <v>65</v>
      </c>
    </row>
    <row r="59" customFormat="false" ht="15" hidden="false" customHeight="false" outlineLevel="0" collapsed="false">
      <c r="A59" s="0" t="s">
        <v>208</v>
      </c>
      <c r="B59" s="0" t="s">
        <v>209</v>
      </c>
      <c r="C59" s="0" t="n">
        <v>2.94</v>
      </c>
      <c r="D59" s="0" t="n">
        <v>14.383</v>
      </c>
      <c r="E59" s="0" t="n">
        <v>2</v>
      </c>
      <c r="F59" s="0" t="s">
        <v>62</v>
      </c>
      <c r="G59" s="0" t="n">
        <v>16</v>
      </c>
      <c r="H59" s="0" t="n">
        <v>40.27</v>
      </c>
      <c r="I59" s="0" t="s">
        <v>210</v>
      </c>
      <c r="J59" s="0" t="s">
        <v>186</v>
      </c>
      <c r="K59" s="0" t="s">
        <v>65</v>
      </c>
    </row>
    <row r="60" customFormat="false" ht="15" hidden="false" customHeight="false" outlineLevel="0" collapsed="false">
      <c r="A60" s="0" t="s">
        <v>211</v>
      </c>
      <c r="B60" s="0" t="s">
        <v>212</v>
      </c>
      <c r="C60" s="0" t="n">
        <v>3.266</v>
      </c>
      <c r="D60" s="0" t="n">
        <v>14.358</v>
      </c>
      <c r="E60" s="0" t="n">
        <v>2</v>
      </c>
      <c r="F60" s="0" t="s">
        <v>213</v>
      </c>
      <c r="G60" s="0" t="n">
        <v>16</v>
      </c>
      <c r="H60" s="0" t="n">
        <v>50.21</v>
      </c>
      <c r="I60" s="0" t="s">
        <v>214</v>
      </c>
      <c r="J60" s="0" t="s">
        <v>215</v>
      </c>
      <c r="K60" s="0" t="s">
        <v>65</v>
      </c>
    </row>
    <row r="61" customFormat="false" ht="15" hidden="false" customHeight="false" outlineLevel="0" collapsed="false">
      <c r="A61" s="0" t="s">
        <v>216</v>
      </c>
      <c r="B61" s="0" t="s">
        <v>217</v>
      </c>
      <c r="C61" s="0" t="n">
        <v>3.82</v>
      </c>
      <c r="D61" s="0" t="n">
        <v>14.358</v>
      </c>
      <c r="E61" s="0" t="n">
        <v>2</v>
      </c>
      <c r="F61" s="0" t="s">
        <v>213</v>
      </c>
      <c r="G61" s="0" t="n">
        <v>16</v>
      </c>
      <c r="H61" s="0" t="n">
        <v>58.73</v>
      </c>
      <c r="I61" s="0" t="s">
        <v>218</v>
      </c>
      <c r="J61" s="0" t="s">
        <v>219</v>
      </c>
      <c r="K61" s="0" t="s">
        <v>65</v>
      </c>
    </row>
    <row r="62" customFormat="false" ht="15" hidden="false" customHeight="false" outlineLevel="0" collapsed="false">
      <c r="A62" s="5" t="s">
        <v>220</v>
      </c>
    </row>
    <row r="63" customFormat="false" ht="15" hidden="false" customHeight="false" outlineLevel="0" collapsed="false">
      <c r="A63" s="0" t="s">
        <v>221</v>
      </c>
      <c r="B63" s="0" t="s">
        <v>222</v>
      </c>
      <c r="C63" s="0" t="n">
        <v>21.889</v>
      </c>
      <c r="D63" s="0" t="n">
        <v>14.358</v>
      </c>
      <c r="E63" s="0" t="n">
        <v>4</v>
      </c>
      <c r="F63" s="0" t="s">
        <v>84</v>
      </c>
      <c r="G63" s="0" t="n">
        <v>16</v>
      </c>
      <c r="H63" s="0" t="n">
        <v>307.52</v>
      </c>
      <c r="I63" s="0" t="s">
        <v>223</v>
      </c>
      <c r="J63" s="0" t="s">
        <v>224</v>
      </c>
      <c r="K63" s="0" t="s">
        <v>65</v>
      </c>
    </row>
    <row r="64" customFormat="false" ht="15" hidden="false" customHeight="false" outlineLevel="0" collapsed="false">
      <c r="A64" s="0" t="s">
        <v>225</v>
      </c>
      <c r="B64" s="0" t="s">
        <v>226</v>
      </c>
      <c r="C64" s="0" t="n">
        <v>3.913</v>
      </c>
      <c r="D64" s="0" t="n">
        <v>14.358</v>
      </c>
      <c r="E64" s="0" t="n">
        <v>1</v>
      </c>
      <c r="F64" s="0" t="s">
        <v>84</v>
      </c>
      <c r="G64" s="0" t="n">
        <v>16</v>
      </c>
      <c r="H64" s="0" t="n">
        <v>60.16</v>
      </c>
      <c r="I64" s="0" t="s">
        <v>227</v>
      </c>
      <c r="J64" s="0" t="s">
        <v>224</v>
      </c>
      <c r="K64" s="0" t="s">
        <v>65</v>
      </c>
    </row>
    <row r="65" customFormat="false" ht="15" hidden="false" customHeight="false" outlineLevel="0" collapsed="false">
      <c r="A65" s="0" t="s">
        <v>228</v>
      </c>
      <c r="B65" s="0" t="s">
        <v>229</v>
      </c>
      <c r="C65" s="0" t="n">
        <v>46.947</v>
      </c>
      <c r="D65" s="0" t="n">
        <v>13.057</v>
      </c>
      <c r="E65" s="0" t="n">
        <v>5</v>
      </c>
      <c r="F65" s="0" t="s">
        <v>84</v>
      </c>
      <c r="G65" s="0" t="n">
        <v>16</v>
      </c>
      <c r="H65" s="0" t="n">
        <v>579.42</v>
      </c>
      <c r="I65" s="0" t="s">
        <v>230</v>
      </c>
      <c r="J65" s="0" t="s">
        <v>231</v>
      </c>
      <c r="K65" s="0" t="s">
        <v>65</v>
      </c>
    </row>
    <row r="66" customFormat="false" ht="15" hidden="false" customHeight="false" outlineLevel="0" collapsed="false">
      <c r="A66" s="0" t="s">
        <v>232</v>
      </c>
      <c r="B66" s="0" t="s">
        <v>233</v>
      </c>
      <c r="C66" s="0" t="n">
        <v>53.5</v>
      </c>
      <c r="D66" s="0" t="n">
        <v>11.171</v>
      </c>
      <c r="E66" s="0" t="n">
        <v>8</v>
      </c>
      <c r="F66" s="0" t="s">
        <v>84</v>
      </c>
      <c r="G66" s="0" t="n">
        <v>16</v>
      </c>
      <c r="H66" s="0" t="n">
        <v>595.77</v>
      </c>
      <c r="I66" s="0" t="s">
        <v>234</v>
      </c>
      <c r="J66" s="0" t="s">
        <v>235</v>
      </c>
      <c r="K66" s="0" t="s">
        <v>65</v>
      </c>
    </row>
    <row r="67" customFormat="false" ht="15" hidden="false" customHeight="false" outlineLevel="0" collapsed="false">
      <c r="A67" s="0" t="s">
        <v>236</v>
      </c>
      <c r="B67" s="0" t="s">
        <v>237</v>
      </c>
      <c r="C67" s="0" t="n">
        <v>75.334</v>
      </c>
      <c r="D67" s="0" t="n">
        <v>13.547</v>
      </c>
      <c r="E67" s="0" t="n">
        <v>9</v>
      </c>
      <c r="F67" s="0" t="s">
        <v>84</v>
      </c>
      <c r="G67" s="0" t="n">
        <v>16</v>
      </c>
      <c r="H67" s="0" t="n">
        <v>989.23</v>
      </c>
      <c r="I67" s="0" t="s">
        <v>238</v>
      </c>
      <c r="J67" s="0" t="s">
        <v>239</v>
      </c>
      <c r="K67" s="0" t="s">
        <v>65</v>
      </c>
    </row>
    <row r="68" customFormat="false" ht="15" hidden="false" customHeight="false" outlineLevel="0" collapsed="false">
      <c r="A68" s="0" t="s">
        <v>240</v>
      </c>
      <c r="B68" s="0" t="s">
        <v>241</v>
      </c>
      <c r="C68" s="0" t="n">
        <v>13.607</v>
      </c>
      <c r="D68" s="0" t="n">
        <v>14.358</v>
      </c>
      <c r="E68" s="0" t="n">
        <v>3</v>
      </c>
      <c r="F68" s="0" t="s">
        <v>84</v>
      </c>
      <c r="G68" s="0" t="n">
        <v>16</v>
      </c>
      <c r="H68" s="0" t="n">
        <v>180.9</v>
      </c>
      <c r="I68" s="0" t="s">
        <v>242</v>
      </c>
      <c r="J68" s="0" t="s">
        <v>243</v>
      </c>
      <c r="K68" s="0" t="s">
        <v>65</v>
      </c>
    </row>
    <row r="69" customFormat="false" ht="15" hidden="false" customHeight="false" outlineLevel="0" collapsed="false">
      <c r="A69" s="5" t="s">
        <v>244</v>
      </c>
    </row>
    <row r="70" customFormat="false" ht="15" hidden="false" customHeight="false" outlineLevel="0" collapsed="false">
      <c r="A70" s="0" t="s">
        <v>245</v>
      </c>
      <c r="B70" s="0" t="s">
        <v>246</v>
      </c>
      <c r="C70" s="0" t="n">
        <v>16.483</v>
      </c>
      <c r="D70" s="0" t="n">
        <v>4.292</v>
      </c>
      <c r="E70" s="0" t="n">
        <v>0</v>
      </c>
      <c r="F70" s="0" t="s">
        <v>247</v>
      </c>
      <c r="G70" s="0" t="n">
        <v>16</v>
      </c>
      <c r="H70" s="0" t="n">
        <v>0</v>
      </c>
      <c r="I70" s="0" t="s">
        <v>248</v>
      </c>
      <c r="J70" s="0" t="s">
        <v>249</v>
      </c>
      <c r="K70" s="0" t="s">
        <v>65</v>
      </c>
    </row>
    <row r="71" customFormat="false" ht="15" hidden="false" customHeight="false" outlineLevel="0" collapsed="false">
      <c r="A71" s="0" t="s">
        <v>250</v>
      </c>
      <c r="B71" s="0" t="s">
        <v>251</v>
      </c>
      <c r="C71" s="0" t="n">
        <v>3.919</v>
      </c>
      <c r="D71" s="0" t="n">
        <v>4.292</v>
      </c>
      <c r="E71" s="0" t="n">
        <v>0</v>
      </c>
      <c r="F71" s="0" t="s">
        <v>247</v>
      </c>
      <c r="G71" s="0" t="n">
        <v>16</v>
      </c>
      <c r="H71" s="0" t="n">
        <v>0</v>
      </c>
      <c r="I71" s="0" t="s">
        <v>252</v>
      </c>
      <c r="J71" s="0" t="s">
        <v>249</v>
      </c>
      <c r="K71" s="0" t="s">
        <v>65</v>
      </c>
    </row>
    <row r="72" customFormat="false" ht="15" hidden="false" customHeight="false" outlineLevel="0" collapsed="false">
      <c r="A72" s="0" t="s">
        <v>253</v>
      </c>
      <c r="B72" s="0" t="s">
        <v>254</v>
      </c>
      <c r="C72" s="0" t="n">
        <v>29.002</v>
      </c>
      <c r="D72" s="0" t="n">
        <v>4.292</v>
      </c>
      <c r="E72" s="0" t="n">
        <v>0</v>
      </c>
      <c r="F72" s="0" t="s">
        <v>247</v>
      </c>
      <c r="G72" s="0" t="n">
        <v>16</v>
      </c>
      <c r="H72" s="0" t="n">
        <v>0</v>
      </c>
      <c r="I72" s="0" t="s">
        <v>255</v>
      </c>
      <c r="J72" s="0" t="s">
        <v>249</v>
      </c>
      <c r="K72" s="0" t="s">
        <v>65</v>
      </c>
    </row>
    <row r="73" customFormat="false" ht="15" hidden="false" customHeight="false" outlineLevel="0" collapsed="false">
      <c r="A73" s="0" t="s">
        <v>256</v>
      </c>
      <c r="B73" s="0" t="s">
        <v>257</v>
      </c>
      <c r="C73" s="0" t="n">
        <v>3.867</v>
      </c>
      <c r="D73" s="0" t="n">
        <v>4.292</v>
      </c>
      <c r="E73" s="0" t="n">
        <v>0</v>
      </c>
      <c r="F73" s="0" t="s">
        <v>247</v>
      </c>
      <c r="G73" s="0" t="n">
        <v>16</v>
      </c>
      <c r="H73" s="0" t="n">
        <v>0</v>
      </c>
      <c r="I73" s="0" t="s">
        <v>258</v>
      </c>
      <c r="J73" s="0" t="s">
        <v>249</v>
      </c>
      <c r="K73" s="0" t="s">
        <v>65</v>
      </c>
    </row>
    <row r="74" customFormat="false" ht="15" hidden="false" customHeight="false" outlineLevel="0" collapsed="false">
      <c r="A74" s="0" t="s">
        <v>259</v>
      </c>
      <c r="B74" s="0" t="s">
        <v>260</v>
      </c>
      <c r="C74" s="0" t="n">
        <v>39.717</v>
      </c>
      <c r="D74" s="0" t="n">
        <v>2.042</v>
      </c>
      <c r="E74" s="0" t="n">
        <v>0</v>
      </c>
      <c r="F74" s="0" t="s">
        <v>247</v>
      </c>
      <c r="G74" s="0" t="n">
        <v>16</v>
      </c>
      <c r="H74" s="0" t="n">
        <v>0</v>
      </c>
      <c r="I74" s="0" t="s">
        <v>261</v>
      </c>
      <c r="J74" s="0" t="s">
        <v>249</v>
      </c>
      <c r="K74" s="0" t="s">
        <v>65</v>
      </c>
    </row>
    <row r="75" customFormat="false" ht="15" hidden="false" customHeight="false" outlineLevel="0" collapsed="false">
      <c r="A75" s="0" t="s">
        <v>262</v>
      </c>
      <c r="B75" s="0" t="s">
        <v>263</v>
      </c>
      <c r="C75" s="0" t="n">
        <v>75.931</v>
      </c>
      <c r="D75" s="0" t="n">
        <v>2.901</v>
      </c>
      <c r="E75" s="0" t="n">
        <v>0</v>
      </c>
      <c r="F75" s="0" t="s">
        <v>247</v>
      </c>
      <c r="G75" s="0" t="n">
        <v>16</v>
      </c>
      <c r="H75" s="0" t="n">
        <v>0</v>
      </c>
      <c r="I75" s="0" t="s">
        <v>264</v>
      </c>
      <c r="J75" s="0" t="s">
        <v>249</v>
      </c>
      <c r="K75" s="0" t="s">
        <v>65</v>
      </c>
    </row>
    <row r="76" customFormat="false" ht="15" hidden="false" customHeight="false" outlineLevel="0" collapsed="false">
      <c r="A76" s="0" t="s">
        <v>265</v>
      </c>
      <c r="B76" s="0" t="s">
        <v>266</v>
      </c>
      <c r="C76" s="0" t="n">
        <v>47.922</v>
      </c>
      <c r="D76" s="0" t="n">
        <v>3.403</v>
      </c>
      <c r="E76" s="0" t="n">
        <v>0</v>
      </c>
      <c r="F76" s="0" t="s">
        <v>247</v>
      </c>
      <c r="G76" s="0" t="n">
        <v>16</v>
      </c>
      <c r="H76" s="0" t="n">
        <v>0</v>
      </c>
      <c r="I76" s="0" t="s">
        <v>267</v>
      </c>
      <c r="J76" s="0" t="s">
        <v>249</v>
      </c>
      <c r="K76" s="0" t="s">
        <v>65</v>
      </c>
    </row>
    <row r="77" customFormat="false" ht="15" hidden="false" customHeight="false" outlineLevel="0" collapsed="false">
      <c r="A77" s="0" t="s">
        <v>268</v>
      </c>
      <c r="B77" s="0" t="s">
        <v>269</v>
      </c>
      <c r="C77" s="0" t="n">
        <v>52.333</v>
      </c>
      <c r="D77" s="0" t="n">
        <v>4.886</v>
      </c>
      <c r="E77" s="0" t="n">
        <v>0</v>
      </c>
      <c r="F77" s="0" t="s">
        <v>247</v>
      </c>
      <c r="G77" s="0" t="n">
        <v>16</v>
      </c>
      <c r="H77" s="0" t="n">
        <v>0</v>
      </c>
      <c r="I77" s="0" t="s">
        <v>270</v>
      </c>
      <c r="J77" s="0" t="s">
        <v>249</v>
      </c>
      <c r="K77" s="0" t="s">
        <v>65</v>
      </c>
    </row>
    <row r="78" customFormat="false" ht="15" hidden="false" customHeight="false" outlineLevel="0" collapsed="false">
      <c r="A78" s="5" t="s">
        <v>271</v>
      </c>
    </row>
    <row r="79" customFormat="false" ht="15" hidden="false" customHeight="false" outlineLevel="0" collapsed="false">
      <c r="A79" s="0" t="s">
        <v>272</v>
      </c>
      <c r="B79" s="0" t="s">
        <v>273</v>
      </c>
      <c r="C79" s="0" t="n">
        <v>5.667</v>
      </c>
      <c r="D79" s="0" t="n">
        <v>10.604</v>
      </c>
      <c r="E79" s="0" t="n">
        <v>0</v>
      </c>
      <c r="F79" s="0" t="s">
        <v>62</v>
      </c>
      <c r="G79" s="0" t="n">
        <v>16</v>
      </c>
      <c r="H79" s="0" t="n">
        <v>0</v>
      </c>
      <c r="I79" s="0" t="s">
        <v>274</v>
      </c>
      <c r="J79" s="0" t="s">
        <v>275</v>
      </c>
      <c r="K79" s="0" t="s">
        <v>65</v>
      </c>
    </row>
    <row r="80" customFormat="false" ht="15" hidden="false" customHeight="false" outlineLevel="0" collapsed="false">
      <c r="A80" s="0" t="s">
        <v>276</v>
      </c>
      <c r="B80" s="0" t="s">
        <v>277</v>
      </c>
      <c r="C80" s="0" t="n">
        <v>5.667</v>
      </c>
      <c r="D80" s="0" t="n">
        <v>10.604</v>
      </c>
      <c r="E80" s="0" t="n">
        <v>0</v>
      </c>
      <c r="F80" s="0" t="s">
        <v>62</v>
      </c>
      <c r="G80" s="0" t="n">
        <v>16</v>
      </c>
      <c r="H80" s="0" t="n">
        <v>0</v>
      </c>
      <c r="I80" s="0" t="s">
        <v>278</v>
      </c>
      <c r="J80" s="0" t="s">
        <v>275</v>
      </c>
      <c r="K80" s="0" t="s">
        <v>65</v>
      </c>
    </row>
    <row r="81" customFormat="false" ht="15" hidden="false" customHeight="false" outlineLevel="0" collapsed="false">
      <c r="A81" s="0" t="s">
        <v>279</v>
      </c>
      <c r="B81" s="0" t="s">
        <v>280</v>
      </c>
      <c r="C81" s="0" t="n">
        <v>5.667</v>
      </c>
      <c r="D81" s="0" t="n">
        <v>10.604</v>
      </c>
      <c r="E81" s="0" t="n">
        <v>0</v>
      </c>
      <c r="F81" s="0" t="s">
        <v>62</v>
      </c>
      <c r="G81" s="0" t="n">
        <v>16</v>
      </c>
      <c r="H81" s="0" t="n">
        <v>0</v>
      </c>
      <c r="I81" s="0" t="s">
        <v>281</v>
      </c>
      <c r="J81" s="0" t="s">
        <v>275</v>
      </c>
      <c r="K81" s="0" t="s">
        <v>65</v>
      </c>
    </row>
    <row r="82" customFormat="false" ht="15" hidden="false" customHeight="false" outlineLevel="0" collapsed="false">
      <c r="A82" s="0" t="s">
        <v>282</v>
      </c>
      <c r="B82" s="0" t="s">
        <v>283</v>
      </c>
      <c r="C82" s="0" t="n">
        <v>5.667</v>
      </c>
      <c r="D82" s="0" t="n">
        <v>10.604</v>
      </c>
      <c r="E82" s="0" t="n">
        <v>0</v>
      </c>
      <c r="F82" s="0" t="s">
        <v>62</v>
      </c>
      <c r="G82" s="0" t="n">
        <v>16</v>
      </c>
      <c r="H82" s="0" t="n">
        <v>0</v>
      </c>
      <c r="I82" s="0" t="s">
        <v>284</v>
      </c>
      <c r="J82" s="0" t="s">
        <v>275</v>
      </c>
      <c r="K82" s="0" t="s">
        <v>65</v>
      </c>
    </row>
    <row r="83" customFormat="false" ht="15" hidden="false" customHeight="false" outlineLevel="0" collapsed="false">
      <c r="B83" s="6" t="s">
        <v>285</v>
      </c>
      <c r="C83" s="4" t="n">
        <f aca="false">SUM(C5:C82)</f>
        <v>960.483</v>
      </c>
      <c r="H83" s="4" t="n">
        <f aca="false">SUM(H5:H82)</f>
        <v>15879.7</v>
      </c>
    </row>
    <row r="85" customFormat="false" ht="15" hidden="false" customHeight="false" outlineLevel="0" collapsed="false">
      <c r="A85" s="5" t="s">
        <v>286</v>
      </c>
    </row>
    <row r="86" customFormat="false" ht="15" hidden="false" customHeight="false" outlineLevel="0" collapsed="false">
      <c r="A86" s="0" t="s">
        <v>287</v>
      </c>
      <c r="B86" s="0" t="s">
        <v>288</v>
      </c>
      <c r="C86" s="0" t="n">
        <v>17.028</v>
      </c>
      <c r="D86" s="0" t="n">
        <v>4.375</v>
      </c>
      <c r="E86" s="0" t="n">
        <v>1</v>
      </c>
      <c r="F86" s="0" t="s">
        <v>62</v>
      </c>
      <c r="G86" s="0" t="n">
        <v>16</v>
      </c>
      <c r="H86" s="0" t="n">
        <v>8.51</v>
      </c>
      <c r="I86" s="0" t="s">
        <v>289</v>
      </c>
      <c r="J86" s="0" t="s">
        <v>290</v>
      </c>
      <c r="K86" s="0" t="s">
        <v>65</v>
      </c>
    </row>
    <row r="87" customFormat="false" ht="15" hidden="false" customHeight="false" outlineLevel="0" collapsed="false">
      <c r="A87" s="0" t="s">
        <v>291</v>
      </c>
      <c r="B87" s="0" t="s">
        <v>292</v>
      </c>
      <c r="C87" s="0" t="n">
        <v>30</v>
      </c>
      <c r="D87" s="0" t="n">
        <v>4.375</v>
      </c>
      <c r="E87" s="0" t="n">
        <v>1</v>
      </c>
      <c r="F87" s="0" t="s">
        <v>62</v>
      </c>
      <c r="G87" s="0" t="n">
        <v>16</v>
      </c>
      <c r="H87" s="0" t="n">
        <v>15</v>
      </c>
      <c r="I87" s="0" t="s">
        <v>293</v>
      </c>
      <c r="J87" s="0" t="s">
        <v>290</v>
      </c>
      <c r="K87" s="0" t="s">
        <v>65</v>
      </c>
    </row>
    <row r="88" customFormat="false" ht="15" hidden="false" customHeight="false" outlineLevel="0" collapsed="false">
      <c r="A88" s="0" t="s">
        <v>294</v>
      </c>
      <c r="B88" s="0" t="s">
        <v>295</v>
      </c>
      <c r="C88" s="0" t="n">
        <v>30</v>
      </c>
      <c r="D88" s="0" t="n">
        <v>4.375</v>
      </c>
      <c r="E88" s="0" t="n">
        <v>1</v>
      </c>
      <c r="F88" s="0" t="s">
        <v>62</v>
      </c>
      <c r="G88" s="0" t="n">
        <v>16</v>
      </c>
      <c r="H88" s="0" t="n">
        <v>15</v>
      </c>
      <c r="I88" s="0" t="s">
        <v>296</v>
      </c>
      <c r="J88" s="0" t="s">
        <v>290</v>
      </c>
      <c r="K88" s="0" t="s">
        <v>65</v>
      </c>
    </row>
    <row r="89" customFormat="false" ht="15" hidden="false" customHeight="false" outlineLevel="0" collapsed="false">
      <c r="A89" s="0" t="s">
        <v>297</v>
      </c>
      <c r="B89" s="0" t="s">
        <v>298</v>
      </c>
      <c r="C89" s="0" t="n">
        <v>5.089</v>
      </c>
      <c r="D89" s="0" t="n">
        <v>6.375</v>
      </c>
      <c r="E89" s="0" t="n">
        <v>1</v>
      </c>
      <c r="F89" s="0" t="s">
        <v>62</v>
      </c>
      <c r="G89" s="0" t="n">
        <v>16</v>
      </c>
      <c r="H89" s="0" t="n">
        <v>15.27</v>
      </c>
      <c r="I89" s="0" t="s">
        <v>299</v>
      </c>
      <c r="J89" s="0" t="s">
        <v>300</v>
      </c>
      <c r="K89" s="0" t="s">
        <v>65</v>
      </c>
    </row>
    <row r="90" customFormat="false" ht="15" hidden="false" customHeight="false" outlineLevel="0" collapsed="false">
      <c r="A90" s="0" t="s">
        <v>301</v>
      </c>
      <c r="B90" s="0" t="s">
        <v>302</v>
      </c>
      <c r="C90" s="0" t="n">
        <v>6.433</v>
      </c>
      <c r="D90" s="0" t="n">
        <v>7.375</v>
      </c>
      <c r="E90" s="0" t="n">
        <v>1</v>
      </c>
      <c r="F90" s="0" t="s">
        <v>62</v>
      </c>
      <c r="G90" s="0" t="n">
        <v>16</v>
      </c>
      <c r="H90" s="0" t="n">
        <v>9.65</v>
      </c>
      <c r="I90" s="0" t="s">
        <v>303</v>
      </c>
      <c r="J90" s="0" t="s">
        <v>304</v>
      </c>
      <c r="K90" s="0" t="s">
        <v>65</v>
      </c>
    </row>
    <row r="91" customFormat="false" ht="15" hidden="false" customHeight="false" outlineLevel="0" collapsed="false">
      <c r="A91" s="0" t="s">
        <v>305</v>
      </c>
      <c r="B91" s="0" t="s">
        <v>306</v>
      </c>
      <c r="C91" s="0" t="n">
        <v>5.578</v>
      </c>
      <c r="D91" s="0" t="n">
        <v>5.052</v>
      </c>
      <c r="E91" s="0" t="n">
        <v>1</v>
      </c>
      <c r="F91" s="0" t="s">
        <v>62</v>
      </c>
      <c r="G91" s="0" t="n">
        <v>16</v>
      </c>
      <c r="H91" s="0" t="n">
        <v>8.37</v>
      </c>
      <c r="I91" s="0" t="s">
        <v>307</v>
      </c>
      <c r="J91" s="0" t="s">
        <v>304</v>
      </c>
      <c r="K91" s="0" t="s">
        <v>65</v>
      </c>
    </row>
    <row r="92" customFormat="false" ht="15" hidden="false" customHeight="false" outlineLevel="0" collapsed="false">
      <c r="A92" s="0" t="s">
        <v>308</v>
      </c>
      <c r="B92" s="0" t="s">
        <v>309</v>
      </c>
      <c r="C92" s="0" t="n">
        <v>6.433</v>
      </c>
      <c r="D92" s="0" t="n">
        <v>7.375</v>
      </c>
      <c r="E92" s="0" t="n">
        <v>1</v>
      </c>
      <c r="F92" s="0" t="s">
        <v>62</v>
      </c>
      <c r="G92" s="0" t="n">
        <v>16</v>
      </c>
      <c r="H92" s="0" t="n">
        <v>9.65</v>
      </c>
      <c r="I92" s="0" t="s">
        <v>310</v>
      </c>
      <c r="J92" s="0" t="s">
        <v>304</v>
      </c>
      <c r="K92" s="0" t="s">
        <v>65</v>
      </c>
    </row>
    <row r="93" customFormat="false" ht="15" hidden="false" customHeight="false" outlineLevel="0" collapsed="false">
      <c r="A93" s="0" t="s">
        <v>311</v>
      </c>
      <c r="B93" s="0" t="s">
        <v>312</v>
      </c>
      <c r="C93" s="0" t="n">
        <v>5.578</v>
      </c>
      <c r="D93" s="0" t="n">
        <v>5.052</v>
      </c>
      <c r="E93" s="0" t="n">
        <v>1</v>
      </c>
      <c r="F93" s="0" t="s">
        <v>62</v>
      </c>
      <c r="G93" s="0" t="n">
        <v>16</v>
      </c>
      <c r="H93" s="0" t="n">
        <v>8.37</v>
      </c>
      <c r="I93" s="0" t="s">
        <v>313</v>
      </c>
      <c r="J93" s="0" t="s">
        <v>304</v>
      </c>
      <c r="K93" s="0" t="s">
        <v>65</v>
      </c>
    </row>
    <row r="94" customFormat="false" ht="15" hidden="false" customHeight="false" outlineLevel="0" collapsed="false">
      <c r="A94" s="0" t="s">
        <v>314</v>
      </c>
      <c r="B94" s="0" t="s">
        <v>315</v>
      </c>
      <c r="C94" s="0" t="n">
        <v>15.646</v>
      </c>
      <c r="D94" s="0" t="n">
        <v>5.375</v>
      </c>
      <c r="E94" s="0" t="n">
        <v>0</v>
      </c>
      <c r="F94" s="0" t="s">
        <v>62</v>
      </c>
      <c r="G94" s="0" t="n">
        <v>16</v>
      </c>
      <c r="H94" s="0" t="n">
        <v>0</v>
      </c>
      <c r="I94" s="0" t="s">
        <v>316</v>
      </c>
      <c r="J94" s="0" t="s">
        <v>317</v>
      </c>
      <c r="K94" s="0" t="s">
        <v>65</v>
      </c>
    </row>
    <row r="95" customFormat="false" ht="15" hidden="false" customHeight="false" outlineLevel="0" collapsed="false">
      <c r="A95" s="0" t="s">
        <v>318</v>
      </c>
      <c r="B95" s="0" t="s">
        <v>319</v>
      </c>
      <c r="C95" s="0" t="n">
        <v>7.656</v>
      </c>
      <c r="D95" s="0" t="n">
        <v>4.383</v>
      </c>
      <c r="E95" s="0" t="n">
        <v>0</v>
      </c>
      <c r="F95" s="0" t="s">
        <v>62</v>
      </c>
      <c r="G95" s="0" t="n">
        <v>16</v>
      </c>
      <c r="H95" s="0" t="n">
        <v>0</v>
      </c>
      <c r="I95" s="0" t="s">
        <v>320</v>
      </c>
      <c r="J95" s="0" t="s">
        <v>321</v>
      </c>
      <c r="K95" s="0" t="s">
        <v>65</v>
      </c>
    </row>
    <row r="96" customFormat="false" ht="15" hidden="false" customHeight="false" outlineLevel="0" collapsed="false">
      <c r="A96" s="0" t="s">
        <v>322</v>
      </c>
      <c r="B96" s="0" t="s">
        <v>323</v>
      </c>
      <c r="C96" s="0" t="n">
        <v>13.333</v>
      </c>
      <c r="D96" s="0" t="n">
        <v>2</v>
      </c>
      <c r="E96" s="0" t="n">
        <v>1</v>
      </c>
      <c r="F96" s="0" t="s">
        <v>324</v>
      </c>
      <c r="G96" s="0" t="n">
        <v>16</v>
      </c>
      <c r="H96" s="0" t="n">
        <v>26.67</v>
      </c>
      <c r="I96" s="0" t="s">
        <v>325</v>
      </c>
      <c r="J96" s="0" t="s">
        <v>326</v>
      </c>
      <c r="K96" s="0" t="s">
        <v>65</v>
      </c>
    </row>
    <row r="97" customFormat="false" ht="15" hidden="false" customHeight="false" outlineLevel="0" collapsed="false">
      <c r="A97" s="0" t="s">
        <v>327</v>
      </c>
      <c r="B97" s="0" t="s">
        <v>328</v>
      </c>
      <c r="C97" s="0" t="n">
        <v>12.562</v>
      </c>
      <c r="D97" s="0" t="n">
        <v>4.983</v>
      </c>
      <c r="E97" s="0" t="n">
        <v>1</v>
      </c>
      <c r="F97" s="0" t="s">
        <v>84</v>
      </c>
      <c r="G97" s="0" t="n">
        <v>16</v>
      </c>
      <c r="H97" s="0" t="n">
        <v>86.37</v>
      </c>
      <c r="I97" s="0" t="s">
        <v>329</v>
      </c>
      <c r="J97" s="0" t="s">
        <v>330</v>
      </c>
      <c r="K97" s="0" t="s">
        <v>331</v>
      </c>
    </row>
    <row r="98" customFormat="false" ht="15" hidden="false" customHeight="false" outlineLevel="0" collapsed="false">
      <c r="A98" s="0" t="s">
        <v>332</v>
      </c>
      <c r="B98" s="0" t="s">
        <v>333</v>
      </c>
      <c r="C98" s="0" t="n">
        <v>26.25</v>
      </c>
      <c r="D98" s="0" t="n">
        <v>4.525</v>
      </c>
      <c r="E98" s="0" t="n">
        <v>1</v>
      </c>
      <c r="F98" s="0" t="s">
        <v>84</v>
      </c>
      <c r="G98" s="0" t="n">
        <v>16</v>
      </c>
      <c r="H98" s="0" t="n">
        <v>180.47</v>
      </c>
      <c r="I98" s="0" t="s">
        <v>334</v>
      </c>
      <c r="J98" s="0" t="s">
        <v>330</v>
      </c>
      <c r="K98" s="0" t="s">
        <v>331</v>
      </c>
    </row>
    <row r="99" customFormat="false" ht="15" hidden="false" customHeight="false" outlineLevel="0" collapsed="false">
      <c r="A99" s="0" t="s">
        <v>335</v>
      </c>
      <c r="B99" s="0" t="s">
        <v>336</v>
      </c>
      <c r="C99" s="0" t="n">
        <v>6.5</v>
      </c>
      <c r="D99" s="0" t="n">
        <v>4.983</v>
      </c>
      <c r="E99" s="0" t="n">
        <v>1</v>
      </c>
      <c r="F99" s="0" t="s">
        <v>84</v>
      </c>
      <c r="G99" s="0" t="n">
        <v>16</v>
      </c>
      <c r="H99" s="0" t="n">
        <v>44.69</v>
      </c>
      <c r="I99" s="0" t="s">
        <v>337</v>
      </c>
      <c r="J99" s="0" t="s">
        <v>330</v>
      </c>
      <c r="K99" s="0" t="s">
        <v>331</v>
      </c>
    </row>
    <row r="100" customFormat="false" ht="15" hidden="false" customHeight="false" outlineLevel="0" collapsed="false">
      <c r="A100" s="0" t="s">
        <v>338</v>
      </c>
      <c r="B100" s="0" t="s">
        <v>339</v>
      </c>
      <c r="C100" s="0" t="n">
        <v>51.733</v>
      </c>
      <c r="D100" s="0" t="n">
        <v>3.114</v>
      </c>
      <c r="E100" s="0" t="n">
        <v>0</v>
      </c>
      <c r="F100" s="0" t="s">
        <v>62</v>
      </c>
      <c r="G100" s="0" t="n">
        <v>16</v>
      </c>
      <c r="H100" s="0" t="n">
        <v>0</v>
      </c>
      <c r="I100" s="0" t="s">
        <v>340</v>
      </c>
      <c r="J100" s="0" t="s">
        <v>341</v>
      </c>
      <c r="K100" s="0" t="s">
        <v>65</v>
      </c>
    </row>
    <row r="101" customFormat="false" ht="15" hidden="false" customHeight="false" outlineLevel="0" collapsed="false">
      <c r="A101" s="0" t="s">
        <v>342</v>
      </c>
      <c r="B101" s="0" t="s">
        <v>343</v>
      </c>
      <c r="C101" s="0" t="n">
        <v>37.927</v>
      </c>
      <c r="D101" s="0" t="n">
        <v>1.142</v>
      </c>
      <c r="E101" s="0" t="n">
        <v>1</v>
      </c>
      <c r="F101" s="0" t="s">
        <v>62</v>
      </c>
      <c r="G101" s="0" t="n">
        <v>16</v>
      </c>
      <c r="H101" s="0" t="n">
        <v>43.31</v>
      </c>
      <c r="I101" s="0" t="s">
        <v>344</v>
      </c>
      <c r="J101" s="0" t="s">
        <v>341</v>
      </c>
      <c r="K101" s="0" t="s">
        <v>65</v>
      </c>
    </row>
    <row r="102" customFormat="false" ht="15" hidden="false" customHeight="false" outlineLevel="0" collapsed="false">
      <c r="A102" s="0" t="s">
        <v>345</v>
      </c>
      <c r="B102" s="0" t="s">
        <v>346</v>
      </c>
      <c r="C102" s="0" t="n">
        <v>37.927</v>
      </c>
      <c r="D102" s="0" t="n">
        <v>3.465</v>
      </c>
      <c r="E102" s="0" t="n">
        <v>1</v>
      </c>
      <c r="F102" s="0" t="s">
        <v>62</v>
      </c>
      <c r="G102" s="0" t="n">
        <v>16</v>
      </c>
      <c r="H102" s="0" t="n">
        <v>131.42</v>
      </c>
      <c r="I102" s="0" t="s">
        <v>347</v>
      </c>
      <c r="J102" s="0" t="s">
        <v>341</v>
      </c>
      <c r="K102" s="0" t="s">
        <v>65</v>
      </c>
    </row>
    <row r="103" customFormat="false" ht="15" hidden="false" customHeight="false" outlineLevel="0" collapsed="false">
      <c r="A103" s="0" t="s">
        <v>348</v>
      </c>
      <c r="B103" s="0" t="s">
        <v>349</v>
      </c>
      <c r="C103" s="0" t="n">
        <v>17.578</v>
      </c>
      <c r="D103" s="0" t="n">
        <v>1.865</v>
      </c>
      <c r="E103" s="0" t="n">
        <v>0</v>
      </c>
      <c r="F103" s="0" t="s">
        <v>62</v>
      </c>
      <c r="G103" s="0" t="n">
        <v>16</v>
      </c>
      <c r="H103" s="0" t="n">
        <v>0</v>
      </c>
      <c r="I103" s="0" t="s">
        <v>350</v>
      </c>
      <c r="J103" s="0" t="s">
        <v>351</v>
      </c>
      <c r="K103" s="0" t="s">
        <v>65</v>
      </c>
    </row>
    <row r="104" customFormat="false" ht="15" hidden="false" customHeight="false" outlineLevel="0" collapsed="false">
      <c r="A104" s="0" t="s">
        <v>352</v>
      </c>
      <c r="B104" s="0" t="s">
        <v>353</v>
      </c>
      <c r="C104" s="0" t="n">
        <v>17.74</v>
      </c>
      <c r="D104" s="0" t="n">
        <v>1.865</v>
      </c>
      <c r="E104" s="0" t="n">
        <v>0</v>
      </c>
      <c r="F104" s="0" t="s">
        <v>62</v>
      </c>
      <c r="G104" s="0" t="n">
        <v>16</v>
      </c>
      <c r="H104" s="0" t="n">
        <v>0</v>
      </c>
      <c r="I104" s="0" t="s">
        <v>354</v>
      </c>
      <c r="J104" s="0" t="s">
        <v>351</v>
      </c>
      <c r="K104" s="0" t="s">
        <v>65</v>
      </c>
    </row>
    <row r="105" customFormat="false" ht="15" hidden="false" customHeight="false" outlineLevel="0" collapsed="false">
      <c r="A105" s="0" t="s">
        <v>355</v>
      </c>
      <c r="B105" s="0" t="s">
        <v>356</v>
      </c>
      <c r="C105" s="0" t="n">
        <v>39.849</v>
      </c>
      <c r="D105" s="0" t="n">
        <v>1.865</v>
      </c>
      <c r="E105" s="0" t="n">
        <v>0</v>
      </c>
      <c r="F105" s="0" t="s">
        <v>62</v>
      </c>
      <c r="G105" s="0" t="n">
        <v>16</v>
      </c>
      <c r="H105" s="0" t="n">
        <v>0</v>
      </c>
      <c r="I105" s="0" t="s">
        <v>357</v>
      </c>
      <c r="J105" s="0" t="s">
        <v>351</v>
      </c>
      <c r="K105" s="0" t="s">
        <v>65</v>
      </c>
    </row>
    <row r="106" customFormat="false" ht="15" hidden="false" customHeight="false" outlineLevel="0" collapsed="false">
      <c r="A106" s="0" t="s">
        <v>358</v>
      </c>
      <c r="B106" s="0" t="s">
        <v>359</v>
      </c>
      <c r="C106" s="0" t="n">
        <v>2.989</v>
      </c>
      <c r="D106" s="0" t="n">
        <v>1.865</v>
      </c>
      <c r="E106" s="0" t="n">
        <v>0</v>
      </c>
      <c r="F106" s="0" t="s">
        <v>62</v>
      </c>
      <c r="G106" s="0" t="n">
        <v>16</v>
      </c>
      <c r="H106" s="0" t="n">
        <v>0</v>
      </c>
      <c r="I106" s="0" t="s">
        <v>360</v>
      </c>
      <c r="J106" s="0" t="s">
        <v>351</v>
      </c>
      <c r="K106" s="0" t="s">
        <v>65</v>
      </c>
    </row>
    <row r="107" customFormat="false" ht="15" hidden="false" customHeight="false" outlineLevel="0" collapsed="false">
      <c r="A107" s="0" t="s">
        <v>361</v>
      </c>
      <c r="B107" s="0" t="s">
        <v>362</v>
      </c>
      <c r="C107" s="0" t="n">
        <v>33.3</v>
      </c>
      <c r="D107" s="0" t="n">
        <v>1.865</v>
      </c>
      <c r="E107" s="0" t="n">
        <v>0</v>
      </c>
      <c r="F107" s="0" t="s">
        <v>62</v>
      </c>
      <c r="G107" s="0" t="n">
        <v>16</v>
      </c>
      <c r="H107" s="0" t="n">
        <v>0</v>
      </c>
      <c r="I107" s="0" t="s">
        <v>363</v>
      </c>
      <c r="J107" s="0" t="s">
        <v>351</v>
      </c>
      <c r="K107" s="0" t="s">
        <v>65</v>
      </c>
    </row>
    <row r="108" customFormat="false" ht="15" hidden="false" customHeight="false" outlineLevel="0" collapsed="false">
      <c r="A108" s="0" t="s">
        <v>364</v>
      </c>
      <c r="B108" s="0" t="s">
        <v>365</v>
      </c>
      <c r="C108" s="0" t="n">
        <v>22.044</v>
      </c>
      <c r="D108" s="0" t="n">
        <v>1.865</v>
      </c>
      <c r="E108" s="0" t="n">
        <v>0</v>
      </c>
      <c r="F108" s="0" t="s">
        <v>62</v>
      </c>
      <c r="G108" s="0" t="n">
        <v>16</v>
      </c>
      <c r="H108" s="0" t="n">
        <v>0</v>
      </c>
      <c r="I108" s="0" t="s">
        <v>366</v>
      </c>
      <c r="J108" s="0" t="s">
        <v>351</v>
      </c>
      <c r="K108" s="0" t="s">
        <v>65</v>
      </c>
    </row>
    <row r="109" customFormat="false" ht="15" hidden="false" customHeight="false" outlineLevel="0" collapsed="false">
      <c r="A109" s="0" t="s">
        <v>367</v>
      </c>
      <c r="B109" s="0" t="s">
        <v>368</v>
      </c>
      <c r="C109" s="0" t="n">
        <v>21.489</v>
      </c>
      <c r="D109" s="0" t="n">
        <v>1.865</v>
      </c>
      <c r="E109" s="0" t="n">
        <v>0</v>
      </c>
      <c r="F109" s="0" t="s">
        <v>62</v>
      </c>
      <c r="G109" s="0" t="n">
        <v>16</v>
      </c>
      <c r="H109" s="0" t="n">
        <v>0</v>
      </c>
      <c r="I109" s="0" t="s">
        <v>369</v>
      </c>
      <c r="J109" s="0" t="s">
        <v>351</v>
      </c>
      <c r="K109" s="0" t="s">
        <v>65</v>
      </c>
    </row>
    <row r="110" customFormat="false" ht="15" hidden="false" customHeight="false" outlineLevel="0" collapsed="false">
      <c r="A110" s="0" t="s">
        <v>370</v>
      </c>
      <c r="B110" s="0" t="s">
        <v>371</v>
      </c>
      <c r="C110" s="0" t="n">
        <v>51.994</v>
      </c>
      <c r="D110" s="0" t="n">
        <v>1.865</v>
      </c>
      <c r="E110" s="0" t="n">
        <v>0</v>
      </c>
      <c r="F110" s="0" t="s">
        <v>62</v>
      </c>
      <c r="G110" s="0" t="n">
        <v>16</v>
      </c>
      <c r="H110" s="0" t="n">
        <v>0</v>
      </c>
      <c r="I110" s="0" t="s">
        <v>372</v>
      </c>
      <c r="J110" s="0" t="s">
        <v>351</v>
      </c>
      <c r="K110" s="0" t="s">
        <v>65</v>
      </c>
    </row>
    <row r="111" customFormat="false" ht="15" hidden="false" customHeight="false" outlineLevel="0" collapsed="false">
      <c r="A111" s="0" t="s">
        <v>373</v>
      </c>
      <c r="B111" s="0" t="s">
        <v>374</v>
      </c>
      <c r="C111" s="0" t="n">
        <v>2.4</v>
      </c>
      <c r="D111" s="0" t="n">
        <v>1.865</v>
      </c>
      <c r="E111" s="0" t="n">
        <v>0</v>
      </c>
      <c r="F111" s="0" t="s">
        <v>62</v>
      </c>
      <c r="G111" s="0" t="n">
        <v>16</v>
      </c>
      <c r="H111" s="0" t="n">
        <v>0</v>
      </c>
      <c r="I111" s="0" t="s">
        <v>375</v>
      </c>
      <c r="J111" s="0" t="s">
        <v>351</v>
      </c>
      <c r="K111" s="0" t="s">
        <v>65</v>
      </c>
    </row>
    <row r="112" customFormat="false" ht="15" hidden="false" customHeight="false" outlineLevel="0" collapsed="false">
      <c r="A112" s="0" t="s">
        <v>376</v>
      </c>
      <c r="B112" s="0" t="s">
        <v>377</v>
      </c>
      <c r="C112" s="0" t="n">
        <v>23</v>
      </c>
      <c r="D112" s="0" t="n">
        <v>1.865</v>
      </c>
      <c r="E112" s="0" t="n">
        <v>0</v>
      </c>
      <c r="F112" s="0" t="s">
        <v>62</v>
      </c>
      <c r="G112" s="0" t="n">
        <v>16</v>
      </c>
      <c r="H112" s="0" t="n">
        <v>0</v>
      </c>
      <c r="I112" s="0" t="s">
        <v>378</v>
      </c>
      <c r="J112" s="0" t="s">
        <v>351</v>
      </c>
      <c r="K112" s="0" t="s">
        <v>65</v>
      </c>
    </row>
    <row r="113" customFormat="false" ht="15" hidden="false" customHeight="false" outlineLevel="0" collapsed="false">
      <c r="A113" s="0" t="s">
        <v>379</v>
      </c>
      <c r="B113" s="0" t="s">
        <v>380</v>
      </c>
      <c r="C113" s="0" t="n">
        <v>2.406</v>
      </c>
      <c r="D113" s="0" t="n">
        <v>1.865</v>
      </c>
      <c r="E113" s="0" t="n">
        <v>0</v>
      </c>
      <c r="F113" s="0" t="s">
        <v>62</v>
      </c>
      <c r="G113" s="0" t="n">
        <v>16</v>
      </c>
      <c r="H113" s="0" t="n">
        <v>0</v>
      </c>
      <c r="I113" s="0" t="s">
        <v>381</v>
      </c>
      <c r="J113" s="0" t="s">
        <v>351</v>
      </c>
      <c r="K113" s="0" t="s">
        <v>65</v>
      </c>
    </row>
    <row r="114" customFormat="false" ht="15" hidden="false" customHeight="false" outlineLevel="0" collapsed="false">
      <c r="A114" s="0" t="s">
        <v>382</v>
      </c>
      <c r="B114" s="0" t="s">
        <v>383</v>
      </c>
      <c r="C114" s="0" t="n">
        <v>2.406</v>
      </c>
      <c r="D114" s="0" t="n">
        <v>1.865</v>
      </c>
      <c r="E114" s="0" t="n">
        <v>0</v>
      </c>
      <c r="F114" s="0" t="s">
        <v>62</v>
      </c>
      <c r="G114" s="0" t="n">
        <v>16</v>
      </c>
      <c r="H114" s="0" t="n">
        <v>0</v>
      </c>
      <c r="I114" s="0" t="s">
        <v>384</v>
      </c>
      <c r="J114" s="0" t="s">
        <v>351</v>
      </c>
      <c r="K114" s="0"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3" min="2" style="0" width="10"/>
    <col collapsed="false" customWidth="true" hidden="false" outlineLevel="0" max="4" min="4" style="0" width="14"/>
    <col collapsed="false" customWidth="true" hidden="false" outlineLevel="0" max="6" min="5" style="0" width="10"/>
    <col collapsed="false" customWidth="true" hidden="false" outlineLevel="0" max="7" min="7" style="0" width="24"/>
    <col collapsed="false" customWidth="true" hidden="false" outlineLevel="0" max="8" min="8" style="0" width="30"/>
    <col collapsed="false" customWidth="true" hidden="false" outlineLevel="0" max="9" min="9" style="0" width="60"/>
    <col collapsed="false" customWidth="true" hidden="false" outlineLevel="0" max="10" min="10" style="0" width="28"/>
  </cols>
  <sheetData>
    <row r="1" customFormat="false" ht="16.15" hidden="false" customHeight="false" outlineLevel="0" collapsed="false">
      <c r="A1" s="1" t="s">
        <v>385</v>
      </c>
    </row>
    <row r="2" customFormat="false" ht="15" hidden="false" customHeight="false" outlineLevel="0" collapsed="false">
      <c r="A2" s="0" t="s">
        <v>386</v>
      </c>
    </row>
    <row r="3" customFormat="false" ht="15" hidden="false" customHeight="false" outlineLevel="0" collapsed="false">
      <c r="A3" s="2" t="s">
        <v>387</v>
      </c>
      <c r="B3" s="2" t="s">
        <v>388</v>
      </c>
      <c r="C3" s="2" t="s">
        <v>389</v>
      </c>
      <c r="D3" s="2" t="s">
        <v>390</v>
      </c>
      <c r="E3" s="2" t="s">
        <v>391</v>
      </c>
      <c r="F3" s="2" t="s">
        <v>392</v>
      </c>
      <c r="G3" s="2" t="s">
        <v>393</v>
      </c>
      <c r="H3" s="2" t="s">
        <v>394</v>
      </c>
      <c r="I3" s="2" t="s">
        <v>395</v>
      </c>
      <c r="J3" s="2" t="s">
        <v>396</v>
      </c>
    </row>
    <row r="4" customFormat="false" ht="15" hidden="false" customHeight="false" outlineLevel="0" collapsed="false">
      <c r="A4" s="0" t="s">
        <v>397</v>
      </c>
      <c r="B4" s="0" t="s">
        <v>398</v>
      </c>
      <c r="C4" s="0" t="n">
        <v>4575.61</v>
      </c>
      <c r="D4" s="0" t="n">
        <f aca="false">Inputs!$B$5</f>
        <v>0.15</v>
      </c>
      <c r="E4" s="0" t="n">
        <f aca="false">C4*D4</f>
        <v>686.3415</v>
      </c>
      <c r="F4" s="0" t="n">
        <f aca="false">C4+E4</f>
        <v>5261.9515</v>
      </c>
      <c r="G4" s="0" t="s">
        <v>399</v>
      </c>
      <c r="H4" s="0" t="n">
        <f aca="false">ROUNDUP(F4/Inputs!$B$10,0)</f>
        <v>264</v>
      </c>
      <c r="I4" s="0" t="s">
        <v>400</v>
      </c>
    </row>
    <row r="5" customFormat="false" ht="15" hidden="false" customHeight="false" outlineLevel="0" collapsed="false">
      <c r="A5" s="0" t="s">
        <v>401</v>
      </c>
      <c r="B5" s="0" t="s">
        <v>398</v>
      </c>
      <c r="C5" s="0" t="n">
        <v>1001.59</v>
      </c>
      <c r="D5" s="0" t="n">
        <f aca="false">Inputs!$B$5</f>
        <v>0.15</v>
      </c>
      <c r="E5" s="0" t="n">
        <f aca="false">C5*D5</f>
        <v>150.2385</v>
      </c>
      <c r="F5" s="0" t="n">
        <f aca="false">C5+E5</f>
        <v>1151.8285</v>
      </c>
      <c r="G5" s="0" t="s">
        <v>399</v>
      </c>
      <c r="H5" s="0" t="n">
        <f aca="false">ROUNDUP(F5/Inputs!$B$10,0)</f>
        <v>58</v>
      </c>
      <c r="I5" s="0" t="s">
        <v>402</v>
      </c>
    </row>
    <row r="6" customFormat="false" ht="15" hidden="false" customHeight="false" outlineLevel="0" collapsed="false">
      <c r="A6" s="0" t="s">
        <v>403</v>
      </c>
      <c r="B6" s="0" t="s">
        <v>398</v>
      </c>
      <c r="C6" s="0" t="n">
        <v>6750.8</v>
      </c>
      <c r="D6" s="0" t="n">
        <f aca="false">Inputs!$B$5</f>
        <v>0.15</v>
      </c>
      <c r="E6" s="0" t="n">
        <f aca="false">C6*D6</f>
        <v>1012.62</v>
      </c>
      <c r="F6" s="0" t="n">
        <f aca="false">C6+E6</f>
        <v>7763.42</v>
      </c>
      <c r="G6" s="0" t="s">
        <v>399</v>
      </c>
      <c r="H6" s="0" t="n">
        <f aca="false">ROUNDUP(F6/Inputs!$B$10,0)</f>
        <v>389</v>
      </c>
      <c r="I6" s="0" t="s">
        <v>404</v>
      </c>
    </row>
    <row r="7" customFormat="false" ht="15" hidden="false" customHeight="false" outlineLevel="0" collapsed="false">
      <c r="A7" s="0" t="s">
        <v>405</v>
      </c>
      <c r="B7" s="0" t="s">
        <v>398</v>
      </c>
      <c r="C7" s="0" t="n">
        <v>3926</v>
      </c>
      <c r="D7" s="0" t="n">
        <f aca="false">Inputs!$B$5</f>
        <v>0.15</v>
      </c>
      <c r="E7" s="0" t="n">
        <f aca="false">C7*D7</f>
        <v>588.9</v>
      </c>
      <c r="F7" s="0" t="n">
        <f aca="false">C7+E7</f>
        <v>4514.9</v>
      </c>
      <c r="G7" s="0" t="s">
        <v>399</v>
      </c>
      <c r="H7" s="0" t="n">
        <f aca="false">ROUNDUP(F7/Inputs!$B$10,0)</f>
        <v>226</v>
      </c>
      <c r="I7" s="0" t="s">
        <v>406</v>
      </c>
    </row>
    <row r="8" customFormat="false" ht="15" hidden="false" customHeight="false" outlineLevel="0" collapsed="false">
      <c r="A8" s="0" t="s">
        <v>407</v>
      </c>
      <c r="B8" s="0" t="s">
        <v>398</v>
      </c>
      <c r="C8" s="0" t="n">
        <v>1315.07</v>
      </c>
      <c r="D8" s="0" t="n">
        <f aca="false">Inputs!$B$5</f>
        <v>0.15</v>
      </c>
      <c r="E8" s="0" t="n">
        <f aca="false">C8*D8</f>
        <v>197.2605</v>
      </c>
      <c r="F8" s="0" t="n">
        <f aca="false">C8+E8</f>
        <v>1512.3305</v>
      </c>
      <c r="G8" s="0" t="s">
        <v>408</v>
      </c>
      <c r="H8" s="0" t="n">
        <f aca="false">ROUNDUP(F8/Inputs!$B$11,0)</f>
        <v>152</v>
      </c>
      <c r="I8" s="0" t="s">
        <v>409</v>
      </c>
    </row>
    <row r="9" customFormat="false" ht="15" hidden="false" customHeight="false" outlineLevel="0" collapsed="false">
      <c r="A9" s="0" t="s">
        <v>410</v>
      </c>
      <c r="B9" s="0" t="s">
        <v>398</v>
      </c>
      <c r="C9" s="0" t="n">
        <v>1315.07</v>
      </c>
      <c r="D9" s="0" t="n">
        <f aca="false">Inputs!$B$5</f>
        <v>0.15</v>
      </c>
      <c r="E9" s="0" t="n">
        <f aca="false">C9*D9</f>
        <v>197.2605</v>
      </c>
      <c r="F9" s="0" t="n">
        <f aca="false">C9+E9</f>
        <v>1512.3305</v>
      </c>
      <c r="G9" s="0" t="s">
        <v>408</v>
      </c>
      <c r="H9" s="0" t="n">
        <f aca="false">ROUNDUP(F9/Inputs!$B$11,0)</f>
        <v>152</v>
      </c>
      <c r="I9" s="0" t="s">
        <v>411</v>
      </c>
    </row>
    <row r="10" customFormat="false" ht="15" hidden="false" customHeight="false" outlineLevel="0" collapsed="false">
      <c r="A10" s="0" t="s">
        <v>412</v>
      </c>
      <c r="B10" s="0" t="s">
        <v>398</v>
      </c>
      <c r="C10" s="0" t="n">
        <v>1295.89</v>
      </c>
      <c r="D10" s="0" t="n">
        <f aca="false">Inputs!$B$5</f>
        <v>0.15</v>
      </c>
      <c r="E10" s="0" t="n">
        <f aca="false">C10*D10</f>
        <v>194.3835</v>
      </c>
      <c r="F10" s="0" t="n">
        <f aca="false">C10+E10</f>
        <v>1490.2735</v>
      </c>
      <c r="G10" s="0" t="s">
        <v>408</v>
      </c>
      <c r="H10" s="0" t="n">
        <f aca="false">ROUNDUP(F10/Inputs!$B$11,0)</f>
        <v>150</v>
      </c>
      <c r="I10" s="0" t="s">
        <v>413</v>
      </c>
    </row>
    <row r="11" customFormat="false" ht="15" hidden="false" customHeight="false" outlineLevel="0" collapsed="false">
      <c r="A11" s="0" t="s">
        <v>414</v>
      </c>
      <c r="B11" s="0" t="s">
        <v>398</v>
      </c>
      <c r="C11" s="0" t="n">
        <v>180.29</v>
      </c>
      <c r="D11" s="0" t="n">
        <f aca="false">Inputs!$B$5</f>
        <v>0.15</v>
      </c>
      <c r="E11" s="0" t="n">
        <f aca="false">C11*D11</f>
        <v>27.0435</v>
      </c>
      <c r="F11" s="0" t="n">
        <f aca="false">C11+E11</f>
        <v>207.3335</v>
      </c>
      <c r="G11" s="0" t="s">
        <v>408</v>
      </c>
      <c r="H11" s="0" t="n">
        <f aca="false">ROUNDUP(F11/Inputs!$B$11,0)</f>
        <v>21</v>
      </c>
      <c r="I11" s="0" t="s">
        <v>415</v>
      </c>
    </row>
    <row r="12" customFormat="false" ht="15" hidden="false" customHeight="false" outlineLevel="0" collapsed="false">
      <c r="A12" s="0" t="s">
        <v>416</v>
      </c>
      <c r="B12" s="0" t="s">
        <v>398</v>
      </c>
      <c r="C12" s="0" t="n">
        <v>868.55</v>
      </c>
      <c r="D12" s="0" t="n">
        <f aca="false">Inputs!$B$5</f>
        <v>0.15</v>
      </c>
      <c r="E12" s="0" t="n">
        <f aca="false">C12*D12</f>
        <v>130.2825</v>
      </c>
      <c r="F12" s="0" t="n">
        <f aca="false">C12+E12</f>
        <v>998.8325</v>
      </c>
      <c r="G12" s="0" t="s">
        <v>399</v>
      </c>
      <c r="H12" s="0" t="n">
        <f aca="false">ROUNDUP(F12/Inputs!$B$10,0)</f>
        <v>50</v>
      </c>
      <c r="I12" s="0" t="s">
        <v>417</v>
      </c>
    </row>
    <row r="13" customFormat="false" ht="15" hidden="false" customHeight="false" outlineLevel="0" collapsed="false">
      <c r="A13" s="0" t="s">
        <v>418</v>
      </c>
      <c r="B13" s="0" t="s">
        <v>398</v>
      </c>
      <c r="C13" s="0" t="n">
        <v>119.09</v>
      </c>
      <c r="D13" s="0" t="n">
        <f aca="false">Inputs!$B$5</f>
        <v>0.15</v>
      </c>
      <c r="E13" s="0" t="n">
        <f aca="false">C13*D13</f>
        <v>17.8635</v>
      </c>
      <c r="F13" s="0" t="n">
        <f aca="false">C13+E13</f>
        <v>136.9535</v>
      </c>
      <c r="G13" s="0" t="s">
        <v>408</v>
      </c>
      <c r="H13" s="0" t="n">
        <f aca="false">ROUNDUP(F13/Inputs!$B$11,0)</f>
        <v>14</v>
      </c>
      <c r="I13" s="0" t="s">
        <v>419</v>
      </c>
    </row>
    <row r="14" customFormat="false" ht="15" hidden="false" customHeight="false" outlineLevel="0" collapsed="false">
      <c r="A14" s="0" t="s">
        <v>420</v>
      </c>
      <c r="B14" s="0" t="s">
        <v>398</v>
      </c>
      <c r="C14" s="0" t="n">
        <v>2474.22</v>
      </c>
      <c r="D14" s="0" t="n">
        <f aca="false">Inputs!$B$5</f>
        <v>0.15</v>
      </c>
      <c r="E14" s="0" t="n">
        <f aca="false">C14*D14</f>
        <v>371.133</v>
      </c>
      <c r="F14" s="0" t="n">
        <f aca="false">C14+E14</f>
        <v>2845.353</v>
      </c>
      <c r="G14" s="0" t="s">
        <v>421</v>
      </c>
      <c r="H14" s="0" t="n">
        <f aca="false">ROUNDUP(F14/Inputs!$B$16,0)</f>
        <v>178</v>
      </c>
      <c r="I14" s="0" t="s">
        <v>422</v>
      </c>
    </row>
    <row r="15" customFormat="false" ht="15" hidden="false" customHeight="false" outlineLevel="0" collapsed="false">
      <c r="A15" s="0" t="s">
        <v>423</v>
      </c>
      <c r="B15" s="0" t="s">
        <v>398</v>
      </c>
      <c r="C15" s="0" t="n">
        <v>770.57</v>
      </c>
      <c r="D15" s="0" t="n">
        <f aca="false">Inputs!$B$5</f>
        <v>0.15</v>
      </c>
      <c r="E15" s="0" t="n">
        <f aca="false">C15*D15</f>
        <v>115.5855</v>
      </c>
      <c r="F15" s="0" t="n">
        <f aca="false">C15+E15</f>
        <v>886.1555</v>
      </c>
      <c r="G15" s="0" t="s">
        <v>424</v>
      </c>
      <c r="H15" s="0" t="n">
        <f aca="false">ROUNDUP(F15/Inputs!$B$17,0)</f>
        <v>74</v>
      </c>
      <c r="I15" s="0" t="s">
        <v>425</v>
      </c>
    </row>
    <row r="16" customFormat="false" ht="15" hidden="false" customHeight="false" outlineLevel="0" collapsed="false">
      <c r="A16" s="0" t="s">
        <v>426</v>
      </c>
      <c r="B16" s="0" t="s">
        <v>398</v>
      </c>
      <c r="C16" s="0" t="n">
        <v>323.73</v>
      </c>
      <c r="D16" s="0" t="n">
        <f aca="false">Inputs!$B$5</f>
        <v>0.15</v>
      </c>
      <c r="E16" s="0" t="n">
        <f aca="false">C16*D16</f>
        <v>48.5595</v>
      </c>
      <c r="F16" s="0" t="n">
        <f aca="false">C16+E16</f>
        <v>372.2895</v>
      </c>
      <c r="G16" s="0" t="s">
        <v>421</v>
      </c>
      <c r="H16" s="0" t="n">
        <f aca="false">ROUNDUP(F16/Inputs!$B$16,0)</f>
        <v>24</v>
      </c>
      <c r="I16" s="0" t="s">
        <v>427</v>
      </c>
    </row>
    <row r="17" customFormat="false" ht="15" hidden="false" customHeight="false" outlineLevel="0" collapsed="false">
      <c r="A17" s="0" t="s">
        <v>428</v>
      </c>
      <c r="B17" s="0" t="s">
        <v>398</v>
      </c>
      <c r="C17" s="0" t="n">
        <v>530.1</v>
      </c>
      <c r="D17" s="0" t="n">
        <f aca="false">Inputs!$B$5</f>
        <v>0.15</v>
      </c>
      <c r="E17" s="0" t="n">
        <f aca="false">C17*D17</f>
        <v>79.515</v>
      </c>
      <c r="F17" s="0" t="n">
        <f aca="false">C17+E17</f>
        <v>609.615</v>
      </c>
      <c r="G17" s="0" t="s">
        <v>32</v>
      </c>
      <c r="H17" s="0" t="n">
        <f aca="false">ROUNDUP(F17,0)</f>
        <v>610</v>
      </c>
      <c r="I17" s="0" t="s">
        <v>429</v>
      </c>
    </row>
    <row r="18" customFormat="false" ht="15" hidden="false" customHeight="false" outlineLevel="0" collapsed="false">
      <c r="A18" s="0" t="s">
        <v>430</v>
      </c>
      <c r="B18" s="0" t="s">
        <v>431</v>
      </c>
      <c r="C18" s="0" t="n">
        <v>17198.98</v>
      </c>
      <c r="D18" s="0" t="n">
        <f aca="false">Inputs!$B$6</f>
        <v>0.06</v>
      </c>
      <c r="E18" s="0" t="n">
        <f aca="false">C18*D18</f>
        <v>1031.9388</v>
      </c>
      <c r="F18" s="0" t="n">
        <f aca="false">C18+E18</f>
        <v>18230.9188</v>
      </c>
      <c r="G18" s="0" t="s">
        <v>432</v>
      </c>
      <c r="H18" s="0" t="n">
        <f aca="false">ROUNDUP(F18/Inputs!$B$9,0)</f>
        <v>380</v>
      </c>
      <c r="I18" s="0" t="s">
        <v>433</v>
      </c>
    </row>
    <row r="19" customFormat="false" ht="15" hidden="false" customHeight="false" outlineLevel="0" collapsed="false">
      <c r="A19" s="0" t="s">
        <v>434</v>
      </c>
      <c r="B19" s="0" t="s">
        <v>431</v>
      </c>
      <c r="C19" s="0" t="n">
        <v>258.81</v>
      </c>
      <c r="D19" s="0" t="n">
        <f aca="false">Inputs!$B$6</f>
        <v>0.06</v>
      </c>
      <c r="E19" s="0" t="n">
        <f aca="false">C19*D19</f>
        <v>15.5286</v>
      </c>
      <c r="F19" s="0" t="n">
        <f aca="false">C19+E19</f>
        <v>274.3386</v>
      </c>
      <c r="G19" s="0" t="s">
        <v>432</v>
      </c>
      <c r="H19" s="0" t="n">
        <f aca="false">ROUNDUP(F19/Inputs!$B$9,0)</f>
        <v>6</v>
      </c>
      <c r="I19" s="0" t="s">
        <v>435</v>
      </c>
    </row>
    <row r="20" customFormat="false" ht="15" hidden="false" customHeight="false" outlineLevel="0" collapsed="false">
      <c r="A20" s="0" t="s">
        <v>436</v>
      </c>
      <c r="B20" s="0" t="s">
        <v>431</v>
      </c>
      <c r="C20" s="0" t="n">
        <v>84.14</v>
      </c>
      <c r="D20" s="0" t="n">
        <f aca="false">Inputs!$B$6</f>
        <v>0.06</v>
      </c>
      <c r="E20" s="0" t="n">
        <f aca="false">C20*D20</f>
        <v>5.0484</v>
      </c>
      <c r="F20" s="0" t="n">
        <f aca="false">C20+E20</f>
        <v>89.1884</v>
      </c>
      <c r="G20" s="0" t="s">
        <v>437</v>
      </c>
      <c r="H20" s="0" t="n">
        <f aca="false">ROUNDUP(F20/32,0)</f>
        <v>3</v>
      </c>
      <c r="I20" s="0" t="s">
        <v>438</v>
      </c>
    </row>
    <row r="21" customFormat="false" ht="15" hidden="false" customHeight="false" outlineLevel="0" collapsed="false">
      <c r="A21" s="0" t="s">
        <v>439</v>
      </c>
      <c r="B21" s="0" t="s">
        <v>431</v>
      </c>
      <c r="C21" s="0" t="n">
        <v>64.53</v>
      </c>
      <c r="D21" s="0" t="n">
        <f aca="false">Inputs!$B$6</f>
        <v>0.06</v>
      </c>
      <c r="E21" s="0" t="n">
        <f aca="false">C21*D21</f>
        <v>3.8718</v>
      </c>
      <c r="F21" s="0" t="n">
        <f aca="false">C21+E21</f>
        <v>68.4018</v>
      </c>
      <c r="G21" s="0" t="s">
        <v>437</v>
      </c>
      <c r="H21" s="0" t="n">
        <f aca="false">ROUNDUP(F21/32,0)</f>
        <v>3</v>
      </c>
      <c r="I21" s="0" t="s">
        <v>440</v>
      </c>
    </row>
    <row r="22" customFormat="false" ht="15" hidden="false" customHeight="false" outlineLevel="0" collapsed="false">
      <c r="A22" s="0" t="s">
        <v>441</v>
      </c>
      <c r="B22" s="0" t="s">
        <v>431</v>
      </c>
      <c r="C22" s="0" t="n">
        <v>477.52</v>
      </c>
      <c r="D22" s="0" t="n">
        <f aca="false">Inputs!$B$6</f>
        <v>0.06</v>
      </c>
      <c r="E22" s="0" t="n">
        <f aca="false">C22*D22</f>
        <v>28.6512</v>
      </c>
      <c r="F22" s="0" t="n">
        <f aca="false">C22+E22</f>
        <v>506.1712</v>
      </c>
      <c r="G22" s="0" t="s">
        <v>437</v>
      </c>
      <c r="H22" s="0" t="n">
        <f aca="false">ROUNDUP(F22/32,0)</f>
        <v>16</v>
      </c>
      <c r="I22" s="0" t="s">
        <v>442</v>
      </c>
    </row>
    <row r="23" customFormat="false" ht="15" hidden="false" customHeight="false" outlineLevel="0" collapsed="false">
      <c r="A23" s="0" t="s">
        <v>443</v>
      </c>
      <c r="B23" s="0" t="s">
        <v>431</v>
      </c>
      <c r="C23" s="0" t="n">
        <v>931.49</v>
      </c>
      <c r="D23" s="0" t="n">
        <f aca="false">Inputs!$B$6</f>
        <v>0.06</v>
      </c>
      <c r="E23" s="0" t="n">
        <f aca="false">C23*D23</f>
        <v>55.8894</v>
      </c>
      <c r="F23" s="0" t="n">
        <f aca="false">C23+E23</f>
        <v>987.3794</v>
      </c>
      <c r="G23" s="0" t="s">
        <v>437</v>
      </c>
      <c r="H23" s="0" t="n">
        <f aca="false">ROUNDUP(F23/32,0)</f>
        <v>31</v>
      </c>
      <c r="I23" s="0" t="s">
        <v>444</v>
      </c>
    </row>
    <row r="24" customFormat="false" ht="15" hidden="false" customHeight="false" outlineLevel="0" collapsed="false">
      <c r="A24" s="0" t="s">
        <v>445</v>
      </c>
      <c r="B24" s="0" t="s">
        <v>398</v>
      </c>
      <c r="C24" s="0" t="n">
        <v>855</v>
      </c>
      <c r="D24" s="0" t="n">
        <f aca="false">Inputs!$B$6</f>
        <v>0.06</v>
      </c>
      <c r="E24" s="0" t="n">
        <f aca="false">C24*D24</f>
        <v>51.3</v>
      </c>
      <c r="F24" s="0" t="n">
        <f aca="false">C24+E24</f>
        <v>906.3</v>
      </c>
      <c r="H24" s="0" t="n">
        <f aca="false">ROUNDUP(F24,0)</f>
        <v>907</v>
      </c>
      <c r="I24" s="0" t="s">
        <v>446</v>
      </c>
    </row>
    <row r="25" customFormat="false" ht="15" hidden="false" customHeight="false" outlineLevel="0" collapsed="false">
      <c r="A25" s="0" t="s">
        <v>447</v>
      </c>
      <c r="B25" s="0" t="s">
        <v>398</v>
      </c>
      <c r="C25" s="0" t="n">
        <v>626.52</v>
      </c>
      <c r="D25" s="0" t="n">
        <f aca="false">Inputs!$B$5</f>
        <v>0.15</v>
      </c>
      <c r="E25" s="0" t="n">
        <f aca="false">C25*D25</f>
        <v>93.978</v>
      </c>
      <c r="F25" s="0" t="n">
        <f aca="false">C25+E25</f>
        <v>720.498</v>
      </c>
      <c r="G25" s="0" t="s">
        <v>399</v>
      </c>
      <c r="H25" s="0" t="n">
        <f aca="false">ROUNDUP(F25/Inputs!$B$10,0)</f>
        <v>37</v>
      </c>
      <c r="I25" s="0" t="s">
        <v>448</v>
      </c>
    </row>
    <row r="26" customFormat="false" ht="15" hidden="false" customHeight="false" outlineLevel="0" collapsed="false">
      <c r="A26" s="0" t="s">
        <v>449</v>
      </c>
      <c r="B26" s="0" t="s">
        <v>398</v>
      </c>
      <c r="C26" s="0" t="n">
        <v>809.78</v>
      </c>
      <c r="D26" s="0" t="n">
        <f aca="false">Inputs!$B$5</f>
        <v>0.15</v>
      </c>
      <c r="E26" s="0" t="n">
        <f aca="false">C26*D26</f>
        <v>121.467</v>
      </c>
      <c r="F26" s="0" t="n">
        <f aca="false">C26+E26</f>
        <v>931.247</v>
      </c>
      <c r="G26" s="0" t="s">
        <v>450</v>
      </c>
      <c r="H26" s="0" t="n">
        <f aca="false">ROUNDUP(F26/Inputs!$B$18,0)</f>
        <v>94</v>
      </c>
      <c r="I26" s="0" t="s">
        <v>451</v>
      </c>
    </row>
    <row r="27" customFormat="false" ht="15" hidden="false" customHeight="false" outlineLevel="0" collapsed="false">
      <c r="A27" s="0" t="s">
        <v>452</v>
      </c>
      <c r="B27" s="0" t="s">
        <v>431</v>
      </c>
      <c r="C27" s="0" t="n">
        <v>33.38</v>
      </c>
      <c r="D27" s="0" t="n">
        <f aca="false">Inputs!$B$6</f>
        <v>0.06</v>
      </c>
      <c r="E27" s="0" t="n">
        <f aca="false">C27*D27</f>
        <v>2.0028</v>
      </c>
      <c r="F27" s="0" t="n">
        <f aca="false">C27+E27</f>
        <v>35.3828</v>
      </c>
      <c r="G27" s="0" t="s">
        <v>453</v>
      </c>
      <c r="H27" s="0" t="n">
        <f aca="false">ROUNDUP(F27/15,0)</f>
        <v>3</v>
      </c>
      <c r="I27" s="0" t="s">
        <v>454</v>
      </c>
    </row>
    <row r="28" customFormat="false" ht="15" hidden="false" customHeight="false" outlineLevel="0" collapsed="false">
      <c r="A28" s="0" t="s">
        <v>455</v>
      </c>
      <c r="B28" s="0" t="s">
        <v>431</v>
      </c>
      <c r="C28" s="0" t="n">
        <v>349.75</v>
      </c>
      <c r="D28" s="0" t="n">
        <f aca="false">Inputs!$B$6</f>
        <v>0.06</v>
      </c>
      <c r="E28" s="0" t="n">
        <f aca="false">C28*D28</f>
        <v>20.985</v>
      </c>
      <c r="F28" s="0" t="n">
        <f aca="false">C28+E28</f>
        <v>370.735</v>
      </c>
      <c r="G28" s="0" t="s">
        <v>437</v>
      </c>
      <c r="H28" s="0" t="n">
        <f aca="false">ROUNDUP(F28/32,0)</f>
        <v>12</v>
      </c>
      <c r="I28" s="0" t="s">
        <v>456</v>
      </c>
    </row>
    <row r="29" customFormat="false" ht="15" hidden="false" customHeight="false" outlineLevel="0" collapsed="false">
      <c r="A29" s="0" t="s">
        <v>457</v>
      </c>
      <c r="B29" s="0" t="s">
        <v>398</v>
      </c>
      <c r="C29" s="0" t="n">
        <v>1209.67</v>
      </c>
      <c r="D29" s="0" t="n">
        <f aca="false">Inputs!$B$6</f>
        <v>0.06</v>
      </c>
      <c r="E29" s="0" t="n">
        <f aca="false">C29*D29</f>
        <v>72.5802</v>
      </c>
      <c r="F29" s="0" t="n">
        <f aca="false">C29+E29</f>
        <v>1282.2502</v>
      </c>
      <c r="G29" s="0" t="s">
        <v>458</v>
      </c>
      <c r="H29" s="0" t="n">
        <f aca="false">ROUNDUP(F29/Inputs!$B$15,0)</f>
        <v>52</v>
      </c>
      <c r="I29" s="0" t="s">
        <v>459</v>
      </c>
    </row>
    <row r="30" customFormat="false" ht="15" hidden="false" customHeight="false" outlineLevel="0" collapsed="false">
      <c r="A30" s="0" t="s">
        <v>460</v>
      </c>
      <c r="B30" s="0" t="s">
        <v>398</v>
      </c>
      <c r="C30" s="0" t="n">
        <v>945.54</v>
      </c>
      <c r="D30" s="0" t="n">
        <f aca="false">Inputs!$B$5</f>
        <v>0.15</v>
      </c>
      <c r="E30" s="0" t="n">
        <f aca="false">C30*D30</f>
        <v>141.831</v>
      </c>
      <c r="F30" s="0" t="n">
        <f aca="false">C30+E30</f>
        <v>1087.371</v>
      </c>
      <c r="G30" s="0" t="s">
        <v>399</v>
      </c>
      <c r="H30" s="0" t="n">
        <f aca="false">ROUNDUP(F30/Inputs!$B$10,0)</f>
        <v>55</v>
      </c>
      <c r="I30" s="0" t="s">
        <v>461</v>
      </c>
    </row>
    <row r="31" customFormat="false" ht="15" hidden="false" customHeight="false" outlineLevel="0" collapsed="false">
      <c r="A31" s="0" t="s">
        <v>462</v>
      </c>
      <c r="B31" s="0" t="s">
        <v>431</v>
      </c>
      <c r="C31" s="0" t="n">
        <v>2114.12</v>
      </c>
      <c r="D31" s="0" t="n">
        <f aca="false">Inputs!$B$6</f>
        <v>0.06</v>
      </c>
      <c r="E31" s="0" t="n">
        <f aca="false">C31*D31</f>
        <v>126.8472</v>
      </c>
      <c r="F31" s="0" t="n">
        <f aca="false">C31+E31</f>
        <v>2240.9672</v>
      </c>
      <c r="G31" s="0" t="s">
        <v>463</v>
      </c>
      <c r="H31" s="0" t="n">
        <f aca="false">ROUNDUP(F31/Inputs!$B$9,0)</f>
        <v>47</v>
      </c>
      <c r="I31" s="0" t="s">
        <v>464</v>
      </c>
    </row>
    <row r="32" customFormat="false" ht="15" hidden="false" customHeight="false" outlineLevel="0" collapsed="false">
      <c r="A32" s="0" t="s">
        <v>465</v>
      </c>
      <c r="B32" s="0" t="s">
        <v>431</v>
      </c>
      <c r="C32" s="0" t="n">
        <v>3990.77</v>
      </c>
      <c r="D32" s="0" t="n">
        <f aca="false">Inputs!$B$6</f>
        <v>0.06</v>
      </c>
      <c r="E32" s="0" t="n">
        <f aca="false">C32*D32</f>
        <v>239.4462</v>
      </c>
      <c r="F32" s="0" t="n">
        <f aca="false">C32+E32</f>
        <v>4230.2162</v>
      </c>
      <c r="G32" s="0" t="s">
        <v>463</v>
      </c>
      <c r="H32" s="0" t="n">
        <f aca="false">ROUNDUP(F32/Inputs!$B$9,0)</f>
        <v>89</v>
      </c>
      <c r="I32" s="0" t="s">
        <v>464</v>
      </c>
    </row>
    <row r="33" customFormat="false" ht="15" hidden="false" customHeight="false" outlineLevel="0" collapsed="false">
      <c r="A33" s="0" t="s">
        <v>466</v>
      </c>
      <c r="B33" s="0" t="s">
        <v>431</v>
      </c>
      <c r="C33" s="0" t="n">
        <v>826.61</v>
      </c>
      <c r="D33" s="0" t="n">
        <f aca="false">Inputs!$B$6</f>
        <v>0.06</v>
      </c>
      <c r="E33" s="0" t="n">
        <f aca="false">C33*D33</f>
        <v>49.5966</v>
      </c>
      <c r="F33" s="0" t="n">
        <f aca="false">C33+E33</f>
        <v>876.2066</v>
      </c>
      <c r="G33" s="0" t="s">
        <v>463</v>
      </c>
      <c r="H33" s="0" t="n">
        <f aca="false">ROUNDUP(F33/Inputs!$B$9,0)</f>
        <v>19</v>
      </c>
      <c r="I33" s="0" t="s">
        <v>464</v>
      </c>
    </row>
    <row r="34" customFormat="false" ht="15" hidden="false" customHeight="false" outlineLevel="0" collapsed="false">
      <c r="A34" s="0" t="s">
        <v>467</v>
      </c>
      <c r="B34" s="0" t="s">
        <v>398</v>
      </c>
      <c r="C34" s="0" t="n">
        <v>198.63</v>
      </c>
      <c r="D34" s="0" t="n">
        <f aca="false">Inputs!$B$6</f>
        <v>0.06</v>
      </c>
      <c r="E34" s="0" t="n">
        <f aca="false">C34*D34</f>
        <v>11.9178</v>
      </c>
      <c r="F34" s="0" t="n">
        <f aca="false">C34+E34</f>
        <v>210.5478</v>
      </c>
      <c r="G34" s="0" t="s">
        <v>458</v>
      </c>
      <c r="H34" s="0" t="n">
        <f aca="false">ROUNDUP(F34/Inputs!$B$15,0)</f>
        <v>9</v>
      </c>
      <c r="I34" s="0" t="s">
        <v>468</v>
      </c>
    </row>
    <row r="35" customFormat="false" ht="15" hidden="false" customHeight="false" outlineLevel="0" collapsed="false">
      <c r="A35" s="0" t="s">
        <v>469</v>
      </c>
      <c r="B35" s="0" t="s">
        <v>470</v>
      </c>
      <c r="C35" s="0" t="n">
        <v>113</v>
      </c>
      <c r="D35" s="0" t="n">
        <v>0</v>
      </c>
      <c r="E35" s="0" t="n">
        <f aca="false">C35*D35</f>
        <v>0</v>
      </c>
      <c r="F35" s="0" t="n">
        <f aca="false">C35+E35</f>
        <v>113</v>
      </c>
      <c r="H35" s="0" t="n">
        <f aca="false">ROUNDUP(F35,0)</f>
        <v>113</v>
      </c>
      <c r="I35" s="0" t="s">
        <v>471</v>
      </c>
    </row>
    <row r="36" customFormat="false" ht="15" hidden="false" customHeight="false" outlineLevel="0" collapsed="false">
      <c r="A36" s="0" t="s">
        <v>472</v>
      </c>
      <c r="B36" s="0" t="s">
        <v>398</v>
      </c>
      <c r="C36" s="0" t="n">
        <v>56</v>
      </c>
      <c r="D36" s="0" t="n">
        <f aca="false">Inputs!$B$5</f>
        <v>0.15</v>
      </c>
      <c r="E36" s="0" t="n">
        <f aca="false">C36*D36</f>
        <v>8.4</v>
      </c>
      <c r="F36" s="0" t="n">
        <f aca="false">C36+E36</f>
        <v>64.4</v>
      </c>
      <c r="G36" s="0" t="s">
        <v>408</v>
      </c>
      <c r="H36" s="0" t="n">
        <f aca="false">ROUNDUP(F36/Inputs!$B$11,0)</f>
        <v>7</v>
      </c>
      <c r="I36" s="0" t="s">
        <v>473</v>
      </c>
    </row>
    <row r="37" customFormat="false" ht="15" hidden="false" customHeight="false" outlineLevel="0" collapsed="false">
      <c r="A37" s="0" t="s">
        <v>474</v>
      </c>
      <c r="B37" s="0" t="s">
        <v>470</v>
      </c>
      <c r="C37" s="0" t="n">
        <v>26</v>
      </c>
      <c r="D37" s="0" t="n">
        <v>0</v>
      </c>
      <c r="E37" s="0" t="n">
        <f aca="false">C37*D37</f>
        <v>0</v>
      </c>
      <c r="F37" s="0" t="n">
        <f aca="false">C37+E37</f>
        <v>26</v>
      </c>
      <c r="G37" s="0" t="s">
        <v>475</v>
      </c>
      <c r="H37" s="0" t="n">
        <f aca="false">ROUNDUP(F37,0)</f>
        <v>26</v>
      </c>
      <c r="I37" s="0" t="s">
        <v>476</v>
      </c>
    </row>
    <row r="38" customFormat="false" ht="15" hidden="false" customHeight="false" outlineLevel="0" collapsed="false">
      <c r="A38" s="0" t="s">
        <v>477</v>
      </c>
      <c r="B38" s="0" t="s">
        <v>398</v>
      </c>
      <c r="C38" s="0" t="n">
        <v>23.66</v>
      </c>
      <c r="D38" s="0" t="n">
        <f aca="false">Inputs!$B$5</f>
        <v>0.15</v>
      </c>
      <c r="E38" s="0" t="n">
        <f aca="false">C38*D38</f>
        <v>3.549</v>
      </c>
      <c r="F38" s="0" t="n">
        <f aca="false">C38+E38</f>
        <v>27.209</v>
      </c>
      <c r="G38" s="0" t="s">
        <v>399</v>
      </c>
      <c r="H38" s="0" t="n">
        <f aca="false">ROUNDUP(F38/Inputs!$B$10,0)</f>
        <v>2</v>
      </c>
      <c r="I38" s="0" t="s">
        <v>478</v>
      </c>
    </row>
    <row r="39" customFormat="false" ht="15" hidden="false" customHeight="false" outlineLevel="0" collapsed="false">
      <c r="A39" s="0" t="s">
        <v>479</v>
      </c>
      <c r="B39" s="0" t="s">
        <v>398</v>
      </c>
      <c r="C39" s="0" t="n">
        <v>10.43</v>
      </c>
      <c r="D39" s="0" t="n">
        <f aca="false">Inputs!$B$5</f>
        <v>0.15</v>
      </c>
      <c r="E39" s="0" t="n">
        <f aca="false">C39*D39</f>
        <v>1.5645</v>
      </c>
      <c r="F39" s="0" t="n">
        <f aca="false">C39+E39</f>
        <v>11.9945</v>
      </c>
      <c r="G39" s="0" t="s">
        <v>399</v>
      </c>
      <c r="H39" s="0" t="n">
        <f aca="false">ROUNDUP(F39/Inputs!$B$10,0)</f>
        <v>1</v>
      </c>
      <c r="I39" s="0" t="s">
        <v>480</v>
      </c>
    </row>
    <row r="40" customFormat="false" ht="15" hidden="false" customHeight="false" outlineLevel="0" collapsed="false">
      <c r="A40" s="0" t="s">
        <v>481</v>
      </c>
      <c r="B40" s="0" t="s">
        <v>431</v>
      </c>
      <c r="C40" s="0" t="n">
        <v>67.16</v>
      </c>
      <c r="D40" s="0" t="n">
        <f aca="false">Inputs!$B$6</f>
        <v>0.06</v>
      </c>
      <c r="E40" s="0" t="n">
        <f aca="false">C40*D40</f>
        <v>4.0296</v>
      </c>
      <c r="F40" s="0" t="n">
        <f aca="false">C40+E40</f>
        <v>71.1896</v>
      </c>
      <c r="G40" s="0" t="s">
        <v>463</v>
      </c>
      <c r="H40" s="0" t="n">
        <f aca="false">ROUNDUP(F40/Inputs!$B$9,0)</f>
        <v>2</v>
      </c>
      <c r="I40" s="0" t="s">
        <v>482</v>
      </c>
    </row>
    <row r="41" customFormat="false" ht="15" hidden="false" customHeight="false" outlineLevel="0" collapsed="false">
      <c r="A41" s="0" t="s">
        <v>483</v>
      </c>
      <c r="B41" s="0" t="s">
        <v>398</v>
      </c>
      <c r="C41" s="0" t="n">
        <v>219.5</v>
      </c>
      <c r="D41" s="0" t="n">
        <f aca="false">Inputs!$B$6</f>
        <v>0.06</v>
      </c>
      <c r="E41" s="0" t="n">
        <f aca="false">C41*D41</f>
        <v>13.17</v>
      </c>
      <c r="F41" s="0" t="n">
        <f aca="false">C41+E41</f>
        <v>232.67</v>
      </c>
      <c r="G41" s="0" t="s">
        <v>450</v>
      </c>
      <c r="H41" s="0" t="n">
        <f aca="false">ROUNDUP(F41/Inputs!$B$18,0)</f>
        <v>24</v>
      </c>
      <c r="I41" s="0" t="s">
        <v>484</v>
      </c>
    </row>
    <row r="42" customFormat="false" ht="15" hidden="false" customHeight="false" outlineLevel="0" collapsed="false">
      <c r="A42" s="0" t="s">
        <v>485</v>
      </c>
      <c r="B42" s="0" t="s">
        <v>470</v>
      </c>
      <c r="C42" s="0" t="n">
        <v>293</v>
      </c>
      <c r="D42" s="0" t="n">
        <v>0</v>
      </c>
      <c r="E42" s="0" t="n">
        <f aca="false">C42*D42</f>
        <v>0</v>
      </c>
      <c r="F42" s="0" t="n">
        <f aca="false">C42+E42</f>
        <v>293</v>
      </c>
      <c r="G42" s="0" t="s">
        <v>475</v>
      </c>
      <c r="H42" s="0" t="n">
        <f aca="false">ROUNDUP(F42,0)</f>
        <v>293</v>
      </c>
      <c r="I42" s="0" t="s">
        <v>486</v>
      </c>
    </row>
    <row r="43" customFormat="false" ht="15" hidden="false" customHeight="false" outlineLevel="0" collapsed="false">
      <c r="A43" s="0" t="s">
        <v>487</v>
      </c>
      <c r="B43" s="0" t="s">
        <v>470</v>
      </c>
      <c r="C43" s="0" t="n">
        <v>1</v>
      </c>
      <c r="D43" s="0" t="n">
        <v>0</v>
      </c>
      <c r="E43" s="0" t="n">
        <f aca="false">C43*D43</f>
        <v>0</v>
      </c>
      <c r="F43" s="0" t="n">
        <f aca="false">C43+E43</f>
        <v>1</v>
      </c>
      <c r="G43" s="0" t="s">
        <v>475</v>
      </c>
      <c r="H43" s="0" t="n">
        <f aca="false">ROUNDUP(F43,0)</f>
        <v>1</v>
      </c>
      <c r="I43" s="0" t="s">
        <v>488</v>
      </c>
    </row>
    <row r="44" customFormat="false" ht="15" hidden="false" customHeight="false" outlineLevel="0" collapsed="false">
      <c r="A44" s="0" t="s">
        <v>489</v>
      </c>
      <c r="B44" s="0" t="s">
        <v>470</v>
      </c>
      <c r="C44" s="0" t="n">
        <v>21026.78</v>
      </c>
      <c r="D44" s="0" t="n">
        <v>0</v>
      </c>
      <c r="E44" s="0" t="n">
        <f aca="false">C44*D44</f>
        <v>0</v>
      </c>
      <c r="F44" s="0" t="n">
        <f aca="false">C44+E44</f>
        <v>21026.78</v>
      </c>
      <c r="G44" s="0" t="s">
        <v>475</v>
      </c>
      <c r="H44" s="0" t="n">
        <f aca="false">ROUNDUP(F44,0)</f>
        <v>21027</v>
      </c>
      <c r="I44" s="0" t="s">
        <v>490</v>
      </c>
      <c r="J44" s="0" t="n">
        <f aca="false">Inputs!$B$20*17522.3</f>
        <v>21026.76</v>
      </c>
    </row>
    <row r="45" customFormat="false" ht="15" hidden="false" customHeight="false" outlineLevel="0" collapsed="false">
      <c r="A45" s="0" t="s">
        <v>491</v>
      </c>
      <c r="B45" s="0" t="s">
        <v>470</v>
      </c>
      <c r="C45" s="0" t="n">
        <v>7044</v>
      </c>
      <c r="D45" s="0" t="n">
        <v>0</v>
      </c>
      <c r="E45" s="0" t="n">
        <f aca="false">C45*D45</f>
        <v>0</v>
      </c>
      <c r="F45" s="0" t="n">
        <f aca="false">C45+E45</f>
        <v>7044</v>
      </c>
      <c r="G45" s="0" t="s">
        <v>475</v>
      </c>
      <c r="H45" s="0" t="n">
        <f aca="false">ROUNDUP(F45,0)</f>
        <v>7044</v>
      </c>
      <c r="I45" s="0" t="s">
        <v>492</v>
      </c>
      <c r="J45" s="0" t="n">
        <f aca="false">Inputs!$B$21*1761</f>
        <v>7044</v>
      </c>
    </row>
    <row r="46" customFormat="false" ht="15" hidden="false" customHeight="false" outlineLevel="0" collapsed="false">
      <c r="A46" s="0" t="s">
        <v>493</v>
      </c>
      <c r="B46" s="0" t="s">
        <v>470</v>
      </c>
      <c r="C46" s="0" t="n">
        <v>481.36</v>
      </c>
      <c r="D46" s="0" t="n">
        <v>0</v>
      </c>
      <c r="E46" s="0" t="n">
        <f aca="false">C46*D46</f>
        <v>0</v>
      </c>
      <c r="F46" s="0" t="n">
        <f aca="false">C46+E46</f>
        <v>481.36</v>
      </c>
      <c r="G46" s="0" t="s">
        <v>475</v>
      </c>
      <c r="H46" s="0" t="n">
        <f aca="false">ROUNDUP(F46,0)</f>
        <v>482</v>
      </c>
      <c r="I46" s="0" t="s">
        <v>494</v>
      </c>
      <c r="J46" s="0" t="n">
        <f aca="false">481.36/Inputs!$B$22</f>
        <v>481.36</v>
      </c>
    </row>
    <row r="47" customFormat="false" ht="15" hidden="false" customHeight="false" outlineLevel="0" collapsed="false">
      <c r="A47" s="0" t="s">
        <v>495</v>
      </c>
      <c r="B47" s="0" t="s">
        <v>470</v>
      </c>
      <c r="C47" s="0" t="n">
        <v>367.23</v>
      </c>
      <c r="D47" s="0" t="n">
        <v>0</v>
      </c>
      <c r="E47" s="0" t="n">
        <f aca="false">C47*D47</f>
        <v>0</v>
      </c>
      <c r="F47" s="0" t="n">
        <f aca="false">C47+E47</f>
        <v>367.23</v>
      </c>
      <c r="G47" s="0" t="s">
        <v>475</v>
      </c>
      <c r="H47" s="0" t="n">
        <f aca="false">ROUNDUP(F47,0)</f>
        <v>368</v>
      </c>
      <c r="I47" s="0" t="s">
        <v>496</v>
      </c>
      <c r="J47" s="0" t="n">
        <f aca="false">244.94/Inputs!$B$25</f>
        <v>367.226386806597</v>
      </c>
    </row>
    <row r="48" customFormat="false" ht="15" hidden="false" customHeight="false" outlineLevel="0" collapsed="false">
      <c r="A48" s="0" t="s">
        <v>497</v>
      </c>
      <c r="B48" s="0" t="s">
        <v>498</v>
      </c>
      <c r="C48" s="0" t="n">
        <v>1261.61</v>
      </c>
      <c r="D48" s="0" t="n">
        <v>0</v>
      </c>
      <c r="E48" s="0" t="n">
        <f aca="false">C48*D48</f>
        <v>0</v>
      </c>
      <c r="F48" s="0" t="n">
        <f aca="false">C48+E48</f>
        <v>1261.61</v>
      </c>
      <c r="G48" s="0" t="s">
        <v>499</v>
      </c>
      <c r="H48" s="0" t="n">
        <f aca="false">ROUNDUP(F48,0)</f>
        <v>1262</v>
      </c>
      <c r="I48" s="0" t="s">
        <v>500</v>
      </c>
      <c r="J48" s="0" t="n">
        <f aca="false">Inputs!$B$23*17522.3</f>
        <v>1261.6056</v>
      </c>
    </row>
    <row r="49" customFormat="false" ht="15" hidden="false" customHeight="false" outlineLevel="0" collapsed="false">
      <c r="A49" s="0" t="s">
        <v>501</v>
      </c>
      <c r="B49" s="0" t="s">
        <v>398</v>
      </c>
      <c r="C49" s="0" t="n">
        <v>6483.26</v>
      </c>
      <c r="D49" s="0" t="n">
        <v>0</v>
      </c>
      <c r="E49" s="0" t="n">
        <f aca="false">C49*D49</f>
        <v>0</v>
      </c>
      <c r="F49" s="0" t="n">
        <f aca="false">C49+E49</f>
        <v>6483.26</v>
      </c>
      <c r="G49" s="0" t="s">
        <v>398</v>
      </c>
      <c r="H49" s="0" t="n">
        <f aca="false">ROUNDUP(F49,0)</f>
        <v>6484</v>
      </c>
      <c r="I49" s="0" t="s">
        <v>502</v>
      </c>
      <c r="J49" s="0" t="n">
        <f aca="false">Inputs!$B$24*17522.3</f>
        <v>6483.251</v>
      </c>
    </row>
    <row r="50" customFormat="false" ht="15" hidden="false" customHeight="false" outlineLevel="0" collapsed="false">
      <c r="A50" s="0" t="s">
        <v>503</v>
      </c>
      <c r="B50" s="0" t="s">
        <v>431</v>
      </c>
      <c r="C50" s="0" t="n">
        <v>712.78</v>
      </c>
      <c r="D50" s="0" t="n">
        <f aca="false">Inputs!$B$6</f>
        <v>0.06</v>
      </c>
      <c r="E50" s="0" t="n">
        <f aca="false">C50*D50</f>
        <v>42.7668</v>
      </c>
      <c r="F50" s="0" t="n">
        <f aca="false">C50+E50</f>
        <v>755.5468</v>
      </c>
      <c r="G50" s="0" t="s">
        <v>431</v>
      </c>
      <c r="H50" s="0" t="n">
        <f aca="false">ROUNDUP(F50,0)</f>
        <v>756</v>
      </c>
      <c r="I50" s="0" t="s">
        <v>504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60"/>
  </cols>
  <sheetData>
    <row r="1" customFormat="false" ht="15" hidden="false" customHeight="false" outlineLevel="0" collapsed="false">
      <c r="A1" s="2" t="s">
        <v>505</v>
      </c>
      <c r="B1" s="2" t="s">
        <v>506</v>
      </c>
      <c r="C1" s="2" t="s">
        <v>507</v>
      </c>
    </row>
    <row r="2" customFormat="false" ht="15" hidden="false" customHeight="false" outlineLevel="0" collapsed="false">
      <c r="A2" s="0" t="s">
        <v>508</v>
      </c>
      <c r="B2" s="0" t="s">
        <v>509</v>
      </c>
      <c r="C2" s="0" t="s">
        <v>510</v>
      </c>
    </row>
    <row r="3" customFormat="false" ht="15" hidden="false" customHeight="false" outlineLevel="0" collapsed="false">
      <c r="A3" s="0" t="s">
        <v>511</v>
      </c>
      <c r="B3" s="0" t="s">
        <v>512</v>
      </c>
      <c r="C3" s="0" t="s">
        <v>513</v>
      </c>
    </row>
    <row r="4" customFormat="false" ht="15" hidden="false" customHeight="false" outlineLevel="0" collapsed="false">
      <c r="A4" s="0" t="s">
        <v>514</v>
      </c>
      <c r="B4" s="0" t="s">
        <v>515</v>
      </c>
      <c r="C4" s="0" t="s">
        <v>516</v>
      </c>
    </row>
    <row r="5" customFormat="false" ht="15" hidden="false" customHeight="false" outlineLevel="0" collapsed="false">
      <c r="A5" s="0" t="s">
        <v>517</v>
      </c>
      <c r="B5" s="0" t="s">
        <v>518</v>
      </c>
      <c r="C5" s="0" t="s">
        <v>519</v>
      </c>
    </row>
    <row r="6" customFormat="false" ht="15" hidden="false" customHeight="false" outlineLevel="0" collapsed="false">
      <c r="A6" s="0" t="s">
        <v>520</v>
      </c>
      <c r="B6" s="0" t="s">
        <v>521</v>
      </c>
      <c r="C6" s="0" t="s">
        <v>522</v>
      </c>
    </row>
    <row r="7" customFormat="false" ht="15" hidden="false" customHeight="false" outlineLevel="0" collapsed="false">
      <c r="A7" s="0" t="s">
        <v>523</v>
      </c>
      <c r="B7" s="0" t="s">
        <v>524</v>
      </c>
      <c r="C7" s="0" t="s">
        <v>525</v>
      </c>
    </row>
    <row r="8" customFormat="false" ht="15" hidden="false" customHeight="false" outlineLevel="0" collapsed="false">
      <c r="A8" s="0" t="s">
        <v>526</v>
      </c>
      <c r="B8" s="0" t="s">
        <v>527</v>
      </c>
      <c r="C8" s="0" t="s">
        <v>528</v>
      </c>
    </row>
    <row r="9" customFormat="false" ht="15" hidden="false" customHeight="false" outlineLevel="0" collapsed="false">
      <c r="A9" s="0" t="s">
        <v>529</v>
      </c>
      <c r="B9" s="0" t="s">
        <v>530</v>
      </c>
      <c r="C9" s="0" t="s">
        <v>531</v>
      </c>
    </row>
    <row r="10" customFormat="false" ht="15" hidden="false" customHeight="false" outlineLevel="0" collapsed="false">
      <c r="A10" s="0" t="s">
        <v>532</v>
      </c>
      <c r="B10" s="0" t="s">
        <v>533</v>
      </c>
      <c r="C10" s="0" t="s">
        <v>534</v>
      </c>
    </row>
    <row r="11" customFormat="false" ht="15" hidden="false" customHeight="false" outlineLevel="0" collapsed="false">
      <c r="A11" s="0" t="s">
        <v>535</v>
      </c>
      <c r="B11" s="0" t="s">
        <v>536</v>
      </c>
      <c r="C11" s="0" t="s">
        <v>537</v>
      </c>
    </row>
    <row r="12" customFormat="false" ht="15" hidden="false" customHeight="false" outlineLevel="0" collapsed="false">
      <c r="A12" s="0" t="s">
        <v>538</v>
      </c>
      <c r="B12" s="0" t="s">
        <v>539</v>
      </c>
      <c r="C12" s="0" t="s">
        <v>540</v>
      </c>
    </row>
    <row r="13" customFormat="false" ht="15" hidden="false" customHeight="false" outlineLevel="0" collapsed="false">
      <c r="A13" s="0" t="s">
        <v>541</v>
      </c>
      <c r="B13" s="0" t="s">
        <v>542</v>
      </c>
      <c r="C13" s="0" t="s">
        <v>543</v>
      </c>
    </row>
    <row r="14" customFormat="false" ht="15" hidden="false" customHeight="false" outlineLevel="0" collapsed="false">
      <c r="A14" s="0" t="s">
        <v>544</v>
      </c>
      <c r="B14" s="0" t="s">
        <v>545</v>
      </c>
      <c r="C14" s="0" t="s">
        <v>546</v>
      </c>
    </row>
    <row r="15" customFormat="false" ht="15" hidden="false" customHeight="false" outlineLevel="0" collapsed="false">
      <c r="A15" s="0" t="s">
        <v>547</v>
      </c>
      <c r="B15" s="0" t="s">
        <v>548</v>
      </c>
      <c r="C15" s="0" t="s">
        <v>549</v>
      </c>
    </row>
    <row r="16" customFormat="false" ht="15" hidden="false" customHeight="false" outlineLevel="0" collapsed="false">
      <c r="A16" s="0" t="s">
        <v>550</v>
      </c>
      <c r="B16" s="0" t="s">
        <v>551</v>
      </c>
      <c r="C16" s="0" t="s">
        <v>552</v>
      </c>
    </row>
    <row r="17" customFormat="false" ht="15" hidden="false" customHeight="false" outlineLevel="0" collapsed="false">
      <c r="A17" s="0" t="s">
        <v>553</v>
      </c>
      <c r="B17" s="0" t="s">
        <v>554</v>
      </c>
      <c r="C17" s="0" t="s">
        <v>555</v>
      </c>
    </row>
    <row r="18" customFormat="false" ht="15" hidden="false" customHeight="false" outlineLevel="0" collapsed="false">
      <c r="A18" s="0" t="s">
        <v>556</v>
      </c>
      <c r="B18" s="0" t="s">
        <v>557</v>
      </c>
      <c r="C18" s="0" t="s">
        <v>558</v>
      </c>
    </row>
    <row r="19" customFormat="false" ht="15" hidden="false" customHeight="false" outlineLevel="0" collapsed="false">
      <c r="A19" s="0" t="s">
        <v>559</v>
      </c>
      <c r="B19" s="0" t="s">
        <v>560</v>
      </c>
      <c r="C19" s="0" t="s">
        <v>561</v>
      </c>
    </row>
    <row r="20" customFormat="false" ht="15" hidden="false" customHeight="false" outlineLevel="0" collapsed="false">
      <c r="A20" s="0" t="s">
        <v>562</v>
      </c>
      <c r="B20" s="0" t="s">
        <v>563</v>
      </c>
      <c r="C20" s="0" t="s">
        <v>564</v>
      </c>
    </row>
    <row r="21" customFormat="false" ht="15" hidden="false" customHeight="false" outlineLevel="0" collapsed="false">
      <c r="A21" s="0" t="s">
        <v>565</v>
      </c>
      <c r="B21" s="0" t="s">
        <v>566</v>
      </c>
      <c r="C21" s="0" t="s">
        <v>567</v>
      </c>
    </row>
    <row r="22" customFormat="false" ht="15" hidden="false" customHeight="false" outlineLevel="0" collapsed="false">
      <c r="A22" s="0" t="s">
        <v>568</v>
      </c>
      <c r="B22" s="0" t="s">
        <v>569</v>
      </c>
      <c r="C22" s="0" t="s">
        <v>570</v>
      </c>
    </row>
    <row r="23" customFormat="false" ht="15" hidden="false" customHeight="false" outlineLevel="0" collapsed="false">
      <c r="A23" s="0" t="s">
        <v>571</v>
      </c>
      <c r="B23" s="0" t="s">
        <v>572</v>
      </c>
      <c r="C23" s="0" t="s">
        <v>573</v>
      </c>
    </row>
    <row r="24" customFormat="false" ht="15" hidden="false" customHeight="false" outlineLevel="0" collapsed="false">
      <c r="A24" s="0" t="s">
        <v>574</v>
      </c>
      <c r="B24" s="0" t="s">
        <v>575</v>
      </c>
      <c r="C24" s="0" t="s">
        <v>576</v>
      </c>
    </row>
    <row r="25" customFormat="false" ht="15" hidden="false" customHeight="false" outlineLevel="0" collapsed="false">
      <c r="A25" s="0" t="s">
        <v>577</v>
      </c>
      <c r="B25" s="0" t="s">
        <v>578</v>
      </c>
      <c r="C25" s="0" t="s">
        <v>579</v>
      </c>
    </row>
    <row r="26" customFormat="false" ht="15" hidden="false" customHeight="false" outlineLevel="0" collapsed="false">
      <c r="A26" s="0" t="s">
        <v>580</v>
      </c>
      <c r="B26" s="0" t="s">
        <v>581</v>
      </c>
      <c r="C26" s="0" t="s">
        <v>582</v>
      </c>
    </row>
    <row r="27" customFormat="false" ht="15" hidden="false" customHeight="false" outlineLevel="0" collapsed="false">
      <c r="A27" s="0" t="s">
        <v>583</v>
      </c>
      <c r="B27" s="0" t="s">
        <v>584</v>
      </c>
      <c r="C27" s="0" t="s">
        <v>585</v>
      </c>
    </row>
    <row r="28" customFormat="false" ht="15" hidden="false" customHeight="false" outlineLevel="0" collapsed="false">
      <c r="A28" s="0" t="s">
        <v>586</v>
      </c>
      <c r="B28" s="0" t="s">
        <v>587</v>
      </c>
      <c r="C28" s="0" t="s">
        <v>588</v>
      </c>
    </row>
    <row r="29" customFormat="false" ht="15" hidden="false" customHeight="false" outlineLevel="0" collapsed="false">
      <c r="A29" s="0" t="s">
        <v>589</v>
      </c>
      <c r="B29" s="0" t="s">
        <v>590</v>
      </c>
      <c r="C29" s="0" t="s">
        <v>591</v>
      </c>
    </row>
    <row r="30" customFormat="false" ht="15" hidden="false" customHeight="false" outlineLevel="0" collapsed="false">
      <c r="A30" s="0" t="s">
        <v>592</v>
      </c>
      <c r="B30" s="0" t="s">
        <v>593</v>
      </c>
      <c r="C30" s="0" t="s">
        <v>594</v>
      </c>
    </row>
    <row r="31" customFormat="false" ht="15" hidden="false" customHeight="false" outlineLevel="0" collapsed="false">
      <c r="A31" s="0" t="s">
        <v>595</v>
      </c>
      <c r="B31" s="0" t="s">
        <v>596</v>
      </c>
      <c r="C31" s="0" t="s">
        <v>597</v>
      </c>
    </row>
    <row r="32" customFormat="false" ht="15" hidden="false" customHeight="false" outlineLevel="0" collapsed="false">
      <c r="A32" s="0" t="s">
        <v>598</v>
      </c>
      <c r="B32" s="0" t="s">
        <v>599</v>
      </c>
      <c r="C32" s="0" t="s">
        <v>600</v>
      </c>
    </row>
    <row r="33" customFormat="false" ht="15" hidden="false" customHeight="false" outlineLevel="0" collapsed="false">
      <c r="A33" s="0" t="s">
        <v>601</v>
      </c>
      <c r="B33" s="0" t="s">
        <v>602</v>
      </c>
      <c r="C33" s="0" t="s">
        <v>603</v>
      </c>
    </row>
    <row r="34" customFormat="false" ht="15" hidden="false" customHeight="false" outlineLevel="0" collapsed="false">
      <c r="A34" s="0" t="s">
        <v>604</v>
      </c>
      <c r="B34" s="0" t="s">
        <v>605</v>
      </c>
      <c r="C34" s="0" t="s">
        <v>606</v>
      </c>
    </row>
    <row r="35" customFormat="false" ht="15" hidden="false" customHeight="false" outlineLevel="0" collapsed="false">
      <c r="A35" s="0" t="s">
        <v>607</v>
      </c>
      <c r="B35" s="0" t="s">
        <v>608</v>
      </c>
      <c r="C35" s="0" t="s">
        <v>609</v>
      </c>
    </row>
    <row r="36" customFormat="false" ht="15" hidden="false" customHeight="false" outlineLevel="0" collapsed="false">
      <c r="A36" s="0" t="s">
        <v>610</v>
      </c>
      <c r="B36" s="0" t="s">
        <v>611</v>
      </c>
      <c r="C36" s="0" t="s">
        <v>612</v>
      </c>
    </row>
    <row r="37" customFormat="false" ht="15" hidden="false" customHeight="false" outlineLevel="0" collapsed="false">
      <c r="A37" s="0" t="s">
        <v>613</v>
      </c>
      <c r="B37" s="0" t="s">
        <v>614</v>
      </c>
      <c r="C37" s="0" t="s">
        <v>615</v>
      </c>
    </row>
    <row r="38" customFormat="false" ht="15" hidden="false" customHeight="false" outlineLevel="0" collapsed="false">
      <c r="A38" s="0" t="s">
        <v>616</v>
      </c>
      <c r="B38" s="0" t="s">
        <v>617</v>
      </c>
      <c r="C38" s="0" t="s">
        <v>618</v>
      </c>
    </row>
    <row r="39" customFormat="false" ht="15" hidden="false" customHeight="false" outlineLevel="0" collapsed="false">
      <c r="A39" s="0" t="s">
        <v>619</v>
      </c>
      <c r="B39" s="0" t="s">
        <v>620</v>
      </c>
      <c r="C39" s="0" t="s">
        <v>621</v>
      </c>
    </row>
    <row r="40" customFormat="false" ht="15" hidden="false" customHeight="false" outlineLevel="0" collapsed="false">
      <c r="A40" s="0" t="s">
        <v>622</v>
      </c>
      <c r="B40" s="0" t="s">
        <v>623</v>
      </c>
      <c r="C40" s="0" t="s">
        <v>624</v>
      </c>
    </row>
    <row r="41" customFormat="false" ht="15" hidden="false" customHeight="false" outlineLevel="0" collapsed="false">
      <c r="A41" s="0" t="s">
        <v>625</v>
      </c>
      <c r="B41" s="0" t="s">
        <v>626</v>
      </c>
      <c r="C41" s="0" t="s">
        <v>627</v>
      </c>
    </row>
    <row r="42" customFormat="false" ht="15" hidden="false" customHeight="false" outlineLevel="0" collapsed="false">
      <c r="A42" s="0" t="s">
        <v>628</v>
      </c>
      <c r="B42" s="0" t="s">
        <v>629</v>
      </c>
      <c r="C42" s="0" t="s">
        <v>630</v>
      </c>
    </row>
    <row r="43" customFormat="false" ht="15" hidden="false" customHeight="false" outlineLevel="0" collapsed="false">
      <c r="A43" s="0" t="s">
        <v>631</v>
      </c>
      <c r="B43" s="0" t="s">
        <v>632</v>
      </c>
      <c r="C43" s="0" t="s">
        <v>633</v>
      </c>
    </row>
    <row r="44" customFormat="false" ht="15" hidden="false" customHeight="false" outlineLevel="0" collapsed="false">
      <c r="A44" s="0" t="s">
        <v>634</v>
      </c>
      <c r="B44" s="0" t="s">
        <v>635</v>
      </c>
      <c r="C44" s="0" t="s">
        <v>636</v>
      </c>
    </row>
    <row r="45" customFormat="false" ht="15" hidden="false" customHeight="false" outlineLevel="0" collapsed="false">
      <c r="A45" s="0" t="s">
        <v>637</v>
      </c>
      <c r="B45" s="0" t="s">
        <v>638</v>
      </c>
      <c r="C45" s="0" t="s">
        <v>639</v>
      </c>
    </row>
    <row r="46" customFormat="false" ht="15" hidden="false" customHeight="false" outlineLevel="0" collapsed="false">
      <c r="A46" s="0" t="s">
        <v>640</v>
      </c>
      <c r="B46" s="0" t="s">
        <v>641</v>
      </c>
      <c r="C46" s="0" t="s">
        <v>642</v>
      </c>
    </row>
    <row r="47" customFormat="false" ht="15" hidden="false" customHeight="false" outlineLevel="0" collapsed="false">
      <c r="A47" s="0" t="s">
        <v>643</v>
      </c>
      <c r="B47" s="0" t="s">
        <v>644</v>
      </c>
      <c r="C47" s="0" t="s">
        <v>645</v>
      </c>
    </row>
    <row r="48" customFormat="false" ht="15" hidden="false" customHeight="false" outlineLevel="0" collapsed="false">
      <c r="A48" s="0" t="s">
        <v>646</v>
      </c>
      <c r="B48" s="0" t="s">
        <v>647</v>
      </c>
      <c r="C48" s="0" t="s">
        <v>648</v>
      </c>
    </row>
    <row r="49" customFormat="false" ht="15" hidden="false" customHeight="false" outlineLevel="0" collapsed="false">
      <c r="A49" s="0" t="s">
        <v>649</v>
      </c>
      <c r="B49" s="0" t="s">
        <v>650</v>
      </c>
      <c r="C49" s="0" t="s">
        <v>651</v>
      </c>
    </row>
    <row r="50" customFormat="false" ht="15" hidden="false" customHeight="false" outlineLevel="0" collapsed="false">
      <c r="A50" s="0" t="s">
        <v>652</v>
      </c>
      <c r="B50" s="0" t="s">
        <v>653</v>
      </c>
      <c r="C50" s="0" t="s">
        <v>654</v>
      </c>
    </row>
    <row r="51" customFormat="false" ht="15" hidden="false" customHeight="false" outlineLevel="0" collapsed="false">
      <c r="A51" s="0" t="s">
        <v>655</v>
      </c>
      <c r="B51" s="0" t="s">
        <v>656</v>
      </c>
      <c r="C51" s="0" t="s">
        <v>657</v>
      </c>
    </row>
    <row r="52" customFormat="false" ht="15" hidden="false" customHeight="false" outlineLevel="0" collapsed="false">
      <c r="A52" s="0" t="s">
        <v>658</v>
      </c>
      <c r="B52" s="0" t="s">
        <v>659</v>
      </c>
      <c r="C52" s="0" t="s">
        <v>660</v>
      </c>
    </row>
    <row r="53" customFormat="false" ht="15" hidden="false" customHeight="false" outlineLevel="0" collapsed="false">
      <c r="A53" s="0" t="s">
        <v>661</v>
      </c>
      <c r="B53" s="0" t="s">
        <v>662</v>
      </c>
      <c r="C53" s="0" t="s">
        <v>663</v>
      </c>
    </row>
    <row r="54" customFormat="false" ht="15" hidden="false" customHeight="false" outlineLevel="0" collapsed="false">
      <c r="A54" s="0" t="s">
        <v>664</v>
      </c>
      <c r="B54" s="0" t="s">
        <v>665</v>
      </c>
      <c r="C54" s="0" t="s">
        <v>666</v>
      </c>
    </row>
    <row r="55" customFormat="false" ht="15" hidden="false" customHeight="false" outlineLevel="0" collapsed="false">
      <c r="A55" s="0" t="s">
        <v>667</v>
      </c>
      <c r="B55" s="0" t="s">
        <v>668</v>
      </c>
      <c r="C55" s="0" t="s">
        <v>669</v>
      </c>
    </row>
    <row r="56" customFormat="false" ht="15" hidden="false" customHeight="false" outlineLevel="0" collapsed="false">
      <c r="A56" s="0" t="s">
        <v>670</v>
      </c>
      <c r="B56" s="0" t="s">
        <v>671</v>
      </c>
      <c r="C56" s="0" t="s">
        <v>672</v>
      </c>
    </row>
    <row r="57" customFormat="false" ht="15" hidden="false" customHeight="false" outlineLevel="0" collapsed="false">
      <c r="A57" s="0" t="s">
        <v>673</v>
      </c>
      <c r="B57" s="0" t="s">
        <v>674</v>
      </c>
      <c r="C57" s="0" t="s">
        <v>675</v>
      </c>
    </row>
    <row r="58" customFormat="false" ht="15" hidden="false" customHeight="false" outlineLevel="0" collapsed="false">
      <c r="A58" s="0" t="s">
        <v>676</v>
      </c>
      <c r="B58" s="0" t="s">
        <v>677</v>
      </c>
      <c r="C58" s="0" t="s">
        <v>678</v>
      </c>
    </row>
    <row r="59" customFormat="false" ht="15" hidden="false" customHeight="false" outlineLevel="0" collapsed="false">
      <c r="A59" s="0" t="s">
        <v>679</v>
      </c>
      <c r="B59" s="0" t="s">
        <v>680</v>
      </c>
      <c r="C59" s="0" t="s">
        <v>681</v>
      </c>
    </row>
    <row r="60" customFormat="false" ht="15" hidden="false" customHeight="false" outlineLevel="0" collapsed="false">
      <c r="A60" s="0" t="s">
        <v>682</v>
      </c>
      <c r="B60" s="0" t="s">
        <v>683</v>
      </c>
      <c r="C60" s="0" t="s">
        <v>684</v>
      </c>
    </row>
    <row r="61" customFormat="false" ht="15" hidden="false" customHeight="false" outlineLevel="0" collapsed="false">
      <c r="A61" s="0" t="s">
        <v>685</v>
      </c>
      <c r="B61" s="0" t="s">
        <v>686</v>
      </c>
      <c r="C61" s="0" t="s">
        <v>687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0"/>
    <col collapsed="false" customWidth="true" hidden="false" outlineLevel="0" max="3" min="3" style="0" width="28"/>
    <col collapsed="false" customWidth="true" hidden="false" outlineLevel="0" max="4" min="4" style="0" width="53"/>
  </cols>
  <sheetData>
    <row r="1" customFormat="false" ht="15" hidden="false" customHeight="false" outlineLevel="0" collapsed="false">
      <c r="A1" s="0" t="s">
        <v>688</v>
      </c>
      <c r="B1" s="0" t="s">
        <v>689</v>
      </c>
      <c r="C1" s="0" t="s">
        <v>690</v>
      </c>
      <c r="D1" s="0" t="s">
        <v>691</v>
      </c>
    </row>
    <row r="2" customFormat="false" ht="15" hidden="false" customHeight="false" outlineLevel="0" collapsed="false">
      <c r="A2" s="0" t="n">
        <v>1</v>
      </c>
      <c r="B2" s="0" t="s">
        <v>692</v>
      </c>
      <c r="C2" s="0" t="s">
        <v>693</v>
      </c>
      <c r="D2" s="0" t="s">
        <v>694</v>
      </c>
    </row>
    <row r="3" customFormat="false" ht="15" hidden="false" customHeight="false" outlineLevel="0" collapsed="false">
      <c r="A3" s="0" t="n">
        <v>2</v>
      </c>
      <c r="B3" s="0" t="s">
        <v>695</v>
      </c>
      <c r="C3" s="0" t="s">
        <v>696</v>
      </c>
      <c r="D3" s="0" t="s">
        <v>697</v>
      </c>
    </row>
    <row r="4" customFormat="false" ht="15" hidden="false" customHeight="false" outlineLevel="0" collapsed="false">
      <c r="A4" s="0" t="n">
        <v>3</v>
      </c>
      <c r="B4" s="0" t="s">
        <v>698</v>
      </c>
      <c r="C4" s="0" t="s">
        <v>699</v>
      </c>
      <c r="D4" s="0" t="s">
        <v>697</v>
      </c>
    </row>
    <row r="5" customFormat="false" ht="15" hidden="false" customHeight="false" outlineLevel="0" collapsed="false">
      <c r="A5" s="0" t="n">
        <v>4</v>
      </c>
      <c r="B5" s="0" t="s">
        <v>700</v>
      </c>
      <c r="C5" s="0" t="s">
        <v>701</v>
      </c>
      <c r="D5" s="0" t="s">
        <v>697</v>
      </c>
    </row>
    <row r="6" customFormat="false" ht="15" hidden="false" customHeight="false" outlineLevel="0" collapsed="false">
      <c r="A6" s="0" t="n">
        <v>5</v>
      </c>
      <c r="B6" s="0" t="s">
        <v>702</v>
      </c>
      <c r="C6" s="0" t="s">
        <v>703</v>
      </c>
      <c r="D6" s="0" t="s">
        <v>704</v>
      </c>
    </row>
    <row r="7" customFormat="false" ht="15" hidden="false" customHeight="false" outlineLevel="0" collapsed="false">
      <c r="A7" s="0" t="n">
        <v>6</v>
      </c>
      <c r="B7" s="0" t="s">
        <v>705</v>
      </c>
      <c r="C7" s="0" t="s">
        <v>290</v>
      </c>
      <c r="D7" s="0" t="s">
        <v>706</v>
      </c>
    </row>
    <row r="8" customFormat="false" ht="15" hidden="false" customHeight="false" outlineLevel="0" collapsed="false">
      <c r="A8" s="0" t="n">
        <v>7</v>
      </c>
      <c r="B8" s="0" t="s">
        <v>707</v>
      </c>
      <c r="C8" s="0" t="s">
        <v>708</v>
      </c>
      <c r="D8" s="0" t="s">
        <v>709</v>
      </c>
    </row>
    <row r="9" customFormat="false" ht="15" hidden="false" customHeight="false" outlineLevel="0" collapsed="false">
      <c r="A9" s="0" t="n">
        <v>8</v>
      </c>
      <c r="B9" s="0" t="s">
        <v>710</v>
      </c>
      <c r="C9" s="0" t="s">
        <v>711</v>
      </c>
      <c r="D9" s="0" t="s">
        <v>712</v>
      </c>
    </row>
    <row r="10" customFormat="false" ht="15" hidden="false" customHeight="false" outlineLevel="0" collapsed="false">
      <c r="A10" s="0" t="n">
        <v>9</v>
      </c>
      <c r="B10" s="0" t="s">
        <v>713</v>
      </c>
      <c r="C10" s="0" t="s">
        <v>714</v>
      </c>
      <c r="D10" s="0" t="s">
        <v>715</v>
      </c>
    </row>
    <row r="11" customFormat="false" ht="15" hidden="false" customHeight="false" outlineLevel="0" collapsed="false">
      <c r="A11" s="0" t="n">
        <v>10</v>
      </c>
      <c r="B11" s="0" t="s">
        <v>716</v>
      </c>
      <c r="C11" s="0" t="s">
        <v>717</v>
      </c>
      <c r="D11" s="0" t="s">
        <v>718</v>
      </c>
    </row>
    <row r="12" customFormat="false" ht="15" hidden="false" customHeight="false" outlineLevel="0" collapsed="false">
      <c r="A12" s="0" t="n">
        <v>11</v>
      </c>
      <c r="B12" s="0" t="s">
        <v>719</v>
      </c>
      <c r="C12" s="0" t="s">
        <v>720</v>
      </c>
      <c r="D12" s="0" t="s">
        <v>721</v>
      </c>
    </row>
    <row r="13" customFormat="false" ht="15" hidden="false" customHeight="false" outlineLevel="0" collapsed="false">
      <c r="A13" s="0" t="n">
        <v>12</v>
      </c>
      <c r="B13" s="0" t="s">
        <v>722</v>
      </c>
      <c r="C13" s="0" t="s">
        <v>723</v>
      </c>
      <c r="D13" s="0" t="s">
        <v>704</v>
      </c>
    </row>
    <row r="14" customFormat="false" ht="15" hidden="false" customHeight="false" outlineLevel="0" collapsed="false">
      <c r="A14" s="0" t="n">
        <v>13</v>
      </c>
      <c r="B14" s="0" t="s">
        <v>724</v>
      </c>
      <c r="C14" s="0" t="s">
        <v>725</v>
      </c>
      <c r="D14" s="0" t="s">
        <v>725</v>
      </c>
    </row>
    <row r="15" customFormat="false" ht="15" hidden="false" customHeight="false" outlineLevel="0" collapsed="false">
      <c r="A15" s="0" t="n">
        <v>14</v>
      </c>
      <c r="B15" s="0" t="s">
        <v>726</v>
      </c>
      <c r="C15" s="0" t="s">
        <v>727</v>
      </c>
      <c r="D15" s="0" t="s">
        <v>709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0"/>
    <col collapsed="false" customWidth="true" hidden="false" outlineLevel="0" max="3" min="3" style="0" width="16"/>
    <col collapsed="false" customWidth="true" hidden="false" outlineLevel="0" max="4" min="4" style="0" width="60"/>
  </cols>
  <sheetData>
    <row r="1" customFormat="false" ht="15" hidden="false" customHeight="false" outlineLevel="0" collapsed="false">
      <c r="A1" s="0" t="s">
        <v>728</v>
      </c>
      <c r="B1" s="0" t="s">
        <v>729</v>
      </c>
      <c r="C1" s="0" t="s">
        <v>58</v>
      </c>
      <c r="D1" s="0" t="s">
        <v>730</v>
      </c>
    </row>
    <row r="2" customFormat="false" ht="15" hidden="false" customHeight="false" outlineLevel="0" collapsed="false">
      <c r="A2" s="0" t="s">
        <v>731</v>
      </c>
      <c r="B2" s="0" t="s">
        <v>732</v>
      </c>
      <c r="C2" s="0" t="s">
        <v>733</v>
      </c>
      <c r="D2" s="0" t="s">
        <v>734</v>
      </c>
    </row>
    <row r="3" customFormat="false" ht="15" hidden="false" customHeight="false" outlineLevel="0" collapsed="false">
      <c r="A3" s="0" t="s">
        <v>735</v>
      </c>
      <c r="B3" s="0" t="s">
        <v>736</v>
      </c>
      <c r="C3" s="0" t="s">
        <v>733</v>
      </c>
      <c r="D3" s="0" t="s">
        <v>737</v>
      </c>
    </row>
    <row r="4" customFormat="false" ht="15" hidden="false" customHeight="false" outlineLevel="0" collapsed="false">
      <c r="A4" s="0" t="s">
        <v>738</v>
      </c>
      <c r="B4" s="0" t="s">
        <v>739</v>
      </c>
      <c r="C4" s="0" t="s">
        <v>733</v>
      </c>
      <c r="D4" s="0" t="s">
        <v>740</v>
      </c>
    </row>
    <row r="5" customFormat="false" ht="15" hidden="false" customHeight="false" outlineLevel="0" collapsed="false">
      <c r="A5" s="0" t="s">
        <v>741</v>
      </c>
      <c r="B5" s="0" t="s">
        <v>742</v>
      </c>
      <c r="C5" s="0" t="s">
        <v>733</v>
      </c>
      <c r="D5" s="0" t="s">
        <v>743</v>
      </c>
    </row>
    <row r="6" customFormat="false" ht="15" hidden="false" customHeight="false" outlineLevel="0" collapsed="false">
      <c r="A6" s="0" t="s">
        <v>744</v>
      </c>
      <c r="B6" s="0" t="s">
        <v>745</v>
      </c>
      <c r="C6" s="0" t="s">
        <v>733</v>
      </c>
      <c r="D6" s="0" t="s">
        <v>746</v>
      </c>
    </row>
    <row r="7" customFormat="false" ht="15" hidden="false" customHeight="false" outlineLevel="0" collapsed="false">
      <c r="A7" s="0" t="s">
        <v>747</v>
      </c>
      <c r="B7" s="0" t="s">
        <v>748</v>
      </c>
      <c r="C7" s="0" t="s">
        <v>733</v>
      </c>
      <c r="D7" s="0" t="s">
        <v>749</v>
      </c>
    </row>
    <row r="8" customFormat="false" ht="15" hidden="false" customHeight="false" outlineLevel="0" collapsed="false">
      <c r="A8" s="0" t="s">
        <v>750</v>
      </c>
      <c r="B8" s="0" t="s">
        <v>751</v>
      </c>
      <c r="C8" s="0" t="s">
        <v>733</v>
      </c>
      <c r="D8" s="0" t="s">
        <v>752</v>
      </c>
    </row>
    <row r="9" customFormat="false" ht="15" hidden="false" customHeight="false" outlineLevel="0" collapsed="false">
      <c r="A9" s="0" t="s">
        <v>753</v>
      </c>
      <c r="B9" s="0" t="s">
        <v>754</v>
      </c>
      <c r="C9" s="0" t="s">
        <v>733</v>
      </c>
      <c r="D9" s="0" t="s">
        <v>755</v>
      </c>
    </row>
    <row r="10" customFormat="false" ht="15" hidden="false" customHeight="false" outlineLevel="0" collapsed="false">
      <c r="A10" s="0" t="s">
        <v>756</v>
      </c>
      <c r="B10" s="0" t="s">
        <v>757</v>
      </c>
      <c r="C10" s="0" t="s">
        <v>733</v>
      </c>
      <c r="D10" s="0" t="s">
        <v>758</v>
      </c>
    </row>
    <row r="11" customFormat="false" ht="15" hidden="false" customHeight="false" outlineLevel="0" collapsed="false">
      <c r="A11" s="0" t="s">
        <v>759</v>
      </c>
      <c r="B11" s="0" t="s">
        <v>760</v>
      </c>
      <c r="C11" s="0" t="s">
        <v>733</v>
      </c>
      <c r="D11" s="0" t="s">
        <v>761</v>
      </c>
    </row>
    <row r="12" customFormat="false" ht="15" hidden="false" customHeight="false" outlineLevel="0" collapsed="false">
      <c r="A12" s="0" t="s">
        <v>762</v>
      </c>
      <c r="B12" s="0" t="s">
        <v>763</v>
      </c>
      <c r="C12" s="0" t="s">
        <v>733</v>
      </c>
      <c r="D12" s="0" t="s">
        <v>764</v>
      </c>
    </row>
    <row r="13" customFormat="false" ht="15" hidden="false" customHeight="false" outlineLevel="0" collapsed="false">
      <c r="A13" s="0" t="s">
        <v>765</v>
      </c>
      <c r="B13" s="0" t="s">
        <v>766</v>
      </c>
      <c r="C13" s="0" t="s">
        <v>733</v>
      </c>
      <c r="D13" s="0" t="s">
        <v>767</v>
      </c>
    </row>
    <row r="14" customFormat="false" ht="15" hidden="false" customHeight="false" outlineLevel="0" collapsed="false">
      <c r="A14" s="0" t="s">
        <v>768</v>
      </c>
      <c r="B14" s="0" t="s">
        <v>769</v>
      </c>
      <c r="C14" s="0" t="s">
        <v>733</v>
      </c>
      <c r="D14" s="0" t="s">
        <v>770</v>
      </c>
    </row>
    <row r="15" customFormat="false" ht="15" hidden="false" customHeight="false" outlineLevel="0" collapsed="false">
      <c r="A15" s="0" t="s">
        <v>771</v>
      </c>
      <c r="B15" s="0" t="s">
        <v>772</v>
      </c>
      <c r="C15" s="0" t="s">
        <v>733</v>
      </c>
      <c r="D15" s="0" t="s">
        <v>773</v>
      </c>
    </row>
    <row r="16" customFormat="false" ht="15" hidden="false" customHeight="false" outlineLevel="0" collapsed="false">
      <c r="A16" s="0" t="s">
        <v>774</v>
      </c>
      <c r="B16" s="0" t="s">
        <v>775</v>
      </c>
      <c r="C16" s="0" t="s">
        <v>733</v>
      </c>
      <c r="D16" s="0" t="s">
        <v>776</v>
      </c>
    </row>
    <row r="17" customFormat="false" ht="15" hidden="false" customHeight="false" outlineLevel="0" collapsed="false">
      <c r="A17" s="0" t="s">
        <v>777</v>
      </c>
      <c r="B17" s="0" t="s">
        <v>778</v>
      </c>
      <c r="C17" s="0" t="s">
        <v>733</v>
      </c>
      <c r="D17" s="0" t="s">
        <v>779</v>
      </c>
    </row>
    <row r="18" customFormat="false" ht="15" hidden="false" customHeight="false" outlineLevel="0" collapsed="false">
      <c r="A18" s="0" t="s">
        <v>780</v>
      </c>
      <c r="B18" s="0" t="s">
        <v>781</v>
      </c>
      <c r="C18" s="0" t="s">
        <v>733</v>
      </c>
      <c r="D18" s="0" t="s">
        <v>782</v>
      </c>
    </row>
    <row r="19" customFormat="false" ht="15" hidden="false" customHeight="false" outlineLevel="0" collapsed="false">
      <c r="A19" s="0" t="s">
        <v>783</v>
      </c>
      <c r="B19" s="0" t="s">
        <v>784</v>
      </c>
      <c r="C19" s="0" t="s">
        <v>733</v>
      </c>
      <c r="D19" s="0" t="s">
        <v>785</v>
      </c>
    </row>
    <row r="20" customFormat="false" ht="15" hidden="false" customHeight="false" outlineLevel="0" collapsed="false">
      <c r="A20" s="0" t="s">
        <v>786</v>
      </c>
      <c r="B20" s="0" t="s">
        <v>787</v>
      </c>
      <c r="C20" s="0" t="s">
        <v>733</v>
      </c>
      <c r="D20" s="0" t="s">
        <v>788</v>
      </c>
    </row>
    <row r="21" customFormat="false" ht="15" hidden="false" customHeight="false" outlineLevel="0" collapsed="false">
      <c r="A21" s="0" t="s">
        <v>789</v>
      </c>
      <c r="B21" s="0" t="s">
        <v>790</v>
      </c>
      <c r="C21" s="0" t="s">
        <v>733</v>
      </c>
      <c r="D21" s="0" t="s">
        <v>791</v>
      </c>
    </row>
    <row r="22" customFormat="false" ht="15" hidden="false" customHeight="false" outlineLevel="0" collapsed="false">
      <c r="A22" s="0" t="s">
        <v>792</v>
      </c>
      <c r="B22" s="0" t="s">
        <v>793</v>
      </c>
      <c r="C22" s="0" t="s">
        <v>794</v>
      </c>
      <c r="D22" s="0" t="s">
        <v>795</v>
      </c>
    </row>
    <row r="23" customFormat="false" ht="15" hidden="false" customHeight="false" outlineLevel="0" collapsed="false">
      <c r="A23" s="0" t="s">
        <v>796</v>
      </c>
      <c r="B23" s="0" t="s">
        <v>797</v>
      </c>
      <c r="C23" s="0" t="s">
        <v>794</v>
      </c>
      <c r="D23" s="0" t="s">
        <v>798</v>
      </c>
    </row>
    <row r="24" customFormat="false" ht="15" hidden="false" customHeight="false" outlineLevel="0" collapsed="false">
      <c r="A24" s="0" t="s">
        <v>799</v>
      </c>
      <c r="B24" s="0" t="s">
        <v>800</v>
      </c>
      <c r="C24" s="0" t="s">
        <v>733</v>
      </c>
      <c r="D24" s="0" t="s">
        <v>801</v>
      </c>
    </row>
    <row r="25" customFormat="false" ht="15" hidden="false" customHeight="false" outlineLevel="0" collapsed="false">
      <c r="A25" s="0" t="s">
        <v>802</v>
      </c>
      <c r="B25" s="0" t="s">
        <v>803</v>
      </c>
      <c r="C25" s="0" t="s">
        <v>733</v>
      </c>
      <c r="D25" s="0" t="s">
        <v>804</v>
      </c>
    </row>
    <row r="26" customFormat="false" ht="15" hidden="false" customHeight="false" outlineLevel="0" collapsed="false">
      <c r="A26" s="0" t="s">
        <v>805</v>
      </c>
      <c r="B26" s="0" t="s">
        <v>806</v>
      </c>
      <c r="C26" s="0" t="s">
        <v>794</v>
      </c>
      <c r="D26" s="0" t="s">
        <v>807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2026-10-19T01:33:12Z</dcterms:created>
  <dc:creator>openpyxl</dc:creator>
  <dc:description/>
  <dc:language>en-US</dc:language>
  <cp:lastModifiedBy/>
  <dcterms:modified xsi:type="dcterms:W3CDTF">2026-10-19T01:33:12Z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