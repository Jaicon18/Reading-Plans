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<sst xmlns="http://schemas.openxmlformats.org/spreadsheetml/2006/main" count="1235" uniqueCount="866">
  <si>
    <t xml:space="preserve">Bank of America - Broomfield, CO (CO1-111)   |   METAL FRAMING &amp; DRYWALL TAKEOFF</t>
  </si>
  <si>
    <t xml:space="preserve">Bid set: 2025.08.26_CO1-111_Broomfield_PERMIT SET_BID SET.pdf   ·   2026-10-18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</si>
  <si>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</si>
  <si>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</si>
  <si>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</si>
  <si>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</si>
  <si>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</si>
  <si>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</si>
  <si>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</si>
  <si>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</si>
  <si>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</si>
  <si>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</si>
  <si>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</si>
  <si>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</si>
  <si>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</si>
  <si>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</si>
  <si>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</si>
  <si>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</si>
  <si>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</si>
  <si>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</si>
  <si>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</si>
  <si>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</si>
  <si>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</si>
  <si>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n/a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</si>
  <si>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</si>
  <si>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</si>
  <si>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</si>
  <si>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</si>
  <si>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</si>
  <si>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</si>
  <si>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</si>
  <si>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</si>
  <si>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</si>
  <si>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</si>
  <si>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</si>
  <si>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</si>
  <si>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</si>
  <si>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</si>
  <si>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</si>
  <si>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</si>
  <si>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</si>
  <si>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</si>
  <si>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</si>
  <si>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</si>
  <si>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</si>
  <si>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</si>
  <si>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</si>
  <si>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</si>
  <si>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</si>
  <si>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</si>
  <si>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</si>
  <si>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</si>
  <si>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</si>
  <si>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</si>
  <si>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</si>
  <si>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</si>
  <si>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</si>
  <si>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</si>
  <si>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</si>
  <si>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</si>
  <si>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</si>
  <si>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#EX-2  -  West wall grid 2: Vestibule 100 / 24 HR Vestibule 101 / ATM Room 102, pier 2 to grid D</t>
  </si>
  <si>
    <t xml:space="preserve">EX-2</t>
  </si>
  <si>
    <t xml:space="preserve">6"</t>
  </si>
  <si>
    <t xml:space="preserve">West wall grid 2: Vestibule 100 / 24 HR Vestibule 101 / ATM Room 102, pier 2 to grid D</t>
  </si>
  <si>
    <t xml:space="preserve">J/A09.23</t>
  </si>
  <si>
    <t xml:space="preserve">[DERIVED]</t>
  </si>
  <si>
    <t xml:space="preserve">EXT-6CFMF  #EX-3  -  Jog on grid D between grids 2 and 3 (ATM Room 102 side; exterior face toward the drive-up canopy)</t>
  </si>
  <si>
    <t xml:space="preserve">EX-3</t>
  </si>
  <si>
    <t xml:space="preserve">Jog on grid D between grids 2 and 3 (ATM Room 102 side; exterior face toward the drive-up canopy)</t>
  </si>
  <si>
    <t xml:space="preserve">EXT-6CFMF  #EX-4+EX-5  -  South wall line F grids 4-7 (Central Zone 103), storefront 26'-3" + South wall line F grids 7-8 (Office 1 ME 105)</t>
  </si>
  <si>
    <t xml:space="preserve">EX-4+EX-5</t>
  </si>
  <si>
    <t xml:space="preserve">South wall line F grids 4-7 (Central Zone 103), storefront 26'-3" + South wall line F grids 7-8 (Office 1 ME 105)</t>
  </si>
  <si>
    <t xml:space="preserve">C/A09.21</t>
  </si>
  <si>
    <t xml:space="preserve">EXT-6CFMF  #EX-6+EX-7  -  East wall grid 8, F to B (offices 105-108, Cash Window 116) + East wall grid 8, B to A (Cash Window 116, Work Room 119) - low roof</t>
  </si>
  <si>
    <t xml:space="preserve">EX-6+EX-7</t>
  </si>
  <si>
    <t xml:space="preserve">East wall grid 8, F to B (offices 105-108, Cash Window 116) + East wall grid 8, B to A (Cash Window 116, Work Room 119) - low roof</t>
  </si>
  <si>
    <t xml:space="preserve">D/A09.22; E/A09.22</t>
  </si>
  <si>
    <t xml:space="preserve">EXT-6CFMF  #EX-8+EX-9  -  North wall grid A, grids 3-6 (Wellness 115, exit corridor door 123, NER 121, Break 118) - low roof + North wall grid A, grids 6-8 (Break 118, Work Room 119) - low roof</t>
  </si>
  <si>
    <t xml:space="preserve">EX-8+EX-9</t>
  </si>
  <si>
    <t xml:space="preserve">North wall grid A, grids 3-6 (Wellness 115, exit corridor door 123, NER 121, Break 118) - low roof + North wall grid A, grids 6-8 (Break 118, Work Room 119) - low roof</t>
  </si>
  <si>
    <t xml:space="preserve">F/A09.22</t>
  </si>
  <si>
    <t xml:space="preserve">EXT-6CFMF  #EX-10+EX-11  -  West wall grid 3, D to B (offices 109, 110, Women's 114) + West wall grid 3, B to A (restrooms 114/113, Janitor 112, Wellness 115) - low roof</t>
  </si>
  <si>
    <t xml:space="preserve">EX-10+EX-11</t>
  </si>
  <si>
    <t xml:space="preserve">West wall grid 3, D to B (offices 109, 110, Women's 114) + West wall grid 3, B to A (restrooms 114/113, Janitor 112, Wellness 115) - low roof</t>
  </si>
  <si>
    <t xml:space="preserve">H/A09.23</t>
  </si>
  <si>
    <t xml:space="preserve">TYPE C1</t>
  </si>
  <si>
    <t xml:space="preserve">C1  #EX-12  -  Storefront pier at grid 2 / F-G (NW corner of Vestibule 100): 6" CFMF exterior L + 3-5/8" C1 interior L</t>
  </si>
  <si>
    <t xml:space="preserve">EX-12</t>
  </si>
  <si>
    <t xml:space="preserve">mixed</t>
  </si>
  <si>
    <t xml:space="preserve">Storefront pier at grid 2 / F-G (NW corner of Vestibule 100): 6" CFMF exterior L + 3-5/8" C1 interior L</t>
  </si>
  <si>
    <t xml:space="preserve">1/A09.25</t>
  </si>
  <si>
    <t xml:space="preserve">C1  #EX-13  -  Storefront pier at grid 4 / F-G (NE corner of Vestibule 100, door 100A): 6" CFMF exterior L + 3-5/8" C1 interior L</t>
  </si>
  <si>
    <t xml:space="preserve">EX-13</t>
  </si>
  <si>
    <t xml:space="preserve">Storefront pier at grid 4 / F-G (NE corner of Vestibule 100, door 100A): 6" CFMF exterior L + 3-5/8" C1 interior L</t>
  </si>
  <si>
    <t xml:space="preserve">2/A09.25</t>
  </si>
  <si>
    <t xml:space="preserve">C1  #W2-12  -  Restroom wet chase, north face (Women's Restroom 114)</t>
  </si>
  <si>
    <t xml:space="preserve">W2-12</t>
  </si>
  <si>
    <t xml:space="preserve">3-5/8"</t>
  </si>
  <si>
    <t xml:space="preserve">Restroom wet chase, north face (Women's Restroom 114)</t>
  </si>
  <si>
    <t xml:space="preserve">6/A12.01</t>
  </si>
  <si>
    <t xml:space="preserve">C1  #W2-13  -  Restroom wet chase, south face (Men's Restroom 113)</t>
  </si>
  <si>
    <t xml:space="preserve">W2-13</t>
  </si>
  <si>
    <t xml:space="preserve">Restroom wet chase, south face (Men's Restroom 113)</t>
  </si>
  <si>
    <t xml:space="preserve">C1  #W2-14  -  C1 furring (8" deep) on north face of Calling Cubes 122 A1 wall, facing Waiting 104 (key note 7, 85" display monitor); incl. two 8" end returns (PT3)</t>
  </si>
  <si>
    <t xml:space="preserve">W2-14</t>
  </si>
  <si>
    <t xml:space="preserve">C1 furring (8" deep) on north face of Calling Cubes 122 A1 wall, facing Waiting 104 (key note 7, 85" display monitor); incl. two 8" end returns (PT3)</t>
  </si>
  <si>
    <t xml:space="preserve">[CONFIRMED]</t>
  </si>
  <si>
    <t xml:space="preserve">C1  #W2-15  -  C1 furring box at Future FCAM, south of Cash Window 116 A1K wall (Break Room 118 side)</t>
  </si>
  <si>
    <t xml:space="preserve">W2-15</t>
  </si>
  <si>
    <t xml:space="preserve">C1 furring box at Future FCAM, south of Cash Window 116 A1K wall (Break Room 118 side)</t>
  </si>
  <si>
    <t xml:space="preserve">C1  #W2-18  -  Column enclosure on grid 4 between Vestibule 100 and 24 HR Vestibule 101</t>
  </si>
  <si>
    <t xml:space="preserve">W2-18</t>
  </si>
  <si>
    <t xml:space="preserve">Column enclosure on grid 4 between Vestibule 100 and 24 HR Vestibule 101</t>
  </si>
  <si>
    <t xml:space="preserve">C1  #W2-19  -  Column enclosure at grid 4 / line E (end of F wall and B2 W2-7)</t>
  </si>
  <si>
    <t xml:space="preserve">W2-19</t>
  </si>
  <si>
    <t xml:space="preserve">Column enclosure at grid 4 / line E (end of F wall and B2 W2-7)</t>
  </si>
  <si>
    <t xml:space="preserve">TYPE CANOPY-COL</t>
  </si>
  <si>
    <t xml:space="preserve">CANOPY-COL  #EX-14  -  Drive-up canopy column wrap, grid 1 / F/G</t>
  </si>
  <si>
    <t xml:space="preserve">EX-14</t>
  </si>
  <si>
    <t xml:space="preserve">Drive-up canopy column wrap, grid 1 / F/G</t>
  </si>
  <si>
    <t xml:space="preserve">5/A09.25</t>
  </si>
  <si>
    <t xml:space="preserve">CANOPY-COL  #EX-15  -  Drive-up canopy column wrap, grid 1 / E.4</t>
  </si>
  <si>
    <t xml:space="preserve">EX-15</t>
  </si>
  <si>
    <t xml:space="preserve">Drive-up canopy column wrap, grid 1 / E.4</t>
  </si>
  <si>
    <t xml:space="preserve">CANOPY-COL  #EX-16  -  Drive-up canopy column wrap, grid 1 / C.5</t>
  </si>
  <si>
    <t xml:space="preserve">EX-16</t>
  </si>
  <si>
    <t xml:space="preserve">Drive-up canopy column wrap, grid 1 / C.5</t>
  </si>
  <si>
    <t xml:space="preserve">CANOPY-COL  #EX-17  -  Drive-up canopy column wrap, grid 1 / B.2</t>
  </si>
  <si>
    <t xml:space="preserve">EX-17</t>
  </si>
  <si>
    <t xml:space="preserve">Drive-up canopy column wrap, grid 1 / B.2</t>
  </si>
  <si>
    <t xml:space="preserve">TYPE EXT-PARAPET</t>
  </si>
  <si>
    <t xml:space="preserve">EXT-PARAPET  #EX-18  -  HP parapet (T.O. PARAPET 2 20'-0") over vestibule front, grid 2 to grid 4 return</t>
  </si>
  <si>
    <t xml:space="preserve">EX-18</t>
  </si>
  <si>
    <t xml:space="preserve">6" parapet</t>
  </si>
  <si>
    <t xml:space="preserve">HP parapet (T.O. PARAPET 2 20'-0") over vestibule front, grid 2 to grid 4 return</t>
  </si>
  <si>
    <t xml:space="preserve">4/A09.26</t>
  </si>
  <si>
    <t xml:space="preserve">EXT-PARAPET  #EX-19  -  HP parapet return on grid 4 (stud CL 1 3/4" east of grid 4, 2/A09.25) from grid G line into the roof past line F (A02.02 key note 10 ACM coping)</t>
  </si>
  <si>
    <t xml:space="preserve">EX-19</t>
  </si>
  <si>
    <t xml:space="preserve">HP parapet return on grid 4 (stud CL 1 3/4" east of grid 4, 2/A09.25) from grid G line into the roof past line F (A02.02 key note 10 ACM coping)</t>
  </si>
  <si>
    <t xml:space="preserve">EXT-PARAPET  #EX-20  -  HP parapet grid 2, G to D (J/A09.23 T.O. PARAPET 2)</t>
  </si>
  <si>
    <t xml:space="preserve">EX-20</t>
  </si>
  <si>
    <t xml:space="preserve">HP parapet grid 2, G to D (J/A09.23 T.O. PARAPET 2)</t>
  </si>
  <si>
    <t xml:space="preserve">EXT-PARAPET  #EX-21  -  HP parapet on D, grid 2 to grid 3 (2/A09.02 EPS-3 at T.O. PARAPET 2)</t>
  </si>
  <si>
    <t xml:space="preserve">EX-21</t>
  </si>
  <si>
    <t xml:space="preserve">HP parapet on D, grid 2 to grid 3 (2/A09.02 EPS-3 at T.O. PARAPET 2)</t>
  </si>
  <si>
    <t xml:space="preserve">EXT-PARAPET  #EX-22  -  LP parapet line F, grid 4 to grid 8 (C/A09.21)</t>
  </si>
  <si>
    <t xml:space="preserve">EX-22</t>
  </si>
  <si>
    <t xml:space="preserve">LP parapet line F, grid 4 to grid 8 (C/A09.21)</t>
  </si>
  <si>
    <t xml:space="preserve">EXT-PARAPET  #EX-23+EX-24  -  LP parapet grid 8, F to B (high roof, D/A09.22) + LP parapet grid 8, B to A (low roof, E/A09.22 PARAPET HEIGHT @ LOWER ROOF 4'-2 1/4")</t>
  </si>
  <si>
    <t xml:space="preserve">EX-23+EX-24</t>
  </si>
  <si>
    <t xml:space="preserve">LP parapet grid 8, F to B (high roof, D/A09.22) + LP parapet grid 8, B to A (low roof, E/A09.22 PARAPET HEIGHT @ LOWER ROOF 4'-2 1/4")</t>
  </si>
  <si>
    <t xml:space="preserve">EXT-PARAPET  #EX-25  -  LP parapet grid A, grid 3 to grid 8 (low roof, F/A09.22 4'-6 3/4" @ lower roof)</t>
  </si>
  <si>
    <t xml:space="preserve">EX-25</t>
  </si>
  <si>
    <t xml:space="preserve">LP parapet grid A, grid 3 to grid 8 (low roof, F/A09.22 4'-6 3/4" @ lower roof)</t>
  </si>
  <si>
    <t xml:space="preserve">EXT-PARAPET  #EX-26+EX-27  -  LP parapet grid 3, D to B (high roof, H/A09.23 T.O. PARAPET 1 17'-9") + LP parapet grid 3, B to A (low roof)</t>
  </si>
  <si>
    <t xml:space="preserve">EX-26+EX-27</t>
  </si>
  <si>
    <t xml:space="preserve">LP parapet grid 3, D to B (high roof, H/A09.23 T.O. PARAPET 1 17'-9") + LP parapet grid 3, B to A (low roof)</t>
  </si>
  <si>
    <t xml:space="preserve">TYPE A1</t>
  </si>
  <si>
    <t xml:space="preserve">A1  #W1-1  -  Calling Cubes 122 north wall (to Waiting 104)</t>
  </si>
  <si>
    <t xml:space="preserve">W1-1</t>
  </si>
  <si>
    <t xml:space="preserve">Calling Cubes 122 north wall (to Waiting 104)</t>
  </si>
  <si>
    <t xml:space="preserve">3/A12.01</t>
  </si>
  <si>
    <t xml:space="preserve">A1  #W1-2  -  MW01 printer niche east wall (in 122)</t>
  </si>
  <si>
    <t xml:space="preserve">W1-2</t>
  </si>
  <si>
    <t xml:space="preserve">MW01 printer niche east wall (in 122)</t>
  </si>
  <si>
    <t xml:space="preserve">A1  #W1-3  -  MW01 niche south wall / MW07 (in 122)</t>
  </si>
  <si>
    <t xml:space="preserve">W1-3</t>
  </si>
  <si>
    <t xml:space="preserve">MW01 niche south wall / MW07 (in 122)</t>
  </si>
  <si>
    <t xml:space="preserve">A1  #W1-4  -  Corridor 111 north end, incl. door 111 (between B2 restroom wall and A5 stub)</t>
  </si>
  <si>
    <t xml:space="preserve">W1-4</t>
  </si>
  <si>
    <t xml:space="preserve">Corridor 111 north end, incl. door 111 (between B2 restroom wall and A5 stub)</t>
  </si>
  <si>
    <t xml:space="preserve">A1  #W1-5  -  Calling Cubes 122 / Break Room 118 wall</t>
  </si>
  <si>
    <t xml:space="preserve">W1-5</t>
  </si>
  <si>
    <t xml:space="preserve">Calling Cubes 122 / Break Room 118 wall</t>
  </si>
  <si>
    <t xml:space="preserve">A1  #W1-6  -  Break Room 118 north wall, incl. door 118A (grid 6 to the A1K corner at grid 7)</t>
  </si>
  <si>
    <t xml:space="preserve">W1-6</t>
  </si>
  <si>
    <t xml:space="preserve">Break Room 118 north wall, incl. door 118A (grid 6 to the A1K corner at grid 7)</t>
  </si>
  <si>
    <t xml:space="preserve">A1  #W1-7  -  East end of MW21 / Break Room 118 (grid 6)</t>
  </si>
  <si>
    <t xml:space="preserve">W1-7</t>
  </si>
  <si>
    <t xml:space="preserve">East end of MW21 / Break Room 118 (grid 6)</t>
  </si>
  <si>
    <t xml:space="preserve">A1  #W1-8  -  Corridor 111 east wall (grid 5), Break Room 118 / Electrical 120 / NER 121</t>
  </si>
  <si>
    <t xml:space="preserve">W1-8</t>
  </si>
  <si>
    <t xml:space="preserve">Corridor 111 east wall (grid 5), Break Room 118 / Electrical 120 / NER 121</t>
  </si>
  <si>
    <t xml:space="preserve">A1  #W1-9  -  Work Room 119 north wall, incl. door 119 (B2 grid 7 to exterior wall grid 8)</t>
  </si>
  <si>
    <t xml:space="preserve">W1-9</t>
  </si>
  <si>
    <t xml:space="preserve">Work Room 119 north wall, incl. door 119 (B2 grid 7 to exterior wall grid 8)</t>
  </si>
  <si>
    <t xml:space="preserve">A1  #RW1-2  -  Corridor 111 drinking fountain alcove, back wall (restroom side)</t>
  </si>
  <si>
    <t xml:space="preserve">RW1-2</t>
  </si>
  <si>
    <t xml:space="preserve">Corridor 111 drinking fountain alcove, back wall (restroom side)</t>
  </si>
  <si>
    <t xml:space="preserve">A1  #RW1-3  -  Corridor 111 drinking fountain alcove, north return</t>
  </si>
  <si>
    <t xml:space="preserve">RW1-3</t>
  </si>
  <si>
    <t xml:space="preserve">Corridor 111 drinking fountain alcove, north return</t>
  </si>
  <si>
    <t xml:space="preserve">A1  #RW1-4  -  Corridor 111 drinking fountain alcove, south return</t>
  </si>
  <si>
    <t xml:space="preserve">RW1-4</t>
  </si>
  <si>
    <t xml:space="preserve">Corridor 111 drinking fountain alcove, south return</t>
  </si>
  <si>
    <t xml:space="preserve">TYPE A5</t>
  </si>
  <si>
    <t xml:space="preserve">A5  #W1-10  -  Calling Cubes 122 west wall (MW07 / FEC-1), grid 5 north of corridor 111</t>
  </si>
  <si>
    <t xml:space="preserve">W1-10</t>
  </si>
  <si>
    <t xml:space="preserve">Calling Cubes 122 west wall (MW07 / FEC-1), grid 5 north of corridor 111</t>
  </si>
  <si>
    <t xml:space="preserve">A5  #W1-11a+W1-11b  -  Calling Cubes 122 east wall (grid 6), north of grid B + Calling Cubes 122 east wall (grid 6), south of grid B</t>
  </si>
  <si>
    <t xml:space="preserve">W1-11a+W1-11b</t>
  </si>
  <si>
    <t xml:space="preserve">Calling Cubes 122 east wall (grid 6), north of grid B + Calling Cubes 122 east wall (grid 6), south of grid B</t>
  </si>
  <si>
    <t xml:space="preserve">A5  #W1-12  -  Break Room 118 / Cash Window 116 (grid 7), north of door 116</t>
  </si>
  <si>
    <t xml:space="preserve">W1-12</t>
  </si>
  <si>
    <t xml:space="preserve">Break Room 118 / Cash Window 116 (grid 7), north of door 116</t>
  </si>
  <si>
    <t xml:space="preserve">A5  #RW1-1a+RW1-1b  -  Calling Cubes 122 west wall, offset A5 run at door 122 (north of grid B) + Calling Cubes 122 west wall at door 122 (south of grid B)</t>
  </si>
  <si>
    <t xml:space="preserve">RW1-1a+RW1-1b</t>
  </si>
  <si>
    <t xml:space="preserve">Calling Cubes 122 west wall, offset A5 run at door 122 (north of grid B) + Calling Cubes 122 west wall at door 122 (south of grid B)</t>
  </si>
  <si>
    <t xml:space="preserve">TYPE A1K</t>
  </si>
  <si>
    <t xml:space="preserve">A1K  #W1-13  -  Cash Window 116 CSR line north end (kevlar wall, east part; west part tagged B2K = other task)</t>
  </si>
  <si>
    <t xml:space="preserve">W1-13</t>
  </si>
  <si>
    <t xml:space="preserve">Cash Window 116 CSR line north end (kevlar wall, east part; west part tagged B2K = other task)</t>
  </si>
  <si>
    <t xml:space="preserve">4/A12.01</t>
  </si>
  <si>
    <t xml:space="preserve">A1K  #W1-14  -  Cash Window 116 CSR line south end, east part (over Future FCAM C1 box)</t>
  </si>
  <si>
    <t xml:space="preserve">W1-14</t>
  </si>
  <si>
    <t xml:space="preserve">Cash Window 116 CSR line south end, east part (over Future FCAM C1 box)</t>
  </si>
  <si>
    <t xml:space="preserve">A1K  #W1-15  -  Cash Window 116 CSR line south end, west part</t>
  </si>
  <si>
    <t xml:space="preserve">W1-15</t>
  </si>
  <si>
    <t xml:space="preserve">Cash Window 116 CSR line south end, west part</t>
  </si>
  <si>
    <t xml:space="preserve">TYPE B</t>
  </si>
  <si>
    <t xml:space="preserve">B  #W2-1  -  Electrical 120 north wall (Break Room 118 side)</t>
  </si>
  <si>
    <t xml:space="preserve">W2-1</t>
  </si>
  <si>
    <t xml:space="preserve">Electrical 120 north wall (Break Room 118 side)</t>
  </si>
  <si>
    <t xml:space="preserve">1/A12.01</t>
  </si>
  <si>
    <t xml:space="preserve">B  #W2-2  -  Janitor 112 / Storage 117 north wall (Men's Restroom 113 side)</t>
  </si>
  <si>
    <t xml:space="preserve">W2-2</t>
  </si>
  <si>
    <t xml:space="preserve">Janitor 112 / Storage 117 north wall (Men's Restroom 113 side)</t>
  </si>
  <si>
    <t xml:space="preserve">B  #W2-3  -  Janitor 112 / Storage 117 south wall (Wellness 115 side)</t>
  </si>
  <si>
    <t xml:space="preserve">W2-3</t>
  </si>
  <si>
    <t xml:space="preserve">Janitor 112 / Storage 117 south wall (Wellness 115 side)</t>
  </si>
  <si>
    <t xml:space="preserve">B  #W2-4  -  Wall between Electrical 120 and NER 121</t>
  </si>
  <si>
    <t xml:space="preserve">W2-4</t>
  </si>
  <si>
    <t xml:space="preserve">Wall between Electrical 120 and NER 121</t>
  </si>
  <si>
    <t xml:space="preserve">B  #W2-5  -  East wall of Electrical 120 / NER 121 (Break Room 118 side)</t>
  </si>
  <si>
    <t xml:space="preserve">W2-5</t>
  </si>
  <si>
    <t xml:space="preserve">East wall of Electrical 120 / NER 121 (Break Room 118 side)</t>
  </si>
  <si>
    <t xml:space="preserve">B  #W2-6  -  Wall between Janitor 112 (MW06A) and Storage 117 (MW05)</t>
  </si>
  <si>
    <t xml:space="preserve">W2-6</t>
  </si>
  <si>
    <t xml:space="preserve">Wall between Janitor 112 (MW06A) and Storage 117 (MW05)</t>
  </si>
  <si>
    <t xml:space="preserve">TYPE B2</t>
  </si>
  <si>
    <t xml:space="preserve">B2  #W2-7  -  ATM Room 102 east wall on grid 4 (Central Zone 103 side), incl. door 102</t>
  </si>
  <si>
    <t xml:space="preserve">W2-7</t>
  </si>
  <si>
    <t xml:space="preserve">ATM Room 102 east wall on grid 4 (Central Zone 103 side), incl. door 102</t>
  </si>
  <si>
    <t xml:space="preserve">B2  #W2-8  -  Women's Restroom 114 east wall (Corridor 111 side), incl. door 114, from G wall face to drinking-fountain alcove</t>
  </si>
  <si>
    <t xml:space="preserve">W2-8</t>
  </si>
  <si>
    <t xml:space="preserve">Women's Restroom 114 east wall (Corridor 111 side), incl. door 114, from G wall face to drinking-fountain alcove</t>
  </si>
  <si>
    <t xml:space="preserve">B2  #W2-9  -  East wall on grid 4 from drinking-fountain alcove to exterior wall: Men's 113 / Storage 117 / Wellness 115 (Corridor 111 side), incl. doors 113, 117, 115</t>
  </si>
  <si>
    <t xml:space="preserve">W2-9</t>
  </si>
  <si>
    <t xml:space="preserve">East wall on grid 4 from drinking-fountain alcove to exterior wall: Men's 113 / Storage 117 / Wellness 115 (Corridor 111 side), incl. doors 113, 117, 115</t>
  </si>
  <si>
    <t xml:space="preserve">B2  #W2-10  -  Wall between Break Room 118 and Work Room 119 (grid 7)</t>
  </si>
  <si>
    <t xml:space="preserve">W2-10</t>
  </si>
  <si>
    <t xml:space="preserve">Wall between Break Room 118 and Work Room 119 (grid 7)</t>
  </si>
  <si>
    <t xml:space="preserve">TYPE B2K</t>
  </si>
  <si>
    <t xml:space="preserve">B2K  #W2-11  -  Kevlar (hatched) wall between Office 4 (108) and the customer alcove west of Cash Window 116</t>
  </si>
  <si>
    <t xml:space="preserve">W2-11</t>
  </si>
  <si>
    <t xml:space="preserve">Kevlar (hatched) wall between Office 4 (108) and the customer alcove west of Cash Window 116</t>
  </si>
  <si>
    <t xml:space="preserve">1/A12.01+4/A12.01</t>
  </si>
  <si>
    <t xml:space="preserve">TYPE F</t>
  </si>
  <si>
    <t xml:space="preserve">F  #W2-20  -  Diagonal F wall between 24 HR Vestibule 101 (ATM lobby) and ATM Room 102, west wall to column W2-19</t>
  </si>
  <si>
    <t xml:space="preserve">W2-20</t>
  </si>
  <si>
    <t xml:space="preserve">Diagonal F wall between 24 HR Vestibule 101 (ATM lobby) and ATM Room 102, west wall to column W2-19</t>
  </si>
  <si>
    <t xml:space="preserve">12/A12.01</t>
  </si>
  <si>
    <t xml:space="preserve">TYPE G</t>
  </si>
  <si>
    <t xml:space="preserve">G  #W3-1  -  Office front E (grid 7), north end stub of Office 105 between north exterior wall and vendor frame</t>
  </si>
  <si>
    <t xml:space="preserve">W3-1</t>
  </si>
  <si>
    <t xml:space="preserve">1-5/8"</t>
  </si>
  <si>
    <t xml:space="preserve">Office front E (grid 7), north end stub of Office 105 between north exterior wall and vendor frame</t>
  </si>
  <si>
    <t xml:space="preserve">5/A12.01</t>
  </si>
  <si>
    <t xml:space="preserve">G  #W3-2  -  Office front E (grid 7), stub between Office 105 door and Office 106 glass (incl. 4" return at door 105, G1 demising abuts)</t>
  </si>
  <si>
    <t xml:space="preserve">W3-2</t>
  </si>
  <si>
    <t xml:space="preserve">Office front E (grid 7), stub between Office 105 door and Office 106 glass (incl. 4" return at door 105, G1 demising abuts)</t>
  </si>
  <si>
    <t xml:space="preserve">G  #W3-3  -  Office front E (grid 7), stub between Office 106 door and Office 107 glass (wraps column E/7; G demising abuts)</t>
  </si>
  <si>
    <t xml:space="preserve">W3-3</t>
  </si>
  <si>
    <t xml:space="preserve">Office front E (grid 7), stub between Office 106 door and Office 107 glass (wraps column E/7; G demising abuts)</t>
  </si>
  <si>
    <t xml:space="preserve">G  #W3-4  -  Office front E (grid 7), stub between Office 107 door and Office 108 glass (G demising abuts)</t>
  </si>
  <si>
    <t xml:space="preserve">W3-4</t>
  </si>
  <si>
    <t xml:space="preserve">Office front E (grid 7), stub between Office 107 door and Office 108 glass (G demising abuts)</t>
  </si>
  <si>
    <t xml:space="preserve">G  #W3-11  -  Demising wall Office 106 / Office 107</t>
  </si>
  <si>
    <t xml:space="preserve">W3-11</t>
  </si>
  <si>
    <t xml:space="preserve">Demising wall Office 106 / Office 107</t>
  </si>
  <si>
    <t xml:space="preserve">G  #W3-12  -  Demising wall Office 107 / Office 108</t>
  </si>
  <si>
    <t xml:space="preserve">W3-12</t>
  </si>
  <si>
    <t xml:space="preserve">Demising wall Office 107 / Office 108</t>
  </si>
  <si>
    <t xml:space="preserve">G  #W3-13+W3-5  -  South wall of Office 108 (Office 108 / Cash Window 116), from B2K end to east exterior wall + Office front E (grid 7), 4" return at Office 108 door, south end against B2K (incl. jog W3-5 0.333 LF)</t>
  </si>
  <si>
    <t xml:space="preserve">W3-13+W3-5</t>
  </si>
  <si>
    <t xml:space="preserve">South wall of Office 108 (Office 108 / Cash Window 116), from B2K end to east exterior wall + Office front E (grid 7), 4" return at Office 108 door, south end against B2K (incl. jog W3-5 0.333 LF)</t>
  </si>
  <si>
    <t xml:space="preserve">G  #W3-14  -  North wall of Office 109 (ATM Room 102 / Office 109), west exterior face to lobby face of office front W</t>
  </si>
  <si>
    <t xml:space="preserve">W3-14</t>
  </si>
  <si>
    <t xml:space="preserve">North wall of Office 109 (ATM Room 102 / Office 109), west exterior face to lobby face of office front W</t>
  </si>
  <si>
    <t xml:space="preserve">G  #W3-18  -  Demising wall Office 109 / Office 110</t>
  </si>
  <si>
    <t xml:space="preserve">W3-18</t>
  </si>
  <si>
    <t xml:space="preserve">Demising wall Office 109 / Office 110</t>
  </si>
  <si>
    <t xml:space="preserve">G  #W3-19  -  South wall of Office 110 (Office 110 / Women's Restroom 114)</t>
  </si>
  <si>
    <t xml:space="preserve">W3-19</t>
  </si>
  <si>
    <t xml:space="preserve">South wall of Office 110 (Office 110 / Women's Restroom 114)</t>
  </si>
  <si>
    <t xml:space="preserve">TYPE BULKHEAD-G</t>
  </si>
  <si>
    <t xml:space="preserve">BULKHEAD-G  #W3-6+W3-7+W3-8+W3-9  -  Office front E (grid 7), bulkhead over vendor office front of Office 105 (glass panel DFC-1A + door 105) + Office front E (grid 7), bulkhead over vendor office front of Office 106 (glass panel DFC-1A + door 106) + Office front E (grid 7), bulkhead over vendor office front of Office 107 (glass panel DFC-1A + door 107) + Office front E (grid 7), bulkhead over vendor office front of Office 108 (glass panel DFC-1A + door 108)</t>
  </si>
  <si>
    <t xml:space="preserve">W3-6+W3-7+W3-8+W3-9</t>
  </si>
  <si>
    <t xml:space="preserve">Office front E (grid 7), bulkhead over vendor office front of Office 105 (glass panel DFC-1A + door 105) + Office front E (grid 7), bulkhead over vendor office front of Office 106 (glass panel DFC-1A + door 106) + Office front E (grid 7), bulkhead over vendor office front of Office 107 (glass panel DFC-1A + door 107) + Office front E (grid 7), bulkhead over vendor office front of Office 108 (glass panel DFC-1A + door 108)</t>
  </si>
  <si>
    <t xml:space="preserve">9/A12.01</t>
  </si>
  <si>
    <t xml:space="preserve">BULKHEAD-G  #W3-20+W3-21  -  Office front W (grid 4), bulkhead over vendor office front of Office 109 (glass panel DFC-1A + door 109) + Office front W (grid 4), bulkhead over vendor office front of Office 110 (glass panel DFC-1A + door 110)</t>
  </si>
  <si>
    <t xml:space="preserve">W3-20+W3-21</t>
  </si>
  <si>
    <t xml:space="preserve">Office front W (grid 4), bulkhead over vendor office front of Office 109 (glass panel DFC-1A + door 109) + Office front W (grid 4), bulkhead over vendor office front of Office 110 (glass panel DFC-1A + door 110)</t>
  </si>
  <si>
    <t xml:space="preserve">TYPE G1</t>
  </si>
  <si>
    <t xml:space="preserve">G1  #W3-10  -  Demising wall Office 105 / Office 106 (front stub W3-2 to east exterior wall)</t>
  </si>
  <si>
    <t xml:space="preserve">W3-10</t>
  </si>
  <si>
    <t xml:space="preserve">Demising wall Office 105 / Office 106 (front stub W3-2 to east exterior wall)</t>
  </si>
  <si>
    <t xml:space="preserve">G1  #W3-16+W3-15  -  Office front W (grid 4), stub between Office 109 glass and Office 110 door (incl. 4" return at door 110, G demising abuts) + Office front W (grid 4), 4" return at Office 109 door under north wall of Office 109 (incl. jog W3-15 0.333 LF)</t>
  </si>
  <si>
    <t xml:space="preserve">W3-16+W3-15</t>
  </si>
  <si>
    <t xml:space="preserve">Office front W (grid 4), stub between Office 109 glass and Office 110 door (incl. 4" return at door 110, G demising abuts) + Office front W (grid 4), 4" return at Office 109 door under north wall of Office 109 (incl. jog W3-15 0.333 LF)</t>
  </si>
  <si>
    <t xml:space="preserve">G1  #W3-17  -  Office front W (grid 4), south end stub of Office 110 down to south face of W3-19 (L corner)</t>
  </si>
  <si>
    <t xml:space="preserve">W3-17</t>
  </si>
  <si>
    <t xml:space="preserve">Office front W (grid 4), south end stub of Office 110 down to south face of W3-19 (L corner)</t>
  </si>
  <si>
    <t xml:space="preserve">TOTAL - PARTITIONS</t>
  </si>
  <si>
    <t xml:space="preserve">TYPE OTHER FRAMING (NOT A PARTITION)</t>
  </si>
  <si>
    <t xml:space="preserve">ceiling_transition  #CE-1  -  Waiting 104 north edge vs Central Zone 103 ACT-4 11'-6"</t>
  </si>
  <si>
    <t xml:space="preserve">CE-1</t>
  </si>
  <si>
    <t xml:space="preserve">Waiting 104 north edge vs Central Zone 103 ACT-4 11'-6"</t>
  </si>
  <si>
    <t xml:space="preserve">7/A09.33</t>
  </si>
  <si>
    <t xml:space="preserve">ceiling_transition  #CE-2  -  Waiting 104 west edge vs Central Zone 103 ACT-4 11'-6"</t>
  </si>
  <si>
    <t xml:space="preserve">CE-2</t>
  </si>
  <si>
    <t xml:space="preserve">Waiting 104 west edge vs Central Zone 103 ACT-4 11'-6"</t>
  </si>
  <si>
    <t xml:space="preserve">ceiling_transition  #CE-3  -  Waiting 104 east edge vs Central Zone 103 ACT-4 11'-6"</t>
  </si>
  <si>
    <t xml:space="preserve">CE-3</t>
  </si>
  <si>
    <t xml:space="preserve">Waiting 104 east edge vs Central Zone 103 ACT-4 11'-6"</t>
  </si>
  <si>
    <t xml:space="preserve">ceiling_transition  #CE-4  -  Central Zone 103: ACT-4 11'-6" (north) to ACT-4 9'-0" pocket west of CSR</t>
  </si>
  <si>
    <t xml:space="preserve">CE-4</t>
  </si>
  <si>
    <t xml:space="preserve">Central Zone 103: ACT-4 11'-6" (north) to ACT-4 9'-0" pocket west of CSR</t>
  </si>
  <si>
    <t xml:space="preserve">soffit_side  #CE-5  -  CSR soffit W drop line facing 103 ACT-4 9'-0", north of grid B</t>
  </si>
  <si>
    <t xml:space="preserve">CE-5</t>
  </si>
  <si>
    <t xml:space="preserve">CSR soffit W drop line facing 103 ACT-4 9'-0", north of grid B</t>
  </si>
  <si>
    <t xml:space="preserve">10/A09.33</t>
  </si>
  <si>
    <t xml:space="preserve">soffit_side  #CE-6  -  CSR soffit W drop line facing 103 ACT-4 9'-0", south of grid B</t>
  </si>
  <si>
    <t xml:space="preserve">CE-6</t>
  </si>
  <si>
    <t xml:space="preserve">CSR soffit W drop line facing 103 ACT-4 9'-0", south of grid B</t>
  </si>
  <si>
    <t xml:space="preserve">soffit_side  #CE-7  -  CSR soffit E drop line facing 116 ACT-4 9'-0", north of grid B</t>
  </si>
  <si>
    <t xml:space="preserve">CE-7</t>
  </si>
  <si>
    <t xml:space="preserve">CSR soffit E drop line facing 116 ACT-4 9'-0", north of grid B</t>
  </si>
  <si>
    <t xml:space="preserve">soffit_side  #CE-8  -  CSR soffit E drop line facing 116 ACT-4 9'-0", south of grid B</t>
  </si>
  <si>
    <t xml:space="preserve">CE-8</t>
  </si>
  <si>
    <t xml:space="preserve">CSR soffit E drop line facing 116 ACT-4 9'-0", south of grid B</t>
  </si>
  <si>
    <t xml:space="preserve">storefront_cripples  #EX-1  -  Vestibule 100 front (entrance), line G between piers at grids 2 and 4</t>
  </si>
  <si>
    <t xml:space="preserve">EX-1</t>
  </si>
  <si>
    <t xml:space="preserve">Vestibule 100 front (entrance), line G between piers at grids 2 and 4</t>
  </si>
  <si>
    <t xml:space="preserve">A/A09.21</t>
  </si>
  <si>
    <t xml:space="preserve">roof_step  #EX-28  -  Roof step at grid B, grids 3-8, row 1 of 3 (4/A02.02)</t>
  </si>
  <si>
    <t xml:space="preserve">EX-28</t>
  </si>
  <si>
    <t xml:space="preserve">Roof step at grid B, grids 3-8, row 1 of 3 (4/A02.02)</t>
  </si>
  <si>
    <t xml:space="preserve">4/A02.02</t>
  </si>
  <si>
    <t xml:space="preserve">roof_step  #EX-29  -  Roof step at grid B, grids 3-8, row 2 of 3 (4/A02.02)</t>
  </si>
  <si>
    <t xml:space="preserve">EX-29</t>
  </si>
  <si>
    <t xml:space="preserve">Roof step at grid B, grids 3-8, row 2 of 3 (4/A02.02)</t>
  </si>
  <si>
    <t xml:space="preserve">roof_step  #EX-30  -  Roof step at grid B, grids 3-8, row 3 of 3 (4/A02.02)</t>
  </si>
  <si>
    <t xml:space="preserve">EX-30</t>
  </si>
  <si>
    <t xml:space="preserve">Roof step at grid B, grids 3-8, row 3 of 3 (4/A02.02)</t>
  </si>
  <si>
    <t xml:space="preserve">fascia_box  #EX-31  -  South canopy fascia (G/F side), full length</t>
  </si>
  <si>
    <t xml:space="preserve">EX-31</t>
  </si>
  <si>
    <t xml:space="preserve">South canopy fascia (G/F side), full length</t>
  </si>
  <si>
    <t xml:space="preserve">7/A09.26</t>
  </si>
  <si>
    <t xml:space="preserve">fascia_box  #EX-32  -  East canopy fascia (grid 8 side)</t>
  </si>
  <si>
    <t xml:space="preserve">EX-32</t>
  </si>
  <si>
    <t xml:space="preserve">East canopy fascia (grid 8 side)</t>
  </si>
  <si>
    <t xml:space="preserve">fascia_box  #EX-33  -  East canopy end return at B.2</t>
  </si>
  <si>
    <t xml:space="preserve">EX-33</t>
  </si>
  <si>
    <t xml:space="preserve">East canopy end return at B.2</t>
  </si>
  <si>
    <t xml:space="preserve">fascia_box  #EX-34  -  Drive-up canopy west fascia (west of grid 1)</t>
  </si>
  <si>
    <t xml:space="preserve">EX-34</t>
  </si>
  <si>
    <t xml:space="preserve">Drive-up canopy west fascia (west of grid 1)</t>
  </si>
  <si>
    <t xml:space="preserve">fascia_box  #EX-35  -  Drive-up canopy north edge at grid B (fascia to grid-3 wall)</t>
  </si>
  <si>
    <t xml:space="preserve">EX-35</t>
  </si>
  <si>
    <t xml:space="preserve">Drive-up canopy north edge at grid B (fascia to grid-3 wall)</t>
  </si>
  <si>
    <t xml:space="preserve">fascia_box  #EX-36  -  North canopy fascia (grid A side)</t>
  </si>
  <si>
    <t xml:space="preserve">EX-36</t>
  </si>
  <si>
    <t xml:space="preserve">North canopy fascia (grid A side)</t>
  </si>
  <si>
    <t xml:space="preserve">fascia_box  #EX-37  -  North canopy west end return</t>
  </si>
  <si>
    <t xml:space="preserve">EX-37</t>
  </si>
  <si>
    <t xml:space="preserve">North canopy west end return</t>
  </si>
  <si>
    <t xml:space="preserve">fascia_box  #EX-38  -  North canopy east end return</t>
  </si>
  <si>
    <t xml:space="preserve">EX-38</t>
  </si>
  <si>
    <t xml:space="preserve">North canopy east end return</t>
  </si>
  <si>
    <t xml:space="preserve">vestibule_head  #EX-39  -  Vestibule 100 / 24 HR Vestibule 101 storefront head (doors 101)</t>
  </si>
  <si>
    <t xml:space="preserve">EX-39</t>
  </si>
  <si>
    <t xml:space="preserve">Vestibule 100 / 24 HR Vestibule 101 storefront head (doors 101)</t>
  </si>
  <si>
    <t xml:space="preserve">4/A12.10</t>
  </si>
  <si>
    <t xml:space="preserve">vestibule_head  #EX-40  -  Vestibule 100 east storefront head (door 100A + sidelite), grid 4</t>
  </si>
  <si>
    <t xml:space="preserve">EX-40</t>
  </si>
  <si>
    <t xml:space="preserve">Vestibule 100 east storefront head (door 100A + sidelite), grid 4</t>
  </si>
  <si>
    <t xml:space="preserve">grille_head  #EX-41  -  Coiling grille head, grid 4 between 24 HR Vestibule 101 and Central Zone 103</t>
  </si>
  <si>
    <t xml:space="preserve">EX-41</t>
  </si>
  <si>
    <t xml:space="preserve">2-1/2"</t>
  </si>
  <si>
    <t xml:space="preserve">Coiling grille head, grid 4 between 24 HR Vestibule 101 and Central Zone 103</t>
  </si>
  <si>
    <t xml:space="preserve">4/A08.21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</si>
  <si>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</si>
  <si>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</si>
  <si>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</si>
  <si>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</si>
  <si>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</si>
  <si>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</si>
  <si>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</si>
  <si>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</si>
  <si>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</si>
  <si>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</si>
  <si>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</si>
  <si>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</si>
  <si>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- exterior CFMF 600S162-54 (S1.11 note 5, rule 56.2, RFI-ADV-6) and 6" interior 600S137-33</t>
  </si>
  <si>
    <t xml:space="preserve">LF</t>
  </si>
  <si>
    <t xml:space="preserve">stick 20 ft</t>
  </si>
  <si>
    <t xml:space="preserve">familias_out.json '6" stud (all gauges)'; 7/S5.20; S1.11; A09.21-A09.23</t>
  </si>
  <si>
    <t xml:space="preserve">3-5/8" metal stud 362S137-33</t>
  </si>
  <si>
    <t xml:space="preserve">familias_out.json '3-5/8" stud (all gauges)'; 1/A12.01; 3/A12.01; 7/S5.20</t>
  </si>
  <si>
    <t xml:space="preserve">1-5/8" metal stud (G / G1 double row)</t>
  </si>
  <si>
    <t xml:space="preserve">familias_out.json '1-5/8" stud'; 5/A12.01; 7/S5.20</t>
  </si>
  <si>
    <t xml:space="preserve">6" parapet stud 600S162-54 (parapet infill)</t>
  </si>
  <si>
    <t xml:space="preserve">familias_out.json '6" parapet stud'; 11/S5.10; 6/S5.10</t>
  </si>
  <si>
    <t xml:space="preserve">Bottom track (all sizes)</t>
  </si>
  <si>
    <t xml:space="preserve">run 10 ft</t>
  </si>
  <si>
    <t xml:space="preserve">familias_out.json 'bottom track (all)'; 7/S5.20; 3/A12.01</t>
  </si>
  <si>
    <t xml:space="preserve">Top / deflection track (all sizes)</t>
  </si>
  <si>
    <t xml:space="preserve">familias_out.json 'top / deflection track (all)'; 10/S5.10; 3/A12.01</t>
  </si>
  <si>
    <t xml:space="preserve">Ceiling / soffit track</t>
  </si>
  <si>
    <t xml:space="preserve">familias_out.json 'ceiling / soffit track'; 6/A09.33; 7/A09.33; 7/A09.26</t>
  </si>
  <si>
    <t xml:space="preserve">1-1/2" C.R. channel bracing</t>
  </si>
  <si>
    <t xml:space="preserve">C.R. channel 16 ft</t>
  </si>
  <si>
    <t xml:space="preserve">familias_out.json 'bracing C.R. channel'; F/1/S5.20</t>
  </si>
  <si>
    <t xml:space="preserve">Purlin 1x1x1 16 ga (track to deck)</t>
  </si>
  <si>
    <t xml:space="preserve">familias_out.json 'purlin (track to deck)'; 4/A12.01; 10/A09.33</t>
  </si>
  <si>
    <t xml:space="preserve">Header / box beam (by pieces)</t>
  </si>
  <si>
    <t xml:space="preserve">familias_out.json 'header / box beam'; 7/S5.20; 11/A09.27; 8/A12.01</t>
  </si>
  <si>
    <t xml:space="preserve">Sill track</t>
  </si>
  <si>
    <t xml:space="preserve">familias_out.json 'sill track'; 2/S5.20</t>
  </si>
  <si>
    <t xml:space="preserve">7/8" furring channel (GWB ceilings)</t>
  </si>
  <si>
    <t xml:space="preserve">hat channel 12 ft</t>
  </si>
  <si>
    <t xml:space="preserve">familias_out.json 'furring channel'; 6/A09.33; A04.01</t>
  </si>
  <si>
    <t xml:space="preserve">1-1/2" carrying channel (GWB ceilings)</t>
  </si>
  <si>
    <t xml:space="preserve">familias_out.json 'carrying channel'; 6/A09.33; A04.01</t>
  </si>
  <si>
    <t xml:space="preserve">Hanger wire 12 ga</t>
  </si>
  <si>
    <t xml:space="preserve">familias_out.json 'hanger wire'; 6/A09.33; S2.20</t>
  </si>
  <si>
    <t xml:space="preserve">5/8" gypsum board regular (walls + ceilings)</t>
  </si>
  <si>
    <t xml:space="preserve">SF</t>
  </si>
  <si>
    <t xml:space="preserve">4x12 sheet</t>
  </si>
  <si>
    <t xml:space="preserve">familias_out.json '5/8" gyp board regular (walls + ceilings)'; 1/A12.01; 3/A12.01; A04.01</t>
  </si>
  <si>
    <t xml:space="preserve">5/8" moisture resistant gypsum board</t>
  </si>
  <si>
    <t xml:space="preserve">familias_out.json '5/8" gyp MOISTURE RESISTANT'; F/A08.01; 6/A12.01</t>
  </si>
  <si>
    <t xml:space="preserve">Ballistic panel 3/8" UL752 level 2 fiberglass</t>
  </si>
  <si>
    <t xml:space="preserve">4x8 sheet</t>
  </si>
  <si>
    <t xml:space="preserve">familias_out.json 'ballistic panel'; 4/A12.01</t>
  </si>
  <si>
    <t xml:space="preserve">3/8" gypsum board (over ballistic panel)</t>
  </si>
  <si>
    <t xml:space="preserve">familias_out.json '3/8" gyp board'; 4/A12.01</t>
  </si>
  <si>
    <t xml:space="preserve">5/8" glass mat sheathing</t>
  </si>
  <si>
    <t xml:space="preserve">familias_out.json '5/8" glass mat sheathing'; 5/A09.26; 9/A09.27; 7/A09.26</t>
  </si>
  <si>
    <t xml:space="preserve">5/8" exterior gypsum sheathing</t>
  </si>
  <si>
    <t xml:space="preserve">familias_out.json '5/8" EXTERIOR gyp sheathing'; 4/A09.26</t>
  </si>
  <si>
    <t xml:space="preserve">FRT wood blocking</t>
  </si>
  <si>
    <t xml:space="preserve">familias_out.json 'FRT blocking'; 4/A09.26; A02.01 note C</t>
  </si>
  <si>
    <t xml:space="preserve">Metal stud blocking 362CR / stud blocking</t>
  </si>
  <si>
    <t xml:space="preserve">familias_out.json 'metal stud blocking (362CR / STUD BLOCKING)'; 4/S5.20; A02.01 note C</t>
  </si>
  <si>
    <t xml:space="preserve">Metal trim (corner bead, casing bead, shadow molding)</t>
  </si>
  <si>
    <t xml:space="preserve">trim stick 10 ft</t>
  </si>
  <si>
    <t xml:space="preserve">familias_out.json 'metal trim (corner bead, casing, shadow molding)'; 7/A09.33; 8/A12.01; 53.1</t>
  </si>
  <si>
    <t xml:space="preserve">Cement board (tile cove base)</t>
  </si>
  <si>
    <t xml:space="preserve">3x5 sheet</t>
  </si>
  <si>
    <t xml:space="preserve">familias_out.json 'cement board'; 3/A08.01</t>
  </si>
  <si>
    <t xml:space="preserve">FRP panel</t>
  </si>
  <si>
    <t xml:space="preserve">4x10 sheet</t>
  </si>
  <si>
    <t xml:space="preserve">familias_out.json 'FRP'; A/A08.01; 3/A08.01</t>
  </si>
  <si>
    <t xml:space="preserve">Acoustical sealant</t>
  </si>
  <si>
    <t xml:space="preserve">tube (25 LF per tube)</t>
  </si>
  <si>
    <t xml:space="preserve">familias_out.json 'acoustical sealant'; 1/A12.01; 3/A12.01; 5/A09.26</t>
  </si>
  <si>
    <t xml:space="preserve">Framed openings for recessed fixtures / air devices (MEP)</t>
  </si>
  <si>
    <t xml:space="preserve">framed_openings_out.json totales_lf 'framed openings MEP'; E00.01; E02.01; M01.01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</si>
  <si>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</si>
  <si>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</si>
  <si>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canon rows</t>
  </si>
  <si>
    <t xml:space="preserve">5/8" FRT plywood bonded to 2-1/2" polyiso (exterior sheathing / nailbase)</t>
  </si>
  <si>
    <t xml:space="preserve">3/4" FRT plywood</t>
  </si>
  <si>
    <t xml:space="preserve">5/8"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</si>
  <si>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</si>
  <si>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</si>
  <si>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</si>
  <si>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</si>
  <si>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</si>
  <si>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</si>
  <si>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2/S5.20 HEAD TRACK @ NON LOAD BRG: 'ADD FULL LENGTH ADDL HEAD TRACK @ OPNG &gt;4'-0"'; 9/S5.20 'HEAD TRACK (DOUBLE TRACK @ OPNG &gt; 4'-0")';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</si>
  <si>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</si>
  <si>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</si>
  <si>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registered sweep (cruce.py group 0); 6/S5.20; M01.01 registered sweep (cruce.py group 1); 6/S5.20; M01.01 registered sweep (cruce.py group 2); 6/S5.20; M01.01 registered sweep (cruce.py group 3); 6/S5.20; M01.01 registered s</t>
  </si>
  <si>
    <t xml:space="preserve">Extra framing - sistered stud and furring at the ATM recess</t>
  </si>
  <si>
    <t xml:space="preserve">accesorios.py [CRITERION]: 6/A08.11 2 1/2" METAL STUD SISTERED TO 6" METAL STUD; 7/A08.11; 5/A08.11; A08.11 ATM equipment PO form</t>
  </si>
  <si>
    <t xml:space="preserve">2-1/2" CFMF @ 16" O.C. at coiling grille head (4/A08.21)</t>
  </si>
  <si>
    <t xml:space="preserve">accesorios.py [DERIVED]: 4/A08.21: 2 1/2" CFMF @ 16" O.C. between two 6" CFMF box beam headers in the 1'-6" zone; the 2'-4 1/2" zone above holds the vendor 3x3 tube / angle (RFI-EX-10)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</si>
  <si>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</si>
  <si>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</si>
  <si>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</si>
  <si>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3/A08.01 '5'-0" TO TOP OF FRP' (elevations A-D/A08.01); WC-3 FRP A00.40; 1/A08.01 room polygon: 4 room corners + notch at TA-14 / lavatory alcove wall (1 inside + 1 outside); 5 - 1 = 4; A05.01 finish plan key note 6 'FRP FROM FLOOR TO 4'-0"</t>
  </si>
  <si>
    <t xml:space="preserve">Power-driven fasteners and duct sleeves</t>
  </si>
  <si>
    <t xml:space="preserve">accesorios.py [DERIVED]: 11/S5.10 PARAPET INFILL FRAMING: 'PAFs SPACED AT 12" O.C. MAX.' (600T125-54 bottom track to steel beam); M01.01 label 'FD' at sidewall register (wall-mounted, ends in the wall; not a straight crossing); M00.03 schedule; M01.01 registered sw</t>
  </si>
  <si>
    <t xml:space="preserve">Access panel 2'x2'</t>
  </si>
  <si>
    <t xml:space="preserve">accesorios.py [CONFIRMED]: A04.01 key note 4 '2' X 2' LOCKING ACCESS PANEL. KEYED TO MATCH MAIN ENTRY' (marker in vestibule 100, GB ceiling 10'-0")</t>
  </si>
  <si>
    <t xml:space="preserve">Drywall screws 1-1/4" bugle head</t>
  </si>
  <si>
    <t xml:space="preserve">accesorios.py [DERIVED]: Inputs!B20 (Drywall screws per SF of board = 1.875) x 17955.4 SF of board</t>
  </si>
  <si>
    <t xml:space="preserve">Framing screws, pan head self-drilling</t>
  </si>
  <si>
    <t xml:space="preserve">accesorios.py [DERIVED]: Inputs!B21 (Framing screws per stud piece = 4) x 1786 stud pieces</t>
  </si>
  <si>
    <t xml:space="preserve">Power-driven fasteners, slab pins for the bottom track</t>
  </si>
  <si>
    <t xml:space="preserve">accesorios.py [DERIVED]: 537.15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</si>
  <si>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</si>
  <si>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244.64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</si>
  <si>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</si>
  <si>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</si>
  <si>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</si>
  <si>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17955.4 SF of board</t>
  </si>
  <si>
    <t xml:space="preserve">Joint tape, paper</t>
  </si>
  <si>
    <t xml:space="preserve">accesorios.py [DERIVED]: Inputs!B24 (Joint tape (LF per SF) = 0.37) x 17955.4 SF of board</t>
  </si>
  <si>
    <t xml:space="preserve">Level 5 finish</t>
  </si>
  <si>
    <t xml:space="preserve">accesorios.py [DERIVED]: 1/A11.04 11'-9 1/4" V.I.F.; height = office ceiling ACT-4 9'-0" A04.01; A05.01 WC-18 tag; 6/A11.01 11'-9 1/4" V.I.F.; height = office ceiling ACT-4 9'-0" A04.01; A05.01 WC-18 tag; 5/A11.04 11'-9 1/4" V.I.F.; height = office ceiling ACT-4 9'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</si>
  <si>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</si>
  <si>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</si>
  <si>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</si>
  <si>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</si>
  <si>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</si>
  <si>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100.54 lf</t>
  </si>
  <si>
    <t xml:space="preserve">RFI-ACC-extra-framing-atm</t>
  </si>
  <si>
    <t xml:space="preserve">extra framing ATM: ATM-DU drive-up ATM (NHA 9D): ATM recess not fully dimensioned (width DERIVED, sistered height DERIVED, furring rows DERIVED)</t>
  </si>
  <si>
    <t xml:space="preserve">11.18 lf</t>
  </si>
  <si>
    <t xml:space="preserve">RFI-ACC-gypsum-board-jamb-return</t>
  </si>
  <si>
    <t xml:space="preserve">gypsum board jamb return: jamb return width not dimensioned</t>
  </si>
  <si>
    <t xml:space="preserve">-55.67 sf</t>
  </si>
  <si>
    <t xml:space="preserve">RFI-ACC-slab-pins</t>
  </si>
  <si>
    <t xml:space="preserve">slab pins: pin spacing: 12" (interior anchorage) vs 16" (fastener schedule) vs 24" (type K box)</t>
  </si>
  <si>
    <t xml:space="preserve">16in: -134.29 pcs; 24in: -268.57 pcs</t>
  </si>
  <si>
    <t xml:space="preserve">RFI-ACC-level-5-finish</t>
  </si>
  <si>
    <t xml:space="preserve">Level 5 finish: WC-20 (A05.01 key note 9, 24 HR vestibule) is not in the A00.40 legend and has no tag; extent taken as the vestibule face of the diagonal ATM wall (2 x 7.604 ft x 10.0 ft).</t>
  </si>
  <si>
    <t xml:space="preserve">0 SF if WC-20 is not used / +34.8 SF if the ATM opening strip is also covered</t>
  </si>
  <si>
    <t xml:space="preserve">RFI-ACC-stud-reinforcement-mep</t>
  </si>
  <si>
    <t xml:space="preserve">stud reinforcement MEP: Curved flex / round duct runs and wall registers cannot be detected as straight crossings; the list adds the labelled FD and S-2 sidewall registers by hand from M01.01. Other flex-duct crossings of deck-high partitions may exist.</t>
  </si>
  <si>
    <t xml:space="preserve">+1 plate per additional duct crossing</t>
  </si>
  <si>
    <t xml:space="preserve">RFI-CE-1</t>
  </si>
  <si>
    <t xml:space="preserve">GWB ceiling suspension spacing is not printed (no GWB suspended ceiling detail or spec in the set; A09.33 notes cover ACT only). Carried furring channel @ 16" O.C., carrying channel @ 48" O.C., hangers @ 48" O.C. (ASTM C754 typical). Confirm.</t>
  </si>
  <si>
    <t xml:space="preserve">Furring @ 24" O.C.: -109.07 LF furring channel and -130.25 LF 3-5/8" ceiling joists (104 stud_joist). Carrying and hangers @ 36": +61.29 LF carrying, +48 hanger PCS (+230.06 LF hanger wire).</t>
  </si>
  <si>
    <t xml:space="preserve">RFI-CE-2</t>
  </si>
  <si>
    <t xml:space="preserve">Carrying channel direction not printed. Carried E-W (perpendicular to the N-S roof beams on S2.20, deck flute E-W); furring / ceiling joists N-S. Confirm.</t>
  </si>
  <si>
    <t xml:space="preserve">Carrying N-S instead: -5.25 LF carrying channel, +36.77 LF furring channel, -11.35 LF 3-5/8" ceiling joists (104), hanger PCS unchanged (113).</t>
  </si>
  <si>
    <t xml:space="preserve">RFI-CE-3</t>
  </si>
  <si>
    <t xml:space="preserve">Waiting 104 GB ceiling: no RCP callout; its R-11C/R-11CE trimless linear gyp slots follow 6/A09.33, which draws 3-5/8" METAL STUD FRAMING @ 16" O.C. Carried as stud_joist (3-5/8" ceiling joists + carrying + hangers). Confirm vs standard furring channel.</t>
  </si>
  <si>
    <t xml:space="preserve">As furring instead: -420.0 LF 3-5/8" stud (ceiling joists) and +420.0 LF furring channel; carrying / hangers / board unchanged.</t>
  </si>
  <si>
    <t xml:space="preserve">RFI-CE-4</t>
  </si>
  <si>
    <t xml:space="preserve">RCP has no callout to 7/A09.33 (ceiling transition) or 8/A09.33 (bulkhead). Typical details applied at: Waiting 104 GB 11'-0" vs 103 ACT-4 11'-6" (N, W, E edges, 77.03 LF) and 103 ACT-4 11'-6" to ACT-4 9'-0" step drawn as a 5" band west of the CSR (5.09 LF). Both details give the same framing (vertical studs @ 16" to structure + 3-5/8" kicker/bracing @ 48"). Confirm the 103 ACT-to-ACT step is a framed GWB band.</t>
  </si>
  <si>
    <t xml:space="preserve">If the 103 ACT-to-ACT step (CE-4) is not framed: -31.88 LF vertical studs, -27.05 LF kickers, -10.19 LF ceiling track, -10.19 LF trim, -3.82 LF purlin.</t>
  </si>
  <si>
    <t xml:space="preserve">RFI-CE-5</t>
  </si>
  <si>
    <t xml:space="preserve">CSR soffit (116, GB 8'-0"): typical 10/A09.33 draws one drop side and a scheduled partition on the other; 4/A12.08 and A04.01 show ACT-4 9'-0" on BOTH long sides (116 and 103) and 9/A12.08 draws two framed sides. Carried 2 drop lines to deck. Confirm.</t>
  </si>
  <si>
    <t xml:space="preserve">With 1 drop line: -12.02 LF of soffit side = approx -69.5 LF 3-5/8" studs (6 x 7.375 + 5 x 5.052) and -24.04 LF ceiling/soffit track.</t>
  </si>
  <si>
    <t xml:space="preserve">RFI-CE-6</t>
  </si>
  <si>
    <t xml:space="preserve">S2.20 tags B.O.D. 15'-4 1/2" (NO SLOPE) only between grids E-F; the B-E zone has no B.O.D. tag (only '@ LOW ROOF' text near the grid E beam) while A02.02 shows the only roof step at grid B (key note 13) and S2.20 marks the grid B beams W14x22 (HI)/(LOW). Carried 15'-4 1/2" for F-B (Vestibules 100/101, Waiting 104, transitions CE-1..CE-4, CSR north drop sides). Confirm B.O.D. between E and B.</t>
  </si>
  <si>
    <t xml:space="preserve">Per 1 ft lower deck south of grid E: about -23 LF hanger wire (104, ~23 of 54 PCS south of E), -38 LF vertical/drop studs (CE-2/CE-3 south parts ~21 studs, CE-4 5, CSR north sides 12) and -16 LF kickers; vestibules unchanged.</t>
  </si>
  <si>
    <t xml:space="preserve">RFI-CE-7</t>
  </si>
  <si>
    <t xml:space="preserve">Linear slot diffusers SD (TITUS TBDI-10, M00.03 size SEE DRAWING) in GB ceilings 100/101/113/114: framed opening carried at the drawn plenum width (7.7 in) and drawn section length (4.29 ft / 2.29 ft) per M01.01. Confirm opening size (slot face is 2 x 1 in).</t>
  </si>
  <si>
    <t xml:space="preserve">At 2 in slot face width: -15.2 LF framed openings MEP.</t>
  </si>
  <si>
    <t xml:space="preserve">RFI-CE-8</t>
  </si>
  <si>
    <t xml:space="preserve">Low roof A-B slopes from B.O.D. 13'-0 5/8" (grid B) to 12'-6 3/8" (grid A). Restrooms 113/114 hangers and CSR south drop sides carried at the high end 13'-0 5/8". Confirm.</t>
  </si>
  <si>
    <t xml:space="preserve">Interpolated at room centers (about -0.16 ft): -3.8 LF hanger wire (24 PCS) and about -1 LF drop studs.</t>
  </si>
  <si>
    <t xml:space="preserve">RFI-EX-1</t>
  </si>
  <si>
    <t xml:space="preserve">S2.20 prints the canopy deck as 'B.O.D. EL. 111'-9" TYP. @ CANOPY' while every other elevation is relative to 0'-0" (canopy T.O.S. 11'-9" to 12'-2 3/4"; J/A09.23 and H/A09.23 T/STEEL 11'-9"). Read as 11'-9".</t>
  </si>
  <si>
    <t xml:space="preserve">No change to exterior wall heights (set by the roof perimeter beams); canopy deck constant only.</t>
  </si>
  <si>
    <t xml:space="preserve">RFI-EX-2</t>
  </si>
  <si>
    <t xml:space="preserve">Canopy beams sit in the 6" CFMF stud plane (A/A09.21, J/A09.23, H/A09.23, 7/A09.26, 15/A09.27). Studs carried continuous to the roof perimeter beam (canopy_beam_split false). Confirm whether the studs are split at the canopy beam (piece below + piece above).</t>
  </si>
  <si>
    <t xml:space="preserve">If split: +155.78 LF bottom track and +155.78 LF top track (EX-1, 2, 3, 4, 5, 6, 10), approx. -147 LF 6" stud (studs x canopy beam depth); inventario.py _rfi_split gives the exact value.</t>
  </si>
  <si>
    <t xml:space="preserve">RFI-EX-3</t>
  </si>
  <si>
    <t xml:space="preserve">Drive-up ATM R.O. width: 7/A08.11 plan 2'-2 1/2" vs 5/A08.11 elevation 2'-2 1/8" (26.4"). Carried 2'-2 1/2" (more material).</t>
  </si>
  <si>
    <t xml:space="preserve">-0.031 ft x 4 header pieces = -0.13 LF header; negligible.</t>
  </si>
  <si>
    <t xml:space="preserve">RFI-EX-4</t>
  </si>
  <si>
    <t xml:space="preserve">Door 123 rough opening not printed: carried 3'-4" (3'-0" leaf A00.30 + 2" HM frame faces; vector 3.39 ft) with head 8'-2" (14/A09.27).</t>
  </si>
  <si>
    <t xml:space="preserve">+/-0.167 ft per inch of frame face x 4 box pieces = +/-0.67 LF header.</t>
  </si>
  <si>
    <t xml:space="preserve">RFI-EX-5</t>
  </si>
  <si>
    <t xml:space="preserve">S2.20 does not label the perimeter beam on grid A between grids 3 and 3.4; carried W18x35 (same run as 3.4-6).</t>
  </si>
  <si>
    <t xml:space="preserve">If W14x22: EX-8 studs within ~4.1 ft gain 0.333 ft each (about +1.3 LF 6" stud).</t>
  </si>
  <si>
    <t xml:space="preserve">RFI-EX-6</t>
  </si>
  <si>
    <t xml:space="preserve">Low roof (B-A) B.O.D. slopes 13'-0 5/8" at B to 12'-6 3/8" at A along grids 8 and 3: EX-7 and EX-11 studs carried at the high side (53.2) H = 11.910 ft.</t>
  </si>
  <si>
    <t xml:space="preserve">Average height 11.650 ft: -0.26 ft x about 20 studs per wall = about -10.4 LF 6" stud total.</t>
  </si>
  <si>
    <t xml:space="preserve">RFI-EX-7</t>
  </si>
  <si>
    <t xml:space="preserve">Sloped low-roof parapets on grids 8 and 3 (B-A) carried at the high side T/STUD 17'-5" - 12'-6 3/8" = 4.886 ft; sheathing uses the average 4.625 ft.</t>
  </si>
  <si>
    <t xml:space="preserve">Parapet studs at average height: -0.26 ft x studs of EX-24 + EX-27 (about 2 x 26) = about -13.5 LF 6" parapet stud.</t>
  </si>
  <si>
    <t xml:space="preserve">RFI-EX-8</t>
  </si>
  <si>
    <t xml:space="preserve">HP parapet return on grid 4 (A02.02 key note 10, ACM coping): stud CL 1 3/4" east of grid 4 (2/A09.25 4 3/4" FOS); length from grid G stud CL to the end of the roof-plan outline = 3.927 ft (vector, end of studs not dimensioned; outline end carried = more material).</t>
  </si>
  <si>
    <t xml:space="preserve">-0.5 ft of return (stud end inside the end finish) = 0 studs (1 bay, 4 studs either way), -0.5 LF top + bottom track; reading B (1'-0" jog G-F added to grid G, no return) = -4 studs x 4.292 = -17.17 LF 6" parapet stud and -3.93 LF track.</t>
  </si>
  <si>
    <t xml:space="preserve">RFI-EX-9</t>
  </si>
  <si>
    <t xml:space="preserve">Vestibule heads 4-7/A12.10 'METAL STUD FRAMING &amp; BOX HEADER AS NEEDED': stud size, height and box size not printed. Carried 3 5/8" @ 16" from storefront top 8'-8" (8'-4" door + 4" top rail) to B.O.D. 15'-4 1/2" (6.708 ft) and a 4-piece box (E11, E20). Board faces on the heads not quantified (ceiling height from RCP).</t>
  </si>
  <si>
    <t xml:space="preserve">If heads stop at the ceiling: about -4 ft x (13 + 6) studs = -76 LF 3 5/8" stud; box size unknown (header LF counted at 4 pieces).</t>
  </si>
  <si>
    <t xml:space="preserve">RFI-EX-10</t>
  </si>
  <si>
    <t xml:space="preserve">Coiling grille head 4/A08.21: 2 1/2" CFMF @ 16" drawn only between the two 6" CFMF box beam headers (1'-6" zone); the 2'-4 1/2" zone above holds the vendor 3x3 tube/angle. Carried head_chain [18 in].</t>
  </si>
  <si>
    <t xml:space="preserve">If the 2 1/2" studs run the full printed chain 2'-4 1/2" + 1'-6": +2.375 ft x 12 studs = +28.5 LF 2 1/2" stud.</t>
  </si>
  <si>
    <t xml:space="preserve">RFI-EX-11</t>
  </si>
  <si>
    <t xml:space="preserve">Grille jamb boxes 3/A08.21 (3 5/8" framing around vendor 3x3 tubes) height not printed: carried to deck 15'-4 1/2". FRT wood blocking at the grille jambs (3/A08.21 'FRT WOOD BLOCKING (TYP)') not quantified: grille opening height not printed. [INTEG: applies to the C1 grille jamb boxes W2-18 / W2-19 (EX-42 / EX-43 deleted by OTH); same height question as RFI-W2-1.]</t>
  </si>
  <si>
    <t xml:space="preserve">If boxes stop at the ceiling (~9 ft): -6.4 ft x 8 studs = -51 LF 3 5/8" stud; FRT blocking pending (2 jambs x opening height).</t>
  </si>
  <si>
    <t xml:space="preserve">RFI-EX-12</t>
  </si>
  <si>
    <t xml:space="preserve">Drive-up canopy soffit joist direction: E13 tracks carried at the west fascia (55.9 ft) and the wall line (56.3 ft) assuming E-W joists; 16/A09.27 (E-W cut) shows the soffit framing in cross-section, i.e. N-S joists hung from the E-W canopy beams.</t>
  </si>
  <si>
    <t xml:space="preserve">If N-S: track lines become south fascia west of grid 2 (17.6) + north edge at B (21.5) = 39.1 LF instead of 112.2 LF (-73.1 LF ceiling track); joist LF changes with span.</t>
  </si>
  <si>
    <t xml:space="preserve">RFI-EX-13</t>
  </si>
  <si>
    <t xml:space="preserve">Cladding and its supports EXCLUDED (60.4): 7/8" hat channel under EPS-5 (7/A09.26, 9/A09.27), ACM subframing / Z-girts, lath and Portland cement plaster PT-3/PT-4 (stucco on walls, soffits and column wraps), fiber cement panel and furring at the ATM (6/A08.11). Confirm by cladding trade.</t>
  </si>
  <si>
    <t xml:space="preserve">Not quantified (excluded).</t>
  </si>
  <si>
    <t xml:space="preserve">RFI-EX-14</t>
  </si>
  <si>
    <t xml:space="preserve">Storefront piers 1/A09.25 and 2/A09.25 draw two framing systems (exterior L 6" CFMF, interior L 3 5/8") as zones, not individual studs. Studs per part derived from FOS faces ROUNDUP(face/16")+1 minus one shared corner (5+5 at grid 2, 4+4 at grid 4). [INTEG: piers now 5 + 5 studs at grid 2 (EX-12) and 5 + 5 at grid 4 (EX-13).]</t>
  </si>
  <si>
    <t xml:space="preserve">+/-1 stud per part per pier = +/-14.4 LF (6" or 3 5/8").</t>
  </si>
  <si>
    <t xml:space="preserve">RFI-EX-15</t>
  </si>
  <si>
    <t xml:space="preserve">Canopy column wraps 5/A09.25: height not printed; carried slab to canopy soffit framing B/STUD 10'-7 1/4" (16/A09.27).</t>
  </si>
  <si>
    <t xml:space="preserve">If wraps run to the canopy steel (11'-9"): +1.146 ft x 8 studs x 4 wraps = +36.7 LF 3 5/8" stud.</t>
  </si>
  <si>
    <t xml:space="preserve">RFI-EX-16</t>
  </si>
  <si>
    <t xml:space="preserve">CLOSED by the drawings (E23): S2.20 prints HSS9x5x5/8 (LLV) T.O.S. EL. 9'-4 1/2" (lines G and F) and B.O.S. EL. 8'-7 1/2" on grid 2 (+ 9" LLV = 9'-4 1/2"); 2/A09.26 draws the 6" studs on the STEEL HEADER FRAMING. Cripples of SF-F (EX-4) and SF-W (EX-2) now start at 9'-4 1/2"; SF-100 (EX-1) already did. CLOSED by the drawings (E23): S2.20 prints HSS9x5x5/8 (LLV) T.O.S. EL. 9'-4 1/2" (lines G and F) and B.O.S. EL. 8'-7 1/2" on grid 2 (+ 9" LLV = 9'-4 1/2"); 2/A09.26 draws the 6" studs on the STEEL HEADER FRAMING. Cripples of SF-F (EX-4) and SF-W (EX-2) now start at 9'-4 1/2"; SF-100 (EX-1) already did. Storefronts with HSS lintels (SF-F, SF-100, SF-W; S2.20 HSS9x5x5/8 T.O.S. 9'-4 1/2"): cripples are computed by the tool from the opening head 8'-6"; actual cripples start on top of the HSS (9'-4 1/2").</t>
  </si>
  <si>
    <t xml:space="preserve">n/a: closed, 0 (applied in the canon: EX-4 -16.63 LF, EX-2 -3.50 LF 6" stud)</t>
  </si>
  <si>
    <t xml:space="preserve">RFI-EX-17</t>
  </si>
  <si>
    <t xml:space="preserve">Exterior stud: S1.11 LGS note 5 requires 600S162-54 @ 12" within 6 ft of building corners and 600S162-54 @ 16" elsewhere; 7/S5.20 schedule lists exterior walls 600S137-33 @ 16". Gauge conflict (54 vs 33 mil). Corner zones applied at convex building corners only (not at the re-entrant corner grid 3 / D).</t>
  </si>
  <si>
    <t xml:space="preserve">Gauge: no LF change. If the re-entrant corner also takes @12": +1 to +2 studs on EX-3 / EX-10 (about +28 LF).</t>
  </si>
  <si>
    <t xml:space="preserve">RFI-EX-18</t>
  </si>
  <si>
    <t xml:space="preserve">CLOSED by the drawings (E23): 7/S5.20 METAL STUD PROPERTIES prints 362S137-33 @ 16" O.C. for the canopy fascia framing. Canopy fascia box framing 7/A09.26 '3 5/8" METAL STUD FRAMING' spacing not printed; carried 16" O.C.</t>
  </si>
  <si>
    <t xml:space="preserve">n/a: closed, 0</t>
  </si>
  <si>
    <t xml:space="preserve">RFI-EX-19</t>
  </si>
  <si>
    <t xml:space="preserve">S2.20 'HSS9x5x5/8 (LLV) B.O.S. EL. 8'-7 1/2"' along grid 2: extent not dimensioned. Carried over the vestibule west storefront only; the drive-up ATM head is the metal stud box beam of 6/A08.11.</t>
  </si>
  <si>
    <t xml:space="preserve">If the HSS also spans the ATM: -(2.208 + 1.333) x 4 = -14.2 LF header.</t>
  </si>
  <si>
    <t xml:space="preserve">RFI-EX-20</t>
  </si>
  <si>
    <t xml:space="preserve">Canopy fascia end returns (east canopy at B.2, 3'-8"; north canopy ends, 3'-8 1/4") taken from the A02.02 outline; no section through the ends.</t>
  </si>
  <si>
    <t xml:space="preserve">If the returns are not boxed: -11.0 LF fascia track x 2 and about -10 studs x 1.865 ft.</t>
  </si>
  <si>
    <t xml:space="preserve">RFI-EX-21</t>
  </si>
  <si>
    <t xml:space="preserve">Exterior wall lengths are interior face to interior face (chains on A02.01); the 6" x 6" outside-corner blocks are not in any wall length (corner studs come from L nodes).</t>
  </si>
  <si>
    <t xml:space="preserve">If measured to the outer stud face at the 5 convex corners: +0.55 ft each = +2.8 LF bottom and top track.</t>
  </si>
  <si>
    <t xml:space="preserve">RFI-EX-22</t>
  </si>
  <si>
    <t xml:space="preserve">Roof step 4/A02.02 outer upper row: top of 2x FRT blocking 'to align with highest point of tapered insulation' not dimensioned; carried high B.O.D. + 1'-0" (row height 3.323 ft).</t>
  </si>
  <si>
    <t xml:space="preserve">+/-0.5 ft x about 40 studs = +/-20 LF 3 5/8" stud.</t>
  </si>
  <si>
    <t xml:space="preserve">RFI-EX-23</t>
  </si>
  <si>
    <t xml:space="preserve">Interior pier faces (5/8" gypsum board on the 3 5/8" L, 1/A09.25, 2/A09.25) and the grille head soffit return (corner bead, 4/A08.21) are not entered as board faces.</t>
  </si>
  <si>
    <t xml:space="preserve">Pier boards about 2 x 3.4 ft x 15.4 ft = +105 SF 5/8" regular; grille soffit about 13.3 x 0.83 = +11 SF.</t>
  </si>
  <si>
    <t xml:space="preserve">RFI-W1-1</t>
  </si>
  <si>
    <t xml:space="preserve">Zone between grids E and B (A02.01 y=734-1246 pt): S2.20 prints B.O.D. EL. 15'-4 1/2" NO SLOPE only in the F-E band; 4/A02.02 shows the roof step at grid B (high T/STEEL 15'-4 1/2", low 13'-0 5/8"). Assumed 15'-4 1/2" for W1-1, W1-2, W1-3, W1-4, W1-10, W1-11a, W1-13. Confirm deck elevation E-B.</t>
  </si>
  <si>
    <t xml:space="preserve">If 13'-0 5/8": stud height -2.323 ft on those walls (A1 ~23.4 LF, A5 ~27.9 LF of wall, A1K 3.42 LF); A1K board both faces -2.323 ft x 3.42 ft each.</t>
  </si>
  <si>
    <t xml:space="preserve">RFI-W1-2</t>
  </si>
  <si>
    <t xml:space="preserve">A5 (6" interior, 3/A12.01) stud gauge not scheduled: 7/S5.20 lists 6" only as 600S137-33 EXTERIOR @ 16" O.C. Assumed 600S137-33 @ 16" O.C. (53.3).</t>
  </si>
  <si>
    <t xml:space="preserve">No LF change; gauge/material cost only if a heavier/lighter 6" member is required.</t>
  </si>
  <si>
    <t xml:space="preserve">RFI-W1-3</t>
  </si>
  <si>
    <t xml:space="preserve">A1K: 4/A12.01 '14 GA. METAL STUDS @ 24" O.C. MAX' vs 7/S5.20 interior 362S137-33 @ 16" O.C. Detail governs (53.8): 14 ga @ 24".</t>
  </si>
  <si>
    <t xml:space="preserve">At 16" O.C.: +1 stud per wall on W1-13/W1-14 (3.42 ft) and +0 on W1-15; gauge 14 ga vs 33 mil.</t>
  </si>
  <si>
    <t xml:space="preserve">RFI-W1-4</t>
  </si>
  <si>
    <t xml:space="preserve">A1K end walls of the CSR line (W1-13 north, W1-14/W1-15 south): plan hatch fills the full wall thickness, so the customer (fiberglass panel) face is not determinable; assumed the face away from the teller station.</t>
  </si>
  <si>
    <t xml:space="preserve">Ballistic SF unchanged (L x 8'-0" either face); only the room/face carrying ballistic + 3/8" changes.</t>
  </si>
  <si>
    <t xml:space="preserve">RFI-W1-5</t>
  </si>
  <si>
    <t xml:space="preserve">W1-10 (A5, grid 5 west of 122): W14x30 on grid 5 has its axis ~9.6 pt (~6") east of the wall axis; flange edge within ~1" of the stud. Taken to deck (15'-4 1/2"), not stops_under_beam.</t>
  </si>
  <si>
    <t xml:space="preserve">If it stops under W14x30: -1.150 ft x studs on 11.0 ft of wall (~10 studs = -11.5 LF of 6" stud).</t>
  </si>
  <si>
    <t xml:space="preserve">RFI-W1-6</t>
  </si>
  <si>
    <t xml:space="preserve">Electrical 120 and NER 121 show no ceiling tag in A04.01; W1-8 east faces there taken to underside of structure/beam (53.3).</t>
  </si>
  <si>
    <t xml:space="preserve">If an 8'-6" ceiling is intended: -(11.821-9.0) x 13.333 ft = -37.6 SF of 5/8" board.</t>
  </si>
  <si>
    <t xml:space="preserve">RFI-W1-7</t>
  </si>
  <si>
    <t xml:space="preserve">Door R.O. not printed: doors 111, 116, 118A, 118B, 119, 122 (A00.30 3'-0" type A, HM frame 2" per 11/A12.02) taken as R.O. 3'-4" (also 60 pt between wall ends on A02.01). R.O. equals the 3'-4" limit of the SINGLE TRACK row in 7/S5.20.</t>
  </si>
  <si>
    <t xml:space="preserve">If R.O. &gt; 3'-4": DOUBLE TRACK 18 ga (2 pieces): +4.667 LF of header track per door (6 doors = +28.0 LF).</t>
  </si>
  <si>
    <t xml:space="preserve">RFI-W1-8</t>
  </si>
  <si>
    <t xml:space="preserve">W1-11a east face: ceiling changes from ACT-4 11'-6" (Central Zone) to ACT-4 9'-0" (CSR queue) at a band near y=1111-1118 pt on A04.01 (no printed dimension); split taken at 1115 pt.</t>
  </si>
  <si>
    <t xml:space="preserve">+/-0.2 ft of face length moves 2.5 ft of board height: about +/-0.5 SF.</t>
  </si>
  <si>
    <t xml:space="preserve">RFI-W2-1</t>
  </si>
  <si>
    <t xml:space="preserve">Partition type C1 (6/A12.01) does not label its top condition (studs reach a top line, board shows a break mark). Taken to underside of structure (deck) for all C1 chase faces, furrings and column/pier enclosures. Confirm whether C1 stops at ceiling + 6".</t>
  </si>
  <si>
    <t xml:space="preserve">If C1 stops at ceiling + 6": 3 5/8" stud -237.9 LF (studs @ 16") and 5/8" board -190.0 SF (of which MR -78.3 SF at the restroom chase), track and bracing unchanged; per element: W2-12 9.973 ft x 3.923 ft; W2-13 9.973 ft x 3.892 ft; W2-14 10.0 ft x 3.875 ft; W2-15 2.98 ft x 3.924 ft; W2-16 3.267 ft x 4.875 ft; W2-17 2.967 ft x 4.875 ft; W2-18 4.0 ft x 4.875 ft; W2-19 2.407 ft x 4.875 ft [INTEG: the pier interior parts are the 3-5/8" parts of EX-12 / EX-13 (W2-16 / W2-17 deleted, PRIORIDAD_parches).]</t>
  </si>
  <si>
    <t xml:space="preserve">RFI-W2-2</t>
  </si>
  <si>
    <t xml:space="preserve">Tag B2K (A02.01, Office 108 / cash window customer alcove, 1.77 ft hatched) is not in the A12.01 partition schedule. Composition derived as B2 (1/A12.01: 6" stud, 5/8" each face, 7 1/4") + K panel (4/A12.01: 3/8" UL752 level-2 fiberglass to 8'-0", 3/8" gyp above) = 7 5/8", which closes with A5K (7 5/8") and with the plan (11.52 pt = 7.68"). Stud gauge taken from 4/A12.01 (14 ga, @ 24" O.C. max) at 16" O.C.; customer (ballistic) side assumed = alcove side. Confirm type, spacing and customer side.</t>
  </si>
  <si>
    <t xml:space="preserve">Spacing @ 24" instead of 16": -1 stud x 15.375 ft = -15.375 LF 6" 14 ga; customer side swapped: no quantity change (same wall length); if B2K were plain B2: ballistic -14.187 SF, 3/8" gyp -13.078 SF, studs 20 ga instead of 14 ga [INTEG: length decided 2.207 ft by image (vector to G wall W3-13 start), resolucion_W2 item 22.]</t>
  </si>
  <si>
    <t xml:space="preserve">RFI-W2-3</t>
  </si>
  <si>
    <t xml:space="preserve">Interior 6" studs (type B2) gauge not printed: 7/S5.20 lists 600S137-33 @ 16" O.C. under 'EXTERIOR WALLS' while S1.11 calls exterior studs 600S162-54. Assumed 600S137-33 (33 mil) for interior B2. Confirm gauge.</t>
  </si>
  <si>
    <t xml:space="preserve">Gauge change only (no LF change): B2 walls W2-7..W2-10 6" stud LF priced 33 mil vs 43/54 mil</t>
  </si>
  <si>
    <t xml:space="preserve">RFI-W2-4</t>
  </si>
  <si>
    <t xml:space="preserve">C1 tags at the two storefront piers (A02.01 grid 2/F and 4/F) point to piers detailed in 1/A09.25 and 2/A09.25 (3 5/8" metal framing + 5/8" gyp inside, 6" CFMF + 5/8" FRT nailbase + composite metal panel outside). This fragment carries only the interior C1 part (3 5/8" + 5/8" gyp faces); the 6" CFMF and exterior layers belong to the exterior/pier scope. Confirm that the C1 tag refers to the interior furring only. [INTEG: interior C1 part counted once as parts[1] of EX-12 / EX-13 (tag C1); W2-16 / W2-17 deleted (PRIORIDAD_parches, OTH wins).]</t>
  </si>
  <si>
    <t xml:space="preserve">If the whole pier is counted under C1: add the 6" CFMF studs drawn in 1/A09.25 and 2/A09.25 x 15.375 ft to this type (no change to the project total if the exterior scope already carries them; double count otherwise)</t>
  </si>
  <si>
    <t xml:space="preserve">RFI-W2-5</t>
  </si>
  <si>
    <t xml:space="preserve">C1 furring return of W2-15 (PT0036): one east return of about 7" that abuts a wall of another type; PT3 adds jogs only when they touch a wall of the same type. Not added. (W2-14 returns closed: added per PT3, resolucion_W2 item 23.)</t>
  </si>
  <si>
    <t xml:space="preserve">Add W2-15 return: +0.58 ft (+7.496 SF board, +1 stud x 12.924 ft)</t>
  </si>
  <si>
    <t xml:space="preserve">RFI-W2-6</t>
  </si>
  <si>
    <t xml:space="preserve">S2.20 shows an unlabelled steel member on grid 4 just south of line E (about 2.5 ft long, lw 1.56) and a STL SUPPORT ref. 3/S5.11 line over B2 wall W2-7 (ATM Room 102 east). Size not printed: wall carried to B.O.D. 15'-4 1/2". Confirm whether W2-7 stops under that member and its depth.</t>
  </si>
  <si>
    <t xml:space="preserve">If W2-7 stops under a member of depth d over 2.5 ft: studs -ROUNDUP(2.5/1.333)+1 = 3 studs x d; board -2 faces x 2.5 ft x d</t>
  </si>
  <si>
    <t xml:space="preserve">RFI-W2-7</t>
  </si>
  <si>
    <t xml:space="preserve">F wall (W2-20) runs 30 deg off the E-W deck flutes (S2.20). Purlin (track to deck) not carried because the wall is not parallel to the flutes; confirm top-track attachment detail across flutes.</t>
  </si>
  <si>
    <t xml:space="preserve">If purlin is required: +0.75 x 17.762 = 13.321 LF purlin</t>
  </si>
  <si>
    <t xml:space="preserve">RFI-W2-9</t>
  </si>
  <si>
    <t xml:space="preserve">vigas_sobre_walls.py (S2.20 over A02.01) finds a W8x10 along B wall W2-2 and a W14x22 along B wall W2-3 over their west 5.29 ft only (45 %), and a W14x22 joist on grid 7 over B2 wall W2-10 (99 %). W2-10 stops under the W14x22 (E26); W2-2 / W2-3 are kept to B.O.D. as one run. Confirm whether the west parts of W2-2 / W2-3 stop under those members.</t>
  </si>
  <si>
    <t xml:space="preserve">If they stop under: W2-2 studs ROUNDUP(5.29/1.333)+1 = 5 x -0.657 ft = -3.3 LF and board -2 x 5.29 x 0.657 = -6.9 SF; W2-3 5 studs x -1.142 = -5.7 LF and board -2 x 5.29 x 1.142 = -12.1 SF</t>
  </si>
  <si>
    <t xml:space="preserve">RFI-W2-8</t>
  </si>
  <si>
    <t xml:space="preserve">Low roof (grids A-B) B.O.D. taken as a linear slope from 13'-0 5/8" at grid B to 12'-6 3/8" at grid A (S2.20 labels and SLOPE arrow); heights of B/B2/C1 walls in that zone are interpolated by position. Confirm B.O.D. elevations at the restroom / electrical / work room walls.</t>
  </si>
  <si>
    <t xml:space="preserve">Each 1" of B.O.D. error = 0.083 ft x studs of each wall (W2-1..W2-6, W2-8..W2-10, W2-12, W2-13, W2-15) and 0.083 ft x L x faces of board</t>
  </si>
  <si>
    <t xml:space="preserve">RFI-W3-1</t>
  </si>
  <si>
    <t xml:space="preserve">CONT. BOX BEAM (8/A12.01, 9/A12.01) over the office fronts has no printed run length. Carried one continuous run per front (E22) from the first to the last vendor jamb: E (grid 7, Offices 105-108) 39.97 ft, W (grid 4, Offices 109-110) 18.51 ft, x 4 pieces, + 1'-4" bearing (E1). Confirm run extent.</t>
  </si>
  <si>
    <t xml:space="preserve">Full front length instead (E 42.73 ft / W 22.02 ft): +11.02 LF (E) and +14.05 LF (W) of box pieces. One box per opening instead (7'-6" each): -23.9 LF (E) and -8.7 LF (W). FRT plywood at the box bottom follows the same run.</t>
  </si>
  <si>
    <t xml:space="preserve">RFI-W3-2</t>
  </si>
  <si>
    <t xml:space="preserve">Vendor frame head height: 7/A11.01 (east front) prints 8'-0 1/2" HOLD TYP. FROM SLAB; 8/A11.01 (west front) prints 8'-0" CLEAR FINISHED OPENING with no HOLD label. Carried 8'-0" for the west bulkheads (printed on their own elevation) and 8'-0 1/2" for the east bulkheads.</t>
  </si>
  <si>
    <t xml:space="preserve">West at 8'-0 1/2": bulkhead height -0.042 ft -&gt; about -2.5 SF of 5/8" board and -1.2 LF of 1-5/8" studs; jamb sealant, plywood and corner bead -0.17 LF each.</t>
  </si>
  <si>
    <t xml:space="preserve">RFI-W3-3</t>
  </si>
  <si>
    <t xml:space="preserve">The east office front (grid 7) sits under S2.20 steel joists: W12x14 on grid 7 (F-E) and W14x30 (E-B), the W14x30 drawn 3.9 in east of grid 7 so its flange covers only the office-side stud row. Carried stops_under_beam (E26) for all east front stubs and bulkheads: 14.38 ft under the W12x14 and 14.23 ft under the W14x30, with bulkheads = these heights - 8.04 ft HOLD. Confirm the top of the bulkhead/stub framing at these joists.</t>
  </si>
  <si>
    <t xml:space="preserve">E-B part to B.O.D. instead (W3-4, W3-5, W3-8, W3-9): +1.15 ft x 43 studs = +49.5 LF of 1-5/8" and +85.5 SF of board. F-E part to B.O.D. as well (W3-1, W3-2, W3-3, W3-6, W3-7): +0.99 ft x 55 studs = +54.5 LF and +95.8 SF.</t>
  </si>
  <si>
    <t xml:space="preserve">RFI-W3-4</t>
  </si>
  <si>
    <t xml:space="preserve">Members partly over G/G1 walls (E26): W3-10 (demising 105/106) has a W8x10 over its east 3.36 ft of 11.77 ft. W3-14 (north wall of 109) has a W12x19 (HI) over 3.02 ft and a W8x10 over 3.82 ft of 12.33 ft. W3-18 is touched only by a W10x12 flange edge (about 0.35 in). Carried full B.O.D. 15'-4 1/2" for the whole length (more material).</t>
  </si>
  <si>
    <t xml:space="preserve">Stopping under the members: W3-10 -3.9 LF of studs and -8.8 SF of board. W3-14: -6.1 LF and -12.2 SF (W12x19), plus -3.9 LF and -10.0 SF (W8x10).</t>
  </si>
  <si>
    <t xml:space="preserve">RFI-W3-5</t>
  </si>
  <si>
    <t xml:space="preserve">B.O.D. in the S2.20 bay E-B (grids 3.4-8) is not tagged. S2.20 tags 15'-4 1/2" NO SLOPE only in bay F-E and carries a '@ LOW ROOF' label in bay E-B, but S1.14 and A02.02 show F-B as one HIGH ROOF, and H/A09.23 shows T/STEEL 15'-4 1/2". Carried 15'-4 1/2" for bay E-B.</t>
  </si>
  <si>
    <t xml:space="preserve">Per 1 ft of B.O.D. difference in bay E-B: about +/-199 LF of 1-5/8" studs (199 stud pieces) and +/-392 SF of 5/8" board on W3-4, 5, 8, 9, 12-21.</t>
  </si>
  <si>
    <t xml:space="preserve">RFI-W3-6</t>
  </si>
  <si>
    <t xml:space="preserve">Four office-front stubs have no tag: W3-1 (north end of 105, 2.42 ft), W3-5 (4" at 108), W3-15 (4" at 109) and W3-17 (south end of 110, 3.18 ft). A02.01 note A makes untagged partitions type A1, but the drawn thickness and graphic match the tagged front stubs (G east 6-1/8", G1 west 8") and 10/A12.01. Carried as G / G1. Alternative (merged RFI-b3-1): stubs W3-1 / W3-17 are vendor office front (Div 08), not framed.</t>
  </si>
  <si>
    <t xml:space="preserve">As A1 (single row 3-5/8", 1 layer per face, 6.27 ft total): about -417 LF of 1-5/8" studs, +209 LF of 3-5/8" studs and -187 SF of 5/8" board. Vendor alternative: -2.42 LF G and -3.18 LF G1.</t>
  </si>
  <si>
    <t xml:space="preserve">RFI-b3-2</t>
  </si>
  <si>
    <t xml:space="preserve">Office front stubs: the east front (grid 7) is tagged G and the west front (grid 4) G1 although both are drawn as the same office-front stub condition (10/A12.01). Types carried as tagged.</t>
  </si>
  <si>
    <t xml:space="preserve">0 LF (type attribution only; G and G1 rows of the Partition Takeoff swap if unified)</t>
  </si>
  <si>
    <t xml:space="preserve">RFI-b3-3</t>
  </si>
  <si>
    <t xml:space="preserve">Office front stubs between the 7'-6" openings are not dimensioned; lengths taken from the A02.01 vector (W3-2 3.4667, W3-3 3.2533, W3-4 3.2533, W3-16 3.5067 ft).</t>
  </si>
  <si>
    <t xml:space="preserve">+/-1" per stub = +/-0.083 LF x 2 rows each (1-5/8" stud row LF unchanged unless a stud is added)</t>
  </si>
  <si>
    <t xml:space="preserve">RFI-RW1-1</t>
  </si>
  <si>
    <t xml:space="preserve">Drinking fountain alcove back wall (A1 default, A02.01 x 1092-1100 pt): S2.20 W14x22 on grid 3 has its axis ~4" west of the wall axis; vigas_sobre_walls.py flags it. Taken as stops_under_beam (E26). Confirm.</t>
  </si>
  <si>
    <t xml:space="preserve">To deck instead: +4.57 LF 3-5/8" stud.</t>
  </si>
  <si>
    <t xml:space="preserve">RFI-RW1-2</t>
  </si>
  <si>
    <t xml:space="preserve">Door 116 (A02.01 grid 7, between A5 PT0017 north and B2 PT0027 south): which partition type frames the opening/head? Plan does not say.</t>
  </si>
  <si>
    <t xml:space="preserve">3.333 LF A5 vs B2 in the Partition Takeoff; no framing change.</t>
  </si>
  <si>
    <t xml:space="preserve">RFI-FO-UU</t>
  </si>
  <si>
    <t xml:space="preserve">Canopy soffit linear recessed fixtures UU1-UU6 (Coronet LSR-WET-2.5, E00.01): framed opening width taken as the 2.5 in catalog body; the end/trim width is not printed. Confirm cutsheet.</t>
  </si>
  <si>
    <t xml:space="preserve">+/- 2 ends x qty per 1 in of width: +/- 3.5 LF total (21 fixtures x 2 x 1/12 ft)</t>
  </si>
  <si>
    <t xml:space="preserve">RFI-ADV-1</t>
  </si>
  <si>
    <t xml:space="preserve">Ceiling transitions 7/A09.33 (CE-1..CE-4) and CSR soffit drop sides 10/A09.33 (CE-5..CE-8): face heights are not dimensioned (only the 6" laps). Carried every board face drawn in 7/A09.33 (upper-room face to upper ceiling + 6", 6" lap above the lower ceiling and the 3 5/8" bottom return) per 53.3. Confirm whether the inner 6" lap and the bottom return are boarded.</t>
  </si>
  <si>
    <t xml:space="preserve">Outer faces only (upper-room face of CE-1..CE-4 + drop face of CE-5..CE-8): -65.85 SF 5/8" regular (194.22 -&gt; 128.37 SF), plus screws / mud / tape by yield.</t>
  </si>
  <si>
    <t xml:space="preserve">RFI-ADV-2</t>
  </si>
  <si>
    <t xml:space="preserve">CSR soffit blocking conflict: 10/A09.33 'PROVIDE FRTW BLOCKING FOR FUTURE' draws two FRTW pieces (3 1/2" and 5 1/2" x 1 1/2") on the soffit; 9/A12.08 CSR LINE SECTION labels '5/8" FIRE TREATED PLYWOOD BLOCKING' (carried, 12.021 LF). Which governs, or both?</t>
  </si>
  <si>
    <t xml:space="preserve">If 10/A09.33 governs: +12.02 LF FRT blocking (2 pieces x 12.021 instead of 1); if both: +24.04 LF.</t>
  </si>
  <si>
    <t xml:space="preserve">RFI-ADV-3</t>
  </si>
  <si>
    <t xml:space="preserve">A1 wall W1-1 north face (104 Waiting) is boarded full length at 11.5 ft, but the C1 display box W2-14 (A02.01 printed 10'-0" x 8", key note 7) stands against it and is boarded on its own face to deck: the A1 face inside the box is hidden (possible double board). Same item as back-check suspicion 3. Confirm whether the A1 face behind the C1 furring is boarded.</t>
  </si>
  <si>
    <t xml:space="preserve">If not boarded: -107.3 SF 5/8" regular (9.33 ft inner length by vector x 11.5) up to -115.0 SF (printed 10'-0" x 11.5); back-check estimate about -130 SF.</t>
  </si>
  <si>
    <t xml:space="preserve">RFI-ADV-4</t>
  </si>
  <si>
    <t xml:space="preserve">Office-front CONT. BOX BEAM (8/A12.01, 9/A12.01): member size not printed; carried as 1-5/8" box (C + track), headers OF-E 39.97 ft and OF-W 18.51 ft x 4 pieces (E11).</t>
  </si>
  <si>
    <t xml:space="preserve">0 LF; member size / price only (e.g. 3 5/8" or 6" box instead of 1-5/8").</t>
  </si>
  <si>
    <t xml:space="preserve">RFI-ADV-5</t>
  </si>
  <si>
    <t xml:space="preserve">GL-2 window sills (10/A09.27): BRAKE METAL SILL over 3/4" FRT PLYWOOD, the interior 5/8" gypsum stops under the sill (no gypsum return at the sill; JAMB RETURN BEYOND refers to the jambs; 11/A09.27 draws the return at the head). CONFIRMED on the drawing but NOT applied: the canon schema adds the sill edge to the jamb return whenever with_sill is true, and with_sill also drives the double sill track (E18, 2/S5.20). Tool change needed (sill edge flag). Also: A1/A3 moved head_ft (storefront wall jambs to 9'-4 1/2") and sill_ft (windows to 6'-4 1/2"), which the tool reuses for the return edges.</t>
  </si>
  <si>
    <t xml:space="preserve">Gypsum board jamb return: -24.0 SF (6 windows x 8.0 LF sill edge x 0.5) and -0.875 SF (SF-F/SF-W wall jambs measured to the HSS top instead of T/OPENING 8'-6") and -0.75 SF (window jambs from T/STUD instead of B/OPENING) = -25.63 SF; metal trim (corner + casing) -102.5 LF.</t>
  </si>
  <si>
    <t xml:space="preserve">RFI-ADV-6</t>
  </si>
  <si>
    <t xml:space="preserve">Exterior 6" CFMF gauge conflict (56.2): S1.11 LIGHT GAUGE STEEL FRAMING note 5 '600S162-54 @ 12" O.C. within 6 ft of building corners / all other exterior studs 600S162-54 @ 16" O.C.' vs 7/S5.20 METAL STUD PROPERTIES 'EXTERIOR WALLS 600S137-33'. The take-off carries the heavier 600S162-54 for the exterior 6" studs [DERIVED] (the canon already applies S1.11 for the 12" zones; same note). 6" interior studs (A5, B2, B2K) stay 600S137-33. Confirm gauge.</t>
  </si>
  <si>
    <t xml:space="preserve">0 LF. Weight: exterior 6" studs 3153.56 LF (studs_out.json, EX-1..EX-11; gauge_6in.json) x (1.929 - 1.101) = 0.828 lb/LF = -2,611 lb if 600S137-33 governs (+ pier exterior L EX-12/EX-13 2 x 5 x 14.358 = 143.6 LF x 0.828 = -119 lb). Weights: A = t x (6 + 2 flange + 2 lip - 4t) x 3.40 lb/ft/in2, t 0.0566 / 0.0346 in (SSMA design thickness), approximate; Material Summary line must read 600S162-54 for exterior CFMF.</t>
  </si>
  <si>
    <t xml:space="preserve">RFI-ADV-7</t>
  </si>
  <si>
    <t xml:space="preserve">S2.20 grid 2: one member line (between the column boxes, F to E) carries 'HSS9x5x5/8 (LLV) B.O.S. EL. 8'-7 1/2"', 'W16x26 (CANOPY)' and 'W12x19 (HI)'. The HSS extent is not dimensioned: it may span the whole F-E bay (under the solid part of EX-2 north of SF-W, about 15.0 ft), not only SF-W. The E-D bay (DU ATM) is labelled W12x19 only. Confirm HSS extent.</t>
  </si>
  <si>
    <t xml:space="preserve">If the HSS spans F-E: about 11-13 EX-2 studs split at the HSS: about -10 LF 6" stud and +30 LF track (bottom + top at the HSS, 2 x 15.0).</t>
  </si>
  <si>
    <t xml:space="preserve">RFI-ADV-8</t>
  </si>
  <si>
    <t xml:space="preserve">GL-2 window heads 11/A09.27 'METAL STUD BOX BEAM OR STEEL FRAMING AS REQUIRED': box depth and shim not dimensioned (1 1/2" shim + 3/4" FRT plywood + about 6" box drawn). Cripples are carried from T/OPENING 8'-6"; real start about 9'-2 1/4" on top of the box.</t>
  </si>
  <si>
    <t xml:space="preserve">6 windows x 6 cripples x -0.6875 = -24.8 LF 6" stud (door 123 and DU ATM similar, about -2 LF).</t>
  </si>
  <si>
    <t xml:space="preserve">RFI-ADV-9</t>
  </si>
  <si>
    <t xml:space="preserve">S1.11 LGS note 5 '6 FT OF BUILDING CORNERS' @ 12": basis of the corner zones is inconsistent between walls. RFI-EX-17 says convex corners only, but EX-4 carries 12" from the re-entrant corner F/4 (only justified by distance to the convex corner G/4, about 1.67 ft away); on the same distance logic EX-10 (4.51 ft from convex corner D/2) would carry 12" over about 3.95 ft. The RFI-EX-17 delta also counts EX-3, already all @12".</t>
  </si>
  <si>
    <t xml:space="preserve">Distance criterion: EX-10 +1 stud (+14.4 LF 6" stud); strict convex criterion: EX-4 -1 stud (-13.9 LF).</t>
  </si>
  <si>
    <t xml:space="preserve">RFI-ADV-10</t>
  </si>
  <si>
    <t xml:space="preserve">Canopy fascia box 7/A09.26: the 5/8" EXT. GRADE FRT PLYWOOD hatch is drawn on the outer face, the bottom (about 0.36 ft) and the inner face above and below the C channel (about 0.55 ft); the canon carries the outer face only (L x 1.865). Widths not dimensioned.</t>
  </si>
  <si>
    <t xml:space="preserve">+0.9 ft x 241.5 LF of fascia (EX-31..EX-38) = about +217 SF 5/8" ext. grade FRT plywood.</t>
  </si>
  <si>
    <t xml:space="preserve">RFI-ADV-11</t>
  </si>
  <si>
    <t xml:space="preserve">Pier 4 exterior east face at the G-F step (about 1'-0", the same step the canopy soffit EX-44 counts): not in any facade (S-HP covers the G front only; S-LP starts at the pier face on line F). Not dimensioned.</t>
  </si>
  <si>
    <t xml:space="preserve">+17.2 SF nailbase (1.0 x (19.167 - 1.979)) and +2.5 SF glass mat (1.0 x (0.5 + 1.979)).</t>
  </si>
  <si>
    <t xml:space="preserve">RFI-ADV-12</t>
  </si>
  <si>
    <t xml:space="preserve">VH-2 (EX-40) on grid 4: S2.20 draws a member on grid 4 (W12x19 (HI)); registered to A02.01 the flange and the EX-40 head band touch by about 0.6 pt. EX-40 carries no stops_under_beam. Confirm whether the vestibule head stops under the W12x19.</t>
  </si>
  <si>
    <t xml:space="preserve">If under the beam: EX-40 height 6.708 -&gt; 5.691: 6 x -1.017 = -6.1 LF 3-5/8" stud (W2-18 on the same grid, other scope, similar).</t>
  </si>
  <si>
    <t xml:space="preserve">RFI-ADV-13</t>
  </si>
  <si>
    <t xml:space="preserve">Canopy soffit sheathing material: 7/A09.26 SECTION DETAIL @ SIDE CANOPY labels the soffit '5/8" PORTLAND CEMENT PLASTER SYSTEM (PT-4) ON (2) LAYERS GRADE 'D' BUILDING PAPER ON 5/8" EXT. GRADE FRT PLYWOOD SHEATHING ON 3 5/8" METAL STUD FRAMING' (3/A09.26 entrance canopy same product); the canon carries it as frt_5_8_ext (canopy soffits S 276.6 + E 161.6 + N 84.8 + drive-up 1098.4 = 1621.4 SF). 4/A09.33 and 5/A09.33 (canopy linear light) label '5/8" EXTERIOR SHEATHING ON 3 5/8" CFMF @ 16" O.C. / 5/8" CEMENT PLASTER SYSTEM'. Which product at the canopy soffits?</t>
  </si>
  <si>
    <t xml:space="preserve">If exterior gypsum sheathing: -1621.4 SF 5/8" ext. grade FRT plywood / +1621.4 SF 5/8" EXTERIOR gyp sheathing (no total SF change).</t>
  </si>
  <si>
    <t xml:space="preserve">RFI-ADV-14</t>
  </si>
  <si>
    <t xml:space="preserve">Back-check suspicion: east canopy soffit joists 37 vs 41 if the run were the full east fascia 52.583 ft. Re-checked on A02.02: the east fascia chain is 5'-2 1/2" (SE corner, inside the south canopy soffit, whose area already includes the SE corner 3.41 x 4.95) + 47'-4 1/2" (east soffit run). The east soffit run is 47.375 ft -&gt; ROUNDUP(47.375/1.333)+1 = 37. Answered by the drawing; listed for traceability only.</t>
  </si>
  <si>
    <t xml:space="preserve">0 (adding the 5'-2 1/2" corner to the east run would count the SE corner joists twice: +13.6 LF 3-5/8" not justified).</t>
  </si>
  <si>
    <t xml:space="preserve">RFI-ADV-15</t>
  </si>
  <si>
    <t xml:space="preserve">Roof step 4/A02.02 gypsum faces and nailbase (added after the adversarial check): row heights are not dimensioned (row 1 top RFI-EX-22; rows 2/3 from S2.20 T/STEEL and AISC depth) and the bottom soffit width 1.291 ft is measured on the vector (1 1/2" = 1'-0").</t>
  </si>
  <si>
    <t xml:space="preserve">Per +/-0.25 ft of row 1 height: +/-12.9 SF nailbase; per +/-0.1 ft of soffit width: +/-5.2 SF 5/8" regular.</t>
  </si>
  <si>
    <t xml:space="preserve">RFI-CANON-1</t>
  </si>
  <si>
    <t xml:space="preserve">Bracing: 178.95 LF of C.R. channel crosses openings with no studs (53.4 literal). Delta if not run across openings: -178.95 LF</t>
  </si>
  <si>
    <t xml:space="preserve">-178.95 LF</t>
  </si>
  <si>
    <t xml:space="preserve">RFI-CANON-2</t>
  </si>
  <si>
    <t xml:space="preserve">Bottom track: 47.16 LF of door R.O. not deducted (E10). Delta if deducted: -47.16 LF</t>
  </si>
  <si>
    <t xml:space="preserve">-47.16 LF</t>
  </si>
  <si>
    <t xml:space="preserve">#</t>
  </si>
  <si>
    <t xml:space="preserve">Item</t>
  </si>
  <si>
    <t xml:space="preserve">Sheet + detail</t>
  </si>
  <si>
    <t xml:space="preserve">Image</t>
  </si>
  <si>
    <t xml:space="preserve">Stage 3 estimator item (W1 #17): A = door 116 R.O. 3.333 ft in openings_extra (jamb_wall W1-12, A5) and again (jamb_wall W2-10, B2) | B = RFI-b1-1: opening counted in neither type | delta: Duplicate removed (one door). Partition Takeoff LF of the opening: +3.333 LF A5 or +3.333 LF B2 (both 6" studs, 7 1/4"; framing identical, header SINGLE TRACK 7/S5.20). Taken in neither type's LF; tracks carried by openings_extra.</t>
  </si>
  <si>
    <t xml:space="preserve">see work/etapas/3_revision/resolucion.md</t>
  </si>
  <si>
    <t xml:space="preserve">/home/user/boa18a/work/agentes/R_W1/img/it8_17_18_breakroom.png</t>
  </si>
  <si>
    <t xml:space="preserve">Stage 3 estimator item (W1 #57): A = RW1-2 stops under W14x22 grid 3 (tool flag): stud 11.807 ft | B = - | delta: If taken to deck: +1.142 ft x 4 studs (4.073 ft @16" + 1) = +4.57 LF of 3-5/8" stud (RFI-RW1-1: beam axis 1089.53 pt is 6.5 pt (4.3") west of the wall axis; flange overlaps the stud ~0.5").</t>
  </si>
  <si>
    <t xml:space="preserve">/home/user/boa18a/work/agentes/R_W1/img/it57_59_fountain.png</t>
  </si>
  <si>
    <t xml:space="preserve">Stage 3 estimator item (W2 #alert 5 / alert 10 (B2K)): A = W2-11 B2K, composition derived B2 (1/A12.01) + K panel (4/A12.01), 7 5/8" | B = b2-9 B2K read as B2 + Kevlar per A1K/A5K pattern | delta: Type not in A12.01 schedule: RFI-W2-2 kept. Length resolved by image = 2.207 LF (item 22). If B2K were plain B2 without K panel: -2.207 ft x 8.0 ft UL752 panel per face side (-17.7 SF ballistic) ; @24" O.C. instead of 16": -1 stud x 15.375 ft</t>
  </si>
  <si>
    <t xml:space="preserve">/home/user/boa18a/work/agentes/R_W2/img/z_b2k.png</t>
  </si>
  <si>
    <t xml:space="preserve">Stage 3 estimator item (W2 #37/61 height (pier interior parts)): A = W2-16 / W2-17 height 15.375 ft (to deck, RFI-W2-1) | B = EX-12 / EX-13 (same piers, EXT/OTH) height 14.358 ft (B.O.D. - W12x19, E26) | delta: Same pier, two heights: if the interior 3 5/8" L also stops under the W12x19: -1.017 ft x 10 studs = -10.2 LF 3 5/8" stud; board -1.017 x (3.267 + 3.646) = -7.0 SF</t>
  </si>
  <si>
    <t xml:space="preserve">/home/user/boa18a/work/agentes/R_W2/img/ctx_vest.png</t>
  </si>
  <si>
    <t xml:space="preserve">Stage 3 estimator item (W2 #35): A = W2-6 type B 3.5 ft (PA0034 small boxed B, no leader) | B = b1-16 type A1 default 3.5 ft | delta: 0 LF; type only: B to underside of structure (12.743 ft) vs A1 to ceiling + 6" -&gt; stud/board height on 3.5 ft</t>
  </si>
  <si>
    <t xml:space="preserve">/home/user/boa18a/work/agentes/R_W2/img/z_storage117.png</t>
  </si>
  <si>
    <t xml:space="preserve">Stage 3 estimator item (INTEG #INTEG-1 (DU ATM recess width)): A = A_ACC atm_recess width 4.5 ft (surround SUR54), furring rows 2; A_EXT opening atm_recess width 2.208 ft (R.O.), furring 0 | B = - | delta: Carried 5.177 ft = sistered 2 1/2" zone drawn on 7/A08.11 (vector): 5 studs x 6.0 + 2 x 5.177 = 40.35 LF. Surround 4.5: 39.0 LF (-1.35); R.O. 2.208 without furring: 18.0 LF (-22.35). RFI-ACC-7.</t>
  </si>
  <si>
    <t xml:space="preserve">/home/user/boa18a/work/agentes/INTEG/img/a0811_7du.png</t>
  </si>
  <si>
    <t xml:space="preserve">Stage 1 inventory (49 partition tags + B2K on A02.01): numbered list + circled image of every location in 1_inventario/inventario.md - confirm the list is complete (unattended mode).</t>
  </si>
  <si>
    <t xml:space="preserve">A02.01; 2/A09.26; S2.20</t>
  </si>
  <si>
    <t xml:space="preserve">work/etapas/1_inventario/recortes/OVERVIEW_A02.01_p24.png</t>
  </si>
  <si>
    <t xml:space="preserve">Wall partition rule used: particion.py default mode (straight segment, PT2/PT3). Another session asked for the 'run' mode; not applied (see review note 02).</t>
  </si>
  <si>
    <t xml:space="preserve">Storefront heads SF-W, SF-F, SF-100 carried as steel by others (S2.20 HSS9x5x5/8 LLV; E16); 6" CFMF to deck above them is in the EXT walls (2/A09.26).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</si>
  <si>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</si>
  <si>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</si>
  <si>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</si>
  <si>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</si>
  <si>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</si>
  <si>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</si>
  <si>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Quantified: family '3-5/8" stud (all gauges)' in Material Summary; sheets A00.00, A02.01, A02.02, A03.01, A08.11, A08.21, A09.21, A09.22</t>
  </si>
  <si>
    <t xml:space="preserve">ALC-02</t>
  </si>
  <si>
    <t xml:space="preserve">Exterior wall framing (CFMF)</t>
  </si>
  <si>
    <t xml:space="preserve">Quantified: family '6" stud (all gauges)' in Material Summary; sheets A08.21, A09.21, A09.22, A09.23, A09.25, A09.33, E04.01, S1.10</t>
  </si>
  <si>
    <t xml:space="preserve">ALC-03</t>
  </si>
  <si>
    <t xml:space="preserve">Parapet framing</t>
  </si>
  <si>
    <t xml:space="preserve">Quantified: family '6" parapet stud' in Material Summary; sheets A02.02, A09.01, A09.02, A09.21, A09.22, A09.23, A09.26, S5.10</t>
  </si>
  <si>
    <t xml:space="preserve">ALC-04</t>
  </si>
  <si>
    <t xml:space="preserve">Top / deflection and bottom track</t>
  </si>
  <si>
    <t xml:space="preserve">Quantified: family 'bottom track (all)' in Material Summary; sheets A12.01, M00.03, S1.11, S5.10, S5.20</t>
  </si>
  <si>
    <t xml:space="preserve">ALC-05</t>
  </si>
  <si>
    <t xml:space="preserve">Headers, sills and jambs at openings</t>
  </si>
  <si>
    <t xml:space="preserve">Quantified: family 'header / box beam' in Material Summary; sheets A00.30, A08.21, A09.25, A09.26, A09.27, A09.30, A12.01, A12.02</t>
  </si>
  <si>
    <t xml:space="preserve">ALC-06</t>
  </si>
  <si>
    <t xml:space="preserve">Bracing / bridging</t>
  </si>
  <si>
    <t xml:space="preserve">Quantified: family 'bracing C.R. channel' in Material Summary; sheets A09.33, S1.10, S1.11, S5.10, S5.20</t>
  </si>
  <si>
    <t xml:space="preserve">ALC-07</t>
  </si>
  <si>
    <t xml:space="preserve">Gypsum board on walls (layers per type)</t>
  </si>
  <si>
    <t xml:space="preserve">Quantified: family '5/8" gyp board regular (walls + ceilings)' in Material Summary; sheets A00.00, A02.02, A08.01, A08.11, A08.21, A09.25, A09.26, A09.27</t>
  </si>
  <si>
    <t xml:space="preserve">ALC-08</t>
  </si>
  <si>
    <t xml:space="preserve">Moisture / abuse / special board at wet zones</t>
  </si>
  <si>
    <t xml:space="preserve">Quantified: family '5/8" gyp MOISTURE RESISTANT' in Material Summary; sheets A08.01</t>
  </si>
  <si>
    <t xml:space="preserve">ALC-09</t>
  </si>
  <si>
    <t xml:space="preserve">Exterior gypsum / glass mat sheathing</t>
  </si>
  <si>
    <t xml:space="preserve">Quantified: family '5/8" glass mat sheathing' in Material Summary; sheets A09.21, A09.22, A09.23, A09.26, A09.27, A09.33</t>
  </si>
  <si>
    <t xml:space="preserve">ALC-10</t>
  </si>
  <si>
    <t xml:space="preserve">FRT plywood sheathing / substrate</t>
  </si>
  <si>
    <t xml:space="preserve">Quantified: family 'FRT plywood (SF)' in Material Summary; sheets A00.00, A02.01, A02.02, A03.01, A08.11, A08.21, A09.21, A09.22</t>
  </si>
  <si>
    <t xml:space="preserve">ALC-11</t>
  </si>
  <si>
    <t xml:space="preserve">Gypsum board ceilings</t>
  </si>
  <si>
    <t xml:space="preserve">Quantified: family '5/8" gyp board regular (walls + ceilings)' in Material Summary; sheets A04.01</t>
  </si>
  <si>
    <t xml:space="preserve">ALC-12</t>
  </si>
  <si>
    <t xml:space="preserve">Ceiling suspension (furring / carrying channel / hanger wire / ceiling track)</t>
  </si>
  <si>
    <t xml:space="preserve">Quantified: family 'furring channel' in Material Summary; sheets A04.01, A09.33, M00.01, M00.02, P00.01</t>
  </si>
  <si>
    <t xml:space="preserve">ALC-13</t>
  </si>
  <si>
    <t xml:space="preserve">Soffits and bulkheads (framing + board)</t>
  </si>
  <si>
    <t xml:space="preserve">Quantified: family 'ceiling / soffit track' in Material Summary; sheets A04.01, A05.01, A09.01, A09.02, A09.27, A09.33, A12.01, A12.08</t>
  </si>
  <si>
    <t xml:space="preserve">ALC-14</t>
  </si>
  <si>
    <t xml:space="preserve">Canopy / marquee framing and sheathing</t>
  </si>
  <si>
    <t xml:space="preserve">Quantified: family 'FRT plywood (SF)' in Material Summary; sheets A00.60, A02.02, A09.01, A09.02, A09.21, A09.22, A09.23, A09.25</t>
  </si>
  <si>
    <t xml:space="preserve">ALC-15</t>
  </si>
  <si>
    <t xml:space="preserve">Column furring / wraps</t>
  </si>
  <si>
    <t xml:space="preserve">Quantified: family '6" stud (all gauges)' in Material Summary; sheets A09.25 (5/A09.25 canopy column wraps CANOPY-COL)</t>
  </si>
  <si>
    <t xml:space="preserve">ALC-16</t>
  </si>
  <si>
    <t xml:space="preserve">Blocking (FRT wood / metal) for millwork and accessories</t>
  </si>
  <si>
    <t xml:space="preserve">Quantified: family 'FRT blocking' in Material Summary; sheets A00.00, A00.30, A02.01, A02.02, A03.01, A04.01, A08.01, A08.21</t>
  </si>
  <si>
    <t xml:space="preserve">ALC-17</t>
  </si>
  <si>
    <t xml:space="preserve">Framed openings (MEP, access panels, diffusers)</t>
  </si>
  <si>
    <t xml:space="preserve">Quantified: family 'framed openings MEP' in Material Summary; sheets A04.01, M00.01, P00.01</t>
  </si>
  <si>
    <t xml:space="preserve">ALC-18</t>
  </si>
  <si>
    <t xml:space="preserve">Trim: corner bead, casing bead, control joints, reveals</t>
  </si>
  <si>
    <t xml:space="preserve">Quantified: family 'metal trim (corner bead, casing, shadow molding)' in Material Summary; sheets A00.00, A08.21, A09.01, A09.02, A09.22, A09.26, A09.31, A09.33</t>
  </si>
  <si>
    <t xml:space="preserve">ALC-19</t>
  </si>
  <si>
    <t xml:space="preserve">Acoustical sealant / sound attenuation</t>
  </si>
  <si>
    <t xml:space="preserve">Quantified: family 'acoustical sealant' in Material Summary; sheets A12.01</t>
  </si>
  <si>
    <t xml:space="preserve">ALC-20</t>
  </si>
  <si>
    <t xml:space="preserve">FRP / cement board / tile backer</t>
  </si>
  <si>
    <t xml:space="preserve">Quantified: family 'FRP' in Material Summary; sheets A05.01, A08.01, A09.26, A09.27</t>
  </si>
  <si>
    <t xml:space="preserve">ALC-21</t>
  </si>
  <si>
    <t xml:space="preserve">Shaft walls / area separation walls</t>
  </si>
  <si>
    <t xml:space="preserve">NOT APPLICABLE</t>
  </si>
  <si>
    <t xml:space="preserve">NOT APPLICABLE: no shaft / area separation wall in the bid set (alcances scan 0 hits; A12.01 partition schedule has no shaft type)</t>
  </si>
  <si>
    <t xml:space="preserve">ALC-22</t>
  </si>
  <si>
    <t xml:space="preserve">Rated assemblies (UL designs) and their board type</t>
  </si>
  <si>
    <t xml:space="preserve">NOT APPLICABLE: A12.01 partition schedule FIRE RATING and U.L. NUMBER columns are '--' for every type; A02.01 note 6 / E02.02 note 29 fire-rated plywood backboards are carried in 3/4" FRT plywood; E04.02 / M00.01 / M00.03 / E00.01 / A05.01 are generic firestop / paint notes (penetrations by MEP trades)</t>
  </si>
  <si>
    <t xml:space="preserve">ALC-23</t>
  </si>
  <si>
    <t xml:space="preserve">Special panels (ballistic, lead-lined, abuse)</t>
  </si>
  <si>
    <t xml:space="preserve">Quantified: family 'ballistic panel' in Material Summary; sheets A12.01</t>
  </si>
  <si>
    <t xml:space="preserve">ALC-24</t>
  </si>
  <si>
    <t xml:space="preserve">Finish level (Level 4 / Level 5)</t>
  </si>
  <si>
    <t xml:space="preserve">Quantified: family 'Level 5 finish' in Material Summary; sheets A00.40, A05.01</t>
  </si>
  <si>
    <t xml:space="preserve">ALC-X25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</si>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</sst>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s">
        <v>20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1.875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27.411</v>
      </c>
      <c r="D6" s="0" t="n">
        <v>14.358</v>
      </c>
      <c r="E6" s="0" t="n">
        <v>3</v>
      </c>
      <c r="F6" s="0" t="s">
        <v>63</v>
      </c>
      <c r="G6" s="0" t="n">
        <v>16</v>
      </c>
      <c r="H6" s="0" t="n">
        <v>352.94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3.86</v>
      </c>
      <c r="D7" s="0" t="n">
        <v>14.358</v>
      </c>
      <c r="E7" s="0" t="n">
        <v>1</v>
      </c>
      <c r="F7" s="0" t="s">
        <v>63</v>
      </c>
      <c r="G7" s="0" t="n">
        <v>16</v>
      </c>
      <c r="H7" s="0" t="n">
        <v>59.35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38.888</v>
      </c>
      <c r="D8" s="0" t="n">
        <v>14.041</v>
      </c>
      <c r="E8" s="0" t="n">
        <v>1</v>
      </c>
      <c r="F8" s="0" t="s">
        <v>63</v>
      </c>
      <c r="G8" s="0" t="n">
        <v>16</v>
      </c>
      <c r="H8" s="0" t="n">
        <v>374.78</v>
      </c>
      <c r="I8" s="0" t="s">
        <v>72</v>
      </c>
      <c r="J8" s="0" t="s">
        <v>73</v>
      </c>
      <c r="K8" s="0" t="s">
        <v>66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n">
        <v>75.334</v>
      </c>
      <c r="D9" s="0" t="n">
        <v>13.551</v>
      </c>
      <c r="E9" s="0" t="n">
        <v>5</v>
      </c>
      <c r="F9" s="0" t="s">
        <v>63</v>
      </c>
      <c r="G9" s="0" t="n">
        <v>16</v>
      </c>
      <c r="H9" s="0" t="n">
        <v>1030.04</v>
      </c>
      <c r="I9" s="0" t="s">
        <v>76</v>
      </c>
      <c r="J9" s="0" t="s">
        <v>77</v>
      </c>
      <c r="K9" s="0" t="s">
        <v>66</v>
      </c>
    </row>
    <row r="10" customFormat="false" ht="15" hidden="false" customHeight="false" outlineLevel="0" collapsed="false">
      <c r="A10" s="0" t="s">
        <v>78</v>
      </c>
      <c r="B10" s="0" t="s">
        <v>79</v>
      </c>
      <c r="C10" s="0" t="n">
        <v>51.732</v>
      </c>
      <c r="D10" s="0" t="n">
        <v>11.17</v>
      </c>
      <c r="E10" s="0" t="n">
        <v>4</v>
      </c>
      <c r="F10" s="0" t="s">
        <v>63</v>
      </c>
      <c r="G10" s="0" t="n">
        <v>16</v>
      </c>
      <c r="H10" s="0" t="n">
        <v>621.03</v>
      </c>
      <c r="I10" s="0" t="s">
        <v>80</v>
      </c>
      <c r="J10" s="0" t="s">
        <v>81</v>
      </c>
      <c r="K10" s="0" t="s">
        <v>66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n">
        <v>47.417</v>
      </c>
      <c r="D11" s="0" t="n">
        <v>13.075</v>
      </c>
      <c r="E11" s="0" t="n">
        <v>3</v>
      </c>
      <c r="F11" s="0" t="s">
        <v>63</v>
      </c>
      <c r="G11" s="0" t="n">
        <v>16</v>
      </c>
      <c r="H11" s="0" t="n">
        <v>632.81</v>
      </c>
      <c r="I11" s="0" t="s">
        <v>84</v>
      </c>
      <c r="J11" s="0" t="s">
        <v>85</v>
      </c>
      <c r="K11" s="0" t="s">
        <v>66</v>
      </c>
    </row>
    <row r="12" customFormat="false" ht="15" hidden="false" customHeight="false" outlineLevel="0" collapsed="false">
      <c r="A12" s="5" t="s">
        <v>86</v>
      </c>
    </row>
    <row r="13" customFormat="false" ht="15" hidden="false" customHeight="false" outlineLevel="0" collapsed="false">
      <c r="A13" s="0" t="s">
        <v>87</v>
      </c>
      <c r="B13" s="0" t="s">
        <v>88</v>
      </c>
      <c r="C13" s="0" t="n">
        <v>7.25</v>
      </c>
      <c r="D13" s="0" t="n">
        <v>14.358</v>
      </c>
      <c r="E13" s="0" t="n">
        <v>2</v>
      </c>
      <c r="F13" s="0" t="s">
        <v>89</v>
      </c>
      <c r="G13" s="0" t="n">
        <v>16</v>
      </c>
      <c r="H13" s="0" t="n">
        <v>50.23</v>
      </c>
      <c r="I13" s="0" t="s">
        <v>90</v>
      </c>
      <c r="J13" s="0" t="s">
        <v>91</v>
      </c>
      <c r="K13" s="0" t="s">
        <v>66</v>
      </c>
    </row>
    <row r="14" customFormat="false" ht="15" hidden="false" customHeight="false" outlineLevel="0" collapsed="false">
      <c r="A14" s="0" t="s">
        <v>92</v>
      </c>
      <c r="B14" s="0" t="s">
        <v>93</v>
      </c>
      <c r="C14" s="0" t="n">
        <v>7.208</v>
      </c>
      <c r="D14" s="0" t="n">
        <v>14.358</v>
      </c>
      <c r="E14" s="0" t="n">
        <v>2</v>
      </c>
      <c r="F14" s="0" t="s">
        <v>89</v>
      </c>
      <c r="G14" s="0" t="n">
        <v>16</v>
      </c>
      <c r="H14" s="0" t="n">
        <v>45.62</v>
      </c>
      <c r="I14" s="0" t="s">
        <v>94</v>
      </c>
      <c r="J14" s="0" t="s">
        <v>95</v>
      </c>
      <c r="K14" s="0" t="s">
        <v>66</v>
      </c>
    </row>
    <row r="15" customFormat="false" ht="15" hidden="false" customHeight="false" outlineLevel="0" collapsed="false">
      <c r="A15" s="0" t="s">
        <v>96</v>
      </c>
      <c r="B15" s="0" t="s">
        <v>97</v>
      </c>
      <c r="C15" s="0" t="n">
        <v>9.973</v>
      </c>
      <c r="D15" s="0" t="n">
        <v>12.923</v>
      </c>
      <c r="E15" s="0" t="n">
        <v>1</v>
      </c>
      <c r="F15" s="0" t="s">
        <v>98</v>
      </c>
      <c r="G15" s="0" t="n">
        <v>16</v>
      </c>
      <c r="H15" s="0" t="n">
        <v>128.88</v>
      </c>
      <c r="I15" s="0" t="s">
        <v>99</v>
      </c>
      <c r="J15" s="0" t="s">
        <v>100</v>
      </c>
      <c r="K15" s="0" t="s">
        <v>66</v>
      </c>
    </row>
    <row r="16" customFormat="false" ht="15" hidden="false" customHeight="false" outlineLevel="0" collapsed="false">
      <c r="A16" s="0" t="s">
        <v>101</v>
      </c>
      <c r="B16" s="0" t="s">
        <v>102</v>
      </c>
      <c r="C16" s="0" t="n">
        <v>9.973</v>
      </c>
      <c r="D16" s="0" t="n">
        <v>12.892</v>
      </c>
      <c r="E16" s="0" t="n">
        <v>1</v>
      </c>
      <c r="F16" s="0" t="s">
        <v>98</v>
      </c>
      <c r="G16" s="0" t="n">
        <v>16</v>
      </c>
      <c r="H16" s="0" t="n">
        <v>128.57</v>
      </c>
      <c r="I16" s="0" t="s">
        <v>103</v>
      </c>
      <c r="J16" s="0" t="s">
        <v>100</v>
      </c>
      <c r="K16" s="0" t="s">
        <v>66</v>
      </c>
    </row>
    <row r="17" customFormat="false" ht="15" hidden="false" customHeight="false" outlineLevel="0" collapsed="false">
      <c r="A17" s="0" t="s">
        <v>104</v>
      </c>
      <c r="B17" s="0" t="s">
        <v>105</v>
      </c>
      <c r="C17" s="0" t="n">
        <v>11.333</v>
      </c>
      <c r="D17" s="0" t="n">
        <v>15.375</v>
      </c>
      <c r="E17" s="0" t="n">
        <v>1</v>
      </c>
      <c r="F17" s="0" t="s">
        <v>98</v>
      </c>
      <c r="G17" s="0" t="n">
        <v>16</v>
      </c>
      <c r="H17" s="0" t="n">
        <v>174.24</v>
      </c>
      <c r="I17" s="0" t="s">
        <v>106</v>
      </c>
      <c r="J17" s="0" t="s">
        <v>100</v>
      </c>
      <c r="K17" s="0" t="s">
        <v>107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n">
        <v>2.98</v>
      </c>
      <c r="D18" s="0" t="n">
        <v>12.924</v>
      </c>
      <c r="E18" s="0" t="n">
        <v>1</v>
      </c>
      <c r="F18" s="0" t="s">
        <v>98</v>
      </c>
      <c r="G18" s="0" t="n">
        <v>16</v>
      </c>
      <c r="H18" s="0" t="n">
        <v>38.51</v>
      </c>
      <c r="I18" s="0" t="s">
        <v>110</v>
      </c>
      <c r="J18" s="0" t="s">
        <v>100</v>
      </c>
      <c r="K18" s="0" t="s">
        <v>66</v>
      </c>
    </row>
    <row r="19" customFormat="false" ht="15" hidden="false" customHeight="false" outlineLevel="0" collapsed="false">
      <c r="A19" s="0" t="s">
        <v>111</v>
      </c>
      <c r="B19" s="0" t="s">
        <v>112</v>
      </c>
      <c r="C19" s="0" t="n">
        <v>4</v>
      </c>
      <c r="D19" s="0" t="n">
        <v>15.375</v>
      </c>
      <c r="E19" s="0" t="n">
        <v>1</v>
      </c>
      <c r="F19" s="0" t="s">
        <v>98</v>
      </c>
      <c r="G19" s="0" t="n">
        <v>16</v>
      </c>
      <c r="H19" s="0" t="n">
        <v>61.5</v>
      </c>
      <c r="I19" s="0" t="s">
        <v>113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114</v>
      </c>
      <c r="B20" s="0" t="s">
        <v>115</v>
      </c>
      <c r="C20" s="0" t="n">
        <v>2.94</v>
      </c>
      <c r="D20" s="0" t="n">
        <v>15.375</v>
      </c>
      <c r="E20" s="0" t="n">
        <v>1</v>
      </c>
      <c r="F20" s="0" t="s">
        <v>98</v>
      </c>
      <c r="G20" s="0" t="n">
        <v>16</v>
      </c>
      <c r="H20" s="0" t="n">
        <v>45.2</v>
      </c>
      <c r="I20" s="0" t="s">
        <v>116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5" t="s">
        <v>117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5.667</v>
      </c>
      <c r="D22" s="0" t="n">
        <v>10.604</v>
      </c>
      <c r="E22" s="0" t="n">
        <v>0</v>
      </c>
      <c r="F22" s="0" t="s">
        <v>98</v>
      </c>
      <c r="G22" s="0" t="n">
        <v>16</v>
      </c>
      <c r="H22" s="0" t="n">
        <v>0</v>
      </c>
      <c r="I22" s="0" t="s">
        <v>120</v>
      </c>
      <c r="J22" s="0" t="s">
        <v>121</v>
      </c>
      <c r="K22" s="0" t="s">
        <v>66</v>
      </c>
    </row>
    <row r="23" customFormat="false" ht="15" hidden="false" customHeight="false" outlineLevel="0" collapsed="false">
      <c r="A23" s="0" t="s">
        <v>122</v>
      </c>
      <c r="B23" s="0" t="s">
        <v>123</v>
      </c>
      <c r="C23" s="0" t="n">
        <v>5.667</v>
      </c>
      <c r="D23" s="0" t="n">
        <v>10.604</v>
      </c>
      <c r="E23" s="0" t="n">
        <v>0</v>
      </c>
      <c r="F23" s="0" t="s">
        <v>98</v>
      </c>
      <c r="G23" s="0" t="n">
        <v>16</v>
      </c>
      <c r="H23" s="0" t="n">
        <v>0</v>
      </c>
      <c r="I23" s="0" t="s">
        <v>124</v>
      </c>
      <c r="J23" s="0" t="s">
        <v>121</v>
      </c>
      <c r="K23" s="0" t="s">
        <v>66</v>
      </c>
    </row>
    <row r="24" customFormat="false" ht="15" hidden="false" customHeight="false" outlineLevel="0" collapsed="false">
      <c r="A24" s="0" t="s">
        <v>125</v>
      </c>
      <c r="B24" s="0" t="s">
        <v>126</v>
      </c>
      <c r="C24" s="0" t="n">
        <v>5.667</v>
      </c>
      <c r="D24" s="0" t="n">
        <v>10.604</v>
      </c>
      <c r="E24" s="0" t="n">
        <v>0</v>
      </c>
      <c r="F24" s="0" t="s">
        <v>98</v>
      </c>
      <c r="G24" s="0" t="n">
        <v>16</v>
      </c>
      <c r="H24" s="0" t="n">
        <v>0</v>
      </c>
      <c r="I24" s="0" t="s">
        <v>127</v>
      </c>
      <c r="J24" s="0" t="s">
        <v>121</v>
      </c>
      <c r="K24" s="0" t="s">
        <v>66</v>
      </c>
    </row>
    <row r="25" customFormat="false" ht="15" hidden="false" customHeight="false" outlineLevel="0" collapsed="false">
      <c r="A25" s="0" t="s">
        <v>128</v>
      </c>
      <c r="B25" s="0" t="s">
        <v>129</v>
      </c>
      <c r="C25" s="0" t="n">
        <v>5.667</v>
      </c>
      <c r="D25" s="0" t="n">
        <v>10.604</v>
      </c>
      <c r="E25" s="0" t="n">
        <v>0</v>
      </c>
      <c r="F25" s="0" t="s">
        <v>98</v>
      </c>
      <c r="G25" s="0" t="n">
        <v>16</v>
      </c>
      <c r="H25" s="0" t="n">
        <v>0</v>
      </c>
      <c r="I25" s="0" t="s">
        <v>130</v>
      </c>
      <c r="J25" s="0" t="s">
        <v>121</v>
      </c>
      <c r="K25" s="0" t="s">
        <v>66</v>
      </c>
    </row>
    <row r="26" customFormat="false" ht="15" hidden="false" customHeight="false" outlineLevel="0" collapsed="false">
      <c r="A26" s="5" t="s">
        <v>131</v>
      </c>
    </row>
    <row r="27" customFormat="false" ht="15" hidden="false" customHeight="false" outlineLevel="0" collapsed="false">
      <c r="A27" s="0" t="s">
        <v>132</v>
      </c>
      <c r="B27" s="0" t="s">
        <v>133</v>
      </c>
      <c r="C27" s="0" t="n">
        <v>16.354</v>
      </c>
      <c r="D27" s="0" t="n">
        <v>4.292</v>
      </c>
      <c r="E27" s="0" t="n">
        <v>0</v>
      </c>
      <c r="F27" s="0" t="s">
        <v>134</v>
      </c>
      <c r="G27" s="0" t="n">
        <v>16</v>
      </c>
      <c r="H27" s="0" t="n">
        <v>0</v>
      </c>
      <c r="I27" s="0" t="s">
        <v>135</v>
      </c>
      <c r="J27" s="0" t="s">
        <v>136</v>
      </c>
      <c r="K27" s="0" t="s">
        <v>66</v>
      </c>
    </row>
    <row r="28" customFormat="false" ht="15" hidden="false" customHeight="false" outlineLevel="0" collapsed="false">
      <c r="A28" s="0" t="s">
        <v>137</v>
      </c>
      <c r="B28" s="0" t="s">
        <v>138</v>
      </c>
      <c r="C28" s="0" t="n">
        <v>3.927</v>
      </c>
      <c r="D28" s="0" t="n">
        <v>4.292</v>
      </c>
      <c r="E28" s="0" t="n">
        <v>0</v>
      </c>
      <c r="F28" s="0" t="s">
        <v>134</v>
      </c>
      <c r="G28" s="0" t="n">
        <v>16</v>
      </c>
      <c r="H28" s="0" t="n">
        <v>0</v>
      </c>
      <c r="I28" s="0" t="s">
        <v>139</v>
      </c>
      <c r="J28" s="0" t="s">
        <v>136</v>
      </c>
      <c r="K28" s="0" t="s">
        <v>66</v>
      </c>
    </row>
    <row r="29" customFormat="false" ht="15" hidden="false" customHeight="false" outlineLevel="0" collapsed="false">
      <c r="A29" s="0" t="s">
        <v>140</v>
      </c>
      <c r="B29" s="0" t="s">
        <v>141</v>
      </c>
      <c r="C29" s="0" t="n">
        <v>29</v>
      </c>
      <c r="D29" s="0" t="n">
        <v>4.292</v>
      </c>
      <c r="E29" s="0" t="n">
        <v>0</v>
      </c>
      <c r="F29" s="0" t="s">
        <v>134</v>
      </c>
      <c r="G29" s="0" t="n">
        <v>16</v>
      </c>
      <c r="H29" s="0" t="n">
        <v>0</v>
      </c>
      <c r="I29" s="0" t="s">
        <v>142</v>
      </c>
      <c r="J29" s="0" t="s">
        <v>136</v>
      </c>
      <c r="K29" s="0" t="s">
        <v>66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n">
        <v>3.875</v>
      </c>
      <c r="D30" s="0" t="n">
        <v>4.292</v>
      </c>
      <c r="E30" s="0" t="n">
        <v>0</v>
      </c>
      <c r="F30" s="0" t="s">
        <v>134</v>
      </c>
      <c r="G30" s="0" t="n">
        <v>16</v>
      </c>
      <c r="H30" s="0" t="n">
        <v>0</v>
      </c>
      <c r="I30" s="0" t="s">
        <v>145</v>
      </c>
      <c r="J30" s="0" t="s">
        <v>136</v>
      </c>
      <c r="K30" s="0" t="s">
        <v>66</v>
      </c>
    </row>
    <row r="31" customFormat="false" ht="15" hidden="false" customHeight="false" outlineLevel="0" collapsed="false">
      <c r="A31" s="0" t="s">
        <v>146</v>
      </c>
      <c r="B31" s="0" t="s">
        <v>147</v>
      </c>
      <c r="C31" s="0" t="n">
        <v>39.604</v>
      </c>
      <c r="D31" s="0" t="n">
        <v>2.042</v>
      </c>
      <c r="E31" s="0" t="n">
        <v>0</v>
      </c>
      <c r="F31" s="0" t="s">
        <v>134</v>
      </c>
      <c r="G31" s="0" t="n">
        <v>16</v>
      </c>
      <c r="H31" s="0" t="n">
        <v>0</v>
      </c>
      <c r="I31" s="0" t="s">
        <v>148</v>
      </c>
      <c r="J31" s="0" t="s">
        <v>136</v>
      </c>
      <c r="K31" s="0" t="s">
        <v>66</v>
      </c>
    </row>
    <row r="32" customFormat="false" ht="15" hidden="false" customHeight="false" outlineLevel="0" collapsed="false">
      <c r="A32" s="0" t="s">
        <v>149</v>
      </c>
      <c r="B32" s="0" t="s">
        <v>150</v>
      </c>
      <c r="C32" s="0" t="n">
        <v>75.938</v>
      </c>
      <c r="D32" s="0" t="n">
        <v>2.988</v>
      </c>
      <c r="E32" s="0" t="n">
        <v>0</v>
      </c>
      <c r="F32" s="0" t="s">
        <v>134</v>
      </c>
      <c r="G32" s="0" t="n">
        <v>16</v>
      </c>
      <c r="H32" s="0" t="n">
        <v>0</v>
      </c>
      <c r="I32" s="0" t="s">
        <v>151</v>
      </c>
      <c r="J32" s="0" t="s">
        <v>136</v>
      </c>
      <c r="K32" s="0" t="s">
        <v>66</v>
      </c>
    </row>
    <row r="33" customFormat="false" ht="15" hidden="false" customHeight="false" outlineLevel="0" collapsed="false">
      <c r="A33" s="0" t="s">
        <v>152</v>
      </c>
      <c r="B33" s="0" t="s">
        <v>153</v>
      </c>
      <c r="C33" s="0" t="n">
        <v>52.333</v>
      </c>
      <c r="D33" s="0" t="n">
        <v>4.886</v>
      </c>
      <c r="E33" s="0" t="n">
        <v>0</v>
      </c>
      <c r="F33" s="0" t="s">
        <v>134</v>
      </c>
      <c r="G33" s="0" t="n">
        <v>16</v>
      </c>
      <c r="H33" s="0" t="n">
        <v>0</v>
      </c>
      <c r="I33" s="0" t="s">
        <v>154</v>
      </c>
      <c r="J33" s="0" t="s">
        <v>136</v>
      </c>
      <c r="K33" s="0" t="s">
        <v>66</v>
      </c>
    </row>
    <row r="34" customFormat="false" ht="15" hidden="false" customHeight="false" outlineLevel="0" collapsed="false">
      <c r="A34" s="0" t="s">
        <v>155</v>
      </c>
      <c r="B34" s="0" t="s">
        <v>156</v>
      </c>
      <c r="C34" s="0" t="n">
        <v>47.927</v>
      </c>
      <c r="D34" s="0" t="n">
        <v>3.54</v>
      </c>
      <c r="E34" s="0" t="n">
        <v>0</v>
      </c>
      <c r="F34" s="0" t="s">
        <v>134</v>
      </c>
      <c r="G34" s="0" t="n">
        <v>16</v>
      </c>
      <c r="H34" s="0" t="n">
        <v>0</v>
      </c>
      <c r="I34" s="0" t="s">
        <v>157</v>
      </c>
      <c r="J34" s="0" t="s">
        <v>136</v>
      </c>
      <c r="K34" s="0" t="s">
        <v>66</v>
      </c>
    </row>
    <row r="35" customFormat="false" ht="15" hidden="false" customHeight="false" outlineLevel="0" collapsed="false">
      <c r="A35" s="5" t="s">
        <v>158</v>
      </c>
    </row>
    <row r="36" customFormat="false" ht="15" hidden="false" customHeight="false" outlineLevel="0" collapsed="false">
      <c r="A36" s="0" t="s">
        <v>159</v>
      </c>
      <c r="B36" s="0" t="s">
        <v>160</v>
      </c>
      <c r="C36" s="0" t="n">
        <v>17.021</v>
      </c>
      <c r="D36" s="0" t="n">
        <v>15.375</v>
      </c>
      <c r="E36" s="0" t="n">
        <v>3</v>
      </c>
      <c r="F36" s="0" t="s">
        <v>98</v>
      </c>
      <c r="G36" s="0" t="n">
        <v>16</v>
      </c>
      <c r="H36" s="0" t="n">
        <v>343.52</v>
      </c>
      <c r="I36" s="0" t="s">
        <v>161</v>
      </c>
      <c r="J36" s="0" t="s">
        <v>162</v>
      </c>
      <c r="K36" s="0" t="s">
        <v>66</v>
      </c>
    </row>
    <row r="37" customFormat="false" ht="15" hidden="false" customHeight="false" outlineLevel="0" collapsed="false">
      <c r="A37" s="0" t="s">
        <v>163</v>
      </c>
      <c r="B37" s="0" t="s">
        <v>164</v>
      </c>
      <c r="C37" s="0" t="n">
        <v>3.531</v>
      </c>
      <c r="D37" s="0" t="n">
        <v>15.375</v>
      </c>
      <c r="E37" s="0" t="n">
        <v>2</v>
      </c>
      <c r="F37" s="0" t="s">
        <v>98</v>
      </c>
      <c r="G37" s="0" t="n">
        <v>16</v>
      </c>
      <c r="H37" s="0" t="n">
        <v>63.56</v>
      </c>
      <c r="I37" s="0" t="s">
        <v>165</v>
      </c>
      <c r="J37" s="0" t="s">
        <v>162</v>
      </c>
      <c r="K37" s="0" t="s">
        <v>66</v>
      </c>
    </row>
    <row r="38" customFormat="false" ht="15" hidden="false" customHeight="false" outlineLevel="0" collapsed="false">
      <c r="A38" s="0" t="s">
        <v>166</v>
      </c>
      <c r="B38" s="0" t="s">
        <v>167</v>
      </c>
      <c r="C38" s="0" t="n">
        <v>2.022</v>
      </c>
      <c r="D38" s="0" t="n">
        <v>15.375</v>
      </c>
      <c r="E38" s="0" t="n">
        <v>2</v>
      </c>
      <c r="F38" s="0" t="s">
        <v>98</v>
      </c>
      <c r="G38" s="0" t="n">
        <v>16</v>
      </c>
      <c r="H38" s="0" t="n">
        <v>36.4</v>
      </c>
      <c r="I38" s="0" t="s">
        <v>168</v>
      </c>
      <c r="J38" s="0" t="s">
        <v>162</v>
      </c>
      <c r="K38" s="0" t="s">
        <v>66</v>
      </c>
    </row>
    <row r="39" customFormat="false" ht="15" hidden="false" customHeight="false" outlineLevel="0" collapsed="false">
      <c r="A39" s="0" t="s">
        <v>169</v>
      </c>
      <c r="B39" s="0" t="s">
        <v>170</v>
      </c>
      <c r="C39" s="0" t="n">
        <v>5.587</v>
      </c>
      <c r="D39" s="0" t="n">
        <v>15.375</v>
      </c>
      <c r="E39" s="0" t="n">
        <v>3</v>
      </c>
      <c r="F39" s="0" t="s">
        <v>98</v>
      </c>
      <c r="G39" s="0" t="n">
        <v>16</v>
      </c>
      <c r="H39" s="0" t="n">
        <v>110.28</v>
      </c>
      <c r="I39" s="0" t="s">
        <v>171</v>
      </c>
      <c r="J39" s="0" t="s">
        <v>162</v>
      </c>
      <c r="K39" s="0" t="s">
        <v>66</v>
      </c>
    </row>
    <row r="40" customFormat="false" ht="15" hidden="false" customHeight="false" outlineLevel="0" collapsed="false">
      <c r="A40" s="0" t="s">
        <v>172</v>
      </c>
      <c r="B40" s="0" t="s">
        <v>173</v>
      </c>
      <c r="C40" s="0" t="n">
        <v>15.233</v>
      </c>
      <c r="D40" s="0" t="n">
        <v>12.971</v>
      </c>
      <c r="E40" s="0" t="n">
        <v>2</v>
      </c>
      <c r="F40" s="0" t="s">
        <v>98</v>
      </c>
      <c r="G40" s="0" t="n">
        <v>16</v>
      </c>
      <c r="H40" s="0" t="n">
        <v>274.2</v>
      </c>
      <c r="I40" s="0" t="s">
        <v>174</v>
      </c>
      <c r="J40" s="0" t="s">
        <v>162</v>
      </c>
      <c r="K40" s="0" t="s">
        <v>66</v>
      </c>
    </row>
    <row r="41" customFormat="false" ht="15" hidden="false" customHeight="false" outlineLevel="0" collapsed="false">
      <c r="A41" s="0" t="s">
        <v>175</v>
      </c>
      <c r="B41" s="0" t="s">
        <v>176</v>
      </c>
      <c r="C41" s="0" t="n">
        <v>5.094</v>
      </c>
      <c r="D41" s="0" t="n">
        <v>12.927</v>
      </c>
      <c r="E41" s="0" t="n">
        <v>2</v>
      </c>
      <c r="F41" s="0" t="s">
        <v>98</v>
      </c>
      <c r="G41" s="0" t="n">
        <v>16</v>
      </c>
      <c r="H41" s="0" t="n">
        <v>94.24</v>
      </c>
      <c r="I41" s="0" t="s">
        <v>177</v>
      </c>
      <c r="J41" s="0" t="s">
        <v>162</v>
      </c>
      <c r="K41" s="0" t="s">
        <v>66</v>
      </c>
    </row>
    <row r="42" customFormat="false" ht="15" hidden="false" customHeight="false" outlineLevel="0" collapsed="false">
      <c r="A42" s="0" t="s">
        <v>178</v>
      </c>
      <c r="B42" s="0" t="s">
        <v>179</v>
      </c>
      <c r="C42" s="0" t="n">
        <v>2.139</v>
      </c>
      <c r="D42" s="0" t="n">
        <v>11.821</v>
      </c>
      <c r="E42" s="0" t="n">
        <v>2</v>
      </c>
      <c r="F42" s="0" t="s">
        <v>98</v>
      </c>
      <c r="G42" s="0" t="n">
        <v>16</v>
      </c>
      <c r="H42" s="0" t="n">
        <v>39.57</v>
      </c>
      <c r="I42" s="0" t="s">
        <v>180</v>
      </c>
      <c r="J42" s="0" t="s">
        <v>162</v>
      </c>
      <c r="K42" s="0" t="s">
        <v>66</v>
      </c>
    </row>
    <row r="43" customFormat="false" ht="15" hidden="false" customHeight="false" outlineLevel="0" collapsed="false">
      <c r="A43" s="0" t="s">
        <v>181</v>
      </c>
      <c r="B43" s="0" t="s">
        <v>182</v>
      </c>
      <c r="C43" s="0" t="n">
        <v>20.521</v>
      </c>
      <c r="D43" s="0" t="n">
        <v>11.821</v>
      </c>
      <c r="E43" s="0" t="n">
        <v>5</v>
      </c>
      <c r="F43" s="0" t="s">
        <v>98</v>
      </c>
      <c r="G43" s="0" t="n">
        <v>16</v>
      </c>
      <c r="H43" s="0" t="n">
        <v>353.01</v>
      </c>
      <c r="I43" s="0" t="s">
        <v>183</v>
      </c>
      <c r="J43" s="0" t="s">
        <v>162</v>
      </c>
      <c r="K43" s="0" t="s">
        <v>66</v>
      </c>
    </row>
    <row r="44" customFormat="false" ht="15" hidden="false" customHeight="false" outlineLevel="0" collapsed="false">
      <c r="A44" s="0" t="s">
        <v>184</v>
      </c>
      <c r="B44" s="0" t="s">
        <v>185</v>
      </c>
      <c r="C44" s="0" t="n">
        <v>11.667</v>
      </c>
      <c r="D44" s="0" t="n">
        <v>12.775</v>
      </c>
      <c r="E44" s="0" t="n">
        <v>2</v>
      </c>
      <c r="F44" s="0" t="s">
        <v>98</v>
      </c>
      <c r="G44" s="0" t="n">
        <v>16</v>
      </c>
      <c r="H44" s="0" t="n">
        <v>215.84</v>
      </c>
      <c r="I44" s="0" t="s">
        <v>186</v>
      </c>
      <c r="J44" s="0" t="s">
        <v>162</v>
      </c>
      <c r="K44" s="0" t="s">
        <v>66</v>
      </c>
    </row>
    <row r="45" customFormat="false" ht="15" hidden="false" customHeight="false" outlineLevel="0" collapsed="false">
      <c r="A45" s="0" t="s">
        <v>187</v>
      </c>
      <c r="B45" s="0" t="s">
        <v>188</v>
      </c>
      <c r="C45" s="0" t="n">
        <v>4.073</v>
      </c>
      <c r="D45" s="0" t="n">
        <v>11.807</v>
      </c>
      <c r="E45" s="0" t="n">
        <v>4</v>
      </c>
      <c r="F45" s="0" t="s">
        <v>98</v>
      </c>
      <c r="G45" s="0" t="n">
        <v>16</v>
      </c>
      <c r="H45" s="0" t="n">
        <v>63.6</v>
      </c>
      <c r="I45" s="0" t="s">
        <v>189</v>
      </c>
      <c r="J45" s="0" t="s">
        <v>162</v>
      </c>
      <c r="K45" s="0" t="s">
        <v>66</v>
      </c>
    </row>
    <row r="46" customFormat="false" ht="15" hidden="false" customHeight="false" outlineLevel="0" collapsed="false">
      <c r="A46" s="0" t="s">
        <v>190</v>
      </c>
      <c r="B46" s="0" t="s">
        <v>191</v>
      </c>
      <c r="C46" s="0" t="n">
        <v>1.698</v>
      </c>
      <c r="D46" s="0" t="n">
        <v>12.958</v>
      </c>
      <c r="E46" s="0" t="n">
        <v>3</v>
      </c>
      <c r="F46" s="0" t="s">
        <v>98</v>
      </c>
      <c r="G46" s="0" t="n">
        <v>16</v>
      </c>
      <c r="H46" s="0" t="n">
        <v>26.98</v>
      </c>
      <c r="I46" s="0" t="s">
        <v>192</v>
      </c>
      <c r="J46" s="0" t="s">
        <v>162</v>
      </c>
      <c r="K46" s="0" t="s">
        <v>66</v>
      </c>
    </row>
    <row r="47" customFormat="false" ht="15" hidden="false" customHeight="false" outlineLevel="0" collapsed="false">
      <c r="A47" s="0" t="s">
        <v>193</v>
      </c>
      <c r="B47" s="0" t="s">
        <v>194</v>
      </c>
      <c r="C47" s="0" t="n">
        <v>1.698</v>
      </c>
      <c r="D47" s="0" t="n">
        <v>12.865</v>
      </c>
      <c r="E47" s="0" t="n">
        <v>3</v>
      </c>
      <c r="F47" s="0" t="s">
        <v>98</v>
      </c>
      <c r="G47" s="0" t="n">
        <v>16</v>
      </c>
      <c r="H47" s="0" t="n">
        <v>26.98</v>
      </c>
      <c r="I47" s="0" t="s">
        <v>195</v>
      </c>
      <c r="J47" s="0" t="s">
        <v>162</v>
      </c>
      <c r="K47" s="0" t="s">
        <v>66</v>
      </c>
    </row>
    <row r="48" customFormat="false" ht="15" hidden="false" customHeight="false" outlineLevel="0" collapsed="false">
      <c r="A48" s="5" t="s">
        <v>196</v>
      </c>
    </row>
    <row r="49" customFormat="false" ht="15" hidden="false" customHeight="false" outlineLevel="0" collapsed="false">
      <c r="A49" s="0" t="s">
        <v>197</v>
      </c>
      <c r="B49" s="0" t="s">
        <v>198</v>
      </c>
      <c r="C49" s="0" t="n">
        <v>11</v>
      </c>
      <c r="D49" s="0" t="n">
        <v>15.375</v>
      </c>
      <c r="E49" s="0" t="n">
        <v>3</v>
      </c>
      <c r="F49" s="0" t="s">
        <v>63</v>
      </c>
      <c r="G49" s="0" t="n">
        <v>16</v>
      </c>
      <c r="H49" s="0" t="n">
        <v>227.34</v>
      </c>
      <c r="I49" s="0" t="s">
        <v>199</v>
      </c>
      <c r="J49" s="0" t="s">
        <v>162</v>
      </c>
      <c r="K49" s="0" t="s">
        <v>66</v>
      </c>
    </row>
    <row r="50" customFormat="false" ht="15" hidden="false" customHeight="false" outlineLevel="0" collapsed="false">
      <c r="A50" s="0" t="s">
        <v>200</v>
      </c>
      <c r="B50" s="0" t="s">
        <v>201</v>
      </c>
      <c r="C50" s="0" t="n">
        <v>19.408</v>
      </c>
      <c r="D50" s="0" t="n">
        <v>13.709</v>
      </c>
      <c r="E50" s="0" t="n">
        <v>3</v>
      </c>
      <c r="F50" s="0" t="s">
        <v>63</v>
      </c>
      <c r="G50" s="0" t="n">
        <v>16</v>
      </c>
      <c r="H50" s="0" t="n">
        <v>378.53</v>
      </c>
      <c r="I50" s="0" t="s">
        <v>202</v>
      </c>
      <c r="J50" s="0" t="s">
        <v>162</v>
      </c>
      <c r="K50" s="0" t="s">
        <v>66</v>
      </c>
    </row>
    <row r="51" customFormat="false" ht="15" hidden="false" customHeight="false" outlineLevel="0" collapsed="false">
      <c r="A51" s="0" t="s">
        <v>203</v>
      </c>
      <c r="B51" s="0" t="s">
        <v>204</v>
      </c>
      <c r="C51" s="0" t="n">
        <v>3.28</v>
      </c>
      <c r="D51" s="0" t="n">
        <v>11.776</v>
      </c>
      <c r="E51" s="0" t="n">
        <v>2</v>
      </c>
      <c r="F51" s="0" t="s">
        <v>63</v>
      </c>
      <c r="G51" s="0" t="n">
        <v>16</v>
      </c>
      <c r="H51" s="0" t="n">
        <v>60.68</v>
      </c>
      <c r="I51" s="0" t="s">
        <v>205</v>
      </c>
      <c r="J51" s="0" t="s">
        <v>162</v>
      </c>
      <c r="K51" s="0" t="s">
        <v>66</v>
      </c>
    </row>
    <row r="52" customFormat="false" ht="15" hidden="false" customHeight="false" outlineLevel="0" collapsed="false">
      <c r="A52" s="0" t="s">
        <v>206</v>
      </c>
      <c r="B52" s="0" t="s">
        <v>207</v>
      </c>
      <c r="C52" s="0" t="n">
        <v>5.28</v>
      </c>
      <c r="D52" s="0" t="n">
        <v>12.535</v>
      </c>
      <c r="E52" s="0" t="n">
        <v>3</v>
      </c>
      <c r="F52" s="0" t="s">
        <v>63</v>
      </c>
      <c r="G52" s="0" t="n">
        <v>16</v>
      </c>
      <c r="H52" s="0" t="n">
        <v>87.72</v>
      </c>
      <c r="I52" s="0" t="s">
        <v>208</v>
      </c>
      <c r="J52" s="0" t="s">
        <v>162</v>
      </c>
      <c r="K52" s="0" t="s">
        <v>66</v>
      </c>
    </row>
    <row r="53" customFormat="false" ht="15" hidden="false" customHeight="false" outlineLevel="0" collapsed="false">
      <c r="A53" s="5" t="s">
        <v>209</v>
      </c>
    </row>
    <row r="54" customFormat="false" ht="15" hidden="false" customHeight="false" outlineLevel="0" collapsed="false">
      <c r="A54" s="0" t="s">
        <v>210</v>
      </c>
      <c r="B54" s="0" t="s">
        <v>211</v>
      </c>
      <c r="C54" s="0" t="n">
        <v>3.417</v>
      </c>
      <c r="D54" s="0" t="n">
        <v>15.375</v>
      </c>
      <c r="E54" s="0" t="n">
        <v>2</v>
      </c>
      <c r="F54" s="0" t="s">
        <v>98</v>
      </c>
      <c r="G54" s="0" t="n">
        <v>24</v>
      </c>
      <c r="H54" s="0" t="n">
        <v>105.08</v>
      </c>
      <c r="I54" s="0" t="s">
        <v>212</v>
      </c>
      <c r="J54" s="0" t="s">
        <v>213</v>
      </c>
      <c r="K54" s="0" t="s">
        <v>66</v>
      </c>
    </row>
    <row r="55" customFormat="false" ht="15" hidden="false" customHeight="false" outlineLevel="0" collapsed="false">
      <c r="A55" s="0" t="s">
        <v>214</v>
      </c>
      <c r="B55" s="0" t="s">
        <v>215</v>
      </c>
      <c r="C55" s="0" t="n">
        <v>3.417</v>
      </c>
      <c r="D55" s="0" t="n">
        <v>12.939</v>
      </c>
      <c r="E55" s="0" t="n">
        <v>2</v>
      </c>
      <c r="F55" s="0" t="s">
        <v>98</v>
      </c>
      <c r="G55" s="0" t="n">
        <v>24</v>
      </c>
      <c r="H55" s="0" t="n">
        <v>88.42</v>
      </c>
      <c r="I55" s="0" t="s">
        <v>216</v>
      </c>
      <c r="J55" s="0" t="s">
        <v>213</v>
      </c>
      <c r="K55" s="0" t="s">
        <v>66</v>
      </c>
    </row>
    <row r="56" customFormat="false" ht="15" hidden="false" customHeight="false" outlineLevel="0" collapsed="false">
      <c r="A56" s="0" t="s">
        <v>217</v>
      </c>
      <c r="B56" s="0" t="s">
        <v>218</v>
      </c>
      <c r="C56" s="0" t="n">
        <v>2.347</v>
      </c>
      <c r="D56" s="0" t="n">
        <v>12.927</v>
      </c>
      <c r="E56" s="0" t="n">
        <v>2</v>
      </c>
      <c r="F56" s="0" t="s">
        <v>98</v>
      </c>
      <c r="G56" s="0" t="n">
        <v>24</v>
      </c>
      <c r="H56" s="0" t="n">
        <v>60.68</v>
      </c>
      <c r="I56" s="0" t="s">
        <v>219</v>
      </c>
      <c r="J56" s="0" t="s">
        <v>213</v>
      </c>
      <c r="K56" s="0" t="s">
        <v>66</v>
      </c>
    </row>
    <row r="57" customFormat="false" ht="15" hidden="false" customHeight="false" outlineLevel="0" collapsed="false">
      <c r="A57" s="5" t="s">
        <v>220</v>
      </c>
    </row>
    <row r="58" customFormat="false" ht="15" hidden="false" customHeight="false" outlineLevel="0" collapsed="false">
      <c r="A58" s="0" t="s">
        <v>221</v>
      </c>
      <c r="B58" s="0" t="s">
        <v>222</v>
      </c>
      <c r="C58" s="0" t="n">
        <v>9.99</v>
      </c>
      <c r="D58" s="0" t="n">
        <v>12.827</v>
      </c>
      <c r="E58" s="0" t="n">
        <v>2</v>
      </c>
      <c r="F58" s="0" t="s">
        <v>98</v>
      </c>
      <c r="G58" s="0" t="n">
        <v>16</v>
      </c>
      <c r="H58" s="0" t="n">
        <v>256.28</v>
      </c>
      <c r="I58" s="0" t="s">
        <v>223</v>
      </c>
      <c r="J58" s="0" t="s">
        <v>224</v>
      </c>
      <c r="K58" s="0" t="s">
        <v>66</v>
      </c>
    </row>
    <row r="59" customFormat="false" ht="15" hidden="false" customHeight="false" outlineLevel="0" collapsed="false">
      <c r="A59" s="0" t="s">
        <v>225</v>
      </c>
      <c r="B59" s="0" t="s">
        <v>226</v>
      </c>
      <c r="C59" s="0" t="n">
        <v>11.719</v>
      </c>
      <c r="D59" s="0" t="n">
        <v>12.748</v>
      </c>
      <c r="E59" s="0" t="n">
        <v>3</v>
      </c>
      <c r="F59" s="0" t="s">
        <v>98</v>
      </c>
      <c r="G59" s="0" t="n">
        <v>16</v>
      </c>
      <c r="H59" s="0" t="n">
        <v>250.99</v>
      </c>
      <c r="I59" s="0" t="s">
        <v>227</v>
      </c>
      <c r="J59" s="0" t="s">
        <v>224</v>
      </c>
      <c r="K59" s="0" t="s">
        <v>66</v>
      </c>
    </row>
    <row r="60" customFormat="false" ht="15" hidden="false" customHeight="false" outlineLevel="0" collapsed="false">
      <c r="A60" s="0" t="s">
        <v>228</v>
      </c>
      <c r="B60" s="0" t="s">
        <v>229</v>
      </c>
      <c r="C60" s="0" t="n">
        <v>11.719</v>
      </c>
      <c r="D60" s="0" t="n">
        <v>12.667</v>
      </c>
      <c r="E60" s="0" t="n">
        <v>3</v>
      </c>
      <c r="F60" s="0" t="s">
        <v>98</v>
      </c>
      <c r="G60" s="0" t="n">
        <v>16</v>
      </c>
      <c r="H60" s="0" t="n">
        <v>296.87</v>
      </c>
      <c r="I60" s="0" t="s">
        <v>230</v>
      </c>
      <c r="J60" s="0" t="s">
        <v>224</v>
      </c>
      <c r="K60" s="0" t="s">
        <v>66</v>
      </c>
    </row>
    <row r="61" customFormat="false" ht="15" hidden="false" customHeight="false" outlineLevel="0" collapsed="false">
      <c r="A61" s="0" t="s">
        <v>231</v>
      </c>
      <c r="B61" s="0" t="s">
        <v>232</v>
      </c>
      <c r="C61" s="0" t="n">
        <v>9.583</v>
      </c>
      <c r="D61" s="0" t="n">
        <v>12.698</v>
      </c>
      <c r="E61" s="0" t="n">
        <v>2</v>
      </c>
      <c r="F61" s="0" t="s">
        <v>98</v>
      </c>
      <c r="G61" s="0" t="n">
        <v>16</v>
      </c>
      <c r="H61" s="0" t="n">
        <v>243.36</v>
      </c>
      <c r="I61" s="0" t="s">
        <v>233</v>
      </c>
      <c r="J61" s="0" t="s">
        <v>224</v>
      </c>
      <c r="K61" s="0" t="s">
        <v>107</v>
      </c>
    </row>
    <row r="62" customFormat="false" ht="15" hidden="false" customHeight="false" outlineLevel="0" collapsed="false">
      <c r="A62" s="0" t="s">
        <v>234</v>
      </c>
      <c r="B62" s="0" t="s">
        <v>235</v>
      </c>
      <c r="C62" s="0" t="n">
        <v>13.74</v>
      </c>
      <c r="D62" s="0" t="n">
        <v>12.823</v>
      </c>
      <c r="E62" s="0" t="n">
        <v>3</v>
      </c>
      <c r="F62" s="0" t="s">
        <v>98</v>
      </c>
      <c r="G62" s="0" t="n">
        <v>16</v>
      </c>
      <c r="H62" s="0" t="n">
        <v>252.91</v>
      </c>
      <c r="I62" s="0" t="s">
        <v>236</v>
      </c>
      <c r="J62" s="0" t="s">
        <v>224</v>
      </c>
      <c r="K62" s="0" t="s">
        <v>66</v>
      </c>
    </row>
    <row r="63" customFormat="false" ht="15" hidden="false" customHeight="false" outlineLevel="0" collapsed="false">
      <c r="A63" s="0" t="s">
        <v>237</v>
      </c>
      <c r="B63" s="0" t="s">
        <v>238</v>
      </c>
      <c r="C63" s="0" t="n">
        <v>3.5</v>
      </c>
      <c r="D63" s="0" t="n">
        <v>12.743</v>
      </c>
      <c r="E63" s="0" t="n">
        <v>2</v>
      </c>
      <c r="F63" s="0" t="s">
        <v>98</v>
      </c>
      <c r="G63" s="0" t="n">
        <v>16</v>
      </c>
      <c r="H63" s="0" t="n">
        <v>88.94</v>
      </c>
      <c r="I63" s="0" t="s">
        <v>239</v>
      </c>
      <c r="J63" s="0" t="s">
        <v>224</v>
      </c>
      <c r="K63" s="0" t="s">
        <v>107</v>
      </c>
    </row>
    <row r="64" customFormat="false" ht="15" hidden="false" customHeight="false" outlineLevel="0" collapsed="false">
      <c r="A64" s="5" t="s">
        <v>240</v>
      </c>
    </row>
    <row r="65" customFormat="false" ht="15" hidden="false" customHeight="false" outlineLevel="0" collapsed="false">
      <c r="A65" s="0" t="s">
        <v>241</v>
      </c>
      <c r="B65" s="0" t="s">
        <v>242</v>
      </c>
      <c r="C65" s="0" t="n">
        <v>5.667</v>
      </c>
      <c r="D65" s="0" t="n">
        <v>15.375</v>
      </c>
      <c r="E65" s="0" t="n">
        <v>2</v>
      </c>
      <c r="F65" s="0" t="s">
        <v>63</v>
      </c>
      <c r="G65" s="0" t="n">
        <v>16</v>
      </c>
      <c r="H65" s="0" t="n">
        <v>111.66</v>
      </c>
      <c r="I65" s="0" t="s">
        <v>243</v>
      </c>
      <c r="J65" s="0" t="s">
        <v>224</v>
      </c>
      <c r="K65" s="0" t="s">
        <v>107</v>
      </c>
    </row>
    <row r="66" customFormat="false" ht="15" hidden="false" customHeight="false" outlineLevel="0" collapsed="false">
      <c r="A66" s="0" t="s">
        <v>244</v>
      </c>
      <c r="B66" s="0" t="s">
        <v>245</v>
      </c>
      <c r="C66" s="0" t="n">
        <v>5.542</v>
      </c>
      <c r="D66" s="0" t="n">
        <v>13.052</v>
      </c>
      <c r="E66" s="0" t="n">
        <v>2</v>
      </c>
      <c r="F66" s="0" t="s">
        <v>63</v>
      </c>
      <c r="G66" s="0" t="n">
        <v>16</v>
      </c>
      <c r="H66" s="0" t="n">
        <v>96.32</v>
      </c>
      <c r="I66" s="0" t="s">
        <v>246</v>
      </c>
      <c r="J66" s="0" t="s">
        <v>224</v>
      </c>
      <c r="K66" s="0" t="s">
        <v>107</v>
      </c>
    </row>
    <row r="67" customFormat="false" ht="15" hidden="false" customHeight="false" outlineLevel="0" collapsed="false">
      <c r="A67" s="0" t="s">
        <v>247</v>
      </c>
      <c r="B67" s="0" t="s">
        <v>248</v>
      </c>
      <c r="C67" s="0" t="n">
        <v>15.787</v>
      </c>
      <c r="D67" s="0" t="n">
        <v>12.865</v>
      </c>
      <c r="E67" s="0" t="n">
        <v>4</v>
      </c>
      <c r="F67" s="0" t="s">
        <v>63</v>
      </c>
      <c r="G67" s="0" t="n">
        <v>16</v>
      </c>
      <c r="H67" s="0" t="n">
        <v>257.71</v>
      </c>
      <c r="I67" s="0" t="s">
        <v>249</v>
      </c>
      <c r="J67" s="0" t="s">
        <v>224</v>
      </c>
      <c r="K67" s="0" t="s">
        <v>66</v>
      </c>
    </row>
    <row r="68" customFormat="false" ht="15" hidden="false" customHeight="false" outlineLevel="0" collapsed="false">
      <c r="A68" s="0" t="s">
        <v>250</v>
      </c>
      <c r="B68" s="0" t="s">
        <v>251</v>
      </c>
      <c r="C68" s="0" t="n">
        <v>11.74</v>
      </c>
      <c r="D68" s="0" t="n">
        <v>11.64</v>
      </c>
      <c r="E68" s="0" t="n">
        <v>3</v>
      </c>
      <c r="F68" s="0" t="s">
        <v>63</v>
      </c>
      <c r="G68" s="0" t="n">
        <v>16</v>
      </c>
      <c r="H68" s="0" t="n">
        <v>270.47</v>
      </c>
      <c r="I68" s="0" t="s">
        <v>252</v>
      </c>
      <c r="J68" s="0" t="s">
        <v>224</v>
      </c>
      <c r="K68" s="0" t="s">
        <v>66</v>
      </c>
    </row>
    <row r="69" customFormat="false" ht="15" hidden="false" customHeight="false" outlineLevel="0" collapsed="false">
      <c r="A69" s="5" t="s">
        <v>253</v>
      </c>
    </row>
    <row r="70" customFormat="false" ht="15" hidden="false" customHeight="false" outlineLevel="0" collapsed="false">
      <c r="A70" s="0" t="s">
        <v>254</v>
      </c>
      <c r="B70" s="0" t="s">
        <v>255</v>
      </c>
      <c r="C70" s="0" t="n">
        <v>2.207</v>
      </c>
      <c r="D70" s="0" t="n">
        <v>15.375</v>
      </c>
      <c r="E70" s="0" t="n">
        <v>2</v>
      </c>
      <c r="F70" s="0" t="s">
        <v>63</v>
      </c>
      <c r="G70" s="0" t="n">
        <v>16</v>
      </c>
      <c r="H70" s="0" t="n">
        <v>67.86</v>
      </c>
      <c r="I70" s="0" t="s">
        <v>256</v>
      </c>
      <c r="J70" s="0" t="s">
        <v>257</v>
      </c>
      <c r="K70" s="0" t="s">
        <v>66</v>
      </c>
    </row>
    <row r="71" customFormat="false" ht="15" hidden="false" customHeight="false" outlineLevel="0" collapsed="false">
      <c r="A71" s="5" t="s">
        <v>258</v>
      </c>
    </row>
    <row r="72" customFormat="false" ht="15" hidden="false" customHeight="false" outlineLevel="0" collapsed="false">
      <c r="A72" s="0" t="s">
        <v>259</v>
      </c>
      <c r="B72" s="0" t="s">
        <v>260</v>
      </c>
      <c r="C72" s="0" t="n">
        <v>17.762</v>
      </c>
      <c r="D72" s="0" t="n">
        <v>15.375</v>
      </c>
      <c r="E72" s="0" t="n">
        <v>2</v>
      </c>
      <c r="F72" s="0" t="s">
        <v>98</v>
      </c>
      <c r="G72" s="0" t="n">
        <v>16</v>
      </c>
      <c r="H72" s="0" t="n">
        <v>325.38</v>
      </c>
      <c r="I72" s="0" t="s">
        <v>261</v>
      </c>
      <c r="J72" s="0" t="s">
        <v>262</v>
      </c>
      <c r="K72" s="0" t="s">
        <v>66</v>
      </c>
    </row>
    <row r="73" customFormat="false" ht="15" hidden="false" customHeight="false" outlineLevel="0" collapsed="false">
      <c r="A73" s="5" t="s">
        <v>263</v>
      </c>
    </row>
    <row r="74" customFormat="false" ht="15" hidden="false" customHeight="false" outlineLevel="0" collapsed="false">
      <c r="A74" s="0" t="s">
        <v>264</v>
      </c>
      <c r="B74" s="0" t="s">
        <v>265</v>
      </c>
      <c r="C74" s="0" t="n">
        <v>2.42</v>
      </c>
      <c r="D74" s="0" t="n">
        <v>14.383</v>
      </c>
      <c r="E74" s="0" t="n">
        <v>4</v>
      </c>
      <c r="F74" s="0" t="s">
        <v>266</v>
      </c>
      <c r="G74" s="0" t="n">
        <v>16</v>
      </c>
      <c r="H74" s="0" t="n">
        <v>139.24</v>
      </c>
      <c r="I74" s="0" t="s">
        <v>267</v>
      </c>
      <c r="J74" s="0" t="s">
        <v>268</v>
      </c>
      <c r="K74" s="0" t="s">
        <v>66</v>
      </c>
    </row>
    <row r="75" customFormat="false" ht="15" hidden="false" customHeight="false" outlineLevel="0" collapsed="false">
      <c r="A75" s="0" t="s">
        <v>269</v>
      </c>
      <c r="B75" s="0" t="s">
        <v>270</v>
      </c>
      <c r="C75" s="0" t="n">
        <v>3.467</v>
      </c>
      <c r="D75" s="0" t="n">
        <v>14.383</v>
      </c>
      <c r="E75" s="0" t="n">
        <v>6</v>
      </c>
      <c r="F75" s="0" t="s">
        <v>266</v>
      </c>
      <c r="G75" s="0" t="n">
        <v>16</v>
      </c>
      <c r="H75" s="0" t="n">
        <v>199.45</v>
      </c>
      <c r="I75" s="0" t="s">
        <v>271</v>
      </c>
      <c r="J75" s="0" t="s">
        <v>268</v>
      </c>
      <c r="K75" s="0" t="s">
        <v>66</v>
      </c>
    </row>
    <row r="76" customFormat="false" ht="15" hidden="false" customHeight="false" outlineLevel="0" collapsed="false">
      <c r="A76" s="0" t="s">
        <v>272</v>
      </c>
      <c r="B76" s="0" t="s">
        <v>273</v>
      </c>
      <c r="C76" s="0" t="n">
        <v>3.253</v>
      </c>
      <c r="D76" s="0" t="n">
        <v>14.383</v>
      </c>
      <c r="E76" s="0" t="n">
        <v>6</v>
      </c>
      <c r="F76" s="0" t="s">
        <v>266</v>
      </c>
      <c r="G76" s="0" t="n">
        <v>16</v>
      </c>
      <c r="H76" s="0" t="n">
        <v>187.18</v>
      </c>
      <c r="I76" s="0" t="s">
        <v>274</v>
      </c>
      <c r="J76" s="0" t="s">
        <v>268</v>
      </c>
      <c r="K76" s="0" t="s">
        <v>66</v>
      </c>
    </row>
    <row r="77" customFormat="false" ht="15" hidden="false" customHeight="false" outlineLevel="0" collapsed="false">
      <c r="A77" s="0" t="s">
        <v>275</v>
      </c>
      <c r="B77" s="0" t="s">
        <v>276</v>
      </c>
      <c r="C77" s="0" t="n">
        <v>3.253</v>
      </c>
      <c r="D77" s="0" t="n">
        <v>14.225</v>
      </c>
      <c r="E77" s="0" t="n">
        <v>6</v>
      </c>
      <c r="F77" s="0" t="s">
        <v>266</v>
      </c>
      <c r="G77" s="0" t="n">
        <v>16</v>
      </c>
      <c r="H77" s="0" t="n">
        <v>185.11</v>
      </c>
      <c r="I77" s="0" t="s">
        <v>277</v>
      </c>
      <c r="J77" s="0" t="s">
        <v>268</v>
      </c>
      <c r="K77" s="0" t="s">
        <v>66</v>
      </c>
    </row>
    <row r="78" customFormat="false" ht="15" hidden="false" customHeight="false" outlineLevel="0" collapsed="false">
      <c r="A78" s="0" t="s">
        <v>278</v>
      </c>
      <c r="B78" s="0" t="s">
        <v>279</v>
      </c>
      <c r="C78" s="0" t="n">
        <v>11.771</v>
      </c>
      <c r="D78" s="0" t="n">
        <v>15.375</v>
      </c>
      <c r="E78" s="0" t="n">
        <v>4</v>
      </c>
      <c r="F78" s="0" t="s">
        <v>266</v>
      </c>
      <c r="G78" s="0" t="n">
        <v>16</v>
      </c>
      <c r="H78" s="0" t="n">
        <v>723.9</v>
      </c>
      <c r="I78" s="0" t="s">
        <v>280</v>
      </c>
      <c r="J78" s="0" t="s">
        <v>268</v>
      </c>
      <c r="K78" s="0" t="s">
        <v>66</v>
      </c>
    </row>
    <row r="79" customFormat="false" ht="15" hidden="false" customHeight="false" outlineLevel="0" collapsed="false">
      <c r="A79" s="0" t="s">
        <v>281</v>
      </c>
      <c r="B79" s="0" t="s">
        <v>282</v>
      </c>
      <c r="C79" s="0" t="n">
        <v>11.771</v>
      </c>
      <c r="D79" s="0" t="n">
        <v>15.375</v>
      </c>
      <c r="E79" s="0" t="n">
        <v>4</v>
      </c>
      <c r="F79" s="0" t="s">
        <v>266</v>
      </c>
      <c r="G79" s="0" t="n">
        <v>16</v>
      </c>
      <c r="H79" s="0" t="n">
        <v>723.9</v>
      </c>
      <c r="I79" s="0" t="s">
        <v>283</v>
      </c>
      <c r="J79" s="0" t="s">
        <v>268</v>
      </c>
      <c r="K79" s="0" t="s">
        <v>66</v>
      </c>
    </row>
    <row r="80" customFormat="false" ht="15" hidden="false" customHeight="false" outlineLevel="0" collapsed="false">
      <c r="A80" s="0" t="s">
        <v>284</v>
      </c>
      <c r="B80" s="0" t="s">
        <v>285</v>
      </c>
      <c r="C80" s="0" t="n">
        <v>10.407</v>
      </c>
      <c r="D80" s="0" t="n">
        <v>15.338</v>
      </c>
      <c r="E80" s="0" t="n">
        <v>4</v>
      </c>
      <c r="F80" s="0" t="s">
        <v>266</v>
      </c>
      <c r="G80" s="0" t="n">
        <v>16</v>
      </c>
      <c r="H80" s="0" t="n">
        <v>638.46</v>
      </c>
      <c r="I80" s="0" t="s">
        <v>286</v>
      </c>
      <c r="J80" s="0" t="s">
        <v>268</v>
      </c>
      <c r="K80" s="0" t="s">
        <v>66</v>
      </c>
    </row>
    <row r="81" customFormat="false" ht="15" hidden="false" customHeight="false" outlineLevel="0" collapsed="false">
      <c r="A81" s="0" t="s">
        <v>287</v>
      </c>
      <c r="B81" s="0" t="s">
        <v>288</v>
      </c>
      <c r="C81" s="0" t="n">
        <v>12.333</v>
      </c>
      <c r="D81" s="0" t="n">
        <v>15.375</v>
      </c>
      <c r="E81" s="0" t="n">
        <v>4</v>
      </c>
      <c r="F81" s="0" t="s">
        <v>266</v>
      </c>
      <c r="G81" s="0" t="n">
        <v>16</v>
      </c>
      <c r="H81" s="0" t="n">
        <v>758.5</v>
      </c>
      <c r="I81" s="0" t="s">
        <v>289</v>
      </c>
      <c r="J81" s="0" t="s">
        <v>268</v>
      </c>
      <c r="K81" s="0" t="s">
        <v>66</v>
      </c>
    </row>
    <row r="82" customFormat="false" ht="15" hidden="false" customHeight="false" outlineLevel="0" collapsed="false">
      <c r="A82" s="0" t="s">
        <v>290</v>
      </c>
      <c r="B82" s="0" t="s">
        <v>291</v>
      </c>
      <c r="C82" s="0" t="n">
        <v>11.625</v>
      </c>
      <c r="D82" s="0" t="n">
        <v>15.375</v>
      </c>
      <c r="E82" s="0" t="n">
        <v>4</v>
      </c>
      <c r="F82" s="0" t="s">
        <v>266</v>
      </c>
      <c r="G82" s="0" t="n">
        <v>16</v>
      </c>
      <c r="H82" s="0" t="n">
        <v>714.94</v>
      </c>
      <c r="I82" s="0" t="s">
        <v>292</v>
      </c>
      <c r="J82" s="0" t="s">
        <v>268</v>
      </c>
      <c r="K82" s="0" t="s">
        <v>66</v>
      </c>
    </row>
    <row r="83" customFormat="false" ht="15" hidden="false" customHeight="false" outlineLevel="0" collapsed="false">
      <c r="A83" s="0" t="s">
        <v>293</v>
      </c>
      <c r="B83" s="0" t="s">
        <v>294</v>
      </c>
      <c r="C83" s="0" t="n">
        <v>11.625</v>
      </c>
      <c r="D83" s="0" t="n">
        <v>15.375</v>
      </c>
      <c r="E83" s="0" t="n">
        <v>4</v>
      </c>
      <c r="F83" s="0" t="s">
        <v>266</v>
      </c>
      <c r="G83" s="0" t="n">
        <v>16</v>
      </c>
      <c r="H83" s="0" t="n">
        <v>714.94</v>
      </c>
      <c r="I83" s="0" t="s">
        <v>295</v>
      </c>
      <c r="J83" s="0" t="s">
        <v>268</v>
      </c>
      <c r="K83" s="0" t="s">
        <v>66</v>
      </c>
    </row>
    <row r="84" customFormat="false" ht="15" hidden="false" customHeight="false" outlineLevel="0" collapsed="false">
      <c r="A84" s="5" t="s">
        <v>296</v>
      </c>
    </row>
    <row r="85" customFormat="false" ht="15" hidden="false" customHeight="false" outlineLevel="0" collapsed="false">
      <c r="A85" s="0" t="s">
        <v>297</v>
      </c>
      <c r="B85" s="0" t="s">
        <v>298</v>
      </c>
      <c r="C85" s="0" t="n">
        <v>30</v>
      </c>
      <c r="D85" s="0" t="n">
        <v>6.262</v>
      </c>
      <c r="E85" s="0" t="n">
        <v>5</v>
      </c>
      <c r="F85" s="0" t="s">
        <v>266</v>
      </c>
      <c r="G85" s="0" t="n">
        <v>16</v>
      </c>
      <c r="H85" s="0" t="n">
        <v>766.8</v>
      </c>
      <c r="I85" s="0" t="s">
        <v>299</v>
      </c>
      <c r="J85" s="0" t="s">
        <v>300</v>
      </c>
      <c r="K85" s="0" t="s">
        <v>66</v>
      </c>
    </row>
    <row r="86" customFormat="false" ht="15" hidden="false" customHeight="false" outlineLevel="0" collapsed="false">
      <c r="A86" s="0" t="s">
        <v>301</v>
      </c>
      <c r="B86" s="0" t="s">
        <v>302</v>
      </c>
      <c r="C86" s="0" t="n">
        <v>15</v>
      </c>
      <c r="D86" s="0" t="n">
        <v>7.375</v>
      </c>
      <c r="E86" s="0" t="n">
        <v>5</v>
      </c>
      <c r="F86" s="0" t="s">
        <v>266</v>
      </c>
      <c r="G86" s="0" t="n">
        <v>16</v>
      </c>
      <c r="H86" s="0" t="n">
        <v>452.48</v>
      </c>
      <c r="I86" s="0" t="s">
        <v>303</v>
      </c>
      <c r="J86" s="0" t="s">
        <v>300</v>
      </c>
      <c r="K86" s="0" t="s">
        <v>66</v>
      </c>
    </row>
    <row r="87" customFormat="false" ht="15" hidden="false" customHeight="false" outlineLevel="0" collapsed="false">
      <c r="A87" s="5" t="s">
        <v>304</v>
      </c>
    </row>
    <row r="88" customFormat="false" ht="15" hidden="false" customHeight="false" outlineLevel="0" collapsed="false">
      <c r="A88" s="0" t="s">
        <v>305</v>
      </c>
      <c r="B88" s="0" t="s">
        <v>306</v>
      </c>
      <c r="C88" s="0" t="n">
        <v>11.771</v>
      </c>
      <c r="D88" s="0" t="n">
        <v>15.375</v>
      </c>
      <c r="E88" s="0" t="n">
        <v>4</v>
      </c>
      <c r="F88" s="0" t="s">
        <v>266</v>
      </c>
      <c r="G88" s="0" t="n">
        <v>16</v>
      </c>
      <c r="H88" s="0" t="n">
        <v>723.9</v>
      </c>
      <c r="I88" s="0" t="s">
        <v>307</v>
      </c>
      <c r="J88" s="0" t="s">
        <v>268</v>
      </c>
      <c r="K88" s="0" t="s">
        <v>66</v>
      </c>
    </row>
    <row r="89" customFormat="false" ht="15" hidden="false" customHeight="false" outlineLevel="0" collapsed="false">
      <c r="A89" s="0" t="s">
        <v>308</v>
      </c>
      <c r="B89" s="0" t="s">
        <v>309</v>
      </c>
      <c r="C89" s="0" t="n">
        <v>3.84</v>
      </c>
      <c r="D89" s="0" t="n">
        <v>15.375</v>
      </c>
      <c r="E89" s="0" t="n">
        <v>6</v>
      </c>
      <c r="F89" s="0" t="s">
        <v>266</v>
      </c>
      <c r="G89" s="0" t="n">
        <v>16</v>
      </c>
      <c r="H89" s="0" t="n">
        <v>236.16</v>
      </c>
      <c r="I89" s="0" t="s">
        <v>310</v>
      </c>
      <c r="J89" s="0" t="s">
        <v>268</v>
      </c>
      <c r="K89" s="0" t="s">
        <v>66</v>
      </c>
    </row>
    <row r="90" customFormat="false" ht="15" hidden="false" customHeight="false" outlineLevel="0" collapsed="false">
      <c r="A90" s="0" t="s">
        <v>311</v>
      </c>
      <c r="B90" s="0" t="s">
        <v>312</v>
      </c>
      <c r="C90" s="0" t="n">
        <v>3.18</v>
      </c>
      <c r="D90" s="0" t="n">
        <v>15.375</v>
      </c>
      <c r="E90" s="0" t="n">
        <v>4</v>
      </c>
      <c r="F90" s="0" t="s">
        <v>266</v>
      </c>
      <c r="G90" s="0" t="n">
        <v>16</v>
      </c>
      <c r="H90" s="0" t="n">
        <v>195.58</v>
      </c>
      <c r="I90" s="0" t="s">
        <v>313</v>
      </c>
      <c r="J90" s="0" t="s">
        <v>268</v>
      </c>
      <c r="K90" s="0" t="s">
        <v>66</v>
      </c>
    </row>
    <row r="91" customFormat="false" ht="15" hidden="false" customHeight="false" outlineLevel="0" collapsed="false">
      <c r="B91" s="6" t="s">
        <v>314</v>
      </c>
      <c r="C91" s="4" t="n">
        <f aca="false">SUM(C5:C90)</f>
        <v>995.03</v>
      </c>
      <c r="H91" s="4" t="n">
        <f aca="false">SUM(H5:H90)</f>
        <v>16279.62</v>
      </c>
    </row>
    <row r="93" customFormat="false" ht="15" hidden="false" customHeight="false" outlineLevel="0" collapsed="false">
      <c r="A93" s="5" t="s">
        <v>315</v>
      </c>
    </row>
    <row r="94" customFormat="false" ht="15" hidden="false" customHeight="false" outlineLevel="0" collapsed="false">
      <c r="A94" s="0" t="s">
        <v>316</v>
      </c>
      <c r="B94" s="0" t="s">
        <v>317</v>
      </c>
      <c r="C94" s="0" t="n">
        <v>17.027</v>
      </c>
      <c r="D94" s="0" t="n">
        <v>4.375</v>
      </c>
      <c r="E94" s="0" t="n">
        <v>3</v>
      </c>
      <c r="F94" s="0" t="s">
        <v>98</v>
      </c>
      <c r="G94" s="0" t="n">
        <v>16</v>
      </c>
      <c r="H94" s="0" t="n">
        <v>30.68</v>
      </c>
      <c r="I94" s="0" t="s">
        <v>318</v>
      </c>
      <c r="J94" s="0" t="s">
        <v>319</v>
      </c>
      <c r="K94" s="0" t="s">
        <v>66</v>
      </c>
    </row>
    <row r="95" customFormat="false" ht="15" hidden="false" customHeight="false" outlineLevel="0" collapsed="false">
      <c r="A95" s="0" t="s">
        <v>320</v>
      </c>
      <c r="B95" s="0" t="s">
        <v>321</v>
      </c>
      <c r="C95" s="0" t="n">
        <v>30</v>
      </c>
      <c r="D95" s="0" t="n">
        <v>4.375</v>
      </c>
      <c r="E95" s="0" t="n">
        <v>3</v>
      </c>
      <c r="F95" s="0" t="s">
        <v>98</v>
      </c>
      <c r="G95" s="0" t="n">
        <v>16</v>
      </c>
      <c r="H95" s="0" t="n">
        <v>54.06</v>
      </c>
      <c r="I95" s="0" t="s">
        <v>322</v>
      </c>
      <c r="J95" s="0" t="s">
        <v>319</v>
      </c>
      <c r="K95" s="0" t="s">
        <v>66</v>
      </c>
    </row>
    <row r="96" customFormat="false" ht="15" hidden="false" customHeight="false" outlineLevel="0" collapsed="false">
      <c r="A96" s="0" t="s">
        <v>323</v>
      </c>
      <c r="B96" s="0" t="s">
        <v>324</v>
      </c>
      <c r="C96" s="0" t="n">
        <v>30</v>
      </c>
      <c r="D96" s="0" t="n">
        <v>4.375</v>
      </c>
      <c r="E96" s="0" t="n">
        <v>3</v>
      </c>
      <c r="F96" s="0" t="s">
        <v>98</v>
      </c>
      <c r="G96" s="0" t="n">
        <v>16</v>
      </c>
      <c r="H96" s="0" t="n">
        <v>54.06</v>
      </c>
      <c r="I96" s="0" t="s">
        <v>325</v>
      </c>
      <c r="J96" s="0" t="s">
        <v>319</v>
      </c>
      <c r="K96" s="0" t="s">
        <v>66</v>
      </c>
    </row>
    <row r="97" customFormat="false" ht="15" hidden="false" customHeight="false" outlineLevel="0" collapsed="false">
      <c r="A97" s="0" t="s">
        <v>326</v>
      </c>
      <c r="B97" s="0" t="s">
        <v>327</v>
      </c>
      <c r="C97" s="0" t="n">
        <v>5.093</v>
      </c>
      <c r="D97" s="0" t="n">
        <v>6.375</v>
      </c>
      <c r="E97" s="0" t="n">
        <v>3</v>
      </c>
      <c r="F97" s="0" t="s">
        <v>98</v>
      </c>
      <c r="G97" s="0" t="n">
        <v>16</v>
      </c>
      <c r="H97" s="0" t="n">
        <v>19.37</v>
      </c>
      <c r="I97" s="0" t="s">
        <v>328</v>
      </c>
      <c r="J97" s="0" t="s">
        <v>319</v>
      </c>
      <c r="K97" s="0" t="s">
        <v>66</v>
      </c>
    </row>
    <row r="98" customFormat="false" ht="15" hidden="false" customHeight="false" outlineLevel="0" collapsed="false">
      <c r="A98" s="0" t="s">
        <v>329</v>
      </c>
      <c r="B98" s="0" t="s">
        <v>330</v>
      </c>
      <c r="C98" s="0" t="n">
        <v>6.529</v>
      </c>
      <c r="D98" s="0" t="n">
        <v>7.375</v>
      </c>
      <c r="E98" s="0" t="n">
        <v>1</v>
      </c>
      <c r="F98" s="0" t="s">
        <v>98</v>
      </c>
      <c r="G98" s="0" t="n">
        <v>16</v>
      </c>
      <c r="H98" s="0" t="n">
        <v>9.79</v>
      </c>
      <c r="I98" s="0" t="s">
        <v>331</v>
      </c>
      <c r="J98" s="0" t="s">
        <v>332</v>
      </c>
      <c r="K98" s="0" t="s">
        <v>66</v>
      </c>
    </row>
    <row r="99" customFormat="false" ht="15" hidden="false" customHeight="false" outlineLevel="0" collapsed="false">
      <c r="A99" s="0" t="s">
        <v>333</v>
      </c>
      <c r="B99" s="0" t="s">
        <v>334</v>
      </c>
      <c r="C99" s="0" t="n">
        <v>5.492</v>
      </c>
      <c r="D99" s="0" t="n">
        <v>5.052</v>
      </c>
      <c r="E99" s="0" t="n">
        <v>1</v>
      </c>
      <c r="F99" s="0" t="s">
        <v>98</v>
      </c>
      <c r="G99" s="0" t="n">
        <v>16</v>
      </c>
      <c r="H99" s="0" t="n">
        <v>8.24</v>
      </c>
      <c r="I99" s="0" t="s">
        <v>335</v>
      </c>
      <c r="J99" s="0" t="s">
        <v>332</v>
      </c>
      <c r="K99" s="0" t="s">
        <v>66</v>
      </c>
    </row>
    <row r="100" customFormat="false" ht="15" hidden="false" customHeight="false" outlineLevel="0" collapsed="false">
      <c r="A100" s="0" t="s">
        <v>336</v>
      </c>
      <c r="B100" s="0" t="s">
        <v>337</v>
      </c>
      <c r="C100" s="0" t="n">
        <v>6.529</v>
      </c>
      <c r="D100" s="0" t="n">
        <v>7.375</v>
      </c>
      <c r="E100" s="0" t="n">
        <v>1</v>
      </c>
      <c r="F100" s="0" t="s">
        <v>98</v>
      </c>
      <c r="G100" s="0" t="n">
        <v>16</v>
      </c>
      <c r="H100" s="0" t="n">
        <v>9.79</v>
      </c>
      <c r="I100" s="0" t="s">
        <v>338</v>
      </c>
      <c r="J100" s="0" t="s">
        <v>332</v>
      </c>
      <c r="K100" s="0" t="s">
        <v>66</v>
      </c>
    </row>
    <row r="101" customFormat="false" ht="15" hidden="false" customHeight="false" outlineLevel="0" collapsed="false">
      <c r="A101" s="0" t="s">
        <v>339</v>
      </c>
      <c r="B101" s="0" t="s">
        <v>340</v>
      </c>
      <c r="C101" s="0" t="n">
        <v>5.492</v>
      </c>
      <c r="D101" s="0" t="n">
        <v>5.052</v>
      </c>
      <c r="E101" s="0" t="n">
        <v>1</v>
      </c>
      <c r="F101" s="0" t="s">
        <v>98</v>
      </c>
      <c r="G101" s="0" t="n">
        <v>16</v>
      </c>
      <c r="H101" s="0" t="n">
        <v>8.24</v>
      </c>
      <c r="I101" s="0" t="s">
        <v>341</v>
      </c>
      <c r="J101" s="0" t="s">
        <v>332</v>
      </c>
      <c r="K101" s="0" t="s">
        <v>66</v>
      </c>
    </row>
    <row r="102" customFormat="false" ht="15" hidden="false" customHeight="false" outlineLevel="0" collapsed="false">
      <c r="A102" s="0" t="s">
        <v>342</v>
      </c>
      <c r="B102" s="0" t="s">
        <v>343</v>
      </c>
      <c r="C102" s="0" t="n">
        <v>12.562</v>
      </c>
      <c r="D102" s="0" t="n">
        <v>4.983</v>
      </c>
      <c r="E102" s="0" t="n">
        <v>1</v>
      </c>
      <c r="F102" s="0" t="s">
        <v>63</v>
      </c>
      <c r="G102" s="0" t="n">
        <v>16</v>
      </c>
      <c r="H102" s="0" t="n">
        <v>86.36</v>
      </c>
      <c r="I102" s="0" t="s">
        <v>344</v>
      </c>
      <c r="J102" s="0" t="s">
        <v>345</v>
      </c>
      <c r="K102" s="0" t="s">
        <v>107</v>
      </c>
    </row>
    <row r="103" customFormat="false" ht="15" hidden="false" customHeight="false" outlineLevel="0" collapsed="false">
      <c r="A103" s="0" t="s">
        <v>346</v>
      </c>
      <c r="B103" s="0" t="s">
        <v>347</v>
      </c>
      <c r="C103" s="0" t="n">
        <v>51.787</v>
      </c>
      <c r="D103" s="0" t="n">
        <v>3.323</v>
      </c>
      <c r="E103" s="0" t="n">
        <v>0</v>
      </c>
      <c r="F103" s="0" t="s">
        <v>98</v>
      </c>
      <c r="G103" s="0" t="n">
        <v>16</v>
      </c>
      <c r="H103" s="0" t="n">
        <v>0</v>
      </c>
      <c r="I103" s="0" t="s">
        <v>348</v>
      </c>
      <c r="J103" s="0" t="s">
        <v>349</v>
      </c>
      <c r="K103" s="0" t="s">
        <v>66</v>
      </c>
    </row>
    <row r="104" customFormat="false" ht="15" hidden="false" customHeight="false" outlineLevel="0" collapsed="false">
      <c r="A104" s="0" t="s">
        <v>350</v>
      </c>
      <c r="B104" s="0" t="s">
        <v>351</v>
      </c>
      <c r="C104" s="0" t="n">
        <v>51.787</v>
      </c>
      <c r="D104" s="0" t="n">
        <v>3.465</v>
      </c>
      <c r="E104" s="0" t="n">
        <v>2</v>
      </c>
      <c r="F104" s="0" t="s">
        <v>98</v>
      </c>
      <c r="G104" s="0" t="n">
        <v>16</v>
      </c>
      <c r="H104" s="0" t="n">
        <v>246.3</v>
      </c>
      <c r="I104" s="0" t="s">
        <v>352</v>
      </c>
      <c r="J104" s="0" t="s">
        <v>349</v>
      </c>
      <c r="K104" s="0" t="s">
        <v>66</v>
      </c>
    </row>
    <row r="105" customFormat="false" ht="15" hidden="false" customHeight="false" outlineLevel="0" collapsed="false">
      <c r="A105" s="0" t="s">
        <v>353</v>
      </c>
      <c r="B105" s="0" t="s">
        <v>354</v>
      </c>
      <c r="C105" s="0" t="n">
        <v>51.787</v>
      </c>
      <c r="D105" s="0" t="n">
        <v>1.142</v>
      </c>
      <c r="E105" s="0" t="n">
        <v>1</v>
      </c>
      <c r="F105" s="0" t="s">
        <v>98</v>
      </c>
      <c r="G105" s="0" t="n">
        <v>16</v>
      </c>
      <c r="H105" s="0" t="n">
        <v>59.14</v>
      </c>
      <c r="I105" s="0" t="s">
        <v>355</v>
      </c>
      <c r="J105" s="0" t="s">
        <v>349</v>
      </c>
      <c r="K105" s="0" t="s">
        <v>66</v>
      </c>
    </row>
    <row r="106" customFormat="false" ht="15" hidden="false" customHeight="false" outlineLevel="0" collapsed="false">
      <c r="A106" s="0" t="s">
        <v>356</v>
      </c>
      <c r="B106" s="0" t="s">
        <v>357</v>
      </c>
      <c r="C106" s="0" t="n">
        <v>78.167</v>
      </c>
      <c r="D106" s="0" t="n">
        <v>1.865</v>
      </c>
      <c r="E106" s="0" t="n">
        <v>0</v>
      </c>
      <c r="F106" s="0" t="s">
        <v>98</v>
      </c>
      <c r="G106" s="0" t="n">
        <v>16</v>
      </c>
      <c r="H106" s="0" t="n">
        <v>0</v>
      </c>
      <c r="I106" s="0" t="s">
        <v>358</v>
      </c>
      <c r="J106" s="0" t="s">
        <v>359</v>
      </c>
      <c r="K106" s="0" t="s">
        <v>66</v>
      </c>
    </row>
    <row r="107" customFormat="false" ht="15" hidden="false" customHeight="false" outlineLevel="0" collapsed="false">
      <c r="A107" s="0" t="s">
        <v>360</v>
      </c>
      <c r="B107" s="0" t="s">
        <v>361</v>
      </c>
      <c r="C107" s="0" t="n">
        <v>52.583</v>
      </c>
      <c r="D107" s="0" t="n">
        <v>1.865</v>
      </c>
      <c r="E107" s="0" t="n">
        <v>0</v>
      </c>
      <c r="F107" s="0" t="s">
        <v>98</v>
      </c>
      <c r="G107" s="0" t="n">
        <v>16</v>
      </c>
      <c r="H107" s="0" t="n">
        <v>0</v>
      </c>
      <c r="I107" s="0" t="s">
        <v>362</v>
      </c>
      <c r="J107" s="0" t="s">
        <v>359</v>
      </c>
      <c r="K107" s="0" t="s">
        <v>66</v>
      </c>
    </row>
    <row r="108" customFormat="false" ht="15" hidden="false" customHeight="false" outlineLevel="0" collapsed="false">
      <c r="A108" s="0" t="s">
        <v>363</v>
      </c>
      <c r="B108" s="0" t="s">
        <v>364</v>
      </c>
      <c r="C108" s="0" t="n">
        <v>3.667</v>
      </c>
      <c r="D108" s="0" t="n">
        <v>1.865</v>
      </c>
      <c r="E108" s="0" t="n">
        <v>0</v>
      </c>
      <c r="F108" s="0" t="s">
        <v>98</v>
      </c>
      <c r="G108" s="0" t="n">
        <v>16</v>
      </c>
      <c r="H108" s="0" t="n">
        <v>0</v>
      </c>
      <c r="I108" s="0" t="s">
        <v>365</v>
      </c>
      <c r="J108" s="0" t="s">
        <v>359</v>
      </c>
      <c r="K108" s="0" t="s">
        <v>66</v>
      </c>
    </row>
    <row r="109" customFormat="false" ht="15" hidden="false" customHeight="false" outlineLevel="0" collapsed="false">
      <c r="A109" s="0" t="s">
        <v>366</v>
      </c>
      <c r="B109" s="0" t="s">
        <v>367</v>
      </c>
      <c r="C109" s="0" t="n">
        <v>55.896</v>
      </c>
      <c r="D109" s="0" t="n">
        <v>1.865</v>
      </c>
      <c r="E109" s="0" t="n">
        <v>0</v>
      </c>
      <c r="F109" s="0" t="s">
        <v>98</v>
      </c>
      <c r="G109" s="0" t="n">
        <v>16</v>
      </c>
      <c r="H109" s="0" t="n">
        <v>0</v>
      </c>
      <c r="I109" s="0" t="s">
        <v>368</v>
      </c>
      <c r="J109" s="0" t="s">
        <v>359</v>
      </c>
      <c r="K109" s="0" t="s">
        <v>66</v>
      </c>
    </row>
    <row r="110" customFormat="false" ht="15" hidden="false" customHeight="false" outlineLevel="0" collapsed="false">
      <c r="A110" s="0" t="s">
        <v>369</v>
      </c>
      <c r="B110" s="0" t="s">
        <v>370</v>
      </c>
      <c r="C110" s="0" t="n">
        <v>21.5</v>
      </c>
      <c r="D110" s="0" t="n">
        <v>1.865</v>
      </c>
      <c r="E110" s="0" t="n">
        <v>0</v>
      </c>
      <c r="F110" s="0" t="s">
        <v>98</v>
      </c>
      <c r="G110" s="0" t="n">
        <v>16</v>
      </c>
      <c r="H110" s="0" t="n">
        <v>0</v>
      </c>
      <c r="I110" s="0" t="s">
        <v>371</v>
      </c>
      <c r="J110" s="0" t="s">
        <v>359</v>
      </c>
      <c r="K110" s="0" t="s">
        <v>66</v>
      </c>
    </row>
    <row r="111" customFormat="false" ht="15" hidden="false" customHeight="false" outlineLevel="0" collapsed="false">
      <c r="A111" s="0" t="s">
        <v>372</v>
      </c>
      <c r="B111" s="0" t="s">
        <v>373</v>
      </c>
      <c r="C111" s="0" t="n">
        <v>23</v>
      </c>
      <c r="D111" s="0" t="n">
        <v>1.865</v>
      </c>
      <c r="E111" s="0" t="n">
        <v>0</v>
      </c>
      <c r="F111" s="0" t="s">
        <v>98</v>
      </c>
      <c r="G111" s="0" t="n">
        <v>16</v>
      </c>
      <c r="H111" s="0" t="n">
        <v>0</v>
      </c>
      <c r="I111" s="0" t="s">
        <v>374</v>
      </c>
      <c r="J111" s="0" t="s">
        <v>359</v>
      </c>
      <c r="K111" s="0" t="s">
        <v>66</v>
      </c>
    </row>
    <row r="112" customFormat="false" ht="15" hidden="false" customHeight="false" outlineLevel="0" collapsed="false">
      <c r="A112" s="0" t="s">
        <v>375</v>
      </c>
      <c r="B112" s="0" t="s">
        <v>376</v>
      </c>
      <c r="C112" s="0" t="n">
        <v>3.688</v>
      </c>
      <c r="D112" s="0" t="n">
        <v>1.865</v>
      </c>
      <c r="E112" s="0" t="n">
        <v>0</v>
      </c>
      <c r="F112" s="0" t="s">
        <v>98</v>
      </c>
      <c r="G112" s="0" t="n">
        <v>16</v>
      </c>
      <c r="H112" s="0" t="n">
        <v>0</v>
      </c>
      <c r="I112" s="0" t="s">
        <v>377</v>
      </c>
      <c r="J112" s="0" t="s">
        <v>359</v>
      </c>
      <c r="K112" s="0" t="s">
        <v>66</v>
      </c>
    </row>
    <row r="113" customFormat="false" ht="15" hidden="false" customHeight="false" outlineLevel="0" collapsed="false">
      <c r="A113" s="0" t="s">
        <v>378</v>
      </c>
      <c r="B113" s="0" t="s">
        <v>379</v>
      </c>
      <c r="C113" s="0" t="n">
        <v>3.688</v>
      </c>
      <c r="D113" s="0" t="n">
        <v>1.865</v>
      </c>
      <c r="E113" s="0" t="n">
        <v>0</v>
      </c>
      <c r="F113" s="0" t="s">
        <v>98</v>
      </c>
      <c r="G113" s="0" t="n">
        <v>16</v>
      </c>
      <c r="H113" s="0" t="n">
        <v>0</v>
      </c>
      <c r="I113" s="0" t="s">
        <v>380</v>
      </c>
      <c r="J113" s="0" t="s">
        <v>359</v>
      </c>
      <c r="K113" s="0" t="s">
        <v>66</v>
      </c>
    </row>
    <row r="114" customFormat="false" ht="15" hidden="false" customHeight="false" outlineLevel="0" collapsed="false">
      <c r="A114" s="0" t="s">
        <v>381</v>
      </c>
      <c r="B114" s="0" t="s">
        <v>382</v>
      </c>
      <c r="C114" s="0" t="n">
        <v>15.646</v>
      </c>
      <c r="D114" s="0" t="n">
        <v>6.708</v>
      </c>
      <c r="E114" s="0" t="n">
        <v>0</v>
      </c>
      <c r="F114" s="0" t="s">
        <v>98</v>
      </c>
      <c r="G114" s="0" t="n">
        <v>16</v>
      </c>
      <c r="H114" s="0" t="n">
        <v>0</v>
      </c>
      <c r="I114" s="0" t="s">
        <v>383</v>
      </c>
      <c r="J114" s="0" t="s">
        <v>384</v>
      </c>
      <c r="K114" s="0" t="s">
        <v>107</v>
      </c>
    </row>
    <row r="115" customFormat="false" ht="15" hidden="false" customHeight="false" outlineLevel="0" collapsed="false">
      <c r="A115" s="0" t="s">
        <v>385</v>
      </c>
      <c r="B115" s="0" t="s">
        <v>386</v>
      </c>
      <c r="C115" s="0" t="n">
        <v>6.417</v>
      </c>
      <c r="D115" s="0" t="n">
        <v>6.708</v>
      </c>
      <c r="E115" s="0" t="n">
        <v>0</v>
      </c>
      <c r="F115" s="0" t="s">
        <v>98</v>
      </c>
      <c r="G115" s="0" t="n">
        <v>16</v>
      </c>
      <c r="H115" s="0" t="n">
        <v>0</v>
      </c>
      <c r="I115" s="0" t="s">
        <v>387</v>
      </c>
      <c r="J115" s="0" t="s">
        <v>384</v>
      </c>
      <c r="K115" s="0" t="s">
        <v>107</v>
      </c>
    </row>
    <row r="116" customFormat="false" ht="15" hidden="false" customHeight="false" outlineLevel="0" collapsed="false">
      <c r="A116" s="0" t="s">
        <v>388</v>
      </c>
      <c r="B116" s="0" t="s">
        <v>389</v>
      </c>
      <c r="C116" s="0" t="n">
        <v>13.333</v>
      </c>
      <c r="D116" s="0" t="n">
        <v>1.5</v>
      </c>
      <c r="E116" s="0" t="n">
        <v>2</v>
      </c>
      <c r="F116" s="0" t="s">
        <v>390</v>
      </c>
      <c r="G116" s="0" t="n">
        <v>16</v>
      </c>
      <c r="H116" s="0" t="n">
        <v>40</v>
      </c>
      <c r="I116" s="0" t="s">
        <v>391</v>
      </c>
      <c r="J116" s="0" t="s">
        <v>392</v>
      </c>
      <c r="K116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393</v>
      </c>
    </row>
    <row r="2" customFormat="false" ht="15" hidden="false" customHeight="false" outlineLevel="0" collapsed="false">
      <c r="A2" s="0" t="s">
        <v>394</v>
      </c>
    </row>
    <row r="3" customFormat="false" ht="15" hidden="false" customHeight="false" outlineLevel="0" collapsed="false">
      <c r="A3" s="2" t="s">
        <v>395</v>
      </c>
      <c r="B3" s="2" t="s">
        <v>396</v>
      </c>
      <c r="C3" s="2" t="s">
        <v>397</v>
      </c>
      <c r="D3" s="2" t="s">
        <v>398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403</v>
      </c>
      <c r="J3" s="2" t="s">
        <v>404</v>
      </c>
    </row>
    <row r="4" customFormat="false" ht="15" hidden="false" customHeight="false" outlineLevel="0" collapsed="false">
      <c r="A4" s="0" t="s">
        <v>405</v>
      </c>
      <c r="B4" s="0" t="s">
        <v>406</v>
      </c>
      <c r="C4" s="0" t="n">
        <v>4730.2</v>
      </c>
      <c r="D4" s="0" t="n">
        <f aca="false">Inputs!$B$5</f>
        <v>0.15</v>
      </c>
      <c r="E4" s="0" t="n">
        <f aca="false">C4*D4</f>
        <v>709.53</v>
      </c>
      <c r="F4" s="0" t="n">
        <f aca="false">C4+E4</f>
        <v>5439.73</v>
      </c>
      <c r="G4" s="0" t="s">
        <v>407</v>
      </c>
      <c r="H4" s="0" t="n">
        <f aca="false">ROUNDUP(F4/Inputs!$B$10,0)</f>
        <v>272</v>
      </c>
      <c r="I4" s="0" t="s">
        <v>408</v>
      </c>
    </row>
    <row r="5" customFormat="false" ht="15" hidden="false" customHeight="false" outlineLevel="0" collapsed="false">
      <c r="A5" s="0" t="s">
        <v>409</v>
      </c>
      <c r="B5" s="0" t="s">
        <v>406</v>
      </c>
      <c r="C5" s="0" t="n">
        <v>7403.24</v>
      </c>
      <c r="D5" s="0" t="n">
        <f aca="false">Inputs!$B$5</f>
        <v>0.15</v>
      </c>
      <c r="E5" s="0" t="n">
        <f aca="false">C5*D5</f>
        <v>1110.486</v>
      </c>
      <c r="F5" s="0" t="n">
        <f aca="false">C5+E5</f>
        <v>8513.726</v>
      </c>
      <c r="G5" s="0" t="s">
        <v>407</v>
      </c>
      <c r="H5" s="0" t="n">
        <f aca="false">ROUNDUP(F5/Inputs!$B$10,0)</f>
        <v>426</v>
      </c>
      <c r="I5" s="0" t="s">
        <v>410</v>
      </c>
    </row>
    <row r="6" customFormat="false" ht="15" hidden="false" customHeight="false" outlineLevel="0" collapsed="false">
      <c r="A6" s="0" t="s">
        <v>411</v>
      </c>
      <c r="B6" s="0" t="s">
        <v>406</v>
      </c>
      <c r="C6" s="0" t="n">
        <v>4014.39</v>
      </c>
      <c r="D6" s="0" t="n">
        <f aca="false">Inputs!$B$5</f>
        <v>0.15</v>
      </c>
      <c r="E6" s="0" t="n">
        <f aca="false">C6*D6</f>
        <v>602.1585</v>
      </c>
      <c r="F6" s="0" t="n">
        <f aca="false">C6+E6</f>
        <v>4616.5485</v>
      </c>
      <c r="G6" s="0" t="s">
        <v>407</v>
      </c>
      <c r="H6" s="0" t="n">
        <f aca="false">ROUNDUP(F6/Inputs!$B$10,0)</f>
        <v>231</v>
      </c>
      <c r="I6" s="0" t="s">
        <v>412</v>
      </c>
    </row>
    <row r="7" customFormat="false" ht="15" hidden="false" customHeight="false" outlineLevel="0" collapsed="false">
      <c r="A7" s="0" t="s">
        <v>413</v>
      </c>
      <c r="B7" s="0" t="s">
        <v>406</v>
      </c>
      <c r="C7" s="0" t="n">
        <v>1015.37</v>
      </c>
      <c r="D7" s="0" t="n">
        <f aca="false">Inputs!$B$5</f>
        <v>0.15</v>
      </c>
      <c r="E7" s="0" t="n">
        <f aca="false">C7*D7</f>
        <v>152.3055</v>
      </c>
      <c r="F7" s="0" t="n">
        <f aca="false">C7+E7</f>
        <v>1167.6755</v>
      </c>
      <c r="G7" s="0" t="s">
        <v>407</v>
      </c>
      <c r="H7" s="0" t="n">
        <f aca="false">ROUNDUP(F7/Inputs!$B$10,0)</f>
        <v>59</v>
      </c>
      <c r="I7" s="0" t="s">
        <v>414</v>
      </c>
    </row>
    <row r="8" customFormat="false" ht="15" hidden="false" customHeight="false" outlineLevel="0" collapsed="false">
      <c r="A8" s="0" t="s">
        <v>415</v>
      </c>
      <c r="B8" s="0" t="s">
        <v>406</v>
      </c>
      <c r="C8" s="0" t="n">
        <v>1347.39</v>
      </c>
      <c r="D8" s="0" t="n">
        <f aca="false">Inputs!$B$5</f>
        <v>0.15</v>
      </c>
      <c r="E8" s="0" t="n">
        <f aca="false">C8*D8</f>
        <v>202.1085</v>
      </c>
      <c r="F8" s="0" t="n">
        <f aca="false">C8+E8</f>
        <v>1549.4985</v>
      </c>
      <c r="G8" s="0" t="s">
        <v>416</v>
      </c>
      <c r="H8" s="0" t="n">
        <f aca="false">ROUNDUP(F8/Inputs!$B$11,0)</f>
        <v>155</v>
      </c>
      <c r="I8" s="0" t="s">
        <v>417</v>
      </c>
    </row>
    <row r="9" customFormat="false" ht="15" hidden="false" customHeight="false" outlineLevel="0" collapsed="false">
      <c r="A9" s="0" t="s">
        <v>418</v>
      </c>
      <c r="B9" s="0" t="s">
        <v>406</v>
      </c>
      <c r="C9" s="0" t="n">
        <v>1347.39</v>
      </c>
      <c r="D9" s="0" t="n">
        <f aca="false">Inputs!$B$5</f>
        <v>0.15</v>
      </c>
      <c r="E9" s="0" t="n">
        <f aca="false">C9*D9</f>
        <v>202.1085</v>
      </c>
      <c r="F9" s="0" t="n">
        <f aca="false">C9+E9</f>
        <v>1549.4985</v>
      </c>
      <c r="G9" s="0" t="s">
        <v>416</v>
      </c>
      <c r="H9" s="0" t="n">
        <f aca="false">ROUNDUP(F9/Inputs!$B$11,0)</f>
        <v>155</v>
      </c>
      <c r="I9" s="0" t="s">
        <v>419</v>
      </c>
    </row>
    <row r="10" customFormat="false" ht="15" hidden="false" customHeight="false" outlineLevel="0" collapsed="false">
      <c r="A10" s="0" t="s">
        <v>420</v>
      </c>
      <c r="B10" s="0" t="s">
        <v>406</v>
      </c>
      <c r="C10" s="0" t="n">
        <v>1336.49</v>
      </c>
      <c r="D10" s="0" t="n">
        <f aca="false">Inputs!$B$5</f>
        <v>0.15</v>
      </c>
      <c r="E10" s="0" t="n">
        <f aca="false">C10*D10</f>
        <v>200.4735</v>
      </c>
      <c r="F10" s="0" t="n">
        <f aca="false">C10+E10</f>
        <v>1536.9635</v>
      </c>
      <c r="G10" s="0" t="s">
        <v>416</v>
      </c>
      <c r="H10" s="0" t="n">
        <f aca="false">ROUNDUP(F10/Inputs!$B$11,0)</f>
        <v>154</v>
      </c>
      <c r="I10" s="0" t="s">
        <v>421</v>
      </c>
    </row>
    <row r="11" customFormat="false" ht="15" hidden="false" customHeight="false" outlineLevel="0" collapsed="false">
      <c r="A11" s="0" t="s">
        <v>422</v>
      </c>
      <c r="B11" s="0" t="s">
        <v>406</v>
      </c>
      <c r="C11" s="0" t="n">
        <v>2557.63</v>
      </c>
      <c r="D11" s="0" t="n">
        <f aca="false">Inputs!$B$5</f>
        <v>0.15</v>
      </c>
      <c r="E11" s="0" t="n">
        <f aca="false">C11*D11</f>
        <v>383.6445</v>
      </c>
      <c r="F11" s="0" t="n">
        <f aca="false">C11+E11</f>
        <v>2941.2745</v>
      </c>
      <c r="G11" s="0" t="s">
        <v>423</v>
      </c>
      <c r="H11" s="0" t="n">
        <f aca="false">ROUNDUP(F11/Inputs!$B$16,0)</f>
        <v>184</v>
      </c>
      <c r="I11" s="0" t="s">
        <v>424</v>
      </c>
    </row>
    <row r="12" customFormat="false" ht="15" hidden="false" customHeight="false" outlineLevel="0" collapsed="false">
      <c r="A12" s="0" t="s">
        <v>425</v>
      </c>
      <c r="B12" s="0" t="s">
        <v>406</v>
      </c>
      <c r="C12" s="0" t="n">
        <v>239.4</v>
      </c>
      <c r="D12" s="0" t="n">
        <f aca="false">Inputs!$B$5</f>
        <v>0.15</v>
      </c>
      <c r="E12" s="0" t="n">
        <f aca="false">C12*D12</f>
        <v>35.91</v>
      </c>
      <c r="F12" s="0" t="n">
        <f aca="false">C12+E12</f>
        <v>275.31</v>
      </c>
      <c r="G12" s="0" t="s">
        <v>416</v>
      </c>
      <c r="H12" s="0" t="n">
        <f aca="false">ROUNDUP(F12/Inputs!$B$11,0)</f>
        <v>28</v>
      </c>
      <c r="I12" s="0" t="s">
        <v>426</v>
      </c>
    </row>
    <row r="13" customFormat="false" ht="15" hidden="false" customHeight="false" outlineLevel="0" collapsed="false">
      <c r="A13" s="0" t="s">
        <v>427</v>
      </c>
      <c r="B13" s="0" t="s">
        <v>406</v>
      </c>
      <c r="C13" s="0" t="n">
        <v>792.25</v>
      </c>
      <c r="D13" s="0" t="n">
        <f aca="false">Inputs!$B$5</f>
        <v>0.15</v>
      </c>
      <c r="E13" s="0" t="n">
        <f aca="false">C13*D13</f>
        <v>118.8375</v>
      </c>
      <c r="F13" s="0" t="n">
        <f aca="false">C13+E13</f>
        <v>911.0875</v>
      </c>
      <c r="G13" s="0" t="s">
        <v>407</v>
      </c>
      <c r="H13" s="0" t="n">
        <f aca="false">ROUNDUP(F13/Inputs!$B$10,0)</f>
        <v>46</v>
      </c>
      <c r="I13" s="0" t="s">
        <v>428</v>
      </c>
    </row>
    <row r="14" customFormat="false" ht="15" hidden="false" customHeight="false" outlineLevel="0" collapsed="false">
      <c r="A14" s="0" t="s">
        <v>429</v>
      </c>
      <c r="B14" s="0" t="s">
        <v>406</v>
      </c>
      <c r="C14" s="0" t="n">
        <v>115.58</v>
      </c>
      <c r="D14" s="0" t="n">
        <f aca="false">Inputs!$B$5</f>
        <v>0.15</v>
      </c>
      <c r="E14" s="0" t="n">
        <f aca="false">C14*D14</f>
        <v>17.337</v>
      </c>
      <c r="F14" s="0" t="n">
        <f aca="false">C14+E14</f>
        <v>132.917</v>
      </c>
      <c r="G14" s="0" t="s">
        <v>416</v>
      </c>
      <c r="H14" s="0" t="n">
        <f aca="false">ROUNDUP(F14/Inputs!$B$11,0)</f>
        <v>14</v>
      </c>
      <c r="I14" s="0" t="s">
        <v>430</v>
      </c>
    </row>
    <row r="15" customFormat="false" ht="15" hidden="false" customHeight="false" outlineLevel="0" collapsed="false">
      <c r="A15" s="0" t="s">
        <v>431</v>
      </c>
      <c r="B15" s="0" t="s">
        <v>406</v>
      </c>
      <c r="C15" s="0" t="n">
        <v>364.05</v>
      </c>
      <c r="D15" s="0" t="n">
        <f aca="false">Inputs!$B$5</f>
        <v>0.15</v>
      </c>
      <c r="E15" s="0" t="n">
        <f aca="false">C15*D15</f>
        <v>54.6075</v>
      </c>
      <c r="F15" s="0" t="n">
        <f aca="false">C15+E15</f>
        <v>418.6575</v>
      </c>
      <c r="G15" s="0" t="s">
        <v>432</v>
      </c>
      <c r="H15" s="0" t="n">
        <f aca="false">ROUNDUP(F15/Inputs!$B$17,0)</f>
        <v>35</v>
      </c>
      <c r="I15" s="0" t="s">
        <v>433</v>
      </c>
    </row>
    <row r="16" customFormat="false" ht="15" hidden="false" customHeight="false" outlineLevel="0" collapsed="false">
      <c r="A16" s="0" t="s">
        <v>434</v>
      </c>
      <c r="B16" s="0" t="s">
        <v>406</v>
      </c>
      <c r="C16" s="0" t="n">
        <v>324.78</v>
      </c>
      <c r="D16" s="0" t="n">
        <f aca="false">Inputs!$B$5</f>
        <v>0.15</v>
      </c>
      <c r="E16" s="0" t="n">
        <f aca="false">C16*D16</f>
        <v>48.717</v>
      </c>
      <c r="F16" s="0" t="n">
        <f aca="false">C16+E16</f>
        <v>373.497</v>
      </c>
      <c r="G16" s="0" t="s">
        <v>423</v>
      </c>
      <c r="H16" s="0" t="n">
        <f aca="false">ROUNDUP(F16/Inputs!$B$16,0)</f>
        <v>24</v>
      </c>
      <c r="I16" s="0" t="s">
        <v>435</v>
      </c>
    </row>
    <row r="17" customFormat="false" ht="15" hidden="false" customHeight="false" outlineLevel="0" collapsed="false">
      <c r="A17" s="0" t="s">
        <v>436</v>
      </c>
      <c r="B17" s="0" t="s">
        <v>406</v>
      </c>
      <c r="C17" s="0" t="n">
        <v>533.62</v>
      </c>
      <c r="D17" s="0" t="n">
        <f aca="false">Inputs!$B$5</f>
        <v>0.15</v>
      </c>
      <c r="E17" s="0" t="n">
        <f aca="false">C17*D17</f>
        <v>80.043</v>
      </c>
      <c r="F17" s="0" t="n">
        <f aca="false">C17+E17</f>
        <v>613.663</v>
      </c>
      <c r="G17" s="0" t="s">
        <v>33</v>
      </c>
      <c r="H17" s="0" t="n">
        <f aca="false">ROUNDUP(F17,0)</f>
        <v>614</v>
      </c>
      <c r="I17" s="0" t="s">
        <v>437</v>
      </c>
    </row>
    <row r="18" customFormat="false" ht="15" hidden="false" customHeight="false" outlineLevel="0" collapsed="false">
      <c r="A18" s="0" t="s">
        <v>438</v>
      </c>
      <c r="B18" s="0" t="s">
        <v>439</v>
      </c>
      <c r="C18" s="0" t="n">
        <v>17628.06</v>
      </c>
      <c r="D18" s="0" t="n">
        <f aca="false">Inputs!$B$6</f>
        <v>0.06</v>
      </c>
      <c r="E18" s="0" t="n">
        <f aca="false">C18*D18</f>
        <v>1057.6836</v>
      </c>
      <c r="F18" s="0" t="n">
        <f aca="false">C18+E18</f>
        <v>18685.7436</v>
      </c>
      <c r="G18" s="0" t="s">
        <v>440</v>
      </c>
      <c r="H18" s="0" t="n">
        <f aca="false">ROUNDUP(F18/Inputs!$B$9,0)</f>
        <v>390</v>
      </c>
      <c r="I18" s="0" t="s">
        <v>441</v>
      </c>
    </row>
    <row r="19" customFormat="false" ht="15" hidden="false" customHeight="false" outlineLevel="0" collapsed="false">
      <c r="A19" s="0" t="s">
        <v>442</v>
      </c>
      <c r="B19" s="0" t="s">
        <v>439</v>
      </c>
      <c r="C19" s="0" t="n">
        <v>257.45</v>
      </c>
      <c r="D19" s="0" t="n">
        <f aca="false">Inputs!$B$6</f>
        <v>0.06</v>
      </c>
      <c r="E19" s="0" t="n">
        <f aca="false">C19*D19</f>
        <v>15.447</v>
      </c>
      <c r="F19" s="0" t="n">
        <f aca="false">C19+E19</f>
        <v>272.897</v>
      </c>
      <c r="G19" s="0" t="s">
        <v>440</v>
      </c>
      <c r="H19" s="0" t="n">
        <f aca="false">ROUNDUP(F19/Inputs!$B$9,0)</f>
        <v>6</v>
      </c>
      <c r="I19" s="0" t="s">
        <v>443</v>
      </c>
    </row>
    <row r="20" customFormat="false" ht="15" hidden="false" customHeight="false" outlineLevel="0" collapsed="false">
      <c r="A20" s="0" t="s">
        <v>444</v>
      </c>
      <c r="B20" s="0" t="s">
        <v>439</v>
      </c>
      <c r="C20" s="0" t="n">
        <v>91.1</v>
      </c>
      <c r="D20" s="0" t="n">
        <f aca="false">Inputs!$B$6</f>
        <v>0.06</v>
      </c>
      <c r="E20" s="0" t="n">
        <f aca="false">C20*D20</f>
        <v>5.466</v>
      </c>
      <c r="F20" s="0" t="n">
        <f aca="false">C20+E20</f>
        <v>96.566</v>
      </c>
      <c r="G20" s="0" t="s">
        <v>445</v>
      </c>
      <c r="H20" s="0" t="n">
        <f aca="false">ROUNDUP(F20/32,0)</f>
        <v>4</v>
      </c>
      <c r="I20" s="0" t="s">
        <v>446</v>
      </c>
    </row>
    <row r="21" customFormat="false" ht="15" hidden="false" customHeight="false" outlineLevel="0" collapsed="false">
      <c r="A21" s="0" t="s">
        <v>447</v>
      </c>
      <c r="B21" s="0" t="s">
        <v>439</v>
      </c>
      <c r="C21" s="0" t="n">
        <v>69.92</v>
      </c>
      <c r="D21" s="0" t="n">
        <f aca="false">Inputs!$B$6</f>
        <v>0.06</v>
      </c>
      <c r="E21" s="0" t="n">
        <f aca="false">C21*D21</f>
        <v>4.1952</v>
      </c>
      <c r="F21" s="0" t="n">
        <f aca="false">C21+E21</f>
        <v>74.1152</v>
      </c>
      <c r="G21" s="0" t="s">
        <v>445</v>
      </c>
      <c r="H21" s="0" t="n">
        <f aca="false">ROUNDUP(F21/32,0)</f>
        <v>3</v>
      </c>
      <c r="I21" s="0" t="s">
        <v>448</v>
      </c>
    </row>
    <row r="22" customFormat="false" ht="15" hidden="false" customHeight="false" outlineLevel="0" collapsed="false">
      <c r="A22" s="0" t="s">
        <v>449</v>
      </c>
      <c r="B22" s="0" t="s">
        <v>439</v>
      </c>
      <c r="C22" s="0" t="n">
        <v>474.13</v>
      </c>
      <c r="D22" s="0" t="n">
        <f aca="false">Inputs!$B$6</f>
        <v>0.06</v>
      </c>
      <c r="E22" s="0" t="n">
        <f aca="false">C22*D22</f>
        <v>28.4478</v>
      </c>
      <c r="F22" s="0" t="n">
        <f aca="false">C22+E22</f>
        <v>502.5778</v>
      </c>
      <c r="G22" s="0" t="s">
        <v>445</v>
      </c>
      <c r="H22" s="0" t="n">
        <f aca="false">ROUNDUP(F22/32,0)</f>
        <v>16</v>
      </c>
      <c r="I22" s="0" t="s">
        <v>450</v>
      </c>
    </row>
    <row r="23" customFormat="false" ht="15" hidden="false" customHeight="false" outlineLevel="0" collapsed="false">
      <c r="A23" s="0" t="s">
        <v>451</v>
      </c>
      <c r="B23" s="0" t="s">
        <v>439</v>
      </c>
      <c r="C23" s="0" t="n">
        <v>964.94</v>
      </c>
      <c r="D23" s="0" t="n">
        <f aca="false">Inputs!$B$6</f>
        <v>0.06</v>
      </c>
      <c r="E23" s="0" t="n">
        <f aca="false">C23*D23</f>
        <v>57.8964</v>
      </c>
      <c r="F23" s="0" t="n">
        <f aca="false">C23+E23</f>
        <v>1022.8364</v>
      </c>
      <c r="G23" s="0" t="s">
        <v>445</v>
      </c>
      <c r="H23" s="0" t="n">
        <f aca="false">ROUNDUP(F23/32,0)</f>
        <v>32</v>
      </c>
      <c r="I23" s="0" t="s">
        <v>452</v>
      </c>
    </row>
    <row r="24" customFormat="false" ht="15" hidden="false" customHeight="false" outlineLevel="0" collapsed="false">
      <c r="A24" s="0" t="s">
        <v>453</v>
      </c>
      <c r="B24" s="0" t="s">
        <v>406</v>
      </c>
      <c r="C24" s="0" t="n">
        <v>764.18</v>
      </c>
      <c r="D24" s="0" t="n">
        <f aca="false">Inputs!$B$6</f>
        <v>0.06</v>
      </c>
      <c r="E24" s="0" t="n">
        <f aca="false">C24*D24</f>
        <v>45.8508</v>
      </c>
      <c r="F24" s="0" t="n">
        <f aca="false">C24+E24</f>
        <v>810.0308</v>
      </c>
      <c r="G24" s="0" t="s">
        <v>406</v>
      </c>
      <c r="H24" s="0" t="n">
        <f aca="false">ROUNDUP(F24,0)</f>
        <v>811</v>
      </c>
      <c r="I24" s="0" t="s">
        <v>454</v>
      </c>
    </row>
    <row r="25" customFormat="false" ht="15" hidden="false" customHeight="false" outlineLevel="0" collapsed="false">
      <c r="A25" s="0" t="s">
        <v>455</v>
      </c>
      <c r="B25" s="0" t="s">
        <v>406</v>
      </c>
      <c r="C25" s="0" t="n">
        <v>685.52</v>
      </c>
      <c r="D25" s="0" t="n">
        <f aca="false">Inputs!$B$5</f>
        <v>0.15</v>
      </c>
      <c r="E25" s="0" t="n">
        <f aca="false">C25*D25</f>
        <v>102.828</v>
      </c>
      <c r="F25" s="0" t="n">
        <f aca="false">C25+E25</f>
        <v>788.348</v>
      </c>
      <c r="G25" s="0" t="s">
        <v>407</v>
      </c>
      <c r="H25" s="0" t="n">
        <f aca="false">ROUNDUP(F25/Inputs!$B$10,0)</f>
        <v>40</v>
      </c>
      <c r="I25" s="0" t="s">
        <v>456</v>
      </c>
    </row>
    <row r="26" customFormat="false" ht="15" hidden="false" customHeight="false" outlineLevel="0" collapsed="false">
      <c r="A26" s="0" t="s">
        <v>457</v>
      </c>
      <c r="B26" s="0" t="s">
        <v>406</v>
      </c>
      <c r="C26" s="0" t="n">
        <v>1012.91</v>
      </c>
      <c r="D26" s="0" t="n">
        <f aca="false">Inputs!$B$5</f>
        <v>0.15</v>
      </c>
      <c r="E26" s="0" t="n">
        <f aca="false">C26*D26</f>
        <v>151.9365</v>
      </c>
      <c r="F26" s="0" t="n">
        <f aca="false">C26+E26</f>
        <v>1164.8465</v>
      </c>
      <c r="G26" s="0" t="s">
        <v>458</v>
      </c>
      <c r="H26" s="0" t="n">
        <f aca="false">ROUNDUP(F26/Inputs!$B$18,0)</f>
        <v>117</v>
      </c>
      <c r="I26" s="0" t="s">
        <v>459</v>
      </c>
    </row>
    <row r="27" customFormat="false" ht="15" hidden="false" customHeight="false" outlineLevel="0" collapsed="false">
      <c r="A27" s="0" t="s">
        <v>460</v>
      </c>
      <c r="B27" s="0" t="s">
        <v>439</v>
      </c>
      <c r="C27" s="0" t="n">
        <v>33.38</v>
      </c>
      <c r="D27" s="0" t="n">
        <f aca="false">Inputs!$B$6</f>
        <v>0.06</v>
      </c>
      <c r="E27" s="0" t="n">
        <f aca="false">C27*D27</f>
        <v>2.0028</v>
      </c>
      <c r="F27" s="0" t="n">
        <f aca="false">C27+E27</f>
        <v>35.3828</v>
      </c>
      <c r="G27" s="0" t="s">
        <v>461</v>
      </c>
      <c r="H27" s="0" t="n">
        <f aca="false">ROUNDUP(F27/15,0)</f>
        <v>3</v>
      </c>
      <c r="I27" s="0" t="s">
        <v>462</v>
      </c>
    </row>
    <row r="28" customFormat="false" ht="15" hidden="false" customHeight="false" outlineLevel="0" collapsed="false">
      <c r="A28" s="0" t="s">
        <v>463</v>
      </c>
      <c r="B28" s="0" t="s">
        <v>439</v>
      </c>
      <c r="C28" s="0" t="n">
        <v>349.75</v>
      </c>
      <c r="D28" s="0" t="n">
        <f aca="false">Inputs!$B$6</f>
        <v>0.06</v>
      </c>
      <c r="E28" s="0" t="n">
        <f aca="false">C28*D28</f>
        <v>20.985</v>
      </c>
      <c r="F28" s="0" t="n">
        <f aca="false">C28+E28</f>
        <v>370.735</v>
      </c>
      <c r="G28" s="0" t="s">
        <v>464</v>
      </c>
      <c r="H28" s="0" t="n">
        <f aca="false">ROUNDUP(F28/40,0)</f>
        <v>10</v>
      </c>
      <c r="I28" s="0" t="s">
        <v>465</v>
      </c>
    </row>
    <row r="29" customFormat="false" ht="15" hidden="false" customHeight="false" outlineLevel="0" collapsed="false">
      <c r="A29" s="0" t="s">
        <v>466</v>
      </c>
      <c r="B29" s="0" t="s">
        <v>406</v>
      </c>
      <c r="C29" s="0" t="n">
        <v>1186.44</v>
      </c>
      <c r="D29" s="0" t="n">
        <f aca="false">Inputs!$B$6</f>
        <v>0.06</v>
      </c>
      <c r="E29" s="0" t="n">
        <f aca="false">C29*D29</f>
        <v>71.1864</v>
      </c>
      <c r="F29" s="0" t="n">
        <f aca="false">C29+E29</f>
        <v>1257.6264</v>
      </c>
      <c r="G29" s="0" t="s">
        <v>467</v>
      </c>
      <c r="H29" s="0" t="n">
        <f aca="false">ROUNDUP(F29/Inputs!$B$15,0)</f>
        <v>51</v>
      </c>
      <c r="I29" s="0" t="s">
        <v>468</v>
      </c>
    </row>
    <row r="30" customFormat="false" ht="15" hidden="false" customHeight="false" outlineLevel="0" collapsed="false">
      <c r="A30" s="0" t="s">
        <v>469</v>
      </c>
      <c r="B30" s="0" t="s">
        <v>406</v>
      </c>
      <c r="C30" s="0" t="n">
        <v>951.26</v>
      </c>
      <c r="D30" s="0" t="n">
        <f aca="false">Inputs!$B$5</f>
        <v>0.15</v>
      </c>
      <c r="E30" s="0" t="n">
        <f aca="false">C30*D30</f>
        <v>142.689</v>
      </c>
      <c r="F30" s="0" t="n">
        <f aca="false">C30+E30</f>
        <v>1093.949</v>
      </c>
      <c r="G30" s="0" t="s">
        <v>407</v>
      </c>
      <c r="H30" s="0" t="n">
        <f aca="false">ROUNDUP(F30/Inputs!$B$10,0)</f>
        <v>55</v>
      </c>
      <c r="I30" s="0" t="s">
        <v>470</v>
      </c>
    </row>
    <row r="31" customFormat="false" ht="15" hidden="false" customHeight="false" outlineLevel="0" collapsed="false">
      <c r="A31" s="0" t="s">
        <v>471</v>
      </c>
      <c r="B31" s="0" t="s">
        <v>439</v>
      </c>
      <c r="C31" s="0" t="n">
        <v>2313.44</v>
      </c>
      <c r="D31" s="0" t="n">
        <f aca="false">Inputs!$B$6</f>
        <v>0.06</v>
      </c>
      <c r="E31" s="0" t="n">
        <f aca="false">C31*D31</f>
        <v>138.8064</v>
      </c>
      <c r="F31" s="0" t="n">
        <f aca="false">C31+E31</f>
        <v>2452.2464</v>
      </c>
      <c r="G31" s="0" t="s">
        <v>472</v>
      </c>
      <c r="H31" s="0" t="n">
        <f aca="false">ROUNDUP(F31/Inputs!$B$9,0)</f>
        <v>52</v>
      </c>
      <c r="I31" s="0" t="s">
        <v>473</v>
      </c>
    </row>
    <row r="32" customFormat="false" ht="15" hidden="false" customHeight="false" outlineLevel="0" collapsed="false">
      <c r="A32" s="0" t="s">
        <v>474</v>
      </c>
      <c r="B32" s="0" t="s">
        <v>439</v>
      </c>
      <c r="C32" s="0" t="n">
        <v>3993.55</v>
      </c>
      <c r="D32" s="0" t="n">
        <f aca="false">Inputs!$B$6</f>
        <v>0.06</v>
      </c>
      <c r="E32" s="0" t="n">
        <f aca="false">C32*D32</f>
        <v>239.613</v>
      </c>
      <c r="F32" s="0" t="n">
        <f aca="false">C32+E32</f>
        <v>4233.163</v>
      </c>
      <c r="G32" s="0" t="s">
        <v>472</v>
      </c>
      <c r="H32" s="0" t="n">
        <f aca="false">ROUNDUP(F32/Inputs!$B$9,0)</f>
        <v>89</v>
      </c>
      <c r="I32" s="0" t="s">
        <v>473</v>
      </c>
    </row>
    <row r="33" customFormat="false" ht="15" hidden="false" customHeight="false" outlineLevel="0" collapsed="false">
      <c r="A33" s="0" t="s">
        <v>475</v>
      </c>
      <c r="B33" s="0" t="s">
        <v>439</v>
      </c>
      <c r="C33" s="0" t="n">
        <v>708.13</v>
      </c>
      <c r="D33" s="0" t="n">
        <f aca="false">Inputs!$B$6</f>
        <v>0.06</v>
      </c>
      <c r="E33" s="0" t="n">
        <f aca="false">C33*D33</f>
        <v>42.4878</v>
      </c>
      <c r="F33" s="0" t="n">
        <f aca="false">C33+E33</f>
        <v>750.6178</v>
      </c>
      <c r="G33" s="0" t="s">
        <v>472</v>
      </c>
      <c r="H33" s="0" t="n">
        <f aca="false">ROUNDUP(F33/Inputs!$B$9,0)</f>
        <v>16</v>
      </c>
      <c r="I33" s="0" t="s">
        <v>473</v>
      </c>
    </row>
    <row r="34" customFormat="false" ht="15" hidden="false" customHeight="false" outlineLevel="0" collapsed="false">
      <c r="A34" s="0" t="s">
        <v>476</v>
      </c>
      <c r="B34" s="0" t="s">
        <v>439</v>
      </c>
      <c r="C34" s="0" t="n">
        <v>27</v>
      </c>
      <c r="D34" s="0" t="n">
        <f aca="false">Inputs!$B$6</f>
        <v>0.06</v>
      </c>
      <c r="E34" s="0" t="n">
        <f aca="false">C34*D34</f>
        <v>1.62</v>
      </c>
      <c r="F34" s="0" t="n">
        <f aca="false">C34+E34</f>
        <v>28.62</v>
      </c>
      <c r="G34" s="0" t="s">
        <v>472</v>
      </c>
      <c r="H34" s="0" t="n">
        <f aca="false">ROUNDUP(F34/Inputs!$B$9,0)</f>
        <v>1</v>
      </c>
      <c r="I34" s="0" t="s">
        <v>473</v>
      </c>
    </row>
    <row r="35" customFormat="false" ht="15" hidden="false" customHeight="false" outlineLevel="0" collapsed="false">
      <c r="A35" s="0" t="s">
        <v>477</v>
      </c>
      <c r="B35" s="0" t="s">
        <v>406</v>
      </c>
      <c r="C35" s="0" t="n">
        <v>208.56</v>
      </c>
      <c r="D35" s="0" t="n">
        <f aca="false">Inputs!$B$6</f>
        <v>0.06</v>
      </c>
      <c r="E35" s="0" t="n">
        <f aca="false">C35*D35</f>
        <v>12.5136</v>
      </c>
      <c r="F35" s="0" t="n">
        <f aca="false">C35+E35</f>
        <v>221.0736</v>
      </c>
      <c r="G35" s="0" t="s">
        <v>467</v>
      </c>
      <c r="H35" s="0" t="n">
        <f aca="false">ROUNDUP(F35/Inputs!$B$15,0)</f>
        <v>9</v>
      </c>
      <c r="I35" s="0" t="s">
        <v>478</v>
      </c>
    </row>
    <row r="36" customFormat="false" ht="15" hidden="false" customHeight="false" outlineLevel="0" collapsed="false">
      <c r="A36" s="0" t="s">
        <v>479</v>
      </c>
      <c r="B36" s="0" t="s">
        <v>480</v>
      </c>
      <c r="C36" s="0" t="n">
        <v>113</v>
      </c>
      <c r="D36" s="0" t="n">
        <v>0</v>
      </c>
      <c r="E36" s="0" t="n">
        <f aca="false">C36*D36</f>
        <v>0</v>
      </c>
      <c r="F36" s="0" t="n">
        <f aca="false">C36+E36</f>
        <v>113</v>
      </c>
      <c r="H36" s="0" t="n">
        <f aca="false">ROUNDUP(F36,0)</f>
        <v>113</v>
      </c>
      <c r="I36" s="0" t="s">
        <v>481</v>
      </c>
    </row>
    <row r="37" customFormat="false" ht="15" hidden="false" customHeight="false" outlineLevel="0" collapsed="false">
      <c r="A37" s="0" t="s">
        <v>482</v>
      </c>
      <c r="B37" s="0" t="s">
        <v>406</v>
      </c>
      <c r="C37" s="0" t="n">
        <v>56</v>
      </c>
      <c r="D37" s="0" t="n">
        <f aca="false">Inputs!$B$5</f>
        <v>0.15</v>
      </c>
      <c r="E37" s="0" t="n">
        <f aca="false">C37*D37</f>
        <v>8.4</v>
      </c>
      <c r="F37" s="0" t="n">
        <f aca="false">C37+E37</f>
        <v>64.4</v>
      </c>
      <c r="G37" s="0" t="s">
        <v>416</v>
      </c>
      <c r="H37" s="0" t="n">
        <f aca="false">ROUNDUP(F37/Inputs!$B$11,0)</f>
        <v>7</v>
      </c>
      <c r="I37" s="0" t="s">
        <v>483</v>
      </c>
    </row>
    <row r="38" customFormat="false" ht="15" hidden="false" customHeight="false" outlineLevel="0" collapsed="false">
      <c r="A38" s="0" t="s">
        <v>484</v>
      </c>
      <c r="B38" s="0" t="s">
        <v>480</v>
      </c>
      <c r="C38" s="0" t="n">
        <v>28</v>
      </c>
      <c r="D38" s="0" t="n">
        <v>0</v>
      </c>
      <c r="E38" s="0" t="n">
        <f aca="false">C38*D38</f>
        <v>0</v>
      </c>
      <c r="F38" s="0" t="n">
        <f aca="false">C38+E38</f>
        <v>28</v>
      </c>
      <c r="G38" s="0" t="s">
        <v>485</v>
      </c>
      <c r="H38" s="0" t="n">
        <f aca="false">ROUNDUP(F38,0)</f>
        <v>28</v>
      </c>
      <c r="I38" s="0" t="s">
        <v>486</v>
      </c>
    </row>
    <row r="39" customFormat="false" ht="15" hidden="false" customHeight="false" outlineLevel="0" collapsed="false">
      <c r="A39" s="0" t="s">
        <v>487</v>
      </c>
      <c r="B39" s="0" t="s">
        <v>406</v>
      </c>
      <c r="C39" s="0" t="n">
        <v>40.35</v>
      </c>
      <c r="D39" s="0" t="n">
        <f aca="false">Inputs!$B$5</f>
        <v>0.15</v>
      </c>
      <c r="E39" s="0" t="n">
        <f aca="false">C39*D39</f>
        <v>6.0525</v>
      </c>
      <c r="F39" s="0" t="n">
        <f aca="false">C39+E39</f>
        <v>46.4025</v>
      </c>
      <c r="G39" s="0" t="s">
        <v>407</v>
      </c>
      <c r="H39" s="0" t="n">
        <f aca="false">ROUNDUP(F39/Inputs!$B$10,0)</f>
        <v>3</v>
      </c>
      <c r="I39" s="0" t="s">
        <v>488</v>
      </c>
    </row>
    <row r="40" customFormat="false" ht="15" hidden="false" customHeight="false" outlineLevel="0" collapsed="false">
      <c r="A40" s="0" t="s">
        <v>489</v>
      </c>
      <c r="B40" s="0" t="s">
        <v>406</v>
      </c>
      <c r="C40" s="0" t="n">
        <v>4.93</v>
      </c>
      <c r="D40" s="0" t="n">
        <f aca="false">Inputs!$B$5</f>
        <v>0.15</v>
      </c>
      <c r="E40" s="0" t="n">
        <f aca="false">C40*D40</f>
        <v>0.7395</v>
      </c>
      <c r="F40" s="0" t="n">
        <f aca="false">C40+E40</f>
        <v>5.6695</v>
      </c>
      <c r="G40" s="0" t="s">
        <v>407</v>
      </c>
      <c r="H40" s="0" t="n">
        <f aca="false">ROUNDUP(F40/Inputs!$B$10,0)</f>
        <v>1</v>
      </c>
      <c r="I40" s="0" t="s">
        <v>490</v>
      </c>
    </row>
    <row r="41" customFormat="false" ht="15" hidden="false" customHeight="false" outlineLevel="0" collapsed="false">
      <c r="A41" s="0" t="s">
        <v>491</v>
      </c>
      <c r="B41" s="0" t="s">
        <v>439</v>
      </c>
      <c r="C41" s="0" t="n">
        <v>92.78</v>
      </c>
      <c r="D41" s="0" t="n">
        <f aca="false">Inputs!$B$6</f>
        <v>0.06</v>
      </c>
      <c r="E41" s="0" t="n">
        <f aca="false">C41*D41</f>
        <v>5.5668</v>
      </c>
      <c r="F41" s="0" t="n">
        <f aca="false">C41+E41</f>
        <v>98.3468</v>
      </c>
      <c r="G41" s="0" t="s">
        <v>472</v>
      </c>
      <c r="H41" s="0" t="n">
        <f aca="false">ROUNDUP(F41/Inputs!$B$9,0)</f>
        <v>3</v>
      </c>
      <c r="I41" s="0" t="s">
        <v>492</v>
      </c>
    </row>
    <row r="42" customFormat="false" ht="15" hidden="false" customHeight="false" outlineLevel="0" collapsed="false">
      <c r="A42" s="0" t="s">
        <v>493</v>
      </c>
      <c r="B42" s="0" t="s">
        <v>406</v>
      </c>
      <c r="C42" s="0" t="n">
        <v>219.5</v>
      </c>
      <c r="D42" s="0" t="n">
        <f aca="false">Inputs!$B$6</f>
        <v>0.06</v>
      </c>
      <c r="E42" s="0" t="n">
        <f aca="false">C42*D42</f>
        <v>13.17</v>
      </c>
      <c r="F42" s="0" t="n">
        <f aca="false">C42+E42</f>
        <v>232.67</v>
      </c>
      <c r="G42" s="0" t="s">
        <v>458</v>
      </c>
      <c r="H42" s="0" t="n">
        <f aca="false">ROUNDUP(F42/Inputs!$B$18,0)</f>
        <v>24</v>
      </c>
      <c r="I42" s="0" t="s">
        <v>494</v>
      </c>
    </row>
    <row r="43" customFormat="false" ht="15" hidden="false" customHeight="false" outlineLevel="0" collapsed="false">
      <c r="A43" s="0" t="s">
        <v>495</v>
      </c>
      <c r="B43" s="0" t="s">
        <v>480</v>
      </c>
      <c r="C43" s="0" t="n">
        <v>293</v>
      </c>
      <c r="D43" s="0" t="n">
        <v>0</v>
      </c>
      <c r="E43" s="0" t="n">
        <f aca="false">C43*D43</f>
        <v>0</v>
      </c>
      <c r="F43" s="0" t="n">
        <f aca="false">C43+E43</f>
        <v>293</v>
      </c>
      <c r="G43" s="0" t="s">
        <v>485</v>
      </c>
      <c r="H43" s="0" t="n">
        <f aca="false">ROUNDUP(F43,0)</f>
        <v>293</v>
      </c>
      <c r="I43" s="0" t="s">
        <v>496</v>
      </c>
    </row>
    <row r="44" customFormat="false" ht="15" hidden="false" customHeight="false" outlineLevel="0" collapsed="false">
      <c r="A44" s="0" t="s">
        <v>497</v>
      </c>
      <c r="B44" s="0" t="s">
        <v>480</v>
      </c>
      <c r="C44" s="0" t="n">
        <v>1</v>
      </c>
      <c r="D44" s="0" t="n">
        <v>0</v>
      </c>
      <c r="E44" s="0" t="n">
        <f aca="false">C44*D44</f>
        <v>0</v>
      </c>
      <c r="F44" s="0" t="n">
        <f aca="false">C44+E44</f>
        <v>1</v>
      </c>
      <c r="G44" s="0" t="s">
        <v>485</v>
      </c>
      <c r="H44" s="0" t="n">
        <f aca="false">ROUNDUP(F44,0)</f>
        <v>1</v>
      </c>
      <c r="I44" s="0" t="s">
        <v>498</v>
      </c>
    </row>
    <row r="45" customFormat="false" ht="15" hidden="false" customHeight="false" outlineLevel="0" collapsed="false">
      <c r="A45" s="0" t="s">
        <v>499</v>
      </c>
      <c r="B45" s="0" t="s">
        <v>480</v>
      </c>
      <c r="C45" s="0" t="n">
        <v>33666.43</v>
      </c>
      <c r="D45" s="0" t="n">
        <v>0</v>
      </c>
      <c r="E45" s="0" t="n">
        <f aca="false">C45*D45</f>
        <v>0</v>
      </c>
      <c r="F45" s="0" t="n">
        <f aca="false">C45+E45</f>
        <v>33666.43</v>
      </c>
      <c r="G45" s="0" t="s">
        <v>485</v>
      </c>
      <c r="H45" s="0" t="n">
        <f aca="false">ROUNDUP(F45,0)</f>
        <v>33667</v>
      </c>
      <c r="I45" s="0" t="s">
        <v>500</v>
      </c>
      <c r="J45" s="0" t="n">
        <f aca="false">Inputs!$B$20*17955.4</f>
        <v>33666.375</v>
      </c>
    </row>
    <row r="46" customFormat="false" ht="15" hidden="false" customHeight="false" outlineLevel="0" collapsed="false">
      <c r="A46" s="0" t="s">
        <v>501</v>
      </c>
      <c r="B46" s="0" t="s">
        <v>480</v>
      </c>
      <c r="C46" s="0" t="n">
        <v>7144</v>
      </c>
      <c r="D46" s="0" t="n">
        <v>0</v>
      </c>
      <c r="E46" s="0" t="n">
        <f aca="false">C46*D46</f>
        <v>0</v>
      </c>
      <c r="F46" s="0" t="n">
        <f aca="false">C46+E46</f>
        <v>7144</v>
      </c>
      <c r="G46" s="0" t="s">
        <v>485</v>
      </c>
      <c r="H46" s="0" t="n">
        <f aca="false">ROUNDUP(F46,0)</f>
        <v>7144</v>
      </c>
      <c r="I46" s="0" t="s">
        <v>502</v>
      </c>
      <c r="J46" s="0" t="n">
        <f aca="false">Inputs!$B$21*1786</f>
        <v>7144</v>
      </c>
    </row>
    <row r="47" customFormat="false" ht="15" hidden="false" customHeight="false" outlineLevel="0" collapsed="false">
      <c r="A47" s="0" t="s">
        <v>503</v>
      </c>
      <c r="B47" s="0" t="s">
        <v>480</v>
      </c>
      <c r="C47" s="0" t="n">
        <v>537.15</v>
      </c>
      <c r="D47" s="0" t="n">
        <v>0</v>
      </c>
      <c r="E47" s="0" t="n">
        <f aca="false">C47*D47</f>
        <v>0</v>
      </c>
      <c r="F47" s="0" t="n">
        <f aca="false">C47+E47</f>
        <v>537.15</v>
      </c>
      <c r="G47" s="0" t="s">
        <v>485</v>
      </c>
      <c r="H47" s="0" t="n">
        <f aca="false">ROUNDUP(F47,0)</f>
        <v>538</v>
      </c>
      <c r="I47" s="0" t="s">
        <v>504</v>
      </c>
      <c r="J47" s="0" t="n">
        <f aca="false">537.15/Inputs!$B$22</f>
        <v>537.15</v>
      </c>
    </row>
    <row r="48" customFormat="false" ht="15" hidden="false" customHeight="false" outlineLevel="0" collapsed="false">
      <c r="A48" s="0" t="s">
        <v>505</v>
      </c>
      <c r="B48" s="0" t="s">
        <v>480</v>
      </c>
      <c r="C48" s="0" t="n">
        <v>366.94</v>
      </c>
      <c r="D48" s="0" t="n">
        <v>0</v>
      </c>
      <c r="E48" s="0" t="n">
        <f aca="false">C48*D48</f>
        <v>0</v>
      </c>
      <c r="F48" s="0" t="n">
        <f aca="false">C48+E48</f>
        <v>366.94</v>
      </c>
      <c r="G48" s="0" t="s">
        <v>485</v>
      </c>
      <c r="H48" s="0" t="n">
        <f aca="false">ROUNDUP(F48,0)</f>
        <v>367</v>
      </c>
      <c r="I48" s="0" t="s">
        <v>506</v>
      </c>
      <c r="J48" s="0" t="n">
        <f aca="false">244.64/Inputs!$B$25</f>
        <v>366.941652917354</v>
      </c>
    </row>
    <row r="49" customFormat="false" ht="15" hidden="false" customHeight="false" outlineLevel="0" collapsed="false">
      <c r="A49" s="0" t="s">
        <v>507</v>
      </c>
      <c r="B49" s="0" t="s">
        <v>508</v>
      </c>
      <c r="C49" s="0" t="n">
        <v>1292.79</v>
      </c>
      <c r="D49" s="0" t="n">
        <v>0</v>
      </c>
      <c r="E49" s="0" t="n">
        <f aca="false">C49*D49</f>
        <v>0</v>
      </c>
      <c r="F49" s="0" t="n">
        <f aca="false">C49+E49</f>
        <v>1292.79</v>
      </c>
      <c r="G49" s="0" t="s">
        <v>509</v>
      </c>
      <c r="H49" s="0" t="n">
        <f aca="false">ROUNDUP(F49,0)</f>
        <v>1293</v>
      </c>
      <c r="I49" s="0" t="s">
        <v>510</v>
      </c>
      <c r="J49" s="0" t="n">
        <f aca="false">Inputs!$B$23*17955.4</f>
        <v>1292.7888</v>
      </c>
    </row>
    <row r="50" customFormat="false" ht="15" hidden="false" customHeight="false" outlineLevel="0" collapsed="false">
      <c r="A50" s="0" t="s">
        <v>511</v>
      </c>
      <c r="B50" s="0" t="s">
        <v>406</v>
      </c>
      <c r="C50" s="0" t="n">
        <v>6643.51</v>
      </c>
      <c r="D50" s="0" t="n">
        <v>0</v>
      </c>
      <c r="E50" s="0" t="n">
        <f aca="false">C50*D50</f>
        <v>0</v>
      </c>
      <c r="F50" s="0" t="n">
        <f aca="false">C50+E50</f>
        <v>6643.51</v>
      </c>
      <c r="G50" s="0" t="s">
        <v>406</v>
      </c>
      <c r="H50" s="0" t="n">
        <f aca="false">ROUNDUP(F50,0)</f>
        <v>6644</v>
      </c>
      <c r="I50" s="0" t="s">
        <v>512</v>
      </c>
      <c r="J50" s="0" t="n">
        <f aca="false">Inputs!$B$24*17955.4</f>
        <v>6643.498</v>
      </c>
    </row>
    <row r="51" customFormat="false" ht="15" hidden="false" customHeight="false" outlineLevel="0" collapsed="false">
      <c r="A51" s="0" t="s">
        <v>513</v>
      </c>
      <c r="B51" s="0" t="s">
        <v>439</v>
      </c>
      <c r="C51" s="0" t="n">
        <v>868.71</v>
      </c>
      <c r="D51" s="0" t="n">
        <f aca="false">Inputs!$B$6</f>
        <v>0.06</v>
      </c>
      <c r="E51" s="0" t="n">
        <f aca="false">C51*D51</f>
        <v>52.1226</v>
      </c>
      <c r="F51" s="0" t="n">
        <f aca="false">C51+E51</f>
        <v>920.8326</v>
      </c>
      <c r="G51" s="0" t="s">
        <v>439</v>
      </c>
      <c r="H51" s="0" t="n">
        <f aca="false">ROUNDUP(F51,0)</f>
        <v>921</v>
      </c>
      <c r="I51" s="0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515</v>
      </c>
      <c r="B1" s="2" t="s">
        <v>516</v>
      </c>
      <c r="C1" s="2" t="s">
        <v>517</v>
      </c>
    </row>
    <row r="2" customFormat="false" ht="15" hidden="false" customHeight="false" outlineLevel="0" collapsed="false">
      <c r="A2" s="0" t="s">
        <v>518</v>
      </c>
      <c r="B2" s="0" t="s">
        <v>519</v>
      </c>
      <c r="C2" s="0" t="s">
        <v>520</v>
      </c>
    </row>
    <row r="3" customFormat="false" ht="15" hidden="false" customHeight="false" outlineLevel="0" collapsed="false">
      <c r="A3" s="0" t="s">
        <v>521</v>
      </c>
      <c r="B3" s="0" t="s">
        <v>522</v>
      </c>
      <c r="C3" s="0" t="s">
        <v>523</v>
      </c>
    </row>
    <row r="4" customFormat="false" ht="15" hidden="false" customHeight="false" outlineLevel="0" collapsed="false">
      <c r="A4" s="0" t="s">
        <v>524</v>
      </c>
      <c r="B4" s="0" t="s">
        <v>525</v>
      </c>
      <c r="C4" s="0" t="s">
        <v>526</v>
      </c>
    </row>
    <row r="5" customFormat="false" ht="15" hidden="false" customHeight="false" outlineLevel="0" collapsed="false">
      <c r="A5" s="0" t="s">
        <v>527</v>
      </c>
      <c r="B5" s="0" t="s">
        <v>528</v>
      </c>
      <c r="C5" s="0" t="s">
        <v>529</v>
      </c>
    </row>
    <row r="6" customFormat="false" ht="15" hidden="false" customHeight="false" outlineLevel="0" collapsed="false">
      <c r="A6" s="0" t="s">
        <v>530</v>
      </c>
      <c r="B6" s="0" t="s">
        <v>531</v>
      </c>
      <c r="C6" s="0" t="s">
        <v>532</v>
      </c>
    </row>
    <row r="7" customFormat="false" ht="15" hidden="false" customHeight="false" outlineLevel="0" collapsed="false">
      <c r="A7" s="0" t="s">
        <v>533</v>
      </c>
      <c r="B7" s="0" t="s">
        <v>534</v>
      </c>
      <c r="C7" s="0" t="s">
        <v>535</v>
      </c>
    </row>
    <row r="8" customFormat="false" ht="15" hidden="false" customHeight="false" outlineLevel="0" collapsed="false">
      <c r="A8" s="0" t="s">
        <v>536</v>
      </c>
      <c r="B8" s="0" t="s">
        <v>537</v>
      </c>
      <c r="C8" s="0" t="s">
        <v>538</v>
      </c>
    </row>
    <row r="9" customFormat="false" ht="15" hidden="false" customHeight="false" outlineLevel="0" collapsed="false">
      <c r="A9" s="0" t="s">
        <v>539</v>
      </c>
      <c r="B9" s="0" t="s">
        <v>540</v>
      </c>
      <c r="C9" s="0" t="s">
        <v>541</v>
      </c>
    </row>
    <row r="10" customFormat="false" ht="15" hidden="false" customHeight="false" outlineLevel="0" collapsed="false">
      <c r="A10" s="0" t="s">
        <v>542</v>
      </c>
      <c r="B10" s="0" t="s">
        <v>543</v>
      </c>
      <c r="C10" s="0" t="s">
        <v>544</v>
      </c>
    </row>
    <row r="11" customFormat="false" ht="15" hidden="false" customHeight="false" outlineLevel="0" collapsed="false">
      <c r="A11" s="0" t="s">
        <v>545</v>
      </c>
      <c r="B11" s="0" t="s">
        <v>546</v>
      </c>
      <c r="C11" s="0" t="s">
        <v>547</v>
      </c>
    </row>
    <row r="12" customFormat="false" ht="15" hidden="false" customHeight="false" outlineLevel="0" collapsed="false">
      <c r="A12" s="0" t="s">
        <v>548</v>
      </c>
      <c r="B12" s="0" t="s">
        <v>549</v>
      </c>
      <c r="C12" s="0" t="s">
        <v>550</v>
      </c>
    </row>
    <row r="13" customFormat="false" ht="15" hidden="false" customHeight="false" outlineLevel="0" collapsed="false">
      <c r="A13" s="0" t="s">
        <v>551</v>
      </c>
      <c r="B13" s="0" t="s">
        <v>552</v>
      </c>
      <c r="C13" s="0" t="s">
        <v>553</v>
      </c>
    </row>
    <row r="14" customFormat="false" ht="15" hidden="false" customHeight="false" outlineLevel="0" collapsed="false">
      <c r="A14" s="0" t="s">
        <v>554</v>
      </c>
      <c r="B14" s="0" t="s">
        <v>555</v>
      </c>
      <c r="C14" s="0" t="s">
        <v>556</v>
      </c>
    </row>
    <row r="15" customFormat="false" ht="15" hidden="false" customHeight="false" outlineLevel="0" collapsed="false">
      <c r="A15" s="0" t="s">
        <v>557</v>
      </c>
      <c r="B15" s="0" t="s">
        <v>558</v>
      </c>
      <c r="C15" s="0" t="s">
        <v>559</v>
      </c>
    </row>
    <row r="16" customFormat="false" ht="15" hidden="false" customHeight="false" outlineLevel="0" collapsed="false">
      <c r="A16" s="0" t="s">
        <v>560</v>
      </c>
      <c r="B16" s="0" t="s">
        <v>561</v>
      </c>
      <c r="C16" s="0" t="s">
        <v>562</v>
      </c>
    </row>
    <row r="17" customFormat="false" ht="15" hidden="false" customHeight="false" outlineLevel="0" collapsed="false">
      <c r="A17" s="0" t="s">
        <v>563</v>
      </c>
      <c r="B17" s="0" t="s">
        <v>564</v>
      </c>
      <c r="C17" s="0" t="s">
        <v>565</v>
      </c>
    </row>
    <row r="18" customFormat="false" ht="15" hidden="false" customHeight="false" outlineLevel="0" collapsed="false">
      <c r="A18" s="0" t="s">
        <v>566</v>
      </c>
      <c r="B18" s="0" t="s">
        <v>567</v>
      </c>
      <c r="C18" s="0" t="s">
        <v>568</v>
      </c>
    </row>
    <row r="19" customFormat="false" ht="15" hidden="false" customHeight="false" outlineLevel="0" collapsed="false">
      <c r="A19" s="0" t="s">
        <v>569</v>
      </c>
      <c r="B19" s="0" t="s">
        <v>570</v>
      </c>
      <c r="C19" s="0" t="s">
        <v>571</v>
      </c>
    </row>
    <row r="20" customFormat="false" ht="15" hidden="false" customHeight="false" outlineLevel="0" collapsed="false">
      <c r="A20" s="0" t="s">
        <v>572</v>
      </c>
      <c r="B20" s="0" t="s">
        <v>573</v>
      </c>
      <c r="C20" s="0" t="s">
        <v>574</v>
      </c>
    </row>
    <row r="21" customFormat="false" ht="15" hidden="false" customHeight="false" outlineLevel="0" collapsed="false">
      <c r="A21" s="0" t="s">
        <v>575</v>
      </c>
      <c r="B21" s="0" t="s">
        <v>576</v>
      </c>
      <c r="C21" s="0" t="s">
        <v>577</v>
      </c>
    </row>
    <row r="22" customFormat="false" ht="15" hidden="false" customHeight="false" outlineLevel="0" collapsed="false">
      <c r="A22" s="0" t="s">
        <v>578</v>
      </c>
      <c r="B22" s="0" t="s">
        <v>579</v>
      </c>
      <c r="C22" s="0" t="s">
        <v>580</v>
      </c>
    </row>
    <row r="23" customFormat="false" ht="15" hidden="false" customHeight="false" outlineLevel="0" collapsed="false">
      <c r="A23" s="0" t="s">
        <v>581</v>
      </c>
      <c r="B23" s="0" t="s">
        <v>582</v>
      </c>
      <c r="C23" s="0" t="s">
        <v>583</v>
      </c>
    </row>
    <row r="24" customFormat="false" ht="15" hidden="false" customHeight="false" outlineLevel="0" collapsed="false">
      <c r="A24" s="0" t="s">
        <v>584</v>
      </c>
      <c r="B24" s="0" t="s">
        <v>585</v>
      </c>
      <c r="C24" s="0" t="s">
        <v>586</v>
      </c>
    </row>
    <row r="25" customFormat="false" ht="15" hidden="false" customHeight="false" outlineLevel="0" collapsed="false">
      <c r="A25" s="0" t="s">
        <v>587</v>
      </c>
      <c r="B25" s="0" t="s">
        <v>588</v>
      </c>
      <c r="C25" s="0" t="s">
        <v>589</v>
      </c>
    </row>
    <row r="26" customFormat="false" ht="15" hidden="false" customHeight="false" outlineLevel="0" collapsed="false">
      <c r="A26" s="0" t="s">
        <v>590</v>
      </c>
      <c r="B26" s="0" t="s">
        <v>591</v>
      </c>
      <c r="C26" s="0" t="s">
        <v>592</v>
      </c>
    </row>
    <row r="27" customFormat="false" ht="15" hidden="false" customHeight="false" outlineLevel="0" collapsed="false">
      <c r="A27" s="0" t="s">
        <v>593</v>
      </c>
      <c r="B27" s="0" t="s">
        <v>594</v>
      </c>
      <c r="C27" s="0" t="s">
        <v>595</v>
      </c>
    </row>
    <row r="28" customFormat="false" ht="15" hidden="false" customHeight="false" outlineLevel="0" collapsed="false">
      <c r="A28" s="0" t="s">
        <v>596</v>
      </c>
      <c r="B28" s="0" t="s">
        <v>597</v>
      </c>
      <c r="C28" s="0" t="s">
        <v>598</v>
      </c>
    </row>
    <row r="29" customFormat="false" ht="15" hidden="false" customHeight="false" outlineLevel="0" collapsed="false">
      <c r="A29" s="0" t="s">
        <v>599</v>
      </c>
      <c r="B29" s="0" t="s">
        <v>600</v>
      </c>
      <c r="C29" s="0" t="s">
        <v>601</v>
      </c>
    </row>
    <row r="30" customFormat="false" ht="15" hidden="false" customHeight="false" outlineLevel="0" collapsed="false">
      <c r="A30" s="0" t="s">
        <v>602</v>
      </c>
      <c r="B30" s="0" t="s">
        <v>603</v>
      </c>
      <c r="C30" s="0" t="s">
        <v>604</v>
      </c>
    </row>
    <row r="31" customFormat="false" ht="15" hidden="false" customHeight="false" outlineLevel="0" collapsed="false">
      <c r="A31" s="0" t="s">
        <v>605</v>
      </c>
      <c r="B31" s="0" t="s">
        <v>606</v>
      </c>
      <c r="C31" s="0" t="s">
        <v>607</v>
      </c>
    </row>
    <row r="32" customFormat="false" ht="15" hidden="false" customHeight="false" outlineLevel="0" collapsed="false">
      <c r="A32" s="0" t="s">
        <v>608</v>
      </c>
      <c r="B32" s="0" t="s">
        <v>609</v>
      </c>
      <c r="C32" s="0" t="s">
        <v>610</v>
      </c>
    </row>
    <row r="33" customFormat="false" ht="15" hidden="false" customHeight="false" outlineLevel="0" collapsed="false">
      <c r="A33" s="0" t="s">
        <v>611</v>
      </c>
      <c r="B33" s="0" t="s">
        <v>612</v>
      </c>
      <c r="C33" s="0" t="s">
        <v>613</v>
      </c>
    </row>
    <row r="34" customFormat="false" ht="15" hidden="false" customHeight="false" outlineLevel="0" collapsed="false">
      <c r="A34" s="0" t="s">
        <v>614</v>
      </c>
      <c r="B34" s="0" t="s">
        <v>615</v>
      </c>
      <c r="C34" s="0" t="s">
        <v>616</v>
      </c>
    </row>
    <row r="35" customFormat="false" ht="15" hidden="false" customHeight="false" outlineLevel="0" collapsed="false">
      <c r="A35" s="0" t="s">
        <v>617</v>
      </c>
      <c r="B35" s="0" t="s">
        <v>618</v>
      </c>
      <c r="C35" s="0" t="s">
        <v>619</v>
      </c>
    </row>
    <row r="36" customFormat="false" ht="15" hidden="false" customHeight="false" outlineLevel="0" collapsed="false">
      <c r="A36" s="0" t="s">
        <v>620</v>
      </c>
      <c r="B36" s="0" t="s">
        <v>621</v>
      </c>
      <c r="C36" s="0" t="s">
        <v>622</v>
      </c>
    </row>
    <row r="37" customFormat="false" ht="15" hidden="false" customHeight="false" outlineLevel="0" collapsed="false">
      <c r="A37" s="0" t="s">
        <v>623</v>
      </c>
      <c r="B37" s="0" t="s">
        <v>624</v>
      </c>
      <c r="C37" s="0" t="s">
        <v>625</v>
      </c>
    </row>
    <row r="38" customFormat="false" ht="15" hidden="false" customHeight="false" outlineLevel="0" collapsed="false">
      <c r="A38" s="0" t="s">
        <v>626</v>
      </c>
      <c r="B38" s="0" t="s">
        <v>627</v>
      </c>
      <c r="C38" s="0" t="s">
        <v>628</v>
      </c>
    </row>
    <row r="39" customFormat="false" ht="15" hidden="false" customHeight="false" outlineLevel="0" collapsed="false">
      <c r="A39" s="0" t="s">
        <v>629</v>
      </c>
      <c r="B39" s="0" t="s">
        <v>630</v>
      </c>
      <c r="C39" s="0" t="s">
        <v>631</v>
      </c>
    </row>
    <row r="40" customFormat="false" ht="15" hidden="false" customHeight="false" outlineLevel="0" collapsed="false">
      <c r="A40" s="0" t="s">
        <v>632</v>
      </c>
      <c r="B40" s="0" t="s">
        <v>633</v>
      </c>
      <c r="C40" s="0" t="s">
        <v>634</v>
      </c>
    </row>
    <row r="41" customFormat="false" ht="15" hidden="false" customHeight="false" outlineLevel="0" collapsed="false">
      <c r="A41" s="0" t="s">
        <v>635</v>
      </c>
      <c r="B41" s="0" t="s">
        <v>636</v>
      </c>
      <c r="C41" s="0" t="s">
        <v>637</v>
      </c>
    </row>
    <row r="42" customFormat="false" ht="15" hidden="false" customHeight="false" outlineLevel="0" collapsed="false">
      <c r="A42" s="0" t="s">
        <v>638</v>
      </c>
      <c r="B42" s="0" t="s">
        <v>639</v>
      </c>
      <c r="C42" s="0" t="s">
        <v>640</v>
      </c>
    </row>
    <row r="43" customFormat="false" ht="15" hidden="false" customHeight="false" outlineLevel="0" collapsed="false">
      <c r="A43" s="0" t="s">
        <v>641</v>
      </c>
      <c r="B43" s="0" t="s">
        <v>642</v>
      </c>
      <c r="C43" s="0" t="s">
        <v>643</v>
      </c>
    </row>
    <row r="44" customFormat="false" ht="15" hidden="false" customHeight="false" outlineLevel="0" collapsed="false">
      <c r="A44" s="0" t="s">
        <v>644</v>
      </c>
      <c r="B44" s="0" t="s">
        <v>645</v>
      </c>
      <c r="C44" s="0" t="s">
        <v>646</v>
      </c>
    </row>
    <row r="45" customFormat="false" ht="15" hidden="false" customHeight="false" outlineLevel="0" collapsed="false">
      <c r="A45" s="0" t="s">
        <v>647</v>
      </c>
      <c r="B45" s="0" t="s">
        <v>648</v>
      </c>
      <c r="C45" s="0" t="s">
        <v>649</v>
      </c>
    </row>
    <row r="46" customFormat="false" ht="15" hidden="false" customHeight="false" outlineLevel="0" collapsed="false">
      <c r="A46" s="0" t="s">
        <v>650</v>
      </c>
      <c r="B46" s="0" t="s">
        <v>651</v>
      </c>
      <c r="C46" s="0" t="s">
        <v>652</v>
      </c>
    </row>
    <row r="47" customFormat="false" ht="15" hidden="false" customHeight="false" outlineLevel="0" collapsed="false">
      <c r="A47" s="0" t="s">
        <v>653</v>
      </c>
      <c r="B47" s="0" t="s">
        <v>654</v>
      </c>
      <c r="C47" s="0" t="s">
        <v>655</v>
      </c>
    </row>
    <row r="48" customFormat="false" ht="15" hidden="false" customHeight="false" outlineLevel="0" collapsed="false">
      <c r="A48" s="0" t="s">
        <v>656</v>
      </c>
      <c r="B48" s="0" t="s">
        <v>657</v>
      </c>
      <c r="C48" s="0" t="s">
        <v>658</v>
      </c>
    </row>
    <row r="49" customFormat="false" ht="15" hidden="false" customHeight="false" outlineLevel="0" collapsed="false">
      <c r="A49" s="0" t="s">
        <v>659</v>
      </c>
      <c r="B49" s="0" t="s">
        <v>660</v>
      </c>
      <c r="C49" s="0" t="s">
        <v>661</v>
      </c>
    </row>
    <row r="50" customFormat="false" ht="15" hidden="false" customHeight="false" outlineLevel="0" collapsed="false">
      <c r="A50" s="0" t="s">
        <v>662</v>
      </c>
      <c r="B50" s="0" t="s">
        <v>663</v>
      </c>
      <c r="C50" s="0" t="s">
        <v>664</v>
      </c>
    </row>
    <row r="51" customFormat="false" ht="15" hidden="false" customHeight="false" outlineLevel="0" collapsed="false">
      <c r="A51" s="0" t="s">
        <v>665</v>
      </c>
      <c r="B51" s="0" t="s">
        <v>666</v>
      </c>
      <c r="C51" s="0" t="s">
        <v>667</v>
      </c>
    </row>
    <row r="52" customFormat="false" ht="15" hidden="false" customHeight="false" outlineLevel="0" collapsed="false">
      <c r="A52" s="0" t="s">
        <v>668</v>
      </c>
      <c r="B52" s="0" t="s">
        <v>669</v>
      </c>
      <c r="C52" s="0" t="s">
        <v>670</v>
      </c>
    </row>
    <row r="53" customFormat="false" ht="15" hidden="false" customHeight="false" outlineLevel="0" collapsed="false">
      <c r="A53" s="0" t="s">
        <v>671</v>
      </c>
      <c r="B53" s="0" t="s">
        <v>672</v>
      </c>
      <c r="C53" s="0" t="s">
        <v>673</v>
      </c>
    </row>
    <row r="54" customFormat="false" ht="15" hidden="false" customHeight="false" outlineLevel="0" collapsed="false">
      <c r="A54" s="0" t="s">
        <v>674</v>
      </c>
      <c r="B54" s="0" t="s">
        <v>675</v>
      </c>
      <c r="C54" s="0" t="s">
        <v>676</v>
      </c>
    </row>
    <row r="55" customFormat="false" ht="15" hidden="false" customHeight="false" outlineLevel="0" collapsed="false">
      <c r="A55" s="0" t="s">
        <v>677</v>
      </c>
      <c r="B55" s="0" t="s">
        <v>678</v>
      </c>
      <c r="C55" s="0" t="s">
        <v>679</v>
      </c>
    </row>
    <row r="56" customFormat="false" ht="15" hidden="false" customHeight="false" outlineLevel="0" collapsed="false">
      <c r="A56" s="0" t="s">
        <v>680</v>
      </c>
      <c r="B56" s="0" t="s">
        <v>681</v>
      </c>
      <c r="C56" s="0" t="s">
        <v>682</v>
      </c>
    </row>
    <row r="57" customFormat="false" ht="15" hidden="false" customHeight="false" outlineLevel="0" collapsed="false">
      <c r="A57" s="0" t="s">
        <v>683</v>
      </c>
      <c r="B57" s="0" t="s">
        <v>684</v>
      </c>
      <c r="C57" s="0" t="s">
        <v>685</v>
      </c>
    </row>
    <row r="58" customFormat="false" ht="15" hidden="false" customHeight="false" outlineLevel="0" collapsed="false">
      <c r="A58" s="0" t="s">
        <v>686</v>
      </c>
      <c r="B58" s="0" t="s">
        <v>687</v>
      </c>
      <c r="C58" s="0" t="s">
        <v>688</v>
      </c>
    </row>
    <row r="59" customFormat="false" ht="15" hidden="false" customHeight="false" outlineLevel="0" collapsed="false">
      <c r="A59" s="0" t="s">
        <v>689</v>
      </c>
      <c r="B59" s="0" t="s">
        <v>690</v>
      </c>
      <c r="C59" s="0" t="s">
        <v>691</v>
      </c>
    </row>
    <row r="60" customFormat="false" ht="15" hidden="false" customHeight="false" outlineLevel="0" collapsed="false">
      <c r="A60" s="0" t="s">
        <v>692</v>
      </c>
      <c r="B60" s="0" t="s">
        <v>693</v>
      </c>
      <c r="C60" s="0" t="s">
        <v>694</v>
      </c>
    </row>
    <row r="61" customFormat="false" ht="15" hidden="false" customHeight="false" outlineLevel="0" collapsed="false">
      <c r="A61" s="0" t="s">
        <v>695</v>
      </c>
      <c r="B61" s="0" t="s">
        <v>696</v>
      </c>
      <c r="C61" s="0" t="s">
        <v>697</v>
      </c>
    </row>
    <row r="62" customFormat="false" ht="15" hidden="false" customHeight="false" outlineLevel="0" collapsed="false">
      <c r="A62" s="0" t="s">
        <v>698</v>
      </c>
      <c r="B62" s="0" t="s">
        <v>699</v>
      </c>
      <c r="C62" s="0" t="s">
        <v>700</v>
      </c>
    </row>
    <row r="63" customFormat="false" ht="15" hidden="false" customHeight="false" outlineLevel="0" collapsed="false">
      <c r="A63" s="0" t="s">
        <v>701</v>
      </c>
      <c r="B63" s="0" t="s">
        <v>702</v>
      </c>
      <c r="C63" s="0" t="s">
        <v>703</v>
      </c>
    </row>
    <row r="64" customFormat="false" ht="15" hidden="false" customHeight="false" outlineLevel="0" collapsed="false">
      <c r="A64" s="0" t="s">
        <v>704</v>
      </c>
      <c r="B64" s="0" t="s">
        <v>705</v>
      </c>
      <c r="C64" s="0" t="s">
        <v>706</v>
      </c>
    </row>
    <row r="65" customFormat="false" ht="15" hidden="false" customHeight="false" outlineLevel="0" collapsed="false">
      <c r="A65" s="0" t="s">
        <v>707</v>
      </c>
      <c r="B65" s="0" t="s">
        <v>708</v>
      </c>
      <c r="C65" s="0" t="s">
        <v>709</v>
      </c>
    </row>
    <row r="66" customFormat="false" ht="15" hidden="false" customHeight="false" outlineLevel="0" collapsed="false">
      <c r="A66" s="0" t="s">
        <v>710</v>
      </c>
      <c r="B66" s="0" t="s">
        <v>711</v>
      </c>
      <c r="C66" s="0" t="s">
        <v>712</v>
      </c>
    </row>
    <row r="67" customFormat="false" ht="15" hidden="false" customHeight="false" outlineLevel="0" collapsed="false">
      <c r="A67" s="0" t="s">
        <v>713</v>
      </c>
      <c r="B67" s="0" t="s">
        <v>714</v>
      </c>
      <c r="C67" s="0" t="s">
        <v>715</v>
      </c>
    </row>
    <row r="68" customFormat="false" ht="15" hidden="false" customHeight="false" outlineLevel="0" collapsed="false">
      <c r="A68" s="0" t="s">
        <v>716</v>
      </c>
      <c r="B68" s="0" t="s">
        <v>717</v>
      </c>
      <c r="C68" s="0" t="s">
        <v>718</v>
      </c>
    </row>
    <row r="69" customFormat="false" ht="15" hidden="false" customHeight="false" outlineLevel="0" collapsed="false">
      <c r="A69" s="0" t="s">
        <v>719</v>
      </c>
      <c r="B69" s="0" t="s">
        <v>720</v>
      </c>
      <c r="C69" s="0" t="s">
        <v>721</v>
      </c>
    </row>
    <row r="70" customFormat="false" ht="15" hidden="false" customHeight="false" outlineLevel="0" collapsed="false">
      <c r="A70" s="0" t="s">
        <v>722</v>
      </c>
      <c r="B70" s="0" t="s">
        <v>723</v>
      </c>
      <c r="C70" s="0" t="s">
        <v>724</v>
      </c>
    </row>
    <row r="71" customFormat="false" ht="15" hidden="false" customHeight="false" outlineLevel="0" collapsed="false">
      <c r="A71" s="0" t="s">
        <v>725</v>
      </c>
      <c r="B71" s="0" t="s">
        <v>726</v>
      </c>
      <c r="C71" s="0" t="s">
        <v>727</v>
      </c>
    </row>
    <row r="72" customFormat="false" ht="15" hidden="false" customHeight="false" outlineLevel="0" collapsed="false">
      <c r="A72" s="0" t="s">
        <v>728</v>
      </c>
      <c r="B72" s="0" t="s">
        <v>729</v>
      </c>
      <c r="C72" s="0" t="s">
        <v>730</v>
      </c>
    </row>
    <row r="73" customFormat="false" ht="15" hidden="false" customHeight="false" outlineLevel="0" collapsed="false">
      <c r="A73" s="0" t="s">
        <v>731</v>
      </c>
      <c r="B73" s="0" t="s">
        <v>732</v>
      </c>
      <c r="C73" s="0" t="s">
        <v>733</v>
      </c>
    </row>
    <row r="74" customFormat="false" ht="15" hidden="false" customHeight="false" outlineLevel="0" collapsed="false">
      <c r="A74" s="0" t="s">
        <v>734</v>
      </c>
      <c r="B74" s="0" t="s">
        <v>735</v>
      </c>
      <c r="C74" s="0" t="s">
        <v>736</v>
      </c>
    </row>
    <row r="75" customFormat="false" ht="15" hidden="false" customHeight="false" outlineLevel="0" collapsed="false">
      <c r="A75" s="0" t="s">
        <v>737</v>
      </c>
      <c r="B75" s="0" t="s">
        <v>738</v>
      </c>
      <c r="C75" s="0" t="s">
        <v>739</v>
      </c>
    </row>
    <row r="76" customFormat="false" ht="15" hidden="false" customHeight="false" outlineLevel="0" collapsed="false">
      <c r="A76" s="0" t="s">
        <v>740</v>
      </c>
      <c r="B76" s="0" t="s">
        <v>741</v>
      </c>
      <c r="C76" s="0" t="s">
        <v>742</v>
      </c>
    </row>
    <row r="77" customFormat="false" ht="15" hidden="false" customHeight="false" outlineLevel="0" collapsed="false">
      <c r="A77" s="0" t="s">
        <v>743</v>
      </c>
      <c r="B77" s="0" t="s">
        <v>744</v>
      </c>
      <c r="C77" s="0" t="s">
        <v>745</v>
      </c>
    </row>
    <row r="78" customFormat="false" ht="15" hidden="false" customHeight="false" outlineLevel="0" collapsed="false">
      <c r="A78" s="0" t="s">
        <v>746</v>
      </c>
      <c r="B78" s="0" t="s">
        <v>747</v>
      </c>
      <c r="C78" s="0" t="s">
        <v>748</v>
      </c>
    </row>
    <row r="79" customFormat="false" ht="15" hidden="false" customHeight="false" outlineLevel="0" collapsed="false">
      <c r="A79" s="0" t="s">
        <v>749</v>
      </c>
      <c r="B79" s="0" t="s">
        <v>750</v>
      </c>
      <c r="C79" s="0" t="s">
        <v>751</v>
      </c>
    </row>
    <row r="80" customFormat="false" ht="15" hidden="false" customHeight="false" outlineLevel="0" collapsed="false">
      <c r="A80" s="0" t="s">
        <v>752</v>
      </c>
      <c r="B80" s="0" t="s">
        <v>753</v>
      </c>
      <c r="C80" s="0" t="s">
        <v>754</v>
      </c>
    </row>
    <row r="81" customFormat="false" ht="15" hidden="false" customHeight="false" outlineLevel="0" collapsed="false">
      <c r="A81" s="0" t="s">
        <v>755</v>
      </c>
      <c r="B81" s="0" t="s">
        <v>756</v>
      </c>
      <c r="C81" s="0" t="s">
        <v>757</v>
      </c>
    </row>
    <row r="82" customFormat="false" ht="15" hidden="false" customHeight="false" outlineLevel="0" collapsed="false">
      <c r="A82" s="0" t="s">
        <v>758</v>
      </c>
      <c r="B82" s="0" t="s">
        <v>759</v>
      </c>
      <c r="C82" s="0" t="s">
        <v>760</v>
      </c>
    </row>
    <row r="83" customFormat="false" ht="15" hidden="false" customHeight="false" outlineLevel="0" collapsed="false">
      <c r="A83" s="0" t="s">
        <v>761</v>
      </c>
      <c r="B83" s="0" t="s">
        <v>762</v>
      </c>
      <c r="C83" s="0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4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764</v>
      </c>
      <c r="B1" s="0" t="s">
        <v>765</v>
      </c>
      <c r="C1" s="0" t="s">
        <v>766</v>
      </c>
      <c r="D1" s="0" t="s">
        <v>767</v>
      </c>
    </row>
    <row r="2" customFormat="false" ht="15" hidden="false" customHeight="false" outlineLevel="0" collapsed="false">
      <c r="A2" s="0" t="n">
        <v>1</v>
      </c>
      <c r="B2" s="0" t="s">
        <v>768</v>
      </c>
      <c r="C2" s="0" t="s">
        <v>769</v>
      </c>
      <c r="D2" s="0" t="s">
        <v>770</v>
      </c>
    </row>
    <row r="3" customFormat="false" ht="15" hidden="false" customHeight="false" outlineLevel="0" collapsed="false">
      <c r="A3" s="0" t="n">
        <v>2</v>
      </c>
      <c r="B3" s="0" t="s">
        <v>771</v>
      </c>
      <c r="C3" s="0" t="s">
        <v>769</v>
      </c>
      <c r="D3" s="0" t="s">
        <v>772</v>
      </c>
    </row>
    <row r="4" customFormat="false" ht="15" hidden="false" customHeight="false" outlineLevel="0" collapsed="false">
      <c r="A4" s="0" t="n">
        <v>3</v>
      </c>
      <c r="B4" s="0" t="s">
        <v>773</v>
      </c>
      <c r="C4" s="0" t="s">
        <v>769</v>
      </c>
      <c r="D4" s="0" t="s">
        <v>774</v>
      </c>
    </row>
    <row r="5" customFormat="false" ht="15" hidden="false" customHeight="false" outlineLevel="0" collapsed="false">
      <c r="A5" s="0" t="n">
        <v>4</v>
      </c>
      <c r="B5" s="0" t="s">
        <v>775</v>
      </c>
      <c r="C5" s="0" t="s">
        <v>769</v>
      </c>
      <c r="D5" s="0" t="s">
        <v>776</v>
      </c>
    </row>
    <row r="6" customFormat="false" ht="15" hidden="false" customHeight="false" outlineLevel="0" collapsed="false">
      <c r="A6" s="0" t="n">
        <v>5</v>
      </c>
      <c r="B6" s="0" t="s">
        <v>777</v>
      </c>
      <c r="C6" s="0" t="s">
        <v>769</v>
      </c>
      <c r="D6" s="0" t="s">
        <v>778</v>
      </c>
    </row>
    <row r="7" customFormat="false" ht="15" hidden="false" customHeight="false" outlineLevel="0" collapsed="false">
      <c r="A7" s="0" t="n">
        <v>6</v>
      </c>
      <c r="B7" s="0" t="s">
        <v>779</v>
      </c>
      <c r="C7" s="0" t="s">
        <v>769</v>
      </c>
      <c r="D7" s="0" t="s">
        <v>780</v>
      </c>
    </row>
    <row r="8" customFormat="false" ht="15" hidden="false" customHeight="false" outlineLevel="0" collapsed="false">
      <c r="A8" s="0" t="n">
        <v>7</v>
      </c>
      <c r="B8" s="0" t="s">
        <v>781</v>
      </c>
      <c r="C8" s="0" t="s">
        <v>782</v>
      </c>
      <c r="D8" s="0" t="s">
        <v>783</v>
      </c>
    </row>
    <row r="9" customFormat="false" ht="15" hidden="false" customHeight="false" outlineLevel="0" collapsed="false">
      <c r="A9" s="0" t="n">
        <v>8</v>
      </c>
      <c r="B9" s="0" t="s">
        <v>784</v>
      </c>
      <c r="C9" s="0" t="s">
        <v>782</v>
      </c>
      <c r="D9" s="0" t="s">
        <v>783</v>
      </c>
    </row>
    <row r="10" customFormat="false" ht="15" hidden="false" customHeight="false" outlineLevel="0" collapsed="false">
      <c r="A10" s="0" t="n">
        <v>9</v>
      </c>
      <c r="B10" s="0" t="s">
        <v>785</v>
      </c>
      <c r="C10" s="0" t="s">
        <v>782</v>
      </c>
      <c r="D10" s="0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786</v>
      </c>
      <c r="B1" s="0" t="s">
        <v>787</v>
      </c>
      <c r="C1" s="0" t="s">
        <v>59</v>
      </c>
      <c r="D1" s="0" t="s">
        <v>788</v>
      </c>
    </row>
    <row r="2" customFormat="false" ht="15" hidden="false" customHeight="false" outlineLevel="0" collapsed="false">
      <c r="A2" s="0" t="s">
        <v>789</v>
      </c>
      <c r="B2" s="0" t="s">
        <v>790</v>
      </c>
      <c r="C2" s="0" t="s">
        <v>791</v>
      </c>
      <c r="D2" s="0" t="s">
        <v>792</v>
      </c>
    </row>
    <row r="3" customFormat="false" ht="15" hidden="false" customHeight="false" outlineLevel="0" collapsed="false">
      <c r="A3" s="0" t="s">
        <v>793</v>
      </c>
      <c r="B3" s="0" t="s">
        <v>794</v>
      </c>
      <c r="C3" s="0" t="s">
        <v>791</v>
      </c>
      <c r="D3" s="0" t="s">
        <v>795</v>
      </c>
    </row>
    <row r="4" customFormat="false" ht="15" hidden="false" customHeight="false" outlineLevel="0" collapsed="false">
      <c r="A4" s="0" t="s">
        <v>796</v>
      </c>
      <c r="B4" s="0" t="s">
        <v>797</v>
      </c>
      <c r="C4" s="0" t="s">
        <v>791</v>
      </c>
      <c r="D4" s="0" t="s">
        <v>798</v>
      </c>
    </row>
    <row r="5" customFormat="false" ht="15" hidden="false" customHeight="false" outlineLevel="0" collapsed="false">
      <c r="A5" s="0" t="s">
        <v>799</v>
      </c>
      <c r="B5" s="0" t="s">
        <v>800</v>
      </c>
      <c r="C5" s="0" t="s">
        <v>791</v>
      </c>
      <c r="D5" s="0" t="s">
        <v>801</v>
      </c>
    </row>
    <row r="6" customFormat="false" ht="15" hidden="false" customHeight="false" outlineLevel="0" collapsed="false">
      <c r="A6" s="0" t="s">
        <v>802</v>
      </c>
      <c r="B6" s="0" t="s">
        <v>803</v>
      </c>
      <c r="C6" s="0" t="s">
        <v>791</v>
      </c>
      <c r="D6" s="0" t="s">
        <v>804</v>
      </c>
    </row>
    <row r="7" customFormat="false" ht="15" hidden="false" customHeight="false" outlineLevel="0" collapsed="false">
      <c r="A7" s="0" t="s">
        <v>805</v>
      </c>
      <c r="B7" s="0" t="s">
        <v>806</v>
      </c>
      <c r="C7" s="0" t="s">
        <v>791</v>
      </c>
      <c r="D7" s="0" t="s">
        <v>807</v>
      </c>
    </row>
    <row r="8" customFormat="false" ht="15" hidden="false" customHeight="false" outlineLevel="0" collapsed="false">
      <c r="A8" s="0" t="s">
        <v>808</v>
      </c>
      <c r="B8" s="0" t="s">
        <v>809</v>
      </c>
      <c r="C8" s="0" t="s">
        <v>791</v>
      </c>
      <c r="D8" s="0" t="s">
        <v>810</v>
      </c>
    </row>
    <row r="9" customFormat="false" ht="15" hidden="false" customHeight="false" outlineLevel="0" collapsed="false">
      <c r="A9" s="0" t="s">
        <v>811</v>
      </c>
      <c r="B9" s="0" t="s">
        <v>812</v>
      </c>
      <c r="C9" s="0" t="s">
        <v>791</v>
      </c>
      <c r="D9" s="0" t="s">
        <v>813</v>
      </c>
    </row>
    <row r="10" customFormat="false" ht="15" hidden="false" customHeight="false" outlineLevel="0" collapsed="false">
      <c r="A10" s="0" t="s">
        <v>814</v>
      </c>
      <c r="B10" s="0" t="s">
        <v>815</v>
      </c>
      <c r="C10" s="0" t="s">
        <v>791</v>
      </c>
      <c r="D10" s="0" t="s">
        <v>816</v>
      </c>
    </row>
    <row r="11" customFormat="false" ht="15" hidden="false" customHeight="false" outlineLevel="0" collapsed="false">
      <c r="A11" s="0" t="s">
        <v>817</v>
      </c>
      <c r="B11" s="0" t="s">
        <v>818</v>
      </c>
      <c r="C11" s="0" t="s">
        <v>791</v>
      </c>
      <c r="D11" s="0" t="s">
        <v>819</v>
      </c>
    </row>
    <row r="12" customFormat="false" ht="15" hidden="false" customHeight="false" outlineLevel="0" collapsed="false">
      <c r="A12" s="0" t="s">
        <v>820</v>
      </c>
      <c r="B12" s="0" t="s">
        <v>821</v>
      </c>
      <c r="C12" s="0" t="s">
        <v>791</v>
      </c>
      <c r="D12" s="0" t="s">
        <v>822</v>
      </c>
    </row>
    <row r="13" customFormat="false" ht="15" hidden="false" customHeight="false" outlineLevel="0" collapsed="false">
      <c r="A13" s="0" t="s">
        <v>823</v>
      </c>
      <c r="B13" s="0" t="s">
        <v>824</v>
      </c>
      <c r="C13" s="0" t="s">
        <v>791</v>
      </c>
      <c r="D13" s="0" t="s">
        <v>825</v>
      </c>
    </row>
    <row r="14" customFormat="false" ht="15" hidden="false" customHeight="false" outlineLevel="0" collapsed="false">
      <c r="A14" s="0" t="s">
        <v>826</v>
      </c>
      <c r="B14" s="0" t="s">
        <v>827</v>
      </c>
      <c r="C14" s="0" t="s">
        <v>791</v>
      </c>
      <c r="D14" s="0" t="s">
        <v>828</v>
      </c>
    </row>
    <row r="15" customFormat="false" ht="15" hidden="false" customHeight="false" outlineLevel="0" collapsed="false">
      <c r="A15" s="0" t="s">
        <v>829</v>
      </c>
      <c r="B15" s="0" t="s">
        <v>830</v>
      </c>
      <c r="C15" s="0" t="s">
        <v>791</v>
      </c>
      <c r="D15" s="0" t="s">
        <v>831</v>
      </c>
    </row>
    <row r="16" customFormat="false" ht="15" hidden="false" customHeight="false" outlineLevel="0" collapsed="false">
      <c r="A16" s="0" t="s">
        <v>832</v>
      </c>
      <c r="B16" s="0" t="s">
        <v>833</v>
      </c>
      <c r="C16" s="0" t="s">
        <v>791</v>
      </c>
      <c r="D16" s="0" t="s">
        <v>834</v>
      </c>
    </row>
    <row r="17" customFormat="false" ht="15" hidden="false" customHeight="false" outlineLevel="0" collapsed="false">
      <c r="A17" s="0" t="s">
        <v>835</v>
      </c>
      <c r="B17" s="0" t="s">
        <v>836</v>
      </c>
      <c r="C17" s="0" t="s">
        <v>791</v>
      </c>
      <c r="D17" s="0" t="s">
        <v>837</v>
      </c>
    </row>
    <row r="18" customFormat="false" ht="15" hidden="false" customHeight="false" outlineLevel="0" collapsed="false">
      <c r="A18" s="0" t="s">
        <v>838</v>
      </c>
      <c r="B18" s="0" t="s">
        <v>839</v>
      </c>
      <c r="C18" s="0" t="s">
        <v>791</v>
      </c>
      <c r="D18" s="0" t="s">
        <v>840</v>
      </c>
    </row>
    <row r="19" customFormat="false" ht="15" hidden="false" customHeight="false" outlineLevel="0" collapsed="false">
      <c r="A19" s="0" t="s">
        <v>841</v>
      </c>
      <c r="B19" s="0" t="s">
        <v>842</v>
      </c>
      <c r="C19" s="0" t="s">
        <v>791</v>
      </c>
      <c r="D19" s="0" t="s">
        <v>843</v>
      </c>
    </row>
    <row r="20" customFormat="false" ht="15" hidden="false" customHeight="false" outlineLevel="0" collapsed="false">
      <c r="A20" s="0" t="s">
        <v>844</v>
      </c>
      <c r="B20" s="0" t="s">
        <v>845</v>
      </c>
      <c r="C20" s="0" t="s">
        <v>791</v>
      </c>
      <c r="D20" s="0" t="s">
        <v>846</v>
      </c>
    </row>
    <row r="21" customFormat="false" ht="15" hidden="false" customHeight="false" outlineLevel="0" collapsed="false">
      <c r="A21" s="0" t="s">
        <v>847</v>
      </c>
      <c r="B21" s="0" t="s">
        <v>848</v>
      </c>
      <c r="C21" s="0" t="s">
        <v>791</v>
      </c>
      <c r="D21" s="0" t="s">
        <v>849</v>
      </c>
    </row>
    <row r="22" customFormat="false" ht="15" hidden="false" customHeight="false" outlineLevel="0" collapsed="false">
      <c r="A22" s="0" t="s">
        <v>850</v>
      </c>
      <c r="B22" s="0" t="s">
        <v>851</v>
      </c>
      <c r="C22" s="0" t="s">
        <v>852</v>
      </c>
      <c r="D22" s="0" t="s">
        <v>853</v>
      </c>
    </row>
    <row r="23" customFormat="false" ht="15" hidden="false" customHeight="false" outlineLevel="0" collapsed="false">
      <c r="A23" s="0" t="s">
        <v>854</v>
      </c>
      <c r="B23" s="0" t="s">
        <v>855</v>
      </c>
      <c r="C23" s="0" t="s">
        <v>852</v>
      </c>
      <c r="D23" s="0" t="s">
        <v>856</v>
      </c>
    </row>
    <row r="24" customFormat="false" ht="15" hidden="false" customHeight="false" outlineLevel="0" collapsed="false">
      <c r="A24" s="0" t="s">
        <v>857</v>
      </c>
      <c r="B24" s="0" t="s">
        <v>858</v>
      </c>
      <c r="C24" s="0" t="s">
        <v>791</v>
      </c>
      <c r="D24" s="0" t="s">
        <v>859</v>
      </c>
    </row>
    <row r="25" customFormat="false" ht="15" hidden="false" customHeight="false" outlineLevel="0" collapsed="false">
      <c r="A25" s="0" t="s">
        <v>860</v>
      </c>
      <c r="B25" s="0" t="s">
        <v>861</v>
      </c>
      <c r="C25" s="0" t="s">
        <v>791</v>
      </c>
      <c r="D25" s="0" t="s">
        <v>862</v>
      </c>
    </row>
    <row r="26" customFormat="false" ht="15" hidden="false" customHeight="false" outlineLevel="0" collapsed="false">
      <c r="A26" s="0" t="s">
        <v>863</v>
      </c>
      <c r="B26" s="0" t="s">
        <v>864</v>
      </c>
      <c r="C26" s="0" t="s">
        <v>852</v>
      </c>
      <c r="D26" s="0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2026-10-18T02:24:47Z</dcterms:created>
  <dc:creator>openpyxl</dc:creator>
  <dc:description/>
  <dc:language>en-US</dc:language>
  <cp:lastModifiedBy/>
  <dcterms:modified xsi:type="dcterms:W3CDTF">2026-10-18T02:24:47Z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