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Inputs" sheetId="1" state="visible" r:id="rId3"/>
    <sheet name="Partition Takeoff" sheetId="2" state="visible" r:id="rId4"/>
    <sheet name="Material Summary" sheetId="3" state="visible" r:id="rId5"/>
    <sheet name="Pending Items" sheetId="4" state="visible" r:id="rId6"/>
    <sheet name="Review Items" sheetId="5" state="visible" r:id="rId7"/>
    <sheet name="Scope Checklist" sheetId="6" state="visible" r:id="rId8"/>
    <sheet name="_reglas" sheetId="7" state="hidden"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<sst xmlns="http://schemas.openxmlformats.org/spreadsheetml/2006/main" count="1335" uniqueCount="910">
  <si>
    <t xml:space="preserve">Bank of America - Broomfield, CO (CO1-111)   |   METAL FRAMING &amp; DRYWALL TAKEOFF</t>
  </si>
  <si>
    <t xml:space="preserve">Bid set: boa.pdf   ·   2026-10-20   ·   Edit ONLY the yellow cells.</t>
  </si>
  <si>
    <t xml:space="preserve">PARAMETER</t>
  </si>
  <si>
    <t xml:space="preserve">VALUE</t>
  </si>
  <si>
    <t xml:space="preserve">NOTE / SOURCE</t>
  </si>
  <si>
    <t xml:space="preserve">Waste - ALL METAL, any type</t>
  </si>
  <si>
    <t xml:space="preserve">Estimator standing rule: 15% on everything that is metal.</t>
  </si>
  <si>
    <t xml:space="preserve">Waste - EVERYTHING THAT IS NOT METAL</t>
  </si>
  <si>
    <t xml:space="preserve">Estimator standing rule: same figure as board.</t>
  </si>
  <si>
    <t xml:space="preserve">Board sheet width (ft)</t>
  </si>
  <si>
    <t xml:space="preserve">Sheet size is a parameter; buy the size that wastes least.</t>
  </si>
  <si>
    <t xml:space="preserve">Board sheet length (ft)</t>
  </si>
  <si>
    <t xml:space="preserve">Change it and every sheet count re-rounds.</t>
  </si>
  <si>
    <t xml:space="preserve">SF per board sheet</t>
  </si>
  <si>
    <t xml:space="preserve">Width x length.</t>
  </si>
  <si>
    <t xml:space="preserve">Stud stock length (ft)</t>
  </si>
  <si>
    <t xml:space="preserve">Stud, header, framed opening and stud blocking: sticks.</t>
  </si>
  <si>
    <t xml:space="preserve">Track stock length (ft)</t>
  </si>
  <si>
    <t xml:space="preserve">Track, sill track and purlin: runs.</t>
  </si>
  <si>
    <t xml:space="preserve">Floor plan scale (pt/ft)</t>
  </si>
  <si>
    <t xml:space="preserve">Project value (canon constants).</t>
  </si>
  <si>
    <t xml:space="preserve">B.O. Deck (ft)</t>
  </si>
  <si>
    <t xml:space="preserve">T.O. Parapet (ft)</t>
  </si>
  <si>
    <t xml:space="preserve">n/a</t>
  </si>
  <si>
    <t xml:space="preserve">Sealant coverage (LF per tube)</t>
  </si>
  <si>
    <t xml:space="preserve">Sealant yield per tube - set your supplier's figure.</t>
  </si>
  <si>
    <t xml:space="preserve">C.R. channel stock length (ft)</t>
  </si>
  <si>
    <t xml:space="preserve">1-1/2" cold-rolled channel (bracing, carrying channel).</t>
  </si>
  <si>
    <t xml:space="preserve">Hat / furring channel stock (ft)</t>
  </si>
  <si>
    <t xml:space="preserve">7/8" hat furring channel.</t>
  </si>
  <si>
    <t xml:space="preserve">Trim stick length (ft)</t>
  </si>
  <si>
    <t xml:space="preserve">Corner bead, casing bead, shadow molding, PVC trim.</t>
  </si>
  <si>
    <t xml:space="preserve">Hanger wire purchase</t>
  </si>
  <si>
    <t xml:space="preserve">continuous coil (LF)</t>
  </si>
  <si>
    <t xml:space="preserve">Bought by LF from a continuous coil; the hanger count goes on its own PCS row.</t>
  </si>
  <si>
    <t xml:space="preserve">Drywall screws per SF of board</t>
  </si>
  <si>
    <t xml:space="preserve">YIELD (GA-216 field / perimeter spacing).</t>
  </si>
  <si>
    <t xml:space="preserve">Framing screws per stud piece</t>
  </si>
  <si>
    <t xml:space="preserve">YIELD: 2 per stud-to-track connection, each end.</t>
  </si>
  <si>
    <t xml:space="preserve">Power-driven pin spacing (ft)</t>
  </si>
  <si>
    <t xml:space="preserve">YIELD: bottom track on slab, interior walls.</t>
  </si>
  <si>
    <t xml:space="preserve">Joint compound (lb per SF)</t>
  </si>
  <si>
    <t xml:space="preserve">YIELD: 72 lb per 1,000 SF, level 4 (estimator criterion).</t>
  </si>
  <si>
    <t xml:space="preserve">Joint tape (LF per SF)</t>
  </si>
  <si>
    <t xml:space="preserve">YIELD: 370 LF per 1,000 SF.</t>
  </si>
  <si>
    <t xml:space="preserve">Expansion anchor spacing (ft)</t>
  </si>
  <si>
    <t xml:space="preserve">YIELD: exterior bottom track on slab.</t>
  </si>
  <si>
    <t xml:space="preserve">ORGANIZED PARTITION TAKEOFF - Bank of America - Broomfield, CO (CO1-111)</t>
  </si>
  <si>
    <t xml:space="preserve">Grouped by partition type. Every row cites its DETAIL/SHEET and its status.</t>
  </si>
  <si>
    <t xml:space="preserve">Partition / Scope</t>
  </si>
  <si>
    <t xml:space="preserve">Wall #</t>
  </si>
  <si>
    <t xml:space="preserve">Length (LF)</t>
  </si>
  <si>
    <t xml:space="preserve">Height (FT)</t>
  </si>
  <si>
    <t xml:space="preserve">Layers</t>
  </si>
  <si>
    <t xml:space="preserve">Stud Size</t>
  </si>
  <si>
    <t xml:space="preserve">Stud O.C. (in)</t>
  </si>
  <si>
    <t xml:space="preserve">Board (SF)</t>
  </si>
  <si>
    <t xml:space="preserve">Location</t>
  </si>
  <si>
    <t xml:space="preserve">Source (DETAIL/SHEET)</t>
  </si>
  <si>
    <t xml:space="preserve">Status</t>
  </si>
  <si>
    <t xml:space="preserve">TYPE A1</t>
  </si>
  <si>
    <t xml:space="preserve">A1  #AW1-1  -  Calling Cubes 122 north wall (below C1 bump, grid 5-6)</t>
  </si>
  <si>
    <t xml:space="preserve">AW1-1</t>
  </si>
  <si>
    <t xml:space="preserve">3-5/8"</t>
  </si>
  <si>
    <t xml:space="preserve">Calling Cubes 122 north wall (below C1 bump, grid 5-6)</t>
  </si>
  <si>
    <t xml:space="preserve">3/A12.01</t>
  </si>
  <si>
    <t xml:space="preserve">[DERIVED]</t>
  </si>
  <si>
    <t xml:space="preserve">A1  #AW1-2  -  122 NW, MW01 niche east leg</t>
  </si>
  <si>
    <t xml:space="preserve">AW1-2</t>
  </si>
  <si>
    <t xml:space="preserve">122 NW, MW01 niche east leg</t>
  </si>
  <si>
    <t xml:space="preserve">A1  #BW1-6  -  Break Room 118 north wall incl. door 118A and head stub, A1 leg to A5/A1K face</t>
  </si>
  <si>
    <t xml:space="preserve">BW1-6</t>
  </si>
  <si>
    <t xml:space="preserve">Break Room 118 north wall incl. door 118A and head stub, A1 leg to A5/A1K face</t>
  </si>
  <si>
    <t xml:space="preserve">[CONFIRMED]</t>
  </si>
  <si>
    <t xml:space="preserve">A1  #R1-1  -  Corridor 111 east wall (Electrical 120 / NER 121 / Break 118 west), incl. door 118B</t>
  </si>
  <si>
    <t xml:space="preserve">R1-1</t>
  </si>
  <si>
    <t xml:space="preserve">Corridor 111 east wall (Electrical 120 / NER 121 / Break 118 west), incl. door 118B</t>
  </si>
  <si>
    <t xml:space="preserve">A1  #BW1-9  -  Work Room 119 north wall incl. door 119</t>
  </si>
  <si>
    <t xml:space="preserve">BW1-9</t>
  </si>
  <si>
    <t xml:space="preserve">Work Room 119 north wall incl. door 119</t>
  </si>
  <si>
    <t xml:space="preserve">A1  #BW1-5  -  Calling Cubes 122 south wall (above MW21)</t>
  </si>
  <si>
    <t xml:space="preserve">BW1-5</t>
  </si>
  <si>
    <t xml:space="preserve">Calling Cubes 122 south wall (above MW21)</t>
  </si>
  <si>
    <t xml:space="preserve">A1  #BW1-7  -  A1 leg below Calling Cubes SE corner (east of MW21) down to Break Room 118 north wall</t>
  </si>
  <si>
    <t xml:space="preserve">BW1-7</t>
  </si>
  <si>
    <t xml:space="preserve">A1 leg below Calling Cubes SE corner (east of MW21) down to Break Room 118 north wall</t>
  </si>
  <si>
    <t xml:space="preserve">A1  #BW1-3  -  MW01 niche south wall (Calling Cubes 122 NW)</t>
  </si>
  <si>
    <t xml:space="preserve">BW1-3</t>
  </si>
  <si>
    <t xml:space="preserve">MW01 niche south wall (Calling Cubes 122 NW)</t>
  </si>
  <si>
    <t xml:space="preserve">A1  #BW1-4  -  Corridor 111 north wall incl. door 111, to A5 jog outer face</t>
  </si>
  <si>
    <t xml:space="preserve">BW1-4</t>
  </si>
  <si>
    <t xml:space="preserve">Corridor 111 north wall incl. door 111, to A5 jog outer face</t>
  </si>
  <si>
    <t xml:space="preserve">TYPE A5</t>
  </si>
  <si>
    <t xml:space="preserve">A5  #AW1-13  -  Future FCAM west wall / door 118A-116</t>
  </si>
  <si>
    <t xml:space="preserve">AW1-13</t>
  </si>
  <si>
    <t xml:space="preserve">6"</t>
  </si>
  <si>
    <t xml:space="preserve">Future FCAM west wall / door 118A-116</t>
  </si>
  <si>
    <t xml:space="preserve">A5  #BW1-14  -  Calling Cubes 122 west wall (corridor side, FEC-1)</t>
  </si>
  <si>
    <t xml:space="preserve">BW1-14</t>
  </si>
  <si>
    <t xml:space="preserve">Calling Cubes 122 west wall (corridor side, FEC-1)</t>
  </si>
  <si>
    <t xml:space="preserve">A5  #BW1-13a+BW1-13b  -  Calling Cubes 122 east wall</t>
  </si>
  <si>
    <t xml:space="preserve">BW1-13a+BW1-13b</t>
  </si>
  <si>
    <t xml:space="preserve">Calling Cubes 122 east wall</t>
  </si>
  <si>
    <t xml:space="preserve">A5  #R1-2a+R1-2b  -  Calling Cubes 122 west wall lower jog incl. door 122</t>
  </si>
  <si>
    <t xml:space="preserve">R1-2a+R1-2b</t>
  </si>
  <si>
    <t xml:space="preserve">Calling Cubes 122 west wall lower jog incl. door 122</t>
  </si>
  <si>
    <t xml:space="preserve">TYPE A1K</t>
  </si>
  <si>
    <t xml:space="preserve">A1K  #AW1-14  -  Cash Window 116 north (below G wall of Office 108)</t>
  </si>
  <si>
    <t xml:space="preserve">AW1-14</t>
  </si>
  <si>
    <t xml:space="preserve">Cash Window 116 north (below G wall of Office 108)</t>
  </si>
  <si>
    <t xml:space="preserve">4/A12.01</t>
  </si>
  <si>
    <t xml:space="preserve">A1K  #AW1-15  -  Cash Window 116 south, upper piece (above C1 box)</t>
  </si>
  <si>
    <t xml:space="preserve">AW1-15</t>
  </si>
  <si>
    <t xml:space="preserve">Cash Window 116 south, upper piece (above C1 box)</t>
  </si>
  <si>
    <t xml:space="preserve">A1K  #AW1-16  -  Cash Window 116 south, lower piece (above FUTURE FCAM)</t>
  </si>
  <si>
    <t xml:space="preserve">AW1-16</t>
  </si>
  <si>
    <t xml:space="preserve">Cash Window 116 south, lower piece (above FUTURE FCAM)</t>
  </si>
  <si>
    <t xml:space="preserve">TYPE B</t>
  </si>
  <si>
    <t xml:space="preserve">B  #AW2-1  -  Electrical 120 north wall (FEC-2 recess inside), from A1 wall face x=1241.76 to outer face of B wall PT0022 (L corner, H owns)</t>
  </si>
  <si>
    <t xml:space="preserve">AW2-1</t>
  </si>
  <si>
    <t xml:space="preserve">Electrical 120 north wall (FEC-2 recess inside), from A1 wall face x=1241.76 to outer face of B wall PT0022 (L corner, H owns)</t>
  </si>
  <si>
    <t xml:space="preserve">1/A12.01</t>
  </si>
  <si>
    <t xml:space="preserve">B  #AW2-2  -  Wall between Men's Restroom 113 and Janitor Closet 112 / millwork MW06A-MW05, door 112 inside; west wall face to B2 wall face</t>
  </si>
  <si>
    <t xml:space="preserve">AW2-2</t>
  </si>
  <si>
    <t xml:space="preserve">Wall between Men's Restroom 113 and Janitor Closet 112 / millwork MW06A-MW05, door 112 inside; west wall face to B2 wall face</t>
  </si>
  <si>
    <t xml:space="preserve">B  #AW2-3  -  Wall between Janitor Closet 112 / MW06A / MW05 and Wellness 115; west wall face to B2 wall face</t>
  </si>
  <si>
    <t xml:space="preserve">AW2-3</t>
  </si>
  <si>
    <t xml:space="preserve">Wall between Janitor Closet 112 / MW06A / MW05 and Wellness 115; west wall face to B2 wall face</t>
  </si>
  <si>
    <t xml:space="preserve">B  #AW2-4  -  Wall between Electrical 120 and NER 121; A1 wall face to B wall PT0022 face (T)</t>
  </si>
  <si>
    <t xml:space="preserve">AW2-4</t>
  </si>
  <si>
    <t xml:space="preserve">Wall between Electrical 120 and NER 121; A1 wall face to B wall PT0022 face (T)</t>
  </si>
  <si>
    <t xml:space="preserve">B  #AW2-5  -  East wall of Electrical 120 and NER 121 (doors 120 and 121 inside), from PT0018 face to exterior wall interior face</t>
  </si>
  <si>
    <t xml:space="preserve">AW2-5</t>
  </si>
  <si>
    <t xml:space="preserve">East wall of Electrical 120 and NER 121 (doors 120 and 121 inside), from PT0018 face to exterior wall interior face</t>
  </si>
  <si>
    <t xml:space="preserve">B  #AW5-1  -  between Janitor Closet 112 millwork MW06A and Storage 117 millwork MW05 (vertical wall)</t>
  </si>
  <si>
    <t xml:space="preserve">AW5-1</t>
  </si>
  <si>
    <t xml:space="preserve">between Janitor Closet 112 millwork MW06A and Storage 117 millwork MW05 (vertical wall)</t>
  </si>
  <si>
    <t xml:space="preserve">TYPE B2</t>
  </si>
  <si>
    <t xml:space="preserve">B2  #AW2-6  -  ATM Room 102 east wall at Central Zone 103 (door 102 inside), from C1 column box bottom face to G wall top face</t>
  </si>
  <si>
    <t xml:space="preserve">AW2-6</t>
  </si>
  <si>
    <t xml:space="preserve">ATM Room 102 east wall at Central Zone 103 (door 102 inside), from C1 column box bottom face to G wall top face</t>
  </si>
  <si>
    <t xml:space="preserve">B2  #AW2-8  -  Restroom 113 / Storage 117 / Wellness 115 east wall at Corridor 111 (doors 113, 117, 115 inside), from alcove bottom wall face to exterior interior face</t>
  </si>
  <si>
    <t xml:space="preserve">AW2-8</t>
  </si>
  <si>
    <t xml:space="preserve">Restroom 113 / Storage 117 / Wellness 115 east wall at Corridor 111 (doors 113, 117, 115 inside), from alcove bottom wall face to exterior interior face</t>
  </si>
  <si>
    <t xml:space="preserve">B2  #BW2-22  -  Break Room 118 / Work Room 119 partition, extended to include door 116 (RFI)</t>
  </si>
  <si>
    <t xml:space="preserve">BW2-22</t>
  </si>
  <si>
    <t xml:space="preserve">Break Room 118 / Work Room 119 partition, extended to include door 116 (RFI)</t>
  </si>
  <si>
    <t xml:space="preserve">B2  #BW2-15a+BW2-15b  -  Women's Restroom 114 east wall / Corridor 111 (incl. door 114)</t>
  </si>
  <si>
    <t xml:space="preserve">BW2-15a+BW2-15b</t>
  </si>
  <si>
    <t xml:space="preserve">Women's Restroom 114 east wall / Corridor 111 (incl. door 114)</t>
  </si>
  <si>
    <t xml:space="preserve">TYPE B2K</t>
  </si>
  <si>
    <t xml:space="preserve">B2K  #AW2-10  -  Hatched (kevlar) wall south of Office 4 CB 108 / north of Cash Window 116, from end cap at door 108 frame to the step end cap x 1661.76</t>
  </si>
  <si>
    <t xml:space="preserve">AW2-10</t>
  </si>
  <si>
    <t xml:space="preserve">Hatched (kevlar) wall south of Office 4 CB 108 / north of Cash Window 116, from end cap at door 108 frame to the step end cap x 1661.76</t>
  </si>
  <si>
    <t xml:space="preserve">TYPE C1</t>
  </si>
  <si>
    <t xml:space="preserve">C1  #AW2-15+AW2-16+AW2-17  -  Furring bump-out on north side of Calling Cubes 122 wall facing Central Zone 103 (keynote 7) + West return of C1 bump-out (PT0034) back to the A1 wall face + East return of C1 bump-out (PT0034) back to the A1 wall face</t>
  </si>
  <si>
    <t xml:space="preserve">AW2-15+AW2-16+AW2-17</t>
  </si>
  <si>
    <t xml:space="preserve">Furring bump-out on north side of Calling Cubes 122 wall facing Central Zone 103 (keynote 7) + West return of C1 bump-out (PT0034) back to the A1 wall face + East return of C1 bump-out (PT0034) back to the A1 wall face</t>
  </si>
  <si>
    <t xml:space="preserve">6/A12.01</t>
  </si>
  <si>
    <t xml:space="preserve">C1  #AW2-18  -  Restroom plumbing chase, Women's Restroom 114 side (north face), west wall face to alcove back wall face</t>
  </si>
  <si>
    <t xml:space="preserve">AW2-18</t>
  </si>
  <si>
    <t xml:space="preserve">Restroom plumbing chase, Women's Restroom 114 side (north face), west wall face to alcove back wall face</t>
  </si>
  <si>
    <t xml:space="preserve">C1  #AW2-19  -  Restroom plumbing chase, Men's Restroom 113 side (south face), west wall face to alcove back wall face</t>
  </si>
  <si>
    <t xml:space="preserve">AW2-19</t>
  </si>
  <si>
    <t xml:space="preserve">Restroom plumbing chase, Men's Restroom 113 side (south face), west wall face to alcove back wall face</t>
  </si>
  <si>
    <t xml:space="preserve">C1  #AW2-20+AW2-21  -  Furring at Future FCAM (south of Cash Window 116 A1K wall), encloses pipe + East return of C1 furring PT0036 to A1K wall face</t>
  </si>
  <si>
    <t xml:space="preserve">AW2-20+AW2-21</t>
  </si>
  <si>
    <t xml:space="preserve">Furring at Future FCAM (south of Cash Window 116 A1K wall), encloses pipe + East return of C1 furring PT0036 to A1K wall face</t>
  </si>
  <si>
    <t xml:space="preserve">C1  #R5-2+R5-1+R5-3  -  C1 furring at the column, east run facing Central Zone 103 (tag PT0033 leader at 719.76 pt lands here); ends at the inner faces of R5-1 / R5-3 + C1 furring at the column, north run: continues the diagonal F wall top face (x 1113.60) east to the outer face of the C1 east run; faces 24 HR Vestibule 101 / Central Zone 103 + C1 furring at the column, south return facing Central Zone 103: from the B2 stub east face (AW2-6 c1 1133.88) to the outer face of the C1 east run</t>
  </si>
  <si>
    <t xml:space="preserve">R5-2+R5-1+R5-3</t>
  </si>
  <si>
    <t xml:space="preserve">C1 furring at the column, east run facing Central Zone 103 (tag PT0033 leader at 719.76 pt lands here); ends at the inner faces of R5-1 / R5-3 + C1 furring at the column, north run: continues the diagonal F wall top face (x 1113.60) east to the outer face of the C1 east run; faces 24 HR Vestibule 101 / Central Zone 103 + C1 furring at the column, south return facing Central Zone 103: from the B2 stub east face (AW2-6 c1 1133.88) to the outer face of the C1 east run</t>
  </si>
  <si>
    <t xml:space="preserve">C1  #R4-3  -  Vestibule 100, storefront pier grid 2 / F-G (NW corner), detail 1/A09.25</t>
  </si>
  <si>
    <t xml:space="preserve">R4-3</t>
  </si>
  <si>
    <t xml:space="preserve">Vestibule 100, storefront pier grid 2 / F-G (NW corner), detail 1/A09.25</t>
  </si>
  <si>
    <t xml:space="preserve">C1  #R4-1  -  Vestibule 100, storefront pier grid 4 / F-G (NE corner, PB/CR), detail 2/A09.25</t>
  </si>
  <si>
    <t xml:space="preserve">R4-1</t>
  </si>
  <si>
    <t xml:space="preserve">Vestibule 100, storefront pier grid 4 / F-G (NE corner, PB/CR), detail 2/A09.25</t>
  </si>
  <si>
    <t xml:space="preserve">C1  #R4-5  -  24 HR Vestibule 101 / Central Zone 103, column box on storefront line (east side)</t>
  </si>
  <si>
    <t xml:space="preserve">R4-5</t>
  </si>
  <si>
    <t xml:space="preserve">24 HR Vestibule 101 / Central Zone 103, column box on storefront line (east side)</t>
  </si>
  <si>
    <t xml:space="preserve">TYPE G</t>
  </si>
  <si>
    <t xml:space="preserve">G  #AW3-5  -  Office front pier between Office 1 and Office 2 (DFC-1A front line)</t>
  </si>
  <si>
    <t xml:space="preserve">AW3-5</t>
  </si>
  <si>
    <t xml:space="preserve">1-5/8"</t>
  </si>
  <si>
    <t xml:space="preserve">Office front pier between Office 1 and Office 2 (DFC-1A front line)</t>
  </si>
  <si>
    <t xml:space="preserve">5/A12.01</t>
  </si>
  <si>
    <t xml:space="preserve">G  #AW3-6  -  Office front pier between Office 2 and Office 3</t>
  </si>
  <si>
    <t xml:space="preserve">AW3-6</t>
  </si>
  <si>
    <t xml:space="preserve">Office front pier between Office 2 and Office 3</t>
  </si>
  <si>
    <t xml:space="preserve">G  #AW3-7  -  Office front pier between Office 3 and Office 4</t>
  </si>
  <si>
    <t xml:space="preserve">AW3-7</t>
  </si>
  <si>
    <t xml:space="preserve">Office front pier between Office 3 and Office 4</t>
  </si>
  <si>
    <t xml:space="preserve">G  #AW3-8  -  Office 1 ME front pier, north end (against north exterior wall)</t>
  </si>
  <si>
    <t xml:space="preserve">AW3-8</t>
  </si>
  <si>
    <t xml:space="preserve">Office 1 ME front pier, north end (against north exterior wall)</t>
  </si>
  <si>
    <t xml:space="preserve">G  #AW3-10  -  ATM Room 102 / Office 5 CB 109 wall</t>
  </si>
  <si>
    <t xml:space="preserve">AW3-10</t>
  </si>
  <si>
    <t xml:space="preserve">ATM Room 102 / Office 5 CB 109 wall</t>
  </si>
  <si>
    <t xml:space="preserve">G  #AW3-11  -  Office 5 CB 109 / Office 6 CB 110 demising wall</t>
  </si>
  <si>
    <t xml:space="preserve">AW3-11</t>
  </si>
  <si>
    <t xml:space="preserve">Office 5 CB 109 / Office 6 CB 110 demising wall</t>
  </si>
  <si>
    <t xml:space="preserve">G  #AW3-12  -  Office 6 CB 110 / Women's Restroom 114 wall</t>
  </si>
  <si>
    <t xml:space="preserve">AW3-12</t>
  </si>
  <si>
    <t xml:space="preserve">Office 6 CB 110 / Women's Restroom 114 wall</t>
  </si>
  <si>
    <t xml:space="preserve">G  #BW3-9  -  Office 4 CB 108 south wall (from B2K hatched corner end cap x=1661.76 to exterior wall)</t>
  </si>
  <si>
    <t xml:space="preserve">BW3-9</t>
  </si>
  <si>
    <t xml:space="preserve">Office 4 CB 108 south wall (from B2K hatched corner end cap x=1661.76 to exterior wall)</t>
  </si>
  <si>
    <t xml:space="preserve">G  #BW3-7  -  Wall between Office 2 CL 106 and Office 3 SB 107</t>
  </si>
  <si>
    <t xml:space="preserve">BW3-7</t>
  </si>
  <si>
    <t xml:space="preserve">Wall between Office 2 CL 106 and Office 3 SB 107</t>
  </si>
  <si>
    <t xml:space="preserve">G  #BW3-8  -  Wall between Office 3 SB 107 and Office 4 CB 108</t>
  </si>
  <si>
    <t xml:space="preserve">BW3-8</t>
  </si>
  <si>
    <t xml:space="preserve">Wall between Office 3 SB 107 and Office 4 CB 108</t>
  </si>
  <si>
    <t xml:space="preserve">TYPE G1</t>
  </si>
  <si>
    <t xml:space="preserve">G1  #AW3-13  -  Office front pier between Office 5 and Office 6</t>
  </si>
  <si>
    <t xml:space="preserve">AW3-13</t>
  </si>
  <si>
    <t xml:space="preserve">Office front pier between Office 5 and Office 6</t>
  </si>
  <si>
    <t xml:space="preserve">G1  #AW3-15  -  Office 6 CB front pier, south end</t>
  </si>
  <si>
    <t xml:space="preserve">AW3-15</t>
  </si>
  <si>
    <t xml:space="preserve">Office 6 CB front pier, south end</t>
  </si>
  <si>
    <t xml:space="preserve">G1  #BW3-6  -  Wall between Office 1 ME 105 and Office 2 CL 106</t>
  </si>
  <si>
    <t xml:space="preserve">BW3-6</t>
  </si>
  <si>
    <t xml:space="preserve">Wall between Office 1 ME 105 and Office 2 CL 106</t>
  </si>
  <si>
    <t xml:space="preserve">TYPE EXT-6CFMF</t>
  </si>
  <si>
    <t xml:space="preserve">EXT-6CFMF  #AW4-1  -  North wall over Office 1 ME 105, grid F between grid 7 storefront end cap and grid 8 (NE corner)</t>
  </si>
  <si>
    <t xml:space="preserve">AW4-1</t>
  </si>
  <si>
    <t xml:space="preserve">North wall over Office 1 ME 105, grid F between grid 7 storefront end cap and grid 8 (NE corner)</t>
  </si>
  <si>
    <t xml:space="preserve">A/A09.21</t>
  </si>
  <si>
    <t xml:space="preserve">EXT-6CFMF  #AW4-2a+AW4-2b  -  East wall grid 8, from the north wall face (Office 105) to grid B (deck break); Offices 105-108 + East wall grid 8, from grid B (deck break) to the south wall face; Cash Window 116, Work Room 119</t>
  </si>
  <si>
    <t xml:space="preserve">AW4-2a+AW4-2b</t>
  </si>
  <si>
    <t xml:space="preserve">East wall grid 8, from the north wall face (Office 105) to grid B (deck break); Offices 105-108 + East wall grid 8, from grid B (deck break) to the south wall face; Cash Window 116, Work Room 119</t>
  </si>
  <si>
    <t xml:space="preserve">EXT-6CFMF  #AW4-3  -  South wall grid A, grid 3 to grid 8 (Wellness 115, door 123, NER 121, Break 118, Work Room 119)</t>
  </si>
  <si>
    <t xml:space="preserve">AW4-3</t>
  </si>
  <si>
    <t xml:space="preserve">South wall grid A, grid 3 to grid 8 (Wellness 115, door 123, NER 121, Break 118, Work Room 119)</t>
  </si>
  <si>
    <t xml:space="preserve">EXT-6CFMF  #AW4-4a+AW4-4b  -  West wall grid 3, from ATM jog (grid D) to south wall (Offices 109/110, restrooms 113/114, Janitor 112, Wellness 115)</t>
  </si>
  <si>
    <t xml:space="preserve">AW4-4a+AW4-4b</t>
  </si>
  <si>
    <t xml:space="preserve">West wall grid 3, from ATM jog (grid D) to south wall (Offices 109/110, restrooms 113/114, Janitor 112, Wellness 115)</t>
  </si>
  <si>
    <t xml:space="preserve">EXT-6CFMF  #AW4-5  -  ATM Room 102 south exterior wall (jog at grid D between grid 2 and grid 3), under west canopy</t>
  </si>
  <si>
    <t xml:space="preserve">AW4-5</t>
  </si>
  <si>
    <t xml:space="preserve">ATM Room 102 south exterior wall (jog at grid D between grid 2 and grid 3), under west canopy</t>
  </si>
  <si>
    <t xml:space="preserve">EXT-6CFMF  #AW4-6  -  West wall grid 2: Vestibule 100 (south of storefront) / 24 HR Vestibule 101 / ATM Room 102, under west canopy</t>
  </si>
  <si>
    <t xml:space="preserve">AW4-6</t>
  </si>
  <si>
    <t xml:space="preserve">West wall grid 2: Vestibule 100 (south of storefront) / 24 HR Vestibule 101 / ATM Room 102, under west canopy</t>
  </si>
  <si>
    <t xml:space="preserve">TYPE EXT-PARAPET</t>
  </si>
  <si>
    <t xml:space="preserve">EXT-PARAPET  #AW4-13  -  High parapet over vestibule storefront, grid 2 to grid 4 pier</t>
  </si>
  <si>
    <t xml:space="preserve">AW4-13</t>
  </si>
  <si>
    <t xml:space="preserve">High parapet over vestibule storefront, grid 2 to grid 4 pier</t>
  </si>
  <si>
    <t xml:space="preserve">11/S5.10</t>
  </si>
  <si>
    <t xml:space="preserve">EXT-PARAPET  #AW4-14  -  High parapet grid 2 (vestibule + ATM mass), from vestibule north parapet CL to ATM jog CL</t>
  </si>
  <si>
    <t xml:space="preserve">AW4-14</t>
  </si>
  <si>
    <t xml:space="preserve">High parapet grid 2 (vestibule + ATM mass), from vestibule north parapet CL to ATM jog CL</t>
  </si>
  <si>
    <t xml:space="preserve">EXT-PARAPET  #AW4-15  -  High parapet over ATM Room south jog, grid 2 to grid 3</t>
  </si>
  <si>
    <t xml:space="preserve">AW4-15</t>
  </si>
  <si>
    <t xml:space="preserve">High parapet over ATM Room south jog, grid 2 to grid 3</t>
  </si>
  <si>
    <t xml:space="preserve">EXT-PARAPET  #AW4-16  -  High parapet return at grid 4 pier, above main roof (step from parapet 2 to main roof)</t>
  </si>
  <si>
    <t xml:space="preserve">AW4-16</t>
  </si>
  <si>
    <t xml:space="preserve">High parapet return at grid 4 pier, above main roof (step from parapet 2 to main roof)</t>
  </si>
  <si>
    <t xml:space="preserve">EXT-PARAPET  #AW4-17  -  Main roof parapet north, grid 4 pier to grid 8 (over 26'-3" storefront and Office 105 wall)</t>
  </si>
  <si>
    <t xml:space="preserve">AW4-17</t>
  </si>
  <si>
    <t xml:space="preserve">Main roof parapet north, grid 4 pier to grid 8 (over 26'-3" storefront and Office 105 wall)</t>
  </si>
  <si>
    <t xml:space="preserve">EXT-PARAPET  #AW4-18a+AW4-18b  -  Main roof parapet east grid 8, full length</t>
  </si>
  <si>
    <t xml:space="preserve">AW4-18a+AW4-18b</t>
  </si>
  <si>
    <t xml:space="preserve">Main roof parapet east grid 8, full length</t>
  </si>
  <si>
    <t xml:space="preserve">EXT-PARAPET  #AW4-19  -  Main roof parapet south grid A, grid 3 to grid 8</t>
  </si>
  <si>
    <t xml:space="preserve">AW4-19</t>
  </si>
  <si>
    <t xml:space="preserve">Main roof parapet south grid A, grid 3 to grid 8</t>
  </si>
  <si>
    <t xml:space="preserve">EXT-PARAPET  #AW4-20a+AW4-20b  -  Main roof parapet west grid 3, ATM jog to grid A</t>
  </si>
  <si>
    <t xml:space="preserve">AW4-20a+AW4-20b</t>
  </si>
  <si>
    <t xml:space="preserve">Main roof parapet west grid 3, ATM jog to grid A</t>
  </si>
  <si>
    <t xml:space="preserve">TYPE F</t>
  </si>
  <si>
    <t xml:space="preserve">F  #BW2-5  -  24 HR Vestibule 101 / ATM Room 102 diagonal ATM wall (30 deg), DAY 1 ATM opening inside</t>
  </si>
  <si>
    <t xml:space="preserve">BW2-5</t>
  </si>
  <si>
    <t xml:space="preserve">24 HR Vestibule 101 / ATM Room 102 diagonal ATM wall (30 deg), DAY 1 ATM opening inside</t>
  </si>
  <si>
    <t xml:space="preserve">12/A12.01</t>
  </si>
  <si>
    <t xml:space="preserve">TYPE BULKHEAD-G</t>
  </si>
  <si>
    <t xml:space="preserve">BULKHEAD-G  #BW3-16+BW3-17+BW3-18+BW3-19  -  Office 1 ME 105 front, over DFC-1A glazing + door 105 + Office 2 CL 106 front, over DFC-1A glazing + door 106 + Office 3 SB 107 front, over DFC-1A glazing + door 107 + Office 4 CB 108 front, over DFC-1A glazing + door 108</t>
  </si>
  <si>
    <t xml:space="preserve">BW3-16+BW3-17+BW3-18+BW3-19</t>
  </si>
  <si>
    <t xml:space="preserve">Office 1 ME 105 front, over DFC-1A glazing + door 105 + Office 2 CL 106 front, over DFC-1A glazing + door 106 + Office 3 SB 107 front, over DFC-1A glazing + door 107 + Office 4 CB 108 front, over DFC-1A glazing + door 108</t>
  </si>
  <si>
    <t xml:space="preserve">9/A12.01</t>
  </si>
  <si>
    <t xml:space="preserve">BULKHEAD-G  #BW3-20+BW3-21  -  Office 5 CB 109 front, over door 109 + DFC-1A glazing + Office 6 CB 110 front, over door 110 + DFC-1A glazing</t>
  </si>
  <si>
    <t xml:space="preserve">BW3-20+BW3-21</t>
  </si>
  <si>
    <t xml:space="preserve">Office 5 CB 109 front, over door 109 + DFC-1A glazing + Office 6 CB 110 front, over door 110 + DFC-1A glazing</t>
  </si>
  <si>
    <t xml:space="preserve">TYPE CANOPY-COL</t>
  </si>
  <si>
    <t xml:space="preserve">CANOPY-COL  #R4-7  -  West drive-up canopy column, grid 1 / between G and F, callout 5/A09.25</t>
  </si>
  <si>
    <t xml:space="preserve">R4-7</t>
  </si>
  <si>
    <t xml:space="preserve">West drive-up canopy column, grid 1 / between G and F, callout 5/A09.25</t>
  </si>
  <si>
    <t xml:space="preserve">5/A09.25</t>
  </si>
  <si>
    <t xml:space="preserve">CANOPY-COL  #R4-8  -  West drive-up canopy column, grid 1 / E.4, callout 5/A09.25</t>
  </si>
  <si>
    <t xml:space="preserve">R4-8</t>
  </si>
  <si>
    <t xml:space="preserve">West drive-up canopy column, grid 1 / E.4, callout 5/A09.25</t>
  </si>
  <si>
    <t xml:space="preserve">CANOPY-COL  #R4-9  -  West drive-up canopy column, grid 1 / C.5, callout 5/A09.25</t>
  </si>
  <si>
    <t xml:space="preserve">R4-9</t>
  </si>
  <si>
    <t xml:space="preserve">West drive-up canopy column, grid 1 / C.5, callout 5/A09.25</t>
  </si>
  <si>
    <t xml:space="preserve">CANOPY-COL  #R4-10  -  West drive-up canopy column, grid 1 / B.2, callout 5/A09.25 SIM</t>
  </si>
  <si>
    <t xml:space="preserve">R4-10</t>
  </si>
  <si>
    <t xml:space="preserve">West drive-up canopy column, grid 1 / B.2, callout 5/A09.25 SIM</t>
  </si>
  <si>
    <t xml:space="preserve">TOTAL - PARTITIONS</t>
  </si>
  <si>
    <t xml:space="preserve">TYPE OTHER FRAMING (NOT A PARTITION)</t>
  </si>
  <si>
    <t xml:space="preserve">pier_part  #R4-4  -  Vestibule 100, storefront pier grid 2 / F-G, exterior L, detail 1/A09.25</t>
  </si>
  <si>
    <t xml:space="preserve">R4-4</t>
  </si>
  <si>
    <t xml:space="preserve">Vestibule 100, storefront pier grid 2 / F-G, exterior L, detail 1/A09.25</t>
  </si>
  <si>
    <t xml:space="preserve">1/A09.25</t>
  </si>
  <si>
    <t xml:space="preserve">pier_part  #R4-2  -  Vestibule 100, storefront pier grid 4 / F-G, exterior L, detail 2/A09.25</t>
  </si>
  <si>
    <t xml:space="preserve">R4-2</t>
  </si>
  <si>
    <t xml:space="preserve">Vestibule 100, storefront pier grid 4 / F-G, exterior L, detail 2/A09.25</t>
  </si>
  <si>
    <t xml:space="preserve">2/A09.25</t>
  </si>
  <si>
    <t xml:space="preserve">soffit_side  #A_CEIL-W1  -  CSR soffit 116, W drop line</t>
  </si>
  <si>
    <t xml:space="preserve">A_CEIL-W1</t>
  </si>
  <si>
    <t xml:space="preserve">CSR soffit 116, W drop line</t>
  </si>
  <si>
    <t xml:space="preserve">10/A09.33</t>
  </si>
  <si>
    <t xml:space="preserve">soffit_side  #A_CEIL-W2  -  CSR soffit 116, W drop line</t>
  </si>
  <si>
    <t xml:space="preserve">A_CEIL-W2</t>
  </si>
  <si>
    <t xml:space="preserve">soffit_side  #A_CEIL-W3  -  CSR soffit 116, E drop line</t>
  </si>
  <si>
    <t xml:space="preserve">A_CEIL-W3</t>
  </si>
  <si>
    <t xml:space="preserve">CSR soffit 116, E drop line</t>
  </si>
  <si>
    <t xml:space="preserve">soffit_side  #A_CEIL-W4  -  CSR soffit 116, E drop line</t>
  </si>
  <si>
    <t xml:space="preserve">A_CEIL-W4</t>
  </si>
  <si>
    <t xml:space="preserve">fascia_box  #A_CEIL-W5  -  N canopy fascia (owns NW and NE corners, R70.2)</t>
  </si>
  <si>
    <t xml:space="preserve">A_CEIL-W5</t>
  </si>
  <si>
    <t xml:space="preserve">N canopy fascia (owns NW and NE corners, R70.2)</t>
  </si>
  <si>
    <t xml:space="preserve">3/A09.26</t>
  </si>
  <si>
    <t xml:space="preserve">fascia_box  #A_CEIL-W6  -  W drive-up canopy fascia</t>
  </si>
  <si>
    <t xml:space="preserve">A_CEIL-W6</t>
  </si>
  <si>
    <t xml:space="preserve">W drive-up canopy fascia</t>
  </si>
  <si>
    <t xml:space="preserve">16/A09.27</t>
  </si>
  <si>
    <t xml:space="preserve">fascia_box  #A_CEIL-W7  -  W canopy south return fascia (faces S, belongs to W canopy)</t>
  </si>
  <si>
    <t xml:space="preserve">A_CEIL-W7</t>
  </si>
  <si>
    <t xml:space="preserve">W canopy south return fascia (faces S, belongs to W canopy)</t>
  </si>
  <si>
    <t xml:space="preserve">fascia_box  #A_CEIL-W8  -  E canopy fascia</t>
  </si>
  <si>
    <t xml:space="preserve">A_CEIL-W8</t>
  </si>
  <si>
    <t xml:space="preserve">E canopy fascia</t>
  </si>
  <si>
    <t xml:space="preserve">7/A09.26</t>
  </si>
  <si>
    <t xml:space="preserve">fascia_box  #A_CEIL-W9  -  E canopy south end fascia</t>
  </si>
  <si>
    <t xml:space="preserve">A_CEIL-W9</t>
  </si>
  <si>
    <t xml:space="preserve">E canopy south end fascia</t>
  </si>
  <si>
    <t xml:space="preserve">fascia_box  #A_CEIL-W10  -  S canopy front fascia</t>
  </si>
  <si>
    <t xml:space="preserve">A_CEIL-W10</t>
  </si>
  <si>
    <t xml:space="preserve">S canopy front fascia</t>
  </si>
  <si>
    <t xml:space="preserve">fascia_box  #A_CEIL-W11  -  S canopy W return</t>
  </si>
  <si>
    <t xml:space="preserve">A_CEIL-W11</t>
  </si>
  <si>
    <t xml:space="preserve">S canopy W return</t>
  </si>
  <si>
    <t xml:space="preserve">fascia_box  #A_CEIL-W12  -  S canopy E return</t>
  </si>
  <si>
    <t xml:space="preserve">A_CEIL-W12</t>
  </si>
  <si>
    <t xml:space="preserve">S canopy E return</t>
  </si>
  <si>
    <t xml:space="preserve">storefront_cripples  #SC-1  -  framing above SF-1 head (vestibule 100 storefront head line, grid F 2-4)</t>
  </si>
  <si>
    <t xml:space="preserve">SC-1</t>
  </si>
  <si>
    <t xml:space="preserve">framing above SF-1 head (vestibule 100 storefront head line, grid F 2-4)</t>
  </si>
  <si>
    <t xml:space="preserve">2/A09.26</t>
  </si>
  <si>
    <t xml:space="preserve">storefront_cripples  #SC-2  -  framing above SF-2 head (central zone 103 storefront head line, grid F 4-7)</t>
  </si>
  <si>
    <t xml:space="preserve">SC-2</t>
  </si>
  <si>
    <t xml:space="preserve">framing above SF-2 head (central zone 103 storefront head line, grid F 4-7)</t>
  </si>
  <si>
    <t xml:space="preserve">storefront_cripples  #SC-3  -  framing above SF-3 head (vestibule 100 west storefront head line, grid 2)</t>
  </si>
  <si>
    <t xml:space="preserve">SC-3</t>
  </si>
  <si>
    <t xml:space="preserve">framing above SF-3 head (vestibule 100 west storefront head line, grid 2)</t>
  </si>
  <si>
    <t xml:space="preserve">vestibule_head  #VH-S  -  framing over the all-glass line VB-S (A12.10)</t>
  </si>
  <si>
    <t xml:space="preserve">VH-S</t>
  </si>
  <si>
    <t xml:space="preserve">framing over the all-glass line VB-S (A12.10)</t>
  </si>
  <si>
    <t xml:space="preserve">6/A12.10</t>
  </si>
  <si>
    <t xml:space="preserve">vestibule_head  #VH-E  -  framing over the all-glass line VB-E (A12.10)</t>
  </si>
  <si>
    <t xml:space="preserve">VH-E</t>
  </si>
  <si>
    <t xml:space="preserve">framing over the all-glass line VB-E (A12.10)</t>
  </si>
  <si>
    <t xml:space="preserve">4/A12.10</t>
  </si>
  <si>
    <t xml:space="preserve">grille_head  #GH-103  -  coiling grille 103 head, 24 HR vestibule 101 / central zone 103 (between column boxes R4-5 and R4-6)</t>
  </si>
  <si>
    <t xml:space="preserve">GH-103</t>
  </si>
  <si>
    <t xml:space="preserve">2-1/2"</t>
  </si>
  <si>
    <t xml:space="preserve">coiling grille 103 head, 24 HR vestibule 101 / central zone 103 (between column boxes R4-5 and R4-6)</t>
  </si>
  <si>
    <t xml:space="preserve">4/A08.21</t>
  </si>
  <si>
    <t xml:space="preserve">roof_step  #RS-1  -  roof step at grid B, grid 3 to grid 8 (4/A02.02, 9/S5.10)</t>
  </si>
  <si>
    <t xml:space="preserve">RS-1</t>
  </si>
  <si>
    <t xml:space="preserve">roof step at grid B, grid 3 to grid 8 (4/A02.02, 9/S5.10)</t>
  </si>
  <si>
    <t xml:space="preserve">4/A02.02</t>
  </si>
  <si>
    <t xml:space="preserve">roof_step  #RS-2  -  roof step at grid B, grid 3 to grid 8 (4/A02.02, 9/S5.10)</t>
  </si>
  <si>
    <t xml:space="preserve">RS-2</t>
  </si>
  <si>
    <t xml:space="preserve">roof_step  #RS-3  -  roof step at grid B, grid 3 to grid 8 (4/A02.02, 9/S5.10)</t>
  </si>
  <si>
    <t xml:space="preserve">RS-3</t>
  </si>
  <si>
    <t xml:space="preserve">ceiling_transition  #A_CEIL-R1  -  104 Waiting / 104 Waiting (bottom return) / 104 Waiting (6" upstand, lower-ceiling side)</t>
  </si>
  <si>
    <t xml:space="preserve">A_CEIL-R1</t>
  </si>
  <si>
    <t xml:space="preserve">-</t>
  </si>
  <si>
    <t xml:space="preserve">104 Waiting / 104 Waiting (bottom return) / 104 Waiting (6" upstand, lower-ceiling side)</t>
  </si>
  <si>
    <t xml:space="preserve">7/A09.33</t>
  </si>
  <si>
    <t xml:space="preserve">ceiling_transition  #A_CEIL-R3  -  103 Central Zone 9'-0" (teller side) / 103 Central Zone 11'-6" / 103 Central Zone 9'-0" (teller side) / 103 Central Zone 11'-6" (bottom return) / 103 Central Zone 9'-0" (teller side) / 103 Central Zone 11'-6" (6" upstand, lower-ceiling side)</t>
  </si>
  <si>
    <t xml:space="preserve">A_CEIL-R3</t>
  </si>
  <si>
    <t xml:space="preserve">103 Central Zone 9'-0" (teller side) / 103 Central Zone 11'-6" / 103 Central Zone 9'-0" (teller side) / 103 Central Zone 11'-6" (bottom return) / 103 Central Zone 9'-0" (teller side) / 103 Central Zone 11'-6" (6" upstand, lower-ceiling side)</t>
  </si>
  <si>
    <t xml:space="preserve">alcove  #AW1-18+AW1-19+AW1-20  -  EWC alcove north return (Women's 114 / Corridor 111) + EWC alcove back wall (restrooms side) + EWC alcove south return (Men's 113 / Corridor 111)</t>
  </si>
  <si>
    <t xml:space="preserve">AW1-18+AW1-19+AW1-20</t>
  </si>
  <si>
    <t xml:space="preserve">EWC alcove north return (Women's 114 / Corridor 111) + EWC alcove back wall (restrooms side) + EWC alcove south return (Men's 113 / Corridor 111)</t>
  </si>
  <si>
    <t xml:space="preserve">stub  #AW3-9  -  Office 4 CB front pier, south end (4")</t>
  </si>
  <si>
    <t xml:space="preserve">AW3-9</t>
  </si>
  <si>
    <t xml:space="preserve">Office 4 CB front pier, south end (4")</t>
  </si>
  <si>
    <t xml:space="preserve">stub  #AW3-14  -  Office 5 CB front pier, north end (4")</t>
  </si>
  <si>
    <t xml:space="preserve">AW3-14</t>
  </si>
  <si>
    <t xml:space="preserve">Office 5 CB front pier, north end (4")</t>
  </si>
  <si>
    <t xml:space="preserve">MATERIAL SUMMARY - NET / WASTE / PURCHASE</t>
  </si>
  <si>
    <t xml:space="preserve">Waste lives HERE, in its own column, applied ONCE: Pieces = ROUNDUP(Net x (1 + waste) / stock). Every stock length, coverage and yield is an Inputs cell.</t>
  </si>
  <si>
    <t xml:space="preserve">Material</t>
  </si>
  <si>
    <t xml:space="preserve">Unit</t>
  </si>
  <si>
    <t xml:space="preserve">Net</t>
  </si>
  <si>
    <t xml:space="preserve">Waste %</t>
  </si>
  <si>
    <t xml:space="preserve">Waste</t>
  </si>
  <si>
    <t xml:space="preserve">Purchase</t>
  </si>
  <si>
    <t xml:space="preserve">Selling unit</t>
  </si>
  <si>
    <t xml:space="preserve">Pieces to buy</t>
  </si>
  <si>
    <t xml:space="preserve">Where it comes from</t>
  </si>
  <si>
    <t xml:space="preserve">Yield check (live formula)</t>
  </si>
  <si>
    <t xml:space="preserve">6" metal stud (LF of material)</t>
  </si>
  <si>
    <t xml:space="preserve">LF</t>
  </si>
  <si>
    <t xml:space="preserve">stick 20 ft</t>
  </si>
  <si>
    <t xml:space="preserve">familias_out.json familias '6" stud (all gauges)'; studs_out.json + canon pcs; A12.01 types A5/B2; EXT 600S162-54 5/S1.11; 7/S5.20; typical cut 14.36 ft (studs_out mode by LF)</t>
  </si>
  <si>
    <t xml:space="preserve">3-5/8" metal stud (LF of material)</t>
  </si>
  <si>
    <t xml:space="preserve">familias_out.json familias '3-5/8" stud (all gauges)'; studs_out.json + canon pcs; 3/A12.01, 4/A12.01, 6/A12.01; 7/S5.20; typical cut 13.05 ft (studs_out mode by LF)</t>
  </si>
  <si>
    <t xml:space="preserve">1-5/8" metal stud (LF of material)</t>
  </si>
  <si>
    <t xml:space="preserve">familias_out.json familias '1-5/8" stud'; studs_out.json + canon pcs; 5/A12.01 G / G1 double row; typical cut 15.38 ft (studs_out mode by LF)</t>
  </si>
  <si>
    <t xml:space="preserve">6" parapet infill stud (LF of material)</t>
  </si>
  <si>
    <t xml:space="preserve">familias_out.json familias '6" parapet stud'; studs_out.json + canon pcs; 11/S5.10 parapet infill; 4/A09.26; typical cut 4.89 ft (studs_out mode by LF)</t>
  </si>
  <si>
    <t xml:space="preserve">Track, ceilings / soffits / canopy</t>
  </si>
  <si>
    <t xml:space="preserve">run 10 ft</t>
  </si>
  <si>
    <t xml:space="preserve">familias_out.json familias 'ceiling / soffit track'; 7/A09.33, 10/A09.33, 3/A09.26, 16/A09.27</t>
  </si>
  <si>
    <t xml:space="preserve">Bracing 1-1/2" C.R. channel @ 48" O.C.</t>
  </si>
  <si>
    <t xml:space="preserve">C.R. channel 16 ft</t>
  </si>
  <si>
    <t xml:space="preserve">familias_out.json familias 'bracing C.R. channel'; 1/S5.20 bridging @ 48" O.C.; 7/A09.33</t>
  </si>
  <si>
    <t xml:space="preserve">Purlin, top track to deck</t>
  </si>
  <si>
    <t xml:space="preserve">familias_out.json familias 'purlin (track to deck)'; 10/A09.33 track to deck parallel to flute; S2.20</t>
  </si>
  <si>
    <t xml:space="preserve">Header / metal stud box beam</t>
  </si>
  <si>
    <t xml:space="preserve">familias_out.json familias 'header / box beam'; headers.py; 7/S5.20 header schedule; 6/A08.11; 4/A08.21; 14/A09.27</t>
  </si>
  <si>
    <t xml:space="preserve">Sill track</t>
  </si>
  <si>
    <t xml:space="preserve">familias_out.json familias 'sill track'; headers.py; 2/S5.20 sill &gt; 4'-0"; 10/A09.27</t>
  </si>
  <si>
    <t xml:space="preserve">Furring channel (ceilings)</t>
  </si>
  <si>
    <t xml:space="preserve">hat channel 12 ft</t>
  </si>
  <si>
    <t xml:space="preserve">familias_out.json familias 'furring channel'; A04.01 suspended GB ceilings; RFI-C1 spacing 16" O.C.</t>
  </si>
  <si>
    <t xml:space="preserve">Carrying channel (ceilings)</t>
  </si>
  <si>
    <t xml:space="preserve">familias_out.json familias 'carrying channel'; A04.01 suspended GB ceilings; RFI-C1 48" O.C.</t>
  </si>
  <si>
    <t xml:space="preserve">Hanger wire</t>
  </si>
  <si>
    <t xml:space="preserve">familias_out.json familias 'hanger wire'; hanger_pcs x height per room; S2.20 B.O.D.; 9/A09.23</t>
  </si>
  <si>
    <t xml:space="preserve">Hanger wire 12 ga - hanger count (one per hanger, height per room)</t>
  </si>
  <si>
    <t xml:space="preserve">PCS</t>
  </si>
  <si>
    <t xml:space="preserve">each</t>
  </si>
  <si>
    <t xml:space="preserve">familias_out.json hanger_pcs.total_pcs; wire bought on the LF row; A04.01; S2.20</t>
  </si>
  <si>
    <t xml:space="preserve">Framed openings - MEP, light slots and diffusers</t>
  </si>
  <si>
    <t xml:space="preserve">framed_openings_out.json totales_lf 'framed openings MEP'; E00.01 fixture schedule; A04.01; E02.01</t>
  </si>
  <si>
    <t xml:space="preserve">5/8" gypsum board, regular</t>
  </si>
  <si>
    <t xml:space="preserve">SF</t>
  </si>
  <si>
    <t xml:space="preserve">4x12 ft sheet</t>
  </si>
  <si>
    <t xml:space="preserve">familias_out.json familias '5/8" gyp board regular (walls + ceilings)'; board_caras.py; A12.01 types; A04.01</t>
  </si>
  <si>
    <t xml:space="preserve">5/8" gypsum board, MOISTURE RESISTANT</t>
  </si>
  <si>
    <t xml:space="preserve">familias_out.json familias '5/8" gyp MOISTURE RESISTANT'; note F/A08.01 behind WC / LAV; 6/A12.01</t>
  </si>
  <si>
    <t xml:space="preserve">5/8" EXTERIOR gypsum sheathing</t>
  </si>
  <si>
    <t xml:space="preserve">4x8 ft sheet</t>
  </si>
  <si>
    <t xml:space="preserve">familias_out.json familias '5/8" EXTERIOR gyp sheathing'; 4/A09.26 parapet roof side; A09.21-23</t>
  </si>
  <si>
    <t xml:space="preserve">5/8" glass mat sheathing (exterior face of the stud)</t>
  </si>
  <si>
    <t xml:space="preserve">familias_out.json familias '5/8" glass mat sheathing'; 7/A09.26 canopy band; A09.01, A09.02</t>
  </si>
  <si>
    <t xml:space="preserve">Ballistic panel 3/8" UL752</t>
  </si>
  <si>
    <t xml:space="preserve">familias_out.json familias 'ballistic panel'; 4/A12.01 3/8" UL752 level 2 to 8'-0"; ballistic_jogs</t>
  </si>
  <si>
    <t xml:space="preserve">3/8" gypsum board</t>
  </si>
  <si>
    <t xml:space="preserve">familias_out.json familias '3/8" gyp board'; 4/A12.01 3/8" gyp above the ballistic panel</t>
  </si>
  <si>
    <t xml:space="preserve">FRP panels</t>
  </si>
  <si>
    <t xml:space="preserve">familias_out.json familias 'FRP'; A/A08.01-D/A08.01 5'-0" to top of FRP; A05.01 key note 6</t>
  </si>
  <si>
    <t xml:space="preserve">Cement board (substrate under the FRP cove base band)</t>
  </si>
  <si>
    <t xml:space="preserve">3x5 ft sheet</t>
  </si>
  <si>
    <t xml:space="preserve">familias_out.json familias 'cement board'; 1/A08.01 CT-12C tile base band</t>
  </si>
  <si>
    <t xml:space="preserve">Blocking FRT / 2X FRT wood</t>
  </si>
  <si>
    <t xml:space="preserve">2x FRT lumber 8 ft</t>
  </si>
  <si>
    <t xml:space="preserve">familias_out.json familias 'FRT blocking'; note E/A08.01; note D/A12.03-A12.06; 10/A12.01; 3/A08.21</t>
  </si>
  <si>
    <t xml:space="preserve">Stud blocking at edge of gypboard (structural detail)</t>
  </si>
  <si>
    <t xml:space="preserve">familias_out.json metal_blocking_by_origin 'metal stud blocking (362CR / STUD BLOCKING)' (edge); 4/S5.20 blocking at edge of gypboard</t>
  </si>
  <si>
    <t xml:space="preserve">Metal stud blocking at wall-mounted items (notes)</t>
  </si>
  <si>
    <t xml:space="preserve">familias_out.json metal_blocking_by_origin 'metal stud blocking (362CR / STUD BLOCKING)' (items); note C/A02.01; A00.30</t>
  </si>
  <si>
    <t xml:space="preserve">METAL trim - corner bead, casing bead, shadow molding, gypsum edge trim</t>
  </si>
  <si>
    <t xml:space="preserve">trim stick 10 ft</t>
  </si>
  <si>
    <t xml:space="preserve">familias_out.json familias 'metal trim (corner bead, casing, shadow molding)'; 8/A12.01, 9/A12.01, 10/A12.01, 9/A12.08, 4/A08.21</t>
  </si>
  <si>
    <t xml:space="preserve">Acoustical sealant</t>
  </si>
  <si>
    <t xml:space="preserve">tube (25 LF per tube)</t>
  </si>
  <si>
    <t xml:space="preserve">familias_out.json materiales 'Acoustical sealant' = family acoustical sealant 1319.93 - sealant_exterior_lf 216.98; 4/A12.01, 5/A12.01, 8/A12.01, 9/A12.01, 10/A12.01</t>
  </si>
  <si>
    <t xml:space="preserve">Sealant at base of gypsum (exterior, not acoustical)</t>
  </si>
  <si>
    <t xml:space="preserve">familias_out.json sealant_exterior_lf (family acoustical sealant, exterior rows); 5/A09.26, 9/A09.27, 12/A09.27</t>
  </si>
  <si>
    <t xml:space="preserve">Bottom track 3-5/8"</t>
  </si>
  <si>
    <t xml:space="preserve">familias_out.json track_by_element 'bottom track (all)' (R73.3)</t>
  </si>
  <si>
    <t xml:space="preserve">Bottom track 6"</t>
  </si>
  <si>
    <t xml:space="preserve">Bottom track 1-5/8"</t>
  </si>
  <si>
    <t xml:space="preserve">Parapet bottom track</t>
  </si>
  <si>
    <t xml:space="preserve">Bottom track - roof step and heads (vestibule / soffit)</t>
  </si>
  <si>
    <t xml:space="preserve">Bottom track 2-1/2"</t>
  </si>
  <si>
    <t xml:space="preserve">Top / deflection track 3-5/8"</t>
  </si>
  <si>
    <t xml:space="preserve">familias_out.json track_by_element 'top / deflection track (all)' (R73.3)</t>
  </si>
  <si>
    <t xml:space="preserve">Top / deflection track 6"</t>
  </si>
  <si>
    <t xml:space="preserve">Top / deflection track 1-5/8"</t>
  </si>
  <si>
    <t xml:space="preserve">Parapet top track</t>
  </si>
  <si>
    <t xml:space="preserve">Top track - roof step and heads (vestibule / soffit)</t>
  </si>
  <si>
    <t xml:space="preserve">Top / deflection track 2-1/2"</t>
  </si>
  <si>
    <t xml:space="preserve">5/8" FRT plywood sheathing (canopy and soffits)</t>
  </si>
  <si>
    <t xml:space="preserve">4x12 ft sheet (Inputs)</t>
  </si>
  <si>
    <t xml:space="preserve">familias_out.json FRT plywood by material; 3/A09.26; 7/A09.26; 16/A09.27; 4/A09.26; 5/A09.26; 4/A02.02; 2/A11.03; 3/A11.03; 4/A11.03; 5/A11.03; 12/A12.01; 6/A08.11; 5/A09.25</t>
  </si>
  <si>
    <t xml:space="preserve">Exterior sheathing 5/8" FRT plywood bonded to polyiso (nailbase)</t>
  </si>
  <si>
    <t xml:space="preserve">FRT plywood substrate (3/4 in.)</t>
  </si>
  <si>
    <t xml:space="preserve">FRT plywood substrate (5/8 in.)</t>
  </si>
  <si>
    <t xml:space="preserve">5/8" FRT plywood at canopy column wraps</t>
  </si>
  <si>
    <t xml:space="preserve">Additional head track at openings over 4'-0" wide</t>
  </si>
  <si>
    <t xml:space="preserve">accesorios.py [CRITERION]: HEAD TRACK @ NON LOAD BRG: ADD FULL LENGTH ADDL HEAD TRACK @ OPNG &gt; 4'-0"; Estimator user decision #1: R.O. + 1'-4" (8" bearing each side)</t>
  </si>
  <si>
    <t xml:space="preserve">Stud reinforcement at MEP penetrations</t>
  </si>
  <si>
    <t xml:space="preserve">accesorios.py [CRITERION]: 6/S5.20; M01.01; 6/S5.20; M01.01 duct crossing (mep.cruces, registro dx -571.92 dy 21.84); 6/S5.20</t>
  </si>
  <si>
    <t xml:space="preserve">Extra framing - sistered stud and furring at the ATM recess</t>
  </si>
  <si>
    <t xml:space="preserve">accesorios.py [CRITERION]: 6/A08.11</t>
  </si>
  <si>
    <t xml:space="preserve">2-1/2" CFMF @ 16" O.C. at coiling grille head (4/A08.21)</t>
  </si>
  <si>
    <t xml:space="preserve">accesorios.py [DERIVED]: 4/A08.21 COILING GRILLE HEAD DETAIL ('6" CFMF BOX BEAM HEADER' x2, '2 1/2" CFMF @ 16" O.C.', '5/8" GYP. BD., TYP.')</t>
  </si>
  <si>
    <t xml:space="preserve">Gypsum board jamb return at openings</t>
  </si>
  <si>
    <t xml:space="preserve">accesorios.py [CRITERION]: Estimator criterion (return width = 6" stud depth, not dimensioned; RFI with delta at 0.20 ft)</t>
  </si>
  <si>
    <t xml:space="preserve">PVC trim - edge trim molding and inside corner molding at the FRP</t>
  </si>
  <si>
    <t xml:space="preserve">accesorios.py [DERIVED]: A/A08.01, B/A08.01, C/A08.01, D/A08.01 '5'-0" TO TOP OF FRP' (WC-3 = FRP, A00.40 WC-3 FIBER REINFORCED PLASTIC PANEL); 1/A08.01 room outline (vector, 36 pt/ft): 6 vertices, 5 inside + 1 outside (step at the TA-14 recess wall); A05.01 finish</t>
  </si>
  <si>
    <t xml:space="preserve">Power-driven fasteners and duct sleeves</t>
  </si>
  <si>
    <t xml:space="preserve">accesorios.py [DERIVED]: Parapet infill: PAFs SPACED AT 12" O.C. MAX to the steel beam; M01.01</t>
  </si>
  <si>
    <t xml:space="preserve">Access panel 2'x2'</t>
  </si>
  <si>
    <t xml:space="preserve">accesorios.py [CONFIRMED]: A04.01 key note 4</t>
  </si>
  <si>
    <t xml:space="preserve">Drywall screws 1-1/4" bugle head</t>
  </si>
  <si>
    <t xml:space="preserve">accesorios.py [DERIVED]: Inputs!B20 (Drywall screws per SF of board = 1.2) x 17970.6 SF of board</t>
  </si>
  <si>
    <t xml:space="preserve">Framing screws, pan head self-drilling</t>
  </si>
  <si>
    <t xml:space="preserve">accesorios.py [DERIVED]: Inputs!B21 (Framing screws per stud piece = 4) x 1772 stud pieces</t>
  </si>
  <si>
    <t xml:space="preserve">Power-driven fasteners, slab pins for the bottom track</t>
  </si>
  <si>
    <t xml:space="preserve">accesorios.py [DERIVED]: 531.55 LF of interior bottom track on slab / Inputs!B22 (Power-driven pin spacing (ft) = 1)</t>
  </si>
  <si>
    <t xml:space="preserve">Expansion anchors Hilti 1/4" Kwik Bolt II, exterior bottom track @ 8" O.C.</t>
  </si>
  <si>
    <t xml:space="preserve">accesorios.py [DERIVED]: 214.05 LF of exterior bottom track on slab / Inputs!B25 (Expansion anchor spacing (ft) = 0.6667)</t>
  </si>
  <si>
    <t xml:space="preserve">Joint compound, all purpose</t>
  </si>
  <si>
    <t xml:space="preserve">LB</t>
  </si>
  <si>
    <t xml:space="preserve">lb</t>
  </si>
  <si>
    <t xml:space="preserve">accesorios.py [DERIVED]: Inputs!B23 (Joint compound (lb per SF) = 0.072) x 17970.6 SF of board</t>
  </si>
  <si>
    <t xml:space="preserve">Joint tape, paper</t>
  </si>
  <si>
    <t xml:space="preserve">accesorios.py [DERIVED]: Inputs!B24 (Joint tape (LF per SF) = 0.37) x 17970.6 SF of board</t>
  </si>
  <si>
    <t xml:space="preserve">Level 5 finish</t>
  </si>
  <si>
    <t xml:space="preserve">accesorios.py [DERIVED]: 1/A11.04; A05.01 WC-18 tag + key note 12; A00.40 WC-18 'WALL SURFACE TO BE LEVEL 5'; 6/A11.01; A05.01 WC-18 tag + key note 12; A00.40 WC-18 'WALL SURFACE TO BE LEVEL 5'; 5/A11.04; A05.01 WC-18 tag + key note 12; A00.40 WC-18 'WALL SURFACE T</t>
  </si>
  <si>
    <t xml:space="preserve">Deflection clips at non-load-bearing walls to structure</t>
  </si>
  <si>
    <t xml:space="preserve">accesorios.py [CRITERION]: 2/S1.11; 10/S5.10, 6/S5.10</t>
  </si>
  <si>
    <t xml:space="preserve">RFI</t>
  </si>
  <si>
    <t xml:space="preserve">Question / condition</t>
  </si>
  <si>
    <t xml:space="preserve">Delta of each alternative</t>
  </si>
  <si>
    <t xml:space="preserve">RFI-ACC-additional-head-track</t>
  </si>
  <si>
    <t xml:space="preserve">additional head track: openings with their own box (openings_extra) &gt; 4'-0": do they also take the additional head track of 2/S5.20?</t>
  </si>
  <si>
    <t xml:space="preserve">100.54 lf</t>
  </si>
  <si>
    <t xml:space="preserve">RFI-ACC-stud-reinforcement-mep</t>
  </si>
  <si>
    <t xml:space="preserve">stud reinforcement MEP: plates at double-row stud walls: one per cut row (R72.9) vs one per crossing</t>
  </si>
  <si>
    <t xml:space="preserve">-9 pcs</t>
  </si>
  <si>
    <t xml:space="preserve">RFI-ACC-stud-reinforcement-mep-2</t>
  </si>
  <si>
    <t xml:space="preserve">stud reinforcement MEP: duct / fire damper openings listed outside the registered MEP sweep (R73.5)</t>
  </si>
  <si>
    <t xml:space="preserve">4 pcs</t>
  </si>
  <si>
    <t xml:space="preserve">RFI-ACC-extra-framing-atm</t>
  </si>
  <si>
    <t xml:space="preserve">extra framing ATM: ATM-DU: ATM recess not fully dimensioned (width DERIVED, sistered height CRITERION, furring rows CRITERION)</t>
  </si>
  <si>
    <t xml:space="preserve">-13.04 lf</t>
  </si>
  <si>
    <t xml:space="preserve">RFI-ACC-gypsum-board-jamb-return</t>
  </si>
  <si>
    <t xml:space="preserve">gypsum board jamb return: jamb return width not dimensioned</t>
  </si>
  <si>
    <t xml:space="preserve">-60.59 sf</t>
  </si>
  <si>
    <t xml:space="preserve">RFI-ACC-expansion-anchors</t>
  </si>
  <si>
    <t xml:space="preserve">expansion anchors: untagged parts of piers / boxes (R4-4, R4-2) without anchorage in the schedule (R72.8)</t>
  </si>
  <si>
    <t xml:space="preserve">9.41 pcs</t>
  </si>
  <si>
    <t xml:space="preserve">RFI-ACC-slab-pins</t>
  </si>
  <si>
    <t xml:space="preserve">slab pins: pin spacing: 12" (interior anchorage) vs 16" (fastener schedule) vs 24" (type K box)</t>
  </si>
  <si>
    <t xml:space="preserve">16in: -132.89 pcs; 24in: -265.77 pcs</t>
  </si>
  <si>
    <t xml:space="preserve">RFI-ACC-deflection-clips</t>
  </si>
  <si>
    <t xml:space="preserve">deflection clips: deflection clips: the general note asks for them at non-load-bearing walls and the partition details draw a slip / deflection track (R73.6)</t>
  </si>
  <si>
    <t xml:space="preserve">553 pcs</t>
  </si>
  <si>
    <t xml:space="preserve">RFI-ACC-level-5-finish</t>
  </si>
  <si>
    <t xml:space="preserve">Level 5 finish: A05.01 finish key note 9 asks Level 5 for wallcovering WC-20 on the 24 HR vestibule ATM wall, but WC-20 is not in the A00.40 finish schedule and 1/A08.11 tags that wall P-24</t>
  </si>
  <si>
    <t xml:space="preserve">168.14</t>
  </si>
  <si>
    <t xml:space="preserve">RFI-ACC-pvc-trim-at-frp</t>
  </si>
  <si>
    <t xml:space="preserve">PVC trim at FRP: A08.01 key note 8 'PROVIDE FRP AROUND THE MIRROR'S HOUSING' (mirror TA-7 bottom 40" AFF, FRP top 5'-0"): extent of FRP / edge trim around the housing not dimensioned</t>
  </si>
  <si>
    <t xml:space="preserve">16</t>
  </si>
  <si>
    <t xml:space="preserve">RFI-DET-01</t>
  </si>
  <si>
    <t xml:space="preserve">B2K tagged on A02.01 (PC0011) has no row / detail in A12.01: build taken as B2 6" studs with the K ballistic build of 4/A12.01 (600S137-68 @ 24", 3/8" UL752 panel to 8'-0" + 3/8" gyp above) (A02.01, A12.01)</t>
  </si>
  <si>
    <t xml:space="preserve">per LF of B2K vs plain B2: +8 SF/LF ballistic panel + (H - 8) SF/LF 3/8" gyp on the customer face; 68 vs 33 mil studs @ 24" instead of @ 16" (about 1/3 fewer pieces)</t>
  </si>
  <si>
    <t xml:space="preserve">RFI-DET-02</t>
  </si>
  <si>
    <t xml:space="preserve">Continuous slip track of 1,3,4/A12.01 and 8,9/A12.01: no profile printed for 3-5/8" or 1-5/8" interior slip track (S5.20 lists only 600T200-97 top track 6"); deep-leg (2" flange) assumed (1,3,4,8,9/A12.01; S5.20)</t>
  </si>
  <si>
    <t xml:space="preserve">price difference deep-leg vs standard track per LF of top track of every slip-track wall (top / deflection track family 1348.76 LF); clips: see RFI-ACC-deflection-clips</t>
  </si>
  <si>
    <t xml:space="preserve">RFI-DET-03</t>
  </si>
  <si>
    <t xml:space="preserve">6/A12.01 (C1) does not label the top line: furring studs and 5/8" board carried to the underside of structure (6/A12.01)</t>
  </si>
  <si>
    <t xml:space="preserve">C1 LF x (B.O.D. - (ceiling + 0.5 ft)) SF of 5/8" board and the same LF of 3-5/8" stud less if they stop at ceiling + 6"</t>
  </si>
  <si>
    <t xml:space="preserve">RFI-DET-04</t>
  </si>
  <si>
    <t xml:space="preserve">12/A12.01 (F) studs span between stud tracks at floor and deck without slip track; S1.11 asks for deflection at non-load-bearing walls: standard top track + deflection carried (12/A12.01; S1.11)</t>
  </si>
  <si>
    <t xml:space="preserve">F wall 17.76 LF of slip track vs standard track (price only)</t>
  </si>
  <si>
    <t xml:space="preserve">RFI-DET-05</t>
  </si>
  <si>
    <t xml:space="preserve">Interior 6" studs (A5, B2) have no S5.20 row: 600S137-33 @ 16" O.C. assumed (S5.20; S1.11)</t>
  </si>
  <si>
    <t xml:space="preserve">33 vs 43 / 54 mil price per LF of interior 6" studs and track</t>
  </si>
  <si>
    <t xml:space="preserve">RFI-DET-06</t>
  </si>
  <si>
    <t xml:space="preserve">G / G1 double-row 1-5/8" studs: no sheet gives designation / gauge: 162S125-33 @ 16" O.C. per row assumed (5/A12.01; S5.20)</t>
  </si>
  <si>
    <t xml:space="preserve">33 mil vs 20 GA EQ / 25 GA; 16" vs 24" O.C. = 1.5x pieces of the 1-5/8" stud family (4032.35 LF)</t>
  </si>
  <si>
    <t xml:space="preserve">RFI-STR-1</t>
  </si>
  <si>
    <t xml:space="preserve">Exterior stud height: 10/S5.10 and 6/S5.10 stop the framing at a deflection track under the perimeter beam (B.O.D. - d) with HSS posts; A09.21-23 draw 6" CFMF continuous outboard of the beam to T/STUD (carried) (10/S5.10; 6/S5.10; A09.21-A09.23)</t>
  </si>
  <si>
    <t xml:space="preserve">per exterior stud: -(T/STUD - (B.O.D. - d)), e.g. high roof under W12x19 -5.31 ft/stud, low roof -3.06 ft/stud</t>
  </si>
  <si>
    <t xml:space="preserve">RFI-STR-2</t>
  </si>
  <si>
    <t xml:space="preserve">Exterior studs: S1.11 note 5 600S162-54 @ 12" O.C. within 6 ft of building corners and @ 16" elsewhere (carried) vs 7/S5.20 600S137-33 @ 16" (5/S1.11; 7/S5.20)</t>
  </si>
  <si>
    <t xml:space="preserve">about -1 to -2 studs per corner side if @ 16" governs; 54 vs 33 mil price on the exterior 6" studs</t>
  </si>
  <si>
    <t xml:space="preserve">RFI-STR-3</t>
  </si>
  <si>
    <t xml:space="preserve">S2.20 canopy B.O.D. printed 111'-9" (typo): sections J,H/A09.23 T/STEEL 11'-9" used (S2.20; J/A09.23)</t>
  </si>
  <si>
    <t xml:space="preserve">0 (typo; quantities unchanged)</t>
  </si>
  <si>
    <t xml:space="preserve">RFI-STR-5</t>
  </si>
  <si>
    <t xml:space="preserve">7/S5.20 non-load-bearing header schedule ends at 8'-0" span; openings wider than 8'-0" (SF-2 26'-3", grille 103 13'-4") have no scheduled header (7/S5.20)</t>
  </si>
  <si>
    <t xml:space="preserve">header type unknown per opening &gt; 8'-0" (box carried, see RFI-OPEN-4)</t>
  </si>
  <si>
    <t xml:space="preserve">RFI-OPEN-1</t>
  </si>
  <si>
    <t xml:space="preserve">Door rough openings not printed: door width + 4" (2" HM frame faces) used (10/A12.02, 11/A12.02)</t>
  </si>
  <si>
    <t xml:space="preserve">-6.33 LF header if R.O. = door width (interior -5.0 LF, door 123 -1.33 LF)</t>
  </si>
  <si>
    <t xml:space="preserve">RFI-OPEN-2</t>
  </si>
  <si>
    <t xml:space="preserve">Grille 103 height: A00.30 prints 13'-6 1/2"; 2/A08.21 vector and 4/A08.21 give 10'-0" (used) (A00.30; 2/A08.21, 4/A08.21)</t>
  </si>
  <si>
    <t xml:space="preserve">0 LF header (117.33 LF unchanged); only the grille bands change</t>
  </si>
  <si>
    <t xml:space="preserve">RFI-OPEN-3</t>
  </si>
  <si>
    <t xml:space="preserve">ATM-DU rough opening: 7/A08.11 2'-2 1/2" vs 5/A08.11 2'-2 1/8" (larger used) (5/A08.11, 7/A08.11)</t>
  </si>
  <si>
    <t xml:space="preserve">-0.125 LF header, -0.03 LF sill</t>
  </si>
  <si>
    <t xml:space="preserve">RFI-OPEN-5</t>
  </si>
  <si>
    <t xml:space="preserve">Office fronts CONT. BOX BEAM (8,9/A12.01): one run first jamb to last jamb carried (OF-E 39.973 ft, OF-W 18.507 ft) (8/A12.01, 9/A12.01)</t>
  </si>
  <si>
    <t xml:space="preserve">-23.89 LF (OF-E) and -8.69 LF (OF-W) header if per opening (n x 7'-6")</t>
  </si>
  <si>
    <t xml:space="preserve">RFI-OPEN-6</t>
  </si>
  <si>
    <t xml:space="preserve">Vestibule heads A12.10 'METAL STUD FRAMING &amp; BOX HEADER AS NEEDED': box size and stud size not printed; 6" box 4 pieces + 3-5/8" @ 16" studs to deck carried (VH-S, VH-E) (4-7/A12.10)</t>
  </si>
  <si>
    <t xml:space="preserve">-98.92 LF header if no box is needed; stud size change on VH-S 15.65 LF / VH-E 6.42 LF</t>
  </si>
  <si>
    <t xml:space="preserve">RFI-OPEN-7</t>
  </si>
  <si>
    <t xml:space="preserve">Door 101 head / sill reference: A00.30 cites 04/A12.10 (single door) while 6/A12.10 is the double door (A00.30; 4/A12.10, 6/A12.10)</t>
  </si>
  <si>
    <t xml:space="preserve">n/a: information only, no quantity change</t>
  </si>
  <si>
    <t xml:space="preserve">RFI-C1</t>
  </si>
  <si>
    <t xml:space="preserve">No suspended GWB ceiling detail: carrying channel direction and furring/carrying/hanger spacing not printed. Carried furring 16" o.c., carrying 48" o.c. E-W, hangers 48" o.c. (ASTM C754 criterion).</t>
  </si>
  <si>
    <t xml:space="preserve">carrying direction N-S instead of E-W changes carrying/hanger count per room (see canon rows); spacing 4'-0" vs 3'-0" hangers ~ +33% hanger pcs</t>
  </si>
  <si>
    <t xml:space="preserve">RFI-C2</t>
  </si>
  <si>
    <t xml:space="preserve">Restrooms 113/114 under sloped low roof (B.O.D. 13'-0 5/8" at grid B to 12'-6 3/8" at grid A, S2.20); hanger drop carried with 13'-0 5/8" (more material, 53.3).</t>
  </si>
  <si>
    <t xml:space="preserve">interpolated B.O.D. at room centroid ~12'-11" -&gt; drop -0.1 ft x hanger pcs</t>
  </si>
  <si>
    <t xml:space="preserve">RFI-C3</t>
  </si>
  <si>
    <t xml:space="preserve">CSR soffit: RCP A04.01 shows GB 8'-0" without a detail bubble; assembly taken from 9/A12.08 (called on 1/ and 2/A12.08) and 10/A09.33. Confirm studs to deck (10/A09.33) vs to ceiling-height only (9/A12.08 drawing).</t>
  </si>
  <si>
    <t xml:space="preserve">soffit_side studs to deck 7.375/5.052 ft vs to 9'-6" (1.5 ft): -(5.875 or 3.552) ft x stud pcs</t>
  </si>
  <si>
    <t xml:space="preserve">RFI-C4</t>
  </si>
  <si>
    <t xml:space="preserve">Men's 113 width not printed (Women's 114 printed 11'-8" on the same wall lines; vector 11.733).</t>
  </si>
  <si>
    <t xml:space="preserve">0.0667 ft x 6.667 = 0.44 SF board; 0.13 LF perimeter</t>
  </si>
  <si>
    <t xml:space="preserve">RFI-C5</t>
  </si>
  <si>
    <t xml:space="preserve">R-11C/R-11CE: E00.01 description 12' vs catalog suffix 20'-0"; drawn 12' (A04.01) -&gt; 12' carried (framed_openings 60.9).</t>
  </si>
  <si>
    <t xml:space="preserve">2 x 8 ft x 4 = +64 LF framed opening if 20'</t>
  </si>
  <si>
    <t xml:space="preserve">RFI-C6</t>
  </si>
  <si>
    <t xml:space="preserve">SD/SDR TBDI-10 slot diffusers in GB ceilings sized 'SEE DRAWING' (M00.03); carried drawn outer frame 7.76" x 12.873' (vestibules) / 2.293' (restrooms).</t>
  </si>
  <si>
    <t xml:space="preserve">inner face 4.24" x 2.0' alternative: -2 x 0.293 x 4 - 2 x 0.293 x 8 ~ -7 LF</t>
  </si>
  <si>
    <t xml:space="preserve">RFI-C7</t>
  </si>
  <si>
    <t xml:space="preserve">ACT-to-ACT steps (A_CEIL-R2 corridor 8'-6"/11'-6", A_CEIL-R3 9'-0"/11'-6") drawn as double line (bulkhead) without detail callout; carried as 7/A09.33 transition (kickers + vertical studs). 8/A09.33 bulkhead is the alternative.</t>
  </si>
  <si>
    <t xml:space="preserve">8/A09.33 (studs @16" + bracing @48", no kickers): kickers -ROUNDUP(L/4)+1 pcs each run</t>
  </si>
  <si>
    <t xml:space="preserve">RFI-C8</t>
  </si>
  <si>
    <t xml:space="preserve">Waiting 104 GB island south edge: 0.6 ft at each end beyond Calling Cubes wall (x 1223.9-1234.8 and 1519.4-1530.4) against ACT not counted as transition.</t>
  </si>
  <si>
    <t xml:space="preserve">+1.21 LF transition</t>
  </si>
  <si>
    <t xml:space="preserve">RFI-C9</t>
  </si>
  <si>
    <t xml:space="preserve">Canopy soffit at UU linear fixtures: fixture runs (UU4 55', UU5 50') cross the canopy joists; framed openings carried per framed_openings.py (2 x (L+W)).</t>
  </si>
  <si>
    <t xml:space="preserve">if fixtures run between joists (parallel), framing = 0 extra: -(2x(55+0.208)x4 + 2x(50.208)+...)</t>
  </si>
  <si>
    <t xml:space="preserve">RFI-EXT-01</t>
  </si>
  <si>
    <t xml:space="preserve">Elevation titles vs north arrow: A02.01 north arrow points up, but the plan-top face is drawn on A09.01/1 titled SOUTH and the plan-bottom face on A09.02/2 titled NORTH (E/W consistent).</t>
  </si>
  <si>
    <t xml:space="preserve">none on quantities; facade ids here follow the north arrow (N = plan top)</t>
  </si>
  <si>
    <t xml:space="preserve">RFI-EXT-02</t>
  </si>
  <si>
    <t xml:space="preserve">Glass-mat band height: 7/A09.26 shows two B/STUD (10'-8 5/8" fascia, 10'-7 1/4" soffit); band taken to 10'-7 1/4".</t>
  </si>
  <si>
    <t xml:space="preserve">-0.1146 ft x total band LF 186.34 = -21.4 SF glass mat (+ same SF nailbase)</t>
  </si>
  <si>
    <t xml:space="preserve">RFI-EXT-03</t>
  </si>
  <si>
    <t xml:space="preserve">South (plan bottom) canopy at door 123: F/A09.22 calls 7/A09.26 SIM and A09.02/2 shows a band over 2 panels, but A02.01 shows no canopy outline; length and projection not dimensioned.</t>
  </si>
  <si>
    <t xml:space="preserve">glass-mat band 22.43 x 1.9792 = 44.4 SF and the same nailbase SF; fascia/soffit framing of that canopy</t>
  </si>
  <si>
    <t xml:space="preserve">RFI-EXT-04</t>
  </si>
  <si>
    <t xml:space="preserve">Parapet height above roof not printed on C/A09.21 (N_LP), D/A09.22 and H/A09.23 (W_LP); roof slopes so A and B/A09.21 differ (3'-8 3/4" vs 3'-11 3/4").</t>
  </si>
  <si>
    <t xml:space="preserve">N_LP taken at 4'-6 3/4" (max LP printed): vs 3'-8 3/4" = -0.833 ft x 40.19 LF = -33.5 SF ext. gyp sheathing; W_LP taken at T/STUD - T/STEEL 2.0417 (upper bound)</t>
  </si>
  <si>
    <t xml:space="preserve">RFI-EXT-05</t>
  </si>
  <si>
    <t xml:space="preserve">DAY 1 walk-up ATM R.O. in W_HP wall (A08.11) not subtracted from nailbase: A08.11 prints several R.O. (2'-2 1/8" x 2'-7 1/4", 2'-3"); owned by A_OPEN.</t>
  </si>
  <si>
    <t xml:space="preserve">about -5.8 SF nailbase W_HP</t>
  </si>
  <si>
    <t xml:space="preserve">RFI-EXT-07</t>
  </si>
  <si>
    <t xml:space="preserve">Column wrap stud count: 5/A09.25 draws 10 studs; spacing formula on 4 faces of 17" FOS gives 12.</t>
  </si>
  <si>
    <t xml:space="preserve">+2 studs x 10.5 ft x 4 wraps = +84 LF 3-5/8" if formula governs</t>
  </si>
  <si>
    <t xml:space="preserve">RFI-R1-01</t>
  </si>
  <si>
    <t xml:space="preserve">Door 116 head / jambs between the A5 FCAM wall (above) and the B2 wall (below), both 7 1/4": which type frames the opening? Loaded to B2 (to structure) (A02.01; A00.30)</t>
  </si>
  <si>
    <t xml:space="preserve">+/- 3.33 LF between A5 and B2</t>
  </si>
  <si>
    <t xml:space="preserve">RFI-R3-01</t>
  </si>
  <si>
    <t xml:space="preserve">A02.01 draws partition G1 (offices 105/106 demising wall, offices 109/110 front) 8 1/2" thick; A12.01 schedule lists G1 = 8" (A02.01; A12.01)</t>
  </si>
  <si>
    <t xml:space="preserve">0 LF (thickness only; stud / track spacing or furring)</t>
  </si>
  <si>
    <t xml:space="preserve">RFI-R4-01</t>
  </si>
  <si>
    <t xml:space="preserve">2/A09.25 storefront pier at grid 4: the E face 6" CFMF leg is drawn 0.92" past the printed 8" + 3" FOS chain into the storefront jamb (2/A09.25)</t>
  </si>
  <si>
    <t xml:space="preserve">+0.08 LF 6" CFMF</t>
  </si>
  <si>
    <t xml:space="preserve">RFI-R4-02</t>
  </si>
  <si>
    <t xml:space="preserve">C1 column wrap PT0032 (R4-5): no detail and no printed FOS chain; faces taken at the finish lines (A02.01; 1/A12.10)</t>
  </si>
  <si>
    <t xml:space="preserve">-0.42 LF C1 if FOS = finish - 2 x 5/8"</t>
  </si>
  <si>
    <t xml:space="preserve">RFI-R4-03</t>
  </si>
  <si>
    <t xml:space="preserve">Plan pier at grid 4 shows two column squares; 2/A09.25 draws one HSS (A02.01; 2/A09.25)</t>
  </si>
  <si>
    <t xml:space="preserve">0 LF (no quantity change)</t>
  </si>
  <si>
    <t xml:space="preserve">RFI-INT-01</t>
  </si>
  <si>
    <t xml:space="preserve">Partial beam coverage (AW2-2 W8X10 45 %, AW3-6 W14X30 55 %, AW3-11 / BW3-6 W8X10 29 %) and AW2-3 / AW3-10 (beam without label / two candidates): studs carried to deck (S2.20; A02.01)</t>
  </si>
  <si>
    <t xml:space="preserve">about -15 LF studs if the covered studs stop under the beam</t>
  </si>
  <si>
    <t xml:space="preserve">RFI-INT-06</t>
  </si>
  <si>
    <t xml:space="preserve">K walls: customer side not labelled on plan; public CSR / central zone side taken (A02.01; 4/A12.01)</t>
  </si>
  <si>
    <t xml:space="preserve">0 SF (side only)</t>
  </si>
  <si>
    <t xml:space="preserve">RFI-INT-07</t>
  </si>
  <si>
    <t xml:space="preserve">Roof step length grid 3-8: printed chain 52'-4" carried vs inside faces 51.73 ft (4/A02.02)</t>
  </si>
  <si>
    <t xml:space="preserve">-0.6 ft x 3 rows of roof step framing</t>
  </si>
  <si>
    <t xml:space="preserve">RFI-INT-08</t>
  </si>
  <si>
    <t xml:space="preserve">Door 123 jamb return: 13/A09.27 'LINE OF JAMB RETURN BEYOND' carried vs 4/A09.25 frame to framing (13/A09.27; 4/A09.25)</t>
  </si>
  <si>
    <t xml:space="preserve">-19.33 LF edges (-9.67 SF jamb return, -38.67 LF trim)</t>
  </si>
  <si>
    <t xml:space="preserve">RFI-INT-11</t>
  </si>
  <si>
    <t xml:space="preserve">A_CEIL-R2 (corridor 111 / central zone) dropped: its double line is the A1 wall BW1-4 (door 111), not a ceiling transition (A04.01; A02.01)</t>
  </si>
  <si>
    <t xml:space="preserve">+5.59 LF transition (+ kickers) if the estimator reads a ceiling step</t>
  </si>
  <si>
    <t xml:space="preserve">RFI-INT-13</t>
  </si>
  <si>
    <t xml:space="preserve">Canopy band LF: A_EXTFAC (returns + jog, 186.34 LF, carried) vs A_CEIL (183.4 LF) (7/A09.26; A02.01)</t>
  </si>
  <si>
    <t xml:space="preserve">-2.9 LF x 1.979 ft = -5.74 SF glass mat if the shorter band governs</t>
  </si>
  <si>
    <t xml:space="preserve">RFI-INT-14</t>
  </si>
  <si>
    <t xml:space="preserve">Sealant at base of exterior gypsum: 216.98 LF on the inner bands (carried) vs 223.19 LF on the outer faces (5/A09.26; 9/A09.27)</t>
  </si>
  <si>
    <t xml:space="preserve">+6.21 LF sealant</t>
  </si>
  <si>
    <t xml:space="preserve">RFI-INT-15</t>
  </si>
  <si>
    <t xml:space="preserve">K contour corners (R73.2 / R72.1 applied): B2K AW2-10 ends at the jog face x 1653.96 (1.7733 ft) and A1K AW1-16 = hatch 1.6933 ft; corner squares owned by the A1K line (A02.01; 4/A12.01)</t>
  </si>
  <si>
    <t xml:space="preserve">+0.43 LF B2K and +0.51 LF A1K (+~8 SF ballistic) if the corners belong to B2K / AW1-16</t>
  </si>
  <si>
    <t xml:space="preserve">RFI-INT-16</t>
  </si>
  <si>
    <t xml:space="preserve">Storefront piers R4-1..R4-4: 1/2/A09.25 draw the framing as blocks (stud count not readable); counted as straight walls by studs_nodos (1/A09.25, 2/A09.25)</t>
  </si>
  <si>
    <t xml:space="preserve">+1 stud x 14.36 ft per L (4 L) = +57.4 LF if counted per face</t>
  </si>
  <si>
    <t xml:space="preserve">RFI-INT-18</t>
  </si>
  <si>
    <t xml:space="preserve">Future FCAM ceiling not tagged on the RCP: 116 ACT 9'-0" assumed (A1 / A5 board to 9'-6") (A04.01)</t>
  </si>
  <si>
    <t xml:space="preserve">board SF changes with the real ceiling height on the FCAM faces</t>
  </si>
  <si>
    <t xml:space="preserve">RFI-INT-19</t>
  </si>
  <si>
    <t xml:space="preserve">Pipe penetrations of the stud walls on P01.01 / P01.02 not swept geometrically: mep.registro gives 1 / 3 matches (&lt; 25), the plumbing background does not reproduce the A02.01 wall segments (P01.01, P01.02, 6/S5.20)</t>
  </si>
  <si>
    <t xml:space="preserve">+1 plate (6/S5.20) per pipe over 1 in. crossing a stud wall; outside the stud reinforcement family by R73.5 (pipes go to RFI)</t>
  </si>
  <si>
    <t xml:space="preserve">RFI-INT-20</t>
  </si>
  <si>
    <t xml:space="preserve">Concealed faces of parallel walls: AW1-14 (A1K) north face 3.3 in from the G wall BW3-9, BW3-9 south face over the same 2.98 ft, AW1-15 (A1K) south face 2.6 in from the C1 furring AW2-20; the canon boards every face per its detail (A02.01, 4/A12.01, 5/A12.01, 6/A12.01)</t>
  </si>
  <si>
    <t xml:space="preserve">-188.72 SF (AW1-14 A 3.4167 x 15.375 = 52.53 + BW3-9 B 2.98 x 15.375 x 2 layers = 91.64 + AW1-15 B 3.4133 x 13.0521 = 44.55 -&gt; -188.72 SF if the concealed faces are not boarded)</t>
  </si>
  <si>
    <t xml:space="preserve">RFI-INT-21</t>
  </si>
  <si>
    <t xml:space="preserve">Faces without a printed FOS chain: C1 furring PT0033 at the column at the east end of the diagonal F wall (A02.01 dimension string x=1169.76 has ticks 710.88 / 728.88 but no text; 7/A08.11, 6/A12.01, A12.10, A04.01, A11.0x print no dimension) -&gt; remodeled as straight C1 segments R5-1/R5-2/R5-3 in vector (R5); and the S face of pier R4-3 (1/A09.25 prints only the E face chain) (A02.01, A08.11, A12.01, A12.10, A04.01, 1/A09.25)</t>
  </si>
  <si>
    <t xml:space="preserve">PT0033: C1 LF 2.94 (old column_wrap = sum of exposed faces) -&gt; 2.2333 LF of wall band (1.5333 + 0.2933 + 0.4067, face to face R70.2) = -0.7067 LF; studs 7 (column_wrap per face) -&gt; 9 (walls: 4 + 2 + 3 with 2 L nodes and 2 abut) = +2 x 15.375 = +30.75 LF 3 5/8"; board unchanged (exposed faces 1.5333 + 1.0 + 0.4067 = 2.94 ft x 15.375). If the architect prints the box at 1'-0" east face: no change (vector = 18.00 pt = 1'-0"). R4-3: 0 LF while the printed face is within 1 in. of 19.387 in.; R4-3 S face (1/A09.25, vector 19.39"): +0.94 LF C1 if the full box width 2'-6 3/4" is used</t>
  </si>
  <si>
    <t xml:space="preserve">RFI-INT-22</t>
  </si>
  <si>
    <t xml:space="preserve">Cladding substrate excluded (alcance_filtro.py, 60.4): EPS-5 7/8" hat channel, ACM J-channel / trims and stucco lath on the canopy column wraps; by the cladding installer: EXCLUDED (also RFI-EXT-06) (5/A09.25, 7/A09.26, 9/A09.27, A09.01, A09.02)</t>
  </si>
  <si>
    <t xml:space="preserve">+255.5 SF (stucco lath 4 x 63.875 = 255.5 SF; EPS-5 hat channel and ACM trims not taken off (spacing / extents not printed))</t>
  </si>
  <si>
    <t xml:space="preserve">RFI-INT-12</t>
  </si>
  <si>
    <t xml:space="preserve">Exterior studs at the canopy beam: S2.20 prints (CANOPY) and (HI) on the same high-zone exterior line (F 2-4, F 4-7, line 2, line 3, line 8 F-B; stacked members, same notation as the grid-B roof step) and C/A09.21, B/A09.21, J/A09.23, 7/A09.26 draw BOTH beams on the line, stacked inside the 6" CFMF stud zone (a W flange 4" wide centred in a 6" stud: no by-pass). No structural detail draws the stud termination / tracks at the canopy beam (10/S5.10, 6/S5.10 only under the perimeter roof beam; 13/S5.10, 8/S5.10 no wall framing). Carried: studs to the underside of the HI roof beam (E26 one W mark per line, 60.3, 53.2) (S2.20, C/A09.21, B/A09.21, J/A09.23, 7/A09.26, 10/S5.10, 6/S5.10, 13/S5.10, 8/S5.10)</t>
  </si>
  <si>
    <t xml:space="preserve">-183.63 LF 6" stud and +301.11 LF 6" track if the studs stop at the canopy beam with a track below and above it (AW4-1 -14.23, AW4-5 -8.13, AW4-4a -36.63, AW4-6 ~-28.05, AW4-2a ~-50.07, SC-1 -11.18, SC-2 -27.48, SC-3 -7.85; track 2 x 150.5548)</t>
  </si>
  <si>
    <t xml:space="preserve">RFI-INT-03</t>
  </si>
  <si>
    <t xml:space="preserve">Low-roof walls carried at the high end of the slope (59.13 / 53.2: B.O.D. 13'-0 5/8" at grid B); the deck goes down to 12'-6 3/8" at grid A. AW4-2b / AW4-4b run from B to A (S2.20 B.O.D. 13'-0 5/8" (B) / 12'-6 3/8" (A); 10/S5.10)</t>
  </si>
  <si>
    <t xml:space="preserve">-10.76 LF 6" stud on AW4-2b / AW4-4b if their height is taken at the mean B.O.D. (11.6543 vs 11.9104); other low-roof walls up to -0.52 ft per stud</t>
  </si>
  <si>
    <t xml:space="preserve">RFI-FIX1-01</t>
  </si>
  <si>
    <t xml:space="preserve">Canopy fascia box inner plywood strips (16/A09.27, 3/A09.26, 7/A09.26): the inner face above the roof and the inner face below the box down to the soffit are hatched like plywood but carry no leader (the assembly label points to the outer face; the inner top strip under the coping may be blocking). The box top is also hatched. Not carried (54.5) (16/A09.27, 3/A09.26, 7/A09.26)</t>
  </si>
  <si>
    <t xml:space="preserve">+146.53 SF (inner top 50.38 + inner lower 96.16 = 146.53 SF 5/8" ext. FRT plywood (ADV2 vector table, LF x pt/108 per detail); box top not measured)</t>
  </si>
  <si>
    <t xml:space="preserve">RFI-FIX1-02</t>
  </si>
  <si>
    <t xml:space="preserve">Restroom slot diffusers SD-TBDI10-RR (113 / 114): M01.01 draws them N-S; whether they fit the furring module (60.10) or need framed openings (58.5) depends on the furring direction, not drawn (A_CEIL-C4/C5 carrying_direction null, RFI-C1). Carried: 4 framed openings (M01.01; M00.03 TBDI-10; A04.01)</t>
  </si>
  <si>
    <t xml:space="preserve">-23.52 LF framed openings if the furring runs N-S (60.10); 0 if E-W (carried)</t>
  </si>
  <si>
    <t xml:space="preserve">RFI-FIX1-03</t>
  </si>
  <si>
    <t xml:space="preserve">CSR soffit bottom: 9/A12.08 labels the single bottom layer '5/8" FIRE TREATED PLYWOOD BLOCKING'; 10/A09.33 (3"=1'-0", same element) draws a gypsum bottom with 2x FRTW blocking strips above it. Carried: 10/A09.33 (12.02 LF FRT blocking) (9/A12.08, 10/A09.33, A04.01)</t>
  </si>
  <si>
    <t xml:space="preserve">+41.09 SF 5/8" FRT plywood (12.021 x 3.418) if 9/A12.08 governs, keeping the 12.02 LF row (or -12.02 LF FRT blocking if the plywood replaces it); 0 as carried</t>
  </si>
  <si>
    <t xml:space="preserve">RFI-FIX1-04</t>
  </si>
  <si>
    <t xml:space="preserve">Wall phones (equipment 24 CISCO 8862 WALL MOUNT) tagged only on A03.01 (ATM 102 south wall, NER 121 north wall) at a wall data outlet; wall mount not shown in elevation. Not carried (3 phones drawn in A11.02 elevations are carried) (note C/A02.01; A00.40 equipment 24; A03.01 p28)</t>
  </si>
  <si>
    <t xml:space="preserve">+2.667 LF (2 x 1.333 LF (one 16" stud bay each) metal blocking)</t>
  </si>
  <si>
    <t xml:space="preserve">RFI-FIX1-05</t>
  </si>
  <si>
    <t xml:space="preserve">WH-1 water heater platform (3/P00.01, janitor 112): platform width not printed; 3 rows x one 16" stud bay carried. FRT taken from A08.01 note E (the WH detail says only '2X'): untreated 2x = price only (3/P00.01; 2/P01.02)</t>
  </si>
  <si>
    <t xml:space="preserve">+2 LF (if the platform bay is 2'-0": 3 x 2.0 = 6.0 LF vs 4.0 carried = +2.0 LF FRT blocking)</t>
  </si>
  <si>
    <t xml:space="preserve">RFI-FIX1-06</t>
  </si>
  <si>
    <t xml:space="preserve">Recessed plumbing boxes IMB-1 (ice maker box, BW2-22) and FPWH (frost-proof wall hydrant, AW4-3): width not printed; 0 framing carried (59.8) (P00.01; P01.02)</t>
  </si>
  <si>
    <t xml:space="preserve">0 LF carried; if a box is wider than the 14.375" stud bay: header + sill track 2 x 1.333 LF per box = +5.33 LF 3-5/8" / 6" track for both</t>
  </si>
  <si>
    <t xml:space="preserve">RFI-EXTRA-01</t>
  </si>
  <si>
    <t xml:space="preserve">Millwork FRTW blocking rows (A12.03-06 note D): rows per run not drawn; criterion 1 row base/counter, 2 rows base+upper/shelving (A12.03-A12.06 note D)</t>
  </si>
  <si>
    <t xml:space="preserve">+36.48 LF (+1 row on the 1-row runs MW01 3.125 + MW08 7.583 + MW11 13.5 + MW21 10.0 + MW12 return 2.271 = 36.479 LF)</t>
  </si>
  <si>
    <t xml:space="preserve">RFI-EXTRA-02</t>
  </si>
  <si>
    <t xml:space="preserve">Small wall items (TA-6, TA-8, TA-9, TA-10, TA-17, wall stops, clock, sanitizers, hooks, FEC-2) carried as one 16" stud bay of blocking each; alternative = no blocking (fasten to studs) (note C/A02.01; E/A08.01; A00.30)</t>
  </si>
  <si>
    <t xml:space="preserve">-32 LF ((2 rooms x 4 small TA [TA-6, TA-8, TA-10, TA-17] + TA-9 + 9 wall stops + 6 small equipment) = 24 x 1.333 = 32.0 LF less)</t>
  </si>
  <si>
    <t xml:space="preserve">RFI-EXTRA-03</t>
  </si>
  <si>
    <t xml:space="preserve">Low-voltage / security devices on walls (card readers 100/101, robbery lights 62, hold-up 61, key fob 103, cameras) not given blocking (box-mounted); the wall phones drawn in A11.02 are now carried (REF2 ADV3-F5) (note C/A02.01; A11.01-A11.03)</t>
  </si>
  <si>
    <t xml:space="preserve">+12 LF (about 12 devices x 1.333 = 16.0 LF less the 3 phones carried (4.0) = 12.0 LF (residual))</t>
  </si>
  <si>
    <t xml:space="preserve">RFI-EXTRA-04</t>
  </si>
  <si>
    <t xml:space="preserve">Owner artwork 4'-0" wide on office north walls (A11.01/A11.03/A11.04, 6 offices) - blocking not carried (by owner, hung) (4/A11.01, 3/A11.04, 7/A11.04, 9/A11.04, 16/A11.04, 8/A11.03)</t>
  </si>
  <si>
    <t xml:space="preserve">+24 LF (6 x 4.0 = 24.0 LF)</t>
  </si>
  <si>
    <t xml:space="preserve">RFI-EXTRA-05</t>
  </si>
  <si>
    <t xml:space="preserve">ATM plinths: DU '(2) LAYERS 3/4" FRT PLYWOOD PLINTH' (6/A08.11) size not printed; WU plinth 3/A08.11 'FRT PLYWOOD ON FRAMING' 2'-8" x 3'-9" thickness not printed and 4X4 FRT framing count not dimensioned (6/A08.11; 3/A08.11)</t>
  </si>
  <si>
    <t xml:space="preserve">+30 SF (DU 2 layers x 2.667 x 3.75 (assumed = WU size) + WU 1 layer 2.667 x 3.75 = 30.0 SF FRT plywood)</t>
  </si>
  <si>
    <t xml:space="preserve">RFI-EXTRA-06</t>
  </si>
  <si>
    <t xml:space="preserve">3/A08.21 '3/4" FRT PLYWOOD TO DECK' at the grille jamb / diagonal wall: extent not dimensioned (3/A08.21)</t>
  </si>
  <si>
    <t xml:space="preserve">+27 SF (assume 2'-0" strip x 13.5 ft = 27.0 SF)</t>
  </si>
  <si>
    <t xml:space="preserve">RFI-EXTRA-07</t>
  </si>
  <si>
    <t xml:space="preserve">8/A12.10 wall termination 'FRT PLYWOOD' strip width not dimensioned (8/A12.10)</t>
  </si>
  <si>
    <t xml:space="preserve">+5 SF (6" x 10.0 = 5.0 SF)</t>
  </si>
  <si>
    <t xml:space="preserve">RFI-EXTRA-09</t>
  </si>
  <si>
    <t xml:space="preserve">Office jamb corner bead: 'TYPICAL' read as both corners of each vendor end; alt = lobby side only (10/A12.01)</t>
  </si>
  <si>
    <t xml:space="preserve">-96.5 LF (12 x 8.042 = 96.5 LF less)</t>
  </si>
  <si>
    <t xml:space="preserve">RFI-EXTRA-10</t>
  </si>
  <si>
    <t xml:space="preserve">Lockers (key note 5) blocking rows not drawn: 1 row carried; alt 2 rows (A02.01 key note 5; 5/A11.02)</t>
  </si>
  <si>
    <t xml:space="preserve">+4.86 LF (one more row of the lockers at the corrected 4.86 ft width (5/A11.02 outline, REF2 ADV3-F4))</t>
  </si>
  <si>
    <t xml:space="preserve">RFI-INT-10</t>
  </si>
  <si>
    <t xml:space="preserve">Blocking at edge of gypboard 4/S5.20 (NTS, no location): where is it required? (4/S5.20)</t>
  </si>
  <si>
    <t xml:space="preserve">two figures (59.14): (b) every face with board &gt; 12 ft sheet = 582.42 LF carried (53.3); (a) exterior + double-layer walls only = 415.87 LF -&gt; -166.55 LF</t>
  </si>
  <si>
    <t xml:space="preserve">#</t>
  </si>
  <si>
    <t xml:space="preserve">Item</t>
  </si>
  <si>
    <t xml:space="preserve">Sheet + detail</t>
  </si>
  <si>
    <t xml:space="preserve">Image</t>
  </si>
  <si>
    <t xml:space="preserve">Inventory: 49 counted partition tags circled on A02.01 (A1 10, A5 4, A1K 3, B 6, B2 6, C1 8, F 1, G 9, G1 2), 262 ambiguous (PA) and 84 tags outside the schedule (PC: millwork MW, grade beams GB, fixtures UU / X1 / D1, B2K): every PT is in a wall, every PC / PA has a plan reason in tags_descartados (91); check the circled overview</t>
  </si>
  <si>
    <t xml:space="preserve">A02.01</t>
  </si>
  <si>
    <t xml:space="preserve">/home/user/boa23b/work/etapas/1_inventario/recortes/OVERVIEW_A02.01_p24.png</t>
  </si>
  <si>
    <t xml:space="preserve">Door 116 (Stage 3 PENDING): opening between A5 FCAM wall and B2 wall, both 7 1/4"; loaded to B2. Delta +/- 3.33 LF between A5 and B2 (RFI-R1-01)</t>
  </si>
  <si>
    <t xml:space="preserve">A02.01; A00.30</t>
  </si>
  <si>
    <t xml:space="preserve">/home/user/boa23b/work/lect/R1/img/R1_door116.png</t>
  </si>
  <si>
    <t xml:space="preserve">B2K tag has no schedule row: K ballistic build on 6" studs assumed. Delta per LF: +8 SF ballistic panel, 68 vs 33 mil studs @ 24" (RFI-DET-01)</t>
  </si>
  <si>
    <t xml:space="preserve">/home/user/boa23b/work/lect/A_DET/img/M_B2K_tag_A0201.png</t>
  </si>
  <si>
    <t xml:space="preserve">Exterior stud height: arch sections (continuous to T/STUD, carried) vs S5.10 stop under the beam. Delta -5.31 ft per stud high roof, -3.06 ft per stud low roof (RFI-STR-1)</t>
  </si>
  <si>
    <t xml:space="preserve">10/S5.10</t>
  </si>
  <si>
    <t xml:space="preserve">/home/user/boa23b/work/lect/INTEG2/img/det_10_S5.10.png</t>
  </si>
  <si>
    <t xml:space="preserve">Storefront heads: S2.20 HSS9x5x5/8 (LLV) lintel = steel by others (E16), 0 metal stud header; +197.25 LF if the estimator wants a metal box under the HSS</t>
  </si>
  <si>
    <t xml:space="preserve">/home/user/boa23b/work/lect/A_OPEN/img/A0926_2_storefront_head.png</t>
  </si>
  <si>
    <t xml:space="preserve">Additional head track at openings with their own box (&gt; 4'-0"): +149.85 LF if they also take 2/S5.20 (RFI-ACC-additional-head-track)</t>
  </si>
  <si>
    <t xml:space="preserve">2/S5.20</t>
  </si>
  <si>
    <t xml:space="preserve">/home/user/boa23b/work/lect/A_OPEN/img/S520_2_head_track.png</t>
  </si>
  <si>
    <t xml:space="preserve">Deflection clips: note 2/S1.11 vs slip / deflection track drawn; 0 carried, +553 PCS if clips are additional (RFI-ACC-deflection-clips)</t>
  </si>
  <si>
    <t xml:space="preserve">2/S1.11</t>
  </si>
  <si>
    <t xml:space="preserve">/home/user/boa23b/work/lect/A_DET/img/M_s111_defl.png</t>
  </si>
  <si>
    <t xml:space="preserve">Slab pin spacing 12" carried (tightest of the set): -132.89 PCS at 16", -265.77 PCS at 24" (RFI-ACC-slab-pins)</t>
  </si>
  <si>
    <t xml:space="preserve">S5.20</t>
  </si>
  <si>
    <t xml:space="preserve">/home/user/boa23b/work/lect/A_DET/img/M_s520_studs.png</t>
  </si>
  <si>
    <t xml:space="preserve">Concealed faces AW1-14 / BW3-9 / AW1-15 boarded per detail: -188.72 SF if not boarded (RFI-INT-20)</t>
  </si>
  <si>
    <t xml:space="preserve">/home/user/boa23b/work/lect/INTEG2/img/zoom_teller.png</t>
  </si>
  <si>
    <t xml:space="preserve">Level 5 at WC-20 (24 HR vestibule ATM wall) not in the finish schedule: +168.14 SF if required (RFI-ACC-level-5-finish)</t>
  </si>
  <si>
    <t xml:space="preserve">1/A08.11</t>
  </si>
  <si>
    <t xml:space="preserve">/home/user/boa23b/work/lect/A_ACC/img/a0501_kn9_vest.png</t>
  </si>
  <si>
    <t xml:space="preserve">Suspended GB ceilings: no suspension detail; furring 16", carrying 48" E-W, hangers 48" carried (ASTM C754 criterion); about +33 % hanger PCS at 3'-0" (RFI-C1)</t>
  </si>
  <si>
    <t xml:space="preserve">A04.01</t>
  </si>
  <si>
    <t xml:space="preserve">/home/user/boa23b/work/lect/A_CEIL/img/ev_rcp_legend.png</t>
  </si>
  <si>
    <t xml:space="preserve">Criterion: joint compound 0.072 lb/SF, drywall screws 1.2 / SF, joint tape 0.37 LF/SF, framing screws 4 per stud piece (Inputs B20-B24, estimator yields; a fastener schedule does not change them)</t>
  </si>
  <si>
    <t xml:space="preserve">/home/user/boa23b/work/lect/A_DET/img/s520_stud_schedule.png</t>
  </si>
  <si>
    <t xml:space="preserve">Criterion: gypsum board jamb return width = 6" stud depth (not dimensioned): -60.49 SF at 0.20 ft (RFI-ACC-gypsum-board-jamb-return)</t>
  </si>
  <si>
    <t xml:space="preserve">13/A09.27</t>
  </si>
  <si>
    <t xml:space="preserve">/home/user/boa23b/work/lect/A_OPEN/img/A0927_13_10_sills.png</t>
  </si>
  <si>
    <t xml:space="preserve">Criterion: ATM-DU recess extra framing (sistered height 7.249 ft, 4 furring rows not dimensioned): -13.04 / +13.5 LF alternatives (RFI-ACC-extra-framing-atm)</t>
  </si>
  <si>
    <t xml:space="preserve">6/A08.11</t>
  </si>
  <si>
    <t xml:space="preserve">/home/user/boa23b/work/lect/A_ACC/img/a0811_d6.png</t>
  </si>
  <si>
    <t xml:space="preserve">Criterion: stud reinforcement MEP = 37 PCS from the registered M01.01 sweep (28 duct crossings); -9 PCS one plate per crossing at double-row walls, +4 PCS fire dampers (RFI-ACC-stud-reinforcement-mep)</t>
  </si>
  <si>
    <t xml:space="preserve">6/S5.20</t>
  </si>
  <si>
    <t xml:space="preserve">/home/user/boa23b/work/lect/INTEG2/img/ov_p91.png</t>
  </si>
  <si>
    <t xml:space="preserve">Criterion: hanger wire height per room at the higher B.O.D. of the sloped low roof (13'-0 5/8"); about -0.1 ft x hanger PCS if interpolated (RFI-C2)</t>
  </si>
  <si>
    <t xml:space="preserve">S2.20</t>
  </si>
  <si>
    <t xml:space="preserve">/home/user/boa23b/work/lect/A_CEIL/img/s220_bod_low_B.png</t>
  </si>
  <si>
    <t xml:space="preserve">Proposal canon_fos_chain_propuesta.md: fos_chain per face for wraps with unequal faces (R4-6 remodeled as R5-1..3; RFI-INT-21: -0.7067 LF C1, +30.75 LF 3-5/8" studs)</t>
  </si>
  <si>
    <t xml:space="preserve">/home/user/boa23b/work/lect/R5/img/R5_PT0033_segments.png</t>
  </si>
  <si>
    <t xml:space="preserve">Proposal mep_propuesta.md: sweep BOX bands, fire dampers ending at the wall face, plumbing registration (P01.01 / P01.02 1 / 3 votes; RFI-INT-19 +1 plate per pipe over 1 in.)</t>
  </si>
  <si>
    <t xml:space="preserve">M01.01; P01.01</t>
  </si>
  <si>
    <t xml:space="preserve">Review file ADV1-F1a_canopy_beam_stud_zone.md: S2.20 (CANOPY)+(HI) stacked and the canopy W beam drawn inside the 6" stud zone (C/A09.21, B/A09.21, J/A09.23, 7/A09.26); no detail stops the studs there: -183.63 LF 6" stud, +301.11 LF 6" track if they stop (RFI-INT-12)</t>
  </si>
  <si>
    <t xml:space="preserve">C/A09.21</t>
  </si>
  <si>
    <t xml:space="preserve">/home/user/boa23b/work/lect/REF1/img/p37_secC_beams_zoom.png</t>
  </si>
  <si>
    <t xml:space="preserve">Review file ADV1-F3_low_roof_walls.md: AW4-2b / AW4-4b at the grid-B high end (59.13, carried) vs the mean B.O.D. of the run: -10.76 LF 6" stud (RFI-INT-03)</t>
  </si>
  <si>
    <t xml:space="preserve">/home/user/boa23b/work/lect/A_STRUCT/img/ev_s220_bod_low_B.png</t>
  </si>
  <si>
    <t xml:space="preserve">Review file ADV2-F2b_fascia_inner_strips.md: fascia box inner strips hatched without leader (54.5): +146.53 SF 5/8" ext. FRT plywood (RFI-FIX1-01)</t>
  </si>
  <si>
    <t xml:space="preserve">/home/user/boa23b/work/lect/REF1/img/p42_d16_fascia_zoom.png</t>
  </si>
  <si>
    <t xml:space="preserve">Proposal closer_propuesta.md: closer accepts BOARD EXCLUDED with the canon reason for framing-only elements (parapets, fascia boxes, pier parts, canopy column wraps, RS-2); no quantity effect</t>
  </si>
  <si>
    <t xml:space="preserve">Proposal bitacora_log_colision.md: bitacora log names collide between parallel readers (pid + microseconds proposed); no quantity effect</t>
  </si>
  <si>
    <t xml:space="preserve">Proposal test_ciego_falta.md: bitacora requires test_ciego.py, not shipped in the v74 package (wrapper written); no quantity effect</t>
  </si>
  <si>
    <t xml:space="preserve">Scope ID</t>
  </si>
  <si>
    <t xml:space="preserve">Scope</t>
  </si>
  <si>
    <t xml:space="preserve">Note (quantity, NOT APPLICABLE + sheet, or RFI)</t>
  </si>
  <si>
    <t xml:space="preserve">ALC-01</t>
  </si>
  <si>
    <t xml:space="preserve">Interior partition framing (studs + tracks)</t>
  </si>
  <si>
    <t xml:space="preserve">QUANTIFIED</t>
  </si>
  <si>
    <t xml:space="preserve">3-5/8" 6923.17 LF, 1-5/8" 4032.35 LF, 6" 4477.11 LF; bottom / top track 1348.76 LF each (A12.01, A02.01)</t>
  </si>
  <si>
    <t xml:space="preserve">ALC-02</t>
  </si>
  <si>
    <t xml:space="preserve">Exterior wall framing (CFMF)</t>
  </si>
  <si>
    <t xml:space="preserve">EXT-6CFMF walls 600S162-54 (5/S1.11, A09.21-A09.23) in the 6" stud family; storefront cripples SC-1..SC-3 (2/A09.26)</t>
  </si>
  <si>
    <t xml:space="preserve">ALC-03</t>
  </si>
  <si>
    <t xml:space="preserve">Parapet framing</t>
  </si>
  <si>
    <t xml:space="preserve">6" parapet infill stud 1000.82 LF + parapet tracks (11/S5.10, 4/A09.26)</t>
  </si>
  <si>
    <t xml:space="preserve">ALC-04</t>
  </si>
  <si>
    <t xml:space="preserve">Top / deflection and bottom track</t>
  </si>
  <si>
    <t xml:space="preserve">bottom and top / deflection track by stud size and element (track_by_element, 1/A12.01, S5.20); slip track profile RFI-DET-02; deflection clips RFI</t>
  </si>
  <si>
    <t xml:space="preserve">ALC-05</t>
  </si>
  <si>
    <t xml:space="preserve">Headers, sills and jambs at openings</t>
  </si>
  <si>
    <t xml:space="preserve">header / box beam 792.25 LF, sill track 119.12 LF, additional head track (7/S5.20, 2/S5.20, A12.10)</t>
  </si>
  <si>
    <t xml:space="preserve">ALC-06</t>
  </si>
  <si>
    <t xml:space="preserve">Bracing / bridging</t>
  </si>
  <si>
    <t xml:space="preserve">bracing C.R. channel 2496.38 LF @ 48" O.C. (1/S5.20, A09.33)</t>
  </si>
  <si>
    <t xml:space="preserve">ALC-07</t>
  </si>
  <si>
    <t xml:space="preserve">Gypsum board on walls (layers per type)</t>
  </si>
  <si>
    <t xml:space="preserve">5/8" gypsum board regular 17643 SF by face and layer (A12.01)</t>
  </si>
  <si>
    <t xml:space="preserve">ALC-08</t>
  </si>
  <si>
    <t xml:space="preserve">Moisture / abuse / special board at wet zones</t>
  </si>
  <si>
    <t xml:space="preserve">5/8" moisture resistant 261.74 SF behind WC / LAV (note F/A08.01)</t>
  </si>
  <si>
    <t xml:space="preserve">ALC-09</t>
  </si>
  <si>
    <t xml:space="preserve">Exterior gypsum / glass mat sheathing</t>
  </si>
  <si>
    <t xml:space="preserve">5/8" exterior gypsum sheathing 959.65 SF, glass mat 480.38 SF (A09.26, A09.27)</t>
  </si>
  <si>
    <t xml:space="preserve">ALC-10</t>
  </si>
  <si>
    <t xml:space="preserve">FRT plywood sheathing / substrate</t>
  </si>
  <si>
    <t xml:space="preserve">FRT plywood 6773.17 SF by material, thickness and use (A09.26, A09.25, A11.03, A08.11)</t>
  </si>
  <si>
    <t xml:space="preserve">ALC-11</t>
  </si>
  <si>
    <t xml:space="preserve">Gypsum board ceilings</t>
  </si>
  <si>
    <t xml:space="preserve">suspended gypsum board ceilings (100, 101, 104, 113, 114) and CSR soffit inside the 5/8" regular board family (A9.22 / A04.01)</t>
  </si>
  <si>
    <t xml:space="preserve">ALC-12</t>
  </si>
  <si>
    <t xml:space="preserve">Ceiling suspension (furring / carrying channel / hanger wire / ceiling track)</t>
  </si>
  <si>
    <t xml:space="preserve">furring channel 767.78 LF, carrying channel 322.22 LF, hanger wire 533.63 LF (113 PCS), ceiling / soffit track 1248.88 LF (A09.33)</t>
  </si>
  <si>
    <t xml:space="preserve">ALC-13</t>
  </si>
  <si>
    <t xml:space="preserve">Soffits and bulkheads (framing + board)</t>
  </si>
  <si>
    <t xml:space="preserve">CSR soffit (10/A09.33), office bulkheads BULKHEAD-G (8,9/A12.01), vestibule heads, ceiling transitions 7/A09.33 (A09.33)</t>
  </si>
  <si>
    <t xml:space="preserve">ALC-14</t>
  </si>
  <si>
    <t xml:space="preserve">Canopy / marquee framing and sheathing</t>
  </si>
  <si>
    <t xml:space="preserve">canopy fascia boxes, canopy soffit joists / track, 5/8" FRT plywood sheathing, glass mat band (3/A09.26, 7/A09.26, 16/A09.27)</t>
  </si>
  <si>
    <t xml:space="preserve">ALC-15</t>
  </si>
  <si>
    <t xml:space="preserve">Column furring / wraps</t>
  </si>
  <si>
    <t xml:space="preserve">canopy column wraps CANOPY-COL R4-7..R4-10 (5/A09.25) and C1 wraps / piers R4-1, R4-3, R4-5 (A02.01, 1,2/A09.25)</t>
  </si>
  <si>
    <t xml:space="preserve">ALC-16</t>
  </si>
  <si>
    <t xml:space="preserve">Blocking (FRT wood / metal) for millwork and accessories</t>
  </si>
  <si>
    <t xml:space="preserve">FRT blocking 920.65 LF, metal stud blocking 633.62 LF (A12.03-A12.06, A08.01, 4/S5.20)</t>
  </si>
  <si>
    <t xml:space="preserve">ALC-17</t>
  </si>
  <si>
    <t xml:space="preserve">Framed openings (MEP, access panels, diffusers)</t>
  </si>
  <si>
    <t xml:space="preserve">framed openings MEP 949.09 LF (E00.01, A04.01; framed_openings_out.json), access panel 1 PCS (A9.22 key note 4)</t>
  </si>
  <si>
    <t xml:space="preserve">ALC-18</t>
  </si>
  <si>
    <t xml:space="preserve">Trim: corner bead, casing bead, control joints, reveals</t>
  </si>
  <si>
    <t xml:space="preserve">metal trim 1156.16 LF (A12.01, A12.08, A08.21); PVC trim at FRP</t>
  </si>
  <si>
    <t xml:space="preserve">ALC-19</t>
  </si>
  <si>
    <t xml:space="preserve">Acoustical sealant / sound attenuation</t>
  </si>
  <si>
    <t xml:space="preserve">acoustical sealant 1102.95 LF + exterior sealant 216.98 LF (A12.01 'CONTINUOUS ACOUSTICAL SEALANT'); batt insulation EXCLUDED</t>
  </si>
  <si>
    <t xml:space="preserve">ALC-20</t>
  </si>
  <si>
    <t xml:space="preserve">FRP / cement board / tile backer</t>
  </si>
  <si>
    <t xml:space="preserve">FRP 329.75 SF, cement board 31.38 SF (A08.01, A12.02)</t>
  </si>
  <si>
    <t xml:space="preserve">ALC-21</t>
  </si>
  <si>
    <t xml:space="preserve">Shaft walls / area separation walls</t>
  </si>
  <si>
    <t xml:space="preserve">NOT APPLICABLE</t>
  </si>
  <si>
    <t xml:space="preserve">NOT APPLICABLE: A12.01 partition schedule has no shaft wall / area separation type and A02.01 shows no shaft; S1.10 'drilled shaft' is a foundation pier (seen p.59)</t>
  </si>
  <si>
    <t xml:space="preserve">ALC-22</t>
  </si>
  <si>
    <t xml:space="preserve">Rated assemblies (UL designs) and their board type</t>
  </si>
  <si>
    <t xml:space="preserve">NOT APPLICABLE: A12.01 lists no fire rating or UL design for any partition type; E04.02 '2 HOUR FIRE RATED' is a firestop penetration detail, M00.01 / E00.01 are penetration notes, and A11.03 fire rated plywood backboards are carried as FRT plywood</t>
  </si>
  <si>
    <t xml:space="preserve">ALC-23</t>
  </si>
  <si>
    <t xml:space="preserve">Special panels (ballistic, lead-lined, abuse)</t>
  </si>
  <si>
    <t xml:space="preserve">ballistic panel 84.72 SF + 3/8" gypsum board 65.9 SF (A12.01 '3/8" UL752 LISTED LEVEL-2')</t>
  </si>
  <si>
    <t xml:space="preserve">ALC-24</t>
  </si>
  <si>
    <t xml:space="preserve">Finish level (Level 4 / Level 5)</t>
  </si>
  <si>
    <t xml:space="preserve">Level 5 finish 712.77 SF at WC-18 / WC-22 (A12.02, A08.11 WC-20 RFI)</t>
  </si>
  <si>
    <t xml:space="preserve">ALC-25</t>
  </si>
  <si>
    <t xml:space="preserve">Batt insulation</t>
  </si>
  <si>
    <t xml:space="preserve">EXCLUDED (estimator standing order: no insulation); A12.01 partition types and A04.01 'SOUND BATT INSULATION ABOVE CEILING' seen, not in the Material Summary</t>
  </si>
  <si>
    <t xml:space="preserve">reglas.py compuerta OK</t>
  </si>
  <si>
    <t xml:space="preserve">{"canon": "bb75475f77f41a29b914d18cb40d2873259e971fa633686191e224e5b226c19c", "evidencias": "3d8fb0cf05bfcabc3609ff3440f875cd681956d6bf0cc6877680e2da4ea0f99f", "familias_out": "cacd4ecc23fbeaabf57d89ea0da92ca0ed9415de20c85e6748fed2d1de2d5e54", "reglas": "75fc3a1e7e9494ea8e921a2ddff795151d8517d8c0c5af62119c993aa891e3af", "version": "v73"}</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</si>
</sst>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b val="true"/>
      <sz val="11"/>
      <color rgb="FFFFFFFF"/>
      <name val="Cambria"/>
      <family val="0"/>
      <charset val="1"/>
    </font>
    <font>
      <b val="true"/>
      <sz val="11"/>
      <name val="Cambria"/>
      <family val="0"/>
      <charset val="1"/>
    </font>
  </fonts>
  <fills count="5">
    <fill>
      <patternFill patternType="none"/>
    </fill>
    <fill>
      <patternFill patternType="gray125"/>
    </fill>
    <fill>
      <patternFill patternType="solid">
        <fgColor rgb="FF1F4E78"/>
        <bgColor rgb="FF003366"/>
      </patternFill>
    </fill>
    <fill>
      <patternFill patternType="solid">
        <fgColor rgb="FFFFF2CC"/>
        <bgColor rgb="FFFFFFFF"/>
      </patternFill>
    </fill>
    <fill>
      <patternFill patternType="solid">
        <fgColor rgb="FFDD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22"/>
    <col collapsed="false" customWidth="true" hidden="false" outlineLevel="0" max="3" min="3" style="0" width="60"/>
  </cols>
  <sheetData>
    <row r="1" customFormat="false" ht="16.15" hidden="false" customHeight="false" outlineLevel="0" collapsed="false">
      <c r="A1" s="1" t="s">
        <v>0</v>
      </c>
    </row>
    <row r="2" customFormat="false" ht="15" hidden="false" customHeight="false" outlineLevel="0" collapsed="false">
      <c r="A2" s="0" t="s">
        <v>1</v>
      </c>
    </row>
    <row r="4" customFormat="false" ht="15" hidden="false" customHeight="false" outlineLevel="0" collapsed="false">
      <c r="A4" s="2" t="s">
        <v>2</v>
      </c>
      <c r="B4" s="2" t="s">
        <v>3</v>
      </c>
      <c r="C4" s="2" t="s">
        <v>4</v>
      </c>
    </row>
    <row r="5" customFormat="false" ht="15" hidden="false" customHeight="false" outlineLevel="0" collapsed="false">
      <c r="A5" s="0" t="s">
        <v>5</v>
      </c>
      <c r="B5" s="3" t="n">
        <v>0.15</v>
      </c>
      <c r="C5" s="4" t="s">
        <v>6</v>
      </c>
    </row>
    <row r="6" customFormat="false" ht="15" hidden="false" customHeight="false" outlineLevel="0" collapsed="false">
      <c r="A6" s="0" t="s">
        <v>7</v>
      </c>
      <c r="B6" s="3" t="n">
        <v>0.06</v>
      </c>
      <c r="C6" s="4" t="s">
        <v>8</v>
      </c>
    </row>
    <row r="7" customFormat="false" ht="15" hidden="false" customHeight="false" outlineLevel="0" collapsed="false">
      <c r="A7" s="0" t="s">
        <v>9</v>
      </c>
      <c r="B7" s="3" t="n">
        <v>4</v>
      </c>
      <c r="C7" s="4" t="s">
        <v>10</v>
      </c>
    </row>
    <row r="8" customFormat="false" ht="15" hidden="false" customHeight="false" outlineLevel="0" collapsed="false">
      <c r="A8" s="0" t="s">
        <v>11</v>
      </c>
      <c r="B8" s="3" t="n">
        <v>12</v>
      </c>
      <c r="C8" s="4" t="s">
        <v>12</v>
      </c>
    </row>
    <row r="9" customFormat="false" ht="15" hidden="false" customHeight="false" outlineLevel="0" collapsed="false">
      <c r="A9" s="0" t="s">
        <v>13</v>
      </c>
      <c r="B9" s="0" t="n">
        <f aca="false">B7*B8</f>
        <v>48</v>
      </c>
      <c r="C9" s="0" t="s">
        <v>14</v>
      </c>
    </row>
    <row r="10" customFormat="false" ht="15" hidden="false" customHeight="false" outlineLevel="0" collapsed="false">
      <c r="A10" s="0" t="s">
        <v>15</v>
      </c>
      <c r="B10" s="3" t="n">
        <v>20</v>
      </c>
      <c r="C10" s="4" t="s">
        <v>16</v>
      </c>
    </row>
    <row r="11" customFormat="false" ht="15" hidden="false" customHeight="false" outlineLevel="0" collapsed="false">
      <c r="A11" s="0" t="s">
        <v>17</v>
      </c>
      <c r="B11" s="3" t="n">
        <v>10</v>
      </c>
      <c r="C11" s="4" t="s">
        <v>18</v>
      </c>
    </row>
    <row r="12" customFormat="false" ht="15" hidden="false" customHeight="false" outlineLevel="0" collapsed="false">
      <c r="A12" s="0" t="s">
        <v>19</v>
      </c>
      <c r="B12" s="3" t="n">
        <v>18</v>
      </c>
      <c r="C12" s="4" t="s">
        <v>20</v>
      </c>
    </row>
    <row r="13" customFormat="false" ht="15" hidden="false" customHeight="false" outlineLevel="0" collapsed="false">
      <c r="A13" s="0" t="s">
        <v>21</v>
      </c>
      <c r="B13" s="3" t="n">
        <v>15.375</v>
      </c>
      <c r="C13" s="4" t="s">
        <v>20</v>
      </c>
    </row>
    <row r="14" customFormat="false" ht="15" hidden="false" customHeight="false" outlineLevel="0" collapsed="false">
      <c r="A14" s="0" t="s">
        <v>22</v>
      </c>
      <c r="B14" s="0" t="s">
        <v>23</v>
      </c>
      <c r="C14" s="0" t="s">
        <v>20</v>
      </c>
    </row>
    <row r="15" customFormat="false" ht="15" hidden="false" customHeight="false" outlineLevel="0" collapsed="false">
      <c r="A15" s="0" t="s">
        <v>24</v>
      </c>
      <c r="B15" s="3" t="n">
        <v>25</v>
      </c>
      <c r="C15" s="4" t="s">
        <v>25</v>
      </c>
    </row>
    <row r="16" customFormat="false" ht="15" hidden="false" customHeight="false" outlineLevel="0" collapsed="false">
      <c r="A16" s="0" t="s">
        <v>26</v>
      </c>
      <c r="B16" s="3" t="n">
        <v>16</v>
      </c>
      <c r="C16" s="4" t="s">
        <v>27</v>
      </c>
    </row>
    <row r="17" customFormat="false" ht="15" hidden="false" customHeight="false" outlineLevel="0" collapsed="false">
      <c r="A17" s="0" t="s">
        <v>28</v>
      </c>
      <c r="B17" s="3" t="n">
        <v>12</v>
      </c>
      <c r="C17" s="4" t="s">
        <v>29</v>
      </c>
    </row>
    <row r="18" customFormat="false" ht="15" hidden="false" customHeight="false" outlineLevel="0" collapsed="false">
      <c r="A18" s="0" t="s">
        <v>30</v>
      </c>
      <c r="B18" s="3" t="n">
        <v>10</v>
      </c>
      <c r="C18" s="4" t="s">
        <v>31</v>
      </c>
    </row>
    <row r="19" customFormat="false" ht="15" hidden="false" customHeight="false" outlineLevel="0" collapsed="false">
      <c r="A19" s="0" t="s">
        <v>32</v>
      </c>
      <c r="B19" s="3" t="s">
        <v>33</v>
      </c>
      <c r="C19" s="4" t="s">
        <v>34</v>
      </c>
    </row>
    <row r="20" customFormat="false" ht="15" hidden="false" customHeight="false" outlineLevel="0" collapsed="false">
      <c r="A20" s="0" t="s">
        <v>35</v>
      </c>
      <c r="B20" s="3" t="n">
        <v>1.2</v>
      </c>
      <c r="C20" s="4" t="s">
        <v>36</v>
      </c>
    </row>
    <row r="21" customFormat="false" ht="15" hidden="false" customHeight="false" outlineLevel="0" collapsed="false">
      <c r="A21" s="0" t="s">
        <v>37</v>
      </c>
      <c r="B21" s="3" t="n">
        <v>4</v>
      </c>
      <c r="C21" s="4" t="s">
        <v>38</v>
      </c>
    </row>
    <row r="22" customFormat="false" ht="15" hidden="false" customHeight="false" outlineLevel="0" collapsed="false">
      <c r="A22" s="0" t="s">
        <v>39</v>
      </c>
      <c r="B22" s="3" t="n">
        <v>1</v>
      </c>
      <c r="C22" s="4" t="s">
        <v>40</v>
      </c>
    </row>
    <row r="23" customFormat="false" ht="15" hidden="false" customHeight="false" outlineLevel="0" collapsed="false">
      <c r="A23" s="0" t="s">
        <v>41</v>
      </c>
      <c r="B23" s="3" t="n">
        <v>0.072</v>
      </c>
      <c r="C23" s="4" t="s">
        <v>42</v>
      </c>
    </row>
    <row r="24" customFormat="false" ht="15" hidden="false" customHeight="false" outlineLevel="0" collapsed="false">
      <c r="A24" s="0" t="s">
        <v>43</v>
      </c>
      <c r="B24" s="3" t="n">
        <v>0.37</v>
      </c>
      <c r="C24" s="4" t="s">
        <v>44</v>
      </c>
    </row>
    <row r="25" customFormat="false" ht="15" hidden="false" customHeight="false" outlineLevel="0" collapsed="false">
      <c r="A25" s="0" t="s">
        <v>45</v>
      </c>
      <c r="B25" s="3" t="n">
        <v>0.6667</v>
      </c>
      <c r="C25" s="4"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29"/>
    <col collapsed="false" customWidth="true" hidden="false" outlineLevel="0" max="3" min="3" style="0" width="14"/>
    <col collapsed="false" customWidth="true" hidden="false" outlineLevel="0" max="4" min="4" style="0" width="13"/>
    <col collapsed="false" customWidth="true" hidden="false" outlineLevel="0" max="5" min="5" style="0" width="10"/>
    <col collapsed="false" customWidth="true" hidden="false" outlineLevel="0" max="6" min="6" style="0" width="11"/>
    <col collapsed="false" customWidth="true" hidden="false" outlineLevel="0" max="7" min="7" style="0" width="16"/>
    <col collapsed="false" customWidth="true" hidden="false" outlineLevel="0" max="8" min="8" style="0" width="14"/>
    <col collapsed="false" customWidth="true" hidden="false" outlineLevel="0" max="9" min="9" style="0" width="60"/>
    <col collapsed="false" customWidth="true" hidden="false" outlineLevel="0" max="10" min="10" style="0" width="23"/>
    <col collapsed="false" customWidth="true" hidden="false" outlineLevel="0" max="11" min="11" style="0" width="13"/>
  </cols>
  <sheetData>
    <row r="1" customFormat="false" ht="16.15" hidden="false" customHeight="false" outlineLevel="0" collapsed="false">
      <c r="A1" s="1" t="s">
        <v>47</v>
      </c>
    </row>
    <row r="2" customFormat="false" ht="15" hidden="false" customHeight="false" outlineLevel="0" collapsed="false">
      <c r="A2" s="0" t="s">
        <v>48</v>
      </c>
    </row>
    <row r="4" customFormat="false" ht="15" hidden="false" customHeight="false" outlineLevel="0" collapsed="false">
      <c r="A4" s="2" t="s">
        <v>49</v>
      </c>
      <c r="B4" s="2" t="s">
        <v>50</v>
      </c>
      <c r="C4" s="2" t="s">
        <v>51</v>
      </c>
      <c r="D4" s="2" t="s">
        <v>52</v>
      </c>
      <c r="E4" s="2" t="s">
        <v>53</v>
      </c>
      <c r="F4" s="2" t="s">
        <v>54</v>
      </c>
      <c r="G4" s="2" t="s">
        <v>55</v>
      </c>
      <c r="H4" s="2" t="s">
        <v>56</v>
      </c>
      <c r="I4" s="2" t="s">
        <v>57</v>
      </c>
      <c r="J4" s="2" t="s">
        <v>58</v>
      </c>
      <c r="K4" s="2" t="s">
        <v>59</v>
      </c>
    </row>
    <row r="5" customFormat="false" ht="15" hidden="false" customHeight="false" outlineLevel="0" collapsed="false">
      <c r="A5" s="5" t="s">
        <v>60</v>
      </c>
    </row>
    <row r="6" customFormat="false" ht="15" hidden="false" customHeight="false" outlineLevel="0" collapsed="false">
      <c r="A6" s="0" t="s">
        <v>61</v>
      </c>
      <c r="B6" s="0" t="s">
        <v>62</v>
      </c>
      <c r="C6" s="0" t="n">
        <v>17.02</v>
      </c>
      <c r="D6" s="0" t="n">
        <v>15.375</v>
      </c>
      <c r="E6" s="0" t="n">
        <v>2</v>
      </c>
      <c r="F6" s="0" t="s">
        <v>63</v>
      </c>
      <c r="G6" s="0" t="n">
        <v>16</v>
      </c>
      <c r="H6" s="0" t="n">
        <v>365.66</v>
      </c>
      <c r="I6" s="0" t="s">
        <v>64</v>
      </c>
      <c r="J6" s="0" t="s">
        <v>65</v>
      </c>
      <c r="K6" s="0" t="s">
        <v>66</v>
      </c>
    </row>
    <row r="7" customFormat="false" ht="15" hidden="false" customHeight="false" outlineLevel="0" collapsed="false">
      <c r="A7" s="0" t="s">
        <v>67</v>
      </c>
      <c r="B7" s="0" t="s">
        <v>68</v>
      </c>
      <c r="C7" s="0" t="n">
        <v>3.122</v>
      </c>
      <c r="D7" s="0" t="n">
        <v>15.375</v>
      </c>
      <c r="E7" s="0" t="n">
        <v>2</v>
      </c>
      <c r="F7" s="0" t="s">
        <v>63</v>
      </c>
      <c r="G7" s="0" t="n">
        <v>16</v>
      </c>
      <c r="H7" s="0" t="n">
        <v>76.1</v>
      </c>
      <c r="I7" s="0" t="s">
        <v>69</v>
      </c>
      <c r="J7" s="0" t="s">
        <v>65</v>
      </c>
      <c r="K7" s="0" t="s">
        <v>66</v>
      </c>
    </row>
    <row r="8" customFormat="false" ht="15" hidden="false" customHeight="false" outlineLevel="0" collapsed="false">
      <c r="A8" s="0" t="s">
        <v>70</v>
      </c>
      <c r="B8" s="0" t="s">
        <v>71</v>
      </c>
      <c r="C8" s="0" t="n">
        <v>5.5</v>
      </c>
      <c r="D8" s="0" t="n">
        <v>13.052</v>
      </c>
      <c r="E8" s="0" t="n">
        <v>2</v>
      </c>
      <c r="F8" s="0" t="s">
        <v>63</v>
      </c>
      <c r="G8" s="0" t="n">
        <v>16</v>
      </c>
      <c r="H8" s="0" t="n">
        <v>48.41</v>
      </c>
      <c r="I8" s="0" t="s">
        <v>72</v>
      </c>
      <c r="J8" s="0" t="s">
        <v>65</v>
      </c>
      <c r="K8" s="0" t="s">
        <v>73</v>
      </c>
    </row>
    <row r="9" customFormat="false" ht="15" hidden="false" customHeight="false" outlineLevel="0" collapsed="false">
      <c r="A9" s="0" t="s">
        <v>74</v>
      </c>
      <c r="B9" s="0" t="s">
        <v>75</v>
      </c>
      <c r="C9" s="0" t="n">
        <v>20.52</v>
      </c>
      <c r="D9" s="0" t="n">
        <v>11.91</v>
      </c>
      <c r="E9" s="0" t="n">
        <v>2</v>
      </c>
      <c r="F9" s="0" t="s">
        <v>63</v>
      </c>
      <c r="G9" s="0" t="n">
        <v>16</v>
      </c>
      <c r="H9" s="0" t="n">
        <v>363.28</v>
      </c>
      <c r="I9" s="0" t="s">
        <v>76</v>
      </c>
      <c r="J9" s="0" t="s">
        <v>65</v>
      </c>
      <c r="K9" s="0" t="s">
        <v>66</v>
      </c>
    </row>
    <row r="10" customFormat="false" ht="15" hidden="false" customHeight="false" outlineLevel="0" collapsed="false">
      <c r="A10" s="0" t="s">
        <v>77</v>
      </c>
      <c r="B10" s="0" t="s">
        <v>78</v>
      </c>
      <c r="C10" s="0" t="n">
        <v>11.667</v>
      </c>
      <c r="D10" s="0" t="n">
        <v>13.052</v>
      </c>
      <c r="E10" s="0" t="n">
        <v>2</v>
      </c>
      <c r="F10" s="0" t="s">
        <v>63</v>
      </c>
      <c r="G10" s="0" t="n">
        <v>16</v>
      </c>
      <c r="H10" s="0" t="n">
        <v>169.17</v>
      </c>
      <c r="I10" s="0" t="s">
        <v>79</v>
      </c>
      <c r="J10" s="0" t="s">
        <v>65</v>
      </c>
      <c r="K10" s="0" t="s">
        <v>73</v>
      </c>
    </row>
    <row r="11" customFormat="false" ht="15" hidden="false" customHeight="false" outlineLevel="0" collapsed="false">
      <c r="A11" s="0" t="s">
        <v>80</v>
      </c>
      <c r="B11" s="0" t="s">
        <v>81</v>
      </c>
      <c r="C11" s="0" t="n">
        <v>15.233</v>
      </c>
      <c r="D11" s="0" t="n">
        <v>13.052</v>
      </c>
      <c r="E11" s="0" t="n">
        <v>2</v>
      </c>
      <c r="F11" s="0" t="s">
        <v>63</v>
      </c>
      <c r="G11" s="0" t="n">
        <v>16</v>
      </c>
      <c r="H11" s="0" t="n">
        <v>274.2</v>
      </c>
      <c r="I11" s="0" t="s">
        <v>82</v>
      </c>
      <c r="J11" s="0" t="s">
        <v>65</v>
      </c>
      <c r="K11" s="0" t="s">
        <v>66</v>
      </c>
    </row>
    <row r="12" customFormat="false" ht="15" hidden="false" customHeight="false" outlineLevel="0" collapsed="false">
      <c r="A12" s="0" t="s">
        <v>83</v>
      </c>
      <c r="B12" s="0" t="s">
        <v>84</v>
      </c>
      <c r="C12" s="0" t="n">
        <v>1.733</v>
      </c>
      <c r="D12" s="0" t="n">
        <v>11.91</v>
      </c>
      <c r="E12" s="0" t="n">
        <v>2</v>
      </c>
      <c r="F12" s="0" t="s">
        <v>63</v>
      </c>
      <c r="G12" s="0" t="n">
        <v>16</v>
      </c>
      <c r="H12" s="0" t="n">
        <v>32.07</v>
      </c>
      <c r="I12" s="0" t="s">
        <v>85</v>
      </c>
      <c r="J12" s="0" t="s">
        <v>65</v>
      </c>
      <c r="K12" s="0" t="s">
        <v>66</v>
      </c>
    </row>
    <row r="13" customFormat="false" ht="15" hidden="false" customHeight="false" outlineLevel="0" collapsed="false">
      <c r="A13" s="0" t="s">
        <v>86</v>
      </c>
      <c r="B13" s="0" t="s">
        <v>87</v>
      </c>
      <c r="C13" s="0" t="n">
        <v>3.033</v>
      </c>
      <c r="D13" s="0" t="n">
        <v>15.375</v>
      </c>
      <c r="E13" s="0" t="n">
        <v>2</v>
      </c>
      <c r="F13" s="0" t="s">
        <v>63</v>
      </c>
      <c r="G13" s="0" t="n">
        <v>16</v>
      </c>
      <c r="H13" s="0" t="n">
        <v>73.94</v>
      </c>
      <c r="I13" s="0" t="s">
        <v>88</v>
      </c>
      <c r="J13" s="0" t="s">
        <v>65</v>
      </c>
      <c r="K13" s="0" t="s">
        <v>66</v>
      </c>
    </row>
    <row r="14" customFormat="false" ht="15" hidden="false" customHeight="false" outlineLevel="0" collapsed="false">
      <c r="A14" s="0" t="s">
        <v>89</v>
      </c>
      <c r="B14" s="0" t="s">
        <v>90</v>
      </c>
      <c r="C14" s="0" t="n">
        <v>6.187</v>
      </c>
      <c r="D14" s="0" t="n">
        <v>15.375</v>
      </c>
      <c r="E14" s="0" t="n">
        <v>2</v>
      </c>
      <c r="F14" s="0" t="s">
        <v>63</v>
      </c>
      <c r="G14" s="0" t="n">
        <v>16</v>
      </c>
      <c r="H14" s="0" t="n">
        <v>76.58</v>
      </c>
      <c r="I14" s="0" t="s">
        <v>91</v>
      </c>
      <c r="J14" s="0" t="s">
        <v>65</v>
      </c>
      <c r="K14" s="0" t="s">
        <v>66</v>
      </c>
    </row>
    <row r="15" customFormat="false" ht="15" hidden="false" customHeight="false" outlineLevel="0" collapsed="false">
      <c r="A15" s="5" t="s">
        <v>92</v>
      </c>
    </row>
    <row r="16" customFormat="false" ht="15" hidden="false" customHeight="false" outlineLevel="0" collapsed="false">
      <c r="A16" s="0" t="s">
        <v>93</v>
      </c>
      <c r="B16" s="0" t="s">
        <v>94</v>
      </c>
      <c r="C16" s="0" t="n">
        <v>3.28</v>
      </c>
      <c r="D16" s="0" t="n">
        <v>11.91</v>
      </c>
      <c r="E16" s="0" t="n">
        <v>2</v>
      </c>
      <c r="F16" s="0" t="s">
        <v>95</v>
      </c>
      <c r="G16" s="0" t="n">
        <v>16</v>
      </c>
      <c r="H16" s="0" t="n">
        <v>60.68</v>
      </c>
      <c r="I16" s="0" t="s">
        <v>96</v>
      </c>
      <c r="J16" s="0" t="s">
        <v>65</v>
      </c>
      <c r="K16" s="0" t="s">
        <v>66</v>
      </c>
    </row>
    <row r="17" customFormat="false" ht="15" hidden="false" customHeight="false" outlineLevel="0" collapsed="false">
      <c r="A17" s="0" t="s">
        <v>97</v>
      </c>
      <c r="B17" s="0" t="s">
        <v>98</v>
      </c>
      <c r="C17" s="0" t="n">
        <v>10.593</v>
      </c>
      <c r="D17" s="0" t="n">
        <v>15.375</v>
      </c>
      <c r="E17" s="0" t="n">
        <v>2</v>
      </c>
      <c r="F17" s="0" t="s">
        <v>95</v>
      </c>
      <c r="G17" s="0" t="n">
        <v>16</v>
      </c>
      <c r="H17" s="0" t="n">
        <v>222.46</v>
      </c>
      <c r="I17" s="0" t="s">
        <v>99</v>
      </c>
      <c r="J17" s="0" t="s">
        <v>65</v>
      </c>
      <c r="K17" s="0" t="s">
        <v>66</v>
      </c>
    </row>
    <row r="18" customFormat="false" ht="15" hidden="false" customHeight="false" outlineLevel="0" collapsed="false">
      <c r="A18" s="0" t="s">
        <v>100</v>
      </c>
      <c r="B18" s="0" t="s">
        <v>101</v>
      </c>
      <c r="C18" s="0" t="n">
        <v>19.407</v>
      </c>
      <c r="D18" s="0" t="n">
        <v>13.71</v>
      </c>
      <c r="E18" s="0" t="n">
        <v>2</v>
      </c>
      <c r="F18" s="0" t="s">
        <v>95</v>
      </c>
      <c r="G18" s="0" t="n">
        <v>16</v>
      </c>
      <c r="H18" s="0" t="n">
        <v>378.42</v>
      </c>
      <c r="I18" s="0" t="s">
        <v>102</v>
      </c>
      <c r="J18" s="0" t="s">
        <v>65</v>
      </c>
      <c r="K18" s="0" t="s">
        <v>66</v>
      </c>
    </row>
    <row r="19" customFormat="false" ht="15" hidden="false" customHeight="false" outlineLevel="0" collapsed="false">
      <c r="A19" s="0" t="s">
        <v>103</v>
      </c>
      <c r="B19" s="0" t="s">
        <v>104</v>
      </c>
      <c r="C19" s="0" t="n">
        <v>4.873</v>
      </c>
      <c r="D19" s="0" t="n">
        <v>12.307</v>
      </c>
      <c r="E19" s="0" t="n">
        <v>2</v>
      </c>
      <c r="F19" s="0" t="s">
        <v>95</v>
      </c>
      <c r="G19" s="0" t="n">
        <v>16</v>
      </c>
      <c r="H19" s="0" t="n">
        <v>41.06</v>
      </c>
      <c r="I19" s="0" t="s">
        <v>105</v>
      </c>
      <c r="J19" s="0" t="s">
        <v>65</v>
      </c>
      <c r="K19" s="0" t="s">
        <v>66</v>
      </c>
    </row>
    <row r="20" customFormat="false" ht="15" hidden="false" customHeight="false" outlineLevel="0" collapsed="false">
      <c r="A20" s="5" t="s">
        <v>106</v>
      </c>
    </row>
    <row r="21" customFormat="false" ht="15" hidden="false" customHeight="false" outlineLevel="0" collapsed="false">
      <c r="A21" s="0" t="s">
        <v>107</v>
      </c>
      <c r="B21" s="0" t="s">
        <v>108</v>
      </c>
      <c r="C21" s="0" t="n">
        <v>3.417</v>
      </c>
      <c r="D21" s="0" t="n">
        <v>15.375</v>
      </c>
      <c r="E21" s="0" t="n">
        <v>2</v>
      </c>
      <c r="F21" s="0" t="s">
        <v>63</v>
      </c>
      <c r="G21" s="0" t="n">
        <v>24</v>
      </c>
      <c r="H21" s="0" t="n">
        <v>105.06</v>
      </c>
      <c r="I21" s="0" t="s">
        <v>109</v>
      </c>
      <c r="J21" s="0" t="s">
        <v>110</v>
      </c>
      <c r="K21" s="0" t="s">
        <v>73</v>
      </c>
    </row>
    <row r="22" customFormat="false" ht="15" hidden="false" customHeight="false" outlineLevel="0" collapsed="false">
      <c r="A22" s="0" t="s">
        <v>111</v>
      </c>
      <c r="B22" s="0" t="s">
        <v>112</v>
      </c>
      <c r="C22" s="0" t="n">
        <v>3.413</v>
      </c>
      <c r="D22" s="0" t="n">
        <v>13.052</v>
      </c>
      <c r="E22" s="0" t="n">
        <v>2</v>
      </c>
      <c r="F22" s="0" t="s">
        <v>63</v>
      </c>
      <c r="G22" s="0" t="n">
        <v>24</v>
      </c>
      <c r="H22" s="0" t="n">
        <v>89.1</v>
      </c>
      <c r="I22" s="0" t="s">
        <v>113</v>
      </c>
      <c r="J22" s="0" t="s">
        <v>110</v>
      </c>
      <c r="K22" s="0" t="s">
        <v>66</v>
      </c>
    </row>
    <row r="23" customFormat="false" ht="15" hidden="false" customHeight="false" outlineLevel="0" collapsed="false">
      <c r="A23" s="0" t="s">
        <v>114</v>
      </c>
      <c r="B23" s="0" t="s">
        <v>115</v>
      </c>
      <c r="C23" s="0" t="n">
        <v>1.693</v>
      </c>
      <c r="D23" s="0" t="n">
        <v>13.052</v>
      </c>
      <c r="E23" s="0" t="n">
        <v>2</v>
      </c>
      <c r="F23" s="0" t="s">
        <v>63</v>
      </c>
      <c r="G23" s="0" t="n">
        <v>24</v>
      </c>
      <c r="H23" s="0" t="n">
        <v>44.2</v>
      </c>
      <c r="I23" s="0" t="s">
        <v>116</v>
      </c>
      <c r="J23" s="0" t="s">
        <v>110</v>
      </c>
      <c r="K23" s="0" t="s">
        <v>66</v>
      </c>
    </row>
    <row r="24" customFormat="false" ht="15" hidden="false" customHeight="false" outlineLevel="0" collapsed="false">
      <c r="A24" s="5" t="s">
        <v>117</v>
      </c>
    </row>
    <row r="25" customFormat="false" ht="15" hidden="false" customHeight="false" outlineLevel="0" collapsed="false">
      <c r="A25" s="0" t="s">
        <v>118</v>
      </c>
      <c r="B25" s="0" t="s">
        <v>119</v>
      </c>
      <c r="C25" s="0" t="n">
        <v>9.99</v>
      </c>
      <c r="D25" s="0" t="n">
        <v>13.052</v>
      </c>
      <c r="E25" s="0" t="n">
        <v>2</v>
      </c>
      <c r="F25" s="0" t="s">
        <v>63</v>
      </c>
      <c r="G25" s="0" t="n">
        <v>16</v>
      </c>
      <c r="H25" s="0" t="n">
        <v>260.78</v>
      </c>
      <c r="I25" s="0" t="s">
        <v>120</v>
      </c>
      <c r="J25" s="0" t="s">
        <v>121</v>
      </c>
      <c r="K25" s="0" t="s">
        <v>66</v>
      </c>
    </row>
    <row r="26" customFormat="false" ht="15" hidden="false" customHeight="false" outlineLevel="0" collapsed="false">
      <c r="A26" s="0" t="s">
        <v>122</v>
      </c>
      <c r="B26" s="0" t="s">
        <v>123</v>
      </c>
      <c r="C26" s="0" t="n">
        <v>11.729</v>
      </c>
      <c r="D26" s="0" t="n">
        <v>13.052</v>
      </c>
      <c r="E26" s="0" t="n">
        <v>2</v>
      </c>
      <c r="F26" s="0" t="s">
        <v>63</v>
      </c>
      <c r="G26" s="0" t="n">
        <v>16</v>
      </c>
      <c r="H26" s="0" t="n">
        <v>259.52</v>
      </c>
      <c r="I26" s="0" t="s">
        <v>124</v>
      </c>
      <c r="J26" s="0" t="s">
        <v>121</v>
      </c>
      <c r="K26" s="0" t="s">
        <v>73</v>
      </c>
    </row>
    <row r="27" customFormat="false" ht="15" hidden="false" customHeight="false" outlineLevel="0" collapsed="false">
      <c r="A27" s="0" t="s">
        <v>125</v>
      </c>
      <c r="B27" s="0" t="s">
        <v>126</v>
      </c>
      <c r="C27" s="0" t="n">
        <v>11.729</v>
      </c>
      <c r="D27" s="0" t="n">
        <v>13.052</v>
      </c>
      <c r="E27" s="0" t="n">
        <v>2</v>
      </c>
      <c r="F27" s="0" t="s">
        <v>63</v>
      </c>
      <c r="G27" s="0" t="n">
        <v>16</v>
      </c>
      <c r="H27" s="0" t="n">
        <v>306.18</v>
      </c>
      <c r="I27" s="0" t="s">
        <v>127</v>
      </c>
      <c r="J27" s="0" t="s">
        <v>121</v>
      </c>
      <c r="K27" s="0" t="s">
        <v>73</v>
      </c>
    </row>
    <row r="28" customFormat="false" ht="15" hidden="false" customHeight="false" outlineLevel="0" collapsed="false">
      <c r="A28" s="0" t="s">
        <v>128</v>
      </c>
      <c r="B28" s="0" t="s">
        <v>129</v>
      </c>
      <c r="C28" s="0" t="n">
        <v>9.583</v>
      </c>
      <c r="D28" s="0" t="n">
        <v>13.052</v>
      </c>
      <c r="E28" s="0" t="n">
        <v>2</v>
      </c>
      <c r="F28" s="0" t="s">
        <v>63</v>
      </c>
      <c r="G28" s="0" t="n">
        <v>16</v>
      </c>
      <c r="H28" s="0" t="n">
        <v>250.16</v>
      </c>
      <c r="I28" s="0" t="s">
        <v>130</v>
      </c>
      <c r="J28" s="0" t="s">
        <v>121</v>
      </c>
      <c r="K28" s="0" t="s">
        <v>73</v>
      </c>
    </row>
    <row r="29" customFormat="false" ht="15" hidden="false" customHeight="false" outlineLevel="0" collapsed="false">
      <c r="A29" s="0" t="s">
        <v>131</v>
      </c>
      <c r="B29" s="0" t="s">
        <v>132</v>
      </c>
      <c r="C29" s="0" t="n">
        <v>13.74</v>
      </c>
      <c r="D29" s="0" t="n">
        <v>13.052</v>
      </c>
      <c r="E29" s="0" t="n">
        <v>2</v>
      </c>
      <c r="F29" s="0" t="s">
        <v>63</v>
      </c>
      <c r="G29" s="0" t="n">
        <v>16</v>
      </c>
      <c r="H29" s="0" t="n">
        <v>265.32</v>
      </c>
      <c r="I29" s="0" t="s">
        <v>133</v>
      </c>
      <c r="J29" s="0" t="s">
        <v>121</v>
      </c>
      <c r="K29" s="0" t="s">
        <v>66</v>
      </c>
    </row>
    <row r="30" customFormat="false" ht="15" hidden="false" customHeight="false" outlineLevel="0" collapsed="false">
      <c r="A30" s="0" t="s">
        <v>134</v>
      </c>
      <c r="B30" s="0" t="s">
        <v>135</v>
      </c>
      <c r="C30" s="0" t="n">
        <v>3.5</v>
      </c>
      <c r="D30" s="0" t="n">
        <v>13.052</v>
      </c>
      <c r="E30" s="0" t="n">
        <v>2</v>
      </c>
      <c r="F30" s="0" t="s">
        <v>63</v>
      </c>
      <c r="G30" s="0" t="n">
        <v>16</v>
      </c>
      <c r="H30" s="0" t="n">
        <v>91.36</v>
      </c>
      <c r="I30" s="0" t="s">
        <v>136</v>
      </c>
      <c r="J30" s="0" t="s">
        <v>121</v>
      </c>
      <c r="K30" s="0" t="s">
        <v>66</v>
      </c>
    </row>
    <row r="31" customFormat="false" ht="15" hidden="false" customHeight="false" outlineLevel="0" collapsed="false">
      <c r="A31" s="5" t="s">
        <v>137</v>
      </c>
    </row>
    <row r="32" customFormat="false" ht="15" hidden="false" customHeight="false" outlineLevel="0" collapsed="false">
      <c r="A32" s="0" t="s">
        <v>138</v>
      </c>
      <c r="B32" s="0" t="s">
        <v>139</v>
      </c>
      <c r="C32" s="0" t="n">
        <v>5.667</v>
      </c>
      <c r="D32" s="0" t="n">
        <v>15.375</v>
      </c>
      <c r="E32" s="0" t="n">
        <v>2</v>
      </c>
      <c r="F32" s="0" t="s">
        <v>95</v>
      </c>
      <c r="G32" s="0" t="n">
        <v>16</v>
      </c>
      <c r="H32" s="0" t="n">
        <v>112.92</v>
      </c>
      <c r="I32" s="0" t="s">
        <v>140</v>
      </c>
      <c r="J32" s="0" t="s">
        <v>121</v>
      </c>
      <c r="K32" s="0" t="s">
        <v>73</v>
      </c>
    </row>
    <row r="33" customFormat="false" ht="15" hidden="false" customHeight="false" outlineLevel="0" collapsed="false">
      <c r="A33" s="0" t="s">
        <v>141</v>
      </c>
      <c r="B33" s="0" t="s">
        <v>142</v>
      </c>
      <c r="C33" s="0" t="n">
        <v>15.38</v>
      </c>
      <c r="D33" s="0" t="n">
        <v>13.052</v>
      </c>
      <c r="E33" s="0" t="n">
        <v>2</v>
      </c>
      <c r="F33" s="0" t="s">
        <v>95</v>
      </c>
      <c r="G33" s="0" t="n">
        <v>16</v>
      </c>
      <c r="H33" s="0" t="n">
        <v>261.48</v>
      </c>
      <c r="I33" s="0" t="s">
        <v>143</v>
      </c>
      <c r="J33" s="0" t="s">
        <v>121</v>
      </c>
      <c r="K33" s="0" t="s">
        <v>66</v>
      </c>
    </row>
    <row r="34" customFormat="false" ht="15" hidden="false" customHeight="false" outlineLevel="0" collapsed="false">
      <c r="A34" s="0" t="s">
        <v>144</v>
      </c>
      <c r="B34" s="0" t="s">
        <v>145</v>
      </c>
      <c r="C34" s="0" t="n">
        <v>15.073</v>
      </c>
      <c r="D34" s="0" t="n">
        <v>11.91</v>
      </c>
      <c r="E34" s="0" t="n">
        <v>2</v>
      </c>
      <c r="F34" s="0" t="s">
        <v>95</v>
      </c>
      <c r="G34" s="0" t="n">
        <v>16</v>
      </c>
      <c r="H34" s="0" t="n">
        <v>312.4</v>
      </c>
      <c r="I34" s="0" t="s">
        <v>146</v>
      </c>
      <c r="J34" s="0" t="s">
        <v>121</v>
      </c>
      <c r="K34" s="0" t="s">
        <v>66</v>
      </c>
    </row>
    <row r="35" customFormat="false" ht="15" hidden="false" customHeight="false" outlineLevel="0" collapsed="false">
      <c r="A35" s="0" t="s">
        <v>147</v>
      </c>
      <c r="B35" s="0" t="s">
        <v>148</v>
      </c>
      <c r="C35" s="0" t="n">
        <v>5.127</v>
      </c>
      <c r="D35" s="0" t="n">
        <v>13.305</v>
      </c>
      <c r="E35" s="0" t="n">
        <v>2</v>
      </c>
      <c r="F35" s="0" t="s">
        <v>95</v>
      </c>
      <c r="G35" s="0" t="n">
        <v>16</v>
      </c>
      <c r="H35" s="0" t="n">
        <v>89.76</v>
      </c>
      <c r="I35" s="0" t="s">
        <v>149</v>
      </c>
      <c r="J35" s="0" t="s">
        <v>121</v>
      </c>
      <c r="K35" s="0" t="s">
        <v>66</v>
      </c>
    </row>
    <row r="36" customFormat="false" ht="15" hidden="false" customHeight="false" outlineLevel="0" collapsed="false">
      <c r="A36" s="5" t="s">
        <v>150</v>
      </c>
    </row>
    <row r="37" customFormat="false" ht="15" hidden="false" customHeight="false" outlineLevel="0" collapsed="false">
      <c r="A37" s="0" t="s">
        <v>151</v>
      </c>
      <c r="B37" s="0" t="s">
        <v>152</v>
      </c>
      <c r="C37" s="0" t="n">
        <v>1.773</v>
      </c>
      <c r="D37" s="0" t="n">
        <v>15.375</v>
      </c>
      <c r="E37" s="0" t="n">
        <v>2</v>
      </c>
      <c r="F37" s="0" t="s">
        <v>95</v>
      </c>
      <c r="G37" s="0" t="n">
        <v>24</v>
      </c>
      <c r="H37" s="0" t="n">
        <v>54.52</v>
      </c>
      <c r="I37" s="0" t="s">
        <v>153</v>
      </c>
      <c r="J37" s="0" t="s">
        <v>110</v>
      </c>
      <c r="K37" s="0" t="s">
        <v>66</v>
      </c>
    </row>
    <row r="38" customFormat="false" ht="15" hidden="false" customHeight="false" outlineLevel="0" collapsed="false">
      <c r="A38" s="5" t="s">
        <v>154</v>
      </c>
    </row>
    <row r="39" customFormat="false" ht="15" hidden="false" customHeight="false" outlineLevel="0" collapsed="false">
      <c r="A39" s="0" t="s">
        <v>155</v>
      </c>
      <c r="B39" s="0" t="s">
        <v>156</v>
      </c>
      <c r="C39" s="0" t="n">
        <v>10.627</v>
      </c>
      <c r="D39" s="0" t="n">
        <v>15.375</v>
      </c>
      <c r="E39" s="0" t="n">
        <v>1</v>
      </c>
      <c r="F39" s="0" t="s">
        <v>63</v>
      </c>
      <c r="G39" s="0" t="n">
        <v>16</v>
      </c>
      <c r="H39" s="0" t="n">
        <v>163.39</v>
      </c>
      <c r="I39" s="0" t="s">
        <v>157</v>
      </c>
      <c r="J39" s="0" t="s">
        <v>158</v>
      </c>
      <c r="K39" s="0" t="s">
        <v>66</v>
      </c>
    </row>
    <row r="40" customFormat="false" ht="15" hidden="false" customHeight="false" outlineLevel="0" collapsed="false">
      <c r="A40" s="0" t="s">
        <v>159</v>
      </c>
      <c r="B40" s="0" t="s">
        <v>160</v>
      </c>
      <c r="C40" s="0" t="n">
        <v>10.027</v>
      </c>
      <c r="D40" s="0" t="n">
        <v>13.052</v>
      </c>
      <c r="E40" s="0" t="n">
        <v>1</v>
      </c>
      <c r="F40" s="0" t="s">
        <v>63</v>
      </c>
      <c r="G40" s="0" t="n">
        <v>16</v>
      </c>
      <c r="H40" s="0" t="n">
        <v>130.87</v>
      </c>
      <c r="I40" s="0" t="s">
        <v>161</v>
      </c>
      <c r="J40" s="0" t="s">
        <v>158</v>
      </c>
      <c r="K40" s="0" t="s">
        <v>66</v>
      </c>
    </row>
    <row r="41" customFormat="false" ht="15" hidden="false" customHeight="false" outlineLevel="0" collapsed="false">
      <c r="A41" s="0" t="s">
        <v>162</v>
      </c>
      <c r="B41" s="0" t="s">
        <v>163</v>
      </c>
      <c r="C41" s="0" t="n">
        <v>10.027</v>
      </c>
      <c r="D41" s="0" t="n">
        <v>13.052</v>
      </c>
      <c r="E41" s="0" t="n">
        <v>1</v>
      </c>
      <c r="F41" s="0" t="s">
        <v>63</v>
      </c>
      <c r="G41" s="0" t="n">
        <v>16</v>
      </c>
      <c r="H41" s="0" t="n">
        <v>130.87</v>
      </c>
      <c r="I41" s="0" t="s">
        <v>164</v>
      </c>
      <c r="J41" s="0" t="s">
        <v>158</v>
      </c>
      <c r="K41" s="0" t="s">
        <v>66</v>
      </c>
    </row>
    <row r="42" customFormat="false" ht="15" hidden="false" customHeight="false" outlineLevel="0" collapsed="false">
      <c r="A42" s="0" t="s">
        <v>165</v>
      </c>
      <c r="B42" s="0" t="s">
        <v>166</v>
      </c>
      <c r="C42" s="0" t="n">
        <v>3.207</v>
      </c>
      <c r="D42" s="0" t="n">
        <v>13.052</v>
      </c>
      <c r="E42" s="0" t="n">
        <v>1</v>
      </c>
      <c r="F42" s="0" t="s">
        <v>63</v>
      </c>
      <c r="G42" s="0" t="n">
        <v>16</v>
      </c>
      <c r="H42" s="0" t="n">
        <v>41.86</v>
      </c>
      <c r="I42" s="0" t="s">
        <v>167</v>
      </c>
      <c r="J42" s="0" t="s">
        <v>158</v>
      </c>
      <c r="K42" s="0" t="s">
        <v>66</v>
      </c>
    </row>
    <row r="43" customFormat="false" ht="15" hidden="false" customHeight="false" outlineLevel="0" collapsed="false">
      <c r="A43" s="0" t="s">
        <v>168</v>
      </c>
      <c r="B43" s="0" t="s">
        <v>169</v>
      </c>
      <c r="C43" s="0" t="n">
        <v>2.233</v>
      </c>
      <c r="D43" s="0" t="n">
        <v>15.375</v>
      </c>
      <c r="E43" s="0" t="n">
        <v>1.32</v>
      </c>
      <c r="F43" s="0" t="s">
        <v>63</v>
      </c>
      <c r="G43" s="0" t="n">
        <v>16</v>
      </c>
      <c r="H43" s="0" t="n">
        <v>45.19</v>
      </c>
      <c r="I43" s="0" t="s">
        <v>170</v>
      </c>
      <c r="J43" s="0" t="s">
        <v>158</v>
      </c>
      <c r="K43" s="0" t="s">
        <v>66</v>
      </c>
    </row>
    <row r="44" customFormat="false" ht="15" hidden="false" customHeight="false" outlineLevel="0" collapsed="false">
      <c r="A44" s="0" t="s">
        <v>171</v>
      </c>
      <c r="B44" s="0" t="s">
        <v>172</v>
      </c>
      <c r="C44" s="0" t="n">
        <v>2.866</v>
      </c>
      <c r="D44" s="0" t="n">
        <v>14.358</v>
      </c>
      <c r="E44" s="0" t="n">
        <v>1</v>
      </c>
      <c r="F44" s="0" t="s">
        <v>63</v>
      </c>
      <c r="G44" s="0" t="n">
        <v>16</v>
      </c>
      <c r="H44" s="0" t="n">
        <v>41.15</v>
      </c>
      <c r="I44" s="0" t="s">
        <v>173</v>
      </c>
      <c r="J44" s="0" t="s">
        <v>158</v>
      </c>
      <c r="K44" s="0" t="s">
        <v>66</v>
      </c>
    </row>
    <row r="45" customFormat="false" ht="15" hidden="false" customHeight="false" outlineLevel="0" collapsed="false">
      <c r="A45" s="0" t="s">
        <v>174</v>
      </c>
      <c r="B45" s="0" t="s">
        <v>175</v>
      </c>
      <c r="C45" s="0" t="n">
        <v>3.646</v>
      </c>
      <c r="D45" s="0" t="n">
        <v>14.358</v>
      </c>
      <c r="E45" s="0" t="n">
        <v>1</v>
      </c>
      <c r="F45" s="0" t="s">
        <v>63</v>
      </c>
      <c r="G45" s="0" t="n">
        <v>16</v>
      </c>
      <c r="H45" s="0" t="n">
        <v>52.35</v>
      </c>
      <c r="I45" s="0" t="s">
        <v>176</v>
      </c>
      <c r="J45" s="0" t="s">
        <v>158</v>
      </c>
      <c r="K45" s="0" t="s">
        <v>66</v>
      </c>
    </row>
    <row r="46" customFormat="false" ht="15" hidden="false" customHeight="false" outlineLevel="0" collapsed="false">
      <c r="A46" s="0" t="s">
        <v>177</v>
      </c>
      <c r="B46" s="0" t="s">
        <v>178</v>
      </c>
      <c r="C46" s="0" t="n">
        <v>4</v>
      </c>
      <c r="D46" s="0" t="n">
        <v>15.375</v>
      </c>
      <c r="E46" s="0" t="n">
        <v>1</v>
      </c>
      <c r="F46" s="0" t="s">
        <v>63</v>
      </c>
      <c r="G46" s="0" t="n">
        <v>16</v>
      </c>
      <c r="H46" s="0" t="n">
        <v>61.52</v>
      </c>
      <c r="I46" s="0" t="s">
        <v>179</v>
      </c>
      <c r="J46" s="0" t="s">
        <v>158</v>
      </c>
      <c r="K46" s="0" t="s">
        <v>66</v>
      </c>
    </row>
    <row r="47" customFormat="false" ht="15" hidden="false" customHeight="false" outlineLevel="0" collapsed="false">
      <c r="A47" s="5" t="s">
        <v>180</v>
      </c>
    </row>
    <row r="48" customFormat="false" ht="15" hidden="false" customHeight="false" outlineLevel="0" collapsed="false">
      <c r="A48" s="0" t="s">
        <v>181</v>
      </c>
      <c r="B48" s="0" t="s">
        <v>182</v>
      </c>
      <c r="C48" s="0" t="n">
        <v>3.467</v>
      </c>
      <c r="D48" s="0" t="n">
        <v>14.383</v>
      </c>
      <c r="E48" s="0" t="n">
        <v>4</v>
      </c>
      <c r="F48" s="0" t="s">
        <v>183</v>
      </c>
      <c r="G48" s="0" t="n">
        <v>16</v>
      </c>
      <c r="H48" s="0" t="n">
        <v>199.46</v>
      </c>
      <c r="I48" s="0" t="s">
        <v>184</v>
      </c>
      <c r="J48" s="0" t="s">
        <v>185</v>
      </c>
      <c r="K48" s="0" t="s">
        <v>66</v>
      </c>
    </row>
    <row r="49" customFormat="false" ht="15" hidden="false" customHeight="false" outlineLevel="0" collapsed="false">
      <c r="A49" s="0" t="s">
        <v>186</v>
      </c>
      <c r="B49" s="0" t="s">
        <v>187</v>
      </c>
      <c r="C49" s="0" t="n">
        <v>3.253</v>
      </c>
      <c r="D49" s="0" t="n">
        <v>15.375</v>
      </c>
      <c r="E49" s="0" t="n">
        <v>4</v>
      </c>
      <c r="F49" s="0" t="s">
        <v>183</v>
      </c>
      <c r="G49" s="0" t="n">
        <v>16</v>
      </c>
      <c r="H49" s="0" t="n">
        <v>200.08</v>
      </c>
      <c r="I49" s="0" t="s">
        <v>188</v>
      </c>
      <c r="J49" s="0" t="s">
        <v>185</v>
      </c>
      <c r="K49" s="0" t="s">
        <v>66</v>
      </c>
    </row>
    <row r="50" customFormat="false" ht="15" hidden="false" customHeight="false" outlineLevel="0" collapsed="false">
      <c r="A50" s="0" t="s">
        <v>189</v>
      </c>
      <c r="B50" s="0" t="s">
        <v>190</v>
      </c>
      <c r="C50" s="0" t="n">
        <v>3.253</v>
      </c>
      <c r="D50" s="0" t="n">
        <v>14.225</v>
      </c>
      <c r="E50" s="0" t="n">
        <v>4</v>
      </c>
      <c r="F50" s="0" t="s">
        <v>183</v>
      </c>
      <c r="G50" s="0" t="n">
        <v>16</v>
      </c>
      <c r="H50" s="0" t="n">
        <v>185.12</v>
      </c>
      <c r="I50" s="0" t="s">
        <v>191</v>
      </c>
      <c r="J50" s="0" t="s">
        <v>185</v>
      </c>
      <c r="K50" s="0" t="s">
        <v>66</v>
      </c>
    </row>
    <row r="51" customFormat="false" ht="15" hidden="false" customHeight="false" outlineLevel="0" collapsed="false">
      <c r="A51" s="0" t="s">
        <v>192</v>
      </c>
      <c r="B51" s="0" t="s">
        <v>193</v>
      </c>
      <c r="C51" s="0" t="n">
        <v>2.42</v>
      </c>
      <c r="D51" s="0" t="n">
        <v>14.383</v>
      </c>
      <c r="E51" s="0" t="n">
        <v>4</v>
      </c>
      <c r="F51" s="0" t="s">
        <v>183</v>
      </c>
      <c r="G51" s="0" t="n">
        <v>16</v>
      </c>
      <c r="H51" s="0" t="n">
        <v>139.24</v>
      </c>
      <c r="I51" s="0" t="s">
        <v>194</v>
      </c>
      <c r="J51" s="0" t="s">
        <v>185</v>
      </c>
      <c r="K51" s="0" t="s">
        <v>66</v>
      </c>
    </row>
    <row r="52" customFormat="false" ht="15" hidden="false" customHeight="false" outlineLevel="0" collapsed="false">
      <c r="A52" s="0" t="s">
        <v>195</v>
      </c>
      <c r="B52" s="0" t="s">
        <v>196</v>
      </c>
      <c r="C52" s="0" t="n">
        <v>12.333</v>
      </c>
      <c r="D52" s="0" t="n">
        <v>15.375</v>
      </c>
      <c r="E52" s="0" t="n">
        <v>4</v>
      </c>
      <c r="F52" s="0" t="s">
        <v>183</v>
      </c>
      <c r="G52" s="0" t="n">
        <v>16</v>
      </c>
      <c r="H52" s="0" t="n">
        <v>758.5</v>
      </c>
      <c r="I52" s="0" t="s">
        <v>197</v>
      </c>
      <c r="J52" s="0" t="s">
        <v>185</v>
      </c>
      <c r="K52" s="0" t="s">
        <v>66</v>
      </c>
    </row>
    <row r="53" customFormat="false" ht="15" hidden="false" customHeight="false" outlineLevel="0" collapsed="false">
      <c r="A53" s="0" t="s">
        <v>198</v>
      </c>
      <c r="B53" s="0" t="s">
        <v>199</v>
      </c>
      <c r="C53" s="0" t="n">
        <v>11.625</v>
      </c>
      <c r="D53" s="0" t="n">
        <v>15.375</v>
      </c>
      <c r="E53" s="0" t="n">
        <v>4</v>
      </c>
      <c r="F53" s="0" t="s">
        <v>183</v>
      </c>
      <c r="G53" s="0" t="n">
        <v>16</v>
      </c>
      <c r="H53" s="0" t="n">
        <v>714.94</v>
      </c>
      <c r="I53" s="0" t="s">
        <v>200</v>
      </c>
      <c r="J53" s="0" t="s">
        <v>185</v>
      </c>
      <c r="K53" s="0" t="s">
        <v>73</v>
      </c>
    </row>
    <row r="54" customFormat="false" ht="15" hidden="false" customHeight="false" outlineLevel="0" collapsed="false">
      <c r="A54" s="0" t="s">
        <v>201</v>
      </c>
      <c r="B54" s="0" t="s">
        <v>202</v>
      </c>
      <c r="C54" s="0" t="n">
        <v>12.333</v>
      </c>
      <c r="D54" s="0" t="n">
        <v>15.375</v>
      </c>
      <c r="E54" s="0" t="n">
        <v>4</v>
      </c>
      <c r="F54" s="0" t="s">
        <v>183</v>
      </c>
      <c r="G54" s="0" t="n">
        <v>16</v>
      </c>
      <c r="H54" s="0" t="n">
        <v>758.5</v>
      </c>
      <c r="I54" s="0" t="s">
        <v>203</v>
      </c>
      <c r="J54" s="0" t="s">
        <v>185</v>
      </c>
      <c r="K54" s="0" t="s">
        <v>66</v>
      </c>
    </row>
    <row r="55" customFormat="false" ht="15" hidden="false" customHeight="false" outlineLevel="0" collapsed="false">
      <c r="A55" s="0" t="s">
        <v>204</v>
      </c>
      <c r="B55" s="0" t="s">
        <v>205</v>
      </c>
      <c r="C55" s="0" t="n">
        <v>10.073</v>
      </c>
      <c r="D55" s="0" t="n">
        <v>15.375</v>
      </c>
      <c r="E55" s="0" t="n">
        <v>4</v>
      </c>
      <c r="F55" s="0" t="s">
        <v>183</v>
      </c>
      <c r="G55" s="0" t="n">
        <v>16</v>
      </c>
      <c r="H55" s="0" t="n">
        <v>619.5</v>
      </c>
      <c r="I55" s="0" t="s">
        <v>206</v>
      </c>
      <c r="J55" s="0" t="s">
        <v>185</v>
      </c>
      <c r="K55" s="0" t="s">
        <v>66</v>
      </c>
    </row>
    <row r="56" customFormat="false" ht="15" hidden="false" customHeight="false" outlineLevel="0" collapsed="false">
      <c r="A56" s="0" t="s">
        <v>207</v>
      </c>
      <c r="B56" s="0" t="s">
        <v>208</v>
      </c>
      <c r="C56" s="0" t="n">
        <v>11.771</v>
      </c>
      <c r="D56" s="0" t="n">
        <v>15.375</v>
      </c>
      <c r="E56" s="0" t="n">
        <v>4</v>
      </c>
      <c r="F56" s="0" t="s">
        <v>183</v>
      </c>
      <c r="G56" s="0" t="n">
        <v>16</v>
      </c>
      <c r="H56" s="0" t="n">
        <v>723.9</v>
      </c>
      <c r="I56" s="0" t="s">
        <v>209</v>
      </c>
      <c r="J56" s="0" t="s">
        <v>185</v>
      </c>
      <c r="K56" s="0" t="s">
        <v>73</v>
      </c>
    </row>
    <row r="57" customFormat="false" ht="15" hidden="false" customHeight="false" outlineLevel="0" collapsed="false">
      <c r="A57" s="0" t="s">
        <v>210</v>
      </c>
      <c r="B57" s="0" t="s">
        <v>211</v>
      </c>
      <c r="C57" s="0" t="n">
        <v>11.771</v>
      </c>
      <c r="D57" s="0" t="n">
        <v>15.375</v>
      </c>
      <c r="E57" s="0" t="n">
        <v>4</v>
      </c>
      <c r="F57" s="0" t="s">
        <v>183</v>
      </c>
      <c r="G57" s="0" t="n">
        <v>16</v>
      </c>
      <c r="H57" s="0" t="n">
        <v>723.9</v>
      </c>
      <c r="I57" s="0" t="s">
        <v>212</v>
      </c>
      <c r="J57" s="0" t="s">
        <v>185</v>
      </c>
      <c r="K57" s="0" t="s">
        <v>73</v>
      </c>
    </row>
    <row r="58" customFormat="false" ht="15" hidden="false" customHeight="false" outlineLevel="0" collapsed="false">
      <c r="A58" s="5" t="s">
        <v>213</v>
      </c>
    </row>
    <row r="59" customFormat="false" ht="15" hidden="false" customHeight="false" outlineLevel="0" collapsed="false">
      <c r="A59" s="0" t="s">
        <v>214</v>
      </c>
      <c r="B59" s="0" t="s">
        <v>215</v>
      </c>
      <c r="C59" s="0" t="n">
        <v>3.507</v>
      </c>
      <c r="D59" s="0" t="n">
        <v>15.375</v>
      </c>
      <c r="E59" s="0" t="n">
        <v>4</v>
      </c>
      <c r="F59" s="0" t="s">
        <v>183</v>
      </c>
      <c r="G59" s="0" t="n">
        <v>16</v>
      </c>
      <c r="H59" s="0" t="n">
        <v>215.66</v>
      </c>
      <c r="I59" s="0" t="s">
        <v>216</v>
      </c>
      <c r="J59" s="0" t="s">
        <v>185</v>
      </c>
      <c r="K59" s="0" t="s">
        <v>66</v>
      </c>
    </row>
    <row r="60" customFormat="false" ht="15" hidden="false" customHeight="false" outlineLevel="0" collapsed="false">
      <c r="A60" s="0" t="s">
        <v>217</v>
      </c>
      <c r="B60" s="0" t="s">
        <v>218</v>
      </c>
      <c r="C60" s="0" t="n">
        <v>2.667</v>
      </c>
      <c r="D60" s="0" t="n">
        <v>15.375</v>
      </c>
      <c r="E60" s="0" t="n">
        <v>4</v>
      </c>
      <c r="F60" s="0" t="s">
        <v>183</v>
      </c>
      <c r="G60" s="0" t="n">
        <v>16</v>
      </c>
      <c r="H60" s="0" t="n">
        <v>164</v>
      </c>
      <c r="I60" s="0" t="s">
        <v>219</v>
      </c>
      <c r="J60" s="0" t="s">
        <v>185</v>
      </c>
      <c r="K60" s="0" t="s">
        <v>66</v>
      </c>
    </row>
    <row r="61" customFormat="false" ht="15" hidden="false" customHeight="false" outlineLevel="0" collapsed="false">
      <c r="A61" s="0" t="s">
        <v>220</v>
      </c>
      <c r="B61" s="0" t="s">
        <v>221</v>
      </c>
      <c r="C61" s="0" t="n">
        <v>11.771</v>
      </c>
      <c r="D61" s="0" t="n">
        <v>15.375</v>
      </c>
      <c r="E61" s="0" t="n">
        <v>4</v>
      </c>
      <c r="F61" s="0" t="s">
        <v>183</v>
      </c>
      <c r="G61" s="0" t="n">
        <v>16</v>
      </c>
      <c r="H61" s="0" t="n">
        <v>723.9</v>
      </c>
      <c r="I61" s="0" t="s">
        <v>222</v>
      </c>
      <c r="J61" s="0" t="s">
        <v>185</v>
      </c>
      <c r="K61" s="0" t="s">
        <v>73</v>
      </c>
    </row>
    <row r="62" customFormat="false" ht="15" hidden="false" customHeight="false" outlineLevel="0" collapsed="false">
      <c r="A62" s="5" t="s">
        <v>223</v>
      </c>
    </row>
    <row r="63" customFormat="false" ht="15" hidden="false" customHeight="false" outlineLevel="0" collapsed="false">
      <c r="A63" s="0" t="s">
        <v>224</v>
      </c>
      <c r="B63" s="0" t="s">
        <v>225</v>
      </c>
      <c r="C63" s="0" t="n">
        <v>13.187</v>
      </c>
      <c r="D63" s="0" t="n">
        <v>14.358</v>
      </c>
      <c r="E63" s="0" t="n">
        <v>1</v>
      </c>
      <c r="F63" s="0" t="s">
        <v>95</v>
      </c>
      <c r="G63" s="0" t="n">
        <v>16</v>
      </c>
      <c r="H63" s="0" t="n">
        <v>202.75</v>
      </c>
      <c r="I63" s="0" t="s">
        <v>226</v>
      </c>
      <c r="J63" s="0" t="s">
        <v>227</v>
      </c>
      <c r="K63" s="0" t="s">
        <v>66</v>
      </c>
    </row>
    <row r="64" customFormat="false" ht="15" hidden="false" customHeight="false" outlineLevel="0" collapsed="false">
      <c r="A64" s="0" t="s">
        <v>228</v>
      </c>
      <c r="B64" s="0" t="s">
        <v>229</v>
      </c>
      <c r="C64" s="0" t="n">
        <v>75.333</v>
      </c>
      <c r="D64" s="0" t="n">
        <v>13.551</v>
      </c>
      <c r="E64" s="0" t="n">
        <v>1</v>
      </c>
      <c r="F64" s="0" t="s">
        <v>95</v>
      </c>
      <c r="G64" s="0" t="n">
        <v>16</v>
      </c>
      <c r="H64" s="0" t="n">
        <v>1036.56</v>
      </c>
      <c r="I64" s="0" t="s">
        <v>230</v>
      </c>
      <c r="J64" s="0" t="s">
        <v>227</v>
      </c>
      <c r="K64" s="0" t="s">
        <v>66</v>
      </c>
    </row>
    <row r="65" customFormat="false" ht="15" hidden="false" customHeight="false" outlineLevel="0" collapsed="false">
      <c r="A65" s="0" t="s">
        <v>231</v>
      </c>
      <c r="B65" s="0" t="s">
        <v>232</v>
      </c>
      <c r="C65" s="0" t="n">
        <v>52.833</v>
      </c>
      <c r="D65" s="0" t="n">
        <v>11.171</v>
      </c>
      <c r="E65" s="0" t="n">
        <v>1</v>
      </c>
      <c r="F65" s="0" t="s">
        <v>95</v>
      </c>
      <c r="G65" s="0" t="n">
        <v>16</v>
      </c>
      <c r="H65" s="0" t="n">
        <v>634.84</v>
      </c>
      <c r="I65" s="0" t="s">
        <v>233</v>
      </c>
      <c r="J65" s="0" t="s">
        <v>227</v>
      </c>
      <c r="K65" s="0" t="s">
        <v>66</v>
      </c>
    </row>
    <row r="66" customFormat="false" ht="15" hidden="false" customHeight="false" outlineLevel="0" collapsed="false">
      <c r="A66" s="0" t="s">
        <v>234</v>
      </c>
      <c r="B66" s="0" t="s">
        <v>235</v>
      </c>
      <c r="C66" s="0" t="n">
        <v>47.373</v>
      </c>
      <c r="D66" s="0" t="n">
        <v>13.075</v>
      </c>
      <c r="E66" s="0" t="n">
        <v>1</v>
      </c>
      <c r="F66" s="0" t="s">
        <v>95</v>
      </c>
      <c r="G66" s="0" t="n">
        <v>16</v>
      </c>
      <c r="H66" s="0" t="n">
        <v>638.68</v>
      </c>
      <c r="I66" s="0" t="s">
        <v>236</v>
      </c>
      <c r="J66" s="0" t="s">
        <v>227</v>
      </c>
      <c r="K66" s="0" t="s">
        <v>66</v>
      </c>
    </row>
    <row r="67" customFormat="false" ht="15" hidden="false" customHeight="false" outlineLevel="0" collapsed="false">
      <c r="A67" s="0" t="s">
        <v>237</v>
      </c>
      <c r="B67" s="0" t="s">
        <v>238</v>
      </c>
      <c r="C67" s="0" t="n">
        <v>4.413</v>
      </c>
      <c r="D67" s="0" t="n">
        <v>14.358</v>
      </c>
      <c r="E67" s="0" t="n">
        <v>1</v>
      </c>
      <c r="F67" s="0" t="s">
        <v>95</v>
      </c>
      <c r="G67" s="0" t="n">
        <v>16</v>
      </c>
      <c r="H67" s="0" t="n">
        <v>67.85</v>
      </c>
      <c r="I67" s="0" t="s">
        <v>239</v>
      </c>
      <c r="J67" s="0" t="s">
        <v>227</v>
      </c>
      <c r="K67" s="0" t="s">
        <v>66</v>
      </c>
    </row>
    <row r="68" customFormat="false" ht="15" hidden="false" customHeight="false" outlineLevel="0" collapsed="false">
      <c r="A68" s="0" t="s">
        <v>240</v>
      </c>
      <c r="B68" s="0" t="s">
        <v>241</v>
      </c>
      <c r="C68" s="0" t="n">
        <v>20.907</v>
      </c>
      <c r="D68" s="0" t="n">
        <v>14.358</v>
      </c>
      <c r="E68" s="0" t="n">
        <v>1</v>
      </c>
      <c r="F68" s="0" t="s">
        <v>95</v>
      </c>
      <c r="G68" s="0" t="n">
        <v>16</v>
      </c>
      <c r="H68" s="0" t="n">
        <v>314.1</v>
      </c>
      <c r="I68" s="0" t="s">
        <v>242</v>
      </c>
      <c r="J68" s="0" t="s">
        <v>227</v>
      </c>
      <c r="K68" s="0" t="s">
        <v>66</v>
      </c>
    </row>
    <row r="69" customFormat="false" ht="15" hidden="false" customHeight="false" outlineLevel="0" collapsed="false">
      <c r="A69" s="5" t="s">
        <v>243</v>
      </c>
    </row>
    <row r="70" customFormat="false" ht="15" hidden="false" customHeight="false" outlineLevel="0" collapsed="false">
      <c r="A70" s="0" t="s">
        <v>244</v>
      </c>
      <c r="B70" s="0" t="s">
        <v>245</v>
      </c>
      <c r="C70" s="0" t="n">
        <v>16.333</v>
      </c>
      <c r="D70" s="0" t="n">
        <v>4.292</v>
      </c>
      <c r="E70" s="0" t="n">
        <v>0</v>
      </c>
      <c r="F70" s="0" t="s">
        <v>95</v>
      </c>
      <c r="G70" s="0" t="n">
        <v>16</v>
      </c>
      <c r="H70" s="0" t="n">
        <v>0</v>
      </c>
      <c r="I70" s="0" t="s">
        <v>246</v>
      </c>
      <c r="J70" s="0" t="s">
        <v>247</v>
      </c>
      <c r="K70" s="0" t="s">
        <v>66</v>
      </c>
    </row>
    <row r="71" customFormat="false" ht="15" hidden="false" customHeight="false" outlineLevel="0" collapsed="false">
      <c r="A71" s="0" t="s">
        <v>248</v>
      </c>
      <c r="B71" s="0" t="s">
        <v>249</v>
      </c>
      <c r="C71" s="0" t="n">
        <v>29.007</v>
      </c>
      <c r="D71" s="0" t="n">
        <v>4.292</v>
      </c>
      <c r="E71" s="0" t="n">
        <v>0</v>
      </c>
      <c r="F71" s="0" t="s">
        <v>95</v>
      </c>
      <c r="G71" s="0" t="n">
        <v>16</v>
      </c>
      <c r="H71" s="0" t="n">
        <v>0</v>
      </c>
      <c r="I71" s="0" t="s">
        <v>250</v>
      </c>
      <c r="J71" s="0" t="s">
        <v>247</v>
      </c>
      <c r="K71" s="0" t="s">
        <v>66</v>
      </c>
    </row>
    <row r="72" customFormat="false" ht="15" hidden="false" customHeight="false" outlineLevel="0" collapsed="false">
      <c r="A72" s="0" t="s">
        <v>251</v>
      </c>
      <c r="B72" s="0" t="s">
        <v>252</v>
      </c>
      <c r="C72" s="0" t="n">
        <v>3.86</v>
      </c>
      <c r="D72" s="0" t="n">
        <v>4.292</v>
      </c>
      <c r="E72" s="0" t="n">
        <v>0</v>
      </c>
      <c r="F72" s="0" t="s">
        <v>95</v>
      </c>
      <c r="G72" s="0" t="n">
        <v>16</v>
      </c>
      <c r="H72" s="0" t="n">
        <v>0</v>
      </c>
      <c r="I72" s="0" t="s">
        <v>253</v>
      </c>
      <c r="J72" s="0" t="s">
        <v>247</v>
      </c>
      <c r="K72" s="0" t="s">
        <v>66</v>
      </c>
    </row>
    <row r="73" customFormat="false" ht="15" hidden="false" customHeight="false" outlineLevel="0" collapsed="false">
      <c r="A73" s="0" t="s">
        <v>254</v>
      </c>
      <c r="B73" s="0" t="s">
        <v>255</v>
      </c>
      <c r="C73" s="0" t="n">
        <v>3.93</v>
      </c>
      <c r="D73" s="0" t="n">
        <v>4.292</v>
      </c>
      <c r="E73" s="0" t="n">
        <v>0</v>
      </c>
      <c r="F73" s="0" t="s">
        <v>95</v>
      </c>
      <c r="G73" s="0" t="n">
        <v>16</v>
      </c>
      <c r="H73" s="0" t="n">
        <v>0</v>
      </c>
      <c r="I73" s="0" t="s">
        <v>256</v>
      </c>
      <c r="J73" s="0" t="s">
        <v>247</v>
      </c>
      <c r="K73" s="0" t="s">
        <v>66</v>
      </c>
    </row>
    <row r="74" customFormat="false" ht="15" hidden="false" customHeight="false" outlineLevel="0" collapsed="false">
      <c r="A74" s="0" t="s">
        <v>257</v>
      </c>
      <c r="B74" s="0" t="s">
        <v>258</v>
      </c>
      <c r="C74" s="0" t="n">
        <v>39.86</v>
      </c>
      <c r="D74" s="0" t="n">
        <v>2.042</v>
      </c>
      <c r="E74" s="0" t="n">
        <v>0</v>
      </c>
      <c r="F74" s="0" t="s">
        <v>95</v>
      </c>
      <c r="G74" s="0" t="n">
        <v>16</v>
      </c>
      <c r="H74" s="0" t="n">
        <v>0</v>
      </c>
      <c r="I74" s="0" t="s">
        <v>259</v>
      </c>
      <c r="J74" s="0" t="s">
        <v>247</v>
      </c>
      <c r="K74" s="0" t="s">
        <v>66</v>
      </c>
    </row>
    <row r="75" customFormat="false" ht="15" hidden="false" customHeight="false" outlineLevel="0" collapsed="false">
      <c r="A75" s="0" t="s">
        <v>260</v>
      </c>
      <c r="B75" s="0" t="s">
        <v>261</v>
      </c>
      <c r="C75" s="0" t="n">
        <v>75.94</v>
      </c>
      <c r="D75" s="0" t="n">
        <v>2.897</v>
      </c>
      <c r="E75" s="0" t="n">
        <v>0</v>
      </c>
      <c r="F75" s="0" t="s">
        <v>95</v>
      </c>
      <c r="G75" s="0" t="n">
        <v>16</v>
      </c>
      <c r="H75" s="0" t="n">
        <v>0</v>
      </c>
      <c r="I75" s="0" t="s">
        <v>262</v>
      </c>
      <c r="J75" s="0" t="s">
        <v>247</v>
      </c>
      <c r="K75" s="0" t="s">
        <v>66</v>
      </c>
    </row>
    <row r="76" customFormat="false" ht="15" hidden="false" customHeight="false" outlineLevel="0" collapsed="false">
      <c r="A76" s="0" t="s">
        <v>263</v>
      </c>
      <c r="B76" s="0" t="s">
        <v>264</v>
      </c>
      <c r="C76" s="0" t="n">
        <v>52.333</v>
      </c>
      <c r="D76" s="0" t="n">
        <v>4.886</v>
      </c>
      <c r="E76" s="0" t="n">
        <v>0</v>
      </c>
      <c r="F76" s="0" t="s">
        <v>95</v>
      </c>
      <c r="G76" s="0" t="n">
        <v>16</v>
      </c>
      <c r="H76" s="0" t="n">
        <v>0</v>
      </c>
      <c r="I76" s="0" t="s">
        <v>265</v>
      </c>
      <c r="J76" s="0" t="s">
        <v>247</v>
      </c>
      <c r="K76" s="0" t="s">
        <v>66</v>
      </c>
    </row>
    <row r="77" customFormat="false" ht="15" hidden="false" customHeight="false" outlineLevel="0" collapsed="false">
      <c r="A77" s="0" t="s">
        <v>266</v>
      </c>
      <c r="B77" s="0" t="s">
        <v>267</v>
      </c>
      <c r="C77" s="0" t="n">
        <v>47.927</v>
      </c>
      <c r="D77" s="0" t="n">
        <v>3.396</v>
      </c>
      <c r="E77" s="0" t="n">
        <v>0</v>
      </c>
      <c r="F77" s="0" t="s">
        <v>95</v>
      </c>
      <c r="G77" s="0" t="n">
        <v>16</v>
      </c>
      <c r="H77" s="0" t="n">
        <v>0</v>
      </c>
      <c r="I77" s="0" t="s">
        <v>268</v>
      </c>
      <c r="J77" s="0" t="s">
        <v>247</v>
      </c>
      <c r="K77" s="0" t="s">
        <v>66</v>
      </c>
    </row>
    <row r="78" customFormat="false" ht="15" hidden="false" customHeight="false" outlineLevel="0" collapsed="false">
      <c r="A78" s="5" t="s">
        <v>269</v>
      </c>
    </row>
    <row r="79" customFormat="false" ht="15" hidden="false" customHeight="false" outlineLevel="0" collapsed="false">
      <c r="A79" s="0" t="s">
        <v>270</v>
      </c>
      <c r="B79" s="0" t="s">
        <v>271</v>
      </c>
      <c r="C79" s="0" t="n">
        <v>17.762</v>
      </c>
      <c r="D79" s="0" t="n">
        <v>15.375</v>
      </c>
      <c r="E79" s="0" t="n">
        <v>2</v>
      </c>
      <c r="F79" s="0" t="s">
        <v>63</v>
      </c>
      <c r="G79" s="0" t="n">
        <v>16</v>
      </c>
      <c r="H79" s="0" t="n">
        <v>325.38</v>
      </c>
      <c r="I79" s="0" t="s">
        <v>272</v>
      </c>
      <c r="J79" s="0" t="s">
        <v>273</v>
      </c>
      <c r="K79" s="0" t="s">
        <v>66</v>
      </c>
    </row>
    <row r="80" customFormat="false" ht="15" hidden="false" customHeight="false" outlineLevel="0" collapsed="false">
      <c r="A80" s="5" t="s">
        <v>274</v>
      </c>
    </row>
    <row r="81" customFormat="false" ht="15" hidden="false" customHeight="false" outlineLevel="0" collapsed="false">
      <c r="A81" s="0" t="s">
        <v>275</v>
      </c>
      <c r="B81" s="0" t="s">
        <v>276</v>
      </c>
      <c r="C81" s="0" t="n">
        <v>30</v>
      </c>
      <c r="D81" s="0" t="n">
        <v>6.262</v>
      </c>
      <c r="E81" s="0" t="n">
        <v>5</v>
      </c>
      <c r="F81" s="0" t="s">
        <v>183</v>
      </c>
      <c r="G81" s="0" t="n">
        <v>16</v>
      </c>
      <c r="H81" s="0" t="n">
        <v>766.8</v>
      </c>
      <c r="I81" s="0" t="s">
        <v>277</v>
      </c>
      <c r="J81" s="0" t="s">
        <v>278</v>
      </c>
      <c r="K81" s="0" t="s">
        <v>73</v>
      </c>
    </row>
    <row r="82" customFormat="false" ht="15" hidden="false" customHeight="false" outlineLevel="0" collapsed="false">
      <c r="A82" s="0" t="s">
        <v>279</v>
      </c>
      <c r="B82" s="0" t="s">
        <v>280</v>
      </c>
      <c r="C82" s="0" t="n">
        <v>15</v>
      </c>
      <c r="D82" s="0" t="n">
        <v>7.375</v>
      </c>
      <c r="E82" s="0" t="n">
        <v>5</v>
      </c>
      <c r="F82" s="0" t="s">
        <v>183</v>
      </c>
      <c r="G82" s="0" t="n">
        <v>16</v>
      </c>
      <c r="H82" s="0" t="n">
        <v>452.48</v>
      </c>
      <c r="I82" s="0" t="s">
        <v>281</v>
      </c>
      <c r="J82" s="0" t="s">
        <v>278</v>
      </c>
      <c r="K82" s="0" t="s">
        <v>73</v>
      </c>
    </row>
    <row r="83" customFormat="false" ht="15" hidden="false" customHeight="false" outlineLevel="0" collapsed="false">
      <c r="A83" s="5" t="s">
        <v>282</v>
      </c>
    </row>
    <row r="84" customFormat="false" ht="15" hidden="false" customHeight="false" outlineLevel="0" collapsed="false">
      <c r="A84" s="0" t="s">
        <v>283</v>
      </c>
      <c r="B84" s="0" t="s">
        <v>284</v>
      </c>
      <c r="C84" s="0" t="n">
        <v>5.667</v>
      </c>
      <c r="D84" s="0" t="n">
        <v>10.5</v>
      </c>
      <c r="E84" s="0" t="n">
        <v>0</v>
      </c>
      <c r="F84" s="0" t="s">
        <v>63</v>
      </c>
      <c r="G84" s="0" t="n">
        <v>16</v>
      </c>
      <c r="H84" s="0" t="n">
        <v>0</v>
      </c>
      <c r="I84" s="0" t="s">
        <v>285</v>
      </c>
      <c r="J84" s="0" t="s">
        <v>286</v>
      </c>
      <c r="K84" s="0" t="s">
        <v>66</v>
      </c>
    </row>
    <row r="85" customFormat="false" ht="15" hidden="false" customHeight="false" outlineLevel="0" collapsed="false">
      <c r="A85" s="0" t="s">
        <v>287</v>
      </c>
      <c r="B85" s="0" t="s">
        <v>288</v>
      </c>
      <c r="C85" s="0" t="n">
        <v>5.667</v>
      </c>
      <c r="D85" s="0" t="n">
        <v>10.5</v>
      </c>
      <c r="E85" s="0" t="n">
        <v>0</v>
      </c>
      <c r="F85" s="0" t="s">
        <v>63</v>
      </c>
      <c r="G85" s="0" t="n">
        <v>16</v>
      </c>
      <c r="H85" s="0" t="n">
        <v>0</v>
      </c>
      <c r="I85" s="0" t="s">
        <v>289</v>
      </c>
      <c r="J85" s="0" t="s">
        <v>286</v>
      </c>
      <c r="K85" s="0" t="s">
        <v>66</v>
      </c>
    </row>
    <row r="86" customFormat="false" ht="15" hidden="false" customHeight="false" outlineLevel="0" collapsed="false">
      <c r="A86" s="0" t="s">
        <v>290</v>
      </c>
      <c r="B86" s="0" t="s">
        <v>291</v>
      </c>
      <c r="C86" s="0" t="n">
        <v>5.667</v>
      </c>
      <c r="D86" s="0" t="n">
        <v>10.5</v>
      </c>
      <c r="E86" s="0" t="n">
        <v>0</v>
      </c>
      <c r="F86" s="0" t="s">
        <v>63</v>
      </c>
      <c r="G86" s="0" t="n">
        <v>16</v>
      </c>
      <c r="H86" s="0" t="n">
        <v>0</v>
      </c>
      <c r="I86" s="0" t="s">
        <v>292</v>
      </c>
      <c r="J86" s="0" t="s">
        <v>286</v>
      </c>
      <c r="K86" s="0" t="s">
        <v>66</v>
      </c>
    </row>
    <row r="87" customFormat="false" ht="15" hidden="false" customHeight="false" outlineLevel="0" collapsed="false">
      <c r="A87" s="0" t="s">
        <v>293</v>
      </c>
      <c r="B87" s="0" t="s">
        <v>294</v>
      </c>
      <c r="C87" s="0" t="n">
        <v>5.667</v>
      </c>
      <c r="D87" s="0" t="n">
        <v>10.5</v>
      </c>
      <c r="E87" s="0" t="n">
        <v>0</v>
      </c>
      <c r="F87" s="0" t="s">
        <v>63</v>
      </c>
      <c r="G87" s="0" t="n">
        <v>16</v>
      </c>
      <c r="H87" s="0" t="n">
        <v>0</v>
      </c>
      <c r="I87" s="0" t="s">
        <v>295</v>
      </c>
      <c r="J87" s="0" t="s">
        <v>286</v>
      </c>
      <c r="K87" s="0" t="s">
        <v>66</v>
      </c>
    </row>
    <row r="88" customFormat="false" ht="15" hidden="false" customHeight="false" outlineLevel="0" collapsed="false">
      <c r="B88" s="6" t="s">
        <v>296</v>
      </c>
      <c r="C88" s="4" t="n">
        <f aca="false">SUM(C5:C87)</f>
        <v>949.525</v>
      </c>
      <c r="H88" s="4" t="n">
        <f aca="false">SUM(H5:H87)</f>
        <v>15918.13</v>
      </c>
    </row>
    <row r="90" customFormat="false" ht="15" hidden="false" customHeight="false" outlineLevel="0" collapsed="false">
      <c r="A90" s="5" t="s">
        <v>297</v>
      </c>
    </row>
    <row r="91" customFormat="false" ht="15" hidden="false" customHeight="false" outlineLevel="0" collapsed="false">
      <c r="A91" s="0" t="s">
        <v>298</v>
      </c>
      <c r="B91" s="0" t="s">
        <v>299</v>
      </c>
      <c r="C91" s="0" t="n">
        <v>3.375</v>
      </c>
      <c r="D91" s="0" t="n">
        <v>14.358</v>
      </c>
      <c r="E91" s="0" t="n">
        <v>0</v>
      </c>
      <c r="F91" s="0" t="s">
        <v>95</v>
      </c>
      <c r="G91" s="0" t="n">
        <v>16</v>
      </c>
      <c r="H91" s="0" t="n">
        <v>0</v>
      </c>
      <c r="I91" s="0" t="s">
        <v>300</v>
      </c>
      <c r="J91" s="0" t="s">
        <v>301</v>
      </c>
      <c r="K91" s="0" t="s">
        <v>66</v>
      </c>
    </row>
    <row r="92" customFormat="false" ht="15" hidden="false" customHeight="false" outlineLevel="0" collapsed="false">
      <c r="A92" s="0" t="s">
        <v>302</v>
      </c>
      <c r="B92" s="0" t="s">
        <v>303</v>
      </c>
      <c r="C92" s="0" t="n">
        <v>2.896</v>
      </c>
      <c r="D92" s="0" t="n">
        <v>14.358</v>
      </c>
      <c r="E92" s="0" t="n">
        <v>0</v>
      </c>
      <c r="F92" s="0" t="s">
        <v>95</v>
      </c>
      <c r="G92" s="0" t="n">
        <v>16</v>
      </c>
      <c r="H92" s="0" t="n">
        <v>0</v>
      </c>
      <c r="I92" s="0" t="s">
        <v>304</v>
      </c>
      <c r="J92" s="0" t="s">
        <v>305</v>
      </c>
      <c r="K92" s="0" t="s">
        <v>66</v>
      </c>
    </row>
    <row r="93" customFormat="false" ht="15" hidden="false" customHeight="false" outlineLevel="0" collapsed="false">
      <c r="A93" s="0" t="s">
        <v>306</v>
      </c>
      <c r="B93" s="0" t="s">
        <v>307</v>
      </c>
      <c r="C93" s="0" t="n">
        <v>6.439</v>
      </c>
      <c r="D93" s="0" t="n">
        <v>7.375</v>
      </c>
      <c r="E93" s="0" t="n">
        <v>1</v>
      </c>
      <c r="F93" s="0" t="s">
        <v>63</v>
      </c>
      <c r="G93" s="0" t="n">
        <v>16</v>
      </c>
      <c r="H93" s="0" t="n">
        <v>9.66</v>
      </c>
      <c r="I93" s="0" t="s">
        <v>308</v>
      </c>
      <c r="J93" s="0" t="s">
        <v>309</v>
      </c>
      <c r="K93" s="0" t="s">
        <v>66</v>
      </c>
    </row>
    <row r="94" customFormat="false" ht="15" hidden="false" customHeight="false" outlineLevel="0" collapsed="false">
      <c r="A94" s="0" t="s">
        <v>310</v>
      </c>
      <c r="B94" s="0" t="s">
        <v>311</v>
      </c>
      <c r="C94" s="0" t="n">
        <v>5.572</v>
      </c>
      <c r="D94" s="0" t="n">
        <v>5.052</v>
      </c>
      <c r="E94" s="0" t="n">
        <v>1</v>
      </c>
      <c r="F94" s="0" t="s">
        <v>63</v>
      </c>
      <c r="G94" s="0" t="n">
        <v>16</v>
      </c>
      <c r="H94" s="0" t="n">
        <v>8.36</v>
      </c>
      <c r="I94" s="0" t="s">
        <v>308</v>
      </c>
      <c r="J94" s="0" t="s">
        <v>309</v>
      </c>
      <c r="K94" s="0" t="s">
        <v>66</v>
      </c>
    </row>
    <row r="95" customFormat="false" ht="15" hidden="false" customHeight="false" outlineLevel="0" collapsed="false">
      <c r="A95" s="0" t="s">
        <v>312</v>
      </c>
      <c r="B95" s="0" t="s">
        <v>313</v>
      </c>
      <c r="C95" s="0" t="n">
        <v>6.439</v>
      </c>
      <c r="D95" s="0" t="n">
        <v>7.375</v>
      </c>
      <c r="E95" s="0" t="n">
        <v>1</v>
      </c>
      <c r="F95" s="0" t="s">
        <v>63</v>
      </c>
      <c r="G95" s="0" t="n">
        <v>16</v>
      </c>
      <c r="H95" s="0" t="n">
        <v>9.66</v>
      </c>
      <c r="I95" s="0" t="s">
        <v>314</v>
      </c>
      <c r="J95" s="0" t="s">
        <v>309</v>
      </c>
      <c r="K95" s="0" t="s">
        <v>66</v>
      </c>
    </row>
    <row r="96" customFormat="false" ht="15" hidden="false" customHeight="false" outlineLevel="0" collapsed="false">
      <c r="A96" s="0" t="s">
        <v>315</v>
      </c>
      <c r="B96" s="0" t="s">
        <v>316</v>
      </c>
      <c r="C96" s="0" t="n">
        <v>5.572</v>
      </c>
      <c r="D96" s="0" t="n">
        <v>5.052</v>
      </c>
      <c r="E96" s="0" t="n">
        <v>1</v>
      </c>
      <c r="F96" s="0" t="s">
        <v>63</v>
      </c>
      <c r="G96" s="0" t="n">
        <v>16</v>
      </c>
      <c r="H96" s="0" t="n">
        <v>8.36</v>
      </c>
      <c r="I96" s="0" t="s">
        <v>314</v>
      </c>
      <c r="J96" s="0" t="s">
        <v>309</v>
      </c>
      <c r="K96" s="0" t="s">
        <v>66</v>
      </c>
    </row>
    <row r="97" customFormat="false" ht="15" hidden="false" customHeight="false" outlineLevel="0" collapsed="false">
      <c r="A97" s="0" t="s">
        <v>317</v>
      </c>
      <c r="B97" s="0" t="s">
        <v>318</v>
      </c>
      <c r="C97" s="0" t="n">
        <v>78.16</v>
      </c>
      <c r="D97" s="0" t="n">
        <v>1.865</v>
      </c>
      <c r="E97" s="0" t="n">
        <v>0</v>
      </c>
      <c r="F97" s="0" t="s">
        <v>63</v>
      </c>
      <c r="G97" s="0" t="n">
        <v>16</v>
      </c>
      <c r="H97" s="0" t="n">
        <v>0</v>
      </c>
      <c r="I97" s="0" t="s">
        <v>319</v>
      </c>
      <c r="J97" s="0" t="s">
        <v>320</v>
      </c>
      <c r="K97" s="0" t="s">
        <v>66</v>
      </c>
    </row>
    <row r="98" customFormat="false" ht="15" hidden="false" customHeight="false" outlineLevel="0" collapsed="false">
      <c r="A98" s="0" t="s">
        <v>321</v>
      </c>
      <c r="B98" s="0" t="s">
        <v>322</v>
      </c>
      <c r="C98" s="0" t="n">
        <v>55.473</v>
      </c>
      <c r="D98" s="0" t="n">
        <v>1.865</v>
      </c>
      <c r="E98" s="0" t="n">
        <v>0</v>
      </c>
      <c r="F98" s="0" t="s">
        <v>63</v>
      </c>
      <c r="G98" s="0" t="n">
        <v>16</v>
      </c>
      <c r="H98" s="0" t="n">
        <v>0</v>
      </c>
      <c r="I98" s="0" t="s">
        <v>323</v>
      </c>
      <c r="J98" s="0" t="s">
        <v>324</v>
      </c>
      <c r="K98" s="0" t="s">
        <v>66</v>
      </c>
    </row>
    <row r="99" customFormat="false" ht="15" hidden="false" customHeight="false" outlineLevel="0" collapsed="false">
      <c r="A99" s="0" t="s">
        <v>325</v>
      </c>
      <c r="B99" s="0" t="s">
        <v>326</v>
      </c>
      <c r="C99" s="0" t="n">
        <v>21.553</v>
      </c>
      <c r="D99" s="0" t="n">
        <v>1.865</v>
      </c>
      <c r="E99" s="0" t="n">
        <v>0</v>
      </c>
      <c r="F99" s="0" t="s">
        <v>63</v>
      </c>
      <c r="G99" s="0" t="n">
        <v>16</v>
      </c>
      <c r="H99" s="0" t="n">
        <v>0</v>
      </c>
      <c r="I99" s="0" t="s">
        <v>327</v>
      </c>
      <c r="J99" s="0" t="s">
        <v>324</v>
      </c>
      <c r="K99" s="0" t="s">
        <v>66</v>
      </c>
    </row>
    <row r="100" customFormat="false" ht="15" hidden="false" customHeight="false" outlineLevel="0" collapsed="false">
      <c r="A100" s="0" t="s">
        <v>328</v>
      </c>
      <c r="B100" s="0" t="s">
        <v>329</v>
      </c>
      <c r="C100" s="0" t="n">
        <v>51.533</v>
      </c>
      <c r="D100" s="0" t="n">
        <v>1.865</v>
      </c>
      <c r="E100" s="0" t="n">
        <v>0</v>
      </c>
      <c r="F100" s="0" t="s">
        <v>63</v>
      </c>
      <c r="G100" s="0" t="n">
        <v>16</v>
      </c>
      <c r="H100" s="0" t="n">
        <v>0</v>
      </c>
      <c r="I100" s="0" t="s">
        <v>330</v>
      </c>
      <c r="J100" s="0" t="s">
        <v>331</v>
      </c>
      <c r="K100" s="0" t="s">
        <v>66</v>
      </c>
    </row>
    <row r="101" customFormat="false" ht="15" hidden="false" customHeight="false" outlineLevel="0" collapsed="false">
      <c r="A101" s="0" t="s">
        <v>332</v>
      </c>
      <c r="B101" s="0" t="s">
        <v>333</v>
      </c>
      <c r="C101" s="0" t="n">
        <v>2.993</v>
      </c>
      <c r="D101" s="0" t="n">
        <v>1.865</v>
      </c>
      <c r="E101" s="0" t="n">
        <v>0</v>
      </c>
      <c r="F101" s="0" t="s">
        <v>63</v>
      </c>
      <c r="G101" s="0" t="n">
        <v>16</v>
      </c>
      <c r="H101" s="0" t="n">
        <v>0</v>
      </c>
      <c r="I101" s="0" t="s">
        <v>334</v>
      </c>
      <c r="J101" s="0" t="s">
        <v>331</v>
      </c>
      <c r="K101" s="0" t="s">
        <v>66</v>
      </c>
    </row>
    <row r="102" customFormat="false" ht="15" hidden="false" customHeight="false" outlineLevel="0" collapsed="false">
      <c r="A102" s="0" t="s">
        <v>335</v>
      </c>
      <c r="B102" s="0" t="s">
        <v>336</v>
      </c>
      <c r="C102" s="0" t="n">
        <v>23</v>
      </c>
      <c r="D102" s="0" t="n">
        <v>1.865</v>
      </c>
      <c r="E102" s="0" t="n">
        <v>0</v>
      </c>
      <c r="F102" s="0" t="s">
        <v>63</v>
      </c>
      <c r="G102" s="0" t="n">
        <v>16</v>
      </c>
      <c r="H102" s="0" t="n">
        <v>0</v>
      </c>
      <c r="I102" s="0" t="s">
        <v>337</v>
      </c>
      <c r="J102" s="0" t="s">
        <v>331</v>
      </c>
      <c r="K102" s="0" t="s">
        <v>66</v>
      </c>
    </row>
    <row r="103" customFormat="false" ht="15" hidden="false" customHeight="false" outlineLevel="0" collapsed="false">
      <c r="A103" s="0" t="s">
        <v>338</v>
      </c>
      <c r="B103" s="0" t="s">
        <v>339</v>
      </c>
      <c r="C103" s="0" t="n">
        <v>2.48</v>
      </c>
      <c r="D103" s="0" t="n">
        <v>1.865</v>
      </c>
      <c r="E103" s="0" t="n">
        <v>0</v>
      </c>
      <c r="F103" s="0" t="s">
        <v>63</v>
      </c>
      <c r="G103" s="0" t="n">
        <v>16</v>
      </c>
      <c r="H103" s="0" t="n">
        <v>0</v>
      </c>
      <c r="I103" s="0" t="s">
        <v>340</v>
      </c>
      <c r="J103" s="0" t="s">
        <v>331</v>
      </c>
      <c r="K103" s="0" t="s">
        <v>66</v>
      </c>
    </row>
    <row r="104" customFormat="false" ht="15" hidden="false" customHeight="false" outlineLevel="0" collapsed="false">
      <c r="A104" s="0" t="s">
        <v>341</v>
      </c>
      <c r="B104" s="0" t="s">
        <v>342</v>
      </c>
      <c r="C104" s="0" t="n">
        <v>2.48</v>
      </c>
      <c r="D104" s="0" t="n">
        <v>1.865</v>
      </c>
      <c r="E104" s="0" t="n">
        <v>0</v>
      </c>
      <c r="F104" s="0" t="s">
        <v>63</v>
      </c>
      <c r="G104" s="0" t="n">
        <v>16</v>
      </c>
      <c r="H104" s="0" t="n">
        <v>0</v>
      </c>
      <c r="I104" s="0" t="s">
        <v>343</v>
      </c>
      <c r="J104" s="0" t="s">
        <v>331</v>
      </c>
      <c r="K104" s="0" t="s">
        <v>66</v>
      </c>
    </row>
    <row r="105" customFormat="false" ht="15" hidden="false" customHeight="false" outlineLevel="0" collapsed="false">
      <c r="A105" s="0" t="s">
        <v>344</v>
      </c>
      <c r="B105" s="0" t="s">
        <v>345</v>
      </c>
      <c r="C105" s="0" t="n">
        <v>12.562</v>
      </c>
      <c r="D105" s="0" t="n">
        <v>4.983</v>
      </c>
      <c r="E105" s="0" t="n">
        <v>1</v>
      </c>
      <c r="F105" s="0" t="s">
        <v>95</v>
      </c>
      <c r="G105" s="0" t="n">
        <v>16</v>
      </c>
      <c r="H105" s="0" t="n">
        <v>86.37</v>
      </c>
      <c r="I105" s="0" t="s">
        <v>346</v>
      </c>
      <c r="J105" s="0" t="s">
        <v>347</v>
      </c>
      <c r="K105" s="0" t="s">
        <v>73</v>
      </c>
    </row>
    <row r="106" customFormat="false" ht="15" hidden="false" customHeight="false" outlineLevel="0" collapsed="false">
      <c r="A106" s="0" t="s">
        <v>348</v>
      </c>
      <c r="B106" s="0" t="s">
        <v>349</v>
      </c>
      <c r="C106" s="0" t="n">
        <v>26.25</v>
      </c>
      <c r="D106" s="0" t="n">
        <v>4.525</v>
      </c>
      <c r="E106" s="0" t="n">
        <v>1</v>
      </c>
      <c r="F106" s="0" t="s">
        <v>95</v>
      </c>
      <c r="G106" s="0" t="n">
        <v>16</v>
      </c>
      <c r="H106" s="0" t="n">
        <v>180.47</v>
      </c>
      <c r="I106" s="0" t="s">
        <v>350</v>
      </c>
      <c r="J106" s="0" t="s">
        <v>347</v>
      </c>
      <c r="K106" s="0" t="s">
        <v>73</v>
      </c>
    </row>
    <row r="107" customFormat="false" ht="15" hidden="false" customHeight="false" outlineLevel="0" collapsed="false">
      <c r="A107" s="0" t="s">
        <v>351</v>
      </c>
      <c r="B107" s="0" t="s">
        <v>352</v>
      </c>
      <c r="C107" s="0" t="n">
        <v>6.5</v>
      </c>
      <c r="D107" s="0" t="n">
        <v>4.983</v>
      </c>
      <c r="E107" s="0" t="n">
        <v>1</v>
      </c>
      <c r="F107" s="0" t="s">
        <v>95</v>
      </c>
      <c r="G107" s="0" t="n">
        <v>16</v>
      </c>
      <c r="H107" s="0" t="n">
        <v>44.69</v>
      </c>
      <c r="I107" s="0" t="s">
        <v>353</v>
      </c>
      <c r="J107" s="0" t="s">
        <v>347</v>
      </c>
      <c r="K107" s="0" t="s">
        <v>73</v>
      </c>
    </row>
    <row r="108" customFormat="false" ht="15" hidden="false" customHeight="false" outlineLevel="0" collapsed="false">
      <c r="A108" s="0" t="s">
        <v>354</v>
      </c>
      <c r="B108" s="0" t="s">
        <v>355</v>
      </c>
      <c r="C108" s="0" t="n">
        <v>15.646</v>
      </c>
      <c r="D108" s="0" t="n">
        <v>5.875</v>
      </c>
      <c r="E108" s="0" t="n">
        <v>2</v>
      </c>
      <c r="F108" s="0" t="s">
        <v>63</v>
      </c>
      <c r="G108" s="0" t="n">
        <v>16</v>
      </c>
      <c r="H108" s="0" t="n">
        <v>39.12</v>
      </c>
      <c r="I108" s="0" t="s">
        <v>356</v>
      </c>
      <c r="J108" s="0" t="s">
        <v>357</v>
      </c>
      <c r="K108" s="0" t="s">
        <v>66</v>
      </c>
    </row>
    <row r="109" customFormat="false" ht="15" hidden="false" customHeight="false" outlineLevel="0" collapsed="false">
      <c r="A109" s="0" t="s">
        <v>358</v>
      </c>
      <c r="B109" s="0" t="s">
        <v>359</v>
      </c>
      <c r="C109" s="0" t="n">
        <v>6.417</v>
      </c>
      <c r="D109" s="0" t="n">
        <v>4.883</v>
      </c>
      <c r="E109" s="0" t="n">
        <v>2</v>
      </c>
      <c r="F109" s="0" t="s">
        <v>63</v>
      </c>
      <c r="G109" s="0" t="n">
        <v>16</v>
      </c>
      <c r="H109" s="0" t="n">
        <v>25.67</v>
      </c>
      <c r="I109" s="0" t="s">
        <v>360</v>
      </c>
      <c r="J109" s="0" t="s">
        <v>361</v>
      </c>
      <c r="K109" s="0" t="s">
        <v>66</v>
      </c>
    </row>
    <row r="110" customFormat="false" ht="15" hidden="false" customHeight="false" outlineLevel="0" collapsed="false">
      <c r="A110" s="0" t="s">
        <v>362</v>
      </c>
      <c r="B110" s="0" t="s">
        <v>363</v>
      </c>
      <c r="C110" s="0" t="n">
        <v>13.333</v>
      </c>
      <c r="D110" s="0" t="n">
        <v>2</v>
      </c>
      <c r="E110" s="0" t="n">
        <v>1</v>
      </c>
      <c r="F110" s="0" t="s">
        <v>364</v>
      </c>
      <c r="G110" s="0" t="n">
        <v>16</v>
      </c>
      <c r="H110" s="0" t="n">
        <v>20</v>
      </c>
      <c r="I110" s="0" t="s">
        <v>365</v>
      </c>
      <c r="J110" s="0" t="s">
        <v>366</v>
      </c>
      <c r="K110" s="0" t="s">
        <v>73</v>
      </c>
    </row>
    <row r="111" customFormat="false" ht="15" hidden="false" customHeight="false" outlineLevel="0" collapsed="false">
      <c r="A111" s="0" t="s">
        <v>367</v>
      </c>
      <c r="B111" s="0" t="s">
        <v>368</v>
      </c>
      <c r="C111" s="0" t="n">
        <v>52.333</v>
      </c>
      <c r="D111" s="0" t="n">
        <v>3.46</v>
      </c>
      <c r="E111" s="0" t="n">
        <v>1</v>
      </c>
      <c r="F111" s="0" t="s">
        <v>63</v>
      </c>
      <c r="G111" s="0" t="n">
        <v>16</v>
      </c>
      <c r="H111" s="0" t="n">
        <v>181.08</v>
      </c>
      <c r="I111" s="0" t="s">
        <v>369</v>
      </c>
      <c r="J111" s="0" t="s">
        <v>370</v>
      </c>
      <c r="K111" s="0" t="s">
        <v>66</v>
      </c>
    </row>
    <row r="112" customFormat="false" ht="15" hidden="false" customHeight="false" outlineLevel="0" collapsed="false">
      <c r="A112" s="0" t="s">
        <v>371</v>
      </c>
      <c r="B112" s="0" t="s">
        <v>372</v>
      </c>
      <c r="C112" s="0" t="n">
        <v>52.333</v>
      </c>
      <c r="D112" s="0" t="n">
        <v>3.112</v>
      </c>
      <c r="E112" s="0" t="n">
        <v>0</v>
      </c>
      <c r="F112" s="0" t="s">
        <v>63</v>
      </c>
      <c r="G112" s="0" t="n">
        <v>16</v>
      </c>
      <c r="H112" s="0" t="n">
        <v>0</v>
      </c>
      <c r="I112" s="0" t="s">
        <v>369</v>
      </c>
      <c r="J112" s="0" t="s">
        <v>370</v>
      </c>
      <c r="K112" s="0" t="s">
        <v>66</v>
      </c>
    </row>
    <row r="113" customFormat="false" ht="15" hidden="false" customHeight="false" outlineLevel="0" collapsed="false">
      <c r="A113" s="0" t="s">
        <v>373</v>
      </c>
      <c r="B113" s="0" t="s">
        <v>374</v>
      </c>
      <c r="C113" s="0" t="n">
        <v>52.333</v>
      </c>
      <c r="D113" s="0" t="n">
        <v>1.131</v>
      </c>
      <c r="E113" s="0" t="n">
        <v>1</v>
      </c>
      <c r="F113" s="0" t="s">
        <v>63</v>
      </c>
      <c r="G113" s="0" t="n">
        <v>16</v>
      </c>
      <c r="H113" s="0" t="n">
        <v>59.17</v>
      </c>
      <c r="I113" s="0" t="s">
        <v>369</v>
      </c>
      <c r="J113" s="0" t="s">
        <v>370</v>
      </c>
      <c r="K113" s="0" t="s">
        <v>66</v>
      </c>
    </row>
    <row r="114" customFormat="false" ht="15" hidden="false" customHeight="false" outlineLevel="0" collapsed="false">
      <c r="A114" s="0" t="s">
        <v>375</v>
      </c>
      <c r="B114" s="0" t="s">
        <v>376</v>
      </c>
      <c r="C114" s="0" t="n">
        <v>77.028</v>
      </c>
      <c r="D114" s="0" t="n">
        <v>4.375</v>
      </c>
      <c r="E114" s="0" t="n">
        <v>3</v>
      </c>
      <c r="F114" s="0" t="s">
        <v>377</v>
      </c>
      <c r="G114" s="0" t="n">
        <v>16</v>
      </c>
      <c r="H114" s="0" t="n">
        <v>138.82</v>
      </c>
      <c r="I114" s="0" t="s">
        <v>378</v>
      </c>
      <c r="J114" s="0" t="s">
        <v>379</v>
      </c>
      <c r="K114" s="0" t="s">
        <v>66</v>
      </c>
    </row>
    <row r="115" customFormat="false" ht="15" hidden="false" customHeight="false" outlineLevel="0" collapsed="false">
      <c r="A115" s="0" t="s">
        <v>380</v>
      </c>
      <c r="B115" s="0" t="s">
        <v>381</v>
      </c>
      <c r="C115" s="0" t="n">
        <v>5.093</v>
      </c>
      <c r="D115" s="0" t="n">
        <v>6.375</v>
      </c>
      <c r="E115" s="0" t="n">
        <v>3</v>
      </c>
      <c r="F115" s="0" t="s">
        <v>377</v>
      </c>
      <c r="G115" s="0" t="n">
        <v>16</v>
      </c>
      <c r="H115" s="0" t="n">
        <v>19.37</v>
      </c>
      <c r="I115" s="0" t="s">
        <v>382</v>
      </c>
      <c r="J115" s="0" t="s">
        <v>379</v>
      </c>
      <c r="K115" s="0" t="s">
        <v>66</v>
      </c>
    </row>
    <row r="116" customFormat="false" ht="15" hidden="false" customHeight="false" outlineLevel="0" collapsed="false">
      <c r="A116" s="0" t="s">
        <v>383</v>
      </c>
      <c r="B116" s="0" t="s">
        <v>384</v>
      </c>
      <c r="C116" s="0" t="n">
        <v>8.683</v>
      </c>
      <c r="D116" s="0" t="n">
        <v>12.517</v>
      </c>
      <c r="E116" s="0" t="n">
        <v>1.83</v>
      </c>
      <c r="F116" s="0" t="s">
        <v>63</v>
      </c>
      <c r="G116" s="0" t="n">
        <v>16</v>
      </c>
      <c r="H116" s="0" t="n">
        <v>143.4</v>
      </c>
      <c r="I116" s="0" t="s">
        <v>385</v>
      </c>
      <c r="J116" s="0" t="s">
        <v>65</v>
      </c>
      <c r="K116" s="0" t="s">
        <v>66</v>
      </c>
    </row>
    <row r="117" customFormat="false" ht="15" hidden="false" customHeight="false" outlineLevel="0" collapsed="false">
      <c r="A117" s="0" t="s">
        <v>386</v>
      </c>
      <c r="B117" s="0" t="s">
        <v>387</v>
      </c>
      <c r="C117" s="0" t="n">
        <v>0.333</v>
      </c>
      <c r="D117" s="0" t="n">
        <v>15.375</v>
      </c>
      <c r="E117" s="0" t="n">
        <v>4</v>
      </c>
      <c r="F117" s="0" t="s">
        <v>183</v>
      </c>
      <c r="G117" s="0" t="n">
        <v>16</v>
      </c>
      <c r="H117" s="0" t="n">
        <v>20.5</v>
      </c>
      <c r="I117" s="0" t="s">
        <v>388</v>
      </c>
      <c r="J117" s="0" t="s">
        <v>185</v>
      </c>
      <c r="K117" s="0" t="s">
        <v>73</v>
      </c>
    </row>
    <row r="118" customFormat="false" ht="15" hidden="false" customHeight="false" outlineLevel="0" collapsed="false">
      <c r="A118" s="0" t="s">
        <v>389</v>
      </c>
      <c r="B118" s="0" t="s">
        <v>390</v>
      </c>
      <c r="C118" s="0" t="n">
        <v>0.333</v>
      </c>
      <c r="D118" s="0" t="n">
        <v>15.375</v>
      </c>
      <c r="E118" s="0" t="n">
        <v>4</v>
      </c>
      <c r="F118" s="0" t="s">
        <v>183</v>
      </c>
      <c r="G118" s="0" t="n">
        <v>16</v>
      </c>
      <c r="H118" s="0" t="n">
        <v>20.5</v>
      </c>
      <c r="I118" s="0" t="s">
        <v>391</v>
      </c>
      <c r="J118" s="0" t="s">
        <v>185</v>
      </c>
      <c r="K118" s="0"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3" min="2" style="0" width="10"/>
    <col collapsed="false" customWidth="true" hidden="false" outlineLevel="0" max="4" min="4" style="0" width="14"/>
    <col collapsed="false" customWidth="true" hidden="false" outlineLevel="0" max="6" min="5" style="0" width="10"/>
    <col collapsed="false" customWidth="true" hidden="false" outlineLevel="0" max="7" min="7" style="0" width="24"/>
    <col collapsed="false" customWidth="true" hidden="false" outlineLevel="0" max="8" min="8" style="0" width="30"/>
    <col collapsed="false" customWidth="true" hidden="false" outlineLevel="0" max="9" min="9" style="0" width="60"/>
    <col collapsed="false" customWidth="true" hidden="false" outlineLevel="0" max="10" min="10" style="0" width="28"/>
  </cols>
  <sheetData>
    <row r="1" customFormat="false" ht="16.15" hidden="false" customHeight="false" outlineLevel="0" collapsed="false">
      <c r="A1" s="1" t="s">
        <v>392</v>
      </c>
    </row>
    <row r="2" customFormat="false" ht="15" hidden="false" customHeight="false" outlineLevel="0" collapsed="false">
      <c r="A2" s="0" t="s">
        <v>393</v>
      </c>
    </row>
    <row r="3" customFormat="false" ht="15" hidden="false" customHeight="false" outlineLevel="0" collapsed="false">
      <c r="A3" s="2" t="s">
        <v>394</v>
      </c>
      <c r="B3" s="2" t="s">
        <v>395</v>
      </c>
      <c r="C3" s="2" t="s">
        <v>396</v>
      </c>
      <c r="D3" s="2" t="s">
        <v>397</v>
      </c>
      <c r="E3" s="2" t="s">
        <v>398</v>
      </c>
      <c r="F3" s="2" t="s">
        <v>399</v>
      </c>
      <c r="G3" s="2" t="s">
        <v>400</v>
      </c>
      <c r="H3" s="2" t="s">
        <v>401</v>
      </c>
      <c r="I3" s="2" t="s">
        <v>402</v>
      </c>
      <c r="J3" s="2" t="s">
        <v>403</v>
      </c>
    </row>
    <row r="4" customFormat="false" ht="15" hidden="false" customHeight="false" outlineLevel="0" collapsed="false">
      <c r="A4" s="0" t="s">
        <v>404</v>
      </c>
      <c r="B4" s="0" t="s">
        <v>405</v>
      </c>
      <c r="C4" s="0" t="n">
        <v>4477.11</v>
      </c>
      <c r="D4" s="0" t="n">
        <f aca="false">Inputs!$B$5</f>
        <v>0.15</v>
      </c>
      <c r="E4" s="0" t="n">
        <f aca="false">C4*D4</f>
        <v>671.5665</v>
      </c>
      <c r="F4" s="0" t="n">
        <f aca="false">C4+E4</f>
        <v>5148.6765</v>
      </c>
      <c r="G4" s="0" t="s">
        <v>406</v>
      </c>
      <c r="H4" s="0" t="n">
        <f aca="false">ROUNDUP(F4/Inputs!$B$10,0)</f>
        <v>258</v>
      </c>
      <c r="I4" s="0" t="s">
        <v>407</v>
      </c>
    </row>
    <row r="5" customFormat="false" ht="15" hidden="false" customHeight="false" outlineLevel="0" collapsed="false">
      <c r="A5" s="0" t="s">
        <v>408</v>
      </c>
      <c r="B5" s="0" t="s">
        <v>405</v>
      </c>
      <c r="C5" s="0" t="n">
        <v>6923.17</v>
      </c>
      <c r="D5" s="0" t="n">
        <f aca="false">Inputs!$B$5</f>
        <v>0.15</v>
      </c>
      <c r="E5" s="0" t="n">
        <f aca="false">C5*D5</f>
        <v>1038.4755</v>
      </c>
      <c r="F5" s="0" t="n">
        <f aca="false">C5+E5</f>
        <v>7961.6455</v>
      </c>
      <c r="G5" s="0" t="s">
        <v>406</v>
      </c>
      <c r="H5" s="0" t="n">
        <f aca="false">ROUNDUP(F5/Inputs!$B$10,0)</f>
        <v>399</v>
      </c>
      <c r="I5" s="0" t="s">
        <v>409</v>
      </c>
    </row>
    <row r="6" customFormat="false" ht="15" hidden="false" customHeight="false" outlineLevel="0" collapsed="false">
      <c r="A6" s="0" t="s">
        <v>410</v>
      </c>
      <c r="B6" s="0" t="s">
        <v>405</v>
      </c>
      <c r="C6" s="0" t="n">
        <v>4032.35</v>
      </c>
      <c r="D6" s="0" t="n">
        <f aca="false">Inputs!$B$5</f>
        <v>0.15</v>
      </c>
      <c r="E6" s="0" t="n">
        <f aca="false">C6*D6</f>
        <v>604.8525</v>
      </c>
      <c r="F6" s="0" t="n">
        <f aca="false">C6+E6</f>
        <v>4637.2025</v>
      </c>
      <c r="G6" s="0" t="s">
        <v>406</v>
      </c>
      <c r="H6" s="0" t="n">
        <f aca="false">ROUNDUP(F6/Inputs!$B$10,0)</f>
        <v>232</v>
      </c>
      <c r="I6" s="0" t="s">
        <v>411</v>
      </c>
    </row>
    <row r="7" customFormat="false" ht="15" hidden="false" customHeight="false" outlineLevel="0" collapsed="false">
      <c r="A7" s="0" t="s">
        <v>412</v>
      </c>
      <c r="B7" s="0" t="s">
        <v>405</v>
      </c>
      <c r="C7" s="0" t="n">
        <v>1000.82</v>
      </c>
      <c r="D7" s="0" t="n">
        <f aca="false">Inputs!$B$5</f>
        <v>0.15</v>
      </c>
      <c r="E7" s="0" t="n">
        <f aca="false">C7*D7</f>
        <v>150.123</v>
      </c>
      <c r="F7" s="0" t="n">
        <f aca="false">C7+E7</f>
        <v>1150.943</v>
      </c>
      <c r="G7" s="0" t="s">
        <v>406</v>
      </c>
      <c r="H7" s="0" t="n">
        <f aca="false">ROUNDUP(F7/Inputs!$B$10,0)</f>
        <v>58</v>
      </c>
      <c r="I7" s="0" t="s">
        <v>413</v>
      </c>
    </row>
    <row r="8" customFormat="false" ht="15" hidden="false" customHeight="false" outlineLevel="0" collapsed="false">
      <c r="A8" s="0" t="s">
        <v>414</v>
      </c>
      <c r="B8" s="0" t="s">
        <v>405</v>
      </c>
      <c r="C8" s="0" t="n">
        <v>1248.88</v>
      </c>
      <c r="D8" s="0" t="n">
        <f aca="false">Inputs!$B$5</f>
        <v>0.15</v>
      </c>
      <c r="E8" s="0" t="n">
        <f aca="false">C8*D8</f>
        <v>187.332</v>
      </c>
      <c r="F8" s="0" t="n">
        <f aca="false">C8+E8</f>
        <v>1436.212</v>
      </c>
      <c r="G8" s="0" t="s">
        <v>415</v>
      </c>
      <c r="H8" s="0" t="n">
        <f aca="false">ROUNDUP(F8/Inputs!$B$11,0)</f>
        <v>144</v>
      </c>
      <c r="I8" s="0" t="s">
        <v>416</v>
      </c>
    </row>
    <row r="9" customFormat="false" ht="15" hidden="false" customHeight="false" outlineLevel="0" collapsed="false">
      <c r="A9" s="0" t="s">
        <v>417</v>
      </c>
      <c r="B9" s="0" t="s">
        <v>405</v>
      </c>
      <c r="C9" s="0" t="n">
        <v>2496.38</v>
      </c>
      <c r="D9" s="0" t="n">
        <f aca="false">Inputs!$B$5</f>
        <v>0.15</v>
      </c>
      <c r="E9" s="0" t="n">
        <f aca="false">C9*D9</f>
        <v>374.457</v>
      </c>
      <c r="F9" s="0" t="n">
        <f aca="false">C9+E9</f>
        <v>2870.837</v>
      </c>
      <c r="G9" s="0" t="s">
        <v>418</v>
      </c>
      <c r="H9" s="0" t="n">
        <f aca="false">ROUNDUP(F9/Inputs!$B$16,0)</f>
        <v>180</v>
      </c>
      <c r="I9" s="0" t="s">
        <v>419</v>
      </c>
    </row>
    <row r="10" customFormat="false" ht="15" hidden="false" customHeight="false" outlineLevel="0" collapsed="false">
      <c r="A10" s="0" t="s">
        <v>420</v>
      </c>
      <c r="B10" s="0" t="s">
        <v>405</v>
      </c>
      <c r="C10" s="0" t="n">
        <v>225.91</v>
      </c>
      <c r="D10" s="0" t="n">
        <f aca="false">Inputs!$B$5</f>
        <v>0.15</v>
      </c>
      <c r="E10" s="0" t="n">
        <f aca="false">C10*D10</f>
        <v>33.8865</v>
      </c>
      <c r="F10" s="0" t="n">
        <f aca="false">C10+E10</f>
        <v>259.7965</v>
      </c>
      <c r="G10" s="0" t="s">
        <v>415</v>
      </c>
      <c r="H10" s="0" t="n">
        <f aca="false">ROUNDUP(F10/Inputs!$B$11,0)</f>
        <v>26</v>
      </c>
      <c r="I10" s="0" t="s">
        <v>421</v>
      </c>
    </row>
    <row r="11" customFormat="false" ht="15" hidden="false" customHeight="false" outlineLevel="0" collapsed="false">
      <c r="A11" s="0" t="s">
        <v>422</v>
      </c>
      <c r="B11" s="0" t="s">
        <v>405</v>
      </c>
      <c r="C11" s="0" t="n">
        <v>792.25</v>
      </c>
      <c r="D11" s="0" t="n">
        <f aca="false">Inputs!$B$5</f>
        <v>0.15</v>
      </c>
      <c r="E11" s="0" t="n">
        <f aca="false">C11*D11</f>
        <v>118.8375</v>
      </c>
      <c r="F11" s="0" t="n">
        <f aca="false">C11+E11</f>
        <v>911.0875</v>
      </c>
      <c r="G11" s="0" t="s">
        <v>406</v>
      </c>
      <c r="H11" s="0" t="n">
        <f aca="false">ROUNDUP(F11/Inputs!$B$10,0)</f>
        <v>46</v>
      </c>
      <c r="I11" s="0" t="s">
        <v>423</v>
      </c>
    </row>
    <row r="12" customFormat="false" ht="15" hidden="false" customHeight="false" outlineLevel="0" collapsed="false">
      <c r="A12" s="0" t="s">
        <v>424</v>
      </c>
      <c r="B12" s="0" t="s">
        <v>405</v>
      </c>
      <c r="C12" s="0" t="n">
        <v>119.12</v>
      </c>
      <c r="D12" s="0" t="n">
        <f aca="false">Inputs!$B$5</f>
        <v>0.15</v>
      </c>
      <c r="E12" s="0" t="n">
        <f aca="false">C12*D12</f>
        <v>17.868</v>
      </c>
      <c r="F12" s="0" t="n">
        <f aca="false">C12+E12</f>
        <v>136.988</v>
      </c>
      <c r="G12" s="0" t="s">
        <v>415</v>
      </c>
      <c r="H12" s="0" t="n">
        <f aca="false">ROUNDUP(F12/Inputs!$B$11,0)</f>
        <v>14</v>
      </c>
      <c r="I12" s="0" t="s">
        <v>425</v>
      </c>
    </row>
    <row r="13" customFormat="false" ht="15" hidden="false" customHeight="false" outlineLevel="0" collapsed="false">
      <c r="A13" s="0" t="s">
        <v>426</v>
      </c>
      <c r="B13" s="0" t="s">
        <v>405</v>
      </c>
      <c r="C13" s="0" t="n">
        <v>767.78</v>
      </c>
      <c r="D13" s="0" t="n">
        <f aca="false">Inputs!$B$5</f>
        <v>0.15</v>
      </c>
      <c r="E13" s="0" t="n">
        <f aca="false">C13*D13</f>
        <v>115.167</v>
      </c>
      <c r="F13" s="0" t="n">
        <f aca="false">C13+E13</f>
        <v>882.947</v>
      </c>
      <c r="G13" s="0" t="s">
        <v>427</v>
      </c>
      <c r="H13" s="0" t="n">
        <f aca="false">ROUNDUP(F13/Inputs!$B$17,0)</f>
        <v>74</v>
      </c>
      <c r="I13" s="0" t="s">
        <v>428</v>
      </c>
    </row>
    <row r="14" customFormat="false" ht="15" hidden="false" customHeight="false" outlineLevel="0" collapsed="false">
      <c r="A14" s="0" t="s">
        <v>429</v>
      </c>
      <c r="B14" s="0" t="s">
        <v>405</v>
      </c>
      <c r="C14" s="0" t="n">
        <v>322.22</v>
      </c>
      <c r="D14" s="0" t="n">
        <f aca="false">Inputs!$B$5</f>
        <v>0.15</v>
      </c>
      <c r="E14" s="0" t="n">
        <f aca="false">C14*D14</f>
        <v>48.333</v>
      </c>
      <c r="F14" s="0" t="n">
        <f aca="false">C14+E14</f>
        <v>370.553</v>
      </c>
      <c r="G14" s="0" t="s">
        <v>418</v>
      </c>
      <c r="H14" s="0" t="n">
        <f aca="false">ROUNDUP(F14/Inputs!$B$16,0)</f>
        <v>24</v>
      </c>
      <c r="I14" s="0" t="s">
        <v>430</v>
      </c>
    </row>
    <row r="15" customFormat="false" ht="15" hidden="false" customHeight="false" outlineLevel="0" collapsed="false">
      <c r="A15" s="0" t="s">
        <v>431</v>
      </c>
      <c r="B15" s="0" t="s">
        <v>405</v>
      </c>
      <c r="C15" s="0" t="n">
        <v>533.63</v>
      </c>
      <c r="D15" s="0" t="n">
        <f aca="false">Inputs!$B$5</f>
        <v>0.15</v>
      </c>
      <c r="E15" s="0" t="n">
        <f aca="false">C15*D15</f>
        <v>80.0445</v>
      </c>
      <c r="F15" s="0" t="n">
        <f aca="false">C15+E15</f>
        <v>613.6745</v>
      </c>
      <c r="G15" s="0" t="s">
        <v>33</v>
      </c>
      <c r="H15" s="0" t="n">
        <f aca="false">ROUNDUP(F15,0)</f>
        <v>614</v>
      </c>
      <c r="I15" s="0" t="s">
        <v>432</v>
      </c>
    </row>
    <row r="16" customFormat="false" ht="15" hidden="false" customHeight="false" outlineLevel="0" collapsed="false">
      <c r="A16" s="0" t="s">
        <v>433</v>
      </c>
      <c r="B16" s="0" t="s">
        <v>434</v>
      </c>
      <c r="C16" s="0" t="n">
        <v>113</v>
      </c>
      <c r="D16" s="0" t="n">
        <v>0</v>
      </c>
      <c r="E16" s="0" t="n">
        <f aca="false">C16*D16</f>
        <v>0</v>
      </c>
      <c r="F16" s="0" t="n">
        <f aca="false">C16+E16</f>
        <v>113</v>
      </c>
      <c r="G16" s="0" t="s">
        <v>435</v>
      </c>
      <c r="H16" s="0" t="n">
        <f aca="false">ROUNDUP(F16,0)</f>
        <v>113</v>
      </c>
      <c r="I16" s="0" t="s">
        <v>436</v>
      </c>
    </row>
    <row r="17" customFormat="false" ht="15" hidden="false" customHeight="false" outlineLevel="0" collapsed="false">
      <c r="A17" s="0" t="s">
        <v>437</v>
      </c>
      <c r="B17" s="0" t="s">
        <v>405</v>
      </c>
      <c r="C17" s="0" t="n">
        <v>949.09</v>
      </c>
      <c r="D17" s="0" t="n">
        <f aca="false">Inputs!$B$5</f>
        <v>0.15</v>
      </c>
      <c r="E17" s="0" t="n">
        <f aca="false">C17*D17</f>
        <v>142.3635</v>
      </c>
      <c r="F17" s="0" t="n">
        <f aca="false">C17+E17</f>
        <v>1091.4535</v>
      </c>
      <c r="G17" s="0" t="s">
        <v>406</v>
      </c>
      <c r="H17" s="0" t="n">
        <f aca="false">ROUNDUP(F17/Inputs!$B$10,0)</f>
        <v>55</v>
      </c>
      <c r="I17" s="0" t="s">
        <v>438</v>
      </c>
    </row>
    <row r="18" customFormat="false" ht="15" hidden="false" customHeight="false" outlineLevel="0" collapsed="false">
      <c r="A18" s="0" t="s">
        <v>439</v>
      </c>
      <c r="B18" s="0" t="s">
        <v>440</v>
      </c>
      <c r="C18" s="0" t="n">
        <v>17643</v>
      </c>
      <c r="D18" s="0" t="n">
        <f aca="false">Inputs!$B$6</f>
        <v>0.06</v>
      </c>
      <c r="E18" s="0" t="n">
        <f aca="false">C18*D18</f>
        <v>1058.58</v>
      </c>
      <c r="F18" s="0" t="n">
        <f aca="false">C18+E18</f>
        <v>18701.58</v>
      </c>
      <c r="G18" s="0" t="s">
        <v>441</v>
      </c>
      <c r="H18" s="0" t="n">
        <f aca="false">ROUNDUP(F18/Inputs!$B$9,0)</f>
        <v>390</v>
      </c>
      <c r="I18" s="0" t="s">
        <v>442</v>
      </c>
    </row>
    <row r="19" customFormat="false" ht="15" hidden="false" customHeight="false" outlineLevel="0" collapsed="false">
      <c r="A19" s="0" t="s">
        <v>443</v>
      </c>
      <c r="B19" s="0" t="s">
        <v>440</v>
      </c>
      <c r="C19" s="0" t="n">
        <v>261.74</v>
      </c>
      <c r="D19" s="0" t="n">
        <f aca="false">Inputs!$B$6</f>
        <v>0.06</v>
      </c>
      <c r="E19" s="0" t="n">
        <f aca="false">C19*D19</f>
        <v>15.7044</v>
      </c>
      <c r="F19" s="0" t="n">
        <f aca="false">C19+E19</f>
        <v>277.4444</v>
      </c>
      <c r="G19" s="0" t="s">
        <v>441</v>
      </c>
      <c r="H19" s="0" t="n">
        <f aca="false">ROUNDUP(F19/Inputs!$B$9,0)</f>
        <v>6</v>
      </c>
      <c r="I19" s="0" t="s">
        <v>444</v>
      </c>
    </row>
    <row r="20" customFormat="false" ht="15" hidden="false" customHeight="false" outlineLevel="0" collapsed="false">
      <c r="A20" s="0" t="s">
        <v>445</v>
      </c>
      <c r="B20" s="0" t="s">
        <v>440</v>
      </c>
      <c r="C20" s="0" t="n">
        <v>959.65</v>
      </c>
      <c r="D20" s="0" t="n">
        <f aca="false">Inputs!$B$6</f>
        <v>0.06</v>
      </c>
      <c r="E20" s="0" t="n">
        <f aca="false">C20*D20</f>
        <v>57.579</v>
      </c>
      <c r="F20" s="0" t="n">
        <f aca="false">C20+E20</f>
        <v>1017.229</v>
      </c>
      <c r="G20" s="0" t="s">
        <v>446</v>
      </c>
      <c r="H20" s="0" t="n">
        <f aca="false">ROUNDUP(F20/32,0)</f>
        <v>32</v>
      </c>
      <c r="I20" s="0" t="s">
        <v>447</v>
      </c>
    </row>
    <row r="21" customFormat="false" ht="15" hidden="false" customHeight="false" outlineLevel="0" collapsed="false">
      <c r="A21" s="0" t="s">
        <v>448</v>
      </c>
      <c r="B21" s="0" t="s">
        <v>440</v>
      </c>
      <c r="C21" s="0" t="n">
        <v>480.38</v>
      </c>
      <c r="D21" s="0" t="n">
        <f aca="false">Inputs!$B$6</f>
        <v>0.06</v>
      </c>
      <c r="E21" s="0" t="n">
        <f aca="false">C21*D21</f>
        <v>28.8228</v>
      </c>
      <c r="F21" s="0" t="n">
        <f aca="false">C21+E21</f>
        <v>509.2028</v>
      </c>
      <c r="G21" s="0" t="s">
        <v>446</v>
      </c>
      <c r="H21" s="0" t="n">
        <f aca="false">ROUNDUP(F21/32,0)</f>
        <v>16</v>
      </c>
      <c r="I21" s="0" t="s">
        <v>449</v>
      </c>
    </row>
    <row r="22" customFormat="false" ht="15" hidden="false" customHeight="false" outlineLevel="0" collapsed="false">
      <c r="A22" s="0" t="s">
        <v>450</v>
      </c>
      <c r="B22" s="0" t="s">
        <v>440</v>
      </c>
      <c r="C22" s="0" t="n">
        <v>84.72</v>
      </c>
      <c r="D22" s="0" t="n">
        <f aca="false">Inputs!$B$6</f>
        <v>0.06</v>
      </c>
      <c r="E22" s="0" t="n">
        <f aca="false">C22*D22</f>
        <v>5.0832</v>
      </c>
      <c r="F22" s="0" t="n">
        <f aca="false">C22+E22</f>
        <v>89.8032</v>
      </c>
      <c r="G22" s="0" t="s">
        <v>446</v>
      </c>
      <c r="H22" s="0" t="n">
        <f aca="false">ROUNDUP(F22/32,0)</f>
        <v>3</v>
      </c>
      <c r="I22" s="0" t="s">
        <v>451</v>
      </c>
    </row>
    <row r="23" customFormat="false" ht="15" hidden="false" customHeight="false" outlineLevel="0" collapsed="false">
      <c r="A23" s="0" t="s">
        <v>452</v>
      </c>
      <c r="B23" s="0" t="s">
        <v>440</v>
      </c>
      <c r="C23" s="0" t="n">
        <v>65.9</v>
      </c>
      <c r="D23" s="0" t="n">
        <f aca="false">Inputs!$B$6</f>
        <v>0.06</v>
      </c>
      <c r="E23" s="0" t="n">
        <f aca="false">C23*D23</f>
        <v>3.954</v>
      </c>
      <c r="F23" s="0" t="n">
        <f aca="false">C23+E23</f>
        <v>69.854</v>
      </c>
      <c r="G23" s="0" t="s">
        <v>446</v>
      </c>
      <c r="H23" s="0" t="n">
        <f aca="false">ROUNDUP(F23/32,0)</f>
        <v>3</v>
      </c>
      <c r="I23" s="0" t="s">
        <v>453</v>
      </c>
    </row>
    <row r="24" customFormat="false" ht="15" hidden="false" customHeight="false" outlineLevel="0" collapsed="false">
      <c r="A24" s="0" t="s">
        <v>454</v>
      </c>
      <c r="B24" s="0" t="s">
        <v>440</v>
      </c>
      <c r="C24" s="0" t="n">
        <v>329.75</v>
      </c>
      <c r="D24" s="0" t="n">
        <f aca="false">Inputs!$B$6</f>
        <v>0.06</v>
      </c>
      <c r="E24" s="0" t="n">
        <f aca="false">C24*D24</f>
        <v>19.785</v>
      </c>
      <c r="F24" s="0" t="n">
        <f aca="false">C24+E24</f>
        <v>349.535</v>
      </c>
      <c r="G24" s="0" t="s">
        <v>446</v>
      </c>
      <c r="H24" s="0" t="n">
        <f aca="false">ROUNDUP(F24/32,0)</f>
        <v>11</v>
      </c>
      <c r="I24" s="0" t="s">
        <v>455</v>
      </c>
    </row>
    <row r="25" customFormat="false" ht="15" hidden="false" customHeight="false" outlineLevel="0" collapsed="false">
      <c r="A25" s="0" t="s">
        <v>456</v>
      </c>
      <c r="B25" s="0" t="s">
        <v>440</v>
      </c>
      <c r="C25" s="0" t="n">
        <v>31.38</v>
      </c>
      <c r="D25" s="0" t="n">
        <f aca="false">Inputs!$B$6</f>
        <v>0.06</v>
      </c>
      <c r="E25" s="0" t="n">
        <f aca="false">C25*D25</f>
        <v>1.8828</v>
      </c>
      <c r="F25" s="0" t="n">
        <f aca="false">C25+E25</f>
        <v>33.2628</v>
      </c>
      <c r="G25" s="0" t="s">
        <v>457</v>
      </c>
      <c r="H25" s="0" t="n">
        <f aca="false">ROUNDUP(F25/15,0)</f>
        <v>3</v>
      </c>
      <c r="I25" s="0" t="s">
        <v>458</v>
      </c>
    </row>
    <row r="26" customFormat="false" ht="15" hidden="false" customHeight="false" outlineLevel="0" collapsed="false">
      <c r="A26" s="0" t="s">
        <v>459</v>
      </c>
      <c r="B26" s="0" t="s">
        <v>405</v>
      </c>
      <c r="C26" s="0" t="n">
        <v>920.65</v>
      </c>
      <c r="D26" s="0" t="n">
        <f aca="false">Inputs!$B$6</f>
        <v>0.06</v>
      </c>
      <c r="E26" s="0" t="n">
        <f aca="false">C26*D26</f>
        <v>55.239</v>
      </c>
      <c r="F26" s="0" t="n">
        <f aca="false">C26+E26</f>
        <v>975.889</v>
      </c>
      <c r="G26" s="0" t="s">
        <v>460</v>
      </c>
      <c r="H26" s="0" t="n">
        <f aca="false">ROUNDUP(F26/8,0)</f>
        <v>122</v>
      </c>
      <c r="I26" s="0" t="s">
        <v>461</v>
      </c>
    </row>
    <row r="27" customFormat="false" ht="15" hidden="false" customHeight="false" outlineLevel="0" collapsed="false">
      <c r="A27" s="0" t="s">
        <v>462</v>
      </c>
      <c r="B27" s="0" t="s">
        <v>405</v>
      </c>
      <c r="C27" s="0" t="n">
        <v>582.42</v>
      </c>
      <c r="D27" s="0" t="n">
        <f aca="false">Inputs!$B$5</f>
        <v>0.15</v>
      </c>
      <c r="E27" s="0" t="n">
        <f aca="false">C27*D27</f>
        <v>87.363</v>
      </c>
      <c r="F27" s="0" t="n">
        <f aca="false">C27+E27</f>
        <v>669.783</v>
      </c>
      <c r="G27" s="0" t="s">
        <v>406</v>
      </c>
      <c r="H27" s="0" t="n">
        <f aca="false">ROUNDUP(F27/Inputs!$B$10,0)</f>
        <v>34</v>
      </c>
      <c r="I27" s="0" t="s">
        <v>463</v>
      </c>
    </row>
    <row r="28" customFormat="false" ht="15" hidden="false" customHeight="false" outlineLevel="0" collapsed="false">
      <c r="A28" s="0" t="s">
        <v>464</v>
      </c>
      <c r="B28" s="0" t="s">
        <v>405</v>
      </c>
      <c r="C28" s="0" t="n">
        <v>51.2</v>
      </c>
      <c r="D28" s="0" t="n">
        <f aca="false">Inputs!$B$5</f>
        <v>0.15</v>
      </c>
      <c r="E28" s="0" t="n">
        <f aca="false">C28*D28</f>
        <v>7.68</v>
      </c>
      <c r="F28" s="0" t="n">
        <f aca="false">C28+E28</f>
        <v>58.88</v>
      </c>
      <c r="G28" s="0" t="s">
        <v>406</v>
      </c>
      <c r="H28" s="0" t="n">
        <f aca="false">ROUNDUP(F28/Inputs!$B$10,0)</f>
        <v>3</v>
      </c>
      <c r="I28" s="0" t="s">
        <v>465</v>
      </c>
    </row>
    <row r="29" customFormat="false" ht="15" hidden="false" customHeight="false" outlineLevel="0" collapsed="false">
      <c r="A29" s="0" t="s">
        <v>466</v>
      </c>
      <c r="B29" s="0" t="s">
        <v>405</v>
      </c>
      <c r="C29" s="0" t="n">
        <v>1156.16</v>
      </c>
      <c r="D29" s="0" t="n">
        <f aca="false">Inputs!$B$5</f>
        <v>0.15</v>
      </c>
      <c r="E29" s="0" t="n">
        <f aca="false">C29*D29</f>
        <v>173.424</v>
      </c>
      <c r="F29" s="0" t="n">
        <f aca="false">C29+E29</f>
        <v>1329.584</v>
      </c>
      <c r="G29" s="0" t="s">
        <v>467</v>
      </c>
      <c r="H29" s="0" t="n">
        <f aca="false">ROUNDUP(F29/Inputs!$B$18,0)</f>
        <v>133</v>
      </c>
      <c r="I29" s="0" t="s">
        <v>468</v>
      </c>
    </row>
    <row r="30" customFormat="false" ht="15" hidden="false" customHeight="false" outlineLevel="0" collapsed="false">
      <c r="A30" s="0" t="s">
        <v>469</v>
      </c>
      <c r="B30" s="0" t="s">
        <v>405</v>
      </c>
      <c r="C30" s="0" t="n">
        <v>1102.95</v>
      </c>
      <c r="D30" s="0" t="n">
        <f aca="false">Inputs!$B$6</f>
        <v>0.06</v>
      </c>
      <c r="E30" s="0" t="n">
        <f aca="false">C30*D30</f>
        <v>66.177</v>
      </c>
      <c r="F30" s="0" t="n">
        <f aca="false">C30+E30</f>
        <v>1169.127</v>
      </c>
      <c r="G30" s="0" t="s">
        <v>470</v>
      </c>
      <c r="H30" s="0" t="n">
        <f aca="false">ROUNDUP(F30/Inputs!$B$15,0)</f>
        <v>47</v>
      </c>
      <c r="I30" s="0" t="s">
        <v>471</v>
      </c>
    </row>
    <row r="31" customFormat="false" ht="15" hidden="false" customHeight="false" outlineLevel="0" collapsed="false">
      <c r="A31" s="0" t="s">
        <v>472</v>
      </c>
      <c r="B31" s="0" t="s">
        <v>405</v>
      </c>
      <c r="C31" s="0" t="n">
        <v>216.98</v>
      </c>
      <c r="D31" s="0" t="n">
        <f aca="false">Inputs!$B$6</f>
        <v>0.06</v>
      </c>
      <c r="E31" s="0" t="n">
        <f aca="false">C31*D31</f>
        <v>13.0188</v>
      </c>
      <c r="F31" s="0" t="n">
        <f aca="false">C31+E31</f>
        <v>229.9988</v>
      </c>
      <c r="G31" s="0" t="s">
        <v>470</v>
      </c>
      <c r="H31" s="0" t="n">
        <f aca="false">ROUNDUP(F31/Inputs!$B$15,0)</f>
        <v>10</v>
      </c>
      <c r="I31" s="0" t="s">
        <v>473</v>
      </c>
    </row>
    <row r="32" customFormat="false" ht="15" hidden="false" customHeight="false" outlineLevel="0" collapsed="false">
      <c r="A32" s="0" t="s">
        <v>474</v>
      </c>
      <c r="B32" s="0" t="s">
        <v>405</v>
      </c>
      <c r="C32" s="0" t="n">
        <v>248.57</v>
      </c>
      <c r="D32" s="0" t="n">
        <f aca="false">Inputs!$B$5</f>
        <v>0.15</v>
      </c>
      <c r="E32" s="0" t="n">
        <f aca="false">C32*D32</f>
        <v>37.2855</v>
      </c>
      <c r="F32" s="0" t="n">
        <f aca="false">C32+E32</f>
        <v>285.8555</v>
      </c>
      <c r="G32" s="0" t="s">
        <v>415</v>
      </c>
      <c r="H32" s="0" t="n">
        <f aca="false">ROUNDUP(F32/Inputs!$B$11,0)</f>
        <v>29</v>
      </c>
      <c r="I32" s="0" t="s">
        <v>475</v>
      </c>
    </row>
    <row r="33" customFormat="false" ht="15" hidden="false" customHeight="false" outlineLevel="0" collapsed="false">
      <c r="A33" s="0" t="s">
        <v>476</v>
      </c>
      <c r="B33" s="0" t="s">
        <v>405</v>
      </c>
      <c r="C33" s="0" t="n">
        <v>346.83</v>
      </c>
      <c r="D33" s="0" t="n">
        <f aca="false">Inputs!$B$5</f>
        <v>0.15</v>
      </c>
      <c r="E33" s="0" t="n">
        <f aca="false">C33*D33</f>
        <v>52.0245</v>
      </c>
      <c r="F33" s="0" t="n">
        <f aca="false">C33+E33</f>
        <v>398.8545</v>
      </c>
      <c r="G33" s="0" t="s">
        <v>415</v>
      </c>
      <c r="H33" s="0" t="n">
        <f aca="false">ROUNDUP(F33/Inputs!$B$11,0)</f>
        <v>40</v>
      </c>
      <c r="I33" s="0" t="s">
        <v>475</v>
      </c>
    </row>
    <row r="34" customFormat="false" ht="15" hidden="false" customHeight="false" outlineLevel="0" collapsed="false">
      <c r="A34" s="0" t="s">
        <v>477</v>
      </c>
      <c r="B34" s="0" t="s">
        <v>405</v>
      </c>
      <c r="C34" s="0" t="n">
        <v>291.83</v>
      </c>
      <c r="D34" s="0" t="n">
        <f aca="false">Inputs!$B$5</f>
        <v>0.15</v>
      </c>
      <c r="E34" s="0" t="n">
        <f aca="false">C34*D34</f>
        <v>43.7745</v>
      </c>
      <c r="F34" s="0" t="n">
        <f aca="false">C34+E34</f>
        <v>335.6045</v>
      </c>
      <c r="G34" s="0" t="s">
        <v>415</v>
      </c>
      <c r="H34" s="0" t="n">
        <f aca="false">ROUNDUP(F34/Inputs!$B$11,0)</f>
        <v>34</v>
      </c>
      <c r="I34" s="0" t="s">
        <v>475</v>
      </c>
    </row>
    <row r="35" customFormat="false" ht="15" hidden="false" customHeight="false" outlineLevel="0" collapsed="false">
      <c r="A35" s="0" t="s">
        <v>478</v>
      </c>
      <c r="B35" s="0" t="s">
        <v>405</v>
      </c>
      <c r="C35" s="0" t="n">
        <v>269.19</v>
      </c>
      <c r="D35" s="0" t="n">
        <f aca="false">Inputs!$B$5</f>
        <v>0.15</v>
      </c>
      <c r="E35" s="0" t="n">
        <f aca="false">C35*D35</f>
        <v>40.3785</v>
      </c>
      <c r="F35" s="0" t="n">
        <f aca="false">C35+E35</f>
        <v>309.5685</v>
      </c>
      <c r="G35" s="0" t="s">
        <v>415</v>
      </c>
      <c r="H35" s="0" t="n">
        <f aca="false">ROUNDUP(F35/Inputs!$B$11,0)</f>
        <v>31</v>
      </c>
      <c r="I35" s="0" t="s">
        <v>475</v>
      </c>
    </row>
    <row r="36" customFormat="false" ht="15" hidden="false" customHeight="false" outlineLevel="0" collapsed="false">
      <c r="A36" s="0" t="s">
        <v>479</v>
      </c>
      <c r="B36" s="0" t="s">
        <v>405</v>
      </c>
      <c r="C36" s="0" t="n">
        <v>179.06</v>
      </c>
      <c r="D36" s="0" t="n">
        <f aca="false">Inputs!$B$5</f>
        <v>0.15</v>
      </c>
      <c r="E36" s="0" t="n">
        <f aca="false">C36*D36</f>
        <v>26.859</v>
      </c>
      <c r="F36" s="0" t="n">
        <f aca="false">C36+E36</f>
        <v>205.919</v>
      </c>
      <c r="G36" s="0" t="s">
        <v>415</v>
      </c>
      <c r="H36" s="0" t="n">
        <f aca="false">ROUNDUP(F36/Inputs!$B$11,0)</f>
        <v>21</v>
      </c>
      <c r="I36" s="0" t="s">
        <v>475</v>
      </c>
    </row>
    <row r="37" customFormat="false" ht="15" hidden="false" customHeight="false" outlineLevel="0" collapsed="false">
      <c r="A37" s="0" t="s">
        <v>480</v>
      </c>
      <c r="B37" s="0" t="s">
        <v>405</v>
      </c>
      <c r="C37" s="0" t="n">
        <v>13.33</v>
      </c>
      <c r="D37" s="0" t="n">
        <f aca="false">Inputs!$B$5</f>
        <v>0.15</v>
      </c>
      <c r="E37" s="0" t="n">
        <f aca="false">C37*D37</f>
        <v>1.9995</v>
      </c>
      <c r="F37" s="0" t="n">
        <f aca="false">C37+E37</f>
        <v>15.3295</v>
      </c>
      <c r="G37" s="0" t="s">
        <v>415</v>
      </c>
      <c r="H37" s="0" t="n">
        <f aca="false">ROUNDUP(F37/Inputs!$B$11,0)</f>
        <v>2</v>
      </c>
      <c r="I37" s="0" t="s">
        <v>475</v>
      </c>
    </row>
    <row r="38" customFormat="false" ht="15" hidden="false" customHeight="false" outlineLevel="0" collapsed="false">
      <c r="A38" s="0" t="s">
        <v>481</v>
      </c>
      <c r="B38" s="0" t="s">
        <v>405</v>
      </c>
      <c r="C38" s="0" t="n">
        <v>248.57</v>
      </c>
      <c r="D38" s="0" t="n">
        <f aca="false">Inputs!$B$5</f>
        <v>0.15</v>
      </c>
      <c r="E38" s="0" t="n">
        <f aca="false">C38*D38</f>
        <v>37.2855</v>
      </c>
      <c r="F38" s="0" t="n">
        <f aca="false">C38+E38</f>
        <v>285.8555</v>
      </c>
      <c r="G38" s="0" t="s">
        <v>415</v>
      </c>
      <c r="H38" s="0" t="n">
        <f aca="false">ROUNDUP(F38/Inputs!$B$11,0)</f>
        <v>29</v>
      </c>
      <c r="I38" s="0" t="s">
        <v>482</v>
      </c>
    </row>
    <row r="39" customFormat="false" ht="15" hidden="false" customHeight="false" outlineLevel="0" collapsed="false">
      <c r="A39" s="0" t="s">
        <v>483</v>
      </c>
      <c r="B39" s="0" t="s">
        <v>405</v>
      </c>
      <c r="C39" s="0" t="n">
        <v>346.83</v>
      </c>
      <c r="D39" s="0" t="n">
        <f aca="false">Inputs!$B$5</f>
        <v>0.15</v>
      </c>
      <c r="E39" s="0" t="n">
        <f aca="false">C39*D39</f>
        <v>52.0245</v>
      </c>
      <c r="F39" s="0" t="n">
        <f aca="false">C39+E39</f>
        <v>398.8545</v>
      </c>
      <c r="G39" s="0" t="s">
        <v>415</v>
      </c>
      <c r="H39" s="0" t="n">
        <f aca="false">ROUNDUP(F39/Inputs!$B$11,0)</f>
        <v>40</v>
      </c>
      <c r="I39" s="0" t="s">
        <v>482</v>
      </c>
    </row>
    <row r="40" customFormat="false" ht="15" hidden="false" customHeight="false" outlineLevel="0" collapsed="false">
      <c r="A40" s="0" t="s">
        <v>484</v>
      </c>
      <c r="B40" s="0" t="s">
        <v>405</v>
      </c>
      <c r="C40" s="0" t="n">
        <v>291.83</v>
      </c>
      <c r="D40" s="0" t="n">
        <f aca="false">Inputs!$B$5</f>
        <v>0.15</v>
      </c>
      <c r="E40" s="0" t="n">
        <f aca="false">C40*D40</f>
        <v>43.7745</v>
      </c>
      <c r="F40" s="0" t="n">
        <f aca="false">C40+E40</f>
        <v>335.6045</v>
      </c>
      <c r="G40" s="0" t="s">
        <v>415</v>
      </c>
      <c r="H40" s="0" t="n">
        <f aca="false">ROUNDUP(F40/Inputs!$B$11,0)</f>
        <v>34</v>
      </c>
      <c r="I40" s="0" t="s">
        <v>482</v>
      </c>
    </row>
    <row r="41" customFormat="false" ht="15" hidden="false" customHeight="false" outlineLevel="0" collapsed="false">
      <c r="A41" s="0" t="s">
        <v>485</v>
      </c>
      <c r="B41" s="0" t="s">
        <v>405</v>
      </c>
      <c r="C41" s="0" t="n">
        <v>269.19</v>
      </c>
      <c r="D41" s="0" t="n">
        <f aca="false">Inputs!$B$5</f>
        <v>0.15</v>
      </c>
      <c r="E41" s="0" t="n">
        <f aca="false">C41*D41</f>
        <v>40.3785</v>
      </c>
      <c r="F41" s="0" t="n">
        <f aca="false">C41+E41</f>
        <v>309.5685</v>
      </c>
      <c r="G41" s="0" t="s">
        <v>415</v>
      </c>
      <c r="H41" s="0" t="n">
        <f aca="false">ROUNDUP(F41/Inputs!$B$11,0)</f>
        <v>31</v>
      </c>
      <c r="I41" s="0" t="s">
        <v>482</v>
      </c>
    </row>
    <row r="42" customFormat="false" ht="15" hidden="false" customHeight="false" outlineLevel="0" collapsed="false">
      <c r="A42" s="0" t="s">
        <v>486</v>
      </c>
      <c r="B42" s="0" t="s">
        <v>405</v>
      </c>
      <c r="C42" s="0" t="n">
        <v>179.06</v>
      </c>
      <c r="D42" s="0" t="n">
        <f aca="false">Inputs!$B$5</f>
        <v>0.15</v>
      </c>
      <c r="E42" s="0" t="n">
        <f aca="false">C42*D42</f>
        <v>26.859</v>
      </c>
      <c r="F42" s="0" t="n">
        <f aca="false">C42+E42</f>
        <v>205.919</v>
      </c>
      <c r="G42" s="0" t="s">
        <v>415</v>
      </c>
      <c r="H42" s="0" t="n">
        <f aca="false">ROUNDUP(F42/Inputs!$B$11,0)</f>
        <v>21</v>
      </c>
      <c r="I42" s="0" t="s">
        <v>482</v>
      </c>
    </row>
    <row r="43" customFormat="false" ht="15" hidden="false" customHeight="false" outlineLevel="0" collapsed="false">
      <c r="A43" s="0" t="s">
        <v>487</v>
      </c>
      <c r="B43" s="0" t="s">
        <v>405</v>
      </c>
      <c r="C43" s="0" t="n">
        <v>13.33</v>
      </c>
      <c r="D43" s="0" t="n">
        <f aca="false">Inputs!$B$5</f>
        <v>0.15</v>
      </c>
      <c r="E43" s="0" t="n">
        <f aca="false">C43*D43</f>
        <v>1.9995</v>
      </c>
      <c r="F43" s="0" t="n">
        <f aca="false">C43+E43</f>
        <v>15.3295</v>
      </c>
      <c r="G43" s="0" t="s">
        <v>415</v>
      </c>
      <c r="H43" s="0" t="n">
        <f aca="false">ROUNDUP(F43/Inputs!$B$11,0)</f>
        <v>2</v>
      </c>
      <c r="I43" s="0" t="s">
        <v>482</v>
      </c>
    </row>
    <row r="44" customFormat="false" ht="15" hidden="false" customHeight="false" outlineLevel="0" collapsed="false">
      <c r="A44" s="0" t="s">
        <v>488</v>
      </c>
      <c r="B44" s="0" t="s">
        <v>440</v>
      </c>
      <c r="C44" s="0" t="n">
        <v>1946.79</v>
      </c>
      <c r="D44" s="0" t="n">
        <f aca="false">Inputs!$B$6</f>
        <v>0.06</v>
      </c>
      <c r="E44" s="0" t="n">
        <f aca="false">C44*D44</f>
        <v>116.8074</v>
      </c>
      <c r="F44" s="0" t="n">
        <f aca="false">C44+E44</f>
        <v>2063.5974</v>
      </c>
      <c r="G44" s="0" t="s">
        <v>489</v>
      </c>
      <c r="H44" s="0" t="n">
        <f aca="false">ROUNDUP(F44/Inputs!$B$9,0)</f>
        <v>43</v>
      </c>
      <c r="I44" s="0" t="s">
        <v>490</v>
      </c>
    </row>
    <row r="45" customFormat="false" ht="15" hidden="false" customHeight="false" outlineLevel="0" collapsed="false">
      <c r="A45" s="0" t="s">
        <v>491</v>
      </c>
      <c r="B45" s="0" t="s">
        <v>440</v>
      </c>
      <c r="C45" s="0" t="n">
        <v>4028</v>
      </c>
      <c r="D45" s="0" t="n">
        <f aca="false">Inputs!$B$6</f>
        <v>0.06</v>
      </c>
      <c r="E45" s="0" t="n">
        <f aca="false">C45*D45</f>
        <v>241.68</v>
      </c>
      <c r="F45" s="0" t="n">
        <f aca="false">C45+E45</f>
        <v>4269.68</v>
      </c>
      <c r="G45" s="0" t="s">
        <v>489</v>
      </c>
      <c r="H45" s="0" t="n">
        <f aca="false">ROUNDUP(F45/Inputs!$B$9,0)</f>
        <v>89</v>
      </c>
      <c r="I45" s="0" t="s">
        <v>490</v>
      </c>
    </row>
    <row r="46" customFormat="false" ht="15" hidden="false" customHeight="false" outlineLevel="0" collapsed="false">
      <c r="A46" s="0" t="s">
        <v>492</v>
      </c>
      <c r="B46" s="0" t="s">
        <v>440</v>
      </c>
      <c r="C46" s="0" t="n">
        <v>516</v>
      </c>
      <c r="D46" s="0" t="n">
        <f aca="false">Inputs!$B$6</f>
        <v>0.06</v>
      </c>
      <c r="E46" s="0" t="n">
        <f aca="false">C46*D46</f>
        <v>30.96</v>
      </c>
      <c r="F46" s="0" t="n">
        <f aca="false">C46+E46</f>
        <v>546.96</v>
      </c>
      <c r="G46" s="0" t="s">
        <v>489</v>
      </c>
      <c r="H46" s="0" t="n">
        <f aca="false">ROUNDUP(F46/Inputs!$B$9,0)</f>
        <v>12</v>
      </c>
      <c r="I46" s="0" t="s">
        <v>490</v>
      </c>
    </row>
    <row r="47" customFormat="false" ht="15" hidden="false" customHeight="false" outlineLevel="0" collapsed="false">
      <c r="A47" s="0" t="s">
        <v>493</v>
      </c>
      <c r="B47" s="0" t="s">
        <v>440</v>
      </c>
      <c r="C47" s="0" t="n">
        <v>26.88</v>
      </c>
      <c r="D47" s="0" t="n">
        <f aca="false">Inputs!$B$6</f>
        <v>0.06</v>
      </c>
      <c r="E47" s="0" t="n">
        <f aca="false">C47*D47</f>
        <v>1.6128</v>
      </c>
      <c r="F47" s="0" t="n">
        <f aca="false">C47+E47</f>
        <v>28.4928</v>
      </c>
      <c r="G47" s="0" t="s">
        <v>489</v>
      </c>
      <c r="H47" s="0" t="n">
        <f aca="false">ROUNDUP(F47/Inputs!$B$9,0)</f>
        <v>1</v>
      </c>
      <c r="I47" s="0" t="s">
        <v>490</v>
      </c>
    </row>
    <row r="48" customFormat="false" ht="15" hidden="false" customHeight="false" outlineLevel="0" collapsed="false">
      <c r="A48" s="0" t="s">
        <v>494</v>
      </c>
      <c r="B48" s="0" t="s">
        <v>440</v>
      </c>
      <c r="C48" s="0" t="n">
        <v>255.5</v>
      </c>
      <c r="D48" s="0" t="n">
        <f aca="false">Inputs!$B$6</f>
        <v>0.06</v>
      </c>
      <c r="E48" s="0" t="n">
        <f aca="false">C48*D48</f>
        <v>15.33</v>
      </c>
      <c r="F48" s="0" t="n">
        <f aca="false">C48+E48</f>
        <v>270.83</v>
      </c>
      <c r="G48" s="0" t="s">
        <v>489</v>
      </c>
      <c r="H48" s="0" t="n">
        <f aca="false">ROUNDUP(F48/Inputs!$B$9,0)</f>
        <v>6</v>
      </c>
      <c r="I48" s="0" t="s">
        <v>490</v>
      </c>
    </row>
    <row r="49" customFormat="false" ht="15" hidden="false" customHeight="false" outlineLevel="0" collapsed="false">
      <c r="A49" s="0" t="s">
        <v>495</v>
      </c>
      <c r="B49" s="0" t="s">
        <v>405</v>
      </c>
      <c r="C49" s="0" t="n">
        <v>56</v>
      </c>
      <c r="D49" s="0" t="n">
        <f aca="false">Inputs!$B$5</f>
        <v>0.15</v>
      </c>
      <c r="E49" s="0" t="n">
        <f aca="false">C49*D49</f>
        <v>8.4</v>
      </c>
      <c r="F49" s="0" t="n">
        <f aca="false">C49+E49</f>
        <v>64.4</v>
      </c>
      <c r="G49" s="0" t="s">
        <v>415</v>
      </c>
      <c r="H49" s="0" t="n">
        <f aca="false">ROUNDUP(F49/Inputs!$B$11,0)</f>
        <v>7</v>
      </c>
      <c r="I49" s="0" t="s">
        <v>496</v>
      </c>
    </row>
    <row r="50" customFormat="false" ht="15" hidden="false" customHeight="false" outlineLevel="0" collapsed="false">
      <c r="A50" s="0" t="s">
        <v>497</v>
      </c>
      <c r="B50" s="0" t="s">
        <v>434</v>
      </c>
      <c r="C50" s="0" t="n">
        <v>37</v>
      </c>
      <c r="D50" s="0" t="n">
        <v>0</v>
      </c>
      <c r="E50" s="0" t="n">
        <f aca="false">C50*D50</f>
        <v>0</v>
      </c>
      <c r="F50" s="0" t="n">
        <f aca="false">C50+E50</f>
        <v>37</v>
      </c>
      <c r="G50" s="0" t="s">
        <v>435</v>
      </c>
      <c r="H50" s="0" t="n">
        <f aca="false">ROUNDUP(F50,0)</f>
        <v>37</v>
      </c>
      <c r="I50" s="0" t="s">
        <v>498</v>
      </c>
    </row>
    <row r="51" customFormat="false" ht="15" hidden="false" customHeight="false" outlineLevel="0" collapsed="false">
      <c r="A51" s="0" t="s">
        <v>499</v>
      </c>
      <c r="B51" s="0" t="s">
        <v>405</v>
      </c>
      <c r="C51" s="0" t="n">
        <v>54.24</v>
      </c>
      <c r="D51" s="0" t="n">
        <f aca="false">Inputs!$B$5</f>
        <v>0.15</v>
      </c>
      <c r="E51" s="0" t="n">
        <f aca="false">C51*D51</f>
        <v>8.136</v>
      </c>
      <c r="F51" s="0" t="n">
        <f aca="false">C51+E51</f>
        <v>62.376</v>
      </c>
      <c r="G51" s="0" t="s">
        <v>406</v>
      </c>
      <c r="H51" s="0" t="n">
        <f aca="false">ROUNDUP(F51/Inputs!$B$10,0)</f>
        <v>4</v>
      </c>
      <c r="I51" s="0" t="s">
        <v>500</v>
      </c>
    </row>
    <row r="52" customFormat="false" ht="15" hidden="false" customHeight="false" outlineLevel="0" collapsed="false">
      <c r="A52" s="0" t="s">
        <v>501</v>
      </c>
      <c r="B52" s="0" t="s">
        <v>405</v>
      </c>
      <c r="C52" s="0" t="n">
        <v>10.43</v>
      </c>
      <c r="D52" s="0" t="n">
        <f aca="false">Inputs!$B$5</f>
        <v>0.15</v>
      </c>
      <c r="E52" s="0" t="n">
        <f aca="false">C52*D52</f>
        <v>1.5645</v>
      </c>
      <c r="F52" s="0" t="n">
        <f aca="false">C52+E52</f>
        <v>11.9945</v>
      </c>
      <c r="G52" s="0" t="s">
        <v>406</v>
      </c>
      <c r="H52" s="0" t="n">
        <f aca="false">ROUNDUP(F52/Inputs!$B$10,0)</f>
        <v>1</v>
      </c>
      <c r="I52" s="0" t="s">
        <v>502</v>
      </c>
    </row>
    <row r="53" customFormat="false" ht="15" hidden="false" customHeight="false" outlineLevel="0" collapsed="false">
      <c r="A53" s="0" t="s">
        <v>503</v>
      </c>
      <c r="B53" s="0" t="s">
        <v>440</v>
      </c>
      <c r="C53" s="0" t="n">
        <v>100.99</v>
      </c>
      <c r="D53" s="0" t="n">
        <f aca="false">Inputs!$B$6</f>
        <v>0.06</v>
      </c>
      <c r="E53" s="0" t="n">
        <f aca="false">C53*D53</f>
        <v>6.0594</v>
      </c>
      <c r="F53" s="0" t="n">
        <f aca="false">C53+E53</f>
        <v>107.0494</v>
      </c>
      <c r="G53" s="0" t="s">
        <v>489</v>
      </c>
      <c r="H53" s="0" t="n">
        <f aca="false">ROUNDUP(F53/Inputs!$B$9,0)</f>
        <v>3</v>
      </c>
      <c r="I53" s="0" t="s">
        <v>504</v>
      </c>
    </row>
    <row r="54" customFormat="false" ht="15" hidden="false" customHeight="false" outlineLevel="0" collapsed="false">
      <c r="A54" s="0" t="s">
        <v>505</v>
      </c>
      <c r="B54" s="0" t="s">
        <v>405</v>
      </c>
      <c r="C54" s="0" t="n">
        <v>221.5</v>
      </c>
      <c r="D54" s="0" t="n">
        <f aca="false">Inputs!$B$6</f>
        <v>0.06</v>
      </c>
      <c r="E54" s="0" t="n">
        <f aca="false">C54*D54</f>
        <v>13.29</v>
      </c>
      <c r="F54" s="0" t="n">
        <f aca="false">C54+E54</f>
        <v>234.79</v>
      </c>
      <c r="G54" s="0" t="s">
        <v>467</v>
      </c>
      <c r="H54" s="0" t="n">
        <f aca="false">ROUNDUP(F54/Inputs!$B$18,0)</f>
        <v>24</v>
      </c>
      <c r="I54" s="0" t="s">
        <v>506</v>
      </c>
    </row>
    <row r="55" customFormat="false" ht="15" hidden="false" customHeight="false" outlineLevel="0" collapsed="false">
      <c r="A55" s="0" t="s">
        <v>507</v>
      </c>
      <c r="B55" s="0" t="s">
        <v>434</v>
      </c>
      <c r="C55" s="0" t="n">
        <v>276</v>
      </c>
      <c r="D55" s="0" t="n">
        <v>0</v>
      </c>
      <c r="E55" s="0" t="n">
        <f aca="false">C55*D55</f>
        <v>0</v>
      </c>
      <c r="F55" s="0" t="n">
        <f aca="false">C55+E55</f>
        <v>276</v>
      </c>
      <c r="G55" s="0" t="s">
        <v>435</v>
      </c>
      <c r="H55" s="0" t="n">
        <f aca="false">ROUNDUP(F55,0)</f>
        <v>276</v>
      </c>
      <c r="I55" s="0" t="s">
        <v>508</v>
      </c>
    </row>
    <row r="56" customFormat="false" ht="15" hidden="false" customHeight="false" outlineLevel="0" collapsed="false">
      <c r="A56" s="0" t="s">
        <v>509</v>
      </c>
      <c r="B56" s="0" t="s">
        <v>434</v>
      </c>
      <c r="C56" s="0" t="n">
        <v>1</v>
      </c>
      <c r="D56" s="0" t="n">
        <v>0</v>
      </c>
      <c r="E56" s="0" t="n">
        <f aca="false">C56*D56</f>
        <v>0</v>
      </c>
      <c r="F56" s="0" t="n">
        <f aca="false">C56+E56</f>
        <v>1</v>
      </c>
      <c r="G56" s="0" t="s">
        <v>435</v>
      </c>
      <c r="H56" s="0" t="n">
        <f aca="false">ROUNDUP(F56,0)</f>
        <v>1</v>
      </c>
      <c r="I56" s="0" t="s">
        <v>510</v>
      </c>
    </row>
    <row r="57" customFormat="false" ht="15" hidden="false" customHeight="false" outlineLevel="0" collapsed="false">
      <c r="A57" s="0" t="s">
        <v>511</v>
      </c>
      <c r="B57" s="0" t="s">
        <v>434</v>
      </c>
      <c r="C57" s="0" t="n">
        <v>21564.77</v>
      </c>
      <c r="D57" s="0" t="n">
        <v>0</v>
      </c>
      <c r="E57" s="0" t="n">
        <f aca="false">C57*D57</f>
        <v>0</v>
      </c>
      <c r="F57" s="0" t="n">
        <f aca="false">C57+E57</f>
        <v>21564.77</v>
      </c>
      <c r="G57" s="0" t="s">
        <v>435</v>
      </c>
      <c r="H57" s="0" t="n">
        <f aca="false">ROUNDUP(F57,0)</f>
        <v>21565</v>
      </c>
      <c r="I57" s="0" t="s">
        <v>512</v>
      </c>
      <c r="J57" s="0" t="n">
        <f aca="false">Inputs!$B$20*17970.6</f>
        <v>21564.72</v>
      </c>
    </row>
    <row r="58" customFormat="false" ht="15" hidden="false" customHeight="false" outlineLevel="0" collapsed="false">
      <c r="A58" s="0" t="s">
        <v>513</v>
      </c>
      <c r="B58" s="0" t="s">
        <v>434</v>
      </c>
      <c r="C58" s="0" t="n">
        <v>7088</v>
      </c>
      <c r="D58" s="0" t="n">
        <v>0</v>
      </c>
      <c r="E58" s="0" t="n">
        <f aca="false">C58*D58</f>
        <v>0</v>
      </c>
      <c r="F58" s="0" t="n">
        <f aca="false">C58+E58</f>
        <v>7088</v>
      </c>
      <c r="G58" s="0" t="s">
        <v>435</v>
      </c>
      <c r="H58" s="0" t="n">
        <f aca="false">ROUNDUP(F58,0)</f>
        <v>7088</v>
      </c>
      <c r="I58" s="0" t="s">
        <v>514</v>
      </c>
      <c r="J58" s="0" t="n">
        <f aca="false">Inputs!$B$21*1772</f>
        <v>7088</v>
      </c>
    </row>
    <row r="59" customFormat="false" ht="15" hidden="false" customHeight="false" outlineLevel="0" collapsed="false">
      <c r="A59" s="0" t="s">
        <v>515</v>
      </c>
      <c r="B59" s="0" t="s">
        <v>434</v>
      </c>
      <c r="C59" s="0" t="n">
        <v>531.55</v>
      </c>
      <c r="D59" s="0" t="n">
        <v>0</v>
      </c>
      <c r="E59" s="0" t="n">
        <f aca="false">C59*D59</f>
        <v>0</v>
      </c>
      <c r="F59" s="0" t="n">
        <f aca="false">C59+E59</f>
        <v>531.55</v>
      </c>
      <c r="G59" s="0" t="s">
        <v>435</v>
      </c>
      <c r="H59" s="0" t="n">
        <f aca="false">ROUNDUP(F59,0)</f>
        <v>532</v>
      </c>
      <c r="I59" s="0" t="s">
        <v>516</v>
      </c>
      <c r="J59" s="0" t="n">
        <f aca="false">531.55/Inputs!$B$22</f>
        <v>531.55</v>
      </c>
    </row>
    <row r="60" customFormat="false" ht="15" hidden="false" customHeight="false" outlineLevel="0" collapsed="false">
      <c r="A60" s="0" t="s">
        <v>517</v>
      </c>
      <c r="B60" s="0" t="s">
        <v>434</v>
      </c>
      <c r="C60" s="0" t="n">
        <v>321.07</v>
      </c>
      <c r="D60" s="0" t="n">
        <v>0</v>
      </c>
      <c r="E60" s="0" t="n">
        <f aca="false">C60*D60</f>
        <v>0</v>
      </c>
      <c r="F60" s="0" t="n">
        <f aca="false">C60+E60</f>
        <v>321.07</v>
      </c>
      <c r="G60" s="0" t="s">
        <v>435</v>
      </c>
      <c r="H60" s="0" t="n">
        <f aca="false">ROUNDUP(F60,0)</f>
        <v>322</v>
      </c>
      <c r="I60" s="0" t="s">
        <v>518</v>
      </c>
      <c r="J60" s="0" t="n">
        <f aca="false">214.05/Inputs!$B$25</f>
        <v>321.058947052647</v>
      </c>
    </row>
    <row r="61" customFormat="false" ht="15" hidden="false" customHeight="false" outlineLevel="0" collapsed="false">
      <c r="A61" s="0" t="s">
        <v>519</v>
      </c>
      <c r="B61" s="0" t="s">
        <v>520</v>
      </c>
      <c r="C61" s="0" t="n">
        <v>1293.89</v>
      </c>
      <c r="D61" s="0" t="n">
        <v>0</v>
      </c>
      <c r="E61" s="0" t="n">
        <f aca="false">C61*D61</f>
        <v>0</v>
      </c>
      <c r="F61" s="0" t="n">
        <f aca="false">C61+E61</f>
        <v>1293.89</v>
      </c>
      <c r="G61" s="0" t="s">
        <v>521</v>
      </c>
      <c r="H61" s="0" t="n">
        <f aca="false">ROUNDUP(F61,0)</f>
        <v>1294</v>
      </c>
      <c r="I61" s="0" t="s">
        <v>522</v>
      </c>
      <c r="J61" s="0" t="n">
        <f aca="false">Inputs!$B$23*17970.6</f>
        <v>1293.8832</v>
      </c>
    </row>
    <row r="62" customFormat="false" ht="15" hidden="false" customHeight="false" outlineLevel="0" collapsed="false">
      <c r="A62" s="0" t="s">
        <v>523</v>
      </c>
      <c r="B62" s="0" t="s">
        <v>405</v>
      </c>
      <c r="C62" s="0" t="n">
        <v>6649.14</v>
      </c>
      <c r="D62" s="0" t="n">
        <v>0</v>
      </c>
      <c r="E62" s="0" t="n">
        <f aca="false">C62*D62</f>
        <v>0</v>
      </c>
      <c r="F62" s="0" t="n">
        <f aca="false">C62+E62</f>
        <v>6649.14</v>
      </c>
      <c r="G62" s="0" t="s">
        <v>405</v>
      </c>
      <c r="H62" s="0" t="n">
        <f aca="false">ROUNDUP(F62,0)</f>
        <v>6650</v>
      </c>
      <c r="I62" s="0" t="s">
        <v>524</v>
      </c>
      <c r="J62" s="0" t="n">
        <f aca="false">Inputs!$B$24*17970.6</f>
        <v>6649.122</v>
      </c>
    </row>
    <row r="63" customFormat="false" ht="15" hidden="false" customHeight="false" outlineLevel="0" collapsed="false">
      <c r="A63" s="0" t="s">
        <v>525</v>
      </c>
      <c r="B63" s="0" t="s">
        <v>440</v>
      </c>
      <c r="C63" s="0" t="n">
        <v>712.77</v>
      </c>
      <c r="D63" s="0" t="n">
        <f aca="false">Inputs!$B$6</f>
        <v>0.06</v>
      </c>
      <c r="E63" s="0" t="n">
        <f aca="false">C63*D63</f>
        <v>42.7662</v>
      </c>
      <c r="F63" s="0" t="n">
        <f aca="false">C63+E63</f>
        <v>755.5362</v>
      </c>
      <c r="G63" s="0" t="s">
        <v>440</v>
      </c>
      <c r="H63" s="0" t="n">
        <f aca="false">ROUNDUP(F63,0)</f>
        <v>756</v>
      </c>
      <c r="I63" s="0" t="s">
        <v>526</v>
      </c>
    </row>
    <row r="64" customFormat="false" ht="15" hidden="false" customHeight="false" outlineLevel="0" collapsed="false">
      <c r="A64" s="0" t="s">
        <v>527</v>
      </c>
      <c r="B64" s="0" t="s">
        <v>434</v>
      </c>
      <c r="C64" s="0" t="n">
        <v>0</v>
      </c>
      <c r="D64" s="0" t="n">
        <v>0</v>
      </c>
      <c r="E64" s="0" t="n">
        <f aca="false">C64*D64</f>
        <v>0</v>
      </c>
      <c r="F64" s="0" t="n">
        <f aca="false">C64+E64</f>
        <v>0</v>
      </c>
      <c r="G64" s="0" t="s">
        <v>435</v>
      </c>
      <c r="H64" s="0" t="n">
        <f aca="false">ROUNDUP(F64,0)</f>
        <v>0</v>
      </c>
      <c r="I64" s="0" t="s">
        <v>528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60"/>
  </cols>
  <sheetData>
    <row r="1" customFormat="false" ht="15" hidden="false" customHeight="false" outlineLevel="0" collapsed="false">
      <c r="A1" s="2" t="s">
        <v>529</v>
      </c>
      <c r="B1" s="2" t="s">
        <v>530</v>
      </c>
      <c r="C1" s="2" t="s">
        <v>531</v>
      </c>
    </row>
    <row r="2" customFormat="false" ht="15" hidden="false" customHeight="false" outlineLevel="0" collapsed="false">
      <c r="A2" s="0" t="s">
        <v>532</v>
      </c>
      <c r="B2" s="0" t="s">
        <v>533</v>
      </c>
      <c r="C2" s="0" t="s">
        <v>534</v>
      </c>
    </row>
    <row r="3" customFormat="false" ht="15" hidden="false" customHeight="false" outlineLevel="0" collapsed="false">
      <c r="A3" s="0" t="s">
        <v>535</v>
      </c>
      <c r="B3" s="0" t="s">
        <v>536</v>
      </c>
      <c r="C3" s="0" t="s">
        <v>537</v>
      </c>
    </row>
    <row r="4" customFormat="false" ht="15" hidden="false" customHeight="false" outlineLevel="0" collapsed="false">
      <c r="A4" s="0" t="s">
        <v>538</v>
      </c>
      <c r="B4" s="0" t="s">
        <v>539</v>
      </c>
      <c r="C4" s="0" t="s">
        <v>540</v>
      </c>
    </row>
    <row r="5" customFormat="false" ht="15" hidden="false" customHeight="false" outlineLevel="0" collapsed="false">
      <c r="A5" s="0" t="s">
        <v>541</v>
      </c>
      <c r="B5" s="0" t="s">
        <v>542</v>
      </c>
      <c r="C5" s="0" t="s">
        <v>543</v>
      </c>
    </row>
    <row r="6" customFormat="false" ht="15" hidden="false" customHeight="false" outlineLevel="0" collapsed="false">
      <c r="A6" s="0" t="s">
        <v>544</v>
      </c>
      <c r="B6" s="0" t="s">
        <v>545</v>
      </c>
      <c r="C6" s="0" t="s">
        <v>546</v>
      </c>
    </row>
    <row r="7" customFormat="false" ht="15" hidden="false" customHeight="false" outlineLevel="0" collapsed="false">
      <c r="A7" s="0" t="s">
        <v>547</v>
      </c>
      <c r="B7" s="0" t="s">
        <v>548</v>
      </c>
      <c r="C7" s="0" t="s">
        <v>549</v>
      </c>
    </row>
    <row r="8" customFormat="false" ht="15" hidden="false" customHeight="false" outlineLevel="0" collapsed="false">
      <c r="A8" s="0" t="s">
        <v>550</v>
      </c>
      <c r="B8" s="0" t="s">
        <v>551</v>
      </c>
      <c r="C8" s="0" t="s">
        <v>552</v>
      </c>
    </row>
    <row r="9" customFormat="false" ht="15" hidden="false" customHeight="false" outlineLevel="0" collapsed="false">
      <c r="A9" s="0" t="s">
        <v>553</v>
      </c>
      <c r="B9" s="0" t="s">
        <v>554</v>
      </c>
      <c r="C9" s="0" t="s">
        <v>555</v>
      </c>
    </row>
    <row r="10" customFormat="false" ht="15" hidden="false" customHeight="false" outlineLevel="0" collapsed="false">
      <c r="A10" s="0" t="s">
        <v>556</v>
      </c>
      <c r="B10" s="0" t="s">
        <v>557</v>
      </c>
      <c r="C10" s="0" t="s">
        <v>558</v>
      </c>
    </row>
    <row r="11" customFormat="false" ht="15" hidden="false" customHeight="false" outlineLevel="0" collapsed="false">
      <c r="A11" s="0" t="s">
        <v>559</v>
      </c>
      <c r="B11" s="0" t="s">
        <v>560</v>
      </c>
      <c r="C11" s="0" t="s">
        <v>561</v>
      </c>
    </row>
    <row r="12" customFormat="false" ht="15" hidden="false" customHeight="false" outlineLevel="0" collapsed="false">
      <c r="A12" s="0" t="s">
        <v>562</v>
      </c>
      <c r="B12" s="0" t="s">
        <v>563</v>
      </c>
      <c r="C12" s="0" t="s">
        <v>564</v>
      </c>
    </row>
    <row r="13" customFormat="false" ht="15" hidden="false" customHeight="false" outlineLevel="0" collapsed="false">
      <c r="A13" s="0" t="s">
        <v>565</v>
      </c>
      <c r="B13" s="0" t="s">
        <v>566</v>
      </c>
      <c r="C13" s="0" t="s">
        <v>567</v>
      </c>
    </row>
    <row r="14" customFormat="false" ht="15" hidden="false" customHeight="false" outlineLevel="0" collapsed="false">
      <c r="A14" s="0" t="s">
        <v>568</v>
      </c>
      <c r="B14" s="0" t="s">
        <v>569</v>
      </c>
      <c r="C14" s="0" t="s">
        <v>570</v>
      </c>
    </row>
    <row r="15" customFormat="false" ht="15" hidden="false" customHeight="false" outlineLevel="0" collapsed="false">
      <c r="A15" s="0" t="s">
        <v>571</v>
      </c>
      <c r="B15" s="0" t="s">
        <v>572</v>
      </c>
      <c r="C15" s="0" t="s">
        <v>573</v>
      </c>
    </row>
    <row r="16" customFormat="false" ht="15" hidden="false" customHeight="false" outlineLevel="0" collapsed="false">
      <c r="A16" s="0" t="s">
        <v>574</v>
      </c>
      <c r="B16" s="0" t="s">
        <v>575</v>
      </c>
      <c r="C16" s="0" t="s">
        <v>576</v>
      </c>
    </row>
    <row r="17" customFormat="false" ht="15" hidden="false" customHeight="false" outlineLevel="0" collapsed="false">
      <c r="A17" s="0" t="s">
        <v>577</v>
      </c>
      <c r="B17" s="0" t="s">
        <v>578</v>
      </c>
      <c r="C17" s="0" t="s">
        <v>579</v>
      </c>
    </row>
    <row r="18" customFormat="false" ht="15" hidden="false" customHeight="false" outlineLevel="0" collapsed="false">
      <c r="A18" s="0" t="s">
        <v>580</v>
      </c>
      <c r="B18" s="0" t="s">
        <v>581</v>
      </c>
      <c r="C18" s="0" t="s">
        <v>582</v>
      </c>
    </row>
    <row r="19" customFormat="false" ht="15" hidden="false" customHeight="false" outlineLevel="0" collapsed="false">
      <c r="A19" s="0" t="s">
        <v>583</v>
      </c>
      <c r="B19" s="0" t="s">
        <v>584</v>
      </c>
      <c r="C19" s="0" t="s">
        <v>585</v>
      </c>
    </row>
    <row r="20" customFormat="false" ht="15" hidden="false" customHeight="false" outlineLevel="0" collapsed="false">
      <c r="A20" s="0" t="s">
        <v>586</v>
      </c>
      <c r="B20" s="0" t="s">
        <v>587</v>
      </c>
      <c r="C20" s="0" t="s">
        <v>588</v>
      </c>
    </row>
    <row r="21" customFormat="false" ht="15" hidden="false" customHeight="false" outlineLevel="0" collapsed="false">
      <c r="A21" s="0" t="s">
        <v>589</v>
      </c>
      <c r="B21" s="0" t="s">
        <v>590</v>
      </c>
      <c r="C21" s="0" t="s">
        <v>591</v>
      </c>
    </row>
    <row r="22" customFormat="false" ht="15" hidden="false" customHeight="false" outlineLevel="0" collapsed="false">
      <c r="A22" s="0" t="s">
        <v>592</v>
      </c>
      <c r="B22" s="0" t="s">
        <v>593</v>
      </c>
      <c r="C22" s="0" t="s">
        <v>594</v>
      </c>
    </row>
    <row r="23" customFormat="false" ht="15" hidden="false" customHeight="false" outlineLevel="0" collapsed="false">
      <c r="A23" s="0" t="s">
        <v>595</v>
      </c>
      <c r="B23" s="0" t="s">
        <v>596</v>
      </c>
      <c r="C23" s="0" t="s">
        <v>597</v>
      </c>
    </row>
    <row r="24" customFormat="false" ht="15" hidden="false" customHeight="false" outlineLevel="0" collapsed="false">
      <c r="A24" s="0" t="s">
        <v>598</v>
      </c>
      <c r="B24" s="0" t="s">
        <v>599</v>
      </c>
      <c r="C24" s="0" t="s">
        <v>600</v>
      </c>
    </row>
    <row r="25" customFormat="false" ht="15" hidden="false" customHeight="false" outlineLevel="0" collapsed="false">
      <c r="A25" s="0" t="s">
        <v>601</v>
      </c>
      <c r="B25" s="0" t="s">
        <v>602</v>
      </c>
      <c r="C25" s="0" t="s">
        <v>603</v>
      </c>
    </row>
    <row r="26" customFormat="false" ht="15" hidden="false" customHeight="false" outlineLevel="0" collapsed="false">
      <c r="A26" s="0" t="s">
        <v>604</v>
      </c>
      <c r="B26" s="0" t="s">
        <v>605</v>
      </c>
      <c r="C26" s="0" t="s">
        <v>606</v>
      </c>
    </row>
    <row r="27" customFormat="false" ht="15" hidden="false" customHeight="false" outlineLevel="0" collapsed="false">
      <c r="A27" s="0" t="s">
        <v>607</v>
      </c>
      <c r="B27" s="0" t="s">
        <v>608</v>
      </c>
      <c r="C27" s="0" t="s">
        <v>609</v>
      </c>
    </row>
    <row r="28" customFormat="false" ht="15" hidden="false" customHeight="false" outlineLevel="0" collapsed="false">
      <c r="A28" s="0" t="s">
        <v>610</v>
      </c>
      <c r="B28" s="0" t="s">
        <v>611</v>
      </c>
      <c r="C28" s="0" t="s">
        <v>612</v>
      </c>
    </row>
    <row r="29" customFormat="false" ht="15" hidden="false" customHeight="false" outlineLevel="0" collapsed="false">
      <c r="A29" s="0" t="s">
        <v>613</v>
      </c>
      <c r="B29" s="0" t="s">
        <v>614</v>
      </c>
      <c r="C29" s="0" t="s">
        <v>615</v>
      </c>
    </row>
    <row r="30" customFormat="false" ht="15" hidden="false" customHeight="false" outlineLevel="0" collapsed="false">
      <c r="A30" s="0" t="s">
        <v>616</v>
      </c>
      <c r="B30" s="0" t="s">
        <v>617</v>
      </c>
      <c r="C30" s="0" t="s">
        <v>618</v>
      </c>
    </row>
    <row r="31" customFormat="false" ht="15" hidden="false" customHeight="false" outlineLevel="0" collapsed="false">
      <c r="A31" s="0" t="s">
        <v>619</v>
      </c>
      <c r="B31" s="0" t="s">
        <v>620</v>
      </c>
      <c r="C31" s="0" t="s">
        <v>621</v>
      </c>
    </row>
    <row r="32" customFormat="false" ht="15" hidden="false" customHeight="false" outlineLevel="0" collapsed="false">
      <c r="A32" s="0" t="s">
        <v>622</v>
      </c>
      <c r="B32" s="0" t="s">
        <v>623</v>
      </c>
      <c r="C32" s="0" t="s">
        <v>624</v>
      </c>
    </row>
    <row r="33" customFormat="false" ht="15" hidden="false" customHeight="false" outlineLevel="0" collapsed="false">
      <c r="A33" s="0" t="s">
        <v>625</v>
      </c>
      <c r="B33" s="0" t="s">
        <v>626</v>
      </c>
      <c r="C33" s="0" t="s">
        <v>627</v>
      </c>
    </row>
    <row r="34" customFormat="false" ht="15" hidden="false" customHeight="false" outlineLevel="0" collapsed="false">
      <c r="A34" s="0" t="s">
        <v>628</v>
      </c>
      <c r="B34" s="0" t="s">
        <v>629</v>
      </c>
      <c r="C34" s="0" t="s">
        <v>630</v>
      </c>
    </row>
    <row r="35" customFormat="false" ht="15" hidden="false" customHeight="false" outlineLevel="0" collapsed="false">
      <c r="A35" s="0" t="s">
        <v>631</v>
      </c>
      <c r="B35" s="0" t="s">
        <v>632</v>
      </c>
      <c r="C35" s="0" t="s">
        <v>633</v>
      </c>
    </row>
    <row r="36" customFormat="false" ht="15" hidden="false" customHeight="false" outlineLevel="0" collapsed="false">
      <c r="A36" s="0" t="s">
        <v>634</v>
      </c>
      <c r="B36" s="0" t="s">
        <v>635</v>
      </c>
      <c r="C36" s="0" t="s">
        <v>636</v>
      </c>
    </row>
    <row r="37" customFormat="false" ht="15" hidden="false" customHeight="false" outlineLevel="0" collapsed="false">
      <c r="A37" s="0" t="s">
        <v>637</v>
      </c>
      <c r="B37" s="0" t="s">
        <v>638</v>
      </c>
      <c r="C37" s="0" t="s">
        <v>639</v>
      </c>
    </row>
    <row r="38" customFormat="false" ht="15" hidden="false" customHeight="false" outlineLevel="0" collapsed="false">
      <c r="A38" s="0" t="s">
        <v>640</v>
      </c>
      <c r="B38" s="0" t="s">
        <v>641</v>
      </c>
      <c r="C38" s="0" t="s">
        <v>642</v>
      </c>
    </row>
    <row r="39" customFormat="false" ht="15" hidden="false" customHeight="false" outlineLevel="0" collapsed="false">
      <c r="A39" s="0" t="s">
        <v>643</v>
      </c>
      <c r="B39" s="0" t="s">
        <v>644</v>
      </c>
      <c r="C39" s="0" t="s">
        <v>645</v>
      </c>
    </row>
    <row r="40" customFormat="false" ht="15" hidden="false" customHeight="false" outlineLevel="0" collapsed="false">
      <c r="A40" s="0" t="s">
        <v>646</v>
      </c>
      <c r="B40" s="0" t="s">
        <v>647</v>
      </c>
      <c r="C40" s="0" t="s">
        <v>648</v>
      </c>
    </row>
    <row r="41" customFormat="false" ht="15" hidden="false" customHeight="false" outlineLevel="0" collapsed="false">
      <c r="A41" s="0" t="s">
        <v>649</v>
      </c>
      <c r="B41" s="0" t="s">
        <v>650</v>
      </c>
      <c r="C41" s="0" t="s">
        <v>651</v>
      </c>
    </row>
    <row r="42" customFormat="false" ht="15" hidden="false" customHeight="false" outlineLevel="0" collapsed="false">
      <c r="A42" s="0" t="s">
        <v>652</v>
      </c>
      <c r="B42" s="0" t="s">
        <v>653</v>
      </c>
      <c r="C42" s="0" t="s">
        <v>654</v>
      </c>
    </row>
    <row r="43" customFormat="false" ht="15" hidden="false" customHeight="false" outlineLevel="0" collapsed="false">
      <c r="A43" s="0" t="s">
        <v>655</v>
      </c>
      <c r="B43" s="0" t="s">
        <v>656</v>
      </c>
      <c r="C43" s="0" t="s">
        <v>657</v>
      </c>
    </row>
    <row r="44" customFormat="false" ht="15" hidden="false" customHeight="false" outlineLevel="0" collapsed="false">
      <c r="A44" s="0" t="s">
        <v>658</v>
      </c>
      <c r="B44" s="0" t="s">
        <v>659</v>
      </c>
      <c r="C44" s="0" t="s">
        <v>660</v>
      </c>
    </row>
    <row r="45" customFormat="false" ht="15" hidden="false" customHeight="false" outlineLevel="0" collapsed="false">
      <c r="A45" s="0" t="s">
        <v>661</v>
      </c>
      <c r="B45" s="0" t="s">
        <v>662</v>
      </c>
      <c r="C45" s="0" t="s">
        <v>663</v>
      </c>
    </row>
    <row r="46" customFormat="false" ht="15" hidden="false" customHeight="false" outlineLevel="0" collapsed="false">
      <c r="A46" s="0" t="s">
        <v>664</v>
      </c>
      <c r="B46" s="0" t="s">
        <v>665</v>
      </c>
      <c r="C46" s="0" t="s">
        <v>666</v>
      </c>
    </row>
    <row r="47" customFormat="false" ht="15" hidden="false" customHeight="false" outlineLevel="0" collapsed="false">
      <c r="A47" s="0" t="s">
        <v>667</v>
      </c>
      <c r="B47" s="0" t="s">
        <v>668</v>
      </c>
      <c r="C47" s="0" t="s">
        <v>669</v>
      </c>
    </row>
    <row r="48" customFormat="false" ht="15" hidden="false" customHeight="false" outlineLevel="0" collapsed="false">
      <c r="A48" s="0" t="s">
        <v>670</v>
      </c>
      <c r="B48" s="0" t="s">
        <v>671</v>
      </c>
      <c r="C48" s="0" t="s">
        <v>672</v>
      </c>
    </row>
    <row r="49" customFormat="false" ht="15" hidden="false" customHeight="false" outlineLevel="0" collapsed="false">
      <c r="A49" s="0" t="s">
        <v>673</v>
      </c>
      <c r="B49" s="0" t="s">
        <v>674</v>
      </c>
      <c r="C49" s="0" t="s">
        <v>675</v>
      </c>
    </row>
    <row r="50" customFormat="false" ht="15" hidden="false" customHeight="false" outlineLevel="0" collapsed="false">
      <c r="A50" s="0" t="s">
        <v>676</v>
      </c>
      <c r="B50" s="0" t="s">
        <v>677</v>
      </c>
      <c r="C50" s="0" t="s">
        <v>678</v>
      </c>
    </row>
    <row r="51" customFormat="false" ht="15" hidden="false" customHeight="false" outlineLevel="0" collapsed="false">
      <c r="A51" s="0" t="s">
        <v>679</v>
      </c>
      <c r="B51" s="0" t="s">
        <v>680</v>
      </c>
      <c r="C51" s="0" t="s">
        <v>681</v>
      </c>
    </row>
    <row r="52" customFormat="false" ht="15" hidden="false" customHeight="false" outlineLevel="0" collapsed="false">
      <c r="A52" s="0" t="s">
        <v>682</v>
      </c>
      <c r="B52" s="0" t="s">
        <v>683</v>
      </c>
      <c r="C52" s="0" t="s">
        <v>684</v>
      </c>
    </row>
    <row r="53" customFormat="false" ht="15" hidden="false" customHeight="false" outlineLevel="0" collapsed="false">
      <c r="A53" s="0" t="s">
        <v>685</v>
      </c>
      <c r="B53" s="0" t="s">
        <v>686</v>
      </c>
      <c r="C53" s="0" t="s">
        <v>687</v>
      </c>
    </row>
    <row r="54" customFormat="false" ht="15" hidden="false" customHeight="false" outlineLevel="0" collapsed="false">
      <c r="A54" s="0" t="s">
        <v>688</v>
      </c>
      <c r="B54" s="0" t="s">
        <v>689</v>
      </c>
      <c r="C54" s="0" t="s">
        <v>690</v>
      </c>
    </row>
    <row r="55" customFormat="false" ht="15" hidden="false" customHeight="false" outlineLevel="0" collapsed="false">
      <c r="A55" s="0" t="s">
        <v>691</v>
      </c>
      <c r="B55" s="0" t="s">
        <v>692</v>
      </c>
      <c r="C55" s="0" t="s">
        <v>693</v>
      </c>
    </row>
    <row r="56" customFormat="false" ht="15" hidden="false" customHeight="false" outlineLevel="0" collapsed="false">
      <c r="A56" s="0" t="s">
        <v>694</v>
      </c>
      <c r="B56" s="0" t="s">
        <v>695</v>
      </c>
      <c r="C56" s="0" t="s">
        <v>696</v>
      </c>
    </row>
    <row r="57" customFormat="false" ht="15" hidden="false" customHeight="false" outlineLevel="0" collapsed="false">
      <c r="A57" s="0" t="s">
        <v>697</v>
      </c>
      <c r="B57" s="0" t="s">
        <v>698</v>
      </c>
      <c r="C57" s="0" t="s">
        <v>699</v>
      </c>
    </row>
    <row r="58" customFormat="false" ht="15" hidden="false" customHeight="false" outlineLevel="0" collapsed="false">
      <c r="A58" s="0" t="s">
        <v>700</v>
      </c>
      <c r="B58" s="0" t="s">
        <v>701</v>
      </c>
      <c r="C58" s="0" t="s">
        <v>702</v>
      </c>
    </row>
    <row r="59" customFormat="false" ht="15" hidden="false" customHeight="false" outlineLevel="0" collapsed="false">
      <c r="A59" s="0" t="s">
        <v>703</v>
      </c>
      <c r="B59" s="0" t="s">
        <v>704</v>
      </c>
      <c r="C59" s="0" t="s">
        <v>705</v>
      </c>
    </row>
    <row r="60" customFormat="false" ht="15" hidden="false" customHeight="false" outlineLevel="0" collapsed="false">
      <c r="A60" s="0" t="s">
        <v>706</v>
      </c>
      <c r="B60" s="0" t="s">
        <v>707</v>
      </c>
      <c r="C60" s="0" t="s">
        <v>708</v>
      </c>
    </row>
    <row r="61" customFormat="false" ht="15" hidden="false" customHeight="false" outlineLevel="0" collapsed="false">
      <c r="A61" s="0" t="s">
        <v>709</v>
      </c>
      <c r="B61" s="0" t="s">
        <v>710</v>
      </c>
      <c r="C61" s="0" t="s">
        <v>711</v>
      </c>
    </row>
    <row r="62" customFormat="false" ht="15" hidden="false" customHeight="false" outlineLevel="0" collapsed="false">
      <c r="A62" s="0" t="s">
        <v>712</v>
      </c>
      <c r="B62" s="0" t="s">
        <v>713</v>
      </c>
      <c r="C62" s="0" t="s">
        <v>714</v>
      </c>
    </row>
    <row r="63" customFormat="false" ht="15" hidden="false" customHeight="false" outlineLevel="0" collapsed="false">
      <c r="A63" s="0" t="s">
        <v>715</v>
      </c>
      <c r="B63" s="0" t="s">
        <v>716</v>
      </c>
      <c r="C63" s="0" t="s">
        <v>717</v>
      </c>
    </row>
    <row r="64" customFormat="false" ht="15" hidden="false" customHeight="false" outlineLevel="0" collapsed="false">
      <c r="A64" s="0" t="s">
        <v>718</v>
      </c>
      <c r="B64" s="0" t="s">
        <v>719</v>
      </c>
      <c r="C64" s="0" t="s">
        <v>720</v>
      </c>
    </row>
    <row r="65" customFormat="false" ht="15" hidden="false" customHeight="false" outlineLevel="0" collapsed="false">
      <c r="A65" s="0" t="s">
        <v>721</v>
      </c>
      <c r="B65" s="0" t="s">
        <v>722</v>
      </c>
      <c r="C65" s="0" t="s">
        <v>723</v>
      </c>
    </row>
    <row r="66" customFormat="false" ht="15" hidden="false" customHeight="false" outlineLevel="0" collapsed="false">
      <c r="A66" s="0" t="s">
        <v>724</v>
      </c>
      <c r="B66" s="0" t="s">
        <v>725</v>
      </c>
      <c r="C66" s="0" t="s">
        <v>726</v>
      </c>
    </row>
    <row r="67" customFormat="false" ht="15" hidden="false" customHeight="false" outlineLevel="0" collapsed="false">
      <c r="A67" s="0" t="s">
        <v>727</v>
      </c>
      <c r="B67" s="0" t="s">
        <v>728</v>
      </c>
      <c r="C67" s="0" t="s">
        <v>729</v>
      </c>
    </row>
    <row r="68" customFormat="false" ht="15" hidden="false" customHeight="false" outlineLevel="0" collapsed="false">
      <c r="A68" s="0" t="s">
        <v>730</v>
      </c>
      <c r="B68" s="0" t="s">
        <v>731</v>
      </c>
      <c r="C68" s="0" t="s">
        <v>732</v>
      </c>
    </row>
    <row r="69" customFormat="false" ht="15" hidden="false" customHeight="false" outlineLevel="0" collapsed="false">
      <c r="A69" s="0" t="s">
        <v>733</v>
      </c>
      <c r="B69" s="0" t="s">
        <v>734</v>
      </c>
      <c r="C69" s="0" t="s">
        <v>735</v>
      </c>
    </row>
    <row r="70" customFormat="false" ht="15" hidden="false" customHeight="false" outlineLevel="0" collapsed="false">
      <c r="A70" s="0" t="s">
        <v>736</v>
      </c>
      <c r="B70" s="0" t="s">
        <v>737</v>
      </c>
      <c r="C70" s="0" t="s">
        <v>738</v>
      </c>
    </row>
    <row r="71" customFormat="false" ht="15" hidden="false" customHeight="false" outlineLevel="0" collapsed="false">
      <c r="A71" s="0" t="s">
        <v>739</v>
      </c>
      <c r="B71" s="0" t="s">
        <v>740</v>
      </c>
      <c r="C71" s="0" t="s">
        <v>741</v>
      </c>
    </row>
    <row r="72" customFormat="false" ht="15" hidden="false" customHeight="false" outlineLevel="0" collapsed="false">
      <c r="A72" s="0" t="s">
        <v>742</v>
      </c>
      <c r="B72" s="0" t="s">
        <v>743</v>
      </c>
      <c r="C72" s="0" t="s">
        <v>744</v>
      </c>
    </row>
    <row r="73" customFormat="false" ht="15" hidden="false" customHeight="false" outlineLevel="0" collapsed="false">
      <c r="A73" s="0" t="s">
        <v>745</v>
      </c>
      <c r="B73" s="0" t="s">
        <v>746</v>
      </c>
      <c r="C73" s="0" t="s">
        <v>747</v>
      </c>
    </row>
    <row r="74" customFormat="false" ht="15" hidden="false" customHeight="false" outlineLevel="0" collapsed="false">
      <c r="A74" s="0" t="s">
        <v>748</v>
      </c>
      <c r="B74" s="0" t="s">
        <v>749</v>
      </c>
      <c r="C74" s="0" t="s">
        <v>750</v>
      </c>
    </row>
    <row r="75" customFormat="false" ht="15" hidden="false" customHeight="false" outlineLevel="0" collapsed="false">
      <c r="A75" s="0" t="s">
        <v>751</v>
      </c>
      <c r="B75" s="0" t="s">
        <v>752</v>
      </c>
      <c r="C75" s="0" t="s">
        <v>753</v>
      </c>
    </row>
    <row r="76" customFormat="false" ht="15" hidden="false" customHeight="false" outlineLevel="0" collapsed="false">
      <c r="A76" s="0" t="s">
        <v>754</v>
      </c>
      <c r="B76" s="0" t="s">
        <v>755</v>
      </c>
      <c r="C76" s="0" t="s">
        <v>756</v>
      </c>
    </row>
    <row r="77" customFormat="false" ht="15" hidden="false" customHeight="false" outlineLevel="0" collapsed="false">
      <c r="A77" s="0" t="s">
        <v>757</v>
      </c>
      <c r="B77" s="0" t="s">
        <v>758</v>
      </c>
      <c r="C77" s="0" t="s">
        <v>759</v>
      </c>
    </row>
    <row r="78" customFormat="false" ht="15" hidden="false" customHeight="false" outlineLevel="0" collapsed="false">
      <c r="A78" s="0" t="s">
        <v>760</v>
      </c>
      <c r="B78" s="0" t="s">
        <v>761</v>
      </c>
      <c r="C78" s="0" t="s">
        <v>762</v>
      </c>
    </row>
    <row r="79" customFormat="false" ht="15" hidden="false" customHeight="false" outlineLevel="0" collapsed="false">
      <c r="A79" s="0" t="s">
        <v>763</v>
      </c>
      <c r="B79" s="0" t="s">
        <v>764</v>
      </c>
      <c r="C79" s="0" t="s">
        <v>765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16"/>
    <col collapsed="false" customWidth="true" hidden="false" outlineLevel="0" max="4" min="4" style="0" width="60"/>
  </cols>
  <sheetData>
    <row r="1" customFormat="false" ht="15" hidden="false" customHeight="false" outlineLevel="0" collapsed="false">
      <c r="A1" s="0" t="s">
        <v>766</v>
      </c>
      <c r="B1" s="0" t="s">
        <v>767</v>
      </c>
      <c r="C1" s="0" t="s">
        <v>768</v>
      </c>
      <c r="D1" s="0" t="s">
        <v>769</v>
      </c>
    </row>
    <row r="2" customFormat="false" ht="15" hidden="false" customHeight="false" outlineLevel="0" collapsed="false">
      <c r="A2" s="0" t="n">
        <v>1</v>
      </c>
      <c r="B2" s="0" t="s">
        <v>770</v>
      </c>
      <c r="C2" s="0" t="s">
        <v>771</v>
      </c>
      <c r="D2" s="0" t="s">
        <v>772</v>
      </c>
    </row>
    <row r="3" customFormat="false" ht="15" hidden="false" customHeight="false" outlineLevel="0" collapsed="false">
      <c r="A3" s="0" t="n">
        <v>2</v>
      </c>
      <c r="B3" s="0" t="s">
        <v>773</v>
      </c>
      <c r="C3" s="0" t="s">
        <v>774</v>
      </c>
      <c r="D3" s="0" t="s">
        <v>775</v>
      </c>
    </row>
    <row r="4" customFormat="false" ht="15" hidden="false" customHeight="false" outlineLevel="0" collapsed="false">
      <c r="A4" s="0" t="n">
        <v>3</v>
      </c>
      <c r="B4" s="0" t="s">
        <v>776</v>
      </c>
      <c r="C4" s="0" t="s">
        <v>110</v>
      </c>
      <c r="D4" s="0" t="s">
        <v>777</v>
      </c>
    </row>
    <row r="5" customFormat="false" ht="15" hidden="false" customHeight="false" outlineLevel="0" collapsed="false">
      <c r="A5" s="0" t="n">
        <v>4</v>
      </c>
      <c r="B5" s="0" t="s">
        <v>778</v>
      </c>
      <c r="C5" s="0" t="s">
        <v>779</v>
      </c>
      <c r="D5" s="0" t="s">
        <v>780</v>
      </c>
    </row>
    <row r="6" customFormat="false" ht="15" hidden="false" customHeight="false" outlineLevel="0" collapsed="false">
      <c r="A6" s="0" t="n">
        <v>5</v>
      </c>
      <c r="B6" s="0" t="s">
        <v>781</v>
      </c>
      <c r="C6" s="0" t="s">
        <v>347</v>
      </c>
      <c r="D6" s="0" t="s">
        <v>782</v>
      </c>
    </row>
    <row r="7" customFormat="false" ht="15" hidden="false" customHeight="false" outlineLevel="0" collapsed="false">
      <c r="A7" s="0" t="n">
        <v>6</v>
      </c>
      <c r="B7" s="0" t="s">
        <v>783</v>
      </c>
      <c r="C7" s="0" t="s">
        <v>784</v>
      </c>
      <c r="D7" s="0" t="s">
        <v>785</v>
      </c>
    </row>
    <row r="8" customFormat="false" ht="15" hidden="false" customHeight="false" outlineLevel="0" collapsed="false">
      <c r="A8" s="0" t="n">
        <v>7</v>
      </c>
      <c r="B8" s="0" t="s">
        <v>786</v>
      </c>
      <c r="C8" s="0" t="s">
        <v>787</v>
      </c>
      <c r="D8" s="0" t="s">
        <v>788</v>
      </c>
    </row>
    <row r="9" customFormat="false" ht="15" hidden="false" customHeight="false" outlineLevel="0" collapsed="false">
      <c r="A9" s="0" t="n">
        <v>8</v>
      </c>
      <c r="B9" s="0" t="s">
        <v>789</v>
      </c>
      <c r="C9" s="0" t="s">
        <v>790</v>
      </c>
      <c r="D9" s="0" t="s">
        <v>791</v>
      </c>
    </row>
    <row r="10" customFormat="false" ht="15" hidden="false" customHeight="false" outlineLevel="0" collapsed="false">
      <c r="A10" s="0" t="n">
        <v>9</v>
      </c>
      <c r="B10" s="0" t="s">
        <v>792</v>
      </c>
      <c r="C10" s="0" t="s">
        <v>110</v>
      </c>
      <c r="D10" s="0" t="s">
        <v>793</v>
      </c>
    </row>
    <row r="11" customFormat="false" ht="15" hidden="false" customHeight="false" outlineLevel="0" collapsed="false">
      <c r="A11" s="0" t="n">
        <v>10</v>
      </c>
      <c r="B11" s="0" t="s">
        <v>794</v>
      </c>
      <c r="C11" s="0" t="s">
        <v>795</v>
      </c>
      <c r="D11" s="0" t="s">
        <v>796</v>
      </c>
    </row>
    <row r="12" customFormat="false" ht="15" hidden="false" customHeight="false" outlineLevel="0" collapsed="false">
      <c r="A12" s="0" t="n">
        <v>11</v>
      </c>
      <c r="B12" s="0" t="s">
        <v>797</v>
      </c>
      <c r="C12" s="0" t="s">
        <v>798</v>
      </c>
      <c r="D12" s="0" t="s">
        <v>799</v>
      </c>
    </row>
    <row r="13" customFormat="false" ht="15" hidden="false" customHeight="false" outlineLevel="0" collapsed="false">
      <c r="A13" s="0" t="n">
        <v>12</v>
      </c>
      <c r="B13" s="0" t="s">
        <v>800</v>
      </c>
      <c r="C13" s="0" t="s">
        <v>790</v>
      </c>
      <c r="D13" s="0" t="s">
        <v>801</v>
      </c>
    </row>
    <row r="14" customFormat="false" ht="15" hidden="false" customHeight="false" outlineLevel="0" collapsed="false">
      <c r="A14" s="0" t="n">
        <v>13</v>
      </c>
      <c r="B14" s="0" t="s">
        <v>802</v>
      </c>
      <c r="C14" s="0" t="s">
        <v>803</v>
      </c>
      <c r="D14" s="0" t="s">
        <v>804</v>
      </c>
    </row>
    <row r="15" customFormat="false" ht="15" hidden="false" customHeight="false" outlineLevel="0" collapsed="false">
      <c r="A15" s="0" t="n">
        <v>14</v>
      </c>
      <c r="B15" s="0" t="s">
        <v>805</v>
      </c>
      <c r="C15" s="0" t="s">
        <v>806</v>
      </c>
      <c r="D15" s="0" t="s">
        <v>807</v>
      </c>
    </row>
    <row r="16" customFormat="false" ht="15" hidden="false" customHeight="false" outlineLevel="0" collapsed="false">
      <c r="A16" s="0" t="n">
        <v>15</v>
      </c>
      <c r="B16" s="0" t="s">
        <v>808</v>
      </c>
      <c r="C16" s="0" t="s">
        <v>809</v>
      </c>
      <c r="D16" s="0" t="s">
        <v>810</v>
      </c>
    </row>
    <row r="17" customFormat="false" ht="15" hidden="false" customHeight="false" outlineLevel="0" collapsed="false">
      <c r="A17" s="0" t="n">
        <v>16</v>
      </c>
      <c r="B17" s="0" t="s">
        <v>811</v>
      </c>
      <c r="C17" s="0" t="s">
        <v>812</v>
      </c>
      <c r="D17" s="0" t="s">
        <v>813</v>
      </c>
    </row>
    <row r="18" customFormat="false" ht="15" hidden="false" customHeight="false" outlineLevel="0" collapsed="false">
      <c r="A18" s="0" t="n">
        <v>17</v>
      </c>
      <c r="B18" s="0" t="s">
        <v>814</v>
      </c>
      <c r="C18" s="0" t="s">
        <v>771</v>
      </c>
      <c r="D18" s="0" t="s">
        <v>815</v>
      </c>
    </row>
    <row r="19" customFormat="false" ht="15" hidden="false" customHeight="false" outlineLevel="0" collapsed="false">
      <c r="A19" s="0" t="n">
        <v>18</v>
      </c>
      <c r="B19" s="0" t="s">
        <v>816</v>
      </c>
      <c r="C19" s="0" t="s">
        <v>817</v>
      </c>
      <c r="D19" s="0" t="s">
        <v>810</v>
      </c>
    </row>
    <row r="20" customFormat="false" ht="15" hidden="false" customHeight="false" outlineLevel="0" collapsed="false">
      <c r="A20" s="0" t="n">
        <v>19</v>
      </c>
      <c r="B20" s="0" t="s">
        <v>818</v>
      </c>
      <c r="C20" s="0" t="s">
        <v>819</v>
      </c>
      <c r="D20" s="0" t="s">
        <v>820</v>
      </c>
    </row>
    <row r="21" customFormat="false" ht="15" hidden="false" customHeight="false" outlineLevel="0" collapsed="false">
      <c r="A21" s="0" t="n">
        <v>20</v>
      </c>
      <c r="B21" s="0" t="s">
        <v>821</v>
      </c>
      <c r="C21" s="0" t="s">
        <v>812</v>
      </c>
      <c r="D21" s="0" t="s">
        <v>822</v>
      </c>
    </row>
    <row r="22" customFormat="false" ht="15" hidden="false" customHeight="false" outlineLevel="0" collapsed="false">
      <c r="A22" s="0" t="n">
        <v>21</v>
      </c>
      <c r="B22" s="0" t="s">
        <v>823</v>
      </c>
      <c r="C22" s="0" t="s">
        <v>324</v>
      </c>
      <c r="D22" s="0" t="s">
        <v>824</v>
      </c>
    </row>
    <row r="23" customFormat="false" ht="15" hidden="false" customHeight="false" outlineLevel="0" collapsed="false">
      <c r="A23" s="0" t="n">
        <v>22</v>
      </c>
      <c r="B23" s="0" t="s">
        <v>825</v>
      </c>
      <c r="C23" s="0" t="s">
        <v>771</v>
      </c>
      <c r="D23" s="0" t="s">
        <v>772</v>
      </c>
    </row>
    <row r="24" customFormat="false" ht="15" hidden="false" customHeight="false" outlineLevel="0" collapsed="false">
      <c r="A24" s="0" t="n">
        <v>23</v>
      </c>
      <c r="B24" s="0" t="s">
        <v>826</v>
      </c>
      <c r="C24" s="0" t="s">
        <v>771</v>
      </c>
      <c r="D24" s="0" t="s">
        <v>772</v>
      </c>
    </row>
    <row r="25" customFormat="false" ht="15" hidden="false" customHeight="false" outlineLevel="0" collapsed="false">
      <c r="A25" s="0" t="n">
        <v>24</v>
      </c>
      <c r="B25" s="0" t="s">
        <v>827</v>
      </c>
      <c r="C25" s="0" t="s">
        <v>771</v>
      </c>
      <c r="D25" s="0" t="s">
        <v>772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16"/>
    <col collapsed="false" customWidth="true" hidden="false" outlineLevel="0" max="4" min="4" style="0" width="60"/>
  </cols>
  <sheetData>
    <row r="1" customFormat="false" ht="15" hidden="false" customHeight="false" outlineLevel="0" collapsed="false">
      <c r="A1" s="0" t="s">
        <v>828</v>
      </c>
      <c r="B1" s="0" t="s">
        <v>829</v>
      </c>
      <c r="C1" s="0" t="s">
        <v>59</v>
      </c>
      <c r="D1" s="0" t="s">
        <v>830</v>
      </c>
    </row>
    <row r="2" customFormat="false" ht="15" hidden="false" customHeight="false" outlineLevel="0" collapsed="false">
      <c r="A2" s="0" t="s">
        <v>831</v>
      </c>
      <c r="B2" s="0" t="s">
        <v>832</v>
      </c>
      <c r="C2" s="0" t="s">
        <v>833</v>
      </c>
      <c r="D2" s="0" t="s">
        <v>834</v>
      </c>
    </row>
    <row r="3" customFormat="false" ht="15" hidden="false" customHeight="false" outlineLevel="0" collapsed="false">
      <c r="A3" s="0" t="s">
        <v>835</v>
      </c>
      <c r="B3" s="0" t="s">
        <v>836</v>
      </c>
      <c r="C3" s="0" t="s">
        <v>833</v>
      </c>
      <c r="D3" s="0" t="s">
        <v>837</v>
      </c>
    </row>
    <row r="4" customFormat="false" ht="15" hidden="false" customHeight="false" outlineLevel="0" collapsed="false">
      <c r="A4" s="0" t="s">
        <v>838</v>
      </c>
      <c r="B4" s="0" t="s">
        <v>839</v>
      </c>
      <c r="C4" s="0" t="s">
        <v>833</v>
      </c>
      <c r="D4" s="0" t="s">
        <v>840</v>
      </c>
    </row>
    <row r="5" customFormat="false" ht="15" hidden="false" customHeight="false" outlineLevel="0" collapsed="false">
      <c r="A5" s="0" t="s">
        <v>841</v>
      </c>
      <c r="B5" s="0" t="s">
        <v>842</v>
      </c>
      <c r="C5" s="0" t="s">
        <v>833</v>
      </c>
      <c r="D5" s="0" t="s">
        <v>843</v>
      </c>
    </row>
    <row r="6" customFormat="false" ht="15" hidden="false" customHeight="false" outlineLevel="0" collapsed="false">
      <c r="A6" s="0" t="s">
        <v>844</v>
      </c>
      <c r="B6" s="0" t="s">
        <v>845</v>
      </c>
      <c r="C6" s="0" t="s">
        <v>833</v>
      </c>
      <c r="D6" s="0" t="s">
        <v>846</v>
      </c>
    </row>
    <row r="7" customFormat="false" ht="15" hidden="false" customHeight="false" outlineLevel="0" collapsed="false">
      <c r="A7" s="0" t="s">
        <v>847</v>
      </c>
      <c r="B7" s="0" t="s">
        <v>848</v>
      </c>
      <c r="C7" s="0" t="s">
        <v>833</v>
      </c>
      <c r="D7" s="0" t="s">
        <v>849</v>
      </c>
    </row>
    <row r="8" customFormat="false" ht="15" hidden="false" customHeight="false" outlineLevel="0" collapsed="false">
      <c r="A8" s="0" t="s">
        <v>850</v>
      </c>
      <c r="B8" s="0" t="s">
        <v>851</v>
      </c>
      <c r="C8" s="0" t="s">
        <v>833</v>
      </c>
      <c r="D8" s="0" t="s">
        <v>852</v>
      </c>
    </row>
    <row r="9" customFormat="false" ht="15" hidden="false" customHeight="false" outlineLevel="0" collapsed="false">
      <c r="A9" s="0" t="s">
        <v>853</v>
      </c>
      <c r="B9" s="0" t="s">
        <v>854</v>
      </c>
      <c r="C9" s="0" t="s">
        <v>833</v>
      </c>
      <c r="D9" s="0" t="s">
        <v>855</v>
      </c>
    </row>
    <row r="10" customFormat="false" ht="15" hidden="false" customHeight="false" outlineLevel="0" collapsed="false">
      <c r="A10" s="0" t="s">
        <v>856</v>
      </c>
      <c r="B10" s="0" t="s">
        <v>857</v>
      </c>
      <c r="C10" s="0" t="s">
        <v>833</v>
      </c>
      <c r="D10" s="0" t="s">
        <v>858</v>
      </c>
    </row>
    <row r="11" customFormat="false" ht="15" hidden="false" customHeight="false" outlineLevel="0" collapsed="false">
      <c r="A11" s="0" t="s">
        <v>859</v>
      </c>
      <c r="B11" s="0" t="s">
        <v>860</v>
      </c>
      <c r="C11" s="0" t="s">
        <v>833</v>
      </c>
      <c r="D11" s="0" t="s">
        <v>861</v>
      </c>
    </row>
    <row r="12" customFormat="false" ht="15" hidden="false" customHeight="false" outlineLevel="0" collapsed="false">
      <c r="A12" s="0" t="s">
        <v>862</v>
      </c>
      <c r="B12" s="0" t="s">
        <v>863</v>
      </c>
      <c r="C12" s="0" t="s">
        <v>833</v>
      </c>
      <c r="D12" s="0" t="s">
        <v>864</v>
      </c>
    </row>
    <row r="13" customFormat="false" ht="15" hidden="false" customHeight="false" outlineLevel="0" collapsed="false">
      <c r="A13" s="0" t="s">
        <v>865</v>
      </c>
      <c r="B13" s="0" t="s">
        <v>866</v>
      </c>
      <c r="C13" s="0" t="s">
        <v>833</v>
      </c>
      <c r="D13" s="0" t="s">
        <v>867</v>
      </c>
    </row>
    <row r="14" customFormat="false" ht="15" hidden="false" customHeight="false" outlineLevel="0" collapsed="false">
      <c r="A14" s="0" t="s">
        <v>868</v>
      </c>
      <c r="B14" s="0" t="s">
        <v>869</v>
      </c>
      <c r="C14" s="0" t="s">
        <v>833</v>
      </c>
      <c r="D14" s="0" t="s">
        <v>870</v>
      </c>
    </row>
    <row r="15" customFormat="false" ht="15" hidden="false" customHeight="false" outlineLevel="0" collapsed="false">
      <c r="A15" s="0" t="s">
        <v>871</v>
      </c>
      <c r="B15" s="0" t="s">
        <v>872</v>
      </c>
      <c r="C15" s="0" t="s">
        <v>833</v>
      </c>
      <c r="D15" s="0" t="s">
        <v>873</v>
      </c>
    </row>
    <row r="16" customFormat="false" ht="15" hidden="false" customHeight="false" outlineLevel="0" collapsed="false">
      <c r="A16" s="0" t="s">
        <v>874</v>
      </c>
      <c r="B16" s="0" t="s">
        <v>875</v>
      </c>
      <c r="C16" s="0" t="s">
        <v>833</v>
      </c>
      <c r="D16" s="0" t="s">
        <v>876</v>
      </c>
    </row>
    <row r="17" customFormat="false" ht="15" hidden="false" customHeight="false" outlineLevel="0" collapsed="false">
      <c r="A17" s="0" t="s">
        <v>877</v>
      </c>
      <c r="B17" s="0" t="s">
        <v>878</v>
      </c>
      <c r="C17" s="0" t="s">
        <v>833</v>
      </c>
      <c r="D17" s="0" t="s">
        <v>879</v>
      </c>
    </row>
    <row r="18" customFormat="false" ht="15" hidden="false" customHeight="false" outlineLevel="0" collapsed="false">
      <c r="A18" s="0" t="s">
        <v>880</v>
      </c>
      <c r="B18" s="0" t="s">
        <v>881</v>
      </c>
      <c r="C18" s="0" t="s">
        <v>833</v>
      </c>
      <c r="D18" s="0" t="s">
        <v>882</v>
      </c>
    </row>
    <row r="19" customFormat="false" ht="15" hidden="false" customHeight="false" outlineLevel="0" collapsed="false">
      <c r="A19" s="0" t="s">
        <v>883</v>
      </c>
      <c r="B19" s="0" t="s">
        <v>884</v>
      </c>
      <c r="C19" s="0" t="s">
        <v>833</v>
      </c>
      <c r="D19" s="0" t="s">
        <v>885</v>
      </c>
    </row>
    <row r="20" customFormat="false" ht="15" hidden="false" customHeight="false" outlineLevel="0" collapsed="false">
      <c r="A20" s="0" t="s">
        <v>886</v>
      </c>
      <c r="B20" s="0" t="s">
        <v>887</v>
      </c>
      <c r="C20" s="0" t="s">
        <v>833</v>
      </c>
      <c r="D20" s="0" t="s">
        <v>888</v>
      </c>
    </row>
    <row r="21" customFormat="false" ht="15" hidden="false" customHeight="false" outlineLevel="0" collapsed="false">
      <c r="A21" s="0" t="s">
        <v>889</v>
      </c>
      <c r="B21" s="0" t="s">
        <v>890</v>
      </c>
      <c r="C21" s="0" t="s">
        <v>833</v>
      </c>
      <c r="D21" s="0" t="s">
        <v>891</v>
      </c>
    </row>
    <row r="22" customFormat="false" ht="15" hidden="false" customHeight="false" outlineLevel="0" collapsed="false">
      <c r="A22" s="0" t="s">
        <v>892</v>
      </c>
      <c r="B22" s="0" t="s">
        <v>893</v>
      </c>
      <c r="C22" s="0" t="s">
        <v>894</v>
      </c>
      <c r="D22" s="0" t="s">
        <v>895</v>
      </c>
    </row>
    <row r="23" customFormat="false" ht="15" hidden="false" customHeight="false" outlineLevel="0" collapsed="false">
      <c r="A23" s="0" t="s">
        <v>896</v>
      </c>
      <c r="B23" s="0" t="s">
        <v>897</v>
      </c>
      <c r="C23" s="0" t="s">
        <v>894</v>
      </c>
      <c r="D23" s="0" t="s">
        <v>898</v>
      </c>
    </row>
    <row r="24" customFormat="false" ht="15" hidden="false" customHeight="false" outlineLevel="0" collapsed="false">
      <c r="A24" s="0" t="s">
        <v>899</v>
      </c>
      <c r="B24" s="0" t="s">
        <v>900</v>
      </c>
      <c r="C24" s="0" t="s">
        <v>833</v>
      </c>
      <c r="D24" s="0" t="s">
        <v>901</v>
      </c>
    </row>
    <row r="25" customFormat="false" ht="15" hidden="false" customHeight="false" outlineLevel="0" collapsed="false">
      <c r="A25" s="0" t="s">
        <v>902</v>
      </c>
      <c r="B25" s="0" t="s">
        <v>903</v>
      </c>
      <c r="C25" s="0" t="s">
        <v>833</v>
      </c>
      <c r="D25" s="0" t="s">
        <v>904</v>
      </c>
    </row>
    <row r="26" customFormat="false" ht="15" hidden="false" customHeight="false" outlineLevel="0" collapsed="false">
      <c r="A26" s="0" t="s">
        <v>905</v>
      </c>
      <c r="B26" s="0" t="s">
        <v>906</v>
      </c>
      <c r="C26" s="0" t="s">
        <v>894</v>
      </c>
      <c r="D26" s="0" t="s">
        <v>907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908</v>
      </c>
    </row>
    <row r="2" customFormat="false" ht="15" hidden="false" customHeight="false" outlineLevel="0" collapsed="false">
      <c r="A2" s="0" t="s">
        <v>909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2026-10-20T10:57:34Z</dcterms:created>
  <dc:creator>openpyxl</dc:creator>
  <dc:description/>
  <dc:language>en-US</dc:language>
  <cp:lastModifiedBy/>
  <dcterms:modified xsi:type="dcterms:W3CDTF">2026-10-20T10:57:34Z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