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<sst xmlns="http://schemas.openxmlformats.org/spreadsheetml/2006/main" count="1267" uniqueCount="850">
  <si>
    <t xml:space="preserve">Bank of America Broomfield CO1-111, Broomfield CO   |   METAL FRAMING &amp; DRYWALL TAKEOFF</t>
  </si>
  <si>
    <t xml:space="preserve">Bid set: 2025.08.26_CO1-111_Broomfield_PERMIT SET_BID SET.pdf   ·   2026-10-19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</si>
  <si>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</si>
  <si>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</si>
  <si>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</si>
  <si>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</si>
  <si>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</si>
  <si>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</si>
  <si>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</si>
  <si>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</si>
  <si>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</si>
  <si>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</si>
  <si>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</si>
  <si>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</si>
  <si>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</si>
  <si>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</si>
  <si>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</si>
  <si>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</si>
  <si>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</si>
  <si>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</si>
  <si>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</si>
  <si>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</si>
  <si>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</si>
  <si>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</si>
  <si>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</si>
  <si>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</si>
  <si>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</si>
  <si>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</si>
  <si>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</si>
  <si>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</si>
  <si>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</si>
  <si>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</si>
  <si>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</si>
  <si>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</si>
  <si>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</si>
  <si>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</si>
  <si>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</si>
  <si>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</si>
  <si>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</si>
  <si>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</si>
  <si>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</si>
  <si>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</si>
  <si>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</si>
  <si>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</si>
  <si>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</si>
  <si>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</si>
  <si>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Broomfield CO1-111, Broomfield CO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</si>
  <si>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</si>
  <si>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</si>
  <si>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</si>
  <si>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</si>
  <si>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</si>
  <si>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</si>
  <si>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</si>
  <si>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</si>
  <si>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</si>
  <si>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</si>
  <si>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</si>
  <si>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</si>
  <si>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</si>
  <si>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#EXT-F  -  Office 1 ME 105</t>
  </si>
  <si>
    <t xml:space="preserve">EXT-F</t>
  </si>
  <si>
    <t xml:space="preserve">6"</t>
  </si>
  <si>
    <t xml:space="preserve">Office 1 ME 105</t>
  </si>
  <si>
    <t xml:space="preserve">C/A09.21</t>
  </si>
  <si>
    <t xml:space="preserve">[DERIVED]</t>
  </si>
  <si>
    <t xml:space="preserve">EXT-6CFMF  #EXT-8-1+EXT-8-2  -  Office 1 ME 105 / Office 2 CL 106 / Office 3 SB 107 / Office 4 CB 108 / 116-118 zone (interior faces 10'-3" x4 chain A02.01) + Work Room 119 / Cash Window 116 zone (interior faces A02.01)</t>
  </si>
  <si>
    <t xml:space="preserve">EXT-8-1+EXT-8-2</t>
  </si>
  <si>
    <t xml:space="preserve">Office 1 ME 105 / Office 2 CL 106 / Office 3 SB 107 / Office 4 CB 108 / 116-118 zone (interior faces 10'-3" x4 chain A02.01) + Work Room 119 / Cash Window 116 zone (interior faces A02.01)</t>
  </si>
  <si>
    <t xml:space="preserve">EXT-6CFMF  #EXT-A-1+EXT-A-2  -  Wellness 115 / NER 121 / Electrical 120 / Break Room 118 (interior faces A02.01: 11'-8 3/4", 9'-7", 11'-7 1/4") + Break Room 118 / Work Room 119 (interior face A02.01 11'-8")</t>
  </si>
  <si>
    <t xml:space="preserve">EXT-A-1+EXT-A-2</t>
  </si>
  <si>
    <t xml:space="preserve">Wellness 115 / NER 121 / Electrical 120 / Break Room 118 (interior faces A02.01: 11'-8 3/4", 9'-7", 11'-7 1/4") + Break Room 118 / Work Room 119 (interior face A02.01 11'-8")</t>
  </si>
  <si>
    <t xml:space="preserve">EXT-6CFMF  #EXT-3-1+EXT-3-2  -  Office 5 CB 109 / Office 6 CB 110 (interior faces 10'-6" x2 A02.01) + Women's 114 / Men's 113 / Janitor 112 / Wellness 115 (interior faces A02.01)</t>
  </si>
  <si>
    <t xml:space="preserve">EXT-3-1+EXT-3-2</t>
  </si>
  <si>
    <t xml:space="preserve">Office 5 CB 109 / Office 6 CB 110 (interior faces 10'-6" x2 A02.01) + Women's 114 / Men's 113 / Janitor 112 / Wellness 115 (interior faces A02.01)</t>
  </si>
  <si>
    <t xml:space="preserve">EXT-6CFMF  #EXT-D  -  ATM Room 102</t>
  </si>
  <si>
    <t xml:space="preserve">EXT-D</t>
  </si>
  <si>
    <t xml:space="preserve">ATM Room 102</t>
  </si>
  <si>
    <t xml:space="preserve">EXT-6CFMF  #EXT-2  -  24 HR Vestibule 101 / ATM Room 102</t>
  </si>
  <si>
    <t xml:space="preserve">EXT-2</t>
  </si>
  <si>
    <t xml:space="preserve">24 HR Vestibule 101 / ATM Room 102</t>
  </si>
  <si>
    <t xml:space="preserve">EXT-6CFMF  #PIER-2G  -  PIER-2G</t>
  </si>
  <si>
    <t xml:space="preserve">PIER-2G</t>
  </si>
  <si>
    <t xml:space="preserve">1/A09.25</t>
  </si>
  <si>
    <t xml:space="preserve">EXT-6CFMF  #PIER-4G  -  PIER-4G</t>
  </si>
  <si>
    <t xml:space="preserve">PIER-4G</t>
  </si>
  <si>
    <t xml:space="preserve">2/A09.25</t>
  </si>
  <si>
    <t xml:space="preserve">TYPE EXT-PARAPET</t>
  </si>
  <si>
    <t xml:space="preserve">EXT-PARAPET  #PAR-G  -  PAR-G</t>
  </si>
  <si>
    <t xml:space="preserve">PAR-G</t>
  </si>
  <si>
    <t xml:space="preserve">6" parapet</t>
  </si>
  <si>
    <t xml:space="preserve">11/S5.10</t>
  </si>
  <si>
    <t xml:space="preserve">EXT-PARAPET  #PAR-4  -  PAR-4</t>
  </si>
  <si>
    <t xml:space="preserve">PAR-4</t>
  </si>
  <si>
    <t xml:space="preserve">EXT-PARAPET  #PAR-2  -  PAR-2</t>
  </si>
  <si>
    <t xml:space="preserve">PAR-2</t>
  </si>
  <si>
    <t xml:space="preserve">EXT-PARAPET  #PAR-D  -  PAR-D</t>
  </si>
  <si>
    <t xml:space="preserve">PAR-D</t>
  </si>
  <si>
    <t xml:space="preserve">EXT-PARAPET  #PAR-3-1+PAR-3-2  -  PAR-3-1 + PAR-3-2</t>
  </si>
  <si>
    <t xml:space="preserve">PAR-3-1+PAR-3-2</t>
  </si>
  <si>
    <t xml:space="preserve">PAR-3-1 + PAR-3-2</t>
  </si>
  <si>
    <t xml:space="preserve">EXT-PARAPET  #PAR-A  -  PAR-A</t>
  </si>
  <si>
    <t xml:space="preserve">PAR-A</t>
  </si>
  <si>
    <t xml:space="preserve">EXT-PARAPET  #PAR-8-1+PAR-8-2  -  PAR-8-1 + PAR-8-2</t>
  </si>
  <si>
    <t xml:space="preserve">PAR-8-1+PAR-8-2</t>
  </si>
  <si>
    <t xml:space="preserve">PAR-8-1 + PAR-8-2</t>
  </si>
  <si>
    <t xml:space="preserve">EXT-PARAPET  #PAR-F  -  PAR-F</t>
  </si>
  <si>
    <t xml:space="preserve">PAR-F</t>
  </si>
  <si>
    <t xml:space="preserve">TYPE G</t>
  </si>
  <si>
    <t xml:space="preserve">G  #G-1  -  Central Zone 103 / Office 1 ME 105</t>
  </si>
  <si>
    <t xml:space="preserve">G-1</t>
  </si>
  <si>
    <t xml:space="preserve">1-5/8"</t>
  </si>
  <si>
    <t xml:space="preserve">Central Zone 103 / Office 1 ME 105</t>
  </si>
  <si>
    <t xml:space="preserve">5/A12.01</t>
  </si>
  <si>
    <t xml:space="preserve">G  #G-2  -  Central Zone 103 / Office 1 ME 105 / Office 2 CL 106</t>
  </si>
  <si>
    <t xml:space="preserve">G-2</t>
  </si>
  <si>
    <t xml:space="preserve">Central Zone 103 / Office 1 ME 105 / Office 2 CL 106</t>
  </si>
  <si>
    <t xml:space="preserve">G  #G-3  -  Central Zone 103 / Office 2 CL 106 / Office 3 SB 107</t>
  </si>
  <si>
    <t xml:space="preserve">G-3</t>
  </si>
  <si>
    <t xml:space="preserve">Central Zone 103 / Office 2 CL 106 / Office 3 SB 107</t>
  </si>
  <si>
    <t xml:space="preserve">G  #G-4  -  Central Zone 103 / Office 3 SB 107 / Office 4 CB 108</t>
  </si>
  <si>
    <t xml:space="preserve">G-4</t>
  </si>
  <si>
    <t xml:space="preserve">Central Zone 103 / Office 3 SB 107 / Office 4 CB 108</t>
  </si>
  <si>
    <t xml:space="preserve">G  #G-5  -  Central Zone 103 / Office 4 CB 108</t>
  </si>
  <si>
    <t xml:space="preserve">G-5</t>
  </si>
  <si>
    <t xml:space="preserve">Central Zone 103 / Office 4 CB 108</t>
  </si>
  <si>
    <t xml:space="preserve">G  #G-6  -  Office 2 CL 106 / Office 3 SB 107</t>
  </si>
  <si>
    <t xml:space="preserve">G-6</t>
  </si>
  <si>
    <t xml:space="preserve">Office 2 CL 106 / Office 3 SB 107</t>
  </si>
  <si>
    <t xml:space="preserve">G  #G-7  -  Office 3 SB 107 / Office 4 CB 108</t>
  </si>
  <si>
    <t xml:space="preserve">G-7</t>
  </si>
  <si>
    <t xml:space="preserve">Office 3 SB 107 / Office 4 CB 108</t>
  </si>
  <si>
    <t xml:space="preserve">G  #G-8  -  Office 4 CB 108 / Cash Window 116</t>
  </si>
  <si>
    <t xml:space="preserve">G-8</t>
  </si>
  <si>
    <t xml:space="preserve">Office 4 CB 108 / Cash Window 116</t>
  </si>
  <si>
    <t xml:space="preserve">G  #G-9+G-9r  -  ATM Room 102 / Office 5 CB 109 + Central Zone 103 / Office 5 CB 109</t>
  </si>
  <si>
    <t xml:space="preserve">G-9+G-9r</t>
  </si>
  <si>
    <t xml:space="preserve">ATM Room 102 / Office 5 CB 109 + Central Zone 103 / Office 5 CB 109</t>
  </si>
  <si>
    <t xml:space="preserve">G  #G-10  -  Office 5 CB 109 / Office 6 CB 110</t>
  </si>
  <si>
    <t xml:space="preserve">G-10</t>
  </si>
  <si>
    <t xml:space="preserve">Office 5 CB 109 / Office 6 CB 110</t>
  </si>
  <si>
    <t xml:space="preserve">G  #G-11  -  Office 6 CB 110 / Women's Restroom 114</t>
  </si>
  <si>
    <t xml:space="preserve">G-11</t>
  </si>
  <si>
    <t xml:space="preserve">Office 6 CB 110 / Women's Restroom 114</t>
  </si>
  <si>
    <t xml:space="preserve">TYPE G1</t>
  </si>
  <si>
    <t xml:space="preserve">G1  #G1-1  -  Office 1 ME 105 / Office 2 CL 106</t>
  </si>
  <si>
    <t xml:space="preserve">G1-1</t>
  </si>
  <si>
    <t xml:space="preserve">Office 1 ME 105 / Office 2 CL 106</t>
  </si>
  <si>
    <t xml:space="preserve">G1  #G1-2  -  Central Zone 103 / Office 5 CB 109 / Office 6 CB 110</t>
  </si>
  <si>
    <t xml:space="preserve">G1-2</t>
  </si>
  <si>
    <t xml:space="preserve">Central Zone 103 / Office 5 CB 109 / Office 6 CB 110</t>
  </si>
  <si>
    <t xml:space="preserve">G1  #G1-3  -  Central Zone 103 / Office 6 CB 110</t>
  </si>
  <si>
    <t xml:space="preserve">G1-3</t>
  </si>
  <si>
    <t xml:space="preserve">Central Zone 103 / Office 6 CB 110</t>
  </si>
  <si>
    <t xml:space="preserve">TYPE B2K</t>
  </si>
  <si>
    <t xml:space="preserve">B2K  #B2K-1  -  Office 4 CB 108 / Cash Window 116</t>
  </si>
  <si>
    <t xml:space="preserve">B2K-1</t>
  </si>
  <si>
    <t xml:space="preserve">4/A12.01</t>
  </si>
  <si>
    <t xml:space="preserve">TYPE A1K</t>
  </si>
  <si>
    <t xml:space="preserve">A1K  #A1K-1+A1K-1r+A1K-1c  -  void behind A1K-1 / office 108 side / Cash Window 116 + void behind A1K-1 / B2K end / G-8 end (no finish face, walls abut) + void behind A1K-1 / Cash Window 116</t>
  </si>
  <si>
    <t xml:space="preserve">A1K-1+A1K-1r+A1K-1c</t>
  </si>
  <si>
    <t xml:space="preserve">3-5/8"</t>
  </si>
  <si>
    <t xml:space="preserve">void behind A1K-1 / office 108 side / Cash Window 116 + void behind A1K-1 / B2K end / G-8 end (no finish face, walls abut) + void behind A1K-1 / Cash Window 116</t>
  </si>
  <si>
    <t xml:space="preserve">A1K  #A1K-2  -  Cash Window 116 / Future FCAM (116 bay)</t>
  </si>
  <si>
    <t xml:space="preserve">A1K-2</t>
  </si>
  <si>
    <t xml:space="preserve">Cash Window 116 / Future FCAM (116 bay)</t>
  </si>
  <si>
    <t xml:space="preserve">A1K  #A1K-3  -  Cash Window 116 / FCAM (behind C1-a furring)</t>
  </si>
  <si>
    <t xml:space="preserve">A1K-3</t>
  </si>
  <si>
    <t xml:space="preserve">Cash Window 116 / FCAM (behind C1-a furring)</t>
  </si>
  <si>
    <t xml:space="preserve">TYPE C1</t>
  </si>
  <si>
    <t xml:space="preserve">C1  #C1-a  -  Future FCAM (116 bay)</t>
  </si>
  <si>
    <t xml:space="preserve">C1-a</t>
  </si>
  <si>
    <t xml:space="preserve">Future FCAM (116 bay)</t>
  </si>
  <si>
    <t xml:space="preserve">6/A12.01</t>
  </si>
  <si>
    <t xml:space="preserve">C1  #C1-b+C1-br1+C1-br2  -  Waiting 104</t>
  </si>
  <si>
    <t xml:space="preserve">C1-b+C1-br1+C1-br2</t>
  </si>
  <si>
    <t xml:space="preserve">Waiting 104</t>
  </si>
  <si>
    <t xml:space="preserve">C1  #C1-chN  -  Women's Restroom 114</t>
  </si>
  <si>
    <t xml:space="preserve">C1-chN</t>
  </si>
  <si>
    <t xml:space="preserve">Women's Restroom 114</t>
  </si>
  <si>
    <t xml:space="preserve">C1  #C1-chS  -  Men's Restroom 113</t>
  </si>
  <si>
    <t xml:space="preserve">C1-chS</t>
  </si>
  <si>
    <t xml:space="preserve">Men's Restroom 113</t>
  </si>
  <si>
    <t xml:space="preserve">C1  #PIER-C1-31  -  Vestibule 100</t>
  </si>
  <si>
    <t xml:space="preserve">PIER-C1-31</t>
  </si>
  <si>
    <t xml:space="preserve">Vestibule 100</t>
  </si>
  <si>
    <t xml:space="preserve">C1  #PIER-C1-30  -  Vestibule 100</t>
  </si>
  <si>
    <t xml:space="preserve">PIER-C1-30</t>
  </si>
  <si>
    <t xml:space="preserve">C1  #PIER-C1-32  -  Vestibule 100 / Central Zone 103 / 24 HR Vestibule 101 / 100/101 (glass front VH-1 meets mid-face)</t>
  </si>
  <si>
    <t xml:space="preserve">PIER-C1-32</t>
  </si>
  <si>
    <t xml:space="preserve">Vestibule 100 / Central Zone 103 / 24 HR Vestibule 101 / 100/101 (glass front VH-1 meets mid-face)</t>
  </si>
  <si>
    <t xml:space="preserve">3/A08.21</t>
  </si>
  <si>
    <t xml:space="preserve">C1  #PIER-C1-33  -  24 HR Vestibule 101 / Central Zone 103</t>
  </si>
  <si>
    <t xml:space="preserve">PIER-C1-33</t>
  </si>
  <si>
    <t xml:space="preserve">24 HR Vestibule 101 / Central Zone 103</t>
  </si>
  <si>
    <t xml:space="preserve">TYPE A5</t>
  </si>
  <si>
    <t xml:space="preserve">A5  #A5-1  -  Break Room 118 / Future FCAM (116 bay) / Cash Window 116</t>
  </si>
  <si>
    <t xml:space="preserve">A5-1</t>
  </si>
  <si>
    <t xml:space="preserve">Break Room 118 / Future FCAM (116 bay) / Cash Window 116</t>
  </si>
  <si>
    <t xml:space="preserve">3/A12.01</t>
  </si>
  <si>
    <t xml:space="preserve">A5  #A5-14a+A5-14b  -  Calling Cubes 122 / Central Zone 103 + Calling Cubes 122 / Central Zone 103 (east strip, teller line)</t>
  </si>
  <si>
    <t xml:space="preserve">A5-14a+A5-14b</t>
  </si>
  <si>
    <t xml:space="preserve">Calling Cubes 122 / Central Zone 103 + Calling Cubes 122 / Central Zone 103 (east strip, teller line)</t>
  </si>
  <si>
    <t xml:space="preserve">A5  #A5-15  -  Central Zone 103 / Calling Cubes 122</t>
  </si>
  <si>
    <t xml:space="preserve">A5-15</t>
  </si>
  <si>
    <t xml:space="preserve">Central Zone 103 / Calling Cubes 122</t>
  </si>
  <si>
    <t xml:space="preserve">A5  #A5-16a+A5-16b  -  Corridor 111 / Calling Cubes 122</t>
  </si>
  <si>
    <t xml:space="preserve">A5-16a+A5-16b</t>
  </si>
  <si>
    <t xml:space="preserve">Corridor 111 / Calling Cubes 122</t>
  </si>
  <si>
    <t xml:space="preserve">TYPE B2</t>
  </si>
  <si>
    <t xml:space="preserve">B2  #B2-a  -  Break Room 118 / Cash Window 116 / Work Room 119</t>
  </si>
  <si>
    <t xml:space="preserve">B2-a</t>
  </si>
  <si>
    <t xml:space="preserve">Break Room 118 / Cash Window 116 / Work Room 119</t>
  </si>
  <si>
    <t xml:space="preserve">1/A12.01</t>
  </si>
  <si>
    <t xml:space="preserve">B2  #B2-1  -  ATM Room 102 / Central Zone 103</t>
  </si>
  <si>
    <t xml:space="preserve">B2-1</t>
  </si>
  <si>
    <t xml:space="preserve">ATM Room 102 / Central Zone 103</t>
  </si>
  <si>
    <t xml:space="preserve">B2  #B2-ua+B2-ub  -  Women's Restroom 114 / Corridor 111</t>
  </si>
  <si>
    <t xml:space="preserve">B2-ua+B2-ub</t>
  </si>
  <si>
    <t xml:space="preserve">Women's Restroom 114 / Corridor 111</t>
  </si>
  <si>
    <t xml:space="preserve">B2  #B2-l  -  Men's Restroom 113 / Storage 117 / Wellness 115 / Corridor 111</t>
  </si>
  <si>
    <t xml:space="preserve">B2-l</t>
  </si>
  <si>
    <t xml:space="preserve">Men's Restroom 113 / Storage 117 / Wellness 115 / Corridor 111</t>
  </si>
  <si>
    <t xml:space="preserve">TYPE A1</t>
  </si>
  <si>
    <t xml:space="preserve">A1  #A1-9  -  Cash Window 116 / Work Room 119</t>
  </si>
  <si>
    <t xml:space="preserve">A1-9</t>
  </si>
  <si>
    <t xml:space="preserve">Cash Window 116 / Work Room 119</t>
  </si>
  <si>
    <t xml:space="preserve">A1  #A1-6  -  Central Zone 103 (east strip, teller line) / Break Room 118</t>
  </si>
  <si>
    <t xml:space="preserve">A1-6</t>
  </si>
  <si>
    <t xml:space="preserve">Central Zone 103 (east strip, teller line) / Break Room 118</t>
  </si>
  <si>
    <t xml:space="preserve">A1  #A1-7  -  Break Room 118 / Central Zone 103 (east strip, teller line)</t>
  </si>
  <si>
    <t xml:space="preserve">A1-7</t>
  </si>
  <si>
    <t xml:space="preserve">Break Room 118 / Central Zone 103 (east strip, teller line)</t>
  </si>
  <si>
    <t xml:space="preserve">A1  #A1-5  -  Calling Cubes 122 / Break Room 118</t>
  </si>
  <si>
    <t xml:space="preserve">A1-5</t>
  </si>
  <si>
    <t xml:space="preserve">Calling Cubes 122 / Break Room 118</t>
  </si>
  <si>
    <t xml:space="preserve">A1  #A1-1  -  Waiting 104 / 104 (behind C1-b furring, no A1 board) / MW01 niche (open to Central Zone 103) / Calling Cubes 122</t>
  </si>
  <si>
    <t xml:space="preserve">A1-1</t>
  </si>
  <si>
    <t xml:space="preserve">Waiting 104 / 104 (behind C1-b furring, no A1 board) / MW01 niche (open to Central Zone 103) / Calling Cubes 122</t>
  </si>
  <si>
    <t xml:space="preserve">A1  #A1-2  -  MW01 niche (open to Central Zone 103) / Calling Cubes 122</t>
  </si>
  <si>
    <t xml:space="preserve">A1-2</t>
  </si>
  <si>
    <t xml:space="preserve">MW01 niche (open to Central Zone 103) / Calling Cubes 122</t>
  </si>
  <si>
    <t xml:space="preserve">A1  #A1-3  -  MW01 niche (open to Central Zone 103) / Calling Cubes 122</t>
  </si>
  <si>
    <t xml:space="preserve">A1-3</t>
  </si>
  <si>
    <t xml:space="preserve">A1  #A1-4  -  Central Zone 103 / Corridor 111</t>
  </si>
  <si>
    <t xml:space="preserve">A1-4</t>
  </si>
  <si>
    <t xml:space="preserve">Central Zone 103 / Corridor 111</t>
  </si>
  <si>
    <t xml:space="preserve">A1  #A1-corr  -  Corridor 111 / Break Room 118 / Electrical 120 / NER 121</t>
  </si>
  <si>
    <t xml:space="preserve">A1-corr</t>
  </si>
  <si>
    <t xml:space="preserve">Corridor 111 / Break Room 118 / Electrical 120 / NER 121</t>
  </si>
  <si>
    <t xml:space="preserve">A1  #A1u-1a+A1u-1b+A1u-1c  -  Women's Restroom 114 / Corridor 111 + Women's Restroom 114 / chase cavity (no board) / Men's Restroom 113 / Corridor 111 + Corridor 111 / Men's Restroom 113</t>
  </si>
  <si>
    <t xml:space="preserve">A1u-1a+A1u-1b+A1u-1c</t>
  </si>
  <si>
    <t xml:space="preserve">Women's Restroom 114 / Corridor 111 + Women's Restroom 114 / chase cavity (no board) / Men's Restroom 113 / Corridor 111 + Corridor 111 / Men's Restroom 113</t>
  </si>
  <si>
    <t xml:space="preserve">TYPE B</t>
  </si>
  <si>
    <t xml:space="preserve">B  #B-1  -  Break Room 118 / Electrical 120</t>
  </si>
  <si>
    <t xml:space="preserve">B-1</t>
  </si>
  <si>
    <t xml:space="preserve">Break Room 118 / Electrical 120</t>
  </si>
  <si>
    <t xml:space="preserve">B  #B-2  -  Electrical 120 / NER 121</t>
  </si>
  <si>
    <t xml:space="preserve">B-2</t>
  </si>
  <si>
    <t xml:space="preserve">Electrical 120 / NER 121</t>
  </si>
  <si>
    <t xml:space="preserve">B  #B-3  -  Electrical 120 / NER 121 / Break Room 118</t>
  </si>
  <si>
    <t xml:space="preserve">B-3</t>
  </si>
  <si>
    <t xml:space="preserve">Electrical 120 / NER 121 / Break Room 118</t>
  </si>
  <si>
    <t xml:space="preserve">B  #B-4  -  Men's Restroom 113 / Janitor Closet 112 / Storage 117</t>
  </si>
  <si>
    <t xml:space="preserve">B-4</t>
  </si>
  <si>
    <t xml:space="preserve">Men's Restroom 113 / Janitor Closet 112 / Storage 117</t>
  </si>
  <si>
    <t xml:space="preserve">B  #B-5  -  Janitor Closet 112 / Storage 117</t>
  </si>
  <si>
    <t xml:space="preserve">B-5</t>
  </si>
  <si>
    <t xml:space="preserve">Janitor Closet 112 / Storage 117</t>
  </si>
  <si>
    <t xml:space="preserve">B  #B-6  -  Janitor Closet 112 / Storage 117 / Wellness 115</t>
  </si>
  <si>
    <t xml:space="preserve">B-6</t>
  </si>
  <si>
    <t xml:space="preserve">Janitor Closet 112 / Storage 117 / Wellness 115</t>
  </si>
  <si>
    <t xml:space="preserve">TYPE F</t>
  </si>
  <si>
    <t xml:space="preserve">F  #F-1  -  24 HR Vestibule 101 / ATM Room 102</t>
  </si>
  <si>
    <t xml:space="preserve">F-1</t>
  </si>
  <si>
    <t xml:space="preserve">12/A12.01</t>
  </si>
  <si>
    <t xml:space="preserve">TYPE BULKHEAD-G</t>
  </si>
  <si>
    <t xml:space="preserve">BULKHEAD-G  #BH-E1+BH-E2+BH-E3+BH-E4  -  Office 1 ME 105 / Central Zone 103 / bulkhead soffit (bottom) + Office 2 CL 106 / Central Zone 103 / bulkhead soffit (bottom) + Office 3 SB 107 / Central Zone 103 / bulkhead soffit (bottom) + Office 4 CB 108 / Central Zone 103 / bulkhead soffit (bottom)</t>
  </si>
  <si>
    <t xml:space="preserve">BH-E1+BH-E2+BH-E3+BH-E4</t>
  </si>
  <si>
    <t xml:space="preserve">Office 1 ME 105 / Central Zone 103 / bulkhead soffit (bottom) + Office 2 CL 106 / Central Zone 103 / bulkhead soffit (bottom) + Office 3 SB 107 / Central Zone 103 / bulkhead soffit (bottom) + Office 4 CB 108 / Central Zone 103 / bulkhead soffit (bottom)</t>
  </si>
  <si>
    <t xml:space="preserve">9/A12.01</t>
  </si>
  <si>
    <t xml:space="preserve">BULKHEAD-G  #BH-W1+BH-W2  -  Office 5 CB 109 / Central Zone 103 / bulkhead soffit (bottom) + Office 6 CB 110 / Central Zone 103 / bulkhead soffit (bottom)</t>
  </si>
  <si>
    <t xml:space="preserve">BH-W1+BH-W2</t>
  </si>
  <si>
    <t xml:space="preserve">Office 5 CB 109 / Central Zone 103 / bulkhead soffit (bottom) + Office 6 CB 110 / Central Zone 103 / bulkhead soffit (bottom)</t>
  </si>
  <si>
    <t xml:space="preserve">TYPE CANOPY-COL</t>
  </si>
  <si>
    <t xml:space="preserve">CANOPY-COL  #COL-1  -  COL-1</t>
  </si>
  <si>
    <t xml:space="preserve">COL-1</t>
  </si>
  <si>
    <t xml:space="preserve">5/A09.25</t>
  </si>
  <si>
    <t xml:space="preserve">CANOPY-COL  #COL-2  -  COL-2</t>
  </si>
  <si>
    <t xml:space="preserve">COL-2</t>
  </si>
  <si>
    <t xml:space="preserve">CANOPY-COL  #COL-3  -  COL-3</t>
  </si>
  <si>
    <t xml:space="preserve">COL-3</t>
  </si>
  <si>
    <t xml:space="preserve">CANOPY-COL  #COL-4  -  COL-4</t>
  </si>
  <si>
    <t xml:space="preserve">COL-4</t>
  </si>
  <si>
    <t xml:space="preserve">TOTAL - PARTITIONS</t>
  </si>
  <si>
    <t xml:space="preserve">TYPE OTHER FRAMING (NOT A PARTITION)</t>
  </si>
  <si>
    <t xml:space="preserve">grille_head  #GH-D103  -  coiling grille D-103 head, grid 4 between the C1 grille jamb boxes (PIER-C1-32 / PIER-C1-33), 24 HR Vestibule 101 / Central Zone 103</t>
  </si>
  <si>
    <t xml:space="preserve">GH-D103</t>
  </si>
  <si>
    <t xml:space="preserve">2-1/2"</t>
  </si>
  <si>
    <t xml:space="preserve">coiling grille D-103 head, grid 4 between the C1 grille jamb boxes (PIER-C1-32 / PIER-C1-33), 24 HR Vestibule 101 / Central Zone 103</t>
  </si>
  <si>
    <t xml:space="preserve">4/A08.21</t>
  </si>
  <si>
    <t xml:space="preserve">storefront_cripples  #SFC-G  -  Vestibule 100</t>
  </si>
  <si>
    <t xml:space="preserve">SFC-G</t>
  </si>
  <si>
    <t xml:space="preserve">2/A09.26</t>
  </si>
  <si>
    <t xml:space="preserve">storefront_cripples  #SFC-F  -  Central Zone 103</t>
  </si>
  <si>
    <t xml:space="preserve">SFC-F</t>
  </si>
  <si>
    <t xml:space="preserve">Central Zone 103</t>
  </si>
  <si>
    <t xml:space="preserve">storefront_cripples  #SFC-2  -  Vestibule 100</t>
  </si>
  <si>
    <t xml:space="preserve">SFC-2</t>
  </si>
  <si>
    <t xml:space="preserve">roof_step  #RS-1  -  RS-1</t>
  </si>
  <si>
    <t xml:space="preserve">RS-1</t>
  </si>
  <si>
    <t xml:space="preserve">4/A02.02</t>
  </si>
  <si>
    <t xml:space="preserve">roof_step  #RS-2  -  Central Zone side</t>
  </si>
  <si>
    <t xml:space="preserve">RS-2</t>
  </si>
  <si>
    <t xml:space="preserve">Central Zone side</t>
  </si>
  <si>
    <t xml:space="preserve">roof_step  #RS-3  -  low-roof room side</t>
  </si>
  <si>
    <t xml:space="preserve">RS-3</t>
  </si>
  <si>
    <t xml:space="preserve">low-roof room side</t>
  </si>
  <si>
    <t xml:space="preserve">fascia_box  #FB-N  -  FB-N</t>
  </si>
  <si>
    <t xml:space="preserve">FB-N</t>
  </si>
  <si>
    <t xml:space="preserve">3-5/8" canopy</t>
  </si>
  <si>
    <t xml:space="preserve">7/A09.26</t>
  </si>
  <si>
    <t xml:space="preserve">fascia_box  #FB-E  -  FB-E</t>
  </si>
  <si>
    <t xml:space="preserve">FB-E</t>
  </si>
  <si>
    <t xml:space="preserve">fascia_box  #FB-W  -  FB-W</t>
  </si>
  <si>
    <t xml:space="preserve">FB-W</t>
  </si>
  <si>
    <t xml:space="preserve">fascia_box  #FB-S  -  FB-S</t>
  </si>
  <si>
    <t xml:space="preserve">FB-S</t>
  </si>
  <si>
    <t xml:space="preserve">ceiling_transition  #TR-104-N  -  WAITING 104 GB 11'-0" to CENTRAL ZONE 103 ACT-4 11'-6" - N edge</t>
  </si>
  <si>
    <t xml:space="preserve">TR-104-N</t>
  </si>
  <si>
    <t xml:space="preserve">WAITING 104 GB 11'-0" to CENTRAL ZONE 103 ACT-4 11'-6" - N edge</t>
  </si>
  <si>
    <t xml:space="preserve">8/A09.33</t>
  </si>
  <si>
    <t xml:space="preserve">ceiling_transition  #TR-104-W  -  WAITING 104 GB 11'-0" to CENTRAL ZONE 103 ACT-4 11'-6" - W edge</t>
  </si>
  <si>
    <t xml:space="preserve">TR-104-W</t>
  </si>
  <si>
    <t xml:space="preserve">WAITING 104 GB 11'-0" to CENTRAL ZONE 103 ACT-4 11'-6" - W edge</t>
  </si>
  <si>
    <t xml:space="preserve">ceiling_transition  #TR-104-E  -  WAITING 104 GB 11'-0" to CENTRAL ZONE 103 ACT-4 11'-6" - E edge</t>
  </si>
  <si>
    <t xml:space="preserve">TR-104-E</t>
  </si>
  <si>
    <t xml:space="preserve">WAITING 104 GB 11'-0" to CENTRAL ZONE 103 ACT-4 11'-6" - E edge</t>
  </si>
  <si>
    <t xml:space="preserve">soffit_side  #CSR-116-E-1  -  CASH WINDOW 116 CSR soffit - drop line E (north of grid B deck break)</t>
  </si>
  <si>
    <t xml:space="preserve">CSR-116-E-1</t>
  </si>
  <si>
    <t xml:space="preserve">CASH WINDOW 116 CSR soffit - drop line E (north of grid B deck break)</t>
  </si>
  <si>
    <t xml:space="preserve">10/A09.33</t>
  </si>
  <si>
    <t xml:space="preserve">soffit_side  #CSR-116-E-2  -  CASH WINDOW 116 CSR soffit - drop line E (south of grid B deck break)</t>
  </si>
  <si>
    <t xml:space="preserve">CSR-116-E-2</t>
  </si>
  <si>
    <t xml:space="preserve">CASH WINDOW 116 CSR soffit - drop line E (south of grid B deck break)</t>
  </si>
  <si>
    <t xml:space="preserve">vestibule_head  #VHW-1  -  Over interior glass front VH-1 (GL-3/GL-4, door D-101) between Vestibule 100 and 24 HR Vestibule 101, from inner face of EXT-2 (grid 2) to PIER-C1-32 (grid 4)</t>
  </si>
  <si>
    <t xml:space="preserve">VHW-1</t>
  </si>
  <si>
    <t xml:space="preserve">Over interior glass front VH-1 (GL-3/GL-4, door D-101) between Vestibule 100 and 24 HR Vestibule 101, from inner face of EXT-2 (grid 2) to PIER-C1-32 (grid 4)</t>
  </si>
  <si>
    <t xml:space="preserve">7/A12.10</t>
  </si>
  <si>
    <t xml:space="preserve">vestibule_head  #VHW-2  -  Over interior glass front VH-2 on grid 4 (door D-100A + sidelite) between Vestibule 100 and Central Zone 103, from PIER-C1-30 (grid 4/G storefront pier) to PIER-C1-32</t>
  </si>
  <si>
    <t xml:space="preserve">VHW-2</t>
  </si>
  <si>
    <t xml:space="preserve">Over interior glass front VH-2 on grid 4 (door D-100A + sidelite) between Vestibule 100 and Central Zone 103, from PIER-C1-30 (grid 4/G storefront pier) to PIER-C1-32</t>
  </si>
  <si>
    <t xml:space="preserve">5/A12.10</t>
  </si>
  <si>
    <t xml:space="preserve">soffit_side  #CSR-116-W-1  -  CASH WINDOW 116 CSR soffit - drop line W (north of grid B deck break)</t>
  </si>
  <si>
    <t xml:space="preserve">CSR-116-W-1</t>
  </si>
  <si>
    <t xml:space="preserve">CASH WINDOW 116 CSR soffit - drop line W (north of grid B deck break)</t>
  </si>
  <si>
    <t xml:space="preserve">soffit_side  #CSR-116-W-2  -  CASH WINDOW 116 CSR soffit - drop line W (south of grid B deck break)</t>
  </si>
  <si>
    <t xml:space="preserve">CSR-116-W-2</t>
  </si>
  <si>
    <t xml:space="preserve">CASH WINDOW 116 CSR soffit - drop line W (south of grid B deck break)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</si>
  <si>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</si>
  <si>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</si>
  <si>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</si>
  <si>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</si>
  <si>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</si>
  <si>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</si>
  <si>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</si>
  <si>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</si>
  <si>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</si>
  <si>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</si>
  <si>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</si>
  <si>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</si>
  <si>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600S162-54 / 600S137-33 (exterior CFMF + interior 6" types)</t>
  </si>
  <si>
    <t xml:space="preserve">LF</t>
  </si>
  <si>
    <t xml:space="preserve">stick 20 ft</t>
  </si>
  <si>
    <t xml:space="preserve">familias_out.json '6" stud (all gauges)'; studs_out.json; C/A09.21, 7/S5.20, S1.11</t>
  </si>
  <si>
    <t xml:space="preserve">3-5/8" metal stud 362S137-33</t>
  </si>
  <si>
    <t xml:space="preserve">familias_out.json '3-5/8" stud (all gauges)'; studs_out.json; 1/A12.01, 3/A12.01, 7/S5.20</t>
  </si>
  <si>
    <t xml:space="preserve">1-5/8" metal stud (G / G1 double row office partitions)</t>
  </si>
  <si>
    <t xml:space="preserve">familias_out.json '1-5/8" stud'; studs_out.json; 5/A12.01</t>
  </si>
  <si>
    <t xml:space="preserve">6" parapet stud 600S162-54 (bay by bay between HSS posts)</t>
  </si>
  <si>
    <t xml:space="preserve">familias_out.json '6" parapet stud'; 11/S5.10, 10/S5.10 (E3)</t>
  </si>
  <si>
    <t xml:space="preserve">Ceiling / soffit track 3-5/8" (ceiling perimeter, fascia, soffits, transitions)</t>
  </si>
  <si>
    <t xml:space="preserve">run 10 ft</t>
  </si>
  <si>
    <t xml:space="preserve">familias_out.json 'ceiling / soffit track'; corridas_out.json; 7/A09.26, 8/A09.33, 10/A09.33</t>
  </si>
  <si>
    <t xml:space="preserve">1-1/2" C.R. channel bracing @ 48" O.C.</t>
  </si>
  <si>
    <t xml:space="preserve">C.R. channel 16 ft</t>
  </si>
  <si>
    <t xml:space="preserve">familias_out.json 'bracing C.R. channel'; F/1/S5.20 (53.4, 60.7)</t>
  </si>
  <si>
    <t xml:space="preserve">1x1x1 16 ga purlin (track to deck, flute parallel)</t>
  </si>
  <si>
    <t xml:space="preserve">familias_out.json 'purlin (track to deck)'; 8/A09.33 'PURLIN ACROSS MIN (2) FLUTES' (59.1)</t>
  </si>
  <si>
    <t xml:space="preserve">Header / box beam (metal stud, by pieces: (R.O. + 1'-4") x pieces)</t>
  </si>
  <si>
    <t xml:space="preserve">familias_out.json 'header / box beam'; headers_out (canon); 7/S5.20, 2/S5.20, 11/A09.27, 8/A12.01 (E1, E2, E20, E22)</t>
  </si>
  <si>
    <t xml:space="preserve">Sill track (double over 4'-0")</t>
  </si>
  <si>
    <t xml:space="preserve">familias_out.json 'sill track'; 2/S5.20 (E18)</t>
  </si>
  <si>
    <t xml:space="preserve">Furring channel 7/8" (hat) @ 16" O.C.</t>
  </si>
  <si>
    <t xml:space="preserve">hat channel 12 ft</t>
  </si>
  <si>
    <t xml:space="preserve">familias_out.json 'furring channel'; ceilings A04.01; RFI-RCP-02</t>
  </si>
  <si>
    <t xml:space="preserve">1-1/2" carrying channel @ 48" O.C.</t>
  </si>
  <si>
    <t xml:space="preserve">familias_out.json 'carrying channel'; ceilings A04.01; RFI-RCP-02</t>
  </si>
  <si>
    <t xml:space="preserve">Hanger wire 12 ga</t>
  </si>
  <si>
    <t xml:space="preserve">familias_out.json 'hanger wire'; hanger_pcs x height per room (E4); S2.20 B.O.D.</t>
  </si>
  <si>
    <t xml:space="preserve">5/8" gypsum board, regular (walls + ceilings)</t>
  </si>
  <si>
    <t xml:space="preserve">SF</t>
  </si>
  <si>
    <t xml:space="preserve">4x12 sheet</t>
  </si>
  <si>
    <t xml:space="preserve">familias_out.json '5/8" gyp board regular (walls + ceilings)'; board_out.json face by face; A12.01 details, A04.01</t>
  </si>
  <si>
    <t xml:space="preserve">5/8" gypsum board, moisture resistant (behind toilet and lavatory)</t>
  </si>
  <si>
    <t xml:space="preserve">familias_out.json '5/8" gyp MOISTURE RESISTANT'; F/A08.01, 1/A08.01 (D1)</t>
  </si>
  <si>
    <t xml:space="preserve">Ballistic panel UL752 level 2 fiberglass (NIJ type II)</t>
  </si>
  <si>
    <t xml:space="preserve">familias_out.json 'ballistic panel'; 4/A12.01 (E5, R70.5)</t>
  </si>
  <si>
    <t xml:space="preserve">3/8" gypsum board over ballistic panel</t>
  </si>
  <si>
    <t xml:space="preserve">4x8 sheet</t>
  </si>
  <si>
    <t xml:space="preserve">familias_out.json '3/8" gyp board'; 4/A12.01 (E6)</t>
  </si>
  <si>
    <t xml:space="preserve">5/8" glass mat sheathing</t>
  </si>
  <si>
    <t xml:space="preserve">familias_out.json '5/8" glass mat sheathing'; 5/A09.26, 9/A09.27, 7/A09.26 (56.3)</t>
  </si>
  <si>
    <t xml:space="preserve">5/8" exterior gypsum sheathing (parapet roof side)</t>
  </si>
  <si>
    <t xml:space="preserve">familias_out.json '5/8" EXTERIOR gyp sheathing'; 4/A09.26 (53.5)</t>
  </si>
  <si>
    <t xml:space="preserve">2x FRT wood blocking</t>
  </si>
  <si>
    <t xml:space="preserve">familias_out.json 'FRT blocking'; blocking_items (labels literal, 54.3/58.6)</t>
  </si>
  <si>
    <t xml:space="preserve">Metal stud blocking 362CR (STUD BLOCKING)</t>
  </si>
  <si>
    <t xml:space="preserve">familias_out.json 'metal stud blocking (362CR / STUD BLOCKING)'; 4/S5.20 (56.8, 59.14)</t>
  </si>
  <si>
    <t xml:space="preserve">Metal trim - corner bead, casing bead, shadow molding</t>
  </si>
  <si>
    <t xml:space="preserve">trim stick 10 ft</t>
  </si>
  <si>
    <t xml:space="preserve">familias_out.json 'metal trim (corner bead, casing, shadow molding)'; trim_items + jamb returns + transitions (53.1)</t>
  </si>
  <si>
    <t xml:space="preserve">Cement board (tile cove base backer)</t>
  </si>
  <si>
    <t xml:space="preserve">3x5 sheet</t>
  </si>
  <si>
    <t xml:space="preserve">familias_out.json 'cement board'; A08.01 tile base (58.7)</t>
  </si>
  <si>
    <t xml:space="preserve">FRP panel</t>
  </si>
  <si>
    <t xml:space="preserve">familias_out.json 'FRP'; A08.01, 3/A08.01 (53.9)</t>
  </si>
  <si>
    <t xml:space="preserve">Acoustical sealant</t>
  </si>
  <si>
    <t xml:space="preserve">tube (25 LF per tube)</t>
  </si>
  <si>
    <t xml:space="preserve">familias_out.json 'acoustical sealant'; details[*].sealant (54.4, 55.5, 56.6)</t>
  </si>
  <si>
    <t xml:space="preserve">Framed openings MEP / recessed fixtures (3-5/8" stud + track framing)</t>
  </si>
  <si>
    <t xml:space="preserve">framed_openings_out.json 'framed openings MEP'; fo_in.json (E02.01, E00.01, M01.01; 54.1, 58.5)</t>
  </si>
  <si>
    <t xml:space="preserve">Bottom track 2-1/2" (grille box head framing, 4/A08.21)</t>
  </si>
  <si>
    <t xml:space="preserve">track_por_tamano.py other split: grille_head walls (13.33); 4/A08.21</t>
  </si>
  <si>
    <t xml:space="preserve">Bottom track 6" exterior walls 600T125-33 (S5.20 METAL STUD PROPERTIES)</t>
  </si>
  <si>
    <t xml:space="preserve">track_por_tamano.py (R71.8) split of family [bottom track (all)] total 1353.78 LF; walls of stud size 6" 54 mil; S5.20 schedule names BOTTOM TRACK 600T125-33 (plan governs gauge)</t>
  </si>
  <si>
    <t xml:space="preserve">Bottom track 1-5/8"</t>
  </si>
  <si>
    <t xml:space="preserve">track_por_tamano.py (R71.8) split of family [bottom track (all)] total 1353.78 LF; walls of stud size 1-5/8"</t>
  </si>
  <si>
    <t xml:space="preserve">Bottom track 6" 14 GA</t>
  </si>
  <si>
    <t xml:space="preserve">track_por_tamano.py (R71.8) split of family [bottom track (all)] total 1353.78 LF; walls of stud size 6" 14 GA</t>
  </si>
  <si>
    <t xml:space="preserve">Bottom track 3-5/8" 14 GA</t>
  </si>
  <si>
    <t xml:space="preserve">track_por_tamano.py (R71.8) split of family [bottom track (all)] total 1353.78 LF; walls of stud size 3-5/8" 14 GA</t>
  </si>
  <si>
    <t xml:space="preserve">Bottom track 3-5/8" 33 mil</t>
  </si>
  <si>
    <t xml:space="preserve">track_por_tamano.py (R71.8) split of family [bottom track (all)] total 1353.78 LF; walls of stud size 3-5/8" 33 mil</t>
  </si>
  <si>
    <t xml:space="preserve">Bottom track 6" 33 mil</t>
  </si>
  <si>
    <t xml:space="preserve">track_por_tamano.py (R71.8) split of family [bottom track (all)] total 1353.78 LF; walls of stud size 6" 33 mil</t>
  </si>
  <si>
    <t xml:space="preserve">Bottom track 6" parapet 600T125-54 (11/S5.10)</t>
  </si>
  <si>
    <t xml:space="preserve">track_por_tamano.py other split: parapet walls (268.78); 11/S5.10</t>
  </si>
  <si>
    <t xml:space="preserve">Bottom track other (roof step, storefront cripples, vestibule heads)</t>
  </si>
  <si>
    <t xml:space="preserve">track_por_tamano.py other split: storefront_cripples 45.31, roof_step 157.0, vestibule_head 22.06; 4/A02.02, 2/A09.26, 7/A12.10, 4/A08.21</t>
  </si>
  <si>
    <t xml:space="preserve">Top / deflection track 2-1/2" (grille box head framing, 4/A08.21)</t>
  </si>
  <si>
    <t xml:space="preserve">Top / deflection track 6" exterior walls 600T200-97 (S5.20 METAL STUD PROPERTIES)</t>
  </si>
  <si>
    <t xml:space="preserve">track_por_tamano.py (R71.8) split of family [top / deflection track (all)] total 1353.78 LF; walls of stud size 6" 54 mil; S5.20 schedule names TOP TRACK 600T200-97 (plan governs gauge)</t>
  </si>
  <si>
    <t xml:space="preserve">Top / deflection track 1-5/8"</t>
  </si>
  <si>
    <t xml:space="preserve">track_por_tamano.py (R71.8) split of family [top / deflection track (all)] total 1353.78 LF; walls of stud size 1-5/8"</t>
  </si>
  <si>
    <t xml:space="preserve">Top / deflection track 6" 14 GA</t>
  </si>
  <si>
    <t xml:space="preserve">track_por_tamano.py (R71.8) split of family [top / deflection track (all)] total 1353.78 LF; walls of stud size 6" 14 GA</t>
  </si>
  <si>
    <t xml:space="preserve">Top / deflection track 3-5/8" 14 GA</t>
  </si>
  <si>
    <t xml:space="preserve">track_por_tamano.py (R71.8) split of family [top / deflection track (all)] total 1353.78 LF; walls of stud size 3-5/8" 14 GA</t>
  </si>
  <si>
    <t xml:space="preserve">Top / deflection track 3-5/8" 33 mil</t>
  </si>
  <si>
    <t xml:space="preserve">track_por_tamano.py (R71.8) split of family [top / deflection track (all)] total 1353.78 LF; walls of stud size 3-5/8" 33 mil</t>
  </si>
  <si>
    <t xml:space="preserve">Top / deflection track 6" 33 mil</t>
  </si>
  <si>
    <t xml:space="preserve">track_por_tamano.py (R71.8) split of family [top / deflection track (all)] total 1353.78 LF; walls of stud size 6" 33 mil</t>
  </si>
  <si>
    <t xml:space="preserve">Top / deflection track 6" parapet 600T125-54 (11/S5.10)</t>
  </si>
  <si>
    <t xml:space="preserve">Top / deflection track other (roof step, storefront cripples, vestibule heads)</t>
  </si>
  <si>
    <t xml:space="preserve">5/8" exterior grade FRT plywood (canopy soffits, fascia, column wraps)</t>
  </si>
  <si>
    <t xml:space="preserve">4x12 ft sheet (Inputs)</t>
  </si>
  <si>
    <t xml:space="preserve">familias_out.json FRT plywood by material; canon rows</t>
  </si>
  <si>
    <t xml:space="preserve">5/8" FRT plywood bonded to 2-1/2" polyiso (exterior sheathing / nailbase)</t>
  </si>
  <si>
    <t xml:space="preserve">3/4"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</si>
  <si>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</si>
  <si>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</si>
  <si>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</si>
  <si>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</si>
  <si>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</si>
  <si>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</si>
  <si>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</si>
  <si>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</si>
  <si>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</si>
  <si>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registered crossing (mep.cruces), 6/S5.20 plate; lines 1013.9/1025.9 = 12 pt = 8" (label 8"o); 6/S5.20; M01.01 registered crossing (mep.cruces), 6/S5.20 plate; lines 1530.3/1542.3 = 12 pt = 8" (EF-2 exhaust duct); 6/S5.20; M</t>
  </si>
  <si>
    <t xml:space="preserve">Extra framing - sistered stud and furring at the ATM recess</t>
  </si>
  <si>
    <t xml:space="preserve">accesorios.py [CRITERION]: 6/A08.11 NHA 9D DU ATM SECTION; 5/A08.11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</si>
  <si>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</si>
  <si>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</si>
  <si>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</si>
  <si>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</si>
  <si>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</si>
  <si>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restroom elevations '5'-0" TO TOP OF FRP' measured above the 6" CT-12C cove base (53.9.1); 1/A08.01 vector polygon: 10 vertices; outside (270 deg) = 2 at the carrier notch mouth + 1 at the lavatory pocket step; A-D/A08.01 restroo</t>
  </si>
  <si>
    <t xml:space="preserve">Power-driven fasteners and duct sleeves</t>
  </si>
  <si>
    <t xml:space="preserve">accesorios.py [DERIVED]: Parapet infill: PAFs SPACED AT 12" O.C. MAX to the steel beam; M01.01; M01.01 registered crossing (mep.cruces), 6/S5.20 plate; line pairs 1189.2/1207.2 (18 pt = 12") and 1210.2/1225.2 (15 pt = 10"); each MAX(1,ROUNDUP(w/16)) = 1; M01.01 reg</t>
  </si>
  <si>
    <t xml:space="preserve">Access panel 2'-0" x 2'-0"</t>
  </si>
  <si>
    <t xml:space="preserve">accesorios.py [CONFIRMED]: A04.01 key note 4 (2' X 2' LOCKING ACCESS PANEL. KEYED TO MATCH MAIN ENTRY)</t>
  </si>
  <si>
    <t xml:space="preserve">Drywall screws 1-1/4" bugle head</t>
  </si>
  <si>
    <t xml:space="preserve">accesorios.py [DERIVED]: Inputs!B20 (Drywall screws per SF of board = 1.2) x 18562.5 SF of board</t>
  </si>
  <si>
    <t xml:space="preserve">Framing screws, pan head self-drilling</t>
  </si>
  <si>
    <t xml:space="preserve">accesorios.py [DERIVED]: Inputs!B21 (Framing screws per stud piece = 4) x 1759 stud pieces</t>
  </si>
  <si>
    <t xml:space="preserve">Power-driven fasteners, slab pins for the bottom track</t>
  </si>
  <si>
    <t xml:space="preserve">accesorios.py [DERIVED]: 510.47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</si>
  <si>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</si>
  <si>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246.82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</si>
  <si>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</si>
  <si>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</si>
  <si>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</si>
  <si>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18562.5 SF of board</t>
  </si>
  <si>
    <t xml:space="preserve">Joint tape, paper</t>
  </si>
  <si>
    <t xml:space="preserve">accesorios.py [DERIVED]: Inputs!B24 (Joint tape (LF per SF) = 0.37) x 18562.5 SF of board</t>
  </si>
  <si>
    <t xml:space="preserve">Level 5 finish</t>
  </si>
  <si>
    <t xml:space="preserve">accesorios.py [DERIVED]: A05.01 finish plan WC-18 (key note 12) on this wall; A00.40; A05.01 WC-22 + key note 10; 1/A11.01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</si>
  <si>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</si>
  <si>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</si>
  <si>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</si>
  <si>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</si>
  <si>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</si>
  <si>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106.94 lf</t>
  </si>
  <si>
    <t xml:space="preserve">RFI-ACC-extra-framing-atm</t>
  </si>
  <si>
    <t xml:space="preserve">extra framing ATM: ATM-2: ATM recess not fully dimensioned (width CONFIRMED, sistered height CRITERION, furring rows CRITERION)</t>
  </si>
  <si>
    <t xml:space="preserve">8.18 lf</t>
  </si>
  <si>
    <t xml:space="preserve">RFI-ACC-gypsum-board-jamb-return</t>
  </si>
  <si>
    <t xml:space="preserve">gypsum board jamb return: jamb return width not dimensioned</t>
  </si>
  <si>
    <t xml:space="preserve">-60.59 sf</t>
  </si>
  <si>
    <t xml:space="preserve">RFI-ACC-slab-pins</t>
  </si>
  <si>
    <t xml:space="preserve">slab pins: pin spacing: 12" (interior anchorage) vs 16" (fastener schedule) vs 24" (type K box)</t>
  </si>
  <si>
    <t xml:space="preserve">16in: -127.62 pcs; 24in: -255.23 pcs</t>
  </si>
  <si>
    <t xml:space="preserve">RFI-ACC-extra-framing-atm-2</t>
  </si>
  <si>
    <t xml:space="preserve">extra framing ATM: ATM-2 recess sistered height / furring not dimensioned (6/A08.11); see RFI-ACC-ATM2</t>
  </si>
  <si>
    <t xml:space="preserve">-7.8 LF (sistered only around R.O.) / +10.9 LF (furring ours)</t>
  </si>
  <si>
    <t xml:space="preserve">RFI-ACC-2-1-2-cfmf-coiling-grill</t>
  </si>
  <si>
    <t xml:space="preserve">2-1/2" CFMF coiling grille head: head chain to top of upper box (2'-0") vs to steel (3'-10 1/2"); RFI-ACC-GRILLE / RFI-OPN-02</t>
  </si>
  <si>
    <t xml:space="preserve">+20.6 LF</t>
  </si>
  <si>
    <t xml:space="preserve">RFI-ACC-pvc-trim-at-frp</t>
  </si>
  <si>
    <t xml:space="preserve">PVC trim at FRP: mop sink FRP sides (1 vs 2); RFI-ACC-MOP</t>
  </si>
  <si>
    <t xml:space="preserve">-6 LF</t>
  </si>
  <si>
    <t xml:space="preserve">RFI-ACC-level-5-finish</t>
  </si>
  <si>
    <t xml:space="preserve">Level 5 finish: WC-20 Level 5 note without a placed WC-20 (RFI-ACC-L5)</t>
  </si>
  <si>
    <t xml:space="preserve">+101.5 SF if one office-size wall</t>
  </si>
  <si>
    <t xml:space="preserve">RFI-ACC-stud-reinforcement-mep</t>
  </si>
  <si>
    <t xml:space="preserve">stud reinforcement MEP: DUCT-M7 read as two ducts (12" + 10") ending at the east face of A5-14a; same plates if one 24" duct</t>
  </si>
  <si>
    <t xml:space="preserve">0 PCS</t>
  </si>
  <si>
    <t xml:space="preserve">RFI-EXT-08</t>
  </si>
  <si>
    <t xml:space="preserve">Roof step 4/A02.02 at grid B: three 3-5/8" stud rows are drawn but no heights are printed (T/STEEL - SEE STRUCTURAL). Confirm row heights (upper exterior row B.O.D. LOW-&gt;HI 2.32 ft, interior row low-beam bottom-&gt;high deck 3.47 ft, lower row = low beam depth 1.14 ft taken).</t>
  </si>
  <si>
    <t xml:space="preserve">each 1 ft of height on one row = 52.333 LF of 3-5/8" stud x ROUNDUP(52.33/1.333)+1 = 41 studs -&gt; 41 LF per ft of height</t>
  </si>
  <si>
    <t xml:space="preserve">RFI-EXT-01</t>
  </si>
  <si>
    <t xml:space="preserve">A09.01 titles the plan-top (entrance, grids F/G) elevation 'SOUTH ELEVATION' and A09.02 titles the plan-bottom (grid A, door 123) elevation 'NORTH ELEVATION', but the A02.01 north arrow points up. The north arrow governs (R71.1): facades N = plan top, S = plan bottom. Confirm titles.</t>
  </si>
  <si>
    <t xml:space="preserve">0 (labels only; no quantity change)</t>
  </si>
  <si>
    <t xml:space="preserve">RFI-EXT-02</t>
  </si>
  <si>
    <t xml:space="preserve">Exterior stud gauge: S1.11 LIGHT GAUGE note 5 600S162-54 @16" (@12" within 6 ft of building corners) vs 7/S5.20 METAL STUD PROPERTIES 600S137-33. Carried 600S162-54 (more material, 56.2).</t>
  </si>
  <si>
    <t xml:space="preserve">gauge only: same LF of 6" stud; weight 54 mil vs 33 mil</t>
  </si>
  <si>
    <t xml:space="preserve">RFI-EXT-03</t>
  </si>
  <si>
    <t xml:space="preserve">Canopy beams (W12x19 / W16x26 (CANOPY), T.O.S. ~11'-11 3/8") sit inside the 6" CFMF cavity (C/A09.21, 7/A09.26). Carried studs continuous to the deflection track under the roof perimeter beam (canopy_beam_split false). If studs are split at the canopy beam: + one bottom and one top track per wall (EXT-F, EXT-8-1, EXT-2, EXT-D, EXT-3-1).</t>
  </si>
  <si>
    <t xml:space="preserve">+ (12.68+50.94+21.46+3.86+22.43) = 111.37 LF bottom track and +111.37 LF top track; - studs x canopy beam depth</t>
  </si>
  <si>
    <t xml:space="preserve">RFI-EXT-04</t>
  </si>
  <si>
    <t xml:space="preserve">S2.20 canopy B.O.D. reads '111'-9" TYP. @ CANOPY' (assumed 11'-9", T.O.S. canopy 11'-9" / 11'-11 3/8"); T.O.S. of W16x26 (CANOPY) on grids 2 and 3 not printed.</t>
  </si>
  <si>
    <t xml:space="preserve">0 for wall studs (continuous); canopy band uses 7/A09.26 elevations</t>
  </si>
  <si>
    <t xml:space="preserve">RFI-EXT-05</t>
  </si>
  <si>
    <t xml:space="preserve">S2.20 prints B.O.D. 15'-4 1/2" only in the F..E bay; the E..B bay ('@ LOW ROOF' leader, hatched) has no B.O.D. H/A09.23 at grid 3 (C-B.2) shows T/STEEL 15'-4 1/2": taken as high roof F..B. Confirm.</t>
  </si>
  <si>
    <t xml:space="preserve">if E..B were at low B.O.D. 13'-0 5/8": EXT-8-1/EXT-3-1 studs -2.32 ft over ~(40.6+?) ft of wall and parapet heights +2.32 ft there</t>
  </si>
  <si>
    <t xml:space="preserve">RFI-EXT-06</t>
  </si>
  <si>
    <t xml:space="preserve">D-line jog parapet (grid 2-3) height: taken as parapet 2 (T/STUD HP 19'-8") from 2/A09.01 step at D and 2/A09.02; roof plan shows one continuous coping with grid 2.</t>
  </si>
  <si>
    <t xml:space="preserve">3.86 ft x 2.25 ft parapet height (parapet studs + nailbase 8.7 SF + ext gyp 8.7 SF)</t>
  </si>
  <si>
    <t xml:space="preserve">RFI-EXT-07</t>
  </si>
  <si>
    <t xml:space="preserve">Glass-mat band behind canopies: 7/A09.26 prints B/STUD 10'-8 5/8" (soffit) and 10'-7 1/4" (fascia). Band taken 12'-7" - 10'-8 5/8" = 1.865 ft.</t>
  </si>
  <si>
    <t xml:space="preserve">0.115 ft x Σ band LF 185.479 = 21.33 SF glass mat</t>
  </si>
  <si>
    <t xml:space="preserve">RFI-EXT-09</t>
  </si>
  <si>
    <t xml:space="preserve">Canopy soffit 3-5/8" framing (7/A09.26, 3/A09.26, 16/A09.27): joist spacing and direction not printed; taken @16" O.C. perpendicular to the fascia.</t>
  </si>
  <si>
    <t xml:space="preserve">@24": about -1/3 of canopy joist LF</t>
  </si>
  <si>
    <t xml:space="preserve">RFI-EXT-10</t>
  </si>
  <si>
    <t xml:space="preserve">Storefront piers 1/A09.25 and 2/A09.25: stud count of the exterior 6" CFMF L taken from the drawn C-shapes (4 each); spacing / corner studs not noted.</t>
  </si>
  <si>
    <t xml:space="preserve">per extra stud: 14.36 LF 6" stud per pier</t>
  </si>
  <si>
    <t xml:space="preserve">RFI-EXT-11</t>
  </si>
  <si>
    <t xml:space="preserve">Parapet blocking 4/A09.26 '3/4" F.R.T. PLYWOOD BLOCKING AS REQUIRED': plies / width not dimensioned; 1 ply carried.</t>
  </si>
  <si>
    <t xml:space="preserve">+1 ply = + 269.18 LF FRT blocking</t>
  </si>
  <si>
    <t xml:space="preserve">RFI-EXT-12</t>
  </si>
  <si>
    <t xml:space="preserve">S2.20 note 'BUILDING FOOTPRINT MIRRORED NORTH-SOUTH' and plan details 1, 2/A09.25 drawn with grid F above G (mirrored vs A02.01). Grid labels used as printed; confirm structural / detail orientation.</t>
  </si>
  <si>
    <t xml:space="preserve">0 (orientation)</t>
  </si>
  <si>
    <t xml:space="preserve">RFI-EXT-13</t>
  </si>
  <si>
    <t xml:space="preserve">Storefronts SF-GL-2#1..#3 run from the floor (R70.7): declared in openings_extra (steel_by_others HSS9x5x5/8 lintel, S2.20) and outside the EXT LF; framing above head as storefront_cripples SFC-G / SFC-F / SFC-2. openings.json suggested walls[].openings.</t>
  </si>
  <si>
    <t xml:space="preserve">0 (placement only)</t>
  </si>
  <si>
    <t xml:space="preserve">RFI-EXT-14</t>
  </si>
  <si>
    <t xml:space="preserve">ATM-2 drive-up R.O. head/sill: 6/A08.11 references the sill to the drive lane; head taken at box beam bottom 6'-0" A.F.F., sill = 6'-0" - 2'-7 1/4" (see RFI-OPN-05).</t>
  </si>
  <si>
    <t xml:space="preserve">cripple LF below sill +/- (sill change) x 2 cripples</t>
  </si>
  <si>
    <t xml:space="preserve">RFI-INT-01</t>
  </si>
  <si>
    <t xml:space="preserve">PC0011 "B2K" (teller line north, x1622-1654) is not in the A12.01 schedule. Derived as B2 (6" stud) + K construction of 4/A12.01 (ballistic panel + 3/8" gyp customer side) = 7 5/8"; measured 7.68" = A5K. Confirm B2K = A5K (6" 14 GA K) or B2 + K.</t>
  </si>
  <si>
    <t xml:space="preserve">1.77 LF of 6" stud wall: B2K (to deck, K both rules of 4/A12.01) vs plain B2 (no ballistic: -1.77 x 8.0 SF ballistic, -1.77 x 7.4 SF 3/8" gyp); same studs/track</t>
  </si>
  <si>
    <t xml:space="preserve">RFI-INT-02</t>
  </si>
  <si>
    <t xml:space="preserve">Ballistic side of the teller-line K walls (B2K-1, A1K-1/1r/1c, A1K-2, A1K-3): 4/A12.01 puts the panel on the CUSTOMER SIDE; these walls separate Cash Window 116 (teller) from office 108 / Future FCAM. Taken on the face away from 116. Also: A1K-1 north face is a 3.3" void against G-8 (board not installable?).</t>
  </si>
  <si>
    <t xml:space="preserve">contour 11.43 ft x 8.0 ft ballistic either face (no quantity change if side swaps); if the void face of A1K-1/1r/1c gets no board: -4.48 ft x 15.375 ft 5/8" and ballistic moves to the 116 face</t>
  </si>
  <si>
    <t xml:space="preserve">RFI-INT-03</t>
  </si>
  <si>
    <t xml:space="preserve">6" interior studs (A5, B2, B2K): 7/S5.20 METAL STUD PROPERTIES lists 600S137-33 only for EXTERIOR WALLS and 362S137-33 for INTERIOR WALLS @ 16". Gauge/spacing of 6" interior studs?</t>
  </si>
  <si>
    <t xml:space="preserve">taken 600S137-33 @ 16" O.C.; @ 24" would be about -1/3 of field studs on A5/B2 walls</t>
  </si>
  <si>
    <t xml:space="preserve">RFI-INT-04</t>
  </si>
  <si>
    <t xml:space="preserve">G / G1 (1 5/8" double row) stud gauge and spacing are not printed (A12.01, S5.20).</t>
  </si>
  <si>
    <t xml:space="preserve">taken 16" O.C. (53.3); @ 24" = about -1/3 field studs on G/G1/bulkheads</t>
  </si>
  <si>
    <t xml:space="preserve">RFI-INT-05</t>
  </si>
  <si>
    <t xml:space="preserve">A1K / B2K: 4/A12.01 "14 GA. METAL STUDS @ 24" O.C. MAX" vs 7/S5.20 interior walls @ 16" O.C. (56.2).</t>
  </si>
  <si>
    <t xml:space="preserve">taken 16" (more material); @ 24" on 13.3 LF of K walls = about -3 studs</t>
  </si>
  <si>
    <t xml:space="preserve">RFI-INT-06</t>
  </si>
  <si>
    <t xml:space="preserve">C1 (6/A12.01) board height is drawn with a break line (no ceiling/deck note); furring C1-a (FCAM) measures 7" vs 4 1/4"; C1-b bump covers the A1 face behind it (no A1 board taken there).</t>
  </si>
  <si>
    <t xml:space="preserve">C1 board taken to deck (60.11/53.3): chase faces 2 x 10.03 ft x (deck 12.93 - ceiling+6" 9.0) = +78.8 SF MR vs ceiling+6"; A1-1 behind bump +10.0 x 11.5 = 115 SF if board required</t>
  </si>
  <si>
    <t xml:space="preserve">RFI-INT-07</t>
  </si>
  <si>
    <t xml:space="preserve">Untagged office-front stubs G-1 (105 north), G-5 (108 south 4"), G1-3 (110 south) and 4" remate G-9r typed by measured thickness (6 1/8" -&gt; G, 8" -&gt; G1) instead of note A default A1.</t>
  </si>
  <si>
    <t xml:space="preserve">if A1: 6.10 LF change from double 1 5/8" (2 layers/face) to single 3 5/8" (1 layer/face)</t>
  </si>
  <si>
    <t xml:space="preserve">RFI-INT-08</t>
  </si>
  <si>
    <t xml:space="preserve">Janitor 112 / Storage 117 wall (B-5) is marked by a smaller "B" symbol with leader at (1048,1533) that the inventory left ambiguous (PA0034). Taken as B.</t>
  </si>
  <si>
    <t xml:space="preserve">3.5 LF: B (board to deck, sealant top) vs A1 default (rooms open to structure -&gt; same board height; sealant top 2 x 3.5 = 7 LF)</t>
  </si>
  <si>
    <t xml:space="preserve">RFI-INT-09</t>
  </si>
  <si>
    <t xml:space="preserve">C1 piers: storefront piers 1,2/A09.25 have a 6" CFMF exterior L with no printed FOS chain (R71.2) and pier GWB height is not printed; grille boxes 3/A08.21 FRT wood blocking height not printed.</t>
  </si>
  <si>
    <t xml:space="preserve">interior faces 3.0 + 3.4 + 4.0 + 2.53 = 12.93 ft x 15.375 ft to deck vs to ceiling (10.0-11.5): about -55 SF; FRT blocking 2 x 15.375 LF vs grille height</t>
  </si>
  <si>
    <t xml:space="preserve">RFI-INT-10</t>
  </si>
  <si>
    <t xml:space="preserve">Office-front vendor_end shared by the stub and the bulkhead (R71.16): closure stud counted once at the stub (bulkhead ends abut). Estimator to confirm.</t>
  </si>
  <si>
    <t xml:space="preserve">+1 stud per bulkhead end (12 ends) if the bulkhead also gets its own end stud</t>
  </si>
  <si>
    <t xml:space="preserve">RFI-INT-11</t>
  </si>
  <si>
    <t xml:space="preserve">Roof zones: S2.20 tags "B.O.D. EL. 15'-4 1/2" NO SLOPE" (high roof) and "@ LOW ROOF" at grid E, W14x22 (HI)/(LOW) at grid B; low roof 13'-0 5/8" (B) to 12'-6 3/8" (A). Taken high roof F-&gt;B, low roof B-&gt;A (deck break at grid B). Tower over vestibule/ATM (parapet 20'-0") B.O.D. not tagged.</t>
  </si>
  <si>
    <t xml:space="preserve">walls north of grid B at 15.375 ft; if E-&gt;B were low roof (13.05): about -2.3 ft on ~95 LF of walls</t>
  </si>
  <si>
    <t xml:space="preserve">RFI-INT-12</t>
  </si>
  <si>
    <t xml:space="preserve">Door D-116 sits where A5 (PT0017) changes to B2 (PT0027) on the same line; kept inside A5-1 (R70.3). D-118A kept inside A1-6 together with the 0.47 ft jamb stub (not hatched).</t>
  </si>
  <si>
    <t xml:space="preserve">3.3 LF moves between A5 and B2 (6" both): board height ceiling+6" vs deck on the door width only</t>
  </si>
  <si>
    <t xml:space="preserve">RFI-INT-13</t>
  </si>
  <si>
    <t xml:space="preserve">Walls partially under S2.20 beams (vigas_sobre_walls.py): G1-1 (W8X10 28 %), G-10 (W8X10 29 %), B-4 (W8X10 45 %), B-6 (45 %), and G-9 with two beams of different mark on the same axis (W12X19 / W8X10, R71.14). Kept to deck.</t>
  </si>
  <si>
    <t xml:space="preserve">studs under the beam portion shorten by d (0.66-1.0 ft) on 3.0-5.3 ft of each wall</t>
  </si>
  <si>
    <t xml:space="preserve">RFI-OPN-01</t>
  </si>
  <si>
    <t xml:space="preserve">Door rough openings are not printed anywhere in the set; A00.30 gives leaf WIDTH only (HM frames 2" face, 10/11 A12.02). Header pieces were sized on the scheduled width. Confirm R.O. = leaf width or leaf + 4" (2" frame each side).</t>
  </si>
  <si>
    <t xml:space="preserve">if R.O. = leaf + 4": +0.333 ft per header piece: 13 single-track doors (111-122) +4.33 LF, door 102 (2 pcs) +0.67 LF, door 123 (box 4 pcs) +1.33 LF = +6.33 LF header; no change of schedule row (3'-4" still SINGLE, 3'-10" still DOUBLE).</t>
  </si>
  <si>
    <t xml:space="preserve">RFI-OPN-02</t>
  </si>
  <si>
    <t xml:space="preserve">Door 103 coiling grille: A00.30 HEIGHT 13'-6 1/2" conflicts with the 24 HR Vestibule GB ceiling at 10'-0" (A04.01) and the head detail 4/A08.21; the grille head elevation (bottom of lower 6" CFMF box beam) is not dimensioned AFF. Confirm grille head height.</t>
  </si>
  <si>
    <t xml:space="preserve">header LF unaffected (13'-4" R.O. x 2 box beams x 4 pcs); affects 2-1/2" CFMF grille head studs (A4) and cripple heights: each 1 ft of head height = 11 studs (ROUNDUP(13.333/16")+1) x 1 ft = 11 LF.</t>
  </si>
  <si>
    <t xml:space="preserve">RFI-OPN-03</t>
  </si>
  <si>
    <t xml:space="preserve">Office front CONT. BOX BEAM (8,9/A12.01): run ends not drawn (10/A12.01 shows the jamb only). Loaded wall_to_wall (whole front line between end walls, bulkhead drawn continuous). Confirm wall_to_wall vs jamb_to_jamb (first to last jamb) vs one box per 7'-6" front.</t>
  </si>
  <si>
    <t xml:space="preserve">header LF = (L + 1'-4") x 4: EAST wall_to_wall 43.37 ft -&gt; 178.8 LF; jamb_to_jamb 39.97 ft -&gt; 165.2 LF (-13.6); per front 4 x 7.5 -&gt; 141.3 LF (-37.5). WEST wall_to_wall 21.51 ft -&gt; 91.4 LF; jamb_to_jamb 18.51 ft -&gt; 79.4 LF (-12.0); per front 2 x 7.5 -&gt; 70.7 LF (-20.7).</t>
  </si>
  <si>
    <t xml:space="preserve">RFI-OPN-04</t>
  </si>
  <si>
    <t xml:space="preserve">Vestibule interior fronts (3/A12.10 and 2/A12.10): heads 4-7/A12.10 read 'METAL STUD FRAMING &amp; BOX HEADER AS NEEDED' with no size, stud depth or frame head height. Loaded as box (4 pcs) per E11/E20. Confirm box size and head elevation.</t>
  </si>
  <si>
    <t xml:space="preserve">if no box header is required: VH-1 -(15.646 + 1.333) x 4 = -67.9 LF; VH-2 -(6.417 + 1.333) x 4 = -31.0 LF.</t>
  </si>
  <si>
    <t xml:space="preserve">RFI-OPN-05</t>
  </si>
  <si>
    <t xml:space="preserve">Drive-up ATM (5,6/A08.11): R.O. width printed '2'-2 1/8" (26.4")' (26.125" vs 26.4"); sill 2'-8 1/8" is referenced to the FINISHED DRIVE-LANE, not to finish floor; R.O. head not referenced to floor. Confirm R.O. width and sill/head AFF.</t>
  </si>
  <si>
    <t xml:space="preserve">width: 0.023 ft x 4 box pcs = 0.09 LF header (+0.02 LF sill); heights affect ATM cripples/sistered studs only (A3 extra framing PENDING without sistered height).</t>
  </si>
  <si>
    <t xml:space="preserve">RFI-OPN-06</t>
  </si>
  <si>
    <t xml:space="preserve">FEC-1 is scheduled RECESSED (A00.40) but no cabinet size is printed (spec 10 44 00). Provide rough-in width/height.</t>
  </si>
  <si>
    <t xml:space="preserve">loaded 0 (R71.6). If width W &gt; 14 3/8" stud bay: + (W + 1'-4") x 1 single-track header + (W + 1'-4") x 1 sill + 2 jamb studs x wall height.</t>
  </si>
  <si>
    <t xml:space="preserve">RFI-OPN-07</t>
  </si>
  <si>
    <t xml:space="preserve">Open teller line at Cash Window 116 ('12'-0 1/4" HOLD', 'OPEN TO BEYOND' in 7/A11.01) has wall finish above the opening but no header/box called by any schedule or detail; span exceeds the 8'-0" max of 7/S5.20. Provide header for this opening.</t>
  </si>
  <si>
    <t xml:space="preserve">loaded 0 LF (R71.10). If a metal stud box (4 pcs) is required: (12.021 + 1.333) x 4 = +53.4 LF; if a 2-362CSJ20-type double member: (12.021 + 1.333) x 2 = +26.7 LF (beyond schedule span).</t>
  </si>
  <si>
    <t xml:space="preserve">RFI-RCP-01</t>
  </si>
  <si>
    <t xml:space="preserve">CASH WINDOW 116 3'-5" GB soffit (GB 8'-0"): A09.33 detail 10 'CEILING DETAIL @ CSR SOFFIT' (studs to deck, cont. track, corner bead, FRTW blocking) is titled for this element but is NOT bubbled on A04.01 (R70.1). Confirm framed soffit per 10/A09.33.</t>
  </si>
  <si>
    <t xml:space="preserve">Carried framed_soffit (joists + 2 drop-stud segments + 2 tracks, no carrying/hangers). Alternate furring/suspended: + ~11 LF carrying, + ~4 hanger PCS, + ~31 LF furring, + ~31 LF ceiling perimeter track; - drop studs (CSR-116-E-1/E-2) and soffit joists. canon.py R70.1 will reject on_plan=false: estimator decision needed in Stage 3.</t>
  </si>
  <si>
    <t xml:space="preserve">RFI-RCP-02</t>
  </si>
  <si>
    <t xml:space="preserve">GWB suspension system spacing and orientation not printed (no suspension detail on A09.33 / spec not in set): furring 16" o.c., carrying 48" o.c., hangers 48" o.c., carrying E-W assumed (perpendicular to N-S structural members, S2.20).</t>
  </si>
  <si>
    <t xml:space="preserve">Furring @24" = -1/3 furring LF; carrying direction N-S changes carrying/hanger counts only by rounding (&lt; 1 carrying per room).</t>
  </si>
  <si>
    <t xml:space="preserve">RFI-RCP-03</t>
  </si>
  <si>
    <t xml:space="preserve">WAITING 104 GB 11'-0" inside ACT-4 11'-6": neither 7/A09.33 (typical ceiling transition) nor 8/A09.33 (typical bulkhead) is bubbled on A04.01. Carried 8/A09.33 (ACT high / GB low): bracing @48" 45 deg + 3 5/8" studs @16" to structure, 1 corner L bead + 1 shadow molding per LF.</t>
  </si>
  <si>
    <t xml:space="preserve">If 7/A09.33 drawn literally (2 corner beads + 2 shadow moldings): +2 x 77.03 LF = +154.1 LF trim; studs/kickers unchanged.</t>
  </si>
  <si>
    <t xml:space="preserve">RFI-RCP-04</t>
  </si>
  <si>
    <t xml:space="preserve">Room finish schedule: A04.01 note D refers to A00.40 (finish LEGENDS only, no room-by-room ceiling column); A05.01 notes refer to A00.31 which is not in the set. Ceilings taken from A04.01 tags only.</t>
  </si>
  <si>
    <t xml:space="preserve">None if A04.01 tags govern; any GB/ACT change per room moves its full area.</t>
  </si>
  <si>
    <t xml:space="preserve">RFI-RCP-05</t>
  </si>
  <si>
    <t xml:space="preserve">Sloped LOW roof south of grid B (S2.20 B.O.D. 13'-0 5/8" at B to 12'-6 3/8" at A): hanger drop for 113/114 and CSR-116-E-2 taken at the HIGH end; 114 north 0.56 ft lies under the HI deck (15'-4 1/2").</t>
  </si>
  <si>
    <t xml:space="preserve">Low end: -0.521 ft per hanger in 113/114 and -0.521 ft per stud in CSR-116-E-2; 114 strip under HI deck +2.32 ft on &lt;= 3 hangers.</t>
  </si>
  <si>
    <t xml:space="preserve">RFI-RCP-06</t>
  </si>
  <si>
    <t xml:space="preserve">SD/SDR slot diffusers (TITUS TBDI-10, size 'SEE DRAWING', M00.03/M01.01 schedule): lengths/widths taken from M01.01 drawing (vestibules 3-section runs 12.88 ft x 7.7"; restrooms 2.29 ft x 7.7"). A04.01 shows the restroom devices as 2'x2' diffuser symbols.</t>
  </si>
  <si>
    <t xml:space="preserve">Restroom devices as 2'x2': 4 x 2 x (2+2) = 32 LF vs 4 x 2 x (2.29+0.64) = 23.5 LF (+8.5 LF).</t>
  </si>
  <si>
    <t xml:space="preserve">RFI-RCP-07</t>
  </si>
  <si>
    <t xml:space="preserve">R-11C / R-11CE (E00.01) description 12' vs catalog suffix 20'-0"; RCP draws 12' (R-11 (12')). Slot fixture housing widths (FSM2L, R-11A/C) not printed; carried drawn 2-5/8" (A04.01).</t>
  </si>
  <si>
    <t xml:space="preserve">Catalog 20': +2 x 8 x 4 = +64 LF framed openings; housing width change ±2 x w x qty.</t>
  </si>
  <si>
    <t xml:space="preserve">RFI-RCP-08</t>
  </si>
  <si>
    <t xml:space="preserve">S2.20 canopy B.O.D. EL. 111'-9" uses a different datum than the other B.O.D. tags (15'-4 1/2", 13'-0 5/8", 12'-6 3/8"). Confirm datum (affects canopy only).</t>
  </si>
  <si>
    <t xml:space="preserve">None for interior GWB ceilings.</t>
  </si>
  <si>
    <t xml:space="preserve">RFI-RCP-09</t>
  </si>
  <si>
    <t xml:space="preserve">10/A09.33 does not print stud spacing (drop studs / soffit joists) nor the FRTW blocking size; carried 3 5/8" @16" (8/A09.33 typical) and 2x4 FRTW (drawn 3 1/2" x 1 1/2").</t>
  </si>
  <si>
    <t xml:space="preserve">@24": -1/3 drop studs and joists in 116 soffit.</t>
  </si>
  <si>
    <t xml:space="preserve">RFI-RCP-10</t>
  </si>
  <si>
    <t xml:space="preserve">Canopy soffits (stipple hatch PT-4 outside the building: W canopy grids 1-2, N strip, E strip, S entry) are exterior CFMF soffits (4,5/A09.33, 7/A09.26) - confirm they are measured in the exterior fragment; UU canopy fixtures are included in fo_in.json.</t>
  </si>
  <si>
    <t xml:space="preserve">If not measured elsewhere: full canopy joists/sheathing/track missing.</t>
  </si>
  <si>
    <t xml:space="preserve">RFI-RCP-11</t>
  </si>
  <si>
    <t xml:space="preserve">WAITING 104 GB E-W width not dimensioned (vector 17'-0 3/8"); 30'-0" N-S printed.</t>
  </si>
  <si>
    <t xml:space="preserve">Each 1" of width = 2.5 SF GB and 0.08 LF per transition edge.</t>
  </si>
  <si>
    <t xml:space="preserve">RFI-EXT-PAR4</t>
  </si>
  <si>
    <t xml:space="preserve">Tower east parapet return (PAR-4, keynote 10 A02.02, above pier 2/A09.25): its south end is not dimensioned on A02.02 or the elevations; stud end taken at coping end minus exterior finish. Confirm.</t>
  </si>
  <si>
    <t xml:space="preserve">PAR-4 3.497 ft; +0.43 ft if the stud runs to the coping outer face (3.924).</t>
  </si>
  <si>
    <t xml:space="preserve">RFI-VEST-01</t>
  </si>
  <si>
    <t xml:space="preserve">Vestibule front heads 4-7/A12.10 'METAL STUD FRAMING &amp; BOX HEADER AS NEEDED': stud size, gauge and box size not printed. Loaded 3-5/8" @16" (as receiving C1 piers, 6/A12.01; drawn width ~3.6" at 3"=1'-0") and box = 4 pcs (E11/E20). Confirm stud depth and box member size (drawn box ~6" deep).</t>
  </si>
  <si>
    <t xml:space="preserve">if 6" studs: VHW-1 + VHW-2 stud LF moves from 3-5/8" to 6" family (same LF; track 15.646 + 6.417 = 22.06 LF x 2 also changes size). No LF change.</t>
  </si>
  <si>
    <t xml:space="preserve">RFI-VEST-02</t>
  </si>
  <si>
    <t xml:space="preserve">Frame head elevation of the vestibule fronts not dimensioned (2,3/A12.10); sections 4-7/A12.10 show the top rail directly under the 10'-0" GB ceiling. Head framing loaded from 10'-0" to B.O.D. 15'-4 1/2" (5.375 ft, more material). Confirm head height and whether the studs stop on top of the box (box ~6" + ceiling 5/8").</t>
  </si>
  <si>
    <t xml:space="preserve">studs from top of box instead of frame head: height 15.375 - (10.0 + 0.052 + 0.5) = 4.823 ft -&gt; -0.552 ft per stud (VHW-1 ~13 studs, VHW-2 ~6 studs: about -10.5 LF 3-5/8" stud). Tower over vestibule (RFI-INT-11): if B.O.D. there is higher, each +1 ft = +1 ft per stud.</t>
  </si>
  <si>
    <t xml:space="preserve">RFI-VEST-03</t>
  </si>
  <si>
    <t xml:space="preserve">VHW-2 Central Zone face GWB (4,5/A12.10): board drawn above the ACT-4 11'-6" ceiling to the break line; top not printed. Loaded to B.O.D. 15'-4 1/2" (53.3). Confirm board top (deck vs Central Zone ceiling + 6").</t>
  </si>
  <si>
    <t xml:space="preserve">ceiling + 6": face height 12.0 - 10.0 = 2.0 ft vs 5.375 ft -&gt; -3.375 x 6.417 = -21.7 SF 5/8" GWB</t>
  </si>
  <si>
    <t xml:space="preserve">RFI-ADV-FRT34</t>
  </si>
  <si>
    <t xml:space="preserve">3/4" FRT plywood at exterior opening heads/sills/jambs (11, 10, 14/A09.27; 2/A09.26): strip width not dimensioned; carried 0.5 ft (6" stud depth as drawn).</t>
  </si>
  <si>
    <t xml:space="preserve">+92.3 SF if 1'-0" wide</t>
  </si>
  <si>
    <t xml:space="preserve">RFI-ADV-GLASS-END</t>
  </si>
  <si>
    <t xml:space="preserve">8/A12.10 glass wall termination FRT blocking bubbled at one end; other three vestibule glass ends not bubbled.</t>
  </si>
  <si>
    <t xml:space="preserve">+30 LF FRT blocking if all four ends</t>
  </si>
  <si>
    <t xml:space="preserve">RFI-ADV-RS-PLIES</t>
  </si>
  <si>
    <t xml:space="preserve">Roof step 4/A02.02 2X FRT blocking plies not clear.</t>
  </si>
  <si>
    <t xml:space="preserve">+52.3 LF FRT blocking at 2 plies</t>
  </si>
  <si>
    <t xml:space="preserve">RFI-ADV-TELLER-TRANS</t>
  </si>
  <si>
    <t xml:space="preserve">North edge of the 9'-0" teller strip ceiling opens to the Central Zone ACT 11'-6" with no wall (A04.01): a ceiling transition 7/A09.33 may be required (5.09 LF, 2.5 ft drop).</t>
  </si>
  <si>
    <t xml:space="preserve">+32 LF 3-5/8" stud, +10.2 LF ceiling track, +15 SF board, +10.2 LF trim</t>
  </si>
  <si>
    <t xml:space="preserve">RFI-FO-61</t>
  </si>
  <si>
    <t xml:space="preserve">{"tag": "R-11C", "source": "E00.01", "texto": "RFI R-11C: schedule description 12.0 ft vs catalog 20.0 ft; carried 12.0 ft (desc = drawn); alternate 20.0 ft", "delta_lf": 32.0}</t>
  </si>
  <si>
    <t xml:space="preserve">n/a: see question</t>
  </si>
  <si>
    <t xml:space="preserve">RFI-FO-62</t>
  </si>
  <si>
    <t xml:space="preserve">{"tag": "R-11CE", "source": "E00.01", "texto": "RFI R-11CE: schedule description 12.0 ft vs catalog 20.0 ft; carried 12.0 ft (desc = drawn); alternate 20.0 ft", "delta_lf": 32.0}</t>
  </si>
  <si>
    <t xml:space="preserve">RFI-CANON-63</t>
  </si>
  <si>
    <t xml:space="preserve">Canopy beam inside the exterior stud cavity (C/A09.21, 7/A09.26, 15/A09.27): studs carried continuous. If split: +113.22 LF bottom, +113.22 LF top, -105.04 LF 6" stud</t>
  </si>
  <si>
    <t xml:space="preserve">+113.22 LF</t>
  </si>
  <si>
    <t xml:space="preserve">RFI-CANON-64</t>
  </si>
  <si>
    <t xml:space="preserve">Bracing: 106.25 LF of C.R. channel crosses openings without studs (53.4 literal). Delta if not crossed: -106.25 LF</t>
  </si>
  <si>
    <t xml:space="preserve">-106.25 LF</t>
  </si>
  <si>
    <t xml:space="preserve">RFI-CANON-65</t>
  </si>
  <si>
    <t xml:space="preserve">Bottom track: 50.49 LF of door R.O. NOT deducted (E10). Delta if deducted: -50.49 LF</t>
  </si>
  <si>
    <t xml:space="preserve">-50.49 LF</t>
  </si>
  <si>
    <t xml:space="preserve">RFI-ADV-ANCHORS-COL</t>
  </si>
  <si>
    <t xml:space="preserve">Expansion anchors include the bottom track of canopy column wraps COL-1..4 (22.68 LF); the S5.20 sill track anchorage table names exterior walls only (R71.15). Confirm anchorage of the column wrap track.</t>
  </si>
  <si>
    <t xml:space="preserve">-34 PCS expansion anchors if column wraps are not anchored per the exterior-wall schedule</t>
  </si>
  <si>
    <t xml:space="preserve">RFI-ADV-FASCIA-FRT</t>
  </si>
  <si>
    <t xml:space="preserve">7/A09.26: 5/8" exterior FRT plywood appears to wrap the canopy fascia box on top, bottom and inner face; take-off carries the outer face only (240.44 LF x 1.979 ft).</t>
  </si>
  <si>
    <t xml:space="preserve">+216 SF (top and bottom) / +670 SF (with inner face) of 5/8" exterior grade FRT plywood</t>
  </si>
  <si>
    <t xml:space="preserve">RFI-ADV-PINS-DOORS</t>
  </si>
  <si>
    <t xml:space="preserve">Slab pins and expansion anchors are counted over door R.O. (bottom track carried continuous per E10); R70.7 limits fasteners to real bottom track.</t>
  </si>
  <si>
    <t xml:space="preserve">-50 PCS slab pins and -5 PCS expansion anchors if pins are not set across door openings</t>
  </si>
  <si>
    <t xml:space="preserve">RFI-ADV-DOOR-RO</t>
  </si>
  <si>
    <t xml:space="preserve">Door R.O. now carried as leaf + 4" (2" HM frame each side, A00.30), measured on A02.01 vector at D-102, D-111, D-123 (closes RFI-OPN-01). Confirm frame width for all doors.</t>
  </si>
  <si>
    <t xml:space="preserve">-6.3 LF header if R.O. = leaf width</t>
  </si>
  <si>
    <t xml:space="preserve">RFI-ADV-K-OC</t>
  </si>
  <si>
    <t xml:space="preserve">4/A12.01 K walls: '14 GA STUDS @ 24" O.C. MAX'; take-off carries 16" O.C. (meets the max).</t>
  </si>
  <si>
    <t xml:space="preserve">-28.3 LF 3-5/8" 14 ga and -15.4 LF 6" 14 ga at 24" O.C.</t>
  </si>
  <si>
    <t xml:space="preserve">RFI-ADV-A5-14A-FACE</t>
  </si>
  <si>
    <t xml:space="preserve">A5-14a Central Zone face: about 7.46 ft lies under the 9'-0" teller-strip ceiling on A04.01 but is carried at 12.0 ft.</t>
  </si>
  <si>
    <t xml:space="preserve">-18.6 SF 5/8" regular board</t>
  </si>
  <si>
    <t xml:space="preserve">#</t>
  </si>
  <si>
    <t xml:space="preserve">Item</t>
  </si>
  <si>
    <t xml:space="preserve">Sheet + detail</t>
  </si>
  <si>
    <t xml:space="preserve">Image</t>
  </si>
  <si>
    <t xml:space="preserve">Inventory sheets p.5-7 are raster (ALTA/NSPS land title survey, 3 sheets): swept by image, no partitions, no scope of ours</t>
  </si>
  <si>
    <t xml:space="preserve">p.5-7 ALTA survey</t>
  </si>
  <si>
    <t xml:space="preserve">/home/user/boa20b/work/etapas/3_revision/res_img/raster_p5_7.png</t>
  </si>
  <si>
    <t xml:space="preserve">Partition B2K (PC0011) is not in the A12.01 schedule: derived as B2 + K build-up of 4/A12.01 (7 5/8", measured 7.68"); confirm type (RFI-INT-01)</t>
  </si>
  <si>
    <t xml:space="preserve">4/A12.01, 1/A12.01</t>
  </si>
  <si>
    <t xml:space="preserve">/home/user/boa20b/work/etapas/3_revision/img/125_ALERT_B2K_A02.01_p24.png</t>
  </si>
  <si>
    <t xml:space="preserve">Soffit 116 (10/A09.33 'CEILING DETAIL @ CSR SOFFIT') has no bubble on A04.01: carried as framed soffit per its titled detail; tool rule R70.1 vs soffit rule conflict (PARA REVISAR P-03, RFI-RCP-01, delta: suspended furring alternative)</t>
  </si>
  <si>
    <t xml:space="preserve">10/A09.33, A04.01</t>
  </si>
  <si>
    <t xml:space="preserve">/home/user/boa20b/work/etapas/3_revision/res_img/det_10_A09.33.png</t>
  </si>
  <si>
    <t xml:space="preserve">Office front CONT. BOX BEAM run ends not drawn: carried wall_to_wall (east 43.37 ft, west 21.51 ft); jamb_to_jamb = 39.97 / 18.51 ft (RFI-OPN-03)</t>
  </si>
  <si>
    <t xml:space="preserve">8/A12.01, 9/A12.01, A02.01</t>
  </si>
  <si>
    <t xml:space="preserve">/home/user/boa20b/work/etapas/2_lectura/A/img_openings/OF-E_A02.01_p24.png</t>
  </si>
  <si>
    <t xml:space="preserve">Exterior corner squares assigned to the horizontal exterior walls (EXT-F, EXT-A-1, EXT-A-2, EXT-D) per R70.2 (esquinas.py); readings measured interior faces</t>
  </si>
  <si>
    <t xml:space="preserve">A02.01</t>
  </si>
  <si>
    <t xml:space="preserve">/home/user/boa20b/work/etapas/3_revision/conciliacion_log.md</t>
  </si>
  <si>
    <t xml:space="preserve">Stud O.C. and gauge not printed for interior types (A1, A5, B, B2, C1, G, G1): carried 16" O.C. (RFI-INT-03/04, RFI-BINT-01)</t>
  </si>
  <si>
    <t xml:space="preserve">7/S5.20, A12.01</t>
  </si>
  <si>
    <t xml:space="preserve">/home/user/boa20b/work/etapas/3_revision/img/012_DIF_A1_A02.01_p24.png</t>
  </si>
  <si>
    <t xml:space="preserve">Exterior stud gauge conflict S1.11 n.5 (600S162-54) vs 7/S5.20 (600S137-33): carried 54 mil (RFI-EXT-02)</t>
  </si>
  <si>
    <t xml:space="preserve">S1.11, 7/S5.20</t>
  </si>
  <si>
    <t xml:space="preserve">/home/user/boa20b/work/etapas/2_lectura/A/img_exterior</t>
  </si>
  <si>
    <t xml:space="preserve">Vestibule heads VHW-1/VHW-2: stud size and frame head not printed; studs from 10'-0" to B.O.D. 15'-4 1/2" (RFI-VEST-01..03); read only in reading A</t>
  </si>
  <si>
    <t xml:space="preserve">4/A12.10 - 7/A12.10</t>
  </si>
  <si>
    <t xml:space="preserve">/home/user/boa20b/work/etapas/2_lectura/A_extra/img_vest/VHW-1_VHW-2_A02.01_p24.png</t>
  </si>
  <si>
    <t xml:space="preserve">Coiling grille D-103 head chain: carried 1'-6" + 6" to the top of the upper box (R70.9); openings reading had 2'-4 1/2" to steel (RFI-ACC-GRILLE)</t>
  </si>
  <si>
    <t xml:space="preserve">/home/user/boa20b/work/etapas/3_revision/res_img/EVID_grille_head_chain_4_A08.21.png</t>
  </si>
  <si>
    <t xml:space="preserve">Canopy column wraps COL-1..4 (5/A09.25) found only by reading B; added in Etapa 3; height to B/CANOPY 10'-6" (alt. T/CANOPY 12'-8")</t>
  </si>
  <si>
    <t xml:space="preserve">5/A09.25, A09.01</t>
  </si>
  <si>
    <t xml:space="preserve">/home/user/boa20b/work/etapas/3_revision/res_img</t>
  </si>
  <si>
    <t xml:space="preserve">Elevation titles contradict the north arrow (A09.01 'SOUTH' is the plan-top face): north arrow governs (R71.1, RFI-EXT-01)</t>
  </si>
  <si>
    <t xml:space="preserve">A02.01, A09.01, A09.02</t>
  </si>
  <si>
    <t xml:space="preserve">Tool gap: test_sin_colisiones.py fails (cruzar_diagonal.py uses mep.OFF removed in v71 mep.py); not used in this run</t>
  </si>
  <si>
    <t xml:space="preserve">tools v71</t>
  </si>
  <si>
    <t xml:space="preserve">Vendor_end shared between office-front stubs and bulkheads (R71.16): left as modeled (RFI-INT-10)</t>
  </si>
  <si>
    <t xml:space="preserve">10/A12.01</t>
  </si>
  <si>
    <t xml:space="preserve">Canopy beam inside the exterior stud cavity: studs carried continuous; split alternative +113.22 LF bottom/top track, -105.04 LF 6" stud (canon RFI)</t>
  </si>
  <si>
    <t xml:space="preserve">C/A09.21, 7/A09.26, 15/A09.27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</si>
  <si>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</si>
  <si>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</si>
  <si>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</si>
  <si>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</si>
  <si>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</si>
  <si>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</si>
  <si>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Material Summary studs/tracks; A02.01, A12.01</t>
  </si>
  <si>
    <t xml:space="preserve">ALC-02</t>
  </si>
  <si>
    <t xml:space="preserve">Exterior wall framing (CFMF)</t>
  </si>
  <si>
    <t xml:space="preserve">6" stud + track rows; C/A09.21, 7/S5.20</t>
  </si>
  <si>
    <t xml:space="preserve">ALC-03</t>
  </si>
  <si>
    <t xml:space="preserve">Parapet framing</t>
  </si>
  <si>
    <t xml:space="preserve">6" parapet stud + parapet track; 11/S5.10, A02.02</t>
  </si>
  <si>
    <t xml:space="preserve">ALC-04</t>
  </si>
  <si>
    <t xml:space="preserve">Top / deflection and bottom track</t>
  </si>
  <si>
    <t xml:space="preserve">track rows by stud size (R71.8)</t>
  </si>
  <si>
    <t xml:space="preserve">ALC-05</t>
  </si>
  <si>
    <t xml:space="preserve">Headers, sills and jambs at openings</t>
  </si>
  <si>
    <t xml:space="preserve">Header / box beam + sill track; 7/S5.20, 2/S5.20</t>
  </si>
  <si>
    <t xml:space="preserve">ALC-06</t>
  </si>
  <si>
    <t xml:space="preserve">Bracing / bridging</t>
  </si>
  <si>
    <t xml:space="preserve">C.R. channel bracing; F/1/S5.20</t>
  </si>
  <si>
    <t xml:space="preserve">ALC-07</t>
  </si>
  <si>
    <t xml:space="preserve">Gypsum board on walls (layers per type)</t>
  </si>
  <si>
    <t xml:space="preserve">5/8" regular; A12.01</t>
  </si>
  <si>
    <t xml:space="preserve">ALC-08</t>
  </si>
  <si>
    <t xml:space="preserve">Moisture / abuse / special board at wet zones</t>
  </si>
  <si>
    <t xml:space="preserve">5/8" MR behind toilet and lavatory; F/A08.01</t>
  </si>
  <si>
    <t xml:space="preserve">ALC-09</t>
  </si>
  <si>
    <t xml:space="preserve">Exterior gypsum / glass mat sheathing</t>
  </si>
  <si>
    <t xml:space="preserve">glass mat 5/A09.26; exterior gyp 4/A09.26</t>
  </si>
  <si>
    <t xml:space="preserve">ALC-10</t>
  </si>
  <si>
    <t xml:space="preserve">FRT plywood sheathing / substrate</t>
  </si>
  <si>
    <t xml:space="preserve">FRT plywood by material; A09.21, 5/A09.25</t>
  </si>
  <si>
    <t xml:space="preserve">ALC-11</t>
  </si>
  <si>
    <t xml:space="preserve">Gypsum board ceilings</t>
  </si>
  <si>
    <t xml:space="preserve">A04.01 GB ceilings</t>
  </si>
  <si>
    <t xml:space="preserve">ALC-12</t>
  </si>
  <si>
    <t xml:space="preserve">Ceiling suspension (furring / carrying channel / hanger wire / ceiling track)</t>
  </si>
  <si>
    <t xml:space="preserve">furring, carrying, hanger wire, ceiling track; A04.01, A09.33</t>
  </si>
  <si>
    <t xml:space="preserve">ALC-13</t>
  </si>
  <si>
    <t xml:space="preserve">Soffits and bulkheads (framing + board)</t>
  </si>
  <si>
    <t xml:space="preserve">8/A09.33, 10/A09.33, A04.01</t>
  </si>
  <si>
    <t xml:space="preserve">ALC-14</t>
  </si>
  <si>
    <t xml:space="preserve">Canopy / marquee framing and sheathing</t>
  </si>
  <si>
    <t xml:space="preserve">7/A09.26 fascia, canopy joists, FRT plywood</t>
  </si>
  <si>
    <t xml:space="preserve">ALC-15</t>
  </si>
  <si>
    <t xml:space="preserve">Column furring / wraps</t>
  </si>
  <si>
    <t xml:space="preserve">CANOPY-COL 5/A09.25; C1 piers A02.01</t>
  </si>
  <si>
    <t xml:space="preserve">ALC-16</t>
  </si>
  <si>
    <t xml:space="preserve">Blocking (FRT wood / metal) for millwork and accessories</t>
  </si>
  <si>
    <t xml:space="preserve">FRT + metal stud blocking; A02.01 note C, A08.01</t>
  </si>
  <si>
    <t xml:space="preserve">ALC-17</t>
  </si>
  <si>
    <t xml:space="preserve">Framed openings (MEP, access panels, diffusers)</t>
  </si>
  <si>
    <t xml:space="preserve">framed_openings_out.json; E02.01, M01.01</t>
  </si>
  <si>
    <t xml:space="preserve">ALC-18</t>
  </si>
  <si>
    <t xml:space="preserve">Trim: corner bead, casing bead, control joints, reveals</t>
  </si>
  <si>
    <t xml:space="preserve">metal trim row; control joints: A09.01 'CJ CONTROL JOINT' is stucco (plaster trade), no gypsum control joint labeled -&gt; excluded with RFI (26 v26)</t>
  </si>
  <si>
    <t xml:space="preserve">ALC-19</t>
  </si>
  <si>
    <t xml:space="preserve">Acoustical sealant / sound attenuation</t>
  </si>
  <si>
    <t xml:space="preserve">acoustical sealant row; A12.01 details</t>
  </si>
  <si>
    <t xml:space="preserve">ALC-20</t>
  </si>
  <si>
    <t xml:space="preserve">FRP / cement board / tile backer</t>
  </si>
  <si>
    <t xml:space="preserve">FRP + cement board; A08.01</t>
  </si>
  <si>
    <t xml:space="preserve">ALC-21</t>
  </si>
  <si>
    <t xml:space="preserve">Shaft walls / area separation walls</t>
  </si>
  <si>
    <t xml:space="preserve">NOT APPLICABLE</t>
  </si>
  <si>
    <t xml:space="preserve">A02.01 and A12.01: no shaft wall or area separation partition type in the schedule or plan</t>
  </si>
  <si>
    <t xml:space="preserve">ALC-22</t>
  </si>
  <si>
    <t xml:space="preserve">Rated assemblies (UL designs) and their board type</t>
  </si>
  <si>
    <t xml:space="preserve">A02.01 key note 6 'FIRE RATED 3/4" PLYWOOD BACKBOARD' (carried as FRT plywood backboard); A05.01 NER note is the plywood stamp; A12.01 lists no rated partition / UL design</t>
  </si>
  <si>
    <t xml:space="preserve">ALC-23</t>
  </si>
  <si>
    <t xml:space="preserve">Special panels (ballistic, lead-lined, abuse)</t>
  </si>
  <si>
    <t xml:space="preserve">ballistic panel + 3/8" gyp; 4/A12.01</t>
  </si>
  <si>
    <t xml:space="preserve">ALC-24</t>
  </si>
  <si>
    <t xml:space="preserve">Finish level (Level 4 / Level 5)</t>
  </si>
  <si>
    <t xml:space="preserve">Level 5 finish (WC-18, WC-22; A00.40); Level 4 elsewhere (assumed)</t>
  </si>
  <si>
    <t xml:space="preserve">ALC-X25</t>
  </si>
  <si>
    <t xml:space="preserve">batt insulation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</si>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</sst>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3" t="n">
        <v>20</v>
      </c>
      <c r="C14" s="4" t="s">
        <v>20</v>
      </c>
    </row>
    <row r="15" customFormat="false" ht="15" hidden="false" customHeight="false" outlineLevel="0" collapsed="false">
      <c r="A15" s="0" t="s">
        <v>23</v>
      </c>
      <c r="B15" s="3" t="n">
        <v>25</v>
      </c>
      <c r="C15" s="4" t="s">
        <v>24</v>
      </c>
    </row>
    <row r="16" customFormat="false" ht="15" hidden="false" customHeight="false" outlineLevel="0" collapsed="false">
      <c r="A16" s="0" t="s">
        <v>25</v>
      </c>
      <c r="B16" s="3" t="n">
        <v>16</v>
      </c>
      <c r="C16" s="4" t="s">
        <v>26</v>
      </c>
    </row>
    <row r="17" customFormat="false" ht="15" hidden="false" customHeight="false" outlineLevel="0" collapsed="false">
      <c r="A17" s="0" t="s">
        <v>27</v>
      </c>
      <c r="B17" s="3" t="n">
        <v>12</v>
      </c>
      <c r="C17" s="4" t="s">
        <v>28</v>
      </c>
    </row>
    <row r="18" customFormat="false" ht="15" hidden="false" customHeight="false" outlineLevel="0" collapsed="false">
      <c r="A18" s="0" t="s">
        <v>29</v>
      </c>
      <c r="B18" s="3" t="n">
        <v>10</v>
      </c>
      <c r="C18" s="4" t="s">
        <v>30</v>
      </c>
    </row>
    <row r="19" customFormat="false" ht="15" hidden="false" customHeight="false" outlineLevel="0" collapsed="false">
      <c r="A19" s="0" t="s">
        <v>31</v>
      </c>
      <c r="B19" s="3" t="s">
        <v>32</v>
      </c>
      <c r="C19" s="4" t="s">
        <v>33</v>
      </c>
    </row>
    <row r="20" customFormat="false" ht="15" hidden="false" customHeight="false" outlineLevel="0" collapsed="false">
      <c r="A20" s="0" t="s">
        <v>34</v>
      </c>
      <c r="B20" s="3" t="n">
        <v>1.2</v>
      </c>
      <c r="C20" s="4" t="s">
        <v>35</v>
      </c>
    </row>
    <row r="21" customFormat="false" ht="15" hidden="false" customHeight="false" outlineLevel="0" collapsed="false">
      <c r="A21" s="0" t="s">
        <v>36</v>
      </c>
      <c r="B21" s="3" t="n">
        <v>4</v>
      </c>
      <c r="C21" s="4" t="s">
        <v>37</v>
      </c>
    </row>
    <row r="22" customFormat="false" ht="15" hidden="false" customHeight="false" outlineLevel="0" collapsed="false">
      <c r="A22" s="0" t="s">
        <v>38</v>
      </c>
      <c r="B22" s="3" t="n">
        <v>1</v>
      </c>
      <c r="C22" s="4" t="s">
        <v>39</v>
      </c>
    </row>
    <row r="23" customFormat="false" ht="15" hidden="false" customHeight="false" outlineLevel="0" collapsed="false">
      <c r="A23" s="0" t="s">
        <v>40</v>
      </c>
      <c r="B23" s="3" t="n">
        <v>0.072</v>
      </c>
      <c r="C23" s="4" t="s">
        <v>41</v>
      </c>
    </row>
    <row r="24" customFormat="false" ht="15" hidden="false" customHeight="false" outlineLevel="0" collapsed="false">
      <c r="A24" s="0" t="s">
        <v>42</v>
      </c>
      <c r="B24" s="3" t="n">
        <v>0.37</v>
      </c>
      <c r="C24" s="4" t="s">
        <v>43</v>
      </c>
    </row>
    <row r="25" customFormat="false" ht="15" hidden="false" customHeight="false" outlineLevel="0" collapsed="false">
      <c r="A25" s="0" t="s">
        <v>44</v>
      </c>
      <c r="B25" s="3" t="n">
        <v>0.6667</v>
      </c>
      <c r="C25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0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</row>
    <row r="5" customFormat="false" ht="15" hidden="false" customHeight="false" outlineLevel="0" collapsed="false">
      <c r="A5" s="5" t="s">
        <v>59</v>
      </c>
    </row>
    <row r="6" customFormat="false" ht="15" hidden="false" customHeight="false" outlineLevel="0" collapsed="false">
      <c r="A6" s="0" t="s">
        <v>60</v>
      </c>
      <c r="B6" s="0" t="s">
        <v>61</v>
      </c>
      <c r="C6" s="0" t="n">
        <v>13.604</v>
      </c>
      <c r="D6" s="0" t="n">
        <v>14.358</v>
      </c>
      <c r="E6" s="0" t="n">
        <v>1</v>
      </c>
      <c r="F6" s="0" t="s">
        <v>62</v>
      </c>
      <c r="G6" s="0" t="n">
        <v>16</v>
      </c>
      <c r="H6" s="0" t="n">
        <v>209.16</v>
      </c>
      <c r="I6" s="0" t="s">
        <v>63</v>
      </c>
      <c r="J6" s="0" t="s">
        <v>64</v>
      </c>
      <c r="K6" s="0" t="s">
        <v>65</v>
      </c>
    </row>
    <row r="7" customFormat="false" ht="15" hidden="false" customHeight="false" outlineLevel="0" collapsed="false">
      <c r="A7" s="0" t="s">
        <v>66</v>
      </c>
      <c r="B7" s="0" t="s">
        <v>67</v>
      </c>
      <c r="C7" s="0" t="n">
        <v>76.44</v>
      </c>
      <c r="D7" s="0" t="n">
        <v>13.541</v>
      </c>
      <c r="E7" s="0" t="n">
        <v>1</v>
      </c>
      <c r="F7" s="0" t="s">
        <v>62</v>
      </c>
      <c r="G7" s="0" t="n">
        <v>16</v>
      </c>
      <c r="H7" s="0" t="n">
        <v>1116.03</v>
      </c>
      <c r="I7" s="0" t="s">
        <v>68</v>
      </c>
      <c r="J7" s="0" t="s">
        <v>64</v>
      </c>
      <c r="K7" s="0" t="s">
        <v>65</v>
      </c>
    </row>
    <row r="8" customFormat="false" ht="15" hidden="false" customHeight="false" outlineLevel="0" collapsed="false">
      <c r="A8" s="0" t="s">
        <v>69</v>
      </c>
      <c r="B8" s="0" t="s">
        <v>70</v>
      </c>
      <c r="C8" s="0" t="n">
        <v>53.666</v>
      </c>
      <c r="D8" s="0" t="n">
        <v>11.172</v>
      </c>
      <c r="E8" s="0" t="n">
        <v>1</v>
      </c>
      <c r="F8" s="0" t="s">
        <v>62</v>
      </c>
      <c r="G8" s="0" t="n">
        <v>16</v>
      </c>
      <c r="H8" s="0" t="n">
        <v>672.49</v>
      </c>
      <c r="I8" s="0" t="s">
        <v>71</v>
      </c>
      <c r="J8" s="0" t="s">
        <v>64</v>
      </c>
      <c r="K8" s="0" t="s">
        <v>65</v>
      </c>
    </row>
    <row r="9" customFormat="false" ht="15" hidden="false" customHeight="false" outlineLevel="0" collapsed="false">
      <c r="A9" s="0" t="s">
        <v>72</v>
      </c>
      <c r="B9" s="0" t="s">
        <v>73</v>
      </c>
      <c r="C9" s="0" t="n">
        <v>47.927</v>
      </c>
      <c r="D9" s="0" t="n">
        <v>13.056</v>
      </c>
      <c r="E9" s="0" t="n">
        <v>1</v>
      </c>
      <c r="F9" s="0" t="s">
        <v>62</v>
      </c>
      <c r="G9" s="0" t="n">
        <v>16</v>
      </c>
      <c r="H9" s="0" t="n">
        <v>677.65</v>
      </c>
      <c r="I9" s="0" t="s">
        <v>74</v>
      </c>
      <c r="J9" s="0" t="s">
        <v>64</v>
      </c>
      <c r="K9" s="0" t="s">
        <v>65</v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n">
        <v>4.787</v>
      </c>
      <c r="D10" s="0" t="n">
        <v>14.358</v>
      </c>
      <c r="E10" s="0" t="n">
        <v>1</v>
      </c>
      <c r="F10" s="0" t="s">
        <v>62</v>
      </c>
      <c r="G10" s="0" t="n">
        <v>16</v>
      </c>
      <c r="H10" s="0" t="n">
        <v>73.6</v>
      </c>
      <c r="I10" s="0" t="s">
        <v>77</v>
      </c>
      <c r="J10" s="0" t="s">
        <v>64</v>
      </c>
      <c r="K10" s="0" t="s">
        <v>65</v>
      </c>
    </row>
    <row r="11" customFormat="false" ht="15" hidden="false" customHeight="false" outlineLevel="0" collapsed="false">
      <c r="A11" s="0" t="s">
        <v>78</v>
      </c>
      <c r="B11" s="0" t="s">
        <v>79</v>
      </c>
      <c r="C11" s="0" t="n">
        <v>21.462</v>
      </c>
      <c r="D11" s="0" t="n">
        <v>14.358</v>
      </c>
      <c r="E11" s="0" t="n">
        <v>1</v>
      </c>
      <c r="F11" s="0" t="s">
        <v>62</v>
      </c>
      <c r="G11" s="0" t="n">
        <v>16</v>
      </c>
      <c r="H11" s="0" t="n">
        <v>329.98</v>
      </c>
      <c r="I11" s="0" t="s">
        <v>80</v>
      </c>
      <c r="J11" s="0" t="s">
        <v>64</v>
      </c>
      <c r="K11" s="0" t="s">
        <v>65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n">
        <v>3.375</v>
      </c>
      <c r="D12" s="0" t="n">
        <v>14.358</v>
      </c>
      <c r="E12" s="0" t="n">
        <v>0</v>
      </c>
      <c r="F12" s="0" t="s">
        <v>62</v>
      </c>
      <c r="G12" s="0" t="n">
        <v>12</v>
      </c>
      <c r="H12" s="0" t="n">
        <v>0</v>
      </c>
      <c r="I12" s="0" t="s">
        <v>82</v>
      </c>
      <c r="J12" s="0" t="s">
        <v>83</v>
      </c>
      <c r="K12" s="0" t="s">
        <v>65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0" t="n">
        <v>2.896</v>
      </c>
      <c r="D13" s="0" t="n">
        <v>14.358</v>
      </c>
      <c r="E13" s="0" t="n">
        <v>0</v>
      </c>
      <c r="F13" s="0" t="s">
        <v>62</v>
      </c>
      <c r="G13" s="0" t="n">
        <v>12</v>
      </c>
      <c r="H13" s="0" t="n">
        <v>0</v>
      </c>
      <c r="I13" s="0" t="s">
        <v>85</v>
      </c>
      <c r="J13" s="0" t="s">
        <v>86</v>
      </c>
      <c r="K13" s="0" t="s">
        <v>65</v>
      </c>
    </row>
    <row r="14" customFormat="false" ht="15" hidden="false" customHeight="false" outlineLevel="0" collapsed="false">
      <c r="A14" s="5" t="s">
        <v>87</v>
      </c>
    </row>
    <row r="15" customFormat="false" ht="15" hidden="false" customHeight="false" outlineLevel="0" collapsed="false">
      <c r="A15" s="0" t="s">
        <v>88</v>
      </c>
      <c r="B15" s="0" t="s">
        <v>89</v>
      </c>
      <c r="C15" s="0" t="n">
        <v>16.354</v>
      </c>
      <c r="D15" s="0" t="n">
        <v>4.292</v>
      </c>
      <c r="E15" s="0" t="n">
        <v>0</v>
      </c>
      <c r="F15" s="0" t="s">
        <v>90</v>
      </c>
      <c r="G15" s="0" t="n">
        <v>16</v>
      </c>
      <c r="H15" s="0" t="n">
        <v>0</v>
      </c>
      <c r="I15" s="0" t="s">
        <v>89</v>
      </c>
      <c r="J15" s="0" t="s">
        <v>91</v>
      </c>
      <c r="K15" s="0" t="s">
        <v>65</v>
      </c>
    </row>
    <row r="16" customFormat="false" ht="15" hidden="false" customHeight="false" outlineLevel="0" collapsed="false">
      <c r="A16" s="0" t="s">
        <v>92</v>
      </c>
      <c r="B16" s="0" t="s">
        <v>93</v>
      </c>
      <c r="C16" s="0" t="n">
        <v>3.497</v>
      </c>
      <c r="D16" s="0" t="n">
        <v>4.292</v>
      </c>
      <c r="E16" s="0" t="n">
        <v>0</v>
      </c>
      <c r="F16" s="0" t="s">
        <v>90</v>
      </c>
      <c r="G16" s="0" t="n">
        <v>16</v>
      </c>
      <c r="H16" s="0" t="n">
        <v>0</v>
      </c>
      <c r="I16" s="0" t="s">
        <v>93</v>
      </c>
      <c r="J16" s="0" t="s">
        <v>91</v>
      </c>
      <c r="K16" s="0" t="s">
        <v>65</v>
      </c>
    </row>
    <row r="17" customFormat="false" ht="15" hidden="false" customHeight="false" outlineLevel="0" collapsed="false">
      <c r="A17" s="0" t="s">
        <v>94</v>
      </c>
      <c r="B17" s="0" t="s">
        <v>95</v>
      </c>
      <c r="C17" s="0" t="n">
        <v>29.003</v>
      </c>
      <c r="D17" s="0" t="n">
        <v>4.292</v>
      </c>
      <c r="E17" s="0" t="n">
        <v>0</v>
      </c>
      <c r="F17" s="0" t="s">
        <v>90</v>
      </c>
      <c r="G17" s="0" t="n">
        <v>16</v>
      </c>
      <c r="H17" s="0" t="n">
        <v>0</v>
      </c>
      <c r="I17" s="0" t="s">
        <v>95</v>
      </c>
      <c r="J17" s="0" t="s">
        <v>91</v>
      </c>
      <c r="K17" s="0" t="s">
        <v>65</v>
      </c>
    </row>
    <row r="18" customFormat="false" ht="15" hidden="false" customHeight="false" outlineLevel="0" collapsed="false">
      <c r="A18" s="0" t="s">
        <v>96</v>
      </c>
      <c r="B18" s="0" t="s">
        <v>97</v>
      </c>
      <c r="C18" s="0" t="n">
        <v>3.875</v>
      </c>
      <c r="D18" s="0" t="n">
        <v>4.292</v>
      </c>
      <c r="E18" s="0" t="n">
        <v>0</v>
      </c>
      <c r="F18" s="0" t="s">
        <v>90</v>
      </c>
      <c r="G18" s="0" t="n">
        <v>16</v>
      </c>
      <c r="H18" s="0" t="n">
        <v>0</v>
      </c>
      <c r="I18" s="0" t="s">
        <v>97</v>
      </c>
      <c r="J18" s="0" t="s">
        <v>91</v>
      </c>
      <c r="K18" s="0" t="s">
        <v>65</v>
      </c>
    </row>
    <row r="19" customFormat="false" ht="15" hidden="false" customHeight="false" outlineLevel="0" collapsed="false">
      <c r="A19" s="0" t="s">
        <v>98</v>
      </c>
      <c r="B19" s="0" t="s">
        <v>99</v>
      </c>
      <c r="C19" s="0" t="n">
        <v>47.927</v>
      </c>
      <c r="D19" s="0" t="n">
        <v>3.403</v>
      </c>
      <c r="E19" s="0" t="n">
        <v>0</v>
      </c>
      <c r="F19" s="0" t="s">
        <v>90</v>
      </c>
      <c r="G19" s="0" t="n">
        <v>16</v>
      </c>
      <c r="H19" s="0" t="n">
        <v>0</v>
      </c>
      <c r="I19" s="0" t="s">
        <v>100</v>
      </c>
      <c r="J19" s="0" t="s">
        <v>91</v>
      </c>
      <c r="K19" s="0" t="s">
        <v>65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52.333</v>
      </c>
      <c r="D20" s="0" t="n">
        <v>4.886</v>
      </c>
      <c r="E20" s="0" t="n">
        <v>0</v>
      </c>
      <c r="F20" s="0" t="s">
        <v>90</v>
      </c>
      <c r="G20" s="0" t="n">
        <v>16</v>
      </c>
      <c r="H20" s="0" t="n">
        <v>0</v>
      </c>
      <c r="I20" s="0" t="s">
        <v>102</v>
      </c>
      <c r="J20" s="0" t="s">
        <v>91</v>
      </c>
      <c r="K20" s="0" t="s">
        <v>65</v>
      </c>
    </row>
    <row r="21" customFormat="false" ht="15" hidden="false" customHeight="false" outlineLevel="0" collapsed="false">
      <c r="A21" s="0" t="s">
        <v>103</v>
      </c>
      <c r="B21" s="0" t="s">
        <v>104</v>
      </c>
      <c r="C21" s="0" t="n">
        <v>75.94</v>
      </c>
      <c r="D21" s="0" t="n">
        <v>2.901</v>
      </c>
      <c r="E21" s="0" t="n">
        <v>0</v>
      </c>
      <c r="F21" s="0" t="s">
        <v>90</v>
      </c>
      <c r="G21" s="0" t="n">
        <v>16</v>
      </c>
      <c r="H21" s="0" t="n">
        <v>0</v>
      </c>
      <c r="I21" s="0" t="s">
        <v>105</v>
      </c>
      <c r="J21" s="0" t="s">
        <v>91</v>
      </c>
      <c r="K21" s="0" t="s">
        <v>65</v>
      </c>
    </row>
    <row r="22" customFormat="false" ht="15" hidden="false" customHeight="false" outlineLevel="0" collapsed="false">
      <c r="A22" s="0" t="s">
        <v>106</v>
      </c>
      <c r="B22" s="0" t="s">
        <v>107</v>
      </c>
      <c r="C22" s="0" t="n">
        <v>39.854</v>
      </c>
      <c r="D22" s="0" t="n">
        <v>2.042</v>
      </c>
      <c r="E22" s="0" t="n">
        <v>0</v>
      </c>
      <c r="F22" s="0" t="s">
        <v>90</v>
      </c>
      <c r="G22" s="0" t="n">
        <v>16</v>
      </c>
      <c r="H22" s="0" t="n">
        <v>0</v>
      </c>
      <c r="I22" s="0" t="s">
        <v>107</v>
      </c>
      <c r="J22" s="0" t="s">
        <v>91</v>
      </c>
      <c r="K22" s="0" t="s">
        <v>65</v>
      </c>
    </row>
    <row r="23" customFormat="false" ht="15" hidden="false" customHeight="false" outlineLevel="0" collapsed="false">
      <c r="A23" s="5" t="s">
        <v>108</v>
      </c>
    </row>
    <row r="24" customFormat="false" ht="15" hidden="false" customHeight="false" outlineLevel="0" collapsed="false">
      <c r="A24" s="0" t="s">
        <v>109</v>
      </c>
      <c r="B24" s="0" t="s">
        <v>110</v>
      </c>
      <c r="C24" s="0" t="n">
        <v>2.42</v>
      </c>
      <c r="D24" s="0" t="n">
        <v>14.383</v>
      </c>
      <c r="E24" s="0" t="n">
        <v>4</v>
      </c>
      <c r="F24" s="0" t="s">
        <v>111</v>
      </c>
      <c r="G24" s="0" t="n">
        <v>16</v>
      </c>
      <c r="H24" s="0" t="n">
        <v>139.22</v>
      </c>
      <c r="I24" s="0" t="s">
        <v>112</v>
      </c>
      <c r="J24" s="0" t="s">
        <v>113</v>
      </c>
      <c r="K24" s="0" t="s">
        <v>65</v>
      </c>
    </row>
    <row r="25" customFormat="false" ht="15" hidden="false" customHeight="false" outlineLevel="0" collapsed="false">
      <c r="A25" s="0" t="s">
        <v>114</v>
      </c>
      <c r="B25" s="0" t="s">
        <v>115</v>
      </c>
      <c r="C25" s="0" t="n">
        <v>3.467</v>
      </c>
      <c r="D25" s="0" t="n">
        <v>14.383</v>
      </c>
      <c r="E25" s="0" t="n">
        <v>4</v>
      </c>
      <c r="F25" s="0" t="s">
        <v>111</v>
      </c>
      <c r="G25" s="0" t="n">
        <v>16</v>
      </c>
      <c r="H25" s="0" t="n">
        <v>199.46</v>
      </c>
      <c r="I25" s="0" t="s">
        <v>116</v>
      </c>
      <c r="J25" s="0" t="s">
        <v>113</v>
      </c>
      <c r="K25" s="0" t="s">
        <v>65</v>
      </c>
    </row>
    <row r="26" customFormat="false" ht="15" hidden="false" customHeight="false" outlineLevel="0" collapsed="false">
      <c r="A26" s="0" t="s">
        <v>117</v>
      </c>
      <c r="B26" s="0" t="s">
        <v>118</v>
      </c>
      <c r="C26" s="0" t="n">
        <v>3.253</v>
      </c>
      <c r="D26" s="0" t="n">
        <v>14.225</v>
      </c>
      <c r="E26" s="0" t="n">
        <v>4</v>
      </c>
      <c r="F26" s="0" t="s">
        <v>111</v>
      </c>
      <c r="G26" s="0" t="n">
        <v>16</v>
      </c>
      <c r="H26" s="0" t="n">
        <v>185.09</v>
      </c>
      <c r="I26" s="0" t="s">
        <v>119</v>
      </c>
      <c r="J26" s="0" t="s">
        <v>113</v>
      </c>
      <c r="K26" s="0" t="s">
        <v>65</v>
      </c>
    </row>
    <row r="27" customFormat="false" ht="15" hidden="false" customHeight="false" outlineLevel="0" collapsed="false">
      <c r="A27" s="0" t="s">
        <v>120</v>
      </c>
      <c r="B27" s="0" t="s">
        <v>121</v>
      </c>
      <c r="C27" s="0" t="n">
        <v>3.253</v>
      </c>
      <c r="D27" s="0" t="n">
        <v>14.225</v>
      </c>
      <c r="E27" s="0" t="n">
        <v>4</v>
      </c>
      <c r="F27" s="0" t="s">
        <v>111</v>
      </c>
      <c r="G27" s="0" t="n">
        <v>16</v>
      </c>
      <c r="H27" s="0" t="n">
        <v>185.09</v>
      </c>
      <c r="I27" s="0" t="s">
        <v>122</v>
      </c>
      <c r="J27" s="0" t="s">
        <v>113</v>
      </c>
      <c r="K27" s="0" t="s">
        <v>65</v>
      </c>
    </row>
    <row r="28" customFormat="false" ht="15" hidden="false" customHeight="false" outlineLevel="0" collapsed="false">
      <c r="A28" s="0" t="s">
        <v>123</v>
      </c>
      <c r="B28" s="0" t="s">
        <v>124</v>
      </c>
      <c r="C28" s="0" t="n">
        <v>0.333</v>
      </c>
      <c r="D28" s="0" t="n">
        <v>15.375</v>
      </c>
      <c r="E28" s="0" t="n">
        <v>4</v>
      </c>
      <c r="F28" s="0" t="s">
        <v>111</v>
      </c>
      <c r="G28" s="0" t="n">
        <v>16</v>
      </c>
      <c r="H28" s="0" t="n">
        <v>20.48</v>
      </c>
      <c r="I28" s="0" t="s">
        <v>125</v>
      </c>
      <c r="J28" s="0" t="s">
        <v>113</v>
      </c>
      <c r="K28" s="0" t="s">
        <v>65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11.771</v>
      </c>
      <c r="D29" s="0" t="n">
        <v>15.375</v>
      </c>
      <c r="E29" s="0" t="n">
        <v>4</v>
      </c>
      <c r="F29" s="0" t="s">
        <v>111</v>
      </c>
      <c r="G29" s="0" t="n">
        <v>16</v>
      </c>
      <c r="H29" s="0" t="n">
        <v>723.92</v>
      </c>
      <c r="I29" s="0" t="s">
        <v>128</v>
      </c>
      <c r="J29" s="0" t="s">
        <v>113</v>
      </c>
      <c r="K29" s="0" t="s">
        <v>65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n">
        <v>11.771</v>
      </c>
      <c r="D30" s="0" t="n">
        <v>15.375</v>
      </c>
      <c r="E30" s="0" t="n">
        <v>4</v>
      </c>
      <c r="F30" s="0" t="s">
        <v>111</v>
      </c>
      <c r="G30" s="0" t="n">
        <v>16</v>
      </c>
      <c r="H30" s="0" t="n">
        <v>723.92</v>
      </c>
      <c r="I30" s="0" t="s">
        <v>131</v>
      </c>
      <c r="J30" s="0" t="s">
        <v>113</v>
      </c>
      <c r="K30" s="0" t="s">
        <v>65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n">
        <v>10.062</v>
      </c>
      <c r="D31" s="0" t="n">
        <v>15.375</v>
      </c>
      <c r="E31" s="0" t="n">
        <v>4</v>
      </c>
      <c r="F31" s="0" t="s">
        <v>111</v>
      </c>
      <c r="G31" s="0" t="n">
        <v>16</v>
      </c>
      <c r="H31" s="0" t="n">
        <v>618.82</v>
      </c>
      <c r="I31" s="0" t="s">
        <v>134</v>
      </c>
      <c r="J31" s="0" t="s">
        <v>113</v>
      </c>
      <c r="K31" s="0" t="s">
        <v>65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12.666</v>
      </c>
      <c r="D32" s="0" t="n">
        <v>15.375</v>
      </c>
      <c r="E32" s="0" t="n">
        <v>4</v>
      </c>
      <c r="F32" s="0" t="s">
        <v>111</v>
      </c>
      <c r="G32" s="0" t="n">
        <v>16</v>
      </c>
      <c r="H32" s="0" t="n">
        <v>778.96</v>
      </c>
      <c r="I32" s="0" t="s">
        <v>137</v>
      </c>
      <c r="J32" s="0" t="s">
        <v>113</v>
      </c>
      <c r="K32" s="0" t="s">
        <v>65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11.625</v>
      </c>
      <c r="D33" s="0" t="n">
        <v>15.375</v>
      </c>
      <c r="E33" s="0" t="n">
        <v>4</v>
      </c>
      <c r="F33" s="0" t="s">
        <v>111</v>
      </c>
      <c r="G33" s="0" t="n">
        <v>16</v>
      </c>
      <c r="H33" s="0" t="n">
        <v>714.94</v>
      </c>
      <c r="I33" s="0" t="s">
        <v>140</v>
      </c>
      <c r="J33" s="0" t="s">
        <v>113</v>
      </c>
      <c r="K33" s="0" t="s">
        <v>65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11.625</v>
      </c>
      <c r="D34" s="0" t="n">
        <v>15.375</v>
      </c>
      <c r="E34" s="0" t="n">
        <v>4</v>
      </c>
      <c r="F34" s="0" t="s">
        <v>111</v>
      </c>
      <c r="G34" s="0" t="n">
        <v>16</v>
      </c>
      <c r="H34" s="0" t="n">
        <v>714.94</v>
      </c>
      <c r="I34" s="0" t="s">
        <v>143</v>
      </c>
      <c r="J34" s="0" t="s">
        <v>113</v>
      </c>
      <c r="K34" s="0" t="s">
        <v>65</v>
      </c>
    </row>
    <row r="35" customFormat="false" ht="15" hidden="false" customHeight="false" outlineLevel="0" collapsed="false">
      <c r="A35" s="5" t="s">
        <v>144</v>
      </c>
    </row>
    <row r="36" customFormat="false" ht="15" hidden="false" customHeight="false" outlineLevel="0" collapsed="false">
      <c r="A36" s="0" t="s">
        <v>145</v>
      </c>
      <c r="B36" s="0" t="s">
        <v>146</v>
      </c>
      <c r="C36" s="0" t="n">
        <v>11.771</v>
      </c>
      <c r="D36" s="0" t="n">
        <v>15.375</v>
      </c>
      <c r="E36" s="0" t="n">
        <v>4</v>
      </c>
      <c r="F36" s="0" t="s">
        <v>111</v>
      </c>
      <c r="G36" s="0" t="n">
        <v>16</v>
      </c>
      <c r="H36" s="0" t="n">
        <v>723.92</v>
      </c>
      <c r="I36" s="0" t="s">
        <v>147</v>
      </c>
      <c r="J36" s="0" t="s">
        <v>113</v>
      </c>
      <c r="K36" s="0" t="s">
        <v>65</v>
      </c>
    </row>
    <row r="37" customFormat="false" ht="15" hidden="false" customHeight="false" outlineLevel="0" collapsed="false">
      <c r="A37" s="0" t="s">
        <v>148</v>
      </c>
      <c r="B37" s="0" t="s">
        <v>149</v>
      </c>
      <c r="C37" s="0" t="n">
        <v>3.507</v>
      </c>
      <c r="D37" s="0" t="n">
        <v>15.375</v>
      </c>
      <c r="E37" s="0" t="n">
        <v>4</v>
      </c>
      <c r="F37" s="0" t="s">
        <v>111</v>
      </c>
      <c r="G37" s="0" t="n">
        <v>16</v>
      </c>
      <c r="H37" s="0" t="n">
        <v>215.68</v>
      </c>
      <c r="I37" s="0" t="s">
        <v>150</v>
      </c>
      <c r="J37" s="0" t="s">
        <v>113</v>
      </c>
      <c r="K37" s="0" t="s">
        <v>65</v>
      </c>
    </row>
    <row r="38" customFormat="false" ht="15" hidden="false" customHeight="false" outlineLevel="0" collapsed="false">
      <c r="A38" s="0" t="s">
        <v>151</v>
      </c>
      <c r="B38" s="0" t="s">
        <v>152</v>
      </c>
      <c r="C38" s="0" t="n">
        <v>3.18</v>
      </c>
      <c r="D38" s="0" t="n">
        <v>15.375</v>
      </c>
      <c r="E38" s="0" t="n">
        <v>4</v>
      </c>
      <c r="F38" s="0" t="s">
        <v>111</v>
      </c>
      <c r="G38" s="0" t="n">
        <v>16</v>
      </c>
      <c r="H38" s="0" t="n">
        <v>195.58</v>
      </c>
      <c r="I38" s="0" t="s">
        <v>153</v>
      </c>
      <c r="J38" s="0" t="s">
        <v>113</v>
      </c>
      <c r="K38" s="0" t="s">
        <v>65</v>
      </c>
    </row>
    <row r="39" customFormat="false" ht="15" hidden="false" customHeight="false" outlineLevel="0" collapsed="false">
      <c r="A39" s="5" t="s">
        <v>154</v>
      </c>
    </row>
    <row r="40" customFormat="false" ht="15" hidden="false" customHeight="false" outlineLevel="0" collapsed="false">
      <c r="A40" s="0" t="s">
        <v>155</v>
      </c>
      <c r="B40" s="0" t="s">
        <v>156</v>
      </c>
      <c r="C40" s="0" t="n">
        <v>1.773</v>
      </c>
      <c r="D40" s="0" t="n">
        <v>15.375</v>
      </c>
      <c r="E40" s="0" t="n">
        <v>2</v>
      </c>
      <c r="F40" s="0" t="s">
        <v>62</v>
      </c>
      <c r="G40" s="0" t="n">
        <v>16</v>
      </c>
      <c r="H40" s="0" t="n">
        <v>54.52</v>
      </c>
      <c r="I40" s="0" t="s">
        <v>134</v>
      </c>
      <c r="J40" s="0" t="s">
        <v>157</v>
      </c>
      <c r="K40" s="0" t="s">
        <v>65</v>
      </c>
    </row>
    <row r="41" customFormat="false" ht="15" hidden="false" customHeight="false" outlineLevel="0" collapsed="false">
      <c r="A41" s="5" t="s">
        <v>158</v>
      </c>
    </row>
    <row r="42" customFormat="false" ht="15" hidden="false" customHeight="false" outlineLevel="0" collapsed="false">
      <c r="A42" s="0" t="s">
        <v>159</v>
      </c>
      <c r="B42" s="0" t="s">
        <v>160</v>
      </c>
      <c r="C42" s="0" t="n">
        <v>4.477</v>
      </c>
      <c r="D42" s="0" t="n">
        <v>15.375</v>
      </c>
      <c r="E42" s="0" t="n">
        <v>1.82</v>
      </c>
      <c r="F42" s="0" t="s">
        <v>161</v>
      </c>
      <c r="G42" s="0" t="n">
        <v>16</v>
      </c>
      <c r="H42" s="0" t="n">
        <v>125.58</v>
      </c>
      <c r="I42" s="0" t="s">
        <v>162</v>
      </c>
      <c r="J42" s="0" t="s">
        <v>157</v>
      </c>
      <c r="K42" s="0" t="s">
        <v>65</v>
      </c>
    </row>
    <row r="43" customFormat="false" ht="15" hidden="false" customHeight="false" outlineLevel="0" collapsed="false">
      <c r="A43" s="0" t="s">
        <v>163</v>
      </c>
      <c r="B43" s="0" t="s">
        <v>164</v>
      </c>
      <c r="C43" s="0" t="n">
        <v>2.2</v>
      </c>
      <c r="D43" s="0" t="n">
        <v>12.927</v>
      </c>
      <c r="E43" s="0" t="n">
        <v>2</v>
      </c>
      <c r="F43" s="0" t="s">
        <v>161</v>
      </c>
      <c r="G43" s="0" t="n">
        <v>16</v>
      </c>
      <c r="H43" s="0" t="n">
        <v>56.88</v>
      </c>
      <c r="I43" s="0" t="s">
        <v>165</v>
      </c>
      <c r="J43" s="0" t="s">
        <v>157</v>
      </c>
      <c r="K43" s="0" t="s">
        <v>65</v>
      </c>
    </row>
    <row r="44" customFormat="false" ht="15" hidden="false" customHeight="false" outlineLevel="0" collapsed="false">
      <c r="A44" s="0" t="s">
        <v>166</v>
      </c>
      <c r="B44" s="0" t="s">
        <v>167</v>
      </c>
      <c r="C44" s="0" t="n">
        <v>3.413</v>
      </c>
      <c r="D44" s="0" t="n">
        <v>12.939</v>
      </c>
      <c r="E44" s="0" t="n">
        <v>2</v>
      </c>
      <c r="F44" s="0" t="s">
        <v>161</v>
      </c>
      <c r="G44" s="0" t="n">
        <v>16</v>
      </c>
      <c r="H44" s="0" t="n">
        <v>88.32</v>
      </c>
      <c r="I44" s="0" t="s">
        <v>168</v>
      </c>
      <c r="J44" s="0" t="s">
        <v>157</v>
      </c>
      <c r="K44" s="0" t="s">
        <v>65</v>
      </c>
    </row>
    <row r="45" customFormat="false" ht="15" hidden="false" customHeight="false" outlineLevel="0" collapsed="false">
      <c r="A45" s="5" t="s">
        <v>169</v>
      </c>
    </row>
    <row r="46" customFormat="false" ht="15" hidden="false" customHeight="false" outlineLevel="0" collapsed="false">
      <c r="A46" s="0" t="s">
        <v>170</v>
      </c>
      <c r="B46" s="0" t="s">
        <v>171</v>
      </c>
      <c r="C46" s="0" t="n">
        <v>2.98</v>
      </c>
      <c r="D46" s="0" t="n">
        <v>12.93</v>
      </c>
      <c r="E46" s="0" t="n">
        <v>1</v>
      </c>
      <c r="F46" s="0" t="s">
        <v>161</v>
      </c>
      <c r="G46" s="0" t="n">
        <v>16</v>
      </c>
      <c r="H46" s="0" t="n">
        <v>38.53</v>
      </c>
      <c r="I46" s="0" t="s">
        <v>172</v>
      </c>
      <c r="J46" s="0" t="s">
        <v>173</v>
      </c>
      <c r="K46" s="0" t="s">
        <v>65</v>
      </c>
    </row>
    <row r="47" customFormat="false" ht="15" hidden="false" customHeight="false" outlineLevel="0" collapsed="false">
      <c r="A47" s="0" t="s">
        <v>174</v>
      </c>
      <c r="B47" s="0" t="s">
        <v>175</v>
      </c>
      <c r="C47" s="0" t="n">
        <v>10.626</v>
      </c>
      <c r="D47" s="0" t="n">
        <v>15.375</v>
      </c>
      <c r="E47" s="0" t="n">
        <v>1</v>
      </c>
      <c r="F47" s="0" t="s">
        <v>161</v>
      </c>
      <c r="G47" s="0" t="n">
        <v>16</v>
      </c>
      <c r="H47" s="0" t="n">
        <v>163.37</v>
      </c>
      <c r="I47" s="0" t="s">
        <v>176</v>
      </c>
      <c r="J47" s="0" t="s">
        <v>173</v>
      </c>
      <c r="K47" s="0" t="s">
        <v>65</v>
      </c>
    </row>
    <row r="48" customFormat="false" ht="15" hidden="false" customHeight="false" outlineLevel="0" collapsed="false">
      <c r="A48" s="0" t="s">
        <v>177</v>
      </c>
      <c r="B48" s="0" t="s">
        <v>178</v>
      </c>
      <c r="C48" s="0" t="n">
        <v>10.027</v>
      </c>
      <c r="D48" s="0" t="n">
        <v>12.927</v>
      </c>
      <c r="E48" s="0" t="n">
        <v>1</v>
      </c>
      <c r="F48" s="0" t="s">
        <v>161</v>
      </c>
      <c r="G48" s="0" t="n">
        <v>16</v>
      </c>
      <c r="H48" s="0" t="n">
        <v>129.62</v>
      </c>
      <c r="I48" s="0" t="s">
        <v>179</v>
      </c>
      <c r="J48" s="0" t="s">
        <v>173</v>
      </c>
      <c r="K48" s="0" t="s">
        <v>65</v>
      </c>
    </row>
    <row r="49" customFormat="false" ht="15" hidden="false" customHeight="false" outlineLevel="0" collapsed="false">
      <c r="A49" s="0" t="s">
        <v>180</v>
      </c>
      <c r="B49" s="0" t="s">
        <v>181</v>
      </c>
      <c r="C49" s="0" t="n">
        <v>10.027</v>
      </c>
      <c r="D49" s="0" t="n">
        <v>12.896</v>
      </c>
      <c r="E49" s="0" t="n">
        <v>1</v>
      </c>
      <c r="F49" s="0" t="s">
        <v>161</v>
      </c>
      <c r="G49" s="0" t="n">
        <v>16</v>
      </c>
      <c r="H49" s="0" t="n">
        <v>129.62</v>
      </c>
      <c r="I49" s="0" t="s">
        <v>182</v>
      </c>
      <c r="J49" s="0" t="s">
        <v>173</v>
      </c>
      <c r="K49" s="0" t="s">
        <v>65</v>
      </c>
    </row>
    <row r="50" customFormat="false" ht="15" hidden="false" customHeight="false" outlineLevel="0" collapsed="false">
      <c r="A50" s="0" t="s">
        <v>183</v>
      </c>
      <c r="B50" s="0" t="s">
        <v>184</v>
      </c>
      <c r="C50" s="0" t="n">
        <v>3.133</v>
      </c>
      <c r="D50" s="0" t="n">
        <v>15.375</v>
      </c>
      <c r="E50" s="0" t="n">
        <v>1</v>
      </c>
      <c r="F50" s="0" t="s">
        <v>161</v>
      </c>
      <c r="G50" s="0" t="n">
        <v>16</v>
      </c>
      <c r="H50" s="0" t="n">
        <v>48.17</v>
      </c>
      <c r="I50" s="0" t="s">
        <v>185</v>
      </c>
      <c r="J50" s="0" t="s">
        <v>83</v>
      </c>
      <c r="K50" s="0" t="s">
        <v>65</v>
      </c>
    </row>
    <row r="51" customFormat="false" ht="15" hidden="false" customHeight="false" outlineLevel="0" collapsed="false">
      <c r="A51" s="0" t="s">
        <v>186</v>
      </c>
      <c r="B51" s="0" t="s">
        <v>187</v>
      </c>
      <c r="C51" s="0" t="n">
        <v>4.119</v>
      </c>
      <c r="D51" s="0" t="n">
        <v>15.375</v>
      </c>
      <c r="E51" s="0" t="n">
        <v>1</v>
      </c>
      <c r="F51" s="0" t="s">
        <v>161</v>
      </c>
      <c r="G51" s="0" t="n">
        <v>16</v>
      </c>
      <c r="H51" s="0" t="n">
        <v>63.33</v>
      </c>
      <c r="I51" s="0" t="s">
        <v>185</v>
      </c>
      <c r="J51" s="0" t="s">
        <v>86</v>
      </c>
      <c r="K51" s="0" t="s">
        <v>65</v>
      </c>
    </row>
    <row r="52" customFormat="false" ht="15" hidden="false" customHeight="false" outlineLevel="0" collapsed="false">
      <c r="A52" s="0" t="s">
        <v>188</v>
      </c>
      <c r="B52" s="0" t="s">
        <v>189</v>
      </c>
      <c r="C52" s="0" t="n">
        <v>4</v>
      </c>
      <c r="D52" s="0" t="n">
        <v>15.375</v>
      </c>
      <c r="E52" s="0" t="n">
        <v>1</v>
      </c>
      <c r="F52" s="0" t="s">
        <v>161</v>
      </c>
      <c r="G52" s="0" t="n">
        <v>16</v>
      </c>
      <c r="H52" s="0" t="n">
        <v>61.52</v>
      </c>
      <c r="I52" s="0" t="s">
        <v>190</v>
      </c>
      <c r="J52" s="0" t="s">
        <v>191</v>
      </c>
      <c r="K52" s="0" t="s">
        <v>65</v>
      </c>
    </row>
    <row r="53" customFormat="false" ht="15" hidden="false" customHeight="false" outlineLevel="0" collapsed="false">
      <c r="A53" s="0" t="s">
        <v>192</v>
      </c>
      <c r="B53" s="0" t="s">
        <v>193</v>
      </c>
      <c r="C53" s="0" t="n">
        <v>2.75</v>
      </c>
      <c r="D53" s="0" t="n">
        <v>15.375</v>
      </c>
      <c r="E53" s="0" t="n">
        <v>1</v>
      </c>
      <c r="F53" s="0" t="s">
        <v>161</v>
      </c>
      <c r="G53" s="0" t="n">
        <v>16</v>
      </c>
      <c r="H53" s="0" t="n">
        <v>42.29</v>
      </c>
      <c r="I53" s="0" t="s">
        <v>194</v>
      </c>
      <c r="J53" s="0" t="s">
        <v>191</v>
      </c>
      <c r="K53" s="0" t="s">
        <v>65</v>
      </c>
    </row>
    <row r="54" customFormat="false" ht="15" hidden="false" customHeight="false" outlineLevel="0" collapsed="false">
      <c r="A54" s="5" t="s">
        <v>195</v>
      </c>
    </row>
    <row r="55" customFormat="false" ht="15" hidden="false" customHeight="false" outlineLevel="0" collapsed="false">
      <c r="A55" s="0" t="s">
        <v>196</v>
      </c>
      <c r="B55" s="0" t="s">
        <v>197</v>
      </c>
      <c r="C55" s="0" t="n">
        <v>6.613</v>
      </c>
      <c r="D55" s="0" t="n">
        <v>11.776</v>
      </c>
      <c r="E55" s="0" t="n">
        <v>2</v>
      </c>
      <c r="F55" s="0" t="s">
        <v>62</v>
      </c>
      <c r="G55" s="0" t="n">
        <v>16</v>
      </c>
      <c r="H55" s="0" t="n">
        <v>122.34</v>
      </c>
      <c r="I55" s="0" t="s">
        <v>198</v>
      </c>
      <c r="J55" s="0" t="s">
        <v>199</v>
      </c>
      <c r="K55" s="0" t="s">
        <v>65</v>
      </c>
    </row>
    <row r="56" customFormat="false" ht="15" hidden="false" customHeight="false" outlineLevel="0" collapsed="false">
      <c r="A56" s="0" t="s">
        <v>200</v>
      </c>
      <c r="B56" s="0" t="s">
        <v>201</v>
      </c>
      <c r="C56" s="0" t="n">
        <v>19.407</v>
      </c>
      <c r="D56" s="0" t="n">
        <v>13.709</v>
      </c>
      <c r="E56" s="0" t="n">
        <v>2</v>
      </c>
      <c r="F56" s="0" t="s">
        <v>62</v>
      </c>
      <c r="G56" s="0" t="n">
        <v>16</v>
      </c>
      <c r="H56" s="0" t="n">
        <v>396.73</v>
      </c>
      <c r="I56" s="0" t="s">
        <v>202</v>
      </c>
      <c r="J56" s="0" t="s">
        <v>199</v>
      </c>
      <c r="K56" s="0" t="s">
        <v>65</v>
      </c>
    </row>
    <row r="57" customFormat="false" ht="15" hidden="false" customHeight="false" outlineLevel="0" collapsed="false">
      <c r="A57" s="0" t="s">
        <v>203</v>
      </c>
      <c r="B57" s="0" t="s">
        <v>204</v>
      </c>
      <c r="C57" s="0" t="n">
        <v>10.593</v>
      </c>
      <c r="D57" s="0" t="n">
        <v>15.375</v>
      </c>
      <c r="E57" s="0" t="n">
        <v>2</v>
      </c>
      <c r="F57" s="0" t="s">
        <v>62</v>
      </c>
      <c r="G57" s="0" t="n">
        <v>16</v>
      </c>
      <c r="H57" s="0" t="n">
        <v>222.46</v>
      </c>
      <c r="I57" s="0" t="s">
        <v>205</v>
      </c>
      <c r="J57" s="0" t="s">
        <v>199</v>
      </c>
      <c r="K57" s="0" t="s">
        <v>65</v>
      </c>
    </row>
    <row r="58" customFormat="false" ht="15" hidden="false" customHeight="false" outlineLevel="0" collapsed="false">
      <c r="A58" s="0" t="s">
        <v>206</v>
      </c>
      <c r="B58" s="0" t="s">
        <v>207</v>
      </c>
      <c r="C58" s="0" t="n">
        <v>5.28</v>
      </c>
      <c r="D58" s="0" t="n">
        <v>12.535</v>
      </c>
      <c r="E58" s="0" t="n">
        <v>2</v>
      </c>
      <c r="F58" s="0" t="s">
        <v>62</v>
      </c>
      <c r="G58" s="0" t="n">
        <v>16</v>
      </c>
      <c r="H58" s="0" t="n">
        <v>95.04</v>
      </c>
      <c r="I58" s="0" t="s">
        <v>208</v>
      </c>
      <c r="J58" s="0" t="s">
        <v>199</v>
      </c>
      <c r="K58" s="0" t="s">
        <v>65</v>
      </c>
    </row>
    <row r="59" customFormat="false" ht="15" hidden="false" customHeight="false" outlineLevel="0" collapsed="false">
      <c r="A59" s="5" t="s">
        <v>209</v>
      </c>
    </row>
    <row r="60" customFormat="false" ht="15" hidden="false" customHeight="false" outlineLevel="0" collapsed="false">
      <c r="A60" s="0" t="s">
        <v>210</v>
      </c>
      <c r="B60" s="0" t="s">
        <v>211</v>
      </c>
      <c r="C60" s="0" t="n">
        <v>11.74</v>
      </c>
      <c r="D60" s="0" t="n">
        <v>11.64</v>
      </c>
      <c r="E60" s="0" t="n">
        <v>2</v>
      </c>
      <c r="F60" s="0" t="s">
        <v>62</v>
      </c>
      <c r="G60" s="0" t="n">
        <v>16</v>
      </c>
      <c r="H60" s="0" t="n">
        <v>273.3</v>
      </c>
      <c r="I60" s="0" t="s">
        <v>212</v>
      </c>
      <c r="J60" s="0" t="s">
        <v>213</v>
      </c>
      <c r="K60" s="0" t="s">
        <v>65</v>
      </c>
    </row>
    <row r="61" customFormat="false" ht="15" hidden="false" customHeight="false" outlineLevel="0" collapsed="false">
      <c r="A61" s="0" t="s">
        <v>214</v>
      </c>
      <c r="B61" s="0" t="s">
        <v>215</v>
      </c>
      <c r="C61" s="0" t="n">
        <v>5.667</v>
      </c>
      <c r="D61" s="0" t="n">
        <v>15.375</v>
      </c>
      <c r="E61" s="0" t="n">
        <v>2</v>
      </c>
      <c r="F61" s="0" t="s">
        <v>62</v>
      </c>
      <c r="G61" s="0" t="n">
        <v>16</v>
      </c>
      <c r="H61" s="0" t="n">
        <v>174.26</v>
      </c>
      <c r="I61" s="0" t="s">
        <v>216</v>
      </c>
      <c r="J61" s="0" t="s">
        <v>213</v>
      </c>
      <c r="K61" s="0" t="s">
        <v>65</v>
      </c>
    </row>
    <row r="62" customFormat="false" ht="15" hidden="false" customHeight="false" outlineLevel="0" collapsed="false">
      <c r="A62" s="0" t="s">
        <v>217</v>
      </c>
      <c r="B62" s="0" t="s">
        <v>218</v>
      </c>
      <c r="C62" s="0" t="n">
        <v>5.534</v>
      </c>
      <c r="D62" s="0" t="n">
        <v>13.282</v>
      </c>
      <c r="E62" s="0" t="n">
        <v>2</v>
      </c>
      <c r="F62" s="0" t="s">
        <v>62</v>
      </c>
      <c r="G62" s="0" t="n">
        <v>16</v>
      </c>
      <c r="H62" s="0" t="n">
        <v>147</v>
      </c>
      <c r="I62" s="0" t="s">
        <v>219</v>
      </c>
      <c r="J62" s="0" t="s">
        <v>213</v>
      </c>
      <c r="K62" s="0" t="s">
        <v>65</v>
      </c>
    </row>
    <row r="63" customFormat="false" ht="15" hidden="false" customHeight="false" outlineLevel="0" collapsed="false">
      <c r="A63" s="0" t="s">
        <v>220</v>
      </c>
      <c r="B63" s="0" t="s">
        <v>221</v>
      </c>
      <c r="C63" s="0" t="n">
        <v>15.787</v>
      </c>
      <c r="D63" s="0" t="n">
        <v>12.857</v>
      </c>
      <c r="E63" s="0" t="n">
        <v>2</v>
      </c>
      <c r="F63" s="0" t="s">
        <v>62</v>
      </c>
      <c r="G63" s="0" t="n">
        <v>16</v>
      </c>
      <c r="H63" s="0" t="n">
        <v>405.94</v>
      </c>
      <c r="I63" s="0" t="s">
        <v>222</v>
      </c>
      <c r="J63" s="0" t="s">
        <v>213</v>
      </c>
      <c r="K63" s="0" t="s">
        <v>65</v>
      </c>
    </row>
    <row r="64" customFormat="false" ht="15" hidden="false" customHeight="false" outlineLevel="0" collapsed="false">
      <c r="A64" s="5" t="s">
        <v>223</v>
      </c>
    </row>
    <row r="65" customFormat="false" ht="15" hidden="false" customHeight="false" outlineLevel="0" collapsed="false">
      <c r="A65" s="0" t="s">
        <v>224</v>
      </c>
      <c r="B65" s="0" t="s">
        <v>225</v>
      </c>
      <c r="C65" s="0" t="n">
        <v>11.667</v>
      </c>
      <c r="D65" s="0" t="n">
        <v>12.775</v>
      </c>
      <c r="E65" s="0" t="n">
        <v>2</v>
      </c>
      <c r="F65" s="0" t="s">
        <v>161</v>
      </c>
      <c r="G65" s="0" t="n">
        <v>16</v>
      </c>
      <c r="H65" s="0" t="n">
        <v>215.84</v>
      </c>
      <c r="I65" s="0" t="s">
        <v>226</v>
      </c>
      <c r="J65" s="0" t="s">
        <v>199</v>
      </c>
      <c r="K65" s="0" t="s">
        <v>65</v>
      </c>
    </row>
    <row r="66" customFormat="false" ht="15" hidden="false" customHeight="false" outlineLevel="0" collapsed="false">
      <c r="A66" s="0" t="s">
        <v>227</v>
      </c>
      <c r="B66" s="0" t="s">
        <v>228</v>
      </c>
      <c r="C66" s="0" t="n">
        <v>5.093</v>
      </c>
      <c r="D66" s="0" t="n">
        <v>12.927</v>
      </c>
      <c r="E66" s="0" t="n">
        <v>2</v>
      </c>
      <c r="F66" s="0" t="s">
        <v>161</v>
      </c>
      <c r="G66" s="0" t="n">
        <v>16</v>
      </c>
      <c r="H66" s="0" t="n">
        <v>94.22</v>
      </c>
      <c r="I66" s="0" t="s">
        <v>229</v>
      </c>
      <c r="J66" s="0" t="s">
        <v>199</v>
      </c>
      <c r="K66" s="0" t="s">
        <v>65</v>
      </c>
    </row>
    <row r="67" customFormat="false" ht="15" hidden="false" customHeight="false" outlineLevel="0" collapsed="false">
      <c r="A67" s="0" t="s">
        <v>230</v>
      </c>
      <c r="B67" s="0" t="s">
        <v>231</v>
      </c>
      <c r="C67" s="0" t="n">
        <v>2.14</v>
      </c>
      <c r="D67" s="0" t="n">
        <v>11.821</v>
      </c>
      <c r="E67" s="0" t="n">
        <v>2</v>
      </c>
      <c r="F67" s="0" t="s">
        <v>161</v>
      </c>
      <c r="G67" s="0" t="n">
        <v>16</v>
      </c>
      <c r="H67" s="0" t="n">
        <v>39.59</v>
      </c>
      <c r="I67" s="0" t="s">
        <v>232</v>
      </c>
      <c r="J67" s="0" t="s">
        <v>199</v>
      </c>
      <c r="K67" s="0" t="s">
        <v>65</v>
      </c>
    </row>
    <row r="68" customFormat="false" ht="15" hidden="false" customHeight="false" outlineLevel="0" collapsed="false">
      <c r="A68" s="0" t="s">
        <v>233</v>
      </c>
      <c r="B68" s="0" t="s">
        <v>234</v>
      </c>
      <c r="C68" s="0" t="n">
        <v>15.233</v>
      </c>
      <c r="D68" s="0" t="n">
        <v>12.971</v>
      </c>
      <c r="E68" s="0" t="n">
        <v>2</v>
      </c>
      <c r="F68" s="0" t="s">
        <v>161</v>
      </c>
      <c r="G68" s="0" t="n">
        <v>16</v>
      </c>
      <c r="H68" s="0" t="n">
        <v>274.2</v>
      </c>
      <c r="I68" s="0" t="s">
        <v>235</v>
      </c>
      <c r="J68" s="0" t="s">
        <v>199</v>
      </c>
      <c r="K68" s="0" t="s">
        <v>65</v>
      </c>
    </row>
    <row r="69" customFormat="false" ht="15" hidden="false" customHeight="false" outlineLevel="0" collapsed="false">
      <c r="A69" s="0" t="s">
        <v>236</v>
      </c>
      <c r="B69" s="0" t="s">
        <v>237</v>
      </c>
      <c r="C69" s="0" t="n">
        <v>17.019</v>
      </c>
      <c r="D69" s="0" t="n">
        <v>15.375</v>
      </c>
      <c r="E69" s="0" t="n">
        <v>1.41</v>
      </c>
      <c r="F69" s="0" t="s">
        <v>161</v>
      </c>
      <c r="G69" s="0" t="n">
        <v>16</v>
      </c>
      <c r="H69" s="0" t="n">
        <v>241.78</v>
      </c>
      <c r="I69" s="0" t="s">
        <v>238</v>
      </c>
      <c r="J69" s="0" t="s">
        <v>199</v>
      </c>
      <c r="K69" s="0" t="s">
        <v>65</v>
      </c>
    </row>
    <row r="70" customFormat="false" ht="15" hidden="false" customHeight="false" outlineLevel="0" collapsed="false">
      <c r="A70" s="0" t="s">
        <v>239</v>
      </c>
      <c r="B70" s="0" t="s">
        <v>240</v>
      </c>
      <c r="C70" s="0" t="n">
        <v>3.533</v>
      </c>
      <c r="D70" s="0" t="n">
        <v>15.375</v>
      </c>
      <c r="E70" s="0" t="n">
        <v>2</v>
      </c>
      <c r="F70" s="0" t="s">
        <v>161</v>
      </c>
      <c r="G70" s="0" t="n">
        <v>16</v>
      </c>
      <c r="H70" s="0" t="n">
        <v>74.2</v>
      </c>
      <c r="I70" s="0" t="s">
        <v>241</v>
      </c>
      <c r="J70" s="0" t="s">
        <v>199</v>
      </c>
      <c r="K70" s="0" t="s">
        <v>65</v>
      </c>
    </row>
    <row r="71" customFormat="false" ht="15" hidden="false" customHeight="false" outlineLevel="0" collapsed="false">
      <c r="A71" s="0" t="s">
        <v>242</v>
      </c>
      <c r="B71" s="0" t="s">
        <v>243</v>
      </c>
      <c r="C71" s="0" t="n">
        <v>2.625</v>
      </c>
      <c r="D71" s="0" t="n">
        <v>15.375</v>
      </c>
      <c r="E71" s="0" t="n">
        <v>2</v>
      </c>
      <c r="F71" s="0" t="s">
        <v>161</v>
      </c>
      <c r="G71" s="0" t="n">
        <v>16</v>
      </c>
      <c r="H71" s="0" t="n">
        <v>55.12</v>
      </c>
      <c r="I71" s="0" t="s">
        <v>241</v>
      </c>
      <c r="J71" s="0" t="s">
        <v>199</v>
      </c>
      <c r="K71" s="0" t="s">
        <v>65</v>
      </c>
    </row>
    <row r="72" customFormat="false" ht="15" hidden="false" customHeight="false" outlineLevel="0" collapsed="false">
      <c r="A72" s="0" t="s">
        <v>244</v>
      </c>
      <c r="B72" s="0" t="s">
        <v>245</v>
      </c>
      <c r="C72" s="0" t="n">
        <v>5.587</v>
      </c>
      <c r="D72" s="0" t="n">
        <v>15.375</v>
      </c>
      <c r="E72" s="0" t="n">
        <v>2</v>
      </c>
      <c r="F72" s="0" t="s">
        <v>161</v>
      </c>
      <c r="G72" s="0" t="n">
        <v>16</v>
      </c>
      <c r="H72" s="0" t="n">
        <v>117.32</v>
      </c>
      <c r="I72" s="0" t="s">
        <v>246</v>
      </c>
      <c r="J72" s="0" t="s">
        <v>199</v>
      </c>
      <c r="K72" s="0" t="s">
        <v>65</v>
      </c>
    </row>
    <row r="73" customFormat="false" ht="15" hidden="false" customHeight="false" outlineLevel="0" collapsed="false">
      <c r="A73" s="0" t="s">
        <v>247</v>
      </c>
      <c r="B73" s="0" t="s">
        <v>248</v>
      </c>
      <c r="C73" s="0" t="n">
        <v>20.52</v>
      </c>
      <c r="D73" s="0" t="n">
        <v>11.833</v>
      </c>
      <c r="E73" s="0" t="n">
        <v>2</v>
      </c>
      <c r="F73" s="0" t="s">
        <v>161</v>
      </c>
      <c r="G73" s="0" t="n">
        <v>16</v>
      </c>
      <c r="H73" s="0" t="n">
        <v>409.44</v>
      </c>
      <c r="I73" s="0" t="s">
        <v>249</v>
      </c>
      <c r="J73" s="0" t="s">
        <v>199</v>
      </c>
      <c r="K73" s="0" t="s">
        <v>65</v>
      </c>
    </row>
    <row r="74" customFormat="false" ht="15" hidden="false" customHeight="false" outlineLevel="0" collapsed="false">
      <c r="A74" s="0" t="s">
        <v>250</v>
      </c>
      <c r="B74" s="0" t="s">
        <v>251</v>
      </c>
      <c r="C74" s="0" t="n">
        <v>7.471</v>
      </c>
      <c r="D74" s="0" t="n">
        <v>12.194</v>
      </c>
      <c r="E74" s="0" t="n">
        <v>1.86</v>
      </c>
      <c r="F74" s="0" t="s">
        <v>161</v>
      </c>
      <c r="G74" s="0" t="n">
        <v>16</v>
      </c>
      <c r="H74" s="0" t="n">
        <v>124.9</v>
      </c>
      <c r="I74" s="0" t="s">
        <v>252</v>
      </c>
      <c r="J74" s="0" t="s">
        <v>199</v>
      </c>
      <c r="K74" s="0" t="s">
        <v>65</v>
      </c>
    </row>
    <row r="75" customFormat="false" ht="15" hidden="false" customHeight="false" outlineLevel="0" collapsed="false">
      <c r="A75" s="5" t="s">
        <v>253</v>
      </c>
    </row>
    <row r="76" customFormat="false" ht="15" hidden="false" customHeight="false" outlineLevel="0" collapsed="false">
      <c r="A76" s="0" t="s">
        <v>254</v>
      </c>
      <c r="B76" s="0" t="s">
        <v>255</v>
      </c>
      <c r="C76" s="0" t="n">
        <v>9.99</v>
      </c>
      <c r="D76" s="0" t="n">
        <v>12.831</v>
      </c>
      <c r="E76" s="0" t="n">
        <v>2</v>
      </c>
      <c r="F76" s="0" t="s">
        <v>161</v>
      </c>
      <c r="G76" s="0" t="n">
        <v>16</v>
      </c>
      <c r="H76" s="0" t="n">
        <v>256.36</v>
      </c>
      <c r="I76" s="0" t="s">
        <v>256</v>
      </c>
      <c r="J76" s="0" t="s">
        <v>213</v>
      </c>
      <c r="K76" s="0" t="s">
        <v>65</v>
      </c>
    </row>
    <row r="77" customFormat="false" ht="15" hidden="false" customHeight="false" outlineLevel="0" collapsed="false">
      <c r="A77" s="0" t="s">
        <v>257</v>
      </c>
      <c r="B77" s="0" t="s">
        <v>258</v>
      </c>
      <c r="C77" s="0" t="n">
        <v>9.583</v>
      </c>
      <c r="D77" s="0" t="n">
        <v>12.702</v>
      </c>
      <c r="E77" s="0" t="n">
        <v>2</v>
      </c>
      <c r="F77" s="0" t="s">
        <v>161</v>
      </c>
      <c r="G77" s="0" t="n">
        <v>16</v>
      </c>
      <c r="H77" s="0" t="n">
        <v>243.44</v>
      </c>
      <c r="I77" s="0" t="s">
        <v>259</v>
      </c>
      <c r="J77" s="0" t="s">
        <v>213</v>
      </c>
      <c r="K77" s="0" t="s">
        <v>65</v>
      </c>
    </row>
    <row r="78" customFormat="false" ht="15" hidden="false" customHeight="false" outlineLevel="0" collapsed="false">
      <c r="A78" s="0" t="s">
        <v>260</v>
      </c>
      <c r="B78" s="0" t="s">
        <v>261</v>
      </c>
      <c r="C78" s="0" t="n">
        <v>13.74</v>
      </c>
      <c r="D78" s="0" t="n">
        <v>12.823</v>
      </c>
      <c r="E78" s="0" t="n">
        <v>2</v>
      </c>
      <c r="F78" s="0" t="s">
        <v>161</v>
      </c>
      <c r="G78" s="0" t="n">
        <v>16</v>
      </c>
      <c r="H78" s="0" t="n">
        <v>352.38</v>
      </c>
      <c r="I78" s="0" t="s">
        <v>262</v>
      </c>
      <c r="J78" s="0" t="s">
        <v>213</v>
      </c>
      <c r="K78" s="0" t="s">
        <v>65</v>
      </c>
    </row>
    <row r="79" customFormat="false" ht="15" hidden="false" customHeight="false" outlineLevel="0" collapsed="false">
      <c r="A79" s="0" t="s">
        <v>263</v>
      </c>
      <c r="B79" s="0" t="s">
        <v>264</v>
      </c>
      <c r="C79" s="0" t="n">
        <v>11.719</v>
      </c>
      <c r="D79" s="0" t="n">
        <v>12.751</v>
      </c>
      <c r="E79" s="0" t="n">
        <v>2</v>
      </c>
      <c r="F79" s="0" t="s">
        <v>161</v>
      </c>
      <c r="G79" s="0" t="n">
        <v>16</v>
      </c>
      <c r="H79" s="0" t="n">
        <v>298.86</v>
      </c>
      <c r="I79" s="0" t="s">
        <v>265</v>
      </c>
      <c r="J79" s="0" t="s">
        <v>213</v>
      </c>
      <c r="K79" s="0" t="s">
        <v>65</v>
      </c>
    </row>
    <row r="80" customFormat="false" ht="15" hidden="false" customHeight="false" outlineLevel="0" collapsed="false">
      <c r="A80" s="0" t="s">
        <v>266</v>
      </c>
      <c r="B80" s="0" t="s">
        <v>267</v>
      </c>
      <c r="C80" s="0" t="n">
        <v>3.5</v>
      </c>
      <c r="D80" s="0" t="n">
        <v>12.743</v>
      </c>
      <c r="E80" s="0" t="n">
        <v>2</v>
      </c>
      <c r="F80" s="0" t="s">
        <v>161</v>
      </c>
      <c r="G80" s="0" t="n">
        <v>16</v>
      </c>
      <c r="H80" s="0" t="n">
        <v>89.26</v>
      </c>
      <c r="I80" s="0" t="s">
        <v>268</v>
      </c>
      <c r="J80" s="0" t="s">
        <v>213</v>
      </c>
      <c r="K80" s="0" t="s">
        <v>65</v>
      </c>
    </row>
    <row r="81" customFormat="false" ht="15" hidden="false" customHeight="false" outlineLevel="0" collapsed="false">
      <c r="A81" s="0" t="s">
        <v>269</v>
      </c>
      <c r="B81" s="0" t="s">
        <v>270</v>
      </c>
      <c r="C81" s="0" t="n">
        <v>11.729</v>
      </c>
      <c r="D81" s="0" t="n">
        <v>12.671</v>
      </c>
      <c r="E81" s="0" t="n">
        <v>2</v>
      </c>
      <c r="F81" s="0" t="s">
        <v>161</v>
      </c>
      <c r="G81" s="0" t="n">
        <v>16</v>
      </c>
      <c r="H81" s="0" t="n">
        <v>297.24</v>
      </c>
      <c r="I81" s="0" t="s">
        <v>271</v>
      </c>
      <c r="J81" s="0" t="s">
        <v>213</v>
      </c>
      <c r="K81" s="0" t="s">
        <v>65</v>
      </c>
    </row>
    <row r="82" customFormat="false" ht="15" hidden="false" customHeight="false" outlineLevel="0" collapsed="false">
      <c r="A82" s="5" t="s">
        <v>272</v>
      </c>
    </row>
    <row r="83" customFormat="false" ht="15" hidden="false" customHeight="false" outlineLevel="0" collapsed="false">
      <c r="A83" s="0" t="s">
        <v>273</v>
      </c>
      <c r="B83" s="0" t="s">
        <v>274</v>
      </c>
      <c r="C83" s="0" t="n">
        <v>17.763</v>
      </c>
      <c r="D83" s="0" t="n">
        <v>15.375</v>
      </c>
      <c r="E83" s="0" t="n">
        <v>2</v>
      </c>
      <c r="F83" s="0" t="s">
        <v>161</v>
      </c>
      <c r="G83" s="0" t="n">
        <v>16</v>
      </c>
      <c r="H83" s="0" t="n">
        <v>337.5</v>
      </c>
      <c r="I83" s="0" t="s">
        <v>80</v>
      </c>
      <c r="J83" s="0" t="s">
        <v>275</v>
      </c>
      <c r="K83" s="0" t="s">
        <v>65</v>
      </c>
    </row>
    <row r="84" customFormat="false" ht="15" hidden="false" customHeight="false" outlineLevel="0" collapsed="false">
      <c r="A84" s="5" t="s">
        <v>276</v>
      </c>
    </row>
    <row r="85" customFormat="false" ht="15" hidden="false" customHeight="false" outlineLevel="0" collapsed="false">
      <c r="A85" s="0" t="s">
        <v>277</v>
      </c>
      <c r="B85" s="0" t="s">
        <v>278</v>
      </c>
      <c r="C85" s="0" t="n">
        <v>30</v>
      </c>
      <c r="D85" s="0" t="n">
        <v>6.262</v>
      </c>
      <c r="E85" s="0" t="n">
        <v>5</v>
      </c>
      <c r="F85" s="0" t="s">
        <v>111</v>
      </c>
      <c r="G85" s="0" t="n">
        <v>16</v>
      </c>
      <c r="H85" s="0" t="n">
        <v>766.88</v>
      </c>
      <c r="I85" s="0" t="s">
        <v>279</v>
      </c>
      <c r="J85" s="0" t="s">
        <v>280</v>
      </c>
      <c r="K85" s="0" t="s">
        <v>65</v>
      </c>
    </row>
    <row r="86" customFormat="false" ht="15" hidden="false" customHeight="false" outlineLevel="0" collapsed="false">
      <c r="A86" s="0" t="s">
        <v>281</v>
      </c>
      <c r="B86" s="0" t="s">
        <v>282</v>
      </c>
      <c r="C86" s="0" t="n">
        <v>15</v>
      </c>
      <c r="D86" s="0" t="n">
        <v>7.333</v>
      </c>
      <c r="E86" s="0" t="n">
        <v>5</v>
      </c>
      <c r="F86" s="0" t="s">
        <v>111</v>
      </c>
      <c r="G86" s="0" t="n">
        <v>16</v>
      </c>
      <c r="H86" s="0" t="n">
        <v>450.6</v>
      </c>
      <c r="I86" s="0" t="s">
        <v>283</v>
      </c>
      <c r="J86" s="0" t="s">
        <v>280</v>
      </c>
      <c r="K86" s="0" t="s">
        <v>65</v>
      </c>
    </row>
    <row r="87" customFormat="false" ht="15" hidden="false" customHeight="false" outlineLevel="0" collapsed="false">
      <c r="A87" s="5" t="s">
        <v>284</v>
      </c>
    </row>
    <row r="88" customFormat="false" ht="15" hidden="false" customHeight="false" outlineLevel="0" collapsed="false">
      <c r="A88" s="0" t="s">
        <v>285</v>
      </c>
      <c r="B88" s="0" t="s">
        <v>286</v>
      </c>
      <c r="C88" s="0" t="n">
        <v>5.667</v>
      </c>
      <c r="D88" s="0" t="n">
        <v>10.5</v>
      </c>
      <c r="E88" s="0" t="n">
        <v>0</v>
      </c>
      <c r="F88" s="0" t="s">
        <v>161</v>
      </c>
      <c r="G88" s="0" t="n">
        <v>16</v>
      </c>
      <c r="H88" s="0" t="n">
        <v>0</v>
      </c>
      <c r="I88" s="0" t="s">
        <v>286</v>
      </c>
      <c r="J88" s="0" t="s">
        <v>287</v>
      </c>
      <c r="K88" s="0" t="s">
        <v>65</v>
      </c>
    </row>
    <row r="89" customFormat="false" ht="15" hidden="false" customHeight="false" outlineLevel="0" collapsed="false">
      <c r="A89" s="0" t="s">
        <v>288</v>
      </c>
      <c r="B89" s="0" t="s">
        <v>289</v>
      </c>
      <c r="C89" s="0" t="n">
        <v>5.667</v>
      </c>
      <c r="D89" s="0" t="n">
        <v>10.5</v>
      </c>
      <c r="E89" s="0" t="n">
        <v>0</v>
      </c>
      <c r="F89" s="0" t="s">
        <v>161</v>
      </c>
      <c r="G89" s="0" t="n">
        <v>16</v>
      </c>
      <c r="H89" s="0" t="n">
        <v>0</v>
      </c>
      <c r="I89" s="0" t="s">
        <v>289</v>
      </c>
      <c r="J89" s="0" t="s">
        <v>287</v>
      </c>
      <c r="K89" s="0" t="s">
        <v>65</v>
      </c>
    </row>
    <row r="90" customFormat="false" ht="15" hidden="false" customHeight="false" outlineLevel="0" collapsed="false">
      <c r="A90" s="0" t="s">
        <v>290</v>
      </c>
      <c r="B90" s="0" t="s">
        <v>291</v>
      </c>
      <c r="C90" s="0" t="n">
        <v>5.667</v>
      </c>
      <c r="D90" s="0" t="n">
        <v>10.5</v>
      </c>
      <c r="E90" s="0" t="n">
        <v>0</v>
      </c>
      <c r="F90" s="0" t="s">
        <v>161</v>
      </c>
      <c r="G90" s="0" t="n">
        <v>16</v>
      </c>
      <c r="H90" s="0" t="n">
        <v>0</v>
      </c>
      <c r="I90" s="0" t="s">
        <v>291</v>
      </c>
      <c r="J90" s="0" t="s">
        <v>287</v>
      </c>
      <c r="K90" s="0" t="s">
        <v>65</v>
      </c>
    </row>
    <row r="91" customFormat="false" ht="15" hidden="false" customHeight="false" outlineLevel="0" collapsed="false">
      <c r="A91" s="0" t="s">
        <v>292</v>
      </c>
      <c r="B91" s="0" t="s">
        <v>293</v>
      </c>
      <c r="C91" s="0" t="n">
        <v>5.667</v>
      </c>
      <c r="D91" s="0" t="n">
        <v>10.5</v>
      </c>
      <c r="E91" s="0" t="n">
        <v>0</v>
      </c>
      <c r="F91" s="0" t="s">
        <v>161</v>
      </c>
      <c r="G91" s="0" t="n">
        <v>16</v>
      </c>
      <c r="H91" s="0" t="n">
        <v>0</v>
      </c>
      <c r="I91" s="0" t="s">
        <v>293</v>
      </c>
      <c r="J91" s="0" t="s">
        <v>287</v>
      </c>
      <c r="K91" s="0" t="s">
        <v>65</v>
      </c>
    </row>
    <row r="92" customFormat="false" ht="15" hidden="false" customHeight="false" outlineLevel="0" collapsed="false">
      <c r="B92" s="6" t="s">
        <v>294</v>
      </c>
      <c r="C92" s="4" t="n">
        <f aca="false">SUM(C5:C91)</f>
        <v>970.37</v>
      </c>
      <c r="H92" s="4" t="n">
        <f aca="false">SUM(H5:H91)</f>
        <v>16796.88</v>
      </c>
    </row>
    <row r="94" customFormat="false" ht="15" hidden="false" customHeight="false" outlineLevel="0" collapsed="false">
      <c r="A94" s="5" t="s">
        <v>295</v>
      </c>
    </row>
    <row r="95" customFormat="false" ht="15" hidden="false" customHeight="false" outlineLevel="0" collapsed="false">
      <c r="A95" s="0" t="s">
        <v>296</v>
      </c>
      <c r="B95" s="0" t="s">
        <v>297</v>
      </c>
      <c r="C95" s="0" t="n">
        <v>13.333</v>
      </c>
      <c r="D95" s="0" t="n">
        <v>2</v>
      </c>
      <c r="E95" s="0" t="n">
        <v>2</v>
      </c>
      <c r="F95" s="0" t="s">
        <v>298</v>
      </c>
      <c r="G95" s="0" t="n">
        <v>16</v>
      </c>
      <c r="H95" s="0" t="n">
        <v>53.34</v>
      </c>
      <c r="I95" s="0" t="s">
        <v>299</v>
      </c>
      <c r="J95" s="0" t="s">
        <v>300</v>
      </c>
      <c r="K95" s="0" t="s">
        <v>65</v>
      </c>
    </row>
    <row r="96" customFormat="false" ht="15" hidden="false" customHeight="false" outlineLevel="0" collapsed="false">
      <c r="A96" s="0" t="s">
        <v>301</v>
      </c>
      <c r="B96" s="0" t="s">
        <v>302</v>
      </c>
      <c r="C96" s="0" t="n">
        <v>12.561</v>
      </c>
      <c r="D96" s="0" t="n">
        <v>4.983</v>
      </c>
      <c r="E96" s="0" t="n">
        <v>1</v>
      </c>
      <c r="F96" s="0" t="s">
        <v>62</v>
      </c>
      <c r="G96" s="0" t="n">
        <v>16</v>
      </c>
      <c r="H96" s="0" t="n">
        <v>75.37</v>
      </c>
      <c r="I96" s="0" t="s">
        <v>185</v>
      </c>
      <c r="J96" s="0" t="s">
        <v>303</v>
      </c>
      <c r="K96" s="0" t="s">
        <v>65</v>
      </c>
    </row>
    <row r="97" customFormat="false" ht="15" hidden="false" customHeight="false" outlineLevel="0" collapsed="false">
      <c r="A97" s="0" t="s">
        <v>304</v>
      </c>
      <c r="B97" s="0" t="s">
        <v>305</v>
      </c>
      <c r="C97" s="0" t="n">
        <v>26.25</v>
      </c>
      <c r="D97" s="0" t="n">
        <v>4.525</v>
      </c>
      <c r="E97" s="0" t="n">
        <v>1</v>
      </c>
      <c r="F97" s="0" t="s">
        <v>62</v>
      </c>
      <c r="G97" s="0" t="n">
        <v>16</v>
      </c>
      <c r="H97" s="0" t="n">
        <v>157.5</v>
      </c>
      <c r="I97" s="0" t="s">
        <v>306</v>
      </c>
      <c r="J97" s="0" t="s">
        <v>303</v>
      </c>
      <c r="K97" s="0" t="s">
        <v>65</v>
      </c>
    </row>
    <row r="98" customFormat="false" ht="15" hidden="false" customHeight="false" outlineLevel="0" collapsed="false">
      <c r="A98" s="0" t="s">
        <v>307</v>
      </c>
      <c r="B98" s="0" t="s">
        <v>308</v>
      </c>
      <c r="C98" s="0" t="n">
        <v>6.5</v>
      </c>
      <c r="D98" s="0" t="n">
        <v>4.983</v>
      </c>
      <c r="E98" s="0" t="n">
        <v>1</v>
      </c>
      <c r="F98" s="0" t="s">
        <v>62</v>
      </c>
      <c r="G98" s="0" t="n">
        <v>16</v>
      </c>
      <c r="H98" s="0" t="n">
        <v>39</v>
      </c>
      <c r="I98" s="0" t="s">
        <v>185</v>
      </c>
      <c r="J98" s="0" t="s">
        <v>303</v>
      </c>
      <c r="K98" s="0" t="s">
        <v>65</v>
      </c>
    </row>
    <row r="99" customFormat="false" ht="15" hidden="false" customHeight="false" outlineLevel="0" collapsed="false">
      <c r="A99" s="0" t="s">
        <v>309</v>
      </c>
      <c r="B99" s="0" t="s">
        <v>310</v>
      </c>
      <c r="C99" s="0" t="n">
        <v>52.333</v>
      </c>
      <c r="D99" s="0" t="n">
        <v>2.323</v>
      </c>
      <c r="E99" s="0" t="n">
        <v>0</v>
      </c>
      <c r="F99" s="0" t="s">
        <v>161</v>
      </c>
      <c r="G99" s="0" t="n">
        <v>16</v>
      </c>
      <c r="H99" s="0" t="n">
        <v>0</v>
      </c>
      <c r="I99" s="0" t="s">
        <v>310</v>
      </c>
      <c r="J99" s="0" t="s">
        <v>311</v>
      </c>
      <c r="K99" s="0" t="s">
        <v>65</v>
      </c>
    </row>
    <row r="100" customFormat="false" ht="15" hidden="false" customHeight="false" outlineLevel="0" collapsed="false">
      <c r="A100" s="0" t="s">
        <v>312</v>
      </c>
      <c r="B100" s="0" t="s">
        <v>313</v>
      </c>
      <c r="C100" s="0" t="n">
        <v>52.333</v>
      </c>
      <c r="D100" s="0" t="n">
        <v>3.465</v>
      </c>
      <c r="E100" s="0" t="n">
        <v>1</v>
      </c>
      <c r="F100" s="0" t="s">
        <v>161</v>
      </c>
      <c r="G100" s="0" t="n">
        <v>16</v>
      </c>
      <c r="H100" s="0" t="n">
        <v>181.33</v>
      </c>
      <c r="I100" s="0" t="s">
        <v>314</v>
      </c>
      <c r="J100" s="0" t="s">
        <v>311</v>
      </c>
      <c r="K100" s="0" t="s">
        <v>65</v>
      </c>
    </row>
    <row r="101" customFormat="false" ht="15" hidden="false" customHeight="false" outlineLevel="0" collapsed="false">
      <c r="A101" s="0" t="s">
        <v>315</v>
      </c>
      <c r="B101" s="0" t="s">
        <v>316</v>
      </c>
      <c r="C101" s="0" t="n">
        <v>52.333</v>
      </c>
      <c r="D101" s="0" t="n">
        <v>1.142</v>
      </c>
      <c r="E101" s="0" t="n">
        <v>1</v>
      </c>
      <c r="F101" s="0" t="s">
        <v>161</v>
      </c>
      <c r="G101" s="0" t="n">
        <v>16</v>
      </c>
      <c r="H101" s="0" t="n">
        <v>59.76</v>
      </c>
      <c r="I101" s="0" t="s">
        <v>317</v>
      </c>
      <c r="J101" s="0" t="s">
        <v>311</v>
      </c>
      <c r="K101" s="0" t="s">
        <v>65</v>
      </c>
    </row>
    <row r="102" customFormat="false" ht="15" hidden="false" customHeight="false" outlineLevel="0" collapsed="false">
      <c r="A102" s="0" t="s">
        <v>318</v>
      </c>
      <c r="B102" s="0" t="s">
        <v>319</v>
      </c>
      <c r="C102" s="0" t="n">
        <v>60.539</v>
      </c>
      <c r="D102" s="0" t="n">
        <v>1.979</v>
      </c>
      <c r="E102" s="0" t="n">
        <v>0</v>
      </c>
      <c r="F102" s="0" t="s">
        <v>320</v>
      </c>
      <c r="G102" s="0" t="n">
        <v>16</v>
      </c>
      <c r="H102" s="0" t="n">
        <v>0</v>
      </c>
      <c r="I102" s="0" t="s">
        <v>319</v>
      </c>
      <c r="J102" s="0" t="s">
        <v>321</v>
      </c>
      <c r="K102" s="0" t="s">
        <v>65</v>
      </c>
    </row>
    <row r="103" customFormat="false" ht="15" hidden="false" customHeight="false" outlineLevel="0" collapsed="false">
      <c r="A103" s="0" t="s">
        <v>322</v>
      </c>
      <c r="B103" s="0" t="s">
        <v>323</v>
      </c>
      <c r="C103" s="0" t="n">
        <v>55.078</v>
      </c>
      <c r="D103" s="0" t="n">
        <v>1.979</v>
      </c>
      <c r="E103" s="0" t="n">
        <v>0</v>
      </c>
      <c r="F103" s="0" t="s">
        <v>320</v>
      </c>
      <c r="G103" s="0" t="n">
        <v>16</v>
      </c>
      <c r="H103" s="0" t="n">
        <v>0</v>
      </c>
      <c r="I103" s="0" t="s">
        <v>323</v>
      </c>
      <c r="J103" s="0" t="s">
        <v>321</v>
      </c>
      <c r="K103" s="0" t="s">
        <v>65</v>
      </c>
    </row>
    <row r="104" customFormat="false" ht="15" hidden="false" customHeight="false" outlineLevel="0" collapsed="false">
      <c r="A104" s="0" t="s">
        <v>324</v>
      </c>
      <c r="B104" s="0" t="s">
        <v>325</v>
      </c>
      <c r="C104" s="0" t="n">
        <v>95.644</v>
      </c>
      <c r="D104" s="0" t="n">
        <v>1.979</v>
      </c>
      <c r="E104" s="0" t="n">
        <v>0</v>
      </c>
      <c r="F104" s="0" t="s">
        <v>320</v>
      </c>
      <c r="G104" s="0" t="n">
        <v>16</v>
      </c>
      <c r="H104" s="0" t="n">
        <v>0</v>
      </c>
      <c r="I104" s="0" t="s">
        <v>325</v>
      </c>
      <c r="J104" s="0" t="s">
        <v>321</v>
      </c>
      <c r="K104" s="0" t="s">
        <v>65</v>
      </c>
    </row>
    <row r="105" customFormat="false" ht="15" hidden="false" customHeight="false" outlineLevel="0" collapsed="false">
      <c r="A105" s="0" t="s">
        <v>326</v>
      </c>
      <c r="B105" s="0" t="s">
        <v>327</v>
      </c>
      <c r="C105" s="0" t="n">
        <v>29.178</v>
      </c>
      <c r="D105" s="0" t="n">
        <v>1.979</v>
      </c>
      <c r="E105" s="0" t="n">
        <v>0</v>
      </c>
      <c r="F105" s="0" t="s">
        <v>320</v>
      </c>
      <c r="G105" s="0" t="n">
        <v>16</v>
      </c>
      <c r="H105" s="0" t="n">
        <v>0</v>
      </c>
      <c r="I105" s="0" t="s">
        <v>327</v>
      </c>
      <c r="J105" s="0" t="s">
        <v>321</v>
      </c>
      <c r="K105" s="0" t="s">
        <v>65</v>
      </c>
    </row>
    <row r="106" customFormat="false" ht="15" hidden="false" customHeight="false" outlineLevel="0" collapsed="false">
      <c r="A106" s="0" t="s">
        <v>328</v>
      </c>
      <c r="B106" s="0" t="s">
        <v>329</v>
      </c>
      <c r="C106" s="0" t="n">
        <v>17.028</v>
      </c>
      <c r="D106" s="0" t="n">
        <v>4.375</v>
      </c>
      <c r="E106" s="0" t="n">
        <v>1</v>
      </c>
      <c r="F106" s="0" t="s">
        <v>161</v>
      </c>
      <c r="G106" s="0" t="n">
        <v>16</v>
      </c>
      <c r="H106" s="0" t="n">
        <v>17.03</v>
      </c>
      <c r="I106" s="0" t="s">
        <v>330</v>
      </c>
      <c r="J106" s="0" t="s">
        <v>331</v>
      </c>
      <c r="K106" s="0" t="s">
        <v>65</v>
      </c>
    </row>
    <row r="107" customFormat="false" ht="15" hidden="false" customHeight="false" outlineLevel="0" collapsed="false">
      <c r="A107" s="0" t="s">
        <v>332</v>
      </c>
      <c r="B107" s="0" t="s">
        <v>333</v>
      </c>
      <c r="C107" s="0" t="n">
        <v>30</v>
      </c>
      <c r="D107" s="0" t="n">
        <v>4.375</v>
      </c>
      <c r="E107" s="0" t="n">
        <v>1</v>
      </c>
      <c r="F107" s="0" t="s">
        <v>161</v>
      </c>
      <c r="G107" s="0" t="n">
        <v>16</v>
      </c>
      <c r="H107" s="0" t="n">
        <v>30</v>
      </c>
      <c r="I107" s="0" t="s">
        <v>334</v>
      </c>
      <c r="J107" s="0" t="s">
        <v>331</v>
      </c>
      <c r="K107" s="0" t="s">
        <v>65</v>
      </c>
    </row>
    <row r="108" customFormat="false" ht="15" hidden="false" customHeight="false" outlineLevel="0" collapsed="false">
      <c r="A108" s="0" t="s">
        <v>335</v>
      </c>
      <c r="B108" s="0" t="s">
        <v>336</v>
      </c>
      <c r="C108" s="0" t="n">
        <v>30</v>
      </c>
      <c r="D108" s="0" t="n">
        <v>4.375</v>
      </c>
      <c r="E108" s="0" t="n">
        <v>1</v>
      </c>
      <c r="F108" s="0" t="s">
        <v>161</v>
      </c>
      <c r="G108" s="0" t="n">
        <v>16</v>
      </c>
      <c r="H108" s="0" t="n">
        <v>30</v>
      </c>
      <c r="I108" s="0" t="s">
        <v>337</v>
      </c>
      <c r="J108" s="0" t="s">
        <v>331</v>
      </c>
      <c r="K108" s="0" t="s">
        <v>65</v>
      </c>
    </row>
    <row r="109" customFormat="false" ht="15" hidden="false" customHeight="false" outlineLevel="0" collapsed="false">
      <c r="A109" s="0" t="s">
        <v>338</v>
      </c>
      <c r="B109" s="0" t="s">
        <v>339</v>
      </c>
      <c r="C109" s="0" t="n">
        <v>6.55</v>
      </c>
      <c r="D109" s="0" t="n">
        <v>7.375</v>
      </c>
      <c r="E109" s="0" t="n">
        <v>1</v>
      </c>
      <c r="F109" s="0" t="s">
        <v>161</v>
      </c>
      <c r="G109" s="0" t="n">
        <v>16</v>
      </c>
      <c r="H109" s="0" t="n">
        <v>9.82</v>
      </c>
      <c r="I109" s="0" t="s">
        <v>340</v>
      </c>
      <c r="J109" s="0" t="s">
        <v>341</v>
      </c>
      <c r="K109" s="0" t="s">
        <v>65</v>
      </c>
    </row>
    <row r="110" customFormat="false" ht="15" hidden="false" customHeight="false" outlineLevel="0" collapsed="false">
      <c r="A110" s="0" t="s">
        <v>342</v>
      </c>
      <c r="B110" s="0" t="s">
        <v>343</v>
      </c>
      <c r="C110" s="0" t="n">
        <v>5.461</v>
      </c>
      <c r="D110" s="0" t="n">
        <v>5.052</v>
      </c>
      <c r="E110" s="0" t="n">
        <v>1</v>
      </c>
      <c r="F110" s="0" t="s">
        <v>161</v>
      </c>
      <c r="G110" s="0" t="n">
        <v>16</v>
      </c>
      <c r="H110" s="0" t="n">
        <v>8.19</v>
      </c>
      <c r="I110" s="0" t="s">
        <v>344</v>
      </c>
      <c r="J110" s="0" t="s">
        <v>341</v>
      </c>
      <c r="K110" s="0" t="s">
        <v>65</v>
      </c>
    </row>
    <row r="111" customFormat="false" ht="15" hidden="false" customHeight="false" outlineLevel="0" collapsed="false">
      <c r="A111" s="0" t="s">
        <v>345</v>
      </c>
      <c r="B111" s="0" t="s">
        <v>346</v>
      </c>
      <c r="C111" s="0" t="n">
        <v>15.646</v>
      </c>
      <c r="D111" s="0" t="n">
        <v>5.375</v>
      </c>
      <c r="E111" s="0" t="n">
        <v>0</v>
      </c>
      <c r="F111" s="0" t="s">
        <v>161</v>
      </c>
      <c r="G111" s="0" t="n">
        <v>16</v>
      </c>
      <c r="H111" s="0" t="n">
        <v>0</v>
      </c>
      <c r="I111" s="0" t="s">
        <v>347</v>
      </c>
      <c r="J111" s="0" t="s">
        <v>348</v>
      </c>
      <c r="K111" s="0" t="s">
        <v>65</v>
      </c>
    </row>
    <row r="112" customFormat="false" ht="15" hidden="false" customHeight="false" outlineLevel="0" collapsed="false">
      <c r="A112" s="0" t="s">
        <v>349</v>
      </c>
      <c r="B112" s="0" t="s">
        <v>350</v>
      </c>
      <c r="C112" s="0" t="n">
        <v>6.417</v>
      </c>
      <c r="D112" s="0" t="n">
        <v>5.375</v>
      </c>
      <c r="E112" s="0" t="n">
        <v>1</v>
      </c>
      <c r="F112" s="0" t="s">
        <v>161</v>
      </c>
      <c r="G112" s="0" t="n">
        <v>16</v>
      </c>
      <c r="H112" s="0" t="n">
        <v>34.49</v>
      </c>
      <c r="I112" s="0" t="s">
        <v>351</v>
      </c>
      <c r="J112" s="0" t="s">
        <v>352</v>
      </c>
      <c r="K112" s="0" t="s">
        <v>65</v>
      </c>
    </row>
    <row r="113" customFormat="false" ht="15" hidden="false" customHeight="false" outlineLevel="0" collapsed="false">
      <c r="A113" s="0" t="s">
        <v>353</v>
      </c>
      <c r="B113" s="0" t="s">
        <v>354</v>
      </c>
      <c r="C113" s="0" t="n">
        <v>6.55</v>
      </c>
      <c r="D113" s="0" t="n">
        <v>7.375</v>
      </c>
      <c r="E113" s="0" t="n">
        <v>1</v>
      </c>
      <c r="F113" s="0" t="s">
        <v>161</v>
      </c>
      <c r="G113" s="0" t="n">
        <v>16</v>
      </c>
      <c r="H113" s="0" t="n">
        <v>9.82</v>
      </c>
      <c r="I113" s="0" t="s">
        <v>355</v>
      </c>
      <c r="J113" s="0" t="s">
        <v>341</v>
      </c>
      <c r="K113" s="0" t="s">
        <v>65</v>
      </c>
    </row>
    <row r="114" customFormat="false" ht="15" hidden="false" customHeight="false" outlineLevel="0" collapsed="false">
      <c r="A114" s="0" t="s">
        <v>356</v>
      </c>
      <c r="B114" s="0" t="s">
        <v>357</v>
      </c>
      <c r="C114" s="0" t="n">
        <v>5.461</v>
      </c>
      <c r="D114" s="0" t="n">
        <v>5.052</v>
      </c>
      <c r="E114" s="0" t="n">
        <v>1</v>
      </c>
      <c r="F114" s="0" t="s">
        <v>161</v>
      </c>
      <c r="G114" s="0" t="n">
        <v>16</v>
      </c>
      <c r="H114" s="0" t="n">
        <v>8.19</v>
      </c>
      <c r="I114" s="0" t="s">
        <v>358</v>
      </c>
      <c r="J114" s="0" t="s">
        <v>341</v>
      </c>
      <c r="K114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359</v>
      </c>
    </row>
    <row r="2" customFormat="false" ht="15" hidden="false" customHeight="false" outlineLevel="0" collapsed="false">
      <c r="A2" s="0" t="s">
        <v>360</v>
      </c>
    </row>
    <row r="3" customFormat="false" ht="15" hidden="false" customHeight="false" outlineLevel="0" collapsed="false">
      <c r="A3" s="2" t="s">
        <v>361</v>
      </c>
      <c r="B3" s="2" t="s">
        <v>362</v>
      </c>
      <c r="C3" s="2" t="s">
        <v>363</v>
      </c>
      <c r="D3" s="2" t="s">
        <v>364</v>
      </c>
      <c r="E3" s="2" t="s">
        <v>365</v>
      </c>
      <c r="F3" s="2" t="s">
        <v>366</v>
      </c>
      <c r="G3" s="2" t="s">
        <v>367</v>
      </c>
      <c r="H3" s="2" t="s">
        <v>368</v>
      </c>
      <c r="I3" s="2" t="s">
        <v>369</v>
      </c>
      <c r="J3" s="2" t="s">
        <v>370</v>
      </c>
    </row>
    <row r="4" customFormat="false" ht="15" hidden="false" customHeight="false" outlineLevel="0" collapsed="false">
      <c r="A4" s="0" t="s">
        <v>371</v>
      </c>
      <c r="B4" s="0" t="s">
        <v>372</v>
      </c>
      <c r="C4" s="0" t="n">
        <v>4594.55</v>
      </c>
      <c r="D4" s="0" t="n">
        <f aca="false">Inputs!$B$5</f>
        <v>0.15</v>
      </c>
      <c r="E4" s="0" t="n">
        <f aca="false">C4*D4</f>
        <v>689.1825</v>
      </c>
      <c r="F4" s="0" t="n">
        <f aca="false">C4+E4</f>
        <v>5283.7325</v>
      </c>
      <c r="G4" s="0" t="s">
        <v>373</v>
      </c>
      <c r="H4" s="0" t="n">
        <f aca="false">ROUNDUP(F4/Inputs!$B$10,0)</f>
        <v>265</v>
      </c>
      <c r="I4" s="0" t="s">
        <v>374</v>
      </c>
    </row>
    <row r="5" customFormat="false" ht="15" hidden="false" customHeight="false" outlineLevel="0" collapsed="false">
      <c r="A5" s="0" t="s">
        <v>375</v>
      </c>
      <c r="B5" s="0" t="s">
        <v>372</v>
      </c>
      <c r="C5" s="0" t="n">
        <v>6619.64</v>
      </c>
      <c r="D5" s="0" t="n">
        <f aca="false">Inputs!$B$5</f>
        <v>0.15</v>
      </c>
      <c r="E5" s="0" t="n">
        <f aca="false">C5*D5</f>
        <v>992.946</v>
      </c>
      <c r="F5" s="0" t="n">
        <f aca="false">C5+E5</f>
        <v>7612.586</v>
      </c>
      <c r="G5" s="0" t="s">
        <v>373</v>
      </c>
      <c r="H5" s="0" t="n">
        <f aca="false">ROUNDUP(F5/Inputs!$B$10,0)</f>
        <v>381</v>
      </c>
      <c r="I5" s="0" t="s">
        <v>376</v>
      </c>
    </row>
    <row r="6" customFormat="false" ht="15" hidden="false" customHeight="false" outlineLevel="0" collapsed="false">
      <c r="A6" s="0" t="s">
        <v>377</v>
      </c>
      <c r="B6" s="0" t="s">
        <v>372</v>
      </c>
      <c r="C6" s="0" t="n">
        <v>3958.14</v>
      </c>
      <c r="D6" s="0" t="n">
        <f aca="false">Inputs!$B$5</f>
        <v>0.15</v>
      </c>
      <c r="E6" s="0" t="n">
        <f aca="false">C6*D6</f>
        <v>593.721</v>
      </c>
      <c r="F6" s="0" t="n">
        <f aca="false">C6+E6</f>
        <v>4551.861</v>
      </c>
      <c r="G6" s="0" t="s">
        <v>373</v>
      </c>
      <c r="H6" s="0" t="n">
        <f aca="false">ROUNDUP(F6/Inputs!$B$10,0)</f>
        <v>228</v>
      </c>
      <c r="I6" s="0" t="s">
        <v>378</v>
      </c>
    </row>
    <row r="7" customFormat="false" ht="15" hidden="false" customHeight="false" outlineLevel="0" collapsed="false">
      <c r="A7" s="0" t="s">
        <v>379</v>
      </c>
      <c r="B7" s="0" t="s">
        <v>372</v>
      </c>
      <c r="C7" s="0" t="n">
        <v>1001.61</v>
      </c>
      <c r="D7" s="0" t="n">
        <f aca="false">Inputs!$B$5</f>
        <v>0.15</v>
      </c>
      <c r="E7" s="0" t="n">
        <f aca="false">C7*D7</f>
        <v>150.2415</v>
      </c>
      <c r="F7" s="0" t="n">
        <f aca="false">C7+E7</f>
        <v>1151.8515</v>
      </c>
      <c r="G7" s="0" t="s">
        <v>373</v>
      </c>
      <c r="H7" s="0" t="n">
        <f aca="false">ROUNDUP(F7/Inputs!$B$10,0)</f>
        <v>58</v>
      </c>
      <c r="I7" s="0" t="s">
        <v>380</v>
      </c>
    </row>
    <row r="8" customFormat="false" ht="15" hidden="false" customHeight="false" outlineLevel="0" collapsed="false">
      <c r="A8" s="0" t="s">
        <v>381</v>
      </c>
      <c r="B8" s="0" t="s">
        <v>372</v>
      </c>
      <c r="C8" s="0" t="n">
        <v>1296.06</v>
      </c>
      <c r="D8" s="0" t="n">
        <f aca="false">Inputs!$B$5</f>
        <v>0.15</v>
      </c>
      <c r="E8" s="0" t="n">
        <f aca="false">C8*D8</f>
        <v>194.409</v>
      </c>
      <c r="F8" s="0" t="n">
        <f aca="false">C8+E8</f>
        <v>1490.469</v>
      </c>
      <c r="G8" s="0" t="s">
        <v>382</v>
      </c>
      <c r="H8" s="0" t="n">
        <f aca="false">ROUNDUP(F8/Inputs!$B$11,0)</f>
        <v>150</v>
      </c>
      <c r="I8" s="0" t="s">
        <v>383</v>
      </c>
    </row>
    <row r="9" customFormat="false" ht="15" hidden="false" customHeight="false" outlineLevel="0" collapsed="false">
      <c r="A9" s="0" t="s">
        <v>384</v>
      </c>
      <c r="B9" s="0" t="s">
        <v>372</v>
      </c>
      <c r="C9" s="0" t="n">
        <v>2503.97</v>
      </c>
      <c r="D9" s="0" t="n">
        <f aca="false">Inputs!$B$5</f>
        <v>0.15</v>
      </c>
      <c r="E9" s="0" t="n">
        <f aca="false">C9*D9</f>
        <v>375.5955</v>
      </c>
      <c r="F9" s="0" t="n">
        <f aca="false">C9+E9</f>
        <v>2879.5655</v>
      </c>
      <c r="G9" s="0" t="s">
        <v>385</v>
      </c>
      <c r="H9" s="0" t="n">
        <f aca="false">ROUNDUP(F9/Inputs!$B$16,0)</f>
        <v>180</v>
      </c>
      <c r="I9" s="0" t="s">
        <v>386</v>
      </c>
    </row>
    <row r="10" customFormat="false" ht="15" hidden="false" customHeight="false" outlineLevel="0" collapsed="false">
      <c r="A10" s="0" t="s">
        <v>387</v>
      </c>
      <c r="B10" s="0" t="s">
        <v>372</v>
      </c>
      <c r="C10" s="0" t="n">
        <v>195.22</v>
      </c>
      <c r="D10" s="0" t="n">
        <f aca="false">Inputs!$B$5</f>
        <v>0.15</v>
      </c>
      <c r="E10" s="0" t="n">
        <f aca="false">C10*D10</f>
        <v>29.283</v>
      </c>
      <c r="F10" s="0" t="n">
        <f aca="false">C10+E10</f>
        <v>224.503</v>
      </c>
      <c r="G10" s="0" t="s">
        <v>382</v>
      </c>
      <c r="H10" s="0" t="n">
        <f aca="false">ROUNDUP(F10/Inputs!$B$11,0)</f>
        <v>23</v>
      </c>
      <c r="I10" s="0" t="s">
        <v>388</v>
      </c>
    </row>
    <row r="11" customFormat="false" ht="15" hidden="false" customHeight="false" outlineLevel="0" collapsed="false">
      <c r="A11" s="0" t="s">
        <v>389</v>
      </c>
      <c r="B11" s="0" t="s">
        <v>372</v>
      </c>
      <c r="C11" s="0" t="n">
        <v>817.72</v>
      </c>
      <c r="D11" s="0" t="n">
        <f aca="false">Inputs!$B$5</f>
        <v>0.15</v>
      </c>
      <c r="E11" s="0" t="n">
        <f aca="false">C11*D11</f>
        <v>122.658</v>
      </c>
      <c r="F11" s="0" t="n">
        <f aca="false">C11+E11</f>
        <v>940.378</v>
      </c>
      <c r="G11" s="0" t="s">
        <v>373</v>
      </c>
      <c r="H11" s="0" t="n">
        <f aca="false">ROUNDUP(F11/Inputs!$B$10,0)</f>
        <v>48</v>
      </c>
      <c r="I11" s="0" t="s">
        <v>390</v>
      </c>
    </row>
    <row r="12" customFormat="false" ht="15" hidden="false" customHeight="false" outlineLevel="0" collapsed="false">
      <c r="A12" s="0" t="s">
        <v>391</v>
      </c>
      <c r="B12" s="0" t="s">
        <v>372</v>
      </c>
      <c r="C12" s="0" t="n">
        <v>119.09</v>
      </c>
      <c r="D12" s="0" t="n">
        <f aca="false">Inputs!$B$5</f>
        <v>0.15</v>
      </c>
      <c r="E12" s="0" t="n">
        <f aca="false">C12*D12</f>
        <v>17.8635</v>
      </c>
      <c r="F12" s="0" t="n">
        <f aca="false">C12+E12</f>
        <v>136.9535</v>
      </c>
      <c r="G12" s="0" t="s">
        <v>382</v>
      </c>
      <c r="H12" s="0" t="n">
        <f aca="false">ROUNDUP(F12/Inputs!$B$11,0)</f>
        <v>14</v>
      </c>
      <c r="I12" s="0" t="s">
        <v>392</v>
      </c>
    </row>
    <row r="13" customFormat="false" ht="15" hidden="false" customHeight="false" outlineLevel="0" collapsed="false">
      <c r="A13" s="0" t="s">
        <v>393</v>
      </c>
      <c r="B13" s="0" t="s">
        <v>372</v>
      </c>
      <c r="C13" s="0" t="n">
        <v>774.39</v>
      </c>
      <c r="D13" s="0" t="n">
        <f aca="false">Inputs!$B$5</f>
        <v>0.15</v>
      </c>
      <c r="E13" s="0" t="n">
        <f aca="false">C13*D13</f>
        <v>116.1585</v>
      </c>
      <c r="F13" s="0" t="n">
        <f aca="false">C13+E13</f>
        <v>890.5485</v>
      </c>
      <c r="G13" s="0" t="s">
        <v>394</v>
      </c>
      <c r="H13" s="0" t="n">
        <f aca="false">ROUNDUP(F13/Inputs!$B$17,0)</f>
        <v>75</v>
      </c>
      <c r="I13" s="0" t="s">
        <v>395</v>
      </c>
    </row>
    <row r="14" customFormat="false" ht="15" hidden="false" customHeight="false" outlineLevel="0" collapsed="false">
      <c r="A14" s="0" t="s">
        <v>396</v>
      </c>
      <c r="B14" s="0" t="s">
        <v>372</v>
      </c>
      <c r="C14" s="0" t="n">
        <v>322.96</v>
      </c>
      <c r="D14" s="0" t="n">
        <f aca="false">Inputs!$B$5</f>
        <v>0.15</v>
      </c>
      <c r="E14" s="0" t="n">
        <f aca="false">C14*D14</f>
        <v>48.444</v>
      </c>
      <c r="F14" s="0" t="n">
        <f aca="false">C14+E14</f>
        <v>371.404</v>
      </c>
      <c r="G14" s="0" t="s">
        <v>385</v>
      </c>
      <c r="H14" s="0" t="n">
        <f aca="false">ROUNDUP(F14/Inputs!$B$16,0)</f>
        <v>24</v>
      </c>
      <c r="I14" s="0" t="s">
        <v>397</v>
      </c>
    </row>
    <row r="15" customFormat="false" ht="15" hidden="false" customHeight="false" outlineLevel="0" collapsed="false">
      <c r="A15" s="0" t="s">
        <v>398</v>
      </c>
      <c r="B15" s="0" t="s">
        <v>372</v>
      </c>
      <c r="C15" s="0" t="n">
        <v>533.62</v>
      </c>
      <c r="D15" s="0" t="n">
        <f aca="false">Inputs!$B$5</f>
        <v>0.15</v>
      </c>
      <c r="E15" s="0" t="n">
        <f aca="false">C15*D15</f>
        <v>80.043</v>
      </c>
      <c r="F15" s="0" t="n">
        <f aca="false">C15+E15</f>
        <v>613.663</v>
      </c>
      <c r="G15" s="0" t="s">
        <v>32</v>
      </c>
      <c r="H15" s="0" t="n">
        <f aca="false">ROUNDUP(F15,0)</f>
        <v>614</v>
      </c>
      <c r="I15" s="0" t="s">
        <v>399</v>
      </c>
    </row>
    <row r="16" customFormat="false" ht="15" hidden="false" customHeight="false" outlineLevel="0" collapsed="false">
      <c r="A16" s="0" t="s">
        <v>400</v>
      </c>
      <c r="B16" s="0" t="s">
        <v>401</v>
      </c>
      <c r="C16" s="0" t="n">
        <v>18229.5</v>
      </c>
      <c r="D16" s="0" t="n">
        <f aca="false">Inputs!$B$6</f>
        <v>0.06</v>
      </c>
      <c r="E16" s="0" t="n">
        <f aca="false">C16*D16</f>
        <v>1093.77</v>
      </c>
      <c r="F16" s="0" t="n">
        <f aca="false">C16+E16</f>
        <v>19323.27</v>
      </c>
      <c r="G16" s="0" t="s">
        <v>402</v>
      </c>
      <c r="H16" s="0" t="n">
        <f aca="false">ROUNDUP(F16/Inputs!$B$9,0)</f>
        <v>403</v>
      </c>
      <c r="I16" s="0" t="s">
        <v>403</v>
      </c>
    </row>
    <row r="17" customFormat="false" ht="15" hidden="false" customHeight="false" outlineLevel="0" collapsed="false">
      <c r="A17" s="0" t="s">
        <v>404</v>
      </c>
      <c r="B17" s="0" t="s">
        <v>401</v>
      </c>
      <c r="C17" s="0" t="n">
        <v>259.24</v>
      </c>
      <c r="D17" s="0" t="n">
        <f aca="false">Inputs!$B$6</f>
        <v>0.06</v>
      </c>
      <c r="E17" s="0" t="n">
        <f aca="false">C17*D17</f>
        <v>15.5544</v>
      </c>
      <c r="F17" s="0" t="n">
        <f aca="false">C17+E17</f>
        <v>274.7944</v>
      </c>
      <c r="G17" s="0" t="s">
        <v>402</v>
      </c>
      <c r="H17" s="0" t="n">
        <f aca="false">ROUNDUP(F17/Inputs!$B$9,0)</f>
        <v>6</v>
      </c>
      <c r="I17" s="0" t="s">
        <v>405</v>
      </c>
    </row>
    <row r="18" customFormat="false" ht="15" hidden="false" customHeight="false" outlineLevel="0" collapsed="false">
      <c r="A18" s="0" t="s">
        <v>406</v>
      </c>
      <c r="B18" s="0" t="s">
        <v>401</v>
      </c>
      <c r="C18" s="0" t="n">
        <v>94.9</v>
      </c>
      <c r="D18" s="0" t="n">
        <f aca="false">Inputs!$B$6</f>
        <v>0.06</v>
      </c>
      <c r="E18" s="0" t="n">
        <f aca="false">C18*D18</f>
        <v>5.694</v>
      </c>
      <c r="F18" s="0" t="n">
        <f aca="false">C18+E18</f>
        <v>100.594</v>
      </c>
      <c r="G18" s="0" t="s">
        <v>401</v>
      </c>
      <c r="H18" s="0" t="n">
        <f aca="false">ROUNDUP(F18,0)</f>
        <v>101</v>
      </c>
      <c r="I18" s="0" t="s">
        <v>407</v>
      </c>
    </row>
    <row r="19" customFormat="false" ht="15" hidden="false" customHeight="false" outlineLevel="0" collapsed="false">
      <c r="A19" s="0" t="s">
        <v>408</v>
      </c>
      <c r="B19" s="0" t="s">
        <v>401</v>
      </c>
      <c r="C19" s="0" t="n">
        <v>73.79</v>
      </c>
      <c r="D19" s="0" t="n">
        <f aca="false">Inputs!$B$6</f>
        <v>0.06</v>
      </c>
      <c r="E19" s="0" t="n">
        <f aca="false">C19*D19</f>
        <v>4.4274</v>
      </c>
      <c r="F19" s="0" t="n">
        <f aca="false">C19+E19</f>
        <v>78.2174</v>
      </c>
      <c r="G19" s="0" t="s">
        <v>409</v>
      </c>
      <c r="H19" s="0" t="n">
        <f aca="false">ROUNDUP(F19/32,0)</f>
        <v>3</v>
      </c>
      <c r="I19" s="0" t="s">
        <v>410</v>
      </c>
    </row>
    <row r="20" customFormat="false" ht="15" hidden="false" customHeight="false" outlineLevel="0" collapsed="false">
      <c r="A20" s="0" t="s">
        <v>411</v>
      </c>
      <c r="B20" s="0" t="s">
        <v>401</v>
      </c>
      <c r="C20" s="0" t="n">
        <v>456.82</v>
      </c>
      <c r="D20" s="0" t="n">
        <f aca="false">Inputs!$B$6</f>
        <v>0.06</v>
      </c>
      <c r="E20" s="0" t="n">
        <f aca="false">C20*D20</f>
        <v>27.4092</v>
      </c>
      <c r="F20" s="0" t="n">
        <f aca="false">C20+E20</f>
        <v>484.2292</v>
      </c>
      <c r="G20" s="0" t="s">
        <v>409</v>
      </c>
      <c r="H20" s="0" t="n">
        <f aca="false">ROUNDUP(F20/32,0)</f>
        <v>16</v>
      </c>
      <c r="I20" s="0" t="s">
        <v>412</v>
      </c>
    </row>
    <row r="21" customFormat="false" ht="15" hidden="false" customHeight="false" outlineLevel="0" collapsed="false">
      <c r="A21" s="0" t="s">
        <v>413</v>
      </c>
      <c r="B21" s="0" t="s">
        <v>401</v>
      </c>
      <c r="C21" s="0" t="n">
        <v>948.86</v>
      </c>
      <c r="D21" s="0" t="n">
        <f aca="false">Inputs!$B$6</f>
        <v>0.06</v>
      </c>
      <c r="E21" s="0" t="n">
        <f aca="false">C21*D21</f>
        <v>56.9316</v>
      </c>
      <c r="F21" s="0" t="n">
        <f aca="false">C21+E21</f>
        <v>1005.7916</v>
      </c>
      <c r="G21" s="0" t="s">
        <v>409</v>
      </c>
      <c r="H21" s="0" t="n">
        <f aca="false">ROUNDUP(F21/32,0)</f>
        <v>32</v>
      </c>
      <c r="I21" s="0" t="s">
        <v>414</v>
      </c>
    </row>
    <row r="22" customFormat="false" ht="15" hidden="false" customHeight="false" outlineLevel="0" collapsed="false">
      <c r="A22" s="0" t="s">
        <v>415</v>
      </c>
      <c r="B22" s="0" t="s">
        <v>372</v>
      </c>
      <c r="C22" s="0" t="n">
        <v>700.19</v>
      </c>
      <c r="D22" s="0" t="n">
        <f aca="false">Inputs!$B$6</f>
        <v>0.06</v>
      </c>
      <c r="E22" s="0" t="n">
        <f aca="false">C22*D22</f>
        <v>42.0114</v>
      </c>
      <c r="F22" s="0" t="n">
        <f aca="false">C22+E22</f>
        <v>742.2014</v>
      </c>
      <c r="G22" s="0" t="s">
        <v>372</v>
      </c>
      <c r="H22" s="0" t="n">
        <f aca="false">ROUNDUP(F22,0)</f>
        <v>743</v>
      </c>
      <c r="I22" s="0" t="s">
        <v>416</v>
      </c>
    </row>
    <row r="23" customFormat="false" ht="15" hidden="false" customHeight="false" outlineLevel="0" collapsed="false">
      <c r="A23" s="0" t="s">
        <v>417</v>
      </c>
      <c r="B23" s="0" t="s">
        <v>372</v>
      </c>
      <c r="C23" s="0" t="n">
        <v>607.06</v>
      </c>
      <c r="D23" s="0" t="n">
        <f aca="false">Inputs!$B$5</f>
        <v>0.15</v>
      </c>
      <c r="E23" s="0" t="n">
        <f aca="false">C23*D23</f>
        <v>91.059</v>
      </c>
      <c r="F23" s="0" t="n">
        <f aca="false">C23+E23</f>
        <v>698.119</v>
      </c>
      <c r="G23" s="0" t="s">
        <v>373</v>
      </c>
      <c r="H23" s="0" t="n">
        <f aca="false">ROUNDUP(F23/Inputs!$B$10,0)</f>
        <v>35</v>
      </c>
      <c r="I23" s="0" t="s">
        <v>418</v>
      </c>
    </row>
    <row r="24" customFormat="false" ht="15" hidden="false" customHeight="false" outlineLevel="0" collapsed="false">
      <c r="A24" s="0" t="s">
        <v>419</v>
      </c>
      <c r="B24" s="0" t="s">
        <v>372</v>
      </c>
      <c r="C24" s="0" t="n">
        <v>1138.29</v>
      </c>
      <c r="D24" s="0" t="n">
        <f aca="false">Inputs!$B$5</f>
        <v>0.15</v>
      </c>
      <c r="E24" s="0" t="n">
        <f aca="false">C24*D24</f>
        <v>170.7435</v>
      </c>
      <c r="F24" s="0" t="n">
        <f aca="false">C24+E24</f>
        <v>1309.0335</v>
      </c>
      <c r="G24" s="0" t="s">
        <v>420</v>
      </c>
      <c r="H24" s="0" t="n">
        <f aca="false">ROUNDUP(F24/Inputs!$B$18,0)</f>
        <v>131</v>
      </c>
      <c r="I24" s="0" t="s">
        <v>421</v>
      </c>
    </row>
    <row r="25" customFormat="false" ht="15" hidden="false" customHeight="false" outlineLevel="0" collapsed="false">
      <c r="A25" s="0" t="s">
        <v>422</v>
      </c>
      <c r="B25" s="0" t="s">
        <v>401</v>
      </c>
      <c r="C25" s="0" t="n">
        <v>32.31</v>
      </c>
      <c r="D25" s="0" t="n">
        <f aca="false">Inputs!$B$6</f>
        <v>0.06</v>
      </c>
      <c r="E25" s="0" t="n">
        <f aca="false">C25*D25</f>
        <v>1.9386</v>
      </c>
      <c r="F25" s="0" t="n">
        <f aca="false">C25+E25</f>
        <v>34.2486</v>
      </c>
      <c r="G25" s="0" t="s">
        <v>423</v>
      </c>
      <c r="H25" s="0" t="n">
        <f aca="false">ROUNDUP(F25/15,0)</f>
        <v>3</v>
      </c>
      <c r="I25" s="0" t="s">
        <v>424</v>
      </c>
    </row>
    <row r="26" customFormat="false" ht="15" hidden="false" customHeight="false" outlineLevel="0" collapsed="false">
      <c r="A26" s="0" t="s">
        <v>425</v>
      </c>
      <c r="B26" s="0" t="s">
        <v>401</v>
      </c>
      <c r="C26" s="0" t="n">
        <v>339.08</v>
      </c>
      <c r="D26" s="0" t="n">
        <f aca="false">Inputs!$B$6</f>
        <v>0.06</v>
      </c>
      <c r="E26" s="0" t="n">
        <f aca="false">C26*D26</f>
        <v>20.3448</v>
      </c>
      <c r="F26" s="0" t="n">
        <f aca="false">C26+E26</f>
        <v>359.4248</v>
      </c>
      <c r="G26" s="0" t="s">
        <v>409</v>
      </c>
      <c r="H26" s="0" t="n">
        <f aca="false">ROUNDUP(F26/32,0)</f>
        <v>12</v>
      </c>
      <c r="I26" s="0" t="s">
        <v>426</v>
      </c>
    </row>
    <row r="27" customFormat="false" ht="15" hidden="false" customHeight="false" outlineLevel="0" collapsed="false">
      <c r="A27" s="0" t="s">
        <v>427</v>
      </c>
      <c r="B27" s="0" t="s">
        <v>372</v>
      </c>
      <c r="C27" s="0" t="n">
        <v>1189.05</v>
      </c>
      <c r="D27" s="0" t="n">
        <f aca="false">Inputs!$B$6</f>
        <v>0.06</v>
      </c>
      <c r="E27" s="0" t="n">
        <f aca="false">C27*D27</f>
        <v>71.343</v>
      </c>
      <c r="F27" s="0" t="n">
        <f aca="false">C27+E27</f>
        <v>1260.393</v>
      </c>
      <c r="G27" s="0" t="s">
        <v>428</v>
      </c>
      <c r="H27" s="0" t="n">
        <f aca="false">ROUNDUP(F27/Inputs!$B$15,0)</f>
        <v>51</v>
      </c>
      <c r="I27" s="0" t="s">
        <v>429</v>
      </c>
    </row>
    <row r="28" customFormat="false" ht="15" hidden="false" customHeight="false" outlineLevel="0" collapsed="false">
      <c r="A28" s="0" t="s">
        <v>430</v>
      </c>
      <c r="B28" s="0" t="s">
        <v>372</v>
      </c>
      <c r="C28" s="0" t="n">
        <v>949.02</v>
      </c>
      <c r="D28" s="0" t="n">
        <f aca="false">Inputs!$B$5</f>
        <v>0.15</v>
      </c>
      <c r="E28" s="0" t="n">
        <f aca="false">C28*D28</f>
        <v>142.353</v>
      </c>
      <c r="F28" s="0" t="n">
        <f aca="false">C28+E28</f>
        <v>1091.373</v>
      </c>
      <c r="G28" s="0" t="s">
        <v>373</v>
      </c>
      <c r="H28" s="0" t="n">
        <f aca="false">ROUNDUP(F28/Inputs!$B$10,0)</f>
        <v>55</v>
      </c>
      <c r="I28" s="0" t="s">
        <v>431</v>
      </c>
    </row>
    <row r="29" customFormat="false" ht="15" hidden="false" customHeight="false" outlineLevel="0" collapsed="false">
      <c r="A29" s="0" t="s">
        <v>432</v>
      </c>
      <c r="B29" s="0" t="s">
        <v>372</v>
      </c>
      <c r="C29" s="0" t="n">
        <v>13.33</v>
      </c>
      <c r="D29" s="0" t="n">
        <f aca="false">Inputs!$B$5</f>
        <v>0.15</v>
      </c>
      <c r="E29" s="0" t="n">
        <f aca="false">C29*D29</f>
        <v>1.9995</v>
      </c>
      <c r="F29" s="0" t="n">
        <f aca="false">C29+E29</f>
        <v>15.3295</v>
      </c>
      <c r="G29" s="0" t="s">
        <v>382</v>
      </c>
      <c r="H29" s="0" t="n">
        <f aca="false">ROUNDUP(F29/Inputs!$B$11,0)</f>
        <v>2</v>
      </c>
      <c r="I29" s="0" t="s">
        <v>433</v>
      </c>
    </row>
    <row r="30" customFormat="false" ht="15" hidden="false" customHeight="false" outlineLevel="0" collapsed="false">
      <c r="A30" s="0" t="s">
        <v>434</v>
      </c>
      <c r="B30" s="0" t="s">
        <v>372</v>
      </c>
      <c r="C30" s="0" t="n">
        <v>224.16</v>
      </c>
      <c r="D30" s="0" t="n">
        <f aca="false">Inputs!$B$5</f>
        <v>0.15</v>
      </c>
      <c r="E30" s="0" t="n">
        <f aca="false">C30*D30</f>
        <v>33.624</v>
      </c>
      <c r="F30" s="0" t="n">
        <f aca="false">C30+E30</f>
        <v>257.784</v>
      </c>
      <c r="G30" s="0" t="s">
        <v>373</v>
      </c>
      <c r="H30" s="0" t="n">
        <f aca="false">ROUNDUP(F30/Inputs!$B$10,0)</f>
        <v>13</v>
      </c>
      <c r="I30" s="0" t="s">
        <v>435</v>
      </c>
    </row>
    <row r="31" customFormat="false" ht="15" hidden="false" customHeight="false" outlineLevel="0" collapsed="false">
      <c r="A31" s="0" t="s">
        <v>436</v>
      </c>
      <c r="B31" s="0" t="s">
        <v>372</v>
      </c>
      <c r="C31" s="0" t="n">
        <v>291.41</v>
      </c>
      <c r="D31" s="0" t="n">
        <f aca="false">Inputs!$B$5</f>
        <v>0.15</v>
      </c>
      <c r="E31" s="0" t="n">
        <f aca="false">C31*D31</f>
        <v>43.7115</v>
      </c>
      <c r="F31" s="0" t="n">
        <f aca="false">C31+E31</f>
        <v>335.1215</v>
      </c>
      <c r="G31" s="0" t="s">
        <v>382</v>
      </c>
      <c r="H31" s="0" t="n">
        <f aca="false">ROUNDUP(F31/Inputs!$B$11,0)</f>
        <v>34</v>
      </c>
      <c r="I31" s="0" t="s">
        <v>437</v>
      </c>
    </row>
    <row r="32" customFormat="false" ht="15" hidden="false" customHeight="false" outlineLevel="0" collapsed="false">
      <c r="A32" s="0" t="s">
        <v>438</v>
      </c>
      <c r="B32" s="0" t="s">
        <v>372</v>
      </c>
      <c r="C32" s="0" t="n">
        <v>1.77</v>
      </c>
      <c r="D32" s="0" t="n">
        <f aca="false">Inputs!$B$5</f>
        <v>0.15</v>
      </c>
      <c r="E32" s="0" t="n">
        <f aca="false">C32*D32</f>
        <v>0.2655</v>
      </c>
      <c r="F32" s="0" t="n">
        <f aca="false">C32+E32</f>
        <v>2.0355</v>
      </c>
      <c r="G32" s="0" t="s">
        <v>382</v>
      </c>
      <c r="H32" s="0" t="n">
        <f aca="false">ROUNDUP(F32/Inputs!$B$11,0)</f>
        <v>1</v>
      </c>
      <c r="I32" s="0" t="s">
        <v>439</v>
      </c>
    </row>
    <row r="33" customFormat="false" ht="15" hidden="false" customHeight="false" outlineLevel="0" collapsed="false">
      <c r="A33" s="0" t="s">
        <v>440</v>
      </c>
      <c r="B33" s="0" t="s">
        <v>372</v>
      </c>
      <c r="C33" s="0" t="n">
        <v>10.09</v>
      </c>
      <c r="D33" s="0" t="n">
        <f aca="false">Inputs!$B$5</f>
        <v>0.15</v>
      </c>
      <c r="E33" s="0" t="n">
        <f aca="false">C33*D33</f>
        <v>1.5135</v>
      </c>
      <c r="F33" s="0" t="n">
        <f aca="false">C33+E33</f>
        <v>11.6035</v>
      </c>
      <c r="G33" s="0" t="s">
        <v>382</v>
      </c>
      <c r="H33" s="0" t="n">
        <f aca="false">ROUNDUP(F33/Inputs!$B$11,0)</f>
        <v>2</v>
      </c>
      <c r="I33" s="0" t="s">
        <v>441</v>
      </c>
    </row>
    <row r="34" customFormat="false" ht="15" hidden="false" customHeight="false" outlineLevel="0" collapsed="false">
      <c r="A34" s="0" t="s">
        <v>442</v>
      </c>
      <c r="B34" s="0" t="s">
        <v>372</v>
      </c>
      <c r="C34" s="0" t="n">
        <v>239.24</v>
      </c>
      <c r="D34" s="0" t="n">
        <f aca="false">Inputs!$B$5</f>
        <v>0.15</v>
      </c>
      <c r="E34" s="0" t="n">
        <f aca="false">C34*D34</f>
        <v>35.886</v>
      </c>
      <c r="F34" s="0" t="n">
        <f aca="false">C34+E34</f>
        <v>275.126</v>
      </c>
      <c r="G34" s="0" t="s">
        <v>382</v>
      </c>
      <c r="H34" s="0" t="n">
        <f aca="false">ROUNDUP(F34/Inputs!$B$11,0)</f>
        <v>28</v>
      </c>
      <c r="I34" s="0" t="s">
        <v>443</v>
      </c>
    </row>
    <row r="35" customFormat="false" ht="15" hidden="false" customHeight="false" outlineLevel="0" collapsed="false">
      <c r="A35" s="0" t="s">
        <v>444</v>
      </c>
      <c r="B35" s="0" t="s">
        <v>372</v>
      </c>
      <c r="C35" s="0" t="n">
        <v>80.62</v>
      </c>
      <c r="D35" s="0" t="n">
        <f aca="false">Inputs!$B$5</f>
        <v>0.15</v>
      </c>
      <c r="E35" s="0" t="n">
        <f aca="false">C35*D35</f>
        <v>12.093</v>
      </c>
      <c r="F35" s="0" t="n">
        <f aca="false">C35+E35</f>
        <v>92.713</v>
      </c>
      <c r="G35" s="0" t="s">
        <v>382</v>
      </c>
      <c r="H35" s="0" t="n">
        <f aca="false">ROUNDUP(F35/Inputs!$B$11,0)</f>
        <v>10</v>
      </c>
      <c r="I35" s="0" t="s">
        <v>445</v>
      </c>
    </row>
    <row r="36" customFormat="false" ht="15" hidden="false" customHeight="false" outlineLevel="0" collapsed="false">
      <c r="A36" s="0" t="s">
        <v>446</v>
      </c>
      <c r="B36" s="0" t="s">
        <v>372</v>
      </c>
      <c r="C36" s="0" t="n">
        <v>268.78</v>
      </c>
      <c r="D36" s="0" t="n">
        <f aca="false">Inputs!$B$5</f>
        <v>0.15</v>
      </c>
      <c r="E36" s="0" t="n">
        <f aca="false">C36*D36</f>
        <v>40.317</v>
      </c>
      <c r="F36" s="0" t="n">
        <f aca="false">C36+E36</f>
        <v>309.097</v>
      </c>
      <c r="G36" s="0" t="s">
        <v>382</v>
      </c>
      <c r="H36" s="0" t="n">
        <f aca="false">ROUNDUP(F36/Inputs!$B$11,0)</f>
        <v>31</v>
      </c>
      <c r="I36" s="0" t="s">
        <v>447</v>
      </c>
    </row>
    <row r="37" customFormat="false" ht="15" hidden="false" customHeight="false" outlineLevel="0" collapsed="false">
      <c r="A37" s="0" t="s">
        <v>448</v>
      </c>
      <c r="B37" s="0" t="s">
        <v>372</v>
      </c>
      <c r="C37" s="0" t="n">
        <v>224.38</v>
      </c>
      <c r="D37" s="0" t="n">
        <f aca="false">Inputs!$B$5</f>
        <v>0.15</v>
      </c>
      <c r="E37" s="0" t="n">
        <f aca="false">C37*D37</f>
        <v>33.657</v>
      </c>
      <c r="F37" s="0" t="n">
        <f aca="false">C37+E37</f>
        <v>258.037</v>
      </c>
      <c r="G37" s="0" t="s">
        <v>382</v>
      </c>
      <c r="H37" s="0" t="n">
        <f aca="false">ROUNDUP(F37/Inputs!$B$11,0)</f>
        <v>26</v>
      </c>
      <c r="I37" s="0" t="s">
        <v>449</v>
      </c>
    </row>
    <row r="38" customFormat="false" ht="15" hidden="false" customHeight="false" outlineLevel="0" collapsed="false">
      <c r="A38" s="0" t="s">
        <v>450</v>
      </c>
      <c r="B38" s="0" t="s">
        <v>372</v>
      </c>
      <c r="C38" s="0" t="n">
        <v>13.33</v>
      </c>
      <c r="D38" s="0" t="n">
        <f aca="false">Inputs!$B$5</f>
        <v>0.15</v>
      </c>
      <c r="E38" s="0" t="n">
        <f aca="false">C38*D38</f>
        <v>1.9995</v>
      </c>
      <c r="F38" s="0" t="n">
        <f aca="false">C38+E38</f>
        <v>15.3295</v>
      </c>
      <c r="G38" s="0" t="s">
        <v>382</v>
      </c>
      <c r="H38" s="0" t="n">
        <f aca="false">ROUNDUP(F38/Inputs!$B$11,0)</f>
        <v>2</v>
      </c>
      <c r="I38" s="0" t="s">
        <v>433</v>
      </c>
    </row>
    <row r="39" customFormat="false" ht="15" hidden="false" customHeight="false" outlineLevel="0" collapsed="false">
      <c r="A39" s="0" t="s">
        <v>451</v>
      </c>
      <c r="B39" s="0" t="s">
        <v>372</v>
      </c>
      <c r="C39" s="0" t="n">
        <v>224.16</v>
      </c>
      <c r="D39" s="0" t="n">
        <f aca="false">Inputs!$B$5</f>
        <v>0.15</v>
      </c>
      <c r="E39" s="0" t="n">
        <f aca="false">C39*D39</f>
        <v>33.624</v>
      </c>
      <c r="F39" s="0" t="n">
        <f aca="false">C39+E39</f>
        <v>257.784</v>
      </c>
      <c r="G39" s="0" t="s">
        <v>373</v>
      </c>
      <c r="H39" s="0" t="n">
        <f aca="false">ROUNDUP(F39/Inputs!$B$10,0)</f>
        <v>13</v>
      </c>
      <c r="I39" s="0" t="s">
        <v>452</v>
      </c>
    </row>
    <row r="40" customFormat="false" ht="15" hidden="false" customHeight="false" outlineLevel="0" collapsed="false">
      <c r="A40" s="0" t="s">
        <v>453</v>
      </c>
      <c r="B40" s="0" t="s">
        <v>372</v>
      </c>
      <c r="C40" s="0" t="n">
        <v>291.41</v>
      </c>
      <c r="D40" s="0" t="n">
        <f aca="false">Inputs!$B$5</f>
        <v>0.15</v>
      </c>
      <c r="E40" s="0" t="n">
        <f aca="false">C40*D40</f>
        <v>43.7115</v>
      </c>
      <c r="F40" s="0" t="n">
        <f aca="false">C40+E40</f>
        <v>335.1215</v>
      </c>
      <c r="G40" s="0" t="s">
        <v>382</v>
      </c>
      <c r="H40" s="0" t="n">
        <f aca="false">ROUNDUP(F40/Inputs!$B$11,0)</f>
        <v>34</v>
      </c>
      <c r="I40" s="0" t="s">
        <v>454</v>
      </c>
    </row>
    <row r="41" customFormat="false" ht="15" hidden="false" customHeight="false" outlineLevel="0" collapsed="false">
      <c r="A41" s="0" t="s">
        <v>455</v>
      </c>
      <c r="B41" s="0" t="s">
        <v>372</v>
      </c>
      <c r="C41" s="0" t="n">
        <v>1.77</v>
      </c>
      <c r="D41" s="0" t="n">
        <f aca="false">Inputs!$B$5</f>
        <v>0.15</v>
      </c>
      <c r="E41" s="0" t="n">
        <f aca="false">C41*D41</f>
        <v>0.2655</v>
      </c>
      <c r="F41" s="0" t="n">
        <f aca="false">C41+E41</f>
        <v>2.0355</v>
      </c>
      <c r="G41" s="0" t="s">
        <v>382</v>
      </c>
      <c r="H41" s="0" t="n">
        <f aca="false">ROUNDUP(F41/Inputs!$B$11,0)</f>
        <v>1</v>
      </c>
      <c r="I41" s="0" t="s">
        <v>456</v>
      </c>
    </row>
    <row r="42" customFormat="false" ht="15" hidden="false" customHeight="false" outlineLevel="0" collapsed="false">
      <c r="A42" s="0" t="s">
        <v>457</v>
      </c>
      <c r="B42" s="0" t="s">
        <v>372</v>
      </c>
      <c r="C42" s="0" t="n">
        <v>10.09</v>
      </c>
      <c r="D42" s="0" t="n">
        <f aca="false">Inputs!$B$5</f>
        <v>0.15</v>
      </c>
      <c r="E42" s="0" t="n">
        <f aca="false">C42*D42</f>
        <v>1.5135</v>
      </c>
      <c r="F42" s="0" t="n">
        <f aca="false">C42+E42</f>
        <v>11.6035</v>
      </c>
      <c r="G42" s="0" t="s">
        <v>382</v>
      </c>
      <c r="H42" s="0" t="n">
        <f aca="false">ROUNDUP(F42/Inputs!$B$11,0)</f>
        <v>2</v>
      </c>
      <c r="I42" s="0" t="s">
        <v>458</v>
      </c>
    </row>
    <row r="43" customFormat="false" ht="15" hidden="false" customHeight="false" outlineLevel="0" collapsed="false">
      <c r="A43" s="0" t="s">
        <v>459</v>
      </c>
      <c r="B43" s="0" t="s">
        <v>372</v>
      </c>
      <c r="C43" s="0" t="n">
        <v>239.24</v>
      </c>
      <c r="D43" s="0" t="n">
        <f aca="false">Inputs!$B$5</f>
        <v>0.15</v>
      </c>
      <c r="E43" s="0" t="n">
        <f aca="false">C43*D43</f>
        <v>35.886</v>
      </c>
      <c r="F43" s="0" t="n">
        <f aca="false">C43+E43</f>
        <v>275.126</v>
      </c>
      <c r="G43" s="0" t="s">
        <v>382</v>
      </c>
      <c r="H43" s="0" t="n">
        <f aca="false">ROUNDUP(F43/Inputs!$B$11,0)</f>
        <v>28</v>
      </c>
      <c r="I43" s="0" t="s">
        <v>460</v>
      </c>
    </row>
    <row r="44" customFormat="false" ht="15" hidden="false" customHeight="false" outlineLevel="0" collapsed="false">
      <c r="A44" s="0" t="s">
        <v>461</v>
      </c>
      <c r="B44" s="0" t="s">
        <v>372</v>
      </c>
      <c r="C44" s="0" t="n">
        <v>80.62</v>
      </c>
      <c r="D44" s="0" t="n">
        <f aca="false">Inputs!$B$5</f>
        <v>0.15</v>
      </c>
      <c r="E44" s="0" t="n">
        <f aca="false">C44*D44</f>
        <v>12.093</v>
      </c>
      <c r="F44" s="0" t="n">
        <f aca="false">C44+E44</f>
        <v>92.713</v>
      </c>
      <c r="G44" s="0" t="s">
        <v>382</v>
      </c>
      <c r="H44" s="0" t="n">
        <f aca="false">ROUNDUP(F44/Inputs!$B$11,0)</f>
        <v>10</v>
      </c>
      <c r="I44" s="0" t="s">
        <v>462</v>
      </c>
    </row>
    <row r="45" customFormat="false" ht="15" hidden="false" customHeight="false" outlineLevel="0" collapsed="false">
      <c r="A45" s="0" t="s">
        <v>463</v>
      </c>
      <c r="B45" s="0" t="s">
        <v>372</v>
      </c>
      <c r="C45" s="0" t="n">
        <v>268.78</v>
      </c>
      <c r="D45" s="0" t="n">
        <f aca="false">Inputs!$B$5</f>
        <v>0.15</v>
      </c>
      <c r="E45" s="0" t="n">
        <f aca="false">C45*D45</f>
        <v>40.317</v>
      </c>
      <c r="F45" s="0" t="n">
        <f aca="false">C45+E45</f>
        <v>309.097</v>
      </c>
      <c r="G45" s="0" t="s">
        <v>382</v>
      </c>
      <c r="H45" s="0" t="n">
        <f aca="false">ROUNDUP(F45/Inputs!$B$11,0)</f>
        <v>31</v>
      </c>
      <c r="I45" s="0" t="s">
        <v>447</v>
      </c>
    </row>
    <row r="46" customFormat="false" ht="15" hidden="false" customHeight="false" outlineLevel="0" collapsed="false">
      <c r="A46" s="0" t="s">
        <v>464</v>
      </c>
      <c r="B46" s="0" t="s">
        <v>372</v>
      </c>
      <c r="C46" s="0" t="n">
        <v>224.38</v>
      </c>
      <c r="D46" s="0" t="n">
        <f aca="false">Inputs!$B$5</f>
        <v>0.15</v>
      </c>
      <c r="E46" s="0" t="n">
        <f aca="false">C46*D46</f>
        <v>33.657</v>
      </c>
      <c r="F46" s="0" t="n">
        <f aca="false">C46+E46</f>
        <v>258.037</v>
      </c>
      <c r="G46" s="0" t="s">
        <v>382</v>
      </c>
      <c r="H46" s="0" t="n">
        <f aca="false">ROUNDUP(F46/Inputs!$B$11,0)</f>
        <v>26</v>
      </c>
      <c r="I46" s="0" t="s">
        <v>449</v>
      </c>
    </row>
    <row r="47" customFormat="false" ht="15" hidden="false" customHeight="false" outlineLevel="0" collapsed="false">
      <c r="A47" s="0" t="s">
        <v>465</v>
      </c>
      <c r="B47" s="0" t="s">
        <v>401</v>
      </c>
      <c r="C47" s="0" t="n">
        <v>2188.83</v>
      </c>
      <c r="D47" s="0" t="n">
        <f aca="false">Inputs!$B$6</f>
        <v>0.06</v>
      </c>
      <c r="E47" s="0" t="n">
        <f aca="false">C47*D47</f>
        <v>131.3298</v>
      </c>
      <c r="F47" s="0" t="n">
        <f aca="false">C47+E47</f>
        <v>2320.1598</v>
      </c>
      <c r="G47" s="0" t="s">
        <v>466</v>
      </c>
      <c r="H47" s="0" t="n">
        <f aca="false">ROUNDUP(F47/Inputs!$B$9,0)</f>
        <v>49</v>
      </c>
      <c r="I47" s="0" t="s">
        <v>467</v>
      </c>
    </row>
    <row r="48" customFormat="false" ht="15" hidden="false" customHeight="false" outlineLevel="0" collapsed="false">
      <c r="A48" s="0" t="s">
        <v>468</v>
      </c>
      <c r="B48" s="0" t="s">
        <v>401</v>
      </c>
      <c r="C48" s="0" t="n">
        <v>3981.41</v>
      </c>
      <c r="D48" s="0" t="n">
        <f aca="false">Inputs!$B$6</f>
        <v>0.06</v>
      </c>
      <c r="E48" s="0" t="n">
        <f aca="false">C48*D48</f>
        <v>238.8846</v>
      </c>
      <c r="F48" s="0" t="n">
        <f aca="false">C48+E48</f>
        <v>4220.2946</v>
      </c>
      <c r="G48" s="0" t="s">
        <v>466</v>
      </c>
      <c r="H48" s="0" t="n">
        <f aca="false">ROUNDUP(F48/Inputs!$B$9,0)</f>
        <v>88</v>
      </c>
      <c r="I48" s="0" t="s">
        <v>467</v>
      </c>
    </row>
    <row r="49" customFormat="false" ht="15" hidden="false" customHeight="false" outlineLevel="0" collapsed="false">
      <c r="A49" s="0" t="s">
        <v>469</v>
      </c>
      <c r="B49" s="0" t="s">
        <v>401</v>
      </c>
      <c r="C49" s="0" t="n">
        <v>654.12</v>
      </c>
      <c r="D49" s="0" t="n">
        <f aca="false">Inputs!$B$6</f>
        <v>0.06</v>
      </c>
      <c r="E49" s="0" t="n">
        <f aca="false">C49*D49</f>
        <v>39.2472</v>
      </c>
      <c r="F49" s="0" t="n">
        <f aca="false">C49+E49</f>
        <v>693.3672</v>
      </c>
      <c r="G49" s="0" t="s">
        <v>466</v>
      </c>
      <c r="H49" s="0" t="n">
        <f aca="false">ROUNDUP(F49/Inputs!$B$9,0)</f>
        <v>15</v>
      </c>
      <c r="I49" s="0" t="s">
        <v>467</v>
      </c>
    </row>
    <row r="50" customFormat="false" ht="15" hidden="false" customHeight="false" outlineLevel="0" collapsed="false">
      <c r="A50" s="0" t="s">
        <v>470</v>
      </c>
      <c r="B50" s="0" t="s">
        <v>372</v>
      </c>
      <c r="C50" s="0" t="n">
        <v>222.18</v>
      </c>
      <c r="D50" s="0" t="n">
        <f aca="false">Inputs!$B$6</f>
        <v>0.06</v>
      </c>
      <c r="E50" s="0" t="n">
        <f aca="false">C50*D50</f>
        <v>13.3308</v>
      </c>
      <c r="F50" s="0" t="n">
        <f aca="false">C50+E50</f>
        <v>235.5108</v>
      </c>
      <c r="G50" s="0" t="s">
        <v>428</v>
      </c>
      <c r="H50" s="0" t="n">
        <f aca="false">ROUNDUP(F50/Inputs!$B$15,0)</f>
        <v>10</v>
      </c>
      <c r="I50" s="0" t="s">
        <v>471</v>
      </c>
    </row>
    <row r="51" customFormat="false" ht="15" hidden="false" customHeight="false" outlineLevel="0" collapsed="false">
      <c r="A51" s="0" t="s">
        <v>472</v>
      </c>
      <c r="B51" s="0" t="s">
        <v>473</v>
      </c>
      <c r="C51" s="0" t="n">
        <v>113</v>
      </c>
      <c r="D51" s="0" t="n">
        <v>0</v>
      </c>
      <c r="E51" s="0" t="n">
        <f aca="false">C51*D51</f>
        <v>0</v>
      </c>
      <c r="F51" s="0" t="n">
        <f aca="false">C51+E51</f>
        <v>113</v>
      </c>
      <c r="H51" s="0" t="n">
        <f aca="false">ROUNDUP(F51,0)</f>
        <v>113</v>
      </c>
      <c r="I51" s="0" t="s">
        <v>474</v>
      </c>
    </row>
    <row r="52" customFormat="false" ht="15" hidden="false" customHeight="false" outlineLevel="0" collapsed="false">
      <c r="A52" s="0" t="s">
        <v>475</v>
      </c>
      <c r="B52" s="0" t="s">
        <v>372</v>
      </c>
      <c r="C52" s="0" t="n">
        <v>56</v>
      </c>
      <c r="D52" s="0" t="n">
        <f aca="false">Inputs!$B$5</f>
        <v>0.15</v>
      </c>
      <c r="E52" s="0" t="n">
        <f aca="false">C52*D52</f>
        <v>8.4</v>
      </c>
      <c r="F52" s="0" t="n">
        <f aca="false">C52+E52</f>
        <v>64.4</v>
      </c>
      <c r="G52" s="0" t="s">
        <v>382</v>
      </c>
      <c r="H52" s="0" t="n">
        <f aca="false">ROUNDUP(F52/Inputs!$B$11,0)</f>
        <v>7</v>
      </c>
      <c r="I52" s="0" t="s">
        <v>476</v>
      </c>
    </row>
    <row r="53" customFormat="false" ht="15" hidden="false" customHeight="false" outlineLevel="0" collapsed="false">
      <c r="A53" s="0" t="s">
        <v>477</v>
      </c>
      <c r="B53" s="0" t="s">
        <v>473</v>
      </c>
      <c r="C53" s="0" t="n">
        <v>25</v>
      </c>
      <c r="D53" s="0" t="n">
        <v>0</v>
      </c>
      <c r="E53" s="0" t="n">
        <f aca="false">C53*D53</f>
        <v>0</v>
      </c>
      <c r="F53" s="0" t="n">
        <f aca="false">C53+E53</f>
        <v>25</v>
      </c>
      <c r="G53" s="0" t="s">
        <v>478</v>
      </c>
      <c r="H53" s="0" t="n">
        <f aca="false">ROUNDUP(F53,0)</f>
        <v>25</v>
      </c>
      <c r="I53" s="0" t="s">
        <v>479</v>
      </c>
    </row>
    <row r="54" customFormat="false" ht="15" hidden="false" customHeight="false" outlineLevel="0" collapsed="false">
      <c r="A54" s="0" t="s">
        <v>480</v>
      </c>
      <c r="B54" s="0" t="s">
        <v>372</v>
      </c>
      <c r="C54" s="0" t="n">
        <v>18</v>
      </c>
      <c r="D54" s="0" t="n">
        <f aca="false">Inputs!$B$5</f>
        <v>0.15</v>
      </c>
      <c r="E54" s="0" t="n">
        <f aca="false">C54*D54</f>
        <v>2.7</v>
      </c>
      <c r="F54" s="0" t="n">
        <f aca="false">C54+E54</f>
        <v>20.7</v>
      </c>
      <c r="G54" s="0" t="s">
        <v>373</v>
      </c>
      <c r="H54" s="0" t="n">
        <f aca="false">ROUNDUP(F54/Inputs!$B$10,0)</f>
        <v>2</v>
      </c>
      <c r="I54" s="0" t="s">
        <v>481</v>
      </c>
    </row>
    <row r="55" customFormat="false" ht="15" hidden="false" customHeight="false" outlineLevel="0" collapsed="false">
      <c r="A55" s="0" t="s">
        <v>482</v>
      </c>
      <c r="B55" s="0" t="s">
        <v>372</v>
      </c>
      <c r="C55" s="0" t="n">
        <v>10.43</v>
      </c>
      <c r="D55" s="0" t="n">
        <f aca="false">Inputs!$B$5</f>
        <v>0.15</v>
      </c>
      <c r="E55" s="0" t="n">
        <f aca="false">C55*D55</f>
        <v>1.5645</v>
      </c>
      <c r="F55" s="0" t="n">
        <f aca="false">C55+E55</f>
        <v>11.9945</v>
      </c>
      <c r="G55" s="0" t="s">
        <v>373</v>
      </c>
      <c r="H55" s="0" t="n">
        <f aca="false">ROUNDUP(F55/Inputs!$B$10,0)</f>
        <v>1</v>
      </c>
      <c r="I55" s="0" t="s">
        <v>483</v>
      </c>
    </row>
    <row r="56" customFormat="false" ht="15" hidden="false" customHeight="false" outlineLevel="0" collapsed="false">
      <c r="A56" s="0" t="s">
        <v>484</v>
      </c>
      <c r="B56" s="0" t="s">
        <v>401</v>
      </c>
      <c r="C56" s="0" t="n">
        <v>100.99</v>
      </c>
      <c r="D56" s="0" t="n">
        <f aca="false">Inputs!$B$6</f>
        <v>0.06</v>
      </c>
      <c r="E56" s="0" t="n">
        <f aca="false">C56*D56</f>
        <v>6.0594</v>
      </c>
      <c r="F56" s="0" t="n">
        <f aca="false">C56+E56</f>
        <v>107.0494</v>
      </c>
      <c r="G56" s="0" t="s">
        <v>466</v>
      </c>
      <c r="H56" s="0" t="n">
        <f aca="false">ROUNDUP(F56/Inputs!$B$9,0)</f>
        <v>3</v>
      </c>
      <c r="I56" s="0" t="s">
        <v>485</v>
      </c>
    </row>
    <row r="57" customFormat="false" ht="15" hidden="false" customHeight="false" outlineLevel="0" collapsed="false">
      <c r="A57" s="0" t="s">
        <v>486</v>
      </c>
      <c r="B57" s="0" t="s">
        <v>372</v>
      </c>
      <c r="C57" s="0" t="n">
        <v>245.23</v>
      </c>
      <c r="D57" s="0" t="n">
        <f aca="false">Inputs!$B$6</f>
        <v>0.06</v>
      </c>
      <c r="E57" s="0" t="n">
        <f aca="false">C57*D57</f>
        <v>14.7138</v>
      </c>
      <c r="F57" s="0" t="n">
        <f aca="false">C57+E57</f>
        <v>259.9438</v>
      </c>
      <c r="G57" s="0" t="s">
        <v>420</v>
      </c>
      <c r="H57" s="0" t="n">
        <f aca="false">ROUNDUP(F57/Inputs!$B$18,0)</f>
        <v>26</v>
      </c>
      <c r="I57" s="0" t="s">
        <v>487</v>
      </c>
    </row>
    <row r="58" customFormat="false" ht="15" hidden="false" customHeight="false" outlineLevel="0" collapsed="false">
      <c r="A58" s="0" t="s">
        <v>488</v>
      </c>
      <c r="B58" s="0" t="s">
        <v>473</v>
      </c>
      <c r="C58" s="0" t="n">
        <v>291</v>
      </c>
      <c r="D58" s="0" t="n">
        <v>0</v>
      </c>
      <c r="E58" s="0" t="n">
        <f aca="false">C58*D58</f>
        <v>0</v>
      </c>
      <c r="F58" s="0" t="n">
        <f aca="false">C58+E58</f>
        <v>291</v>
      </c>
      <c r="G58" s="0" t="s">
        <v>478</v>
      </c>
      <c r="H58" s="0" t="n">
        <f aca="false">ROUNDUP(F58,0)</f>
        <v>291</v>
      </c>
      <c r="I58" s="0" t="s">
        <v>489</v>
      </c>
    </row>
    <row r="59" customFormat="false" ht="15" hidden="false" customHeight="false" outlineLevel="0" collapsed="false">
      <c r="A59" s="0" t="s">
        <v>490</v>
      </c>
      <c r="B59" s="0" t="s">
        <v>473</v>
      </c>
      <c r="C59" s="0" t="n">
        <v>1</v>
      </c>
      <c r="D59" s="0" t="n">
        <v>0</v>
      </c>
      <c r="E59" s="0" t="n">
        <f aca="false">C59*D59</f>
        <v>0</v>
      </c>
      <c r="F59" s="0" t="n">
        <f aca="false">C59+E59</f>
        <v>1</v>
      </c>
      <c r="G59" s="0" t="s">
        <v>478</v>
      </c>
      <c r="H59" s="0" t="n">
        <f aca="false">ROUNDUP(F59,0)</f>
        <v>1</v>
      </c>
      <c r="I59" s="0" t="s">
        <v>491</v>
      </c>
    </row>
    <row r="60" customFormat="false" ht="15" hidden="false" customHeight="false" outlineLevel="0" collapsed="false">
      <c r="A60" s="0" t="s">
        <v>492</v>
      </c>
      <c r="B60" s="0" t="s">
        <v>473</v>
      </c>
      <c r="C60" s="0" t="n">
        <v>22275.04</v>
      </c>
      <c r="D60" s="0" t="n">
        <v>0</v>
      </c>
      <c r="E60" s="0" t="n">
        <f aca="false">C60*D60</f>
        <v>0</v>
      </c>
      <c r="F60" s="0" t="n">
        <f aca="false">C60+E60</f>
        <v>22275.04</v>
      </c>
      <c r="G60" s="0" t="s">
        <v>478</v>
      </c>
      <c r="H60" s="0" t="n">
        <f aca="false">ROUNDUP(F60,0)</f>
        <v>22276</v>
      </c>
      <c r="I60" s="0" t="s">
        <v>493</v>
      </c>
      <c r="J60" s="0" t="n">
        <f aca="false">Inputs!$B$20*18562.5</f>
        <v>22275</v>
      </c>
    </row>
    <row r="61" customFormat="false" ht="15" hidden="false" customHeight="false" outlineLevel="0" collapsed="false">
      <c r="A61" s="0" t="s">
        <v>494</v>
      </c>
      <c r="B61" s="0" t="s">
        <v>473</v>
      </c>
      <c r="C61" s="0" t="n">
        <v>7036</v>
      </c>
      <c r="D61" s="0" t="n">
        <v>0</v>
      </c>
      <c r="E61" s="0" t="n">
        <f aca="false">C61*D61</f>
        <v>0</v>
      </c>
      <c r="F61" s="0" t="n">
        <f aca="false">C61+E61</f>
        <v>7036</v>
      </c>
      <c r="G61" s="0" t="s">
        <v>478</v>
      </c>
      <c r="H61" s="0" t="n">
        <f aca="false">ROUNDUP(F61,0)</f>
        <v>7036</v>
      </c>
      <c r="I61" s="0" t="s">
        <v>495</v>
      </c>
      <c r="J61" s="0" t="n">
        <f aca="false">Inputs!$B$21*1759</f>
        <v>7036</v>
      </c>
    </row>
    <row r="62" customFormat="false" ht="15" hidden="false" customHeight="false" outlineLevel="0" collapsed="false">
      <c r="A62" s="0" t="s">
        <v>496</v>
      </c>
      <c r="B62" s="0" t="s">
        <v>473</v>
      </c>
      <c r="C62" s="0" t="n">
        <v>510.47</v>
      </c>
      <c r="D62" s="0" t="n">
        <v>0</v>
      </c>
      <c r="E62" s="0" t="n">
        <f aca="false">C62*D62</f>
        <v>0</v>
      </c>
      <c r="F62" s="0" t="n">
        <f aca="false">C62+E62</f>
        <v>510.47</v>
      </c>
      <c r="G62" s="0" t="s">
        <v>478</v>
      </c>
      <c r="H62" s="0" t="n">
        <f aca="false">ROUNDUP(F62,0)</f>
        <v>511</v>
      </c>
      <c r="I62" s="0" t="s">
        <v>497</v>
      </c>
      <c r="J62" s="0" t="n">
        <f aca="false">510.47/Inputs!$B$22</f>
        <v>510.47</v>
      </c>
    </row>
    <row r="63" customFormat="false" ht="15" hidden="false" customHeight="false" outlineLevel="0" collapsed="false">
      <c r="A63" s="0" t="s">
        <v>498</v>
      </c>
      <c r="B63" s="0" t="s">
        <v>473</v>
      </c>
      <c r="C63" s="0" t="n">
        <v>370.24</v>
      </c>
      <c r="D63" s="0" t="n">
        <v>0</v>
      </c>
      <c r="E63" s="0" t="n">
        <f aca="false">C63*D63</f>
        <v>0</v>
      </c>
      <c r="F63" s="0" t="n">
        <f aca="false">C63+E63</f>
        <v>370.24</v>
      </c>
      <c r="G63" s="0" t="s">
        <v>478</v>
      </c>
      <c r="H63" s="0" t="n">
        <f aca="false">ROUNDUP(F63,0)</f>
        <v>371</v>
      </c>
      <c r="I63" s="0" t="s">
        <v>499</v>
      </c>
      <c r="J63" s="0" t="n">
        <f aca="false">246.82/Inputs!$B$25</f>
        <v>370.211489425529</v>
      </c>
    </row>
    <row r="64" customFormat="false" ht="15" hidden="false" customHeight="false" outlineLevel="0" collapsed="false">
      <c r="A64" s="0" t="s">
        <v>500</v>
      </c>
      <c r="B64" s="0" t="s">
        <v>501</v>
      </c>
      <c r="C64" s="0" t="n">
        <v>1336.5</v>
      </c>
      <c r="D64" s="0" t="n">
        <v>0</v>
      </c>
      <c r="E64" s="0" t="n">
        <f aca="false">C64*D64</f>
        <v>0</v>
      </c>
      <c r="F64" s="0" t="n">
        <f aca="false">C64+E64</f>
        <v>1336.5</v>
      </c>
      <c r="G64" s="0" t="s">
        <v>502</v>
      </c>
      <c r="H64" s="0" t="n">
        <f aca="false">ROUNDUP(F64,0)</f>
        <v>1337</v>
      </c>
      <c r="I64" s="0" t="s">
        <v>503</v>
      </c>
      <c r="J64" s="0" t="n">
        <f aca="false">Inputs!$B$23*18562.5</f>
        <v>1336.5</v>
      </c>
    </row>
    <row r="65" customFormat="false" ht="15" hidden="false" customHeight="false" outlineLevel="0" collapsed="false">
      <c r="A65" s="0" t="s">
        <v>504</v>
      </c>
      <c r="B65" s="0" t="s">
        <v>372</v>
      </c>
      <c r="C65" s="0" t="n">
        <v>6868.14</v>
      </c>
      <c r="D65" s="0" t="n">
        <v>0</v>
      </c>
      <c r="E65" s="0" t="n">
        <f aca="false">C65*D65</f>
        <v>0</v>
      </c>
      <c r="F65" s="0" t="n">
        <f aca="false">C65+E65</f>
        <v>6868.14</v>
      </c>
      <c r="G65" s="0" t="s">
        <v>372</v>
      </c>
      <c r="H65" s="0" t="n">
        <f aca="false">ROUNDUP(F65,0)</f>
        <v>6869</v>
      </c>
      <c r="I65" s="0" t="s">
        <v>505</v>
      </c>
      <c r="J65" s="0" t="n">
        <f aca="false">Inputs!$B$24*18562.5</f>
        <v>6868.125</v>
      </c>
    </row>
    <row r="66" customFormat="false" ht="15" hidden="false" customHeight="false" outlineLevel="0" collapsed="false">
      <c r="A66" s="0" t="s">
        <v>506</v>
      </c>
      <c r="B66" s="0" t="s">
        <v>401</v>
      </c>
      <c r="C66" s="0" t="n">
        <v>705.34</v>
      </c>
      <c r="D66" s="0" t="n">
        <f aca="false">Inputs!$B$6</f>
        <v>0.06</v>
      </c>
      <c r="E66" s="0" t="n">
        <f aca="false">C66*D66</f>
        <v>42.3204</v>
      </c>
      <c r="F66" s="0" t="n">
        <f aca="false">C66+E66</f>
        <v>747.6604</v>
      </c>
      <c r="G66" s="0" t="s">
        <v>401</v>
      </c>
      <c r="H66" s="0" t="n">
        <f aca="false">ROUNDUP(F66,0)</f>
        <v>748</v>
      </c>
      <c r="I66" s="0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508</v>
      </c>
      <c r="B1" s="2" t="s">
        <v>509</v>
      </c>
      <c r="C1" s="2" t="s">
        <v>510</v>
      </c>
    </row>
    <row r="2" customFormat="false" ht="15" hidden="false" customHeight="false" outlineLevel="0" collapsed="false">
      <c r="A2" s="0" t="s">
        <v>511</v>
      </c>
      <c r="B2" s="0" t="s">
        <v>512</v>
      </c>
      <c r="C2" s="0" t="s">
        <v>513</v>
      </c>
    </row>
    <row r="3" customFormat="false" ht="15" hidden="false" customHeight="false" outlineLevel="0" collapsed="false">
      <c r="A3" s="0" t="s">
        <v>514</v>
      </c>
      <c r="B3" s="0" t="s">
        <v>515</v>
      </c>
      <c r="C3" s="0" t="s">
        <v>516</v>
      </c>
    </row>
    <row r="4" customFormat="false" ht="15" hidden="false" customHeight="false" outlineLevel="0" collapsed="false">
      <c r="A4" s="0" t="s">
        <v>517</v>
      </c>
      <c r="B4" s="0" t="s">
        <v>518</v>
      </c>
      <c r="C4" s="0" t="s">
        <v>519</v>
      </c>
    </row>
    <row r="5" customFormat="false" ht="15" hidden="false" customHeight="false" outlineLevel="0" collapsed="false">
      <c r="A5" s="0" t="s">
        <v>520</v>
      </c>
      <c r="B5" s="0" t="s">
        <v>521</v>
      </c>
      <c r="C5" s="0" t="s">
        <v>522</v>
      </c>
    </row>
    <row r="6" customFormat="false" ht="15" hidden="false" customHeight="false" outlineLevel="0" collapsed="false">
      <c r="A6" s="0" t="s">
        <v>523</v>
      </c>
      <c r="B6" s="0" t="s">
        <v>524</v>
      </c>
      <c r="C6" s="0" t="s">
        <v>525</v>
      </c>
    </row>
    <row r="7" customFormat="false" ht="15" hidden="false" customHeight="false" outlineLevel="0" collapsed="false">
      <c r="A7" s="0" t="s">
        <v>526</v>
      </c>
      <c r="B7" s="0" t="s">
        <v>527</v>
      </c>
      <c r="C7" s="0" t="s">
        <v>528</v>
      </c>
    </row>
    <row r="8" customFormat="false" ht="15" hidden="false" customHeight="false" outlineLevel="0" collapsed="false">
      <c r="A8" s="0" t="s">
        <v>529</v>
      </c>
      <c r="B8" s="0" t="s">
        <v>530</v>
      </c>
      <c r="C8" s="0" t="s">
        <v>531</v>
      </c>
    </row>
    <row r="9" customFormat="false" ht="15" hidden="false" customHeight="false" outlineLevel="0" collapsed="false">
      <c r="A9" s="0" t="s">
        <v>532</v>
      </c>
      <c r="B9" s="0" t="s">
        <v>533</v>
      </c>
      <c r="C9" s="0" t="s">
        <v>534</v>
      </c>
    </row>
    <row r="10" customFormat="false" ht="15" hidden="false" customHeight="false" outlineLevel="0" collapsed="false">
      <c r="A10" s="0" t="s">
        <v>535</v>
      </c>
      <c r="B10" s="0" t="s">
        <v>536</v>
      </c>
      <c r="C10" s="0" t="s">
        <v>537</v>
      </c>
    </row>
    <row r="11" customFormat="false" ht="15" hidden="false" customHeight="false" outlineLevel="0" collapsed="false">
      <c r="A11" s="0" t="s">
        <v>538</v>
      </c>
      <c r="B11" s="0" t="s">
        <v>539</v>
      </c>
      <c r="C11" s="0" t="s">
        <v>540</v>
      </c>
    </row>
    <row r="12" customFormat="false" ht="15" hidden="false" customHeight="false" outlineLevel="0" collapsed="false">
      <c r="A12" s="0" t="s">
        <v>541</v>
      </c>
      <c r="B12" s="0" t="s">
        <v>542</v>
      </c>
      <c r="C12" s="0" t="s">
        <v>543</v>
      </c>
    </row>
    <row r="13" customFormat="false" ht="15" hidden="false" customHeight="false" outlineLevel="0" collapsed="false">
      <c r="A13" s="0" t="s">
        <v>544</v>
      </c>
      <c r="B13" s="0" t="s">
        <v>545</v>
      </c>
      <c r="C13" s="0" t="s">
        <v>546</v>
      </c>
    </row>
    <row r="14" customFormat="false" ht="15" hidden="false" customHeight="false" outlineLevel="0" collapsed="false">
      <c r="A14" s="0" t="s">
        <v>547</v>
      </c>
      <c r="B14" s="0" t="s">
        <v>548</v>
      </c>
      <c r="C14" s="0" t="s">
        <v>549</v>
      </c>
    </row>
    <row r="15" customFormat="false" ht="15" hidden="false" customHeight="false" outlineLevel="0" collapsed="false">
      <c r="A15" s="0" t="s">
        <v>550</v>
      </c>
      <c r="B15" s="0" t="s">
        <v>551</v>
      </c>
      <c r="C15" s="0" t="s">
        <v>552</v>
      </c>
    </row>
    <row r="16" customFormat="false" ht="15" hidden="false" customHeight="false" outlineLevel="0" collapsed="false">
      <c r="A16" s="0" t="s">
        <v>553</v>
      </c>
      <c r="B16" s="0" t="s">
        <v>554</v>
      </c>
      <c r="C16" s="0" t="s">
        <v>555</v>
      </c>
    </row>
    <row r="17" customFormat="false" ht="15" hidden="false" customHeight="false" outlineLevel="0" collapsed="false">
      <c r="A17" s="0" t="s">
        <v>556</v>
      </c>
      <c r="B17" s="0" t="s">
        <v>557</v>
      </c>
      <c r="C17" s="0" t="s">
        <v>558</v>
      </c>
    </row>
    <row r="18" customFormat="false" ht="15" hidden="false" customHeight="false" outlineLevel="0" collapsed="false">
      <c r="A18" s="0" t="s">
        <v>559</v>
      </c>
      <c r="B18" s="0" t="s">
        <v>560</v>
      </c>
      <c r="C18" s="0" t="s">
        <v>561</v>
      </c>
    </row>
    <row r="19" customFormat="false" ht="15" hidden="false" customHeight="false" outlineLevel="0" collapsed="false">
      <c r="A19" s="0" t="s">
        <v>562</v>
      </c>
      <c r="B19" s="0" t="s">
        <v>563</v>
      </c>
      <c r="C19" s="0" t="s">
        <v>564</v>
      </c>
    </row>
    <row r="20" customFormat="false" ht="15" hidden="false" customHeight="false" outlineLevel="0" collapsed="false">
      <c r="A20" s="0" t="s">
        <v>565</v>
      </c>
      <c r="B20" s="0" t="s">
        <v>566</v>
      </c>
      <c r="C20" s="0" t="s">
        <v>567</v>
      </c>
    </row>
    <row r="21" customFormat="false" ht="15" hidden="false" customHeight="false" outlineLevel="0" collapsed="false">
      <c r="A21" s="0" t="s">
        <v>568</v>
      </c>
      <c r="B21" s="0" t="s">
        <v>569</v>
      </c>
      <c r="C21" s="0" t="s">
        <v>570</v>
      </c>
    </row>
    <row r="22" customFormat="false" ht="15" hidden="false" customHeight="false" outlineLevel="0" collapsed="false">
      <c r="A22" s="0" t="s">
        <v>571</v>
      </c>
      <c r="B22" s="0" t="s">
        <v>572</v>
      </c>
      <c r="C22" s="0" t="s">
        <v>573</v>
      </c>
    </row>
    <row r="23" customFormat="false" ht="15" hidden="false" customHeight="false" outlineLevel="0" collapsed="false">
      <c r="A23" s="0" t="s">
        <v>574</v>
      </c>
      <c r="B23" s="0" t="s">
        <v>575</v>
      </c>
      <c r="C23" s="0" t="s">
        <v>576</v>
      </c>
    </row>
    <row r="24" customFormat="false" ht="15" hidden="false" customHeight="false" outlineLevel="0" collapsed="false">
      <c r="A24" s="0" t="s">
        <v>577</v>
      </c>
      <c r="B24" s="0" t="s">
        <v>578</v>
      </c>
      <c r="C24" s="0" t="s">
        <v>579</v>
      </c>
    </row>
    <row r="25" customFormat="false" ht="15" hidden="false" customHeight="false" outlineLevel="0" collapsed="false">
      <c r="A25" s="0" t="s">
        <v>580</v>
      </c>
      <c r="B25" s="0" t="s">
        <v>581</v>
      </c>
      <c r="C25" s="0" t="s">
        <v>582</v>
      </c>
    </row>
    <row r="26" customFormat="false" ht="15" hidden="false" customHeight="false" outlineLevel="0" collapsed="false">
      <c r="A26" s="0" t="s">
        <v>583</v>
      </c>
      <c r="B26" s="0" t="s">
        <v>584</v>
      </c>
      <c r="C26" s="0" t="s">
        <v>585</v>
      </c>
    </row>
    <row r="27" customFormat="false" ht="15" hidden="false" customHeight="false" outlineLevel="0" collapsed="false">
      <c r="A27" s="0" t="s">
        <v>586</v>
      </c>
      <c r="B27" s="0" t="s">
        <v>587</v>
      </c>
      <c r="C27" s="0" t="s">
        <v>588</v>
      </c>
    </row>
    <row r="28" customFormat="false" ht="15" hidden="false" customHeight="false" outlineLevel="0" collapsed="false">
      <c r="A28" s="0" t="s">
        <v>589</v>
      </c>
      <c r="B28" s="0" t="s">
        <v>590</v>
      </c>
      <c r="C28" s="0" t="s">
        <v>591</v>
      </c>
    </row>
    <row r="29" customFormat="false" ht="15" hidden="false" customHeight="false" outlineLevel="0" collapsed="false">
      <c r="A29" s="0" t="s">
        <v>592</v>
      </c>
      <c r="B29" s="0" t="s">
        <v>593</v>
      </c>
      <c r="C29" s="0" t="s">
        <v>594</v>
      </c>
    </row>
    <row r="30" customFormat="false" ht="15" hidden="false" customHeight="false" outlineLevel="0" collapsed="false">
      <c r="A30" s="0" t="s">
        <v>595</v>
      </c>
      <c r="B30" s="0" t="s">
        <v>596</v>
      </c>
      <c r="C30" s="0" t="s">
        <v>597</v>
      </c>
    </row>
    <row r="31" customFormat="false" ht="15" hidden="false" customHeight="false" outlineLevel="0" collapsed="false">
      <c r="A31" s="0" t="s">
        <v>598</v>
      </c>
      <c r="B31" s="0" t="s">
        <v>599</v>
      </c>
      <c r="C31" s="0" t="s">
        <v>600</v>
      </c>
    </row>
    <row r="32" customFormat="false" ht="15" hidden="false" customHeight="false" outlineLevel="0" collapsed="false">
      <c r="A32" s="0" t="s">
        <v>601</v>
      </c>
      <c r="B32" s="0" t="s">
        <v>602</v>
      </c>
      <c r="C32" s="0" t="s">
        <v>603</v>
      </c>
    </row>
    <row r="33" customFormat="false" ht="15" hidden="false" customHeight="false" outlineLevel="0" collapsed="false">
      <c r="A33" s="0" t="s">
        <v>604</v>
      </c>
      <c r="B33" s="0" t="s">
        <v>605</v>
      </c>
      <c r="C33" s="0" t="s">
        <v>606</v>
      </c>
    </row>
    <row r="34" customFormat="false" ht="15" hidden="false" customHeight="false" outlineLevel="0" collapsed="false">
      <c r="A34" s="0" t="s">
        <v>607</v>
      </c>
      <c r="B34" s="0" t="s">
        <v>608</v>
      </c>
      <c r="C34" s="0" t="s">
        <v>609</v>
      </c>
    </row>
    <row r="35" customFormat="false" ht="15" hidden="false" customHeight="false" outlineLevel="0" collapsed="false">
      <c r="A35" s="0" t="s">
        <v>610</v>
      </c>
      <c r="B35" s="0" t="s">
        <v>611</v>
      </c>
      <c r="C35" s="0" t="s">
        <v>612</v>
      </c>
    </row>
    <row r="36" customFormat="false" ht="15" hidden="false" customHeight="false" outlineLevel="0" collapsed="false">
      <c r="A36" s="0" t="s">
        <v>613</v>
      </c>
      <c r="B36" s="0" t="s">
        <v>614</v>
      </c>
      <c r="C36" s="0" t="s">
        <v>615</v>
      </c>
    </row>
    <row r="37" customFormat="false" ht="15" hidden="false" customHeight="false" outlineLevel="0" collapsed="false">
      <c r="A37" s="0" t="s">
        <v>616</v>
      </c>
      <c r="B37" s="0" t="s">
        <v>617</v>
      </c>
      <c r="C37" s="0" t="s">
        <v>618</v>
      </c>
    </row>
    <row r="38" customFormat="false" ht="15" hidden="false" customHeight="false" outlineLevel="0" collapsed="false">
      <c r="A38" s="0" t="s">
        <v>619</v>
      </c>
      <c r="B38" s="0" t="s">
        <v>620</v>
      </c>
      <c r="C38" s="0" t="s">
        <v>621</v>
      </c>
    </row>
    <row r="39" customFormat="false" ht="15" hidden="false" customHeight="false" outlineLevel="0" collapsed="false">
      <c r="A39" s="0" t="s">
        <v>622</v>
      </c>
      <c r="B39" s="0" t="s">
        <v>623</v>
      </c>
      <c r="C39" s="0" t="s">
        <v>624</v>
      </c>
    </row>
    <row r="40" customFormat="false" ht="15" hidden="false" customHeight="false" outlineLevel="0" collapsed="false">
      <c r="A40" s="0" t="s">
        <v>625</v>
      </c>
      <c r="B40" s="0" t="s">
        <v>626</v>
      </c>
      <c r="C40" s="0" t="s">
        <v>627</v>
      </c>
    </row>
    <row r="41" customFormat="false" ht="15" hidden="false" customHeight="false" outlineLevel="0" collapsed="false">
      <c r="A41" s="0" t="s">
        <v>628</v>
      </c>
      <c r="B41" s="0" t="s">
        <v>629</v>
      </c>
      <c r="C41" s="0" t="s">
        <v>630</v>
      </c>
    </row>
    <row r="42" customFormat="false" ht="15" hidden="false" customHeight="false" outlineLevel="0" collapsed="false">
      <c r="A42" s="0" t="s">
        <v>631</v>
      </c>
      <c r="B42" s="0" t="s">
        <v>632</v>
      </c>
      <c r="C42" s="0" t="s">
        <v>633</v>
      </c>
    </row>
    <row r="43" customFormat="false" ht="15" hidden="false" customHeight="false" outlineLevel="0" collapsed="false">
      <c r="A43" s="0" t="s">
        <v>634</v>
      </c>
      <c r="B43" s="0" t="s">
        <v>635</v>
      </c>
      <c r="C43" s="0" t="s">
        <v>636</v>
      </c>
    </row>
    <row r="44" customFormat="false" ht="15" hidden="false" customHeight="false" outlineLevel="0" collapsed="false">
      <c r="A44" s="0" t="s">
        <v>637</v>
      </c>
      <c r="B44" s="0" t="s">
        <v>638</v>
      </c>
      <c r="C44" s="0" t="s">
        <v>639</v>
      </c>
    </row>
    <row r="45" customFormat="false" ht="15" hidden="false" customHeight="false" outlineLevel="0" collapsed="false">
      <c r="A45" s="0" t="s">
        <v>640</v>
      </c>
      <c r="B45" s="0" t="s">
        <v>641</v>
      </c>
      <c r="C45" s="0" t="s">
        <v>642</v>
      </c>
    </row>
    <row r="46" customFormat="false" ht="15" hidden="false" customHeight="false" outlineLevel="0" collapsed="false">
      <c r="A46" s="0" t="s">
        <v>643</v>
      </c>
      <c r="B46" s="0" t="s">
        <v>644</v>
      </c>
      <c r="C46" s="0" t="s">
        <v>645</v>
      </c>
    </row>
    <row r="47" customFormat="false" ht="15" hidden="false" customHeight="false" outlineLevel="0" collapsed="false">
      <c r="A47" s="0" t="s">
        <v>646</v>
      </c>
      <c r="B47" s="0" t="s">
        <v>647</v>
      </c>
      <c r="C47" s="0" t="s">
        <v>648</v>
      </c>
    </row>
    <row r="48" customFormat="false" ht="15" hidden="false" customHeight="false" outlineLevel="0" collapsed="false">
      <c r="A48" s="0" t="s">
        <v>649</v>
      </c>
      <c r="B48" s="0" t="s">
        <v>650</v>
      </c>
      <c r="C48" s="0" t="s">
        <v>651</v>
      </c>
    </row>
    <row r="49" customFormat="false" ht="15" hidden="false" customHeight="false" outlineLevel="0" collapsed="false">
      <c r="A49" s="0" t="s">
        <v>652</v>
      </c>
      <c r="B49" s="0" t="s">
        <v>653</v>
      </c>
      <c r="C49" s="0" t="s">
        <v>654</v>
      </c>
    </row>
    <row r="50" customFormat="false" ht="15" hidden="false" customHeight="false" outlineLevel="0" collapsed="false">
      <c r="A50" s="0" t="s">
        <v>655</v>
      </c>
      <c r="B50" s="0" t="s">
        <v>656</v>
      </c>
      <c r="C50" s="0" t="s">
        <v>657</v>
      </c>
    </row>
    <row r="51" customFormat="false" ht="15" hidden="false" customHeight="false" outlineLevel="0" collapsed="false">
      <c r="A51" s="0" t="s">
        <v>658</v>
      </c>
      <c r="B51" s="0" t="s">
        <v>659</v>
      </c>
      <c r="C51" s="0" t="s">
        <v>660</v>
      </c>
    </row>
    <row r="52" customFormat="false" ht="15" hidden="false" customHeight="false" outlineLevel="0" collapsed="false">
      <c r="A52" s="0" t="s">
        <v>661</v>
      </c>
      <c r="B52" s="0" t="s">
        <v>662</v>
      </c>
      <c r="C52" s="0" t="s">
        <v>663</v>
      </c>
    </row>
    <row r="53" customFormat="false" ht="15" hidden="false" customHeight="false" outlineLevel="0" collapsed="false">
      <c r="A53" s="0" t="s">
        <v>664</v>
      </c>
      <c r="B53" s="0" t="s">
        <v>665</v>
      </c>
      <c r="C53" s="0" t="s">
        <v>666</v>
      </c>
    </row>
    <row r="54" customFormat="false" ht="15" hidden="false" customHeight="false" outlineLevel="0" collapsed="false">
      <c r="A54" s="0" t="s">
        <v>667</v>
      </c>
      <c r="B54" s="0" t="s">
        <v>668</v>
      </c>
      <c r="C54" s="0" t="s">
        <v>669</v>
      </c>
    </row>
    <row r="55" customFormat="false" ht="15" hidden="false" customHeight="false" outlineLevel="0" collapsed="false">
      <c r="A55" s="0" t="s">
        <v>670</v>
      </c>
      <c r="B55" s="0" t="s">
        <v>671</v>
      </c>
      <c r="C55" s="0" t="s">
        <v>672</v>
      </c>
    </row>
    <row r="56" customFormat="false" ht="15" hidden="false" customHeight="false" outlineLevel="0" collapsed="false">
      <c r="A56" s="0" t="s">
        <v>673</v>
      </c>
      <c r="B56" s="0" t="s">
        <v>674</v>
      </c>
      <c r="C56" s="0" t="s">
        <v>675</v>
      </c>
    </row>
    <row r="57" customFormat="false" ht="15" hidden="false" customHeight="false" outlineLevel="0" collapsed="false">
      <c r="A57" s="0" t="s">
        <v>676</v>
      </c>
      <c r="B57" s="0" t="s">
        <v>677</v>
      </c>
      <c r="C57" s="0" t="s">
        <v>678</v>
      </c>
    </row>
    <row r="58" customFormat="false" ht="15" hidden="false" customHeight="false" outlineLevel="0" collapsed="false">
      <c r="A58" s="0" t="s">
        <v>679</v>
      </c>
      <c r="B58" s="0" t="s">
        <v>680</v>
      </c>
      <c r="C58" s="0" t="s">
        <v>681</v>
      </c>
    </row>
    <row r="59" customFormat="false" ht="15" hidden="false" customHeight="false" outlineLevel="0" collapsed="false">
      <c r="A59" s="0" t="s">
        <v>682</v>
      </c>
      <c r="B59" s="0" t="s">
        <v>683</v>
      </c>
      <c r="C59" s="0" t="s">
        <v>684</v>
      </c>
    </row>
    <row r="60" customFormat="false" ht="15" hidden="false" customHeight="false" outlineLevel="0" collapsed="false">
      <c r="A60" s="0" t="s">
        <v>685</v>
      </c>
      <c r="B60" s="0" t="s">
        <v>686</v>
      </c>
      <c r="C60" s="0" t="s">
        <v>687</v>
      </c>
    </row>
    <row r="61" customFormat="false" ht="15" hidden="false" customHeight="false" outlineLevel="0" collapsed="false">
      <c r="A61" s="0" t="s">
        <v>688</v>
      </c>
      <c r="B61" s="0" t="s">
        <v>689</v>
      </c>
      <c r="C61" s="0" t="s">
        <v>690</v>
      </c>
    </row>
    <row r="62" customFormat="false" ht="15" hidden="false" customHeight="false" outlineLevel="0" collapsed="false">
      <c r="A62" s="0" t="s">
        <v>691</v>
      </c>
      <c r="B62" s="0" t="s">
        <v>692</v>
      </c>
      <c r="C62" s="0" t="s">
        <v>693</v>
      </c>
    </row>
    <row r="63" customFormat="false" ht="15" hidden="false" customHeight="false" outlineLevel="0" collapsed="false">
      <c r="A63" s="0" t="s">
        <v>694</v>
      </c>
      <c r="B63" s="0" t="s">
        <v>695</v>
      </c>
      <c r="C63" s="0" t="s">
        <v>696</v>
      </c>
    </row>
    <row r="64" customFormat="false" ht="15" hidden="false" customHeight="false" outlineLevel="0" collapsed="false">
      <c r="A64" s="0" t="s">
        <v>697</v>
      </c>
      <c r="B64" s="0" t="s">
        <v>698</v>
      </c>
      <c r="C64" s="0" t="s">
        <v>699</v>
      </c>
    </row>
    <row r="65" customFormat="false" ht="15" hidden="false" customHeight="false" outlineLevel="0" collapsed="false">
      <c r="A65" s="0" t="s">
        <v>700</v>
      </c>
      <c r="B65" s="0" t="s">
        <v>701</v>
      </c>
      <c r="C65" s="0" t="s">
        <v>699</v>
      </c>
    </row>
    <row r="66" customFormat="false" ht="15" hidden="false" customHeight="false" outlineLevel="0" collapsed="false">
      <c r="A66" s="0" t="s">
        <v>702</v>
      </c>
      <c r="B66" s="0" t="s">
        <v>703</v>
      </c>
      <c r="C66" s="0" t="s">
        <v>704</v>
      </c>
    </row>
    <row r="67" customFormat="false" ht="15" hidden="false" customHeight="false" outlineLevel="0" collapsed="false">
      <c r="A67" s="0" t="s">
        <v>705</v>
      </c>
      <c r="B67" s="0" t="s">
        <v>706</v>
      </c>
      <c r="C67" s="0" t="s">
        <v>707</v>
      </c>
    </row>
    <row r="68" customFormat="false" ht="15" hidden="false" customHeight="false" outlineLevel="0" collapsed="false">
      <c r="A68" s="0" t="s">
        <v>708</v>
      </c>
      <c r="B68" s="0" t="s">
        <v>709</v>
      </c>
      <c r="C68" s="0" t="s">
        <v>710</v>
      </c>
    </row>
    <row r="69" customFormat="false" ht="15" hidden="false" customHeight="false" outlineLevel="0" collapsed="false">
      <c r="A69" s="0" t="s">
        <v>711</v>
      </c>
      <c r="B69" s="0" t="s">
        <v>712</v>
      </c>
      <c r="C69" s="0" t="s">
        <v>713</v>
      </c>
    </row>
    <row r="70" customFormat="false" ht="15" hidden="false" customHeight="false" outlineLevel="0" collapsed="false">
      <c r="A70" s="0" t="s">
        <v>714</v>
      </c>
      <c r="B70" s="0" t="s">
        <v>715</v>
      </c>
      <c r="C70" s="0" t="s">
        <v>716</v>
      </c>
    </row>
    <row r="71" customFormat="false" ht="15" hidden="false" customHeight="false" outlineLevel="0" collapsed="false">
      <c r="A71" s="0" t="s">
        <v>717</v>
      </c>
      <c r="B71" s="0" t="s">
        <v>718</v>
      </c>
      <c r="C71" s="0" t="s">
        <v>719</v>
      </c>
    </row>
    <row r="72" customFormat="false" ht="15" hidden="false" customHeight="false" outlineLevel="0" collapsed="false">
      <c r="A72" s="0" t="s">
        <v>720</v>
      </c>
      <c r="B72" s="0" t="s">
        <v>721</v>
      </c>
      <c r="C72" s="0" t="s">
        <v>722</v>
      </c>
    </row>
    <row r="73" customFormat="false" ht="15" hidden="false" customHeight="false" outlineLevel="0" collapsed="false">
      <c r="A73" s="0" t="s">
        <v>723</v>
      </c>
      <c r="B73" s="0" t="s">
        <v>724</v>
      </c>
      <c r="C73" s="0" t="s">
        <v>725</v>
      </c>
    </row>
    <row r="74" customFormat="false" ht="15" hidden="false" customHeight="false" outlineLevel="0" collapsed="false">
      <c r="A74" s="0" t="s">
        <v>726</v>
      </c>
      <c r="B74" s="0" t="s">
        <v>727</v>
      </c>
      <c r="C74" s="0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31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729</v>
      </c>
      <c r="B1" s="0" t="s">
        <v>730</v>
      </c>
      <c r="C1" s="0" t="s">
        <v>731</v>
      </c>
      <c r="D1" s="0" t="s">
        <v>732</v>
      </c>
    </row>
    <row r="2" customFormat="false" ht="15" hidden="false" customHeight="false" outlineLevel="0" collapsed="false">
      <c r="A2" s="0" t="n">
        <v>1</v>
      </c>
      <c r="B2" s="0" t="s">
        <v>733</v>
      </c>
      <c r="C2" s="0" t="s">
        <v>734</v>
      </c>
      <c r="D2" s="0" t="s">
        <v>735</v>
      </c>
    </row>
    <row r="3" customFormat="false" ht="15" hidden="false" customHeight="false" outlineLevel="0" collapsed="false">
      <c r="A3" s="0" t="n">
        <v>2</v>
      </c>
      <c r="B3" s="0" t="s">
        <v>736</v>
      </c>
      <c r="C3" s="0" t="s">
        <v>737</v>
      </c>
      <c r="D3" s="0" t="s">
        <v>738</v>
      </c>
    </row>
    <row r="4" customFormat="false" ht="15" hidden="false" customHeight="false" outlineLevel="0" collapsed="false">
      <c r="A4" s="0" t="n">
        <v>3</v>
      </c>
      <c r="B4" s="0" t="s">
        <v>739</v>
      </c>
      <c r="C4" s="0" t="s">
        <v>740</v>
      </c>
      <c r="D4" s="0" t="s">
        <v>741</v>
      </c>
    </row>
    <row r="5" customFormat="false" ht="15" hidden="false" customHeight="false" outlineLevel="0" collapsed="false">
      <c r="A5" s="0" t="n">
        <v>4</v>
      </c>
      <c r="B5" s="0" t="s">
        <v>742</v>
      </c>
      <c r="C5" s="0" t="s">
        <v>743</v>
      </c>
      <c r="D5" s="0" t="s">
        <v>744</v>
      </c>
    </row>
    <row r="6" customFormat="false" ht="15" hidden="false" customHeight="false" outlineLevel="0" collapsed="false">
      <c r="A6" s="0" t="n">
        <v>5</v>
      </c>
      <c r="B6" s="0" t="s">
        <v>745</v>
      </c>
      <c r="C6" s="0" t="s">
        <v>746</v>
      </c>
      <c r="D6" s="0" t="s">
        <v>747</v>
      </c>
    </row>
    <row r="7" customFormat="false" ht="15" hidden="false" customHeight="false" outlineLevel="0" collapsed="false">
      <c r="A7" s="0" t="n">
        <v>6</v>
      </c>
      <c r="B7" s="0" t="s">
        <v>748</v>
      </c>
      <c r="C7" s="0" t="s">
        <v>749</v>
      </c>
      <c r="D7" s="0" t="s">
        <v>750</v>
      </c>
    </row>
    <row r="8" customFormat="false" ht="15" hidden="false" customHeight="false" outlineLevel="0" collapsed="false">
      <c r="A8" s="0" t="n">
        <v>7</v>
      </c>
      <c r="B8" s="0" t="s">
        <v>751</v>
      </c>
      <c r="C8" s="0" t="s">
        <v>752</v>
      </c>
      <c r="D8" s="0" t="s">
        <v>753</v>
      </c>
    </row>
    <row r="9" customFormat="false" ht="15" hidden="false" customHeight="false" outlineLevel="0" collapsed="false">
      <c r="A9" s="0" t="n">
        <v>8</v>
      </c>
      <c r="B9" s="0" t="s">
        <v>754</v>
      </c>
      <c r="C9" s="0" t="s">
        <v>755</v>
      </c>
      <c r="D9" s="0" t="s">
        <v>756</v>
      </c>
    </row>
    <row r="10" customFormat="false" ht="15" hidden="false" customHeight="false" outlineLevel="0" collapsed="false">
      <c r="A10" s="0" t="n">
        <v>9</v>
      </c>
      <c r="B10" s="0" t="s">
        <v>757</v>
      </c>
      <c r="C10" s="0" t="s">
        <v>300</v>
      </c>
      <c r="D10" s="0" t="s">
        <v>758</v>
      </c>
    </row>
    <row r="11" customFormat="false" ht="15" hidden="false" customHeight="false" outlineLevel="0" collapsed="false">
      <c r="A11" s="0" t="n">
        <v>10</v>
      </c>
      <c r="B11" s="0" t="s">
        <v>759</v>
      </c>
      <c r="C11" s="0" t="s">
        <v>760</v>
      </c>
      <c r="D11" s="0" t="s">
        <v>761</v>
      </c>
    </row>
    <row r="12" customFormat="false" ht="15" hidden="false" customHeight="false" outlineLevel="0" collapsed="false">
      <c r="A12" s="0" t="n">
        <v>11</v>
      </c>
      <c r="B12" s="0" t="s">
        <v>762</v>
      </c>
      <c r="C12" s="0" t="s">
        <v>763</v>
      </c>
      <c r="D12" s="0" t="s">
        <v>761</v>
      </c>
    </row>
    <row r="13" customFormat="false" ht="15" hidden="false" customHeight="false" outlineLevel="0" collapsed="false">
      <c r="A13" s="0" t="n">
        <v>12</v>
      </c>
      <c r="B13" s="0" t="s">
        <v>764</v>
      </c>
      <c r="C13" s="0" t="s">
        <v>765</v>
      </c>
    </row>
    <row r="14" customFormat="false" ht="15" hidden="false" customHeight="false" outlineLevel="0" collapsed="false">
      <c r="A14" s="0" t="n">
        <v>13</v>
      </c>
      <c r="B14" s="0" t="s">
        <v>766</v>
      </c>
      <c r="C14" s="0" t="s">
        <v>767</v>
      </c>
    </row>
    <row r="15" customFormat="false" ht="15" hidden="false" customHeight="false" outlineLevel="0" collapsed="false">
      <c r="A15" s="0" t="n">
        <v>14</v>
      </c>
      <c r="B15" s="0" t="s">
        <v>768</v>
      </c>
      <c r="C15" s="0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770</v>
      </c>
      <c r="B1" s="0" t="s">
        <v>771</v>
      </c>
      <c r="C1" s="0" t="s">
        <v>58</v>
      </c>
      <c r="D1" s="0" t="s">
        <v>772</v>
      </c>
    </row>
    <row r="2" customFormat="false" ht="15" hidden="false" customHeight="false" outlineLevel="0" collapsed="false">
      <c r="A2" s="0" t="s">
        <v>773</v>
      </c>
      <c r="B2" s="0" t="s">
        <v>774</v>
      </c>
      <c r="C2" s="0" t="s">
        <v>775</v>
      </c>
      <c r="D2" s="0" t="s">
        <v>776</v>
      </c>
    </row>
    <row r="3" customFormat="false" ht="15" hidden="false" customHeight="false" outlineLevel="0" collapsed="false">
      <c r="A3" s="0" t="s">
        <v>777</v>
      </c>
      <c r="B3" s="0" t="s">
        <v>778</v>
      </c>
      <c r="C3" s="0" t="s">
        <v>775</v>
      </c>
      <c r="D3" s="0" t="s">
        <v>779</v>
      </c>
    </row>
    <row r="4" customFormat="false" ht="15" hidden="false" customHeight="false" outlineLevel="0" collapsed="false">
      <c r="A4" s="0" t="s">
        <v>780</v>
      </c>
      <c r="B4" s="0" t="s">
        <v>781</v>
      </c>
      <c r="C4" s="0" t="s">
        <v>775</v>
      </c>
      <c r="D4" s="0" t="s">
        <v>782</v>
      </c>
    </row>
    <row r="5" customFormat="false" ht="15" hidden="false" customHeight="false" outlineLevel="0" collapsed="false">
      <c r="A5" s="0" t="s">
        <v>783</v>
      </c>
      <c r="B5" s="0" t="s">
        <v>784</v>
      </c>
      <c r="C5" s="0" t="s">
        <v>775</v>
      </c>
      <c r="D5" s="0" t="s">
        <v>785</v>
      </c>
    </row>
    <row r="6" customFormat="false" ht="15" hidden="false" customHeight="false" outlineLevel="0" collapsed="false">
      <c r="A6" s="0" t="s">
        <v>786</v>
      </c>
      <c r="B6" s="0" t="s">
        <v>787</v>
      </c>
      <c r="C6" s="0" t="s">
        <v>775</v>
      </c>
      <c r="D6" s="0" t="s">
        <v>788</v>
      </c>
    </row>
    <row r="7" customFormat="false" ht="15" hidden="false" customHeight="false" outlineLevel="0" collapsed="false">
      <c r="A7" s="0" t="s">
        <v>789</v>
      </c>
      <c r="B7" s="0" t="s">
        <v>790</v>
      </c>
      <c r="C7" s="0" t="s">
        <v>775</v>
      </c>
      <c r="D7" s="0" t="s">
        <v>791</v>
      </c>
    </row>
    <row r="8" customFormat="false" ht="15" hidden="false" customHeight="false" outlineLevel="0" collapsed="false">
      <c r="A8" s="0" t="s">
        <v>792</v>
      </c>
      <c r="B8" s="0" t="s">
        <v>793</v>
      </c>
      <c r="C8" s="0" t="s">
        <v>775</v>
      </c>
      <c r="D8" s="0" t="s">
        <v>794</v>
      </c>
    </row>
    <row r="9" customFormat="false" ht="15" hidden="false" customHeight="false" outlineLevel="0" collapsed="false">
      <c r="A9" s="0" t="s">
        <v>795</v>
      </c>
      <c r="B9" s="0" t="s">
        <v>796</v>
      </c>
      <c r="C9" s="0" t="s">
        <v>775</v>
      </c>
      <c r="D9" s="0" t="s">
        <v>797</v>
      </c>
    </row>
    <row r="10" customFormat="false" ht="15" hidden="false" customHeight="false" outlineLevel="0" collapsed="false">
      <c r="A10" s="0" t="s">
        <v>798</v>
      </c>
      <c r="B10" s="0" t="s">
        <v>799</v>
      </c>
      <c r="C10" s="0" t="s">
        <v>775</v>
      </c>
      <c r="D10" s="0" t="s">
        <v>800</v>
      </c>
    </row>
    <row r="11" customFormat="false" ht="15" hidden="false" customHeight="false" outlineLevel="0" collapsed="false">
      <c r="A11" s="0" t="s">
        <v>801</v>
      </c>
      <c r="B11" s="0" t="s">
        <v>802</v>
      </c>
      <c r="C11" s="0" t="s">
        <v>775</v>
      </c>
      <c r="D11" s="0" t="s">
        <v>803</v>
      </c>
    </row>
    <row r="12" customFormat="false" ht="15" hidden="false" customHeight="false" outlineLevel="0" collapsed="false">
      <c r="A12" s="0" t="s">
        <v>804</v>
      </c>
      <c r="B12" s="0" t="s">
        <v>805</v>
      </c>
      <c r="C12" s="0" t="s">
        <v>775</v>
      </c>
      <c r="D12" s="0" t="s">
        <v>806</v>
      </c>
    </row>
    <row r="13" customFormat="false" ht="15" hidden="false" customHeight="false" outlineLevel="0" collapsed="false">
      <c r="A13" s="0" t="s">
        <v>807</v>
      </c>
      <c r="B13" s="0" t="s">
        <v>808</v>
      </c>
      <c r="C13" s="0" t="s">
        <v>775</v>
      </c>
      <c r="D13" s="0" t="s">
        <v>809</v>
      </c>
    </row>
    <row r="14" customFormat="false" ht="15" hidden="false" customHeight="false" outlineLevel="0" collapsed="false">
      <c r="A14" s="0" t="s">
        <v>810</v>
      </c>
      <c r="B14" s="0" t="s">
        <v>811</v>
      </c>
      <c r="C14" s="0" t="s">
        <v>775</v>
      </c>
      <c r="D14" s="0" t="s">
        <v>812</v>
      </c>
    </row>
    <row r="15" customFormat="false" ht="15" hidden="false" customHeight="false" outlineLevel="0" collapsed="false">
      <c r="A15" s="0" t="s">
        <v>813</v>
      </c>
      <c r="B15" s="0" t="s">
        <v>814</v>
      </c>
      <c r="C15" s="0" t="s">
        <v>775</v>
      </c>
      <c r="D15" s="0" t="s">
        <v>815</v>
      </c>
    </row>
    <row r="16" customFormat="false" ht="15" hidden="false" customHeight="false" outlineLevel="0" collapsed="false">
      <c r="A16" s="0" t="s">
        <v>816</v>
      </c>
      <c r="B16" s="0" t="s">
        <v>817</v>
      </c>
      <c r="C16" s="0" t="s">
        <v>775</v>
      </c>
      <c r="D16" s="0" t="s">
        <v>818</v>
      </c>
    </row>
    <row r="17" customFormat="false" ht="15" hidden="false" customHeight="false" outlineLevel="0" collapsed="false">
      <c r="A17" s="0" t="s">
        <v>819</v>
      </c>
      <c r="B17" s="0" t="s">
        <v>820</v>
      </c>
      <c r="C17" s="0" t="s">
        <v>775</v>
      </c>
      <c r="D17" s="0" t="s">
        <v>821</v>
      </c>
    </row>
    <row r="18" customFormat="false" ht="15" hidden="false" customHeight="false" outlineLevel="0" collapsed="false">
      <c r="A18" s="0" t="s">
        <v>822</v>
      </c>
      <c r="B18" s="0" t="s">
        <v>823</v>
      </c>
      <c r="C18" s="0" t="s">
        <v>775</v>
      </c>
      <c r="D18" s="0" t="s">
        <v>824</v>
      </c>
    </row>
    <row r="19" customFormat="false" ht="15" hidden="false" customHeight="false" outlineLevel="0" collapsed="false">
      <c r="A19" s="0" t="s">
        <v>825</v>
      </c>
      <c r="B19" s="0" t="s">
        <v>826</v>
      </c>
      <c r="C19" s="0" t="s">
        <v>775</v>
      </c>
      <c r="D19" s="0" t="s">
        <v>827</v>
      </c>
    </row>
    <row r="20" customFormat="false" ht="15" hidden="false" customHeight="false" outlineLevel="0" collapsed="false">
      <c r="A20" s="0" t="s">
        <v>828</v>
      </c>
      <c r="B20" s="0" t="s">
        <v>829</v>
      </c>
      <c r="C20" s="0" t="s">
        <v>775</v>
      </c>
      <c r="D20" s="0" t="s">
        <v>830</v>
      </c>
    </row>
    <row r="21" customFormat="false" ht="15" hidden="false" customHeight="false" outlineLevel="0" collapsed="false">
      <c r="A21" s="0" t="s">
        <v>831</v>
      </c>
      <c r="B21" s="0" t="s">
        <v>832</v>
      </c>
      <c r="C21" s="0" t="s">
        <v>775</v>
      </c>
      <c r="D21" s="0" t="s">
        <v>833</v>
      </c>
    </row>
    <row r="22" customFormat="false" ht="15" hidden="false" customHeight="false" outlineLevel="0" collapsed="false">
      <c r="A22" s="0" t="s">
        <v>834</v>
      </c>
      <c r="B22" s="0" t="s">
        <v>835</v>
      </c>
      <c r="C22" s="0" t="s">
        <v>836</v>
      </c>
      <c r="D22" s="0" t="s">
        <v>837</v>
      </c>
    </row>
    <row r="23" customFormat="false" ht="15" hidden="false" customHeight="false" outlineLevel="0" collapsed="false">
      <c r="A23" s="0" t="s">
        <v>838</v>
      </c>
      <c r="B23" s="0" t="s">
        <v>839</v>
      </c>
      <c r="C23" s="0" t="s">
        <v>836</v>
      </c>
      <c r="D23" s="0" t="s">
        <v>840</v>
      </c>
    </row>
    <row r="24" customFormat="false" ht="15" hidden="false" customHeight="false" outlineLevel="0" collapsed="false">
      <c r="A24" s="0" t="s">
        <v>841</v>
      </c>
      <c r="B24" s="0" t="s">
        <v>842</v>
      </c>
      <c r="C24" s="0" t="s">
        <v>775</v>
      </c>
      <c r="D24" s="0" t="s">
        <v>843</v>
      </c>
    </row>
    <row r="25" customFormat="false" ht="15" hidden="false" customHeight="false" outlineLevel="0" collapsed="false">
      <c r="A25" s="0" t="s">
        <v>844</v>
      </c>
      <c r="B25" s="0" t="s">
        <v>845</v>
      </c>
      <c r="C25" s="0" t="s">
        <v>775</v>
      </c>
      <c r="D25" s="0" t="s">
        <v>846</v>
      </c>
    </row>
    <row r="26" customFormat="false" ht="15" hidden="false" customHeight="false" outlineLevel="0" collapsed="false">
      <c r="A26" s="0" t="s">
        <v>847</v>
      </c>
      <c r="B26" s="0" t="s">
        <v>848</v>
      </c>
      <c r="C26" s="0" t="s">
        <v>836</v>
      </c>
      <c r="D26" s="0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2026-10-19T11:49:35Z</dcterms:created>
  <dc:creator>openpyxl</dc:creator>
  <dc:description/>
  <dc:language>en-US</dc:language>
  <cp:lastModifiedBy/>
  <dcterms:modified xsi:type="dcterms:W3CDTF">2026-10-19T11:49:35Z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