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PARA REVISAR EN LA MANANA" sheetId="5" state="visible" r:id="rId7"/>
    <sheet name="Alcan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<sst xmlns="http://schemas.openxmlformats.org/spreadsheetml/2006/main" count="1330" uniqueCount="839">
  <si>
    <t xml:space="preserve">Bank of America - Broomfield, CO (CO1-111)   |   METAL FRAMING &amp; DRYWALL TAKEOFF</t>
  </si>
  <si>
    <t xml:space="preserve">Bid set: 2025.08.26_CO1-111_Broomfield_PERMIT SET_BID SET.pdf   ·   2026-10-16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</si>
  <si>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</si>
  <si>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</si>
  <si>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</si>
  <si>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</si>
  <si>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rule.</t>
  </si>
  <si>
    <t xml:space="preserve">Waste - EVERYTHING THAT IS NOT METAL</t>
  </si>
  <si>
    <t xml:space="preserve">Same figure as board.</t>
  </si>
  <si>
    <t xml:space="preserve">Board sheet width (ft)</t>
  </si>
  <si>
    <t xml:space="preserve">Board sheet length (ft)</t>
  </si>
  <si>
    <t xml:space="preserve">SF per board sheet</t>
  </si>
  <si>
    <t xml:space="preserve">Width x length.</t>
  </si>
  <si>
    <t xml:space="preserve">Stud stock length (ft)</t>
  </si>
  <si>
    <t xml:space="preserve">Track stock length (ft)</t>
  </si>
  <si>
    <t xml:space="preserve">ORGANIZED PARTITION TAKEOFF - Bank of America - Broomfield, CO (CO1-111)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</si>
  <si>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</si>
  <si>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</si>
  <si>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</si>
  <si>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</si>
  <si>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</si>
  <si>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</si>
  <si>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</si>
  <si>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</si>
  <si>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</si>
  <si>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</si>
  <si>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</si>
  <si>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</si>
  <si>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A1</t>
  </si>
  <si>
    <t xml:space="preserve">A1  #1  -  Calling Cubes 122 north / Waiting 104</t>
  </si>
  <si>
    <t xml:space="preserve">1</t>
  </si>
  <si>
    <t xml:space="preserve">3-5/8"</t>
  </si>
  <si>
    <t xml:space="preserve">Calling Cubes 122 north / Waiting 104</t>
  </si>
  <si>
    <t xml:space="preserve">F/A02.01 -&gt; A12.01 schedule -&gt; 3/A12.01 -&gt; 7/S5.20 -&gt; 1/A04.01 (ceiling per face) -&gt; 1F/S5.20, 4/S5.20; sello eaafc2ef90bac845</t>
  </si>
  <si>
    <t xml:space="preserve">[DERIVADO]</t>
  </si>
  <si>
    <t xml:space="preserve">A1  #2  -  MW01 niche east / Calling Cubes 122</t>
  </si>
  <si>
    <t xml:space="preserve">2</t>
  </si>
  <si>
    <t xml:space="preserve">MW01 niche east / Calling Cubes 122</t>
  </si>
  <si>
    <t xml:space="preserve">F/A02.01 -&gt; A12.01 schedule -&gt; 3/A12.01 -&gt; 7/S5.20 -&gt; 1/A04.01 (ceiling per face) -&gt; 1F/S5.20, 4/S5.20; sello 9f4753525c22c32a</t>
  </si>
  <si>
    <t xml:space="preserve">A1  #3  -  MW01 niche south / Calling Cubes 122</t>
  </si>
  <si>
    <t xml:space="preserve">3</t>
  </si>
  <si>
    <t xml:space="preserve">MW01 niche south / Calling Cubes 122</t>
  </si>
  <si>
    <t xml:space="preserve">F/A02.01 -&gt; A12.01 schedule -&gt; 3/A12.01 -&gt; 7/S5.20 -&gt; 1/A04.01 (ceiling per face) -&gt; 1F/S5.20, 4/S5.20; sello 475b7b151fd8d002</t>
  </si>
  <si>
    <t xml:space="preserve">A1  #4  -  Calling Cubes 122 south / MW21 Break 118</t>
  </si>
  <si>
    <t xml:space="preserve">4</t>
  </si>
  <si>
    <t xml:space="preserve">Calling Cubes 122 south / MW21 Break 118</t>
  </si>
  <si>
    <t xml:space="preserve">F/A02.01 -&gt; A12.01 schedule -&gt; 3/A12.01 -&gt; 7/S5.20 -&gt; 1/A04.01 (ceiling per face) -&gt; 1F/S5.20, 4/S5.20; sello 613230164f94a0c9</t>
  </si>
  <si>
    <t xml:space="preserve">A1  #5  -  stub east of MW21 / Break 118</t>
  </si>
  <si>
    <t xml:space="preserve">5</t>
  </si>
  <si>
    <t xml:space="preserve">stub east of MW21 / Break 118</t>
  </si>
  <si>
    <t xml:space="preserve">F/A02.01 -&gt; A12.01 schedule -&gt; 3/A12.01 -&gt; 7/S5.20 -&gt; 1/A04.01 (ceiling per face) -&gt; 1F/S5.20, 4/S5.20; sello 539958b075072b08</t>
  </si>
  <si>
    <t xml:space="preserve">A1  #6  -  stub east end of MW21 / Break 118</t>
  </si>
  <si>
    <t xml:space="preserve">6</t>
  </si>
  <si>
    <t xml:space="preserve">stub east end of MW21 / Break 118</t>
  </si>
  <si>
    <t xml:space="preserve">F/A02.01 -&gt; A12.01 schedule -&gt; 3/A12.01 -&gt; 7/S5.20 -&gt; 1/A04.01 (ceiling per face) -&gt; 1F/S5.20, 4/S5.20; sello 7ba195f579067e4d</t>
  </si>
  <si>
    <t xml:space="preserve">A1  #7  -  Corridor 111 / Electrical 120, NER 121, Break 118</t>
  </si>
  <si>
    <t xml:space="preserve">7</t>
  </si>
  <si>
    <t xml:space="preserve">Corridor 111 / Electrical 120, NER 121, Break 118</t>
  </si>
  <si>
    <t xml:space="preserve">F/A02.01 -&gt; A12.01 schedule -&gt; 3/A12.01 -&gt; 7/S5.20 -&gt; 1/A04.01 (ceiling per face) -&gt; 1F/S5.20, 4/S5.20; sello 798d6dd950592d64</t>
  </si>
  <si>
    <t xml:space="preserve">A1  #8  -  Cash Window 116 / Work Room 119</t>
  </si>
  <si>
    <t xml:space="preserve">8</t>
  </si>
  <si>
    <t xml:space="preserve">Cash Window 116 / Work Room 119</t>
  </si>
  <si>
    <t xml:space="preserve">F/A02.01 -&gt; A12.01 schedule -&gt; 3/A12.01 -&gt; 7/S5.20 -&gt; 1/A04.01 (ceiling per face) -&gt; 1F/S5.20, 4/S5.20; sello df583d67bd60ae8a</t>
  </si>
  <si>
    <t xml:space="preserve">A1  #48  -  Corridor 111 entry from Central Zone (A1 stub + door 111)</t>
  </si>
  <si>
    <t xml:space="preserve">48</t>
  </si>
  <si>
    <t xml:space="preserve">Corridor 111 entry from Central Zone (A1 stub + door 111)</t>
  </si>
  <si>
    <t xml:space="preserve">F/A02.01 -&gt; A12.01 schedule -&gt; 3/A12.01 -&gt; 7/S5.20 -&gt; 1/A04.01 (ceiling per face) -&gt; 1F/S5.20, 4/S5.20; sello a7a3c52427a99864</t>
  </si>
  <si>
    <t xml:space="preserve">TYPE A1K</t>
  </si>
  <si>
    <t xml:space="preserve">A1K  #9  -  Teller line north end (Cash Window 116)</t>
  </si>
  <si>
    <t xml:space="preserve">9</t>
  </si>
  <si>
    <t xml:space="preserve">Teller line north end (Cash Window 116)</t>
  </si>
  <si>
    <t xml:space="preserve">F/A02.01 -&gt; A12.01 schedule -&gt; 4/A12.01 -&gt; 7/S5.20 -&gt; 1/A04.01 (ceiling per face) -&gt; 1F/S5.20, 4/S5.20; sello 6c1128930c1220fa</t>
  </si>
  <si>
    <t xml:space="preserve">A1K  #10  -  Teller line south end (Cash Window 116)</t>
  </si>
  <si>
    <t xml:space="preserve">10</t>
  </si>
  <si>
    <t xml:space="preserve">Teller line south end (Cash Window 116)</t>
  </si>
  <si>
    <t xml:space="preserve">F/A02.01 -&gt; A12.01 schedule -&gt; 4/A12.01 -&gt; 7/S5.20 -&gt; 1/A04.01 (ceiling per face) -&gt; 1F/S5.20, 4/S5.20; sello 23985f2a836f59d9</t>
  </si>
  <si>
    <t xml:space="preserve">A1K  #11  -  Teller south / Future FCAM</t>
  </si>
  <si>
    <t xml:space="preserve">11</t>
  </si>
  <si>
    <t xml:space="preserve">Teller south / Future FCAM</t>
  </si>
  <si>
    <t xml:space="preserve">F/A02.01 -&gt; A12.01 schedule -&gt; 4/A12.01 -&gt; 7/S5.20 -&gt; 1/A04.01 (ceiling per face) -&gt; 1F/S5.20, 4/S5.20; sello f1e9835deb4399eb</t>
  </si>
  <si>
    <t xml:space="preserve">TYPE A5</t>
  </si>
  <si>
    <t xml:space="preserve">A5  #12  -  Calling Cubes 122 east / Central zone</t>
  </si>
  <si>
    <t xml:space="preserve">12</t>
  </si>
  <si>
    <t xml:space="preserve">6"</t>
  </si>
  <si>
    <t xml:space="preserve">Calling Cubes 122 east / Central zone</t>
  </si>
  <si>
    <t xml:space="preserve">F/A02.01 -&gt; A12.01 schedule -&gt; 3/A12.01 -&gt; 7/S5.20 -&gt; 1/A04.01 (ceiling per face) -&gt; 1F/S5.20, 4/S5.20; sello e111a7654cf257f3</t>
  </si>
  <si>
    <t xml:space="preserve">A5  #13  -  Calling Cubes 122 west / Corridor-Waiting</t>
  </si>
  <si>
    <t xml:space="preserve">13</t>
  </si>
  <si>
    <t xml:space="preserve">Calling Cubes 122 west / Corridor-Waiting</t>
  </si>
  <si>
    <t xml:space="preserve">F/A02.01 -&gt; A12.01 schedule -&gt; 3/A12.01 -&gt; 7/S5.20 -&gt; 1/A04.01 (ceiling per face) -&gt; 1F/S5.20, 4/S5.20; sello 5690b6c694a15d5c</t>
  </si>
  <si>
    <t xml:space="preserve">A5  #14  -  Break 118 / Future FCAM - Cash Window 116</t>
  </si>
  <si>
    <t xml:space="preserve">14</t>
  </si>
  <si>
    <t xml:space="preserve">Break 118 / Future FCAM - Cash Window 116</t>
  </si>
  <si>
    <t xml:space="preserve">F/A02.01 -&gt; A12.01 schedule -&gt; 3/A12.01 -&gt; 7/S5.20 -&gt; 1/A04.01 (ceiling per face) -&gt; 1F/S5.20, 4/S5.20; sello 8ce88e6c1ba3f096</t>
  </si>
  <si>
    <t xml:space="preserve">A5  #58  -  Corridor 111 / Calling Cubes 122 (door 122)</t>
  </si>
  <si>
    <t xml:space="preserve">58</t>
  </si>
  <si>
    <t xml:space="preserve">Corridor 111 / Calling Cubes 122 (door 122)</t>
  </si>
  <si>
    <t xml:space="preserve">F/A02.01 -&gt; A12.01 schedule -&gt; 3/A12.01 -&gt; 7/S5.20 -&gt; 1/A04.01 (ceiling per face) -&gt; 1F/S5.20, 4/S5.20; sello 0dded9561ceb735d</t>
  </si>
  <si>
    <t xml:space="preserve">TYPE B</t>
  </si>
  <si>
    <t xml:space="preserve">B  #15  -  Men's Restroom 113 / Janitor 112, Storage 117</t>
  </si>
  <si>
    <t xml:space="preserve">15</t>
  </si>
  <si>
    <t xml:space="preserve">Men's Restroom 113 / Janitor 112, Storage 117</t>
  </si>
  <si>
    <t xml:space="preserve">F/A02.01 -&gt; A12.01 schedule -&gt; 1/A12.01 -&gt; 7/S5.20 -&gt; 1/A04.01 (ceiling per face) -&gt; 1F/S5.20, 4/S5.20; sello 49e6c55b0b1022e7</t>
  </si>
  <si>
    <t xml:space="preserve">B  #16  -  Janitor 112 / Storage 117</t>
  </si>
  <si>
    <t xml:space="preserve">16</t>
  </si>
  <si>
    <t xml:space="preserve">Janitor 112 / Storage 117</t>
  </si>
  <si>
    <t xml:space="preserve">F/A02.01 -&gt; A12.01 schedule -&gt; 1/A12.01 -&gt; 7/S5.20 -&gt; 1/A04.01 (ceiling per face) -&gt; 1F/S5.20, 4/S5.20; sello 31395581ccb58bfa</t>
  </si>
  <si>
    <t xml:space="preserve">B  #17  -  Janitor 112, Storage 117 / Wellness 115</t>
  </si>
  <si>
    <t xml:space="preserve">17</t>
  </si>
  <si>
    <t xml:space="preserve">Janitor 112, Storage 117 / Wellness 115</t>
  </si>
  <si>
    <t xml:space="preserve">F/A02.01 -&gt; A12.01 schedule -&gt; 1/A12.01 -&gt; 7/S5.20 -&gt; 1/A04.01 (ceiling per face) -&gt; 1F/S5.20, 4/S5.20; sello b72dd1277077447d</t>
  </si>
  <si>
    <t xml:space="preserve">B  #18  -  Corridor-Break / Electrical 120</t>
  </si>
  <si>
    <t xml:space="preserve">18</t>
  </si>
  <si>
    <t xml:space="preserve">Corridor-Break / Electrical 120</t>
  </si>
  <si>
    <t xml:space="preserve">F/A02.01 -&gt; A12.01 schedule -&gt; 1/A12.01 -&gt; 7/S5.20 -&gt; 1/A04.01 (ceiling per face) -&gt; 1F/S5.20, 4/S5.20; sello fb875f11ba021d0e</t>
  </si>
  <si>
    <t xml:space="preserve">B  #19  -  Electrical 120 / NER 121</t>
  </si>
  <si>
    <t xml:space="preserve">19</t>
  </si>
  <si>
    <t xml:space="preserve">Electrical 120 / NER 121</t>
  </si>
  <si>
    <t xml:space="preserve">F/A02.01 -&gt; A12.01 schedule -&gt; 1/A12.01 -&gt; 7/S5.20 -&gt; 1/A04.01 (ceiling per face) -&gt; 1F/S5.20, 4/S5.20; sello 71d120603f146ff0</t>
  </si>
  <si>
    <t xml:space="preserve">B  #20  -  Electrical 120, NER 121 / Break 118</t>
  </si>
  <si>
    <t xml:space="preserve">20</t>
  </si>
  <si>
    <t xml:space="preserve">Electrical 120, NER 121 / Break 118</t>
  </si>
  <si>
    <t xml:space="preserve">F/A02.01 -&gt; A12.01 schedule -&gt; 1/A12.01 -&gt; 7/S5.20 -&gt; 1/A04.01 (ceiling per face) -&gt; 1F/S5.20, 4/S5.20; sello e931eda939394aaa</t>
  </si>
  <si>
    <t xml:space="preserve">TYPE B2</t>
  </si>
  <si>
    <t xml:space="preserve">B2  #21  -  ATM Room 102 east stub / Central zone</t>
  </si>
  <si>
    <t xml:space="preserve">21</t>
  </si>
  <si>
    <t xml:space="preserve">ATM Room 102 east stub / Central zone</t>
  </si>
  <si>
    <t xml:space="preserve">F/A02.01 -&gt; A12.01 schedule -&gt; 1/A12.01 -&gt; 7/S5.20 -&gt; 1/A04.01 (ceiling per face) -&gt; 1F/S5.20, 4/S5.20; sello a15df8ae3175ed1c</t>
  </si>
  <si>
    <t xml:space="preserve">B2  #22  -  Women's Restroom 114 / Corridor 111</t>
  </si>
  <si>
    <t xml:space="preserve">22</t>
  </si>
  <si>
    <t xml:space="preserve">Women's Restroom 114 / Corridor 111</t>
  </si>
  <si>
    <t xml:space="preserve">F/A02.01 -&gt; A12.01 schedule -&gt; 1/A12.01 -&gt; 7/S5.20 -&gt; 1/A04.01 (ceiling per face) -&gt; 1F/S5.20, 4/S5.20; sello bd387c6ce9602787</t>
  </si>
  <si>
    <t xml:space="preserve">B2  #23  -  Break 118 / Work Room 119</t>
  </si>
  <si>
    <t xml:space="preserve">23</t>
  </si>
  <si>
    <t xml:space="preserve">Break 118 / Work Room 119</t>
  </si>
  <si>
    <t xml:space="preserve">F/A02.01 -&gt; A12.01 schedule -&gt; 1/A12.01 -&gt; 7/S5.20 -&gt; 1/A04.01 (ceiling per face) -&gt; 1F/S5.20, 4/S5.20; sello eb6aee2b0339a317</t>
  </si>
  <si>
    <t xml:space="preserve">B2  #49  -  Men's 113, Storage 117, Wellness 115 / Corridor 111</t>
  </si>
  <si>
    <t xml:space="preserve">49</t>
  </si>
  <si>
    <t xml:space="preserve">Men's 113, Storage 117, Wellness 115 / Corridor 111</t>
  </si>
  <si>
    <t xml:space="preserve">F/A02.01 -&gt; A12.01 schedule -&gt; 1/A12.01 -&gt; 7/S5.20 -&gt; 1/A04.01 (ceiling per face) -&gt; 1F/S5.20, 4/S5.20; sello 8b26a8dde4d11a82</t>
  </si>
  <si>
    <t xml:space="preserve">TYPE B2K</t>
  </si>
  <si>
    <t xml:space="preserve">B2K  #24  -  Teller line NW corner / Office 108</t>
  </si>
  <si>
    <t xml:space="preserve">24</t>
  </si>
  <si>
    <t xml:space="preserve">Teller line NW corner / Office 108</t>
  </si>
  <si>
    <t xml:space="preserve">F/A02.01 -&gt; A12.01 schedule -&gt; 1/A12.01, 4/A12.01 -&gt; 7/S5.20 -&gt; 1/A04.01 (ceiling per face) -&gt; 1F/S5.20, 4/S5.20; sello 706f0f7a8d621caa</t>
  </si>
  <si>
    <t xml:space="preserve">TYPE C1</t>
  </si>
  <si>
    <t xml:space="preserve">C1  #25  -  Vestibule 100 NW column enclosure</t>
  </si>
  <si>
    <t xml:space="preserve">25</t>
  </si>
  <si>
    <t xml:space="preserve">Vestibule 100 NW column enclosure</t>
  </si>
  <si>
    <t xml:space="preserve">F/A02.01 -&gt; A12.01 schedule -&gt; 6/A12.01 -&gt; 7/S5.20 -&gt; 1/A04.01 (ceiling per face) -&gt; 1F/S5.20, 4/S5.20; sello 57a235800a5ff14d</t>
  </si>
  <si>
    <t xml:space="preserve">C1  #26  -  Vestibule 100 NE column enclosure</t>
  </si>
  <si>
    <t xml:space="preserve">26</t>
  </si>
  <si>
    <t xml:space="preserve">Vestibule 100 NE column enclosure</t>
  </si>
  <si>
    <t xml:space="preserve">F/A02.01 -&gt; A12.01 schedule -&gt; 6/A12.01 -&gt; 7/S5.20 -&gt; 1/A04.01 (ceiling per face) -&gt; 1F/S5.20, 4/S5.20; sello e533563ffbfaaefd</t>
  </si>
  <si>
    <t xml:space="preserve">C1  #27  -  Vestibule 100/101 column enclosure at storefront</t>
  </si>
  <si>
    <t xml:space="preserve">27</t>
  </si>
  <si>
    <t xml:space="preserve">Vestibule 100/101 column enclosure at storefront</t>
  </si>
  <si>
    <t xml:space="preserve">F/A02.01 -&gt; A12.01 schedule -&gt; 6/A12.01 -&gt; 7/S5.20 -&gt; 1/A04.01 (ceiling per face) -&gt; 1F/S5.20, 4/S5.20; sello 4fe8a47d7aaaee3f</t>
  </si>
  <si>
    <t xml:space="preserve">C1  #28  -  24 HR Vestibule 101 / ATM 102 column enclosure</t>
  </si>
  <si>
    <t xml:space="preserve">28</t>
  </si>
  <si>
    <t xml:space="preserve">24 HR Vestibule 101 / ATM 102 column enclosure</t>
  </si>
  <si>
    <t xml:space="preserve">F/A02.01 -&gt; A12.01 schedule -&gt; 6/A12.01 -&gt; 7/S5.20 -&gt; 1/A04.01 (ceiling per face) -&gt; 1F/S5.20, 4/S5.20; sello a829e562b511a00c</t>
  </si>
  <si>
    <t xml:space="preserve">C1  #29  -  Waiting 104 furring at Calling Cubes north wall (key note 7 monitor)</t>
  </si>
  <si>
    <t xml:space="preserve">29</t>
  </si>
  <si>
    <t xml:space="preserve">Waiting 104 furring at Calling Cubes north wall (key note 7 monitor)</t>
  </si>
  <si>
    <t xml:space="preserve">F/A02.01 -&gt; A12.01 schedule -&gt; 6/A12.01 -&gt; 7/S5.20 -&gt; 1/A04.01 (ceiling per face) -&gt; 1F/S5.20, 4/S5.20; sello 8f08cc6c045843f4</t>
  </si>
  <si>
    <t xml:space="preserve">C1  #30  -  Plumbing chase face, Women's Restroom 114 side</t>
  </si>
  <si>
    <t xml:space="preserve">30</t>
  </si>
  <si>
    <t xml:space="preserve">Plumbing chase face, Women's Restroom 114 side</t>
  </si>
  <si>
    <t xml:space="preserve">F/A02.01 -&gt; A12.01 schedule -&gt; 6/A12.01 -&gt; 7/S5.20 -&gt; 1/A04.01 (ceiling per face) -&gt; 1F/S5.20, 4/S5.20; sello 409e9d801492e757</t>
  </si>
  <si>
    <t xml:space="preserve">C1  #31  -  Plumbing chase face, Men's Restroom 113 side</t>
  </si>
  <si>
    <t xml:space="preserve">31</t>
  </si>
  <si>
    <t xml:space="preserve">Plumbing chase face, Men's Restroom 113 side</t>
  </si>
  <si>
    <t xml:space="preserve">F/A02.01 -&gt; A12.01 schedule -&gt; 6/A12.01 -&gt; 7/S5.20 -&gt; 1/A04.01 (ceiling per face) -&gt; 1F/S5.20, 4/S5.20; sello 0a5e3858851c46b3</t>
  </si>
  <si>
    <t xml:space="preserve">C1  #32  -  Future FCAM enclosure (Cash Window 116)</t>
  </si>
  <si>
    <t xml:space="preserve">32</t>
  </si>
  <si>
    <t xml:space="preserve">Future FCAM enclosure (Cash Window 116)</t>
  </si>
  <si>
    <t xml:space="preserve">F/A02.01 -&gt; A12.01 schedule -&gt; 6/A12.01 -&gt; 7/S5.20 -&gt; 1/A04.01 (ceiling per face) -&gt; 1F/S5.20, 4/S5.20; sello 42f590d4f79cecd1</t>
  </si>
  <si>
    <t xml:space="preserve">TYPE F</t>
  </si>
  <si>
    <t xml:space="preserve">F  #33  -  24 HR Vestibule 101 / ATM Room 102 (60 deg)</t>
  </si>
  <si>
    <t xml:space="preserve">33</t>
  </si>
  <si>
    <t xml:space="preserve">24 HR Vestibule 101 / ATM Room 102 (60 deg)</t>
  </si>
  <si>
    <t xml:space="preserve">F/A02.01 -&gt; A12.01 schedule -&gt; 12/A12.01 -&gt; 7/S5.20 -&gt; 1/A04.01 (ceiling per face) -&gt; 1F/S5.20, 4/S5.20; sello d606d41102057f66</t>
  </si>
  <si>
    <t xml:space="preserve">TYPE G</t>
  </si>
  <si>
    <t xml:space="preserve">G  #34  -  Office front stub 105/106 (Central zone)</t>
  </si>
  <si>
    <t xml:space="preserve">34</t>
  </si>
  <si>
    <t xml:space="preserve">1-5/8"</t>
  </si>
  <si>
    <t xml:space="preserve">Office front stub 105/106 (Central zone)</t>
  </si>
  <si>
    <t xml:space="preserve">F/A02.01 -&gt; A12.01 schedule -&gt; 5/A12.01, 8/A12.01 -&gt; 7/S5.20 -&gt; 1/A04.01 (ceiling per face) -&gt; 1F/S5.20, 4/S5.20; sello 0415275b7f812490</t>
  </si>
  <si>
    <t xml:space="preserve">G  #35  -  Office front stub 106/107</t>
  </si>
  <si>
    <t xml:space="preserve">35</t>
  </si>
  <si>
    <t xml:space="preserve">Office front stub 106/107</t>
  </si>
  <si>
    <t xml:space="preserve">F/A02.01 -&gt; A12.01 schedule -&gt; 5/A12.01, 8/A12.01 -&gt; 7/S5.20 -&gt; 1/A04.01 (ceiling per face) -&gt; 1F/S5.20, 4/S5.20; sello 6df133960b9316c4</t>
  </si>
  <si>
    <t xml:space="preserve">G  #36  -  Office front stub 107/108</t>
  </si>
  <si>
    <t xml:space="preserve">36</t>
  </si>
  <si>
    <t xml:space="preserve">Office front stub 107/108</t>
  </si>
  <si>
    <t xml:space="preserve">F/A02.01 -&gt; A12.01 schedule -&gt; 5/A12.01, 8/A12.01 -&gt; 7/S5.20 -&gt; 1/A04.01 (ceiling per face) -&gt; 1F/S5.20, 4/S5.20; sello 3edbed156226f599</t>
  </si>
  <si>
    <t xml:space="preserve">G  #37  -  Office 106 / Office 107</t>
  </si>
  <si>
    <t xml:space="preserve">37</t>
  </si>
  <si>
    <t xml:space="preserve">Office 106 / Office 107</t>
  </si>
  <si>
    <t xml:space="preserve">F/A02.01 -&gt; A12.01 schedule -&gt; 5/A12.01, 8/A12.01 -&gt; 7/S5.20 -&gt; 1/A04.01 (ceiling per face) -&gt; 1F/S5.20, 4/S5.20; sello a505f759de6cfdbb</t>
  </si>
  <si>
    <t xml:space="preserve">G  #38  -  Office 107 / Office 108</t>
  </si>
  <si>
    <t xml:space="preserve">38</t>
  </si>
  <si>
    <t xml:space="preserve">Office 107 / Office 108</t>
  </si>
  <si>
    <t xml:space="preserve">F/A02.01 -&gt; A12.01 schedule -&gt; 5/A12.01, 8/A12.01 -&gt; 7/S5.20 -&gt; 1/A04.01 (ceiling per face) -&gt; 1F/S5.20, 4/S5.20; sello e97377e6645b96bf</t>
  </si>
  <si>
    <t xml:space="preserve">G  #39  -  Office 108 / Cash Window 116</t>
  </si>
  <si>
    <t xml:space="preserve">39</t>
  </si>
  <si>
    <t xml:space="preserve">Office 108 / Cash Window 116</t>
  </si>
  <si>
    <t xml:space="preserve">F/A02.01 -&gt; A12.01 schedule -&gt; 5/A12.01, 8/A12.01 -&gt; 7/S5.20 -&gt; 1/A04.01 (ceiling per face) -&gt; 1F/S5.20, 4/S5.20; sello 3ad9a95b5252aa03</t>
  </si>
  <si>
    <t xml:space="preserve">G  #40  -  ATM Room 102 / Office 109</t>
  </si>
  <si>
    <t xml:space="preserve">40</t>
  </si>
  <si>
    <t xml:space="preserve">ATM Room 102 / Office 109</t>
  </si>
  <si>
    <t xml:space="preserve">F/A02.01 -&gt; A12.01 schedule -&gt; 5/A12.01, 8/A12.01 -&gt; 7/S5.20 -&gt; 1/A04.01 (ceiling per face) -&gt; 1F/S5.20, 4/S5.20; sello 56dbb8736e478b96</t>
  </si>
  <si>
    <t xml:space="preserve">G  #41  -  Office 109 / Office 110</t>
  </si>
  <si>
    <t xml:space="preserve">41</t>
  </si>
  <si>
    <t xml:space="preserve">Office 109 / Office 110</t>
  </si>
  <si>
    <t xml:space="preserve">F/A02.01 -&gt; A12.01 schedule -&gt; 5/A12.01, 8/A12.01 -&gt; 7/S5.20 -&gt; 1/A04.01 (ceiling per face) -&gt; 1F/S5.20, 4/S5.20; sello 919c37fc58fb63a2</t>
  </si>
  <si>
    <t xml:space="preserve">G  #42  -  Office 110 / Women's Restroom 114, Corridor</t>
  </si>
  <si>
    <t xml:space="preserve">42</t>
  </si>
  <si>
    <t xml:space="preserve">Office 110 / Women's Restroom 114, Corridor</t>
  </si>
  <si>
    <t xml:space="preserve">F/A02.01 -&gt; A12.01 schedule -&gt; 5/A12.01, 8/A12.01 -&gt; 7/S5.20 -&gt; 1/A04.01 (ceiling per face) -&gt; 1F/S5.20, 4/S5.20; sello 6384b28e5f5e9693</t>
  </si>
  <si>
    <t xml:space="preserve">TYPE G1</t>
  </si>
  <si>
    <t xml:space="preserve">G1  #43  -  Office 105 / Office 106</t>
  </si>
  <si>
    <t xml:space="preserve">43</t>
  </si>
  <si>
    <t xml:space="preserve">Office 105 / Office 106</t>
  </si>
  <si>
    <t xml:space="preserve">F/A02.01 -&gt; A12.01 schedule -&gt; 5/A12.01 -&gt; 7/S5.20 -&gt; 1/A04.01 (ceiling per face) -&gt; 1F/S5.20, 4/S5.20; sello 3cabe8028dbc50dc</t>
  </si>
  <si>
    <t xml:space="preserve">G1  #44  -  Office front stub 109/110</t>
  </si>
  <si>
    <t xml:space="preserve">44</t>
  </si>
  <si>
    <t xml:space="preserve">Office front stub 109/110</t>
  </si>
  <si>
    <t xml:space="preserve">F/A02.01 -&gt; A12.01 schedule -&gt; 5/A12.01 -&gt; 7/S5.20 -&gt; 1/A04.01 (ceiling per face) -&gt; 1F/S5.20, 4/S5.20; sello 0ecf456bb6af4ee5</t>
  </si>
  <si>
    <t xml:space="preserve">TYPE G*</t>
  </si>
  <si>
    <t xml:space="preserve">G*  #45  -  Office 105 front north stub (NO TAG; thickness 6.16" = G)</t>
  </si>
  <si>
    <t xml:space="preserve">45</t>
  </si>
  <si>
    <t xml:space="preserve">Office 105 front north stub (NO TAG; thickness 6.16" = G)</t>
  </si>
  <si>
    <t xml:space="preserve">F/A02.01 -&gt; A12.01 schedule -&gt; 5/A12.01 -&gt; 7/S5.20 -&gt; 1/A04.01 (ceiling per face) -&gt; 1F/S5.20, 4/S5.20; sello b7172f92028b01b0</t>
  </si>
  <si>
    <t xml:space="preserve">TYPE G1*</t>
  </si>
  <si>
    <t xml:space="preserve">G1*  #46  -  Office 110 front south stub (NO TAG; thickness 8.48" = G1)</t>
  </si>
  <si>
    <t xml:space="preserve">46</t>
  </si>
  <si>
    <t xml:space="preserve">Office 110 front south stub (NO TAG; thickness 8.48" = G1)</t>
  </si>
  <si>
    <t xml:space="preserve">F/A02.01 -&gt; A12.01 schedule -&gt; 5/A12.01 -&gt; 7/S5.20 -&gt; 1/A04.01 (ceiling per face) -&gt; 1F/S5.20, 4/S5.20; sello 17388afe50c13811</t>
  </si>
  <si>
    <t xml:space="preserve">TYPE A1*</t>
  </si>
  <si>
    <t xml:space="preserve">A1*  #47  -  Drinking fountain alcove back wall, Men's Restroom 113 / Corridor 111 alcove (NO TAG -&gt; A1 per note A/A02.01)</t>
  </si>
  <si>
    <t xml:space="preserve">47</t>
  </si>
  <si>
    <t xml:space="preserve">Drinking fountain alcove back wall, Men's Restroom 113 / Corridor 111 alcove (NO TAG -&gt; A1 per note A/A02.01)</t>
  </si>
  <si>
    <t xml:space="preserve">F/A02.01 -&gt; A12.01 schedule -&gt; 3/A12.01 -&gt; 7/S5.20 -&gt; 1/A04.01 (ceiling per face) -&gt; 1F/S5.20, 4/S5.20; sello aead7879caa50888</t>
  </si>
  <si>
    <t xml:space="preserve">TYPE EXT</t>
  </si>
  <si>
    <t xml:space="preserve">EXT  #X50  -  EXT grid G/F at Offices 105 (A09.01 elev 1)</t>
  </si>
  <si>
    <t xml:space="preserve">X50</t>
  </si>
  <si>
    <t xml:space="preserve">EXT grid G/F at Offices 105 (A09.01 elev 1)</t>
  </si>
  <si>
    <t xml:space="preserve">F/A02.01 -&gt; A/A09.21, 10/S5.10, 7/S5.20, S1.11; sello 7a368938c344de59</t>
  </si>
  <si>
    <t xml:space="preserve">EXT  #X51  -  EXT grid 8 (A09.02 elev 1)</t>
  </si>
  <si>
    <t xml:space="preserve">X51</t>
  </si>
  <si>
    <t xml:space="preserve">EXT grid 8 (A09.02 elev 1)</t>
  </si>
  <si>
    <t xml:space="preserve">F/A02.01 -&gt; A/A09.21, 10/S5.10, 7/S5.20, S1.11; sello ddda050dbada1fcb</t>
  </si>
  <si>
    <t xml:space="preserve">EXT  #X52  -  EXT grid A (A09.02 elev 2)</t>
  </si>
  <si>
    <t xml:space="preserve">X52</t>
  </si>
  <si>
    <t xml:space="preserve">EXT grid A (A09.02 elev 2)</t>
  </si>
  <si>
    <t xml:space="preserve">F/A02.01 -&gt; A/A09.21, 10/S5.10, 7/S5.20, S1.11; sello a4ed33b922045ffc</t>
  </si>
  <si>
    <t xml:space="preserve">EXT  #X53  -  EXT west grid 2-3 (A09.01 elev 2)</t>
  </si>
  <si>
    <t xml:space="preserve">X53</t>
  </si>
  <si>
    <t xml:space="preserve">EXT west grid 2-3 (A09.01 elev 2)</t>
  </si>
  <si>
    <t xml:space="preserve">F/A02.01 -&gt; A/A09.21, 10/S5.10, 7/S5.20, S1.11; sello 0d29c5e92275da5a</t>
  </si>
  <si>
    <t xml:space="preserve">EXT  #X54  -  EXT ATM bump south face</t>
  </si>
  <si>
    <t xml:space="preserve">X54</t>
  </si>
  <si>
    <t xml:space="preserve">EXT ATM bump south face</t>
  </si>
  <si>
    <t xml:space="preserve">F/A02.01 -&gt; A/A09.21, 10/S5.10, 7/S5.20, S1.11; sello 80541f27438743cb</t>
  </si>
  <si>
    <t xml:space="preserve">EXT  #X55  -  EXT west grid 1-2 24 HR Vestibule / ATM (A09.01 elev 2)</t>
  </si>
  <si>
    <t xml:space="preserve">X55</t>
  </si>
  <si>
    <t xml:space="preserve">EXT west grid 1-2 24 HR Vestibule / ATM (A09.01 elev 2)</t>
  </si>
  <si>
    <t xml:space="preserve">F/A02.01 -&gt; A/A09.21, 10/S5.10, 7/S5.20, S1.11; sello 43e7fb033c07e815</t>
  </si>
  <si>
    <t xml:space="preserve">EXT  #X56  -  EXT grid G/F band over storefront 26'-3" + entrance 12'-6 3/4"</t>
  </si>
  <si>
    <t xml:space="preserve">X56</t>
  </si>
  <si>
    <t xml:space="preserve">EXT grid G/F band over storefront 26'-3" + entrance 12'-6 3/4"</t>
  </si>
  <si>
    <t xml:space="preserve">F/A02.01 -&gt; A/A09.21, 10/S5.10, 7/S5.20, S1.11; sello 761bf7a4b9a2ae3f</t>
  </si>
  <si>
    <t xml:space="preserve">EXT  #X57  -  EXT west vestibule 100 band over storefront</t>
  </si>
  <si>
    <t xml:space="preserve">X57</t>
  </si>
  <si>
    <t xml:space="preserve">EXT west vestibule 100 band over storefront</t>
  </si>
  <si>
    <t xml:space="preserve">F/A02.01 -&gt; A/A09.21, 10/S5.10, 7/S5.20, S1.11; sello d41c64258f8eae3c</t>
  </si>
  <si>
    <t xml:space="preserve">TYPE PARAPET</t>
  </si>
  <si>
    <t xml:space="preserve">PARAPET  #P60  -  Parapet grid G/F</t>
  </si>
  <si>
    <t xml:space="preserve">P60</t>
  </si>
  <si>
    <t xml:space="preserve">Parapet grid G/F</t>
  </si>
  <si>
    <t xml:space="preserve">F/A02.01 -&gt; 11/S5.10, 10/S5.10, 4/A09.26; sello ce7a35893f4d8ccf</t>
  </si>
  <si>
    <t xml:space="preserve">PARAPET  #P61  -  Parapet grid 8</t>
  </si>
  <si>
    <t xml:space="preserve">P61</t>
  </si>
  <si>
    <t xml:space="preserve">Parapet grid 8</t>
  </si>
  <si>
    <t xml:space="preserve">F/A02.01 -&gt; 11/S5.10, 10/S5.10, 4/A09.26; sello eb883f858a48152d</t>
  </si>
  <si>
    <t xml:space="preserve">PARAPET  #P62  -  Parapet grid A</t>
  </si>
  <si>
    <t xml:space="preserve">P62</t>
  </si>
  <si>
    <t xml:space="preserve">Parapet grid A</t>
  </si>
  <si>
    <t xml:space="preserve">F/A02.01 -&gt; 11/S5.10, 10/S5.10, 4/A09.26; sello fcaef94066b5e61a</t>
  </si>
  <si>
    <t xml:space="preserve">PARAPET  #P63  -  Parapet west grid 1-2 drive-thru tower G-D</t>
  </si>
  <si>
    <t xml:space="preserve">P63</t>
  </si>
  <si>
    <t xml:space="preserve">Parapet west grid 1-2 drive-thru tower G-D</t>
  </si>
  <si>
    <t xml:space="preserve">F/A02.01 -&gt; 11/S5.10, 10/S5.10, 4/A09.26; sello df01618e7ff94d20</t>
  </si>
  <si>
    <t xml:space="preserve">PARAPET  #P64  -  Parapet ATM bump</t>
  </si>
  <si>
    <t xml:space="preserve">P64</t>
  </si>
  <si>
    <t xml:space="preserve">Parapet ATM bump</t>
  </si>
  <si>
    <t xml:space="preserve">F/A02.01 -&gt; 11/S5.10, 10/S5.10, 4/A09.26; sello 3368c2c4e067ba1e</t>
  </si>
  <si>
    <t xml:space="preserve">PARAPET  #P66  -  Parapet tower east return fin (grid 4)</t>
  </si>
  <si>
    <t xml:space="preserve">P66</t>
  </si>
  <si>
    <t xml:space="preserve">Parapet tower east return fin (grid 4)</t>
  </si>
  <si>
    <t xml:space="preserve">F/A02.01 -&gt; 11/S5.10, 10/S5.10, 4/A09.26; sello 681834f651ce6ce4</t>
  </si>
  <si>
    <t xml:space="preserve">PARAPET  #P65  -  Parapet west grid 2-3</t>
  </si>
  <si>
    <t xml:space="preserve">P65</t>
  </si>
  <si>
    <t xml:space="preserve">Parapet west grid 2-3</t>
  </si>
  <si>
    <t xml:space="preserve">F/A02.01 -&gt; 11/S5.10, 10/S5.10, 4/A09.26; sello fa213fd3aa0c82ef</t>
  </si>
  <si>
    <t xml:space="preserve">TYPE BULKHEAD OF</t>
  </si>
  <si>
    <t xml:space="preserve">BULKHEAD OF  #BH1  -  Office front bulkhead office 105 (Central Zone side / office side)</t>
  </si>
  <si>
    <t xml:space="preserve">BH1</t>
  </si>
  <si>
    <t xml:space="preserve">Office front bulkhead office 105 (Central Zone side / office side)</t>
  </si>
  <si>
    <t xml:space="preserve">F/A02.01 -&gt; 8/A12.01, 9/A12.01, 10/A12.01, 7/A11.01; sello 5fada9d59923e331</t>
  </si>
  <si>
    <t xml:space="preserve">BULKHEAD OF  #BH2  -  Office front bulkhead office 106 (Central Zone side / office side)</t>
  </si>
  <si>
    <t xml:space="preserve">BH2</t>
  </si>
  <si>
    <t xml:space="preserve">Office front bulkhead office 106 (Central Zone side / office side)</t>
  </si>
  <si>
    <t xml:space="preserve">F/A02.01 -&gt; 8/A12.01, 9/A12.01, 10/A12.01, 7/A11.01; sello a8142a2699e11f2a</t>
  </si>
  <si>
    <t xml:space="preserve">BULKHEAD OF  #BH3  -  Office front bulkhead office 107 (Central Zone side / office side)</t>
  </si>
  <si>
    <t xml:space="preserve">BH3</t>
  </si>
  <si>
    <t xml:space="preserve">Office front bulkhead office 107 (Central Zone side / office side)</t>
  </si>
  <si>
    <t xml:space="preserve">F/A02.01 -&gt; 8/A12.01, 9/A12.01, 10/A12.01, 7/A11.01; sello d87b1e6f7bbf1c0d</t>
  </si>
  <si>
    <t xml:space="preserve">BULKHEAD OF  #BH4  -  Office front bulkhead office 108 (Central Zone side / office side)</t>
  </si>
  <si>
    <t xml:space="preserve">BH4</t>
  </si>
  <si>
    <t xml:space="preserve">Office front bulkhead office 108 (Central Zone side / office side)</t>
  </si>
  <si>
    <t xml:space="preserve">F/A02.01 -&gt; 8/A12.01, 9/A12.01, 10/A12.01, 7/A11.01; sello 2e9b177c7f808cd0</t>
  </si>
  <si>
    <t xml:space="preserve">BULKHEAD OF  #BH5  -  Office front bulkhead office 109 (Central Zone side / office side)</t>
  </si>
  <si>
    <t xml:space="preserve">BH5</t>
  </si>
  <si>
    <t xml:space="preserve">Office front bulkhead office 109 (Central Zone side / office side)</t>
  </si>
  <si>
    <t xml:space="preserve">F/A02.01 -&gt; 8/A12.01, 9/A12.01, 10/A12.01, 7/A11.01; sello 2888c9bb97475122</t>
  </si>
  <si>
    <t xml:space="preserve">BULKHEAD OF  #BH6  -  Office front bulkhead office 110 (Central Zone side / office side)</t>
  </si>
  <si>
    <t xml:space="preserve">BH6</t>
  </si>
  <si>
    <t xml:space="preserve">Office front bulkhead office 110 (Central Zone side / office side)</t>
  </si>
  <si>
    <t xml:space="preserve">F/A02.01 -&gt; 8/A12.01, 9/A12.01, 10/A12.01, 7/A11.01; sello 9c4f596ee2d8fbc5</t>
  </si>
  <si>
    <t xml:space="preserve">TYPE GRILLE HEAD</t>
  </si>
  <si>
    <t xml:space="preserve">GRILLE HEAD  #GH103  -  Coiling grille 103 head (24 HR Vestibule 101 / Central Zone 103)</t>
  </si>
  <si>
    <t xml:space="preserve">GH103</t>
  </si>
  <si>
    <t xml:space="preserve">2-1/2"</t>
  </si>
  <si>
    <t xml:space="preserve">Coiling grille 103 head (24 HR Vestibule 101 / Central Zone 103)</t>
  </si>
  <si>
    <t xml:space="preserve">F/A02.01 -&gt; 1/A08.21, 4/A08.21, 3/A08.21; sello a498466f0e66eeb1</t>
  </si>
  <si>
    <t xml:space="preserve">TYPE BULKHEAD VEST</t>
  </si>
  <si>
    <t xml:space="preserve">BULKHEAD VEST  #BHV81  -  Vestibule 100 / 24 HR Vestibule 101 bulkhead over glazing</t>
  </si>
  <si>
    <t xml:space="preserve">BHV81</t>
  </si>
  <si>
    <t xml:space="preserve">Vestibule 100 / 24 HR Vestibule 101 bulkhead over glazing</t>
  </si>
  <si>
    <t xml:space="preserve">F/A02.01 -&gt; 5/A12.10, 3/A12.10; sello 7f43d1e07fb2b936</t>
  </si>
  <si>
    <t xml:space="preserve">BULKHEAD VEST  #BHV82  -  Vestibule 100 / Central Zone bulkhead over glazing + door 100A</t>
  </si>
  <si>
    <t xml:space="preserve">BHV82</t>
  </si>
  <si>
    <t xml:space="preserve">Vestibule 100 / Central Zone bulkhead over glazing + door 100A</t>
  </si>
  <si>
    <t xml:space="preserve">F/A02.01 -&gt; 5/A12.10, 3/A12.10; sello 04e84caf2300fa39</t>
  </si>
  <si>
    <t xml:space="preserve">TYPE ROOF STEP</t>
  </si>
  <si>
    <t xml:space="preserve">ROOF STEP  #RS83  -  Roof step along grid B, grids 3-8 (4/A02.02, 9/S5.10): (a) step wall + (b) wall and box below high deck</t>
  </si>
  <si>
    <t xml:space="preserve">RS83</t>
  </si>
  <si>
    <t xml:space="preserve">Roof step along grid B, grids 3-8 (4/A02.02, 9/S5.10): (a) step wall + (b) wall and box below high deck</t>
  </si>
  <si>
    <t xml:space="preserve">F/A02.01 -&gt; 4/A02.02, 9/S5.10; sello 1792966c34716cb0</t>
  </si>
  <si>
    <t xml:space="preserve">TOTAL - PARTITIONS</t>
  </si>
  <si>
    <t xml:space="preserve">MATERIAL SUMMARY - NET / WASTE / PURCHASE</t>
  </si>
  <si>
    <t xml:space="preserve">Waste lives HERE, in its own column, never inside the net quantity.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</si>
  <si>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</si>
  <si>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</si>
  <si>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</si>
  <si>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</si>
  <si>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</si>
  <si>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</si>
  <si>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</si>
  <si>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</si>
  <si>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</si>
  <si>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1-5/8" metal stud 162S125-33</t>
  </si>
  <si>
    <t xml:space="preserve">LF</t>
  </si>
  <si>
    <t xml:space="preserve">stick 20 ft</t>
  </si>
  <si>
    <t xml:space="preserve">W34  (sello 0415275b7f812490); W35  (sello 6df133960b9316c4); W36  (sello 3edbed156226f599); W37  (sello a505f759de6cfdbb); W38  (sello e97377e6645b96bf); W39  (sello 3ad9a95b5252aa03); W40  (sello 56dbb8736e478b96); W41  (sello 919c37fc58fb63a2); W42  (sello 6384b28e5f5e9693); W43  (sello 3cabe8028dbc50dc); W44  (sello 0ecf456bb6af4ee5); W45  (sello b7172f92028b01b0); W46  (sello 17388afe50c13811); BH1 8/A12.01, 9/A12.01, 10/A12.01, 7/A11.01 (sello 5fada9d59923e331); BH2 8/A12.01, 9/A12.01, 10/A12.01, 7/A11.01 (sello a8142a2699e11f2a); BH3 8/A12.01, 9/A12.01, 10/A12.01, 7/A11.01 (sello d87b1e6f7bbf1c0d); BH4 8/A12.01, 9/A12.01, 10/A12.01, 7/A11.01 (sello 2e9b177c7f808cd0); BH5 8/A12.01, 9/A12.01, 10/A12.01, 7/A11.01 (sello 2888c9bb97475122); BH6 8/A12.01, 9/A12.01, 10/A12.01, 7/A11.01 (sello 9c4f596ee2d8fbc5)</t>
  </si>
  <si>
    <t xml:space="preserve">2-1/2" metal stud 250S137-33 (coiling grille head)</t>
  </si>
  <si>
    <t xml:space="preserve">GH103 1/A08.21, 4/A08.21, 3/A08.21 (sello a498466f0e66eeb1)</t>
  </si>
  <si>
    <t xml:space="preserve">3-5/8" metal stud 362S137-33</t>
  </si>
  <si>
    <t xml:space="preserve">W01  (sello eaafc2ef90bac845); W02  (sello 9f4753525c22c32a); W03  (sello 475b7b151fd8d002); W04  (sello 613230164f94a0c9); W05  (sello 539958b075072b08); W06  (sello 7ba195f579067e4d); W07  (sello 798d6dd950592d64); W08  (sello df583d67bd60ae8a); W15  (sello 49e6c55b0b1022e7); W16  (sello 31395581ccb58bfa); W17  (sello b72dd1277077447d); W18  (sello fb875f11ba021d0e); W19  (sello 71d120603f146ff0); W20  (sello e931eda939394aaa); W25  (sello 57a235800a5ff14d); W26  (sello e533563ffbfaaefd); W27  (sello 4fe8a47d7aaaee3f); W28  (sello a829e562b511a00c); W29  (sello 8f08cc6c045843f4); W30  (sello 409e9d801492e757); W31  (sello 0a5e3858851c46b3); W32  (sello 42f590d4f79cecd1); W33  (sello d606d41102057f66); W47  (sello aead7879caa50888); W48  (sello a7a3c52427a99864); BHV81 5/A12.10, 3/A12.10 (sello 7f43d1e07fb2b936); BHV82 5/A12.10, 3/A12.10 (sello 04e84caf2300fa39); RS83 4/A02.02, 9/S5.10 </t>
  </si>
  <si>
    <t xml:space="preserve">3-5/8" metal stud 362S137-33 (canopy fascia)</t>
  </si>
  <si>
    <t xml:space="preserve">CN-1 (sello a8765ca9f1397fc9); CN-1B (sello e373d15c6e2f9ebe); CN-2 (sello 5f8d0eb619987491); CN-3 (sello 69099a160c7dc19a); CN-4 (sello 598aef3c0725e90d); CN-4B (sello 6f92dd49cd34b7c5)</t>
  </si>
  <si>
    <t xml:space="preserve">3-5/8" metal stud 362S137-33 (canopy soffit joists)</t>
  </si>
  <si>
    <t xml:space="preserve">CN-1 (sello a8765ca9f1397fc9); CN-1B (sello e373d15c6e2f9ebe); CN-2 (sello 5f8d0eb619987491); CN-3 (sello 69099a160c7dc19a); CN-4B (sello 6f92dd49cd34b7c5)</t>
  </si>
  <si>
    <t xml:space="preserve">3-5/8" metal stud 362S137-33 (column wraps)</t>
  </si>
  <si>
    <t xml:space="preserve">CW-1 (sello a16969c530582c69)</t>
  </si>
  <si>
    <t xml:space="preserve">3-5/8" metal stud 362S137-33 (drive-thru canopy joists)</t>
  </si>
  <si>
    <t xml:space="preserve">CN-4 (sello 598aef3c0725e90d)</t>
  </si>
  <si>
    <t xml:space="preserve">3-5/8" metal stud 362S137-33 (kickers)</t>
  </si>
  <si>
    <t xml:space="preserve">SF-2 (sello b9fe88d224404405)</t>
  </si>
  <si>
    <t xml:space="preserve">3-5/8" metal stud 362S137-33 (soffit joists)</t>
  </si>
  <si>
    <t xml:space="preserve">SF-1 (sello 841bfbe7ee0d91c0)</t>
  </si>
  <si>
    <t xml:space="preserve">3-5/8" metal stud 362S137-33 (soffit verticals)</t>
  </si>
  <si>
    <t xml:space="preserve">3-5/8" metal stud 362S137-68 (14 ga)</t>
  </si>
  <si>
    <t xml:space="preserve">W09  (sello 6c1128930c1220fa); W10  (sello 23985f2a836f59d9); W11  (sello f1e9835deb4399eb)</t>
  </si>
  <si>
    <t xml:space="preserve">6" exterior metal stud 600S162-54</t>
  </si>
  <si>
    <t xml:space="preserve">X50 A/A09.21, 10/S5.10, 7/S5.20, S1.11 (sello 7a368938c344de59); X51 A/A09.21, 10/S5.10, 7/S5.20, S1.11 (sello ddda050dbada1fcb); X52 A/A09.21, 10/S5.10, 7/S5.20, S1.11 (sello a4ed33b922045ffc); X53 A/A09.21, 10/S5.10, 7/S5.20, S1.11 (sello 0d29c5e92275da5a); X54 A/A09.21, 10/S5.10, 7/S5.20, S1.11 (sello 80541f27438743cb); X55 A/A09.21, 10/S5.10, 7/S5.20, S1.11 (sello 43e7fb033c07e815); X56 A/A09.21, 10/S5.10, 7/S5.20, S1.11 (sello 761bf7a4b9a2ae3f); X57 A/A09.21, 10/S5.10, 7/S5.20, S1.11 (sello d41c64258f8eae3c); PIER (sello 8a36add33cc3bcd7)</t>
  </si>
  <si>
    <t xml:space="preserve">6" metal stud 600S137-33 (interior)</t>
  </si>
  <si>
    <t xml:space="preserve">W12  (sello e111a7654cf257f3); W13  (sello 5690b6c694a15d5c); W14  (sello 8ce88e6c1ba3f096); W21  (sello a15df8ae3175ed1c); W22  (sello bd387c6ce9602787); W23  (sello eb6aee2b0339a317); W24  (sello 706f0f7a8d621caa); W49  (sello 8b26a8dde4d11a82); W58  (sello 0dded9561ceb735d)</t>
  </si>
  <si>
    <t xml:space="preserve">6" parapet stud 600S162-54</t>
  </si>
  <si>
    <t xml:space="preserve">P60 11/S5.10, 10/S5.10, 4/A09.26 (sello ce7a35893f4d8ccf); P61 11/S5.10, 10/S5.10, 4/A09.26 (sello eb883f858a48152d); P62 11/S5.10, 10/S5.10, 4/A09.26 (sello fcaef94066b5e61a); P63 11/S5.10, 10/S5.10, 4/A09.26 (sello df01618e7ff94d20); P64 11/S5.10, 10/S5.10, 4/A09.26 (sello 3368c2c4e067ba1e); P66 11/S5.10, 10/S5.10, 4/A09.26 (sello 681834f651ce6ce4); P65 11/S5.10, 10/S5.10, 4/A09.26 (sello fa213fd3aa0c82ef)</t>
  </si>
  <si>
    <t xml:space="preserve">Access panel 2x2 locking (Vestibule 100)</t>
  </si>
  <si>
    <t xml:space="preserve">EA</t>
  </si>
  <si>
    <t xml:space="preserve">FO-CEIL (sello 0c36aea1c4b7b5d1)</t>
  </si>
  <si>
    <t xml:space="preserve">Additional head track (2/S5.20)</t>
  </si>
  <si>
    <t xml:space="preserve">piece 10 ft</t>
  </si>
  <si>
    <t xml:space="preserve">X51 A/A09.21, 10/S5.10, 7/S5.20, S1.11 (sello ddda050dbada1fcb); X53 A/A09.21, 10/S5.10, 7/S5.20, S1.11 (sello 0d29c5e92275da5a)</t>
  </si>
  <si>
    <t xml:space="preserve">Bottom track 162T125-33</t>
  </si>
  <si>
    <t xml:space="preserve">Bottom track 250T125-33 (framed head)</t>
  </si>
  <si>
    <t xml:space="preserve">Bottom track 362T125-33</t>
  </si>
  <si>
    <t xml:space="preserve">Bottom track 362T125-33 (column wraps)</t>
  </si>
  <si>
    <t xml:space="preserve">Bottom track 362T125-68</t>
  </si>
  <si>
    <t xml:space="preserve">Bottom track 600T125-33</t>
  </si>
  <si>
    <t xml:space="preserve">Bottom track 600T125-33 (exterior)</t>
  </si>
  <si>
    <t xml:space="preserve">Bottom track 600T125-54 (parapet)</t>
  </si>
  <si>
    <t xml:space="preserve">Bracing 1-1/2" C.R. channel @48" O.C.</t>
  </si>
  <si>
    <t xml:space="preserve">piece 16 ft</t>
  </si>
  <si>
    <t xml:space="preserve">W01  (sello eaafc2ef90bac845); W02  (sello 9f4753525c22c32a); W03  (sello 475b7b151fd8d002); W04  (sello 613230164f94a0c9); W05  (sello 539958b075072b08); W06  (sello 7ba195f579067e4d); W07  (sello 798d6dd950592d64); W08  (sello df583d67bd60ae8a); W09  (sello 6c1128930c1220fa); W10  (sello 23985f2a836f59d9); W11  (sello f1e9835deb4399eb); W12  (sello e111a7654cf257f3); W13  (sello 5690b6c694a15d5c); W14  (sello 8ce88e6c1ba3f096); W15  (sello 49e6c55b0b1022e7); W16  (sello 31395581ccb58bfa); W17  (sello b72dd1277077447d); W18  (sello fb875f11ba021d0e); W19  (sello 71d120603f146ff0); W20  (sello e931eda939394aaa); W21  (sello a15df8ae3175ed1c); W22  (sello bd387c6ce9602787); W23  (sello eb6aee2b0339a317); W24  (sello 706f0f7a8d621caa); W25  (sello 57a235800a5ff14d); W26  (sello e533563ffbfaaefd); W27  (sello 4fe8a47d7aaaee3f); W28  (sello a829e562b511a00c); W29  (sello 8f08cc6c045843f4); W</t>
  </si>
  <si>
    <t xml:space="preserve">Carrying channel 1-1/2" (ceiling)</t>
  </si>
  <si>
    <t xml:space="preserve">CL-1 (sello 54c7bb57a60fc2f4); CL-2 (sello 7fef7d2f15e67f43); CL-3 (sello f6dcbd4b47aeb450); CL-4 (sello 921a70bcdd966b87); CL-5 (sello 03184344c59009ca)</t>
  </si>
  <si>
    <t xml:space="preserve">Ceiling / soffit track (CSR soffit)</t>
  </si>
  <si>
    <t xml:space="preserve">Ceiling / soffit track (canopy fascia top &amp; bottom)</t>
  </si>
  <si>
    <t xml:space="preserve">Ceiling / soffit track (canopy joists both ends)</t>
  </si>
  <si>
    <t xml:space="preserve">Ceiling / soffit track (transition)</t>
  </si>
  <si>
    <t xml:space="preserve">Ceiling track (perimeter, ceiling)</t>
  </si>
  <si>
    <t xml:space="preserve">Deflection clip (exterior / roof step)</t>
  </si>
  <si>
    <t xml:space="preserve">X50 A/A09.21, 10/S5.10, 7/S5.20, S1.11 (sello 7a368938c344de59); X51 A/A09.21, 10/S5.10, 7/S5.20, S1.11 (sello ddda050dbada1fcb); X52 A/A09.21, 10/S5.10, 7/S5.20, S1.11 (sello a4ed33b922045ffc); X53 A/A09.21, 10/S5.10, 7/S5.20, S1.11 (sello 0d29c5e92275da5a); X54 A/A09.21, 10/S5.10, 7/S5.20, S1.11 (sello 80541f27438743cb); X55 A/A09.21, 10/S5.10, 7/S5.20, S1.11 (sello 43e7fb033c07e815); RS83 4/A02.02, 9/S5.10 (sello 1792966c34716cb0); PIER (sello 8a36add33cc3bcd7)</t>
  </si>
  <si>
    <t xml:space="preserve">Framed opening - access panel 2x2 (ceiling)</t>
  </si>
  <si>
    <t xml:space="preserve">Framed opening - recessed downlight R-14A/AE</t>
  </si>
  <si>
    <t xml:space="preserve">Framed opening - recessed fixture R-11A (CSR soffit)</t>
  </si>
  <si>
    <t xml:space="preserve">Framed opening - recessed fixture R-11C Waiting</t>
  </si>
  <si>
    <t xml:space="preserve">Framed opening - recessed fixture canopy UU</t>
  </si>
  <si>
    <t xml:space="preserve">FO-CAN (sello 999cbf35b51b6275)</t>
  </si>
  <si>
    <t xml:space="preserve">Framed opening - restroom air device</t>
  </si>
  <si>
    <t xml:space="preserve">Framed opening - slot diffuser SD vestibules</t>
  </si>
  <si>
    <t xml:space="preserve">Furring channel 7/8" (ceiling)</t>
  </si>
  <si>
    <t xml:space="preserve">piece 12 ft</t>
  </si>
  <si>
    <t xml:space="preserve">Hanger wire 12 ga</t>
  </si>
  <si>
    <t xml:space="preserve">Header - 6" CFMF box beam (coiling grille, 4/A08.21)</t>
  </si>
  <si>
    <t xml:space="preserve">Header - box header (vestibule bulkheads 5/A12.10)</t>
  </si>
  <si>
    <t xml:space="preserve">BHV81 5/A12.10, 3/A12.10 (sello 7f43d1e07fb2b936); BHV82 5/A12.10, 3/A12.10 (sello 04e84caf2300fa39)</t>
  </si>
  <si>
    <t xml:space="preserve">Header - continuous box beam (office front bulkheads)</t>
  </si>
  <si>
    <t xml:space="preserve">BH1 8/A12.01, 9/A12.01, 10/A12.01, 7/A11.01 (sello 5fada9d59923e331); BH2 8/A12.01, 9/A12.01, 10/A12.01, 7/A11.01 (sello a8142a2699e11f2a); BH3 8/A12.01, 9/A12.01, 10/A12.01, 7/A11.01 (sello d87b1e6f7bbf1c0d); BH4 8/A12.01, 9/A12.01, 10/A12.01, 7/A11.01 (sello 2e9b177c7f808cd0); BH5 8/A12.01, 9/A12.01, 10/A12.01, 7/A11.01 (sello 2888c9bb97475122); BH6 8/A12.01, 9/A12.01, 10/A12.01, 7/A11.01 (sello 9c4f596ee2d8fbc5)</t>
  </si>
  <si>
    <t xml:space="preserve">Header - metal stud box beam (exterior openings)</t>
  </si>
  <si>
    <t xml:space="preserve">X51 A/A09.21, 10/S5.10, 7/S5.20, S1.11 (sello ddda050dbada1fcb); X52 A/A09.21, 10/S5.10, 7/S5.20, S1.11 (sello a4ed33b922045ffc); X53 A/A09.21, 10/S5.10, 7/S5.20, S1.11 (sello 0d29c5e92275da5a); X55 A/A09.21, 10/S5.10, 7/S5.20, S1.11 (sello 43e7fb033c07e815)</t>
  </si>
  <si>
    <t xml:space="preserve">Header - single track 18 ga 362T125-43 (doors)</t>
  </si>
  <si>
    <t xml:space="preserve">W05  (sello 539958b075072b08); W07  (sello 798d6dd950592d64); W08  (sello df583d67bd60ae8a); W15  (sello 49e6c55b0b1022e7); W20  (sello e931eda939394aaa); W33  (sello d606d41102057f66); W48  (sello a7a3c52427a99864)</t>
  </si>
  <si>
    <t xml:space="preserve">Header - single track 18 ga 600T125-43 (doors)</t>
  </si>
  <si>
    <t xml:space="preserve">W21  (sello a15df8ae3175ed1c); W22  (sello bd387c6ce9602787); W23  (sello eb6aee2b0339a317); W49  (sello 8b26a8dde4d11a82); W58  (sello 0dded9561ceb735d)</t>
  </si>
  <si>
    <t xml:space="preserve">Header track 18 ga (recessed items / dampers)</t>
  </si>
  <si>
    <t xml:space="preserve">REC (sello 3eadc2a509fb2292)</t>
  </si>
  <si>
    <t xml:space="preserve">Metal stud blocking 362CR22 (edge of board 4/S5.20)</t>
  </si>
  <si>
    <t xml:space="preserve">W02  (sello 9f4753525c22c32a); W03  (sello 475b7b151fd8d002); W07  (sello 798d6dd950592d64); W09  (sello 6c1128930c1220fa); W10  (sello 23985f2a836f59d9); W11  (sello f1e9835deb4399eb); W15  (sello 49e6c55b0b1022e7); W16  (sello 31395581ccb58bfa); W17  (sello b72dd1277077447d); W18  (sello fb875f11ba021d0e); W19  (sello 71d120603f146ff0); W20  (sello e931eda939394aaa); W21  (sello a15df8ae3175ed1c); W22  (sello bd387c6ce9602787); W23  (sello eb6aee2b0339a317); W24  (sello 706f0f7a8d621caa); W25  (sello 57a235800a5ff14d); W26  (sello e533563ffbfaaefd); W27  (sello 4fe8a47d7aaaee3f); W28  (sello a829e562b511a00c); W30  (sello 409e9d801492e757); W31  (sello 0a5e3858851c46b3); W34  (sello 0415275b7f812490); W35  (sello 6df133960b9316c4); W36  (sello 3edbed156226f599); W37  (sello a505f759de6cfdbb); W38  (sello e97377e6645b96bf); W39  (sello 3ad9a95b5252aa03); W40  (sello 56dbb8736e478b96); W</t>
  </si>
  <si>
    <t xml:space="preserve">Metal stud blocking 362CR22 - artwork</t>
  </si>
  <si>
    <t xml:space="preserve">BLK (sello 0d6d7b2a53304d67)</t>
  </si>
  <si>
    <t xml:space="preserve">Metal stud blocking 362CR22 - lockers</t>
  </si>
  <si>
    <t xml:space="preserve">BLK-LOCK (sello 139dc5658ae477d6)</t>
  </si>
  <si>
    <t xml:space="preserve">Metal stud blocking 362CR22 - monitors/boards/accessories</t>
  </si>
  <si>
    <t xml:space="preserve">Metal stud blocking 362CR22 - wall stops</t>
  </si>
  <si>
    <t xml:space="preserve">Metal trim - J-bead / casing bead (criterio 53.1)</t>
  </si>
  <si>
    <t xml:space="preserve">X56 A/A09.21, 10/S5.10, 7/S5.20, S1.11 (sello 761bf7a4b9a2ae3f); X57 A/A09.21, 10/S5.10, 7/S5.20, S1.11 (sello d41c64258f8eae3c); TRIM (sello 0cf9ba8d0cf587fb)</t>
  </si>
  <si>
    <t xml:space="preserve">Metal trim - corner bead</t>
  </si>
  <si>
    <t xml:space="preserve">BH1 8/A12.01, 9/A12.01, 10/A12.01, 7/A11.01 (sello 5fada9d59923e331); BH2 8/A12.01, 9/A12.01, 10/A12.01, 7/A11.01 (sello a8142a2699e11f2a); BH3 8/A12.01, 9/A12.01, 10/A12.01, 7/A11.01 (sello d87b1e6f7bbf1c0d); BH4 8/A12.01, 9/A12.01, 10/A12.01, 7/A11.01 (sello 2e9b177c7f808cd0); BH5 8/A12.01, 9/A12.01, 10/A12.01, 7/A11.01 (sello 2888c9bb97475122); BH6 8/A12.01, 9/A12.01, 10/A12.01, 7/A11.01 (sello 9c4f596ee2d8fbc5); GH103 1/A08.21, 4/A08.21, 3/A08.21 (sello a498466f0e66eeb1); RS83 4/A02.02, 9/S5.10 (sello 1792966c34716cb0); SF-2 (sello b9fe88d224404405); SF-1 (sello 841bfbe7ee0d91c0)</t>
  </si>
  <si>
    <t xml:space="preserve">Metal trim - corner bead (criterio 53.1)</t>
  </si>
  <si>
    <t xml:space="preserve">TRIM (sello 0cf9ba8d0cf587fb)</t>
  </si>
  <si>
    <t xml:space="preserve">Metal trim - gypsum edge trim</t>
  </si>
  <si>
    <t xml:space="preserve">Metal trim - gypsum edge trim (Waiting slots)</t>
  </si>
  <si>
    <t xml:space="preserve">Metal trim - shadow molding</t>
  </si>
  <si>
    <t xml:space="preserve">BH1 8/A12.01, 9/A12.01, 10/A12.01, 7/A11.01 (sello 5fada9d59923e331); BH2 8/A12.01, 9/A12.01, 10/A12.01, 7/A11.01 (sello a8142a2699e11f2a); BH3 8/A12.01, 9/A12.01, 10/A12.01, 7/A11.01 (sello d87b1e6f7bbf1c0d); BH4 8/A12.01, 9/A12.01, 10/A12.01, 7/A11.01 (sello 2e9b177c7f808cd0); BH5 8/A12.01, 9/A12.01, 10/A12.01, 7/A11.01 (sello 2888c9bb97475122); BH6 8/A12.01, 9/A12.01, 10/A12.01, 7/A11.01 (sello 9c4f596ee2d8fbc5); SF-2 (sello b9fe88d224404405)</t>
  </si>
  <si>
    <t xml:space="preserve">Power-driven fasteners PAF (A1K track, parapet)</t>
  </si>
  <si>
    <t xml:space="preserve">box of 100</t>
  </si>
  <si>
    <t xml:space="preserve">W09  (sello 6c1128930c1220fa); W10  (sello 23985f2a836f59d9); W11  (sello f1e9835deb4399eb); P60 11/S5.10, 10/S5.10, 4/A09.26 (sello ce7a35893f4d8ccf); P61 11/S5.10, 10/S5.10, 4/A09.26 (sello eb883f858a48152d); P62 11/S5.10, 10/S5.10, 4/A09.26 (sello fcaef94066b5e61a); P63 11/S5.10, 10/S5.10, 4/A09.26 (sello df01618e7ff94d20); P64 11/S5.10, 10/S5.10, 4/A09.26 (sello 3368c2c4e067ba1e); P66 11/S5.10, 10/S5.10, 4/A09.26 (sello 681834f651ce6ce4); P65 11/S5.10, 10/S5.10, 4/A09.26 (sello fa213fd3aa0c82ef)</t>
  </si>
  <si>
    <t xml:space="preserve">Purlin 1x1x1 16 ga (track to deck)</t>
  </si>
  <si>
    <t xml:space="preserve">Sill track 18 ga (openings)</t>
  </si>
  <si>
    <t xml:space="preserve">W33  (sello d606d41102057f66); X51 A/A09.21, 10/S5.10, 7/S5.20, S1.11 (sello ddda050dbada1fcb); X53 A/A09.21, 10/S5.10, 7/S5.20, S1.11 (sello 0d29c5e92275da5a); X55 A/A09.21, 10/S5.10, 7/S5.20, S1.11 (sello 43e7fb033c07e815)</t>
  </si>
  <si>
    <t xml:space="preserve">Sill track 18 ga (recessed items / dampers)</t>
  </si>
  <si>
    <t xml:space="preserve">Top slip track 162T200-33</t>
  </si>
  <si>
    <t xml:space="preserve">Top slip track 362T200-33</t>
  </si>
  <si>
    <t xml:space="preserve">Top slip track 362T200-68</t>
  </si>
  <si>
    <t xml:space="preserve">Top track 250T125-33 (framed head)</t>
  </si>
  <si>
    <t xml:space="preserve">Top track 362T125-33 (column wraps)</t>
  </si>
  <si>
    <t xml:space="preserve">Top track 600T125-54 (parapet)</t>
  </si>
  <si>
    <t xml:space="preserve">Top track 600T200-97 (deflection)</t>
  </si>
  <si>
    <t xml:space="preserve">Top track 600T200-97 (exterior deflection)</t>
  </si>
  <si>
    <t xml:space="preserve">3/8" UL752 level-2 ballistic fiberglass panel</t>
  </si>
  <si>
    <t xml:space="preserve">SF</t>
  </si>
  <si>
    <t xml:space="preserve">4x8 sheet</t>
  </si>
  <si>
    <t xml:space="preserve">W09  (sello 6c1128930c1220fa); W10  (sello 23985f2a836f59d9); W11  (sello f1e9835deb4399eb); W24  (sello 706f0f7a8d621caa)</t>
  </si>
  <si>
    <t xml:space="preserve">3/8" gypsum board (A1K above 8 ft)</t>
  </si>
  <si>
    <t xml:space="preserve">5/8" FRT plywood bonded to 2-1/2" polyiso (exterior sheathing)</t>
  </si>
  <si>
    <t xml:space="preserve">X50 A/A09.21, 10/S5.10, 7/S5.20, S1.11 (sello 7a368938c344de59); X51 A/A09.21, 10/S5.10, 7/S5.20, S1.11 (sello ddda050dbada1fcb); X52 A/A09.21, 10/S5.10, 7/S5.20, S1.11 (sello a4ed33b922045ffc); X53 A/A09.21, 10/S5.10, 7/S5.20, S1.11 (sello 0d29c5e92275da5a); X54 A/A09.21, 10/S5.10, 7/S5.20, S1.11 (sello 80541f27438743cb); X55 A/A09.21, 10/S5.10, 7/S5.20, S1.11 (sello 43e7fb033c07e815); X56 A/A09.21, 10/S5.10, 7/S5.20, S1.11 (sello 761bf7a4b9a2ae3f); X57 A/A09.21, 10/S5.10, 7/S5.20, S1.11 (sello d41c64258f8eae3c); P60 11/S5.10, 10/S5.10, 4/A09.26 (sello ce7a35893f4d8ccf); P61 11/S5.10, 10/S5.10, 4/A09.26 (sello eb883f858a48152d); P62 11/S5.10, 10/S5.10, 4/A09.26 (sello fcaef94066b5e61a); P63 11/S5.10, 10/S5.10, 4/A09.26 (sello df01618e7ff94d20); P64 11/S5.10, 10/S5.10, 4/A09.26 (sello 3368c2c4e067ba1e); P66 11/S5.10, 10/S5.10, 4/A09.26 (sello 681834f651ce6ce4); P65 11/S5.10, 10/S5.10, 4/</t>
  </si>
  <si>
    <t xml:space="preserve">5/8" exterior gypsum sheathing (parapet)</t>
  </si>
  <si>
    <t xml:space="preserve">4x12 sheet</t>
  </si>
  <si>
    <t xml:space="preserve">5/8" glass mat sheathing (base band 0'-6")</t>
  </si>
  <si>
    <t xml:space="preserve">X50 A/A09.21, 10/S5.10, 7/S5.20, S1.11 (sello 7a368938c344de59); X51 A/A09.21, 10/S5.10, 7/S5.20, S1.11 (sello ddda050dbada1fcb); X52 A/A09.21, 10/S5.10, 7/S5.20, S1.11 (sello a4ed33b922045ffc); X53 A/A09.21, 10/S5.10, 7/S5.20, S1.11 (sello 0d29c5e92275da5a); X54 A/A09.21, 10/S5.10, 7/S5.20, S1.11 (sello 80541f27438743cb); X55 A/A09.21, 10/S5.10, 7/S5.20, S1.11 (sello 43e7fb033c07e815); PIER (sello 8a36add33cc3bcd7)</t>
  </si>
  <si>
    <t xml:space="preserve">5/8" glass mat sheathing (canopy band)</t>
  </si>
  <si>
    <t xml:space="preserve">5/8" gypsum board, regular</t>
  </si>
  <si>
    <t xml:space="preserve">5/8" gypsum board, regular (GWB ceilings)</t>
  </si>
  <si>
    <t xml:space="preserve">5/8" gypsum board, regular (soffits &amp; transition faces)</t>
  </si>
  <si>
    <t xml:space="preserve">SF-2 (sello b9fe88d224404405); SF-1 (sello 841bfbe7ee0d91c0)</t>
  </si>
  <si>
    <t xml:space="preserve">5/8" moisture resistant gypsum board</t>
  </si>
  <si>
    <t xml:space="preserve">W30  (sello 409e9d801492e757); W31  (sello 0a5e3858851c46b3)</t>
  </si>
  <si>
    <t xml:space="preserve">Acoustical sealant</t>
  </si>
  <si>
    <t xml:space="preserve">tube ~30 LF</t>
  </si>
  <si>
    <t xml:space="preserve">W01  (sello eaafc2ef90bac845); W02  (sello 9f4753525c22c32a); W03  (sello 475b7b151fd8d002); W04  (sello 613230164f94a0c9); W05  (sello 539958b075072b08); W06  (sello 7ba195f579067e4d); W07  (sello 798d6dd950592d64); W08  (sello df583d67bd60ae8a); W09  (sello 6c1128930c1220fa); W10  (sello 23985f2a836f59d9); W11  (sello f1e9835deb4399eb); W12  (sello e111a7654cf257f3); W13  (sello 5690b6c694a15d5c); W14  (sello 8ce88e6c1ba3f096); W15  (sello 49e6c55b0b1022e7); W16  (sello 31395581ccb58bfa); W17  (sello b72dd1277077447d); W18  (sello fb875f11ba021d0e); W19  (sello 71d120603f146ff0); W20  (sello e931eda939394aaa); W21  (sello a15df8ae3175ed1c); W22  (sello bd387c6ce9602787); W23  (sello eb6aee2b0339a317); W24  (sello 706f0f7a8d621caa); W34  (sello 0415275b7f812490); W35  (sello 6df133960b9316c4); W36  (sello 3edbed156226f599); W37  (sello a505f759de6cfdbb); W38  (sello e97377e6645b96bf); W</t>
  </si>
  <si>
    <t xml:space="preserve">Batt insulation (sound attenuation) in partitions</t>
  </si>
  <si>
    <t xml:space="preserve">W01  (sello eaafc2ef90bac845); W02  (sello 9f4753525c22c32a); W03  (sello 475b7b151fd8d002); W04  (sello 613230164f94a0c9); W05  (sello 539958b075072b08); W06  (sello 7ba195f579067e4d); W07  (sello 798d6dd950592d64); W08  (sello df583d67bd60ae8a); W09  (sello 6c1128930c1220fa); W10  (sello 23985f2a836f59d9); W11  (sello f1e9835deb4399eb); W12  (sello e111a7654cf257f3); W13  (sello 5690b6c694a15d5c); W14  (sello 8ce88e6c1ba3f096); W15  (sello 49e6c55b0b1022e7); W16  (sello 31395581ccb58bfa); W17  (sello b72dd1277077447d); W18  (sello fb875f11ba021d0e); W19  (sello 71d120603f146ff0); W20  (sello e931eda939394aaa); W21  (sello a15df8ae3175ed1c); W22  (sello bd387c6ce9602787); W23  (sello eb6aee2b0339a317); W24  (sello 706f0f7a8d621caa); W33  (sello d606d41102057f66); W34  (sello 0415275b7f812490); W35  (sello 6df133960b9316c4); W36  (sello 3edbed156226f599); W37  (sello a505f759de6cfdbb); W</t>
  </si>
  <si>
    <t xml:space="preserve">Batt insulation above ceiling (sound)</t>
  </si>
  <si>
    <t xml:space="preserve">CL-4 (sello 921a70bcdd966b87); CL-5 (sello 03184344c59009ca)</t>
  </si>
  <si>
    <t xml:space="preserve">Cement board 1/2" under tile cove base</t>
  </si>
  <si>
    <t xml:space="preserve">WET (sello 0f4270f56ead064a)</t>
  </si>
  <si>
    <t xml:space="preserve">FRP panel WC-3 (janitor mop sink)</t>
  </si>
  <si>
    <t xml:space="preserve">FRP panel WC-3 (restrooms)</t>
  </si>
  <si>
    <t xml:space="preserve">FRT blocking 2x (coiling grille jambs 3/A08.21)</t>
  </si>
  <si>
    <t xml:space="preserve">FRT blocking 2x (roof step 4/A02.02)</t>
  </si>
  <si>
    <t xml:space="preserve">RS83 4/A02.02, 9/S5.10 (sello 1792966c34716cb0)</t>
  </si>
  <si>
    <t xml:space="preserve">FRT blocking 2x - millwork (FRTW, A12.03-A12.06 note D)</t>
  </si>
  <si>
    <t xml:space="preserve">FRT blocking 2x - roof ladder</t>
  </si>
  <si>
    <t xml:space="preserve">FRT blocking 2x - toilet accessories</t>
  </si>
  <si>
    <t xml:space="preserve">FRT blocking 2x - vestibule wall termination</t>
  </si>
  <si>
    <t xml:space="preserve">FRT blocking 2x - water heater platform</t>
  </si>
  <si>
    <t xml:space="preserve">FRT plywood 3/4" (F wall public side 12/A12.01)</t>
  </si>
  <si>
    <t xml:space="preserve">W33  (sello d606d41102057f66)</t>
  </si>
  <si>
    <t xml:space="preserve">FRT plywood 3/4" (coiling grille jambs 3/A08.21)</t>
  </si>
  <si>
    <t xml:space="preserve">FRT plywood 3/4" backboard (Electrical/NER)</t>
  </si>
  <si>
    <t xml:space="preserve">PB (sello 45219b9301a01965)</t>
  </si>
  <si>
    <t xml:space="preserve">FRT plywood 5/8" exterior grade (canopy)</t>
  </si>
  <si>
    <t xml:space="preserve">FRT plywood 5/8" exterior grade (column wraps)</t>
  </si>
  <si>
    <t xml:space="preserve">FRT plywood blocking 3/4" (exterior openings: windows, door 123, ATM, storefront heads/jambs)</t>
  </si>
  <si>
    <t xml:space="preserve">X51 A/A09.21, 10/S5.10, 7/S5.20, S1.11 (sello ddda050dbada1fcb); X52 A/A09.21, 10/S5.10, 7/S5.20, S1.11 (sello a4ed33b922045ffc); X53 A/A09.21, 10/S5.10, 7/S5.20, S1.11 (sello 0d29c5e92275da5a); X55 A/A09.21, 10/S5.10, 7/S5.20, S1.11 (sello 43e7fb033c07e815); X56 A/A09.21, 10/S5.10, 7/S5.20, S1.11 (sello 761bf7a4b9a2ae3f); X57 A/A09.21, 10/S5.10, 7/S5.20, S1.11 (sello d41c64258f8eae3c)</t>
  </si>
  <si>
    <t xml:space="preserve">FRT plywood blocking 3/4" (office front 8,9,10/A12.01)</t>
  </si>
  <si>
    <t xml:space="preserve">FRT plywood blocking 3/4" (parapet, 4/A09.26)</t>
  </si>
  <si>
    <t xml:space="preserve">FRT plywood blocking 3/4" - media monitor</t>
  </si>
  <si>
    <t xml:space="preserve">FRT plywood blocking 5/8" (CSR soffit)</t>
  </si>
  <si>
    <t xml:space="preserve">Level 5 finish (walls)</t>
  </si>
  <si>
    <t xml:space="preserve">L5 (sello 05e70867e7acbef4)</t>
  </si>
  <si>
    <t xml:space="preserve">Sealant at base of gypsum (exterior walls)</t>
  </si>
  <si>
    <t xml:space="preserve">X50 A/A09.21, 10/S5.10, 7/S5.20, S1.11 (sello 7a368938c344de59); X51 A/A09.21, 10/S5.10, 7/S5.20, S1.11 (sello ddda050dbada1fcb); X52 A/A09.21, 10/S5.10, 7/S5.20, S1.11 (sello a4ed33b922045ffc); X53 A/A09.21, 10/S5.10, 7/S5.20, S1.11 (sello 0d29c5e92275da5a); X54 A/A09.21, 10/S5.10, 7/S5.20, S1.11 (sello 80541f27438743cb); X55 A/A09.21, 10/S5.10, 7/S5.20, S1.11 (sello 43e7fb033c07e815)</t>
  </si>
  <si>
    <t xml:space="preserve">Soundguard isolator (G/G1 double row)</t>
  </si>
  <si>
    <t xml:space="preserve">RFI</t>
  </si>
  <si>
    <t xml:space="preserve">Question / condition</t>
  </si>
  <si>
    <t xml:space="preserve">Delta of each alternative</t>
  </si>
  <si>
    <t xml:space="preserve">RFI-01</t>
  </si>
  <si>
    <t xml:space="preserve">Exterior stud: S1.11 note 5 calls 600S162-54 @ 16" O.C. (@ 12" O.C. within 6 ft of corners) and 11/S5.10 parapet 600S162-54; 7/S5.20 METAL STUD PROPERTIES lists 600S137-33 @ 16" O.C. for exterior walls. Which governs?</t>
  </si>
  <si>
    <t xml:space="preserve">Take-off carries 600S162-54 (more material, 56.2). If 600S137-33 @16": same LF minus ~2 studs per building corner end (about -11 studs, ~-165 LF) and lighter gauge (54 -&gt; 33 mil).</t>
  </si>
  <si>
    <t xml:space="preserve">RFI-02</t>
  </si>
  <si>
    <t xml:space="preserve">Interior slip track designation is not scheduled (1/A12.01, 3/A12.01 'CONTINUOUS SLIP TRACK'). 7/S5.20 names only 600T200-97 top track. Confirm 362T200-33 / 162T200-33 for 3-5/8" and 1-5/8" walls.</t>
  </si>
  <si>
    <t xml:space="preserve">No LF change; price change per LF of deep-leg track vs 1-1/4" leg.</t>
  </si>
  <si>
    <t xml:space="preserve">RFI-03</t>
  </si>
  <si>
    <t xml:space="preserve">Type G/G1 1-5/8" studs have no SSMA designation or gauge (5/A12.01, 7/S5.20). Derived 162S125-33.</t>
  </si>
  <si>
    <t xml:space="preserve">Gauge only.</t>
  </si>
  <si>
    <t xml:space="preserve">RFI-04</t>
  </si>
  <si>
    <t xml:space="preserve">Tag B2K (A02.01) has no row in the partition schedule (A12.01). Derived B2 + 3/8" UL752 fiberglass to 8'-0" (family K delta 4/A12.01); measured 7.68" vs A5K 7 5/8".</t>
  </si>
  <si>
    <t xml:space="preserve">1.77 LF wall; ballistic panel 14 SF.</t>
  </si>
  <si>
    <t xml:space="preserve">RFI-05</t>
  </si>
  <si>
    <t xml:space="preserve">Untagged office-front stubs #45 (6.16" thick) and #46 (8.48" thick) classified by measured thickness as G/G1 (rule 55.4) instead of note A 'A1'. Tag G1 drawn 8.48" vs schedule 8".</t>
  </si>
  <si>
    <t xml:space="preserve">If A1: -2 rows of 1-5/8" studs and -2 layers board each side; about -150 SF board on 6.15 LF of wall.</t>
  </si>
  <si>
    <t xml:space="preserve">RFI-06</t>
  </si>
  <si>
    <t xml:space="preserve">Exterior elevation titles (A09.01 elev 1 'SOUTH' at grid G/F) contradict the north arrow on A02.01. Take-off names facades by grid lines only.</t>
  </si>
  <si>
    <t xml:space="preserve">No quantity change.</t>
  </si>
  <si>
    <t xml:space="preserve">RFI-07</t>
  </si>
  <si>
    <t xml:space="preserve">Parapet roof-side face: wall sections A09.21-A09.23 say '5/8" EXTERIOR GYPSUM SHEATHING'; 4/A09.26 says '5/8" DENS DECK OR EQUAL' under membrane. Carried as exterior gypsum sheathing (53.5).</t>
  </si>
  <si>
    <t xml:space="preserve">~928 SF either way (material swap, roofer vs framer).</t>
  </si>
  <si>
    <t xml:space="preserve">RFI-08</t>
  </si>
  <si>
    <t xml:space="preserve">S2.20 canopy 'B.O.D. EL. 111' - 9"' conflicts with FF EL. 100'-0" (S2.10). Low roof slopes from 13'-0 5/8" (grid B) to 12'-6 3/8" (grid A): studs carried at the high end 13.052 ft except the grid A exterior face (12.531).</t>
  </si>
  <si>
    <t xml:space="preserve">Using 12'-6 3/8" for all low-zone interior walls: about -0.52 ft per stud on ~40 interior walls south of grid B (approx -350 LF stud, -400 SF board).</t>
  </si>
  <si>
    <t xml:space="preserve">RFI-09</t>
  </si>
  <si>
    <t xml:space="preserve">Drive-up ATM sill height and box beam size not printed on 5/A08.11, 6/A08.11 (used 2'-8 1/8").</t>
  </si>
  <si>
    <t xml:space="preserve">Cripples +/- 1 ft x 1 pc.</t>
  </si>
  <si>
    <t xml:space="preserve">RFI-10</t>
  </si>
  <si>
    <t xml:space="preserve">Width of 3/4" FRT plywood strip at storefront/window/door perimeters not dimensioned (2/A09.26, 10/A09.27, 11/A09.27, 3/A09.25, 4/A09.25). Carried as LF.</t>
  </si>
  <si>
    <t xml:space="preserve">LF fixed; SF depends on width.</t>
  </si>
  <si>
    <t xml:space="preserve">RFI-11</t>
  </si>
  <si>
    <t xml:space="preserve">Vestibule bulkheads 5/A12.10 'METAL STUD FRAMING &amp; BOX HEADER AS NEEDED': stud size not given (carried 3-5/8" @16").</t>
  </si>
  <si>
    <t xml:space="preserve">Size only.</t>
  </si>
  <si>
    <t xml:space="preserve">RFI-12</t>
  </si>
  <si>
    <t xml:space="preserve">GWB ceiling framing: A09.33 shows 12 ga hanger wire (3/A09.33) and 3-5/8" metal stud framing @16" only around trimless fixtures and bulkheads (6/A09.33, 8/A09.33); no carrying/furring channel is detailed. Carried ASTM C754: 7/8" furring @16", 1-1/2" CRC @48", 12 ga hangers @48" O.C., perimeter track.</t>
  </si>
  <si>
    <t xml:space="preserve">If 362S137-33 joists @16" replace furring: -703 LF furring, +703 LF 3-5/8" stud (938 SF of GWB ceilings).</t>
  </si>
  <si>
    <t xml:space="preserve">RFI-13</t>
  </si>
  <si>
    <t xml:space="preserve">No gypsum board control joints are shown (only stucco CJ). Confirm none required (ASTM C840 / GA-216).</t>
  </si>
  <si>
    <t xml:space="preserve">0 LF vs allowance.</t>
  </si>
  <si>
    <t xml:space="preserve">RFI-14</t>
  </si>
  <si>
    <t xml:space="preserve">End widths of recessed linear fixtures (R-11A, UU) not printed; UU width taken from model 'LSR-WET-2.5' (2.5").</t>
  </si>
  <si>
    <t xml:space="preserve">+/- 2 x width per fixture.</t>
  </si>
  <si>
    <t xml:space="preserve">RFI-15</t>
  </si>
  <si>
    <t xml:space="preserve">R-11C described '12' LINEAR GYP RECESSED SLOT' (E00.01, RCP label 'R-11 (12')') but the model string reads 20'-0".</t>
  </si>
  <si>
    <t xml:space="preserve">If 20': +64 LF framed opening and +64 LF gypsum edge trim.</t>
  </si>
  <si>
    <t xml:space="preserve">RFI-16</t>
  </si>
  <si>
    <t xml:space="preserve">Slot diffuser SD section lengths (vestibules) not printed (M01.01 / M00.03); measured ~4' sections.</t>
  </si>
  <si>
    <t xml:space="preserve">+/- 8 LF per foot of error.</t>
  </si>
  <si>
    <t xml:space="preserve">RFI-17</t>
  </si>
  <si>
    <t xml:space="preserve">Sizes of recessed FEC-1, TA-13 recess kit, TA-14 waste, TA-2 towel not printed (A00.40, A08.01). Carried 2'-0" each (58.4).</t>
  </si>
  <si>
    <t xml:space="preserve">Header + sill 2 x 4.67 LF per item.</t>
  </si>
  <si>
    <t xml:space="preserve">RFI-18</t>
  </si>
  <si>
    <t xml:space="preserve">Millwork blocking: heights of standards (MW05, MW06A, MW18) and cabinet extents not printed; carried 7'-0" standards.</t>
  </si>
  <si>
    <t xml:space="preserve">~10 LF per standard foot.</t>
  </si>
  <si>
    <t xml:space="preserve">RFI-19</t>
  </si>
  <si>
    <t xml:space="preserve">Blocking material not specified by A02.01 note C / A00.30 note D (only A08.01 note E says FRT). Carried 362CR22 metal (4/S5.20).</t>
  </si>
  <si>
    <t xml:space="preserve">Material swap to 2x FRT for ~285 LF.</t>
  </si>
  <si>
    <t xml:space="preserve">RFI-20</t>
  </si>
  <si>
    <t xml:space="preserve">Extent of 3/4" FRT plywood blocking for the 85" media monitor (13/A12.02) not dimensioned; carried 2 runs x 6.5 ft.</t>
  </si>
  <si>
    <t xml:space="preserve">+/- LF.</t>
  </si>
  <si>
    <t xml:space="preserve">RFI-21</t>
  </si>
  <si>
    <t xml:space="preserve">Roof ladder blocking (3/A09.30): number of brackets not shown; carried 3 x 2'-0" 2x FRT.</t>
  </si>
  <si>
    <t xml:space="preserve">+/- 2 LF per bracket.</t>
  </si>
  <si>
    <t xml:space="preserve">RFI-22</t>
  </si>
  <si>
    <t xml:space="preserve">3/4" FRT plywood backboards (A02.01 KN6, A11.03): confirm which walls of Electrical 120 and NER 121 and who furnishes (electrical vs GC).</t>
  </si>
  <si>
    <t xml:space="preserve">229.9 SF.</t>
  </si>
  <si>
    <t xml:space="preserve">RFI-23</t>
  </si>
  <si>
    <t xml:space="preserve">Level 5: WC-22 media wall extent (1/A11.01 steps not dimensioned) and WC-20 (A05.01 KN9) not in legend.</t>
  </si>
  <si>
    <t xml:space="preserve">Media wall carried 195.7 SF.</t>
  </si>
  <si>
    <t xml:space="preserve">RFI-24</t>
  </si>
  <si>
    <t xml:space="preserve">Lockers blocking (A02.01 KN5, CW-16 in 5/A11.02): locker run length not printed; scaled ~4'-10" -&gt; 2 x 4.9 LF carried (53.3).</t>
  </si>
  <si>
    <t xml:space="preserve">+/- 2 LF per foot of locker run.</t>
  </si>
  <si>
    <t xml:space="preserve">RFI-25</t>
  </si>
  <si>
    <t xml:space="preserve">Janitor mop sink FRP 'WIDTH TO MATCH WIDTH OF MOP SINK AT BOTH SIDES' (A05.01 KN6): carried PF-07 ACORN TSH-24 (P00.01) 24" -&gt; 2 x 2.0 x 4.0 = 16 SF.</t>
  </si>
  <si>
    <t xml:space="preserve">+8 SF per extra foot.</t>
  </si>
  <si>
    <t xml:space="preserve">RFI-26</t>
  </si>
  <si>
    <t xml:space="preserve">A1K end walls #9-#11: which face is customer side (fiberglass) is not clear on plan; CSR line 12'-0 1/4" R.O. HOLD is vendor teller line 'OPEN TO BEYOND' (A12.08, 11/A11.03).</t>
  </si>
  <si>
    <t xml:space="preserve">Ballistic panel carried one face 8'-0" (110 SF).</t>
  </si>
  <si>
    <t xml:space="preserve">RFI-27</t>
  </si>
  <si>
    <t xml:space="preserve">Tag C1 (6/A12.01 one-side furring) is placed at the entrance piers (1/A09.25, 2/A09.25) and at coiling grille jamb boxes (3/A08.21). Details govern (53.8): confirm pier/jamb composition.</t>
  </si>
  <si>
    <t xml:space="preserve">Pier boxes carried as C1 + exterior items.</t>
  </si>
  <si>
    <t xml:space="preserve">RFI-28</t>
  </si>
  <si>
    <t xml:space="preserve">Canopy soffits are hatched as GWB on 1/A04.01 but details 3, 7/A09.26 and 4, 5/A09.33 show PT-4 cement plaster on 5/8" FRT plywood on 3-5/8" CFMF. Carried per details (framing + FRT plywood; plaster by others).</t>
  </si>
  <si>
    <t xml:space="preserve">If GWB: +1,425 SF exterior gypsum ceiling board.</t>
  </si>
  <si>
    <t xml:space="preserve">RFI-29</t>
  </si>
  <si>
    <t xml:space="preserve">Confirm FRP (WC-3), Level 5 and plywood backboards are in the drywall scope.</t>
  </si>
  <si>
    <t xml:space="preserve">FRP 344 SF; L5 829 SF; plywood 230 SF.</t>
  </si>
  <si>
    <t xml:space="preserve">RFI-30</t>
  </si>
  <si>
    <t xml:space="preserve">Exterior window/door box beam sizes not scheduled (11/A09.27 'METAL STUD BOX BEAM OR STEEL FRAMING AS REQUIRED'); interior header schedule 7/S5.20 used for doors (single track 18 ga up to 3'-4").</t>
  </si>
  <si>
    <t xml:space="preserve">LF fixed; member size.</t>
  </si>
  <si>
    <t xml:space="preserve">RFI-31</t>
  </si>
  <si>
    <t xml:space="preserve">Interior 6" walls (A5, B2, B2K): 7/S5.20 lists 600S137-33 only for EXTERIOR WALLS; carried 600S137-33 @16" for interior 6".</t>
  </si>
  <si>
    <t xml:space="preserve">RFI-32</t>
  </si>
  <si>
    <t xml:space="preserve">Partition G/G1 top: 5/A12.01 does not label the head; carried studs and 2 layers board to deck per 8/A12.01 'TO EXTEND TO UNDERSIDE OF DECK' and slip track.</t>
  </si>
  <si>
    <t xml:space="preserve">If board stops 6" above ceiling: about -1,900 SF.</t>
  </si>
  <si>
    <t xml:space="preserve">RFI-33</t>
  </si>
  <si>
    <t xml:space="preserve">Tag A5 at (1258,1236) A02.01 points to a segment (corridor east line, door 122) measured ~7.9 pt thick (A1 thickness). Carried A5 per tag.</t>
  </si>
  <si>
    <t xml:space="preserve">A1 instead of A5: 5.0 LF of 3-5/8" instead of 6" stud.</t>
  </si>
  <si>
    <t xml:space="preserve">RFI-34</t>
  </si>
  <si>
    <t xml:space="preserve">Coiling grille 103 height: A00.30 prints '13' - 6' (cell truncated) but 2/A08.21 and 8/A11.01 scale 10'-0". Head framing carried 10'-0" to 12'-0" (4/A08.21).</t>
  </si>
  <si>
    <t xml:space="preserve">If 13'-6": head band shrinks to deck (1.83 ft) and both faces boarded.</t>
  </si>
  <si>
    <t xml:space="preserve">RFI-35</t>
  </si>
  <si>
    <t xml:space="preserve">Roof step 4/A02.02 heights scaled (step wall 3.05 ft, box 3.39 + 1.04 + 1.25 ft); T/STEEL text overprinted (not legible).</t>
  </si>
  <si>
    <t xml:space="preserve">+/- 52 LF x error in ft.</t>
  </si>
  <si>
    <t xml:space="preserve">RFI-36</t>
  </si>
  <si>
    <t xml:space="preserve">S5.30 vertical brace elevations (grids 3, 8, A, G, B) put HSS diagonals in the plane of the 6" exterior studs; stud interruptions, extra track and clips are not detailed.</t>
  </si>
  <si>
    <t xml:space="preserve">Allowance per braced bay.</t>
  </si>
  <si>
    <t xml:space="preserve">RFI-37</t>
  </si>
  <si>
    <t xml:space="preserve">Access panels: only 1 shown (A04.01 KN4) vs M00.01 GN16 / M01.01 GN '22" X 22" ACCESS PANEL' / P00.01 GN15. Quantity and locations?</t>
  </si>
  <si>
    <t xml:space="preserve">Each panel + framed opening 8 LF.</t>
  </si>
  <si>
    <t xml:space="preserve">RFI-38</t>
  </si>
  <si>
    <t xml:space="preserve">A1/A5 detail 3/A12.01 draws BATT INSULATION as a 2'-0" blanket each side above the ceiling, not in the cavity. Carried cavity batt L x stud height.</t>
  </si>
  <si>
    <t xml:space="preserve">Blanket: +4 SF/LF on ~126 LF A1/A5 (+503 SF).</t>
  </si>
  <si>
    <t xml:space="preserve">RFI-39</t>
  </si>
  <si>
    <t xml:space="preserve">C1 board height: 6/A12.01 is silent (break line). Chase faces #30/#31 carried to deck; furrings #29/#32 to ceiling + 6".</t>
  </si>
  <si>
    <t xml:space="preserve">Chase to ceiling+6": -86 SF.</t>
  </si>
  <si>
    <t xml:space="preserve">RFI-40</t>
  </si>
  <si>
    <t xml:space="preserve">Exterior signage / lane signage / cameras / back-egress fixture blocking (A09.01 KN1, KN5, KN8; A02.02 KN3; A04.01 KN8) - sizes and weights not printed; no blocking carried.</t>
  </si>
  <si>
    <t xml:space="preserve">Allowance per sign.</t>
  </si>
  <si>
    <t xml:space="preserve">RFI-41</t>
  </si>
  <si>
    <t xml:space="preserve">Sheets referenced but not in the set: A00.31 (finish schedule, A03.01/A05.01) and A08.12 (A00.60 KN13). Confirm WC-20/WC-22 extent and drive-up ATM framing.</t>
  </si>
  <si>
    <t xml:space="preserve">n/a</t>
  </si>
  <si>
    <t xml:space="preserve">RFI-42</t>
  </si>
  <si>
    <t xml:space="preserve">MEP crossing of deck-high walls was not run with registro2.py/mep.py (registro not attempted); only fire dampers (M01.01) were framed. Ducts/pipes above ceilings through deck-high walls (B, B2, G, G1, A1K, C1) need review.</t>
  </si>
  <si>
    <t xml:space="preserve">Each duct crossing: framed opening (header + sill) ~2 x (w + 1.33) LF.</t>
  </si>
  <si>
    <t xml:space="preserve">CLAR-01</t>
  </si>
  <si>
    <t xml:space="preserve">EXCLUDED: ACT ceilings, grid and tile (A04.01 note B, A00.40 ACT-4/ACT-5 'GC | GC') - Div 09 51 00, not drywall/framing.</t>
  </si>
  <si>
    <t xml:space="preserve">~2,700 SF ACT if included.</t>
  </si>
  <si>
    <t xml:space="preserve">CLAR-02</t>
  </si>
  <si>
    <t xml:space="preserve">EXCLUDED: delegated cold-formed steel design, stamped shop drawings and calcs (S1.10 GN7, S1.11 note 4) - allowance by owner/GC.</t>
  </si>
  <si>
    <t xml:space="preserve">engineering fee.</t>
  </si>
  <si>
    <t xml:space="preserve">CLAR-03</t>
  </si>
  <si>
    <t xml:space="preserve">EXCLUDED: vapor permeable AWB, spray foam insulation, mineral wool (A09.21-23, 4/A02.02) - Div 07.</t>
  </si>
  <si>
    <t xml:space="preserve">~4,300 SF AWB.</t>
  </si>
  <si>
    <t xml:space="preserve">CLAR-04</t>
  </si>
  <si>
    <t xml:space="preserve">EXCLUDED: PT-3/PT-4 stucco and lath, ACM / EPS metal panels and hat channel, storefront and DFC-1A office fronts (Div 08 / bank vendor), steel headers and HSS posts (structural), coping, roofing.</t>
  </si>
  <si>
    <t xml:space="preserve">CLAR-05</t>
  </si>
  <si>
    <t xml:space="preserve">ASSUMED: Level 4 finish everywhere except WC-18 / WC-22 Level 5 (A00.40); no finish spec in set. Board 5/8" regular (no type X - A12.01 FIRE RATING '--').</t>
  </si>
  <si>
    <t xml:space="preserve">CLAR-06</t>
  </si>
  <si>
    <t xml:space="preserve">Low roof south of grid B slopes 13'-0 5/8" to 12'-6 3/8" (S2.20): studs carried at the high end (protocol); exterior grid A face at 12.531; parapets low zone at average (55.3).</t>
  </si>
  <si>
    <t xml:space="preserve">see RFI-08</t>
  </si>
  <si>
    <t xml:space="preserve">#</t>
  </si>
  <si>
    <t xml:space="preserve">Punto</t>
  </si>
  <si>
    <t xml:space="preserve">Hoja + detalle</t>
  </si>
  <si>
    <t xml:space="preserve">Imagen</t>
  </si>
  <si>
    <t xml:space="preserve">PUNTO DE REVISION barrido por tag tipo A1: confirmar que la lista de ubicaciones esta completa (modo sin preguntas)</t>
  </si>
  <si>
    <t xml:space="preserve">F/A02.01</t>
  </si>
  <si>
    <t xml:space="preserve">01_PLANO_A1.jpg</t>
  </si>
  <si>
    <t xml:space="preserve">PUNTO DE REVISION barrido por tag tipo A1K: confirmar que la lista de ubicaciones esta completa (modo sin preguntas)</t>
  </si>
  <si>
    <t xml:space="preserve">02_PLANO_A1K.jpg</t>
  </si>
  <si>
    <t xml:space="preserve">PUNTO DE REVISION barrido por tag tipo A5: confirmar que la lista de ubicaciones esta completa (modo sin preguntas)</t>
  </si>
  <si>
    <t xml:space="preserve">03_PLANO_A5.jpg</t>
  </si>
  <si>
    <t xml:space="preserve">PUNTO DE REVISION barrido por tag tipo B: confirmar que la lista de ubicaciones esta completa (modo sin preguntas)</t>
  </si>
  <si>
    <t xml:space="preserve">04_PLANO_B.jpg</t>
  </si>
  <si>
    <t xml:space="preserve">PUNTO DE REVISION barrido por tag tipo B2: confirmar que la lista de ubicaciones esta completa (modo sin preguntas)</t>
  </si>
  <si>
    <t xml:space="preserve">05_PLANO_B2.jpg</t>
  </si>
  <si>
    <t xml:space="preserve">PUNTO DE REVISION barrido por tag tipo B2K: confirmar que la lista de ubicaciones esta completa (modo sin preguntas)</t>
  </si>
  <si>
    <t xml:space="preserve">06_PLANO_B2K.jpg</t>
  </si>
  <si>
    <t xml:space="preserve">PUNTO DE REVISION barrido por tag tipo C1: confirmar que la lista de ubicaciones esta completa (modo sin preguntas)</t>
  </si>
  <si>
    <t xml:space="preserve">07_PLANO_C1.jpg</t>
  </si>
  <si>
    <t xml:space="preserve">PUNTO DE REVISION barrido por tag tipo F: confirmar que la lista de ubicaciones esta completa (modo sin preguntas)</t>
  </si>
  <si>
    <t xml:space="preserve">08_PLANO_F.jpg</t>
  </si>
  <si>
    <t xml:space="preserve">PUNTO DE REVISION barrido por tag tipo G: confirmar que la lista de ubicaciones esta completa (modo sin preguntas)</t>
  </si>
  <si>
    <t xml:space="preserve">09_PLANO_G.jpg</t>
  </si>
  <si>
    <t xml:space="preserve">PUNTO DE REVISION barrido por tag tipo G1: confirmar que la lista de ubicaciones esta completa (modo sin preguntas)</t>
  </si>
  <si>
    <t xml:space="preserve">10_PLANO_G1.jpg</t>
  </si>
  <si>
    <t xml:space="preserve">RFI-01: Exterior stud: S1.11 note 5 calls 600S162-54 @ 16" O.C. (@ 12" O.C. within 6 ft of corners) and 11/S5.10 parapet 600S162-54; 7/S5.20 METAL STUD PROPERTIES lists 600S137-33 @ 16" O.C. for exterior walls. Which governs? | delta: Take-off carries 600S162-54 (more material, 56.2). If 600S137-33 @16": same LF minus ~2 studs per building corner end (about -11 studs, ~-165 LF) and lighter gauge (54 -&gt; 33 mil).</t>
  </si>
  <si>
    <t xml:space="preserve">ver RFI</t>
  </si>
  <si>
    <t xml:space="preserve">RFI-02: Interior slip track designation is not scheduled (1/A12.01, 3/A12.01 'CONTINUOUS SLIP TRACK'). 7/S5.20 names only 600T200-97 top track. Confirm 362T200-33 / 162T200-33 for 3-5/8" and 1-5/8" walls. | delta: No LF change; price change per LF of deep-leg track vs 1-1/4" leg.</t>
  </si>
  <si>
    <t xml:space="preserve">RFI-03: Type G/G1 1-5/8" studs have no SSMA designation or gauge (5/A12.01, 7/S5.20). Derived 162S125-33. | delta: Gauge only.</t>
  </si>
  <si>
    <t xml:space="preserve">RFI-04: Tag B2K (A02.01) has no row in the partition schedule (A12.01). Derived B2 + 3/8" UL752 fiberglass to 8'-0" (family K delta 4/A12.01); measured 7.68" vs A5K 7 5/8". | delta: 1.77 LF wall; ballistic panel 14 SF.</t>
  </si>
  <si>
    <t xml:space="preserve">RFI-05: Untagged office-front stubs #45 (6.16" thick) and #46 (8.48" thick) classified by measured thickness as G/G1 (rule 55.4) instead of note A 'A1'. Tag G1 drawn 8.48" vs schedule 8". | delta: If A1: -2 rows of 1-5/8" studs and -2 layers board each side; about -150 SF board on 6.15 LF of wall.</t>
  </si>
  <si>
    <t xml:space="preserve">RFI-06: Exterior elevation titles (A09.01 elev 1 'SOUTH' at grid G/F) contradict the north arrow on A02.01. Take-off names facades by grid lines only. | delta: No quantity change.</t>
  </si>
  <si>
    <t xml:space="preserve">RFI-07: Parapet roof-side face: wall sections A09.21-A09.23 say '5/8" EXTERIOR GYPSUM SHEATHING'; 4/A09.26 says '5/8" DENS DECK OR EQUAL' under membrane. Carried as exterior gypsum sheathing (53.5). | delta: ~928 SF either way (material swap, roofer vs framer).</t>
  </si>
  <si>
    <t xml:space="preserve">RFI-08: S2.20 canopy 'B.O.D. EL. 111' - 9"' conflicts with FF EL. 100'-0" (S2.10). Low roof slopes from 13'-0 5/8" (grid B) to 12'-6 3/8" (grid A): studs carried at the high end 13.052 ft except the grid A exterior face (12.531). | delta: Using 12'-6 3/8" for all low-zone interior walls: about -0.52 ft per stud on ~40 interior walls south of grid B (approx -350 LF stud, -400 SF board).</t>
  </si>
  <si>
    <t xml:space="preserve">RFI-09: Drive-up ATM sill height and box beam size not printed on 5/A08.11, 6/A08.11 (used 2'-8 1/8"). | delta: Cripples +/- 1 ft x 1 pc.</t>
  </si>
  <si>
    <t xml:space="preserve">RFI-10: Width of 3/4" FRT plywood strip at storefront/window/door perimeters not dimensioned (2/A09.26, 10/A09.27, 11/A09.27, 3/A09.25, 4/A09.25). Carried as LF. | delta: LF fixed; SF depends on width.</t>
  </si>
  <si>
    <t xml:space="preserve">RFI-11: Vestibule bulkheads 5/A12.10 'METAL STUD FRAMING &amp; BOX HEADER AS NEEDED': stud size not given (carried 3-5/8" @16"). | delta: Size only.</t>
  </si>
  <si>
    <t xml:space="preserve">RFI-12: GWB ceiling framing: A09.33 shows 12 ga hanger wire (3/A09.33) and 3-5/8" metal stud framing @16" only around trimless fixtures and bulkheads (6/A09.33, 8/A09.33); no carrying/furring channel is detailed. Carried ASTM C754: 7/8" furring @16", 1-1/2" CRC @48", 12 ga hangers @48" O.C., perimeter track. | delta: If 362S137-33 joists @16" replace furring: -703 LF furring, +703 LF 3-5/8" stud (938 SF of GWB ceilings).</t>
  </si>
  <si>
    <t xml:space="preserve">RFI-13: No gypsum board control joints are shown (only stucco CJ). Confirm none required (ASTM C840 / GA-216). | delta: 0 LF vs allowance.</t>
  </si>
  <si>
    <t xml:space="preserve">RFI-14: End widths of recessed linear fixtures (R-11A, UU) not printed; UU width taken from model 'LSR-WET-2.5' (2.5"). | delta: +/- 2 x width per fixture.</t>
  </si>
  <si>
    <t xml:space="preserve">RFI-15: R-11C described '12' LINEAR GYP RECESSED SLOT' (E00.01, RCP label 'R-11 (12')') but the model string reads 20'-0". | delta: If 20': +64 LF framed opening and +64 LF gypsum edge trim.</t>
  </si>
  <si>
    <t xml:space="preserve">RFI-16: Slot diffuser SD section lengths (vestibules) not printed (M01.01 / M00.03); measured ~4' sections. | delta: +/- 8 LF per foot of error.</t>
  </si>
  <si>
    <t xml:space="preserve">RFI-17: Sizes of recessed FEC-1, TA-13 recess kit, TA-14 waste, TA-2 towel not printed (A00.40, A08.01). Carried 2'-0" each (58.4). | delta: Header + sill 2 x 4.67 LF per item.</t>
  </si>
  <si>
    <t xml:space="preserve">RFI-18: Millwork blocking: heights of standards (MW05, MW06A, MW18) and cabinet extents not printed; carried 7'-0" standards. | delta: ~10 LF per standard foot.</t>
  </si>
  <si>
    <t xml:space="preserve">RFI-19: Blocking material not specified by A02.01 note C / A00.30 note D (only A08.01 note E says FRT). Carried 362CR22 metal (4/S5.20). | delta: Material swap to 2x FRT for ~285 LF.</t>
  </si>
  <si>
    <t xml:space="preserve">RFI-20: Extent of 3/4" FRT plywood blocking for the 85" media monitor (13/A12.02) not dimensioned; carried 2 runs x 6.5 ft. | delta: +/- LF.</t>
  </si>
  <si>
    <t xml:space="preserve">RFI-21: Roof ladder blocking (3/A09.30): number of brackets not shown; carried 3 x 2'-0" 2x FRT. | delta: +/- 2 LF per bracket.</t>
  </si>
  <si>
    <t xml:space="preserve">RFI-22: 3/4" FRT plywood backboards (A02.01 KN6, A11.03): confirm which walls of Electrical 120 and NER 121 and who furnishes (electrical vs GC). | delta: 229.9 SF.</t>
  </si>
  <si>
    <t xml:space="preserve">RFI-23: Level 5: WC-22 media wall extent (1/A11.01 steps not dimensioned) and WC-20 (A05.01 KN9) not in legend. | delta: Media wall carried 195.7 SF.</t>
  </si>
  <si>
    <t xml:space="preserve">RFI-24: Lockers blocking (A02.01 KN5, CW-16 in 5/A11.02): locker run length not printed; scaled ~4'-10" -&gt; 2 x 4.9 LF carried (53.3). | delta: +/- 2 LF per foot of locker run.</t>
  </si>
  <si>
    <t xml:space="preserve">RFI-25: Janitor mop sink FRP 'WIDTH TO MATCH WIDTH OF MOP SINK AT BOTH SIDES' (A05.01 KN6): carried PF-07 ACORN TSH-24 (P00.01) 24" -&gt; 2 x 2.0 x 4.0 = 16 SF. | delta: +8 SF per extra foot.</t>
  </si>
  <si>
    <t xml:space="preserve">RFI-26: A1K end walls #9-#11: which face is customer side (fiberglass) is not clear on plan; CSR line 12'-0 1/4" R.O. HOLD is vendor teller line 'OPEN TO BEYOND' (A12.08, 11/A11.03). | delta: Ballistic panel carried one face 8'-0" (110 SF).</t>
  </si>
  <si>
    <t xml:space="preserve">RFI-27: Tag C1 (6/A12.01 one-side furring) is placed at the entrance piers (1/A09.25, 2/A09.25) and at coiling grille jamb boxes (3/A08.21). Details govern (53.8): confirm pier/jamb composition. | delta: Pier boxes carried as C1 + exterior items.</t>
  </si>
  <si>
    <t xml:space="preserve">RFI-28: Canopy soffits are hatched as GWB on 1/A04.01 but details 3, 7/A09.26 and 4, 5/A09.33 show PT-4 cement plaster on 5/8" FRT plywood on 3-5/8" CFMF. Carried per details (framing + FRT plywood; plaster by others). | delta: If GWB: +1,425 SF exterior gypsum ceiling board.</t>
  </si>
  <si>
    <t xml:space="preserve">RFI-29: Confirm FRP (WC-3), Level 5 and plywood backboards are in the drywall scope. | delta: FRP 344 SF; L5 829 SF; plywood 230 SF.</t>
  </si>
  <si>
    <t xml:space="preserve">RFI-30: Exterior window/door box beam sizes not scheduled (11/A09.27 'METAL STUD BOX BEAM OR STEEL FRAMING AS REQUIRED'); interior header schedule 7/S5.20 used for doors (single track 18 ga up to 3'-4"). | delta: LF fixed; member size.</t>
  </si>
  <si>
    <t xml:space="preserve">RFI-31: Interior 6" walls (A5, B2, B2K): 7/S5.20 lists 600S137-33 only for EXTERIOR WALLS; carried 600S137-33 @16" for interior 6". | delta: Gauge only.</t>
  </si>
  <si>
    <t xml:space="preserve">RFI-32: Partition G/G1 top: 5/A12.01 does not label the head; carried studs and 2 layers board to deck per 8/A12.01 'TO EXTEND TO UNDERSIDE OF DECK' and slip track. | delta: If board stops 6" above ceiling: about -1,900 SF.</t>
  </si>
  <si>
    <t xml:space="preserve">RFI-33: Tag A5 at (1258,1236) A02.01 points to a segment (corridor east line, door 122) measured ~7.9 pt thick (A1 thickness). Carried A5 per tag. | delta: A1 instead of A5: 5.0 LF of 3-5/8" instead of 6" stud.</t>
  </si>
  <si>
    <t xml:space="preserve">RFI-34: Coiling grille 103 height: A00.30 prints '13' - 6' (cell truncated) but 2/A08.21 and 8/A11.01 scale 10'-0". Head framing carried 10'-0" to 12'-0" (4/A08.21). | delta: If 13'-6": head band shrinks to deck (1.83 ft) and both faces boarded.</t>
  </si>
  <si>
    <t xml:space="preserve">RFI-35: Roof step 4/A02.02 heights scaled (step wall 3.05 ft, box 3.39 + 1.04 + 1.25 ft); T/STEEL text overprinted (not legible). | delta: +/- 52 LF x error in ft.</t>
  </si>
  <si>
    <t xml:space="preserve">RFI-36: S5.30 vertical brace elevations (grids 3, 8, A, G, B) put HSS diagonals in the plane of the 6" exterior studs; stud interruptions, extra track and clips are not detailed. | delta: Allowance per braced bay.</t>
  </si>
  <si>
    <t xml:space="preserve">RFI-37: Access panels: only 1 shown (A04.01 KN4) vs M00.01 GN16 / M01.01 GN '22" X 22" ACCESS PANEL' / P00.01 GN15. Quantity and locations? | delta: Each panel + framed opening 8 LF.</t>
  </si>
  <si>
    <t xml:space="preserve">RFI-38: A1/A5 detail 3/A12.01 draws BATT INSULATION as a 2'-0" blanket each side above the ceiling, not in the cavity. Carried cavity batt L x stud height. | delta: Blanket: +4 SF/LF on ~126 LF A1/A5 (+503 SF).</t>
  </si>
  <si>
    <t xml:space="preserve">RFI-39: C1 board height: 6/A12.01 is silent (break line). Chase faces #30/#31 carried to deck; furrings #29/#32 to ceiling + 6". | delta: Chase to ceiling+6": -86 SF.</t>
  </si>
  <si>
    <t xml:space="preserve">RFI-40: Exterior signage / lane signage / cameras / back-egress fixture blocking (A09.01 KN1, KN5, KN8; A02.02 KN3; A04.01 KN8) - sizes and weights not printed; no blocking carried. | delta: Allowance per sign.</t>
  </si>
  <si>
    <t xml:space="preserve">RFI-41: Sheets referenced but not in the set: A00.31 (finish schedule, A03.01/A05.01) and A08.12 (A00.60 KN13). Confirm WC-20/WC-22 extent and drive-up ATM framing. | delta: n/a</t>
  </si>
  <si>
    <t xml:space="preserve">RFI-42: MEP crossing of deck-high walls was not run with registro2.py/mep.py (registro not attempted); only fire dampers (M01.01) were framed. Ducts/pipes above ceilings through deck-high walls (B, B2, G, G1, A1K, C1) need review. | delta: Each duct crossing: framed opening (header + sill) ~2 x (w + 1.33) LF.</t>
  </si>
  <si>
    <t xml:space="preserve">CLAR-01: EXCLUDED: ACT ceilings, grid and tile (A04.01 note B, A00.40 ACT-4/ACT-5 'GC | GC') - Div 09 51 00, not drywall/framing. | delta: ~2,700 SF ACT if included.</t>
  </si>
  <si>
    <t xml:space="preserve">CLAR-02: EXCLUDED: delegated cold-formed steel design, stamped shop drawings and calcs (S1.10 GN7, S1.11 note 4) - allowance by owner/GC. | delta: engineering fee.</t>
  </si>
  <si>
    <t xml:space="preserve">CLAR-03: EXCLUDED: vapor permeable AWB, spray foam insulation, mineral wool (A09.21-23, 4/A02.02) - Div 07. | delta: ~4,300 SF AWB.</t>
  </si>
  <si>
    <t xml:space="preserve">CLAR-04: EXCLUDED: PT-3/PT-4 stucco and lath, ACM / EPS metal panels and hat channel, storefront and DFC-1A office fronts (Div 08 / bank vendor), steel headers and HSS posts (structural), coping, roofing. | delta: n/a</t>
  </si>
  <si>
    <t xml:space="preserve">CLAR-05: ASSUMED: Level 4 finish everywhere except WC-18 / WC-22 Level 5 (A00.40); no finish spec in set. Board 5/8" regular (no type X - A12.01 FIRE RATING '--'). | delta: n/a</t>
  </si>
  <si>
    <t xml:space="preserve">CLAR-06: Low roof south of grid B slopes 13'-0 5/8" to 12'-6 3/8" (S2.20): studs carried at the high end (protocol); exterior grid A face at 12.531; parapets low zone at average (55.3). | delta: see RFI-08</t>
  </si>
  <si>
    <t xml:space="preserve">Untagged walls: only #45, #46 (office front stubs) and #47 (drinking fountain alcove back wall) found by graphic sweep; confirm no other untagged A1 wall.</t>
  </si>
  <si>
    <t xml:space="preserve">11_PLANO_EXTERIORES.jpg</t>
  </si>
  <si>
    <t xml:space="preserve">Wall lengths are vector run lengths end-cap to end-cap (union of faces), not center-to-center; delta +0.2 to +0.8 ft per wall end against a perpendicular wall.</t>
  </si>
  <si>
    <t xml:space="preserve">Doors 102, 116, 118A, 118B, 122 lie between two runs; each was loaded to one run (rule 29); door 111 is in its own A1 run #48 - see cierres.</t>
  </si>
  <si>
    <t xml:space="preserve">Adversarial review applied: 4 reviewers (interior, exterior, ceilings/blocking, completeness); corrections listed in Back-check/ADVERSARIAL_LOG.md.</t>
  </si>
  <si>
    <t xml:space="preserve">Back-check</t>
  </si>
  <si>
    <t xml:space="preserve">Hollow metal frame R.O. taken as 3'-4" (60 pt measured between jambs, rule 55.4) for 3'-0" doors.</t>
  </si>
  <si>
    <t xml:space="preserve">10/A12.02</t>
  </si>
  <si>
    <t xml:space="preserve">MEP crossing: only fire dampers (M01.01) quantified as wall openings; ducts above ceilings through deck-high walls not individually crossed (registro2/mep tools not run) - review.</t>
  </si>
  <si>
    <t xml:space="preserve">M01.01</t>
  </si>
  <si>
    <t xml:space="preserve">Grid B (S2.20) location vs walls #12, #22, #58: quantities ALREADY use zone-weighted height (15.375 north / 13.052 south of B) in stud and board; Partition Takeoff Height column shows 15.375 only as label. Confirm grid B line only - do NOT lower these walls again (would double-deduct). Delta ~0.</t>
  </si>
  <si>
    <t xml:space="preserve">S2.20 / F/A02.01</t>
  </si>
  <si>
    <t xml:space="preserve">ALC</t>
  </si>
  <si>
    <t xml:space="preserve">Alcance</t>
  </si>
  <si>
    <t xml:space="preserve">Estado</t>
  </si>
  <si>
    <t xml:space="preserve">Nota (cantidad, NO APLICA + hoja, o RFI)</t>
  </si>
  <si>
    <t xml:space="preserve">ALC-01</t>
  </si>
  <si>
    <t xml:space="preserve">Interior partition framing (studs + tracks)</t>
  </si>
  <si>
    <t xml:space="preserve">CUANTIFICADO</t>
  </si>
  <si>
    <t xml:space="preserve">Material Summary 3-5/8", 6", 1-5/8" studs + tracks; 47 interior walls sealed (closer.py); 3/A12.01</t>
  </si>
  <si>
    <t xml:space="preserve">ALC-02</t>
  </si>
  <si>
    <t xml:space="preserve">Exterior wall framing (CFMF)</t>
  </si>
  <si>
    <t xml:space="preserve">6" exterior metal stud 600S162-54, X50-X57; A/A09.21</t>
  </si>
  <si>
    <t xml:space="preserve">ALC-03</t>
  </si>
  <si>
    <t xml:space="preserve">Parapet framing</t>
  </si>
  <si>
    <t xml:space="preserve">6" parapet stud 600S162-54, P60-P65; 11/S5.10</t>
  </si>
  <si>
    <t xml:space="preserve">ALC-04</t>
  </si>
  <si>
    <t xml:space="preserve">Top / deflection and bottom track</t>
  </si>
  <si>
    <t xml:space="preserve">bottom / top / deflection track rows by size; 10/S5.10, 7/S5.20</t>
  </si>
  <si>
    <t xml:space="preserve">ALC-05</t>
  </si>
  <si>
    <t xml:space="preserve">Headers, sills and jambs at openings</t>
  </si>
  <si>
    <t xml:space="preserve">headers, sill track, additional head track; 9/S5.20, 2/S5.20</t>
  </si>
  <si>
    <t xml:space="preserve">ALC-06</t>
  </si>
  <si>
    <t xml:space="preserve">Bracing / bridging</t>
  </si>
  <si>
    <t xml:space="preserve">1-1/2" C.R. channel @48"; 1F/S5.20</t>
  </si>
  <si>
    <t xml:space="preserve">ALC-07</t>
  </si>
  <si>
    <t xml:space="preserve">Gypsum board on walls (layers per type)</t>
  </si>
  <si>
    <t xml:space="preserve">5/8" gypsum board regular by face; A12.01</t>
  </si>
  <si>
    <t xml:space="preserve">ALC-08</t>
  </si>
  <si>
    <t xml:space="preserve">Moisture / abuse / special board at wet zones</t>
  </si>
  <si>
    <t xml:space="preserve">5/8" moisture resistant gypsum board at chase + urinal chase; sheet note F A08.01</t>
  </si>
  <si>
    <t xml:space="preserve">ALC-09</t>
  </si>
  <si>
    <t xml:space="preserve">Exterior gypsum / glass mat sheathing</t>
  </si>
  <si>
    <t xml:space="preserve">glass mat base band + canopy band; exterior gypsum sheathing parapet; A09.26</t>
  </si>
  <si>
    <t xml:space="preserve">ALC-10</t>
  </si>
  <si>
    <t xml:space="preserve">FRT plywood sheathing / substrate</t>
  </si>
  <si>
    <t xml:space="preserve">5/8" FRT plywood bonded polyiso exterior, canopy FRT plywood, 3/4" FRT plywood; A09.21</t>
  </si>
  <si>
    <t xml:space="preserve">ALC-11</t>
  </si>
  <si>
    <t xml:space="preserve">Gypsum board ceilings</t>
  </si>
  <si>
    <t xml:space="preserve">CL-1..CL-5 GWB ceilings; 1/A04.01</t>
  </si>
  <si>
    <t xml:space="preserve">ALC-12</t>
  </si>
  <si>
    <t xml:space="preserve">Ceiling suspension (furring / carrying channel / hanger wire / ceiling track)</t>
  </si>
  <si>
    <t xml:space="preserve">furring channel, carrying channel, hanger wire, ceiling track; 3/A09.33 + RFI-12</t>
  </si>
  <si>
    <t xml:space="preserve">ALC-13</t>
  </si>
  <si>
    <t xml:space="preserve">Soffits and bulkheads (framing + board)</t>
  </si>
  <si>
    <t xml:space="preserve">CSR soffit SF-1, transition SF-2, office front bulkheads, vestibule bulkheads; A12.08, A09.33, A12.01</t>
  </si>
  <si>
    <t xml:space="preserve">ALC-14</t>
  </si>
  <si>
    <t xml:space="preserve">Canopy / marquee framing and sheathing</t>
  </si>
  <si>
    <t xml:space="preserve">canopy CN-1..CN-4 framing, track, FRT plywood; A09.26, A09.27</t>
  </si>
  <si>
    <t xml:space="preserve">ALC-15</t>
  </si>
  <si>
    <t xml:space="preserve">Column furring / wraps</t>
  </si>
  <si>
    <t xml:space="preserve">column wraps x4 (5/A09.25) + C1 column enclosures; A09.25</t>
  </si>
  <si>
    <t xml:space="preserve">ALC-16</t>
  </si>
  <si>
    <t xml:space="preserve">Blocking (FRT wood / metal) for millwork and accessories</t>
  </si>
  <si>
    <t xml:space="preserve">362CR22 + FRT blocking schedule BLK; A02.01 note C, A08.01 note E</t>
  </si>
  <si>
    <t xml:space="preserve">ALC-17</t>
  </si>
  <si>
    <t xml:space="preserve">Framed openings (MEP, access panels, diffusers)</t>
  </si>
  <si>
    <t xml:space="preserve">framed openings ceilings + canopy + access panel; A04.01, E00.01, M01.01</t>
  </si>
  <si>
    <t xml:space="preserve">ALC-18</t>
  </si>
  <si>
    <t xml:space="preserve">Trim: corner bead, casing bead, control joints, reveals</t>
  </si>
  <si>
    <t xml:space="preserve">corner bead, J-bead, shadow molding, gypsum edge trim; control joints RFI-13; A12.01</t>
  </si>
  <si>
    <t xml:space="preserve">ALC-19</t>
  </si>
  <si>
    <t xml:space="preserve">Acoustical sealant / sound attenuation</t>
  </si>
  <si>
    <t xml:space="preserve">acoustical sealant + batt insulation; A12.01</t>
  </si>
  <si>
    <t xml:space="preserve">ALC-20</t>
  </si>
  <si>
    <t xml:space="preserve">FRP / cement board / tile backer</t>
  </si>
  <si>
    <t xml:space="preserve">cement board under tile cove base + FRP WC-3; A08.01</t>
  </si>
  <si>
    <t xml:space="preserve">ALC-21</t>
  </si>
  <si>
    <t xml:space="preserve">Shaft walls / area separation walls</t>
  </si>
  <si>
    <t xml:space="preserve">NO APLICA</t>
  </si>
  <si>
    <t xml:space="preserve">NO APLICA: A12.01 partition schedule has no shaft wall type and F/A02.01 shows no shaft; single story, no elevator.</t>
  </si>
  <si>
    <t xml:space="preserve">ALC-22</t>
  </si>
  <si>
    <t xml:space="preserve">Rated assemblies (UL designs) and their board type</t>
  </si>
  <si>
    <t xml:space="preserve">NO APLICA: A12.01 schedule FIRE RATING and U.L. NUMBER are '--' for every type; A02.01 code data shows no rated partitions; E00.01/M00.01 hits are fixture/damper notes (fire dampers framed per 58.4).</t>
  </si>
  <si>
    <t xml:space="preserve">ALC-23</t>
  </si>
  <si>
    <t xml:space="preserve">Special panels (ballistic, lead-lined, abuse)</t>
  </si>
  <si>
    <t xml:space="preserve">3/8" UL752 ballistic fiberglass panel A1K/B2K; 4/A12.01</t>
  </si>
  <si>
    <t xml:space="preserve">ALC-24</t>
  </si>
  <si>
    <t xml:space="preserve">Finish level (Level 4 / Level 5)</t>
  </si>
  <si>
    <t xml:space="preserve">Level 5 finish SF at WC-18 / WC-22 (A00.40); Level 4 elsewhere (A05.01 no spec, assumed)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</si>
</sst>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3" min="3" style="0" width="2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  <c r="B3" s="0" t="s">
        <v>3</v>
      </c>
      <c r="C3" s="0" t="s">
        <v>4</v>
      </c>
    </row>
    <row r="4" customFormat="false" ht="15" hidden="false" customHeight="false" outlineLevel="0" collapsed="false">
      <c r="A4" s="0" t="s">
        <v>5</v>
      </c>
      <c r="B4" s="2" t="n">
        <v>0.15</v>
      </c>
      <c r="C4" s="3" t="s">
        <v>6</v>
      </c>
    </row>
    <row r="5" customFormat="false" ht="15" hidden="false" customHeight="false" outlineLevel="0" collapsed="false">
      <c r="A5" s="0" t="s">
        <v>7</v>
      </c>
      <c r="B5" s="2" t="n">
        <v>0.06</v>
      </c>
      <c r="C5" s="3" t="s">
        <v>8</v>
      </c>
    </row>
    <row r="6" customFormat="false" ht="15" hidden="false" customHeight="false" outlineLevel="0" collapsed="false">
      <c r="A6" s="0" t="s">
        <v>9</v>
      </c>
      <c r="B6" s="2" t="n">
        <v>4</v>
      </c>
    </row>
    <row r="7" customFormat="false" ht="15" hidden="false" customHeight="false" outlineLevel="0" collapsed="false">
      <c r="A7" s="0" t="s">
        <v>10</v>
      </c>
      <c r="B7" s="2" t="n">
        <v>12</v>
      </c>
    </row>
    <row r="8" customFormat="false" ht="15" hidden="false" customHeight="false" outlineLevel="0" collapsed="false">
      <c r="A8" s="0" t="s">
        <v>11</v>
      </c>
      <c r="B8" s="2" t="n">
        <f aca="false">B6*B7</f>
        <v>48</v>
      </c>
      <c r="C8" s="3" t="s">
        <v>12</v>
      </c>
    </row>
    <row r="9" customFormat="false" ht="15" hidden="false" customHeight="false" outlineLevel="0" collapsed="false">
      <c r="A9" s="0" t="s">
        <v>13</v>
      </c>
      <c r="B9" s="2" t="n">
        <v>20</v>
      </c>
    </row>
    <row r="10" customFormat="false" ht="15" hidden="false" customHeight="false" outlineLevel="0" collapsed="false">
      <c r="A10" s="0" t="s">
        <v>14</v>
      </c>
      <c r="B10" s="2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10" min="9" style="0" width="60"/>
    <col collapsed="false" customWidth="true" hidden="false" outlineLevel="0" max="11" min="11" style="0" width="12"/>
  </cols>
  <sheetData>
    <row r="1" customFormat="false" ht="16.15" hidden="false" customHeight="false" outlineLevel="0" collapsed="false">
      <c r="A1" s="1" t="s">
        <v>15</v>
      </c>
    </row>
    <row r="2" customFormat="false" ht="15" hidden="false" customHeight="false" outlineLevel="0" collapsed="false">
      <c r="A2" s="0" t="s">
        <v>16</v>
      </c>
    </row>
    <row r="4" customFormat="false" ht="15" hidden="false" customHeight="false" outlineLevel="0" collapsed="false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24</v>
      </c>
      <c r="I4" s="4" t="s">
        <v>25</v>
      </c>
      <c r="J4" s="4" t="s">
        <v>26</v>
      </c>
      <c r="K4" s="4" t="s">
        <v>27</v>
      </c>
    </row>
    <row r="5" customFormat="false" ht="15" hidden="false" customHeight="false" outlineLevel="0" collapsed="false">
      <c r="A5" s="5" t="s">
        <v>28</v>
      </c>
    </row>
    <row r="6" customFormat="false" ht="15" hidden="false" customHeight="false" outlineLevel="0" collapsed="false">
      <c r="A6" s="0" t="s">
        <v>29</v>
      </c>
      <c r="B6" s="0" t="s">
        <v>30</v>
      </c>
      <c r="C6" s="0" t="n">
        <v>17.02</v>
      </c>
      <c r="D6" s="0" t="n">
        <v>15.375</v>
      </c>
      <c r="E6" s="0" t="n">
        <v>2</v>
      </c>
      <c r="F6" s="0" t="s">
        <v>31</v>
      </c>
      <c r="G6" s="0" t="n">
        <v>16</v>
      </c>
      <c r="H6" s="0" t="n">
        <v>316.21</v>
      </c>
      <c r="I6" s="0" t="s">
        <v>32</v>
      </c>
      <c r="J6" s="0" t="s">
        <v>33</v>
      </c>
      <c r="K6" s="0" t="s">
        <v>34</v>
      </c>
    </row>
    <row r="7" customFormat="false" ht="15" hidden="false" customHeight="false" outlineLevel="0" collapsed="false">
      <c r="A7" s="0" t="s">
        <v>35</v>
      </c>
      <c r="B7" s="0" t="s">
        <v>36</v>
      </c>
      <c r="C7" s="0" t="n">
        <v>3.533</v>
      </c>
      <c r="D7" s="0" t="n">
        <v>15.375</v>
      </c>
      <c r="E7" s="0" t="n">
        <v>2</v>
      </c>
      <c r="F7" s="0" t="s">
        <v>31</v>
      </c>
      <c r="G7" s="0" t="n">
        <v>16</v>
      </c>
      <c r="H7" s="0" t="n">
        <v>86.12</v>
      </c>
      <c r="I7" s="0" t="s">
        <v>37</v>
      </c>
      <c r="J7" s="0" t="s">
        <v>38</v>
      </c>
      <c r="K7" s="0" t="s">
        <v>34</v>
      </c>
    </row>
    <row r="8" customFormat="false" ht="15" hidden="false" customHeight="false" outlineLevel="0" collapsed="false">
      <c r="A8" s="0" t="s">
        <v>39</v>
      </c>
      <c r="B8" s="0" t="s">
        <v>40</v>
      </c>
      <c r="C8" s="0" t="n">
        <v>2.427</v>
      </c>
      <c r="D8" s="0" t="n">
        <v>15.375</v>
      </c>
      <c r="E8" s="0" t="n">
        <v>2</v>
      </c>
      <c r="F8" s="0" t="s">
        <v>31</v>
      </c>
      <c r="G8" s="0" t="n">
        <v>16</v>
      </c>
      <c r="H8" s="0" t="n">
        <v>59.15</v>
      </c>
      <c r="I8" s="0" t="s">
        <v>41</v>
      </c>
      <c r="J8" s="0" t="s">
        <v>42</v>
      </c>
      <c r="K8" s="0" t="s">
        <v>34</v>
      </c>
    </row>
    <row r="9" customFormat="false" ht="15" hidden="false" customHeight="false" outlineLevel="0" collapsed="false">
      <c r="A9" s="0" t="s">
        <v>43</v>
      </c>
      <c r="B9" s="0" t="s">
        <v>44</v>
      </c>
      <c r="C9" s="0" t="n">
        <v>15.62</v>
      </c>
      <c r="D9" s="0" t="n">
        <v>13.052</v>
      </c>
      <c r="E9" s="0" t="n">
        <v>2</v>
      </c>
      <c r="F9" s="0" t="s">
        <v>31</v>
      </c>
      <c r="G9" s="0" t="n">
        <v>16</v>
      </c>
      <c r="H9" s="0" t="n">
        <v>277.68</v>
      </c>
      <c r="I9" s="0" t="s">
        <v>45</v>
      </c>
      <c r="J9" s="0" t="s">
        <v>46</v>
      </c>
      <c r="K9" s="0" t="s">
        <v>34</v>
      </c>
    </row>
    <row r="10" customFormat="false" ht="15" hidden="false" customHeight="false" outlineLevel="0" collapsed="false">
      <c r="A10" s="0" t="s">
        <v>47</v>
      </c>
      <c r="B10" s="0" t="s">
        <v>48</v>
      </c>
      <c r="C10" s="0" t="n">
        <v>5.04</v>
      </c>
      <c r="D10" s="0" t="n">
        <v>13.052</v>
      </c>
      <c r="E10" s="0" t="n">
        <v>2</v>
      </c>
      <c r="F10" s="0" t="s">
        <v>31</v>
      </c>
      <c r="G10" s="0" t="n">
        <v>16</v>
      </c>
      <c r="H10" s="0" t="n">
        <v>38.8</v>
      </c>
      <c r="I10" s="0" t="s">
        <v>49</v>
      </c>
      <c r="J10" s="0" t="s">
        <v>50</v>
      </c>
      <c r="K10" s="0" t="s">
        <v>34</v>
      </c>
    </row>
    <row r="11" customFormat="false" ht="15" hidden="false" customHeight="false" outlineLevel="0" collapsed="false">
      <c r="A11" s="0" t="s">
        <v>51</v>
      </c>
      <c r="B11" s="0" t="s">
        <v>52</v>
      </c>
      <c r="C11" s="0" t="n">
        <v>2.547</v>
      </c>
      <c r="D11" s="0" t="n">
        <v>13.052</v>
      </c>
      <c r="E11" s="0" t="n">
        <v>2</v>
      </c>
      <c r="F11" s="0" t="s">
        <v>31</v>
      </c>
      <c r="G11" s="0" t="n">
        <v>16</v>
      </c>
      <c r="H11" s="0" t="n">
        <v>47.11</v>
      </c>
      <c r="I11" s="0" t="s">
        <v>53</v>
      </c>
      <c r="J11" s="0" t="s">
        <v>54</v>
      </c>
      <c r="K11" s="0" t="s">
        <v>34</v>
      </c>
    </row>
    <row r="12" customFormat="false" ht="15" hidden="false" customHeight="false" outlineLevel="0" collapsed="false">
      <c r="A12" s="0" t="s">
        <v>55</v>
      </c>
      <c r="B12" s="0" t="s">
        <v>56</v>
      </c>
      <c r="C12" s="0" t="n">
        <v>20.393</v>
      </c>
      <c r="D12" s="0" t="n">
        <v>13.052</v>
      </c>
      <c r="E12" s="0" t="n">
        <v>4</v>
      </c>
      <c r="F12" s="0" t="s">
        <v>31</v>
      </c>
      <c r="G12" s="0" t="n">
        <v>16</v>
      </c>
      <c r="H12" s="0" t="n">
        <v>376.63</v>
      </c>
      <c r="I12" s="0" t="s">
        <v>57</v>
      </c>
      <c r="J12" s="0" t="s">
        <v>58</v>
      </c>
      <c r="K12" s="0" t="s">
        <v>34</v>
      </c>
    </row>
    <row r="13" customFormat="false" ht="15" hidden="false" customHeight="false" outlineLevel="0" collapsed="false">
      <c r="A13" s="0" t="s">
        <v>59</v>
      </c>
      <c r="B13" s="0" t="s">
        <v>60</v>
      </c>
      <c r="C13" s="0" t="n">
        <v>11.667</v>
      </c>
      <c r="D13" s="0" t="n">
        <v>13.052</v>
      </c>
      <c r="E13" s="0" t="n">
        <v>2</v>
      </c>
      <c r="F13" s="0" t="s">
        <v>31</v>
      </c>
      <c r="G13" s="0" t="n">
        <v>16</v>
      </c>
      <c r="H13" s="0" t="n">
        <v>168.06</v>
      </c>
      <c r="I13" s="0" t="s">
        <v>61</v>
      </c>
      <c r="J13" s="0" t="s">
        <v>62</v>
      </c>
      <c r="K13" s="0" t="s">
        <v>34</v>
      </c>
    </row>
    <row r="14" customFormat="false" ht="15" hidden="false" customHeight="false" outlineLevel="0" collapsed="false">
      <c r="A14" s="0" t="s">
        <v>63</v>
      </c>
      <c r="B14" s="0" t="s">
        <v>64</v>
      </c>
      <c r="C14" s="0" t="n">
        <v>4.807</v>
      </c>
      <c r="D14" s="0" t="n">
        <v>15.375</v>
      </c>
      <c r="E14" s="0" t="n">
        <v>2</v>
      </c>
      <c r="F14" s="0" t="s">
        <v>31</v>
      </c>
      <c r="G14" s="0" t="n">
        <v>16</v>
      </c>
      <c r="H14" s="0" t="n">
        <v>46.5</v>
      </c>
      <c r="I14" s="0" t="s">
        <v>65</v>
      </c>
      <c r="J14" s="0" t="s">
        <v>66</v>
      </c>
      <c r="K14" s="0" t="s">
        <v>34</v>
      </c>
    </row>
    <row r="15" customFormat="false" ht="15" hidden="false" customHeight="false" outlineLevel="0" collapsed="false">
      <c r="A15" s="5" t="s">
        <v>67</v>
      </c>
    </row>
    <row r="16" customFormat="false" ht="15" hidden="false" customHeight="false" outlineLevel="0" collapsed="false">
      <c r="A16" s="0" t="s">
        <v>68</v>
      </c>
      <c r="B16" s="0" t="s">
        <v>69</v>
      </c>
      <c r="C16" s="0" t="n">
        <v>3.413</v>
      </c>
      <c r="D16" s="0" t="n">
        <v>15.375</v>
      </c>
      <c r="E16" s="0" t="n">
        <v>2</v>
      </c>
      <c r="F16" s="0" t="s">
        <v>31</v>
      </c>
      <c r="G16" s="0" t="n">
        <v>24</v>
      </c>
      <c r="H16" s="0" t="n">
        <v>130.13</v>
      </c>
      <c r="I16" s="0" t="s">
        <v>70</v>
      </c>
      <c r="J16" s="0" t="s">
        <v>71</v>
      </c>
      <c r="K16" s="0" t="s">
        <v>34</v>
      </c>
    </row>
    <row r="17" customFormat="false" ht="15" hidden="false" customHeight="false" outlineLevel="0" collapsed="false">
      <c r="A17" s="0" t="s">
        <v>72</v>
      </c>
      <c r="B17" s="0" t="s">
        <v>73</v>
      </c>
      <c r="C17" s="0" t="n">
        <v>3.413</v>
      </c>
      <c r="D17" s="0" t="n">
        <v>13.052</v>
      </c>
      <c r="E17" s="0" t="n">
        <v>2</v>
      </c>
      <c r="F17" s="0" t="s">
        <v>31</v>
      </c>
      <c r="G17" s="0" t="n">
        <v>24</v>
      </c>
      <c r="H17" s="0" t="n">
        <v>106.34</v>
      </c>
      <c r="I17" s="0" t="s">
        <v>74</v>
      </c>
      <c r="J17" s="0" t="s">
        <v>75</v>
      </c>
      <c r="K17" s="0" t="s">
        <v>34</v>
      </c>
    </row>
    <row r="18" customFormat="false" ht="15" hidden="false" customHeight="false" outlineLevel="0" collapsed="false">
      <c r="A18" s="0" t="s">
        <v>76</v>
      </c>
      <c r="B18" s="0" t="s">
        <v>77</v>
      </c>
      <c r="C18" s="0" t="n">
        <v>2.24</v>
      </c>
      <c r="D18" s="0" t="n">
        <v>13.052</v>
      </c>
      <c r="E18" s="0" t="n">
        <v>2</v>
      </c>
      <c r="F18" s="0" t="s">
        <v>31</v>
      </c>
      <c r="G18" s="0" t="n">
        <v>24</v>
      </c>
      <c r="H18" s="0" t="n">
        <v>69.8</v>
      </c>
      <c r="I18" s="0" t="s">
        <v>78</v>
      </c>
      <c r="J18" s="0" t="s">
        <v>79</v>
      </c>
      <c r="K18" s="0" t="s">
        <v>34</v>
      </c>
    </row>
    <row r="19" customFormat="false" ht="15" hidden="false" customHeight="false" outlineLevel="0" collapsed="false">
      <c r="A19" s="5" t="s">
        <v>80</v>
      </c>
    </row>
    <row r="20" customFormat="false" ht="15" hidden="false" customHeight="false" outlineLevel="0" collapsed="false">
      <c r="A20" s="0" t="s">
        <v>81</v>
      </c>
      <c r="B20" s="0" t="s">
        <v>82</v>
      </c>
      <c r="C20" s="0" t="n">
        <v>19.407</v>
      </c>
      <c r="D20" s="0" t="n">
        <v>15.375</v>
      </c>
      <c r="E20" s="0" t="n">
        <v>3</v>
      </c>
      <c r="F20" s="0" t="s">
        <v>83</v>
      </c>
      <c r="G20" s="0" t="n">
        <v>16</v>
      </c>
      <c r="H20" s="0" t="n">
        <v>380.21</v>
      </c>
      <c r="I20" s="0" t="s">
        <v>84</v>
      </c>
      <c r="J20" s="0" t="s">
        <v>85</v>
      </c>
      <c r="K20" s="0" t="s">
        <v>34</v>
      </c>
    </row>
    <row r="21" customFormat="false" ht="15" hidden="false" customHeight="false" outlineLevel="0" collapsed="false">
      <c r="A21" s="0" t="s">
        <v>86</v>
      </c>
      <c r="B21" s="0" t="s">
        <v>87</v>
      </c>
      <c r="C21" s="0" t="n">
        <v>11.407</v>
      </c>
      <c r="D21" s="0" t="n">
        <v>15.375</v>
      </c>
      <c r="E21" s="0" t="n">
        <v>2</v>
      </c>
      <c r="F21" s="0" t="s">
        <v>83</v>
      </c>
      <c r="G21" s="0" t="n">
        <v>16</v>
      </c>
      <c r="H21" s="0" t="n">
        <v>239.54</v>
      </c>
      <c r="I21" s="0" t="s">
        <v>88</v>
      </c>
      <c r="J21" s="0" t="s">
        <v>89</v>
      </c>
      <c r="K21" s="0" t="s">
        <v>34</v>
      </c>
    </row>
    <row r="22" customFormat="false" ht="15" hidden="false" customHeight="false" outlineLevel="0" collapsed="false">
      <c r="A22" s="0" t="s">
        <v>90</v>
      </c>
      <c r="B22" s="0" t="s">
        <v>91</v>
      </c>
      <c r="C22" s="0" t="n">
        <v>3.713</v>
      </c>
      <c r="D22" s="0" t="n">
        <v>13.052</v>
      </c>
      <c r="E22" s="0" t="n">
        <v>2</v>
      </c>
      <c r="F22" s="0" t="s">
        <v>83</v>
      </c>
      <c r="G22" s="0" t="n">
        <v>16</v>
      </c>
      <c r="H22" s="0" t="n">
        <v>68.7</v>
      </c>
      <c r="I22" s="0" t="s">
        <v>92</v>
      </c>
      <c r="J22" s="0" t="s">
        <v>93</v>
      </c>
      <c r="K22" s="0" t="s">
        <v>34</v>
      </c>
    </row>
    <row r="23" customFormat="false" ht="15" hidden="false" customHeight="false" outlineLevel="0" collapsed="false">
      <c r="A23" s="0" t="s">
        <v>94</v>
      </c>
      <c r="B23" s="0" t="s">
        <v>95</v>
      </c>
      <c r="C23" s="0" t="n">
        <v>5</v>
      </c>
      <c r="D23" s="0" t="n">
        <v>15.375</v>
      </c>
      <c r="E23" s="0" t="n">
        <v>2</v>
      </c>
      <c r="F23" s="0" t="s">
        <v>83</v>
      </c>
      <c r="G23" s="0" t="n">
        <v>16</v>
      </c>
      <c r="H23" s="0" t="n">
        <v>42.22</v>
      </c>
      <c r="I23" s="0" t="s">
        <v>96</v>
      </c>
      <c r="J23" s="0" t="s">
        <v>97</v>
      </c>
      <c r="K23" s="0" t="s">
        <v>34</v>
      </c>
    </row>
    <row r="24" customFormat="false" ht="15" hidden="false" customHeight="false" outlineLevel="0" collapsed="false">
      <c r="A24" s="5" t="s">
        <v>98</v>
      </c>
    </row>
    <row r="25" customFormat="false" ht="15" hidden="false" customHeight="false" outlineLevel="0" collapsed="false">
      <c r="A25" s="0" t="s">
        <v>99</v>
      </c>
      <c r="B25" s="0" t="s">
        <v>100</v>
      </c>
      <c r="C25" s="0" t="n">
        <v>11.733</v>
      </c>
      <c r="D25" s="0" t="n">
        <v>13.052</v>
      </c>
      <c r="E25" s="0" t="n">
        <v>2</v>
      </c>
      <c r="F25" s="0" t="s">
        <v>31</v>
      </c>
      <c r="G25" s="0" t="n">
        <v>16</v>
      </c>
      <c r="H25" s="0" t="n">
        <v>258.52</v>
      </c>
      <c r="I25" s="0" t="s">
        <v>101</v>
      </c>
      <c r="J25" s="0" t="s">
        <v>102</v>
      </c>
      <c r="K25" s="0" t="s">
        <v>34</v>
      </c>
    </row>
    <row r="26" customFormat="false" ht="15" hidden="false" customHeight="false" outlineLevel="0" collapsed="false">
      <c r="A26" s="0" t="s">
        <v>103</v>
      </c>
      <c r="B26" s="0" t="s">
        <v>104</v>
      </c>
      <c r="C26" s="0" t="n">
        <v>3.5</v>
      </c>
      <c r="D26" s="0" t="n">
        <v>13.052</v>
      </c>
      <c r="E26" s="0" t="n">
        <v>2</v>
      </c>
      <c r="F26" s="0" t="s">
        <v>31</v>
      </c>
      <c r="G26" s="0" t="n">
        <v>16</v>
      </c>
      <c r="H26" s="0" t="n">
        <v>91.36</v>
      </c>
      <c r="I26" s="0" t="s">
        <v>105</v>
      </c>
      <c r="J26" s="0" t="s">
        <v>106</v>
      </c>
      <c r="K26" s="0" t="s">
        <v>34</v>
      </c>
    </row>
    <row r="27" customFormat="false" ht="15" hidden="false" customHeight="false" outlineLevel="0" collapsed="false">
      <c r="A27" s="0" t="s">
        <v>107</v>
      </c>
      <c r="B27" s="0" t="s">
        <v>108</v>
      </c>
      <c r="C27" s="0" t="n">
        <v>11.733</v>
      </c>
      <c r="D27" s="0" t="n">
        <v>13.052</v>
      </c>
      <c r="E27" s="0" t="n">
        <v>2</v>
      </c>
      <c r="F27" s="0" t="s">
        <v>31</v>
      </c>
      <c r="G27" s="0" t="n">
        <v>16</v>
      </c>
      <c r="H27" s="0" t="n">
        <v>306.28</v>
      </c>
      <c r="I27" s="0" t="s">
        <v>109</v>
      </c>
      <c r="J27" s="0" t="s">
        <v>110</v>
      </c>
      <c r="K27" s="0" t="s">
        <v>34</v>
      </c>
    </row>
    <row r="28" customFormat="false" ht="15" hidden="false" customHeight="false" outlineLevel="0" collapsed="false">
      <c r="A28" s="0" t="s">
        <v>111</v>
      </c>
      <c r="B28" s="0" t="s">
        <v>112</v>
      </c>
      <c r="C28" s="0" t="n">
        <v>9.58</v>
      </c>
      <c r="D28" s="0" t="n">
        <v>13.052</v>
      </c>
      <c r="E28" s="0" t="n">
        <v>2</v>
      </c>
      <c r="F28" s="0" t="s">
        <v>31</v>
      </c>
      <c r="G28" s="0" t="n">
        <v>16</v>
      </c>
      <c r="H28" s="0" t="n">
        <v>250.08</v>
      </c>
      <c r="I28" s="0" t="s">
        <v>113</v>
      </c>
      <c r="J28" s="0" t="s">
        <v>114</v>
      </c>
      <c r="K28" s="0" t="s">
        <v>34</v>
      </c>
    </row>
    <row r="29" customFormat="false" ht="15" hidden="false" customHeight="false" outlineLevel="0" collapsed="false">
      <c r="A29" s="0" t="s">
        <v>115</v>
      </c>
      <c r="B29" s="0" t="s">
        <v>116</v>
      </c>
      <c r="C29" s="0" t="n">
        <v>9.58</v>
      </c>
      <c r="D29" s="0" t="n">
        <v>13.052</v>
      </c>
      <c r="E29" s="0" t="n">
        <v>2</v>
      </c>
      <c r="F29" s="0" t="s">
        <v>31</v>
      </c>
      <c r="G29" s="0" t="n">
        <v>16</v>
      </c>
      <c r="H29" s="0" t="n">
        <v>250.08</v>
      </c>
      <c r="I29" s="0" t="s">
        <v>117</v>
      </c>
      <c r="J29" s="0" t="s">
        <v>118</v>
      </c>
      <c r="K29" s="0" t="s">
        <v>34</v>
      </c>
    </row>
    <row r="30" customFormat="false" ht="15" hidden="false" customHeight="false" outlineLevel="0" collapsed="false">
      <c r="A30" s="0" t="s">
        <v>119</v>
      </c>
      <c r="B30" s="0" t="s">
        <v>120</v>
      </c>
      <c r="C30" s="0" t="n">
        <v>14.147</v>
      </c>
      <c r="D30" s="0" t="n">
        <v>13.052</v>
      </c>
      <c r="E30" s="0" t="n">
        <v>2</v>
      </c>
      <c r="F30" s="0" t="s">
        <v>31</v>
      </c>
      <c r="G30" s="0" t="n">
        <v>16</v>
      </c>
      <c r="H30" s="0" t="n">
        <v>273.74</v>
      </c>
      <c r="I30" s="0" t="s">
        <v>121</v>
      </c>
      <c r="J30" s="0" t="s">
        <v>122</v>
      </c>
      <c r="K30" s="0" t="s">
        <v>34</v>
      </c>
    </row>
    <row r="31" customFormat="false" ht="15" hidden="false" customHeight="false" outlineLevel="0" collapsed="false">
      <c r="A31" s="5" t="s">
        <v>123</v>
      </c>
    </row>
    <row r="32" customFormat="false" ht="15" hidden="false" customHeight="false" outlineLevel="0" collapsed="false">
      <c r="A32" s="0" t="s">
        <v>124</v>
      </c>
      <c r="B32" s="0" t="s">
        <v>125</v>
      </c>
      <c r="C32" s="0" t="n">
        <v>5.813</v>
      </c>
      <c r="D32" s="0" t="n">
        <v>15.375</v>
      </c>
      <c r="E32" s="0" t="n">
        <v>2</v>
      </c>
      <c r="F32" s="0" t="s">
        <v>83</v>
      </c>
      <c r="G32" s="0" t="n">
        <v>16</v>
      </c>
      <c r="H32" s="0" t="n">
        <v>116.16</v>
      </c>
      <c r="I32" s="0" t="s">
        <v>126</v>
      </c>
      <c r="J32" s="0" t="s">
        <v>127</v>
      </c>
      <c r="K32" s="0" t="s">
        <v>34</v>
      </c>
    </row>
    <row r="33" customFormat="false" ht="15" hidden="false" customHeight="false" outlineLevel="0" collapsed="false">
      <c r="A33" s="0" t="s">
        <v>128</v>
      </c>
      <c r="B33" s="0" t="s">
        <v>129</v>
      </c>
      <c r="C33" s="0" t="n">
        <v>5.94</v>
      </c>
      <c r="D33" s="0" t="n">
        <v>15.375</v>
      </c>
      <c r="E33" s="0" t="n">
        <v>2</v>
      </c>
      <c r="F33" s="0" t="s">
        <v>83</v>
      </c>
      <c r="G33" s="0" t="n">
        <v>16</v>
      </c>
      <c r="H33" s="0" t="n">
        <v>111.66</v>
      </c>
      <c r="I33" s="0" t="s">
        <v>130</v>
      </c>
      <c r="J33" s="0" t="s">
        <v>131</v>
      </c>
      <c r="K33" s="0" t="s">
        <v>34</v>
      </c>
    </row>
    <row r="34" customFormat="false" ht="15" hidden="false" customHeight="false" outlineLevel="0" collapsed="false">
      <c r="A34" s="0" t="s">
        <v>132</v>
      </c>
      <c r="B34" s="0" t="s">
        <v>133</v>
      </c>
      <c r="C34" s="0" t="n">
        <v>15.073</v>
      </c>
      <c r="D34" s="0" t="n">
        <v>13.052</v>
      </c>
      <c r="E34" s="0" t="n">
        <v>2</v>
      </c>
      <c r="F34" s="0" t="s">
        <v>83</v>
      </c>
      <c r="G34" s="0" t="n">
        <v>16</v>
      </c>
      <c r="H34" s="0" t="n">
        <v>345.7</v>
      </c>
      <c r="I34" s="0" t="s">
        <v>134</v>
      </c>
      <c r="J34" s="0" t="s">
        <v>135</v>
      </c>
      <c r="K34" s="0" t="s">
        <v>34</v>
      </c>
    </row>
    <row r="35" customFormat="false" ht="15" hidden="false" customHeight="false" outlineLevel="0" collapsed="false">
      <c r="A35" s="0" t="s">
        <v>136</v>
      </c>
      <c r="B35" s="0" t="s">
        <v>137</v>
      </c>
      <c r="C35" s="0" t="n">
        <v>15.787</v>
      </c>
      <c r="D35" s="0" t="n">
        <v>13.052</v>
      </c>
      <c r="E35" s="0" t="n">
        <v>2</v>
      </c>
      <c r="F35" s="0" t="s">
        <v>83</v>
      </c>
      <c r="G35" s="0" t="n">
        <v>16</v>
      </c>
      <c r="H35" s="0" t="n">
        <v>268.76</v>
      </c>
      <c r="I35" s="0" t="s">
        <v>138</v>
      </c>
      <c r="J35" s="0" t="s">
        <v>139</v>
      </c>
      <c r="K35" s="0" t="s">
        <v>34</v>
      </c>
    </row>
    <row r="36" customFormat="false" ht="15" hidden="false" customHeight="false" outlineLevel="0" collapsed="false">
      <c r="A36" s="5" t="s">
        <v>140</v>
      </c>
    </row>
    <row r="37" customFormat="false" ht="15" hidden="false" customHeight="false" outlineLevel="0" collapsed="false">
      <c r="A37" s="0" t="s">
        <v>141</v>
      </c>
      <c r="B37" s="0" t="s">
        <v>142</v>
      </c>
      <c r="C37" s="0" t="n">
        <v>1.773</v>
      </c>
      <c r="D37" s="0" t="n">
        <v>15.375</v>
      </c>
      <c r="E37" s="0" t="n">
        <v>2</v>
      </c>
      <c r="F37" s="0" t="s">
        <v>83</v>
      </c>
      <c r="G37" s="0" t="n">
        <v>16</v>
      </c>
      <c r="H37" s="0" t="n">
        <v>54.54</v>
      </c>
      <c r="I37" s="0" t="s">
        <v>143</v>
      </c>
      <c r="J37" s="0" t="s">
        <v>144</v>
      </c>
      <c r="K37" s="0" t="s">
        <v>34</v>
      </c>
    </row>
    <row r="38" customFormat="false" ht="15" hidden="false" customHeight="false" outlineLevel="0" collapsed="false">
      <c r="A38" s="5" t="s">
        <v>145</v>
      </c>
    </row>
    <row r="39" customFormat="false" ht="15" hidden="false" customHeight="false" outlineLevel="0" collapsed="false">
      <c r="A39" s="0" t="s">
        <v>146</v>
      </c>
      <c r="B39" s="0" t="s">
        <v>147</v>
      </c>
      <c r="C39" s="0" t="n">
        <v>4.513</v>
      </c>
      <c r="D39" s="0" t="n">
        <v>15.375</v>
      </c>
      <c r="E39" s="0" t="n">
        <v>1</v>
      </c>
      <c r="F39" s="0" t="s">
        <v>31</v>
      </c>
      <c r="G39" s="0" t="n">
        <v>16</v>
      </c>
      <c r="H39" s="0" t="n">
        <v>69.39</v>
      </c>
      <c r="I39" s="0" t="s">
        <v>148</v>
      </c>
      <c r="J39" s="0" t="s">
        <v>149</v>
      </c>
      <c r="K39" s="0" t="s">
        <v>34</v>
      </c>
    </row>
    <row r="40" customFormat="false" ht="15" hidden="false" customHeight="false" outlineLevel="0" collapsed="false">
      <c r="A40" s="0" t="s">
        <v>150</v>
      </c>
      <c r="B40" s="0" t="s">
        <v>151</v>
      </c>
      <c r="C40" s="0" t="n">
        <v>6.533</v>
      </c>
      <c r="D40" s="0" t="n">
        <v>15.375</v>
      </c>
      <c r="E40" s="0" t="n">
        <v>1</v>
      </c>
      <c r="F40" s="0" t="s">
        <v>31</v>
      </c>
      <c r="G40" s="0" t="n">
        <v>16</v>
      </c>
      <c r="H40" s="0" t="n">
        <v>100.44</v>
      </c>
      <c r="I40" s="0" t="s">
        <v>152</v>
      </c>
      <c r="J40" s="0" t="s">
        <v>153</v>
      </c>
      <c r="K40" s="0" t="s">
        <v>34</v>
      </c>
    </row>
    <row r="41" customFormat="false" ht="15" hidden="false" customHeight="false" outlineLevel="0" collapsed="false">
      <c r="A41" s="0" t="s">
        <v>154</v>
      </c>
      <c r="B41" s="0" t="s">
        <v>155</v>
      </c>
      <c r="C41" s="0" t="n">
        <v>4</v>
      </c>
      <c r="D41" s="0" t="n">
        <v>15.375</v>
      </c>
      <c r="E41" s="0" t="n">
        <v>1</v>
      </c>
      <c r="F41" s="0" t="s">
        <v>31</v>
      </c>
      <c r="G41" s="0" t="n">
        <v>16</v>
      </c>
      <c r="H41" s="0" t="n">
        <v>61.5</v>
      </c>
      <c r="I41" s="0" t="s">
        <v>156</v>
      </c>
      <c r="J41" s="0" t="s">
        <v>157</v>
      </c>
      <c r="K41" s="0" t="s">
        <v>34</v>
      </c>
    </row>
    <row r="42" customFormat="false" ht="15" hidden="false" customHeight="false" outlineLevel="0" collapsed="false">
      <c r="A42" s="0" t="s">
        <v>158</v>
      </c>
      <c r="B42" s="0" t="s">
        <v>159</v>
      </c>
      <c r="C42" s="0" t="n">
        <v>4</v>
      </c>
      <c r="D42" s="0" t="n">
        <v>15.375</v>
      </c>
      <c r="E42" s="0" t="n">
        <v>1</v>
      </c>
      <c r="F42" s="0" t="s">
        <v>31</v>
      </c>
      <c r="G42" s="0" t="n">
        <v>16</v>
      </c>
      <c r="H42" s="0" t="n">
        <v>61.5</v>
      </c>
      <c r="I42" s="0" t="s">
        <v>160</v>
      </c>
      <c r="J42" s="0" t="s">
        <v>161</v>
      </c>
      <c r="K42" s="0" t="s">
        <v>34</v>
      </c>
    </row>
    <row r="43" customFormat="false" ht="15" hidden="false" customHeight="false" outlineLevel="0" collapsed="false">
      <c r="A43" s="0" t="s">
        <v>162</v>
      </c>
      <c r="B43" s="0" t="s">
        <v>163</v>
      </c>
      <c r="C43" s="0" t="n">
        <v>10</v>
      </c>
      <c r="D43" s="0" t="n">
        <v>15.375</v>
      </c>
      <c r="E43" s="0" t="n">
        <v>1</v>
      </c>
      <c r="F43" s="0" t="s">
        <v>31</v>
      </c>
      <c r="G43" s="0" t="n">
        <v>16</v>
      </c>
      <c r="H43" s="0" t="n">
        <v>130.33</v>
      </c>
      <c r="I43" s="0" t="s">
        <v>164</v>
      </c>
      <c r="J43" s="0" t="s">
        <v>165</v>
      </c>
      <c r="K43" s="0" t="s">
        <v>34</v>
      </c>
    </row>
    <row r="44" customFormat="false" ht="15" hidden="false" customHeight="false" outlineLevel="0" collapsed="false">
      <c r="A44" s="0" t="s">
        <v>166</v>
      </c>
      <c r="B44" s="0" t="s">
        <v>167</v>
      </c>
      <c r="C44" s="0" t="n">
        <v>10.027</v>
      </c>
      <c r="D44" s="0" t="n">
        <v>13.052</v>
      </c>
      <c r="E44" s="0" t="n">
        <v>1</v>
      </c>
      <c r="F44" s="0" t="s">
        <v>31</v>
      </c>
      <c r="G44" s="0" t="n">
        <v>16</v>
      </c>
      <c r="H44" s="0" t="n">
        <v>130.87</v>
      </c>
      <c r="I44" s="0" t="s">
        <v>168</v>
      </c>
      <c r="J44" s="0" t="s">
        <v>169</v>
      </c>
      <c r="K44" s="0" t="s">
        <v>34</v>
      </c>
    </row>
    <row r="45" customFormat="false" ht="15" hidden="false" customHeight="false" outlineLevel="0" collapsed="false">
      <c r="A45" s="0" t="s">
        <v>170</v>
      </c>
      <c r="B45" s="0" t="s">
        <v>171</v>
      </c>
      <c r="C45" s="0" t="n">
        <v>11.107</v>
      </c>
      <c r="D45" s="0" t="n">
        <v>13.052</v>
      </c>
      <c r="E45" s="0" t="n">
        <v>1</v>
      </c>
      <c r="F45" s="0" t="s">
        <v>31</v>
      </c>
      <c r="G45" s="0" t="n">
        <v>16</v>
      </c>
      <c r="H45" s="0" t="n">
        <v>144.96</v>
      </c>
      <c r="I45" s="0" t="s">
        <v>172</v>
      </c>
      <c r="J45" s="0" t="s">
        <v>173</v>
      </c>
      <c r="K45" s="0" t="s">
        <v>34</v>
      </c>
    </row>
    <row r="46" customFormat="false" ht="15" hidden="false" customHeight="false" outlineLevel="0" collapsed="false">
      <c r="A46" s="0" t="s">
        <v>174</v>
      </c>
      <c r="B46" s="0" t="s">
        <v>175</v>
      </c>
      <c r="C46" s="0" t="n">
        <v>2.627</v>
      </c>
      <c r="D46" s="0" t="n">
        <v>13.052</v>
      </c>
      <c r="E46" s="0" t="n">
        <v>1</v>
      </c>
      <c r="F46" s="0" t="s">
        <v>31</v>
      </c>
      <c r="G46" s="0" t="n">
        <v>16</v>
      </c>
      <c r="H46" s="0" t="n">
        <v>24.95</v>
      </c>
      <c r="I46" s="0" t="s">
        <v>176</v>
      </c>
      <c r="J46" s="0" t="s">
        <v>177</v>
      </c>
      <c r="K46" s="0" t="s">
        <v>34</v>
      </c>
    </row>
    <row r="47" customFormat="false" ht="15" hidden="false" customHeight="false" outlineLevel="0" collapsed="false">
      <c r="A47" s="5" t="s">
        <v>178</v>
      </c>
    </row>
    <row r="48" customFormat="false" ht="15" hidden="false" customHeight="false" outlineLevel="0" collapsed="false">
      <c r="A48" s="0" t="s">
        <v>179</v>
      </c>
      <c r="B48" s="0" t="s">
        <v>180</v>
      </c>
      <c r="C48" s="0" t="n">
        <v>17.458</v>
      </c>
      <c r="D48" s="0" t="n">
        <v>15.375</v>
      </c>
      <c r="E48" s="0" t="n">
        <v>2</v>
      </c>
      <c r="F48" s="0" t="s">
        <v>31</v>
      </c>
      <c r="G48" s="0" t="n">
        <v>16</v>
      </c>
      <c r="H48" s="0" t="n">
        <v>319.6</v>
      </c>
      <c r="I48" s="0" t="s">
        <v>181</v>
      </c>
      <c r="J48" s="0" t="s">
        <v>182</v>
      </c>
      <c r="K48" s="0" t="s">
        <v>34</v>
      </c>
    </row>
    <row r="49" customFormat="false" ht="15" hidden="false" customHeight="false" outlineLevel="0" collapsed="false">
      <c r="A49" s="5" t="s">
        <v>183</v>
      </c>
    </row>
    <row r="50" customFormat="false" ht="15" hidden="false" customHeight="false" outlineLevel="0" collapsed="false">
      <c r="A50" s="0" t="s">
        <v>184</v>
      </c>
      <c r="B50" s="0" t="s">
        <v>185</v>
      </c>
      <c r="C50" s="0" t="n">
        <v>3.467</v>
      </c>
      <c r="D50" s="0" t="n">
        <v>15.375</v>
      </c>
      <c r="E50" s="0" t="n">
        <v>4</v>
      </c>
      <c r="F50" s="0" t="s">
        <v>186</v>
      </c>
      <c r="G50" s="0" t="n">
        <v>16</v>
      </c>
      <c r="H50" s="0" t="n">
        <v>213.2</v>
      </c>
      <c r="I50" s="0" t="s">
        <v>187</v>
      </c>
      <c r="J50" s="0" t="s">
        <v>188</v>
      </c>
      <c r="K50" s="0" t="s">
        <v>34</v>
      </c>
    </row>
    <row r="51" customFormat="false" ht="15" hidden="false" customHeight="false" outlineLevel="0" collapsed="false">
      <c r="A51" s="0" t="s">
        <v>189</v>
      </c>
      <c r="B51" s="0" t="s">
        <v>190</v>
      </c>
      <c r="C51" s="0" t="n">
        <v>3.253</v>
      </c>
      <c r="D51" s="0" t="n">
        <v>15.375</v>
      </c>
      <c r="E51" s="0" t="n">
        <v>4</v>
      </c>
      <c r="F51" s="0" t="s">
        <v>186</v>
      </c>
      <c r="G51" s="0" t="n">
        <v>16</v>
      </c>
      <c r="H51" s="0" t="n">
        <v>200.08</v>
      </c>
      <c r="I51" s="0" t="s">
        <v>191</v>
      </c>
      <c r="J51" s="0" t="s">
        <v>192</v>
      </c>
      <c r="K51" s="0" t="s">
        <v>34</v>
      </c>
    </row>
    <row r="52" customFormat="false" ht="15" hidden="false" customHeight="false" outlineLevel="0" collapsed="false">
      <c r="A52" s="0" t="s">
        <v>193</v>
      </c>
      <c r="B52" s="0" t="s">
        <v>194</v>
      </c>
      <c r="C52" s="0" t="n">
        <v>3.253</v>
      </c>
      <c r="D52" s="0" t="n">
        <v>15.375</v>
      </c>
      <c r="E52" s="0" t="n">
        <v>4</v>
      </c>
      <c r="F52" s="0" t="s">
        <v>186</v>
      </c>
      <c r="G52" s="0" t="n">
        <v>16</v>
      </c>
      <c r="H52" s="0" t="n">
        <v>200.08</v>
      </c>
      <c r="I52" s="0" t="s">
        <v>195</v>
      </c>
      <c r="J52" s="0" t="s">
        <v>196</v>
      </c>
      <c r="K52" s="0" t="s">
        <v>34</v>
      </c>
    </row>
    <row r="53" customFormat="false" ht="15" hidden="false" customHeight="false" outlineLevel="0" collapsed="false">
      <c r="A53" s="0" t="s">
        <v>197</v>
      </c>
      <c r="B53" s="0" t="s">
        <v>198</v>
      </c>
      <c r="C53" s="0" t="n">
        <v>11.767</v>
      </c>
      <c r="D53" s="0" t="n">
        <v>15.375</v>
      </c>
      <c r="E53" s="0" t="n">
        <v>4</v>
      </c>
      <c r="F53" s="0" t="s">
        <v>186</v>
      </c>
      <c r="G53" s="0" t="n">
        <v>16</v>
      </c>
      <c r="H53" s="0" t="n">
        <v>723.64</v>
      </c>
      <c r="I53" s="0" t="s">
        <v>199</v>
      </c>
      <c r="J53" s="0" t="s">
        <v>200</v>
      </c>
      <c r="K53" s="0" t="s">
        <v>34</v>
      </c>
    </row>
    <row r="54" customFormat="false" ht="15" hidden="false" customHeight="false" outlineLevel="0" collapsed="false">
      <c r="A54" s="0" t="s">
        <v>201</v>
      </c>
      <c r="B54" s="0" t="s">
        <v>202</v>
      </c>
      <c r="C54" s="0" t="n">
        <v>11.767</v>
      </c>
      <c r="D54" s="0" t="n">
        <v>15.375</v>
      </c>
      <c r="E54" s="0" t="n">
        <v>4</v>
      </c>
      <c r="F54" s="0" t="s">
        <v>186</v>
      </c>
      <c r="G54" s="0" t="n">
        <v>16</v>
      </c>
      <c r="H54" s="0" t="n">
        <v>723.64</v>
      </c>
      <c r="I54" s="0" t="s">
        <v>203</v>
      </c>
      <c r="J54" s="0" t="s">
        <v>204</v>
      </c>
      <c r="K54" s="0" t="s">
        <v>34</v>
      </c>
    </row>
    <row r="55" customFormat="false" ht="15" hidden="false" customHeight="false" outlineLevel="0" collapsed="false">
      <c r="A55" s="0" t="s">
        <v>205</v>
      </c>
      <c r="B55" s="0" t="s">
        <v>206</v>
      </c>
      <c r="C55" s="0" t="n">
        <v>11.767</v>
      </c>
      <c r="D55" s="0" t="n">
        <v>15.375</v>
      </c>
      <c r="E55" s="0" t="n">
        <v>4</v>
      </c>
      <c r="F55" s="0" t="s">
        <v>186</v>
      </c>
      <c r="G55" s="0" t="n">
        <v>16</v>
      </c>
      <c r="H55" s="0" t="n">
        <v>723.64</v>
      </c>
      <c r="I55" s="0" t="s">
        <v>207</v>
      </c>
      <c r="J55" s="0" t="s">
        <v>208</v>
      </c>
      <c r="K55" s="0" t="s">
        <v>34</v>
      </c>
    </row>
    <row r="56" customFormat="false" ht="15" hidden="false" customHeight="false" outlineLevel="0" collapsed="false">
      <c r="A56" s="0" t="s">
        <v>209</v>
      </c>
      <c r="B56" s="0" t="s">
        <v>210</v>
      </c>
      <c r="C56" s="0" t="n">
        <v>12.333</v>
      </c>
      <c r="D56" s="0" t="n">
        <v>15.375</v>
      </c>
      <c r="E56" s="0" t="n">
        <v>4</v>
      </c>
      <c r="F56" s="0" t="s">
        <v>186</v>
      </c>
      <c r="G56" s="0" t="n">
        <v>16</v>
      </c>
      <c r="H56" s="0" t="n">
        <v>758.5</v>
      </c>
      <c r="I56" s="0" t="s">
        <v>211</v>
      </c>
      <c r="J56" s="0" t="s">
        <v>212</v>
      </c>
      <c r="K56" s="0" t="s">
        <v>34</v>
      </c>
    </row>
    <row r="57" customFormat="false" ht="15" hidden="false" customHeight="false" outlineLevel="0" collapsed="false">
      <c r="A57" s="0" t="s">
        <v>213</v>
      </c>
      <c r="B57" s="0" t="s">
        <v>214</v>
      </c>
      <c r="C57" s="0" t="n">
        <v>11.627</v>
      </c>
      <c r="D57" s="0" t="n">
        <v>15.375</v>
      </c>
      <c r="E57" s="0" t="n">
        <v>4</v>
      </c>
      <c r="F57" s="0" t="s">
        <v>186</v>
      </c>
      <c r="G57" s="0" t="n">
        <v>16</v>
      </c>
      <c r="H57" s="0" t="n">
        <v>715.04</v>
      </c>
      <c r="I57" s="0" t="s">
        <v>215</v>
      </c>
      <c r="J57" s="0" t="s">
        <v>216</v>
      </c>
      <c r="K57" s="0" t="s">
        <v>34</v>
      </c>
    </row>
    <row r="58" customFormat="false" ht="15" hidden="false" customHeight="false" outlineLevel="0" collapsed="false">
      <c r="A58" s="0" t="s">
        <v>217</v>
      </c>
      <c r="B58" s="0" t="s">
        <v>218</v>
      </c>
      <c r="C58" s="0" t="n">
        <v>12.353</v>
      </c>
      <c r="D58" s="0" t="n">
        <v>15.375</v>
      </c>
      <c r="E58" s="0" t="n">
        <v>4</v>
      </c>
      <c r="F58" s="0" t="s">
        <v>186</v>
      </c>
      <c r="G58" s="0" t="n">
        <v>16</v>
      </c>
      <c r="H58" s="0" t="n">
        <v>759.74</v>
      </c>
      <c r="I58" s="0" t="s">
        <v>219</v>
      </c>
      <c r="J58" s="0" t="s">
        <v>220</v>
      </c>
      <c r="K58" s="0" t="s">
        <v>34</v>
      </c>
    </row>
    <row r="59" customFormat="false" ht="15" hidden="false" customHeight="false" outlineLevel="0" collapsed="false">
      <c r="A59" s="5" t="s">
        <v>221</v>
      </c>
    </row>
    <row r="60" customFormat="false" ht="15" hidden="false" customHeight="false" outlineLevel="0" collapsed="false">
      <c r="A60" s="0" t="s">
        <v>222</v>
      </c>
      <c r="B60" s="0" t="s">
        <v>223</v>
      </c>
      <c r="C60" s="0" t="n">
        <v>11.767</v>
      </c>
      <c r="D60" s="0" t="n">
        <v>15.375</v>
      </c>
      <c r="E60" s="0" t="n">
        <v>4</v>
      </c>
      <c r="F60" s="0" t="s">
        <v>186</v>
      </c>
      <c r="G60" s="0" t="n">
        <v>16</v>
      </c>
      <c r="H60" s="0" t="n">
        <v>723.64</v>
      </c>
      <c r="I60" s="0" t="s">
        <v>224</v>
      </c>
      <c r="J60" s="0" t="s">
        <v>225</v>
      </c>
      <c r="K60" s="0" t="s">
        <v>34</v>
      </c>
    </row>
    <row r="61" customFormat="false" ht="15" hidden="false" customHeight="false" outlineLevel="0" collapsed="false">
      <c r="A61" s="0" t="s">
        <v>226</v>
      </c>
      <c r="B61" s="0" t="s">
        <v>227</v>
      </c>
      <c r="C61" s="0" t="n">
        <v>3.84</v>
      </c>
      <c r="D61" s="0" t="n">
        <v>15.375</v>
      </c>
      <c r="E61" s="0" t="n">
        <v>4</v>
      </c>
      <c r="F61" s="0" t="s">
        <v>186</v>
      </c>
      <c r="G61" s="0" t="n">
        <v>16</v>
      </c>
      <c r="H61" s="0" t="n">
        <v>236.16</v>
      </c>
      <c r="I61" s="0" t="s">
        <v>228</v>
      </c>
      <c r="J61" s="0" t="s">
        <v>229</v>
      </c>
      <c r="K61" s="0" t="s">
        <v>34</v>
      </c>
    </row>
    <row r="62" customFormat="false" ht="15" hidden="false" customHeight="false" outlineLevel="0" collapsed="false">
      <c r="A62" s="5" t="s">
        <v>230</v>
      </c>
    </row>
    <row r="63" customFormat="false" ht="15" hidden="false" customHeight="false" outlineLevel="0" collapsed="false">
      <c r="A63" s="0" t="s">
        <v>231</v>
      </c>
      <c r="B63" s="0" t="s">
        <v>232</v>
      </c>
      <c r="C63" s="0" t="n">
        <v>2.42</v>
      </c>
      <c r="D63" s="0" t="n">
        <v>15.375</v>
      </c>
      <c r="E63" s="0" t="n">
        <v>4</v>
      </c>
      <c r="F63" s="0" t="s">
        <v>186</v>
      </c>
      <c r="G63" s="0" t="n">
        <v>16</v>
      </c>
      <c r="H63" s="0" t="n">
        <v>148.82</v>
      </c>
      <c r="I63" s="0" t="s">
        <v>233</v>
      </c>
      <c r="J63" s="0" t="s">
        <v>234</v>
      </c>
      <c r="K63" s="0" t="s">
        <v>34</v>
      </c>
    </row>
    <row r="64" customFormat="false" ht="15" hidden="false" customHeight="false" outlineLevel="0" collapsed="false">
      <c r="A64" s="5" t="s">
        <v>235</v>
      </c>
    </row>
    <row r="65" customFormat="false" ht="15" hidden="false" customHeight="false" outlineLevel="0" collapsed="false">
      <c r="A65" s="0" t="s">
        <v>236</v>
      </c>
      <c r="B65" s="0" t="s">
        <v>237</v>
      </c>
      <c r="C65" s="0" t="n">
        <v>2.94</v>
      </c>
      <c r="D65" s="0" t="n">
        <v>15.375</v>
      </c>
      <c r="E65" s="0" t="n">
        <v>4</v>
      </c>
      <c r="F65" s="0" t="s">
        <v>186</v>
      </c>
      <c r="G65" s="0" t="n">
        <v>16</v>
      </c>
      <c r="H65" s="0" t="n">
        <v>180.82</v>
      </c>
      <c r="I65" s="0" t="s">
        <v>238</v>
      </c>
      <c r="J65" s="0" t="s">
        <v>239</v>
      </c>
      <c r="K65" s="0" t="s">
        <v>34</v>
      </c>
    </row>
    <row r="66" customFormat="false" ht="15" hidden="false" customHeight="false" outlineLevel="0" collapsed="false">
      <c r="A66" s="5" t="s">
        <v>240</v>
      </c>
    </row>
    <row r="67" customFormat="false" ht="15" hidden="false" customHeight="false" outlineLevel="0" collapsed="false">
      <c r="A67" s="0" t="s">
        <v>241</v>
      </c>
      <c r="B67" s="0" t="s">
        <v>242</v>
      </c>
      <c r="C67" s="0" t="n">
        <v>7.873</v>
      </c>
      <c r="D67" s="0" t="n">
        <v>13.052</v>
      </c>
      <c r="E67" s="0" t="n">
        <v>2</v>
      </c>
      <c r="F67" s="0" t="s">
        <v>31</v>
      </c>
      <c r="G67" s="0" t="n">
        <v>16</v>
      </c>
      <c r="H67" s="0" t="n">
        <v>107.52</v>
      </c>
      <c r="I67" s="0" t="s">
        <v>243</v>
      </c>
      <c r="J67" s="0" t="s">
        <v>244</v>
      </c>
      <c r="K67" s="0" t="s">
        <v>34</v>
      </c>
    </row>
    <row r="68" customFormat="false" ht="15" hidden="false" customHeight="false" outlineLevel="0" collapsed="false">
      <c r="A68" s="5" t="s">
        <v>245</v>
      </c>
    </row>
    <row r="69" customFormat="false" ht="15" hidden="false" customHeight="false" outlineLevel="0" collapsed="false">
      <c r="A69" s="0" t="s">
        <v>246</v>
      </c>
      <c r="B69" s="0" t="s">
        <v>247</v>
      </c>
      <c r="C69" s="0" t="n">
        <v>11.767</v>
      </c>
      <c r="D69" s="0" t="n">
        <v>15.375</v>
      </c>
      <c r="E69" s="0" t="n">
        <v>1</v>
      </c>
      <c r="F69" s="0" t="s">
        <v>83</v>
      </c>
      <c r="G69" s="0" t="n">
        <v>16</v>
      </c>
      <c r="H69" s="0" t="n">
        <v>180.92</v>
      </c>
      <c r="I69" s="0" t="s">
        <v>248</v>
      </c>
      <c r="J69" s="0" t="s">
        <v>249</v>
      </c>
      <c r="K69" s="0" t="s">
        <v>34</v>
      </c>
    </row>
    <row r="70" customFormat="false" ht="15" hidden="false" customHeight="false" outlineLevel="0" collapsed="false">
      <c r="A70" s="0" t="s">
        <v>250</v>
      </c>
      <c r="B70" s="0" t="s">
        <v>251</v>
      </c>
      <c r="C70" s="0" t="n">
        <v>75.333</v>
      </c>
      <c r="D70" s="0" t="n">
        <v>15.375</v>
      </c>
      <c r="E70" s="0" t="n">
        <v>1</v>
      </c>
      <c r="F70" s="0" t="s">
        <v>83</v>
      </c>
      <c r="G70" s="0" t="n">
        <v>16</v>
      </c>
      <c r="H70" s="0" t="n">
        <v>1032.51</v>
      </c>
      <c r="I70" s="0" t="s">
        <v>252</v>
      </c>
      <c r="J70" s="0" t="s">
        <v>253</v>
      </c>
      <c r="K70" s="0" t="s">
        <v>34</v>
      </c>
    </row>
    <row r="71" customFormat="false" ht="15" hidden="false" customHeight="false" outlineLevel="0" collapsed="false">
      <c r="A71" s="0" t="s">
        <v>254</v>
      </c>
      <c r="B71" s="0" t="s">
        <v>255</v>
      </c>
      <c r="C71" s="0" t="n">
        <v>51.733</v>
      </c>
      <c r="D71" s="0" t="n">
        <v>12.531</v>
      </c>
      <c r="E71" s="0" t="n">
        <v>1</v>
      </c>
      <c r="F71" s="0" t="s">
        <v>83</v>
      </c>
      <c r="G71" s="0" t="n">
        <v>16</v>
      </c>
      <c r="H71" s="0" t="n">
        <v>621.05</v>
      </c>
      <c r="I71" s="0" t="s">
        <v>256</v>
      </c>
      <c r="J71" s="0" t="s">
        <v>257</v>
      </c>
      <c r="K71" s="0" t="s">
        <v>34</v>
      </c>
    </row>
    <row r="72" customFormat="false" ht="15" hidden="false" customHeight="false" outlineLevel="0" collapsed="false">
      <c r="A72" s="0" t="s">
        <v>258</v>
      </c>
      <c r="B72" s="0" t="s">
        <v>259</v>
      </c>
      <c r="C72" s="0" t="n">
        <v>47.413</v>
      </c>
      <c r="D72" s="0" t="n">
        <v>15.375</v>
      </c>
      <c r="E72" s="0" t="n">
        <v>1</v>
      </c>
      <c r="F72" s="0" t="s">
        <v>83</v>
      </c>
      <c r="G72" s="0" t="n">
        <v>16</v>
      </c>
      <c r="H72" s="0" t="n">
        <v>637.22</v>
      </c>
      <c r="I72" s="0" t="s">
        <v>260</v>
      </c>
      <c r="J72" s="0" t="s">
        <v>261</v>
      </c>
      <c r="K72" s="0" t="s">
        <v>34</v>
      </c>
    </row>
    <row r="73" customFormat="false" ht="15" hidden="false" customHeight="false" outlineLevel="0" collapsed="false">
      <c r="A73" s="0" t="s">
        <v>262</v>
      </c>
      <c r="B73" s="0" t="s">
        <v>263</v>
      </c>
      <c r="C73" s="0" t="n">
        <v>3.907</v>
      </c>
      <c r="D73" s="0" t="n">
        <v>15.375</v>
      </c>
      <c r="E73" s="0" t="n">
        <v>1</v>
      </c>
      <c r="F73" s="0" t="s">
        <v>83</v>
      </c>
      <c r="G73" s="0" t="n">
        <v>16</v>
      </c>
      <c r="H73" s="0" t="n">
        <v>60.07</v>
      </c>
      <c r="I73" s="0" t="s">
        <v>264</v>
      </c>
      <c r="J73" s="0" t="s">
        <v>265</v>
      </c>
      <c r="K73" s="0" t="s">
        <v>34</v>
      </c>
    </row>
    <row r="74" customFormat="false" ht="15" hidden="false" customHeight="false" outlineLevel="0" collapsed="false">
      <c r="A74" s="0" t="s">
        <v>266</v>
      </c>
      <c r="B74" s="0" t="s">
        <v>267</v>
      </c>
      <c r="C74" s="0" t="n">
        <v>21.461</v>
      </c>
      <c r="D74" s="0" t="n">
        <v>15.375</v>
      </c>
      <c r="E74" s="0" t="n">
        <v>1</v>
      </c>
      <c r="F74" s="0" t="s">
        <v>83</v>
      </c>
      <c r="G74" s="0" t="n">
        <v>16</v>
      </c>
      <c r="H74" s="0" t="n">
        <v>324.29</v>
      </c>
      <c r="I74" s="0" t="s">
        <v>268</v>
      </c>
      <c r="J74" s="0" t="s">
        <v>269</v>
      </c>
      <c r="K74" s="0" t="s">
        <v>34</v>
      </c>
    </row>
    <row r="75" customFormat="false" ht="15" hidden="false" customHeight="false" outlineLevel="0" collapsed="false">
      <c r="A75" s="0" t="s">
        <v>270</v>
      </c>
      <c r="B75" s="0" t="s">
        <v>271</v>
      </c>
      <c r="C75" s="0" t="n">
        <v>38.813</v>
      </c>
      <c r="D75" s="0" t="n">
        <v>6.875</v>
      </c>
      <c r="E75" s="0" t="n">
        <v>1</v>
      </c>
      <c r="F75" s="0" t="s">
        <v>83</v>
      </c>
      <c r="G75" s="0" t="n">
        <v>16</v>
      </c>
      <c r="H75" s="0" t="n">
        <v>266.84</v>
      </c>
      <c r="I75" s="0" t="s">
        <v>272</v>
      </c>
      <c r="J75" s="0" t="s">
        <v>273</v>
      </c>
      <c r="K75" s="0" t="s">
        <v>34</v>
      </c>
    </row>
    <row r="76" customFormat="false" ht="15" hidden="false" customHeight="false" outlineLevel="0" collapsed="false">
      <c r="A76" s="0" t="s">
        <v>274</v>
      </c>
      <c r="B76" s="0" t="s">
        <v>275</v>
      </c>
      <c r="C76" s="0" t="n">
        <v>6.167</v>
      </c>
      <c r="D76" s="0" t="n">
        <v>6.875</v>
      </c>
      <c r="E76" s="0" t="n">
        <v>1</v>
      </c>
      <c r="F76" s="0" t="s">
        <v>83</v>
      </c>
      <c r="G76" s="0" t="n">
        <v>16</v>
      </c>
      <c r="H76" s="0" t="n">
        <v>42.4</v>
      </c>
      <c r="I76" s="0" t="s">
        <v>276</v>
      </c>
      <c r="J76" s="0" t="s">
        <v>277</v>
      </c>
      <c r="K76" s="0" t="s">
        <v>34</v>
      </c>
    </row>
    <row r="77" customFormat="false" ht="15" hidden="false" customHeight="false" outlineLevel="0" collapsed="false">
      <c r="A77" s="5" t="s">
        <v>278</v>
      </c>
    </row>
    <row r="78" customFormat="false" ht="15" hidden="false" customHeight="false" outlineLevel="0" collapsed="false">
      <c r="A78" s="0" t="s">
        <v>279</v>
      </c>
      <c r="B78" s="0" t="s">
        <v>280</v>
      </c>
      <c r="C78" s="0" t="n">
        <v>57.54</v>
      </c>
      <c r="D78" s="0" t="n">
        <v>4.292</v>
      </c>
      <c r="E78" s="0" t="n">
        <v>1</v>
      </c>
      <c r="F78" s="0" t="s">
        <v>83</v>
      </c>
      <c r="G78" s="0" t="n">
        <v>16</v>
      </c>
      <c r="H78" s="0" t="n">
        <v>157.3</v>
      </c>
      <c r="I78" s="0" t="s">
        <v>281</v>
      </c>
      <c r="J78" s="0" t="s">
        <v>282</v>
      </c>
      <c r="K78" s="0" t="s">
        <v>34</v>
      </c>
    </row>
    <row r="79" customFormat="false" ht="15" hidden="false" customHeight="false" outlineLevel="0" collapsed="false">
      <c r="A79" s="0" t="s">
        <v>283</v>
      </c>
      <c r="B79" s="0" t="s">
        <v>284</v>
      </c>
      <c r="C79" s="0" t="n">
        <v>77.18</v>
      </c>
      <c r="D79" s="0" t="n">
        <v>4.626</v>
      </c>
      <c r="E79" s="0" t="n">
        <v>1</v>
      </c>
      <c r="F79" s="0" t="s">
        <v>83</v>
      </c>
      <c r="G79" s="0" t="n">
        <v>16</v>
      </c>
      <c r="H79" s="0" t="n">
        <v>224.1</v>
      </c>
      <c r="I79" s="0" t="s">
        <v>285</v>
      </c>
      <c r="J79" s="0" t="s">
        <v>286</v>
      </c>
      <c r="K79" s="0" t="s">
        <v>34</v>
      </c>
    </row>
    <row r="80" customFormat="false" ht="15" hidden="false" customHeight="false" outlineLevel="0" collapsed="false">
      <c r="A80" s="0" t="s">
        <v>287</v>
      </c>
      <c r="B80" s="0" t="s">
        <v>288</v>
      </c>
      <c r="C80" s="0" t="n">
        <v>53.5</v>
      </c>
      <c r="D80" s="0" t="n">
        <v>4.886</v>
      </c>
      <c r="E80" s="0" t="n">
        <v>1</v>
      </c>
      <c r="F80" s="0" t="s">
        <v>83</v>
      </c>
      <c r="G80" s="0" t="n">
        <v>16</v>
      </c>
      <c r="H80" s="0" t="n">
        <v>261.4</v>
      </c>
      <c r="I80" s="0" t="s">
        <v>289</v>
      </c>
      <c r="J80" s="0" t="s">
        <v>290</v>
      </c>
      <c r="K80" s="0" t="s">
        <v>34</v>
      </c>
    </row>
    <row r="81" customFormat="false" ht="15" hidden="false" customHeight="false" outlineLevel="0" collapsed="false">
      <c r="A81" s="0" t="s">
        <v>291</v>
      </c>
      <c r="B81" s="0" t="s">
        <v>292</v>
      </c>
      <c r="C81" s="0" t="n">
        <v>30.36</v>
      </c>
      <c r="D81" s="0" t="n">
        <v>4.292</v>
      </c>
      <c r="E81" s="0" t="n">
        <v>1</v>
      </c>
      <c r="F81" s="0" t="s">
        <v>83</v>
      </c>
      <c r="G81" s="0" t="n">
        <v>16</v>
      </c>
      <c r="H81" s="0" t="n">
        <v>130.31</v>
      </c>
      <c r="I81" s="0" t="s">
        <v>293</v>
      </c>
      <c r="J81" s="0" t="s">
        <v>294</v>
      </c>
      <c r="K81" s="0" t="s">
        <v>34</v>
      </c>
    </row>
    <row r="82" customFormat="false" ht="15" hidden="false" customHeight="false" outlineLevel="0" collapsed="false">
      <c r="A82" s="0" t="s">
        <v>295</v>
      </c>
      <c r="B82" s="0" t="s">
        <v>296</v>
      </c>
      <c r="C82" s="0" t="n">
        <v>3.87</v>
      </c>
      <c r="D82" s="0" t="n">
        <v>4.292</v>
      </c>
      <c r="E82" s="0" t="n">
        <v>1</v>
      </c>
      <c r="F82" s="0" t="s">
        <v>83</v>
      </c>
      <c r="G82" s="0" t="n">
        <v>16</v>
      </c>
      <c r="H82" s="0" t="n">
        <v>16.61</v>
      </c>
      <c r="I82" s="0" t="s">
        <v>297</v>
      </c>
      <c r="J82" s="0" t="s">
        <v>298</v>
      </c>
      <c r="K82" s="0" t="s">
        <v>34</v>
      </c>
    </row>
    <row r="83" customFormat="false" ht="15" hidden="false" customHeight="false" outlineLevel="0" collapsed="false">
      <c r="A83" s="0" t="s">
        <v>299</v>
      </c>
      <c r="B83" s="0" t="s">
        <v>300</v>
      </c>
      <c r="C83" s="0" t="n">
        <v>4.6</v>
      </c>
      <c r="D83" s="0" t="n">
        <v>4.292</v>
      </c>
      <c r="E83" s="0" t="n">
        <v>1</v>
      </c>
      <c r="F83" s="0" t="s">
        <v>83</v>
      </c>
      <c r="G83" s="0" t="n">
        <v>16</v>
      </c>
      <c r="H83" s="0" t="n">
        <v>19.74</v>
      </c>
      <c r="I83" s="0" t="s">
        <v>301</v>
      </c>
      <c r="J83" s="0" t="s">
        <v>302</v>
      </c>
      <c r="K83" s="0" t="s">
        <v>34</v>
      </c>
    </row>
    <row r="84" customFormat="false" ht="15" hidden="false" customHeight="false" outlineLevel="0" collapsed="false">
      <c r="A84" s="0" t="s">
        <v>303</v>
      </c>
      <c r="B84" s="0" t="s">
        <v>304</v>
      </c>
      <c r="C84" s="0" t="n">
        <v>47.83</v>
      </c>
      <c r="D84" s="0" t="n">
        <v>4.626</v>
      </c>
      <c r="E84" s="0" t="n">
        <v>1</v>
      </c>
      <c r="F84" s="0" t="s">
        <v>83</v>
      </c>
      <c r="G84" s="0" t="n">
        <v>16</v>
      </c>
      <c r="H84" s="0" t="n">
        <v>164.14</v>
      </c>
      <c r="I84" s="0" t="s">
        <v>305</v>
      </c>
      <c r="J84" s="0" t="s">
        <v>306</v>
      </c>
      <c r="K84" s="0" t="s">
        <v>34</v>
      </c>
    </row>
    <row r="85" customFormat="false" ht="15" hidden="false" customHeight="false" outlineLevel="0" collapsed="false">
      <c r="A85" s="5" t="s">
        <v>307</v>
      </c>
    </row>
    <row r="86" customFormat="false" ht="15" hidden="false" customHeight="false" outlineLevel="0" collapsed="false">
      <c r="A86" s="0" t="s">
        <v>308</v>
      </c>
      <c r="B86" s="0" t="s">
        <v>309</v>
      </c>
      <c r="C86" s="0" t="n">
        <v>7.5</v>
      </c>
      <c r="D86" s="0" t="n">
        <v>7.333</v>
      </c>
      <c r="E86" s="0" t="n">
        <v>4</v>
      </c>
      <c r="F86" s="0" t="s">
        <v>186</v>
      </c>
      <c r="G86" s="0" t="n">
        <v>16</v>
      </c>
      <c r="H86" s="0" t="n">
        <v>223.83</v>
      </c>
      <c r="I86" s="0" t="s">
        <v>310</v>
      </c>
      <c r="J86" s="0" t="s">
        <v>311</v>
      </c>
      <c r="K86" s="0" t="s">
        <v>34</v>
      </c>
    </row>
    <row r="87" customFormat="false" ht="15" hidden="false" customHeight="false" outlineLevel="0" collapsed="false">
      <c r="A87" s="0" t="s">
        <v>312</v>
      </c>
      <c r="B87" s="0" t="s">
        <v>313</v>
      </c>
      <c r="C87" s="0" t="n">
        <v>7.5</v>
      </c>
      <c r="D87" s="0" t="n">
        <v>7.333</v>
      </c>
      <c r="E87" s="0" t="n">
        <v>4</v>
      </c>
      <c r="F87" s="0" t="s">
        <v>186</v>
      </c>
      <c r="G87" s="0" t="n">
        <v>16</v>
      </c>
      <c r="H87" s="0" t="n">
        <v>223.83</v>
      </c>
      <c r="I87" s="0" t="s">
        <v>314</v>
      </c>
      <c r="J87" s="0" t="s">
        <v>315</v>
      </c>
      <c r="K87" s="0" t="s">
        <v>34</v>
      </c>
    </row>
    <row r="88" customFormat="false" ht="15" hidden="false" customHeight="false" outlineLevel="0" collapsed="false">
      <c r="A88" s="0" t="s">
        <v>316</v>
      </c>
      <c r="B88" s="0" t="s">
        <v>317</v>
      </c>
      <c r="C88" s="0" t="n">
        <v>7.5</v>
      </c>
      <c r="D88" s="0" t="n">
        <v>7.333</v>
      </c>
      <c r="E88" s="0" t="n">
        <v>4</v>
      </c>
      <c r="F88" s="0" t="s">
        <v>186</v>
      </c>
      <c r="G88" s="0" t="n">
        <v>16</v>
      </c>
      <c r="H88" s="0" t="n">
        <v>223.83</v>
      </c>
      <c r="I88" s="0" t="s">
        <v>318</v>
      </c>
      <c r="J88" s="0" t="s">
        <v>319</v>
      </c>
      <c r="K88" s="0" t="s">
        <v>34</v>
      </c>
    </row>
    <row r="89" customFormat="false" ht="15" hidden="false" customHeight="false" outlineLevel="0" collapsed="false">
      <c r="A89" s="0" t="s">
        <v>320</v>
      </c>
      <c r="B89" s="0" t="s">
        <v>321</v>
      </c>
      <c r="C89" s="0" t="n">
        <v>7.5</v>
      </c>
      <c r="D89" s="0" t="n">
        <v>7.333</v>
      </c>
      <c r="E89" s="0" t="n">
        <v>4</v>
      </c>
      <c r="F89" s="0" t="s">
        <v>186</v>
      </c>
      <c r="G89" s="0" t="n">
        <v>16</v>
      </c>
      <c r="H89" s="0" t="n">
        <v>223.83</v>
      </c>
      <c r="I89" s="0" t="s">
        <v>322</v>
      </c>
      <c r="J89" s="0" t="s">
        <v>323</v>
      </c>
      <c r="K89" s="0" t="s">
        <v>34</v>
      </c>
    </row>
    <row r="90" customFormat="false" ht="15" hidden="false" customHeight="false" outlineLevel="0" collapsed="false">
      <c r="A90" s="0" t="s">
        <v>324</v>
      </c>
      <c r="B90" s="0" t="s">
        <v>325</v>
      </c>
      <c r="C90" s="0" t="n">
        <v>7.5</v>
      </c>
      <c r="D90" s="0" t="n">
        <v>7.333</v>
      </c>
      <c r="E90" s="0" t="n">
        <v>4</v>
      </c>
      <c r="F90" s="0" t="s">
        <v>186</v>
      </c>
      <c r="G90" s="0" t="n">
        <v>16</v>
      </c>
      <c r="H90" s="0" t="n">
        <v>223.83</v>
      </c>
      <c r="I90" s="0" t="s">
        <v>326</v>
      </c>
      <c r="J90" s="0" t="s">
        <v>327</v>
      </c>
      <c r="K90" s="0" t="s">
        <v>34</v>
      </c>
    </row>
    <row r="91" customFormat="false" ht="15" hidden="false" customHeight="false" outlineLevel="0" collapsed="false">
      <c r="A91" s="0" t="s">
        <v>328</v>
      </c>
      <c r="B91" s="0" t="s">
        <v>329</v>
      </c>
      <c r="C91" s="0" t="n">
        <v>7.5</v>
      </c>
      <c r="D91" s="0" t="n">
        <v>7.333</v>
      </c>
      <c r="E91" s="0" t="n">
        <v>4</v>
      </c>
      <c r="F91" s="0" t="s">
        <v>186</v>
      </c>
      <c r="G91" s="0" t="n">
        <v>16</v>
      </c>
      <c r="H91" s="0" t="n">
        <v>223.83</v>
      </c>
      <c r="I91" s="0" t="s">
        <v>330</v>
      </c>
      <c r="J91" s="0" t="s">
        <v>331</v>
      </c>
      <c r="K91" s="0" t="s">
        <v>34</v>
      </c>
    </row>
    <row r="92" customFormat="false" ht="15" hidden="false" customHeight="false" outlineLevel="0" collapsed="false">
      <c r="A92" s="5" t="s">
        <v>332</v>
      </c>
    </row>
    <row r="93" customFormat="false" ht="15" hidden="false" customHeight="false" outlineLevel="0" collapsed="false">
      <c r="A93" s="0" t="s">
        <v>333</v>
      </c>
      <c r="B93" s="0" t="s">
        <v>334</v>
      </c>
      <c r="C93" s="0" t="n">
        <v>13.333</v>
      </c>
      <c r="D93" s="0" t="n">
        <v>2</v>
      </c>
      <c r="E93" s="0" t="n">
        <v>1</v>
      </c>
      <c r="F93" s="0" t="s">
        <v>335</v>
      </c>
      <c r="G93" s="0" t="n">
        <v>16</v>
      </c>
      <c r="H93" s="0" t="n">
        <v>31.11</v>
      </c>
      <c r="I93" s="0" t="s">
        <v>336</v>
      </c>
      <c r="J93" s="0" t="s">
        <v>337</v>
      </c>
      <c r="K93" s="0" t="s">
        <v>34</v>
      </c>
    </row>
    <row r="94" customFormat="false" ht="15" hidden="false" customHeight="false" outlineLevel="0" collapsed="false">
      <c r="A94" s="5" t="s">
        <v>338</v>
      </c>
    </row>
    <row r="95" customFormat="false" ht="15" hidden="false" customHeight="false" outlineLevel="0" collapsed="false">
      <c r="A95" s="0" t="s">
        <v>339</v>
      </c>
      <c r="B95" s="0" t="s">
        <v>340</v>
      </c>
      <c r="C95" s="0" t="n">
        <v>15.647</v>
      </c>
      <c r="D95" s="0" t="n">
        <v>5.375</v>
      </c>
      <c r="E95" s="0" t="n">
        <v>2</v>
      </c>
      <c r="F95" s="0" t="s">
        <v>31</v>
      </c>
      <c r="G95" s="0" t="n">
        <v>16</v>
      </c>
      <c r="H95" s="0" t="n">
        <v>15.64</v>
      </c>
      <c r="I95" s="0" t="s">
        <v>341</v>
      </c>
      <c r="J95" s="0" t="s">
        <v>342</v>
      </c>
      <c r="K95" s="0" t="s">
        <v>34</v>
      </c>
    </row>
    <row r="96" customFormat="false" ht="15" hidden="false" customHeight="false" outlineLevel="0" collapsed="false">
      <c r="A96" s="0" t="s">
        <v>343</v>
      </c>
      <c r="B96" s="0" t="s">
        <v>344</v>
      </c>
      <c r="C96" s="0" t="n">
        <v>6.857</v>
      </c>
      <c r="D96" s="0" t="n">
        <v>5.375</v>
      </c>
      <c r="E96" s="0" t="n">
        <v>2</v>
      </c>
      <c r="F96" s="0" t="s">
        <v>31</v>
      </c>
      <c r="G96" s="0" t="n">
        <v>16</v>
      </c>
      <c r="H96" s="0" t="n">
        <v>17.14</v>
      </c>
      <c r="I96" s="0" t="s">
        <v>345</v>
      </c>
      <c r="J96" s="0" t="s">
        <v>346</v>
      </c>
      <c r="K96" s="0" t="s">
        <v>34</v>
      </c>
    </row>
    <row r="97" customFormat="false" ht="15" hidden="false" customHeight="false" outlineLevel="0" collapsed="false">
      <c r="A97" s="5" t="s">
        <v>347</v>
      </c>
    </row>
    <row r="98" customFormat="false" ht="15" hidden="false" customHeight="false" outlineLevel="0" collapsed="false">
      <c r="A98" s="0" t="s">
        <v>348</v>
      </c>
      <c r="B98" s="0" t="s">
        <v>349</v>
      </c>
      <c r="C98" s="0" t="n">
        <v>52.333</v>
      </c>
      <c r="D98" s="0" t="n">
        <v>3.05</v>
      </c>
      <c r="E98" s="0" t="n">
        <v>1</v>
      </c>
      <c r="F98" s="0" t="s">
        <v>31</v>
      </c>
      <c r="G98" s="0" t="n">
        <v>16</v>
      </c>
      <c r="H98" s="0" t="n">
        <v>297.25</v>
      </c>
      <c r="I98" s="0" t="s">
        <v>350</v>
      </c>
      <c r="J98" s="0" t="s">
        <v>351</v>
      </c>
      <c r="K98" s="0" t="s">
        <v>34</v>
      </c>
    </row>
    <row r="99" customFormat="false" ht="15" hidden="false" customHeight="false" outlineLevel="0" collapsed="false">
      <c r="A99" s="6" t="s">
        <v>352</v>
      </c>
      <c r="C99" s="3" t="n">
        <f aca="false">SUM(C5:C98)</f>
        <v>1081.642</v>
      </c>
      <c r="H99" s="3" t="n">
        <f aca="false">SUM(H5:H98)</f>
        <v>18081.16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57"/>
    <col collapsed="false" customWidth="true" hidden="false" outlineLevel="0" max="9" min="9" style="0" width="60"/>
  </cols>
  <sheetData>
    <row r="1" customFormat="false" ht="16.15" hidden="false" customHeight="false" outlineLevel="0" collapsed="false">
      <c r="A1" s="1" t="s">
        <v>353</v>
      </c>
    </row>
    <row r="2" customFormat="false" ht="15" hidden="false" customHeight="false" outlineLevel="0" collapsed="false">
      <c r="A2" s="0" t="s">
        <v>354</v>
      </c>
    </row>
    <row r="3" customFormat="false" ht="15" hidden="false" customHeight="false" outlineLevel="0" collapsed="false">
      <c r="A3" s="4" t="s">
        <v>355</v>
      </c>
      <c r="B3" s="4" t="s">
        <v>356</v>
      </c>
      <c r="C3" s="4" t="s">
        <v>357</v>
      </c>
      <c r="D3" s="4" t="s">
        <v>358</v>
      </c>
      <c r="E3" s="4" t="s">
        <v>359</v>
      </c>
      <c r="F3" s="4" t="s">
        <v>360</v>
      </c>
      <c r="G3" s="4" t="s">
        <v>361</v>
      </c>
      <c r="H3" s="4" t="s">
        <v>362</v>
      </c>
      <c r="I3" s="4" t="s">
        <v>363</v>
      </c>
    </row>
    <row r="4" customFormat="false" ht="15" hidden="false" customHeight="false" outlineLevel="0" collapsed="false">
      <c r="A4" s="0" t="s">
        <v>364</v>
      </c>
      <c r="B4" s="0" t="s">
        <v>365</v>
      </c>
      <c r="C4" s="0" t="n">
        <v>4152.21</v>
      </c>
      <c r="D4" s="0" t="n">
        <f aca="false">Inputs!$B$4</f>
        <v>0.15</v>
      </c>
      <c r="E4" s="0" t="n">
        <f aca="false">C4*D4</f>
        <v>622.8315</v>
      </c>
      <c r="F4" s="0" t="n">
        <f aca="false">C4+E4</f>
        <v>4775.0415</v>
      </c>
      <c r="G4" s="0" t="s">
        <v>366</v>
      </c>
      <c r="H4" s="0" t="n">
        <f aca="false">ROUNDUP(ROUNDUP(F4/15.375,0)/MAX(1,INT(20/15.375)),0)</f>
        <v>311</v>
      </c>
      <c r="I4" s="0" t="s">
        <v>367</v>
      </c>
    </row>
    <row r="5" customFormat="false" ht="15" hidden="false" customHeight="false" outlineLevel="0" collapsed="false">
      <c r="A5" s="0" t="s">
        <v>368</v>
      </c>
      <c r="B5" s="0" t="s">
        <v>365</v>
      </c>
      <c r="C5" s="0" t="n">
        <v>22</v>
      </c>
      <c r="D5" s="0" t="n">
        <f aca="false">Inputs!$B$4</f>
        <v>0.15</v>
      </c>
      <c r="E5" s="0" t="n">
        <f aca="false">C5*D5</f>
        <v>3.3</v>
      </c>
      <c r="F5" s="0" t="n">
        <f aca="false">C5+E5</f>
        <v>25.3</v>
      </c>
      <c r="G5" s="0" t="s">
        <v>366</v>
      </c>
      <c r="H5" s="0" t="n">
        <f aca="false">ROUNDUP(ROUNDUP(F5/2,0)/MAX(1,INT(20/2)),0)</f>
        <v>2</v>
      </c>
      <c r="I5" s="0" t="s">
        <v>369</v>
      </c>
    </row>
    <row r="6" customFormat="false" ht="15" hidden="false" customHeight="false" outlineLevel="0" collapsed="false">
      <c r="A6" s="0" t="s">
        <v>370</v>
      </c>
      <c r="B6" s="0" t="s">
        <v>365</v>
      </c>
      <c r="C6" s="0" t="n">
        <v>3888.34</v>
      </c>
      <c r="D6" s="0" t="n">
        <f aca="false">Inputs!$B$4</f>
        <v>0.15</v>
      </c>
      <c r="E6" s="0" t="n">
        <f aca="false">C6*D6</f>
        <v>583.251</v>
      </c>
      <c r="F6" s="0" t="n">
        <f aca="false">C6+E6</f>
        <v>4471.591</v>
      </c>
      <c r="G6" s="0" t="s">
        <v>366</v>
      </c>
      <c r="H6" s="0" t="n">
        <f aca="false">ROUNDUP(ROUNDUP(F6/15.375,0)/MAX(1,INT(20/15.375)),0)</f>
        <v>291</v>
      </c>
      <c r="I6" s="0" t="s">
        <v>371</v>
      </c>
    </row>
    <row r="7" customFormat="false" ht="15" hidden="false" customHeight="false" outlineLevel="0" collapsed="false">
      <c r="A7" s="0" t="s">
        <v>372</v>
      </c>
      <c r="B7" s="0" t="s">
        <v>365</v>
      </c>
      <c r="C7" s="0" t="n">
        <v>391.85</v>
      </c>
      <c r="D7" s="0" t="n">
        <f aca="false">Inputs!$B$4</f>
        <v>0.15</v>
      </c>
      <c r="E7" s="0" t="n">
        <f aca="false">C7*D7</f>
        <v>58.7775</v>
      </c>
      <c r="F7" s="0" t="n">
        <f aca="false">C7+E7</f>
        <v>450.6275</v>
      </c>
      <c r="G7" s="0" t="s">
        <v>366</v>
      </c>
      <c r="H7" s="0" t="n">
        <f aca="false">ROUNDUP(ROUNDUP(F7/1.979,0)/MAX(1,INT(20/1.979)),0)</f>
        <v>23</v>
      </c>
      <c r="I7" s="0" t="s">
        <v>373</v>
      </c>
    </row>
    <row r="8" customFormat="false" ht="15" hidden="false" customHeight="false" outlineLevel="0" collapsed="false">
      <c r="A8" s="0" t="s">
        <v>374</v>
      </c>
      <c r="B8" s="0" t="s">
        <v>365</v>
      </c>
      <c r="C8" s="0" t="n">
        <v>465.57</v>
      </c>
      <c r="D8" s="0" t="n">
        <f aca="false">Inputs!$B$4</f>
        <v>0.15</v>
      </c>
      <c r="E8" s="0" t="n">
        <f aca="false">C8*D8</f>
        <v>69.8355</v>
      </c>
      <c r="F8" s="0" t="n">
        <f aca="false">C8+E8</f>
        <v>535.4055</v>
      </c>
      <c r="G8" s="0" t="s">
        <v>366</v>
      </c>
      <c r="H8" s="0" t="n">
        <f aca="false">ROUNDUP(ROUNDUP(F8/4.646,0)/MAX(1,INT(20/4.646)),0)</f>
        <v>29</v>
      </c>
      <c r="I8" s="0" t="s">
        <v>375</v>
      </c>
    </row>
    <row r="9" customFormat="false" ht="15" hidden="false" customHeight="false" outlineLevel="0" collapsed="false">
      <c r="A9" s="0" t="s">
        <v>376</v>
      </c>
      <c r="B9" s="0" t="s">
        <v>365</v>
      </c>
      <c r="C9" s="0" t="n">
        <v>294</v>
      </c>
      <c r="D9" s="0" t="n">
        <f aca="false">Inputs!$B$4</f>
        <v>0.15</v>
      </c>
      <c r="E9" s="0" t="n">
        <f aca="false">C9*D9</f>
        <v>44.1</v>
      </c>
      <c r="F9" s="0" t="n">
        <f aca="false">C9+E9</f>
        <v>338.1</v>
      </c>
      <c r="G9" s="0" t="s">
        <v>366</v>
      </c>
      <c r="H9" s="0" t="n">
        <f aca="false">ROUNDUP(ROUNDUP(F9/10.5,0)/MAX(1,INT(20/10.5)),0)</f>
        <v>33</v>
      </c>
      <c r="I9" s="0" t="s">
        <v>377</v>
      </c>
    </row>
    <row r="10" customFormat="false" ht="15" hidden="false" customHeight="false" outlineLevel="0" collapsed="false">
      <c r="A10" s="0" t="s">
        <v>378</v>
      </c>
      <c r="B10" s="0" t="s">
        <v>365</v>
      </c>
      <c r="C10" s="0" t="n">
        <v>749.92</v>
      </c>
      <c r="D10" s="0" t="n">
        <f aca="false">Inputs!$B$4</f>
        <v>0.15</v>
      </c>
      <c r="E10" s="0" t="n">
        <f aca="false">C10*D10</f>
        <v>112.488</v>
      </c>
      <c r="F10" s="0" t="n">
        <f aca="false">C10+E10</f>
        <v>862.408</v>
      </c>
      <c r="G10" s="0" t="s">
        <v>366</v>
      </c>
      <c r="H10" s="0" t="n">
        <f aca="false">ROUNDUP(ROUNDUP(F10/17.44,0)/MAX(1,INT(20/17.44)),0)</f>
        <v>50</v>
      </c>
      <c r="I10" s="0" t="s">
        <v>379</v>
      </c>
    </row>
    <row r="11" customFormat="false" ht="15" hidden="false" customHeight="false" outlineLevel="0" collapsed="false">
      <c r="A11" s="0" t="s">
        <v>380</v>
      </c>
      <c r="B11" s="0" t="s">
        <v>365</v>
      </c>
      <c r="C11" s="0" t="n">
        <v>87.5</v>
      </c>
      <c r="D11" s="0" t="n">
        <f aca="false">Inputs!$B$4</f>
        <v>0.15</v>
      </c>
      <c r="E11" s="0" t="n">
        <f aca="false">C11*D11</f>
        <v>13.125</v>
      </c>
      <c r="F11" s="0" t="n">
        <f aca="false">C11+E11</f>
        <v>100.625</v>
      </c>
      <c r="G11" s="0" t="s">
        <v>366</v>
      </c>
      <c r="H11" s="0" t="n">
        <f aca="false">ROUNDUP(ROUNDUP(F11/4.375,0)/MAX(1,INT(20/4.375)),0)</f>
        <v>6</v>
      </c>
      <c r="I11" s="0" t="s">
        <v>381</v>
      </c>
    </row>
    <row r="12" customFormat="false" ht="15" hidden="false" customHeight="false" outlineLevel="0" collapsed="false">
      <c r="A12" s="0" t="s">
        <v>382</v>
      </c>
      <c r="B12" s="0" t="s">
        <v>365</v>
      </c>
      <c r="C12" s="0" t="n">
        <v>37.59</v>
      </c>
      <c r="D12" s="0" t="n">
        <f aca="false">Inputs!$B$4</f>
        <v>0.15</v>
      </c>
      <c r="E12" s="0" t="n">
        <f aca="false">C12*D12</f>
        <v>5.6385</v>
      </c>
      <c r="F12" s="0" t="n">
        <f aca="false">C12+E12</f>
        <v>43.2285</v>
      </c>
      <c r="G12" s="0" t="s">
        <v>366</v>
      </c>
      <c r="H12" s="0" t="n">
        <f aca="false">ROUNDUP(ROUNDUP(F12/3.417,0)/MAX(1,INT(20/3.417)),0)</f>
        <v>3</v>
      </c>
      <c r="I12" s="0" t="s">
        <v>383</v>
      </c>
    </row>
    <row r="13" customFormat="false" ht="15" hidden="false" customHeight="false" outlineLevel="0" collapsed="false">
      <c r="A13" s="0" t="s">
        <v>384</v>
      </c>
      <c r="B13" s="0" t="s">
        <v>365</v>
      </c>
      <c r="C13" s="0" t="n">
        <v>139.02</v>
      </c>
      <c r="D13" s="0" t="n">
        <f aca="false">Inputs!$B$4</f>
        <v>0.15</v>
      </c>
      <c r="E13" s="0" t="n">
        <f aca="false">C13*D13</f>
        <v>20.853</v>
      </c>
      <c r="F13" s="0" t="n">
        <f aca="false">C13+E13</f>
        <v>159.873</v>
      </c>
      <c r="G13" s="0" t="s">
        <v>366</v>
      </c>
      <c r="H13" s="0" t="n">
        <f aca="false">ROUNDUP(ROUNDUP(F13/7.375,0)/MAX(1,INT(20/7.375)),0)</f>
        <v>11</v>
      </c>
      <c r="I13" s="0" t="s">
        <v>383</v>
      </c>
    </row>
    <row r="14" customFormat="false" ht="15" hidden="false" customHeight="false" outlineLevel="0" collapsed="false">
      <c r="A14" s="0" t="s">
        <v>385</v>
      </c>
      <c r="B14" s="0" t="s">
        <v>365</v>
      </c>
      <c r="C14" s="0" t="n">
        <v>178.97</v>
      </c>
      <c r="D14" s="0" t="n">
        <f aca="false">Inputs!$B$4</f>
        <v>0.15</v>
      </c>
      <c r="E14" s="0" t="n">
        <f aca="false">C14*D14</f>
        <v>26.8455</v>
      </c>
      <c r="F14" s="0" t="n">
        <f aca="false">C14+E14</f>
        <v>205.8155</v>
      </c>
      <c r="G14" s="0" t="s">
        <v>366</v>
      </c>
      <c r="H14" s="0" t="n">
        <f aca="false">ROUNDUP(ROUNDUP(F14/15.375,0)/MAX(1,INT(20/15.375)),0)</f>
        <v>14</v>
      </c>
      <c r="I14" s="0" t="s">
        <v>386</v>
      </c>
    </row>
    <row r="15" customFormat="false" ht="15" hidden="false" customHeight="false" outlineLevel="0" collapsed="false">
      <c r="A15" s="0" t="s">
        <v>387</v>
      </c>
      <c r="B15" s="0" t="s">
        <v>365</v>
      </c>
      <c r="C15" s="0" t="n">
        <v>3468.1</v>
      </c>
      <c r="D15" s="0" t="n">
        <f aca="false">Inputs!$B$4</f>
        <v>0.15</v>
      </c>
      <c r="E15" s="0" t="n">
        <f aca="false">C15*D15</f>
        <v>520.215</v>
      </c>
      <c r="F15" s="0" t="n">
        <f aca="false">C15+E15</f>
        <v>3988.315</v>
      </c>
      <c r="G15" s="0" t="s">
        <v>366</v>
      </c>
      <c r="H15" s="0" t="n">
        <f aca="false">ROUNDUP(ROUNDUP(F15/15.375,0)/MAX(1,INT(20/15.375)),0)</f>
        <v>260</v>
      </c>
      <c r="I15" s="0" t="s">
        <v>388</v>
      </c>
    </row>
    <row r="16" customFormat="false" ht="15" hidden="false" customHeight="false" outlineLevel="0" collapsed="false">
      <c r="A16" s="0" t="s">
        <v>389</v>
      </c>
      <c r="B16" s="0" t="s">
        <v>365</v>
      </c>
      <c r="C16" s="0" t="n">
        <v>1554.87</v>
      </c>
      <c r="D16" s="0" t="n">
        <f aca="false">Inputs!$B$4</f>
        <v>0.15</v>
      </c>
      <c r="E16" s="0" t="n">
        <f aca="false">C16*D16</f>
        <v>233.2305</v>
      </c>
      <c r="F16" s="0" t="n">
        <f aca="false">C16+E16</f>
        <v>1788.1005</v>
      </c>
      <c r="G16" s="0" t="s">
        <v>366</v>
      </c>
      <c r="H16" s="0" t="n">
        <f aca="false">ROUNDUP(ROUNDUP(F16/15.375,0)/MAX(1,INT(20/15.375)),0)</f>
        <v>117</v>
      </c>
      <c r="I16" s="0" t="s">
        <v>390</v>
      </c>
    </row>
    <row r="17" customFormat="false" ht="15" hidden="false" customHeight="false" outlineLevel="0" collapsed="false">
      <c r="A17" s="0" t="s">
        <v>391</v>
      </c>
      <c r="B17" s="0" t="s">
        <v>365</v>
      </c>
      <c r="C17" s="0" t="n">
        <v>1083.42</v>
      </c>
      <c r="D17" s="0" t="n">
        <f aca="false">Inputs!$B$4</f>
        <v>0.15</v>
      </c>
      <c r="E17" s="0" t="n">
        <f aca="false">C17*D17</f>
        <v>162.513</v>
      </c>
      <c r="F17" s="0" t="n">
        <f aca="false">C17+E17</f>
        <v>1245.933</v>
      </c>
      <c r="G17" s="0" t="s">
        <v>366</v>
      </c>
      <c r="H17" s="0" t="n">
        <f aca="false">ROUNDUP(ROUNDUP(F17/4.886,0)/MAX(1,INT(20/4.886)),0)</f>
        <v>64</v>
      </c>
      <c r="I17" s="0" t="s">
        <v>392</v>
      </c>
    </row>
    <row r="18" customFormat="false" ht="15" hidden="false" customHeight="false" outlineLevel="0" collapsed="false">
      <c r="A18" s="0" t="s">
        <v>393</v>
      </c>
      <c r="B18" s="0" t="s">
        <v>394</v>
      </c>
      <c r="C18" s="0" t="n">
        <v>1</v>
      </c>
      <c r="D18" s="0" t="n">
        <v>0</v>
      </c>
      <c r="E18" s="0" t="n">
        <f aca="false">C18*D18</f>
        <v>0</v>
      </c>
      <c r="F18" s="0" t="n">
        <f aca="false">C18+E18</f>
        <v>1</v>
      </c>
      <c r="G18" s="0" t="s">
        <v>394</v>
      </c>
      <c r="H18" s="0" t="n">
        <f aca="false">ROUNDUP(F18,0)</f>
        <v>1</v>
      </c>
      <c r="I18" s="0" t="s">
        <v>395</v>
      </c>
    </row>
    <row r="19" customFormat="false" ht="15" hidden="false" customHeight="false" outlineLevel="0" collapsed="false">
      <c r="A19" s="0" t="s">
        <v>396</v>
      </c>
      <c r="B19" s="0" t="s">
        <v>365</v>
      </c>
      <c r="C19" s="0" t="n">
        <v>56</v>
      </c>
      <c r="D19" s="0" t="n">
        <f aca="false">Inputs!$B$4</f>
        <v>0.15</v>
      </c>
      <c r="E19" s="0" t="n">
        <f aca="false">C19*D19</f>
        <v>8.4</v>
      </c>
      <c r="F19" s="0" t="n">
        <f aca="false">C19+E19</f>
        <v>64.4</v>
      </c>
      <c r="G19" s="0" t="s">
        <v>397</v>
      </c>
      <c r="H19" s="0" t="n">
        <f aca="false">ROUNDUP(F19/10,0)</f>
        <v>7</v>
      </c>
      <c r="I19" s="0" t="s">
        <v>398</v>
      </c>
    </row>
    <row r="20" customFormat="false" ht="15" hidden="false" customHeight="false" outlineLevel="0" collapsed="false">
      <c r="A20" s="0" t="s">
        <v>399</v>
      </c>
      <c r="B20" s="0" t="s">
        <v>365</v>
      </c>
      <c r="C20" s="0" t="n">
        <v>295.11</v>
      </c>
      <c r="D20" s="0" t="n">
        <f aca="false">Inputs!$B$4</f>
        <v>0.15</v>
      </c>
      <c r="E20" s="0" t="n">
        <f aca="false">C20*D20</f>
        <v>44.2665</v>
      </c>
      <c r="F20" s="0" t="n">
        <f aca="false">C20+E20</f>
        <v>339.3765</v>
      </c>
      <c r="G20" s="0" t="s">
        <v>397</v>
      </c>
      <c r="H20" s="0" t="n">
        <f aca="false">ROUNDUP(F20/10,0)</f>
        <v>34</v>
      </c>
      <c r="I20" s="0" t="s">
        <v>367</v>
      </c>
    </row>
    <row r="21" customFormat="false" ht="15" hidden="false" customHeight="false" outlineLevel="0" collapsed="false">
      <c r="A21" s="0" t="s">
        <v>400</v>
      </c>
      <c r="B21" s="0" t="s">
        <v>365</v>
      </c>
      <c r="C21" s="0" t="n">
        <v>13.33</v>
      </c>
      <c r="D21" s="0" t="n">
        <f aca="false">Inputs!$B$4</f>
        <v>0.15</v>
      </c>
      <c r="E21" s="0" t="n">
        <f aca="false">C21*D21</f>
        <v>1.9995</v>
      </c>
      <c r="F21" s="0" t="n">
        <f aca="false">C21+E21</f>
        <v>15.3295</v>
      </c>
      <c r="G21" s="0" t="s">
        <v>397</v>
      </c>
      <c r="H21" s="0" t="n">
        <f aca="false">ROUNDUP(F21/10,0)</f>
        <v>2</v>
      </c>
      <c r="I21" s="0" t="s">
        <v>369</v>
      </c>
    </row>
    <row r="22" customFormat="false" ht="15" hidden="false" customHeight="false" outlineLevel="0" collapsed="false">
      <c r="A22" s="0" t="s">
        <v>401</v>
      </c>
      <c r="B22" s="0" t="s">
        <v>365</v>
      </c>
      <c r="C22" s="0" t="n">
        <v>400.97</v>
      </c>
      <c r="D22" s="0" t="n">
        <f aca="false">Inputs!$B$4</f>
        <v>0.15</v>
      </c>
      <c r="E22" s="0" t="n">
        <f aca="false">C22*D22</f>
        <v>60.1455</v>
      </c>
      <c r="F22" s="0" t="n">
        <f aca="false">C22+E22</f>
        <v>461.1155</v>
      </c>
      <c r="G22" s="0" t="s">
        <v>397</v>
      </c>
      <c r="H22" s="0" t="n">
        <f aca="false">ROUNDUP(F22/10,0)</f>
        <v>47</v>
      </c>
      <c r="I22" s="0" t="s">
        <v>371</v>
      </c>
    </row>
    <row r="23" customFormat="false" ht="15" hidden="false" customHeight="false" outlineLevel="0" collapsed="false">
      <c r="A23" s="0" t="s">
        <v>402</v>
      </c>
      <c r="B23" s="0" t="s">
        <v>365</v>
      </c>
      <c r="C23" s="0" t="n">
        <v>19.33</v>
      </c>
      <c r="D23" s="0" t="n">
        <f aca="false">Inputs!$B$4</f>
        <v>0.15</v>
      </c>
      <c r="E23" s="0" t="n">
        <f aca="false">C23*D23</f>
        <v>2.8995</v>
      </c>
      <c r="F23" s="0" t="n">
        <f aca="false">C23+E23</f>
        <v>22.2295</v>
      </c>
      <c r="G23" s="0" t="s">
        <v>397</v>
      </c>
      <c r="H23" s="0" t="n">
        <f aca="false">ROUNDUP(F23/10,0)</f>
        <v>3</v>
      </c>
      <c r="I23" s="0" t="s">
        <v>377</v>
      </c>
    </row>
    <row r="24" customFormat="false" ht="15" hidden="false" customHeight="false" outlineLevel="0" collapsed="false">
      <c r="A24" s="0" t="s">
        <v>403</v>
      </c>
      <c r="B24" s="0" t="s">
        <v>365</v>
      </c>
      <c r="C24" s="0" t="n">
        <v>9.07</v>
      </c>
      <c r="D24" s="0" t="n">
        <f aca="false">Inputs!$B$4</f>
        <v>0.15</v>
      </c>
      <c r="E24" s="0" t="n">
        <f aca="false">C24*D24</f>
        <v>1.3605</v>
      </c>
      <c r="F24" s="0" t="n">
        <f aca="false">C24+E24</f>
        <v>10.4305</v>
      </c>
      <c r="G24" s="0" t="s">
        <v>397</v>
      </c>
      <c r="H24" s="0" t="n">
        <f aca="false">ROUNDUP(F24/10,0)</f>
        <v>2</v>
      </c>
      <c r="I24" s="0" t="s">
        <v>386</v>
      </c>
    </row>
    <row r="25" customFormat="false" ht="15" hidden="false" customHeight="false" outlineLevel="0" collapsed="false">
      <c r="A25" s="0" t="s">
        <v>404</v>
      </c>
      <c r="B25" s="0" t="s">
        <v>365</v>
      </c>
      <c r="C25" s="0" t="n">
        <v>83.91</v>
      </c>
      <c r="D25" s="0" t="n">
        <f aca="false">Inputs!$B$4</f>
        <v>0.15</v>
      </c>
      <c r="E25" s="0" t="n">
        <f aca="false">C25*D25</f>
        <v>12.5865</v>
      </c>
      <c r="F25" s="0" t="n">
        <f aca="false">C25+E25</f>
        <v>96.4965</v>
      </c>
      <c r="G25" s="0" t="s">
        <v>397</v>
      </c>
      <c r="H25" s="0" t="n">
        <f aca="false">ROUNDUP(F25/10,0)</f>
        <v>10</v>
      </c>
      <c r="I25" s="0" t="s">
        <v>390</v>
      </c>
    </row>
    <row r="26" customFormat="false" ht="15" hidden="false" customHeight="false" outlineLevel="0" collapsed="false">
      <c r="A26" s="0" t="s">
        <v>405</v>
      </c>
      <c r="B26" s="0" t="s">
        <v>365</v>
      </c>
      <c r="C26" s="0" t="n">
        <v>264.59</v>
      </c>
      <c r="D26" s="0" t="n">
        <f aca="false">Inputs!$B$4</f>
        <v>0.15</v>
      </c>
      <c r="E26" s="0" t="n">
        <f aca="false">C26*D26</f>
        <v>39.6885</v>
      </c>
      <c r="F26" s="0" t="n">
        <f aca="false">C26+E26</f>
        <v>304.2785</v>
      </c>
      <c r="G26" s="0" t="s">
        <v>397</v>
      </c>
      <c r="H26" s="0" t="n">
        <f aca="false">ROUNDUP(F26/10,0)</f>
        <v>31</v>
      </c>
      <c r="I26" s="0" t="s">
        <v>388</v>
      </c>
    </row>
    <row r="27" customFormat="false" ht="15" hidden="false" customHeight="false" outlineLevel="0" collapsed="false">
      <c r="A27" s="0" t="s">
        <v>406</v>
      </c>
      <c r="B27" s="0" t="s">
        <v>365</v>
      </c>
      <c r="C27" s="0" t="n">
        <v>274.88</v>
      </c>
      <c r="D27" s="0" t="n">
        <f aca="false">Inputs!$B$4</f>
        <v>0.15</v>
      </c>
      <c r="E27" s="0" t="n">
        <f aca="false">C27*D27</f>
        <v>41.232</v>
      </c>
      <c r="F27" s="0" t="n">
        <f aca="false">C27+E27</f>
        <v>316.112</v>
      </c>
      <c r="G27" s="0" t="s">
        <v>397</v>
      </c>
      <c r="H27" s="0" t="n">
        <f aca="false">ROUNDUP(F27/10,0)</f>
        <v>32</v>
      </c>
      <c r="I27" s="0" t="s">
        <v>392</v>
      </c>
    </row>
    <row r="28" customFormat="false" ht="15" hidden="false" customHeight="false" outlineLevel="0" collapsed="false">
      <c r="A28" s="0" t="s">
        <v>407</v>
      </c>
      <c r="B28" s="0" t="s">
        <v>365</v>
      </c>
      <c r="C28" s="0" t="n">
        <v>2625.86</v>
      </c>
      <c r="D28" s="0" t="n">
        <f aca="false">Inputs!$B$4</f>
        <v>0.15</v>
      </c>
      <c r="E28" s="0" t="n">
        <f aca="false">C28*D28</f>
        <v>393.879</v>
      </c>
      <c r="F28" s="0" t="n">
        <f aca="false">C28+E28</f>
        <v>3019.739</v>
      </c>
      <c r="G28" s="0" t="s">
        <v>408</v>
      </c>
      <c r="H28" s="0" t="n">
        <f aca="false">ROUNDUP(F28/16,0)</f>
        <v>189</v>
      </c>
      <c r="I28" s="0" t="s">
        <v>409</v>
      </c>
    </row>
    <row r="29" customFormat="false" ht="15" hidden="false" customHeight="false" outlineLevel="0" collapsed="false">
      <c r="A29" s="0" t="s">
        <v>410</v>
      </c>
      <c r="B29" s="0" t="s">
        <v>365</v>
      </c>
      <c r="C29" s="0" t="n">
        <v>235.63</v>
      </c>
      <c r="D29" s="0" t="n">
        <f aca="false">Inputs!$B$4</f>
        <v>0.15</v>
      </c>
      <c r="E29" s="0" t="n">
        <f aca="false">C29*D29</f>
        <v>35.3445</v>
      </c>
      <c r="F29" s="0" t="n">
        <f aca="false">C29+E29</f>
        <v>270.9745</v>
      </c>
      <c r="G29" s="0" t="s">
        <v>408</v>
      </c>
      <c r="H29" s="0" t="n">
        <f aca="false">ROUNDUP(F29/16,0)</f>
        <v>17</v>
      </c>
      <c r="I29" s="0" t="s">
        <v>411</v>
      </c>
    </row>
    <row r="30" customFormat="false" ht="15" hidden="false" customHeight="false" outlineLevel="0" collapsed="false">
      <c r="A30" s="0" t="s">
        <v>412</v>
      </c>
      <c r="B30" s="0" t="s">
        <v>365</v>
      </c>
      <c r="C30" s="0" t="n">
        <v>48.08</v>
      </c>
      <c r="D30" s="0" t="n">
        <f aca="false">Inputs!$B$4</f>
        <v>0.15</v>
      </c>
      <c r="E30" s="0" t="n">
        <f aca="false">C30*D30</f>
        <v>7.212</v>
      </c>
      <c r="F30" s="0" t="n">
        <f aca="false">C30+E30</f>
        <v>55.292</v>
      </c>
      <c r="G30" s="0" t="s">
        <v>397</v>
      </c>
      <c r="H30" s="0" t="n">
        <f aca="false">ROUNDUP(F30/10,0)</f>
        <v>6</v>
      </c>
      <c r="I30" s="0" t="s">
        <v>383</v>
      </c>
    </row>
    <row r="31" customFormat="false" ht="15" hidden="false" customHeight="false" outlineLevel="0" collapsed="false">
      <c r="A31" s="0" t="s">
        <v>413</v>
      </c>
      <c r="B31" s="0" t="s">
        <v>365</v>
      </c>
      <c r="C31" s="0" t="n">
        <v>496.12</v>
      </c>
      <c r="D31" s="0" t="n">
        <f aca="false">Inputs!$B$4</f>
        <v>0.15</v>
      </c>
      <c r="E31" s="0" t="n">
        <f aca="false">C31*D31</f>
        <v>74.418</v>
      </c>
      <c r="F31" s="0" t="n">
        <f aca="false">C31+E31</f>
        <v>570.538</v>
      </c>
      <c r="G31" s="0" t="s">
        <v>397</v>
      </c>
      <c r="H31" s="0" t="n">
        <f aca="false">ROUNDUP(F31/10,0)</f>
        <v>58</v>
      </c>
      <c r="I31" s="0" t="s">
        <v>373</v>
      </c>
    </row>
    <row r="32" customFormat="false" ht="15" hidden="false" customHeight="false" outlineLevel="0" collapsed="false">
      <c r="A32" s="0" t="s">
        <v>414</v>
      </c>
      <c r="B32" s="0" t="s">
        <v>365</v>
      </c>
      <c r="C32" s="0" t="n">
        <v>426.36</v>
      </c>
      <c r="D32" s="0" t="n">
        <f aca="false">Inputs!$B$4</f>
        <v>0.15</v>
      </c>
      <c r="E32" s="0" t="n">
        <f aca="false">C32*D32</f>
        <v>63.954</v>
      </c>
      <c r="F32" s="0" t="n">
        <f aca="false">C32+E32</f>
        <v>490.314</v>
      </c>
      <c r="G32" s="0" t="s">
        <v>397</v>
      </c>
      <c r="H32" s="0" t="n">
        <f aca="false">ROUNDUP(F32/10,0)</f>
        <v>50</v>
      </c>
      <c r="I32" s="0" t="s">
        <v>373</v>
      </c>
    </row>
    <row r="33" customFormat="false" ht="15" hidden="false" customHeight="false" outlineLevel="0" collapsed="false">
      <c r="A33" s="0" t="s">
        <v>415</v>
      </c>
      <c r="B33" s="0" t="s">
        <v>365</v>
      </c>
      <c r="C33" s="0" t="n">
        <v>77.1</v>
      </c>
      <c r="D33" s="0" t="n">
        <f aca="false">Inputs!$B$4</f>
        <v>0.15</v>
      </c>
      <c r="E33" s="0" t="n">
        <f aca="false">C33*D33</f>
        <v>11.565</v>
      </c>
      <c r="F33" s="0" t="n">
        <f aca="false">C33+E33</f>
        <v>88.665</v>
      </c>
      <c r="G33" s="0" t="s">
        <v>397</v>
      </c>
      <c r="H33" s="0" t="n">
        <f aca="false">ROUNDUP(F33/10,0)</f>
        <v>9</v>
      </c>
      <c r="I33" s="0" t="s">
        <v>381</v>
      </c>
    </row>
    <row r="34" customFormat="false" ht="15" hidden="false" customHeight="false" outlineLevel="0" collapsed="false">
      <c r="A34" s="0" t="s">
        <v>416</v>
      </c>
      <c r="B34" s="0" t="s">
        <v>365</v>
      </c>
      <c r="C34" s="0" t="n">
        <v>200.04</v>
      </c>
      <c r="D34" s="0" t="n">
        <f aca="false">Inputs!$B$4</f>
        <v>0.15</v>
      </c>
      <c r="E34" s="0" t="n">
        <f aca="false">C34*D34</f>
        <v>30.006</v>
      </c>
      <c r="F34" s="0" t="n">
        <f aca="false">C34+E34</f>
        <v>230.046</v>
      </c>
      <c r="G34" s="0" t="s">
        <v>397</v>
      </c>
      <c r="H34" s="0" t="n">
        <f aca="false">ROUNDUP(F34/10,0)</f>
        <v>24</v>
      </c>
      <c r="I34" s="0" t="s">
        <v>411</v>
      </c>
    </row>
    <row r="35" customFormat="false" ht="15" hidden="false" customHeight="false" outlineLevel="0" collapsed="false">
      <c r="A35" s="0" t="s">
        <v>417</v>
      </c>
      <c r="B35" s="0" t="s">
        <v>394</v>
      </c>
      <c r="C35" s="0" t="n">
        <v>233</v>
      </c>
      <c r="D35" s="0" t="n">
        <v>0.15</v>
      </c>
      <c r="E35" s="0" t="n">
        <f aca="false">C35*D35</f>
        <v>34.95</v>
      </c>
      <c r="F35" s="0" t="n">
        <f aca="false">C35+E35</f>
        <v>267.95</v>
      </c>
      <c r="G35" s="0" t="s">
        <v>394</v>
      </c>
      <c r="H35" s="0" t="n">
        <f aca="false">ROUNDUP(F35,0)</f>
        <v>268</v>
      </c>
      <c r="I35" s="0" t="s">
        <v>418</v>
      </c>
    </row>
    <row r="36" customFormat="false" ht="15" hidden="false" customHeight="false" outlineLevel="0" collapsed="false">
      <c r="A36" s="0" t="s">
        <v>419</v>
      </c>
      <c r="B36" s="0" t="s">
        <v>365</v>
      </c>
      <c r="C36" s="0" t="n">
        <v>8</v>
      </c>
      <c r="D36" s="0" t="n">
        <f aca="false">Inputs!$B$4</f>
        <v>0.15</v>
      </c>
      <c r="E36" s="0" t="n">
        <f aca="false">C36*D36</f>
        <v>1.2</v>
      </c>
      <c r="F36" s="0" t="n">
        <f aca="false">C36+E36</f>
        <v>9.2</v>
      </c>
      <c r="G36" s="0" t="s">
        <v>365</v>
      </c>
      <c r="H36" s="0" t="n">
        <f aca="false">ROUNDUP(F36,0)</f>
        <v>10</v>
      </c>
      <c r="I36" s="0" t="s">
        <v>395</v>
      </c>
    </row>
    <row r="37" customFormat="false" ht="15" hidden="false" customHeight="false" outlineLevel="0" collapsed="false">
      <c r="A37" s="0" t="s">
        <v>420</v>
      </c>
      <c r="B37" s="0" t="s">
        <v>365</v>
      </c>
      <c r="C37" s="0" t="n">
        <v>28.03</v>
      </c>
      <c r="D37" s="0" t="n">
        <f aca="false">Inputs!$B$4</f>
        <v>0.15</v>
      </c>
      <c r="E37" s="0" t="n">
        <f aca="false">C37*D37</f>
        <v>4.2045</v>
      </c>
      <c r="F37" s="0" t="n">
        <f aca="false">C37+E37</f>
        <v>32.2345</v>
      </c>
      <c r="G37" s="0" t="s">
        <v>365</v>
      </c>
      <c r="H37" s="0" t="n">
        <f aca="false">ROUNDUP(F37,0)</f>
        <v>33</v>
      </c>
      <c r="I37" s="0" t="s">
        <v>395</v>
      </c>
    </row>
    <row r="38" customFormat="false" ht="15" hidden="false" customHeight="false" outlineLevel="0" collapsed="false">
      <c r="A38" s="0" t="s">
        <v>421</v>
      </c>
      <c r="B38" s="0" t="s">
        <v>365</v>
      </c>
      <c r="C38" s="0" t="n">
        <v>16</v>
      </c>
      <c r="D38" s="0" t="n">
        <f aca="false">Inputs!$B$4</f>
        <v>0.15</v>
      </c>
      <c r="E38" s="0" t="n">
        <f aca="false">C38*D38</f>
        <v>2.4</v>
      </c>
      <c r="F38" s="0" t="n">
        <f aca="false">C38+E38</f>
        <v>18.4</v>
      </c>
      <c r="G38" s="0" t="s">
        <v>365</v>
      </c>
      <c r="H38" s="0" t="n">
        <f aca="false">ROUNDUP(F38,0)</f>
        <v>19</v>
      </c>
      <c r="I38" s="0" t="s">
        <v>383</v>
      </c>
    </row>
    <row r="39" customFormat="false" ht="15" hidden="false" customHeight="false" outlineLevel="0" collapsed="false">
      <c r="A39" s="0" t="s">
        <v>422</v>
      </c>
      <c r="B39" s="0" t="s">
        <v>365</v>
      </c>
      <c r="C39" s="0" t="n">
        <v>96</v>
      </c>
      <c r="D39" s="0" t="n">
        <f aca="false">Inputs!$B$4</f>
        <v>0.15</v>
      </c>
      <c r="E39" s="0" t="n">
        <f aca="false">C39*D39</f>
        <v>14.4</v>
      </c>
      <c r="F39" s="0" t="n">
        <f aca="false">C39+E39</f>
        <v>110.4</v>
      </c>
      <c r="G39" s="0" t="s">
        <v>365</v>
      </c>
      <c r="H39" s="0" t="n">
        <f aca="false">ROUNDUP(F39,0)</f>
        <v>111</v>
      </c>
      <c r="I39" s="0" t="s">
        <v>395</v>
      </c>
    </row>
    <row r="40" customFormat="false" ht="15" hidden="false" customHeight="false" outlineLevel="0" collapsed="false">
      <c r="A40" s="0" t="s">
        <v>423</v>
      </c>
      <c r="B40" s="0" t="s">
        <v>365</v>
      </c>
      <c r="C40" s="0" t="n">
        <v>694.75</v>
      </c>
      <c r="D40" s="0" t="n">
        <f aca="false">Inputs!$B$4</f>
        <v>0.15</v>
      </c>
      <c r="E40" s="0" t="n">
        <f aca="false">C40*D40</f>
        <v>104.2125</v>
      </c>
      <c r="F40" s="0" t="n">
        <f aca="false">C40+E40</f>
        <v>798.9625</v>
      </c>
      <c r="G40" s="0" t="s">
        <v>365</v>
      </c>
      <c r="H40" s="0" t="n">
        <f aca="false">ROUNDUP(F40,0)</f>
        <v>799</v>
      </c>
      <c r="I40" s="0" t="s">
        <v>424</v>
      </c>
    </row>
    <row r="41" customFormat="false" ht="15" hidden="false" customHeight="false" outlineLevel="0" collapsed="false">
      <c r="A41" s="0" t="s">
        <v>425</v>
      </c>
      <c r="B41" s="0" t="s">
        <v>365</v>
      </c>
      <c r="C41" s="0" t="n">
        <v>22</v>
      </c>
      <c r="D41" s="0" t="n">
        <f aca="false">Inputs!$B$4</f>
        <v>0.15</v>
      </c>
      <c r="E41" s="0" t="n">
        <f aca="false">C41*D41</f>
        <v>3.3</v>
      </c>
      <c r="F41" s="0" t="n">
        <f aca="false">C41+E41</f>
        <v>25.3</v>
      </c>
      <c r="G41" s="0" t="s">
        <v>365</v>
      </c>
      <c r="H41" s="0" t="n">
        <f aca="false">ROUNDUP(F41,0)</f>
        <v>26</v>
      </c>
      <c r="I41" s="0" t="s">
        <v>395</v>
      </c>
    </row>
    <row r="42" customFormat="false" ht="15" hidden="false" customHeight="false" outlineLevel="0" collapsed="false">
      <c r="A42" s="0" t="s">
        <v>426</v>
      </c>
      <c r="B42" s="0" t="s">
        <v>365</v>
      </c>
      <c r="C42" s="0" t="n">
        <v>96</v>
      </c>
      <c r="D42" s="0" t="n">
        <f aca="false">Inputs!$B$4</f>
        <v>0.15</v>
      </c>
      <c r="E42" s="0" t="n">
        <f aca="false">C42*D42</f>
        <v>14.4</v>
      </c>
      <c r="F42" s="0" t="n">
        <f aca="false">C42+E42</f>
        <v>110.4</v>
      </c>
      <c r="G42" s="0" t="s">
        <v>365</v>
      </c>
      <c r="H42" s="0" t="n">
        <f aca="false">ROUNDUP(F42,0)</f>
        <v>111</v>
      </c>
      <c r="I42" s="0" t="s">
        <v>395</v>
      </c>
    </row>
    <row r="43" customFormat="false" ht="15" hidden="false" customHeight="false" outlineLevel="0" collapsed="false">
      <c r="A43" s="0" t="s">
        <v>427</v>
      </c>
      <c r="B43" s="0" t="s">
        <v>365</v>
      </c>
      <c r="C43" s="0" t="n">
        <v>706.83</v>
      </c>
      <c r="D43" s="0" t="n">
        <f aca="false">Inputs!$B$4</f>
        <v>0.15</v>
      </c>
      <c r="E43" s="0" t="n">
        <f aca="false">C43*D43</f>
        <v>106.0245</v>
      </c>
      <c r="F43" s="0" t="n">
        <f aca="false">C43+E43</f>
        <v>812.8545</v>
      </c>
      <c r="G43" s="0" t="s">
        <v>428</v>
      </c>
      <c r="H43" s="0" t="n">
        <f aca="false">ROUNDUP(F43/12,0)</f>
        <v>68</v>
      </c>
      <c r="I43" s="0" t="s">
        <v>411</v>
      </c>
    </row>
    <row r="44" customFormat="false" ht="15" hidden="false" customHeight="false" outlineLevel="0" collapsed="false">
      <c r="A44" s="0" t="s">
        <v>429</v>
      </c>
      <c r="B44" s="0" t="s">
        <v>365</v>
      </c>
      <c r="C44" s="0" t="n">
        <v>347.65</v>
      </c>
      <c r="D44" s="0" t="n">
        <f aca="false">Inputs!$B$4</f>
        <v>0.15</v>
      </c>
      <c r="E44" s="0" t="n">
        <f aca="false">C44*D44</f>
        <v>52.1475</v>
      </c>
      <c r="F44" s="0" t="n">
        <f aca="false">C44+E44</f>
        <v>399.7975</v>
      </c>
      <c r="G44" s="0" t="s">
        <v>365</v>
      </c>
      <c r="H44" s="0" t="n">
        <f aca="false">ROUNDUP(F44,0)</f>
        <v>400</v>
      </c>
      <c r="I44" s="0" t="s">
        <v>411</v>
      </c>
    </row>
    <row r="45" customFormat="false" ht="15" hidden="false" customHeight="false" outlineLevel="0" collapsed="false">
      <c r="A45" s="0" t="s">
        <v>430</v>
      </c>
      <c r="B45" s="0" t="s">
        <v>365</v>
      </c>
      <c r="C45" s="0" t="n">
        <v>29.33</v>
      </c>
      <c r="D45" s="0" t="n">
        <f aca="false">Inputs!$B$4</f>
        <v>0.15</v>
      </c>
      <c r="E45" s="0" t="n">
        <f aca="false">C45*D45</f>
        <v>4.3995</v>
      </c>
      <c r="F45" s="0" t="n">
        <f aca="false">C45+E45</f>
        <v>33.7295</v>
      </c>
      <c r="G45" s="0" t="s">
        <v>397</v>
      </c>
      <c r="H45" s="0" t="n">
        <f aca="false">ROUNDUP(F45/10,0)</f>
        <v>4</v>
      </c>
      <c r="I45" s="0" t="s">
        <v>369</v>
      </c>
    </row>
    <row r="46" customFormat="false" ht="15" hidden="false" customHeight="false" outlineLevel="0" collapsed="false">
      <c r="A46" s="0" t="s">
        <v>431</v>
      </c>
      <c r="B46" s="0" t="s">
        <v>365</v>
      </c>
      <c r="C46" s="0" t="n">
        <v>25.17</v>
      </c>
      <c r="D46" s="0" t="n">
        <f aca="false">Inputs!$B$4</f>
        <v>0.15</v>
      </c>
      <c r="E46" s="0" t="n">
        <f aca="false">C46*D46</f>
        <v>3.7755</v>
      </c>
      <c r="F46" s="0" t="n">
        <f aca="false">C46+E46</f>
        <v>28.9455</v>
      </c>
      <c r="G46" s="0" t="s">
        <v>397</v>
      </c>
      <c r="H46" s="0" t="n">
        <f aca="false">ROUNDUP(F46/10,0)</f>
        <v>3</v>
      </c>
      <c r="I46" s="0" t="s">
        <v>432</v>
      </c>
    </row>
    <row r="47" customFormat="false" ht="15" hidden="false" customHeight="false" outlineLevel="0" collapsed="false">
      <c r="A47" s="0" t="s">
        <v>433</v>
      </c>
      <c r="B47" s="0" t="s">
        <v>365</v>
      </c>
      <c r="C47" s="0" t="n">
        <v>53</v>
      </c>
      <c r="D47" s="0" t="n">
        <f aca="false">Inputs!$B$4</f>
        <v>0.15</v>
      </c>
      <c r="E47" s="0" t="n">
        <f aca="false">C47*D47</f>
        <v>7.95</v>
      </c>
      <c r="F47" s="0" t="n">
        <f aca="false">C47+E47</f>
        <v>60.95</v>
      </c>
      <c r="G47" s="0" t="s">
        <v>397</v>
      </c>
      <c r="H47" s="0" t="n">
        <f aca="false">ROUNDUP(F47/10,0)</f>
        <v>7</v>
      </c>
      <c r="I47" s="0" t="s">
        <v>434</v>
      </c>
    </row>
    <row r="48" customFormat="false" ht="15" hidden="false" customHeight="false" outlineLevel="0" collapsed="false">
      <c r="A48" s="0" t="s">
        <v>435</v>
      </c>
      <c r="B48" s="0" t="s">
        <v>365</v>
      </c>
      <c r="C48" s="0" t="n">
        <v>64.18</v>
      </c>
      <c r="D48" s="0" t="n">
        <f aca="false">Inputs!$B$4</f>
        <v>0.15</v>
      </c>
      <c r="E48" s="0" t="n">
        <f aca="false">C48*D48</f>
        <v>9.627</v>
      </c>
      <c r="F48" s="0" t="n">
        <f aca="false">C48+E48</f>
        <v>73.807</v>
      </c>
      <c r="G48" s="0" t="s">
        <v>397</v>
      </c>
      <c r="H48" s="0" t="n">
        <f aca="false">ROUNDUP(ROUNDUP(F48/9.333,0)/MAX(1,INT(10/9.333)),0)</f>
        <v>8</v>
      </c>
      <c r="I48" s="0" t="s">
        <v>436</v>
      </c>
    </row>
    <row r="49" customFormat="false" ht="15" hidden="false" customHeight="false" outlineLevel="0" collapsed="false">
      <c r="A49" s="0" t="s">
        <v>437</v>
      </c>
      <c r="B49" s="0" t="s">
        <v>365</v>
      </c>
      <c r="C49" s="0" t="n">
        <v>36.26</v>
      </c>
      <c r="D49" s="0" t="n">
        <f aca="false">Inputs!$B$4</f>
        <v>0.15</v>
      </c>
      <c r="E49" s="0" t="n">
        <f aca="false">C49*D49</f>
        <v>5.439</v>
      </c>
      <c r="F49" s="0" t="n">
        <f aca="false">C49+E49</f>
        <v>41.699</v>
      </c>
      <c r="G49" s="0" t="s">
        <v>397</v>
      </c>
      <c r="H49" s="0" t="n">
        <f aca="false">ROUNDUP(F49/10,0)</f>
        <v>5</v>
      </c>
      <c r="I49" s="0" t="s">
        <v>438</v>
      </c>
    </row>
    <row r="50" customFormat="false" ht="15" hidden="false" customHeight="false" outlineLevel="0" collapsed="false">
      <c r="A50" s="0" t="s">
        <v>439</v>
      </c>
      <c r="B50" s="0" t="s">
        <v>365</v>
      </c>
      <c r="C50" s="0" t="n">
        <v>33.18</v>
      </c>
      <c r="D50" s="0" t="n">
        <f aca="false">Inputs!$B$4</f>
        <v>0.15</v>
      </c>
      <c r="E50" s="0" t="n">
        <f aca="false">C50*D50</f>
        <v>4.977</v>
      </c>
      <c r="F50" s="0" t="n">
        <f aca="false">C50+E50</f>
        <v>38.157</v>
      </c>
      <c r="G50" s="0" t="s">
        <v>397</v>
      </c>
      <c r="H50" s="0" t="n">
        <f aca="false">ROUNDUP(F50/10,0)</f>
        <v>4</v>
      </c>
      <c r="I50" s="0" t="s">
        <v>440</v>
      </c>
    </row>
    <row r="51" customFormat="false" ht="15" hidden="false" customHeight="false" outlineLevel="0" collapsed="false">
      <c r="A51" s="0" t="s">
        <v>441</v>
      </c>
      <c r="B51" s="0" t="s">
        <v>365</v>
      </c>
      <c r="C51" s="0" t="n">
        <v>42.1</v>
      </c>
      <c r="D51" s="0" t="n">
        <f aca="false">Inputs!$B$4</f>
        <v>0.15</v>
      </c>
      <c r="E51" s="0" t="n">
        <f aca="false">C51*D51</f>
        <v>6.315</v>
      </c>
      <c r="F51" s="0" t="n">
        <f aca="false">C51+E51</f>
        <v>48.415</v>
      </c>
      <c r="G51" s="0" t="s">
        <v>397</v>
      </c>
      <c r="H51" s="0" t="n">
        <f aca="false">ROUNDUP(F51/10,0)</f>
        <v>5</v>
      </c>
      <c r="I51" s="0" t="s">
        <v>442</v>
      </c>
    </row>
    <row r="52" customFormat="false" ht="15" hidden="false" customHeight="false" outlineLevel="0" collapsed="false">
      <c r="A52" s="0" t="s">
        <v>443</v>
      </c>
      <c r="B52" s="0" t="s">
        <v>365</v>
      </c>
      <c r="C52" s="0" t="n">
        <v>641.93</v>
      </c>
      <c r="D52" s="0" t="n">
        <f aca="false">Inputs!$B$4</f>
        <v>0.15</v>
      </c>
      <c r="E52" s="0" t="n">
        <f aca="false">C52*D52</f>
        <v>96.2895</v>
      </c>
      <c r="F52" s="0" t="n">
        <f aca="false">C52+E52</f>
        <v>738.2195</v>
      </c>
      <c r="G52" s="0" t="s">
        <v>397</v>
      </c>
      <c r="H52" s="0" t="n">
        <f aca="false">ROUNDUP(ROUNDUP(F52/1.333,0)/MAX(1,INT(10/1.333)),0)</f>
        <v>80</v>
      </c>
      <c r="I52" s="0" t="s">
        <v>444</v>
      </c>
    </row>
    <row r="53" customFormat="false" ht="15" hidden="false" customHeight="false" outlineLevel="0" collapsed="false">
      <c r="A53" s="0" t="s">
        <v>445</v>
      </c>
      <c r="B53" s="0" t="s">
        <v>365</v>
      </c>
      <c r="C53" s="0" t="n">
        <v>48</v>
      </c>
      <c r="D53" s="0" t="n">
        <f aca="false">Inputs!$B$4</f>
        <v>0.15</v>
      </c>
      <c r="E53" s="0" t="n">
        <f aca="false">C53*D53</f>
        <v>7.2</v>
      </c>
      <c r="F53" s="0" t="n">
        <f aca="false">C53+E53</f>
        <v>55.2</v>
      </c>
      <c r="G53" s="0" t="s">
        <v>365</v>
      </c>
      <c r="H53" s="0" t="n">
        <f aca="false">ROUNDUP(F53,0)</f>
        <v>56</v>
      </c>
      <c r="I53" s="0" t="s">
        <v>446</v>
      </c>
    </row>
    <row r="54" customFormat="false" ht="15" hidden="false" customHeight="false" outlineLevel="0" collapsed="false">
      <c r="A54" s="0" t="s">
        <v>447</v>
      </c>
      <c r="B54" s="0" t="s">
        <v>365</v>
      </c>
      <c r="C54" s="0" t="n">
        <v>9.8</v>
      </c>
      <c r="D54" s="0" t="n">
        <f aca="false">Inputs!$B$4</f>
        <v>0.15</v>
      </c>
      <c r="E54" s="0" t="n">
        <f aca="false">C54*D54</f>
        <v>1.47</v>
      </c>
      <c r="F54" s="0" t="n">
        <f aca="false">C54+E54</f>
        <v>11.27</v>
      </c>
      <c r="G54" s="0" t="s">
        <v>365</v>
      </c>
      <c r="H54" s="0" t="n">
        <f aca="false">ROUNDUP(F54,0)</f>
        <v>12</v>
      </c>
      <c r="I54" s="0" t="s">
        <v>448</v>
      </c>
    </row>
    <row r="55" customFormat="false" ht="15" hidden="false" customHeight="false" outlineLevel="0" collapsed="false">
      <c r="A55" s="0" t="s">
        <v>449</v>
      </c>
      <c r="B55" s="0" t="s">
        <v>365</v>
      </c>
      <c r="C55" s="0" t="n">
        <v>56.7</v>
      </c>
      <c r="D55" s="0" t="n">
        <f aca="false">Inputs!$B$4</f>
        <v>0.15</v>
      </c>
      <c r="E55" s="0" t="n">
        <f aca="false">C55*D55</f>
        <v>8.505</v>
      </c>
      <c r="F55" s="0" t="n">
        <f aca="false">C55+E55</f>
        <v>65.205</v>
      </c>
      <c r="G55" s="0" t="s">
        <v>365</v>
      </c>
      <c r="H55" s="0" t="n">
        <f aca="false">ROUNDUP(F55,0)</f>
        <v>66</v>
      </c>
      <c r="I55" s="0" t="s">
        <v>446</v>
      </c>
    </row>
    <row r="56" customFormat="false" ht="15" hidden="false" customHeight="false" outlineLevel="0" collapsed="false">
      <c r="A56" s="0" t="s">
        <v>450</v>
      </c>
      <c r="B56" s="0" t="s">
        <v>365</v>
      </c>
      <c r="C56" s="0" t="n">
        <v>18</v>
      </c>
      <c r="D56" s="0" t="n">
        <f aca="false">Inputs!$B$4</f>
        <v>0.15</v>
      </c>
      <c r="E56" s="0" t="n">
        <f aca="false">C56*D56</f>
        <v>2.7</v>
      </c>
      <c r="F56" s="0" t="n">
        <f aca="false">C56+E56</f>
        <v>20.7</v>
      </c>
      <c r="G56" s="0" t="s">
        <v>365</v>
      </c>
      <c r="H56" s="0" t="n">
        <f aca="false">ROUNDUP(F56,0)</f>
        <v>21</v>
      </c>
      <c r="I56" s="0" t="s">
        <v>446</v>
      </c>
    </row>
    <row r="57" customFormat="false" ht="15" hidden="false" customHeight="false" outlineLevel="0" collapsed="false">
      <c r="A57" s="0" t="s">
        <v>451</v>
      </c>
      <c r="B57" s="0" t="s">
        <v>365</v>
      </c>
      <c r="C57" s="0" t="n">
        <v>218.42</v>
      </c>
      <c r="D57" s="0" t="n">
        <f aca="false">Inputs!$B$4</f>
        <v>0.15</v>
      </c>
      <c r="E57" s="0" t="n">
        <f aca="false">C57*D57</f>
        <v>32.763</v>
      </c>
      <c r="F57" s="0" t="n">
        <f aca="false">C57+E57</f>
        <v>251.183</v>
      </c>
      <c r="G57" s="0" t="s">
        <v>397</v>
      </c>
      <c r="H57" s="0" t="n">
        <f aca="false">ROUNDUP(F57/10,0)</f>
        <v>26</v>
      </c>
      <c r="I57" s="0" t="s">
        <v>452</v>
      </c>
    </row>
    <row r="58" customFormat="false" ht="15" hidden="false" customHeight="false" outlineLevel="0" collapsed="false">
      <c r="A58" s="0" t="s">
        <v>453</v>
      </c>
      <c r="B58" s="0" t="s">
        <v>365</v>
      </c>
      <c r="C58" s="0" t="n">
        <v>502.16</v>
      </c>
      <c r="D58" s="0" t="n">
        <f aca="false">Inputs!$B$4</f>
        <v>0.15</v>
      </c>
      <c r="E58" s="0" t="n">
        <f aca="false">C58*D58</f>
        <v>75.324</v>
      </c>
      <c r="F58" s="0" t="n">
        <f aca="false">C58+E58</f>
        <v>577.484</v>
      </c>
      <c r="G58" s="0" t="s">
        <v>397</v>
      </c>
      <c r="H58" s="0" t="n">
        <f aca="false">ROUNDUP(F58/10,0)</f>
        <v>58</v>
      </c>
      <c r="I58" s="0" t="s">
        <v>454</v>
      </c>
    </row>
    <row r="59" customFormat="false" ht="15" hidden="false" customHeight="false" outlineLevel="0" collapsed="false">
      <c r="A59" s="0" t="s">
        <v>455</v>
      </c>
      <c r="B59" s="0" t="s">
        <v>365</v>
      </c>
      <c r="C59" s="0" t="n">
        <v>208.38</v>
      </c>
      <c r="D59" s="0" t="n">
        <f aca="false">Inputs!$B$4</f>
        <v>0.15</v>
      </c>
      <c r="E59" s="0" t="n">
        <f aca="false">C59*D59</f>
        <v>31.257</v>
      </c>
      <c r="F59" s="0" t="n">
        <f aca="false">C59+E59</f>
        <v>239.637</v>
      </c>
      <c r="G59" s="0" t="s">
        <v>397</v>
      </c>
      <c r="H59" s="0" t="n">
        <f aca="false">ROUNDUP(F59/10,0)</f>
        <v>24</v>
      </c>
      <c r="I59" s="0" t="s">
        <v>456</v>
      </c>
    </row>
    <row r="60" customFormat="false" ht="15" hidden="false" customHeight="false" outlineLevel="0" collapsed="false">
      <c r="A60" s="0" t="s">
        <v>457</v>
      </c>
      <c r="B60" s="0" t="s">
        <v>365</v>
      </c>
      <c r="C60" s="0" t="n">
        <v>16</v>
      </c>
      <c r="D60" s="0" t="n">
        <f aca="false">Inputs!$B$4</f>
        <v>0.15</v>
      </c>
      <c r="E60" s="0" t="n">
        <f aca="false">C60*D60</f>
        <v>2.4</v>
      </c>
      <c r="F60" s="0" t="n">
        <f aca="false">C60+E60</f>
        <v>18.4</v>
      </c>
      <c r="G60" s="0" t="s">
        <v>397</v>
      </c>
      <c r="H60" s="0" t="n">
        <f aca="false">ROUNDUP(F60/10,0)</f>
        <v>2</v>
      </c>
      <c r="I60" s="0" t="s">
        <v>383</v>
      </c>
    </row>
    <row r="61" customFormat="false" ht="15" hidden="false" customHeight="false" outlineLevel="0" collapsed="false">
      <c r="A61" s="0" t="s">
        <v>458</v>
      </c>
      <c r="B61" s="0" t="s">
        <v>365</v>
      </c>
      <c r="C61" s="0" t="n">
        <v>96</v>
      </c>
      <c r="D61" s="0" t="n">
        <f aca="false">Inputs!$B$4</f>
        <v>0.15</v>
      </c>
      <c r="E61" s="0" t="n">
        <f aca="false">C61*D61</f>
        <v>14.4</v>
      </c>
      <c r="F61" s="0" t="n">
        <f aca="false">C61+E61</f>
        <v>110.4</v>
      </c>
      <c r="G61" s="0" t="s">
        <v>397</v>
      </c>
      <c r="H61" s="0" t="n">
        <f aca="false">ROUNDUP(F61/10,0)</f>
        <v>12</v>
      </c>
      <c r="I61" s="0" t="s">
        <v>395</v>
      </c>
    </row>
    <row r="62" customFormat="false" ht="15" hidden="false" customHeight="false" outlineLevel="0" collapsed="false">
      <c r="A62" s="0" t="s">
        <v>459</v>
      </c>
      <c r="B62" s="0" t="s">
        <v>365</v>
      </c>
      <c r="C62" s="0" t="n">
        <v>167.1</v>
      </c>
      <c r="D62" s="0" t="n">
        <f aca="false">Inputs!$B$4</f>
        <v>0.15</v>
      </c>
      <c r="E62" s="0" t="n">
        <f aca="false">C62*D62</f>
        <v>25.065</v>
      </c>
      <c r="F62" s="0" t="n">
        <f aca="false">C62+E62</f>
        <v>192.165</v>
      </c>
      <c r="G62" s="0" t="s">
        <v>397</v>
      </c>
      <c r="H62" s="0" t="n">
        <f aca="false">ROUNDUP(F62/10,0)</f>
        <v>20</v>
      </c>
      <c r="I62" s="0" t="s">
        <v>460</v>
      </c>
    </row>
    <row r="63" customFormat="false" ht="15" hidden="false" customHeight="false" outlineLevel="0" collapsed="false">
      <c r="A63" s="0" t="s">
        <v>461</v>
      </c>
      <c r="B63" s="0" t="s">
        <v>394</v>
      </c>
      <c r="C63" s="0" t="n">
        <v>565</v>
      </c>
      <c r="D63" s="0" t="n">
        <v>0.15</v>
      </c>
      <c r="E63" s="0" t="n">
        <f aca="false">C63*D63</f>
        <v>84.75</v>
      </c>
      <c r="F63" s="0" t="n">
        <f aca="false">C63+E63</f>
        <v>649.75</v>
      </c>
      <c r="G63" s="0" t="s">
        <v>462</v>
      </c>
      <c r="H63" s="0" t="n">
        <f aca="false">ROUNDUP(F63/100,0)</f>
        <v>7</v>
      </c>
      <c r="I63" s="0" t="s">
        <v>463</v>
      </c>
    </row>
    <row r="64" customFormat="false" ht="15" hidden="false" customHeight="false" outlineLevel="0" collapsed="false">
      <c r="A64" s="0" t="s">
        <v>464</v>
      </c>
      <c r="B64" s="0" t="s">
        <v>365</v>
      </c>
      <c r="C64" s="0" t="n">
        <v>18.03</v>
      </c>
      <c r="D64" s="0" t="n">
        <f aca="false">Inputs!$B$4</f>
        <v>0.15</v>
      </c>
      <c r="E64" s="0" t="n">
        <f aca="false">C64*D64</f>
        <v>2.7045</v>
      </c>
      <c r="F64" s="0" t="n">
        <f aca="false">C64+E64</f>
        <v>20.7345</v>
      </c>
      <c r="G64" s="0" t="s">
        <v>397</v>
      </c>
      <c r="H64" s="0" t="n">
        <f aca="false">ROUNDUP(F64/10,0)</f>
        <v>3</v>
      </c>
      <c r="I64" s="0" t="s">
        <v>383</v>
      </c>
    </row>
    <row r="65" customFormat="false" ht="15" hidden="false" customHeight="false" outlineLevel="0" collapsed="false">
      <c r="A65" s="0" t="s">
        <v>465</v>
      </c>
      <c r="B65" s="0" t="s">
        <v>365</v>
      </c>
      <c r="C65" s="0" t="n">
        <v>63.09</v>
      </c>
      <c r="D65" s="0" t="n">
        <f aca="false">Inputs!$B$4</f>
        <v>0.15</v>
      </c>
      <c r="E65" s="0" t="n">
        <f aca="false">C65*D65</f>
        <v>9.4635</v>
      </c>
      <c r="F65" s="0" t="n">
        <f aca="false">C65+E65</f>
        <v>72.5535</v>
      </c>
      <c r="G65" s="0" t="s">
        <v>397</v>
      </c>
      <c r="H65" s="0" t="n">
        <f aca="false">ROUNDUP(F65/10,0)</f>
        <v>8</v>
      </c>
      <c r="I65" s="0" t="s">
        <v>466</v>
      </c>
    </row>
    <row r="66" customFormat="false" ht="15" hidden="false" customHeight="false" outlineLevel="0" collapsed="false">
      <c r="A66" s="0" t="s">
        <v>467</v>
      </c>
      <c r="B66" s="0" t="s">
        <v>365</v>
      </c>
      <c r="C66" s="0" t="n">
        <v>42.1</v>
      </c>
      <c r="D66" s="0" t="n">
        <f aca="false">Inputs!$B$4</f>
        <v>0.15</v>
      </c>
      <c r="E66" s="0" t="n">
        <f aca="false">C66*D66</f>
        <v>6.315</v>
      </c>
      <c r="F66" s="0" t="n">
        <f aca="false">C66+E66</f>
        <v>48.415</v>
      </c>
      <c r="G66" s="0" t="s">
        <v>397</v>
      </c>
      <c r="H66" s="0" t="n">
        <f aca="false">ROUNDUP(F66/10,0)</f>
        <v>5</v>
      </c>
      <c r="I66" s="0" t="s">
        <v>442</v>
      </c>
    </row>
    <row r="67" customFormat="false" ht="15" hidden="false" customHeight="false" outlineLevel="0" collapsed="false">
      <c r="A67" s="0" t="s">
        <v>468</v>
      </c>
      <c r="B67" s="0" t="s">
        <v>365</v>
      </c>
      <c r="C67" s="0" t="n">
        <v>295.11</v>
      </c>
      <c r="D67" s="0" t="n">
        <f aca="false">Inputs!$B$4</f>
        <v>0.15</v>
      </c>
      <c r="E67" s="0" t="n">
        <f aca="false">C67*D67</f>
        <v>44.2665</v>
      </c>
      <c r="F67" s="0" t="n">
        <f aca="false">C67+E67</f>
        <v>339.3765</v>
      </c>
      <c r="G67" s="0" t="s">
        <v>397</v>
      </c>
      <c r="H67" s="0" t="n">
        <f aca="false">ROUNDUP(F67/10,0)</f>
        <v>34</v>
      </c>
      <c r="I67" s="0" t="s">
        <v>367</v>
      </c>
    </row>
    <row r="68" customFormat="false" ht="15" hidden="false" customHeight="false" outlineLevel="0" collapsed="false">
      <c r="A68" s="0" t="s">
        <v>469</v>
      </c>
      <c r="B68" s="0" t="s">
        <v>365</v>
      </c>
      <c r="C68" s="0" t="n">
        <v>400.97</v>
      </c>
      <c r="D68" s="0" t="n">
        <f aca="false">Inputs!$B$4</f>
        <v>0.15</v>
      </c>
      <c r="E68" s="0" t="n">
        <f aca="false">C68*D68</f>
        <v>60.1455</v>
      </c>
      <c r="F68" s="0" t="n">
        <f aca="false">C68+E68</f>
        <v>461.1155</v>
      </c>
      <c r="G68" s="0" t="s">
        <v>397</v>
      </c>
      <c r="H68" s="0" t="n">
        <f aca="false">ROUNDUP(F68/10,0)</f>
        <v>47</v>
      </c>
      <c r="I68" s="0" t="s">
        <v>371</v>
      </c>
    </row>
    <row r="69" customFormat="false" ht="15" hidden="false" customHeight="false" outlineLevel="0" collapsed="false">
      <c r="A69" s="0" t="s">
        <v>470</v>
      </c>
      <c r="B69" s="0" t="s">
        <v>365</v>
      </c>
      <c r="C69" s="0" t="n">
        <v>9.07</v>
      </c>
      <c r="D69" s="0" t="n">
        <f aca="false">Inputs!$B$4</f>
        <v>0.15</v>
      </c>
      <c r="E69" s="0" t="n">
        <f aca="false">C69*D69</f>
        <v>1.3605</v>
      </c>
      <c r="F69" s="0" t="n">
        <f aca="false">C69+E69</f>
        <v>10.4305</v>
      </c>
      <c r="G69" s="0" t="s">
        <v>397</v>
      </c>
      <c r="H69" s="0" t="n">
        <f aca="false">ROUNDUP(F69/10,0)</f>
        <v>2</v>
      </c>
      <c r="I69" s="0" t="s">
        <v>386</v>
      </c>
    </row>
    <row r="70" customFormat="false" ht="15" hidden="false" customHeight="false" outlineLevel="0" collapsed="false">
      <c r="A70" s="0" t="s">
        <v>471</v>
      </c>
      <c r="B70" s="0" t="s">
        <v>365</v>
      </c>
      <c r="C70" s="0" t="n">
        <v>13.33</v>
      </c>
      <c r="D70" s="0" t="n">
        <f aca="false">Inputs!$B$4</f>
        <v>0.15</v>
      </c>
      <c r="E70" s="0" t="n">
        <f aca="false">C70*D70</f>
        <v>1.9995</v>
      </c>
      <c r="F70" s="0" t="n">
        <f aca="false">C70+E70</f>
        <v>15.3295</v>
      </c>
      <c r="G70" s="0" t="s">
        <v>397</v>
      </c>
      <c r="H70" s="0" t="n">
        <f aca="false">ROUNDUP(F70/10,0)</f>
        <v>2</v>
      </c>
      <c r="I70" s="0" t="s">
        <v>369</v>
      </c>
    </row>
    <row r="71" customFormat="false" ht="15" hidden="false" customHeight="false" outlineLevel="0" collapsed="false">
      <c r="A71" s="0" t="s">
        <v>472</v>
      </c>
      <c r="B71" s="0" t="s">
        <v>365</v>
      </c>
      <c r="C71" s="0" t="n">
        <v>19.33</v>
      </c>
      <c r="D71" s="0" t="n">
        <f aca="false">Inputs!$B$4</f>
        <v>0.15</v>
      </c>
      <c r="E71" s="0" t="n">
        <f aca="false">C71*D71</f>
        <v>2.8995</v>
      </c>
      <c r="F71" s="0" t="n">
        <f aca="false">C71+E71</f>
        <v>22.2295</v>
      </c>
      <c r="G71" s="0" t="s">
        <v>397</v>
      </c>
      <c r="H71" s="0" t="n">
        <f aca="false">ROUNDUP(F71/10,0)</f>
        <v>3</v>
      </c>
      <c r="I71" s="0" t="s">
        <v>377</v>
      </c>
    </row>
    <row r="72" customFormat="false" ht="15" hidden="false" customHeight="false" outlineLevel="0" collapsed="false">
      <c r="A72" s="0" t="s">
        <v>473</v>
      </c>
      <c r="B72" s="0" t="s">
        <v>365</v>
      </c>
      <c r="C72" s="0" t="n">
        <v>274.88</v>
      </c>
      <c r="D72" s="0" t="n">
        <f aca="false">Inputs!$B$4</f>
        <v>0.15</v>
      </c>
      <c r="E72" s="0" t="n">
        <f aca="false">C72*D72</f>
        <v>41.232</v>
      </c>
      <c r="F72" s="0" t="n">
        <f aca="false">C72+E72</f>
        <v>316.112</v>
      </c>
      <c r="G72" s="0" t="s">
        <v>397</v>
      </c>
      <c r="H72" s="0" t="n">
        <f aca="false">ROUNDUP(F72/10,0)</f>
        <v>32</v>
      </c>
      <c r="I72" s="0" t="s">
        <v>392</v>
      </c>
    </row>
    <row r="73" customFormat="false" ht="15" hidden="false" customHeight="false" outlineLevel="0" collapsed="false">
      <c r="A73" s="0" t="s">
        <v>474</v>
      </c>
      <c r="B73" s="0" t="s">
        <v>365</v>
      </c>
      <c r="C73" s="0" t="n">
        <v>83.91</v>
      </c>
      <c r="D73" s="0" t="n">
        <f aca="false">Inputs!$B$4</f>
        <v>0.15</v>
      </c>
      <c r="E73" s="0" t="n">
        <f aca="false">C73*D73</f>
        <v>12.5865</v>
      </c>
      <c r="F73" s="0" t="n">
        <f aca="false">C73+E73</f>
        <v>96.4965</v>
      </c>
      <c r="G73" s="0" t="s">
        <v>397</v>
      </c>
      <c r="H73" s="0" t="n">
        <f aca="false">ROUNDUP(F73/10,0)</f>
        <v>10</v>
      </c>
      <c r="I73" s="0" t="s">
        <v>390</v>
      </c>
    </row>
    <row r="74" customFormat="false" ht="15" hidden="false" customHeight="false" outlineLevel="0" collapsed="false">
      <c r="A74" s="0" t="s">
        <v>475</v>
      </c>
      <c r="B74" s="0" t="s">
        <v>365</v>
      </c>
      <c r="C74" s="0" t="n">
        <v>264.59</v>
      </c>
      <c r="D74" s="0" t="n">
        <f aca="false">Inputs!$B$4</f>
        <v>0.15</v>
      </c>
      <c r="E74" s="0" t="n">
        <f aca="false">C74*D74</f>
        <v>39.6885</v>
      </c>
      <c r="F74" s="0" t="n">
        <f aca="false">C74+E74</f>
        <v>304.2785</v>
      </c>
      <c r="G74" s="0" t="s">
        <v>397</v>
      </c>
      <c r="H74" s="0" t="n">
        <f aca="false">ROUNDUP(F74/10,0)</f>
        <v>31</v>
      </c>
      <c r="I74" s="0" t="s">
        <v>388</v>
      </c>
    </row>
    <row r="75" customFormat="false" ht="15" hidden="false" customHeight="false" outlineLevel="0" collapsed="false">
      <c r="A75" s="0" t="s">
        <v>476</v>
      </c>
      <c r="B75" s="0" t="s">
        <v>477</v>
      </c>
      <c r="C75" s="0" t="n">
        <v>86.73</v>
      </c>
      <c r="D75" s="0" t="n">
        <f aca="false">Inputs!$B$5</f>
        <v>0.06</v>
      </c>
      <c r="E75" s="0" t="n">
        <f aca="false">C75*D75</f>
        <v>5.2038</v>
      </c>
      <c r="F75" s="0" t="n">
        <f aca="false">C75+E75</f>
        <v>91.9338</v>
      </c>
      <c r="G75" s="0" t="s">
        <v>478</v>
      </c>
      <c r="H75" s="0" t="n">
        <f aca="false">ROUNDUP(F75/32,0)</f>
        <v>3</v>
      </c>
      <c r="I75" s="0" t="s">
        <v>479</v>
      </c>
    </row>
    <row r="76" customFormat="false" ht="15" hidden="false" customHeight="false" outlineLevel="0" collapsed="false">
      <c r="A76" s="0" t="s">
        <v>480</v>
      </c>
      <c r="B76" s="0" t="s">
        <v>477</v>
      </c>
      <c r="C76" s="0" t="n">
        <v>53.73</v>
      </c>
      <c r="D76" s="0" t="n">
        <f aca="false">Inputs!$B$5</f>
        <v>0.06</v>
      </c>
      <c r="E76" s="0" t="n">
        <f aca="false">C76*D76</f>
        <v>3.2238</v>
      </c>
      <c r="F76" s="0" t="n">
        <f aca="false">C76+E76</f>
        <v>56.9538</v>
      </c>
      <c r="G76" s="0" t="s">
        <v>478</v>
      </c>
      <c r="H76" s="0" t="n">
        <f aca="false">ROUNDUP(F76/32,0)</f>
        <v>2</v>
      </c>
      <c r="I76" s="0" t="s">
        <v>386</v>
      </c>
    </row>
    <row r="77" customFormat="false" ht="15" hidden="false" customHeight="false" outlineLevel="0" collapsed="false">
      <c r="A77" s="0" t="s">
        <v>481</v>
      </c>
      <c r="B77" s="0" t="s">
        <v>477</v>
      </c>
      <c r="C77" s="0" t="n">
        <v>4146.68</v>
      </c>
      <c r="D77" s="0" t="n">
        <f aca="false">Inputs!$B$5</f>
        <v>0.06</v>
      </c>
      <c r="E77" s="0" t="n">
        <f aca="false">C77*D77</f>
        <v>248.8008</v>
      </c>
      <c r="F77" s="0" t="n">
        <f aca="false">C77+E77</f>
        <v>4395.4808</v>
      </c>
      <c r="G77" s="0" t="s">
        <v>478</v>
      </c>
      <c r="H77" s="0" t="n">
        <f aca="false">ROUNDUP(F77/32,0)</f>
        <v>138</v>
      </c>
      <c r="I77" s="0" t="s">
        <v>482</v>
      </c>
    </row>
    <row r="78" customFormat="false" ht="15" hidden="false" customHeight="false" outlineLevel="0" collapsed="false">
      <c r="A78" s="0" t="s">
        <v>483</v>
      </c>
      <c r="B78" s="0" t="s">
        <v>477</v>
      </c>
      <c r="C78" s="0" t="n">
        <v>973.6</v>
      </c>
      <c r="D78" s="0" t="n">
        <f aca="false">Inputs!$B$5</f>
        <v>0.06</v>
      </c>
      <c r="E78" s="0" t="n">
        <f aca="false">C78*D78</f>
        <v>58.416</v>
      </c>
      <c r="F78" s="0" t="n">
        <f aca="false">C78+E78</f>
        <v>1032.016</v>
      </c>
      <c r="G78" s="0" t="s">
        <v>484</v>
      </c>
      <c r="H78" s="0" t="n">
        <f aca="false">ROUNDUP(F78/48,0)</f>
        <v>22</v>
      </c>
      <c r="I78" s="0" t="s">
        <v>392</v>
      </c>
    </row>
    <row r="79" customFormat="false" ht="15" hidden="false" customHeight="false" outlineLevel="0" collapsed="false">
      <c r="A79" s="0" t="s">
        <v>485</v>
      </c>
      <c r="B79" s="0" t="s">
        <v>477</v>
      </c>
      <c r="C79" s="0" t="n">
        <v>111.28</v>
      </c>
      <c r="D79" s="0" t="n">
        <f aca="false">Inputs!$B$5</f>
        <v>0.06</v>
      </c>
      <c r="E79" s="0" t="n">
        <f aca="false">C79*D79</f>
        <v>6.6768</v>
      </c>
      <c r="F79" s="0" t="n">
        <f aca="false">C79+E79</f>
        <v>117.9568</v>
      </c>
      <c r="G79" s="0" t="s">
        <v>478</v>
      </c>
      <c r="H79" s="0" t="n">
        <f aca="false">ROUNDUP(F79/32,0)</f>
        <v>4</v>
      </c>
      <c r="I79" s="0" t="s">
        <v>486</v>
      </c>
    </row>
    <row r="80" customFormat="false" ht="15" hidden="false" customHeight="false" outlineLevel="0" collapsed="false">
      <c r="A80" s="0" t="s">
        <v>487</v>
      </c>
      <c r="B80" s="0" t="s">
        <v>477</v>
      </c>
      <c r="C80" s="0" t="n">
        <v>461.97</v>
      </c>
      <c r="D80" s="0" t="n">
        <f aca="false">Inputs!$B$5</f>
        <v>0.06</v>
      </c>
      <c r="E80" s="0" t="n">
        <f aca="false">C80*D80</f>
        <v>27.7182</v>
      </c>
      <c r="F80" s="0" t="n">
        <f aca="false">C80+E80</f>
        <v>489.6882</v>
      </c>
      <c r="G80" s="0" t="s">
        <v>478</v>
      </c>
      <c r="H80" s="0" t="n">
        <f aca="false">ROUNDUP(F80/32,0)</f>
        <v>16</v>
      </c>
      <c r="I80" s="0" t="s">
        <v>373</v>
      </c>
    </row>
    <row r="81" customFormat="false" ht="15" hidden="false" customHeight="false" outlineLevel="0" collapsed="false">
      <c r="A81" s="0" t="s">
        <v>488</v>
      </c>
      <c r="B81" s="0" t="s">
        <v>477</v>
      </c>
      <c r="C81" s="0" t="n">
        <v>16778</v>
      </c>
      <c r="D81" s="0" t="n">
        <f aca="false">Inputs!$B$5</f>
        <v>0.06</v>
      </c>
      <c r="E81" s="0" t="n">
        <f aca="false">C81*D81</f>
        <v>1006.68</v>
      </c>
      <c r="F81" s="0" t="n">
        <f aca="false">C81+E81</f>
        <v>17784.68</v>
      </c>
      <c r="G81" s="0" t="s">
        <v>484</v>
      </c>
      <c r="H81" s="0" t="n">
        <f aca="false">ROUNDUP(F81/48,0)</f>
        <v>371</v>
      </c>
      <c r="I81" s="0" t="s">
        <v>409</v>
      </c>
    </row>
    <row r="82" customFormat="false" ht="15" hidden="false" customHeight="false" outlineLevel="0" collapsed="false">
      <c r="A82" s="0" t="s">
        <v>489</v>
      </c>
      <c r="B82" s="0" t="s">
        <v>477</v>
      </c>
      <c r="C82" s="0" t="n">
        <v>942.44</v>
      </c>
      <c r="D82" s="0" t="n">
        <f aca="false">Inputs!$B$5</f>
        <v>0.06</v>
      </c>
      <c r="E82" s="0" t="n">
        <f aca="false">C82*D82</f>
        <v>56.5464</v>
      </c>
      <c r="F82" s="0" t="n">
        <f aca="false">C82+E82</f>
        <v>998.9864</v>
      </c>
      <c r="G82" s="0" t="s">
        <v>484</v>
      </c>
      <c r="H82" s="0" t="n">
        <f aca="false">ROUNDUP(F82/48,0)</f>
        <v>21</v>
      </c>
      <c r="I82" s="0" t="s">
        <v>411</v>
      </c>
    </row>
    <row r="83" customFormat="false" ht="15" hidden="false" customHeight="false" outlineLevel="0" collapsed="false">
      <c r="A83" s="0" t="s">
        <v>490</v>
      </c>
      <c r="B83" s="0" t="s">
        <v>477</v>
      </c>
      <c r="C83" s="0" t="n">
        <v>103.67</v>
      </c>
      <c r="D83" s="0" t="n">
        <f aca="false">Inputs!$B$5</f>
        <v>0.06</v>
      </c>
      <c r="E83" s="0" t="n">
        <f aca="false">C83*D83</f>
        <v>6.2202</v>
      </c>
      <c r="F83" s="0" t="n">
        <f aca="false">C83+E83</f>
        <v>109.8902</v>
      </c>
      <c r="G83" s="0" t="s">
        <v>484</v>
      </c>
      <c r="H83" s="0" t="n">
        <f aca="false">ROUNDUP(F83/48,0)</f>
        <v>3</v>
      </c>
      <c r="I83" s="0" t="s">
        <v>491</v>
      </c>
    </row>
    <row r="84" customFormat="false" ht="15" hidden="false" customHeight="false" outlineLevel="0" collapsed="false">
      <c r="A84" s="0" t="s">
        <v>492</v>
      </c>
      <c r="B84" s="0" t="s">
        <v>477</v>
      </c>
      <c r="C84" s="0" t="n">
        <v>275.83</v>
      </c>
      <c r="D84" s="0" t="n">
        <f aca="false">Inputs!$B$5</f>
        <v>0.06</v>
      </c>
      <c r="E84" s="0" t="n">
        <f aca="false">C84*D84</f>
        <v>16.5498</v>
      </c>
      <c r="F84" s="0" t="n">
        <f aca="false">C84+E84</f>
        <v>292.3798</v>
      </c>
      <c r="G84" s="0" t="s">
        <v>484</v>
      </c>
      <c r="H84" s="0" t="n">
        <f aca="false">ROUNDUP(F84/48,0)</f>
        <v>7</v>
      </c>
      <c r="I84" s="0" t="s">
        <v>493</v>
      </c>
    </row>
    <row r="85" customFormat="false" ht="15" hidden="false" customHeight="false" outlineLevel="0" collapsed="false">
      <c r="A85" s="0" t="s">
        <v>494</v>
      </c>
      <c r="B85" s="0" t="s">
        <v>365</v>
      </c>
      <c r="C85" s="0" t="n">
        <v>1211.69</v>
      </c>
      <c r="D85" s="0" t="n">
        <f aca="false">Inputs!$B$5</f>
        <v>0.06</v>
      </c>
      <c r="E85" s="0" t="n">
        <f aca="false">C85*D85</f>
        <v>72.7014</v>
      </c>
      <c r="F85" s="0" t="n">
        <f aca="false">C85+E85</f>
        <v>1284.3914</v>
      </c>
      <c r="G85" s="0" t="s">
        <v>495</v>
      </c>
      <c r="H85" s="0" t="n">
        <f aca="false">ROUNDUP(F85/30,0)</f>
        <v>43</v>
      </c>
      <c r="I85" s="0" t="s">
        <v>496</v>
      </c>
    </row>
    <row r="86" customFormat="false" ht="15" hidden="false" customHeight="false" outlineLevel="0" collapsed="false">
      <c r="A86" s="0" t="s">
        <v>497</v>
      </c>
      <c r="B86" s="0" t="s">
        <v>477</v>
      </c>
      <c r="C86" s="0" t="n">
        <v>5163.65</v>
      </c>
      <c r="D86" s="0" t="n">
        <f aca="false">Inputs!$B$5</f>
        <v>0.06</v>
      </c>
      <c r="E86" s="0" t="n">
        <f aca="false">C86*D86</f>
        <v>309.819</v>
      </c>
      <c r="F86" s="0" t="n">
        <f aca="false">C86+E86</f>
        <v>5473.469</v>
      </c>
      <c r="G86" s="0" t="s">
        <v>477</v>
      </c>
      <c r="H86" s="0" t="n">
        <f aca="false">ROUNDUP(F86,0)</f>
        <v>5474</v>
      </c>
      <c r="I86" s="0" t="s">
        <v>498</v>
      </c>
    </row>
    <row r="87" customFormat="false" ht="15" hidden="false" customHeight="false" outlineLevel="0" collapsed="false">
      <c r="A87" s="0" t="s">
        <v>499</v>
      </c>
      <c r="B87" s="0" t="s">
        <v>477</v>
      </c>
      <c r="C87" s="0" t="n">
        <v>147.74</v>
      </c>
      <c r="D87" s="0" t="n">
        <f aca="false">Inputs!$B$5</f>
        <v>0.06</v>
      </c>
      <c r="E87" s="0" t="n">
        <f aca="false">C87*D87</f>
        <v>8.8644</v>
      </c>
      <c r="F87" s="0" t="n">
        <f aca="false">C87+E87</f>
        <v>156.6044</v>
      </c>
      <c r="G87" s="0" t="s">
        <v>477</v>
      </c>
      <c r="H87" s="0" t="n">
        <f aca="false">ROUNDUP(F87,0)</f>
        <v>157</v>
      </c>
      <c r="I87" s="0" t="s">
        <v>500</v>
      </c>
    </row>
    <row r="88" customFormat="false" ht="15" hidden="false" customHeight="false" outlineLevel="0" collapsed="false">
      <c r="A88" s="0" t="s">
        <v>501</v>
      </c>
      <c r="B88" s="0" t="s">
        <v>477</v>
      </c>
      <c r="C88" s="0" t="n">
        <v>31.39</v>
      </c>
      <c r="D88" s="0" t="n">
        <f aca="false">Inputs!$B$5</f>
        <v>0.06</v>
      </c>
      <c r="E88" s="0" t="n">
        <f aca="false">C88*D88</f>
        <v>1.8834</v>
      </c>
      <c r="F88" s="0" t="n">
        <f aca="false">C88+E88</f>
        <v>33.2734</v>
      </c>
      <c r="G88" s="0" t="s">
        <v>478</v>
      </c>
      <c r="H88" s="0" t="n">
        <f aca="false">ROUNDUP(F88/32,0)</f>
        <v>2</v>
      </c>
      <c r="I88" s="0" t="s">
        <v>502</v>
      </c>
    </row>
    <row r="89" customFormat="false" ht="15" hidden="false" customHeight="false" outlineLevel="0" collapsed="false">
      <c r="A89" s="0" t="s">
        <v>503</v>
      </c>
      <c r="B89" s="0" t="s">
        <v>477</v>
      </c>
      <c r="C89" s="0" t="n">
        <v>16</v>
      </c>
      <c r="D89" s="0" t="n">
        <f aca="false">Inputs!$B$5</f>
        <v>0.06</v>
      </c>
      <c r="E89" s="0" t="n">
        <f aca="false">C89*D89</f>
        <v>0.96</v>
      </c>
      <c r="F89" s="0" t="n">
        <f aca="false">C89+E89</f>
        <v>16.96</v>
      </c>
      <c r="G89" s="0" t="s">
        <v>478</v>
      </c>
      <c r="H89" s="0" t="n">
        <f aca="false">ROUNDUP(F89/32,0)</f>
        <v>1</v>
      </c>
      <c r="I89" s="0" t="s">
        <v>502</v>
      </c>
    </row>
    <row r="90" customFormat="false" ht="15" hidden="false" customHeight="false" outlineLevel="0" collapsed="false">
      <c r="A90" s="0" t="s">
        <v>504</v>
      </c>
      <c r="B90" s="0" t="s">
        <v>477</v>
      </c>
      <c r="C90" s="0" t="n">
        <v>313.91</v>
      </c>
      <c r="D90" s="0" t="n">
        <f aca="false">Inputs!$B$5</f>
        <v>0.06</v>
      </c>
      <c r="E90" s="0" t="n">
        <f aca="false">C90*D90</f>
        <v>18.8346</v>
      </c>
      <c r="F90" s="0" t="n">
        <f aca="false">C90+E90</f>
        <v>332.7446</v>
      </c>
      <c r="G90" s="0" t="s">
        <v>478</v>
      </c>
      <c r="H90" s="0" t="n">
        <f aca="false">ROUNDUP(F90/32,0)</f>
        <v>11</v>
      </c>
      <c r="I90" s="0" t="s">
        <v>502</v>
      </c>
    </row>
    <row r="91" customFormat="false" ht="15" hidden="false" customHeight="false" outlineLevel="0" collapsed="false">
      <c r="A91" s="0" t="s">
        <v>505</v>
      </c>
      <c r="B91" s="0" t="s">
        <v>365</v>
      </c>
      <c r="C91" s="0" t="n">
        <v>20</v>
      </c>
      <c r="D91" s="0" t="n">
        <f aca="false">Inputs!$B$5</f>
        <v>0.06</v>
      </c>
      <c r="E91" s="0" t="n">
        <f aca="false">C91*D91</f>
        <v>1.2</v>
      </c>
      <c r="F91" s="0" t="n">
        <f aca="false">C91+E91</f>
        <v>21.2</v>
      </c>
      <c r="G91" s="0" t="s">
        <v>365</v>
      </c>
      <c r="H91" s="0" t="n">
        <f aca="false">ROUNDUP(F91,0)</f>
        <v>22</v>
      </c>
      <c r="I91" s="0" t="s">
        <v>369</v>
      </c>
    </row>
    <row r="92" customFormat="false" ht="15" hidden="false" customHeight="false" outlineLevel="0" collapsed="false">
      <c r="A92" s="0" t="s">
        <v>506</v>
      </c>
      <c r="B92" s="0" t="s">
        <v>365</v>
      </c>
      <c r="C92" s="0" t="n">
        <v>52.33</v>
      </c>
      <c r="D92" s="0" t="n">
        <f aca="false">Inputs!$B$5</f>
        <v>0.06</v>
      </c>
      <c r="E92" s="0" t="n">
        <f aca="false">C92*D92</f>
        <v>3.1398</v>
      </c>
      <c r="F92" s="0" t="n">
        <f aca="false">C92+E92</f>
        <v>55.4698</v>
      </c>
      <c r="G92" s="0" t="s">
        <v>365</v>
      </c>
      <c r="H92" s="0" t="n">
        <f aca="false">ROUNDUP(F92,0)</f>
        <v>56</v>
      </c>
      <c r="I92" s="0" t="s">
        <v>507</v>
      </c>
    </row>
    <row r="93" customFormat="false" ht="15" hidden="false" customHeight="false" outlineLevel="0" collapsed="false">
      <c r="A93" s="0" t="s">
        <v>508</v>
      </c>
      <c r="B93" s="0" t="s">
        <v>365</v>
      </c>
      <c r="C93" s="0" t="n">
        <v>178.55</v>
      </c>
      <c r="D93" s="0" t="n">
        <f aca="false">Inputs!$B$5</f>
        <v>0.06</v>
      </c>
      <c r="E93" s="0" t="n">
        <f aca="false">C93*D93</f>
        <v>10.713</v>
      </c>
      <c r="F93" s="0" t="n">
        <f aca="false">C93+E93</f>
        <v>189.263</v>
      </c>
      <c r="G93" s="0" t="s">
        <v>365</v>
      </c>
      <c r="H93" s="0" t="n">
        <f aca="false">ROUNDUP(F93,0)</f>
        <v>190</v>
      </c>
      <c r="I93" s="0" t="s">
        <v>446</v>
      </c>
    </row>
    <row r="94" customFormat="false" ht="15" hidden="false" customHeight="false" outlineLevel="0" collapsed="false">
      <c r="A94" s="0" t="s">
        <v>509</v>
      </c>
      <c r="B94" s="0" t="s">
        <v>365</v>
      </c>
      <c r="C94" s="0" t="n">
        <v>6</v>
      </c>
      <c r="D94" s="0" t="n">
        <f aca="false">Inputs!$B$5</f>
        <v>0.06</v>
      </c>
      <c r="E94" s="0" t="n">
        <f aca="false">C94*D94</f>
        <v>0.36</v>
      </c>
      <c r="F94" s="0" t="n">
        <f aca="false">C94+E94</f>
        <v>6.36</v>
      </c>
      <c r="G94" s="0" t="s">
        <v>365</v>
      </c>
      <c r="H94" s="0" t="n">
        <f aca="false">ROUNDUP(F94,0)</f>
        <v>7</v>
      </c>
      <c r="I94" s="0" t="s">
        <v>446</v>
      </c>
    </row>
    <row r="95" customFormat="false" ht="15" hidden="false" customHeight="false" outlineLevel="0" collapsed="false">
      <c r="A95" s="0" t="s">
        <v>510</v>
      </c>
      <c r="B95" s="0" t="s">
        <v>365</v>
      </c>
      <c r="C95" s="0" t="n">
        <v>61</v>
      </c>
      <c r="D95" s="0" t="n">
        <f aca="false">Inputs!$B$5</f>
        <v>0.06</v>
      </c>
      <c r="E95" s="0" t="n">
        <f aca="false">C95*D95</f>
        <v>3.66</v>
      </c>
      <c r="F95" s="0" t="n">
        <f aca="false">C95+E95</f>
        <v>64.66</v>
      </c>
      <c r="G95" s="0" t="s">
        <v>365</v>
      </c>
      <c r="H95" s="0" t="n">
        <f aca="false">ROUNDUP(F95,0)</f>
        <v>65</v>
      </c>
      <c r="I95" s="0" t="s">
        <v>446</v>
      </c>
    </row>
    <row r="96" customFormat="false" ht="15" hidden="false" customHeight="false" outlineLevel="0" collapsed="false">
      <c r="A96" s="0" t="s">
        <v>511</v>
      </c>
      <c r="B96" s="0" t="s">
        <v>365</v>
      </c>
      <c r="C96" s="0" t="n">
        <v>10</v>
      </c>
      <c r="D96" s="0" t="n">
        <f aca="false">Inputs!$B$5</f>
        <v>0.06</v>
      </c>
      <c r="E96" s="0" t="n">
        <f aca="false">C96*D96</f>
        <v>0.6</v>
      </c>
      <c r="F96" s="0" t="n">
        <f aca="false">C96+E96</f>
        <v>10.6</v>
      </c>
      <c r="G96" s="0" t="s">
        <v>365</v>
      </c>
      <c r="H96" s="0" t="n">
        <f aca="false">ROUNDUP(F96,0)</f>
        <v>11</v>
      </c>
      <c r="I96" s="0" t="s">
        <v>446</v>
      </c>
    </row>
    <row r="97" customFormat="false" ht="15" hidden="false" customHeight="false" outlineLevel="0" collapsed="false">
      <c r="A97" s="0" t="s">
        <v>512</v>
      </c>
      <c r="B97" s="0" t="s">
        <v>365</v>
      </c>
      <c r="C97" s="0" t="n">
        <v>6</v>
      </c>
      <c r="D97" s="0" t="n">
        <f aca="false">Inputs!$B$5</f>
        <v>0.06</v>
      </c>
      <c r="E97" s="0" t="n">
        <f aca="false">C97*D97</f>
        <v>0.36</v>
      </c>
      <c r="F97" s="0" t="n">
        <f aca="false">C97+E97</f>
        <v>6.36</v>
      </c>
      <c r="G97" s="0" t="s">
        <v>365</v>
      </c>
      <c r="H97" s="0" t="n">
        <f aca="false">ROUNDUP(F97,0)</f>
        <v>7</v>
      </c>
      <c r="I97" s="0" t="s">
        <v>446</v>
      </c>
    </row>
    <row r="98" customFormat="false" ht="15" hidden="false" customHeight="false" outlineLevel="0" collapsed="false">
      <c r="A98" s="0" t="s">
        <v>513</v>
      </c>
      <c r="B98" s="0" t="s">
        <v>477</v>
      </c>
      <c r="C98" s="0" t="n">
        <v>262.37</v>
      </c>
      <c r="D98" s="0" t="n">
        <f aca="false">Inputs!$B$5</f>
        <v>0.06</v>
      </c>
      <c r="E98" s="0" t="n">
        <f aca="false">C98*D98</f>
        <v>15.7422</v>
      </c>
      <c r="F98" s="0" t="n">
        <f aca="false">C98+E98</f>
        <v>278.1122</v>
      </c>
      <c r="G98" s="0" t="s">
        <v>478</v>
      </c>
      <c r="H98" s="0" t="n">
        <f aca="false">ROUNDUP(F98/32,0)</f>
        <v>9</v>
      </c>
      <c r="I98" s="0" t="s">
        <v>514</v>
      </c>
    </row>
    <row r="99" customFormat="false" ht="15" hidden="false" customHeight="false" outlineLevel="0" collapsed="false">
      <c r="A99" s="0" t="s">
        <v>515</v>
      </c>
      <c r="B99" s="0" t="s">
        <v>477</v>
      </c>
      <c r="C99" s="0" t="n">
        <v>30.75</v>
      </c>
      <c r="D99" s="0" t="n">
        <f aca="false">Inputs!$B$5</f>
        <v>0.06</v>
      </c>
      <c r="E99" s="0" t="n">
        <f aca="false">C99*D99</f>
        <v>1.845</v>
      </c>
      <c r="F99" s="0" t="n">
        <f aca="false">C99+E99</f>
        <v>32.595</v>
      </c>
      <c r="G99" s="0" t="s">
        <v>478</v>
      </c>
      <c r="H99" s="0" t="n">
        <f aca="false">ROUNDUP(F99/32,0)</f>
        <v>2</v>
      </c>
      <c r="I99" s="0" t="s">
        <v>369</v>
      </c>
    </row>
    <row r="100" customFormat="false" ht="15" hidden="false" customHeight="false" outlineLevel="0" collapsed="false">
      <c r="A100" s="0" t="s">
        <v>516</v>
      </c>
      <c r="B100" s="0" t="s">
        <v>477</v>
      </c>
      <c r="C100" s="0" t="n">
        <v>229.92</v>
      </c>
      <c r="D100" s="0" t="n">
        <f aca="false">Inputs!$B$5</f>
        <v>0.06</v>
      </c>
      <c r="E100" s="0" t="n">
        <f aca="false">C100*D100</f>
        <v>13.7952</v>
      </c>
      <c r="F100" s="0" t="n">
        <f aca="false">C100+E100</f>
        <v>243.7152</v>
      </c>
      <c r="G100" s="0" t="s">
        <v>478</v>
      </c>
      <c r="H100" s="0" t="n">
        <f aca="false">ROUNDUP(F100/32,0)</f>
        <v>8</v>
      </c>
      <c r="I100" s="0" t="s">
        <v>517</v>
      </c>
    </row>
    <row r="101" customFormat="false" ht="15" hidden="false" customHeight="false" outlineLevel="0" collapsed="false">
      <c r="A101" s="0" t="s">
        <v>518</v>
      </c>
      <c r="B101" s="0" t="s">
        <v>477</v>
      </c>
      <c r="C101" s="0" t="n">
        <v>2169.6</v>
      </c>
      <c r="D101" s="0" t="n">
        <f aca="false">Inputs!$B$5</f>
        <v>0.06</v>
      </c>
      <c r="E101" s="0" t="n">
        <f aca="false">C101*D101</f>
        <v>130.176</v>
      </c>
      <c r="F101" s="0" t="n">
        <f aca="false">C101+E101</f>
        <v>2299.776</v>
      </c>
      <c r="G101" s="0" t="s">
        <v>478</v>
      </c>
      <c r="H101" s="0" t="n">
        <f aca="false">ROUNDUP(F101/32,0)</f>
        <v>72</v>
      </c>
      <c r="I101" s="0" t="s">
        <v>373</v>
      </c>
    </row>
    <row r="102" customFormat="false" ht="15" hidden="false" customHeight="false" outlineLevel="0" collapsed="false">
      <c r="A102" s="0" t="s">
        <v>519</v>
      </c>
      <c r="B102" s="0" t="s">
        <v>477</v>
      </c>
      <c r="C102" s="0" t="n">
        <v>255.53</v>
      </c>
      <c r="D102" s="0" t="n">
        <f aca="false">Inputs!$B$5</f>
        <v>0.06</v>
      </c>
      <c r="E102" s="0" t="n">
        <f aca="false">C102*D102</f>
        <v>15.3318</v>
      </c>
      <c r="F102" s="0" t="n">
        <f aca="false">C102+E102</f>
        <v>270.8618</v>
      </c>
      <c r="G102" s="0" t="s">
        <v>478</v>
      </c>
      <c r="H102" s="0" t="n">
        <f aca="false">ROUNDUP(F102/32,0)</f>
        <v>9</v>
      </c>
      <c r="I102" s="0" t="s">
        <v>377</v>
      </c>
    </row>
    <row r="103" customFormat="false" ht="15" hidden="false" customHeight="false" outlineLevel="0" collapsed="false">
      <c r="A103" s="0" t="s">
        <v>520</v>
      </c>
      <c r="B103" s="0" t="s">
        <v>365</v>
      </c>
      <c r="C103" s="0" t="n">
        <v>233.04</v>
      </c>
      <c r="D103" s="0" t="n">
        <f aca="false">Inputs!$B$5</f>
        <v>0.06</v>
      </c>
      <c r="E103" s="0" t="n">
        <f aca="false">C103*D103</f>
        <v>13.9824</v>
      </c>
      <c r="F103" s="0" t="n">
        <f aca="false">C103+E103</f>
        <v>247.0224</v>
      </c>
      <c r="G103" s="0" t="s">
        <v>365</v>
      </c>
      <c r="H103" s="0" t="n">
        <f aca="false">ROUNDUP(F103,0)</f>
        <v>248</v>
      </c>
      <c r="I103" s="0" t="s">
        <v>521</v>
      </c>
    </row>
    <row r="104" customFormat="false" ht="15" hidden="false" customHeight="false" outlineLevel="0" collapsed="false">
      <c r="A104" s="0" t="s">
        <v>522</v>
      </c>
      <c r="B104" s="0" t="s">
        <v>365</v>
      </c>
      <c r="C104" s="0" t="n">
        <v>141.48</v>
      </c>
      <c r="D104" s="0" t="n">
        <f aca="false">Inputs!$B$5</f>
        <v>0.06</v>
      </c>
      <c r="E104" s="0" t="n">
        <f aca="false">C104*D104</f>
        <v>8.4888</v>
      </c>
      <c r="F104" s="0" t="n">
        <f aca="false">C104+E104</f>
        <v>149.9688</v>
      </c>
      <c r="G104" s="0" t="s">
        <v>365</v>
      </c>
      <c r="H104" s="0" t="n">
        <f aca="false">ROUNDUP(F104,0)</f>
        <v>150</v>
      </c>
      <c r="I104" s="0" t="s">
        <v>434</v>
      </c>
    </row>
    <row r="105" customFormat="false" ht="15" hidden="false" customHeight="false" outlineLevel="0" collapsed="false">
      <c r="A105" s="0" t="s">
        <v>523</v>
      </c>
      <c r="B105" s="0" t="s">
        <v>365</v>
      </c>
      <c r="C105" s="0" t="n">
        <v>274.88</v>
      </c>
      <c r="D105" s="0" t="n">
        <f aca="false">Inputs!$B$5</f>
        <v>0.06</v>
      </c>
      <c r="E105" s="0" t="n">
        <f aca="false">C105*D105</f>
        <v>16.4928</v>
      </c>
      <c r="F105" s="0" t="n">
        <f aca="false">C105+E105</f>
        <v>291.3728</v>
      </c>
      <c r="G105" s="0" t="s">
        <v>365</v>
      </c>
      <c r="H105" s="0" t="n">
        <f aca="false">ROUNDUP(F105,0)</f>
        <v>292</v>
      </c>
      <c r="I105" s="0" t="s">
        <v>392</v>
      </c>
    </row>
    <row r="106" customFormat="false" ht="15" hidden="false" customHeight="false" outlineLevel="0" collapsed="false">
      <c r="A106" s="0" t="s">
        <v>524</v>
      </c>
      <c r="B106" s="0" t="s">
        <v>365</v>
      </c>
      <c r="C106" s="0" t="n">
        <v>13</v>
      </c>
      <c r="D106" s="0" t="n">
        <f aca="false">Inputs!$B$5</f>
        <v>0.06</v>
      </c>
      <c r="E106" s="0" t="n">
        <f aca="false">C106*D106</f>
        <v>0.78</v>
      </c>
      <c r="F106" s="0" t="n">
        <f aca="false">C106+E106</f>
        <v>13.78</v>
      </c>
      <c r="G106" s="0" t="s">
        <v>365</v>
      </c>
      <c r="H106" s="0" t="n">
        <f aca="false">ROUNDUP(F106,0)</f>
        <v>14</v>
      </c>
      <c r="I106" s="0" t="s">
        <v>446</v>
      </c>
    </row>
    <row r="107" customFormat="false" ht="15" hidden="false" customHeight="false" outlineLevel="0" collapsed="false">
      <c r="A107" s="0" t="s">
        <v>525</v>
      </c>
      <c r="B107" s="0" t="s">
        <v>365</v>
      </c>
      <c r="C107" s="0" t="n">
        <v>24.04</v>
      </c>
      <c r="D107" s="0" t="n">
        <f aca="false">Inputs!$B$5</f>
        <v>0.06</v>
      </c>
      <c r="E107" s="0" t="n">
        <f aca="false">C107*D107</f>
        <v>1.4424</v>
      </c>
      <c r="F107" s="0" t="n">
        <f aca="false">C107+E107</f>
        <v>25.4824</v>
      </c>
      <c r="G107" s="0" t="s">
        <v>365</v>
      </c>
      <c r="H107" s="0" t="n">
        <f aca="false">ROUNDUP(F107,0)</f>
        <v>26</v>
      </c>
      <c r="I107" s="0" t="s">
        <v>383</v>
      </c>
    </row>
    <row r="108" customFormat="false" ht="15" hidden="false" customHeight="false" outlineLevel="0" collapsed="false">
      <c r="A108" s="0" t="s">
        <v>526</v>
      </c>
      <c r="B108" s="0" t="s">
        <v>477</v>
      </c>
      <c r="C108" s="0" t="n">
        <v>743.01</v>
      </c>
      <c r="D108" s="0" t="n">
        <f aca="false">Inputs!$B$5</f>
        <v>0.06</v>
      </c>
      <c r="E108" s="0" t="n">
        <f aca="false">C108*D108</f>
        <v>44.5806</v>
      </c>
      <c r="F108" s="0" t="n">
        <f aca="false">C108+E108</f>
        <v>787.5906</v>
      </c>
      <c r="G108" s="0" t="s">
        <v>477</v>
      </c>
      <c r="H108" s="0" t="n">
        <f aca="false">ROUNDUP(F108,0)</f>
        <v>788</v>
      </c>
      <c r="I108" s="0" t="s">
        <v>527</v>
      </c>
    </row>
    <row r="109" customFormat="false" ht="15" hidden="false" customHeight="false" outlineLevel="0" collapsed="false">
      <c r="A109" s="0" t="s">
        <v>528</v>
      </c>
      <c r="B109" s="0" t="s">
        <v>365</v>
      </c>
      <c r="C109" s="0" t="n">
        <v>208.28</v>
      </c>
      <c r="D109" s="0" t="n">
        <f aca="false">Inputs!$B$5</f>
        <v>0.06</v>
      </c>
      <c r="E109" s="0" t="n">
        <f aca="false">C109*D109</f>
        <v>12.4968</v>
      </c>
      <c r="F109" s="0" t="n">
        <f aca="false">C109+E109</f>
        <v>220.7768</v>
      </c>
      <c r="G109" s="0" t="s">
        <v>495</v>
      </c>
      <c r="H109" s="0" t="n">
        <f aca="false">ROUNDUP(F109/30,0)</f>
        <v>8</v>
      </c>
      <c r="I109" s="0" t="s">
        <v>529</v>
      </c>
    </row>
    <row r="110" customFormat="false" ht="15" hidden="false" customHeight="false" outlineLevel="0" collapsed="false">
      <c r="A110" s="0" t="s">
        <v>530</v>
      </c>
      <c r="B110" s="0" t="s">
        <v>365</v>
      </c>
      <c r="C110" s="0" t="n">
        <v>147.56</v>
      </c>
      <c r="D110" s="0" t="n">
        <f aca="false">Inputs!$B$5</f>
        <v>0.06</v>
      </c>
      <c r="E110" s="0" t="n">
        <f aca="false">C110*D110</f>
        <v>8.8536</v>
      </c>
      <c r="F110" s="0" t="n">
        <f aca="false">C110+E110</f>
        <v>156.4136</v>
      </c>
      <c r="G110" s="0" t="s">
        <v>365</v>
      </c>
      <c r="H110" s="0" t="n">
        <f aca="false">ROUNDUP(F110,0)</f>
        <v>157</v>
      </c>
      <c r="I110" s="0" t="s">
        <v>367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4" t="s">
        <v>531</v>
      </c>
      <c r="B1" s="4" t="s">
        <v>532</v>
      </c>
      <c r="C1" s="4" t="s">
        <v>533</v>
      </c>
    </row>
    <row r="2" customFormat="false" ht="15" hidden="false" customHeight="false" outlineLevel="0" collapsed="false">
      <c r="A2" s="0" t="s">
        <v>534</v>
      </c>
      <c r="B2" s="0" t="s">
        <v>535</v>
      </c>
      <c r="C2" s="0" t="s">
        <v>536</v>
      </c>
    </row>
    <row r="3" customFormat="false" ht="15" hidden="false" customHeight="false" outlineLevel="0" collapsed="false">
      <c r="A3" s="0" t="s">
        <v>537</v>
      </c>
      <c r="B3" s="0" t="s">
        <v>538</v>
      </c>
      <c r="C3" s="0" t="s">
        <v>539</v>
      </c>
    </row>
    <row r="4" customFormat="false" ht="15" hidden="false" customHeight="false" outlineLevel="0" collapsed="false">
      <c r="A4" s="0" t="s">
        <v>540</v>
      </c>
      <c r="B4" s="0" t="s">
        <v>541</v>
      </c>
      <c r="C4" s="0" t="s">
        <v>542</v>
      </c>
    </row>
    <row r="5" customFormat="false" ht="15" hidden="false" customHeight="false" outlineLevel="0" collapsed="false">
      <c r="A5" s="0" t="s">
        <v>543</v>
      </c>
      <c r="B5" s="0" t="s">
        <v>544</v>
      </c>
      <c r="C5" s="0" t="s">
        <v>545</v>
      </c>
    </row>
    <row r="6" customFormat="false" ht="15" hidden="false" customHeight="false" outlineLevel="0" collapsed="false">
      <c r="A6" s="0" t="s">
        <v>546</v>
      </c>
      <c r="B6" s="0" t="s">
        <v>547</v>
      </c>
      <c r="C6" s="0" t="s">
        <v>548</v>
      </c>
    </row>
    <row r="7" customFormat="false" ht="15" hidden="false" customHeight="false" outlineLevel="0" collapsed="false">
      <c r="A7" s="0" t="s">
        <v>549</v>
      </c>
      <c r="B7" s="0" t="s">
        <v>550</v>
      </c>
      <c r="C7" s="0" t="s">
        <v>551</v>
      </c>
    </row>
    <row r="8" customFormat="false" ht="15" hidden="false" customHeight="false" outlineLevel="0" collapsed="false">
      <c r="A8" s="0" t="s">
        <v>552</v>
      </c>
      <c r="B8" s="0" t="s">
        <v>553</v>
      </c>
      <c r="C8" s="0" t="s">
        <v>554</v>
      </c>
    </row>
    <row r="9" customFormat="false" ht="15" hidden="false" customHeight="false" outlineLevel="0" collapsed="false">
      <c r="A9" s="0" t="s">
        <v>555</v>
      </c>
      <c r="B9" s="0" t="s">
        <v>556</v>
      </c>
      <c r="C9" s="0" t="s">
        <v>557</v>
      </c>
    </row>
    <row r="10" customFormat="false" ht="15" hidden="false" customHeight="false" outlineLevel="0" collapsed="false">
      <c r="A10" s="0" t="s">
        <v>558</v>
      </c>
      <c r="B10" s="0" t="s">
        <v>559</v>
      </c>
      <c r="C10" s="0" t="s">
        <v>560</v>
      </c>
    </row>
    <row r="11" customFormat="false" ht="15" hidden="false" customHeight="false" outlineLevel="0" collapsed="false">
      <c r="A11" s="0" t="s">
        <v>561</v>
      </c>
      <c r="B11" s="0" t="s">
        <v>562</v>
      </c>
      <c r="C11" s="0" t="s">
        <v>563</v>
      </c>
    </row>
    <row r="12" customFormat="false" ht="15" hidden="false" customHeight="false" outlineLevel="0" collapsed="false">
      <c r="A12" s="0" t="s">
        <v>564</v>
      </c>
      <c r="B12" s="0" t="s">
        <v>565</v>
      </c>
      <c r="C12" s="0" t="s">
        <v>566</v>
      </c>
    </row>
    <row r="13" customFormat="false" ht="15" hidden="false" customHeight="false" outlineLevel="0" collapsed="false">
      <c r="A13" s="0" t="s">
        <v>567</v>
      </c>
      <c r="B13" s="0" t="s">
        <v>568</v>
      </c>
      <c r="C13" s="0" t="s">
        <v>569</v>
      </c>
    </row>
    <row r="14" customFormat="false" ht="15" hidden="false" customHeight="false" outlineLevel="0" collapsed="false">
      <c r="A14" s="0" t="s">
        <v>570</v>
      </c>
      <c r="B14" s="0" t="s">
        <v>571</v>
      </c>
      <c r="C14" s="0" t="s">
        <v>572</v>
      </c>
    </row>
    <row r="15" customFormat="false" ht="15" hidden="false" customHeight="false" outlineLevel="0" collapsed="false">
      <c r="A15" s="0" t="s">
        <v>573</v>
      </c>
      <c r="B15" s="0" t="s">
        <v>574</v>
      </c>
      <c r="C15" s="0" t="s">
        <v>575</v>
      </c>
    </row>
    <row r="16" customFormat="false" ht="15" hidden="false" customHeight="false" outlineLevel="0" collapsed="false">
      <c r="A16" s="0" t="s">
        <v>576</v>
      </c>
      <c r="B16" s="0" t="s">
        <v>577</v>
      </c>
      <c r="C16" s="0" t="s">
        <v>578</v>
      </c>
    </row>
    <row r="17" customFormat="false" ht="15" hidden="false" customHeight="false" outlineLevel="0" collapsed="false">
      <c r="A17" s="0" t="s">
        <v>579</v>
      </c>
      <c r="B17" s="0" t="s">
        <v>580</v>
      </c>
      <c r="C17" s="0" t="s">
        <v>581</v>
      </c>
    </row>
    <row r="18" customFormat="false" ht="15" hidden="false" customHeight="false" outlineLevel="0" collapsed="false">
      <c r="A18" s="0" t="s">
        <v>582</v>
      </c>
      <c r="B18" s="0" t="s">
        <v>583</v>
      </c>
      <c r="C18" s="0" t="s">
        <v>584</v>
      </c>
    </row>
    <row r="19" customFormat="false" ht="15" hidden="false" customHeight="false" outlineLevel="0" collapsed="false">
      <c r="A19" s="0" t="s">
        <v>585</v>
      </c>
      <c r="B19" s="0" t="s">
        <v>586</v>
      </c>
      <c r="C19" s="0" t="s">
        <v>587</v>
      </c>
    </row>
    <row r="20" customFormat="false" ht="15" hidden="false" customHeight="false" outlineLevel="0" collapsed="false">
      <c r="A20" s="0" t="s">
        <v>588</v>
      </c>
      <c r="B20" s="0" t="s">
        <v>589</v>
      </c>
      <c r="C20" s="0" t="s">
        <v>590</v>
      </c>
    </row>
    <row r="21" customFormat="false" ht="15" hidden="false" customHeight="false" outlineLevel="0" collapsed="false">
      <c r="A21" s="0" t="s">
        <v>591</v>
      </c>
      <c r="B21" s="0" t="s">
        <v>592</v>
      </c>
      <c r="C21" s="0" t="s">
        <v>593</v>
      </c>
    </row>
    <row r="22" customFormat="false" ht="15" hidden="false" customHeight="false" outlineLevel="0" collapsed="false">
      <c r="A22" s="0" t="s">
        <v>594</v>
      </c>
      <c r="B22" s="0" t="s">
        <v>595</v>
      </c>
      <c r="C22" s="0" t="s">
        <v>596</v>
      </c>
    </row>
    <row r="23" customFormat="false" ht="15" hidden="false" customHeight="false" outlineLevel="0" collapsed="false">
      <c r="A23" s="0" t="s">
        <v>597</v>
      </c>
      <c r="B23" s="0" t="s">
        <v>598</v>
      </c>
      <c r="C23" s="0" t="s">
        <v>599</v>
      </c>
    </row>
    <row r="24" customFormat="false" ht="15" hidden="false" customHeight="false" outlineLevel="0" collapsed="false">
      <c r="A24" s="0" t="s">
        <v>600</v>
      </c>
      <c r="B24" s="0" t="s">
        <v>601</v>
      </c>
      <c r="C24" s="0" t="s">
        <v>602</v>
      </c>
    </row>
    <row r="25" customFormat="false" ht="15" hidden="false" customHeight="false" outlineLevel="0" collapsed="false">
      <c r="A25" s="0" t="s">
        <v>603</v>
      </c>
      <c r="B25" s="0" t="s">
        <v>604</v>
      </c>
      <c r="C25" s="0" t="s">
        <v>605</v>
      </c>
    </row>
    <row r="26" customFormat="false" ht="15" hidden="false" customHeight="false" outlineLevel="0" collapsed="false">
      <c r="A26" s="0" t="s">
        <v>606</v>
      </c>
      <c r="B26" s="0" t="s">
        <v>607</v>
      </c>
      <c r="C26" s="0" t="s">
        <v>608</v>
      </c>
    </row>
    <row r="27" customFormat="false" ht="15" hidden="false" customHeight="false" outlineLevel="0" collapsed="false">
      <c r="A27" s="0" t="s">
        <v>609</v>
      </c>
      <c r="B27" s="0" t="s">
        <v>610</v>
      </c>
      <c r="C27" s="0" t="s">
        <v>611</v>
      </c>
    </row>
    <row r="28" customFormat="false" ht="15" hidden="false" customHeight="false" outlineLevel="0" collapsed="false">
      <c r="A28" s="0" t="s">
        <v>612</v>
      </c>
      <c r="B28" s="0" t="s">
        <v>613</v>
      </c>
      <c r="C28" s="0" t="s">
        <v>614</v>
      </c>
    </row>
    <row r="29" customFormat="false" ht="15" hidden="false" customHeight="false" outlineLevel="0" collapsed="false">
      <c r="A29" s="0" t="s">
        <v>615</v>
      </c>
      <c r="B29" s="0" t="s">
        <v>616</v>
      </c>
      <c r="C29" s="0" t="s">
        <v>617</v>
      </c>
    </row>
    <row r="30" customFormat="false" ht="15" hidden="false" customHeight="false" outlineLevel="0" collapsed="false">
      <c r="A30" s="0" t="s">
        <v>618</v>
      </c>
      <c r="B30" s="0" t="s">
        <v>619</v>
      </c>
      <c r="C30" s="0" t="s">
        <v>620</v>
      </c>
    </row>
    <row r="31" customFormat="false" ht="15" hidden="false" customHeight="false" outlineLevel="0" collapsed="false">
      <c r="A31" s="0" t="s">
        <v>621</v>
      </c>
      <c r="B31" s="0" t="s">
        <v>622</v>
      </c>
      <c r="C31" s="0" t="s">
        <v>623</v>
      </c>
    </row>
    <row r="32" customFormat="false" ht="15" hidden="false" customHeight="false" outlineLevel="0" collapsed="false">
      <c r="A32" s="0" t="s">
        <v>624</v>
      </c>
      <c r="B32" s="0" t="s">
        <v>625</v>
      </c>
      <c r="C32" s="0" t="s">
        <v>542</v>
      </c>
    </row>
    <row r="33" customFormat="false" ht="15" hidden="false" customHeight="false" outlineLevel="0" collapsed="false">
      <c r="A33" s="0" t="s">
        <v>626</v>
      </c>
      <c r="B33" s="0" t="s">
        <v>627</v>
      </c>
      <c r="C33" s="0" t="s">
        <v>628</v>
      </c>
    </row>
    <row r="34" customFormat="false" ht="15" hidden="false" customHeight="false" outlineLevel="0" collapsed="false">
      <c r="A34" s="0" t="s">
        <v>629</v>
      </c>
      <c r="B34" s="0" t="s">
        <v>630</v>
      </c>
      <c r="C34" s="0" t="s">
        <v>631</v>
      </c>
    </row>
    <row r="35" customFormat="false" ht="15" hidden="false" customHeight="false" outlineLevel="0" collapsed="false">
      <c r="A35" s="0" t="s">
        <v>632</v>
      </c>
      <c r="B35" s="0" t="s">
        <v>633</v>
      </c>
      <c r="C35" s="0" t="s">
        <v>634</v>
      </c>
    </row>
    <row r="36" customFormat="false" ht="15" hidden="false" customHeight="false" outlineLevel="0" collapsed="false">
      <c r="A36" s="0" t="s">
        <v>635</v>
      </c>
      <c r="B36" s="0" t="s">
        <v>636</v>
      </c>
      <c r="C36" s="0" t="s">
        <v>637</v>
      </c>
    </row>
    <row r="37" customFormat="false" ht="15" hidden="false" customHeight="false" outlineLevel="0" collapsed="false">
      <c r="A37" s="0" t="s">
        <v>638</v>
      </c>
      <c r="B37" s="0" t="s">
        <v>639</v>
      </c>
      <c r="C37" s="0" t="s">
        <v>640</v>
      </c>
    </row>
    <row r="38" customFormat="false" ht="15" hidden="false" customHeight="false" outlineLevel="0" collapsed="false">
      <c r="A38" s="0" t="s">
        <v>641</v>
      </c>
      <c r="B38" s="0" t="s">
        <v>642</v>
      </c>
      <c r="C38" s="0" t="s">
        <v>643</v>
      </c>
    </row>
    <row r="39" customFormat="false" ht="15" hidden="false" customHeight="false" outlineLevel="0" collapsed="false">
      <c r="A39" s="0" t="s">
        <v>644</v>
      </c>
      <c r="B39" s="0" t="s">
        <v>645</v>
      </c>
      <c r="C39" s="0" t="s">
        <v>646</v>
      </c>
    </row>
    <row r="40" customFormat="false" ht="15" hidden="false" customHeight="false" outlineLevel="0" collapsed="false">
      <c r="A40" s="0" t="s">
        <v>647</v>
      </c>
      <c r="B40" s="0" t="s">
        <v>648</v>
      </c>
      <c r="C40" s="0" t="s">
        <v>649</v>
      </c>
    </row>
    <row r="41" customFormat="false" ht="15" hidden="false" customHeight="false" outlineLevel="0" collapsed="false">
      <c r="A41" s="0" t="s">
        <v>650</v>
      </c>
      <c r="B41" s="0" t="s">
        <v>651</v>
      </c>
      <c r="C41" s="0" t="s">
        <v>652</v>
      </c>
    </row>
    <row r="42" customFormat="false" ht="15" hidden="false" customHeight="false" outlineLevel="0" collapsed="false">
      <c r="A42" s="0" t="s">
        <v>653</v>
      </c>
      <c r="B42" s="0" t="s">
        <v>654</v>
      </c>
      <c r="C42" s="0" t="s">
        <v>655</v>
      </c>
    </row>
    <row r="43" customFormat="false" ht="15" hidden="false" customHeight="false" outlineLevel="0" collapsed="false">
      <c r="A43" s="0" t="s">
        <v>656</v>
      </c>
      <c r="B43" s="0" t="s">
        <v>657</v>
      </c>
      <c r="C43" s="0" t="s">
        <v>658</v>
      </c>
    </row>
    <row r="44" customFormat="false" ht="15" hidden="false" customHeight="false" outlineLevel="0" collapsed="false">
      <c r="A44" s="0" t="s">
        <v>659</v>
      </c>
      <c r="B44" s="0" t="s">
        <v>660</v>
      </c>
      <c r="C44" s="0" t="s">
        <v>661</v>
      </c>
    </row>
    <row r="45" customFormat="false" ht="15" hidden="false" customHeight="false" outlineLevel="0" collapsed="false">
      <c r="A45" s="0" t="s">
        <v>662</v>
      </c>
      <c r="B45" s="0" t="s">
        <v>663</v>
      </c>
      <c r="C45" s="0" t="s">
        <v>664</v>
      </c>
    </row>
    <row r="46" customFormat="false" ht="15" hidden="false" customHeight="false" outlineLevel="0" collapsed="false">
      <c r="A46" s="0" t="s">
        <v>665</v>
      </c>
      <c r="B46" s="0" t="s">
        <v>666</v>
      </c>
      <c r="C46" s="0" t="s">
        <v>667</v>
      </c>
    </row>
    <row r="47" customFormat="false" ht="15" hidden="false" customHeight="false" outlineLevel="0" collapsed="false">
      <c r="A47" s="0" t="s">
        <v>668</v>
      </c>
      <c r="B47" s="0" t="s">
        <v>669</v>
      </c>
      <c r="C47" s="0" t="s">
        <v>655</v>
      </c>
    </row>
    <row r="48" customFormat="false" ht="15" hidden="false" customHeight="false" outlineLevel="0" collapsed="false">
      <c r="A48" s="0" t="s">
        <v>670</v>
      </c>
      <c r="B48" s="0" t="s">
        <v>671</v>
      </c>
      <c r="C48" s="0" t="s">
        <v>655</v>
      </c>
    </row>
    <row r="49" customFormat="false" ht="15" hidden="false" customHeight="false" outlineLevel="0" collapsed="false">
      <c r="A49" s="0" t="s">
        <v>672</v>
      </c>
      <c r="B49" s="0" t="s">
        <v>673</v>
      </c>
      <c r="C49" s="0" t="s">
        <v>674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8"/>
    <col collapsed="false" customWidth="true" hidden="false" outlineLevel="0" max="4" min="4" style="0" width="25"/>
  </cols>
  <sheetData>
    <row r="1" customFormat="false" ht="15" hidden="false" customHeight="false" outlineLevel="0" collapsed="false">
      <c r="A1" s="0" t="s">
        <v>675</v>
      </c>
      <c r="B1" s="0" t="s">
        <v>676</v>
      </c>
      <c r="C1" s="0" t="s">
        <v>677</v>
      </c>
      <c r="D1" s="0" t="s">
        <v>678</v>
      </c>
    </row>
    <row r="2" customFormat="false" ht="15" hidden="false" customHeight="false" outlineLevel="0" collapsed="false">
      <c r="A2" s="0" t="n">
        <v>1</v>
      </c>
      <c r="B2" s="0" t="s">
        <v>679</v>
      </c>
      <c r="C2" s="0" t="s">
        <v>680</v>
      </c>
      <c r="D2" s="0" t="s">
        <v>681</v>
      </c>
    </row>
    <row r="3" customFormat="false" ht="15" hidden="false" customHeight="false" outlineLevel="0" collapsed="false">
      <c r="A3" s="0" t="n">
        <v>2</v>
      </c>
      <c r="B3" s="0" t="s">
        <v>682</v>
      </c>
      <c r="C3" s="0" t="s">
        <v>680</v>
      </c>
      <c r="D3" s="0" t="s">
        <v>683</v>
      </c>
    </row>
    <row r="4" customFormat="false" ht="15" hidden="false" customHeight="false" outlineLevel="0" collapsed="false">
      <c r="A4" s="0" t="n">
        <v>3</v>
      </c>
      <c r="B4" s="0" t="s">
        <v>684</v>
      </c>
      <c r="C4" s="0" t="s">
        <v>680</v>
      </c>
      <c r="D4" s="0" t="s">
        <v>685</v>
      </c>
    </row>
    <row r="5" customFormat="false" ht="15" hidden="false" customHeight="false" outlineLevel="0" collapsed="false">
      <c r="A5" s="0" t="n">
        <v>4</v>
      </c>
      <c r="B5" s="0" t="s">
        <v>686</v>
      </c>
      <c r="C5" s="0" t="s">
        <v>680</v>
      </c>
      <c r="D5" s="0" t="s">
        <v>687</v>
      </c>
    </row>
    <row r="6" customFormat="false" ht="15" hidden="false" customHeight="false" outlineLevel="0" collapsed="false">
      <c r="A6" s="0" t="n">
        <v>5</v>
      </c>
      <c r="B6" s="0" t="s">
        <v>688</v>
      </c>
      <c r="C6" s="0" t="s">
        <v>680</v>
      </c>
      <c r="D6" s="0" t="s">
        <v>689</v>
      </c>
    </row>
    <row r="7" customFormat="false" ht="15" hidden="false" customHeight="false" outlineLevel="0" collapsed="false">
      <c r="A7" s="0" t="n">
        <v>6</v>
      </c>
      <c r="B7" s="0" t="s">
        <v>690</v>
      </c>
      <c r="C7" s="0" t="s">
        <v>680</v>
      </c>
      <c r="D7" s="0" t="s">
        <v>691</v>
      </c>
    </row>
    <row r="8" customFormat="false" ht="15" hidden="false" customHeight="false" outlineLevel="0" collapsed="false">
      <c r="A8" s="0" t="n">
        <v>7</v>
      </c>
      <c r="B8" s="0" t="s">
        <v>692</v>
      </c>
      <c r="C8" s="0" t="s">
        <v>680</v>
      </c>
      <c r="D8" s="0" t="s">
        <v>693</v>
      </c>
    </row>
    <row r="9" customFormat="false" ht="15" hidden="false" customHeight="false" outlineLevel="0" collapsed="false">
      <c r="A9" s="0" t="n">
        <v>8</v>
      </c>
      <c r="B9" s="0" t="s">
        <v>694</v>
      </c>
      <c r="C9" s="0" t="s">
        <v>680</v>
      </c>
      <c r="D9" s="0" t="s">
        <v>695</v>
      </c>
    </row>
    <row r="10" customFormat="false" ht="15" hidden="false" customHeight="false" outlineLevel="0" collapsed="false">
      <c r="A10" s="0" t="n">
        <v>9</v>
      </c>
      <c r="B10" s="0" t="s">
        <v>696</v>
      </c>
      <c r="C10" s="0" t="s">
        <v>680</v>
      </c>
      <c r="D10" s="0" t="s">
        <v>697</v>
      </c>
    </row>
    <row r="11" customFormat="false" ht="15" hidden="false" customHeight="false" outlineLevel="0" collapsed="false">
      <c r="A11" s="0" t="n">
        <v>10</v>
      </c>
      <c r="B11" s="0" t="s">
        <v>698</v>
      </c>
      <c r="C11" s="0" t="s">
        <v>680</v>
      </c>
      <c r="D11" s="0" t="s">
        <v>699</v>
      </c>
    </row>
    <row r="12" customFormat="false" ht="15" hidden="false" customHeight="false" outlineLevel="0" collapsed="false">
      <c r="A12" s="0" t="n">
        <v>11</v>
      </c>
      <c r="B12" s="0" t="s">
        <v>700</v>
      </c>
      <c r="C12" s="0" t="s">
        <v>701</v>
      </c>
    </row>
    <row r="13" customFormat="false" ht="15" hidden="false" customHeight="false" outlineLevel="0" collapsed="false">
      <c r="A13" s="0" t="n">
        <v>12</v>
      </c>
      <c r="B13" s="0" t="s">
        <v>702</v>
      </c>
      <c r="C13" s="0" t="s">
        <v>701</v>
      </c>
    </row>
    <row r="14" customFormat="false" ht="15" hidden="false" customHeight="false" outlineLevel="0" collapsed="false">
      <c r="A14" s="0" t="n">
        <v>13</v>
      </c>
      <c r="B14" s="0" t="s">
        <v>703</v>
      </c>
      <c r="C14" s="0" t="s">
        <v>701</v>
      </c>
    </row>
    <row r="15" customFormat="false" ht="15" hidden="false" customHeight="false" outlineLevel="0" collapsed="false">
      <c r="A15" s="0" t="n">
        <v>14</v>
      </c>
      <c r="B15" s="0" t="s">
        <v>704</v>
      </c>
      <c r="C15" s="0" t="s">
        <v>701</v>
      </c>
    </row>
    <row r="16" customFormat="false" ht="15" hidden="false" customHeight="false" outlineLevel="0" collapsed="false">
      <c r="A16" s="0" t="n">
        <v>15</v>
      </c>
      <c r="B16" s="0" t="s">
        <v>705</v>
      </c>
      <c r="C16" s="0" t="s">
        <v>701</v>
      </c>
    </row>
    <row r="17" customFormat="false" ht="15" hidden="false" customHeight="false" outlineLevel="0" collapsed="false">
      <c r="A17" s="0" t="n">
        <v>16</v>
      </c>
      <c r="B17" s="0" t="s">
        <v>706</v>
      </c>
      <c r="C17" s="0" t="s">
        <v>701</v>
      </c>
    </row>
    <row r="18" customFormat="false" ht="15" hidden="false" customHeight="false" outlineLevel="0" collapsed="false">
      <c r="A18" s="0" t="n">
        <v>17</v>
      </c>
      <c r="B18" s="0" t="s">
        <v>707</v>
      </c>
      <c r="C18" s="0" t="s">
        <v>701</v>
      </c>
    </row>
    <row r="19" customFormat="false" ht="15" hidden="false" customHeight="false" outlineLevel="0" collapsed="false">
      <c r="A19" s="0" t="n">
        <v>18</v>
      </c>
      <c r="B19" s="0" t="s">
        <v>708</v>
      </c>
      <c r="C19" s="0" t="s">
        <v>701</v>
      </c>
    </row>
    <row r="20" customFormat="false" ht="15" hidden="false" customHeight="false" outlineLevel="0" collapsed="false">
      <c r="A20" s="0" t="n">
        <v>19</v>
      </c>
      <c r="B20" s="0" t="s">
        <v>709</v>
      </c>
      <c r="C20" s="0" t="s">
        <v>701</v>
      </c>
    </row>
    <row r="21" customFormat="false" ht="15" hidden="false" customHeight="false" outlineLevel="0" collapsed="false">
      <c r="A21" s="0" t="n">
        <v>20</v>
      </c>
      <c r="B21" s="0" t="s">
        <v>710</v>
      </c>
      <c r="C21" s="0" t="s">
        <v>701</v>
      </c>
    </row>
    <row r="22" customFormat="false" ht="15" hidden="false" customHeight="false" outlineLevel="0" collapsed="false">
      <c r="A22" s="0" t="n">
        <v>21</v>
      </c>
      <c r="B22" s="0" t="s">
        <v>711</v>
      </c>
      <c r="C22" s="0" t="s">
        <v>701</v>
      </c>
    </row>
    <row r="23" customFormat="false" ht="15" hidden="false" customHeight="false" outlineLevel="0" collapsed="false">
      <c r="A23" s="0" t="n">
        <v>22</v>
      </c>
      <c r="B23" s="0" t="s">
        <v>712</v>
      </c>
      <c r="C23" s="0" t="s">
        <v>701</v>
      </c>
    </row>
    <row r="24" customFormat="false" ht="15" hidden="false" customHeight="false" outlineLevel="0" collapsed="false">
      <c r="A24" s="0" t="n">
        <v>23</v>
      </c>
      <c r="B24" s="0" t="s">
        <v>713</v>
      </c>
      <c r="C24" s="0" t="s">
        <v>701</v>
      </c>
    </row>
    <row r="25" customFormat="false" ht="15" hidden="false" customHeight="false" outlineLevel="0" collapsed="false">
      <c r="A25" s="0" t="n">
        <v>24</v>
      </c>
      <c r="B25" s="0" t="s">
        <v>714</v>
      </c>
      <c r="C25" s="0" t="s">
        <v>701</v>
      </c>
    </row>
    <row r="26" customFormat="false" ht="15" hidden="false" customHeight="false" outlineLevel="0" collapsed="false">
      <c r="A26" s="0" t="n">
        <v>25</v>
      </c>
      <c r="B26" s="0" t="s">
        <v>715</v>
      </c>
      <c r="C26" s="0" t="s">
        <v>701</v>
      </c>
    </row>
    <row r="27" customFormat="false" ht="15" hidden="false" customHeight="false" outlineLevel="0" collapsed="false">
      <c r="A27" s="0" t="n">
        <v>26</v>
      </c>
      <c r="B27" s="0" t="s">
        <v>716</v>
      </c>
      <c r="C27" s="0" t="s">
        <v>701</v>
      </c>
    </row>
    <row r="28" customFormat="false" ht="15" hidden="false" customHeight="false" outlineLevel="0" collapsed="false">
      <c r="A28" s="0" t="n">
        <v>27</v>
      </c>
      <c r="B28" s="0" t="s">
        <v>717</v>
      </c>
      <c r="C28" s="0" t="s">
        <v>701</v>
      </c>
    </row>
    <row r="29" customFormat="false" ht="15" hidden="false" customHeight="false" outlineLevel="0" collapsed="false">
      <c r="A29" s="0" t="n">
        <v>28</v>
      </c>
      <c r="B29" s="0" t="s">
        <v>718</v>
      </c>
      <c r="C29" s="0" t="s">
        <v>701</v>
      </c>
    </row>
    <row r="30" customFormat="false" ht="15" hidden="false" customHeight="false" outlineLevel="0" collapsed="false">
      <c r="A30" s="0" t="n">
        <v>29</v>
      </c>
      <c r="B30" s="0" t="s">
        <v>719</v>
      </c>
      <c r="C30" s="0" t="s">
        <v>701</v>
      </c>
    </row>
    <row r="31" customFormat="false" ht="15" hidden="false" customHeight="false" outlineLevel="0" collapsed="false">
      <c r="A31" s="0" t="n">
        <v>30</v>
      </c>
      <c r="B31" s="0" t="s">
        <v>720</v>
      </c>
      <c r="C31" s="0" t="s">
        <v>701</v>
      </c>
    </row>
    <row r="32" customFormat="false" ht="15" hidden="false" customHeight="false" outlineLevel="0" collapsed="false">
      <c r="A32" s="0" t="n">
        <v>31</v>
      </c>
      <c r="B32" s="0" t="s">
        <v>721</v>
      </c>
      <c r="C32" s="0" t="s">
        <v>701</v>
      </c>
    </row>
    <row r="33" customFormat="false" ht="15" hidden="false" customHeight="false" outlineLevel="0" collapsed="false">
      <c r="A33" s="0" t="n">
        <v>32</v>
      </c>
      <c r="B33" s="0" t="s">
        <v>722</v>
      </c>
      <c r="C33" s="0" t="s">
        <v>701</v>
      </c>
    </row>
    <row r="34" customFormat="false" ht="15" hidden="false" customHeight="false" outlineLevel="0" collapsed="false">
      <c r="A34" s="0" t="n">
        <v>33</v>
      </c>
      <c r="B34" s="0" t="s">
        <v>723</v>
      </c>
      <c r="C34" s="0" t="s">
        <v>701</v>
      </c>
    </row>
    <row r="35" customFormat="false" ht="15" hidden="false" customHeight="false" outlineLevel="0" collapsed="false">
      <c r="A35" s="0" t="n">
        <v>34</v>
      </c>
      <c r="B35" s="0" t="s">
        <v>724</v>
      </c>
      <c r="C35" s="0" t="s">
        <v>701</v>
      </c>
    </row>
    <row r="36" customFormat="false" ht="15" hidden="false" customHeight="false" outlineLevel="0" collapsed="false">
      <c r="A36" s="0" t="n">
        <v>35</v>
      </c>
      <c r="B36" s="0" t="s">
        <v>725</v>
      </c>
      <c r="C36" s="0" t="s">
        <v>701</v>
      </c>
    </row>
    <row r="37" customFormat="false" ht="15" hidden="false" customHeight="false" outlineLevel="0" collapsed="false">
      <c r="A37" s="0" t="n">
        <v>36</v>
      </c>
      <c r="B37" s="0" t="s">
        <v>726</v>
      </c>
      <c r="C37" s="0" t="s">
        <v>701</v>
      </c>
    </row>
    <row r="38" customFormat="false" ht="15" hidden="false" customHeight="false" outlineLevel="0" collapsed="false">
      <c r="A38" s="0" t="n">
        <v>37</v>
      </c>
      <c r="B38" s="0" t="s">
        <v>727</v>
      </c>
      <c r="C38" s="0" t="s">
        <v>701</v>
      </c>
    </row>
    <row r="39" customFormat="false" ht="15" hidden="false" customHeight="false" outlineLevel="0" collapsed="false">
      <c r="A39" s="0" t="n">
        <v>38</v>
      </c>
      <c r="B39" s="0" t="s">
        <v>728</v>
      </c>
      <c r="C39" s="0" t="s">
        <v>701</v>
      </c>
    </row>
    <row r="40" customFormat="false" ht="15" hidden="false" customHeight="false" outlineLevel="0" collapsed="false">
      <c r="A40" s="0" t="n">
        <v>39</v>
      </c>
      <c r="B40" s="0" t="s">
        <v>729</v>
      </c>
      <c r="C40" s="0" t="s">
        <v>701</v>
      </c>
    </row>
    <row r="41" customFormat="false" ht="15" hidden="false" customHeight="false" outlineLevel="0" collapsed="false">
      <c r="A41" s="0" t="n">
        <v>40</v>
      </c>
      <c r="B41" s="0" t="s">
        <v>730</v>
      </c>
      <c r="C41" s="0" t="s">
        <v>701</v>
      </c>
    </row>
    <row r="42" customFormat="false" ht="15" hidden="false" customHeight="false" outlineLevel="0" collapsed="false">
      <c r="A42" s="0" t="n">
        <v>41</v>
      </c>
      <c r="B42" s="0" t="s">
        <v>731</v>
      </c>
      <c r="C42" s="0" t="s">
        <v>701</v>
      </c>
    </row>
    <row r="43" customFormat="false" ht="15" hidden="false" customHeight="false" outlineLevel="0" collapsed="false">
      <c r="A43" s="0" t="n">
        <v>42</v>
      </c>
      <c r="B43" s="0" t="s">
        <v>732</v>
      </c>
      <c r="C43" s="0" t="s">
        <v>701</v>
      </c>
    </row>
    <row r="44" customFormat="false" ht="15" hidden="false" customHeight="false" outlineLevel="0" collapsed="false">
      <c r="A44" s="0" t="n">
        <v>43</v>
      </c>
      <c r="B44" s="0" t="s">
        <v>733</v>
      </c>
      <c r="C44" s="0" t="s">
        <v>701</v>
      </c>
    </row>
    <row r="45" customFormat="false" ht="15" hidden="false" customHeight="false" outlineLevel="0" collapsed="false">
      <c r="A45" s="0" t="n">
        <v>44</v>
      </c>
      <c r="B45" s="0" t="s">
        <v>734</v>
      </c>
      <c r="C45" s="0" t="s">
        <v>701</v>
      </c>
    </row>
    <row r="46" customFormat="false" ht="15" hidden="false" customHeight="false" outlineLevel="0" collapsed="false">
      <c r="A46" s="0" t="n">
        <v>45</v>
      </c>
      <c r="B46" s="0" t="s">
        <v>735</v>
      </c>
      <c r="C46" s="0" t="s">
        <v>701</v>
      </c>
    </row>
    <row r="47" customFormat="false" ht="15" hidden="false" customHeight="false" outlineLevel="0" collapsed="false">
      <c r="A47" s="0" t="n">
        <v>46</v>
      </c>
      <c r="B47" s="0" t="s">
        <v>736</v>
      </c>
      <c r="C47" s="0" t="s">
        <v>701</v>
      </c>
    </row>
    <row r="48" customFormat="false" ht="15" hidden="false" customHeight="false" outlineLevel="0" collapsed="false">
      <c r="A48" s="0" t="n">
        <v>47</v>
      </c>
      <c r="B48" s="0" t="s">
        <v>737</v>
      </c>
      <c r="C48" s="0" t="s">
        <v>701</v>
      </c>
    </row>
    <row r="49" customFormat="false" ht="15" hidden="false" customHeight="false" outlineLevel="0" collapsed="false">
      <c r="A49" s="0" t="n">
        <v>48</v>
      </c>
      <c r="B49" s="0" t="s">
        <v>738</v>
      </c>
      <c r="C49" s="0" t="s">
        <v>701</v>
      </c>
    </row>
    <row r="50" customFormat="false" ht="15" hidden="false" customHeight="false" outlineLevel="0" collapsed="false">
      <c r="A50" s="0" t="n">
        <v>49</v>
      </c>
      <c r="B50" s="0" t="s">
        <v>739</v>
      </c>
      <c r="C50" s="0" t="s">
        <v>701</v>
      </c>
    </row>
    <row r="51" customFormat="false" ht="15" hidden="false" customHeight="false" outlineLevel="0" collapsed="false">
      <c r="A51" s="0" t="n">
        <v>50</v>
      </c>
      <c r="B51" s="0" t="s">
        <v>740</v>
      </c>
      <c r="C51" s="0" t="s">
        <v>701</v>
      </c>
    </row>
    <row r="52" customFormat="false" ht="15" hidden="false" customHeight="false" outlineLevel="0" collapsed="false">
      <c r="A52" s="0" t="n">
        <v>51</v>
      </c>
      <c r="B52" s="0" t="s">
        <v>741</v>
      </c>
      <c r="C52" s="0" t="s">
        <v>701</v>
      </c>
    </row>
    <row r="53" customFormat="false" ht="15" hidden="false" customHeight="false" outlineLevel="0" collapsed="false">
      <c r="A53" s="0" t="n">
        <v>52</v>
      </c>
      <c r="B53" s="0" t="s">
        <v>742</v>
      </c>
      <c r="C53" s="0" t="s">
        <v>701</v>
      </c>
    </row>
    <row r="54" customFormat="false" ht="15" hidden="false" customHeight="false" outlineLevel="0" collapsed="false">
      <c r="A54" s="0" t="n">
        <v>53</v>
      </c>
      <c r="B54" s="0" t="s">
        <v>743</v>
      </c>
      <c r="C54" s="0" t="s">
        <v>701</v>
      </c>
    </row>
    <row r="55" customFormat="false" ht="15" hidden="false" customHeight="false" outlineLevel="0" collapsed="false">
      <c r="A55" s="0" t="n">
        <v>54</v>
      </c>
      <c r="B55" s="0" t="s">
        <v>744</v>
      </c>
      <c r="C55" s="0" t="s">
        <v>701</v>
      </c>
    </row>
    <row r="56" customFormat="false" ht="15" hidden="false" customHeight="false" outlineLevel="0" collapsed="false">
      <c r="A56" s="0" t="n">
        <v>55</v>
      </c>
      <c r="B56" s="0" t="s">
        <v>745</v>
      </c>
      <c r="C56" s="0" t="s">
        <v>701</v>
      </c>
    </row>
    <row r="57" customFormat="false" ht="15" hidden="false" customHeight="false" outlineLevel="0" collapsed="false">
      <c r="A57" s="0" t="n">
        <v>56</v>
      </c>
      <c r="B57" s="0" t="s">
        <v>746</v>
      </c>
      <c r="C57" s="0" t="s">
        <v>701</v>
      </c>
    </row>
    <row r="58" customFormat="false" ht="15" hidden="false" customHeight="false" outlineLevel="0" collapsed="false">
      <c r="A58" s="0" t="n">
        <v>57</v>
      </c>
      <c r="B58" s="0" t="s">
        <v>747</v>
      </c>
      <c r="C58" s="0" t="s">
        <v>701</v>
      </c>
    </row>
    <row r="59" customFormat="false" ht="15" hidden="false" customHeight="false" outlineLevel="0" collapsed="false">
      <c r="A59" s="0" t="n">
        <v>58</v>
      </c>
      <c r="B59" s="0" t="s">
        <v>748</v>
      </c>
      <c r="C59" s="0" t="s">
        <v>701</v>
      </c>
    </row>
    <row r="60" customFormat="false" ht="15" hidden="false" customHeight="false" outlineLevel="0" collapsed="false">
      <c r="A60" s="0" t="n">
        <v>59</v>
      </c>
      <c r="B60" s="0" t="s">
        <v>749</v>
      </c>
      <c r="C60" s="0" t="s">
        <v>680</v>
      </c>
      <c r="D60" s="0" t="s">
        <v>750</v>
      </c>
    </row>
    <row r="61" customFormat="false" ht="15" hidden="false" customHeight="false" outlineLevel="0" collapsed="false">
      <c r="A61" s="0" t="n">
        <v>60</v>
      </c>
      <c r="B61" s="0" t="s">
        <v>751</v>
      </c>
      <c r="C61" s="0" t="s">
        <v>680</v>
      </c>
    </row>
    <row r="62" customFormat="false" ht="15" hidden="false" customHeight="false" outlineLevel="0" collapsed="false">
      <c r="A62" s="0" t="n">
        <v>61</v>
      </c>
      <c r="B62" s="0" t="s">
        <v>752</v>
      </c>
      <c r="C62" s="0" t="s">
        <v>680</v>
      </c>
    </row>
    <row r="63" customFormat="false" ht="15" hidden="false" customHeight="false" outlineLevel="0" collapsed="false">
      <c r="A63" s="0" t="n">
        <v>62</v>
      </c>
      <c r="B63" s="0" t="s">
        <v>753</v>
      </c>
      <c r="C63" s="0" t="s">
        <v>754</v>
      </c>
    </row>
    <row r="64" customFormat="false" ht="15" hidden="false" customHeight="false" outlineLevel="0" collapsed="false">
      <c r="A64" s="0" t="n">
        <v>63</v>
      </c>
      <c r="B64" s="0" t="s">
        <v>755</v>
      </c>
      <c r="C64" s="0" t="s">
        <v>756</v>
      </c>
    </row>
    <row r="65" customFormat="false" ht="15" hidden="false" customHeight="false" outlineLevel="0" collapsed="false">
      <c r="A65" s="0" t="n">
        <v>64</v>
      </c>
      <c r="B65" s="0" t="s">
        <v>757</v>
      </c>
      <c r="C65" s="0" t="s">
        <v>758</v>
      </c>
    </row>
    <row r="66" customFormat="false" ht="15" hidden="false" customHeight="false" outlineLevel="0" collapsed="false">
      <c r="A66" s="0" t="n">
        <v>65</v>
      </c>
      <c r="B66" s="0" t="s">
        <v>759</v>
      </c>
      <c r="C66" s="0" t="s">
        <v>760</v>
      </c>
      <c r="D66" s="0" t="s">
        <v>689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4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761</v>
      </c>
      <c r="B1" s="0" t="s">
        <v>762</v>
      </c>
      <c r="C1" s="0" t="s">
        <v>763</v>
      </c>
      <c r="D1" s="0" t="s">
        <v>764</v>
      </c>
    </row>
    <row r="2" customFormat="false" ht="15" hidden="false" customHeight="false" outlineLevel="0" collapsed="false">
      <c r="A2" s="0" t="s">
        <v>765</v>
      </c>
      <c r="B2" s="0" t="s">
        <v>766</v>
      </c>
      <c r="C2" s="0" t="s">
        <v>767</v>
      </c>
      <c r="D2" s="0" t="s">
        <v>768</v>
      </c>
    </row>
    <row r="3" customFormat="false" ht="15" hidden="false" customHeight="false" outlineLevel="0" collapsed="false">
      <c r="A3" s="0" t="s">
        <v>769</v>
      </c>
      <c r="B3" s="0" t="s">
        <v>770</v>
      </c>
      <c r="C3" s="0" t="s">
        <v>767</v>
      </c>
      <c r="D3" s="0" t="s">
        <v>771</v>
      </c>
    </row>
    <row r="4" customFormat="false" ht="15" hidden="false" customHeight="false" outlineLevel="0" collapsed="false">
      <c r="A4" s="0" t="s">
        <v>772</v>
      </c>
      <c r="B4" s="0" t="s">
        <v>773</v>
      </c>
      <c r="C4" s="0" t="s">
        <v>767</v>
      </c>
      <c r="D4" s="0" t="s">
        <v>774</v>
      </c>
    </row>
    <row r="5" customFormat="false" ht="15" hidden="false" customHeight="false" outlineLevel="0" collapsed="false">
      <c r="A5" s="0" t="s">
        <v>775</v>
      </c>
      <c r="B5" s="0" t="s">
        <v>776</v>
      </c>
      <c r="C5" s="0" t="s">
        <v>767</v>
      </c>
      <c r="D5" s="0" t="s">
        <v>777</v>
      </c>
    </row>
    <row r="6" customFormat="false" ht="15" hidden="false" customHeight="false" outlineLevel="0" collapsed="false">
      <c r="A6" s="0" t="s">
        <v>778</v>
      </c>
      <c r="B6" s="0" t="s">
        <v>779</v>
      </c>
      <c r="C6" s="0" t="s">
        <v>767</v>
      </c>
      <c r="D6" s="0" t="s">
        <v>780</v>
      </c>
    </row>
    <row r="7" customFormat="false" ht="15" hidden="false" customHeight="false" outlineLevel="0" collapsed="false">
      <c r="A7" s="0" t="s">
        <v>781</v>
      </c>
      <c r="B7" s="0" t="s">
        <v>782</v>
      </c>
      <c r="C7" s="0" t="s">
        <v>767</v>
      </c>
      <c r="D7" s="0" t="s">
        <v>783</v>
      </c>
    </row>
    <row r="8" customFormat="false" ht="15" hidden="false" customHeight="false" outlineLevel="0" collapsed="false">
      <c r="A8" s="0" t="s">
        <v>784</v>
      </c>
      <c r="B8" s="0" t="s">
        <v>785</v>
      </c>
      <c r="C8" s="0" t="s">
        <v>767</v>
      </c>
      <c r="D8" s="0" t="s">
        <v>786</v>
      </c>
    </row>
    <row r="9" customFormat="false" ht="15" hidden="false" customHeight="false" outlineLevel="0" collapsed="false">
      <c r="A9" s="0" t="s">
        <v>787</v>
      </c>
      <c r="B9" s="0" t="s">
        <v>788</v>
      </c>
      <c r="C9" s="0" t="s">
        <v>767</v>
      </c>
      <c r="D9" s="0" t="s">
        <v>789</v>
      </c>
    </row>
    <row r="10" customFormat="false" ht="15" hidden="false" customHeight="false" outlineLevel="0" collapsed="false">
      <c r="A10" s="0" t="s">
        <v>790</v>
      </c>
      <c r="B10" s="0" t="s">
        <v>791</v>
      </c>
      <c r="C10" s="0" t="s">
        <v>767</v>
      </c>
      <c r="D10" s="0" t="s">
        <v>792</v>
      </c>
    </row>
    <row r="11" customFormat="false" ht="15" hidden="false" customHeight="false" outlineLevel="0" collapsed="false">
      <c r="A11" s="0" t="s">
        <v>793</v>
      </c>
      <c r="B11" s="0" t="s">
        <v>794</v>
      </c>
      <c r="C11" s="0" t="s">
        <v>767</v>
      </c>
      <c r="D11" s="0" t="s">
        <v>795</v>
      </c>
    </row>
    <row r="12" customFormat="false" ht="15" hidden="false" customHeight="false" outlineLevel="0" collapsed="false">
      <c r="A12" s="0" t="s">
        <v>796</v>
      </c>
      <c r="B12" s="0" t="s">
        <v>797</v>
      </c>
      <c r="C12" s="0" t="s">
        <v>767</v>
      </c>
      <c r="D12" s="0" t="s">
        <v>798</v>
      </c>
    </row>
    <row r="13" customFormat="false" ht="15" hidden="false" customHeight="false" outlineLevel="0" collapsed="false">
      <c r="A13" s="0" t="s">
        <v>799</v>
      </c>
      <c r="B13" s="0" t="s">
        <v>800</v>
      </c>
      <c r="C13" s="0" t="s">
        <v>767</v>
      </c>
      <c r="D13" s="0" t="s">
        <v>801</v>
      </c>
    </row>
    <row r="14" customFormat="false" ht="15" hidden="false" customHeight="false" outlineLevel="0" collapsed="false">
      <c r="A14" s="0" t="s">
        <v>802</v>
      </c>
      <c r="B14" s="0" t="s">
        <v>803</v>
      </c>
      <c r="C14" s="0" t="s">
        <v>767</v>
      </c>
      <c r="D14" s="0" t="s">
        <v>804</v>
      </c>
    </row>
    <row r="15" customFormat="false" ht="15" hidden="false" customHeight="false" outlineLevel="0" collapsed="false">
      <c r="A15" s="0" t="s">
        <v>805</v>
      </c>
      <c r="B15" s="0" t="s">
        <v>806</v>
      </c>
      <c r="C15" s="0" t="s">
        <v>767</v>
      </c>
      <c r="D15" s="0" t="s">
        <v>807</v>
      </c>
    </row>
    <row r="16" customFormat="false" ht="15" hidden="false" customHeight="false" outlineLevel="0" collapsed="false">
      <c r="A16" s="0" t="s">
        <v>808</v>
      </c>
      <c r="B16" s="0" t="s">
        <v>809</v>
      </c>
      <c r="C16" s="0" t="s">
        <v>767</v>
      </c>
      <c r="D16" s="0" t="s">
        <v>810</v>
      </c>
    </row>
    <row r="17" customFormat="false" ht="15" hidden="false" customHeight="false" outlineLevel="0" collapsed="false">
      <c r="A17" s="0" t="s">
        <v>811</v>
      </c>
      <c r="B17" s="0" t="s">
        <v>812</v>
      </c>
      <c r="C17" s="0" t="s">
        <v>767</v>
      </c>
      <c r="D17" s="0" t="s">
        <v>813</v>
      </c>
    </row>
    <row r="18" customFormat="false" ht="15" hidden="false" customHeight="false" outlineLevel="0" collapsed="false">
      <c r="A18" s="0" t="s">
        <v>814</v>
      </c>
      <c r="B18" s="0" t="s">
        <v>815</v>
      </c>
      <c r="C18" s="0" t="s">
        <v>767</v>
      </c>
      <c r="D18" s="0" t="s">
        <v>816</v>
      </c>
    </row>
    <row r="19" customFormat="false" ht="15" hidden="false" customHeight="false" outlineLevel="0" collapsed="false">
      <c r="A19" s="0" t="s">
        <v>817</v>
      </c>
      <c r="B19" s="0" t="s">
        <v>818</v>
      </c>
      <c r="C19" s="0" t="s">
        <v>767</v>
      </c>
      <c r="D19" s="0" t="s">
        <v>819</v>
      </c>
    </row>
    <row r="20" customFormat="false" ht="15" hidden="false" customHeight="false" outlineLevel="0" collapsed="false">
      <c r="A20" s="0" t="s">
        <v>820</v>
      </c>
      <c r="B20" s="0" t="s">
        <v>821</v>
      </c>
      <c r="C20" s="0" t="s">
        <v>767</v>
      </c>
      <c r="D20" s="0" t="s">
        <v>822</v>
      </c>
    </row>
    <row r="21" customFormat="false" ht="15" hidden="false" customHeight="false" outlineLevel="0" collapsed="false">
      <c r="A21" s="0" t="s">
        <v>823</v>
      </c>
      <c r="B21" s="0" t="s">
        <v>824</v>
      </c>
      <c r="C21" s="0" t="s">
        <v>767</v>
      </c>
      <c r="D21" s="0" t="s">
        <v>825</v>
      </c>
    </row>
    <row r="22" customFormat="false" ht="15" hidden="false" customHeight="false" outlineLevel="0" collapsed="false">
      <c r="A22" s="0" t="s">
        <v>826</v>
      </c>
      <c r="B22" s="0" t="s">
        <v>827</v>
      </c>
      <c r="C22" s="0" t="s">
        <v>828</v>
      </c>
      <c r="D22" s="0" t="s">
        <v>829</v>
      </c>
    </row>
    <row r="23" customFormat="false" ht="15" hidden="false" customHeight="false" outlineLevel="0" collapsed="false">
      <c r="A23" s="0" t="s">
        <v>830</v>
      </c>
      <c r="B23" s="0" t="s">
        <v>831</v>
      </c>
      <c r="C23" s="0" t="s">
        <v>828</v>
      </c>
      <c r="D23" s="0" t="s">
        <v>832</v>
      </c>
    </row>
    <row r="24" customFormat="false" ht="15" hidden="false" customHeight="false" outlineLevel="0" collapsed="false">
      <c r="A24" s="0" t="s">
        <v>833</v>
      </c>
      <c r="B24" s="0" t="s">
        <v>834</v>
      </c>
      <c r="C24" s="0" t="s">
        <v>767</v>
      </c>
      <c r="D24" s="0" t="s">
        <v>835</v>
      </c>
    </row>
    <row r="25" customFormat="false" ht="15" hidden="false" customHeight="false" outlineLevel="0" collapsed="false">
      <c r="A25" s="0" t="s">
        <v>836</v>
      </c>
      <c r="B25" s="0" t="s">
        <v>837</v>
      </c>
      <c r="C25" s="0" t="s">
        <v>767</v>
      </c>
      <c r="D25" s="0" t="s">
        <v>838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2026-10-16T03:32:57Z</dcterms:created>
  <dc:creator>openpyxl</dc:creator>
  <dc:description/>
  <dc:language>en-US</dc:language>
  <cp:lastModifiedBy/>
  <dcterms:modified xsi:type="dcterms:W3CDTF">2026-10-16T03:32:57Z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