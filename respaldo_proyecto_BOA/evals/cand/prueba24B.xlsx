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Inputs" sheetId="1" state="visible" r:id="rId3"/>
    <sheet name="Partition Takeoff" sheetId="2" state="visible" r:id="rId4"/>
    <sheet name="Material Summary" sheetId="3" state="visible" r:id="rId5"/>
    <sheet name="Pending Items" sheetId="4" state="visible" r:id="rId6"/>
    <sheet name="Review Items" sheetId="5" state="visible" r:id="rId7"/>
    <sheet name="Scope Checklist" sheetId="6" state="visible" r:id="rId8"/>
    <sheet name="_reglas" sheetId="7" state="hidden"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<sst xmlns="http://schemas.openxmlformats.org/spreadsheetml/2006/main" count="1438" uniqueCount="974">
  <si>
    <t xml:space="preserve">Bank of America - Broomfield, CO (CO1-111)   |   METAL FRAMING &amp; DRYWALL TAKEOFF</t>
  </si>
  <si>
    <t xml:space="preserve">Bid set: 2025.08.26_CO1-111_Broomfield_PERMIT SET_BID SET.pdf   ·   2026-10-20   ·   Edit ONLY the yellow cells.</t>
  </si>
  <si>
    <t xml:space="preserve">PARAMETER</t>
  </si>
  <si>
    <t xml:space="preserve">VALUE</t>
  </si>
  <si>
    <t xml:space="preserve">NOTE / SOURCE</t>
  </si>
  <si>
    <t xml:space="preserve">Waste - ALL METAL, any type</t>
  </si>
  <si>
    <t xml:space="preserve">Estimator standing rule: 15% on everything that is metal.</t>
  </si>
  <si>
    <t xml:space="preserve">Waste - EVERYTHING THAT IS NOT METAL</t>
  </si>
  <si>
    <t xml:space="preserve">Estimator standing rule: same figure as board.</t>
  </si>
  <si>
    <t xml:space="preserve">Board sheet width (ft)</t>
  </si>
  <si>
    <t xml:space="preserve">Sheet size is a parameter; buy the size that wastes least.</t>
  </si>
  <si>
    <t xml:space="preserve">Board sheet length (ft)</t>
  </si>
  <si>
    <t xml:space="preserve">Change it and every sheet count re-rounds.</t>
  </si>
  <si>
    <t xml:space="preserve">SF per board sheet</t>
  </si>
  <si>
    <t xml:space="preserve">Width x length.</t>
  </si>
  <si>
    <t xml:space="preserve">Stud stock length (ft)</t>
  </si>
  <si>
    <t xml:space="preserve">Stud, header, framed opening and stud blocking: sticks.</t>
  </si>
  <si>
    <t xml:space="preserve">Track stock length (ft)</t>
  </si>
  <si>
    <t xml:space="preserve">Track, sill track and purlin: runs.</t>
  </si>
  <si>
    <t xml:space="preserve">Floor plan scale (pt/ft)</t>
  </si>
  <si>
    <t xml:space="preserve">Project value (canon constants).</t>
  </si>
  <si>
    <t xml:space="preserve">B.O. Deck (ft)</t>
  </si>
  <si>
    <t xml:space="preserve">n/a</t>
  </si>
  <si>
    <t xml:space="preserve">T.O. Parapet (ft)</t>
  </si>
  <si>
    <t xml:space="preserve">Sealant coverage (LF per tube)</t>
  </si>
  <si>
    <t xml:space="preserve">Sealant yield per tube - set your supplier's figure.</t>
  </si>
  <si>
    <t xml:space="preserve">C.R. channel stock length (ft)</t>
  </si>
  <si>
    <t xml:space="preserve">1-1/2" cold-rolled channel (bracing, carrying channel).</t>
  </si>
  <si>
    <t xml:space="preserve">Hat / furring channel stock (ft)</t>
  </si>
  <si>
    <t xml:space="preserve">7/8" hat furring channel.</t>
  </si>
  <si>
    <t xml:space="preserve">Trim stick length (ft)</t>
  </si>
  <si>
    <t xml:space="preserve">Corner bead, casing bead, shadow molding, PVC trim.</t>
  </si>
  <si>
    <t xml:space="preserve">Hanger wire purchase</t>
  </si>
  <si>
    <t xml:space="preserve">continuous coil (LF)</t>
  </si>
  <si>
    <t xml:space="preserve">Bought by LF from a continuous coil; the hanger count goes on its own PCS row.</t>
  </si>
  <si>
    <t xml:space="preserve">Drywall screws per SF of board</t>
  </si>
  <si>
    <t xml:space="preserve">YIELD (GA-216 field / perimeter spacing).</t>
  </si>
  <si>
    <t xml:space="preserve">Framing screws per stud piece</t>
  </si>
  <si>
    <t xml:space="preserve">YIELD: 2 per stud-to-track connection, each end.</t>
  </si>
  <si>
    <t xml:space="preserve">Power-driven pin spacing (ft)</t>
  </si>
  <si>
    <t xml:space="preserve">YIELD: bottom track on slab, interior walls.</t>
  </si>
  <si>
    <t xml:space="preserve">Joint compound (lb per SF)</t>
  </si>
  <si>
    <t xml:space="preserve">YIELD: 72 lb per 1,000 SF, level 4 (estimator criterion).</t>
  </si>
  <si>
    <t xml:space="preserve">Joint tape (LF per SF)</t>
  </si>
  <si>
    <t xml:space="preserve">YIELD: 370 LF per 1,000 SF.</t>
  </si>
  <si>
    <t xml:space="preserve">Expansion anchor spacing (ft)</t>
  </si>
  <si>
    <t xml:space="preserve">YIELD: exterior bottom track on slab.</t>
  </si>
  <si>
    <t xml:space="preserve">ORGANIZED PARTITION TAKEOFF - Bank of America - Broomfield, CO (CO1-111)</t>
  </si>
  <si>
    <t xml:space="preserve">Grouped by partition type. Every row cites its DETAIL/SHEET and its status.</t>
  </si>
  <si>
    <t xml:space="preserve">Partition / Scope</t>
  </si>
  <si>
    <t xml:space="preserve">Wall #</t>
  </si>
  <si>
    <t xml:space="preserve">Length (LF)</t>
  </si>
  <si>
    <t xml:space="preserve">Height (FT)</t>
  </si>
  <si>
    <t xml:space="preserve">Layers</t>
  </si>
  <si>
    <t xml:space="preserve">Stud Size</t>
  </si>
  <si>
    <t xml:space="preserve">Stud O.C. (in)</t>
  </si>
  <si>
    <t xml:space="preserve">Board (SF)</t>
  </si>
  <si>
    <t xml:space="preserve">Location</t>
  </si>
  <si>
    <t xml:space="preserve">Source (DETAIL/SHEET)</t>
  </si>
  <si>
    <t xml:space="preserve">Status</t>
  </si>
  <si>
    <t xml:space="preserve">TYPE A1</t>
  </si>
  <si>
    <t xml:space="preserve">A1  #AW-001  -  104 WAITING / 103 CENTRAL ZONE / 122 CALLING CUBES</t>
  </si>
  <si>
    <t xml:space="preserve">AW-001</t>
  </si>
  <si>
    <t xml:space="preserve">3-5/8"</t>
  </si>
  <si>
    <t xml:space="preserve">104 WAITING / 103 CENTRAL ZONE / 122 CALLING CUBES</t>
  </si>
  <si>
    <t xml:space="preserve">3/A12.01</t>
  </si>
  <si>
    <t xml:space="preserve">[DERIVED]</t>
  </si>
  <si>
    <t xml:space="preserve">A1  #AW-002  -  103 CENTRAL ZONE / 122 CALLING CUBES</t>
  </si>
  <si>
    <t xml:space="preserve">AW-002</t>
  </si>
  <si>
    <t xml:space="preserve">103 CENTRAL ZONE / 122 CALLING CUBES</t>
  </si>
  <si>
    <t xml:space="preserve">A1  #AW-003  -  103 CENTRAL ZONE / 122 CALLING CUBES</t>
  </si>
  <si>
    <t xml:space="preserve">AW-003</t>
  </si>
  <si>
    <t xml:space="preserve">A1  #AW-004  -  103 CENTRAL ZONE / 111 CORRIDOR</t>
  </si>
  <si>
    <t xml:space="preserve">AW-004</t>
  </si>
  <si>
    <t xml:space="preserve">103 CENTRAL ZONE / 111 CORRIDOR</t>
  </si>
  <si>
    <t xml:space="preserve">A1  #AW-005  -  122 CALLING CUBES / 118 BREAK ROOM</t>
  </si>
  <si>
    <t xml:space="preserve">AW-005</t>
  </si>
  <si>
    <t xml:space="preserve">122 CALLING CUBES / 118 BREAK ROOM</t>
  </si>
  <si>
    <t xml:space="preserve">A1  #AW-006  -  111 CORRIDOR / 118 BREAK ROOM / 120 ELECTRICAL / 121 NER</t>
  </si>
  <si>
    <t xml:space="preserve">AW-006</t>
  </si>
  <si>
    <t xml:space="preserve">111 CORRIDOR / 118 BREAK ROOM / 120 ELECTRICAL / 121 NER</t>
  </si>
  <si>
    <t xml:space="preserve">A1  #AW-007  -  118 BREAK ROOM / 103 CENTRAL ZONE (CSR area, ACT-4 9'-0")</t>
  </si>
  <si>
    <t xml:space="preserve">AW-007</t>
  </si>
  <si>
    <t xml:space="preserve">118 BREAK ROOM / 103 CENTRAL ZONE (CSR area, ACT-4 9'-0")</t>
  </si>
  <si>
    <t xml:space="preserve">A1  #AW-010  -  103 CENTRAL ZONE (CSR area, ACT-4 9'-0") / 118 BREAK ROOM</t>
  </si>
  <si>
    <t xml:space="preserve">AW-010</t>
  </si>
  <si>
    <t xml:space="preserve">103 CENTRAL ZONE (CSR area, ACT-4 9'-0") / 118 BREAK ROOM</t>
  </si>
  <si>
    <t xml:space="preserve">A1  #AW-012  -  116 CASH WINDOW / 119 WORK ROOM</t>
  </si>
  <si>
    <t xml:space="preserve">AW-012</t>
  </si>
  <si>
    <t xml:space="preserve">116 CASH WINDOW / 119 WORK ROOM</t>
  </si>
  <si>
    <t xml:space="preserve">TYPE A1K</t>
  </si>
  <si>
    <t xml:space="preserve">A1K  #AW-013  -  GAP N OF AW-013 AT G WALL AW-058 (108 OFFICE 4 CB beyond) / 116 CASH WINDOW</t>
  </si>
  <si>
    <t xml:space="preserve">AW-013</t>
  </si>
  <si>
    <t xml:space="preserve">GAP N OF AW-013 AT G WALL AW-058 (108 OFFICE 4 CB beyond) / 116 CASH WINDOW</t>
  </si>
  <si>
    <t xml:space="preserve">4/A12.01</t>
  </si>
  <si>
    <t xml:space="preserve">A1K  #AW-014  -  116 CASH WINDOW</t>
  </si>
  <si>
    <t xml:space="preserve">AW-014</t>
  </si>
  <si>
    <t xml:space="preserve">116 CASH WINDOW</t>
  </si>
  <si>
    <t xml:space="preserve">A1K  #AW-015  -  103 CENTRAL ZONE (CSR area, ACT-4 9'-0") / 116 CASH WINDOW</t>
  </si>
  <si>
    <t xml:space="preserve">AW-015</t>
  </si>
  <si>
    <t xml:space="preserve">103 CENTRAL ZONE (CSR area, ACT-4 9'-0") / 116 CASH WINDOW</t>
  </si>
  <si>
    <t xml:space="preserve">TYPE A5</t>
  </si>
  <si>
    <t xml:space="preserve">A5  #AW-016+AW-020  -  122 CALLING CUBES / 103 CENTRAL ZONE / 103 CENTRAL ZONE (CSR area, ACT-4 9'-0") + 122 CALLING CUBES / 103 CENTRAL ZONE (CSR area, ACT-4 9'-0")</t>
  </si>
  <si>
    <t xml:space="preserve">AW-016+AW-020</t>
  </si>
  <si>
    <t xml:space="preserve">6"</t>
  </si>
  <si>
    <t xml:space="preserve">122 CALLING CUBES / 103 CENTRAL ZONE / 103 CENTRAL ZONE (CSR area, ACT-4 9'-0") + 122 CALLING CUBES / 103 CENTRAL ZONE (CSR area, ACT-4 9'-0")</t>
  </si>
  <si>
    <t xml:space="preserve">A5  #AW-017  -  103 CENTRAL ZONE / 122 CALLING CUBES</t>
  </si>
  <si>
    <t xml:space="preserve">AW-017</t>
  </si>
  <si>
    <t xml:space="preserve">A5  #AW-018+AW-019  -  111 CORRIDOR / 122 CALLING CUBES</t>
  </si>
  <si>
    <t xml:space="preserve">AW-018+AW-019</t>
  </si>
  <si>
    <t xml:space="preserve">111 CORRIDOR / 122 CALLING CUBES</t>
  </si>
  <si>
    <t xml:space="preserve">A5  #AW-021  -  118 BREAK ROOM / 116 CASH WINDOW</t>
  </si>
  <si>
    <t xml:space="preserve">AW-021</t>
  </si>
  <si>
    <t xml:space="preserve">118 BREAK ROOM / 116 CASH WINDOW</t>
  </si>
  <si>
    <t xml:space="preserve">TYPE B</t>
  </si>
  <si>
    <t xml:space="preserve">B  #AW-022  -  118 BREAK ROOM / 120 ELECTRICAL</t>
  </si>
  <si>
    <t xml:space="preserve">AW-022</t>
  </si>
  <si>
    <t xml:space="preserve">118 BREAK ROOM / 120 ELECTRICAL</t>
  </si>
  <si>
    <t xml:space="preserve">1/A12.01</t>
  </si>
  <si>
    <t xml:space="preserve">B  #AW-023  -  120 ELECTRICAL / 121 NER / 118 BREAK ROOM</t>
  </si>
  <si>
    <t xml:space="preserve">AW-023</t>
  </si>
  <si>
    <t xml:space="preserve">120 ELECTRICAL / 121 NER / 118 BREAK ROOM</t>
  </si>
  <si>
    <t xml:space="preserve">B  #AW-024  -  113 MEN'S RESTROOM / 112 JANITOR CLOSET / 117 STORAGE</t>
  </si>
  <si>
    <t xml:space="preserve">AW-024</t>
  </si>
  <si>
    <t xml:space="preserve">113 MEN'S RESTROOM / 112 JANITOR CLOSET / 117 STORAGE</t>
  </si>
  <si>
    <t xml:space="preserve">B  #AW-025  -  112 JANITOR CLOSET / 117 STORAGE</t>
  </si>
  <si>
    <t xml:space="preserve">AW-025</t>
  </si>
  <si>
    <t xml:space="preserve">112 JANITOR CLOSET / 117 STORAGE</t>
  </si>
  <si>
    <t xml:space="preserve">B  #AW-026  -  120 ELECTRICAL / 121 NER</t>
  </si>
  <si>
    <t xml:space="preserve">AW-026</t>
  </si>
  <si>
    <t xml:space="preserve">120 ELECTRICAL / 121 NER</t>
  </si>
  <si>
    <t xml:space="preserve">B  #AW-027  -  112 JANITOR CLOSET / 117 STORAGE / 115 WELLNESS</t>
  </si>
  <si>
    <t xml:space="preserve">AW-027</t>
  </si>
  <si>
    <t xml:space="preserve">112 JANITOR CLOSET / 117 STORAGE / 115 WELLNESS</t>
  </si>
  <si>
    <t xml:space="preserve">TYPE B2</t>
  </si>
  <si>
    <t xml:space="preserve">B2  #AW-028  -  102 ATM ROOM / 103 CENTRAL ZONE</t>
  </si>
  <si>
    <t xml:space="preserve">AW-028</t>
  </si>
  <si>
    <t xml:space="preserve">102 ATM ROOM / 103 CENTRAL ZONE</t>
  </si>
  <si>
    <t xml:space="preserve">B2  #AW-029+AW-030  -  114 WOMEN'S RESTROOM / 111 CORRIDOR</t>
  </si>
  <si>
    <t xml:space="preserve">AW-029+AW-030</t>
  </si>
  <si>
    <t xml:space="preserve">114 WOMEN'S RESTROOM / 111 CORRIDOR</t>
  </si>
  <si>
    <t xml:space="preserve">B2  #AW-031  -  113 MEN'S RESTROOM / 117 STORAGE / 115 WELLNESS / 111 CORRIDOR</t>
  </si>
  <si>
    <t xml:space="preserve">AW-031</t>
  </si>
  <si>
    <t xml:space="preserve">113 MEN'S RESTROOM / 117 STORAGE / 115 WELLNESS / 111 CORRIDOR</t>
  </si>
  <si>
    <t xml:space="preserve">B2  #AW-032  -  118 BREAK ROOM / 119 WORK ROOM</t>
  </si>
  <si>
    <t xml:space="preserve">AW-032</t>
  </si>
  <si>
    <t xml:space="preserve">118 BREAK ROOM / 119 WORK ROOM</t>
  </si>
  <si>
    <t xml:space="preserve">TYPE B2K</t>
  </si>
  <si>
    <t xml:space="preserve">B2K  #AW-033  -  108 OFFICE 4 CB / 103 CENTRAL ZONE (CSR area, ACT-4 9'-0")</t>
  </si>
  <si>
    <t xml:space="preserve">AW-033</t>
  </si>
  <si>
    <t xml:space="preserve">108 OFFICE 4 CB / 103 CENTRAL ZONE (CSR area, ACT-4 9'-0")</t>
  </si>
  <si>
    <t xml:space="preserve">TYPE C1</t>
  </si>
  <si>
    <t xml:space="preserve">C1  #AW-035+AW-034+AW-036  -  104 WAITING</t>
  </si>
  <si>
    <t xml:space="preserve">AW-035+AW-034+AW-036</t>
  </si>
  <si>
    <t xml:space="preserve">104 WAITING</t>
  </si>
  <si>
    <t xml:space="preserve">6/A12.01</t>
  </si>
  <si>
    <t xml:space="preserve">C1  #AW-037  -  116 CASH WINDOW</t>
  </si>
  <si>
    <t xml:space="preserve">AW-037</t>
  </si>
  <si>
    <t xml:space="preserve">C1  #AW-038  -  114 WOMEN'S RESTROOM</t>
  </si>
  <si>
    <t xml:space="preserve">AW-038</t>
  </si>
  <si>
    <t xml:space="preserve">114 WOMEN'S RESTROOM</t>
  </si>
  <si>
    <t xml:space="preserve">C1  #AW-039  -  113 MEN'S RESTROOM</t>
  </si>
  <si>
    <t xml:space="preserve">AW-039</t>
  </si>
  <si>
    <t xml:space="preserve">113 MEN'S RESTROOM</t>
  </si>
  <si>
    <t xml:space="preserve">C1  #AW-070  -  100 VESTIBULE / 101 24 HR VESTIBULE / 103 CENTRAL ZONE</t>
  </si>
  <si>
    <t xml:space="preserve">AW-070</t>
  </si>
  <si>
    <t xml:space="preserve">100 VESTIBULE / 101 24 HR VESTIBULE / 103 CENTRAL ZONE</t>
  </si>
  <si>
    <t xml:space="preserve">C1  #AW-071  -  103 CENTRAL ZONE</t>
  </si>
  <si>
    <t xml:space="preserve">AW-071</t>
  </si>
  <si>
    <t xml:space="preserve">103 CENTRAL ZONE</t>
  </si>
  <si>
    <t xml:space="preserve">TYPE EXT-6CFMF</t>
  </si>
  <si>
    <t xml:space="preserve">EXT-6CFMF  #AW-040  -  103 CENTRAL ZONE / 105 OFFICE 1 ME</t>
  </si>
  <si>
    <t xml:space="preserve">AW-040</t>
  </si>
  <si>
    <t xml:space="preserve">103 CENTRAL ZONE / 105 OFFICE 1 ME</t>
  </si>
  <si>
    <t xml:space="preserve">C/A09.21</t>
  </si>
  <si>
    <t xml:space="preserve">EXT-6CFMF  #AW-041+AW-046  -  105 OFFICE 1 ME / 106 OFFICE 2 CL / 107 OFFICE 3 SB / 108 OFFICE 4 CB / 116 CASH WINDOW + 116 CASH WINDOW / 119 WORK ROOM</t>
  </si>
  <si>
    <t xml:space="preserve">AW-041+AW-046</t>
  </si>
  <si>
    <t xml:space="preserve">105 OFFICE 1 ME / 106 OFFICE 2 CL / 107 OFFICE 3 SB / 108 OFFICE 4 CB / 116 CASH WINDOW + 116 CASH WINDOW / 119 WORK ROOM</t>
  </si>
  <si>
    <t xml:space="preserve">D/A09.22; E/A09.22</t>
  </si>
  <si>
    <t xml:space="preserve">EXT-6CFMF  #AW-042  -  100 VESTIBULE / 101 24 HR VESTIBULE / 102 ATM ROOM</t>
  </si>
  <si>
    <t xml:space="preserve">AW-042</t>
  </si>
  <si>
    <t xml:space="preserve">100 VESTIBULE / 101 24 HR VESTIBULE / 102 ATM ROOM</t>
  </si>
  <si>
    <t xml:space="preserve">J/A09.23</t>
  </si>
  <si>
    <t xml:space="preserve">EXT-6CFMF  #AW-043  -  102 ATM ROOM</t>
  </si>
  <si>
    <t xml:space="preserve">AW-043</t>
  </si>
  <si>
    <t xml:space="preserve">102 ATM ROOM</t>
  </si>
  <si>
    <t xml:space="preserve">H/A09.23</t>
  </si>
  <si>
    <t xml:space="preserve">EXT-6CFMF  #AW-044+AW-045  -  109 OFFICE 5 CB / 110 OFFICE 6 CB / 114 WOMEN'S RESTROOM + 114 WOMEN'S RESTROOM / 113 MEN'S RESTROOM / 112 JANITOR CLOSET / 115 WELLNESS</t>
  </si>
  <si>
    <t xml:space="preserve">AW-044+AW-045</t>
  </si>
  <si>
    <t xml:space="preserve">109 OFFICE 5 CB / 110 OFFICE 6 CB / 114 WOMEN'S RESTROOM + 114 WOMEN'S RESTROOM / 113 MEN'S RESTROOM / 112 JANITOR CLOSET / 115 WELLNESS</t>
  </si>
  <si>
    <t xml:space="preserve">EXT-6CFMF  #AW-047  -  115 WELLNESS / 111 CORRIDOR / 121 NER / 118 BREAK ROOM / 119 WORK ROOM</t>
  </si>
  <si>
    <t xml:space="preserve">AW-047</t>
  </si>
  <si>
    <t xml:space="preserve">115 WELLNESS / 111 CORRIDOR / 121 NER / 118 BREAK ROOM / 119 WORK ROOM</t>
  </si>
  <si>
    <t xml:space="preserve">F/A09.22</t>
  </si>
  <si>
    <t xml:space="preserve">EXT-6CFMF  #PIER-2  -  PIER-2</t>
  </si>
  <si>
    <t xml:space="preserve">PIER-2</t>
  </si>
  <si>
    <t xml:space="preserve">1/A09.25</t>
  </si>
  <si>
    <t xml:space="preserve">EXT-6CFMF  #PIER-4  -  PIER-4</t>
  </si>
  <si>
    <t xml:space="preserve">PIER-4</t>
  </si>
  <si>
    <t xml:space="preserve">2/A09.25</t>
  </si>
  <si>
    <t xml:space="preserve">TYPE F</t>
  </si>
  <si>
    <t xml:space="preserve">F  #AW-048  -  101 24 HR VESTIBULE / 102 ATM ROOM</t>
  </si>
  <si>
    <t xml:space="preserve">AW-048</t>
  </si>
  <si>
    <t xml:space="preserve">101 24 HR VESTIBULE / 102 ATM ROOM</t>
  </si>
  <si>
    <t xml:space="preserve">12/A12.01</t>
  </si>
  <si>
    <t xml:space="preserve">TYPE G</t>
  </si>
  <si>
    <t xml:space="preserve">G  #AW-049  -  103 CENTRAL ZONE / 105 OFFICE 1 ME</t>
  </si>
  <si>
    <t xml:space="preserve">AW-049</t>
  </si>
  <si>
    <t xml:space="preserve">1-5/8"</t>
  </si>
  <si>
    <t xml:space="preserve">5/A12.01</t>
  </si>
  <si>
    <t xml:space="preserve">G  #AW-050  -  103 CENTRAL ZONE / 105 OFFICE 1 ME / 106 OFFICE 2 CL</t>
  </si>
  <si>
    <t xml:space="preserve">AW-050</t>
  </si>
  <si>
    <t xml:space="preserve">103 CENTRAL ZONE / 105 OFFICE 1 ME / 106 OFFICE 2 CL</t>
  </si>
  <si>
    <t xml:space="preserve">G  #AW-051  -  103 CENTRAL ZONE / 106 OFFICE 2 CL / 107 OFFICE 3 SB</t>
  </si>
  <si>
    <t xml:space="preserve">AW-051</t>
  </si>
  <si>
    <t xml:space="preserve">103 CENTRAL ZONE / 106 OFFICE 2 CL / 107 OFFICE 3 SB</t>
  </si>
  <si>
    <t xml:space="preserve">G  #AW-052  -  106 OFFICE 2 CL / 107 OFFICE 3 SB</t>
  </si>
  <si>
    <t xml:space="preserve">AW-052</t>
  </si>
  <si>
    <t xml:space="preserve">106 OFFICE 2 CL / 107 OFFICE 3 SB</t>
  </si>
  <si>
    <t xml:space="preserve">G  #AW-053  -  102 ATM ROOM / 109 OFFICE 5 CB</t>
  </si>
  <si>
    <t xml:space="preserve">AW-053</t>
  </si>
  <si>
    <t xml:space="preserve">102 ATM ROOM / 109 OFFICE 5 CB</t>
  </si>
  <si>
    <t xml:space="preserve">G  #AW-054  -  103 CENTRAL ZONE / 107 OFFICE 3 SB / 108 OFFICE 4 CB</t>
  </si>
  <si>
    <t xml:space="preserve">AW-054</t>
  </si>
  <si>
    <t xml:space="preserve">103 CENTRAL ZONE / 107 OFFICE 3 SB / 108 OFFICE 4 CB</t>
  </si>
  <si>
    <t xml:space="preserve">G  #AW-055  -  107 OFFICE 3 SB / 108 OFFICE 4 CB</t>
  </si>
  <si>
    <t xml:space="preserve">AW-055</t>
  </si>
  <si>
    <t xml:space="preserve">107 OFFICE 3 SB / 108 OFFICE 4 CB</t>
  </si>
  <si>
    <t xml:space="preserve">G  #AW-056  -  109 OFFICE 5 CB / 110 OFFICE 6 CB</t>
  </si>
  <si>
    <t xml:space="preserve">AW-056</t>
  </si>
  <si>
    <t xml:space="preserve">109 OFFICE 5 CB / 110 OFFICE 6 CB</t>
  </si>
  <si>
    <t xml:space="preserve">G  #AW-058  -  108 OFFICE 4 CB / 116 CASH WINDOW</t>
  </si>
  <si>
    <t xml:space="preserve">AW-058</t>
  </si>
  <si>
    <t xml:space="preserve">108 OFFICE 4 CB / 116 CASH WINDOW</t>
  </si>
  <si>
    <t xml:space="preserve">G  #AW-059  -  110 OFFICE 6 CB / 114 WOMEN'S RESTROOM</t>
  </si>
  <si>
    <t xml:space="preserve">AW-059</t>
  </si>
  <si>
    <t xml:space="preserve">110 OFFICE 6 CB / 114 WOMEN'S RESTROOM</t>
  </si>
  <si>
    <t xml:space="preserve">TYPE BULKHEAD-G</t>
  </si>
  <si>
    <t xml:space="preserve">BULKHEAD-G  #AW-060+AW-061+AW-062+AW-063  -  103 CENTRAL ZONE / 105 OFFICE 1 ME + 103 CENTRAL ZONE / 106 OFFICE 2 CL + 103 CENTRAL ZONE / 107 OFFICE 3 SB + 103 CENTRAL ZONE / 108 OFFICE 4 CB</t>
  </si>
  <si>
    <t xml:space="preserve">AW-060+AW-061+AW-062+AW-063</t>
  </si>
  <si>
    <t xml:space="preserve">103 CENTRAL ZONE / 105 OFFICE 1 ME + 103 CENTRAL ZONE / 106 OFFICE 2 CL + 103 CENTRAL ZONE / 107 OFFICE 3 SB + 103 CENTRAL ZONE / 108 OFFICE 4 CB</t>
  </si>
  <si>
    <t xml:space="preserve">8/A12.01</t>
  </si>
  <si>
    <t xml:space="preserve">BULKHEAD-G  #AW-068+AW-069  -  109 OFFICE 5 CB / 103 CENTRAL ZONE + 110 OFFICE 6 CB / 103 CENTRAL ZONE</t>
  </si>
  <si>
    <t xml:space="preserve">AW-068+AW-069</t>
  </si>
  <si>
    <t xml:space="preserve">109 OFFICE 5 CB / 103 CENTRAL ZONE + 110 OFFICE 6 CB / 103 CENTRAL ZONE</t>
  </si>
  <si>
    <t xml:space="preserve">TYPE G1</t>
  </si>
  <si>
    <t xml:space="preserve">G1  #AW-064  -  105 OFFICE 1 ME / 106 OFFICE 2 CL</t>
  </si>
  <si>
    <t xml:space="preserve">AW-064</t>
  </si>
  <si>
    <t xml:space="preserve">105 OFFICE 1 ME / 106 OFFICE 2 CL</t>
  </si>
  <si>
    <t xml:space="preserve">G1  #AW-066  -  109 OFFICE 5 CB / 110 OFFICE 6 CB / 103 CENTRAL ZONE</t>
  </si>
  <si>
    <t xml:space="preserve">AW-066</t>
  </si>
  <si>
    <t xml:space="preserve">109 OFFICE 5 CB / 110 OFFICE 6 CB / 103 CENTRAL ZONE</t>
  </si>
  <si>
    <t xml:space="preserve">G1  #AW-067  -  110 OFFICE 6 CB / 103 CENTRAL ZONE</t>
  </si>
  <si>
    <t xml:space="preserve">AW-067</t>
  </si>
  <si>
    <t xml:space="preserve">110 OFFICE 6 CB / 103 CENTRAL ZONE</t>
  </si>
  <si>
    <t xml:space="preserve">TYPE EXT-PARAPET</t>
  </si>
  <si>
    <t xml:space="preserve">EXT-PARAPET  #PAR-F  -  PAR-F</t>
  </si>
  <si>
    <t xml:space="preserve">PAR-F</t>
  </si>
  <si>
    <t xml:space="preserve">6" parapet 600S162-54</t>
  </si>
  <si>
    <t xml:space="preserve">11/S5.10</t>
  </si>
  <si>
    <t xml:space="preserve">EXT-PARAPET  #PAR-8A+PAR-8B  -  PAR-8A + PAR-8B</t>
  </si>
  <si>
    <t xml:space="preserve">PAR-8A+PAR-8B</t>
  </si>
  <si>
    <t xml:space="preserve">PAR-8A + PAR-8B</t>
  </si>
  <si>
    <t xml:space="preserve">EXT-PARAPET  #PAR-A  -  PAR-A</t>
  </si>
  <si>
    <t xml:space="preserve">PAR-A</t>
  </si>
  <si>
    <t xml:space="preserve">EXT-PARAPET  #PAR-3A+PAR-3B  -  PAR-3A + PAR-3B</t>
  </si>
  <si>
    <t xml:space="preserve">PAR-3A+PAR-3B</t>
  </si>
  <si>
    <t xml:space="preserve">PAR-3A + PAR-3B</t>
  </si>
  <si>
    <t xml:space="preserve">EXT-PARAPET  #PAR-G  -  PAR-G</t>
  </si>
  <si>
    <t xml:space="preserve">PAR-G</t>
  </si>
  <si>
    <t xml:space="preserve">EXT-PARAPET  #PAR-4J  -  PAR-4J</t>
  </si>
  <si>
    <t xml:space="preserve">PAR-4J</t>
  </si>
  <si>
    <t xml:space="preserve">EXT-PARAPET  #PAR-2  -  PAR-2</t>
  </si>
  <si>
    <t xml:space="preserve">PAR-2</t>
  </si>
  <si>
    <t xml:space="preserve">EXT-PARAPET  #PAR-D  -  PAR-D</t>
  </si>
  <si>
    <t xml:space="preserve">PAR-D</t>
  </si>
  <si>
    <t xml:space="preserve">TYPE CANOPY-COL</t>
  </si>
  <si>
    <t xml:space="preserve">CANOPY-COL  #CW-1  -  CW-1</t>
  </si>
  <si>
    <t xml:space="preserve">CW-1</t>
  </si>
  <si>
    <t xml:space="preserve">5/A09.25</t>
  </si>
  <si>
    <t xml:space="preserve">CANOPY-COL  #CW-2  -  CW-2</t>
  </si>
  <si>
    <t xml:space="preserve">CW-2</t>
  </si>
  <si>
    <t xml:space="preserve">CANOPY-COL  #CW-3  -  CW-3</t>
  </si>
  <si>
    <t xml:space="preserve">CW-3</t>
  </si>
  <si>
    <t xml:space="preserve">CANOPY-COL  #CW-4  -  CW-4</t>
  </si>
  <si>
    <t xml:space="preserve">CW-4</t>
  </si>
  <si>
    <t xml:space="preserve">TOTAL - PARTITIONS</t>
  </si>
  <si>
    <t xml:space="preserve">TYPE OTHER FRAMING (NOT A PARTITION)</t>
  </si>
  <si>
    <t xml:space="preserve">pier_part  #AW-071-N  -  101 24 HR VESTIBULE / 103 CENTRAL ZONE</t>
  </si>
  <si>
    <t xml:space="preserve">AW-071-N</t>
  </si>
  <si>
    <t xml:space="preserve">101 24 HR VESTIBULE / 103 CENTRAL ZONE</t>
  </si>
  <si>
    <t xml:space="preserve">pier_part  #AW-071-S  -  103 CENTRAL ZONE</t>
  </si>
  <si>
    <t xml:space="preserve">AW-071-S</t>
  </si>
  <si>
    <t xml:space="preserve">soffit_side  #SS-WN  -  103 CENTRAL ZONE (teller back area ACT-4 9'-0")</t>
  </si>
  <si>
    <t xml:space="preserve">SS-WN</t>
  </si>
  <si>
    <t xml:space="preserve">103 CENTRAL ZONE (teller back area ACT-4 9'-0")</t>
  </si>
  <si>
    <t xml:space="preserve">9/A12.08</t>
  </si>
  <si>
    <t xml:space="preserve">soffit_side  #SS-WS  -  103 CENTRAL ZONE (teller back area ACT-4 9'-0")</t>
  </si>
  <si>
    <t xml:space="preserve">SS-WS</t>
  </si>
  <si>
    <t xml:space="preserve">soffit_side  #SS-EN  -  116 CASH WINDOW</t>
  </si>
  <si>
    <t xml:space="preserve">SS-EN</t>
  </si>
  <si>
    <t xml:space="preserve">soffit_side  #SS-ES  -  116 CASH WINDOW</t>
  </si>
  <si>
    <t xml:space="preserve">SS-ES</t>
  </si>
  <si>
    <t xml:space="preserve">fascia_box  #FB-N  -  FB-N</t>
  </si>
  <si>
    <t xml:space="preserve">FB-N</t>
  </si>
  <si>
    <t xml:space="preserve">3/A09.26</t>
  </si>
  <si>
    <t xml:space="preserve">fascia_box  #FB-W  -  FB-W</t>
  </si>
  <si>
    <t xml:space="preserve">FB-W</t>
  </si>
  <si>
    <t xml:space="preserve">fascia_box  #FB-SW  -  FB-SW</t>
  </si>
  <si>
    <t xml:space="preserve">FB-SW</t>
  </si>
  <si>
    <t xml:space="preserve">fascia_box  #FB-E  -  FB-E</t>
  </si>
  <si>
    <t xml:space="preserve">FB-E</t>
  </si>
  <si>
    <t xml:space="preserve">fascia_box  #FB-SE  -  FB-SE</t>
  </si>
  <si>
    <t xml:space="preserve">FB-SE</t>
  </si>
  <si>
    <t xml:space="preserve">fascia_box  #FB-S  -  FB-S</t>
  </si>
  <si>
    <t xml:space="preserve">FB-S</t>
  </si>
  <si>
    <t xml:space="preserve">fascia_box  #FB-S-RW  -  FB-S-RW</t>
  </si>
  <si>
    <t xml:space="preserve">FB-S-RW</t>
  </si>
  <si>
    <t xml:space="preserve">fascia_box  #FB-S-RE  -  FB-S-RE</t>
  </si>
  <si>
    <t xml:space="preserve">FB-S-RE</t>
  </si>
  <si>
    <t xml:space="preserve">storefront_cripples  #SC-N  -  SC-N</t>
  </si>
  <si>
    <t xml:space="preserve">SC-N</t>
  </si>
  <si>
    <t xml:space="preserve">2/A09.26</t>
  </si>
  <si>
    <t xml:space="preserve">storefront_cripples  #SC-NT  -  SC-NT</t>
  </si>
  <si>
    <t xml:space="preserve">SC-NT</t>
  </si>
  <si>
    <t xml:space="preserve">storefront_cripples  #SC-WT  -  SC-WT</t>
  </si>
  <si>
    <t xml:space="preserve">SC-WT</t>
  </si>
  <si>
    <t xml:space="preserve">roof_step  #RS-1  -  RS-1</t>
  </si>
  <si>
    <t xml:space="preserve">RS-1</t>
  </si>
  <si>
    <t xml:space="preserve">4/A02.02</t>
  </si>
  <si>
    <t xml:space="preserve">roof_step  #RS-2  -  ROOMS SOUTH OF GRID B (low roof side) / ROOF STEP bulkhead bottom (soffit)</t>
  </si>
  <si>
    <t xml:space="preserve">RS-2</t>
  </si>
  <si>
    <t xml:space="preserve">ROOMS SOUTH OF GRID B (low roof side) / ROOF STEP bulkhead bottom (soffit)</t>
  </si>
  <si>
    <t xml:space="preserve">roof_step  #RS-3  -  ROOMS NORTH OF GRID B (high roof side)</t>
  </si>
  <si>
    <t xml:space="preserve">RS-3</t>
  </si>
  <si>
    <t xml:space="preserve">ROOMS NORTH OF GRID B (high roof side)</t>
  </si>
  <si>
    <t xml:space="preserve">vestibule_head  #VH-1  -  VH-1</t>
  </si>
  <si>
    <t xml:space="preserve">VH-1</t>
  </si>
  <si>
    <t xml:space="preserve">7/A12.10</t>
  </si>
  <si>
    <t xml:space="preserve">vestibule_head  #VH-2  -  VH-2</t>
  </si>
  <si>
    <t xml:space="preserve">VH-2</t>
  </si>
  <si>
    <t xml:space="preserve">grille_head  #GH-1  -  CENTRAL ZONE 103</t>
  </si>
  <si>
    <t xml:space="preserve">GH-1</t>
  </si>
  <si>
    <t xml:space="preserve">2-1/2"</t>
  </si>
  <si>
    <t xml:space="preserve">CENTRAL ZONE 103</t>
  </si>
  <si>
    <t xml:space="preserve">4/A08.21</t>
  </si>
  <si>
    <t xml:space="preserve">ceiling_transition  #TR1-N  -  104 WAITING / 103 CENTRAL ZONE</t>
  </si>
  <si>
    <t xml:space="preserve">TR1-N</t>
  </si>
  <si>
    <t xml:space="preserve">104 WAITING / 103 CENTRAL ZONE</t>
  </si>
  <si>
    <t xml:space="preserve">7/A09.33</t>
  </si>
  <si>
    <t xml:space="preserve">ceiling_transition  #TR1-W  -  104 WAITING / 103 CENTRAL ZONE</t>
  </si>
  <si>
    <t xml:space="preserve">TR1-W</t>
  </si>
  <si>
    <t xml:space="preserve">ceiling_transition  #TR1-E  -  104 WAITING / 103 CENTRAL ZONE</t>
  </si>
  <si>
    <t xml:space="preserve">TR1-E</t>
  </si>
  <si>
    <t xml:space="preserve">ceiling_transition  #TR2  -  103 CENTRAL ZONE / teller back</t>
  </si>
  <si>
    <t xml:space="preserve">TR2</t>
  </si>
  <si>
    <t xml:space="preserve">103 CENTRAL ZONE / teller back</t>
  </si>
  <si>
    <t xml:space="preserve">alcove  #AW-008+AW-009+AW-011  -  114 WOMEN'S RESTROOM / 111 CORRIDOR + 114 WOMEN'S RESTROOM / 113 MEN'S RESTROOM / 111 CORRIDOR + 111 CORRIDOR / 113 MEN'S RESTROOM</t>
  </si>
  <si>
    <t xml:space="preserve">AW-008+AW-009+AW-011</t>
  </si>
  <si>
    <t xml:space="preserve">114 WOMEN'S RESTROOM / 111 CORRIDOR + 114 WOMEN'S RESTROOM / 113 MEN'S RESTROOM / 111 CORRIDOR + 111 CORRIDOR / 113 MEN'S RESTROOM</t>
  </si>
  <si>
    <t xml:space="preserve">stub  #AW-057  -  103 CENTRAL ZONE / 108 OFFICE 4 CB</t>
  </si>
  <si>
    <t xml:space="preserve">AW-057</t>
  </si>
  <si>
    <t xml:space="preserve">103 CENTRAL ZONE / 108 OFFICE 4 CB</t>
  </si>
  <si>
    <t xml:space="preserve">stub  #AW-065  -  109 OFFICE 5 CB / 103 CENTRAL ZONE</t>
  </si>
  <si>
    <t xml:space="preserve">AW-065</t>
  </si>
  <si>
    <t xml:space="preserve">109 OFFICE 5 CB / 103 CENTRAL ZONE</t>
  </si>
  <si>
    <t xml:space="preserve">MATERIAL SUMMARY - NET / WASTE / PURCHASE</t>
  </si>
  <si>
    <t xml:space="preserve">Waste lives HERE, in its own column, applied ONCE: Pieces = ROUNDUP(Net x (1 + waste) / stock). Every stock length, coverage and yield is an Inputs cell.</t>
  </si>
  <si>
    <t xml:space="preserve">Material</t>
  </si>
  <si>
    <t xml:space="preserve">Unit</t>
  </si>
  <si>
    <t xml:space="preserve">Net</t>
  </si>
  <si>
    <t xml:space="preserve">Waste %</t>
  </si>
  <si>
    <t xml:space="preserve">Waste</t>
  </si>
  <si>
    <t xml:space="preserve">Purchase</t>
  </si>
  <si>
    <t xml:space="preserve">Selling unit</t>
  </si>
  <si>
    <t xml:space="preserve">Pieces to buy</t>
  </si>
  <si>
    <t xml:space="preserve">Where it comes from</t>
  </si>
  <si>
    <t xml:space="preserve">Yield check (live formula)</t>
  </si>
  <si>
    <t xml:space="preserve">6" metal stud (LF of material)</t>
  </si>
  <si>
    <t xml:space="preserve">LF</t>
  </si>
  <si>
    <t xml:space="preserve">stick 20 ft</t>
  </si>
  <si>
    <t xml:space="preserve">familias_out.json '6" stud (all gauges)' (canon.py from 4_canon/takeoff_canon.json)</t>
  </si>
  <si>
    <t xml:space="preserve">3-5/8" metal stud (LF of material)</t>
  </si>
  <si>
    <t xml:space="preserve">familias_out.json '3-5/8" stud (all gauges)' (canon.py from 4_canon/takeoff_canon.json)</t>
  </si>
  <si>
    <t xml:space="preserve">1-5/8" metal stud (LF of material)</t>
  </si>
  <si>
    <t xml:space="preserve">familias_out.json '1-5/8" stud' (canon.py from 4_canon/takeoff_canon.json)</t>
  </si>
  <si>
    <t xml:space="preserve">6" parapet infill stud (LF of material)</t>
  </si>
  <si>
    <t xml:space="preserve">familias_out.json '6" parapet stud' (canon.py from 4_canon/takeoff_canon.json)</t>
  </si>
  <si>
    <t xml:space="preserve">Track, ceilings / soffits / canopy</t>
  </si>
  <si>
    <t xml:space="preserve">run 10 ft</t>
  </si>
  <si>
    <t xml:space="preserve">familias_out.json 'ceiling / soffit track' (canon.py from 4_canon/takeoff_canon.json)</t>
  </si>
  <si>
    <t xml:space="preserve">Bracing 1-1/2" C.R. channel @ 48" O.C.</t>
  </si>
  <si>
    <t xml:space="preserve">C.R. channel 16 ft</t>
  </si>
  <si>
    <t xml:space="preserve">familias_out.json 'bracing C.R. channel' (canon.py from 4_canon/takeoff_canon.json)</t>
  </si>
  <si>
    <t xml:space="preserve">Purlin, top track to deck</t>
  </si>
  <si>
    <t xml:space="preserve">familias_out.json 'purlin (track to deck)' (canon.py from 4_canon/takeoff_canon.json)</t>
  </si>
  <si>
    <t xml:space="preserve">Header / metal stud box beam</t>
  </si>
  <si>
    <t xml:space="preserve">familias_out.json 'header / box beam' (canon.py from 4_canon/takeoff_canon.json)</t>
  </si>
  <si>
    <t xml:space="preserve">Sill track</t>
  </si>
  <si>
    <t xml:space="preserve">familias_out.json 'sill track' (canon.py from 4_canon/takeoff_canon.json)</t>
  </si>
  <si>
    <t xml:space="preserve">Furring channel (ceilings)</t>
  </si>
  <si>
    <t xml:space="preserve">hat channel 12 ft</t>
  </si>
  <si>
    <t xml:space="preserve">familias_out.json 'furring channel' (canon.py from 4_canon/takeoff_canon.json)</t>
  </si>
  <si>
    <t xml:space="preserve">Carrying channel (ceilings)</t>
  </si>
  <si>
    <t xml:space="preserve">familias_out.json 'carrying channel' (canon.py from 4_canon/takeoff_canon.json)</t>
  </si>
  <si>
    <t xml:space="preserve">Hanger wire</t>
  </si>
  <si>
    <t xml:space="preserve">familias_out.json 'hanger wire' (canon.py from 4_canon/takeoff_canon.json)</t>
  </si>
  <si>
    <t xml:space="preserve">5/8" gypsum board, regular</t>
  </si>
  <si>
    <t xml:space="preserve">SF</t>
  </si>
  <si>
    <t xml:space="preserve">4x12 sheet</t>
  </si>
  <si>
    <t xml:space="preserve">familias_out.json '5/8" gyp board regular (walls + ceilings)' (canon.py from 4_canon/takeoff_canon.json)</t>
  </si>
  <si>
    <t xml:space="preserve">5/8" gypsum board, MOISTURE RESISTANT</t>
  </si>
  <si>
    <t xml:space="preserve">familias_out.json '5/8" gyp MOISTURE RESISTANT' (canon.py from 4_canon/takeoff_canon.json)</t>
  </si>
  <si>
    <t xml:space="preserve">Ballistic panel 3/8" UL752</t>
  </si>
  <si>
    <t xml:space="preserve">4x8 sheet</t>
  </si>
  <si>
    <t xml:space="preserve">familias_out.json 'ballistic panel' (canon.py from 4_canon/takeoff_canon.json)</t>
  </si>
  <si>
    <t xml:space="preserve">3/8" gypsum board</t>
  </si>
  <si>
    <t xml:space="preserve">familias_out.json '3/8" gyp board' (canon.py from 4_canon/takeoff_canon.json)</t>
  </si>
  <si>
    <t xml:space="preserve">5/8" glass mat sheathing (exterior face of the stud)</t>
  </si>
  <si>
    <t xml:space="preserve">familias_out.json '5/8" glass mat sheathing' (canon.py from 4_canon/takeoff_canon.json)</t>
  </si>
  <si>
    <t xml:space="preserve">5/8" EXTERIOR gypsum sheathing</t>
  </si>
  <si>
    <t xml:space="preserve">familias_out.json '5/8" EXTERIOR gyp sheathing' (canon.py from 4_canon/takeoff_canon.json)</t>
  </si>
  <si>
    <t xml:space="preserve">Blocking FRT / 2X FRT wood</t>
  </si>
  <si>
    <t xml:space="preserve">piece 8 ft</t>
  </si>
  <si>
    <t xml:space="preserve">familias_out.json 'FRT blocking' (canon.py from 4_canon/takeoff_canon.json)</t>
  </si>
  <si>
    <t xml:space="preserve">Stud blocking at edge of gypboard (structural detail)</t>
  </si>
  <si>
    <t xml:space="preserve">familias_out.json metal_blocking_by_origin 'metal stud blocking (362CR / STUD BLOCKING)' (edge)</t>
  </si>
  <si>
    <t xml:space="preserve">Metal stud blocking at wall-mounted items (notes)</t>
  </si>
  <si>
    <t xml:space="preserve">familias_out.json metal_blocking_by_origin 'metal stud blocking (362CR / STUD BLOCKING)' (items)</t>
  </si>
  <si>
    <t xml:space="preserve">METAL trim - corner bead, casing bead, shadow molding, gypsum edge trim</t>
  </si>
  <si>
    <t xml:space="preserve">trim stick 10 ft</t>
  </si>
  <si>
    <t xml:space="preserve">familias_out.json 'metal trim (corner bead, casing, shadow molding)' (canon.py from 4_canon/takeoff_canon.json)</t>
  </si>
  <si>
    <t xml:space="preserve">Cement board (substrate under the FRP cove base band)</t>
  </si>
  <si>
    <t xml:space="preserve">3x5 sheet</t>
  </si>
  <si>
    <t xml:space="preserve">familias_out.json 'cement board' (canon.py from 4_canon/takeoff_canon.json)</t>
  </si>
  <si>
    <t xml:space="preserve">FRP panels</t>
  </si>
  <si>
    <t xml:space="preserve">familias_out.json 'FRP' (canon.py from 4_canon/takeoff_canon.json)</t>
  </si>
  <si>
    <t xml:space="preserve">Acoustical sealant</t>
  </si>
  <si>
    <t xml:space="preserve">tube (25 LF per tube)</t>
  </si>
  <si>
    <t xml:space="preserve">familias_out.json 'acoustical sealant' (canon.py from 4_canon/takeoff_canon.json)</t>
  </si>
  <si>
    <t xml:space="preserve">framed openings MEP</t>
  </si>
  <si>
    <t xml:space="preserve">framed_openings_out.json 'framed openings MEP' (framed_openings.py, 4_canon/fo_in.json)</t>
  </si>
  <si>
    <t xml:space="preserve">Bottom track 3-5/8"</t>
  </si>
  <si>
    <t xml:space="preserve">familias_out.json track_by_element 'bottom track (all)' (R73.3)</t>
  </si>
  <si>
    <t xml:space="preserve">Bottom track 6"</t>
  </si>
  <si>
    <t xml:space="preserve">Bottom track 1-5/8"</t>
  </si>
  <si>
    <t xml:space="preserve">Bottom track - other framing (not a partition type, see source)</t>
  </si>
  <si>
    <t xml:space="preserve">Parapet bottom track</t>
  </si>
  <si>
    <t xml:space="preserve">Bottom track - roof step and heads (vestibule / bulkhead)</t>
  </si>
  <si>
    <t xml:space="preserve">Top / deflection track 3-5/8"</t>
  </si>
  <si>
    <t xml:space="preserve">familias_out.json track_by_element 'top / deflection track (all)' (R73.3)</t>
  </si>
  <si>
    <t xml:space="preserve">Top / deflection track 6"</t>
  </si>
  <si>
    <t xml:space="preserve">Top / deflection track 1-5/8"</t>
  </si>
  <si>
    <t xml:space="preserve">Top / deflection track - other framing (not a partition type, see source)</t>
  </si>
  <si>
    <t xml:space="preserve">Parapet top track</t>
  </si>
  <si>
    <t xml:space="preserve">Top track - roof step and heads (vestibule / bulkhead)</t>
  </si>
  <si>
    <t xml:space="preserve">5/8" FRT plywood sheathing (canopy and soffits)</t>
  </si>
  <si>
    <t xml:space="preserve">4x12 ft sheet (Inputs)</t>
  </si>
  <si>
    <t xml:space="preserve">familias_out.json FRT plywood by material; canon rows</t>
  </si>
  <si>
    <t xml:space="preserve">Exterior sheathing 5/8" FRT plywood bonded to polyiso (nailbase)</t>
  </si>
  <si>
    <t xml:space="preserve">5/8" FRT plywood at canopy column wraps</t>
  </si>
  <si>
    <t xml:space="preserve">3/4" FRT plywood at storefront piers</t>
  </si>
  <si>
    <t xml:space="preserve">FRT plywood substrate (3/4 in.)</t>
  </si>
  <si>
    <t xml:space="preserve">Sealant at base of gypsum (exterior, not acoustical)</t>
  </si>
  <si>
    <t xml:space="preserve">familias_out.json acoustical sealant rows 'base of gypsum (exterior)'</t>
  </si>
  <si>
    <t xml:space="preserve">Hanger wire 12 ga - hanger count (one per hanger, height per room)</t>
  </si>
  <si>
    <t xml:space="preserve">PCS</t>
  </si>
  <si>
    <t xml:space="preserve">familias_out.json hanger_pcs.total_pcs; wire bought on the LF row</t>
  </si>
  <si>
    <t xml:space="preserve">Additional head track at openings over 4'-0" wide</t>
  </si>
  <si>
    <t xml:space="preserve">accesorios.py [CRITERION]: HEAD TRACK @ NON LOAD BRG: ADD FULL LENGTH ADDL HEAD TRACK @ OPNG &gt; 4'-0"; Estimator user decision #1: R.O. + 1'-4" (8" bearing each side)</t>
  </si>
  <si>
    <t xml:space="preserve">Stud reinforcement at MEP penetrations</t>
  </si>
  <si>
    <t xml:space="preserve">each</t>
  </si>
  <si>
    <t xml:space="preserve">accesorios.py [CRITERION]: 6/S5.20; M01.01 mep.cruces group 0 (registro dx -571.92 dy 21.84, this run) on band AW-001; duct pair 1489.92 / 1510.92 pt; label 14"x12"; 6/S5.20; M01.01 mep.cruces group 1 (registro dx -571.92 dy 21.84, this run) on band AW-005; duct pair</t>
  </si>
  <si>
    <t xml:space="preserve">Extra framing - sistered stud and furring at the ATM recess</t>
  </si>
  <si>
    <t xml:space="preserve">accesorios.py [CRITERION]: 6/A08.11; 5/A08.11; 7/A08.11; 4/A08.11; 1/A08.11; 7/A08.11</t>
  </si>
  <si>
    <t xml:space="preserve">2-1/2" CFMF @ 16" O.C. at coiling grille head (4/A08.21)</t>
  </si>
  <si>
    <t xml:space="preserve">accesorios.py [DERIVED]: 4/A08.21 two 6" CFMF BOX BEAM HEADER + 2 1/2" CFMF @ 16" + 5/8" GYP. BD.</t>
  </si>
  <si>
    <t xml:space="preserve">Gypsum board jamb return at openings</t>
  </si>
  <si>
    <t xml:space="preserve">accesorios.py [CRITERION]: Estimator criterion (return width = 6" stud depth, not dimensioned; RFI with delta at 0.20 ft)</t>
  </si>
  <si>
    <t xml:space="preserve">PVC trim - edge trim molding and inside corner molding at the FRP</t>
  </si>
  <si>
    <t xml:space="preserve">accesorios.py [DERIVED]: A-D/A08.01 RESTROOM ELEVATIONS 5'-0" TO TOP OF FRP (measured above the CT-12C cove base, 53.9); A02.01 vector room polygon (6 vertices, one step at the drinking fountain alcove); 2/A08.01; A05.01 note 6 FRP FROM FLOOR TO 4'-0" AFF, WIDTH TO</t>
  </si>
  <si>
    <t xml:space="preserve">Power-driven fasteners and duct sleeves</t>
  </si>
  <si>
    <t xml:space="preserve">accesorios.py [DERIVED]: Parapet infill: PAFs SPACED AT 12" O.C. MAX to the steel beam; M01.01; M01.01 mep.cruces group 0 (registro dx -571.92 dy 21.84, this run) on band AW-001; duct pair 1489.92 / 1510.92 pt; label 14"x12"; M01.01 mep.cruces group 1 (registro dx </t>
  </si>
  <si>
    <t xml:space="preserve">Access panel 2'x2' locking, keyed to main entry</t>
  </si>
  <si>
    <t xml:space="preserve">accesorios.py [CONFIRMED]: A04.01 key note 4 + ACCESS DOOR symbol in Vestibule 100</t>
  </si>
  <si>
    <t xml:space="preserve">Drywall screws 1-1/4" bugle head</t>
  </si>
  <si>
    <t xml:space="preserve">accesorios.py [DERIVED]: Inputs!B20 (Drywall screws per SF of board = 1.2) x 17344.5 SF of board</t>
  </si>
  <si>
    <t xml:space="preserve">Framing screws, pan head self-drilling</t>
  </si>
  <si>
    <t xml:space="preserve">accesorios.py [DERIVED]: Inputs!B21 (Framing screws per stud piece = 4) x 1769 stud pieces</t>
  </si>
  <si>
    <t xml:space="preserve">Power-driven fasteners, slab pins for the bottom track</t>
  </si>
  <si>
    <t xml:space="preserve">accesorios.py [DERIVED]: 538.4 LF of interior bottom track on slab / Inputs!B22 (Power-driven pin spacing (ft) = 1)</t>
  </si>
  <si>
    <t xml:space="preserve">Expansion anchors Hilti 1/4" Kwik Bolt II, exterior bottom track @ 8" O.C.</t>
  </si>
  <si>
    <t xml:space="preserve">accesorios.py [DERIVED]: 214.1 LF of exterior bottom track on slab / Inputs!B25 (Expansion anchor spacing (ft) = 0.6667)</t>
  </si>
  <si>
    <t xml:space="preserve">Joint compound, all purpose</t>
  </si>
  <si>
    <t xml:space="preserve">LB</t>
  </si>
  <si>
    <t xml:space="preserve">lb</t>
  </si>
  <si>
    <t xml:space="preserve">accesorios.py [DERIVED]: Inputs!B23 (Joint compound (lb per SF) = 0.072) x 17344.5 SF of board</t>
  </si>
  <si>
    <t xml:space="preserve">Joint tape, paper</t>
  </si>
  <si>
    <t xml:space="preserve">accesorios.py [DERIVED]: Inputs!B24 (Joint tape (LF per SF) = 0.37) x 17344.5 SF of board</t>
  </si>
  <si>
    <t xml:space="preserve">Level 5 finish</t>
  </si>
  <si>
    <t xml:space="preserve">accesorios.py [DERIVED]: A11.04 1-4 (OFFICE 1) WC-18, 11'-9 1/4" V.I.F.; A00.40 WC-18 WALL SURFACE TO BE LEVEL 5; A04.01 offices ACT-4 9'-0"; A11.01 OFFICE 2 WC-18, 11'-9 1/4" V.I.F.; A00.40 WC-18 WALL SURFACE TO BE LEVEL 5; A04.01 offices ACT-4 9'-0"; A11.04 5-8 (</t>
  </si>
  <si>
    <t xml:space="preserve">Deflection clips at non-load-bearing walls to structure</t>
  </si>
  <si>
    <t xml:space="preserve">accesorios.py [CRITERION]: S1.11 LIGHT GAUGE STEEL FRAMING note 2 'PROVIDE MANUFACTURER'S STANDARD VERTICAL DEFLECTION CLIPS AT NON-LOAD-BEARING WALLS'; 3/A12.01; 1/A12.01; 4/A12.01 CONTINUOUS SLIP TRACK; 8/A12.01 CONT. SLIP TRACK; 2/S5.20 HEAD TRACK @ NON LOAD BRG</t>
  </si>
  <si>
    <t xml:space="preserve">RFI</t>
  </si>
  <si>
    <t xml:space="preserve">Question / condition</t>
  </si>
  <si>
    <t xml:space="preserve">Delta of each alternative</t>
  </si>
  <si>
    <t xml:space="preserve">RFI-ACC-additional-head-track</t>
  </si>
  <si>
    <t xml:space="preserve">additional head track: openings with their own box (openings_extra) &gt; 4'-0": do they also take the additional head track of 2/S5.20?</t>
  </si>
  <si>
    <t xml:space="preserve">100.5 lf</t>
  </si>
  <si>
    <t xml:space="preserve">RFI-ACC-stud-reinforcement-mep</t>
  </si>
  <si>
    <t xml:space="preserve">stud reinforcement MEP: plates at double-row stud walls: one per cut row (R72.9) vs one per crossing</t>
  </si>
  <si>
    <t xml:space="preserve">-9 pcs</t>
  </si>
  <si>
    <t xml:space="preserve">RFI-ACC-stud-reinforcement-mep-2</t>
  </si>
  <si>
    <t xml:space="preserve">stud reinforcement MEP: crossings read by hand (not found by mep.cruces): confirm each one on the M / P sheets (R73.5)</t>
  </si>
  <si>
    <t xml:space="preserve">8 pcs</t>
  </si>
  <si>
    <t xml:space="preserve">RFI-ACC-stud-reinforcement-mep-3</t>
  </si>
  <si>
    <t xml:space="preserve">stud reinforcement MEP: duct / fire damper openings listed outside the registered MEP sweep (R73.5)</t>
  </si>
  <si>
    <t xml:space="preserve">6 pcs</t>
  </si>
  <si>
    <t xml:space="preserve">RFI-ACC-extra-framing-atm</t>
  </si>
  <si>
    <t xml:space="preserve">extra framing ATM: ATM-DU (NHA 9D TTW DU ATM): ATM recess not fully dimensioned (width CONFIRMED, sistered height CRITERION, furring rows CRITERION)</t>
  </si>
  <si>
    <t xml:space="preserve">0 lf</t>
  </si>
  <si>
    <t xml:space="preserve">RFI-ACC-extra-framing-atm-4</t>
  </si>
  <si>
    <t xml:space="preserve">extra framing ATM: ATM-WU (NHA 9T TTW WU ATM): ATM recess not fully dimensioned (width CONFIRMED, sistered height DERIVED, furring rows DERIVED)</t>
  </si>
  <si>
    <t xml:space="preserve">RFI-ACC-gypsum-board-jamb-return</t>
  </si>
  <si>
    <t xml:space="preserve">gypsum board jamb return: jamb return width not dimensioned</t>
  </si>
  <si>
    <t xml:space="preserve">-40.29 sf</t>
  </si>
  <si>
    <t xml:space="preserve">RFI-ACC-slab-pins</t>
  </si>
  <si>
    <t xml:space="preserve">slab pins: pin spacing: 12" (interior anchorage) vs 16" (fastener schedule) vs 24" (type K box)</t>
  </si>
  <si>
    <t xml:space="preserve">16in: -134.6 pcs; 24in: -269.2 pcs</t>
  </si>
  <si>
    <t xml:space="preserve">RFI-ACC-deflection-clips</t>
  </si>
  <si>
    <t xml:space="preserve">deflection clips: deflection clips: the general note asks for them at non-load-bearing walls and the partition details draw a slip / deflection track (R73.6)</t>
  </si>
  <si>
    <t xml:space="preserve">869 pcs</t>
  </si>
  <si>
    <t xml:space="preserve">RFI-ACC-access-panel</t>
  </si>
  <si>
    <t xml:space="preserve">access panel: wall access panels for fire dampers / equipment not placed on any sheet (M00.01 note 16, M01.01 note 2)</t>
  </si>
  <si>
    <t xml:space="preserve">+4 pcs</t>
  </si>
  <si>
    <t xml:space="preserve">RFI-ACC-deflection-clips-2</t>
  </si>
  <si>
    <t xml:space="preserve">deflection clips: S1.11 note 2 clips vs continuous slip track drawn in the partition details</t>
  </si>
  <si>
    <t xml:space="preserve">+1 clip per full-height stud to structure</t>
  </si>
  <si>
    <t xml:space="preserve">RFI-ACC-extra-framing-atm-7</t>
  </si>
  <si>
    <t xml:space="preserve">extra framing ATM: ATM-DU sistered stud height and furring rows not dimensioned (6/A08.11)</t>
  </si>
  <si>
    <t xml:space="preserve">alternatives B / C in atm_recess</t>
  </si>
  <si>
    <t xml:space="preserve">RFI-ACC-stud-reinforcement-mep-4</t>
  </si>
  <si>
    <t xml:space="preserve">stud reinforcement MEP: P sheet crossings manual (registro &lt; 25) and storm pipes &gt; 1" outside the family</t>
  </si>
  <si>
    <t xml:space="preserve">+6 pcs</t>
  </si>
  <si>
    <t xml:space="preserve">RFI-ACC-pvc-trim-at-frp</t>
  </si>
  <si>
    <t xml:space="preserve">PVC trim at FRP: room perimeter printed on 2/A08.01 vs vector</t>
  </si>
  <si>
    <t xml:space="preserve">+1.2 to +2.8 LF</t>
  </si>
  <si>
    <t xml:space="preserve">RFI-ACC-level-5-finish</t>
  </si>
  <si>
    <t xml:space="preserve">Level 5 finish: WC-20 in A05.01 note 9 has no tag; office 5 has no elevation</t>
  </si>
  <si>
    <t xml:space="preserve">-100.3 SF / + WC-20 area</t>
  </si>
  <si>
    <t xml:space="preserve">RFI-A00-01</t>
  </si>
  <si>
    <t xml:space="preserve">Tag B2K (A02.01, inventory PC0011, between OFFICE 4 CB 108 and CASH WINDOW 116) is not in the partition schedule and no detail exists on A12.01. Confirm whether B2K = B2 (6" studs, 5/8" gyp each face to deck, 1/A12.01) plus ballistic panel like 4/A12.01 (14 ga @ 24" O.C., 3/8" fiberglass to 8'-0").</t>
  </si>
  <si>
    <t xml:space="preserve">B2 only: 0 SF ballistic; B2 + ballistic: + L x 8.0 SF ballistic panel and + L x (H - 8.0) SF 3/8" gyp on the customer face (L = B2K wall length)</t>
  </si>
  <si>
    <t xml:space="preserve">RFI-A00-02</t>
  </si>
  <si>
    <t xml:space="preserve">Drive-up ATM rough opening width: 7/A08.11 prints 2'-2 1/2" R.O., 5/A08.11 prints 2'-2 1/8" (26.4") R.O. Larger value carried. Third reading: the A02.01 1/4" plan gap between the wall end caps measures 40.5 pt / 18 = 2.25 ft (plan precision about +/- 1" at 1/4" scale; the enlarged details govern).</t>
  </si>
  <si>
    <t xml:space="preserve">(2.208 - 2.177) x 4 box pieces = +0.125 LF header; +0.031 LF sill track</t>
  </si>
  <si>
    <t xml:space="preserve">RFI-A00-03</t>
  </si>
  <si>
    <t xml:space="preserve">Drive-up ATM sill/head above interior finished floor are not printed (6/A08.11 dimensions from the drive lane). Derived sill 2.06 ft / head 4.665 ft above floor assuming base of ATM = floor (52.4" - 45.0").</t>
  </si>
  <si>
    <t xml:space="preserve">cripple/jack stud length only: +/- 0.6 ft per cripple if the floor is at drive-lane level</t>
  </si>
  <si>
    <t xml:space="preserve">RFI-A00-04</t>
  </si>
  <si>
    <t xml:space="preserve">Office front CONT. BOX BEAM (8,9/A12.01): run ends not drawn. Carried jamb_to_jamb (first to last office front jamb, through the G/G1 piers) per E22. Alternatives: per-office bulkheads only (Sum 7'-6" HOLD openings) or wall_to_wall.</t>
  </si>
  <si>
    <t xml:space="preserve">East front: jamb_to_jamb (39.977 + 1.333) x 4 = 165.24 LF vs per office 4 x (7.5 + 1.333) x 4 = 141.33 LF (-23.91 LF). West front: (18.458 + 1.333) x 4 = 79.16 LF vs 2 x (7.5 + 1.333) x 4 = 70.66 LF (-8.50 LF)</t>
  </si>
  <si>
    <t xml:space="preserve">RFI-A00-05</t>
  </si>
  <si>
    <t xml:space="preserve">Exterior storefronts SF-VEST-N, SF-VEST-W, SF-S: S2.20 shows HSS9x5x5/8 (LLV) lintels on those lines (T.O.S. 9'-4 1/2" / B.O.S. 8'-7 1/2"), while 11/A09.27 says 'METAL STUD BOX BEAM OR STEEL FRAMING AS REQUIRED'. Carried E16 (HSS lintel = 0 metal stud header, steel by others).</t>
  </si>
  <si>
    <t xml:space="preserve">If metal stud box is also required: SF-VEST-N (12.563 + 1.333) x 4 = 55.58 LF; SF-VEST-W (6.5 + 1.333) x 4 = 31.33 LF; SF-S (26.25 + 1.333) x 4 = 110.33 LF; total +197.24 LF header</t>
  </si>
  <si>
    <t xml:space="preserve">RFI-A00-06</t>
  </si>
  <si>
    <t xml:space="preserve">Vestibule all-glass walls: 4-7/A12.10 'METAL STUD FRAMING &amp; BOX HEADER AS NEEDED' without size (E11: counted as 4-piece box, size not printed). Confirm member size and whether the box runs the full glass line.</t>
  </si>
  <si>
    <t xml:space="preserve">VH-1 (15.647 + 1.333) x 4 = 67.92 LF; VH-2 (6.416 + 1.333) x 4 = 31.00 LF (0 LF if not needed)</t>
  </si>
  <si>
    <t xml:space="preserve">RFI-A00-07</t>
  </si>
  <si>
    <t xml:space="preserve">CSR line opening 12'-0 1/4" R.O. HOLD (1/A12.08) has a framed soffit above (9/A12.08) and no header called: carried 0 header (R71.10).</t>
  </si>
  <si>
    <t xml:space="preserve">If a box header is required: (12.021 + 1.333) x 4 = 53.42 LF</t>
  </si>
  <si>
    <t xml:space="preserve">RFI-A00-08</t>
  </si>
  <si>
    <t xml:space="preserve">North arrow on A02.01 points up (plan top = north), but A09.01 titles the elevation of the plan-top storefront front (grids 2-7) 'SOUTH ELEVATION' and A09.02 titles the door 123 side 'NORTH ELEVATION'. The arrow governs (R71.1); confirm.</t>
  </si>
  <si>
    <t xml:space="preserve">facade letters only (no quantity change); facade-based items swap N &lt;-&gt; S and E &lt;-&gt; W</t>
  </si>
  <si>
    <t xml:space="preserve">RFI-A00-09</t>
  </si>
  <si>
    <t xml:space="preserve">Partition G / G1 (5/A12.01) top is cut at the ceiling and shows no top sealant, while 8,9/A12.01 draw SEALANT at the underside of structure for the same G construction. Carried detail 5 as drawn (top 0).</t>
  </si>
  <si>
    <t xml:space="preserve">+2 x L LF acoustical sealant per G / G1 wall if top beads apply</t>
  </si>
  <si>
    <t xml:space="preserve">RFI-A00-10</t>
  </si>
  <si>
    <t xml:space="preserve">Stud size / gauge / spacing for 6" interior types (A5, A8, B2) and spacing for G/G1/C1 are not printed on A12.01. 7/S5.20 lists 362S137-33 @ 16" O.C. interior and 600S137-33 @ 16" O.C. exterior only; carried 600S137-33 @ 16" for 6" interior types and 16" O.C. for all interior types except A1K/A5K (14 ga @ 24", 4/A12.01).</t>
  </si>
  <si>
    <t xml:space="preserve">stud count unchanged at 16" O.C.; gauge change only affects weight/price (33 mil vs heavier)</t>
  </si>
  <si>
    <t xml:space="preserve">RFI-A00-11</t>
  </si>
  <si>
    <t xml:space="preserve">Coiling grille head (4/A08.21) calls '6" CFMF BOX BEAM HEADER' twice (upper and lower box); carried 2 boxes x 4 pieces (beams 2).</t>
  </si>
  <si>
    <t xml:space="preserve">one box only: -(13.333 + 1.333) x 4 = -58.66 LF header</t>
  </si>
  <si>
    <t xml:space="preserve">RFI-A10-01</t>
  </si>
  <si>
    <t xml:space="preserve">Tag B2K (AW-033, inventory PC0011, between OFFICE 4 CB 108 and CASH WINDOW 116) is not in the partition schedule. Measured thickness 11.5 pt = 7.67 in = A5K (7 5/8", 6" studs + ballistic, 4/A12.01) and the band carries the KEVLAR hatch. Carried 6" 14 GA @ 24" O.C. per 4/A12.01 (A5K). Same question as RFI-A00-01.</t>
  </si>
  <si>
    <t xml:space="preserve">stud count on 2.211 LF: 14 GA @ 24" (2 + ROUNDUP(2.211/2)) vs B2 20 GA @ 16"; ballistic panel 2.211 LF x 8.0 ft = 17.7 SF if K, 0 SF if B2</t>
  </si>
  <si>
    <t xml:space="preserve">RFI-A10-02</t>
  </si>
  <si>
    <t xml:space="preserve">G1 walls measure 12.7 pt = 8.47 in between faces (A02.01 vector: AW-064 OFFICE 1/2 wall and AW-066 west office-front pier) vs schedule G1 8" (A12.01). Type kept G1 (tag); LF unaffected.</t>
  </si>
  <si>
    <t xml:space="preserve">0 LF; board / stud unchanged (G1 = G build with wider isolator gap)</t>
  </si>
  <si>
    <t xml:space="preserve">RFI-A10-03</t>
  </si>
  <si>
    <t xml:space="preserve">Line x 1622-1633 pt (BREAK ROOM 118 east): A5 tag PT0017 above door 116 and B2 tags PT0027 / PT0029 below, same 7 1/4" thickness, no drawn break at the door. Type change carried at the drawn T of the WORK ROOM A1 wall, its south face vert 1495.4 (R75.5), door 116 inside the A5 wall AW-021.</t>
  </si>
  <si>
    <t xml:space="preserve">change at the door 116 south jamb instead: 0.74 LF moves from A5 to B2 (same 6" stud, same single-layer board)</t>
  </si>
  <si>
    <t xml:space="preserve">RFI-A10-04</t>
  </si>
  <si>
    <t xml:space="preserve">Restroom plumbing chase (A02.01, 1'-1" between WOMEN'S 114 and MEN'S 113) is drawn as one 13" outline with C1 tags on both faces (PT0035, PT0037). Carried two C1 stud walls (one per tagged face, PT7) of 4 1/4" (6/A12.01) each, AW-038 and AW-039.</t>
  </si>
  <si>
    <t xml:space="preserve">one single chase stud row instead of two: -10.03 LF of C1 framing</t>
  </si>
  <si>
    <t xml:space="preserve">RFI-A10-05</t>
  </si>
  <si>
    <t xml:space="preserve">Untagged wall between JANITOR CLOSET 112 and STORAGE 117 (AW-025, 3'-6" printed) carries a small 'B' symbol (inventory PA0034, ambiguous, smaller symbol). Carried type B; note A default would be A1.</t>
  </si>
  <si>
    <t xml:space="preserve">0 LF and same 3 5/8" stud; B (1/A12.01, board both faces to structure) vs A1 (3/A12.01, board to ceiling + 6"): board height only</t>
  </si>
  <si>
    <t xml:space="preserve">RFI-A10-06</t>
  </si>
  <si>
    <t xml:space="preserve">Exterior walls (one per grid line) measured on the interior finish face; each exterior corner has one owner that runs to the outer stud face of the crossing wall (R70.2). Storefront spans (SF-S on F, SF-VEST-N/W, vestibule) are outside the exterior wall LF (R70.7).</t>
  </si>
  <si>
    <t xml:space="preserve">interior-face-only lengths: -0.55 LF per exterior corner (5 corners = -2.75 LF of 6" CFMF)</t>
  </si>
  <si>
    <t xml:space="preserve">RFI-A10-07</t>
  </si>
  <si>
    <t xml:space="preserve">Hand-dryer niche on the restroom east B2 line (A02.01 1'-10 3/4" deep, two 1'-3" items): back wall and two returns are untagged and measure 4.87 in (A1), carried as default-type A1 walls AW-008, AW-009, AW-011 (note A, R74.3 niche); the B2 line is split in AW-030 / AW-031 around it.</t>
  </si>
  <si>
    <t xml:space="preserve">if the niche is B2 (6" studs) instead of A1: 7.49 LF move from 3 5/8" to 6" framing; if not framed (open recess in the B2 wall) -7.49 LF A1 and +4.07 LF B2</t>
  </si>
  <si>
    <t xml:space="preserve">RFI-A10-08</t>
  </si>
  <si>
    <t xml:space="preserve">Media wall furring C1 (keynote 7, A02.01 10'-0" x 8"): carried as a U furring: front AW-035 between the returns + two 8" returns AW-034 / AW-036 measured from the outer face (R75.7) = 9.294 + 2 x 0.667 = 10.628 LF.</t>
  </si>
  <si>
    <t xml:space="preserve">front only (10'-0" printed, no returns): -0.628 LF of 3 5/8" C1 framing</t>
  </si>
  <si>
    <t xml:space="preserve">RFI-A10-09</t>
  </si>
  <si>
    <t xml:space="preserve">Office-front CONT. BOX BEAM openings OF-E (39.977 ft) and OF-W (18.458 ft) are not declared in this fragment: the run is longer than any door_bulkhead wall of the front (studs_nodos rejects an R.O. &gt;= wall length). Door bulkheads are modeled one per 7'-6" HOLD opening (8/A12.01); the CONT. BOX BEAM needs an openings_extra entry with its framing_wall / wall = front line.</t>
  </si>
  <si>
    <t xml:space="preserve">none on bulkhead framing; header LF per RFI-A00-04</t>
  </si>
  <si>
    <t xml:space="preserve">RFI-A15-01</t>
  </si>
  <si>
    <t xml:space="preserve">AW-024 (B): partial: the beam-over-wall tool (vsw) puts only 5.287 of 11.733 ft (45.1 %) of the band under the W8X10 (axis 1509.85 pt); the rest of the wall runs to the deck - full B.O.D. carried on the whole wall (53.3 more material), stop-under-beam alternative in RFI.</t>
  </si>
  <si>
    <t xml:space="preserve">stops_under_beam on the covered 5.287 ft only: -0.657 ft x studs in 5.287 ft</t>
  </si>
  <si>
    <t xml:space="preserve">RFI-A15-02</t>
  </si>
  <si>
    <t xml:space="preserve">AW-027 (B): the beam-over-wall tool (vsw) gives two parallel beams with different labels [] and asks for a decision: S2.20 shows them only over a short part of the wall (perpendicular framing / ends), the wall runs to the deck elsewhere - B.O.D. carried (53.3), alternative in RFI.</t>
  </si>
  <si>
    <t xml:space="preserve">if the wall stops under the beam: about -1 ft x studs of the covered part</t>
  </si>
  <si>
    <t xml:space="preserve">RFI-A15-03</t>
  </si>
  <si>
    <t xml:space="preserve">AW-053 (G): the beam-over-wall tool (vsw) gives two parallel beams with different labels ['W12X19', 'W8X10'] and asks for a decision: S2.20 shows them only over a short part of the wall (perpendicular framing / ends), the wall runs to the deck elsewhere - B.O.D. carried (53.3), alternative in RFI.</t>
  </si>
  <si>
    <t xml:space="preserve">if the wall stops under W12X19: about -1 ft x studs of the covered part</t>
  </si>
  <si>
    <t xml:space="preserve">RFI-A15-04</t>
  </si>
  <si>
    <t xml:space="preserve">AW-056 (G): partial: the beam-over-wall tool (vsw) puts only 3.36 of 11.628 ft (28.9 %) of the band under the W8X10 (axis 1040.57 pt); the rest of the wall runs to the deck - full B.O.D. carried on the whole wall (53.3 more material), stop-under-beam alternative in RFI.</t>
  </si>
  <si>
    <t xml:space="preserve">stops_under_beam on the covered 3.36 ft only: -0.657 ft x studs in 3.36 ft</t>
  </si>
  <si>
    <t xml:space="preserve">RFI-A15-05</t>
  </si>
  <si>
    <t xml:space="preserve">AW-064 (G1): partial: the beam-over-wall tool (vsw) puts only 3.354 of 11.767 ft (28.5 %) of the band under the W8X10 (axis 533.05 pt); the rest of the wall runs to the deck - full B.O.D. carried on the whole wall (53.3 more material), stop-under-beam alternative in RFI.</t>
  </si>
  <si>
    <t xml:space="preserve">stops_under_beam on the covered 3.354 ft only: -0.657 ft x studs in 3.354 ft</t>
  </si>
  <si>
    <t xml:space="preserve">RFI-A15-06</t>
  </si>
  <si>
    <t xml:space="preserve">Window W-E1..W-E4 / W-W1..W-W2 jamb return: 11/A09.27 (storefront head) labels 'GYPSUM BOARD JAMB RETURN BEYOND' while the plan jamb 3/A09.25 DETAIL @ WINDOW JAMB draws 3/4" FRT PLYWOOD at the jamb without a gyp return. Carried jamb_return true (printed gypsum label, more material); head = 3/4" FRT plywood, sill = brake metal (10/A09.27, sill_return false).</t>
  </si>
  <si>
    <t xml:space="preserve">6 windows x 2 jambs x 2.0 ft x 0.5 ft = 12.0 SF of gypsum jamb return if false (plus the R.O. head edge 6 x 8.0 x 0.5 = 24 SF counted by the A5 rule)</t>
  </si>
  <si>
    <t xml:space="preserve">RFI-A15-07</t>
  </si>
  <si>
    <t xml:space="preserve">C1 boxes AW-070 / AW-071 (PT0032 / PT0033, 3/A08.21) carried as column_wrap with 3 5/8" framing to the underside of the W12x14 on grid 4 and board on every exposed face to structure (60.11). Track / stud faces taken on the finish faces printed 1'-0" (3/A08.21) instead of the FOS (10 3/4").</t>
  </si>
  <si>
    <t xml:space="preserve">FOS basis: AW-070 4 x (1.0 - 0.104) = -0.417 LF of track per run; board to the ceiling (10'-0" / 11'-6") + 6" instead of structure: about -(14.383 - 11.0) x 6.94 = -23.5 SF</t>
  </si>
  <si>
    <t xml:space="preserve">RFI-A15-08</t>
  </si>
  <si>
    <t xml:space="preserve">Ballistic (4/A12.01) customer side of the cash-window K walls is not labeled on A02.01: carried on the face outside the teller enclosure (AW-013 north, AW-014 south, AW-015 north, AW-033 south). AW-013 north and AW-014 south faces sit in 3-4" gaps against the G wall AW-058 and the C1 furring AW-037.</t>
  </si>
  <si>
    <t xml:space="preserve">ballistic panel + 3/8" on the opposite faces instead: same SF (10.194 LF x 8.0 = 81.6 SF ballistic); if the gap faces get no board: -(3.411 x 15.375 + 3.411 x 12.937) = -96.6 SF of 5/8" and -(3.411 x 7.375 + 3.411 x 4.937) = -42.0 SF of 3/8"</t>
  </si>
  <si>
    <t xml:space="preserve">RFI-A15-09</t>
  </si>
  <si>
    <t xml:space="preserve">Exterior walls along grid A (AW-047): S2.20 prints W18x35 (x 917-1514 pt) and W14x22 (x 1535-1838 pt) on the same axis; one height per axis carried with the shallower W14x22 (11.389 ft). Exterior interior faces carried 5/8" gyp TO DECK (A09.21-A09.23) above the beam bottom (board beside the beam web).</t>
  </si>
  <si>
    <t xml:space="preserve">W18x35 on its 33.2 ft: -(1.475 - 1.142) = -0.333 ft x studs in 33.2 ft (about 26 studs = -8.7 LF 6"); board to beam bottom instead of deck on all exterior faces: -d x L (about -1.0 to -1.15 ft x 214 LF = -230 SF)</t>
  </si>
  <si>
    <t xml:space="preserve">RFI-A15-10</t>
  </si>
  <si>
    <t xml:space="preserve">Lines 2 and 3 (AW-042, AW-044) carry two labels on one beam line in S2.20: W16x26 (CANOPY) and W12x19 (HI). the beam-over-wall tool (vsw) picked W16x26 for AW-044 (nearest label) and asked for a decision on AW-042; the wall studs stop under the HI roof beam W12x19 (J/A09.23, H/A09.23 T/STEEL 15'-4 1/2" roof vs 11'-9" canopy).</t>
  </si>
  <si>
    <t xml:space="preserve">if W16x26 governs: -(1.308 - 1.017) = -0.291 ft per stud on AW-042 (21.46 ft) and AW-044 (22.43 ft): about -34 studs x 0.291 = -9.9 LF of 6"</t>
  </si>
  <si>
    <t xml:space="preserve">RFI-A15-11</t>
  </si>
  <si>
    <t xml:space="preserve">LOW roof slopes 13'-0 5/8" (grid B) to 12'-6 3/8" (grid A); per 59.13 each wall takes the B.O.D. interpolated at its north (high) end (heights 12.67-13.05 ft) instead of the zone high end 13.052 (HEIGHT DE DECK).</t>
  </si>
  <si>
    <t xml:space="preserve">zone high end on every LOW wall: up to +0.38 ft x studs of the walls near grid A (about +40 LF of 3 5/8" / 6" studs)</t>
  </si>
  <si>
    <t xml:space="preserve">RFI-A15-12</t>
  </si>
  <si>
    <t xml:space="preserve">S1.11 note 5 'STUDS WITHIN 6 FT OF BUILDING CORNERS: 600S162-54 @ 12" O.C.': applied as zones on the exterior walls at the convex corners and at the re-entrant corner line 3 / line D (AW-043, AW-044).</t>
  </si>
  <si>
    <t xml:space="preserve">re-entrant corner excluded: AW-044 0-6 ft and AW-043 -&gt; about -2 studs x 14.358 = -28.7 LF of 6"</t>
  </si>
  <si>
    <t xml:space="preserve">RFI-A20-01</t>
  </si>
  <si>
    <t xml:space="preserve">7/A09.33 typical transition is not bubbled on A04.01 and prints no O.C. for the vertical studs to structure; carried at 16" O.C. (8/A09.33 framing).</t>
  </si>
  <si>
    <t xml:space="preserve">TR1 split in 3 straight runs (N 17.03 + W 30 + E 30): 14 + 24 + 24 = 62 studs x 4.375 = 271.25 LF @16" vs 6 + 9 + 9 = 24 x 4.375 = 105.0 LF @48"; TR2: 5 x 6.375 = 31.9 vs 3 x 6.375 = 19.1 -&gt; -179.0 LF 3-5/8" if verticals only at kickers. Kickers counted per run (24, was 21 on one 77 ft run; ADV2-S1): -18.56 LF if corner kickers are shared</t>
  </si>
  <si>
    <t xml:space="preserve">RFI-A20-02</t>
  </si>
  <si>
    <t xml:space="preserve">CSR soffit: A04.01 legend says SUSPENDED GWB, but 9/A12.08 (bubbled on 1/A12.08) and 10/A09.33 draw 3-5/8" studs to deck. Carried as framed_soffit with 2 drop lines (ACT both sides per RCP); 10/A09.33 draws a partition on one side (1 drop line).</t>
  </si>
  <si>
    <t xml:space="preserve">furring alternative: -37.6 LF studs bottom, + ~3 carrying x 12 LF + hangers; 1 drop line: -12.02 LF x 2 track lines and -1 side of studs (~10 studs x 5-7 ft)</t>
  </si>
  <si>
    <t xml:space="preserve">RFI-A20-03</t>
  </si>
  <si>
    <t xml:space="preserve">CSR soffit crosses the roof step at grid B (W14x22 HI/LOW directly over the soffit). Side studs split: 7.375 ft north (HI) / 5.052 ft south (LOW).</t>
  </si>
  <si>
    <t xml:space="preserve">all at HI height: +5.582 LF x 2 sides x 2.323 ft per stud row (~+21 LF studs at 16")</t>
  </si>
  <si>
    <t xml:space="preserve">RFI-A20-04</t>
  </si>
  <si>
    <t xml:space="preserve">LOW roof slopes 13'-0 5/8" (grid B) to 12'-6 3/8" (grid A); restroom hanger drops carried at high end 4.552 ft.</t>
  </si>
  <si>
    <t xml:space="preserve">real drop at Men's 113 south edge ~0.31 ft shorter: about -0.15 ft avg x hanger PCS of C4+C5</t>
  </si>
  <si>
    <t xml:space="preserve">RFI-A20-05</t>
  </si>
  <si>
    <t xml:space="preserve">S2.20 prints one B.O.D. 15'-4 1/2" NO SLOPE tag (grid 4-8 between E and F); bay E-B and vestibule bay grid 2-4 (beams marked HI) carried at the same B.O.D. (no HI/LOW at grid E; 4/A02.02 T/STEEL 15'-4 1/2").</t>
  </si>
  <si>
    <t xml:space="preserve">each 1 ft of different B.O.D. = +/-1 ft x hanger PCS (C1, C2, C3) and +/-1 ft per vertical stud of TR1/TR2</t>
  </si>
  <si>
    <t xml:space="preserve">RFI-A20-06</t>
  </si>
  <si>
    <t xml:space="preserve">S2.20 canopy B.O.D. printed 111'-9"; read as 11'-9" (canopy T.O.S. 11'-9"/11'-11 3/8").</t>
  </si>
  <si>
    <t xml:space="preserve">info only for canopy task (no interior GWB ceiling under canopy)</t>
  </si>
  <si>
    <t xml:space="preserve">RFI-A20-07</t>
  </si>
  <si>
    <t xml:space="preserve">Carrying channel direction not printed (no GWB suspension detail); CRITERION N-S project-wide.</t>
  </si>
  <si>
    <t xml:space="preserve">E-W alternative changes carrying/furring LF by &lt; 5 % per room (carrying ~ area/4 either way)</t>
  </si>
  <si>
    <t xml:space="preserve">RFI-A30-01</t>
  </si>
  <si>
    <t xml:space="preserve">Elevation titles vs north arrow: A09.01 'SOUTH ELEVATION' draws the NORTH facade and A09.02 'NORTH ELEVATION' draws the SOUTH facade (grid order and content checked against A02.01 north arrow up). Facades assigned by the arrow.</t>
  </si>
  <si>
    <t xml:space="preserve">0 LF / 0 SF if confirmed; if the titles governed, N and S facade openings/canopy would swap: nailbase delta = (210.0 + 100.5) - 23.0 = 287.5 SF</t>
  </si>
  <si>
    <t xml:space="preserve">RFI-A30-02</t>
  </si>
  <si>
    <t xml:space="preserve">Parapet on sloped low roof (lines 8 and 3, B to A): stud height taken as average T/STUD - B.O.D. (55.3). Confirm vs high side (59.13).</t>
  </si>
  <si>
    <t xml:space="preserve">+0.26 ft x studs of PAR-8B / PAR-3B (17.416667 - 12.53125 = 4.885 vs 4.625)</t>
  </si>
  <si>
    <t xml:space="preserve">RFI-A30-03</t>
  </si>
  <si>
    <t xml:space="preserve">Column wrap height not printed: taken to B/STUD 10'-7 1/4" of the drive-up canopy soffit (16/A09.27) instead of B/CANOPY 10'-6" (A09.01).</t>
  </si>
  <si>
    <t xml:space="preserve">-0.104 ft x 4 wraps x 8 studs = -3.3 LF 3-5/8" and -10.1 SF plywood if B/CANOPY governs</t>
  </si>
  <si>
    <t xml:space="preserve">RFI-A30-04</t>
  </si>
  <si>
    <t xml:space="preserve">Storefront cripple height: studs from top of HSS9x5 lintel (T.O.S. 9'-4 1/2") to underside of roof beam taken continuous; canopy beams W16x26 / W12x19 (CANOPY) on the same line interrupt them.</t>
  </si>
  <si>
    <t xml:space="preserve">SC-N 4.525 ft vs 3.22 ft (gap 10.92-12.23 ft): -1.31 ft x 21 studs = -27.5 LF 6"; SC-NT/SC-WT similar</t>
  </si>
  <si>
    <t xml:space="preserve">RFI-A30-05</t>
  </si>
  <si>
    <t xml:space="preserve">Line 2 (west tower) storefront lintel and roof beam size not labeled on S2.20 at that storefront; HSS9x5 T.O.S. 9'-4 1/2" and W12x19 assumed as on line G.</t>
  </si>
  <si>
    <t xml:space="preserve">SC-WT height 4.987 ft; if no lintel (wall stud full height) 0 LF cripples and +6.5 LF 6" studs full height</t>
  </si>
  <si>
    <t xml:space="preserve">RFI-A30-06</t>
  </si>
  <si>
    <t xml:space="preserve">Storefront pier stud counts (studs_drawn 4 + 4) and box perimeter read from 1/A09.25 and 2/A09.25 flange marks; detail is a plan without stud schedule. Pier height to underside of W12x19.</t>
  </si>
  <si>
    <t xml:space="preserve">+/- 1 stud per part per pier = +/- 14.4 LF each size; R71.2: if the C1 task also models PIER-2 / PIER-4, one record must be removed (-2 x 8 studs x 14.36 = -229.8 LF)</t>
  </si>
  <si>
    <t xml:space="preserve">RFI-A30-07</t>
  </si>
  <si>
    <t xml:space="preserve">Vestibule head framing (7/A12.10 'METAL STUD FRAMING &amp; BOX HEADER AS NEEDED'): stud size/O.C. and top (deck vs structure) not printed; 3-5/8" @ 16" to B.O.D. 15'-4 1/2" assumed.</t>
  </si>
  <si>
    <t xml:space="preserve">VH-1 + VH-2 = 22.06 LF x 5.375 ft; if framing stops at 2'-0" above ceiling: -3.375 ft x 19 studs = -64.1 LF 3-5/8"</t>
  </si>
  <si>
    <t xml:space="preserve">RFI-A30-08</t>
  </si>
  <si>
    <t xml:space="preserve">Drive-up ATM opening in tower west wall (grid 2, E-D) not deducted from W-T nailbase: R.O. not printed on A02.01/A09.01 (see A08.11).</t>
  </si>
  <si>
    <t xml:space="preserve">-(ATM R.O. width x height) SF nailbase, approx -10 to -15 SF</t>
  </si>
  <si>
    <t xml:space="preserve">RFI-A30-09</t>
  </si>
  <si>
    <t xml:space="preserve">Roof step stud row heights measured in vector on 4/A02.02 (no printed heights); outer row top at 2X FRT blocking aligned to tapered insulation high point.</t>
  </si>
  <si>
    <t xml:space="preserve">RS-1 3.114 / RS-2 1.131 / RS-3 3.460 ft; +/- 0.25 ft x 40 studs x 3 rows = +/- 30 LF 3-5/8"</t>
  </si>
  <si>
    <t xml:space="preserve">RFI-A30-10</t>
  </si>
  <si>
    <t xml:space="preserve">Canopy fascia ends of the south canopy (2 x ~3.4 ft returns) and corner returns not modeled as fascia_box; confirm whether ACM fascia box wraps the ends.</t>
  </si>
  <si>
    <t xml:space="preserve">+6.8 LF fascia box (+ 6.8 x 1.86 = 12.7 SF ext FRT plywood)</t>
  </si>
  <si>
    <t xml:space="preserve">RFI-A30-11</t>
  </si>
  <si>
    <t xml:space="preserve">3/4" FRT plywood widths at storefront heads, piers, window and door perimeters not dimensioned (6" taken = wall/frame depth).</t>
  </si>
  <si>
    <t xml:space="preserve">+/- 0.25 ft x 238.3 LF = +/- 59.6 SF 3/4" FRT plywood</t>
  </si>
  <si>
    <t xml:space="preserve">RFI-A30-12</t>
  </si>
  <si>
    <t xml:space="preserve">Coiling grille 103 jambs 'FRT WOOD BLOCKING (TYP)' and airlock all-glass terminations 'FRT BLOCKING' (3/A08.21; 8/A12.10): member heights not printed. Carried 5 drawn members of 3/A08.21 (4 grille jamb members x 13.542 door 103 height + 1 airlock termination x 10.0 glass height) and 1 member at 8/A12.10 x 10.0 (53.3 more material). Confirm heights and that 3/A08.21 (grid-4 box, no plywood) and 8/A12.10 (FRT plywood wall) are two separate glass terminations.</t>
  </si>
  <si>
    <t xml:space="preserve">-37.5 LF FRT blocking if only 2 grille members x 13.333 (64.17 -&gt; 26.67); airlock ends: -10.0 LF if 3/A08.21 and 8/A12.10 are one single end; +/-1.0 LF per foot of blocking height per airlock end</t>
  </si>
  <si>
    <t xml:space="preserve">RFI-A30-13</t>
  </si>
  <si>
    <t xml:space="preserve">East canopy south end (B.2) wall-line length taken from A02.02 vector (46.89 ft); B.2 offset to B not clearly dimensioned on S2.20.</t>
  </si>
  <si>
    <t xml:space="preserve">+/- 0.5 ft canopy band glass mat x 1.98 = +/- 1 SF; +/- 0.5 LF track</t>
  </si>
  <si>
    <t xml:space="preserve">RFI-A30-14</t>
  </si>
  <si>
    <t xml:space="preserve">Canopy soffit joist direction and spacing not drawn in plan: joists taken wall-to-fascia @ 16" (3/, 7/A09.26, 16/A09.27; 7/S5.20); south canopy has no section cut (7/A09.26 SIM assumed).</t>
  </si>
  <si>
    <t xml:space="preserve">drive-up W-N/W-S joists N-S instead of E-W: (ROUNDUP(17.08/1.333)+1) x 33.39 vs (ROUNDUP(33.39/1.333)+1) x 17.08 = 467.5 vs 461.2 LF (+6.3 LF 3-5/8"); similar on W-S</t>
  </si>
  <si>
    <t xml:space="preserve">RFI-A40-01</t>
  </si>
  <si>
    <t xml:space="preserve">Wall stop blocking (A00.30 sheet note D "PROVIDE BLOCKING AT EACH WALL STOP"): no material and no length printed. Carried metal stud blocking 362CR22 (58.6) 2'-0" per stop at 9 doors whose hardware group lists a WALL STOP (groups 04A, 08, 10, 11, 11B, 12, 16). Alternative: 2x FRT wood blocking (same LF, other family).</t>
  </si>
  <si>
    <t xml:space="preserve">0 LF net; +18.0 LF moves from metal stud blocking to FRT blocking if wood is required</t>
  </si>
  <si>
    <t xml:space="preserve">RFI-A40-02</t>
  </si>
  <si>
    <t xml:space="preserve">Millwork FRTW blocking (note D on A12.03-A12.06 "PROVIDE FRTW BLOCKING AT ALL MILLWORK VERTICAL SURFACE CLEATS AND MOUNTING LOCATIONS"): runs not drawn. Carried the estimator rule (base / counter 1 run, upper or tall unit 2 runs, shelf standards vertical x height, lengths printed on the millwork plans). Alternative: 1 run per item.</t>
  </si>
  <si>
    <t xml:space="preserve">-61.04 LF FRT blocking if every item gets a single run</t>
  </si>
  <si>
    <t xml:space="preserve">RFI-A40-03</t>
  </si>
  <si>
    <t xml:space="preserve">Toilet room FRT blocking (A08.01 sheet note E "CONTRACTOR TO PROVIDE FRT BLOCKING IN WALLS FOR ALL TOILET ROOM ACCESSORIES AND FIXTURES AS REQUIRED"): only the grab bars print a length (TA-3 42", TA-4 36", TA-5 18"). The other accessories (TA-6, TA-7, TA-8, TA-9, TA-10, TA-16, TA-17) and the wall-hung lavatory PF-02 carried at 2'-0" each (3'-0" for the TA-16 baby changing station). Water closets are on Zurn carriers (P00.01 PF-01) - no blocking.</t>
  </si>
  <si>
    <t xml:space="preserve">+/- 1.0 LF per accessory for each foot of actual product width (17 items)</t>
  </si>
  <si>
    <t xml:space="preserve">RFI-A40-04</t>
  </si>
  <si>
    <t xml:space="preserve">Lockers (A02.01 key note 5 "PROVIDE BLOCKING IN WALL AS REQUIRED FOR LOCKERS. COORDINATE WITH VENDOR"): no material, no runs. Width: dashed outline on A02.01 = 89.7 pt / 18 = 4.98 ft (carried, more material, 53.3); the A11.02 locker elevation (CW-16) draws 3 columns = 135 pt / 36 = 3.75 ft. Carried metal stud blocking, 2 runs (top and bottom of the locker bank).</t>
  </si>
  <si>
    <t xml:space="preserve">-2.46 LF if the 3.75 ft elevation width is used; -4.98 LF with one run; same LF moves to FRT if wood is required</t>
  </si>
  <si>
    <t xml:space="preserve">RFI-A40-05</t>
  </si>
  <si>
    <t xml:space="preserve">A02.01 note C "CONTRACTOR SHALL PROVIDE BLOCKING FOR ALL EQUIPMENT AND ACCESSORIES MOUNTED ON WALLS" names no material and no length. Carried metal stud blocking (58.6): artwork at its printed 4'-0" width, boards at their printed width, every other wall-mounted item (security monitor 58, phone 24, wall clock 9, coat hooks 3, hand sanitizer 64, mirror TA-19, extinguisher bracket FEC-2) at 2'-0". Office 5 has no interior elevation in the set: its artwork is carried like offices 1-4 and 6.</t>
  </si>
  <si>
    <t xml:space="preserve">+/- 2.0 LF per item; 4.0 LF for the office 5 artwork if it does not exist; whole quantity moves to FRT blocking if wood is required</t>
  </si>
  <si>
    <t xml:space="preserve">RFI-A40-06</t>
  </si>
  <si>
    <t xml:space="preserve">Roof ladder (A02.01 key note 3, 3/A09.30 "SECURE TO WALL W/ 2X FRT WOOD BLOCKING BEHIND GWB BETWEEN STUDS"): number of wall brackets not dimensioned. Carried 4 bracket levels x 2'-0".</t>
  </si>
  <si>
    <t xml:space="preserve">+/- 2.0 LF FRT blocking per bracket level</t>
  </si>
  <si>
    <t xml:space="preserve">RFI-A40-07</t>
  </si>
  <si>
    <t xml:space="preserve">Key note 6 plywood backboards (Electrical 120, NER 121): A11.03 draws the hatch from the base to 8'-0"; NER prints 6" + 7'-6". Electrical heights measured in vector (7.67-7.71 ft) and carried; NER elevation 7 shows only a top band (not carried).</t>
  </si>
  <si>
    <t xml:space="preserve">+0.33 ft x 24.9 LF = +8.3 SF if the electrical panels start at the floor; +55.9 SF if NER elevation 7 is also full height</t>
  </si>
  <si>
    <t xml:space="preserve">RFI-A40-08</t>
  </si>
  <si>
    <t xml:space="preserve">Corner bead with no callout (criterion 53.1): CSR jambs, C1 media box, drinking fountain alcove and free wall ends carried with the heights stated in each trim item (ceiling or deck of the room they face). Free G wall ends (AN-055, AN-079) at the office fronts are counted with the vendor jambs.</t>
  </si>
  <si>
    <t xml:space="preserve">+/- 1.0 LF per corner for each foot of exposed height (16 corners)</t>
  </si>
  <si>
    <t xml:space="preserve">RFI-A40-09</t>
  </si>
  <si>
    <t xml:space="preserve">FRP / cove base perimeter: printed room size on 2/A08.01 (11'-7 1/2" x 6'-6 3/4") is used; the A02.01 / A04.01 vector polygon gives 11.73 x 6.67-7.02 ft. Mop sink width taken from the Acorn TSH-24 model code (24 in.), not dimensioned.</t>
  </si>
  <si>
    <t xml:space="preserve">+0.6 to +1.4 LF of perimeter per room with the vector size (x 5.0 ft FRP = +3.0 to +7.0 SF; x 0.5 ft cement board); mop sink +/- 4 SF per 6 in.</t>
  </si>
  <si>
    <t xml:space="preserve">RFI-A40-10</t>
  </si>
  <si>
    <t xml:space="preserve">Level 5: A05.01 note 9 asks LEVEL 5 for wallcovering WC-20, but no WC-20 tag exists on A05.01 or the elevations and A00.40 does not list WC-20 (only WC-18 and WC-22 say LEVEL 5). WC-20 not carried. Office 5 has no elevation (WC-18 carried as office 6).</t>
  </si>
  <si>
    <t xml:space="preserve">+ L x H of any WC-20 wall (unknown); -100.3 SF if office 5 has no WC-18</t>
  </si>
  <si>
    <t xml:space="preserve">RFI-A40-11</t>
  </si>
  <si>
    <t xml:space="preserve">Recessed accessories without a printed width (R71.6 / 58.4): FEC-1, TA-2 x2, TA-13 x2, TA-14 x2 = 7 items carried at 0 framing. If any needs a framed opening (wider than the 14 3/8" stud bay), 58.4 asks header + sill track at width + 2 x 1'-4" (2'-0" assumed).</t>
  </si>
  <si>
    <t xml:space="preserve">+46.7 LF (7 x [header 3.333 + sill 3.333])</t>
  </si>
  <si>
    <t xml:space="preserve">RFI-A40-12</t>
  </si>
  <si>
    <t xml:space="preserve">ATM-DU sistered 2 1/2" studs (6/A08.11): height not dimensioned; carried slab to box beam 6'-0" (R72.11 alternative A). Alternative B: only the R.O. height 2'-7 1/4" (31.3") + 8" above and below = 3.94 ft.</t>
  </si>
  <si>
    <t xml:space="preserve">-6.18 LF (alternative B: (ROUNDUP(2.208/1.333)+1) x (6.0 - 3.94))</t>
  </si>
  <si>
    <t xml:space="preserve">RFI-A40-13</t>
  </si>
  <si>
    <t xml:space="preserve">ATM-DU furring under the fiber cement panel (6/A08.11 "FIBER CEMENT PANEL ON FURRING ON 5/8" FRT PLYWOOD"): cladding substrate of the ATM surround, carried 0 rows (60.4 EXCLUDED). Alternative: 3 rows of furring across the 2.208 ft recess.</t>
  </si>
  <si>
    <t xml:space="preserve">+6.62 LF (3 x 2.208)</t>
  </si>
  <si>
    <t xml:space="preserve">RFI-A40-14</t>
  </si>
  <si>
    <t xml:space="preserve">Deflection clips: S1.11 note 2 asks vertical deflection clips at non-load-bearing walls while the partition details draw a continuous slip track (R73.6). Carried 0 clips (slip track governs).</t>
  </si>
  <si>
    <t xml:space="preserve">+ one clip per full-height stud of the walls to structure (accesorios computes the count)</t>
  </si>
  <si>
    <t xml:space="preserve">RFI-A40-15</t>
  </si>
  <si>
    <t xml:space="preserve">4/S5.20 "STUD BLOCKING 362CR22 (TYP.) - PROVIDE BLOCKING AT THE EDGE OF GYPBOARD" (NTS, no location): carried one row at the horizontal board joint of every face taller than the sheet (constants.sheet_len_ft 12 ft = Inputs sheet 4x12), per 56.8 / 59.14 (b). Alternative (a): exterior walls and double-layer walls only.</t>
  </si>
  <si>
    <t xml:space="preserve">- (LF of single-layer interior walls with faces &gt; 12 ft) per 59.14 (a)</t>
  </si>
  <si>
    <t xml:space="preserve">RFI-A40-16</t>
  </si>
  <si>
    <t xml:space="preserve">Access panels in walls: M00.01 note 16 asks access panels for all dampers (FD) and M01.01 general note 2 a 22"x22" panel for equipment above ceilings. FD-1..FD-4 sit at sidewall grilles in Electrical 120 / NER 121 (open to structure, A04.01 KN1) - reachable without a wall panel; no P sheet places an AP (P00.01 note 15 "coordinate with architect"). Wall access panels carried 0; the RCP panel AP-1 is in 20_ceilings.</t>
  </si>
  <si>
    <t xml:space="preserve">+4 access panels (one per fire damper) if the engineer requires them in the GWB walls</t>
  </si>
  <si>
    <t xml:space="preserve">RFI-A40-17</t>
  </si>
  <si>
    <t xml:space="preserve">MEP crossings: P01.01 / P01.02 register with only 14 vertical-offset votes (&lt; 25) after the MediaBox correction, so the 8 pipe crossings are manual (R72.5); all pipes are &gt; 1" only on the storm lines (2"), which the penetration detail plates -&gt; outside the family (R73.5).</t>
  </si>
  <si>
    <t xml:space="preserve">+ 6 plates (2" storm pipes x 1 stud each) if added to stud reinforcement</t>
  </si>
  <si>
    <t xml:space="preserve">RFI-A40-18</t>
  </si>
  <si>
    <t xml:space="preserve">E02.01 registration: mep.registro gives dx -710.52 / dy 141.36 (237 / 73 votes) but the overlay shows a ~6 pt shift; the grid-label offset -716.7 / 145.3 overlays the A02.01 bands exactly (img A40_registro_E02.01_z1 vs scratch check). Only used to assign fixture tags to GWB ceilings (no length depends on it).</t>
  </si>
  <si>
    <t xml:space="preserve">0 (room assignment unchanged within 6 pt)</t>
  </si>
  <si>
    <t xml:space="preserve">RFI-A40-19</t>
  </si>
  <si>
    <t xml:space="preserve">Not quantified as our scope: ATM plinths (2X4 / 4X4 FRT framing and (2) layers 3/4" FRT plywood, 6/A08.11 and 4/A08.11 "GC BUILT PLINTH") and the roof hatch curb "2x FRT BLOCKING AS REQUIRED" (A09.30) are rough carpentry (Div 06).</t>
  </si>
  <si>
    <t xml:space="preserve">+ plinth framing and plywood (not measured) if the drywall contractor carries the ATM plinths</t>
  </si>
  <si>
    <t xml:space="preserve">RFI-A40-20</t>
  </si>
  <si>
    <t xml:space="preserve">R-11C / R-11CE linear gyp slots (Waiting 104 GWB ceiling): E00.01 describes 12' fixtures but the catalog number ends -20'-0"; E02.01 draws 12.0 ft (216 pt) -&gt; 12 ft carried by framed_openings.py (60.9).</t>
  </si>
  <si>
    <t xml:space="preserve">+64.0 LF framed openings (2 x 8 ft x 4 fixtures)</t>
  </si>
  <si>
    <t xml:space="preserve">RFI-S3-ER-01</t>
  </si>
  <si>
    <t xml:space="preserve">A1 / A5 corner squares at both ends of AW-005 (T of the A1 calling-cubes south wall on the A5 lines x 1234.4-1245.2 and x 1519.4-1530.2). Reading A gives both squares to the A1 branch (AW-005 16.433 LF, A5 east 19.000 + A5 west 4.878); reading B gives them to the A5 through lines (BW-005 15.233 LF, A5 east 19.407 + A5 west 5.280). The drawn face lines run through on the vertical line but the A5 / A1 type change on that line falls in the same square (A1 AW-006 / AW-007 continue below), so the plan does not decide the owner. Carried: reading A.</t>
  </si>
  <si>
    <t xml:space="preserve">A1 -1.200 LF / A5 +0.809 LF if B (carried: A)</t>
  </si>
  <si>
    <t xml:space="preserve">RFI-S3-ER-02</t>
  </si>
  <si>
    <t xml:space="preserve">A1 / A5 corner square x 1223.9-1234.8 / vert 1229.0-1236.4 (A1 door-111 wall AW-004 against the A5 corridor wall AW-017). Reading A: AW-017 owns (AW-004 5.000 LF = printed 5'-0" corridor width, AW-017 to vert 1236.4); reading B: AW-004 owns (5.583 LF to the east face of the A5 wall). The printed 5'-0" is the corridor clear width above the wall, not the wall length. Carried: reading A.</t>
  </si>
  <si>
    <t xml:space="preserve">A1 +0.583 LF / A5 -0.411 LF if B (carried: A)</t>
  </si>
  <si>
    <t xml:space="preserve">RFI-S3-ER-03</t>
  </si>
  <si>
    <t xml:space="preserve">A5 / B2 square x 1622.2-1633.1 / vert 1488.1-1495.4 on the break-room east line, at the T of the work-room A1 wall AW-012 (type change A5 above / B2 below at the drawn node, R75.5). Reading A gives it to A5 (AW-021 to vert 1495.4, AW-032 11.000 LF); reading B to B2 (BW-029 11.407 LF from vert 1488.1). The B2 tag leader (PT0027) lands at the node; the node itself does not say which type owns the square. Carried: reading A.</t>
  </si>
  <si>
    <t xml:space="preserve">A5 -0.406 LF / B2 +0.407 LF if B (carried: A; same 6" stud, same single layer)</t>
  </si>
  <si>
    <t xml:space="preserve">RFI-S3-ER-04</t>
  </si>
  <si>
    <t xml:space="preserve">G / G1 square x 1121.2-1133.9 / vert 1227.1-1236.4 (OFFICE 6 south G wall against the G1 office-front pier; the G line continues east as the A1 wall AW-004 and the G1 line continues south as B2 AW-029: the junction is a cross). Reading A: G owns (AW-059 12.333 LF to the east face of G1, AW-067 2.667 LF); reading B: G1 owns (BW-060 11.625 LF = printed 11'-7 1/2" room width, BW-066 3.180 LF). The printed 11'-7 1/2" is the OFFICE 6 room dimension (face of finish), not the wall length. Carried: reading A.</t>
  </si>
  <si>
    <t xml:space="preserve">G -0.708 LF (x 2 rows, x 2 layers per face) / G1 +0.516 LF if B (carried: A)</t>
  </si>
  <si>
    <t xml:space="preserve">RFI-S3-SC-WT</t>
  </si>
  <si>
    <t xml:space="preserve">Storefront cripples SC-WT (grid 2 west storefront): studs stop under the W12x19 (HI) roof beam of line 2 (the W16x26 label on the same line is the CANOPY beam, same reading as AW-042); the beam-over-wall tool (vsw) reports W16X26 by nearest label. HSS lintel T.O.S. 9'-4 1/2" not printed on S sheets. Confirm beam and lintel.</t>
  </si>
  <si>
    <t xml:space="preserve">height 4.983 ft (W12x19, carried) vs 4.692 ft (W16X26): -0.291 ft per cripple stud (6 studs: -1.75 LF 6")</t>
  </si>
  <si>
    <t xml:space="preserve">RFI-A40-21</t>
  </si>
  <si>
    <t xml:space="preserve">ATM-WU (NHA 9T TTW WU ATM) recess framing: 4/A08.11 WU section draws no sistered stud and no furring at the R.O.; 6/A08.11 (DU section, same ATM family) adds '2 1/2" METAL STUD SISTERED TO 6" METAL STUD' and 'FIBER CEMENT PANEL ON FURRING ON 5/8" FRT PLYWOOD'. Carried alternative A (as drawn in 4/A08.11). Confirm whether the walk-up recess gets the DU treatment.</t>
  </si>
  <si>
    <t xml:space="preserve">alt B: +12.06 LF 2 1/2" stud (3 x 4.021); alt C: +18.81 LF (12.06 + 3 x 2.25 furring)</t>
  </si>
  <si>
    <t xml:space="preserve">RFI-A40-22</t>
  </si>
  <si>
    <t xml:space="preserve">Gypsum board control joints: the text sweep of the 94 pages finds CONTROL JOINT only in civil paving (p.17), the stucco legend (A09.01 / A09.02 'CJ CONTROL JOINT; PAINT TO MATCH STUCCO FINISH COLOR'), 5/A09.31 DETAIL AT VERTICAL CONTROL JOINT (stucco, exterior), S2.10 slab note and the A00.00 abbreviation list; no interior gypsum control joint is specified while the details do label CORNER BEAD one by one (A08.21, A09.33, A12.01, A12.08). Gypsum control joints EXCLUDED; confirm whether ASTM C840 / GA-216 joints (max 30 ft runs of wall or ceiling) are required.</t>
  </si>
  <si>
    <t xml:space="preserve">+1 control joint (height of the face) per 30 ft of continuous gypsum run; + ceiling joints at 30 ft / 50 ft rule</t>
  </si>
  <si>
    <t xml:space="preserve">RFI-AW071-01</t>
  </si>
  <si>
    <t xml:space="preserve">C1 box AW-071 (PT0033, grid 4 / E, 3/A08.21 upper box) has 3 exposed faces; 3/A08.21 prints the FOS chain (7" + 5/8" + 4 3/8" = 1'-0") only for the E face. The N (1.533 ft) and S (0.405 ft) returns are measured in vector on A02.01 and carried as part_of records AW-071-N / AW-071-S (R72.3), so the Partition Takeoff C1 row shows AW-071 = 1.0 LF and the returns as OTHER FRAMING (pier_part). Confirm the N / S face lengths of the upper box (no printed dimension) and whether the C1 type LF should include the returns (PT7: all faces with board).</t>
  </si>
  <si>
    <t xml:space="preserve">C1 type LF +1.938 LF (1.533 + 0.405) if the returns count in the type (2.938 total for AW-071); material unchanged (studs 7 pcs x 14.383, track 2.938 LF, board 42.26 SF already carried)</t>
  </si>
  <si>
    <t xml:space="preserve">RFI-P8-01</t>
  </si>
  <si>
    <t xml:space="preserve">3/A09.26, 7/A09.26: confirm height of 5/8" glass-mat sheathing behind canopy at the wall line (drawn ~1'-3 3/4") vs fascia T/STUD 12'-7" - B/STUD 10'-7 1/4" (1'-11 3/4") carried per 59.2.</t>
  </si>
  <si>
    <t xml:space="preserve">182.619 LF x (1.312 - 1.979) = -121.8 SF glass mat / +121.8 SF nailbase (FRT plywood)</t>
  </si>
  <si>
    <t xml:space="preserve">RFI-P8-02</t>
  </si>
  <si>
    <t xml:space="preserve">15/A09.27 (drive-up canopy, W-T / S-T / W) draws the 5/8" layer behind the canopy but does not label it glass mat (only base glass mat is labeled on A09.27). Canon citation corrected (54.6); carried as glass mat per 3/A09.26 SIM.</t>
  </si>
  <si>
    <t xml:space="preserve">per 54.5 (only where labeled): -73.0 SF glass mat / +73.0 SF nailbase on 55.542 LF (W-T 29.0 + S-T 3.865 + W 22.677)</t>
  </si>
  <si>
    <t xml:space="preserve">RFI-P8-03</t>
  </si>
  <si>
    <t xml:space="preserve">Confirm whether canopy beams (S2.20 W12x19/W16x26 (CANOPY), HSS10x3 (CANOPY)) sit in the 6" stud plane (3/A09.26, 7/A09.26) - studs interrupted with track top/bottom - or outboard. Studs carried continuous slab to B.O.D. - d(HI) (E26 one beam per line).</t>
  </si>
  <si>
    <t xml:space="preserve">approx. -192 LF 6" stud / +313 LF track if studs stop under the canopy beam</t>
  </si>
  <si>
    <t xml:space="preserve">RFI-P8-04</t>
  </si>
  <si>
    <t xml:space="preserve">AW-047 (line A): S2.20 shows W18x35 from grid 3 to 6 and W14x22 from 6 to 8; the whole axis is carried under W14x22 (E26 one mark per line, more material).</t>
  </si>
  <si>
    <t xml:space="preserve">-9.0 LF 6" stud if split by beam (approx. 27 studs x (1.475 - 1.142))</t>
  </si>
  <si>
    <t xml:space="preserve">RFI-P8-05</t>
  </si>
  <si>
    <t xml:space="preserve">Internal (estimator): exterior inner face behind a partition T. The stub of AW-040 at x 1622.0-1631.3 (west partition of office 105) is counted in the board of the through face, as on every T of the canon (systemic criterion). 59.3 corner deducts applied only at owned L corners.</t>
  </si>
  <si>
    <t xml:space="preserve">-0.517 ft x H per T (AW-040: -7.94 SF 5/8" regular)</t>
  </si>
  <si>
    <t xml:space="preserve">RFI-P8-06</t>
  </si>
  <si>
    <t xml:space="preserve">A04.01 draws 2'x2' HVAC diffuser symbols in restrooms 113/114 while M01.01 draws TITUS TBDI-10 2'-0" slots (M00.03). Carried per M (air devices are M's discipline).</t>
  </si>
  <si>
    <t xml:space="preserve">+13.18 LF framed openings MEP if the 2'x2' devices govern</t>
  </si>
  <si>
    <t xml:space="preserve">RFI-P8-07</t>
  </si>
  <si>
    <t xml:space="preserve">CSR soffit 116: 10/A09.33 draws two FRTW members (3 1/2" and 5 1/2" x 1 1/2") while 9/A12.08 draws one 5/8" FRT plywood layer; carried as one element (12.021 LF).</t>
  </si>
  <si>
    <t xml:space="preserve">+12.02 LF FRT blocking if both FRTW members of 10/A09.33 are provided (plies 2)</t>
  </si>
  <si>
    <t xml:space="preserve">RFI-P8-08</t>
  </si>
  <si>
    <t xml:space="preserve">Canopy soffit CS-W north end: joists of CJ-W-N cover 33.389 ft N-S but the wall line behind is 29.0 ft; the ~4.39 ft strip in front of canopy N-T (x 1013) has no wall behind. Confirm whether an end track for the joists is required there.</t>
  </si>
  <si>
    <t xml:space="preserve">+4.4 LF track of ceilings / soffits</t>
  </si>
  <si>
    <t xml:space="preserve">RFI-P8-09</t>
  </si>
  <si>
    <t xml:space="preserve">CSR soffit side tracks SS-* to deck run N-S (perpendicular to the E-W flute): no purlin carried. 10/A09.33 is VIF (59.1).</t>
  </si>
  <si>
    <t xml:space="preserve">+0.75 x 24.042 = +18.03 LF purlin if the flute were parallel</t>
  </si>
  <si>
    <t xml:space="preserve">RFI-P8-10</t>
  </si>
  <si>
    <t xml:space="preserve">7/A09.33 transition: the horizontal bottom return (approx. 4") of the transition is not carried as board unless the 30'-0" of C3 runs to the outer face.</t>
  </si>
  <si>
    <t xml:space="preserve">+0.35 x 82.17 = +28.8 SF 5/8" regular (TR1 77.028 + TR2 5.144)</t>
  </si>
  <si>
    <t xml:space="preserve">RFI-P8-11</t>
  </si>
  <si>
    <t xml:space="preserve">11/A09.27 window head draws two equal full-width layers of plywood under the box beam but labels '3/4" FRT PLYWOOD' (singular). Carried 1 ply.</t>
  </si>
  <si>
    <t xml:space="preserve">+24.0 SF 3/4" FRT plywood (6 x 8.0 x 0.5) if 2 plies</t>
  </si>
  <si>
    <t xml:space="preserve">RFI-P8-12</t>
  </si>
  <si>
    <t xml:space="preserve">2/A09.26 storefront head draws a second, partial (approx. 55% width) plywood layer under the head. Carried 1 ply.</t>
  </si>
  <si>
    <t xml:space="preserve">+12.5 SF 3/4" FRT plywood (partial layer); +22.7 SF at full width (45.3125 x 0.5)</t>
  </si>
  <si>
    <t xml:space="preserve">RFI-P8-13</t>
  </si>
  <si>
    <t xml:space="preserve">2/A09.26 (storefront heads) and 11/A09.27 (window heads) draw an unlabeled wood member (X) under the head plywood, between plywood and frame. Not in the canon (no blocking_items row). Confirm whether it is our FRT blocking or the glazing vendor's shim.</t>
  </si>
  <si>
    <t xml:space="preserve">+45.31 LF (storefront heads SC-N 26.25 + SC-NT 12.5625 + SC-WT 6.5) + 48.0 LF (6 windows x 8.0) = +93.31 LF FRT blocking if ours</t>
  </si>
  <si>
    <t xml:space="preserve">RFI-P8-14</t>
  </si>
  <si>
    <t xml:space="preserve">A03.01 key note 24 'TV MOUNT OVER 18" HIGH 3/4" FIRE TREATED PLYWOOD BLOCKING': the 85" monitor blocking is carried at 11" (13/A12.02 dashed). Confirm 18".</t>
  </si>
  <si>
    <t xml:space="preserve">3.687 x (1.5 - 0.917) = +2.15 SF 3/4" FRT plywood (LF unchanged)</t>
  </si>
  <si>
    <t xml:space="preserve">RFI-P8-15</t>
  </si>
  <si>
    <t xml:space="preserve">TA-13 (hand dryer with recess kit) and TA-14 (recessed waste) x 2 restrooms: carried as recessed framing (RFI-A40-11), no blocking. Confirm whether A08.01 note E FRT blocking applies to them.</t>
  </si>
  <si>
    <t xml:space="preserve">+4 x 2.0 = +8.0 LF FRT blocking</t>
  </si>
  <si>
    <t xml:space="preserve">RFI-P8-16</t>
  </si>
  <si>
    <t xml:space="preserve">A12.04 / A12.06 sections say 'PROVIDE ADDITIONAL PRESSURE TREATED BLOCKING IN PARTITION' (MW05 / MW06) while note D says FRTW. Carried FRT.</t>
  </si>
  <si>
    <t xml:space="preserve">0 LF (material only: pressure treated vs FRT)</t>
  </si>
  <si>
    <t xml:space="preserve">RFI-P8-17</t>
  </si>
  <si>
    <t xml:space="preserve">Coat hooks (equipment 3): A00.40 '2 BARS AND 6 HOOKS IN TOTAL' and A11.02 draws 2 bars of 1'-6" in break room 118; one item of 2.0 LF carried.</t>
  </si>
  <si>
    <t xml:space="preserve">+2.0 LF metal stud blocking if 2 bars</t>
  </si>
  <si>
    <t xml:space="preserve">RFI-P8-18</t>
  </si>
  <si>
    <t xml:space="preserve">Vestibule glass terminations: only one 8/A12.10 cut is called (VH-1 right end). VH-2 and the left end of VH-1 also end against walls. Confirm whether the same FRT blocking applies.</t>
  </si>
  <si>
    <t xml:space="preserve">+20.0 LF FRT blocking (2 x 10.0)</t>
  </si>
  <si>
    <t xml:space="preserve">RFI-P8-19</t>
  </si>
  <si>
    <t xml:space="preserve">Partition G/G1 (5/A12.01, 8-10/A12.01): 'SOUNDGUARD ISOLATOR BY MARINOWARE' spacing (horizontal and vertical) not printed. Provide spacing / product data. Accessory outside the families: carried in Clarifications.</t>
  </si>
  <si>
    <t xml:space="preserve">pcs = rows x ROUNDUP(145.9 LF / spacing); e.g. 4'-0" O.C., 1 row = 37 pcs; 2 rows = 74 pcs</t>
  </si>
  <si>
    <t xml:space="preserve">RFI-P8-20</t>
  </si>
  <si>
    <t xml:space="preserve">8/S5.20 MECH. CHASE FRAMING IN WALL: toe-to-toe stud posts each side of vertical pipe chases in stud walls (1'-10" max). Number/locations of vertical chases (vents, storm drains in exterior walls, P01.01/P03.01) not identified on architectural plans - confirm count.</t>
  </si>
  <si>
    <t xml:space="preserve">+2 studs x wall height per chase (e.g. 6" EXT 14.358 ft: +28.7 LF per chase; 3-5/8" interior approx. 15 ft: +30 LF per chase)</t>
  </si>
  <si>
    <t xml:space="preserve">RFI-P8-21</t>
  </si>
  <si>
    <t xml:space="preserve">Sheets A08.12 (referenced by A00.60 key note 13, drive-up ATM) and A00.31 (finish schedule, referenced by A03.01 note D and A05.01 notes A/B) are not in the bid set. Please issue them. Drive-up ATM framing/blocking and finish extents (Level 5, FRP, wallcovering prep, MR board) are carried per sheets received (A03.01, A08.11, A05.01) and are subject to revision.</t>
  </si>
  <si>
    <t xml:space="preserve">unknown until sheets are issued (qualification in Clarifications)</t>
  </si>
  <si>
    <t xml:space="preserve">RFI-P8-22</t>
  </si>
  <si>
    <t xml:space="preserve">S5.30 braced frames (HSS diagonals, elevations on grids B, G, A, 8 and 3) fall on wall lines; studs are carried full height and continuous (conservative). Confirm stud interruptions / cut studs and any additional framing around the diagonals.</t>
  </si>
  <si>
    <t xml:space="preserve">studs at the diagonals cut short: minus LF (not quantified, carried full height = more material); extra track at brace crossings: + LF to be confirmed</t>
  </si>
  <si>
    <t xml:space="preserve">RFI-P8-23</t>
  </si>
  <si>
    <t xml:space="preserve">TR1-N (17.028 ft) and TR2 (5.144 ft) ceiling transition top track to deck run E-W, parallel to the deck flute (S2.20 beams N-S); purlin carried per 10/A09.33 (59.1), same criterion as the 27 E-W walls. Flute direction VIF.</t>
  </si>
  <si>
    <t xml:space="preserve">-16.63 LF purlin (0.75 x (17.028 + 5.144)) if the flute were perpendicular</t>
  </si>
  <si>
    <t xml:space="preserve">RFI-P8-24</t>
  </si>
  <si>
    <t xml:space="preserve">Canopy linear fixtures UU1-UU6 (CORONET LSR-WET-2.5): framed opening width taken as the 2.5" catalog width; 4/A09.33 says COORD. W/ FIXTURE CUTSHEET. 5/A09.33 'FIXTURE LENGTH + 1/4"' is not modeled by framed_openings.py.</t>
  </si>
  <si>
    <t xml:space="preserve">ends 2 x 21 x 0.208 = 8.75 LF (PENDING the cutsheet width: +/-0.167 LF per inch per end x 42 ends); +0.875 LF for the +1/4" (2 x 21 x 0.0208)</t>
  </si>
  <si>
    <t xml:space="preserve">RFI-P8-25</t>
  </si>
  <si>
    <t xml:space="preserve">3/P00.01 platform water heater WH-1 (Janitor 112): 2X blocking width not printed (NTS) - 2'-0" per row assumed (3 rows: strap, platform bracket, brace foot); 2X lumber not labeled FRT - carried in FRT blocking; confirm FRT / plain 2X / metal.</t>
  </si>
  <si>
    <t xml:space="preserve">+6.0 LF of 2X wood blocking (3 rows x 2'-0", 3/P00.01 '2X BLOCKING BETWEEN STUDS (TYP)') NOT loaded: the tools have no non-FRT wood blocking line and the detail is not labeled FRT (54.3). If confirmed FRT: +6.0 LF FRT blocking; if metal per 58.6: +6.0 LF metal stud blocking.</t>
  </si>
  <si>
    <t xml:space="preserve">#</t>
  </si>
  <si>
    <t xml:space="preserve">Item</t>
  </si>
  <si>
    <t xml:space="preserve">Sheet + detail</t>
  </si>
  <si>
    <t xml:space="preserve">Image</t>
  </si>
  <si>
    <t xml:space="preserve">ER-01: A1 / A5 corner squares at both ends of AW-005 (T of the A1 calling-cubes south wall on the A5 lines x 1234.4-1245.2 and x 1519.4-1530.2). Reading A gives both squares to the A1 branch (AW-005 16.433 LF, A5 east 19.000 + A5 west 4.878); reading B gives them to the A5 through lines (BW-005 15.233 LF, A5 east 19.407 + A5 west 5.280). The drawn face lines run through on the vertical line but the A5 / A1 type change on that line falls in the same square (A1 AW-006 / AW-007 continue below), so the plan does not decide the owner. DELTA: A1 -1.200 LF / A5 +0.809 LF if B (carried: A)</t>
  </si>
  <si>
    <t xml:space="preserve">A02.01</t>
  </si>
  <si>
    <t xml:space="preserve">/home/user/boa24b/work/etapas/3_revision/img_resolucion/DIF_05_A1_AW-005_vs_BW-005.png</t>
  </si>
  <si>
    <t xml:space="preserve">ER-02: A1 / A5 corner square x 1223.9-1234.8 / vert 1229.0-1236.4 (A1 door-111 wall AW-004 against the A5 corridor wall AW-017). Reading A: AW-017 owns (AW-004 5.000 LF = printed 5'-0" corridor width, AW-017 to vert 1236.4); reading B: AW-004 owns (5.583 LF to the east face of the A5 wall). The printed 5'-0" is the corridor clear width above the wall, not the wall length. DELTA: A1 +0.583 LF / A5 -0.411 LF if B (carried: A)</t>
  </si>
  <si>
    <t xml:space="preserve">/home/user/boa24b/work/etapas/3_revision/img_resolucion/DIF_06_A1_AW-004_vs_BW-004.png</t>
  </si>
  <si>
    <t xml:space="preserve">ER-03: A5 / B2 square x 1622.2-1633.1 / vert 1488.1-1495.4 on the break-room east line, at the T of the work-room A1 wall AW-012 (type change A5 above / B2 below at the drawn node, R75.5). Reading A gives it to A5 (AW-021 to vert 1495.4, AW-032 11.000 LF); reading B to B2 (BW-029 11.407 LF from vert 1488.1). The B2 tag leader (PT0027) lands at the node; the node itself does not say which type owns the square. DELTA: A5 -0.406 LF / B2 +0.407 LF if B (carried: A; same 6" stud, same single layer)</t>
  </si>
  <si>
    <t xml:space="preserve">/home/user/boa24b/work/etapas/3_revision/img_resolucion/DIF_08_A5_AW-021_vs_BW-019.png</t>
  </si>
  <si>
    <t xml:space="preserve">ER-04: G / G1 square x 1121.2-1133.9 / vert 1227.1-1236.4 (OFFICE 6 south G wall against the G1 office-front pier; the G line continues east as the A1 wall AW-004 and the G1 line continues south as B2 AW-029: the junction is a cross). Reading A: G owns (AW-059 12.333 LF to the east face of G1, AW-067 2.667 LF); reading B: G1 owns (BW-060 11.625 LF = printed 11'-7 1/2" room width, BW-066 3.180 LF). The printed 11'-7 1/2" is the OFFICE 6 room dimension (face of finish), not the wall length. DELTA: G -0.708 LF (x 2 rows, x 2 layers per face) / G1 +0.516 LF if B (carried: A)</t>
  </si>
  <si>
    <t xml:space="preserve">/home/user/boa24b/work/etapas/3_revision/img_resolucion/DIF_16_G_AW-059_vs_BW-060.png</t>
  </si>
  <si>
    <t xml:space="preserve">Tool / method proposal #5: see the folder of proposals (file index), file A10...</t>
  </si>
  <si>
    <t xml:space="preserve">Tool / method proposal #6: see the folder of proposals (file index), file A15...</t>
  </si>
  <si>
    <t xml:space="preserve">Tool / method proposal #7: see the folder of proposals (file index), file A20...</t>
  </si>
  <si>
    <t xml:space="preserve">Tool / method proposal #8: see the folder of proposals (file index), file A40...</t>
  </si>
  <si>
    <t xml:space="preserve">Tool / method proposal #9: see the folder of proposals (file index), file ORQ...</t>
  </si>
  <si>
    <t xml:space="preserve">Tool / method proposal #10: see the folder of proposals (file index), file ORQ...</t>
  </si>
  <si>
    <t xml:space="preserve">Tool / method proposal #11: see the folder of proposals (file index), file ORQ...</t>
  </si>
  <si>
    <t xml:space="preserve">Tool / method proposal #12: see the folder of proposals (file index), file ORQ...</t>
  </si>
  <si>
    <t xml:space="preserve">Tool / method proposal #13: see the folder of proposals (file index), file P8_...</t>
  </si>
  <si>
    <t xml:space="preserve">Tool / method proposal #14: see the folder of proposals (file index), file S3_...</t>
  </si>
  <si>
    <t xml:space="preserve">Tool / method proposal #15: see the folder of proposals (file index), file Z_e...</t>
  </si>
  <si>
    <t xml:space="preserve">Scope ID</t>
  </si>
  <si>
    <t xml:space="preserve">Scope</t>
  </si>
  <si>
    <t xml:space="preserve">Note (quantity, NOT APPLICABLE + sheet, or RFI)</t>
  </si>
  <si>
    <t xml:space="preserve">ALC-01</t>
  </si>
  <si>
    <t xml:space="preserve">Interior partition framing (studs + tracks)</t>
  </si>
  <si>
    <t xml:space="preserve">QUANTIFIED</t>
  </si>
  <si>
    <t xml:space="preserve">familias_out.json '3-5/8" stud (all gauges)' = 6886.41 (canon.py from 4_canon/takeoff_canon.json). </t>
  </si>
  <si>
    <t xml:space="preserve">ALC-02</t>
  </si>
  <si>
    <t xml:space="preserve">Exterior wall framing (CFMF)</t>
  </si>
  <si>
    <t xml:space="preserve">familias_out.json '6" stud (all gauges)' = 4547.26 (canon.py from 4_canon/takeoff_canon.json). </t>
  </si>
  <si>
    <t xml:space="preserve">ALC-03</t>
  </si>
  <si>
    <t xml:space="preserve">Parapet framing</t>
  </si>
  <si>
    <t xml:space="preserve">familias_out.json '6" parapet stud' = 992.88 (canon.py from 4_canon/takeoff_canon.json). </t>
  </si>
  <si>
    <t xml:space="preserve">ALC-04</t>
  </si>
  <si>
    <t xml:space="preserve">Top / deflection and bottom track</t>
  </si>
  <si>
    <t xml:space="preserve">familias_out.json 'bottom track (all)' = 1344.96 (canon.py from 4_canon/takeoff_canon.json). </t>
  </si>
  <si>
    <t xml:space="preserve">ALC-05</t>
  </si>
  <si>
    <t xml:space="preserve">Headers, sills and jambs at openings</t>
  </si>
  <si>
    <t xml:space="preserve">familias_out.json 'header / box beam' = 792.07 (canon.py from 4_canon/takeoff_canon.json). </t>
  </si>
  <si>
    <t xml:space="preserve">ALC-06</t>
  </si>
  <si>
    <t xml:space="preserve">Bracing / bridging</t>
  </si>
  <si>
    <t xml:space="preserve">familias_out.json 'bracing C.R. channel' = 2495.87 (canon.py from 4_canon/takeoff_canon.json). </t>
  </si>
  <si>
    <t xml:space="preserve">ALC-07</t>
  </si>
  <si>
    <t xml:space="preserve">Gypsum board on walls (layers per type)</t>
  </si>
  <si>
    <t xml:space="preserve">familias_out.json '5/8" gyp board regular (walls + ceilings)' = 17021.84 (canon.py from 4_canon/takeoff_canon.json). </t>
  </si>
  <si>
    <t xml:space="preserve">ALC-08</t>
  </si>
  <si>
    <t xml:space="preserve">Moisture / abuse / special board at wet zones</t>
  </si>
  <si>
    <t xml:space="preserve">familias_out.json '5/8" gyp MOISTURE RESISTANT' = 258.89 (canon.py from 4_canon/takeoff_canon.json). </t>
  </si>
  <si>
    <t xml:space="preserve">ALC-09</t>
  </si>
  <si>
    <t xml:space="preserve">Exterior gypsum / glass mat sheathing</t>
  </si>
  <si>
    <t xml:space="preserve">familias_out.json '5/8" EXTERIOR gyp sheathing' = 935.49 (canon.py from 4_canon/takeoff_canon.json). </t>
  </si>
  <si>
    <t xml:space="preserve">ALC-10</t>
  </si>
  <si>
    <t xml:space="preserve">FRT plywood sheathing / substrate</t>
  </si>
  <si>
    <t xml:space="preserve">familias_out.json 'FRT plywood (SF)' = 6676.71 (canon.py from 4_canon/takeoff_canon.json). </t>
  </si>
  <si>
    <t xml:space="preserve">ALC-11</t>
  </si>
  <si>
    <t xml:space="preserve">Gypsum board ceilings</t>
  </si>
  <si>
    <t xml:space="preserve">familias_out.json '5/8" gyp board regular (walls + ceilings)' = 17021.84 (canon.py from 4_canon/takeoff_canon.json). ceilings C1-C5 GWB (A04.01) inside 5/8 regular family</t>
  </si>
  <si>
    <t xml:space="preserve">ALC-12</t>
  </si>
  <si>
    <t xml:space="preserve">Ceiling suspension (furring / carrying channel / hanger wire / ceiling track)</t>
  </si>
  <si>
    <t xml:space="preserve">familias_out.json 'furring channel' = 808.52 (canon.py from 4_canon/takeoff_canon.json). furring + carrying + hanger wire + ceiling track (A04.01; 7/A09.33)</t>
  </si>
  <si>
    <t xml:space="preserve">ALC-13</t>
  </si>
  <si>
    <t xml:space="preserve">Soffits and bulkheads (framing + board)</t>
  </si>
  <si>
    <t xml:space="preserve">familias_out.json 'ceiling / soffit track' = 1244.53 (canon.py from 4_canon/takeoff_canon.json). </t>
  </si>
  <si>
    <t xml:space="preserve">ALC-14</t>
  </si>
  <si>
    <t xml:space="preserve">Canopy / marquee framing and sheathing</t>
  </si>
  <si>
    <t xml:space="preserve">familias_out.json 'FRT plywood (SF)' = 6676.71 (canon.py from 4_canon/takeoff_canon.json). canopy soffits CJ-* canopy_joist + fascia FB-* (3/A09.26, 7/A09.26) - 5/8 ext FRT plywood</t>
  </si>
  <si>
    <t xml:space="preserve">ALC-15</t>
  </si>
  <si>
    <t xml:space="preserve">Column furring / wraps</t>
  </si>
  <si>
    <t xml:space="preserve">familias_out.json '3-5/8" stud (all gauges)' = 6886.41 (canon.py from 4_canon/takeoff_canon.json). column wraps CW-1..4 (5/A09.25) and C1 boxes AW-070/071, PIER-2/4 (1,2/A09.25)</t>
  </si>
  <si>
    <t xml:space="preserve">ALC-16</t>
  </si>
  <si>
    <t xml:space="preserve">Blocking (FRT wood / metal) for millwork and accessories</t>
  </si>
  <si>
    <t xml:space="preserve">familias_out.json 'FRT blocking' = 747.61 (canon.py from 4_canon/takeoff_canon.json). </t>
  </si>
  <si>
    <t xml:space="preserve">ALC-17</t>
  </si>
  <si>
    <t xml:space="preserve">Framed openings (MEP, access panels, diffusers)</t>
  </si>
  <si>
    <t xml:space="preserve">familias_out.json 'None' = 940.22 (canon.py from 4_canon/takeoff_canon.json). framed openings MEP 940.22 LF (framed_openings_out.json; E02.01 + M01.01)</t>
  </si>
  <si>
    <t xml:space="preserve">ALC-18</t>
  </si>
  <si>
    <t xml:space="preserve">Trim: corner bead, casing bead, control joints, reveals</t>
  </si>
  <si>
    <t xml:space="preserve">familias_out.json 'metal trim (corner bead, casing, shadow molding)' = 1064.41 (canon.py from 4_canon/takeoff_canon.json). </t>
  </si>
  <si>
    <t xml:space="preserve">ALC-19</t>
  </si>
  <si>
    <t xml:space="preserve">Acoustical sealant / sound attenuation</t>
  </si>
  <si>
    <t xml:space="preserve">familias_out.json 'acoustical sealant' = 1400.03 (canon.py from 4_canon/takeoff_canon.json). </t>
  </si>
  <si>
    <t xml:space="preserve">ALC-20</t>
  </si>
  <si>
    <t xml:space="preserve">FRP / cement board / tile backer</t>
  </si>
  <si>
    <t xml:space="preserve">familias_out.json 'FRP' = 329.75 (canon.py from 4_canon/takeoff_canon.json). </t>
  </si>
  <si>
    <t xml:space="preserve">ALC-21</t>
  </si>
  <si>
    <t xml:space="preserve">Shaft walls / area separation walls</t>
  </si>
  <si>
    <t xml:space="preserve">NOT APPLICABLE</t>
  </si>
  <si>
    <t xml:space="preserve">A12.01 partition schedule has no shaft wall / area separation type; text sweep of all 94 pages finds SHAFT only as drilled shaft piers (S2.10 / S3.20), never a shaft wall.</t>
  </si>
  <si>
    <t xml:space="preserve">ALC-22</t>
  </si>
  <si>
    <t xml:space="preserve">Rated assemblies (UL designs) and their board type</t>
  </si>
  <si>
    <t xml:space="preserve">A12.01 FIRE RATING column is '--' for every partition type; A12.02 'DO NOT PAINT OVER FIRE RATED STAMP' and A11.03 key note 6 refer to the 3/4 FIRE RATED plywood backboards in NER (quantified in FRT plywood); E04.02 / M00.01 / E00.01 are generic firestopping notes for penetrations (other trades).</t>
  </si>
  <si>
    <t xml:space="preserve">ALC-23</t>
  </si>
  <si>
    <t xml:space="preserve">Special panels (ballistic, lead-lined, abuse)</t>
  </si>
  <si>
    <t xml:space="preserve">familias_out.json 'ballistic panel' = 82.94 (canon.py from 4_canon/takeoff_canon.json). </t>
  </si>
  <si>
    <t xml:space="preserve">ALC-24</t>
  </si>
  <si>
    <t xml:space="preserve">Finish level (Level 4 / Level 5)</t>
  </si>
  <si>
    <t xml:space="preserve">familias_out.json 'Level 5 finish' = 712.88 (canon.py from 4_canon/takeoff_canon.json). </t>
  </si>
  <si>
    <t xml:space="preserve">ALC-X25</t>
  </si>
  <si>
    <t xml:space="preserve">batt insulation</t>
  </si>
  <si>
    <t xml:space="preserve">EXCLUDED (estimator criterion: no insulation)</t>
  </si>
  <si>
    <t xml:space="preserve">reglas.py compuerta OK</t>
  </si>
  <si>
    <t xml:space="preserve">{"canon": "2c3f37494f87e9fcd3a91e0d9bae304a897a441f3ad88f6138ced4a036f6166c", "evidencias": "f92dc50cb43fafba3fed9759e130541a9716689088f4ed5e23bea5ab539a593f", "familias_out": "0801e5a6c296b1d74641b3814e49c17cbf92281f5a7f6e4209a9abdbc467d7a3", "reglas": "28a2ca4a03e7a9b91a037023d0edd1e9d6699793a03b78fcb116fb62e917daa4", "version": "v73"}</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</si>
</sst>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b val="true"/>
      <sz val="11"/>
      <color rgb="FFFFFFFF"/>
      <name val="Cambria"/>
      <family val="0"/>
      <charset val="1"/>
    </font>
    <font>
      <b val="true"/>
      <sz val="11"/>
      <name val="Cambria"/>
      <family val="0"/>
      <charset val="1"/>
    </font>
  </fonts>
  <fills count="5">
    <fill>
      <patternFill patternType="none"/>
    </fill>
    <fill>
      <patternFill patternType="gray125"/>
    </fill>
    <fill>
      <patternFill patternType="solid">
        <fgColor rgb="FF1F4E78"/>
        <bgColor rgb="FF003366"/>
      </patternFill>
    </fill>
    <fill>
      <patternFill patternType="solid">
        <fgColor rgb="FFFFF2CC"/>
        <bgColor rgb="FFFFFFFF"/>
      </patternFill>
    </fill>
    <fill>
      <patternFill patternType="solid">
        <fgColor rgb="FFDD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22"/>
    <col collapsed="false" customWidth="true" hidden="false" outlineLevel="0" max="3" min="3" style="0" width="60"/>
  </cols>
  <sheetData>
    <row r="1" customFormat="false" ht="16.15" hidden="false" customHeight="false" outlineLevel="0" collapsed="false">
      <c r="A1" s="1" t="s">
        <v>0</v>
      </c>
    </row>
    <row r="2" customFormat="false" ht="15" hidden="false" customHeight="false" outlineLevel="0" collapsed="false">
      <c r="A2" s="0" t="s">
        <v>1</v>
      </c>
    </row>
    <row r="4" customFormat="false" ht="15" hidden="false" customHeight="false" outlineLevel="0" collapsed="false">
      <c r="A4" s="2" t="s">
        <v>2</v>
      </c>
      <c r="B4" s="2" t="s">
        <v>3</v>
      </c>
      <c r="C4" s="2" t="s">
        <v>4</v>
      </c>
    </row>
    <row r="5" customFormat="false" ht="15" hidden="false" customHeight="false" outlineLevel="0" collapsed="false">
      <c r="A5" s="0" t="s">
        <v>5</v>
      </c>
      <c r="B5" s="3" t="n">
        <v>0.15</v>
      </c>
      <c r="C5" s="4" t="s">
        <v>6</v>
      </c>
    </row>
    <row r="6" customFormat="false" ht="15" hidden="false" customHeight="false" outlineLevel="0" collapsed="false">
      <c r="A6" s="0" t="s">
        <v>7</v>
      </c>
      <c r="B6" s="3" t="n">
        <v>0.06</v>
      </c>
      <c r="C6" s="4" t="s">
        <v>8</v>
      </c>
    </row>
    <row r="7" customFormat="false" ht="15" hidden="false" customHeight="false" outlineLevel="0" collapsed="false">
      <c r="A7" s="0" t="s">
        <v>9</v>
      </c>
      <c r="B7" s="3" t="n">
        <v>4</v>
      </c>
      <c r="C7" s="4" t="s">
        <v>10</v>
      </c>
    </row>
    <row r="8" customFormat="false" ht="15" hidden="false" customHeight="false" outlineLevel="0" collapsed="false">
      <c r="A8" s="0" t="s">
        <v>11</v>
      </c>
      <c r="B8" s="3" t="n">
        <v>12</v>
      </c>
      <c r="C8" s="4" t="s">
        <v>12</v>
      </c>
    </row>
    <row r="9" customFormat="false" ht="15" hidden="false" customHeight="false" outlineLevel="0" collapsed="false">
      <c r="A9" s="0" t="s">
        <v>13</v>
      </c>
      <c r="B9" s="0" t="n">
        <f aca="false">B7*B8</f>
        <v>48</v>
      </c>
      <c r="C9" s="0" t="s">
        <v>14</v>
      </c>
    </row>
    <row r="10" customFormat="false" ht="15" hidden="false" customHeight="false" outlineLevel="0" collapsed="false">
      <c r="A10" s="0" t="s">
        <v>15</v>
      </c>
      <c r="B10" s="3" t="n">
        <v>20</v>
      </c>
      <c r="C10" s="4" t="s">
        <v>16</v>
      </c>
    </row>
    <row r="11" customFormat="false" ht="15" hidden="false" customHeight="false" outlineLevel="0" collapsed="false">
      <c r="A11" s="0" t="s">
        <v>17</v>
      </c>
      <c r="B11" s="3" t="n">
        <v>10</v>
      </c>
      <c r="C11" s="4" t="s">
        <v>18</v>
      </c>
    </row>
    <row r="12" customFormat="false" ht="15" hidden="false" customHeight="false" outlineLevel="0" collapsed="false">
      <c r="A12" s="0" t="s">
        <v>19</v>
      </c>
      <c r="B12" s="3" t="n">
        <v>18</v>
      </c>
      <c r="C12" s="4" t="s">
        <v>20</v>
      </c>
    </row>
    <row r="13" customFormat="false" ht="15" hidden="false" customHeight="false" outlineLevel="0" collapsed="false">
      <c r="A13" s="0" t="s">
        <v>21</v>
      </c>
      <c r="B13" s="0" t="s">
        <v>22</v>
      </c>
      <c r="C13" s="0" t="s">
        <v>20</v>
      </c>
    </row>
    <row r="14" customFormat="false" ht="15" hidden="false" customHeight="false" outlineLevel="0" collapsed="false">
      <c r="A14" s="0" t="s">
        <v>23</v>
      </c>
      <c r="B14" s="0" t="s">
        <v>22</v>
      </c>
      <c r="C14" s="0" t="s">
        <v>20</v>
      </c>
    </row>
    <row r="15" customFormat="false" ht="15" hidden="false" customHeight="false" outlineLevel="0" collapsed="false">
      <c r="A15" s="0" t="s">
        <v>24</v>
      </c>
      <c r="B15" s="3" t="n">
        <v>25</v>
      </c>
      <c r="C15" s="4" t="s">
        <v>25</v>
      </c>
    </row>
    <row r="16" customFormat="false" ht="15" hidden="false" customHeight="false" outlineLevel="0" collapsed="false">
      <c r="A16" s="0" t="s">
        <v>26</v>
      </c>
      <c r="B16" s="3" t="n">
        <v>16</v>
      </c>
      <c r="C16" s="4" t="s">
        <v>27</v>
      </c>
    </row>
    <row r="17" customFormat="false" ht="15" hidden="false" customHeight="false" outlineLevel="0" collapsed="false">
      <c r="A17" s="0" t="s">
        <v>28</v>
      </c>
      <c r="B17" s="3" t="n">
        <v>12</v>
      </c>
      <c r="C17" s="4" t="s">
        <v>29</v>
      </c>
    </row>
    <row r="18" customFormat="false" ht="15" hidden="false" customHeight="false" outlineLevel="0" collapsed="false">
      <c r="A18" s="0" t="s">
        <v>30</v>
      </c>
      <c r="B18" s="3" t="n">
        <v>10</v>
      </c>
      <c r="C18" s="4" t="s">
        <v>31</v>
      </c>
    </row>
    <row r="19" customFormat="false" ht="15" hidden="false" customHeight="false" outlineLevel="0" collapsed="false">
      <c r="A19" s="0" t="s">
        <v>32</v>
      </c>
      <c r="B19" s="3" t="s">
        <v>33</v>
      </c>
      <c r="C19" s="4" t="s">
        <v>34</v>
      </c>
    </row>
    <row r="20" customFormat="false" ht="15" hidden="false" customHeight="false" outlineLevel="0" collapsed="false">
      <c r="A20" s="0" t="s">
        <v>35</v>
      </c>
      <c r="B20" s="3" t="n">
        <v>1.2</v>
      </c>
      <c r="C20" s="4" t="s">
        <v>36</v>
      </c>
    </row>
    <row r="21" customFormat="false" ht="15" hidden="false" customHeight="false" outlineLevel="0" collapsed="false">
      <c r="A21" s="0" t="s">
        <v>37</v>
      </c>
      <c r="B21" s="3" t="n">
        <v>4</v>
      </c>
      <c r="C21" s="4" t="s">
        <v>38</v>
      </c>
    </row>
    <row r="22" customFormat="false" ht="15" hidden="false" customHeight="false" outlineLevel="0" collapsed="false">
      <c r="A22" s="0" t="s">
        <v>39</v>
      </c>
      <c r="B22" s="3" t="n">
        <v>1</v>
      </c>
      <c r="C22" s="4" t="s">
        <v>40</v>
      </c>
    </row>
    <row r="23" customFormat="false" ht="15" hidden="false" customHeight="false" outlineLevel="0" collapsed="false">
      <c r="A23" s="0" t="s">
        <v>41</v>
      </c>
      <c r="B23" s="3" t="n">
        <v>0.072</v>
      </c>
      <c r="C23" s="4" t="s">
        <v>42</v>
      </c>
    </row>
    <row r="24" customFormat="false" ht="15" hidden="false" customHeight="false" outlineLevel="0" collapsed="false">
      <c r="A24" s="0" t="s">
        <v>43</v>
      </c>
      <c r="B24" s="3" t="n">
        <v>0.37</v>
      </c>
      <c r="C24" s="4" t="s">
        <v>44</v>
      </c>
    </row>
    <row r="25" customFormat="false" ht="15" hidden="false" customHeight="false" outlineLevel="0" collapsed="false">
      <c r="A25" s="0" t="s">
        <v>45</v>
      </c>
      <c r="B25" s="3" t="n">
        <v>0.6667</v>
      </c>
      <c r="C25" s="4"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29"/>
    <col collapsed="false" customWidth="true" hidden="false" outlineLevel="0" max="3" min="3" style="0" width="14"/>
    <col collapsed="false" customWidth="true" hidden="false" outlineLevel="0" max="4" min="4" style="0" width="13"/>
    <col collapsed="false" customWidth="true" hidden="false" outlineLevel="0" max="5" min="5" style="0" width="10"/>
    <col collapsed="false" customWidth="true" hidden="false" outlineLevel="0" max="6" min="6" style="0" width="23"/>
    <col collapsed="false" customWidth="true" hidden="false" outlineLevel="0" max="7" min="7" style="0" width="16"/>
    <col collapsed="false" customWidth="true" hidden="false" outlineLevel="0" max="8" min="8" style="0" width="14"/>
    <col collapsed="false" customWidth="true" hidden="false" outlineLevel="0" max="9" min="9" style="0" width="60"/>
    <col collapsed="false" customWidth="true" hidden="false" outlineLevel="0" max="10" min="10" style="0" width="23"/>
    <col collapsed="false" customWidth="true" hidden="false" outlineLevel="0" max="11" min="11" style="0" width="11"/>
  </cols>
  <sheetData>
    <row r="1" customFormat="false" ht="16.15" hidden="false" customHeight="false" outlineLevel="0" collapsed="false">
      <c r="A1" s="1" t="s">
        <v>47</v>
      </c>
    </row>
    <row r="2" customFormat="false" ht="15" hidden="false" customHeight="false" outlineLevel="0" collapsed="false">
      <c r="A2" s="0" t="s">
        <v>48</v>
      </c>
    </row>
    <row r="4" customFormat="false" ht="15" hidden="false" customHeight="false" outlineLevel="0" collapsed="false">
      <c r="A4" s="2" t="s">
        <v>49</v>
      </c>
      <c r="B4" s="2" t="s">
        <v>50</v>
      </c>
      <c r="C4" s="2" t="s">
        <v>51</v>
      </c>
      <c r="D4" s="2" t="s">
        <v>52</v>
      </c>
      <c r="E4" s="2" t="s">
        <v>53</v>
      </c>
      <c r="F4" s="2" t="s">
        <v>54</v>
      </c>
      <c r="G4" s="2" t="s">
        <v>55</v>
      </c>
      <c r="H4" s="2" t="s">
        <v>56</v>
      </c>
      <c r="I4" s="2" t="s">
        <v>57</v>
      </c>
      <c r="J4" s="2" t="s">
        <v>58</v>
      </c>
      <c r="K4" s="2" t="s">
        <v>59</v>
      </c>
    </row>
    <row r="5" customFormat="false" ht="15" hidden="false" customHeight="false" outlineLevel="0" collapsed="false">
      <c r="A5" s="5" t="s">
        <v>60</v>
      </c>
    </row>
    <row r="6" customFormat="false" ht="15" hidden="false" customHeight="false" outlineLevel="0" collapsed="false">
      <c r="A6" s="0" t="s">
        <v>61</v>
      </c>
      <c r="B6" s="0" t="s">
        <v>62</v>
      </c>
      <c r="C6" s="0" t="n">
        <v>17.017</v>
      </c>
      <c r="D6" s="0" t="n">
        <v>15.375</v>
      </c>
      <c r="E6" s="0" t="n">
        <v>2</v>
      </c>
      <c r="F6" s="0" t="s">
        <v>63</v>
      </c>
      <c r="G6" s="0" t="n">
        <v>16</v>
      </c>
      <c r="H6" s="0" t="n">
        <v>357.28</v>
      </c>
      <c r="I6" s="0" t="s">
        <v>64</v>
      </c>
      <c r="J6" s="0" t="s">
        <v>65</v>
      </c>
      <c r="K6" s="0" t="s">
        <v>66</v>
      </c>
    </row>
    <row r="7" customFormat="false" ht="15" hidden="false" customHeight="false" outlineLevel="0" collapsed="false">
      <c r="A7" s="0" t="s">
        <v>67</v>
      </c>
      <c r="B7" s="0" t="s">
        <v>68</v>
      </c>
      <c r="C7" s="0" t="n">
        <v>3.533</v>
      </c>
      <c r="D7" s="0" t="n">
        <v>15.375</v>
      </c>
      <c r="E7" s="0" t="n">
        <v>2</v>
      </c>
      <c r="F7" s="0" t="s">
        <v>63</v>
      </c>
      <c r="G7" s="0" t="n">
        <v>16</v>
      </c>
      <c r="H7" s="0" t="n">
        <v>74.2</v>
      </c>
      <c r="I7" s="0" t="s">
        <v>69</v>
      </c>
      <c r="J7" s="0" t="s">
        <v>65</v>
      </c>
      <c r="K7" s="0" t="s">
        <v>66</v>
      </c>
    </row>
    <row r="8" customFormat="false" ht="15" hidden="false" customHeight="false" outlineLevel="0" collapsed="false">
      <c r="A8" s="0" t="s">
        <v>70</v>
      </c>
      <c r="B8" s="0" t="s">
        <v>71</v>
      </c>
      <c r="C8" s="0" t="n">
        <v>2.625</v>
      </c>
      <c r="D8" s="0" t="n">
        <v>15.375</v>
      </c>
      <c r="E8" s="0" t="n">
        <v>2</v>
      </c>
      <c r="F8" s="0" t="s">
        <v>63</v>
      </c>
      <c r="G8" s="0" t="n">
        <v>16</v>
      </c>
      <c r="H8" s="0" t="n">
        <v>55.12</v>
      </c>
      <c r="I8" s="0" t="s">
        <v>69</v>
      </c>
      <c r="J8" s="0" t="s">
        <v>65</v>
      </c>
      <c r="K8" s="0" t="s">
        <v>66</v>
      </c>
    </row>
    <row r="9" customFormat="false" ht="15" hidden="false" customHeight="false" outlineLevel="0" collapsed="false">
      <c r="A9" s="0" t="s">
        <v>72</v>
      </c>
      <c r="B9" s="0" t="s">
        <v>73</v>
      </c>
      <c r="C9" s="0" t="n">
        <v>5</v>
      </c>
      <c r="D9" s="0" t="n">
        <v>15.375</v>
      </c>
      <c r="E9" s="0" t="n">
        <v>2</v>
      </c>
      <c r="F9" s="0" t="s">
        <v>63</v>
      </c>
      <c r="G9" s="0" t="n">
        <v>16</v>
      </c>
      <c r="H9" s="0" t="n">
        <v>50.56</v>
      </c>
      <c r="I9" s="0" t="s">
        <v>74</v>
      </c>
      <c r="J9" s="0" t="s">
        <v>65</v>
      </c>
      <c r="K9" s="0" t="s">
        <v>66</v>
      </c>
    </row>
    <row r="10" customFormat="false" ht="15" hidden="false" customHeight="false" outlineLevel="0" collapsed="false">
      <c r="A10" s="0" t="s">
        <v>75</v>
      </c>
      <c r="B10" s="0" t="s">
        <v>76</v>
      </c>
      <c r="C10" s="0" t="n">
        <v>16.433</v>
      </c>
      <c r="D10" s="0" t="n">
        <v>12.969</v>
      </c>
      <c r="E10" s="0" t="n">
        <v>2</v>
      </c>
      <c r="F10" s="0" t="s">
        <v>63</v>
      </c>
      <c r="G10" s="0" t="n">
        <v>16</v>
      </c>
      <c r="H10" s="0" t="n">
        <v>295.8</v>
      </c>
      <c r="I10" s="0" t="s">
        <v>77</v>
      </c>
      <c r="J10" s="0" t="s">
        <v>65</v>
      </c>
      <c r="K10" s="0" t="s">
        <v>66</v>
      </c>
    </row>
    <row r="11" customFormat="false" ht="15" hidden="false" customHeight="false" outlineLevel="0" collapsed="false">
      <c r="A11" s="0" t="s">
        <v>78</v>
      </c>
      <c r="B11" s="0" t="s">
        <v>79</v>
      </c>
      <c r="C11" s="0" t="n">
        <v>20.517</v>
      </c>
      <c r="D11" s="0" t="n">
        <v>11.819</v>
      </c>
      <c r="E11" s="0" t="n">
        <v>2</v>
      </c>
      <c r="F11" s="0" t="s">
        <v>63</v>
      </c>
      <c r="G11" s="0" t="n">
        <v>16</v>
      </c>
      <c r="H11" s="0" t="n">
        <v>360.87</v>
      </c>
      <c r="I11" s="0" t="s">
        <v>80</v>
      </c>
      <c r="J11" s="0" t="s">
        <v>65</v>
      </c>
      <c r="K11" s="0" t="s">
        <v>66</v>
      </c>
    </row>
    <row r="12" customFormat="false" ht="15" hidden="false" customHeight="false" outlineLevel="0" collapsed="false">
      <c r="A12" s="0" t="s">
        <v>81</v>
      </c>
      <c r="B12" s="0" t="s">
        <v>82</v>
      </c>
      <c r="C12" s="0" t="n">
        <v>1.733</v>
      </c>
      <c r="D12" s="0" t="n">
        <v>11.819</v>
      </c>
      <c r="E12" s="0" t="n">
        <v>2</v>
      </c>
      <c r="F12" s="0" t="s">
        <v>63</v>
      </c>
      <c r="G12" s="0" t="n">
        <v>16</v>
      </c>
      <c r="H12" s="0" t="n">
        <v>32.06</v>
      </c>
      <c r="I12" s="0" t="s">
        <v>83</v>
      </c>
      <c r="J12" s="0" t="s">
        <v>65</v>
      </c>
      <c r="K12" s="0" t="s">
        <v>66</v>
      </c>
    </row>
    <row r="13" customFormat="false" ht="15" hidden="false" customHeight="false" outlineLevel="0" collapsed="false">
      <c r="A13" s="0" t="s">
        <v>84</v>
      </c>
      <c r="B13" s="0" t="s">
        <v>85</v>
      </c>
      <c r="C13" s="0" t="n">
        <v>5.517</v>
      </c>
      <c r="D13" s="0" t="n">
        <v>12.925</v>
      </c>
      <c r="E13" s="0" t="n">
        <v>2</v>
      </c>
      <c r="F13" s="0" t="s">
        <v>63</v>
      </c>
      <c r="G13" s="0" t="n">
        <v>16</v>
      </c>
      <c r="H13" s="0" t="n">
        <v>47.62</v>
      </c>
      <c r="I13" s="0" t="s">
        <v>86</v>
      </c>
      <c r="J13" s="0" t="s">
        <v>65</v>
      </c>
      <c r="K13" s="0" t="s">
        <v>66</v>
      </c>
    </row>
    <row r="14" customFormat="false" ht="15" hidden="false" customHeight="false" outlineLevel="0" collapsed="false">
      <c r="A14" s="0" t="s">
        <v>87</v>
      </c>
      <c r="B14" s="0" t="s">
        <v>88</v>
      </c>
      <c r="C14" s="0" t="n">
        <v>11.667</v>
      </c>
      <c r="D14" s="0" t="n">
        <v>12.772</v>
      </c>
      <c r="E14" s="0" t="n">
        <v>2</v>
      </c>
      <c r="F14" s="0" t="s">
        <v>63</v>
      </c>
      <c r="G14" s="0" t="n">
        <v>16</v>
      </c>
      <c r="H14" s="0" t="n">
        <v>168.06</v>
      </c>
      <c r="I14" s="0" t="s">
        <v>89</v>
      </c>
      <c r="J14" s="0" t="s">
        <v>65</v>
      </c>
      <c r="K14" s="0" t="s">
        <v>66</v>
      </c>
    </row>
    <row r="15" customFormat="false" ht="15" hidden="false" customHeight="false" outlineLevel="0" collapsed="false">
      <c r="A15" s="5" t="s">
        <v>90</v>
      </c>
    </row>
    <row r="16" customFormat="false" ht="15" hidden="false" customHeight="false" outlineLevel="0" collapsed="false">
      <c r="A16" s="0" t="s">
        <v>91</v>
      </c>
      <c r="B16" s="0" t="s">
        <v>92</v>
      </c>
      <c r="C16" s="0" t="n">
        <v>3.411</v>
      </c>
      <c r="D16" s="0" t="n">
        <v>15.375</v>
      </c>
      <c r="E16" s="0" t="n">
        <v>2</v>
      </c>
      <c r="F16" s="0" t="s">
        <v>63</v>
      </c>
      <c r="G16" s="0" t="n">
        <v>24</v>
      </c>
      <c r="H16" s="0" t="n">
        <v>104.88</v>
      </c>
      <c r="I16" s="0" t="s">
        <v>93</v>
      </c>
      <c r="J16" s="0" t="s">
        <v>94</v>
      </c>
      <c r="K16" s="0" t="s">
        <v>66</v>
      </c>
    </row>
    <row r="17" customFormat="false" ht="15" hidden="false" customHeight="false" outlineLevel="0" collapsed="false">
      <c r="A17" s="0" t="s">
        <v>95</v>
      </c>
      <c r="B17" s="0" t="s">
        <v>96</v>
      </c>
      <c r="C17" s="0" t="n">
        <v>3.411</v>
      </c>
      <c r="D17" s="0" t="n">
        <v>12.937</v>
      </c>
      <c r="E17" s="0" t="n">
        <v>2</v>
      </c>
      <c r="F17" s="0" t="s">
        <v>63</v>
      </c>
      <c r="G17" s="0" t="n">
        <v>24</v>
      </c>
      <c r="H17" s="0" t="n">
        <v>88.26</v>
      </c>
      <c r="I17" s="0" t="s">
        <v>97</v>
      </c>
      <c r="J17" s="0" t="s">
        <v>94</v>
      </c>
      <c r="K17" s="0" t="s">
        <v>66</v>
      </c>
    </row>
    <row r="18" customFormat="false" ht="15" hidden="false" customHeight="false" outlineLevel="0" collapsed="false">
      <c r="A18" s="0" t="s">
        <v>98</v>
      </c>
      <c r="B18" s="0" t="s">
        <v>99</v>
      </c>
      <c r="C18" s="0" t="n">
        <v>1.767</v>
      </c>
      <c r="D18" s="0" t="n">
        <v>12.925</v>
      </c>
      <c r="E18" s="0" t="n">
        <v>2</v>
      </c>
      <c r="F18" s="0" t="s">
        <v>63</v>
      </c>
      <c r="G18" s="0" t="n">
        <v>24</v>
      </c>
      <c r="H18" s="0" t="n">
        <v>45.68</v>
      </c>
      <c r="I18" s="0" t="s">
        <v>100</v>
      </c>
      <c r="J18" s="0" t="s">
        <v>94</v>
      </c>
      <c r="K18" s="0" t="s">
        <v>66</v>
      </c>
    </row>
    <row r="19" customFormat="false" ht="15" hidden="false" customHeight="false" outlineLevel="0" collapsed="false">
      <c r="A19" s="5" t="s">
        <v>101</v>
      </c>
    </row>
    <row r="20" customFormat="false" ht="15" hidden="false" customHeight="false" outlineLevel="0" collapsed="false">
      <c r="A20" s="0" t="s">
        <v>102</v>
      </c>
      <c r="B20" s="0" t="s">
        <v>103</v>
      </c>
      <c r="C20" s="0" t="n">
        <v>19</v>
      </c>
      <c r="D20" s="0" t="n">
        <v>13.735</v>
      </c>
      <c r="E20" s="0" t="n">
        <v>2</v>
      </c>
      <c r="F20" s="0" t="s">
        <v>104</v>
      </c>
      <c r="G20" s="0" t="n">
        <v>16</v>
      </c>
      <c r="H20" s="0" t="n">
        <v>370.89</v>
      </c>
      <c r="I20" s="0" t="s">
        <v>105</v>
      </c>
      <c r="J20" s="0" t="s">
        <v>65</v>
      </c>
      <c r="K20" s="0" t="s">
        <v>66</v>
      </c>
    </row>
    <row r="21" customFormat="false" ht="15" hidden="false" customHeight="false" outlineLevel="0" collapsed="false">
      <c r="A21" s="0" t="s">
        <v>106</v>
      </c>
      <c r="B21" s="0" t="s">
        <v>107</v>
      </c>
      <c r="C21" s="0" t="n">
        <v>11</v>
      </c>
      <c r="D21" s="0" t="n">
        <v>15.375</v>
      </c>
      <c r="E21" s="0" t="n">
        <v>2</v>
      </c>
      <c r="F21" s="0" t="s">
        <v>104</v>
      </c>
      <c r="G21" s="0" t="n">
        <v>16</v>
      </c>
      <c r="H21" s="0" t="n">
        <v>231</v>
      </c>
      <c r="I21" s="0" t="s">
        <v>69</v>
      </c>
      <c r="J21" s="0" t="s">
        <v>65</v>
      </c>
      <c r="K21" s="0" t="s">
        <v>66</v>
      </c>
    </row>
    <row r="22" customFormat="false" ht="15" hidden="false" customHeight="false" outlineLevel="0" collapsed="false">
      <c r="A22" s="0" t="s">
        <v>108</v>
      </c>
      <c r="B22" s="0" t="s">
        <v>109</v>
      </c>
      <c r="C22" s="0" t="n">
        <v>4.878</v>
      </c>
      <c r="D22" s="0" t="n">
        <v>12.518</v>
      </c>
      <c r="E22" s="0" t="n">
        <v>2</v>
      </c>
      <c r="F22" s="0" t="s">
        <v>104</v>
      </c>
      <c r="G22" s="0" t="n">
        <v>16</v>
      </c>
      <c r="H22" s="0" t="n">
        <v>40.02</v>
      </c>
      <c r="I22" s="0" t="s">
        <v>110</v>
      </c>
      <c r="J22" s="0" t="s">
        <v>65</v>
      </c>
      <c r="K22" s="0" t="s">
        <v>66</v>
      </c>
    </row>
    <row r="23" customFormat="false" ht="15" hidden="false" customHeight="false" outlineLevel="0" collapsed="false">
      <c r="A23" s="0" t="s">
        <v>111</v>
      </c>
      <c r="B23" s="0" t="s">
        <v>112</v>
      </c>
      <c r="C23" s="0" t="n">
        <v>7.35</v>
      </c>
      <c r="D23" s="0" t="n">
        <v>11.783</v>
      </c>
      <c r="E23" s="0" t="n">
        <v>2</v>
      </c>
      <c r="F23" s="0" t="s">
        <v>104</v>
      </c>
      <c r="G23" s="0" t="n">
        <v>16</v>
      </c>
      <c r="H23" s="0" t="n">
        <v>88.2</v>
      </c>
      <c r="I23" s="0" t="s">
        <v>113</v>
      </c>
      <c r="J23" s="0" t="s">
        <v>65</v>
      </c>
      <c r="K23" s="0" t="s">
        <v>66</v>
      </c>
    </row>
    <row r="24" customFormat="false" ht="15" hidden="false" customHeight="false" outlineLevel="0" collapsed="false">
      <c r="A24" s="5" t="s">
        <v>114</v>
      </c>
    </row>
    <row r="25" customFormat="false" ht="15" hidden="false" customHeight="false" outlineLevel="0" collapsed="false">
      <c r="A25" s="0" t="s">
        <v>115</v>
      </c>
      <c r="B25" s="0" t="s">
        <v>116</v>
      </c>
      <c r="C25" s="0" t="n">
        <v>9.983</v>
      </c>
      <c r="D25" s="0" t="n">
        <v>12.829</v>
      </c>
      <c r="E25" s="0" t="n">
        <v>2</v>
      </c>
      <c r="F25" s="0" t="s">
        <v>63</v>
      </c>
      <c r="G25" s="0" t="n">
        <v>16</v>
      </c>
      <c r="H25" s="0" t="n">
        <v>256.14</v>
      </c>
      <c r="I25" s="0" t="s">
        <v>117</v>
      </c>
      <c r="J25" s="0" t="s">
        <v>118</v>
      </c>
      <c r="K25" s="0" t="s">
        <v>66</v>
      </c>
    </row>
    <row r="26" customFormat="false" ht="15" hidden="false" customHeight="false" outlineLevel="0" collapsed="false">
      <c r="A26" s="0" t="s">
        <v>119</v>
      </c>
      <c r="B26" s="0" t="s">
        <v>120</v>
      </c>
      <c r="C26" s="0" t="n">
        <v>13.739</v>
      </c>
      <c r="D26" s="0" t="n">
        <v>12.821</v>
      </c>
      <c r="E26" s="0" t="n">
        <v>2</v>
      </c>
      <c r="F26" s="0" t="s">
        <v>63</v>
      </c>
      <c r="G26" s="0" t="n">
        <v>16</v>
      </c>
      <c r="H26" s="0" t="n">
        <v>256.74</v>
      </c>
      <c r="I26" s="0" t="s">
        <v>121</v>
      </c>
      <c r="J26" s="0" t="s">
        <v>118</v>
      </c>
      <c r="K26" s="0" t="s">
        <v>66</v>
      </c>
    </row>
    <row r="27" customFormat="false" ht="15" hidden="false" customHeight="false" outlineLevel="0" collapsed="false">
      <c r="A27" s="0" t="s">
        <v>122</v>
      </c>
      <c r="B27" s="0" t="s">
        <v>123</v>
      </c>
      <c r="C27" s="0" t="n">
        <v>11.733</v>
      </c>
      <c r="D27" s="0" t="n">
        <v>12.749</v>
      </c>
      <c r="E27" s="0" t="n">
        <v>2</v>
      </c>
      <c r="F27" s="0" t="s">
        <v>63</v>
      </c>
      <c r="G27" s="0" t="n">
        <v>16</v>
      </c>
      <c r="H27" s="0" t="n">
        <v>251.4</v>
      </c>
      <c r="I27" s="0" t="s">
        <v>124</v>
      </c>
      <c r="J27" s="0" t="s">
        <v>118</v>
      </c>
      <c r="K27" s="0" t="s">
        <v>66</v>
      </c>
    </row>
    <row r="28" customFormat="false" ht="15" hidden="false" customHeight="false" outlineLevel="0" collapsed="false">
      <c r="A28" s="0" t="s">
        <v>125</v>
      </c>
      <c r="B28" s="0" t="s">
        <v>126</v>
      </c>
      <c r="C28" s="0" t="n">
        <v>3.5</v>
      </c>
      <c r="D28" s="0" t="n">
        <v>12.741</v>
      </c>
      <c r="E28" s="0" t="n">
        <v>2</v>
      </c>
      <c r="F28" s="0" t="s">
        <v>63</v>
      </c>
      <c r="G28" s="0" t="n">
        <v>16</v>
      </c>
      <c r="H28" s="0" t="n">
        <v>89.18</v>
      </c>
      <c r="I28" s="0" t="s">
        <v>127</v>
      </c>
      <c r="J28" s="0" t="s">
        <v>118</v>
      </c>
      <c r="K28" s="0" t="s">
        <v>66</v>
      </c>
    </row>
    <row r="29" customFormat="false" ht="15" hidden="false" customHeight="false" outlineLevel="0" collapsed="false">
      <c r="A29" s="0" t="s">
        <v>128</v>
      </c>
      <c r="B29" s="0" t="s">
        <v>129</v>
      </c>
      <c r="C29" s="0" t="n">
        <v>9.578</v>
      </c>
      <c r="D29" s="0" t="n">
        <v>12.7</v>
      </c>
      <c r="E29" s="0" t="n">
        <v>2</v>
      </c>
      <c r="F29" s="0" t="s">
        <v>63</v>
      </c>
      <c r="G29" s="0" t="n">
        <v>16</v>
      </c>
      <c r="H29" s="0" t="n">
        <v>243.28</v>
      </c>
      <c r="I29" s="0" t="s">
        <v>130</v>
      </c>
      <c r="J29" s="0" t="s">
        <v>118</v>
      </c>
      <c r="K29" s="0" t="s">
        <v>66</v>
      </c>
    </row>
    <row r="30" customFormat="false" ht="15" hidden="false" customHeight="false" outlineLevel="0" collapsed="false">
      <c r="A30" s="0" t="s">
        <v>131</v>
      </c>
      <c r="B30" s="0" t="s">
        <v>132</v>
      </c>
      <c r="C30" s="0" t="n">
        <v>11.733</v>
      </c>
      <c r="D30" s="0" t="n">
        <v>12.668</v>
      </c>
      <c r="E30" s="0" t="n">
        <v>2</v>
      </c>
      <c r="F30" s="0" t="s">
        <v>63</v>
      </c>
      <c r="G30" s="0" t="n">
        <v>16</v>
      </c>
      <c r="H30" s="0" t="n">
        <v>297.26</v>
      </c>
      <c r="I30" s="0" t="s">
        <v>133</v>
      </c>
      <c r="J30" s="0" t="s">
        <v>118</v>
      </c>
      <c r="K30" s="0" t="s">
        <v>66</v>
      </c>
    </row>
    <row r="31" customFormat="false" ht="15" hidden="false" customHeight="false" outlineLevel="0" collapsed="false">
      <c r="A31" s="5" t="s">
        <v>134</v>
      </c>
    </row>
    <row r="32" customFormat="false" ht="15" hidden="false" customHeight="false" outlineLevel="0" collapsed="false">
      <c r="A32" s="0" t="s">
        <v>135</v>
      </c>
      <c r="B32" s="0" t="s">
        <v>136</v>
      </c>
      <c r="C32" s="0" t="n">
        <v>5.661</v>
      </c>
      <c r="D32" s="0" t="n">
        <v>15.375</v>
      </c>
      <c r="E32" s="0" t="n">
        <v>2</v>
      </c>
      <c r="F32" s="0" t="s">
        <v>104</v>
      </c>
      <c r="G32" s="0" t="n">
        <v>16</v>
      </c>
      <c r="H32" s="0" t="n">
        <v>111.46</v>
      </c>
      <c r="I32" s="0" t="s">
        <v>137</v>
      </c>
      <c r="J32" s="0" t="s">
        <v>118</v>
      </c>
      <c r="K32" s="0" t="s">
        <v>66</v>
      </c>
    </row>
    <row r="33" customFormat="false" ht="15" hidden="false" customHeight="false" outlineLevel="0" collapsed="false">
      <c r="A33" s="0" t="s">
        <v>138</v>
      </c>
      <c r="B33" s="0" t="s">
        <v>139</v>
      </c>
      <c r="C33" s="0" t="n">
        <v>5.533</v>
      </c>
      <c r="D33" s="0" t="n">
        <v>13.238</v>
      </c>
      <c r="E33" s="0" t="n">
        <v>2</v>
      </c>
      <c r="F33" s="0" t="s">
        <v>104</v>
      </c>
      <c r="G33" s="0" t="n">
        <v>16</v>
      </c>
      <c r="H33" s="0" t="n">
        <v>98.72</v>
      </c>
      <c r="I33" s="0" t="s">
        <v>140</v>
      </c>
      <c r="J33" s="0" t="s">
        <v>118</v>
      </c>
      <c r="K33" s="0" t="s">
        <v>66</v>
      </c>
    </row>
    <row r="34" customFormat="false" ht="15" hidden="false" customHeight="false" outlineLevel="0" collapsed="false">
      <c r="A34" s="0" t="s">
        <v>141</v>
      </c>
      <c r="B34" s="0" t="s">
        <v>142</v>
      </c>
      <c r="C34" s="0" t="n">
        <v>15.783</v>
      </c>
      <c r="D34" s="0" t="n">
        <v>12.863</v>
      </c>
      <c r="E34" s="0" t="n">
        <v>2</v>
      </c>
      <c r="F34" s="0" t="s">
        <v>104</v>
      </c>
      <c r="G34" s="0" t="n">
        <v>16</v>
      </c>
      <c r="H34" s="0" t="n">
        <v>262.7</v>
      </c>
      <c r="I34" s="0" t="s">
        <v>143</v>
      </c>
      <c r="J34" s="0" t="s">
        <v>118</v>
      </c>
      <c r="K34" s="0" t="s">
        <v>66</v>
      </c>
    </row>
    <row r="35" customFormat="false" ht="15" hidden="false" customHeight="false" outlineLevel="0" collapsed="false">
      <c r="A35" s="0" t="s">
        <v>144</v>
      </c>
      <c r="B35" s="0" t="s">
        <v>145</v>
      </c>
      <c r="C35" s="0" t="n">
        <v>11</v>
      </c>
      <c r="D35" s="0" t="n">
        <v>11.622</v>
      </c>
      <c r="E35" s="0" t="n">
        <v>2</v>
      </c>
      <c r="F35" s="0" t="s">
        <v>104</v>
      </c>
      <c r="G35" s="0" t="n">
        <v>16</v>
      </c>
      <c r="H35" s="0" t="n">
        <v>255.68</v>
      </c>
      <c r="I35" s="0" t="s">
        <v>146</v>
      </c>
      <c r="J35" s="0" t="s">
        <v>118</v>
      </c>
      <c r="K35" s="0" t="s">
        <v>66</v>
      </c>
    </row>
    <row r="36" customFormat="false" ht="15" hidden="false" customHeight="false" outlineLevel="0" collapsed="false">
      <c r="A36" s="5" t="s">
        <v>147</v>
      </c>
    </row>
    <row r="37" customFormat="false" ht="15" hidden="false" customHeight="false" outlineLevel="0" collapsed="false">
      <c r="A37" s="0" t="s">
        <v>148</v>
      </c>
      <c r="B37" s="0" t="s">
        <v>149</v>
      </c>
      <c r="C37" s="0" t="n">
        <v>1.778</v>
      </c>
      <c r="D37" s="0" t="n">
        <v>15.375</v>
      </c>
      <c r="E37" s="0" t="n">
        <v>2</v>
      </c>
      <c r="F37" s="0" t="s">
        <v>104</v>
      </c>
      <c r="G37" s="0" t="n">
        <v>24</v>
      </c>
      <c r="H37" s="0" t="n">
        <v>54.68</v>
      </c>
      <c r="I37" s="0" t="s">
        <v>150</v>
      </c>
      <c r="J37" s="0" t="s">
        <v>94</v>
      </c>
      <c r="K37" s="0" t="s">
        <v>66</v>
      </c>
    </row>
    <row r="38" customFormat="false" ht="15" hidden="false" customHeight="false" outlineLevel="0" collapsed="false">
      <c r="A38" s="5" t="s">
        <v>151</v>
      </c>
    </row>
    <row r="39" customFormat="false" ht="15" hidden="false" customHeight="false" outlineLevel="0" collapsed="false">
      <c r="A39" s="0" t="s">
        <v>152</v>
      </c>
      <c r="B39" s="0" t="s">
        <v>153</v>
      </c>
      <c r="C39" s="0" t="n">
        <v>10.628</v>
      </c>
      <c r="D39" s="0" t="n">
        <v>15.375</v>
      </c>
      <c r="E39" s="0" t="n">
        <v>1</v>
      </c>
      <c r="F39" s="0" t="s">
        <v>63</v>
      </c>
      <c r="G39" s="0" t="n">
        <v>16</v>
      </c>
      <c r="H39" s="0" t="n">
        <v>163.42</v>
      </c>
      <c r="I39" s="0" t="s">
        <v>154</v>
      </c>
      <c r="J39" s="0" t="s">
        <v>155</v>
      </c>
      <c r="K39" s="0" t="s">
        <v>66</v>
      </c>
    </row>
    <row r="40" customFormat="false" ht="15" hidden="false" customHeight="false" outlineLevel="0" collapsed="false">
      <c r="A40" s="0" t="s">
        <v>156</v>
      </c>
      <c r="B40" s="0" t="s">
        <v>157</v>
      </c>
      <c r="C40" s="0" t="n">
        <v>2.978</v>
      </c>
      <c r="D40" s="0" t="n">
        <v>12.923</v>
      </c>
      <c r="E40" s="0" t="n">
        <v>1</v>
      </c>
      <c r="F40" s="0" t="s">
        <v>63</v>
      </c>
      <c r="G40" s="0" t="n">
        <v>16</v>
      </c>
      <c r="H40" s="0" t="n">
        <v>38.48</v>
      </c>
      <c r="I40" s="0" t="s">
        <v>97</v>
      </c>
      <c r="J40" s="0" t="s">
        <v>155</v>
      </c>
      <c r="K40" s="0" t="s">
        <v>66</v>
      </c>
    </row>
    <row r="41" customFormat="false" ht="15" hidden="false" customHeight="false" outlineLevel="0" collapsed="false">
      <c r="A41" s="0" t="s">
        <v>158</v>
      </c>
      <c r="B41" s="0" t="s">
        <v>159</v>
      </c>
      <c r="C41" s="0" t="n">
        <v>10.028</v>
      </c>
      <c r="D41" s="0" t="n">
        <v>12.916</v>
      </c>
      <c r="E41" s="0" t="n">
        <v>1</v>
      </c>
      <c r="F41" s="0" t="s">
        <v>63</v>
      </c>
      <c r="G41" s="0" t="n">
        <v>16</v>
      </c>
      <c r="H41" s="0" t="n">
        <v>129.52</v>
      </c>
      <c r="I41" s="0" t="s">
        <v>160</v>
      </c>
      <c r="J41" s="0" t="s">
        <v>155</v>
      </c>
      <c r="K41" s="0" t="s">
        <v>66</v>
      </c>
    </row>
    <row r="42" customFormat="false" ht="15" hidden="false" customHeight="false" outlineLevel="0" collapsed="false">
      <c r="A42" s="0" t="s">
        <v>161</v>
      </c>
      <c r="B42" s="0" t="s">
        <v>162</v>
      </c>
      <c r="C42" s="0" t="n">
        <v>10.028</v>
      </c>
      <c r="D42" s="0" t="n">
        <v>12.901</v>
      </c>
      <c r="E42" s="0" t="n">
        <v>1</v>
      </c>
      <c r="F42" s="0" t="s">
        <v>63</v>
      </c>
      <c r="G42" s="0" t="n">
        <v>16</v>
      </c>
      <c r="H42" s="0" t="n">
        <v>129.37</v>
      </c>
      <c r="I42" s="0" t="s">
        <v>163</v>
      </c>
      <c r="J42" s="0" t="s">
        <v>155</v>
      </c>
      <c r="K42" s="0" t="s">
        <v>66</v>
      </c>
    </row>
    <row r="43" customFormat="false" ht="15" hidden="false" customHeight="false" outlineLevel="0" collapsed="false">
      <c r="A43" s="0" t="s">
        <v>164</v>
      </c>
      <c r="B43" s="0" t="s">
        <v>165</v>
      </c>
      <c r="C43" s="0" t="n">
        <v>4</v>
      </c>
      <c r="D43" s="0" t="n">
        <v>14.383</v>
      </c>
      <c r="E43" s="0" t="n">
        <v>1</v>
      </c>
      <c r="F43" s="0" t="s">
        <v>63</v>
      </c>
      <c r="G43" s="0" t="n">
        <v>16</v>
      </c>
      <c r="H43" s="0" t="n">
        <v>57.53</v>
      </c>
      <c r="I43" s="0" t="s">
        <v>166</v>
      </c>
      <c r="J43" s="0" t="s">
        <v>155</v>
      </c>
      <c r="K43" s="0" t="s">
        <v>66</v>
      </c>
    </row>
    <row r="44" customFormat="false" ht="15" hidden="false" customHeight="false" outlineLevel="0" collapsed="false">
      <c r="A44" s="0" t="s">
        <v>167</v>
      </c>
      <c r="B44" s="0" t="s">
        <v>168</v>
      </c>
      <c r="C44" s="0" t="n">
        <v>1</v>
      </c>
      <c r="D44" s="0" t="n">
        <v>14.383</v>
      </c>
      <c r="E44" s="0" t="n">
        <v>1</v>
      </c>
      <c r="F44" s="0" t="s">
        <v>63</v>
      </c>
      <c r="G44" s="0" t="n">
        <v>16</v>
      </c>
      <c r="H44" s="0" t="n">
        <v>14.38</v>
      </c>
      <c r="I44" s="0" t="s">
        <v>169</v>
      </c>
      <c r="J44" s="0" t="s">
        <v>155</v>
      </c>
      <c r="K44" s="0" t="s">
        <v>66</v>
      </c>
    </row>
    <row r="45" customFormat="false" ht="15" hidden="false" customHeight="false" outlineLevel="0" collapsed="false">
      <c r="A45" s="5" t="s">
        <v>170</v>
      </c>
    </row>
    <row r="46" customFormat="false" ht="15" hidden="false" customHeight="false" outlineLevel="0" collapsed="false">
      <c r="A46" s="0" t="s">
        <v>171</v>
      </c>
      <c r="B46" s="0" t="s">
        <v>172</v>
      </c>
      <c r="C46" s="0" t="n">
        <v>13.183</v>
      </c>
      <c r="D46" s="0" t="n">
        <v>14.358</v>
      </c>
      <c r="E46" s="0" t="n">
        <v>1</v>
      </c>
      <c r="F46" s="0" t="s">
        <v>104</v>
      </c>
      <c r="G46" s="0" t="n">
        <v>16</v>
      </c>
      <c r="H46" s="0" t="n">
        <v>194.32</v>
      </c>
      <c r="I46" s="0" t="s">
        <v>173</v>
      </c>
      <c r="J46" s="0" t="s">
        <v>174</v>
      </c>
      <c r="K46" s="0" t="s">
        <v>66</v>
      </c>
    </row>
    <row r="47" customFormat="false" ht="15" hidden="false" customHeight="false" outlineLevel="0" collapsed="false">
      <c r="A47" s="0" t="s">
        <v>175</v>
      </c>
      <c r="B47" s="0" t="s">
        <v>176</v>
      </c>
      <c r="C47" s="0" t="n">
        <v>75.889</v>
      </c>
      <c r="D47" s="0" t="n">
        <v>13.535</v>
      </c>
      <c r="E47" s="0" t="n">
        <v>1</v>
      </c>
      <c r="F47" s="0" t="s">
        <v>104</v>
      </c>
      <c r="G47" s="0" t="n">
        <v>16</v>
      </c>
      <c r="H47" s="0" t="n">
        <v>1033.13</v>
      </c>
      <c r="I47" s="0" t="s">
        <v>177</v>
      </c>
      <c r="J47" s="0" t="s">
        <v>178</v>
      </c>
      <c r="K47" s="0" t="s">
        <v>66</v>
      </c>
    </row>
    <row r="48" customFormat="false" ht="15" hidden="false" customHeight="false" outlineLevel="0" collapsed="false">
      <c r="A48" s="0" t="s">
        <v>179</v>
      </c>
      <c r="B48" s="0" t="s">
        <v>180</v>
      </c>
      <c r="C48" s="0" t="n">
        <v>21.461</v>
      </c>
      <c r="D48" s="0" t="n">
        <v>14.358</v>
      </c>
      <c r="E48" s="0" t="n">
        <v>1</v>
      </c>
      <c r="F48" s="0" t="s">
        <v>104</v>
      </c>
      <c r="G48" s="0" t="n">
        <v>16</v>
      </c>
      <c r="H48" s="0" t="n">
        <v>315.75</v>
      </c>
      <c r="I48" s="0" t="s">
        <v>181</v>
      </c>
      <c r="J48" s="0" t="s">
        <v>182</v>
      </c>
      <c r="K48" s="0" t="s">
        <v>66</v>
      </c>
    </row>
    <row r="49" customFormat="false" ht="15" hidden="false" customHeight="false" outlineLevel="0" collapsed="false">
      <c r="A49" s="0" t="s">
        <v>183</v>
      </c>
      <c r="B49" s="0" t="s">
        <v>184</v>
      </c>
      <c r="C49" s="0" t="n">
        <v>3.906</v>
      </c>
      <c r="D49" s="0" t="n">
        <v>14.358</v>
      </c>
      <c r="E49" s="0" t="n">
        <v>1</v>
      </c>
      <c r="F49" s="0" t="s">
        <v>104</v>
      </c>
      <c r="G49" s="0" t="n">
        <v>16</v>
      </c>
      <c r="H49" s="0" t="n">
        <v>60.05</v>
      </c>
      <c r="I49" s="0" t="s">
        <v>185</v>
      </c>
      <c r="J49" s="0" t="s">
        <v>186</v>
      </c>
      <c r="K49" s="0" t="s">
        <v>66</v>
      </c>
    </row>
    <row r="50" customFormat="false" ht="15" hidden="false" customHeight="false" outlineLevel="0" collapsed="false">
      <c r="A50" s="0" t="s">
        <v>187</v>
      </c>
      <c r="B50" s="0" t="s">
        <v>188</v>
      </c>
      <c r="C50" s="0" t="n">
        <v>47.372</v>
      </c>
      <c r="D50" s="0" t="n">
        <v>13.069</v>
      </c>
      <c r="E50" s="0" t="n">
        <v>1</v>
      </c>
      <c r="F50" s="0" t="s">
        <v>104</v>
      </c>
      <c r="G50" s="0" t="n">
        <v>16</v>
      </c>
      <c r="H50" s="0" t="n">
        <v>633.68</v>
      </c>
      <c r="I50" s="0" t="s">
        <v>189</v>
      </c>
      <c r="J50" s="0" t="s">
        <v>186</v>
      </c>
      <c r="K50" s="0" t="s">
        <v>66</v>
      </c>
    </row>
    <row r="51" customFormat="false" ht="15" hidden="false" customHeight="false" outlineLevel="0" collapsed="false">
      <c r="A51" s="0" t="s">
        <v>190</v>
      </c>
      <c r="B51" s="0" t="s">
        <v>191</v>
      </c>
      <c r="C51" s="0" t="n">
        <v>52.289</v>
      </c>
      <c r="D51" s="0" t="n">
        <v>11.389</v>
      </c>
      <c r="E51" s="0" t="n">
        <v>1</v>
      </c>
      <c r="F51" s="0" t="s">
        <v>104</v>
      </c>
      <c r="G51" s="0" t="n">
        <v>16</v>
      </c>
      <c r="H51" s="0" t="n">
        <v>621.05</v>
      </c>
      <c r="I51" s="0" t="s">
        <v>192</v>
      </c>
      <c r="J51" s="0" t="s">
        <v>193</v>
      </c>
      <c r="K51" s="0" t="s">
        <v>66</v>
      </c>
    </row>
    <row r="52" customFormat="false" ht="15" hidden="false" customHeight="false" outlineLevel="0" collapsed="false">
      <c r="A52" s="0" t="s">
        <v>194</v>
      </c>
      <c r="B52" s="0" t="s">
        <v>195</v>
      </c>
      <c r="C52" s="0" t="n">
        <v>6.75</v>
      </c>
      <c r="D52" s="0" t="n">
        <v>14.362</v>
      </c>
      <c r="E52" s="0" t="n">
        <v>0</v>
      </c>
      <c r="F52" s="0" t="s">
        <v>104</v>
      </c>
      <c r="G52" s="0" t="n">
        <v>16</v>
      </c>
      <c r="H52" s="0" t="n">
        <v>0</v>
      </c>
      <c r="I52" s="0" t="s">
        <v>195</v>
      </c>
      <c r="J52" s="0" t="s">
        <v>196</v>
      </c>
      <c r="K52" s="0" t="s">
        <v>66</v>
      </c>
    </row>
    <row r="53" customFormat="false" ht="15" hidden="false" customHeight="false" outlineLevel="0" collapsed="false">
      <c r="A53" s="0" t="s">
        <v>197</v>
      </c>
      <c r="B53" s="0" t="s">
        <v>198</v>
      </c>
      <c r="C53" s="0" t="n">
        <v>6.458</v>
      </c>
      <c r="D53" s="0" t="n">
        <v>14.362</v>
      </c>
      <c r="E53" s="0" t="n">
        <v>0</v>
      </c>
      <c r="F53" s="0" t="s">
        <v>104</v>
      </c>
      <c r="G53" s="0" t="n">
        <v>16</v>
      </c>
      <c r="H53" s="0" t="n">
        <v>0</v>
      </c>
      <c r="I53" s="0" t="s">
        <v>198</v>
      </c>
      <c r="J53" s="0" t="s">
        <v>199</v>
      </c>
      <c r="K53" s="0" t="s">
        <v>66</v>
      </c>
    </row>
    <row r="54" customFormat="false" ht="15" hidden="false" customHeight="false" outlineLevel="0" collapsed="false">
      <c r="A54" s="5" t="s">
        <v>200</v>
      </c>
    </row>
    <row r="55" customFormat="false" ht="15" hidden="false" customHeight="false" outlineLevel="0" collapsed="false">
      <c r="A55" s="0" t="s">
        <v>201</v>
      </c>
      <c r="B55" s="0" t="s">
        <v>202</v>
      </c>
      <c r="C55" s="0" t="n">
        <v>17.762</v>
      </c>
      <c r="D55" s="0" t="n">
        <v>15.375</v>
      </c>
      <c r="E55" s="0" t="n">
        <v>2</v>
      </c>
      <c r="F55" s="0" t="s">
        <v>63</v>
      </c>
      <c r="G55" s="0" t="n">
        <v>16</v>
      </c>
      <c r="H55" s="0" t="n">
        <v>325.38</v>
      </c>
      <c r="I55" s="0" t="s">
        <v>203</v>
      </c>
      <c r="J55" s="0" t="s">
        <v>204</v>
      </c>
      <c r="K55" s="0" t="s">
        <v>66</v>
      </c>
    </row>
    <row r="56" customFormat="false" ht="15" hidden="false" customHeight="false" outlineLevel="0" collapsed="false">
      <c r="A56" s="5" t="s">
        <v>205</v>
      </c>
    </row>
    <row r="57" customFormat="false" ht="15" hidden="false" customHeight="false" outlineLevel="0" collapsed="false">
      <c r="A57" s="0" t="s">
        <v>206</v>
      </c>
      <c r="B57" s="0" t="s">
        <v>207</v>
      </c>
      <c r="C57" s="0" t="n">
        <v>2.422</v>
      </c>
      <c r="D57" s="0" t="n">
        <v>14.383</v>
      </c>
      <c r="E57" s="0" t="n">
        <v>4</v>
      </c>
      <c r="F57" s="0" t="s">
        <v>208</v>
      </c>
      <c r="G57" s="0" t="n">
        <v>16</v>
      </c>
      <c r="H57" s="0" t="n">
        <v>139.34</v>
      </c>
      <c r="I57" s="0" t="s">
        <v>173</v>
      </c>
      <c r="J57" s="0" t="s">
        <v>209</v>
      </c>
      <c r="K57" s="0" t="s">
        <v>66</v>
      </c>
    </row>
    <row r="58" customFormat="false" ht="15" hidden="false" customHeight="false" outlineLevel="0" collapsed="false">
      <c r="A58" s="0" t="s">
        <v>210</v>
      </c>
      <c r="B58" s="0" t="s">
        <v>211</v>
      </c>
      <c r="C58" s="0" t="n">
        <v>3.467</v>
      </c>
      <c r="D58" s="0" t="n">
        <v>14.383</v>
      </c>
      <c r="E58" s="0" t="n">
        <v>4</v>
      </c>
      <c r="F58" s="0" t="s">
        <v>208</v>
      </c>
      <c r="G58" s="0" t="n">
        <v>16</v>
      </c>
      <c r="H58" s="0" t="n">
        <v>199.46</v>
      </c>
      <c r="I58" s="0" t="s">
        <v>212</v>
      </c>
      <c r="J58" s="0" t="s">
        <v>209</v>
      </c>
      <c r="K58" s="0" t="s">
        <v>66</v>
      </c>
    </row>
    <row r="59" customFormat="false" ht="15" hidden="false" customHeight="false" outlineLevel="0" collapsed="false">
      <c r="A59" s="0" t="s">
        <v>213</v>
      </c>
      <c r="B59" s="0" t="s">
        <v>214</v>
      </c>
      <c r="C59" s="0" t="n">
        <v>3.256</v>
      </c>
      <c r="D59" s="0" t="n">
        <v>14.225</v>
      </c>
      <c r="E59" s="0" t="n">
        <v>4</v>
      </c>
      <c r="F59" s="0" t="s">
        <v>208</v>
      </c>
      <c r="G59" s="0" t="n">
        <v>16</v>
      </c>
      <c r="H59" s="0" t="n">
        <v>185.27</v>
      </c>
      <c r="I59" s="0" t="s">
        <v>215</v>
      </c>
      <c r="J59" s="0" t="s">
        <v>209</v>
      </c>
      <c r="K59" s="0" t="s">
        <v>66</v>
      </c>
    </row>
    <row r="60" customFormat="false" ht="15" hidden="false" customHeight="false" outlineLevel="0" collapsed="false">
      <c r="A60" s="0" t="s">
        <v>216</v>
      </c>
      <c r="B60" s="0" t="s">
        <v>217</v>
      </c>
      <c r="C60" s="0" t="n">
        <v>11.767</v>
      </c>
      <c r="D60" s="0" t="n">
        <v>15.375</v>
      </c>
      <c r="E60" s="0" t="n">
        <v>4</v>
      </c>
      <c r="F60" s="0" t="s">
        <v>208</v>
      </c>
      <c r="G60" s="0" t="n">
        <v>16</v>
      </c>
      <c r="H60" s="0" t="n">
        <v>723.68</v>
      </c>
      <c r="I60" s="0" t="s">
        <v>218</v>
      </c>
      <c r="J60" s="0" t="s">
        <v>209</v>
      </c>
      <c r="K60" s="0" t="s">
        <v>66</v>
      </c>
    </row>
    <row r="61" customFormat="false" ht="15" hidden="false" customHeight="false" outlineLevel="0" collapsed="false">
      <c r="A61" s="0" t="s">
        <v>219</v>
      </c>
      <c r="B61" s="0" t="s">
        <v>220</v>
      </c>
      <c r="C61" s="0" t="n">
        <v>12.333</v>
      </c>
      <c r="D61" s="0" t="n">
        <v>15.375</v>
      </c>
      <c r="E61" s="0" t="n">
        <v>4</v>
      </c>
      <c r="F61" s="0" t="s">
        <v>208</v>
      </c>
      <c r="G61" s="0" t="n">
        <v>16</v>
      </c>
      <c r="H61" s="0" t="n">
        <v>758.48</v>
      </c>
      <c r="I61" s="0" t="s">
        <v>221</v>
      </c>
      <c r="J61" s="0" t="s">
        <v>209</v>
      </c>
      <c r="K61" s="0" t="s">
        <v>66</v>
      </c>
    </row>
    <row r="62" customFormat="false" ht="15" hidden="false" customHeight="false" outlineLevel="0" collapsed="false">
      <c r="A62" s="0" t="s">
        <v>222</v>
      </c>
      <c r="B62" s="0" t="s">
        <v>223</v>
      </c>
      <c r="C62" s="0" t="n">
        <v>3.25</v>
      </c>
      <c r="D62" s="0" t="n">
        <v>14.225</v>
      </c>
      <c r="E62" s="0" t="n">
        <v>4</v>
      </c>
      <c r="F62" s="0" t="s">
        <v>208</v>
      </c>
      <c r="G62" s="0" t="n">
        <v>16</v>
      </c>
      <c r="H62" s="0" t="n">
        <v>184.92</v>
      </c>
      <c r="I62" s="0" t="s">
        <v>224</v>
      </c>
      <c r="J62" s="0" t="s">
        <v>209</v>
      </c>
      <c r="K62" s="0" t="s">
        <v>66</v>
      </c>
    </row>
    <row r="63" customFormat="false" ht="15" hidden="false" customHeight="false" outlineLevel="0" collapsed="false">
      <c r="A63" s="0" t="s">
        <v>225</v>
      </c>
      <c r="B63" s="0" t="s">
        <v>226</v>
      </c>
      <c r="C63" s="0" t="n">
        <v>11.767</v>
      </c>
      <c r="D63" s="0" t="n">
        <v>15.375</v>
      </c>
      <c r="E63" s="0" t="n">
        <v>4</v>
      </c>
      <c r="F63" s="0" t="s">
        <v>208</v>
      </c>
      <c r="G63" s="0" t="n">
        <v>16</v>
      </c>
      <c r="H63" s="0" t="n">
        <v>723.68</v>
      </c>
      <c r="I63" s="0" t="s">
        <v>227</v>
      </c>
      <c r="J63" s="0" t="s">
        <v>209</v>
      </c>
      <c r="K63" s="0" t="s">
        <v>66</v>
      </c>
    </row>
    <row r="64" customFormat="false" ht="15" hidden="false" customHeight="false" outlineLevel="0" collapsed="false">
      <c r="A64" s="0" t="s">
        <v>228</v>
      </c>
      <c r="B64" s="0" t="s">
        <v>229</v>
      </c>
      <c r="C64" s="0" t="n">
        <v>11.628</v>
      </c>
      <c r="D64" s="0" t="n">
        <v>15.375</v>
      </c>
      <c r="E64" s="0" t="n">
        <v>4</v>
      </c>
      <c r="F64" s="0" t="s">
        <v>208</v>
      </c>
      <c r="G64" s="0" t="n">
        <v>16</v>
      </c>
      <c r="H64" s="0" t="n">
        <v>715.12</v>
      </c>
      <c r="I64" s="0" t="s">
        <v>230</v>
      </c>
      <c r="J64" s="0" t="s">
        <v>209</v>
      </c>
      <c r="K64" s="0" t="s">
        <v>66</v>
      </c>
    </row>
    <row r="65" customFormat="false" ht="15" hidden="false" customHeight="false" outlineLevel="0" collapsed="false">
      <c r="A65" s="0" t="s">
        <v>231</v>
      </c>
      <c r="B65" s="0" t="s">
        <v>232</v>
      </c>
      <c r="C65" s="0" t="n">
        <v>10.072</v>
      </c>
      <c r="D65" s="0" t="n">
        <v>15.375</v>
      </c>
      <c r="E65" s="0" t="n">
        <v>4</v>
      </c>
      <c r="F65" s="0" t="s">
        <v>208</v>
      </c>
      <c r="G65" s="0" t="n">
        <v>16</v>
      </c>
      <c r="H65" s="0" t="n">
        <v>619.42</v>
      </c>
      <c r="I65" s="0" t="s">
        <v>233</v>
      </c>
      <c r="J65" s="0" t="s">
        <v>209</v>
      </c>
      <c r="K65" s="0" t="s">
        <v>66</v>
      </c>
    </row>
    <row r="66" customFormat="false" ht="15" hidden="false" customHeight="false" outlineLevel="0" collapsed="false">
      <c r="A66" s="0" t="s">
        <v>234</v>
      </c>
      <c r="B66" s="0" t="s">
        <v>235</v>
      </c>
      <c r="C66" s="0" t="n">
        <v>12.333</v>
      </c>
      <c r="D66" s="0" t="n">
        <v>15.375</v>
      </c>
      <c r="E66" s="0" t="n">
        <v>4</v>
      </c>
      <c r="F66" s="0" t="s">
        <v>208</v>
      </c>
      <c r="G66" s="0" t="n">
        <v>16</v>
      </c>
      <c r="H66" s="0" t="n">
        <v>758.48</v>
      </c>
      <c r="I66" s="0" t="s">
        <v>236</v>
      </c>
      <c r="J66" s="0" t="s">
        <v>209</v>
      </c>
      <c r="K66" s="0" t="s">
        <v>66</v>
      </c>
    </row>
    <row r="67" customFormat="false" ht="15" hidden="false" customHeight="false" outlineLevel="0" collapsed="false">
      <c r="A67" s="5" t="s">
        <v>237</v>
      </c>
    </row>
    <row r="68" customFormat="false" ht="15" hidden="false" customHeight="false" outlineLevel="0" collapsed="false">
      <c r="A68" s="0" t="s">
        <v>238</v>
      </c>
      <c r="B68" s="0" t="s">
        <v>239</v>
      </c>
      <c r="C68" s="0" t="n">
        <v>30</v>
      </c>
      <c r="D68" s="0" t="n">
        <v>6.262</v>
      </c>
      <c r="E68" s="0" t="n">
        <v>4</v>
      </c>
      <c r="F68" s="0" t="s">
        <v>208</v>
      </c>
      <c r="G68" s="0" t="n">
        <v>16</v>
      </c>
      <c r="H68" s="0" t="n">
        <v>751.48</v>
      </c>
      <c r="I68" s="0" t="s">
        <v>240</v>
      </c>
      <c r="J68" s="0" t="s">
        <v>241</v>
      </c>
      <c r="K68" s="0" t="s">
        <v>66</v>
      </c>
    </row>
    <row r="69" customFormat="false" ht="15" hidden="false" customHeight="false" outlineLevel="0" collapsed="false">
      <c r="A69" s="0" t="s">
        <v>242</v>
      </c>
      <c r="B69" s="0" t="s">
        <v>243</v>
      </c>
      <c r="C69" s="0" t="n">
        <v>15</v>
      </c>
      <c r="D69" s="0" t="n">
        <v>7.333</v>
      </c>
      <c r="E69" s="0" t="n">
        <v>4</v>
      </c>
      <c r="F69" s="0" t="s">
        <v>208</v>
      </c>
      <c r="G69" s="0" t="n">
        <v>16</v>
      </c>
      <c r="H69" s="0" t="n">
        <v>440</v>
      </c>
      <c r="I69" s="0" t="s">
        <v>244</v>
      </c>
      <c r="J69" s="0" t="s">
        <v>241</v>
      </c>
      <c r="K69" s="0" t="s">
        <v>66</v>
      </c>
    </row>
    <row r="70" customFormat="false" ht="15" hidden="false" customHeight="false" outlineLevel="0" collapsed="false">
      <c r="A70" s="5" t="s">
        <v>245</v>
      </c>
    </row>
    <row r="71" customFormat="false" ht="15" hidden="false" customHeight="false" outlineLevel="0" collapsed="false">
      <c r="A71" s="0" t="s">
        <v>246</v>
      </c>
      <c r="B71" s="0" t="s">
        <v>247</v>
      </c>
      <c r="C71" s="0" t="n">
        <v>11.767</v>
      </c>
      <c r="D71" s="0" t="n">
        <v>15.375</v>
      </c>
      <c r="E71" s="0" t="n">
        <v>4</v>
      </c>
      <c r="F71" s="0" t="s">
        <v>208</v>
      </c>
      <c r="G71" s="0" t="n">
        <v>16</v>
      </c>
      <c r="H71" s="0" t="n">
        <v>723.68</v>
      </c>
      <c r="I71" s="0" t="s">
        <v>248</v>
      </c>
      <c r="J71" s="0" t="s">
        <v>209</v>
      </c>
      <c r="K71" s="0" t="s">
        <v>66</v>
      </c>
    </row>
    <row r="72" customFormat="false" ht="15" hidden="false" customHeight="false" outlineLevel="0" collapsed="false">
      <c r="A72" s="0" t="s">
        <v>249</v>
      </c>
      <c r="B72" s="0" t="s">
        <v>250</v>
      </c>
      <c r="C72" s="0" t="n">
        <v>3.506</v>
      </c>
      <c r="D72" s="0" t="n">
        <v>15.375</v>
      </c>
      <c r="E72" s="0" t="n">
        <v>4</v>
      </c>
      <c r="F72" s="0" t="s">
        <v>208</v>
      </c>
      <c r="G72" s="0" t="n">
        <v>16</v>
      </c>
      <c r="H72" s="0" t="n">
        <v>215.62</v>
      </c>
      <c r="I72" s="0" t="s">
        <v>251</v>
      </c>
      <c r="J72" s="0" t="s">
        <v>209</v>
      </c>
      <c r="K72" s="0" t="s">
        <v>66</v>
      </c>
    </row>
    <row r="73" customFormat="false" ht="15" hidden="false" customHeight="false" outlineLevel="0" collapsed="false">
      <c r="A73" s="0" t="s">
        <v>252</v>
      </c>
      <c r="B73" s="0" t="s">
        <v>253</v>
      </c>
      <c r="C73" s="0" t="n">
        <v>2.667</v>
      </c>
      <c r="D73" s="0" t="n">
        <v>15.375</v>
      </c>
      <c r="E73" s="0" t="n">
        <v>4</v>
      </c>
      <c r="F73" s="0" t="s">
        <v>208</v>
      </c>
      <c r="G73" s="0" t="n">
        <v>16</v>
      </c>
      <c r="H73" s="0" t="n">
        <v>164.02</v>
      </c>
      <c r="I73" s="0" t="s">
        <v>254</v>
      </c>
      <c r="J73" s="0" t="s">
        <v>209</v>
      </c>
      <c r="K73" s="0" t="s">
        <v>66</v>
      </c>
    </row>
    <row r="74" customFormat="false" ht="15" hidden="false" customHeight="false" outlineLevel="0" collapsed="false">
      <c r="A74" s="5" t="s">
        <v>255</v>
      </c>
    </row>
    <row r="75" customFormat="false" ht="15" hidden="false" customHeight="false" outlineLevel="0" collapsed="false">
      <c r="A75" s="0" t="s">
        <v>256</v>
      </c>
      <c r="B75" s="0" t="s">
        <v>257</v>
      </c>
      <c r="C75" s="0" t="n">
        <v>40</v>
      </c>
      <c r="D75" s="0" t="n">
        <v>2.042</v>
      </c>
      <c r="E75" s="0" t="n">
        <v>0</v>
      </c>
      <c r="F75" s="0" t="s">
        <v>258</v>
      </c>
      <c r="G75" s="0" t="n">
        <v>16</v>
      </c>
      <c r="H75" s="0" t="n">
        <v>0</v>
      </c>
      <c r="I75" s="0" t="s">
        <v>257</v>
      </c>
      <c r="J75" s="0" t="s">
        <v>259</v>
      </c>
      <c r="K75" s="0" t="s">
        <v>66</v>
      </c>
    </row>
    <row r="76" customFormat="false" ht="15" hidden="false" customHeight="false" outlineLevel="0" collapsed="false">
      <c r="A76" s="0" t="s">
        <v>260</v>
      </c>
      <c r="B76" s="0" t="s">
        <v>261</v>
      </c>
      <c r="C76" s="0" t="n">
        <v>75.938</v>
      </c>
      <c r="D76" s="0" t="n">
        <v>2.901</v>
      </c>
      <c r="E76" s="0" t="n">
        <v>0</v>
      </c>
      <c r="F76" s="0" t="s">
        <v>258</v>
      </c>
      <c r="G76" s="0" t="n">
        <v>16</v>
      </c>
      <c r="H76" s="0" t="n">
        <v>0</v>
      </c>
      <c r="I76" s="0" t="s">
        <v>262</v>
      </c>
      <c r="J76" s="0" t="s">
        <v>259</v>
      </c>
      <c r="K76" s="0" t="s">
        <v>66</v>
      </c>
    </row>
    <row r="77" customFormat="false" ht="15" hidden="false" customHeight="false" outlineLevel="0" collapsed="false">
      <c r="A77" s="0" t="s">
        <v>263</v>
      </c>
      <c r="B77" s="0" t="s">
        <v>264</v>
      </c>
      <c r="C77" s="0" t="n">
        <v>52.333</v>
      </c>
      <c r="D77" s="0" t="n">
        <v>4.885</v>
      </c>
      <c r="E77" s="0" t="n">
        <v>0</v>
      </c>
      <c r="F77" s="0" t="s">
        <v>258</v>
      </c>
      <c r="G77" s="0" t="n">
        <v>16</v>
      </c>
      <c r="H77" s="0" t="n">
        <v>0</v>
      </c>
      <c r="I77" s="0" t="s">
        <v>264</v>
      </c>
      <c r="J77" s="0" t="s">
        <v>259</v>
      </c>
      <c r="K77" s="0" t="s">
        <v>66</v>
      </c>
    </row>
    <row r="78" customFormat="false" ht="15" hidden="false" customHeight="false" outlineLevel="0" collapsed="false">
      <c r="A78" s="0" t="s">
        <v>265</v>
      </c>
      <c r="B78" s="0" t="s">
        <v>266</v>
      </c>
      <c r="C78" s="0" t="n">
        <v>47.927</v>
      </c>
      <c r="D78" s="0" t="n">
        <v>3.403</v>
      </c>
      <c r="E78" s="0" t="n">
        <v>0</v>
      </c>
      <c r="F78" s="0" t="s">
        <v>258</v>
      </c>
      <c r="G78" s="0" t="n">
        <v>16</v>
      </c>
      <c r="H78" s="0" t="n">
        <v>0</v>
      </c>
      <c r="I78" s="0" t="s">
        <v>267</v>
      </c>
      <c r="J78" s="0" t="s">
        <v>259</v>
      </c>
      <c r="K78" s="0" t="s">
        <v>66</v>
      </c>
    </row>
    <row r="79" customFormat="false" ht="15" hidden="false" customHeight="false" outlineLevel="0" collapsed="false">
      <c r="A79" s="0" t="s">
        <v>268</v>
      </c>
      <c r="B79" s="0" t="s">
        <v>269</v>
      </c>
      <c r="C79" s="0" t="n">
        <v>16.198</v>
      </c>
      <c r="D79" s="0" t="n">
        <v>4.292</v>
      </c>
      <c r="E79" s="0" t="n">
        <v>0</v>
      </c>
      <c r="F79" s="0" t="s">
        <v>258</v>
      </c>
      <c r="G79" s="0" t="n">
        <v>16</v>
      </c>
      <c r="H79" s="0" t="n">
        <v>0</v>
      </c>
      <c r="I79" s="0" t="s">
        <v>269</v>
      </c>
      <c r="J79" s="0" t="s">
        <v>259</v>
      </c>
      <c r="K79" s="0" t="s">
        <v>66</v>
      </c>
    </row>
    <row r="80" customFormat="false" ht="15" hidden="false" customHeight="false" outlineLevel="0" collapsed="false">
      <c r="A80" s="0" t="s">
        <v>270</v>
      </c>
      <c r="B80" s="0" t="s">
        <v>271</v>
      </c>
      <c r="C80" s="0" t="n">
        <v>0.99</v>
      </c>
      <c r="D80" s="0" t="n">
        <v>4.292</v>
      </c>
      <c r="E80" s="0" t="n">
        <v>0</v>
      </c>
      <c r="F80" s="0" t="s">
        <v>258</v>
      </c>
      <c r="G80" s="0" t="n">
        <v>16</v>
      </c>
      <c r="H80" s="0" t="n">
        <v>0</v>
      </c>
      <c r="I80" s="0" t="s">
        <v>271</v>
      </c>
      <c r="J80" s="0" t="s">
        <v>259</v>
      </c>
      <c r="K80" s="0" t="s">
        <v>66</v>
      </c>
    </row>
    <row r="81" customFormat="false" ht="15" hidden="false" customHeight="false" outlineLevel="0" collapsed="false">
      <c r="A81" s="0" t="s">
        <v>272</v>
      </c>
      <c r="B81" s="0" t="s">
        <v>273</v>
      </c>
      <c r="C81" s="0" t="n">
        <v>29</v>
      </c>
      <c r="D81" s="0" t="n">
        <v>4.292</v>
      </c>
      <c r="E81" s="0" t="n">
        <v>0</v>
      </c>
      <c r="F81" s="0" t="s">
        <v>258</v>
      </c>
      <c r="G81" s="0" t="n">
        <v>16</v>
      </c>
      <c r="H81" s="0" t="n">
        <v>0</v>
      </c>
      <c r="I81" s="0" t="s">
        <v>273</v>
      </c>
      <c r="J81" s="0" t="s">
        <v>259</v>
      </c>
      <c r="K81" s="0" t="s">
        <v>66</v>
      </c>
    </row>
    <row r="82" customFormat="false" ht="15" hidden="false" customHeight="false" outlineLevel="0" collapsed="false">
      <c r="A82" s="0" t="s">
        <v>274</v>
      </c>
      <c r="B82" s="0" t="s">
        <v>275</v>
      </c>
      <c r="C82" s="0" t="n">
        <v>3.865</v>
      </c>
      <c r="D82" s="0" t="n">
        <v>4.292</v>
      </c>
      <c r="E82" s="0" t="n">
        <v>0</v>
      </c>
      <c r="F82" s="0" t="s">
        <v>258</v>
      </c>
      <c r="G82" s="0" t="n">
        <v>16</v>
      </c>
      <c r="H82" s="0" t="n">
        <v>0</v>
      </c>
      <c r="I82" s="0" t="s">
        <v>275</v>
      </c>
      <c r="J82" s="0" t="s">
        <v>259</v>
      </c>
      <c r="K82" s="0" t="s">
        <v>66</v>
      </c>
    </row>
    <row r="83" customFormat="false" ht="15" hidden="false" customHeight="false" outlineLevel="0" collapsed="false">
      <c r="A83" s="5" t="s">
        <v>276</v>
      </c>
    </row>
    <row r="84" customFormat="false" ht="15" hidden="false" customHeight="false" outlineLevel="0" collapsed="false">
      <c r="A84" s="0" t="s">
        <v>277</v>
      </c>
      <c r="B84" s="0" t="s">
        <v>278</v>
      </c>
      <c r="C84" s="0" t="n">
        <v>5.667</v>
      </c>
      <c r="D84" s="0" t="n">
        <v>10.604</v>
      </c>
      <c r="E84" s="0" t="n">
        <v>0</v>
      </c>
      <c r="F84" s="0" t="s">
        <v>63</v>
      </c>
      <c r="G84" s="0" t="n">
        <v>16</v>
      </c>
      <c r="H84" s="0" t="n">
        <v>0</v>
      </c>
      <c r="I84" s="0" t="s">
        <v>278</v>
      </c>
      <c r="J84" s="0" t="s">
        <v>279</v>
      </c>
      <c r="K84" s="0" t="s">
        <v>66</v>
      </c>
    </row>
    <row r="85" customFormat="false" ht="15" hidden="false" customHeight="false" outlineLevel="0" collapsed="false">
      <c r="A85" s="0" t="s">
        <v>280</v>
      </c>
      <c r="B85" s="0" t="s">
        <v>281</v>
      </c>
      <c r="C85" s="0" t="n">
        <v>5.667</v>
      </c>
      <c r="D85" s="0" t="n">
        <v>10.604</v>
      </c>
      <c r="E85" s="0" t="n">
        <v>0</v>
      </c>
      <c r="F85" s="0" t="s">
        <v>63</v>
      </c>
      <c r="G85" s="0" t="n">
        <v>16</v>
      </c>
      <c r="H85" s="0" t="n">
        <v>0</v>
      </c>
      <c r="I85" s="0" t="s">
        <v>281</v>
      </c>
      <c r="J85" s="0" t="s">
        <v>279</v>
      </c>
      <c r="K85" s="0" t="s">
        <v>66</v>
      </c>
    </row>
    <row r="86" customFormat="false" ht="15" hidden="false" customHeight="false" outlineLevel="0" collapsed="false">
      <c r="A86" s="0" t="s">
        <v>282</v>
      </c>
      <c r="B86" s="0" t="s">
        <v>283</v>
      </c>
      <c r="C86" s="0" t="n">
        <v>5.667</v>
      </c>
      <c r="D86" s="0" t="n">
        <v>10.604</v>
      </c>
      <c r="E86" s="0" t="n">
        <v>0</v>
      </c>
      <c r="F86" s="0" t="s">
        <v>63</v>
      </c>
      <c r="G86" s="0" t="n">
        <v>16</v>
      </c>
      <c r="H86" s="0" t="n">
        <v>0</v>
      </c>
      <c r="I86" s="0" t="s">
        <v>283</v>
      </c>
      <c r="J86" s="0" t="s">
        <v>279</v>
      </c>
      <c r="K86" s="0" t="s">
        <v>66</v>
      </c>
    </row>
    <row r="87" customFormat="false" ht="15" hidden="false" customHeight="false" outlineLevel="0" collapsed="false">
      <c r="A87" s="0" t="s">
        <v>284</v>
      </c>
      <c r="B87" s="0" t="s">
        <v>285</v>
      </c>
      <c r="C87" s="0" t="n">
        <v>5.667</v>
      </c>
      <c r="D87" s="0" t="n">
        <v>10.604</v>
      </c>
      <c r="E87" s="0" t="n">
        <v>0</v>
      </c>
      <c r="F87" s="0" t="s">
        <v>63</v>
      </c>
      <c r="G87" s="0" t="n">
        <v>16</v>
      </c>
      <c r="H87" s="0" t="n">
        <v>0</v>
      </c>
      <c r="I87" s="0" t="s">
        <v>285</v>
      </c>
      <c r="J87" s="0" t="s">
        <v>279</v>
      </c>
      <c r="K87" s="0" t="s">
        <v>66</v>
      </c>
    </row>
    <row r="88" customFormat="false" ht="15" hidden="false" customHeight="false" outlineLevel="0" collapsed="false">
      <c r="B88" s="6" t="s">
        <v>286</v>
      </c>
      <c r="C88" s="4" t="n">
        <f aca="false">SUM(C5:C87)</f>
        <v>952.766</v>
      </c>
      <c r="H88" s="4" t="n">
        <f aca="false">SUM(H5:H87)</f>
        <v>15606.45</v>
      </c>
    </row>
    <row r="90" customFormat="false" ht="15" hidden="false" customHeight="false" outlineLevel="0" collapsed="false">
      <c r="A90" s="5" t="s">
        <v>287</v>
      </c>
    </row>
    <row r="91" customFormat="false" ht="15" hidden="false" customHeight="false" outlineLevel="0" collapsed="false">
      <c r="A91" s="0" t="s">
        <v>288</v>
      </c>
      <c r="B91" s="0" t="s">
        <v>289</v>
      </c>
      <c r="C91" s="0" t="n">
        <v>1.533</v>
      </c>
      <c r="D91" s="0" t="n">
        <v>14.383</v>
      </c>
      <c r="E91" s="0" t="n">
        <v>1</v>
      </c>
      <c r="F91" s="0" t="s">
        <v>63</v>
      </c>
      <c r="G91" s="0" t="n">
        <v>16</v>
      </c>
      <c r="H91" s="0" t="n">
        <v>22.05</v>
      </c>
      <c r="I91" s="0" t="s">
        <v>290</v>
      </c>
      <c r="J91" s="0" t="s">
        <v>155</v>
      </c>
      <c r="K91" s="0" t="s">
        <v>66</v>
      </c>
    </row>
    <row r="92" customFormat="false" ht="15" hidden="false" customHeight="false" outlineLevel="0" collapsed="false">
      <c r="A92" s="0" t="s">
        <v>291</v>
      </c>
      <c r="B92" s="0" t="s">
        <v>292</v>
      </c>
      <c r="C92" s="0" t="n">
        <v>0.405</v>
      </c>
      <c r="D92" s="0" t="n">
        <v>14.383</v>
      </c>
      <c r="E92" s="0" t="n">
        <v>1</v>
      </c>
      <c r="F92" s="0" t="s">
        <v>63</v>
      </c>
      <c r="G92" s="0" t="n">
        <v>16</v>
      </c>
      <c r="H92" s="0" t="n">
        <v>5.83</v>
      </c>
      <c r="I92" s="0" t="s">
        <v>169</v>
      </c>
      <c r="J92" s="0" t="s">
        <v>155</v>
      </c>
      <c r="K92" s="0" t="s">
        <v>66</v>
      </c>
    </row>
    <row r="93" customFormat="false" ht="15" hidden="false" customHeight="false" outlineLevel="0" collapsed="false">
      <c r="A93" s="0" t="s">
        <v>293</v>
      </c>
      <c r="B93" s="0" t="s">
        <v>294</v>
      </c>
      <c r="C93" s="0" t="n">
        <v>6.439</v>
      </c>
      <c r="D93" s="0" t="n">
        <v>7.375</v>
      </c>
      <c r="E93" s="0" t="n">
        <v>1</v>
      </c>
      <c r="F93" s="0" t="s">
        <v>63</v>
      </c>
      <c r="G93" s="0" t="n">
        <v>16</v>
      </c>
      <c r="H93" s="0" t="n">
        <v>9.66</v>
      </c>
      <c r="I93" s="0" t="s">
        <v>295</v>
      </c>
      <c r="J93" s="0" t="s">
        <v>296</v>
      </c>
      <c r="K93" s="0" t="s">
        <v>66</v>
      </c>
    </row>
    <row r="94" customFormat="false" ht="15" hidden="false" customHeight="false" outlineLevel="0" collapsed="false">
      <c r="A94" s="0" t="s">
        <v>297</v>
      </c>
      <c r="B94" s="0" t="s">
        <v>298</v>
      </c>
      <c r="C94" s="0" t="n">
        <v>5.582</v>
      </c>
      <c r="D94" s="0" t="n">
        <v>5.052</v>
      </c>
      <c r="E94" s="0" t="n">
        <v>1</v>
      </c>
      <c r="F94" s="0" t="s">
        <v>63</v>
      </c>
      <c r="G94" s="0" t="n">
        <v>16</v>
      </c>
      <c r="H94" s="0" t="n">
        <v>8.37</v>
      </c>
      <c r="I94" s="0" t="s">
        <v>295</v>
      </c>
      <c r="J94" s="0" t="s">
        <v>296</v>
      </c>
      <c r="K94" s="0" t="s">
        <v>66</v>
      </c>
    </row>
    <row r="95" customFormat="false" ht="15" hidden="false" customHeight="false" outlineLevel="0" collapsed="false">
      <c r="A95" s="0" t="s">
        <v>299</v>
      </c>
      <c r="B95" s="0" t="s">
        <v>300</v>
      </c>
      <c r="C95" s="0" t="n">
        <v>6.439</v>
      </c>
      <c r="D95" s="0" t="n">
        <v>7.375</v>
      </c>
      <c r="E95" s="0" t="n">
        <v>1</v>
      </c>
      <c r="F95" s="0" t="s">
        <v>63</v>
      </c>
      <c r="G95" s="0" t="n">
        <v>16</v>
      </c>
      <c r="H95" s="0" t="n">
        <v>9.66</v>
      </c>
      <c r="I95" s="0" t="s">
        <v>97</v>
      </c>
      <c r="J95" s="0" t="s">
        <v>296</v>
      </c>
      <c r="K95" s="0" t="s">
        <v>66</v>
      </c>
    </row>
    <row r="96" customFormat="false" ht="15" hidden="false" customHeight="false" outlineLevel="0" collapsed="false">
      <c r="A96" s="0" t="s">
        <v>301</v>
      </c>
      <c r="B96" s="0" t="s">
        <v>302</v>
      </c>
      <c r="C96" s="0" t="n">
        <v>5.582</v>
      </c>
      <c r="D96" s="0" t="n">
        <v>5.052</v>
      </c>
      <c r="E96" s="0" t="n">
        <v>1</v>
      </c>
      <c r="F96" s="0" t="s">
        <v>63</v>
      </c>
      <c r="G96" s="0" t="n">
        <v>16</v>
      </c>
      <c r="H96" s="0" t="n">
        <v>8.37</v>
      </c>
      <c r="I96" s="0" t="s">
        <v>97</v>
      </c>
      <c r="J96" s="0" t="s">
        <v>296</v>
      </c>
      <c r="K96" s="0" t="s">
        <v>66</v>
      </c>
    </row>
    <row r="97" customFormat="false" ht="15" hidden="false" customHeight="false" outlineLevel="0" collapsed="false">
      <c r="A97" s="0" t="s">
        <v>303</v>
      </c>
      <c r="B97" s="0" t="s">
        <v>304</v>
      </c>
      <c r="C97" s="0" t="n">
        <v>78.156</v>
      </c>
      <c r="D97" s="0" t="n">
        <v>1.865</v>
      </c>
      <c r="E97" s="0" t="n">
        <v>0</v>
      </c>
      <c r="F97" s="0" t="s">
        <v>63</v>
      </c>
      <c r="G97" s="0" t="n">
        <v>16</v>
      </c>
      <c r="H97" s="0" t="n">
        <v>0</v>
      </c>
      <c r="I97" s="0" t="s">
        <v>304</v>
      </c>
      <c r="J97" s="0" t="s">
        <v>305</v>
      </c>
      <c r="K97" s="0" t="s">
        <v>66</v>
      </c>
    </row>
    <row r="98" customFormat="false" ht="15" hidden="false" customHeight="false" outlineLevel="0" collapsed="false">
      <c r="A98" s="0" t="s">
        <v>306</v>
      </c>
      <c r="B98" s="0" t="s">
        <v>307</v>
      </c>
      <c r="C98" s="0" t="n">
        <v>55.52</v>
      </c>
      <c r="D98" s="0" t="n">
        <v>1.865</v>
      </c>
      <c r="E98" s="0" t="n">
        <v>0</v>
      </c>
      <c r="F98" s="0" t="s">
        <v>63</v>
      </c>
      <c r="G98" s="0" t="n">
        <v>16</v>
      </c>
      <c r="H98" s="0" t="n">
        <v>0</v>
      </c>
      <c r="I98" s="0" t="s">
        <v>307</v>
      </c>
      <c r="J98" s="0" t="s">
        <v>305</v>
      </c>
      <c r="K98" s="0" t="s">
        <v>66</v>
      </c>
    </row>
    <row r="99" customFormat="false" ht="15" hidden="false" customHeight="false" outlineLevel="0" collapsed="false">
      <c r="A99" s="0" t="s">
        <v>308</v>
      </c>
      <c r="B99" s="0" t="s">
        <v>309</v>
      </c>
      <c r="C99" s="0" t="n">
        <v>21.489</v>
      </c>
      <c r="D99" s="0" t="n">
        <v>1.865</v>
      </c>
      <c r="E99" s="0" t="n">
        <v>0</v>
      </c>
      <c r="F99" s="0" t="s">
        <v>63</v>
      </c>
      <c r="G99" s="0" t="n">
        <v>16</v>
      </c>
      <c r="H99" s="0" t="n">
        <v>0</v>
      </c>
      <c r="I99" s="0" t="s">
        <v>309</v>
      </c>
      <c r="J99" s="0" t="s">
        <v>305</v>
      </c>
      <c r="K99" s="0" t="s">
        <v>66</v>
      </c>
    </row>
    <row r="100" customFormat="false" ht="15" hidden="false" customHeight="false" outlineLevel="0" collapsed="false">
      <c r="A100" s="0" t="s">
        <v>310</v>
      </c>
      <c r="B100" s="0" t="s">
        <v>311</v>
      </c>
      <c r="C100" s="0" t="n">
        <v>52.083</v>
      </c>
      <c r="D100" s="0" t="n">
        <v>1.865</v>
      </c>
      <c r="E100" s="0" t="n">
        <v>0</v>
      </c>
      <c r="F100" s="0" t="s">
        <v>63</v>
      </c>
      <c r="G100" s="0" t="n">
        <v>16</v>
      </c>
      <c r="H100" s="0" t="n">
        <v>0</v>
      </c>
      <c r="I100" s="0" t="s">
        <v>311</v>
      </c>
      <c r="J100" s="0" t="s">
        <v>305</v>
      </c>
      <c r="K100" s="0" t="s">
        <v>66</v>
      </c>
    </row>
    <row r="101" customFormat="false" ht="15" hidden="false" customHeight="false" outlineLevel="0" collapsed="false">
      <c r="A101" s="0" t="s">
        <v>312</v>
      </c>
      <c r="B101" s="0" t="s">
        <v>313</v>
      </c>
      <c r="C101" s="0" t="n">
        <v>2.489</v>
      </c>
      <c r="D101" s="0" t="n">
        <v>1.865</v>
      </c>
      <c r="E101" s="0" t="n">
        <v>0</v>
      </c>
      <c r="F101" s="0" t="s">
        <v>63</v>
      </c>
      <c r="G101" s="0" t="n">
        <v>16</v>
      </c>
      <c r="H101" s="0" t="n">
        <v>0</v>
      </c>
      <c r="I101" s="0" t="s">
        <v>313</v>
      </c>
      <c r="J101" s="0" t="s">
        <v>305</v>
      </c>
      <c r="K101" s="0" t="s">
        <v>66</v>
      </c>
    </row>
    <row r="102" customFormat="false" ht="15" hidden="false" customHeight="false" outlineLevel="0" collapsed="false">
      <c r="A102" s="0" t="s">
        <v>314</v>
      </c>
      <c r="B102" s="0" t="s">
        <v>315</v>
      </c>
      <c r="C102" s="0" t="n">
        <v>23</v>
      </c>
      <c r="D102" s="0" t="n">
        <v>1.865</v>
      </c>
      <c r="E102" s="0" t="n">
        <v>0</v>
      </c>
      <c r="F102" s="0" t="s">
        <v>63</v>
      </c>
      <c r="G102" s="0" t="n">
        <v>16</v>
      </c>
      <c r="H102" s="0" t="n">
        <v>0</v>
      </c>
      <c r="I102" s="0" t="s">
        <v>315</v>
      </c>
      <c r="J102" s="0" t="s">
        <v>305</v>
      </c>
      <c r="K102" s="0" t="s">
        <v>66</v>
      </c>
    </row>
    <row r="103" customFormat="false" ht="15" hidden="false" customHeight="false" outlineLevel="0" collapsed="false">
      <c r="A103" s="0" t="s">
        <v>316</v>
      </c>
      <c r="B103" s="0" t="s">
        <v>317</v>
      </c>
      <c r="C103" s="0" t="n">
        <v>2.406</v>
      </c>
      <c r="D103" s="0" t="n">
        <v>1.865</v>
      </c>
      <c r="E103" s="0" t="n">
        <v>0</v>
      </c>
      <c r="F103" s="0" t="s">
        <v>63</v>
      </c>
      <c r="G103" s="0" t="n">
        <v>16</v>
      </c>
      <c r="H103" s="0" t="n">
        <v>0</v>
      </c>
      <c r="I103" s="0" t="s">
        <v>317</v>
      </c>
      <c r="J103" s="0" t="s">
        <v>305</v>
      </c>
      <c r="K103" s="0" t="s">
        <v>66</v>
      </c>
    </row>
    <row r="104" customFormat="false" ht="15" hidden="false" customHeight="false" outlineLevel="0" collapsed="false">
      <c r="A104" s="0" t="s">
        <v>318</v>
      </c>
      <c r="B104" s="0" t="s">
        <v>319</v>
      </c>
      <c r="C104" s="0" t="n">
        <v>2.406</v>
      </c>
      <c r="D104" s="0" t="n">
        <v>1.865</v>
      </c>
      <c r="E104" s="0" t="n">
        <v>0</v>
      </c>
      <c r="F104" s="0" t="s">
        <v>63</v>
      </c>
      <c r="G104" s="0" t="n">
        <v>16</v>
      </c>
      <c r="H104" s="0" t="n">
        <v>0</v>
      </c>
      <c r="I104" s="0" t="s">
        <v>319</v>
      </c>
      <c r="J104" s="0" t="s">
        <v>305</v>
      </c>
      <c r="K104" s="0" t="s">
        <v>66</v>
      </c>
    </row>
    <row r="105" customFormat="false" ht="15" hidden="false" customHeight="false" outlineLevel="0" collapsed="false">
      <c r="A105" s="0" t="s">
        <v>320</v>
      </c>
      <c r="B105" s="0" t="s">
        <v>321</v>
      </c>
      <c r="C105" s="0" t="n">
        <v>26.25</v>
      </c>
      <c r="D105" s="0" t="n">
        <v>4.525</v>
      </c>
      <c r="E105" s="0" t="n">
        <v>0</v>
      </c>
      <c r="F105" s="0" t="s">
        <v>104</v>
      </c>
      <c r="G105" s="0" t="n">
        <v>16</v>
      </c>
      <c r="H105" s="0" t="n">
        <v>0</v>
      </c>
      <c r="I105" s="0" t="s">
        <v>321</v>
      </c>
      <c r="J105" s="0" t="s">
        <v>322</v>
      </c>
      <c r="K105" s="0" t="s">
        <v>66</v>
      </c>
    </row>
    <row r="106" customFormat="false" ht="15" hidden="false" customHeight="false" outlineLevel="0" collapsed="false">
      <c r="A106" s="0" t="s">
        <v>323</v>
      </c>
      <c r="B106" s="0" t="s">
        <v>324</v>
      </c>
      <c r="C106" s="0" t="n">
        <v>12.562</v>
      </c>
      <c r="D106" s="0" t="n">
        <v>4.987</v>
      </c>
      <c r="E106" s="0" t="n">
        <v>0</v>
      </c>
      <c r="F106" s="0" t="s">
        <v>104</v>
      </c>
      <c r="G106" s="0" t="n">
        <v>16</v>
      </c>
      <c r="H106" s="0" t="n">
        <v>0</v>
      </c>
      <c r="I106" s="0" t="s">
        <v>324</v>
      </c>
      <c r="J106" s="0" t="s">
        <v>322</v>
      </c>
      <c r="K106" s="0" t="s">
        <v>66</v>
      </c>
    </row>
    <row r="107" customFormat="false" ht="15" hidden="false" customHeight="false" outlineLevel="0" collapsed="false">
      <c r="A107" s="0" t="s">
        <v>325</v>
      </c>
      <c r="B107" s="0" t="s">
        <v>326</v>
      </c>
      <c r="C107" s="0" t="n">
        <v>6.5</v>
      </c>
      <c r="D107" s="0" t="n">
        <v>4.983</v>
      </c>
      <c r="E107" s="0" t="n">
        <v>0</v>
      </c>
      <c r="F107" s="0" t="s">
        <v>104</v>
      </c>
      <c r="G107" s="0" t="n">
        <v>16</v>
      </c>
      <c r="H107" s="0" t="n">
        <v>0</v>
      </c>
      <c r="I107" s="0" t="s">
        <v>326</v>
      </c>
      <c r="J107" s="0" t="s">
        <v>322</v>
      </c>
      <c r="K107" s="0" t="s">
        <v>66</v>
      </c>
    </row>
    <row r="108" customFormat="false" ht="15" hidden="false" customHeight="false" outlineLevel="0" collapsed="false">
      <c r="A108" s="0" t="s">
        <v>327</v>
      </c>
      <c r="B108" s="0" t="s">
        <v>328</v>
      </c>
      <c r="C108" s="0" t="n">
        <v>51.833</v>
      </c>
      <c r="D108" s="0" t="n">
        <v>3.114</v>
      </c>
      <c r="E108" s="0" t="n">
        <v>0</v>
      </c>
      <c r="F108" s="0" t="s">
        <v>63</v>
      </c>
      <c r="G108" s="0" t="n">
        <v>16</v>
      </c>
      <c r="H108" s="0" t="n">
        <v>0</v>
      </c>
      <c r="I108" s="0" t="s">
        <v>328</v>
      </c>
      <c r="J108" s="0" t="s">
        <v>329</v>
      </c>
      <c r="K108" s="0" t="s">
        <v>66</v>
      </c>
    </row>
    <row r="109" customFormat="false" ht="15" hidden="false" customHeight="false" outlineLevel="0" collapsed="false">
      <c r="A109" s="0" t="s">
        <v>330</v>
      </c>
      <c r="B109" s="0" t="s">
        <v>331</v>
      </c>
      <c r="C109" s="0" t="n">
        <v>51.833</v>
      </c>
      <c r="D109" s="0" t="n">
        <v>1.131</v>
      </c>
      <c r="E109" s="0" t="n">
        <v>2</v>
      </c>
      <c r="F109" s="0" t="s">
        <v>63</v>
      </c>
      <c r="G109" s="0" t="n">
        <v>16</v>
      </c>
      <c r="H109" s="0" t="n">
        <v>125.57</v>
      </c>
      <c r="I109" s="0" t="s">
        <v>332</v>
      </c>
      <c r="J109" s="0" t="s">
        <v>329</v>
      </c>
      <c r="K109" s="0" t="s">
        <v>66</v>
      </c>
    </row>
    <row r="110" customFormat="false" ht="15" hidden="false" customHeight="false" outlineLevel="0" collapsed="false">
      <c r="A110" s="0" t="s">
        <v>333</v>
      </c>
      <c r="B110" s="0" t="s">
        <v>334</v>
      </c>
      <c r="C110" s="0" t="n">
        <v>51.833</v>
      </c>
      <c r="D110" s="0" t="n">
        <v>3.46</v>
      </c>
      <c r="E110" s="0" t="n">
        <v>1</v>
      </c>
      <c r="F110" s="0" t="s">
        <v>63</v>
      </c>
      <c r="G110" s="0" t="n">
        <v>16</v>
      </c>
      <c r="H110" s="0" t="n">
        <v>179.34</v>
      </c>
      <c r="I110" s="0" t="s">
        <v>335</v>
      </c>
      <c r="J110" s="0" t="s">
        <v>329</v>
      </c>
      <c r="K110" s="0" t="s">
        <v>66</v>
      </c>
    </row>
    <row r="111" customFormat="false" ht="15" hidden="false" customHeight="false" outlineLevel="0" collapsed="false">
      <c r="A111" s="0" t="s">
        <v>336</v>
      </c>
      <c r="B111" s="0" t="s">
        <v>337</v>
      </c>
      <c r="C111" s="0" t="n">
        <v>15.646</v>
      </c>
      <c r="D111" s="0" t="n">
        <v>5.375</v>
      </c>
      <c r="E111" s="0" t="n">
        <v>0</v>
      </c>
      <c r="F111" s="0" t="s">
        <v>63</v>
      </c>
      <c r="G111" s="0" t="n">
        <v>16</v>
      </c>
      <c r="H111" s="0" t="n">
        <v>0</v>
      </c>
      <c r="I111" s="0" t="s">
        <v>337</v>
      </c>
      <c r="J111" s="0" t="s">
        <v>338</v>
      </c>
      <c r="K111" s="0" t="s">
        <v>66</v>
      </c>
    </row>
    <row r="112" customFormat="false" ht="15" hidden="false" customHeight="false" outlineLevel="0" collapsed="false">
      <c r="A112" s="0" t="s">
        <v>339</v>
      </c>
      <c r="B112" s="0" t="s">
        <v>340</v>
      </c>
      <c r="C112" s="0" t="n">
        <v>6.417</v>
      </c>
      <c r="D112" s="0" t="n">
        <v>4.383</v>
      </c>
      <c r="E112" s="0" t="n">
        <v>0</v>
      </c>
      <c r="F112" s="0" t="s">
        <v>63</v>
      </c>
      <c r="G112" s="0" t="n">
        <v>16</v>
      </c>
      <c r="H112" s="0" t="n">
        <v>0</v>
      </c>
      <c r="I112" s="0" t="s">
        <v>340</v>
      </c>
      <c r="J112" s="0" t="s">
        <v>338</v>
      </c>
      <c r="K112" s="0" t="s">
        <v>66</v>
      </c>
    </row>
    <row r="113" customFormat="false" ht="15" hidden="false" customHeight="false" outlineLevel="0" collapsed="false">
      <c r="A113" s="0" t="s">
        <v>341</v>
      </c>
      <c r="B113" s="0" t="s">
        <v>342</v>
      </c>
      <c r="C113" s="0" t="n">
        <v>13.333</v>
      </c>
      <c r="D113" s="0" t="n">
        <v>2</v>
      </c>
      <c r="E113" s="0" t="n">
        <v>1</v>
      </c>
      <c r="F113" s="0" t="s">
        <v>343</v>
      </c>
      <c r="G113" s="0" t="n">
        <v>16</v>
      </c>
      <c r="H113" s="0" t="n">
        <v>20</v>
      </c>
      <c r="I113" s="0" t="s">
        <v>344</v>
      </c>
      <c r="J113" s="0" t="s">
        <v>345</v>
      </c>
      <c r="K113" s="0" t="s">
        <v>66</v>
      </c>
    </row>
    <row r="114" customFormat="false" ht="15" hidden="false" customHeight="false" outlineLevel="0" collapsed="false">
      <c r="A114" s="0" t="s">
        <v>346</v>
      </c>
      <c r="B114" s="0" t="s">
        <v>347</v>
      </c>
      <c r="C114" s="0" t="n">
        <v>17.028</v>
      </c>
      <c r="D114" s="0" t="n">
        <v>4.375</v>
      </c>
      <c r="E114" s="0" t="n">
        <v>2</v>
      </c>
      <c r="F114" s="0" t="s">
        <v>63</v>
      </c>
      <c r="G114" s="0" t="n">
        <v>16</v>
      </c>
      <c r="H114" s="0" t="n">
        <v>25.54</v>
      </c>
      <c r="I114" s="0" t="s">
        <v>348</v>
      </c>
      <c r="J114" s="0" t="s">
        <v>349</v>
      </c>
      <c r="K114" s="0" t="s">
        <v>66</v>
      </c>
    </row>
    <row r="115" customFormat="false" ht="15" hidden="false" customHeight="false" outlineLevel="0" collapsed="false">
      <c r="A115" s="0" t="s">
        <v>350</v>
      </c>
      <c r="B115" s="0" t="s">
        <v>351</v>
      </c>
      <c r="C115" s="0" t="n">
        <v>30</v>
      </c>
      <c r="D115" s="0" t="n">
        <v>4.375</v>
      </c>
      <c r="E115" s="0" t="n">
        <v>2</v>
      </c>
      <c r="F115" s="0" t="s">
        <v>63</v>
      </c>
      <c r="G115" s="0" t="n">
        <v>16</v>
      </c>
      <c r="H115" s="0" t="n">
        <v>45</v>
      </c>
      <c r="I115" s="0" t="s">
        <v>348</v>
      </c>
      <c r="J115" s="0" t="s">
        <v>349</v>
      </c>
      <c r="K115" s="0" t="s">
        <v>66</v>
      </c>
    </row>
    <row r="116" customFormat="false" ht="15" hidden="false" customHeight="false" outlineLevel="0" collapsed="false">
      <c r="A116" s="0" t="s">
        <v>352</v>
      </c>
      <c r="B116" s="0" t="s">
        <v>353</v>
      </c>
      <c r="C116" s="0" t="n">
        <v>30</v>
      </c>
      <c r="D116" s="0" t="n">
        <v>4.375</v>
      </c>
      <c r="E116" s="0" t="n">
        <v>2</v>
      </c>
      <c r="F116" s="0" t="s">
        <v>63</v>
      </c>
      <c r="G116" s="0" t="n">
        <v>16</v>
      </c>
      <c r="H116" s="0" t="n">
        <v>45</v>
      </c>
      <c r="I116" s="0" t="s">
        <v>348</v>
      </c>
      <c r="J116" s="0" t="s">
        <v>349</v>
      </c>
      <c r="K116" s="0" t="s">
        <v>66</v>
      </c>
    </row>
    <row r="117" customFormat="false" ht="15" hidden="false" customHeight="false" outlineLevel="0" collapsed="false">
      <c r="A117" s="0" t="s">
        <v>354</v>
      </c>
      <c r="B117" s="0" t="s">
        <v>355</v>
      </c>
      <c r="C117" s="0" t="n">
        <v>5.144</v>
      </c>
      <c r="D117" s="0" t="n">
        <v>6.375</v>
      </c>
      <c r="E117" s="0" t="n">
        <v>2</v>
      </c>
      <c r="F117" s="0" t="s">
        <v>63</v>
      </c>
      <c r="G117" s="0" t="n">
        <v>16</v>
      </c>
      <c r="H117" s="0" t="n">
        <v>18</v>
      </c>
      <c r="I117" s="0" t="s">
        <v>356</v>
      </c>
      <c r="J117" s="0" t="s">
        <v>349</v>
      </c>
      <c r="K117" s="0" t="s">
        <v>66</v>
      </c>
    </row>
    <row r="118" customFormat="false" ht="15" hidden="false" customHeight="false" outlineLevel="0" collapsed="false">
      <c r="A118" s="0" t="s">
        <v>357</v>
      </c>
      <c r="B118" s="0" t="s">
        <v>358</v>
      </c>
      <c r="C118" s="0" t="n">
        <v>7.484</v>
      </c>
      <c r="D118" s="0" t="n">
        <v>12.308</v>
      </c>
      <c r="E118" s="0" t="n">
        <v>2</v>
      </c>
      <c r="F118" s="0" t="s">
        <v>63</v>
      </c>
      <c r="G118" s="0" t="n">
        <v>16</v>
      </c>
      <c r="H118" s="0" t="n">
        <v>134.7</v>
      </c>
      <c r="I118" s="0" t="s">
        <v>359</v>
      </c>
      <c r="J118" s="0" t="s">
        <v>65</v>
      </c>
      <c r="K118" s="0" t="s">
        <v>66</v>
      </c>
    </row>
    <row r="119" customFormat="false" ht="15" hidden="false" customHeight="false" outlineLevel="0" collapsed="false">
      <c r="A119" s="0" t="s">
        <v>360</v>
      </c>
      <c r="B119" s="0" t="s">
        <v>361</v>
      </c>
      <c r="C119" s="0" t="n">
        <v>0.333</v>
      </c>
      <c r="D119" s="0" t="n">
        <v>15.375</v>
      </c>
      <c r="E119" s="0" t="n">
        <v>4</v>
      </c>
      <c r="F119" s="0" t="s">
        <v>208</v>
      </c>
      <c r="G119" s="0" t="n">
        <v>16</v>
      </c>
      <c r="H119" s="0" t="n">
        <v>20.48</v>
      </c>
      <c r="I119" s="0" t="s">
        <v>362</v>
      </c>
      <c r="J119" s="0" t="s">
        <v>209</v>
      </c>
      <c r="K119" s="0" t="s">
        <v>66</v>
      </c>
    </row>
    <row r="120" customFormat="false" ht="15" hidden="false" customHeight="false" outlineLevel="0" collapsed="false">
      <c r="A120" s="0" t="s">
        <v>363</v>
      </c>
      <c r="B120" s="0" t="s">
        <v>364</v>
      </c>
      <c r="C120" s="0" t="n">
        <v>0.333</v>
      </c>
      <c r="D120" s="0" t="n">
        <v>15.375</v>
      </c>
      <c r="E120" s="0" t="n">
        <v>4</v>
      </c>
      <c r="F120" s="0" t="s">
        <v>208</v>
      </c>
      <c r="G120" s="0" t="n">
        <v>16</v>
      </c>
      <c r="H120" s="0" t="n">
        <v>20.48</v>
      </c>
      <c r="I120" s="0" t="s">
        <v>365</v>
      </c>
      <c r="J120" s="0" t="s">
        <v>209</v>
      </c>
      <c r="K120" s="0"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3" min="2" style="0" width="10"/>
    <col collapsed="false" customWidth="true" hidden="false" outlineLevel="0" max="4" min="4" style="0" width="14"/>
    <col collapsed="false" customWidth="true" hidden="false" outlineLevel="0" max="6" min="5" style="0" width="10"/>
    <col collapsed="false" customWidth="true" hidden="false" outlineLevel="0" max="7" min="7" style="0" width="24"/>
    <col collapsed="false" customWidth="true" hidden="false" outlineLevel="0" max="8" min="8" style="0" width="30"/>
    <col collapsed="false" customWidth="true" hidden="false" outlineLevel="0" max="9" min="9" style="0" width="60"/>
    <col collapsed="false" customWidth="true" hidden="false" outlineLevel="0" max="10" min="10" style="0" width="28"/>
  </cols>
  <sheetData>
    <row r="1" customFormat="false" ht="16.15" hidden="false" customHeight="false" outlineLevel="0" collapsed="false">
      <c r="A1" s="1" t="s">
        <v>366</v>
      </c>
    </row>
    <row r="2" customFormat="false" ht="15" hidden="false" customHeight="false" outlineLevel="0" collapsed="false">
      <c r="A2" s="0" t="s">
        <v>367</v>
      </c>
    </row>
    <row r="3" customFormat="false" ht="15" hidden="false" customHeight="false" outlineLevel="0" collapsed="false">
      <c r="A3" s="2" t="s">
        <v>368</v>
      </c>
      <c r="B3" s="2" t="s">
        <v>369</v>
      </c>
      <c r="C3" s="2" t="s">
        <v>370</v>
      </c>
      <c r="D3" s="2" t="s">
        <v>371</v>
      </c>
      <c r="E3" s="2" t="s">
        <v>372</v>
      </c>
      <c r="F3" s="2" t="s">
        <v>373</v>
      </c>
      <c r="G3" s="2" t="s">
        <v>374</v>
      </c>
      <c r="H3" s="2" t="s">
        <v>375</v>
      </c>
      <c r="I3" s="2" t="s">
        <v>376</v>
      </c>
      <c r="J3" s="2" t="s">
        <v>377</v>
      </c>
    </row>
    <row r="4" customFormat="false" ht="15" hidden="false" customHeight="false" outlineLevel="0" collapsed="false">
      <c r="A4" s="0" t="s">
        <v>378</v>
      </c>
      <c r="B4" s="0" t="s">
        <v>379</v>
      </c>
      <c r="C4" s="0" t="n">
        <v>4547.26</v>
      </c>
      <c r="D4" s="0" t="n">
        <f aca="false">Inputs!$B$5</f>
        <v>0.15</v>
      </c>
      <c r="E4" s="0" t="n">
        <f aca="false">C4*D4</f>
        <v>682.089</v>
      </c>
      <c r="F4" s="0" t="n">
        <f aca="false">C4+E4</f>
        <v>5229.349</v>
      </c>
      <c r="G4" s="0" t="s">
        <v>380</v>
      </c>
      <c r="H4" s="0" t="n">
        <f aca="false">ROUNDUP(F4/Inputs!$B$10,0)</f>
        <v>262</v>
      </c>
      <c r="I4" s="0" t="s">
        <v>381</v>
      </c>
    </row>
    <row r="5" customFormat="false" ht="15" hidden="false" customHeight="false" outlineLevel="0" collapsed="false">
      <c r="A5" s="0" t="s">
        <v>382</v>
      </c>
      <c r="B5" s="0" t="s">
        <v>379</v>
      </c>
      <c r="C5" s="0" t="n">
        <v>6886.41</v>
      </c>
      <c r="D5" s="0" t="n">
        <f aca="false">Inputs!$B$5</f>
        <v>0.15</v>
      </c>
      <c r="E5" s="0" t="n">
        <f aca="false">C5*D5</f>
        <v>1032.9615</v>
      </c>
      <c r="F5" s="0" t="n">
        <f aca="false">C5+E5</f>
        <v>7919.3715</v>
      </c>
      <c r="G5" s="0" t="s">
        <v>380</v>
      </c>
      <c r="H5" s="0" t="n">
        <f aca="false">ROUNDUP(F5/Inputs!$B$10,0)</f>
        <v>396</v>
      </c>
      <c r="I5" s="0" t="s">
        <v>383</v>
      </c>
    </row>
    <row r="6" customFormat="false" ht="15" hidden="false" customHeight="false" outlineLevel="0" collapsed="false">
      <c r="A6" s="0" t="s">
        <v>384</v>
      </c>
      <c r="B6" s="0" t="s">
        <v>379</v>
      </c>
      <c r="C6" s="0" t="n">
        <v>4019.62</v>
      </c>
      <c r="D6" s="0" t="n">
        <f aca="false">Inputs!$B$5</f>
        <v>0.15</v>
      </c>
      <c r="E6" s="0" t="n">
        <f aca="false">C6*D6</f>
        <v>602.943</v>
      </c>
      <c r="F6" s="0" t="n">
        <f aca="false">C6+E6</f>
        <v>4622.563</v>
      </c>
      <c r="G6" s="0" t="s">
        <v>380</v>
      </c>
      <c r="H6" s="0" t="n">
        <f aca="false">ROUNDUP(F6/Inputs!$B$10,0)</f>
        <v>232</v>
      </c>
      <c r="I6" s="0" t="s">
        <v>385</v>
      </c>
    </row>
    <row r="7" customFormat="false" ht="15" hidden="false" customHeight="false" outlineLevel="0" collapsed="false">
      <c r="A7" s="0" t="s">
        <v>386</v>
      </c>
      <c r="B7" s="0" t="s">
        <v>379</v>
      </c>
      <c r="C7" s="0" t="n">
        <v>992.88</v>
      </c>
      <c r="D7" s="0" t="n">
        <f aca="false">Inputs!$B$5</f>
        <v>0.15</v>
      </c>
      <c r="E7" s="0" t="n">
        <f aca="false">C7*D7</f>
        <v>148.932</v>
      </c>
      <c r="F7" s="0" t="n">
        <f aca="false">C7+E7</f>
        <v>1141.812</v>
      </c>
      <c r="G7" s="0" t="s">
        <v>380</v>
      </c>
      <c r="H7" s="0" t="n">
        <f aca="false">ROUNDUP(F7/Inputs!$B$10,0)</f>
        <v>58</v>
      </c>
      <c r="I7" s="0" t="s">
        <v>387</v>
      </c>
    </row>
    <row r="8" customFormat="false" ht="15" hidden="false" customHeight="false" outlineLevel="0" collapsed="false">
      <c r="A8" s="0" t="s">
        <v>388</v>
      </c>
      <c r="B8" s="0" t="s">
        <v>379</v>
      </c>
      <c r="C8" s="0" t="n">
        <v>1244.53</v>
      </c>
      <c r="D8" s="0" t="n">
        <f aca="false">Inputs!$B$5</f>
        <v>0.15</v>
      </c>
      <c r="E8" s="0" t="n">
        <f aca="false">C8*D8</f>
        <v>186.6795</v>
      </c>
      <c r="F8" s="0" t="n">
        <f aca="false">C8+E8</f>
        <v>1431.2095</v>
      </c>
      <c r="G8" s="0" t="s">
        <v>389</v>
      </c>
      <c r="H8" s="0" t="n">
        <f aca="false">ROUNDUP(F8/Inputs!$B$11,0)</f>
        <v>144</v>
      </c>
      <c r="I8" s="0" t="s">
        <v>390</v>
      </c>
    </row>
    <row r="9" customFormat="false" ht="15" hidden="false" customHeight="false" outlineLevel="0" collapsed="false">
      <c r="A9" s="0" t="s">
        <v>391</v>
      </c>
      <c r="B9" s="0" t="s">
        <v>379</v>
      </c>
      <c r="C9" s="0" t="n">
        <v>2495.87</v>
      </c>
      <c r="D9" s="0" t="n">
        <f aca="false">Inputs!$B$5</f>
        <v>0.15</v>
      </c>
      <c r="E9" s="0" t="n">
        <f aca="false">C9*D9</f>
        <v>374.3805</v>
      </c>
      <c r="F9" s="0" t="n">
        <f aca="false">C9+E9</f>
        <v>2870.2505</v>
      </c>
      <c r="G9" s="0" t="s">
        <v>392</v>
      </c>
      <c r="H9" s="0" t="n">
        <f aca="false">ROUNDUP(F9/Inputs!$B$16,0)</f>
        <v>180</v>
      </c>
      <c r="I9" s="0" t="s">
        <v>393</v>
      </c>
    </row>
    <row r="10" customFormat="false" ht="15" hidden="false" customHeight="false" outlineLevel="0" collapsed="false">
      <c r="A10" s="0" t="s">
        <v>394</v>
      </c>
      <c r="B10" s="0" t="s">
        <v>379</v>
      </c>
      <c r="C10" s="0" t="n">
        <v>188.42</v>
      </c>
      <c r="D10" s="0" t="n">
        <f aca="false">Inputs!$B$5</f>
        <v>0.15</v>
      </c>
      <c r="E10" s="0" t="n">
        <f aca="false">C10*D10</f>
        <v>28.263</v>
      </c>
      <c r="F10" s="0" t="n">
        <f aca="false">C10+E10</f>
        <v>216.683</v>
      </c>
      <c r="G10" s="0" t="s">
        <v>389</v>
      </c>
      <c r="H10" s="0" t="n">
        <f aca="false">ROUNDUP(F10/Inputs!$B$11,0)</f>
        <v>22</v>
      </c>
      <c r="I10" s="0" t="s">
        <v>395</v>
      </c>
    </row>
    <row r="11" customFormat="false" ht="15" hidden="false" customHeight="false" outlineLevel="0" collapsed="false">
      <c r="A11" s="0" t="s">
        <v>396</v>
      </c>
      <c r="B11" s="0" t="s">
        <v>379</v>
      </c>
      <c r="C11" s="0" t="n">
        <v>792.07</v>
      </c>
      <c r="D11" s="0" t="n">
        <f aca="false">Inputs!$B$5</f>
        <v>0.15</v>
      </c>
      <c r="E11" s="0" t="n">
        <f aca="false">C11*D11</f>
        <v>118.8105</v>
      </c>
      <c r="F11" s="0" t="n">
        <f aca="false">C11+E11</f>
        <v>910.8805</v>
      </c>
      <c r="G11" s="0" t="s">
        <v>380</v>
      </c>
      <c r="H11" s="0" t="n">
        <f aca="false">ROUNDUP(F11/Inputs!$B$10,0)</f>
        <v>46</v>
      </c>
      <c r="I11" s="0" t="s">
        <v>397</v>
      </c>
    </row>
    <row r="12" customFormat="false" ht="15" hidden="false" customHeight="false" outlineLevel="0" collapsed="false">
      <c r="A12" s="0" t="s">
        <v>398</v>
      </c>
      <c r="B12" s="0" t="s">
        <v>379</v>
      </c>
      <c r="C12" s="0" t="n">
        <v>119.12</v>
      </c>
      <c r="D12" s="0" t="n">
        <f aca="false">Inputs!$B$5</f>
        <v>0.15</v>
      </c>
      <c r="E12" s="0" t="n">
        <f aca="false">C12*D12</f>
        <v>17.868</v>
      </c>
      <c r="F12" s="0" t="n">
        <f aca="false">C12+E12</f>
        <v>136.988</v>
      </c>
      <c r="G12" s="0" t="s">
        <v>389</v>
      </c>
      <c r="H12" s="0" t="n">
        <f aca="false">ROUNDUP(F12/Inputs!$B$11,0)</f>
        <v>14</v>
      </c>
      <c r="I12" s="0" t="s">
        <v>399</v>
      </c>
    </row>
    <row r="13" customFormat="false" ht="15" hidden="false" customHeight="false" outlineLevel="0" collapsed="false">
      <c r="A13" s="0" t="s">
        <v>400</v>
      </c>
      <c r="B13" s="0" t="s">
        <v>379</v>
      </c>
      <c r="C13" s="0" t="n">
        <v>808.52</v>
      </c>
      <c r="D13" s="0" t="n">
        <f aca="false">Inputs!$B$5</f>
        <v>0.15</v>
      </c>
      <c r="E13" s="0" t="n">
        <f aca="false">C13*D13</f>
        <v>121.278</v>
      </c>
      <c r="F13" s="0" t="n">
        <f aca="false">C13+E13</f>
        <v>929.798</v>
      </c>
      <c r="G13" s="0" t="s">
        <v>401</v>
      </c>
      <c r="H13" s="0" t="n">
        <f aca="false">ROUNDUP(F13/Inputs!$B$17,0)</f>
        <v>78</v>
      </c>
      <c r="I13" s="0" t="s">
        <v>402</v>
      </c>
    </row>
    <row r="14" customFormat="false" ht="15" hidden="false" customHeight="false" outlineLevel="0" collapsed="false">
      <c r="A14" s="0" t="s">
        <v>403</v>
      </c>
      <c r="B14" s="0" t="s">
        <v>379</v>
      </c>
      <c r="C14" s="0" t="n">
        <v>317.63</v>
      </c>
      <c r="D14" s="0" t="n">
        <f aca="false">Inputs!$B$5</f>
        <v>0.15</v>
      </c>
      <c r="E14" s="0" t="n">
        <f aca="false">C14*D14</f>
        <v>47.6445</v>
      </c>
      <c r="F14" s="0" t="n">
        <f aca="false">C14+E14</f>
        <v>365.2745</v>
      </c>
      <c r="G14" s="0" t="s">
        <v>392</v>
      </c>
      <c r="H14" s="0" t="n">
        <f aca="false">ROUNDUP(F14/Inputs!$B$16,0)</f>
        <v>23</v>
      </c>
      <c r="I14" s="0" t="s">
        <v>404</v>
      </c>
    </row>
    <row r="15" customFormat="false" ht="15" hidden="false" customHeight="false" outlineLevel="0" collapsed="false">
      <c r="A15" s="0" t="s">
        <v>405</v>
      </c>
      <c r="B15" s="0" t="s">
        <v>379</v>
      </c>
      <c r="C15" s="0" t="n">
        <v>533.62</v>
      </c>
      <c r="D15" s="0" t="n">
        <f aca="false">Inputs!$B$5</f>
        <v>0.15</v>
      </c>
      <c r="E15" s="0" t="n">
        <f aca="false">C15*D15</f>
        <v>80.043</v>
      </c>
      <c r="F15" s="0" t="n">
        <f aca="false">C15+E15</f>
        <v>613.663</v>
      </c>
      <c r="G15" s="0" t="s">
        <v>33</v>
      </c>
      <c r="H15" s="0" t="n">
        <f aca="false">ROUNDUP(F15,0)</f>
        <v>614</v>
      </c>
      <c r="I15" s="0" t="s">
        <v>406</v>
      </c>
    </row>
    <row r="16" customFormat="false" ht="15" hidden="false" customHeight="false" outlineLevel="0" collapsed="false">
      <c r="A16" s="0" t="s">
        <v>407</v>
      </c>
      <c r="B16" s="0" t="s">
        <v>408</v>
      </c>
      <c r="C16" s="0" t="n">
        <v>17021.84</v>
      </c>
      <c r="D16" s="0" t="n">
        <f aca="false">Inputs!$B$6</f>
        <v>0.06</v>
      </c>
      <c r="E16" s="0" t="n">
        <f aca="false">C16*D16</f>
        <v>1021.3104</v>
      </c>
      <c r="F16" s="0" t="n">
        <f aca="false">C16+E16</f>
        <v>18043.1504</v>
      </c>
      <c r="G16" s="0" t="s">
        <v>409</v>
      </c>
      <c r="H16" s="0" t="n">
        <f aca="false">ROUNDUP(F16/Inputs!$B$9,0)</f>
        <v>376</v>
      </c>
      <c r="I16" s="0" t="s">
        <v>410</v>
      </c>
    </row>
    <row r="17" customFormat="false" ht="15" hidden="false" customHeight="false" outlineLevel="0" collapsed="false">
      <c r="A17" s="0" t="s">
        <v>411</v>
      </c>
      <c r="B17" s="0" t="s">
        <v>408</v>
      </c>
      <c r="C17" s="0" t="n">
        <v>258.89</v>
      </c>
      <c r="D17" s="0" t="n">
        <f aca="false">Inputs!$B$6</f>
        <v>0.06</v>
      </c>
      <c r="E17" s="0" t="n">
        <f aca="false">C17*D17</f>
        <v>15.5334</v>
      </c>
      <c r="F17" s="0" t="n">
        <f aca="false">C17+E17</f>
        <v>274.4234</v>
      </c>
      <c r="G17" s="0" t="s">
        <v>409</v>
      </c>
      <c r="H17" s="0" t="n">
        <f aca="false">ROUNDUP(F17/Inputs!$B$9,0)</f>
        <v>6</v>
      </c>
      <c r="I17" s="0" t="s">
        <v>412</v>
      </c>
    </row>
    <row r="18" customFormat="false" ht="15" hidden="false" customHeight="false" outlineLevel="0" collapsed="false">
      <c r="A18" s="0" t="s">
        <v>413</v>
      </c>
      <c r="B18" s="0" t="s">
        <v>408</v>
      </c>
      <c r="C18" s="0" t="n">
        <v>82.94</v>
      </c>
      <c r="D18" s="0" t="n">
        <f aca="false">Inputs!$B$6</f>
        <v>0.06</v>
      </c>
      <c r="E18" s="0" t="n">
        <f aca="false">C18*D18</f>
        <v>4.9764</v>
      </c>
      <c r="F18" s="0" t="n">
        <f aca="false">C18+E18</f>
        <v>87.9164</v>
      </c>
      <c r="G18" s="0" t="s">
        <v>414</v>
      </c>
      <c r="H18" s="0" t="n">
        <f aca="false">ROUNDUP(F18/32,0)</f>
        <v>3</v>
      </c>
      <c r="I18" s="0" t="s">
        <v>415</v>
      </c>
    </row>
    <row r="19" customFormat="false" ht="15" hidden="false" customHeight="false" outlineLevel="0" collapsed="false">
      <c r="A19" s="0" t="s">
        <v>416</v>
      </c>
      <c r="B19" s="0" t="s">
        <v>408</v>
      </c>
      <c r="C19" s="0" t="n">
        <v>63.81</v>
      </c>
      <c r="D19" s="0" t="n">
        <f aca="false">Inputs!$B$6</f>
        <v>0.06</v>
      </c>
      <c r="E19" s="0" t="n">
        <f aca="false">C19*D19</f>
        <v>3.8286</v>
      </c>
      <c r="F19" s="0" t="n">
        <f aca="false">C19+E19</f>
        <v>67.6386</v>
      </c>
      <c r="G19" s="0" t="s">
        <v>414</v>
      </c>
      <c r="H19" s="0" t="n">
        <f aca="false">ROUNDUP(F19/32,0)</f>
        <v>3</v>
      </c>
      <c r="I19" s="0" t="s">
        <v>417</v>
      </c>
    </row>
    <row r="20" customFormat="false" ht="15" hidden="false" customHeight="false" outlineLevel="0" collapsed="false">
      <c r="A20" s="0" t="s">
        <v>418</v>
      </c>
      <c r="B20" s="0" t="s">
        <v>408</v>
      </c>
      <c r="C20" s="0" t="n">
        <v>470.24</v>
      </c>
      <c r="D20" s="0" t="n">
        <f aca="false">Inputs!$B$6</f>
        <v>0.06</v>
      </c>
      <c r="E20" s="0" t="n">
        <f aca="false">C20*D20</f>
        <v>28.2144</v>
      </c>
      <c r="F20" s="0" t="n">
        <f aca="false">C20+E20</f>
        <v>498.4544</v>
      </c>
      <c r="G20" s="0" t="s">
        <v>414</v>
      </c>
      <c r="H20" s="0" t="n">
        <f aca="false">ROUNDUP(F20/32,0)</f>
        <v>16</v>
      </c>
      <c r="I20" s="0" t="s">
        <v>419</v>
      </c>
    </row>
    <row r="21" customFormat="false" ht="15" hidden="false" customHeight="false" outlineLevel="0" collapsed="false">
      <c r="A21" s="0" t="s">
        <v>420</v>
      </c>
      <c r="B21" s="0" t="s">
        <v>408</v>
      </c>
      <c r="C21" s="0" t="n">
        <v>935.49</v>
      </c>
      <c r="D21" s="0" t="n">
        <f aca="false">Inputs!$B$6</f>
        <v>0.06</v>
      </c>
      <c r="E21" s="0" t="n">
        <f aca="false">C21*D21</f>
        <v>56.1294</v>
      </c>
      <c r="F21" s="0" t="n">
        <f aca="false">C21+E21</f>
        <v>991.6194</v>
      </c>
      <c r="G21" s="0" t="s">
        <v>414</v>
      </c>
      <c r="H21" s="0" t="n">
        <f aca="false">ROUNDUP(F21/32,0)</f>
        <v>31</v>
      </c>
      <c r="I21" s="0" t="s">
        <v>421</v>
      </c>
    </row>
    <row r="22" customFormat="false" ht="15" hidden="false" customHeight="false" outlineLevel="0" collapsed="false">
      <c r="A22" s="0" t="s">
        <v>422</v>
      </c>
      <c r="B22" s="0" t="s">
        <v>379</v>
      </c>
      <c r="C22" s="0" t="n">
        <v>747.61</v>
      </c>
      <c r="D22" s="0" t="n">
        <f aca="false">Inputs!$B$6</f>
        <v>0.06</v>
      </c>
      <c r="E22" s="0" t="n">
        <f aca="false">C22*D22</f>
        <v>44.8566</v>
      </c>
      <c r="F22" s="0" t="n">
        <f aca="false">C22+E22</f>
        <v>792.4666</v>
      </c>
      <c r="G22" s="0" t="s">
        <v>423</v>
      </c>
      <c r="H22" s="0" t="n">
        <f aca="false">ROUNDUP(F22/8,0)</f>
        <v>100</v>
      </c>
      <c r="I22" s="0" t="s">
        <v>424</v>
      </c>
    </row>
    <row r="23" customFormat="false" ht="15" hidden="false" customHeight="false" outlineLevel="0" collapsed="false">
      <c r="A23" s="0" t="s">
        <v>425</v>
      </c>
      <c r="B23" s="0" t="s">
        <v>379</v>
      </c>
      <c r="C23" s="0" t="n">
        <v>554.11</v>
      </c>
      <c r="D23" s="0" t="n">
        <f aca="false">Inputs!$B$5</f>
        <v>0.15</v>
      </c>
      <c r="E23" s="0" t="n">
        <f aca="false">C23*D23</f>
        <v>83.1165</v>
      </c>
      <c r="F23" s="0" t="n">
        <f aca="false">C23+E23</f>
        <v>637.2265</v>
      </c>
      <c r="G23" s="0" t="s">
        <v>380</v>
      </c>
      <c r="H23" s="0" t="n">
        <f aca="false">ROUNDUP(F23/Inputs!$B$10,0)</f>
        <v>32</v>
      </c>
      <c r="I23" s="0" t="s">
        <v>426</v>
      </c>
    </row>
    <row r="24" customFormat="false" ht="15" hidden="false" customHeight="false" outlineLevel="0" collapsed="false">
      <c r="A24" s="0" t="s">
        <v>427</v>
      </c>
      <c r="B24" s="0" t="s">
        <v>379</v>
      </c>
      <c r="C24" s="0" t="n">
        <v>91.3</v>
      </c>
      <c r="D24" s="0" t="n">
        <f aca="false">Inputs!$B$5</f>
        <v>0.15</v>
      </c>
      <c r="E24" s="0" t="n">
        <f aca="false">C24*D24</f>
        <v>13.695</v>
      </c>
      <c r="F24" s="0" t="n">
        <f aca="false">C24+E24</f>
        <v>104.995</v>
      </c>
      <c r="G24" s="0" t="s">
        <v>380</v>
      </c>
      <c r="H24" s="0" t="n">
        <f aca="false">ROUNDUP(F24/Inputs!$B$10,0)</f>
        <v>6</v>
      </c>
      <c r="I24" s="0" t="s">
        <v>428</v>
      </c>
    </row>
    <row r="25" customFormat="false" ht="15" hidden="false" customHeight="false" outlineLevel="0" collapsed="false">
      <c r="A25" s="0" t="s">
        <v>429</v>
      </c>
      <c r="B25" s="0" t="s">
        <v>379</v>
      </c>
      <c r="C25" s="0" t="n">
        <v>1064.41</v>
      </c>
      <c r="D25" s="0" t="n">
        <f aca="false">Inputs!$B$5</f>
        <v>0.15</v>
      </c>
      <c r="E25" s="0" t="n">
        <f aca="false">C25*D25</f>
        <v>159.6615</v>
      </c>
      <c r="F25" s="0" t="n">
        <f aca="false">C25+E25</f>
        <v>1224.0715</v>
      </c>
      <c r="G25" s="0" t="s">
        <v>430</v>
      </c>
      <c r="H25" s="0" t="n">
        <f aca="false">ROUNDUP(F25/Inputs!$B$18,0)</f>
        <v>123</v>
      </c>
      <c r="I25" s="0" t="s">
        <v>431</v>
      </c>
    </row>
    <row r="26" customFormat="false" ht="15" hidden="false" customHeight="false" outlineLevel="0" collapsed="false">
      <c r="A26" s="0" t="s">
        <v>432</v>
      </c>
      <c r="B26" s="0" t="s">
        <v>408</v>
      </c>
      <c r="C26" s="0" t="n">
        <v>31.38</v>
      </c>
      <c r="D26" s="0" t="n">
        <f aca="false">Inputs!$B$6</f>
        <v>0.06</v>
      </c>
      <c r="E26" s="0" t="n">
        <f aca="false">C26*D26</f>
        <v>1.8828</v>
      </c>
      <c r="F26" s="0" t="n">
        <f aca="false">C26+E26</f>
        <v>33.2628</v>
      </c>
      <c r="G26" s="0" t="s">
        <v>433</v>
      </c>
      <c r="H26" s="0" t="n">
        <f aca="false">ROUNDUP(F26/15,0)</f>
        <v>3</v>
      </c>
      <c r="I26" s="0" t="s">
        <v>434</v>
      </c>
    </row>
    <row r="27" customFormat="false" ht="15" hidden="false" customHeight="false" outlineLevel="0" collapsed="false">
      <c r="A27" s="0" t="s">
        <v>435</v>
      </c>
      <c r="B27" s="0" t="s">
        <v>408</v>
      </c>
      <c r="C27" s="0" t="n">
        <v>329.75</v>
      </c>
      <c r="D27" s="0" t="n">
        <f aca="false">Inputs!$B$6</f>
        <v>0.06</v>
      </c>
      <c r="E27" s="0" t="n">
        <f aca="false">C27*D27</f>
        <v>19.785</v>
      </c>
      <c r="F27" s="0" t="n">
        <f aca="false">C27+E27</f>
        <v>349.535</v>
      </c>
      <c r="G27" s="0" t="s">
        <v>414</v>
      </c>
      <c r="H27" s="0" t="n">
        <f aca="false">ROUNDUP(F27/32,0)</f>
        <v>11</v>
      </c>
      <c r="I27" s="0" t="s">
        <v>436</v>
      </c>
    </row>
    <row r="28" customFormat="false" ht="15" hidden="false" customHeight="false" outlineLevel="0" collapsed="false">
      <c r="A28" s="0" t="s">
        <v>437</v>
      </c>
      <c r="B28" s="0" t="s">
        <v>379</v>
      </c>
      <c r="C28" s="0" t="n">
        <v>1182.43</v>
      </c>
      <c r="D28" s="0" t="n">
        <f aca="false">Inputs!$B$6</f>
        <v>0.06</v>
      </c>
      <c r="E28" s="0" t="n">
        <f aca="false">C28*D28</f>
        <v>70.9458</v>
      </c>
      <c r="F28" s="0" t="n">
        <f aca="false">C28+E28</f>
        <v>1253.3758</v>
      </c>
      <c r="G28" s="0" t="s">
        <v>438</v>
      </c>
      <c r="H28" s="0" t="n">
        <f aca="false">ROUNDUP(F28/Inputs!$B$15,0)</f>
        <v>51</v>
      </c>
      <c r="I28" s="0" t="s">
        <v>439</v>
      </c>
    </row>
    <row r="29" customFormat="false" ht="15" hidden="false" customHeight="false" outlineLevel="0" collapsed="false">
      <c r="A29" s="0" t="s">
        <v>440</v>
      </c>
      <c r="B29" s="0" t="s">
        <v>379</v>
      </c>
      <c r="C29" s="0" t="n">
        <v>940.22</v>
      </c>
      <c r="D29" s="0" t="n">
        <f aca="false">Inputs!$B$5</f>
        <v>0.15</v>
      </c>
      <c r="E29" s="0" t="n">
        <f aca="false">C29*D29</f>
        <v>141.033</v>
      </c>
      <c r="F29" s="0" t="n">
        <f aca="false">C29+E29</f>
        <v>1081.253</v>
      </c>
      <c r="G29" s="0" t="s">
        <v>380</v>
      </c>
      <c r="H29" s="0" t="n">
        <f aca="false">ROUNDUP(F29/Inputs!$B$10,0)</f>
        <v>55</v>
      </c>
      <c r="I29" s="0" t="s">
        <v>441</v>
      </c>
    </row>
    <row r="30" customFormat="false" ht="15" hidden="false" customHeight="false" outlineLevel="0" collapsed="false">
      <c r="A30" s="0" t="s">
        <v>442</v>
      </c>
      <c r="B30" s="0" t="s">
        <v>379</v>
      </c>
      <c r="C30" s="0" t="n">
        <v>239.49</v>
      </c>
      <c r="D30" s="0" t="n">
        <f aca="false">Inputs!$B$5</f>
        <v>0.15</v>
      </c>
      <c r="E30" s="0" t="n">
        <f aca="false">C30*D30</f>
        <v>35.9235</v>
      </c>
      <c r="F30" s="0" t="n">
        <f aca="false">C30+E30</f>
        <v>275.4135</v>
      </c>
      <c r="G30" s="0" t="s">
        <v>389</v>
      </c>
      <c r="H30" s="0" t="n">
        <f aca="false">ROUNDUP(F30/Inputs!$B$11,0)</f>
        <v>28</v>
      </c>
      <c r="I30" s="0" t="s">
        <v>443</v>
      </c>
    </row>
    <row r="31" customFormat="false" ht="15" hidden="false" customHeight="false" outlineLevel="0" collapsed="false">
      <c r="A31" s="0" t="s">
        <v>444</v>
      </c>
      <c r="B31" s="0" t="s">
        <v>379</v>
      </c>
      <c r="C31" s="0" t="n">
        <v>309.29</v>
      </c>
      <c r="D31" s="0" t="n">
        <f aca="false">Inputs!$B$5</f>
        <v>0.15</v>
      </c>
      <c r="E31" s="0" t="n">
        <f aca="false">C31*D31</f>
        <v>46.3935</v>
      </c>
      <c r="F31" s="0" t="n">
        <f aca="false">C31+E31</f>
        <v>355.6835</v>
      </c>
      <c r="G31" s="0" t="s">
        <v>389</v>
      </c>
      <c r="H31" s="0" t="n">
        <f aca="false">ROUNDUP(F31/Inputs!$B$11,0)</f>
        <v>36</v>
      </c>
      <c r="I31" s="0" t="s">
        <v>443</v>
      </c>
    </row>
    <row r="32" customFormat="false" ht="15" hidden="false" customHeight="false" outlineLevel="0" collapsed="false">
      <c r="A32" s="0" t="s">
        <v>445</v>
      </c>
      <c r="B32" s="0" t="s">
        <v>379</v>
      </c>
      <c r="C32" s="0" t="n">
        <v>291.79</v>
      </c>
      <c r="D32" s="0" t="n">
        <f aca="false">Inputs!$B$5</f>
        <v>0.15</v>
      </c>
      <c r="E32" s="0" t="n">
        <f aca="false">C32*D32</f>
        <v>43.7685</v>
      </c>
      <c r="F32" s="0" t="n">
        <f aca="false">C32+E32</f>
        <v>335.5585</v>
      </c>
      <c r="G32" s="0" t="s">
        <v>389</v>
      </c>
      <c r="H32" s="0" t="n">
        <f aca="false">ROUNDUP(F32/Inputs!$B$11,0)</f>
        <v>34</v>
      </c>
      <c r="I32" s="0" t="s">
        <v>443</v>
      </c>
    </row>
    <row r="33" customFormat="false" ht="15" hidden="false" customHeight="false" outlineLevel="0" collapsed="false">
      <c r="A33" s="0" t="s">
        <v>446</v>
      </c>
      <c r="B33" s="0" t="s">
        <v>379</v>
      </c>
      <c r="C33" s="0" t="n">
        <v>60.58</v>
      </c>
      <c r="D33" s="0" t="n">
        <f aca="false">Inputs!$B$5</f>
        <v>0.15</v>
      </c>
      <c r="E33" s="0" t="n">
        <f aca="false">C33*D33</f>
        <v>9.087</v>
      </c>
      <c r="F33" s="0" t="n">
        <f aca="false">C33+E33</f>
        <v>69.667</v>
      </c>
      <c r="G33" s="0" t="s">
        <v>389</v>
      </c>
      <c r="H33" s="0" t="n">
        <f aca="false">ROUNDUP(F33/Inputs!$B$11,0)</f>
        <v>7</v>
      </c>
      <c r="I33" s="0" t="s">
        <v>443</v>
      </c>
    </row>
    <row r="34" customFormat="false" ht="15" hidden="false" customHeight="false" outlineLevel="0" collapsed="false">
      <c r="A34" s="0" t="s">
        <v>447</v>
      </c>
      <c r="B34" s="0" t="s">
        <v>379</v>
      </c>
      <c r="C34" s="0" t="n">
        <v>266.25</v>
      </c>
      <c r="D34" s="0" t="n">
        <f aca="false">Inputs!$B$5</f>
        <v>0.15</v>
      </c>
      <c r="E34" s="0" t="n">
        <f aca="false">C34*D34</f>
        <v>39.9375</v>
      </c>
      <c r="F34" s="0" t="n">
        <f aca="false">C34+E34</f>
        <v>306.1875</v>
      </c>
      <c r="G34" s="0" t="s">
        <v>389</v>
      </c>
      <c r="H34" s="0" t="n">
        <f aca="false">ROUNDUP(F34/Inputs!$B$11,0)</f>
        <v>31</v>
      </c>
      <c r="I34" s="0" t="s">
        <v>443</v>
      </c>
    </row>
    <row r="35" customFormat="false" ht="15" hidden="false" customHeight="false" outlineLevel="0" collapsed="false">
      <c r="A35" s="0" t="s">
        <v>448</v>
      </c>
      <c r="B35" s="0" t="s">
        <v>379</v>
      </c>
      <c r="C35" s="0" t="n">
        <v>177.56</v>
      </c>
      <c r="D35" s="0" t="n">
        <f aca="false">Inputs!$B$5</f>
        <v>0.15</v>
      </c>
      <c r="E35" s="0" t="n">
        <f aca="false">C35*D35</f>
        <v>26.634</v>
      </c>
      <c r="F35" s="0" t="n">
        <f aca="false">C35+E35</f>
        <v>204.194</v>
      </c>
      <c r="G35" s="0" t="s">
        <v>389</v>
      </c>
      <c r="H35" s="0" t="n">
        <f aca="false">ROUNDUP(F35/Inputs!$B$11,0)</f>
        <v>21</v>
      </c>
      <c r="I35" s="0" t="s">
        <v>443</v>
      </c>
    </row>
    <row r="36" customFormat="false" ht="15" hidden="false" customHeight="false" outlineLevel="0" collapsed="false">
      <c r="A36" s="0" t="s">
        <v>449</v>
      </c>
      <c r="B36" s="0" t="s">
        <v>379</v>
      </c>
      <c r="C36" s="0" t="n">
        <v>239.49</v>
      </c>
      <c r="D36" s="0" t="n">
        <f aca="false">Inputs!$B$5</f>
        <v>0.15</v>
      </c>
      <c r="E36" s="0" t="n">
        <f aca="false">C36*D36</f>
        <v>35.9235</v>
      </c>
      <c r="F36" s="0" t="n">
        <f aca="false">C36+E36</f>
        <v>275.4135</v>
      </c>
      <c r="G36" s="0" t="s">
        <v>389</v>
      </c>
      <c r="H36" s="0" t="n">
        <f aca="false">ROUNDUP(F36/Inputs!$B$11,0)</f>
        <v>28</v>
      </c>
      <c r="I36" s="0" t="s">
        <v>450</v>
      </c>
    </row>
    <row r="37" customFormat="false" ht="15" hidden="false" customHeight="false" outlineLevel="0" collapsed="false">
      <c r="A37" s="0" t="s">
        <v>451</v>
      </c>
      <c r="B37" s="0" t="s">
        <v>379</v>
      </c>
      <c r="C37" s="0" t="n">
        <v>309.29</v>
      </c>
      <c r="D37" s="0" t="n">
        <f aca="false">Inputs!$B$5</f>
        <v>0.15</v>
      </c>
      <c r="E37" s="0" t="n">
        <f aca="false">C37*D37</f>
        <v>46.3935</v>
      </c>
      <c r="F37" s="0" t="n">
        <f aca="false">C37+E37</f>
        <v>355.6835</v>
      </c>
      <c r="G37" s="0" t="s">
        <v>389</v>
      </c>
      <c r="H37" s="0" t="n">
        <f aca="false">ROUNDUP(F37/Inputs!$B$11,0)</f>
        <v>36</v>
      </c>
      <c r="I37" s="0" t="s">
        <v>450</v>
      </c>
    </row>
    <row r="38" customFormat="false" ht="15" hidden="false" customHeight="false" outlineLevel="0" collapsed="false">
      <c r="A38" s="0" t="s">
        <v>452</v>
      </c>
      <c r="B38" s="0" t="s">
        <v>379</v>
      </c>
      <c r="C38" s="0" t="n">
        <v>291.79</v>
      </c>
      <c r="D38" s="0" t="n">
        <f aca="false">Inputs!$B$5</f>
        <v>0.15</v>
      </c>
      <c r="E38" s="0" t="n">
        <f aca="false">C38*D38</f>
        <v>43.7685</v>
      </c>
      <c r="F38" s="0" t="n">
        <f aca="false">C38+E38</f>
        <v>335.5585</v>
      </c>
      <c r="G38" s="0" t="s">
        <v>389</v>
      </c>
      <c r="H38" s="0" t="n">
        <f aca="false">ROUNDUP(F38/Inputs!$B$11,0)</f>
        <v>34</v>
      </c>
      <c r="I38" s="0" t="s">
        <v>450</v>
      </c>
    </row>
    <row r="39" customFormat="false" ht="15" hidden="false" customHeight="false" outlineLevel="0" collapsed="false">
      <c r="A39" s="0" t="s">
        <v>453</v>
      </c>
      <c r="B39" s="0" t="s">
        <v>379</v>
      </c>
      <c r="C39" s="0" t="n">
        <v>60.58</v>
      </c>
      <c r="D39" s="0" t="n">
        <f aca="false">Inputs!$B$5</f>
        <v>0.15</v>
      </c>
      <c r="E39" s="0" t="n">
        <f aca="false">C39*D39</f>
        <v>9.087</v>
      </c>
      <c r="F39" s="0" t="n">
        <f aca="false">C39+E39</f>
        <v>69.667</v>
      </c>
      <c r="G39" s="0" t="s">
        <v>389</v>
      </c>
      <c r="H39" s="0" t="n">
        <f aca="false">ROUNDUP(F39/Inputs!$B$11,0)</f>
        <v>7</v>
      </c>
      <c r="I39" s="0" t="s">
        <v>450</v>
      </c>
    </row>
    <row r="40" customFormat="false" ht="15" hidden="false" customHeight="false" outlineLevel="0" collapsed="false">
      <c r="A40" s="0" t="s">
        <v>454</v>
      </c>
      <c r="B40" s="0" t="s">
        <v>379</v>
      </c>
      <c r="C40" s="0" t="n">
        <v>266.25</v>
      </c>
      <c r="D40" s="0" t="n">
        <f aca="false">Inputs!$B$5</f>
        <v>0.15</v>
      </c>
      <c r="E40" s="0" t="n">
        <f aca="false">C40*D40</f>
        <v>39.9375</v>
      </c>
      <c r="F40" s="0" t="n">
        <f aca="false">C40+E40</f>
        <v>306.1875</v>
      </c>
      <c r="G40" s="0" t="s">
        <v>389</v>
      </c>
      <c r="H40" s="0" t="n">
        <f aca="false">ROUNDUP(F40/Inputs!$B$11,0)</f>
        <v>31</v>
      </c>
      <c r="I40" s="0" t="s">
        <v>450</v>
      </c>
    </row>
    <row r="41" customFormat="false" ht="15" hidden="false" customHeight="false" outlineLevel="0" collapsed="false">
      <c r="A41" s="0" t="s">
        <v>455</v>
      </c>
      <c r="B41" s="0" t="s">
        <v>379</v>
      </c>
      <c r="C41" s="0" t="n">
        <v>177.56</v>
      </c>
      <c r="D41" s="0" t="n">
        <f aca="false">Inputs!$B$5</f>
        <v>0.15</v>
      </c>
      <c r="E41" s="0" t="n">
        <f aca="false">C41*D41</f>
        <v>26.634</v>
      </c>
      <c r="F41" s="0" t="n">
        <f aca="false">C41+E41</f>
        <v>204.194</v>
      </c>
      <c r="G41" s="0" t="s">
        <v>389</v>
      </c>
      <c r="H41" s="0" t="n">
        <f aca="false">ROUNDUP(F41/Inputs!$B$11,0)</f>
        <v>21</v>
      </c>
      <c r="I41" s="0" t="s">
        <v>450</v>
      </c>
    </row>
    <row r="42" customFormat="false" ht="15" hidden="false" customHeight="false" outlineLevel="0" collapsed="false">
      <c r="A42" s="0" t="s">
        <v>456</v>
      </c>
      <c r="B42" s="0" t="s">
        <v>408</v>
      </c>
      <c r="C42" s="0" t="n">
        <v>1858.75</v>
      </c>
      <c r="D42" s="0" t="n">
        <f aca="false">Inputs!$B$6</f>
        <v>0.06</v>
      </c>
      <c r="E42" s="0" t="n">
        <f aca="false">C42*D42</f>
        <v>111.525</v>
      </c>
      <c r="F42" s="0" t="n">
        <f aca="false">C42+E42</f>
        <v>1970.275</v>
      </c>
      <c r="G42" s="0" t="s">
        <v>457</v>
      </c>
      <c r="H42" s="0" t="n">
        <f aca="false">ROUNDUP(F42/Inputs!$B$9,0)</f>
        <v>42</v>
      </c>
      <c r="I42" s="0" t="s">
        <v>458</v>
      </c>
    </row>
    <row r="43" customFormat="false" ht="15" hidden="false" customHeight="false" outlineLevel="0" collapsed="false">
      <c r="A43" s="0" t="s">
        <v>459</v>
      </c>
      <c r="B43" s="0" t="s">
        <v>408</v>
      </c>
      <c r="C43" s="0" t="n">
        <v>3932.6</v>
      </c>
      <c r="D43" s="0" t="n">
        <f aca="false">Inputs!$B$6</f>
        <v>0.06</v>
      </c>
      <c r="E43" s="0" t="n">
        <f aca="false">C43*D43</f>
        <v>235.956</v>
      </c>
      <c r="F43" s="0" t="n">
        <f aca="false">C43+E43</f>
        <v>4168.556</v>
      </c>
      <c r="G43" s="0" t="s">
        <v>457</v>
      </c>
      <c r="H43" s="0" t="n">
        <f aca="false">ROUNDUP(F43/Inputs!$B$9,0)</f>
        <v>87</v>
      </c>
      <c r="I43" s="0" t="s">
        <v>458</v>
      </c>
    </row>
    <row r="44" customFormat="false" ht="15" hidden="false" customHeight="false" outlineLevel="0" collapsed="false">
      <c r="A44" s="0" t="s">
        <v>460</v>
      </c>
      <c r="B44" s="0" t="s">
        <v>408</v>
      </c>
      <c r="C44" s="0" t="n">
        <v>258.03</v>
      </c>
      <c r="D44" s="0" t="n">
        <f aca="false">Inputs!$B$6</f>
        <v>0.06</v>
      </c>
      <c r="E44" s="0" t="n">
        <f aca="false">C44*D44</f>
        <v>15.4818</v>
      </c>
      <c r="F44" s="0" t="n">
        <f aca="false">C44+E44</f>
        <v>273.5118</v>
      </c>
      <c r="G44" s="0" t="s">
        <v>457</v>
      </c>
      <c r="H44" s="0" t="n">
        <f aca="false">ROUNDUP(F44/Inputs!$B$9,0)</f>
        <v>6</v>
      </c>
      <c r="I44" s="0" t="s">
        <v>458</v>
      </c>
    </row>
    <row r="45" customFormat="false" ht="15" hidden="false" customHeight="false" outlineLevel="0" collapsed="false">
      <c r="A45" s="0" t="s">
        <v>461</v>
      </c>
      <c r="B45" s="0" t="s">
        <v>408</v>
      </c>
      <c r="C45" s="0" t="n">
        <v>17</v>
      </c>
      <c r="D45" s="0" t="n">
        <f aca="false">Inputs!$B$6</f>
        <v>0.06</v>
      </c>
      <c r="E45" s="0" t="n">
        <f aca="false">C45*D45</f>
        <v>1.02</v>
      </c>
      <c r="F45" s="0" t="n">
        <f aca="false">C45+E45</f>
        <v>18.02</v>
      </c>
      <c r="G45" s="0" t="s">
        <v>457</v>
      </c>
      <c r="H45" s="0" t="n">
        <f aca="false">ROUNDUP(F45/Inputs!$B$9,0)</f>
        <v>1</v>
      </c>
      <c r="I45" s="0" t="s">
        <v>458</v>
      </c>
    </row>
    <row r="46" customFormat="false" ht="15" hidden="false" customHeight="false" outlineLevel="0" collapsed="false">
      <c r="A46" s="0" t="s">
        <v>462</v>
      </c>
      <c r="B46" s="0" t="s">
        <v>408</v>
      </c>
      <c r="C46" s="0" t="n">
        <v>610.32</v>
      </c>
      <c r="D46" s="0" t="n">
        <f aca="false">Inputs!$B$6</f>
        <v>0.06</v>
      </c>
      <c r="E46" s="0" t="n">
        <f aca="false">C46*D46</f>
        <v>36.6192</v>
      </c>
      <c r="F46" s="0" t="n">
        <f aca="false">C46+E46</f>
        <v>646.9392</v>
      </c>
      <c r="G46" s="0" t="s">
        <v>457</v>
      </c>
      <c r="H46" s="0" t="n">
        <f aca="false">ROUNDUP(F46/Inputs!$B$9,0)</f>
        <v>14</v>
      </c>
      <c r="I46" s="0" t="s">
        <v>458</v>
      </c>
    </row>
    <row r="47" customFormat="false" ht="15" hidden="false" customHeight="false" outlineLevel="0" collapsed="false">
      <c r="A47" s="0" t="s">
        <v>463</v>
      </c>
      <c r="B47" s="0" t="s">
        <v>379</v>
      </c>
      <c r="C47" s="0" t="n">
        <v>217.6</v>
      </c>
      <c r="D47" s="0" t="n">
        <f aca="false">Inputs!$B$6</f>
        <v>0.06</v>
      </c>
      <c r="E47" s="0" t="n">
        <f aca="false">C47*D47</f>
        <v>13.056</v>
      </c>
      <c r="F47" s="0" t="n">
        <f aca="false">C47+E47</f>
        <v>230.656</v>
      </c>
      <c r="G47" s="0" t="s">
        <v>438</v>
      </c>
      <c r="H47" s="0" t="n">
        <f aca="false">ROUNDUP(F47/Inputs!$B$15,0)</f>
        <v>10</v>
      </c>
      <c r="I47" s="0" t="s">
        <v>464</v>
      </c>
    </row>
    <row r="48" customFormat="false" ht="15" hidden="false" customHeight="false" outlineLevel="0" collapsed="false">
      <c r="A48" s="0" t="s">
        <v>465</v>
      </c>
      <c r="B48" s="0" t="s">
        <v>466</v>
      </c>
      <c r="C48" s="0" t="n">
        <v>113</v>
      </c>
      <c r="D48" s="0" t="n">
        <v>0</v>
      </c>
      <c r="E48" s="0" t="n">
        <f aca="false">C48*D48</f>
        <v>0</v>
      </c>
      <c r="F48" s="0" t="n">
        <f aca="false">C48+E48</f>
        <v>113</v>
      </c>
      <c r="H48" s="0" t="n">
        <f aca="false">ROUNDUP(F48,0)</f>
        <v>113</v>
      </c>
      <c r="I48" s="0" t="s">
        <v>467</v>
      </c>
    </row>
    <row r="49" customFormat="false" ht="15" hidden="false" customHeight="false" outlineLevel="0" collapsed="false">
      <c r="A49" s="0" t="s">
        <v>468</v>
      </c>
      <c r="B49" s="0" t="s">
        <v>379</v>
      </c>
      <c r="C49" s="0" t="n">
        <v>56</v>
      </c>
      <c r="D49" s="0" t="n">
        <f aca="false">Inputs!$B$5</f>
        <v>0.15</v>
      </c>
      <c r="E49" s="0" t="n">
        <f aca="false">C49*D49</f>
        <v>8.4</v>
      </c>
      <c r="F49" s="0" t="n">
        <f aca="false">C49+E49</f>
        <v>64.4</v>
      </c>
      <c r="G49" s="0" t="s">
        <v>389</v>
      </c>
      <c r="H49" s="0" t="n">
        <f aca="false">ROUNDUP(F49/Inputs!$B$11,0)</f>
        <v>7</v>
      </c>
      <c r="I49" s="0" t="s">
        <v>469</v>
      </c>
    </row>
    <row r="50" customFormat="false" ht="15" hidden="false" customHeight="false" outlineLevel="0" collapsed="false">
      <c r="A50" s="0" t="s">
        <v>470</v>
      </c>
      <c r="B50" s="0" t="s">
        <v>466</v>
      </c>
      <c r="C50" s="0" t="n">
        <v>37</v>
      </c>
      <c r="D50" s="0" t="n">
        <v>0</v>
      </c>
      <c r="E50" s="0" t="n">
        <f aca="false">C50*D50</f>
        <v>0</v>
      </c>
      <c r="F50" s="0" t="n">
        <f aca="false">C50+E50</f>
        <v>37</v>
      </c>
      <c r="G50" s="0" t="s">
        <v>471</v>
      </c>
      <c r="H50" s="0" t="n">
        <f aca="false">ROUNDUP(F50,0)</f>
        <v>37</v>
      </c>
      <c r="I50" s="0" t="s">
        <v>472</v>
      </c>
    </row>
    <row r="51" customFormat="false" ht="15" hidden="false" customHeight="false" outlineLevel="0" collapsed="false">
      <c r="A51" s="0" t="s">
        <v>473</v>
      </c>
      <c r="B51" s="0" t="s">
        <v>379</v>
      </c>
      <c r="C51" s="0" t="n">
        <v>18</v>
      </c>
      <c r="D51" s="0" t="n">
        <f aca="false">Inputs!$B$5</f>
        <v>0.15</v>
      </c>
      <c r="E51" s="0" t="n">
        <f aca="false">C51*D51</f>
        <v>2.7</v>
      </c>
      <c r="F51" s="0" t="n">
        <f aca="false">C51+E51</f>
        <v>20.7</v>
      </c>
      <c r="G51" s="0" t="s">
        <v>380</v>
      </c>
      <c r="H51" s="0" t="n">
        <f aca="false">ROUNDUP(F51/Inputs!$B$10,0)</f>
        <v>2</v>
      </c>
      <c r="I51" s="0" t="s">
        <v>474</v>
      </c>
    </row>
    <row r="52" customFormat="false" ht="15" hidden="false" customHeight="false" outlineLevel="0" collapsed="false">
      <c r="A52" s="0" t="s">
        <v>475</v>
      </c>
      <c r="B52" s="0" t="s">
        <v>379</v>
      </c>
      <c r="C52" s="0" t="n">
        <v>10.43</v>
      </c>
      <c r="D52" s="0" t="n">
        <f aca="false">Inputs!$B$5</f>
        <v>0.15</v>
      </c>
      <c r="E52" s="0" t="n">
        <f aca="false">C52*D52</f>
        <v>1.5645</v>
      </c>
      <c r="F52" s="0" t="n">
        <f aca="false">C52+E52</f>
        <v>11.9945</v>
      </c>
      <c r="G52" s="0" t="s">
        <v>380</v>
      </c>
      <c r="H52" s="0" t="n">
        <f aca="false">ROUNDUP(F52/Inputs!$B$10,0)</f>
        <v>1</v>
      </c>
      <c r="I52" s="0" t="s">
        <v>476</v>
      </c>
    </row>
    <row r="53" customFormat="false" ht="15" hidden="false" customHeight="false" outlineLevel="0" collapsed="false">
      <c r="A53" s="0" t="s">
        <v>477</v>
      </c>
      <c r="B53" s="0" t="s">
        <v>408</v>
      </c>
      <c r="C53" s="0" t="n">
        <v>67.16</v>
      </c>
      <c r="D53" s="0" t="n">
        <f aca="false">Inputs!$B$6</f>
        <v>0.06</v>
      </c>
      <c r="E53" s="0" t="n">
        <f aca="false">C53*D53</f>
        <v>4.0296</v>
      </c>
      <c r="F53" s="0" t="n">
        <f aca="false">C53+E53</f>
        <v>71.1896</v>
      </c>
      <c r="G53" s="0" t="s">
        <v>457</v>
      </c>
      <c r="H53" s="0" t="n">
        <f aca="false">ROUNDUP(F53/Inputs!$B$9,0)</f>
        <v>2</v>
      </c>
      <c r="I53" s="0" t="s">
        <v>478</v>
      </c>
    </row>
    <row r="54" customFormat="false" ht="15" hidden="false" customHeight="false" outlineLevel="0" collapsed="false">
      <c r="A54" s="0" t="s">
        <v>479</v>
      </c>
      <c r="B54" s="0" t="s">
        <v>379</v>
      </c>
      <c r="C54" s="0" t="n">
        <v>221.5</v>
      </c>
      <c r="D54" s="0" t="n">
        <f aca="false">Inputs!$B$6</f>
        <v>0.06</v>
      </c>
      <c r="E54" s="0" t="n">
        <f aca="false">C54*D54</f>
        <v>13.29</v>
      </c>
      <c r="F54" s="0" t="n">
        <f aca="false">C54+E54</f>
        <v>234.79</v>
      </c>
      <c r="G54" s="0" t="s">
        <v>430</v>
      </c>
      <c r="H54" s="0" t="n">
        <f aca="false">ROUNDUP(F54/Inputs!$B$18,0)</f>
        <v>24</v>
      </c>
      <c r="I54" s="0" t="s">
        <v>480</v>
      </c>
    </row>
    <row r="55" customFormat="false" ht="15" hidden="false" customHeight="false" outlineLevel="0" collapsed="false">
      <c r="A55" s="0" t="s">
        <v>481</v>
      </c>
      <c r="B55" s="0" t="s">
        <v>466</v>
      </c>
      <c r="C55" s="0" t="n">
        <v>302</v>
      </c>
      <c r="D55" s="0" t="n">
        <v>0</v>
      </c>
      <c r="E55" s="0" t="n">
        <f aca="false">C55*D55</f>
        <v>0</v>
      </c>
      <c r="F55" s="0" t="n">
        <f aca="false">C55+E55</f>
        <v>302</v>
      </c>
      <c r="G55" s="0" t="s">
        <v>471</v>
      </c>
      <c r="H55" s="0" t="n">
        <f aca="false">ROUNDUP(F55,0)</f>
        <v>302</v>
      </c>
      <c r="I55" s="0" t="s">
        <v>482</v>
      </c>
    </row>
    <row r="56" customFormat="false" ht="15" hidden="false" customHeight="false" outlineLevel="0" collapsed="false">
      <c r="A56" s="0" t="s">
        <v>483</v>
      </c>
      <c r="B56" s="0" t="s">
        <v>466</v>
      </c>
      <c r="C56" s="0" t="n">
        <v>1</v>
      </c>
      <c r="D56" s="0" t="n">
        <v>0</v>
      </c>
      <c r="E56" s="0" t="n">
        <f aca="false">C56*D56</f>
        <v>0</v>
      </c>
      <c r="F56" s="0" t="n">
        <f aca="false">C56+E56</f>
        <v>1</v>
      </c>
      <c r="G56" s="0" t="s">
        <v>471</v>
      </c>
      <c r="H56" s="0" t="n">
        <f aca="false">ROUNDUP(F56,0)</f>
        <v>1</v>
      </c>
      <c r="I56" s="0" t="s">
        <v>484</v>
      </c>
    </row>
    <row r="57" customFormat="false" ht="15" hidden="false" customHeight="false" outlineLevel="0" collapsed="false">
      <c r="A57" s="0" t="s">
        <v>485</v>
      </c>
      <c r="B57" s="0" t="s">
        <v>466</v>
      </c>
      <c r="C57" s="0" t="n">
        <v>20813.45</v>
      </c>
      <c r="D57" s="0" t="n">
        <v>0</v>
      </c>
      <c r="E57" s="0" t="n">
        <f aca="false">C57*D57</f>
        <v>0</v>
      </c>
      <c r="F57" s="0" t="n">
        <f aca="false">C57+E57</f>
        <v>20813.45</v>
      </c>
      <c r="G57" s="0" t="s">
        <v>471</v>
      </c>
      <c r="H57" s="0" t="n">
        <f aca="false">ROUNDUP(F57,0)</f>
        <v>20814</v>
      </c>
      <c r="I57" s="0" t="s">
        <v>486</v>
      </c>
      <c r="J57" s="0" t="n">
        <f aca="false">Inputs!$B$20*17344.5</f>
        <v>20813.4</v>
      </c>
    </row>
    <row r="58" customFormat="false" ht="15" hidden="false" customHeight="false" outlineLevel="0" collapsed="false">
      <c r="A58" s="0" t="s">
        <v>487</v>
      </c>
      <c r="B58" s="0" t="s">
        <v>466</v>
      </c>
      <c r="C58" s="0" t="n">
        <v>7076</v>
      </c>
      <c r="D58" s="0" t="n">
        <v>0</v>
      </c>
      <c r="E58" s="0" t="n">
        <f aca="false">C58*D58</f>
        <v>0</v>
      </c>
      <c r="F58" s="0" t="n">
        <f aca="false">C58+E58</f>
        <v>7076</v>
      </c>
      <c r="G58" s="0" t="s">
        <v>471</v>
      </c>
      <c r="H58" s="0" t="n">
        <f aca="false">ROUNDUP(F58,0)</f>
        <v>7076</v>
      </c>
      <c r="I58" s="0" t="s">
        <v>488</v>
      </c>
      <c r="J58" s="0" t="n">
        <f aca="false">Inputs!$B$21*1769</f>
        <v>7076</v>
      </c>
    </row>
    <row r="59" customFormat="false" ht="15" hidden="false" customHeight="false" outlineLevel="0" collapsed="false">
      <c r="A59" s="0" t="s">
        <v>489</v>
      </c>
      <c r="B59" s="0" t="s">
        <v>466</v>
      </c>
      <c r="C59" s="0" t="n">
        <v>538.4</v>
      </c>
      <c r="D59" s="0" t="n">
        <v>0</v>
      </c>
      <c r="E59" s="0" t="n">
        <f aca="false">C59*D59</f>
        <v>0</v>
      </c>
      <c r="F59" s="0" t="n">
        <f aca="false">C59+E59</f>
        <v>538.4</v>
      </c>
      <c r="G59" s="0" t="s">
        <v>471</v>
      </c>
      <c r="H59" s="0" t="n">
        <f aca="false">ROUNDUP(F59,0)</f>
        <v>539</v>
      </c>
      <c r="I59" s="0" t="s">
        <v>490</v>
      </c>
      <c r="J59" s="0" t="n">
        <f aca="false">538.4/Inputs!$B$22</f>
        <v>538.4</v>
      </c>
    </row>
    <row r="60" customFormat="false" ht="15" hidden="false" customHeight="false" outlineLevel="0" collapsed="false">
      <c r="A60" s="0" t="s">
        <v>491</v>
      </c>
      <c r="B60" s="0" t="s">
        <v>466</v>
      </c>
      <c r="C60" s="0" t="n">
        <v>321.15</v>
      </c>
      <c r="D60" s="0" t="n">
        <v>0</v>
      </c>
      <c r="E60" s="0" t="n">
        <f aca="false">C60*D60</f>
        <v>0</v>
      </c>
      <c r="F60" s="0" t="n">
        <f aca="false">C60+E60</f>
        <v>321.15</v>
      </c>
      <c r="G60" s="0" t="s">
        <v>471</v>
      </c>
      <c r="H60" s="0" t="n">
        <f aca="false">ROUNDUP(F60,0)</f>
        <v>322</v>
      </c>
      <c r="I60" s="0" t="s">
        <v>492</v>
      </c>
      <c r="J60" s="0" t="n">
        <f aca="false">214.1/Inputs!$B$25</f>
        <v>321.133943302835</v>
      </c>
    </row>
    <row r="61" customFormat="false" ht="15" hidden="false" customHeight="false" outlineLevel="0" collapsed="false">
      <c r="A61" s="0" t="s">
        <v>493</v>
      </c>
      <c r="B61" s="0" t="s">
        <v>494</v>
      </c>
      <c r="C61" s="0" t="n">
        <v>1248.81</v>
      </c>
      <c r="D61" s="0" t="n">
        <v>0</v>
      </c>
      <c r="E61" s="0" t="n">
        <f aca="false">C61*D61</f>
        <v>0</v>
      </c>
      <c r="F61" s="0" t="n">
        <f aca="false">C61+E61</f>
        <v>1248.81</v>
      </c>
      <c r="G61" s="0" t="s">
        <v>495</v>
      </c>
      <c r="H61" s="0" t="n">
        <f aca="false">ROUNDUP(F61,0)</f>
        <v>1249</v>
      </c>
      <c r="I61" s="0" t="s">
        <v>496</v>
      </c>
      <c r="J61" s="0" t="n">
        <f aca="false">Inputs!$B$23*17344.5</f>
        <v>1248.804</v>
      </c>
    </row>
    <row r="62" customFormat="false" ht="15" hidden="false" customHeight="false" outlineLevel="0" collapsed="false">
      <c r="A62" s="0" t="s">
        <v>497</v>
      </c>
      <c r="B62" s="0" t="s">
        <v>379</v>
      </c>
      <c r="C62" s="0" t="n">
        <v>6417.48</v>
      </c>
      <c r="D62" s="0" t="n">
        <v>0</v>
      </c>
      <c r="E62" s="0" t="n">
        <f aca="false">C62*D62</f>
        <v>0</v>
      </c>
      <c r="F62" s="0" t="n">
        <f aca="false">C62+E62</f>
        <v>6417.48</v>
      </c>
      <c r="G62" s="0" t="s">
        <v>379</v>
      </c>
      <c r="H62" s="0" t="n">
        <f aca="false">ROUNDUP(F62,0)</f>
        <v>6418</v>
      </c>
      <c r="I62" s="0" t="s">
        <v>498</v>
      </c>
      <c r="J62" s="0" t="n">
        <f aca="false">Inputs!$B$24*17344.5</f>
        <v>6417.465</v>
      </c>
    </row>
    <row r="63" customFormat="false" ht="15" hidden="false" customHeight="false" outlineLevel="0" collapsed="false">
      <c r="A63" s="0" t="s">
        <v>499</v>
      </c>
      <c r="B63" s="0" t="s">
        <v>408</v>
      </c>
      <c r="C63" s="0" t="n">
        <v>712.88</v>
      </c>
      <c r="D63" s="0" t="n">
        <f aca="false">Inputs!$B$6</f>
        <v>0.06</v>
      </c>
      <c r="E63" s="0" t="n">
        <f aca="false">C63*D63</f>
        <v>42.7728</v>
      </c>
      <c r="F63" s="0" t="n">
        <f aca="false">C63+E63</f>
        <v>755.6528</v>
      </c>
      <c r="G63" s="0" t="s">
        <v>408</v>
      </c>
      <c r="H63" s="0" t="n">
        <f aca="false">ROUNDUP(F63,0)</f>
        <v>756</v>
      </c>
      <c r="I63" s="0" t="s">
        <v>500</v>
      </c>
    </row>
    <row r="64" customFormat="false" ht="15" hidden="false" customHeight="false" outlineLevel="0" collapsed="false">
      <c r="A64" s="0" t="s">
        <v>501</v>
      </c>
      <c r="B64" s="0" t="s">
        <v>466</v>
      </c>
      <c r="C64" s="0" t="n">
        <v>0</v>
      </c>
      <c r="D64" s="0" t="n">
        <v>0</v>
      </c>
      <c r="E64" s="0" t="n">
        <f aca="false">C64*D64</f>
        <v>0</v>
      </c>
      <c r="F64" s="0" t="n">
        <f aca="false">C64+E64</f>
        <v>0</v>
      </c>
      <c r="G64" s="0" t="s">
        <v>471</v>
      </c>
      <c r="H64" s="0" t="n">
        <f aca="false">ROUNDUP(F64,0)</f>
        <v>0</v>
      </c>
      <c r="I64" s="0" t="s">
        <v>502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60"/>
  </cols>
  <sheetData>
    <row r="1" customFormat="false" ht="15" hidden="false" customHeight="false" outlineLevel="0" collapsed="false">
      <c r="A1" s="2" t="s">
        <v>503</v>
      </c>
      <c r="B1" s="2" t="s">
        <v>504</v>
      </c>
      <c r="C1" s="2" t="s">
        <v>505</v>
      </c>
    </row>
    <row r="2" customFormat="false" ht="15" hidden="false" customHeight="false" outlineLevel="0" collapsed="false">
      <c r="A2" s="0" t="s">
        <v>506</v>
      </c>
      <c r="B2" s="0" t="s">
        <v>507</v>
      </c>
      <c r="C2" s="0" t="s">
        <v>508</v>
      </c>
    </row>
    <row r="3" customFormat="false" ht="15" hidden="false" customHeight="false" outlineLevel="0" collapsed="false">
      <c r="A3" s="0" t="s">
        <v>509</v>
      </c>
      <c r="B3" s="0" t="s">
        <v>510</v>
      </c>
      <c r="C3" s="0" t="s">
        <v>511</v>
      </c>
    </row>
    <row r="4" customFormat="false" ht="15" hidden="false" customHeight="false" outlineLevel="0" collapsed="false">
      <c r="A4" s="0" t="s">
        <v>512</v>
      </c>
      <c r="B4" s="0" t="s">
        <v>513</v>
      </c>
      <c r="C4" s="0" t="s">
        <v>514</v>
      </c>
    </row>
    <row r="5" customFormat="false" ht="15" hidden="false" customHeight="false" outlineLevel="0" collapsed="false">
      <c r="A5" s="0" t="s">
        <v>515</v>
      </c>
      <c r="B5" s="0" t="s">
        <v>516</v>
      </c>
      <c r="C5" s="0" t="s">
        <v>517</v>
      </c>
    </row>
    <row r="6" customFormat="false" ht="15" hidden="false" customHeight="false" outlineLevel="0" collapsed="false">
      <c r="A6" s="0" t="s">
        <v>518</v>
      </c>
      <c r="B6" s="0" t="s">
        <v>519</v>
      </c>
      <c r="C6" s="0" t="s">
        <v>520</v>
      </c>
    </row>
    <row r="7" customFormat="false" ht="15" hidden="false" customHeight="false" outlineLevel="0" collapsed="false">
      <c r="A7" s="0" t="s">
        <v>521</v>
      </c>
      <c r="B7" s="0" t="s">
        <v>522</v>
      </c>
      <c r="C7" s="0" t="s">
        <v>520</v>
      </c>
    </row>
    <row r="8" customFormat="false" ht="15" hidden="false" customHeight="false" outlineLevel="0" collapsed="false">
      <c r="A8" s="0" t="s">
        <v>523</v>
      </c>
      <c r="B8" s="0" t="s">
        <v>524</v>
      </c>
      <c r="C8" s="0" t="s">
        <v>525</v>
      </c>
    </row>
    <row r="9" customFormat="false" ht="15" hidden="false" customHeight="false" outlineLevel="0" collapsed="false">
      <c r="A9" s="0" t="s">
        <v>526</v>
      </c>
      <c r="B9" s="0" t="s">
        <v>527</v>
      </c>
      <c r="C9" s="0" t="s">
        <v>528</v>
      </c>
    </row>
    <row r="10" customFormat="false" ht="15" hidden="false" customHeight="false" outlineLevel="0" collapsed="false">
      <c r="A10" s="0" t="s">
        <v>529</v>
      </c>
      <c r="B10" s="0" t="s">
        <v>530</v>
      </c>
      <c r="C10" s="0" t="s">
        <v>531</v>
      </c>
    </row>
    <row r="11" customFormat="false" ht="15" hidden="false" customHeight="false" outlineLevel="0" collapsed="false">
      <c r="A11" s="0" t="s">
        <v>532</v>
      </c>
      <c r="B11" s="0" t="s">
        <v>533</v>
      </c>
      <c r="C11" s="0" t="s">
        <v>534</v>
      </c>
    </row>
    <row r="12" customFormat="false" ht="15" hidden="false" customHeight="false" outlineLevel="0" collapsed="false">
      <c r="A12" s="0" t="s">
        <v>535</v>
      </c>
      <c r="B12" s="0" t="s">
        <v>536</v>
      </c>
      <c r="C12" s="0" t="s">
        <v>537</v>
      </c>
    </row>
    <row r="13" customFormat="false" ht="15" hidden="false" customHeight="false" outlineLevel="0" collapsed="false">
      <c r="A13" s="0" t="s">
        <v>538</v>
      </c>
      <c r="B13" s="0" t="s">
        <v>539</v>
      </c>
      <c r="C13" s="0" t="s">
        <v>540</v>
      </c>
    </row>
    <row r="14" customFormat="false" ht="15" hidden="false" customHeight="false" outlineLevel="0" collapsed="false">
      <c r="A14" s="0" t="s">
        <v>541</v>
      </c>
      <c r="B14" s="0" t="s">
        <v>542</v>
      </c>
      <c r="C14" s="0" t="s">
        <v>543</v>
      </c>
    </row>
    <row r="15" customFormat="false" ht="15" hidden="false" customHeight="false" outlineLevel="0" collapsed="false">
      <c r="A15" s="0" t="s">
        <v>544</v>
      </c>
      <c r="B15" s="0" t="s">
        <v>545</v>
      </c>
      <c r="C15" s="0" t="s">
        <v>546</v>
      </c>
    </row>
    <row r="16" customFormat="false" ht="15" hidden="false" customHeight="false" outlineLevel="0" collapsed="false">
      <c r="A16" s="0" t="s">
        <v>547</v>
      </c>
      <c r="B16" s="0" t="s">
        <v>548</v>
      </c>
      <c r="C16" s="0" t="s">
        <v>549</v>
      </c>
    </row>
    <row r="17" customFormat="false" ht="15" hidden="false" customHeight="false" outlineLevel="0" collapsed="false">
      <c r="A17" s="0" t="s">
        <v>550</v>
      </c>
      <c r="B17" s="0" t="s">
        <v>551</v>
      </c>
      <c r="C17" s="0" t="s">
        <v>552</v>
      </c>
    </row>
    <row r="18" customFormat="false" ht="15" hidden="false" customHeight="false" outlineLevel="0" collapsed="false">
      <c r="A18" s="0" t="s">
        <v>553</v>
      </c>
      <c r="B18" s="0" t="s">
        <v>554</v>
      </c>
      <c r="C18" s="0" t="s">
        <v>555</v>
      </c>
    </row>
    <row r="19" customFormat="false" ht="15" hidden="false" customHeight="false" outlineLevel="0" collapsed="false">
      <c r="A19" s="0" t="s">
        <v>556</v>
      </c>
      <c r="B19" s="0" t="s">
        <v>557</v>
      </c>
      <c r="C19" s="0" t="s">
        <v>558</v>
      </c>
    </row>
    <row r="20" customFormat="false" ht="15" hidden="false" customHeight="false" outlineLevel="0" collapsed="false">
      <c r="A20" s="0" t="s">
        <v>559</v>
      </c>
      <c r="B20" s="0" t="s">
        <v>560</v>
      </c>
      <c r="C20" s="0" t="s">
        <v>561</v>
      </c>
    </row>
    <row r="21" customFormat="false" ht="15" hidden="false" customHeight="false" outlineLevel="0" collapsed="false">
      <c r="A21" s="0" t="s">
        <v>562</v>
      </c>
      <c r="B21" s="0" t="s">
        <v>563</v>
      </c>
      <c r="C21" s="0" t="s">
        <v>564</v>
      </c>
    </row>
    <row r="22" customFormat="false" ht="15" hidden="false" customHeight="false" outlineLevel="0" collapsed="false">
      <c r="A22" s="0" t="s">
        <v>565</v>
      </c>
      <c r="B22" s="0" t="s">
        <v>566</v>
      </c>
      <c r="C22" s="0" t="s">
        <v>567</v>
      </c>
    </row>
    <row r="23" customFormat="false" ht="15" hidden="false" customHeight="false" outlineLevel="0" collapsed="false">
      <c r="A23" s="0" t="s">
        <v>568</v>
      </c>
      <c r="B23" s="0" t="s">
        <v>569</v>
      </c>
      <c r="C23" s="0" t="s">
        <v>570</v>
      </c>
    </row>
    <row r="24" customFormat="false" ht="15" hidden="false" customHeight="false" outlineLevel="0" collapsed="false">
      <c r="A24" s="0" t="s">
        <v>571</v>
      </c>
      <c r="B24" s="0" t="s">
        <v>572</v>
      </c>
      <c r="C24" s="0" t="s">
        <v>573</v>
      </c>
    </row>
    <row r="25" customFormat="false" ht="15" hidden="false" customHeight="false" outlineLevel="0" collapsed="false">
      <c r="A25" s="0" t="s">
        <v>574</v>
      </c>
      <c r="B25" s="0" t="s">
        <v>575</v>
      </c>
      <c r="C25" s="0" t="s">
        <v>576</v>
      </c>
    </row>
    <row r="26" customFormat="false" ht="15" hidden="false" customHeight="false" outlineLevel="0" collapsed="false">
      <c r="A26" s="0" t="s">
        <v>577</v>
      </c>
      <c r="B26" s="0" t="s">
        <v>578</v>
      </c>
      <c r="C26" s="0" t="s">
        <v>579</v>
      </c>
    </row>
    <row r="27" customFormat="false" ht="15" hidden="false" customHeight="false" outlineLevel="0" collapsed="false">
      <c r="A27" s="0" t="s">
        <v>580</v>
      </c>
      <c r="B27" s="0" t="s">
        <v>581</v>
      </c>
      <c r="C27" s="0" t="s">
        <v>582</v>
      </c>
    </row>
    <row r="28" customFormat="false" ht="15" hidden="false" customHeight="false" outlineLevel="0" collapsed="false">
      <c r="A28" s="0" t="s">
        <v>583</v>
      </c>
      <c r="B28" s="0" t="s">
        <v>584</v>
      </c>
      <c r="C28" s="0" t="s">
        <v>585</v>
      </c>
    </row>
    <row r="29" customFormat="false" ht="15" hidden="false" customHeight="false" outlineLevel="0" collapsed="false">
      <c r="A29" s="0" t="s">
        <v>586</v>
      </c>
      <c r="B29" s="0" t="s">
        <v>587</v>
      </c>
      <c r="C29" s="0" t="s">
        <v>588</v>
      </c>
    </row>
    <row r="30" customFormat="false" ht="15" hidden="false" customHeight="false" outlineLevel="0" collapsed="false">
      <c r="A30" s="0" t="s">
        <v>589</v>
      </c>
      <c r="B30" s="0" t="s">
        <v>590</v>
      </c>
      <c r="C30" s="0" t="s">
        <v>591</v>
      </c>
    </row>
    <row r="31" customFormat="false" ht="15" hidden="false" customHeight="false" outlineLevel="0" collapsed="false">
      <c r="A31" s="0" t="s">
        <v>592</v>
      </c>
      <c r="B31" s="0" t="s">
        <v>593</v>
      </c>
      <c r="C31" s="0" t="s">
        <v>594</v>
      </c>
    </row>
    <row r="32" customFormat="false" ht="15" hidden="false" customHeight="false" outlineLevel="0" collapsed="false">
      <c r="A32" s="0" t="s">
        <v>595</v>
      </c>
      <c r="B32" s="0" t="s">
        <v>596</v>
      </c>
      <c r="C32" s="0" t="s">
        <v>597</v>
      </c>
    </row>
    <row r="33" customFormat="false" ht="15" hidden="false" customHeight="false" outlineLevel="0" collapsed="false">
      <c r="A33" s="0" t="s">
        <v>598</v>
      </c>
      <c r="B33" s="0" t="s">
        <v>599</v>
      </c>
      <c r="C33" s="0" t="s">
        <v>600</v>
      </c>
    </row>
    <row r="34" customFormat="false" ht="15" hidden="false" customHeight="false" outlineLevel="0" collapsed="false">
      <c r="A34" s="0" t="s">
        <v>601</v>
      </c>
      <c r="B34" s="0" t="s">
        <v>602</v>
      </c>
      <c r="C34" s="0" t="s">
        <v>603</v>
      </c>
    </row>
    <row r="35" customFormat="false" ht="15" hidden="false" customHeight="false" outlineLevel="0" collapsed="false">
      <c r="A35" s="0" t="s">
        <v>604</v>
      </c>
      <c r="B35" s="0" t="s">
        <v>605</v>
      </c>
      <c r="C35" s="0" t="s">
        <v>606</v>
      </c>
    </row>
    <row r="36" customFormat="false" ht="15" hidden="false" customHeight="false" outlineLevel="0" collapsed="false">
      <c r="A36" s="0" t="s">
        <v>607</v>
      </c>
      <c r="B36" s="0" t="s">
        <v>608</v>
      </c>
      <c r="C36" s="0" t="s">
        <v>609</v>
      </c>
    </row>
    <row r="37" customFormat="false" ht="15" hidden="false" customHeight="false" outlineLevel="0" collapsed="false">
      <c r="A37" s="0" t="s">
        <v>610</v>
      </c>
      <c r="B37" s="0" t="s">
        <v>611</v>
      </c>
      <c r="C37" s="0" t="s">
        <v>612</v>
      </c>
    </row>
    <row r="38" customFormat="false" ht="15" hidden="false" customHeight="false" outlineLevel="0" collapsed="false">
      <c r="A38" s="0" t="s">
        <v>613</v>
      </c>
      <c r="B38" s="0" t="s">
        <v>614</v>
      </c>
      <c r="C38" s="0" t="s">
        <v>615</v>
      </c>
    </row>
    <row r="39" customFormat="false" ht="15" hidden="false" customHeight="false" outlineLevel="0" collapsed="false">
      <c r="A39" s="0" t="s">
        <v>616</v>
      </c>
      <c r="B39" s="0" t="s">
        <v>617</v>
      </c>
      <c r="C39" s="0" t="s">
        <v>618</v>
      </c>
    </row>
    <row r="40" customFormat="false" ht="15" hidden="false" customHeight="false" outlineLevel="0" collapsed="false">
      <c r="A40" s="0" t="s">
        <v>619</v>
      </c>
      <c r="B40" s="0" t="s">
        <v>620</v>
      </c>
      <c r="C40" s="0" t="s">
        <v>621</v>
      </c>
    </row>
    <row r="41" customFormat="false" ht="15" hidden="false" customHeight="false" outlineLevel="0" collapsed="false">
      <c r="A41" s="0" t="s">
        <v>622</v>
      </c>
      <c r="B41" s="0" t="s">
        <v>623</v>
      </c>
      <c r="C41" s="0" t="s">
        <v>624</v>
      </c>
    </row>
    <row r="42" customFormat="false" ht="15" hidden="false" customHeight="false" outlineLevel="0" collapsed="false">
      <c r="A42" s="0" t="s">
        <v>625</v>
      </c>
      <c r="B42" s="0" t="s">
        <v>626</v>
      </c>
      <c r="C42" s="0" t="s">
        <v>627</v>
      </c>
    </row>
    <row r="43" customFormat="false" ht="15" hidden="false" customHeight="false" outlineLevel="0" collapsed="false">
      <c r="A43" s="0" t="s">
        <v>628</v>
      </c>
      <c r="B43" s="0" t="s">
        <v>629</v>
      </c>
      <c r="C43" s="0" t="s">
        <v>630</v>
      </c>
    </row>
    <row r="44" customFormat="false" ht="15" hidden="false" customHeight="false" outlineLevel="0" collapsed="false">
      <c r="A44" s="0" t="s">
        <v>631</v>
      </c>
      <c r="B44" s="0" t="s">
        <v>632</v>
      </c>
      <c r="C44" s="0" t="s">
        <v>633</v>
      </c>
    </row>
    <row r="45" customFormat="false" ht="15" hidden="false" customHeight="false" outlineLevel="0" collapsed="false">
      <c r="A45" s="0" t="s">
        <v>634</v>
      </c>
      <c r="B45" s="0" t="s">
        <v>635</v>
      </c>
      <c r="C45" s="0" t="s">
        <v>636</v>
      </c>
    </row>
    <row r="46" customFormat="false" ht="15" hidden="false" customHeight="false" outlineLevel="0" collapsed="false">
      <c r="A46" s="0" t="s">
        <v>637</v>
      </c>
      <c r="B46" s="0" t="s">
        <v>638</v>
      </c>
      <c r="C46" s="0" t="s">
        <v>639</v>
      </c>
    </row>
    <row r="47" customFormat="false" ht="15" hidden="false" customHeight="false" outlineLevel="0" collapsed="false">
      <c r="A47" s="0" t="s">
        <v>640</v>
      </c>
      <c r="B47" s="0" t="s">
        <v>641</v>
      </c>
      <c r="C47" s="0" t="s">
        <v>642</v>
      </c>
    </row>
    <row r="48" customFormat="false" ht="15" hidden="false" customHeight="false" outlineLevel="0" collapsed="false">
      <c r="A48" s="0" t="s">
        <v>643</v>
      </c>
      <c r="B48" s="0" t="s">
        <v>644</v>
      </c>
      <c r="C48" s="0" t="s">
        <v>645</v>
      </c>
    </row>
    <row r="49" customFormat="false" ht="15" hidden="false" customHeight="false" outlineLevel="0" collapsed="false">
      <c r="A49" s="0" t="s">
        <v>646</v>
      </c>
      <c r="B49" s="0" t="s">
        <v>647</v>
      </c>
      <c r="C49" s="0" t="s">
        <v>648</v>
      </c>
    </row>
    <row r="50" customFormat="false" ht="15" hidden="false" customHeight="false" outlineLevel="0" collapsed="false">
      <c r="A50" s="0" t="s">
        <v>649</v>
      </c>
      <c r="B50" s="0" t="s">
        <v>650</v>
      </c>
      <c r="C50" s="0" t="s">
        <v>651</v>
      </c>
    </row>
    <row r="51" customFormat="false" ht="15" hidden="false" customHeight="false" outlineLevel="0" collapsed="false">
      <c r="A51" s="0" t="s">
        <v>652</v>
      </c>
      <c r="B51" s="0" t="s">
        <v>653</v>
      </c>
      <c r="C51" s="0" t="s">
        <v>654</v>
      </c>
    </row>
    <row r="52" customFormat="false" ht="15" hidden="false" customHeight="false" outlineLevel="0" collapsed="false">
      <c r="A52" s="0" t="s">
        <v>655</v>
      </c>
      <c r="B52" s="0" t="s">
        <v>656</v>
      </c>
      <c r="C52" s="0" t="s">
        <v>657</v>
      </c>
    </row>
    <row r="53" customFormat="false" ht="15" hidden="false" customHeight="false" outlineLevel="0" collapsed="false">
      <c r="A53" s="0" t="s">
        <v>658</v>
      </c>
      <c r="B53" s="0" t="s">
        <v>659</v>
      </c>
      <c r="C53" s="0" t="s">
        <v>660</v>
      </c>
    </row>
    <row r="54" customFormat="false" ht="15" hidden="false" customHeight="false" outlineLevel="0" collapsed="false">
      <c r="A54" s="0" t="s">
        <v>661</v>
      </c>
      <c r="B54" s="0" t="s">
        <v>662</v>
      </c>
      <c r="C54" s="0" t="s">
        <v>663</v>
      </c>
    </row>
    <row r="55" customFormat="false" ht="15" hidden="false" customHeight="false" outlineLevel="0" collapsed="false">
      <c r="A55" s="0" t="s">
        <v>664</v>
      </c>
      <c r="B55" s="0" t="s">
        <v>665</v>
      </c>
      <c r="C55" s="0" t="s">
        <v>666</v>
      </c>
    </row>
    <row r="56" customFormat="false" ht="15" hidden="false" customHeight="false" outlineLevel="0" collapsed="false">
      <c r="A56" s="0" t="s">
        <v>667</v>
      </c>
      <c r="B56" s="0" t="s">
        <v>668</v>
      </c>
      <c r="C56" s="0" t="s">
        <v>669</v>
      </c>
    </row>
    <row r="57" customFormat="false" ht="15" hidden="false" customHeight="false" outlineLevel="0" collapsed="false">
      <c r="A57" s="0" t="s">
        <v>670</v>
      </c>
      <c r="B57" s="0" t="s">
        <v>671</v>
      </c>
      <c r="C57" s="0" t="s">
        <v>672</v>
      </c>
    </row>
    <row r="58" customFormat="false" ht="15" hidden="false" customHeight="false" outlineLevel="0" collapsed="false">
      <c r="A58" s="0" t="s">
        <v>673</v>
      </c>
      <c r="B58" s="0" t="s">
        <v>674</v>
      </c>
      <c r="C58" s="0" t="s">
        <v>675</v>
      </c>
    </row>
    <row r="59" customFormat="false" ht="15" hidden="false" customHeight="false" outlineLevel="0" collapsed="false">
      <c r="A59" s="0" t="s">
        <v>676</v>
      </c>
      <c r="B59" s="0" t="s">
        <v>677</v>
      </c>
      <c r="C59" s="0" t="s">
        <v>678</v>
      </c>
    </row>
    <row r="60" customFormat="false" ht="15" hidden="false" customHeight="false" outlineLevel="0" collapsed="false">
      <c r="A60" s="0" t="s">
        <v>679</v>
      </c>
      <c r="B60" s="0" t="s">
        <v>680</v>
      </c>
      <c r="C60" s="0" t="s">
        <v>681</v>
      </c>
    </row>
    <row r="61" customFormat="false" ht="15" hidden="false" customHeight="false" outlineLevel="0" collapsed="false">
      <c r="A61" s="0" t="s">
        <v>682</v>
      </c>
      <c r="B61" s="0" t="s">
        <v>683</v>
      </c>
      <c r="C61" s="0" t="s">
        <v>684</v>
      </c>
    </row>
    <row r="62" customFormat="false" ht="15" hidden="false" customHeight="false" outlineLevel="0" collapsed="false">
      <c r="A62" s="0" t="s">
        <v>685</v>
      </c>
      <c r="B62" s="0" t="s">
        <v>686</v>
      </c>
      <c r="C62" s="0" t="s">
        <v>687</v>
      </c>
    </row>
    <row r="63" customFormat="false" ht="15" hidden="false" customHeight="false" outlineLevel="0" collapsed="false">
      <c r="A63" s="0" t="s">
        <v>688</v>
      </c>
      <c r="B63" s="0" t="s">
        <v>689</v>
      </c>
      <c r="C63" s="0" t="s">
        <v>690</v>
      </c>
    </row>
    <row r="64" customFormat="false" ht="15" hidden="false" customHeight="false" outlineLevel="0" collapsed="false">
      <c r="A64" s="0" t="s">
        <v>691</v>
      </c>
      <c r="B64" s="0" t="s">
        <v>692</v>
      </c>
      <c r="C64" s="0" t="s">
        <v>693</v>
      </c>
    </row>
    <row r="65" customFormat="false" ht="15" hidden="false" customHeight="false" outlineLevel="0" collapsed="false">
      <c r="A65" s="0" t="s">
        <v>694</v>
      </c>
      <c r="B65" s="0" t="s">
        <v>695</v>
      </c>
      <c r="C65" s="0" t="s">
        <v>696</v>
      </c>
    </row>
    <row r="66" customFormat="false" ht="15" hidden="false" customHeight="false" outlineLevel="0" collapsed="false">
      <c r="A66" s="0" t="s">
        <v>697</v>
      </c>
      <c r="B66" s="0" t="s">
        <v>698</v>
      </c>
      <c r="C66" s="0" t="s">
        <v>699</v>
      </c>
    </row>
    <row r="67" customFormat="false" ht="15" hidden="false" customHeight="false" outlineLevel="0" collapsed="false">
      <c r="A67" s="0" t="s">
        <v>700</v>
      </c>
      <c r="B67" s="0" t="s">
        <v>701</v>
      </c>
      <c r="C67" s="0" t="s">
        <v>702</v>
      </c>
    </row>
    <row r="68" customFormat="false" ht="15" hidden="false" customHeight="false" outlineLevel="0" collapsed="false">
      <c r="A68" s="0" t="s">
        <v>703</v>
      </c>
      <c r="B68" s="0" t="s">
        <v>704</v>
      </c>
      <c r="C68" s="0" t="s">
        <v>705</v>
      </c>
    </row>
    <row r="69" customFormat="false" ht="15" hidden="false" customHeight="false" outlineLevel="0" collapsed="false">
      <c r="A69" s="0" t="s">
        <v>706</v>
      </c>
      <c r="B69" s="0" t="s">
        <v>707</v>
      </c>
      <c r="C69" s="0" t="s">
        <v>708</v>
      </c>
    </row>
    <row r="70" customFormat="false" ht="15" hidden="false" customHeight="false" outlineLevel="0" collapsed="false">
      <c r="A70" s="0" t="s">
        <v>709</v>
      </c>
      <c r="B70" s="0" t="s">
        <v>710</v>
      </c>
      <c r="C70" s="0" t="s">
        <v>711</v>
      </c>
    </row>
    <row r="71" customFormat="false" ht="15" hidden="false" customHeight="false" outlineLevel="0" collapsed="false">
      <c r="A71" s="0" t="s">
        <v>712</v>
      </c>
      <c r="B71" s="0" t="s">
        <v>713</v>
      </c>
      <c r="C71" s="0" t="s">
        <v>714</v>
      </c>
    </row>
    <row r="72" customFormat="false" ht="15" hidden="false" customHeight="false" outlineLevel="0" collapsed="false">
      <c r="A72" s="0" t="s">
        <v>715</v>
      </c>
      <c r="B72" s="0" t="s">
        <v>716</v>
      </c>
      <c r="C72" s="0" t="s">
        <v>717</v>
      </c>
    </row>
    <row r="73" customFormat="false" ht="15" hidden="false" customHeight="false" outlineLevel="0" collapsed="false">
      <c r="A73" s="0" t="s">
        <v>718</v>
      </c>
      <c r="B73" s="0" t="s">
        <v>719</v>
      </c>
      <c r="C73" s="0" t="s">
        <v>720</v>
      </c>
    </row>
    <row r="74" customFormat="false" ht="15" hidden="false" customHeight="false" outlineLevel="0" collapsed="false">
      <c r="A74" s="0" t="s">
        <v>721</v>
      </c>
      <c r="B74" s="0" t="s">
        <v>722</v>
      </c>
      <c r="C74" s="0" t="s">
        <v>723</v>
      </c>
    </row>
    <row r="75" customFormat="false" ht="15" hidden="false" customHeight="false" outlineLevel="0" collapsed="false">
      <c r="A75" s="0" t="s">
        <v>724</v>
      </c>
      <c r="B75" s="0" t="s">
        <v>725</v>
      </c>
      <c r="C75" s="0" t="s">
        <v>726</v>
      </c>
    </row>
    <row r="76" customFormat="false" ht="15" hidden="false" customHeight="false" outlineLevel="0" collapsed="false">
      <c r="A76" s="0" t="s">
        <v>727</v>
      </c>
      <c r="B76" s="0" t="s">
        <v>728</v>
      </c>
      <c r="C76" s="0" t="s">
        <v>729</v>
      </c>
    </row>
    <row r="77" customFormat="false" ht="15" hidden="false" customHeight="false" outlineLevel="0" collapsed="false">
      <c r="A77" s="0" t="s">
        <v>730</v>
      </c>
      <c r="B77" s="0" t="s">
        <v>731</v>
      </c>
      <c r="C77" s="0" t="s">
        <v>732</v>
      </c>
    </row>
    <row r="78" customFormat="false" ht="15" hidden="false" customHeight="false" outlineLevel="0" collapsed="false">
      <c r="A78" s="0" t="s">
        <v>733</v>
      </c>
      <c r="B78" s="0" t="s">
        <v>734</v>
      </c>
      <c r="C78" s="0" t="s">
        <v>735</v>
      </c>
    </row>
    <row r="79" customFormat="false" ht="15" hidden="false" customHeight="false" outlineLevel="0" collapsed="false">
      <c r="A79" s="0" t="s">
        <v>736</v>
      </c>
      <c r="B79" s="0" t="s">
        <v>737</v>
      </c>
      <c r="C79" s="0" t="s">
        <v>738</v>
      </c>
    </row>
    <row r="80" customFormat="false" ht="15" hidden="false" customHeight="false" outlineLevel="0" collapsed="false">
      <c r="A80" s="0" t="s">
        <v>739</v>
      </c>
      <c r="B80" s="0" t="s">
        <v>740</v>
      </c>
      <c r="C80" s="0" t="s">
        <v>741</v>
      </c>
    </row>
    <row r="81" customFormat="false" ht="15" hidden="false" customHeight="false" outlineLevel="0" collapsed="false">
      <c r="A81" s="0" t="s">
        <v>742</v>
      </c>
      <c r="B81" s="0" t="s">
        <v>743</v>
      </c>
      <c r="C81" s="0" t="s">
        <v>744</v>
      </c>
    </row>
    <row r="82" customFormat="false" ht="15" hidden="false" customHeight="false" outlineLevel="0" collapsed="false">
      <c r="A82" s="0" t="s">
        <v>745</v>
      </c>
      <c r="B82" s="0" t="s">
        <v>746</v>
      </c>
      <c r="C82" s="0" t="s">
        <v>747</v>
      </c>
    </row>
    <row r="83" customFormat="false" ht="15" hidden="false" customHeight="false" outlineLevel="0" collapsed="false">
      <c r="A83" s="0" t="s">
        <v>748</v>
      </c>
      <c r="B83" s="0" t="s">
        <v>749</v>
      </c>
      <c r="C83" s="0" t="s">
        <v>750</v>
      </c>
    </row>
    <row r="84" customFormat="false" ht="15" hidden="false" customHeight="false" outlineLevel="0" collapsed="false">
      <c r="A84" s="0" t="s">
        <v>751</v>
      </c>
      <c r="B84" s="0" t="s">
        <v>752</v>
      </c>
      <c r="C84" s="0" t="s">
        <v>753</v>
      </c>
    </row>
    <row r="85" customFormat="false" ht="15" hidden="false" customHeight="false" outlineLevel="0" collapsed="false">
      <c r="A85" s="0" t="s">
        <v>754</v>
      </c>
      <c r="B85" s="0" t="s">
        <v>755</v>
      </c>
      <c r="C85" s="0" t="s">
        <v>756</v>
      </c>
    </row>
    <row r="86" customFormat="false" ht="15" hidden="false" customHeight="false" outlineLevel="0" collapsed="false">
      <c r="A86" s="0" t="s">
        <v>757</v>
      </c>
      <c r="B86" s="0" t="s">
        <v>758</v>
      </c>
      <c r="C86" s="0" t="s">
        <v>759</v>
      </c>
    </row>
    <row r="87" customFormat="false" ht="15" hidden="false" customHeight="false" outlineLevel="0" collapsed="false">
      <c r="A87" s="0" t="s">
        <v>760</v>
      </c>
      <c r="B87" s="0" t="s">
        <v>761</v>
      </c>
      <c r="C87" s="0" t="s">
        <v>762</v>
      </c>
    </row>
    <row r="88" customFormat="false" ht="15" hidden="false" customHeight="false" outlineLevel="0" collapsed="false">
      <c r="A88" s="0" t="s">
        <v>763</v>
      </c>
      <c r="B88" s="0" t="s">
        <v>764</v>
      </c>
      <c r="C88" s="0" t="s">
        <v>765</v>
      </c>
    </row>
    <row r="89" customFormat="false" ht="15" hidden="false" customHeight="false" outlineLevel="0" collapsed="false">
      <c r="A89" s="0" t="s">
        <v>766</v>
      </c>
      <c r="B89" s="0" t="s">
        <v>767</v>
      </c>
      <c r="C89" s="0" t="s">
        <v>768</v>
      </c>
    </row>
    <row r="90" customFormat="false" ht="15" hidden="false" customHeight="false" outlineLevel="0" collapsed="false">
      <c r="A90" s="0" t="s">
        <v>769</v>
      </c>
      <c r="B90" s="0" t="s">
        <v>770</v>
      </c>
      <c r="C90" s="0" t="s">
        <v>771</v>
      </c>
    </row>
    <row r="91" customFormat="false" ht="15" hidden="false" customHeight="false" outlineLevel="0" collapsed="false">
      <c r="A91" s="0" t="s">
        <v>772</v>
      </c>
      <c r="B91" s="0" t="s">
        <v>773</v>
      </c>
      <c r="C91" s="0" t="s">
        <v>774</v>
      </c>
    </row>
    <row r="92" customFormat="false" ht="15" hidden="false" customHeight="false" outlineLevel="0" collapsed="false">
      <c r="A92" s="0" t="s">
        <v>775</v>
      </c>
      <c r="B92" s="0" t="s">
        <v>776</v>
      </c>
      <c r="C92" s="0" t="s">
        <v>777</v>
      </c>
    </row>
    <row r="93" customFormat="false" ht="15" hidden="false" customHeight="false" outlineLevel="0" collapsed="false">
      <c r="A93" s="0" t="s">
        <v>778</v>
      </c>
      <c r="B93" s="0" t="s">
        <v>779</v>
      </c>
      <c r="C93" s="0" t="s">
        <v>780</v>
      </c>
    </row>
    <row r="94" customFormat="false" ht="15" hidden="false" customHeight="false" outlineLevel="0" collapsed="false">
      <c r="A94" s="0" t="s">
        <v>781</v>
      </c>
      <c r="B94" s="0" t="s">
        <v>782</v>
      </c>
      <c r="C94" s="0" t="s">
        <v>783</v>
      </c>
    </row>
    <row r="95" customFormat="false" ht="15" hidden="false" customHeight="false" outlineLevel="0" collapsed="false">
      <c r="A95" s="0" t="s">
        <v>784</v>
      </c>
      <c r="B95" s="0" t="s">
        <v>785</v>
      </c>
      <c r="C95" s="0" t="s">
        <v>786</v>
      </c>
    </row>
    <row r="96" customFormat="false" ht="15" hidden="false" customHeight="false" outlineLevel="0" collapsed="false">
      <c r="A96" s="0" t="s">
        <v>787</v>
      </c>
      <c r="B96" s="0" t="s">
        <v>788</v>
      </c>
      <c r="C96" s="0" t="s">
        <v>789</v>
      </c>
    </row>
    <row r="97" customFormat="false" ht="15" hidden="false" customHeight="false" outlineLevel="0" collapsed="false">
      <c r="A97" s="0" t="s">
        <v>790</v>
      </c>
      <c r="B97" s="0" t="s">
        <v>791</v>
      </c>
      <c r="C97" s="0" t="s">
        <v>792</v>
      </c>
    </row>
    <row r="98" customFormat="false" ht="15" hidden="false" customHeight="false" outlineLevel="0" collapsed="false">
      <c r="A98" s="0" t="s">
        <v>793</v>
      </c>
      <c r="B98" s="0" t="s">
        <v>794</v>
      </c>
      <c r="C98" s="0" t="s">
        <v>795</v>
      </c>
    </row>
    <row r="99" customFormat="false" ht="15" hidden="false" customHeight="false" outlineLevel="0" collapsed="false">
      <c r="A99" s="0" t="s">
        <v>796</v>
      </c>
      <c r="B99" s="0" t="s">
        <v>797</v>
      </c>
      <c r="C99" s="0" t="s">
        <v>798</v>
      </c>
    </row>
    <row r="100" customFormat="false" ht="15" hidden="false" customHeight="false" outlineLevel="0" collapsed="false">
      <c r="A100" s="0" t="s">
        <v>799</v>
      </c>
      <c r="B100" s="0" t="s">
        <v>800</v>
      </c>
      <c r="C100" s="0" t="s">
        <v>801</v>
      </c>
    </row>
    <row r="101" customFormat="false" ht="15" hidden="false" customHeight="false" outlineLevel="0" collapsed="false">
      <c r="A101" s="0" t="s">
        <v>802</v>
      </c>
      <c r="B101" s="0" t="s">
        <v>803</v>
      </c>
      <c r="C101" s="0" t="s">
        <v>804</v>
      </c>
    </row>
    <row r="102" customFormat="false" ht="15" hidden="false" customHeight="false" outlineLevel="0" collapsed="false">
      <c r="A102" s="0" t="s">
        <v>805</v>
      </c>
      <c r="B102" s="0" t="s">
        <v>806</v>
      </c>
      <c r="C102" s="0" t="s">
        <v>807</v>
      </c>
    </row>
    <row r="103" customFormat="false" ht="15" hidden="false" customHeight="false" outlineLevel="0" collapsed="false">
      <c r="A103" s="0" t="s">
        <v>808</v>
      </c>
      <c r="B103" s="0" t="s">
        <v>809</v>
      </c>
      <c r="C103" s="0" t="s">
        <v>810</v>
      </c>
    </row>
    <row r="104" customFormat="false" ht="15" hidden="false" customHeight="false" outlineLevel="0" collapsed="false">
      <c r="A104" s="0" t="s">
        <v>811</v>
      </c>
      <c r="B104" s="0" t="s">
        <v>812</v>
      </c>
      <c r="C104" s="0" t="s">
        <v>813</v>
      </c>
    </row>
    <row r="105" customFormat="false" ht="15" hidden="false" customHeight="false" outlineLevel="0" collapsed="false">
      <c r="A105" s="0" t="s">
        <v>814</v>
      </c>
      <c r="B105" s="0" t="s">
        <v>815</v>
      </c>
      <c r="C105" s="0" t="s">
        <v>816</v>
      </c>
    </row>
    <row r="106" customFormat="false" ht="15" hidden="false" customHeight="false" outlineLevel="0" collapsed="false">
      <c r="A106" s="0" t="s">
        <v>817</v>
      </c>
      <c r="B106" s="0" t="s">
        <v>818</v>
      </c>
      <c r="C106" s="0" t="s">
        <v>819</v>
      </c>
    </row>
    <row r="107" customFormat="false" ht="15" hidden="false" customHeight="false" outlineLevel="0" collapsed="false">
      <c r="A107" s="0" t="s">
        <v>820</v>
      </c>
      <c r="B107" s="0" t="s">
        <v>821</v>
      </c>
      <c r="C107" s="0" t="s">
        <v>822</v>
      </c>
    </row>
    <row r="108" customFormat="false" ht="15" hidden="false" customHeight="false" outlineLevel="0" collapsed="false">
      <c r="A108" s="0" t="s">
        <v>823</v>
      </c>
      <c r="B108" s="0" t="s">
        <v>824</v>
      </c>
      <c r="C108" s="0" t="s">
        <v>825</v>
      </c>
    </row>
    <row r="109" customFormat="false" ht="15" hidden="false" customHeight="false" outlineLevel="0" collapsed="false">
      <c r="A109" s="0" t="s">
        <v>826</v>
      </c>
      <c r="B109" s="0" t="s">
        <v>827</v>
      </c>
      <c r="C109" s="0" t="s">
        <v>828</v>
      </c>
    </row>
    <row r="110" customFormat="false" ht="15" hidden="false" customHeight="false" outlineLevel="0" collapsed="false">
      <c r="A110" s="0" t="s">
        <v>829</v>
      </c>
      <c r="B110" s="0" t="s">
        <v>830</v>
      </c>
      <c r="C110" s="0" t="s">
        <v>831</v>
      </c>
    </row>
    <row r="111" customFormat="false" ht="15" hidden="false" customHeight="false" outlineLevel="0" collapsed="false">
      <c r="A111" s="0" t="s">
        <v>832</v>
      </c>
      <c r="B111" s="0" t="s">
        <v>833</v>
      </c>
      <c r="C111" s="0" t="s">
        <v>834</v>
      </c>
    </row>
    <row r="112" customFormat="false" ht="15" hidden="false" customHeight="false" outlineLevel="0" collapsed="false">
      <c r="A112" s="0" t="s">
        <v>835</v>
      </c>
      <c r="B112" s="0" t="s">
        <v>836</v>
      </c>
      <c r="C112" s="0" t="s">
        <v>837</v>
      </c>
    </row>
    <row r="113" customFormat="false" ht="15" hidden="false" customHeight="false" outlineLevel="0" collapsed="false">
      <c r="A113" s="0" t="s">
        <v>838</v>
      </c>
      <c r="B113" s="0" t="s">
        <v>839</v>
      </c>
      <c r="C113" s="0" t="s">
        <v>840</v>
      </c>
    </row>
    <row r="114" customFormat="false" ht="15" hidden="false" customHeight="false" outlineLevel="0" collapsed="false">
      <c r="A114" s="0" t="s">
        <v>841</v>
      </c>
      <c r="B114" s="0" t="s">
        <v>842</v>
      </c>
      <c r="C114" s="0" t="s">
        <v>843</v>
      </c>
    </row>
    <row r="115" customFormat="false" ht="15" hidden="false" customHeight="false" outlineLevel="0" collapsed="false">
      <c r="A115" s="0" t="s">
        <v>844</v>
      </c>
      <c r="B115" s="0" t="s">
        <v>845</v>
      </c>
      <c r="C115" s="0" t="s">
        <v>846</v>
      </c>
    </row>
    <row r="116" customFormat="false" ht="15" hidden="false" customHeight="false" outlineLevel="0" collapsed="false">
      <c r="A116" s="0" t="s">
        <v>847</v>
      </c>
      <c r="B116" s="0" t="s">
        <v>848</v>
      </c>
      <c r="C116" s="0" t="s">
        <v>849</v>
      </c>
    </row>
    <row r="117" customFormat="false" ht="15" hidden="false" customHeight="false" outlineLevel="0" collapsed="false">
      <c r="A117" s="0" t="s">
        <v>850</v>
      </c>
      <c r="B117" s="0" t="s">
        <v>851</v>
      </c>
      <c r="C117" s="0" t="s">
        <v>852</v>
      </c>
    </row>
    <row r="118" customFormat="false" ht="15" hidden="false" customHeight="false" outlineLevel="0" collapsed="false">
      <c r="A118" s="0" t="s">
        <v>853</v>
      </c>
      <c r="B118" s="0" t="s">
        <v>854</v>
      </c>
      <c r="C118" s="0" t="s">
        <v>855</v>
      </c>
    </row>
    <row r="119" customFormat="false" ht="15" hidden="false" customHeight="false" outlineLevel="0" collapsed="false">
      <c r="A119" s="0" t="s">
        <v>856</v>
      </c>
      <c r="B119" s="0" t="s">
        <v>857</v>
      </c>
      <c r="C119" s="0" t="s">
        <v>858</v>
      </c>
    </row>
    <row r="120" customFormat="false" ht="15" hidden="false" customHeight="false" outlineLevel="0" collapsed="false">
      <c r="A120" s="0" t="s">
        <v>859</v>
      </c>
      <c r="B120" s="0" t="s">
        <v>860</v>
      </c>
      <c r="C120" s="0" t="s">
        <v>861</v>
      </c>
    </row>
    <row r="121" customFormat="false" ht="15" hidden="false" customHeight="false" outlineLevel="0" collapsed="false">
      <c r="A121" s="0" t="s">
        <v>862</v>
      </c>
      <c r="B121" s="0" t="s">
        <v>863</v>
      </c>
      <c r="C121" s="0" t="s">
        <v>864</v>
      </c>
    </row>
    <row r="122" customFormat="false" ht="15" hidden="false" customHeight="false" outlineLevel="0" collapsed="false">
      <c r="A122" s="0" t="s">
        <v>865</v>
      </c>
      <c r="B122" s="0" t="s">
        <v>866</v>
      </c>
      <c r="C122" s="0" t="s">
        <v>867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16"/>
    <col collapsed="false" customWidth="true" hidden="false" outlineLevel="0" max="4" min="4" style="0" width="60"/>
  </cols>
  <sheetData>
    <row r="1" customFormat="false" ht="15" hidden="false" customHeight="false" outlineLevel="0" collapsed="false">
      <c r="A1" s="0" t="s">
        <v>868</v>
      </c>
      <c r="B1" s="0" t="s">
        <v>869</v>
      </c>
      <c r="C1" s="0" t="s">
        <v>870</v>
      </c>
      <c r="D1" s="0" t="s">
        <v>871</v>
      </c>
    </row>
    <row r="2" customFormat="false" ht="15" hidden="false" customHeight="false" outlineLevel="0" collapsed="false">
      <c r="A2" s="0" t="n">
        <v>1</v>
      </c>
      <c r="B2" s="0" t="s">
        <v>872</v>
      </c>
      <c r="C2" s="0" t="s">
        <v>873</v>
      </c>
      <c r="D2" s="0" t="s">
        <v>874</v>
      </c>
    </row>
    <row r="3" customFormat="false" ht="15" hidden="false" customHeight="false" outlineLevel="0" collapsed="false">
      <c r="A3" s="0" t="n">
        <v>2</v>
      </c>
      <c r="B3" s="0" t="s">
        <v>875</v>
      </c>
      <c r="C3" s="0" t="s">
        <v>873</v>
      </c>
      <c r="D3" s="0" t="s">
        <v>876</v>
      </c>
    </row>
    <row r="4" customFormat="false" ht="15" hidden="false" customHeight="false" outlineLevel="0" collapsed="false">
      <c r="A4" s="0" t="n">
        <v>3</v>
      </c>
      <c r="B4" s="0" t="s">
        <v>877</v>
      </c>
      <c r="C4" s="0" t="s">
        <v>873</v>
      </c>
      <c r="D4" s="0" t="s">
        <v>878</v>
      </c>
    </row>
    <row r="5" customFormat="false" ht="15" hidden="false" customHeight="false" outlineLevel="0" collapsed="false">
      <c r="A5" s="0" t="n">
        <v>4</v>
      </c>
      <c r="B5" s="0" t="s">
        <v>879</v>
      </c>
      <c r="C5" s="0" t="s">
        <v>873</v>
      </c>
      <c r="D5" s="0" t="s">
        <v>880</v>
      </c>
    </row>
    <row r="6" customFormat="false" ht="15" hidden="false" customHeight="false" outlineLevel="0" collapsed="false">
      <c r="A6" s="0" t="n">
        <v>5</v>
      </c>
      <c r="B6" s="0" t="s">
        <v>881</v>
      </c>
      <c r="C6" s="0" t="s">
        <v>22</v>
      </c>
    </row>
    <row r="7" customFormat="false" ht="15" hidden="false" customHeight="false" outlineLevel="0" collapsed="false">
      <c r="A7" s="0" t="n">
        <v>6</v>
      </c>
      <c r="B7" s="0" t="s">
        <v>882</v>
      </c>
      <c r="C7" s="0" t="s">
        <v>22</v>
      </c>
    </row>
    <row r="8" customFormat="false" ht="15" hidden="false" customHeight="false" outlineLevel="0" collapsed="false">
      <c r="A8" s="0" t="n">
        <v>7</v>
      </c>
      <c r="B8" s="0" t="s">
        <v>883</v>
      </c>
      <c r="C8" s="0" t="s">
        <v>22</v>
      </c>
    </row>
    <row r="9" customFormat="false" ht="15" hidden="false" customHeight="false" outlineLevel="0" collapsed="false">
      <c r="A9" s="0" t="n">
        <v>8</v>
      </c>
      <c r="B9" s="0" t="s">
        <v>884</v>
      </c>
      <c r="C9" s="0" t="s">
        <v>22</v>
      </c>
    </row>
    <row r="10" customFormat="false" ht="15" hidden="false" customHeight="false" outlineLevel="0" collapsed="false">
      <c r="A10" s="0" t="n">
        <v>9</v>
      </c>
      <c r="B10" s="0" t="s">
        <v>885</v>
      </c>
      <c r="C10" s="0" t="s">
        <v>22</v>
      </c>
    </row>
    <row r="11" customFormat="false" ht="15" hidden="false" customHeight="false" outlineLevel="0" collapsed="false">
      <c r="A11" s="0" t="n">
        <v>10</v>
      </c>
      <c r="B11" s="0" t="s">
        <v>886</v>
      </c>
      <c r="C11" s="0" t="s">
        <v>22</v>
      </c>
    </row>
    <row r="12" customFormat="false" ht="15" hidden="false" customHeight="false" outlineLevel="0" collapsed="false">
      <c r="A12" s="0" t="n">
        <v>11</v>
      </c>
      <c r="B12" s="0" t="s">
        <v>887</v>
      </c>
      <c r="C12" s="0" t="s">
        <v>22</v>
      </c>
    </row>
    <row r="13" customFormat="false" ht="15" hidden="false" customHeight="false" outlineLevel="0" collapsed="false">
      <c r="A13" s="0" t="n">
        <v>12</v>
      </c>
      <c r="B13" s="0" t="s">
        <v>888</v>
      </c>
      <c r="C13" s="0" t="s">
        <v>22</v>
      </c>
    </row>
    <row r="14" customFormat="false" ht="15" hidden="false" customHeight="false" outlineLevel="0" collapsed="false">
      <c r="A14" s="0" t="n">
        <v>13</v>
      </c>
      <c r="B14" s="0" t="s">
        <v>889</v>
      </c>
      <c r="C14" s="0" t="s">
        <v>22</v>
      </c>
    </row>
    <row r="15" customFormat="false" ht="15" hidden="false" customHeight="false" outlineLevel="0" collapsed="false">
      <c r="A15" s="0" t="n">
        <v>14</v>
      </c>
      <c r="B15" s="0" t="s">
        <v>890</v>
      </c>
      <c r="C15" s="0" t="s">
        <v>22</v>
      </c>
    </row>
    <row r="16" customFormat="false" ht="15" hidden="false" customHeight="false" outlineLevel="0" collapsed="false">
      <c r="A16" s="0" t="n">
        <v>15</v>
      </c>
      <c r="B16" s="0" t="s">
        <v>891</v>
      </c>
      <c r="C16" s="0"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16"/>
    <col collapsed="false" customWidth="true" hidden="false" outlineLevel="0" max="4" min="4" style="0" width="60"/>
  </cols>
  <sheetData>
    <row r="1" customFormat="false" ht="15" hidden="false" customHeight="false" outlineLevel="0" collapsed="false">
      <c r="A1" s="0" t="s">
        <v>892</v>
      </c>
      <c r="B1" s="0" t="s">
        <v>893</v>
      </c>
      <c r="C1" s="0" t="s">
        <v>59</v>
      </c>
      <c r="D1" s="0" t="s">
        <v>894</v>
      </c>
    </row>
    <row r="2" customFormat="false" ht="15" hidden="false" customHeight="false" outlineLevel="0" collapsed="false">
      <c r="A2" s="0" t="s">
        <v>895</v>
      </c>
      <c r="B2" s="0" t="s">
        <v>896</v>
      </c>
      <c r="C2" s="0" t="s">
        <v>897</v>
      </c>
      <c r="D2" s="0" t="s">
        <v>898</v>
      </c>
    </row>
    <row r="3" customFormat="false" ht="15" hidden="false" customHeight="false" outlineLevel="0" collapsed="false">
      <c r="A3" s="0" t="s">
        <v>899</v>
      </c>
      <c r="B3" s="0" t="s">
        <v>900</v>
      </c>
      <c r="C3" s="0" t="s">
        <v>897</v>
      </c>
      <c r="D3" s="0" t="s">
        <v>901</v>
      </c>
    </row>
    <row r="4" customFormat="false" ht="15" hidden="false" customHeight="false" outlineLevel="0" collapsed="false">
      <c r="A4" s="0" t="s">
        <v>902</v>
      </c>
      <c r="B4" s="0" t="s">
        <v>903</v>
      </c>
      <c r="C4" s="0" t="s">
        <v>897</v>
      </c>
      <c r="D4" s="0" t="s">
        <v>904</v>
      </c>
    </row>
    <row r="5" customFormat="false" ht="15" hidden="false" customHeight="false" outlineLevel="0" collapsed="false">
      <c r="A5" s="0" t="s">
        <v>905</v>
      </c>
      <c r="B5" s="0" t="s">
        <v>906</v>
      </c>
      <c r="C5" s="0" t="s">
        <v>897</v>
      </c>
      <c r="D5" s="0" t="s">
        <v>907</v>
      </c>
    </row>
    <row r="6" customFormat="false" ht="15" hidden="false" customHeight="false" outlineLevel="0" collapsed="false">
      <c r="A6" s="0" t="s">
        <v>908</v>
      </c>
      <c r="B6" s="0" t="s">
        <v>909</v>
      </c>
      <c r="C6" s="0" t="s">
        <v>897</v>
      </c>
      <c r="D6" s="0" t="s">
        <v>910</v>
      </c>
    </row>
    <row r="7" customFormat="false" ht="15" hidden="false" customHeight="false" outlineLevel="0" collapsed="false">
      <c r="A7" s="0" t="s">
        <v>911</v>
      </c>
      <c r="B7" s="0" t="s">
        <v>912</v>
      </c>
      <c r="C7" s="0" t="s">
        <v>897</v>
      </c>
      <c r="D7" s="0" t="s">
        <v>913</v>
      </c>
    </row>
    <row r="8" customFormat="false" ht="15" hidden="false" customHeight="false" outlineLevel="0" collapsed="false">
      <c r="A8" s="0" t="s">
        <v>914</v>
      </c>
      <c r="B8" s="0" t="s">
        <v>915</v>
      </c>
      <c r="C8" s="0" t="s">
        <v>897</v>
      </c>
      <c r="D8" s="0" t="s">
        <v>916</v>
      </c>
    </row>
    <row r="9" customFormat="false" ht="15" hidden="false" customHeight="false" outlineLevel="0" collapsed="false">
      <c r="A9" s="0" t="s">
        <v>917</v>
      </c>
      <c r="B9" s="0" t="s">
        <v>918</v>
      </c>
      <c r="C9" s="0" t="s">
        <v>897</v>
      </c>
      <c r="D9" s="0" t="s">
        <v>919</v>
      </c>
    </row>
    <row r="10" customFormat="false" ht="15" hidden="false" customHeight="false" outlineLevel="0" collapsed="false">
      <c r="A10" s="0" t="s">
        <v>920</v>
      </c>
      <c r="B10" s="0" t="s">
        <v>921</v>
      </c>
      <c r="C10" s="0" t="s">
        <v>897</v>
      </c>
      <c r="D10" s="0" t="s">
        <v>922</v>
      </c>
    </row>
    <row r="11" customFormat="false" ht="15" hidden="false" customHeight="false" outlineLevel="0" collapsed="false">
      <c r="A11" s="0" t="s">
        <v>923</v>
      </c>
      <c r="B11" s="0" t="s">
        <v>924</v>
      </c>
      <c r="C11" s="0" t="s">
        <v>897</v>
      </c>
      <c r="D11" s="0" t="s">
        <v>925</v>
      </c>
    </row>
    <row r="12" customFormat="false" ht="15" hidden="false" customHeight="false" outlineLevel="0" collapsed="false">
      <c r="A12" s="0" t="s">
        <v>926</v>
      </c>
      <c r="B12" s="0" t="s">
        <v>927</v>
      </c>
      <c r="C12" s="0" t="s">
        <v>897</v>
      </c>
      <c r="D12" s="0" t="s">
        <v>928</v>
      </c>
    </row>
    <row r="13" customFormat="false" ht="15" hidden="false" customHeight="false" outlineLevel="0" collapsed="false">
      <c r="A13" s="0" t="s">
        <v>929</v>
      </c>
      <c r="B13" s="0" t="s">
        <v>930</v>
      </c>
      <c r="C13" s="0" t="s">
        <v>897</v>
      </c>
      <c r="D13" s="0" t="s">
        <v>931</v>
      </c>
    </row>
    <row r="14" customFormat="false" ht="15" hidden="false" customHeight="false" outlineLevel="0" collapsed="false">
      <c r="A14" s="0" t="s">
        <v>932</v>
      </c>
      <c r="B14" s="0" t="s">
        <v>933</v>
      </c>
      <c r="C14" s="0" t="s">
        <v>897</v>
      </c>
      <c r="D14" s="0" t="s">
        <v>934</v>
      </c>
    </row>
    <row r="15" customFormat="false" ht="15" hidden="false" customHeight="false" outlineLevel="0" collapsed="false">
      <c r="A15" s="0" t="s">
        <v>935</v>
      </c>
      <c r="B15" s="0" t="s">
        <v>936</v>
      </c>
      <c r="C15" s="0" t="s">
        <v>897</v>
      </c>
      <c r="D15" s="0" t="s">
        <v>937</v>
      </c>
    </row>
    <row r="16" customFormat="false" ht="15" hidden="false" customHeight="false" outlineLevel="0" collapsed="false">
      <c r="A16" s="0" t="s">
        <v>938</v>
      </c>
      <c r="B16" s="0" t="s">
        <v>939</v>
      </c>
      <c r="C16" s="0" t="s">
        <v>897</v>
      </c>
      <c r="D16" s="0" t="s">
        <v>940</v>
      </c>
    </row>
    <row r="17" customFormat="false" ht="15" hidden="false" customHeight="false" outlineLevel="0" collapsed="false">
      <c r="A17" s="0" t="s">
        <v>941</v>
      </c>
      <c r="B17" s="0" t="s">
        <v>942</v>
      </c>
      <c r="C17" s="0" t="s">
        <v>897</v>
      </c>
      <c r="D17" s="0" t="s">
        <v>943</v>
      </c>
    </row>
    <row r="18" customFormat="false" ht="15" hidden="false" customHeight="false" outlineLevel="0" collapsed="false">
      <c r="A18" s="0" t="s">
        <v>944</v>
      </c>
      <c r="B18" s="0" t="s">
        <v>945</v>
      </c>
      <c r="C18" s="0" t="s">
        <v>897</v>
      </c>
      <c r="D18" s="0" t="s">
        <v>946</v>
      </c>
    </row>
    <row r="19" customFormat="false" ht="15" hidden="false" customHeight="false" outlineLevel="0" collapsed="false">
      <c r="A19" s="0" t="s">
        <v>947</v>
      </c>
      <c r="B19" s="0" t="s">
        <v>948</v>
      </c>
      <c r="C19" s="0" t="s">
        <v>897</v>
      </c>
      <c r="D19" s="0" t="s">
        <v>949</v>
      </c>
    </row>
    <row r="20" customFormat="false" ht="15" hidden="false" customHeight="false" outlineLevel="0" collapsed="false">
      <c r="A20" s="0" t="s">
        <v>950</v>
      </c>
      <c r="B20" s="0" t="s">
        <v>951</v>
      </c>
      <c r="C20" s="0" t="s">
        <v>897</v>
      </c>
      <c r="D20" s="0" t="s">
        <v>952</v>
      </c>
    </row>
    <row r="21" customFormat="false" ht="15" hidden="false" customHeight="false" outlineLevel="0" collapsed="false">
      <c r="A21" s="0" t="s">
        <v>953</v>
      </c>
      <c r="B21" s="0" t="s">
        <v>954</v>
      </c>
      <c r="C21" s="0" t="s">
        <v>897</v>
      </c>
      <c r="D21" s="0" t="s">
        <v>955</v>
      </c>
    </row>
    <row r="22" customFormat="false" ht="15" hidden="false" customHeight="false" outlineLevel="0" collapsed="false">
      <c r="A22" s="0" t="s">
        <v>956</v>
      </c>
      <c r="B22" s="0" t="s">
        <v>957</v>
      </c>
      <c r="C22" s="0" t="s">
        <v>958</v>
      </c>
      <c r="D22" s="0" t="s">
        <v>959</v>
      </c>
    </row>
    <row r="23" customFormat="false" ht="15" hidden="false" customHeight="false" outlineLevel="0" collapsed="false">
      <c r="A23" s="0" t="s">
        <v>960</v>
      </c>
      <c r="B23" s="0" t="s">
        <v>961</v>
      </c>
      <c r="C23" s="0" t="s">
        <v>958</v>
      </c>
      <c r="D23" s="0" t="s">
        <v>962</v>
      </c>
    </row>
    <row r="24" customFormat="false" ht="15" hidden="false" customHeight="false" outlineLevel="0" collapsed="false">
      <c r="A24" s="0" t="s">
        <v>963</v>
      </c>
      <c r="B24" s="0" t="s">
        <v>964</v>
      </c>
      <c r="C24" s="0" t="s">
        <v>897</v>
      </c>
      <c r="D24" s="0" t="s">
        <v>965</v>
      </c>
    </row>
    <row r="25" customFormat="false" ht="15" hidden="false" customHeight="false" outlineLevel="0" collapsed="false">
      <c r="A25" s="0" t="s">
        <v>966</v>
      </c>
      <c r="B25" s="0" t="s">
        <v>967</v>
      </c>
      <c r="C25" s="0" t="s">
        <v>897</v>
      </c>
      <c r="D25" s="0" t="s">
        <v>968</v>
      </c>
    </row>
    <row r="26" customFormat="false" ht="15" hidden="false" customHeight="false" outlineLevel="0" collapsed="false">
      <c r="A26" s="0" t="s">
        <v>969</v>
      </c>
      <c r="B26" s="0" t="s">
        <v>970</v>
      </c>
      <c r="C26" s="0" t="s">
        <v>958</v>
      </c>
      <c r="D26" s="0" t="s">
        <v>971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972</v>
      </c>
    </row>
    <row r="2" customFormat="false" ht="15" hidden="false" customHeight="false" outlineLevel="0" collapsed="false">
      <c r="A2" s="0" t="s">
        <v>973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2026-10-20T16:49:00Z</dcterms:created>
  <dc:creator>openpyxl</dc:creator>
  <dc:description/>
  <dc:language>en-US</dc:language>
  <cp:lastModifiedBy/>
  <dcterms:modified xsi:type="dcterms:W3CDTF">2026-10-20T16:49:00Z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