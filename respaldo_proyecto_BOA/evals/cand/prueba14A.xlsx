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<sst xmlns="http://schemas.openxmlformats.org/spreadsheetml/2006/main" count="995" uniqueCount="651">
  <si>
    <t xml:space="preserve">Bank of America - Broomfield CO1-111 (prueba automatica 14A v64)   |   METAL FRAMING &amp; DRYWALL TAKEOFF</t>
  </si>
  <si>
    <t xml:space="preserve">Bid set: 2025.08.26_CO1-111_Broomfield_PERMIT SET_BID SET.pdf   ·   2026-10-17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</si>
  <si>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</si>
  <si>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</si>
  <si>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</si>
  <si>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</si>
  <si>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</si>
  <si>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</si>
  <si>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</si>
  <si>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</si>
  <si>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</si>
  <si>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</si>
  <si>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</si>
  <si>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</si>
  <si>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</si>
  <si>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 CO1-111 (prueba automatica 14A v64)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</si>
  <si>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</si>
  <si>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</si>
  <si>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</si>
  <si>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</si>
  <si>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</si>
  <si>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</si>
  <si>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</si>
  <si>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</si>
  <si>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</si>
  <si>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</si>
  <si>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</si>
  <si>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</si>
  <si>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</si>
  <si>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#A1-7  -  wall: corridor 111 / 120/121</t>
  </si>
  <si>
    <t xml:space="preserve">A1-7</t>
  </si>
  <si>
    <t xml:space="preserve">3-5/8"</t>
  </si>
  <si>
    <t xml:space="preserve">wall: corridor 111 / 120/121</t>
  </si>
  <si>
    <t xml:space="preserve">3/A12.01; A02.01 tag A1; 3/A12.01</t>
  </si>
  <si>
    <t xml:space="preserve">[DERIVADO]</t>
  </si>
  <si>
    <t xml:space="preserve">A1  #A1-0  -  wall: waiting 104 / 122</t>
  </si>
  <si>
    <t xml:space="preserve">A1-0</t>
  </si>
  <si>
    <t xml:space="preserve">wall: waiting 104 / 122</t>
  </si>
  <si>
    <t xml:space="preserve">A1  #A1-4  -  wall: 122 / break room 118</t>
  </si>
  <si>
    <t xml:space="preserve">A1-4</t>
  </si>
  <si>
    <t xml:space="preserve">wall: 122 / break room 118</t>
  </si>
  <si>
    <t xml:space="preserve">A1  #A1-8  -  wall: cash window 116 / work room 119</t>
  </si>
  <si>
    <t xml:space="preserve">A1-8</t>
  </si>
  <si>
    <t xml:space="preserve">wall: cash window 116 / work room 119</t>
  </si>
  <si>
    <t xml:space="preserve">[CONFIRMADO]</t>
  </si>
  <si>
    <t xml:space="preserve">A1  #A1-3  -  wall: corridor 111 / central zone</t>
  </si>
  <si>
    <t xml:space="preserve">A1-3</t>
  </si>
  <si>
    <t xml:space="preserve">wall: corridor 111 / central zone</t>
  </si>
  <si>
    <t xml:space="preserve">A1  #A1-ALC  -  wall: corridor 111 alcove</t>
  </si>
  <si>
    <t xml:space="preserve">A1-ALC</t>
  </si>
  <si>
    <t xml:space="preserve">wall: corridor 111 alcove</t>
  </si>
  <si>
    <t xml:space="preserve">A1  #A1-1  -  wall: MW01 niche / 122</t>
  </si>
  <si>
    <t xml:space="preserve">A1-1</t>
  </si>
  <si>
    <t xml:space="preserve">wall: MW01 niche / 122</t>
  </si>
  <si>
    <t xml:space="preserve">A1  #A1-2  -  wall: MW01 niche / 122</t>
  </si>
  <si>
    <t xml:space="preserve">A1-2</t>
  </si>
  <si>
    <t xml:space="preserve">A1  #A1-6  -  wall: break room 118 / central zone east</t>
  </si>
  <si>
    <t xml:space="preserve">A1-6</t>
  </si>
  <si>
    <t xml:space="preserve">wall: break room 118 / central zone east</t>
  </si>
  <si>
    <t xml:space="preserve">A1  #A1-5  -  wall: break room 118 / central zone east</t>
  </si>
  <si>
    <t xml:space="preserve">A1-5</t>
  </si>
  <si>
    <t xml:space="preserve">A1  #A1-ST  -  wall: break room 118 / central zone east</t>
  </si>
  <si>
    <t xml:space="preserve">A1-ST</t>
  </si>
  <si>
    <t xml:space="preserve">TYPE A1K</t>
  </si>
  <si>
    <t xml:space="preserve">A1K  #A1K-10  -  wall: 108 / teller 116</t>
  </si>
  <si>
    <t xml:space="preserve">A1K-10</t>
  </si>
  <si>
    <t xml:space="preserve">wall: 108 / teller 116</t>
  </si>
  <si>
    <t xml:space="preserve">4/A12.01; A02.01 tag A1K; 4/A12.01</t>
  </si>
  <si>
    <t xml:space="preserve">A1K  #A1K-11  -  wall: teller 116 / future FCAM</t>
  </si>
  <si>
    <t xml:space="preserve">A1K-11</t>
  </si>
  <si>
    <t xml:space="preserve">wall: teller 116 / future FCAM</t>
  </si>
  <si>
    <t xml:space="preserve">A1K  #A1K-12  -  wall: teller 116 / break room 118</t>
  </si>
  <si>
    <t xml:space="preserve">A1K-12</t>
  </si>
  <si>
    <t xml:space="preserve">wall: teller 116 / break room 118</t>
  </si>
  <si>
    <t xml:space="preserve">A1K  #A1K-12J  -  wall: teller 116 / break room 118</t>
  </si>
  <si>
    <t xml:space="preserve">A1K-12J</t>
  </si>
  <si>
    <t xml:space="preserve">TYPE A5</t>
  </si>
  <si>
    <t xml:space="preserve">A5  #A5-13  -  wall: 122 / central zone east 103</t>
  </si>
  <si>
    <t xml:space="preserve">A5-13</t>
  </si>
  <si>
    <t xml:space="preserve">6"</t>
  </si>
  <si>
    <t xml:space="preserve">wall: 122 / central zone east 103</t>
  </si>
  <si>
    <t xml:space="preserve">3/A12.01; A02.01 tag A5; 3/A12.01</t>
  </si>
  <si>
    <t xml:space="preserve">A5  #A5-14  -  wall: corridor 111 / 122</t>
  </si>
  <si>
    <t xml:space="preserve">A5-14</t>
  </si>
  <si>
    <t xml:space="preserve">wall: corridor 111 / 122</t>
  </si>
  <si>
    <t xml:space="preserve">A5  #A5-16  -  wall: break room 118 / teller 116</t>
  </si>
  <si>
    <t xml:space="preserve">A5-16</t>
  </si>
  <si>
    <t xml:space="preserve">wall: break room 118 / teller 116</t>
  </si>
  <si>
    <t xml:space="preserve">A5  #A5-15  -  wall: corridor 111 / 122</t>
  </si>
  <si>
    <t xml:space="preserve">A5-15</t>
  </si>
  <si>
    <t xml:space="preserve">TYPE B</t>
  </si>
  <si>
    <t xml:space="preserve">B  #B-24  -  wall: 120/121 / break room 118</t>
  </si>
  <si>
    <t xml:space="preserve">B-24</t>
  </si>
  <si>
    <t xml:space="preserve">wall: 120/121 / break room 118</t>
  </si>
  <si>
    <t xml:space="preserve">1/A12.01; A02.01 tag B; 1/A12.01</t>
  </si>
  <si>
    <t xml:space="preserve">B  #B-19  -  wall: 113 / 112/117</t>
  </si>
  <si>
    <t xml:space="preserve">B-19</t>
  </si>
  <si>
    <t xml:space="preserve">wall: 113 / 112/117</t>
  </si>
  <si>
    <t xml:space="preserve">B  #B-22  -  wall: janitor 112/storage 117 / wellness 115</t>
  </si>
  <si>
    <t xml:space="preserve">B-22</t>
  </si>
  <si>
    <t xml:space="preserve">wall: janitor 112/storage 117 / wellness 115</t>
  </si>
  <si>
    <t xml:space="preserve">B  #B-18  -  wall: break room 118 / electrical 120</t>
  </si>
  <si>
    <t xml:space="preserve">B-18</t>
  </si>
  <si>
    <t xml:space="preserve">wall: break room 118 / electrical 120</t>
  </si>
  <si>
    <t xml:space="preserve">B  #B-23  -  wall: electrical 120 / NER 121</t>
  </si>
  <si>
    <t xml:space="preserve">B-23</t>
  </si>
  <si>
    <t xml:space="preserve">wall: electrical 120 / NER 121</t>
  </si>
  <si>
    <t xml:space="preserve">B  #B-20  -  wall: janitor 112 / storage 117</t>
  </si>
  <si>
    <t xml:space="preserve">B-20</t>
  </si>
  <si>
    <t xml:space="preserve">wall: janitor 112 / storage 117</t>
  </si>
  <si>
    <t xml:space="preserve">TYPE B2</t>
  </si>
  <si>
    <t xml:space="preserve">B2  #B2-28  -  wall: 113/117/115 / corridor 111</t>
  </si>
  <si>
    <t xml:space="preserve">B2-28</t>
  </si>
  <si>
    <t xml:space="preserve">wall: 113/117/115 / corridor 111</t>
  </si>
  <si>
    <t xml:space="preserve">1/A12.01; A02.01 tag B2; 1/A12.01</t>
  </si>
  <si>
    <t xml:space="preserve">B2  #B2-29  -  wall: break room 118 / work room 119</t>
  </si>
  <si>
    <t xml:space="preserve">B2-29</t>
  </si>
  <si>
    <t xml:space="preserve">wall: break room 118 / work room 119</t>
  </si>
  <si>
    <t xml:space="preserve">B2  #B2-26  -  wall: ATM room 102 / central zone</t>
  </si>
  <si>
    <t xml:space="preserve">B2-26</t>
  </si>
  <si>
    <t xml:space="preserve">wall: ATM room 102 / central zone</t>
  </si>
  <si>
    <t xml:space="preserve">B2  #B2-27  -  wall: 114 / corridor 111</t>
  </si>
  <si>
    <t xml:space="preserve">B2-27</t>
  </si>
  <si>
    <t xml:space="preserve">wall: 114 / corridor 111</t>
  </si>
  <si>
    <t xml:space="preserve">TYPE B2K</t>
  </si>
  <si>
    <t xml:space="preserve">B2K  #B2K-54  -  wall: 108 / teller 116</t>
  </si>
  <si>
    <t xml:space="preserve">B2K-54</t>
  </si>
  <si>
    <t xml:space="preserve">4/A12.01; A02.01 tag B2K; 4/A12.01</t>
  </si>
  <si>
    <t xml:space="preserve">TYPE C1</t>
  </si>
  <si>
    <t xml:space="preserve">C1  #C1-37  -  wall: 114</t>
  </si>
  <si>
    <t xml:space="preserve">C1-37</t>
  </si>
  <si>
    <t xml:space="preserve">wall: 114</t>
  </si>
  <si>
    <t xml:space="preserve">6/A12.01; A02.01 tag C1; 6/A12.01</t>
  </si>
  <si>
    <t xml:space="preserve">C1  #C1-39  -  wall: 113</t>
  </si>
  <si>
    <t xml:space="preserve">C1-39</t>
  </si>
  <si>
    <t xml:space="preserve">wall: 113</t>
  </si>
  <si>
    <t xml:space="preserve">C1  #C1-36  -  wall: waiting 104</t>
  </si>
  <si>
    <t xml:space="preserve">C1-36</t>
  </si>
  <si>
    <t xml:space="preserve">wall: waiting 104</t>
  </si>
  <si>
    <t xml:space="preserve">C1  #PIER-32  -  pier: PIER-32</t>
  </si>
  <si>
    <t xml:space="preserve">PIER-32</t>
  </si>
  <si>
    <t xml:space="preserve">pier: PIER-32</t>
  </si>
  <si>
    <t xml:space="preserve">3/A12.01; A02.01 tag C1; 2/A09.25 DETAIL @ STOREFRONT PIER</t>
  </si>
  <si>
    <t xml:space="preserve">C1  #PIER-33  -  pier: PIER-33</t>
  </si>
  <si>
    <t xml:space="preserve">PIER-33</t>
  </si>
  <si>
    <t xml:space="preserve">pier: PIER-33</t>
  </si>
  <si>
    <t xml:space="preserve">3/A12.01; A02.01 tag C1; 1/A09.25 DETAIL @ STOREFRONT PIER</t>
  </si>
  <si>
    <t xml:space="preserve">C1  #COL-34  -  column_wrap: grille jamb</t>
  </si>
  <si>
    <t xml:space="preserve">COL-34</t>
  </si>
  <si>
    <t xml:space="preserve">column_wrap: grille jamb</t>
  </si>
  <si>
    <t xml:space="preserve">6/A12.01; A02.01 tag C1; 3/A08.21 COILING GRILLE PLAN DETAILS @ JAMB</t>
  </si>
  <si>
    <t xml:space="preserve">C1  #COL-35  -  column_wrap: grille jamb</t>
  </si>
  <si>
    <t xml:space="preserve">COL-35</t>
  </si>
  <si>
    <t xml:space="preserve">C1  #C1-38  -  wall: future FCAM</t>
  </si>
  <si>
    <t xml:space="preserve">C1-38</t>
  </si>
  <si>
    <t xml:space="preserve">wall: future FCAM</t>
  </si>
  <si>
    <t xml:space="preserve">TYPE CANOPY-COL</t>
  </si>
  <si>
    <t xml:space="preserve">CANOPY-COL  #CCOL-1  -  column_wrap: CCOL-1</t>
  </si>
  <si>
    <t xml:space="preserve">CCOL-1</t>
  </si>
  <si>
    <t xml:space="preserve">column_wrap: CCOL-1</t>
  </si>
  <si>
    <t xml:space="preserve">5/A09.25 DETAIL @ CANOPY COLUMN (1'-2 1/2" FOS); 5/A09.25 DETAIL @ CANOPY COLUMN (1'-2 1/2" FOS); A04.01 grid 1</t>
  </si>
  <si>
    <t xml:space="preserve">CANOPY-COL  #CCOL-2  -  column_wrap: CCOL-2</t>
  </si>
  <si>
    <t xml:space="preserve">CCOL-2</t>
  </si>
  <si>
    <t xml:space="preserve">column_wrap: CCOL-2</t>
  </si>
  <si>
    <t xml:space="preserve">CANOPY-COL  #CCOL-3  -  column_wrap: CCOL-3</t>
  </si>
  <si>
    <t xml:space="preserve">CCOL-3</t>
  </si>
  <si>
    <t xml:space="preserve">column_wrap: CCOL-3</t>
  </si>
  <si>
    <t xml:space="preserve">CANOPY-COL  #CCOL-4  -  column_wrap: CCOL-4</t>
  </si>
  <si>
    <t xml:space="preserve">CCOL-4</t>
  </si>
  <si>
    <t xml:space="preserve">column_wrap: CCOL-4</t>
  </si>
  <si>
    <t xml:space="preserve">TYPE CEILING_BULKHEAD</t>
  </si>
  <si>
    <t xml:space="preserve">CEILING_BULKHEAD  #CSR-BH  -  ceiling_bulkhead: teller 116 / corridor/central</t>
  </si>
  <si>
    <t xml:space="preserve">CSR-BH</t>
  </si>
  <si>
    <t xml:space="preserve">ceiling_bulkhead: teller 116 / corridor/central</t>
  </si>
  <si>
    <t xml:space="preserve">10/A09.33; 10/A09.33 CEILING DETAIL @ CSR SOFFIT; A04.01</t>
  </si>
  <si>
    <t xml:space="preserve">TYPE CEILING_TRANSITION</t>
  </si>
  <si>
    <t xml:space="preserve">CEILING_TRANSITION  #TR-104  -  ceiling_transition: waiting 104 transition face</t>
  </si>
  <si>
    <t xml:space="preserve">TR-104</t>
  </si>
  <si>
    <t xml:space="preserve">ceiling_transition: waiting 104 transition face</t>
  </si>
  <si>
    <t xml:space="preserve">7/A09.33; 7/A09.33 TYPICAL CEILING TRANSITION; A04.01</t>
  </si>
  <si>
    <t xml:space="preserve">TYPE DOOR_BULKHEAD</t>
  </si>
  <si>
    <t xml:space="preserve">DOOR_BULKHEAD  #DB-1  -  door_bulkhead: office / central zone</t>
  </si>
  <si>
    <t xml:space="preserve">DB-1</t>
  </si>
  <si>
    <t xml:space="preserve">1-5/8"</t>
  </si>
  <si>
    <t xml:space="preserve">door_bulkhead: office / central zone</t>
  </si>
  <si>
    <t xml:space="preserve">5/A12.01; 8/A12.01 OFFICE BULKHEAD @ DOOR; 9/A12.01 @ GLASS PANEL</t>
  </si>
  <si>
    <t xml:space="preserve">DOOR_BULKHEAD  #DB-2  -  door_bulkhead: office / central zone</t>
  </si>
  <si>
    <t xml:space="preserve">DB-2</t>
  </si>
  <si>
    <t xml:space="preserve">DOOR_BULKHEAD  #DB-3  -  door_bulkhead: office / central zone</t>
  </si>
  <si>
    <t xml:space="preserve">DB-3</t>
  </si>
  <si>
    <t xml:space="preserve">DOOR_BULKHEAD  #DB-4  -  door_bulkhead: office / central zone</t>
  </si>
  <si>
    <t xml:space="preserve">DB-4</t>
  </si>
  <si>
    <t xml:space="preserve">DOOR_BULKHEAD  #DB-5  -  door_bulkhead: office / central zone</t>
  </si>
  <si>
    <t xml:space="preserve">DB-5</t>
  </si>
  <si>
    <t xml:space="preserve">DOOR_BULKHEAD  #DB-6  -  door_bulkhead: office / central zone</t>
  </si>
  <si>
    <t xml:space="preserve">DB-6</t>
  </si>
  <si>
    <t xml:space="preserve">TYPE EXT</t>
  </si>
  <si>
    <t xml:space="preserve">EXT  #EXT-S  -  wall: interior</t>
  </si>
  <si>
    <t xml:space="preserve">EXT-S</t>
  </si>
  <si>
    <t xml:space="preserve">wall: interior</t>
  </si>
  <si>
    <t xml:space="preserve">C/A09.21; A02.01; C/A09.21 "5/8" GYP. BOARD @ PERIMETER EXTERIOR WALL TO DECK"; S1.11 n.5</t>
  </si>
  <si>
    <t xml:space="preserve">EXT  #EXT-E-HI  -  wall: interior</t>
  </si>
  <si>
    <t xml:space="preserve">EXT-E-HI</t>
  </si>
  <si>
    <t xml:space="preserve">EXT  #EXT-E-LOW  -  wall: interior</t>
  </si>
  <si>
    <t xml:space="preserve">EXT-E-LOW</t>
  </si>
  <si>
    <t xml:space="preserve">EXT  #EXT-W-LOW  -  wall: interior</t>
  </si>
  <si>
    <t xml:space="preserve">EXT-W-LOW</t>
  </si>
  <si>
    <t xml:space="preserve">EXT  #EXT-W-HI  -  wall: interior</t>
  </si>
  <si>
    <t xml:space="preserve">EXT-W-HI</t>
  </si>
  <si>
    <t xml:space="preserve">EXT  #EXT-W-N  -  wall: interior</t>
  </si>
  <si>
    <t xml:space="preserve">EXT-W-N</t>
  </si>
  <si>
    <t xml:space="preserve">EXT  #EXT-N1  -  wall: interior</t>
  </si>
  <si>
    <t xml:space="preserve">EXT-N1</t>
  </si>
  <si>
    <t xml:space="preserve">EXT  #EXT-W-JOG  -  wall: interior</t>
  </si>
  <si>
    <t xml:space="preserve">EXT-W-JOG</t>
  </si>
  <si>
    <t xml:space="preserve">TYPE F</t>
  </si>
  <si>
    <t xml:space="preserve">F  #F-40  -  wall: ATM room 102 / 24 HR vestibule 101</t>
  </si>
  <si>
    <t xml:space="preserve">F-40</t>
  </si>
  <si>
    <t xml:space="preserve">wall: ATM room 102 / 24 HR vestibule 101</t>
  </si>
  <si>
    <t xml:space="preserve">12/A12.01; A02.01 tag F; 12/A12.01</t>
  </si>
  <si>
    <t xml:space="preserve">TYPE G</t>
  </si>
  <si>
    <t xml:space="preserve">G  #G-44  -  wall: 106 / 107</t>
  </si>
  <si>
    <t xml:space="preserve">G-44</t>
  </si>
  <si>
    <t xml:space="preserve">wall: 106 / 107</t>
  </si>
  <si>
    <t xml:space="preserve">5/A12.01; A02.01 tag G; 5/A12.01</t>
  </si>
  <si>
    <t xml:space="preserve">G  #G-47  -  wall: 107 / 108</t>
  </si>
  <si>
    <t xml:space="preserve">G-47</t>
  </si>
  <si>
    <t xml:space="preserve">wall: 107 / 108</t>
  </si>
  <si>
    <t xml:space="preserve">G  #G-46  -  wall: ATM room 102 / 109</t>
  </si>
  <si>
    <t xml:space="preserve">G-46</t>
  </si>
  <si>
    <t xml:space="preserve">wall: ATM room 102 / 109</t>
  </si>
  <si>
    <t xml:space="preserve">G  #G-49  -  wall: 109 / 110</t>
  </si>
  <si>
    <t xml:space="preserve">G-49</t>
  </si>
  <si>
    <t xml:space="preserve">wall: 109 / 110</t>
  </si>
  <si>
    <t xml:space="preserve">G  #G-51  -  wall: 110 / 114</t>
  </si>
  <si>
    <t xml:space="preserve">G-51</t>
  </si>
  <si>
    <t xml:space="preserve">wall: 110 / 114</t>
  </si>
  <si>
    <t xml:space="preserve">G  #G-50  -  wall: 108 / 116</t>
  </si>
  <si>
    <t xml:space="preserve">G-50</t>
  </si>
  <si>
    <t xml:space="preserve">wall: 108 / 116</t>
  </si>
  <si>
    <t xml:space="preserve">G  #GS-43  -  wall: central zone 103 / office</t>
  </si>
  <si>
    <t xml:space="preserve">GS-43</t>
  </si>
  <si>
    <t xml:space="preserve">wall: central zone 103 / office</t>
  </si>
  <si>
    <t xml:space="preserve">G  #GS-45  -  wall: central zone 103 / office</t>
  </si>
  <si>
    <t xml:space="preserve">GS-45</t>
  </si>
  <si>
    <t xml:space="preserve">G  #GS-48  -  wall: central zone 103 / office</t>
  </si>
  <si>
    <t xml:space="preserve">GS-48</t>
  </si>
  <si>
    <t xml:space="preserve">G  #GS-105N  -  wall: central zone 103 / office</t>
  </si>
  <si>
    <t xml:space="preserve">GS-105N</t>
  </si>
  <si>
    <t xml:space="preserve">G  #GS-108S  -  wall: central zone 103 / office</t>
  </si>
  <si>
    <t xml:space="preserve">GS-108S</t>
  </si>
  <si>
    <t xml:space="preserve">TYPE G1</t>
  </si>
  <si>
    <t xml:space="preserve">G1  #G1-52  -  wall: 105 / 106</t>
  </si>
  <si>
    <t xml:space="preserve">G1-52</t>
  </si>
  <si>
    <t xml:space="preserve">wall: 105 / 106</t>
  </si>
  <si>
    <t xml:space="preserve">5/A12.01; A02.01 tag G1; 5/A12.01</t>
  </si>
  <si>
    <t xml:space="preserve">G1  #G1-53  -  wall: central zone / office</t>
  </si>
  <si>
    <t xml:space="preserve">G1-53</t>
  </si>
  <si>
    <t xml:space="preserve">wall: central zone / office</t>
  </si>
  <si>
    <t xml:space="preserve">G1  #GS-110S  -  wall: corridor 111 / 110</t>
  </si>
  <si>
    <t xml:space="preserve">GS-110S</t>
  </si>
  <si>
    <t xml:space="preserve">wall: corridor 111 / 110</t>
  </si>
  <si>
    <t xml:space="preserve">TYPE GRILLE_HEAD</t>
  </si>
  <si>
    <t xml:space="preserve">GRILLE_HEAD  #GH-103  -  grille_head: central zone / 24 HR vestibule</t>
  </si>
  <si>
    <t xml:space="preserve">GH-103</t>
  </si>
  <si>
    <t xml:space="preserve">2-1/2"</t>
  </si>
  <si>
    <t xml:space="preserve">grille_head: central zone / 24 HR vestibule</t>
  </si>
  <si>
    <t xml:space="preserve">4/A08.21; 4/A08.21 2 1/2" CFMF @ 16" O.C.</t>
  </si>
  <si>
    <t xml:space="preserve">TYPE PARAPET</t>
  </si>
  <si>
    <t xml:space="preserve">PARAPET  #PAR-S  -  parapet: PAR-S</t>
  </si>
  <si>
    <t xml:space="preserve">PAR-S</t>
  </si>
  <si>
    <t xml:space="preserve">6" parapet</t>
  </si>
  <si>
    <t xml:space="preserve">parapet: PAR-S</t>
  </si>
  <si>
    <t xml:space="preserve">11/S5.10 PARAPET INFILL 600S162-54 @16"; 11/S5.10 PARAPET INFILL 600S162-54 @16"; 6/S5.10 posts @5'-0"; A02.02</t>
  </si>
  <si>
    <t xml:space="preserve">PARAPET  #PAR-E-HI  -  parapet: PAR-E-HI</t>
  </si>
  <si>
    <t xml:space="preserve">PAR-E-HI</t>
  </si>
  <si>
    <t xml:space="preserve">parapet: PAR-E-HI</t>
  </si>
  <si>
    <t xml:space="preserve">PARAPET  #PAR-N  -  parapet: PAR-N</t>
  </si>
  <si>
    <t xml:space="preserve">PAR-N</t>
  </si>
  <si>
    <t xml:space="preserve">parapet: PAR-N</t>
  </si>
  <si>
    <t xml:space="preserve">PARAPET  #PAR-W1-T  -  parapet: PAR-W1-T</t>
  </si>
  <si>
    <t xml:space="preserve">PAR-W1-T</t>
  </si>
  <si>
    <t xml:space="preserve">parapet: PAR-W1-T</t>
  </si>
  <si>
    <t xml:space="preserve">PARAPET  #PAR-E-LOW  -  parapet: PAR-E-LOW</t>
  </si>
  <si>
    <t xml:space="preserve">PAR-E-LOW</t>
  </si>
  <si>
    <t xml:space="preserve">parapet: PAR-E-LOW</t>
  </si>
  <si>
    <t xml:space="preserve">PARAPET  #PAR-W2-LOW  -  parapet: PAR-W2-LOW</t>
  </si>
  <si>
    <t xml:space="preserve">PAR-W2-LOW</t>
  </si>
  <si>
    <t xml:space="preserve">parapet: PAR-W2-LOW</t>
  </si>
  <si>
    <t xml:space="preserve">PARAPET  #PAR-W2-HI  -  parapet: PAR-W2-HI</t>
  </si>
  <si>
    <t xml:space="preserve">PAR-W2-HI</t>
  </si>
  <si>
    <t xml:space="preserve">parapet: PAR-W2-HI</t>
  </si>
  <si>
    <t xml:space="preserve">PARAPET  #PAR-N-T  -  parapet: PAR-N-T</t>
  </si>
  <si>
    <t xml:space="preserve">PAR-N-T</t>
  </si>
  <si>
    <t xml:space="preserve">parapet: PAR-N-T</t>
  </si>
  <si>
    <t xml:space="preserve">PARAPET  #PAR-T-RET  -  parapet: PAR-T-RET</t>
  </si>
  <si>
    <t xml:space="preserve">PAR-T-RET</t>
  </si>
  <si>
    <t xml:space="preserve">parapet: PAR-T-RET</t>
  </si>
  <si>
    <t xml:space="preserve">PARAPET  #PAR-WJ  -  parapet: PAR-WJ</t>
  </si>
  <si>
    <t xml:space="preserve">PAR-WJ</t>
  </si>
  <si>
    <t xml:space="preserve">parapet: PAR-WJ</t>
  </si>
  <si>
    <t xml:space="preserve">TYPE ROOF_STEP</t>
  </si>
  <si>
    <t xml:space="preserve">ROOF_STEP  #RS-1  -  roof_step: RS-1</t>
  </si>
  <si>
    <t xml:space="preserve">RS-1</t>
  </si>
  <si>
    <t xml:space="preserve">roof_step: RS-1</t>
  </si>
  <si>
    <t xml:space="preserve">6/A02.02; 6/A02.02</t>
  </si>
  <si>
    <t xml:space="preserve">ROOF_STEP  #RS-2  -  roof_step: interior</t>
  </si>
  <si>
    <t xml:space="preserve">RS-2</t>
  </si>
  <si>
    <t xml:space="preserve">roof_step: interior</t>
  </si>
  <si>
    <t xml:space="preserve">TYPE STOREFRONT_CRIPPLES</t>
  </si>
  <si>
    <t xml:space="preserve">STOREFRONT_CRIPPLES  #SF-N  -  storefront_cripples: interior</t>
  </si>
  <si>
    <t xml:space="preserve">SF-N</t>
  </si>
  <si>
    <t xml:space="preserve">storefront_cripples: interior</t>
  </si>
  <si>
    <t xml:space="preserve">C/A09.21; 2/A09.26 STEEL HEADER FRAMING; S2.20 HSS9x5x5/8 (LLV) line F</t>
  </si>
  <si>
    <t xml:space="preserve">STOREFRONT_CRIPPLES  #SF-V100  -  storefront_cripples: interior</t>
  </si>
  <si>
    <t xml:space="preserve">SF-V100</t>
  </si>
  <si>
    <t xml:space="preserve">STOREFRONT_CRIPPLES  #SF-W100  -  storefront_cripples: vestibule 100</t>
  </si>
  <si>
    <t xml:space="preserve">SF-W100</t>
  </si>
  <si>
    <t xml:space="preserve">storefront_cripples: vestibule 100</t>
  </si>
  <si>
    <t xml:space="preserve">C/A09.21; 2/A09.26 STEEL HEADER FRAMING</t>
  </si>
  <si>
    <t xml:space="preserve">TYPE VESTIBULE_HEAD</t>
  </si>
  <si>
    <t xml:space="preserve">VESTIBULE_HEAD  #VH-S  -  vestibule_head: VH-S</t>
  </si>
  <si>
    <t xml:space="preserve">VH-S</t>
  </si>
  <si>
    <t xml:space="preserve">vestibule_head: VH-S</t>
  </si>
  <si>
    <t xml:space="preserve">5/A12.10; 5/A12.10; 7/A12.10 METAL STUD FRAMING &amp; BOX HEADER AS NEEDED</t>
  </si>
  <si>
    <t xml:space="preserve">VESTIBULE_HEAD  #VH-E  -  vestibule_head: VH-E</t>
  </si>
  <si>
    <t xml:space="preserve">VH-E</t>
  </si>
  <si>
    <t xml:space="preserve">vestibule_head: VH-E</t>
  </si>
  <si>
    <t xml:space="preserve">4/A12.10; 4/A12.10; 5/A12.10 METAL STUD FRAMING &amp; BOX HEADER AS NEEDED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</si>
  <si>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</si>
  <si>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</si>
  <si>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</si>
  <si>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</si>
  <si>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</si>
  <si>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</si>
  <si>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</si>
  <si>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</si>
  <si>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</si>
  <si>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</si>
  <si>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</si>
  <si>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</si>
  <si>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600S162-54 (ext, S1.11 n.5) / 600S137-33 (int)</t>
  </si>
  <si>
    <t xml:space="preserve">LF</t>
  </si>
  <si>
    <t xml:space="preserve">stick 20 ft</t>
  </si>
  <si>
    <t xml:space="preserve">familias_out.json (canon.py) [6" stud (todos los gauges)]; 7/S5.20; S1.11</t>
  </si>
  <si>
    <t xml:space="preserve">3-5/8" metal stud 362S137-33 (A1K/B2K 14 GA @24")</t>
  </si>
  <si>
    <t xml:space="preserve">familias_out.json (canon.py) [3-5/8" stud (todos los gauges)]; 7/S5.20; 4/A12.01</t>
  </si>
  <si>
    <t xml:space="preserve">1-5/8" metal stud (G/G1 double row)</t>
  </si>
  <si>
    <t xml:space="preserve">familias_out.json (canon.py) [1-5/8" stud]; 5/A12.01</t>
  </si>
  <si>
    <t xml:space="preserve">2-1/2" CFMF stud @16" (grille head)</t>
  </si>
  <si>
    <t xml:space="preserve">familias_out.json (canon.py) [2-1/2" stud]; 4/A08.21</t>
  </si>
  <si>
    <t xml:space="preserve">6" parapet stud 600S162-54 @16" (infill, bay by bay)</t>
  </si>
  <si>
    <t xml:space="preserve">familias_out.json (canon.py) [6" parapet stud]; 11/S5.10; 6/S5.10</t>
  </si>
  <si>
    <t xml:space="preserve">bottom track (600T125-33 / 362T125-33 / 162T)</t>
  </si>
  <si>
    <t xml:space="preserve">piece 10 ft</t>
  </si>
  <si>
    <t xml:space="preserve">familias_out.json (canon.py) [bottom track (todos)]; 7/S5.20</t>
  </si>
  <si>
    <t xml:space="preserve">top / deflection track (slip track, 600T200-97 ext)</t>
  </si>
  <si>
    <t xml:space="preserve">familias_out.json (canon.py) [top / deflection track (todos)]; 3/A12.01; 7/S5.20; 10/S5.10</t>
  </si>
  <si>
    <t xml:space="preserve">ceiling / soffit track (perimeter, canopy, transitions)</t>
  </si>
  <si>
    <t xml:space="preserve">familias_out.json (canon.py) [track de ceilings / soffits]; 7/A09.33; 7/A09.26; 10/A09.33</t>
  </si>
  <si>
    <t xml:space="preserve">bracing 1-1/2" C.R. channel @48"</t>
  </si>
  <si>
    <t xml:space="preserve">piece 16 ft</t>
  </si>
  <si>
    <t xml:space="preserve">familias_out.json (canon.py) [bracing C.R. channel]; F/1/S5.20</t>
  </si>
  <si>
    <t xml:space="preserve">purlin 1x1x1 16GA (track to deck, parallel flute)</t>
  </si>
  <si>
    <t xml:space="preserve">familias_out.json (canon.py) [purlin (track to deck)]; 10/A09.33</t>
  </si>
  <si>
    <t xml:space="preserve">header / box beam (by pieces)</t>
  </si>
  <si>
    <t xml:space="preserve">familias_out.json (canon.py) [header / box beam]; 7/S5.20; 11/A09.27; 8/A12.01; 4/A08.21; per piece: track 79.24, 6" C box 119.02, C box 261.45, 6" CFMF box 58.67</t>
  </si>
  <si>
    <t xml:space="preserve">sill track (2/S5.20 invert, double &gt; 4'-0")</t>
  </si>
  <si>
    <t xml:space="preserve">familias_out.json (canon.py) [sill track]; 2/S5.20</t>
  </si>
  <si>
    <t xml:space="preserve">furring channel 7/8" (drywall ceilings)</t>
  </si>
  <si>
    <t xml:space="preserve">piece 12 ft</t>
  </si>
  <si>
    <t xml:space="preserve">familias_out.json (canon.py) [furring channel]; A04.01; A09.33</t>
  </si>
  <si>
    <t xml:space="preserve">carrying channel 1-1/2" C.R.</t>
  </si>
  <si>
    <t xml:space="preserve">familias_out.json (canon.py) [carrying channel]; A04.01; A09.33</t>
  </si>
  <si>
    <t xml:space="preserve">hanger wire 12 GA (LF derived = PCS x height)</t>
  </si>
  <si>
    <t xml:space="preserve">roll LF</t>
  </si>
  <si>
    <t xml:space="preserve">familias_out.json (canon.py) [hanger wire]; A09.33; S2.20</t>
  </si>
  <si>
    <t xml:space="preserve">5/8" gypsum board regular (walls + ceilings)</t>
  </si>
  <si>
    <t xml:space="preserve">SF</t>
  </si>
  <si>
    <t xml:space="preserve">4x12 sheet</t>
  </si>
  <si>
    <t xml:space="preserve">familias_out.json (canon.py) [5/8" gyp board regular (walls + ceilings)]; A12.01; A04.01</t>
  </si>
  <si>
    <t xml:space="preserve">5/8" moisture resistant gypsum board</t>
  </si>
  <si>
    <t xml:space="preserve">familias_out.json (canon.py) [5/8" gyp MOISTURE RESISTANT]; F/A08.01</t>
  </si>
  <si>
    <t xml:space="preserve">ballistic panel 3/8" UL752 Level-2 fiberglass</t>
  </si>
  <si>
    <t xml:space="preserve">4x8 sheet</t>
  </si>
  <si>
    <t xml:space="preserve">familias_out.json (canon.py) [ballistic panel]; 4/A12.01</t>
  </si>
  <si>
    <t xml:space="preserve">3/8" gypsum board (above ballistic)</t>
  </si>
  <si>
    <t xml:space="preserve">familias_out.json (canon.py) [3/8" gyp board]; 4/A12.01</t>
  </si>
  <si>
    <t xml:space="preserve">5/8" glass mat sheathing (base + canopy band)</t>
  </si>
  <si>
    <t xml:space="preserve">familias_out.json (canon.py) [5/8" glass mat sheathing]; 5/A09.26; 7/A09.26</t>
  </si>
  <si>
    <t xml:space="preserve">5/8" exterior gypsum sheathing (parapet roof side)</t>
  </si>
  <si>
    <t xml:space="preserve">familias_out.json (canon.py) [5/8" EXTERIOR gyp sheathing]; A/A09.21; C/A09.21</t>
  </si>
  <si>
    <t xml:space="preserve">FRT plywood (nailbase, fascia, strips, column wraps)</t>
  </si>
  <si>
    <t xml:space="preserve">familias_out.json (canon.py) [FRT plywood (SF)]; C/A09.21; 7/A09.26; 12/A12.01; 5/A09.25</t>
  </si>
  <si>
    <t xml:space="preserve">FRT blocking (parapet 2 plies, office bulkheads, toilet rooms)</t>
  </si>
  <si>
    <t xml:space="preserve">piece 8 ft</t>
  </si>
  <si>
    <t xml:space="preserve">familias_out.json (canon.py) [FRT blocking]; 4/A09.26; 8/A12.01; E/A08.01</t>
  </si>
  <si>
    <t xml:space="preserve">metal stud blocking 362CR22 (edge of gypboard + equipment)</t>
  </si>
  <si>
    <t xml:space="preserve">familias_out.json (canon.py) [metal stud blocking (362CR / STUD BLOCKING)]; 4/S5.20; A02.01 note C</t>
  </si>
  <si>
    <t xml:space="preserve">metal trim - corner bead, casing bead, shadow molding</t>
  </si>
  <si>
    <t xml:space="preserve">familias_out.json (canon.py) [metal trim (corner bead, casing, shadow molding)]; 8/A12.01; 10/A12.01; 7/A09.33; 11/A09.27</t>
  </si>
  <si>
    <t xml:space="preserve">cement board (tile cove base)</t>
  </si>
  <si>
    <t xml:space="preserve">3x5 sheet</t>
  </si>
  <si>
    <t xml:space="preserve">familias_out.json (canon.py) [cement board]; 3/A08.01</t>
  </si>
  <si>
    <t xml:space="preserve">framed openings MEP (track, 2 x (L + W) x qty)</t>
  </si>
  <si>
    <t xml:space="preserve">framed_openings_out.json; E00.01; E02.01; A04.01</t>
  </si>
  <si>
    <t xml:space="preserve">acoustical sealant</t>
  </si>
  <si>
    <t xml:space="preserve">tube 28 oz (~25 LF)</t>
  </si>
  <si>
    <t xml:space="preserve">sealant_insulation.json (sellar.py); 3/A12.01; 1/A12.01; 4/A12.01; 5/A12.01</t>
  </si>
  <si>
    <t xml:space="preserve">batt insulation (partitions, schedule YES)</t>
  </si>
  <si>
    <t xml:space="preserve">sealant_insulation.json; 3/A12.01 schedule INSULATION YES; + 156.2 SF sound batt above 113/114 A04.01 key note 11</t>
  </si>
  <si>
    <t xml:space="preserve">FRP panel (restrooms, 5'-0" above cove base)</t>
  </si>
  <si>
    <t xml:space="preserve">3/A08.01 5'-0" TO TOP OF FRP; 53.9 (tile_base perimeter x 5.0) + 20 SF mop sink 4,5/A08.01 FRP 4'-0" AFF</t>
  </si>
  <si>
    <t xml:space="preserve">hanger wire 12 GA - hangers (PCS, height per room in source)</t>
  </si>
  <si>
    <t xml:space="preserve">PCS</t>
  </si>
  <si>
    <t xml:space="preserve">EA</t>
  </si>
  <si>
    <t xml:space="preserve">familias_out.json hanger_pcs; 100 vestibule 15 pcs @ 5.375 ft; 101 24 HR vestibule 20 pcs @ 5.375 ft; 104 waiting 54 pcs @ 4.375 ft; 114 women 12 pcs @ 4.490 ft; 113 men 12 pcs @ 4.316 ft</t>
  </si>
  <si>
    <t xml:space="preserve">canopy soffit framing - 4 canopy bands (count)</t>
  </si>
  <si>
    <t xml:space="preserve">A04.01; 7/A09.26 (cantidades en studs / track / FRT plywood)</t>
  </si>
  <si>
    <t xml:space="preserve">column wraps - canopy columns 5/A09.25 + grille jambs 3/A08.21 (count)</t>
  </si>
  <si>
    <t xml:space="preserve">5/A09.25; 3/A08.21</t>
  </si>
  <si>
    <t xml:space="preserve">RFI</t>
  </si>
  <si>
    <t xml:space="preserve">Question / condition</t>
  </si>
  <si>
    <t xml:space="preserve">Delta of each alternative</t>
  </si>
  <si>
    <t xml:space="preserve">RFI-E1</t>
  </si>
  <si>
    <t xml:space="preserve">Exterior elevation titles transposed N/S: A09.01 'SOUTH ELEVATION' shows the plan-north facade (storefront, line F); A09.02 'NORTH ELEVATION' shows plan-south (door 123). S2.20 note 'BUILDING FOOTPRINT MIRRORED NORTH-SOUTH'. Take-off follows A02.01 plan + grid order.</t>
  </si>
  <si>
    <t xml:space="preserve">0 (assignment only; other trades read the same sheets)</t>
  </si>
  <si>
    <t xml:space="preserve">RFI-S1</t>
  </si>
  <si>
    <t xml:space="preserve">Exterior studs: S1.11 note 5 '600S162-54 @ 12" O.C. within 6 ft of building corners, @16" all other' vs S5.20 7 '600S137-33 @16"'. Carried S1.11 (more material, 56.2).</t>
  </si>
  <si>
    <t xml:space="preserve">approx. -120 LF 6" stud if @16" everywhere; gauge 54 mil vs 33 mil price delta</t>
  </si>
  <si>
    <t xml:space="preserve">RFI-C1</t>
  </si>
  <si>
    <t xml:space="preserve">GWB suspended ceilings (A04.01 'NEW SUSPENDED GYPSUM BOARD CEILING'): furring / carrying / hanger spacing not printed in A09.33. Carried furring 16" O.C., carrying 48" O.C., hangers 48" O.C., carrying N-S.</t>
  </si>
  <si>
    <t xml:space="preserve">furring @24": approx. -260 LF furring channel</t>
  </si>
  <si>
    <t xml:space="preserve">RFI-D1</t>
  </si>
  <si>
    <t xml:space="preserve">Deck flute direction (10/A09.33 'VIF FLUTE DIRECTION'): carried flute E-W (deck spans between N-S framing in S2.20) -&gt; purlin on E-W top tracks.</t>
  </si>
  <si>
    <t xml:space="preserve">purlin 225.16 LF moves to N-S walls if flute runs N-S</t>
  </si>
  <si>
    <t xml:space="preserve">RFI-H2</t>
  </si>
  <si>
    <t xml:space="preserve">Drive-up ATM (5,6/A08.11) 'METAL STUD BOX BEAM': number of pieces not dimensioned; carried 2 (C box).</t>
  </si>
  <si>
    <t xml:space="preserve">-3.51 LF header if 1 piece</t>
  </si>
  <si>
    <t xml:space="preserve">RFI-H3</t>
  </si>
  <si>
    <t xml:space="preserve">Vestibule heads 4,5,7/A12.10 'METAL STUD FRAMING &amp; BOX HEADER AS NEEDED': size/pieces not printed; carried 2 C pieces over 15.64 + 6.42 ft (E11).</t>
  </si>
  <si>
    <t xml:space="preserve">-24.73 LF header if single piece; -49.45 if not needed</t>
  </si>
  <si>
    <t xml:space="preserve">RFI-G1</t>
  </si>
  <si>
    <t xml:space="preserve">Coiling grille 103 head height not printed (1,2,4/A08.21); grille head 2-1/2" CFMF carried from 10'-6" to B.O.D.</t>
  </si>
  <si>
    <t xml:space="preserve">each 1'-0" of head height = approx. 11 LF 2-1/2" stud</t>
  </si>
  <si>
    <t xml:space="preserve">RFI-T1</t>
  </si>
  <si>
    <t xml:space="preserve">7/A09.33 kicker '3 5/8" METAL STUD KICKER AT 48" O.C.' length not printed; carried diagonal at 45 deg to deck (6.19 ft, 53.3) plus vertical studs @16" (E7).</t>
  </si>
  <si>
    <t xml:space="preserve">-98 LF 3-5/8" stud if kicker 1'-6"</t>
  </si>
  <si>
    <t xml:space="preserve">RFI-P1</t>
  </si>
  <si>
    <t xml:space="preserve">Storefront piers 1/A09.25 and 2/A09.25: framed as pier perimeter (6" CFMF); interior 3-5/8" framing, 3/4" FRT plywood and 5/8" board at jambs not separately quantified.</t>
  </si>
  <si>
    <t xml:space="preserve">approx. +60 SF board, +40 SF FRT plywood, +40 LF 3-5/8" stud</t>
  </si>
  <si>
    <t xml:space="preserve">RFI-R1</t>
  </si>
  <si>
    <t xml:space="preserve">R-11C/R-11CE: E00.01 description 12' vs catalog '-20'-0"'; RCP draws 'R-11 (12')'. Carried 12' (60.9).</t>
  </si>
  <si>
    <t xml:space="preserve">+64.0 LF framed openings if 20'</t>
  </si>
  <si>
    <t xml:space="preserve">RFI-S2</t>
  </si>
  <si>
    <t xml:space="preserve">Partition G (5/A12.01): sealant drawn at top only; base bead not labeled. Carried top only.</t>
  </si>
  <si>
    <t xml:space="preserve">+ approx. 165 LF acoustical sealant if base included</t>
  </si>
  <si>
    <t xml:space="preserve">RFI-B1</t>
  </si>
  <si>
    <t xml:space="preserve">A02.01 note C 'PROVIDE BLOCKING' gives no material: carried metal 362CR22 (4/S5.20) for equipment, lockers, ladder, wall stops; FRTW where the set says so (A12.03-A12.06 note D millwork, A08.01 note E toilet rooms, 8/A12.01 bulkheads, 8/A12.10, 10/A09.33).</t>
  </si>
  <si>
    <t xml:space="preserve">material change only</t>
  </si>
  <si>
    <t xml:space="preserve">RFI-B2</t>
  </si>
  <si>
    <t xml:space="preserve">Millwork blocking lengths taken from plan hatch (1 run base, 2 runs MW12 upper); door wall stops 14 doors x 2'-0" (hardware groups not verified).</t>
  </si>
  <si>
    <t xml:space="preserve">+/- 30 LF</t>
  </si>
  <si>
    <t xml:space="preserve">RFI-CAN</t>
  </si>
  <si>
    <t xml:space="preserve">Canopy: east band ends at y=1184.9 on A04.01 while A09.02 EAST ELEVATION shows canopy full length A-G; glass mat band height taken T/CANOPY - B/CANOPY (2.167 ft).</t>
  </si>
  <si>
    <t xml:space="preserve">+25 LF canopy E and approx. +56 SF W canopy band B-A if the elevations govern over A04.01</t>
  </si>
  <si>
    <t xml:space="preserve">RFI-PAR</t>
  </si>
  <si>
    <t xml:space="preserve">Entry tower (T.O. PARAPET 2): A02.02 key note 10 draws only the east return (~4.6 LF, carried both faces); no south return drawn.</t>
  </si>
  <si>
    <t xml:space="preserve">+ approx. 17.7 LF x 4.29 ft parapet if a south return exists</t>
  </si>
  <si>
    <t xml:space="preserve">RFI-RS</t>
  </si>
  <si>
    <t xml:space="preserve">Roof step at grid B (6/A02.02): carried 2 stud runs (exterior membrane face + interior gyp face).</t>
  </si>
  <si>
    <t xml:space="preserve">+120 LF 3-5/8" stud per extra run</t>
  </si>
  <si>
    <t xml:space="preserve">RFI-L5</t>
  </si>
  <si>
    <t xml:space="preserve">Level 5 finish only at WC-20 wallcovering (A05.01 key note 9); walls not mapped; Level 4 assumed elsewhere.</t>
  </si>
  <si>
    <t xml:space="preserve">Level 5 SF pending wall mapping</t>
  </si>
  <si>
    <t xml:space="preserve">RFI-CJ</t>
  </si>
  <si>
    <t xml:space="preserve">No gypsum control joints labeled in the set (CJ = stucco joint, A09.01 legend). Excluded per ASTM C840 / GA-216 check.</t>
  </si>
  <si>
    <t xml:space="preserve">0 (alternate if required)</t>
  </si>
  <si>
    <t xml:space="preserve">RFI-BR</t>
  </si>
  <si>
    <t xml:space="preserve">Bracing (53.4 literal) crosses openings without studs (canon.py).</t>
  </si>
  <si>
    <t xml:space="preserve">-86.26 LF C.R. channel</t>
  </si>
  <si>
    <t xml:space="preserve">RFI-BT</t>
  </si>
  <si>
    <t xml:space="preserve">Bottom track continuous through doors (E10).</t>
  </si>
  <si>
    <t xml:space="preserve">-33.83 LF bottom track if deducted</t>
  </si>
  <si>
    <t xml:space="preserve">RFI-H4</t>
  </si>
  <si>
    <t xml:space="preserve">Box beams GL-2 (11/A09.27), ATM 9D (6/A08.11), grille 103 (4/A08.21) and vestibule heads carried as 2 C; office front box beam 9/A12.01 draws 2 C + 2 track (4 pieces). Confirm piece count of the other boxes.</t>
  </si>
  <si>
    <t xml:space="preserve">+119.0 / +7.0 / +58.7 / +49.5 LF header if 4 pieces</t>
  </si>
  <si>
    <t xml:space="preserve">RFI-G2</t>
  </si>
  <si>
    <t xml:space="preserve">Coiling grille R.O.: A02.01 13'-4" R.O. vs 5/A08.21 14'-3" jamb to jamb.</t>
  </si>
  <si>
    <t xml:space="preserve">+3.7 LF header</t>
  </si>
  <si>
    <t xml:space="preserve">RFI-M1</t>
  </si>
  <si>
    <t xml:space="preserve">Restroom 113/114 air devices: M01.01 draws 4 slots 2.29 x 0.64 ft, A04.01 draws ~10" squares (fit module).</t>
  </si>
  <si>
    <t xml:space="preserve">+23.5 LF framed openings</t>
  </si>
  <si>
    <t xml:space="preserve">RFI-UU5</t>
  </si>
  <si>
    <t xml:space="preserve">UU5 50' fixture vs east canopy band 48.05 ft (A04.01).</t>
  </si>
  <si>
    <t xml:space="preserve">-3.9 LF framed openings if shortened</t>
  </si>
  <si>
    <t xml:space="preserve">RFI-REC</t>
  </si>
  <si>
    <t xml:space="preserve">Recessed accessories TA-13 x2, TA-14 x2, TA-2 x2, FEC-1: framed openings not carried (v64 §7: recessed accessories are never header).</t>
  </si>
  <si>
    <t xml:space="preserve">+56 LF track if framed</t>
  </si>
  <si>
    <t xml:space="preserve">RFI-ATM</t>
  </si>
  <si>
    <t xml:space="preserve">Drive-up ATM 6/A08.11 '2 1/2" METAL STUD SISTERED TO 6" METAL STUD W/ MINERAL WOOL' not in canon.</t>
  </si>
  <si>
    <t xml:space="preserve">+16 LF 2-1/2" stud, +16 SF mineral wool</t>
  </si>
  <si>
    <t xml:space="preserve">RFI-BLK</t>
  </si>
  <si>
    <t xml:space="preserve">Wall-mounted equipment (A00.40: phones, cork boards, monitor arms, FEC-2, wellness mirror, Knox box), office artwork 8'-0" (A11.01/03/04), exterior signage/devices (A09.01/02 key notes 1,5,8): blocking not carried.</t>
  </si>
  <si>
    <t xml:space="preserve">+32 LF equipment, +48 to +96 LF artwork, +48 LF exterior</t>
  </si>
  <si>
    <t xml:space="preserve">RFI-TA</t>
  </si>
  <si>
    <t xml:space="preserve">Toilet accessory FRT blocking carried 24 LF; count per accessory gives ~44 LF.</t>
  </si>
  <si>
    <t xml:space="preserve">+20 LF FRT blocking</t>
  </si>
  <si>
    <t xml:space="preserve">RFI-L5b</t>
  </si>
  <si>
    <t xml:space="preserve">Level 5 also at WC-22 (A05.01 key note 10, half wall).</t>
  </si>
  <si>
    <t xml:space="preserve">+100 to +130 SF Level 5</t>
  </si>
  <si>
    <t xml:space="preserve">RFI-PL</t>
  </si>
  <si>
    <t xml:space="preserve">ATM plinths 3,6/A08.11 'GC BUILT PLINTH' (FRT plywood + 2x4/4x4): rough carpentry, not carried.</t>
  </si>
  <si>
    <t xml:space="preserve">+30 SF FRT plywood, +25 LF wood</t>
  </si>
  <si>
    <t xml:space="preserve">RFI-PVC</t>
  </si>
  <si>
    <t xml:space="preserve">PVC edge / inside corner trim of FRP (3,7/A08.01) not carried (not metal).</t>
  </si>
  <si>
    <t xml:space="preserve">+94 LF PVC trim</t>
  </si>
  <si>
    <t xml:space="preserve">RFI-A5</t>
  </si>
  <si>
    <t xml:space="preserve">A5-13 carried at 15'-4 1/2" full length; 4.56 ft lie south of grid B (low deck).</t>
  </si>
  <si>
    <t xml:space="preserve">approx. -9 LF 6" stud</t>
  </si>
  <si>
    <t xml:space="preserve">RFI-DB</t>
  </si>
  <si>
    <t xml:space="preserve">A1-0 board behind furring C1-36 (10'-0") may be double counted.</t>
  </si>
  <si>
    <t xml:space="preserve">up to -153.8 SF 5/8" board</t>
  </si>
  <si>
    <t xml:space="preserve">RFI-ALC</t>
  </si>
  <si>
    <t xml:space="preserve">Drinking fountain alcove returns (A02.01 y 1336.0 / 1409.3, x 1099.7-1133.9): type/thickness not resolved; not carried.</t>
  </si>
  <si>
    <t xml:space="preserve">+3 LF A1, +70 to +100 SF board</t>
  </si>
  <si>
    <t xml:space="preserve">RFI-A1H</t>
  </si>
  <si>
    <t xml:space="preserve">A1/A5 (3/A12.01): board carried to scheduled ceiling + 6" per face (detail dimension '6"' above SCHEDULED CEILING); studs to structure.</t>
  </si>
  <si>
    <t xml:space="preserve">+833 SF 5/8" board if board runs to B.O.D. (blind back-check criterion)</t>
  </si>
  <si>
    <t xml:space="preserve">#</t>
  </si>
  <si>
    <t xml:space="preserve">Punto</t>
  </si>
  <si>
    <t xml:space="preserve">Hoja + detalle</t>
  </si>
  <si>
    <t xml:space="preserve">Imagen</t>
  </si>
  <si>
    <t xml:space="preserve">Barrido de tags: 50 tags reales en A02.01 -&gt; 58 walls interiores + 8 exteriores; 3 G stubs y el fondo del alcove sin tag (rojo en los planos). Confirmar lista completa.</t>
  </si>
  <si>
    <t xml:space="preserve">3/A12.01</t>
  </si>
  <si>
    <t xml:space="preserve">01_PLANO_A1.jpg ... 11_PLANO_BULKHEADS_HEADS.jpg</t>
  </si>
  <si>
    <t xml:space="preserve">S1.11 n.5 vs 7/S5.20 (gauge y @12" en esquinas) RFI-S1.</t>
  </si>
  <si>
    <t xml:space="preserve">7/S5.20</t>
  </si>
  <si>
    <t xml:space="preserve">10_PLANO_EXTERIORES.jpg</t>
  </si>
  <si>
    <t xml:space="preserve">Elevaciones N/S transpuestas (RFI-E1).</t>
  </si>
  <si>
    <t xml:space="preserve">1/A09.01</t>
  </si>
  <si>
    <t xml:space="preserve">a0901.png</t>
  </si>
  <si>
    <t xml:space="preserve">Spacing de suspension de GWB ceilings no impreso (RFI-C1).</t>
  </si>
  <si>
    <t xml:space="preserve">7/A09.33</t>
  </si>
  <si>
    <t xml:space="preserve">rcp.png</t>
  </si>
  <si>
    <t xml:space="preserve">Wall F diagonal: largo = promedio de las dos faces (17.76 ft); ATM walk-up R.O. 2'-3".</t>
  </si>
  <si>
    <t xml:space="preserve">12/A12.01</t>
  </si>
  <si>
    <t xml:space="preserve">07_PLANO_F.jpg</t>
  </si>
  <si>
    <t xml:space="preserve">B2K sin renglon en el schedule: derivado de la familia K (4/A12.01).</t>
  </si>
  <si>
    <t xml:space="preserve">4/A12.01</t>
  </si>
  <si>
    <t xml:space="preserve">02_PLANO_A1K_B2K.jpg</t>
  </si>
  <si>
    <t xml:space="preserve">Canopy este: RCP vs elevacion (RFI-CAN); torre de parapet 2 sin retornos (RFI-PAR).</t>
  </si>
  <si>
    <t xml:space="preserve">7/A09.26</t>
  </si>
  <si>
    <t xml:space="preserve">Header vestibule 'BOX HEADER AS NEEDED' y DU ATM box beam (RFI-H2/H3); grille head (RFI-G1).</t>
  </si>
  <si>
    <t xml:space="preserve">5/A12.10</t>
  </si>
  <si>
    <t xml:space="preserve">11_PLANO_BULKHEADS_HEADS.jpg</t>
  </si>
  <si>
    <t xml:space="preserve">Kickers de transicion 7/A09.33 a 45 grados (RFI-T1).</t>
  </si>
  <si>
    <t xml:space="preserve">rcp_wait.png</t>
  </si>
  <si>
    <t xml:space="preserve">Level 5 en WC-20 sin mapear (RFI-L5) - ALC-24 queda pendiente_rfi.</t>
  </si>
  <si>
    <t xml:space="preserve">A05.01</t>
  </si>
  <si>
    <t xml:space="preserve">-</t>
  </si>
  <si>
    <t xml:space="preserve">Piers de storefront: board/FRT de jambs no separado (RFI-P1).</t>
  </si>
  <si>
    <t xml:space="preserve">1/A09.25</t>
  </si>
  <si>
    <t xml:space="preserve">a0925.png</t>
  </si>
  <si>
    <t xml:space="preserve">Agentes adversariales: 4 informes en Back-check/ (ADV1-ADV4); correcciones aplicadas en CORRECCIONES.md, recomprobadas con imagen/texto del set.</t>
  </si>
  <si>
    <t xml:space="preserve">9/A12.01</t>
  </si>
  <si>
    <t xml:space="preserve">d9_a1201.png</t>
  </si>
  <si>
    <t xml:space="preserve">Rechazado por regla v64: framed openings de recessed accessories (RFI-REC).</t>
  </si>
  <si>
    <t xml:space="preserve">A08.01</t>
  </si>
  <si>
    <t xml:space="preserve">canon.py modificado: door entre walls con head_ft carga cripples + top/bottom track (test_14a, falla con el canon original).</t>
  </si>
  <si>
    <t xml:space="preserve">10/A12.02</t>
  </si>
  <si>
    <t xml:space="preserve">Box beams de GL-2/ATM/grille/vestibule a 2 piezas vs 4 del office front (RFI-H4).</t>
  </si>
  <si>
    <t xml:space="preserve">11/A09.27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</si>
  <si>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</si>
  <si>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</si>
  <si>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</si>
  <si>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</si>
  <si>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</si>
  <si>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</si>
  <si>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</si>
  <si>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studs 6", 3-5/8", 1-5/8" from canon.py (studs_nodos)</t>
  </si>
  <si>
    <t xml:space="preserve">ALC-02</t>
  </si>
  <si>
    <t xml:space="preserve">Exterior wall framing (CFMF)</t>
  </si>
  <si>
    <t xml:space="preserve">8 exterior walls 6" CFMF (C/A09.21, S1.11 n.5)</t>
  </si>
  <si>
    <t xml:space="preserve">ALC-03</t>
  </si>
  <si>
    <t xml:space="preserve">Parapet framing</t>
  </si>
  <si>
    <t xml:space="preserve">parapet infill 11/S5.10 bay by bay (E3)</t>
  </si>
  <si>
    <t xml:space="preserve">ALC-04</t>
  </si>
  <si>
    <t xml:space="preserve">Top / deflection and bottom track</t>
  </si>
  <si>
    <t xml:space="preserve">bottom and top/deflection track separated (corridas.py)</t>
  </si>
  <si>
    <t xml:space="preserve">ALC-05</t>
  </si>
  <si>
    <t xml:space="preserve">Headers, sills and jambs at openings</t>
  </si>
  <si>
    <t xml:space="preserve">header by pieces 7/S5.20 + sill 2/S5.20 (headers.py)</t>
  </si>
  <si>
    <t xml:space="preserve">ALC-06</t>
  </si>
  <si>
    <t xml:space="preserve">Bracing / bridging</t>
  </si>
  <si>
    <t xml:space="preserve">bracing C.R. channel @48" F/1/S5.20</t>
  </si>
  <si>
    <t xml:space="preserve">ALC-07</t>
  </si>
  <si>
    <t xml:space="preserve">Gypsum board on walls (layers per type)</t>
  </si>
  <si>
    <t xml:space="preserve">board per face (board_caras.py)</t>
  </si>
  <si>
    <t xml:space="preserve">ALC-08</t>
  </si>
  <si>
    <t xml:space="preserve">Moisture / abuse / special board at wet zones</t>
  </si>
  <si>
    <t xml:space="preserve">MR only at chase C1 (F/A08.01)</t>
  </si>
  <si>
    <t xml:space="preserve">ALC-09</t>
  </si>
  <si>
    <t xml:space="preserve">Exterior gypsum / glass mat sheathing</t>
  </si>
  <si>
    <t xml:space="preserve">glass mat base + canopy band; exterior gyp sheathing at parapet</t>
  </si>
  <si>
    <t xml:space="preserve">ALC-10</t>
  </si>
  <si>
    <t xml:space="preserve">FRT plywood sheathing / substrate</t>
  </si>
  <si>
    <t xml:space="preserve">FRT plywood nailbase, fascia, F public side, column wraps, backboards</t>
  </si>
  <si>
    <t xml:space="preserve">ALC-11</t>
  </si>
  <si>
    <t xml:space="preserve">Gypsum board ceilings</t>
  </si>
  <si>
    <t xml:space="preserve">GWB ceilings 100, 101, 104, 113, 114 + CSR soffit (A04.01)</t>
  </si>
  <si>
    <t xml:space="preserve">ALC-12</t>
  </si>
  <si>
    <t xml:space="preserve">Ceiling suspension (furring / carrying channel / hanger wire / ceiling track)</t>
  </si>
  <si>
    <t xml:space="preserve">furring, carrying, hanger wire PCS + LF, perimeter track (canon ceilings)</t>
  </si>
  <si>
    <t xml:space="preserve">ALC-13</t>
  </si>
  <si>
    <t xml:space="preserve">Soffits and bulkheads (framing + board)</t>
  </si>
  <si>
    <t xml:space="preserve">CSR soffit 10/A09.33, office bulkheads 8,9/A12.01, transition 7/A09.33</t>
  </si>
  <si>
    <t xml:space="preserve">ALC-14</t>
  </si>
  <si>
    <t xml:space="preserve">Canopy / marquee framing and sheathing</t>
  </si>
  <si>
    <t xml:space="preserve">canopy soffit joists, fascia box, track 2 lines (7/A09.26, E13)</t>
  </si>
  <si>
    <t xml:space="preserve">ALC-15</t>
  </si>
  <si>
    <t xml:space="preserve">Column furring / wraps</t>
  </si>
  <si>
    <t xml:space="preserve">column wraps: 4 canopy columns 5/A09.25 + 2 grille jambs 3/A08.21</t>
  </si>
  <si>
    <t xml:space="preserve">ALC-16</t>
  </si>
  <si>
    <t xml:space="preserve">Blocking (FRT wood / metal) for millwork and accessories</t>
  </si>
  <si>
    <t xml:space="preserve">FRT blocking (parapet, bulkheads, toilet rooms) + metal 362CR22</t>
  </si>
  <si>
    <t xml:space="preserve">ALC-17</t>
  </si>
  <si>
    <t xml:space="preserve">Framed openings (MEP, access panels, diffusers)</t>
  </si>
  <si>
    <t xml:space="preserve">framed openings MEP (framed_openings.py)</t>
  </si>
  <si>
    <t xml:space="preserve">ALC-18</t>
  </si>
  <si>
    <t xml:space="preserve">Trim: corner bead, casing bead, control joints, reveals</t>
  </si>
  <si>
    <t xml:space="preserve">corner bead, casing, shadow molding (trim_items + jamb returns + transitions)</t>
  </si>
  <si>
    <t xml:space="preserve">ALC-19</t>
  </si>
  <si>
    <t xml:space="preserve">Acoustical sealant / sound attenuation</t>
  </si>
  <si>
    <t xml:space="preserve">acoustical sealant per detail (sellar.py) + batt</t>
  </si>
  <si>
    <t xml:space="preserve">ALC-20</t>
  </si>
  <si>
    <t xml:space="preserve">FRP / cement board / tile backer</t>
  </si>
  <si>
    <t xml:space="preserve">FRP restrooms 5'-0" + cement board cove base (3/A08.01)</t>
  </si>
  <si>
    <t xml:space="preserve">ALC-21</t>
  </si>
  <si>
    <t xml:space="preserve">Shaft walls / area separation walls</t>
  </si>
  <si>
    <t xml:space="preserve">NO APLICA</t>
  </si>
  <si>
    <t xml:space="preserve">NOT APPLICABLE: A12.01 has no shaft wall / area separation types; A02.01 no shafts</t>
  </si>
  <si>
    <t xml:space="preserve">ALC-22</t>
  </si>
  <si>
    <t xml:space="preserve">Rated assemblies (UL designs) and their board type</t>
  </si>
  <si>
    <t xml:space="preserve">NOT APPLICABLE: A12.01 FIRE RATING '--' in all types; A02.01 key note 6 'FIRE RATED' is the plywood backboard (quantified as FRT plywood)</t>
  </si>
  <si>
    <t xml:space="preserve">ALC-23</t>
  </si>
  <si>
    <t xml:space="preserve">Special panels (ballistic, lead-lined, abuse)</t>
  </si>
  <si>
    <t xml:space="preserve">ballistic panel 4/A12.01 A1K/B2K</t>
  </si>
  <si>
    <t xml:space="preserve">ALC-24</t>
  </si>
  <si>
    <t xml:space="preserve">Finish level (Level 4 / Level 5)</t>
  </si>
  <si>
    <t xml:space="preserve">RFI-L5: Level 5 at WC-20 (A05.01 key note 9) not mapped; Level 4 elsewhere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</si>
</sst>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49"/>
    <col collapsed="false" customWidth="true" hidden="false" outlineLevel="0" max="10" min="10" style="0" width="60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17.06</v>
      </c>
      <c r="D6" s="0" t="n">
        <v>12.8869</v>
      </c>
      <c r="E6" s="0" t="n">
        <v>2</v>
      </c>
      <c r="F6" s="0" t="s">
        <v>31</v>
      </c>
      <c r="G6" s="0" t="n">
        <v>16</v>
      </c>
      <c r="H6" s="0" t="n">
        <v>373.39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17.02</v>
      </c>
      <c r="D7" s="0" t="n">
        <v>15.375</v>
      </c>
      <c r="E7" s="0" t="n">
        <v>2</v>
      </c>
      <c r="F7" s="0" t="s">
        <v>31</v>
      </c>
      <c r="G7" s="0" t="n">
        <v>16</v>
      </c>
      <c r="H7" s="0" t="n">
        <v>348.91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15.427</v>
      </c>
      <c r="D8" s="0" t="n">
        <v>12.9665</v>
      </c>
      <c r="E8" s="0" t="n">
        <v>2</v>
      </c>
      <c r="F8" s="0" t="s">
        <v>31</v>
      </c>
      <c r="G8" s="0" t="n">
        <v>16</v>
      </c>
      <c r="H8" s="0" t="n">
        <v>277.68</v>
      </c>
      <c r="I8" s="0" t="s">
        <v>40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11.667</v>
      </c>
      <c r="D9" s="0" t="n">
        <v>12.7704</v>
      </c>
      <c r="E9" s="0" t="n">
        <v>2</v>
      </c>
      <c r="F9" s="0" t="s">
        <v>31</v>
      </c>
      <c r="G9" s="0" t="n">
        <v>16</v>
      </c>
      <c r="H9" s="0" t="n">
        <v>169.18</v>
      </c>
      <c r="I9" s="0" t="s">
        <v>43</v>
      </c>
      <c r="J9" s="0" t="s">
        <v>33</v>
      </c>
      <c r="K9" s="0" t="s">
        <v>44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n">
        <v>5</v>
      </c>
      <c r="D10" s="0" t="n">
        <v>15.375</v>
      </c>
      <c r="E10" s="0" t="n">
        <v>2</v>
      </c>
      <c r="F10" s="0" t="s">
        <v>31</v>
      </c>
      <c r="G10" s="0" t="n">
        <v>16</v>
      </c>
      <c r="H10" s="0" t="n">
        <v>51.68</v>
      </c>
      <c r="I10" s="0" t="s">
        <v>47</v>
      </c>
      <c r="J10" s="0" t="s">
        <v>33</v>
      </c>
      <c r="K10" s="0" t="s">
        <v>44</v>
      </c>
    </row>
    <row r="11" customFormat="false" ht="15" hidden="false" customHeight="false" outlineLevel="0" collapsed="false">
      <c r="A11" s="0" t="s">
        <v>48</v>
      </c>
      <c r="B11" s="0" t="s">
        <v>49</v>
      </c>
      <c r="C11" s="0" t="n">
        <v>4.073</v>
      </c>
      <c r="D11" s="0" t="n">
        <v>12.9446</v>
      </c>
      <c r="E11" s="0" t="n">
        <v>1</v>
      </c>
      <c r="F11" s="0" t="s">
        <v>31</v>
      </c>
      <c r="G11" s="0" t="n">
        <v>16</v>
      </c>
      <c r="H11" s="0" t="n">
        <v>36.66</v>
      </c>
      <c r="I11" s="0" t="s">
        <v>50</v>
      </c>
      <c r="J11" s="0" t="s">
        <v>33</v>
      </c>
      <c r="K11" s="0" t="s">
        <v>34</v>
      </c>
    </row>
    <row r="12" customFormat="false" ht="15" hidden="false" customHeight="false" outlineLevel="0" collapsed="false">
      <c r="A12" s="0" t="s">
        <v>51</v>
      </c>
      <c r="B12" s="0" t="s">
        <v>52</v>
      </c>
      <c r="C12" s="0" t="n">
        <v>3.127</v>
      </c>
      <c r="D12" s="0" t="n">
        <v>15.375</v>
      </c>
      <c r="E12" s="0" t="n">
        <v>2</v>
      </c>
      <c r="F12" s="0" t="s">
        <v>31</v>
      </c>
      <c r="G12" s="0" t="n">
        <v>16</v>
      </c>
      <c r="H12" s="0" t="n">
        <v>65.66</v>
      </c>
      <c r="I12" s="0" t="s">
        <v>53</v>
      </c>
      <c r="J12" s="0" t="s">
        <v>33</v>
      </c>
      <c r="K12" s="0" t="s">
        <v>34</v>
      </c>
    </row>
    <row r="13" customFormat="false" ht="15" hidden="false" customHeight="false" outlineLevel="0" collapsed="false">
      <c r="A13" s="0" t="s">
        <v>54</v>
      </c>
      <c r="B13" s="0" t="s">
        <v>55</v>
      </c>
      <c r="C13" s="0" t="n">
        <v>2.427</v>
      </c>
      <c r="D13" s="0" t="n">
        <v>15.375</v>
      </c>
      <c r="E13" s="0" t="n">
        <v>2</v>
      </c>
      <c r="F13" s="0" t="s">
        <v>31</v>
      </c>
      <c r="G13" s="0" t="n">
        <v>16</v>
      </c>
      <c r="H13" s="0" t="n">
        <v>50.96</v>
      </c>
      <c r="I13" s="0" t="s">
        <v>53</v>
      </c>
      <c r="J13" s="0" t="s">
        <v>33</v>
      </c>
      <c r="K13" s="0" t="s">
        <v>34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0" t="n">
        <v>2.14</v>
      </c>
      <c r="D14" s="0" t="n">
        <v>12.9581</v>
      </c>
      <c r="E14" s="0" t="n">
        <v>2</v>
      </c>
      <c r="F14" s="0" t="s">
        <v>31</v>
      </c>
      <c r="G14" s="0" t="n">
        <v>16</v>
      </c>
      <c r="H14" s="0" t="n">
        <v>39.59</v>
      </c>
      <c r="I14" s="0" t="s">
        <v>58</v>
      </c>
      <c r="J14" s="0" t="s">
        <v>33</v>
      </c>
      <c r="K14" s="0" t="s">
        <v>34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0" t="n">
        <v>1.3</v>
      </c>
      <c r="D15" s="0" t="n">
        <v>12.9224</v>
      </c>
      <c r="E15" s="0" t="n">
        <v>2</v>
      </c>
      <c r="F15" s="0" t="s">
        <v>31</v>
      </c>
      <c r="G15" s="0" t="n">
        <v>16</v>
      </c>
      <c r="H15" s="0" t="n">
        <v>24.05</v>
      </c>
      <c r="I15" s="0" t="s">
        <v>58</v>
      </c>
      <c r="J15" s="0" t="s">
        <v>33</v>
      </c>
      <c r="K15" s="0" t="s">
        <v>34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n">
        <v>0.476</v>
      </c>
      <c r="D16" s="0" t="n">
        <v>12.9224</v>
      </c>
      <c r="E16" s="0" t="n">
        <v>2</v>
      </c>
      <c r="F16" s="0" t="s">
        <v>31</v>
      </c>
      <c r="G16" s="0" t="n">
        <v>16</v>
      </c>
      <c r="H16" s="0" t="n">
        <v>8.8</v>
      </c>
      <c r="I16" s="0" t="s">
        <v>58</v>
      </c>
      <c r="J16" s="0" t="s">
        <v>33</v>
      </c>
      <c r="K16" s="0" t="s">
        <v>34</v>
      </c>
    </row>
    <row r="17" customFormat="false" ht="15" hidden="false" customHeight="false" outlineLevel="0" collapsed="false">
      <c r="A17" s="5" t="s">
        <v>63</v>
      </c>
    </row>
    <row r="18" customFormat="false" ht="15" hidden="false" customHeight="false" outlineLevel="0" collapsed="false">
      <c r="A18" s="0" t="s">
        <v>64</v>
      </c>
      <c r="B18" s="0" t="s">
        <v>65</v>
      </c>
      <c r="C18" s="0" t="n">
        <v>3.417</v>
      </c>
      <c r="D18" s="0" t="n">
        <v>15.375</v>
      </c>
      <c r="E18" s="0" t="n">
        <v>2</v>
      </c>
      <c r="F18" s="0" t="s">
        <v>31</v>
      </c>
      <c r="G18" s="0" t="n">
        <v>24</v>
      </c>
      <c r="H18" s="0" t="n">
        <v>105.08</v>
      </c>
      <c r="I18" s="0" t="s">
        <v>66</v>
      </c>
      <c r="J18" s="0" t="s">
        <v>67</v>
      </c>
      <c r="K18" s="0" t="s">
        <v>44</v>
      </c>
    </row>
    <row r="19" customFormat="false" ht="15" hidden="false" customHeight="false" outlineLevel="0" collapsed="false">
      <c r="A19" s="0" t="s">
        <v>68</v>
      </c>
      <c r="B19" s="0" t="s">
        <v>69</v>
      </c>
      <c r="C19" s="0" t="n">
        <v>3.413</v>
      </c>
      <c r="D19" s="0" t="n">
        <v>12.9345</v>
      </c>
      <c r="E19" s="0" t="n">
        <v>2</v>
      </c>
      <c r="F19" s="0" t="s">
        <v>31</v>
      </c>
      <c r="G19" s="0" t="n">
        <v>24</v>
      </c>
      <c r="H19" s="0" t="n">
        <v>88.28</v>
      </c>
      <c r="I19" s="0" t="s">
        <v>70</v>
      </c>
      <c r="J19" s="0" t="s">
        <v>67</v>
      </c>
      <c r="K19" s="0" t="s">
        <v>34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0" t="n">
        <v>1.16</v>
      </c>
      <c r="D20" s="0" t="n">
        <v>12.9224</v>
      </c>
      <c r="E20" s="0" t="n">
        <v>2</v>
      </c>
      <c r="F20" s="0" t="s">
        <v>31</v>
      </c>
      <c r="G20" s="0" t="n">
        <v>24</v>
      </c>
      <c r="H20" s="0" t="n">
        <v>29.98</v>
      </c>
      <c r="I20" s="0" t="s">
        <v>73</v>
      </c>
      <c r="J20" s="0" t="s">
        <v>67</v>
      </c>
      <c r="K20" s="0" t="s">
        <v>34</v>
      </c>
    </row>
    <row r="21" customFormat="false" ht="15" hidden="false" customHeight="false" outlineLevel="0" collapsed="false">
      <c r="A21" s="0" t="s">
        <v>74</v>
      </c>
      <c r="B21" s="0" t="s">
        <v>75</v>
      </c>
      <c r="C21" s="0" t="n">
        <v>0.587</v>
      </c>
      <c r="D21" s="0" t="n">
        <v>12.9345</v>
      </c>
      <c r="E21" s="0" t="n">
        <v>2</v>
      </c>
      <c r="F21" s="0" t="s">
        <v>31</v>
      </c>
      <c r="G21" s="0" t="n">
        <v>24</v>
      </c>
      <c r="H21" s="0" t="n">
        <v>15.18</v>
      </c>
      <c r="I21" s="0" t="s">
        <v>73</v>
      </c>
      <c r="J21" s="0" t="s">
        <v>67</v>
      </c>
      <c r="K21" s="0" t="s">
        <v>34</v>
      </c>
    </row>
    <row r="22" customFormat="false" ht="15" hidden="false" customHeight="false" outlineLevel="0" collapsed="false">
      <c r="A22" s="5" t="s">
        <v>76</v>
      </c>
    </row>
    <row r="23" customFormat="false" ht="15" hidden="false" customHeight="false" outlineLevel="0" collapsed="false">
      <c r="A23" s="0" t="s">
        <v>77</v>
      </c>
      <c r="B23" s="0" t="s">
        <v>78</v>
      </c>
      <c r="C23" s="0" t="n">
        <v>19.407</v>
      </c>
      <c r="D23" s="0" t="n">
        <v>15.375</v>
      </c>
      <c r="E23" s="0" t="n">
        <v>2</v>
      </c>
      <c r="F23" s="0" t="s">
        <v>79</v>
      </c>
      <c r="G23" s="0" t="n">
        <v>16</v>
      </c>
      <c r="H23" s="0" t="n">
        <v>359.03</v>
      </c>
      <c r="I23" s="0" t="s">
        <v>80</v>
      </c>
      <c r="J23" s="0" t="s">
        <v>81</v>
      </c>
      <c r="K23" s="0" t="s">
        <v>34</v>
      </c>
    </row>
    <row r="24" customFormat="false" ht="15" hidden="false" customHeight="false" outlineLevel="0" collapsed="false">
      <c r="A24" s="0" t="s">
        <v>82</v>
      </c>
      <c r="B24" s="0" t="s">
        <v>83</v>
      </c>
      <c r="C24" s="0" t="n">
        <v>11</v>
      </c>
      <c r="D24" s="0" t="n">
        <v>15.375</v>
      </c>
      <c r="E24" s="0" t="n">
        <v>2</v>
      </c>
      <c r="F24" s="0" t="s">
        <v>79</v>
      </c>
      <c r="G24" s="0" t="n">
        <v>16</v>
      </c>
      <c r="H24" s="0" t="n">
        <v>198</v>
      </c>
      <c r="I24" s="0" t="s">
        <v>84</v>
      </c>
      <c r="J24" s="0" t="s">
        <v>81</v>
      </c>
      <c r="K24" s="0" t="s">
        <v>34</v>
      </c>
    </row>
    <row r="25" customFormat="false" ht="15" hidden="false" customHeight="false" outlineLevel="0" collapsed="false">
      <c r="A25" s="0" t="s">
        <v>85</v>
      </c>
      <c r="B25" s="0" t="s">
        <v>86</v>
      </c>
      <c r="C25" s="0" t="n">
        <v>3.713</v>
      </c>
      <c r="D25" s="0" t="n">
        <v>12.9224</v>
      </c>
      <c r="E25" s="0" t="n">
        <v>2</v>
      </c>
      <c r="F25" s="0" t="s">
        <v>79</v>
      </c>
      <c r="G25" s="0" t="n">
        <v>16</v>
      </c>
      <c r="H25" s="0" t="n">
        <v>68.69</v>
      </c>
      <c r="I25" s="0" t="s">
        <v>87</v>
      </c>
      <c r="J25" s="0" t="s">
        <v>81</v>
      </c>
      <c r="K25" s="0" t="s">
        <v>34</v>
      </c>
    </row>
    <row r="26" customFormat="false" ht="15" hidden="false" customHeight="false" outlineLevel="0" collapsed="false">
      <c r="A26" s="0" t="s">
        <v>88</v>
      </c>
      <c r="B26" s="0" t="s">
        <v>89</v>
      </c>
      <c r="C26" s="0" t="n">
        <v>1.373</v>
      </c>
      <c r="D26" s="0" t="n">
        <v>15.375</v>
      </c>
      <c r="E26" s="0" t="n">
        <v>2</v>
      </c>
      <c r="F26" s="0" t="s">
        <v>79</v>
      </c>
      <c r="G26" s="0" t="n">
        <v>16</v>
      </c>
      <c r="H26" s="0" t="n">
        <v>24.72</v>
      </c>
      <c r="I26" s="0" t="s">
        <v>84</v>
      </c>
      <c r="J26" s="0" t="s">
        <v>81</v>
      </c>
      <c r="K26" s="0" t="s">
        <v>34</v>
      </c>
    </row>
    <row r="27" customFormat="false" ht="15" hidden="false" customHeight="false" outlineLevel="0" collapsed="false">
      <c r="A27" s="5" t="s">
        <v>90</v>
      </c>
    </row>
    <row r="28" customFormat="false" ht="15" hidden="false" customHeight="false" outlineLevel="0" collapsed="false">
      <c r="A28" s="0" t="s">
        <v>91</v>
      </c>
      <c r="B28" s="0" t="s">
        <v>92</v>
      </c>
      <c r="C28" s="0" t="n">
        <v>14.147</v>
      </c>
      <c r="D28" s="0" t="n">
        <v>12.8268</v>
      </c>
      <c r="E28" s="0" t="n">
        <v>2</v>
      </c>
      <c r="F28" s="0" t="s">
        <v>31</v>
      </c>
      <c r="G28" s="0" t="n">
        <v>16</v>
      </c>
      <c r="H28" s="0" t="n">
        <v>269.6</v>
      </c>
      <c r="I28" s="0" t="s">
        <v>93</v>
      </c>
      <c r="J28" s="0" t="s">
        <v>94</v>
      </c>
      <c r="K28" s="0" t="s">
        <v>34</v>
      </c>
    </row>
    <row r="29" customFormat="false" ht="15" hidden="false" customHeight="false" outlineLevel="0" collapsed="false">
      <c r="A29" s="0" t="s">
        <v>95</v>
      </c>
      <c r="B29" s="0" t="s">
        <v>96</v>
      </c>
      <c r="C29" s="0" t="n">
        <v>11.733</v>
      </c>
      <c r="D29" s="0" t="n">
        <v>12.7471</v>
      </c>
      <c r="E29" s="0" t="n">
        <v>2</v>
      </c>
      <c r="F29" s="0" t="s">
        <v>31</v>
      </c>
      <c r="G29" s="0" t="n">
        <v>16</v>
      </c>
      <c r="H29" s="0" t="n">
        <v>252.46</v>
      </c>
      <c r="I29" s="0" t="s">
        <v>97</v>
      </c>
      <c r="J29" s="0" t="s">
        <v>94</v>
      </c>
      <c r="K29" s="0" t="s">
        <v>34</v>
      </c>
    </row>
    <row r="30" customFormat="false" ht="15" hidden="false" customHeight="false" outlineLevel="0" collapsed="false">
      <c r="A30" s="0" t="s">
        <v>98</v>
      </c>
      <c r="B30" s="0" t="s">
        <v>99</v>
      </c>
      <c r="C30" s="0" t="n">
        <v>11.733</v>
      </c>
      <c r="D30" s="0" t="n">
        <v>12.6666</v>
      </c>
      <c r="E30" s="0" t="n">
        <v>2</v>
      </c>
      <c r="F30" s="0" t="s">
        <v>31</v>
      </c>
      <c r="G30" s="0" t="n">
        <v>16</v>
      </c>
      <c r="H30" s="0" t="n">
        <v>297.24</v>
      </c>
      <c r="I30" s="0" t="s">
        <v>100</v>
      </c>
      <c r="J30" s="0" t="s">
        <v>94</v>
      </c>
      <c r="K30" s="0" t="s">
        <v>34</v>
      </c>
    </row>
    <row r="31" customFormat="false" ht="15" hidden="false" customHeight="false" outlineLevel="0" collapsed="false">
      <c r="A31" s="0" t="s">
        <v>101</v>
      </c>
      <c r="B31" s="0" t="s">
        <v>102</v>
      </c>
      <c r="C31" s="0" t="n">
        <v>9.987</v>
      </c>
      <c r="D31" s="0" t="n">
        <v>12.8268</v>
      </c>
      <c r="E31" s="0" t="n">
        <v>2</v>
      </c>
      <c r="F31" s="0" t="s">
        <v>31</v>
      </c>
      <c r="G31" s="0" t="n">
        <v>16</v>
      </c>
      <c r="H31" s="0" t="n">
        <v>256.2</v>
      </c>
      <c r="I31" s="0" t="s">
        <v>103</v>
      </c>
      <c r="J31" s="0" t="s">
        <v>94</v>
      </c>
      <c r="K31" s="0" t="s">
        <v>34</v>
      </c>
    </row>
    <row r="32" customFormat="false" ht="15" hidden="false" customHeight="false" outlineLevel="0" collapsed="false">
      <c r="A32" s="0" t="s">
        <v>104</v>
      </c>
      <c r="B32" s="0" t="s">
        <v>105</v>
      </c>
      <c r="C32" s="0" t="n">
        <v>9.58</v>
      </c>
      <c r="D32" s="0" t="n">
        <v>12.6983</v>
      </c>
      <c r="E32" s="0" t="n">
        <v>2</v>
      </c>
      <c r="F32" s="0" t="s">
        <v>31</v>
      </c>
      <c r="G32" s="0" t="n">
        <v>16</v>
      </c>
      <c r="H32" s="0" t="n">
        <v>243.3</v>
      </c>
      <c r="I32" s="0" t="s">
        <v>106</v>
      </c>
      <c r="J32" s="0" t="s">
        <v>94</v>
      </c>
      <c r="K32" s="0" t="s">
        <v>34</v>
      </c>
    </row>
    <row r="33" customFormat="false" ht="15" hidden="false" customHeight="false" outlineLevel="0" collapsed="false">
      <c r="A33" s="0" t="s">
        <v>107</v>
      </c>
      <c r="B33" s="0" t="s">
        <v>108</v>
      </c>
      <c r="C33" s="0" t="n">
        <v>3.5</v>
      </c>
      <c r="D33" s="0" t="n">
        <v>12.7387</v>
      </c>
      <c r="E33" s="0" t="n">
        <v>2</v>
      </c>
      <c r="F33" s="0" t="s">
        <v>31</v>
      </c>
      <c r="G33" s="0" t="n">
        <v>16</v>
      </c>
      <c r="H33" s="0" t="n">
        <v>89.18</v>
      </c>
      <c r="I33" s="0" t="s">
        <v>109</v>
      </c>
      <c r="J33" s="0" t="s">
        <v>94</v>
      </c>
      <c r="K33" s="0" t="s">
        <v>34</v>
      </c>
    </row>
    <row r="34" customFormat="false" ht="15" hidden="false" customHeight="false" outlineLevel="0" collapsed="false">
      <c r="A34" s="5" t="s">
        <v>110</v>
      </c>
    </row>
    <row r="35" customFormat="false" ht="15" hidden="false" customHeight="false" outlineLevel="0" collapsed="false">
      <c r="A35" s="0" t="s">
        <v>111</v>
      </c>
      <c r="B35" s="0" t="s">
        <v>112</v>
      </c>
      <c r="C35" s="0" t="n">
        <v>15.787</v>
      </c>
      <c r="D35" s="0" t="n">
        <v>12.8606</v>
      </c>
      <c r="E35" s="0" t="n">
        <v>2</v>
      </c>
      <c r="F35" s="0" t="s">
        <v>79</v>
      </c>
      <c r="G35" s="0" t="n">
        <v>16</v>
      </c>
      <c r="H35" s="0" t="n">
        <v>266.08</v>
      </c>
      <c r="I35" s="0" t="s">
        <v>113</v>
      </c>
      <c r="J35" s="0" t="s">
        <v>114</v>
      </c>
      <c r="K35" s="0" t="s">
        <v>34</v>
      </c>
    </row>
    <row r="36" customFormat="false" ht="15" hidden="false" customHeight="false" outlineLevel="0" collapsed="false">
      <c r="A36" s="0" t="s">
        <v>115</v>
      </c>
      <c r="B36" s="0" t="s">
        <v>116</v>
      </c>
      <c r="C36" s="0" t="n">
        <v>11.74</v>
      </c>
      <c r="D36" s="0" t="n">
        <v>12.7773</v>
      </c>
      <c r="E36" s="0" t="n">
        <v>2</v>
      </c>
      <c r="F36" s="0" t="s">
        <v>79</v>
      </c>
      <c r="G36" s="0" t="n">
        <v>16</v>
      </c>
      <c r="H36" s="0" t="n">
        <v>300</v>
      </c>
      <c r="I36" s="0" t="s">
        <v>117</v>
      </c>
      <c r="J36" s="0" t="s">
        <v>114</v>
      </c>
      <c r="K36" s="0" t="s">
        <v>34</v>
      </c>
    </row>
    <row r="37" customFormat="false" ht="15" hidden="false" customHeight="false" outlineLevel="0" collapsed="false">
      <c r="A37" s="0" t="s">
        <v>118</v>
      </c>
      <c r="B37" s="0" t="s">
        <v>119</v>
      </c>
      <c r="C37" s="0" t="n">
        <v>6.173</v>
      </c>
      <c r="D37" s="0" t="n">
        <v>15.375</v>
      </c>
      <c r="E37" s="0" t="n">
        <v>2</v>
      </c>
      <c r="F37" s="0" t="s">
        <v>79</v>
      </c>
      <c r="G37" s="0" t="n">
        <v>16</v>
      </c>
      <c r="H37" s="0" t="n">
        <v>128.5</v>
      </c>
      <c r="I37" s="0" t="s">
        <v>120</v>
      </c>
      <c r="J37" s="0" t="s">
        <v>114</v>
      </c>
      <c r="K37" s="0" t="s">
        <v>34</v>
      </c>
    </row>
    <row r="38" customFormat="false" ht="15" hidden="false" customHeight="false" outlineLevel="0" collapsed="false">
      <c r="A38" s="0" t="s">
        <v>121</v>
      </c>
      <c r="B38" s="0" t="s">
        <v>122</v>
      </c>
      <c r="C38" s="0" t="n">
        <v>1.82</v>
      </c>
      <c r="D38" s="0" t="n">
        <v>12.982</v>
      </c>
      <c r="E38" s="0" t="n">
        <v>2</v>
      </c>
      <c r="F38" s="0" t="s">
        <v>79</v>
      </c>
      <c r="G38" s="0" t="n">
        <v>16</v>
      </c>
      <c r="H38" s="0" t="n">
        <v>47.26</v>
      </c>
      <c r="I38" s="0" t="s">
        <v>123</v>
      </c>
      <c r="J38" s="0" t="s">
        <v>114</v>
      </c>
      <c r="K38" s="0" t="s">
        <v>34</v>
      </c>
    </row>
    <row r="39" customFormat="false" ht="15" hidden="false" customHeight="false" outlineLevel="0" collapsed="false">
      <c r="A39" s="5" t="s">
        <v>124</v>
      </c>
    </row>
    <row r="40" customFormat="false" ht="15" hidden="false" customHeight="false" outlineLevel="0" collapsed="false">
      <c r="A40" s="0" t="s">
        <v>125</v>
      </c>
      <c r="B40" s="0" t="s">
        <v>126</v>
      </c>
      <c r="C40" s="0" t="n">
        <v>1.26</v>
      </c>
      <c r="D40" s="0" t="n">
        <v>15.375</v>
      </c>
      <c r="E40" s="0" t="n">
        <v>2</v>
      </c>
      <c r="F40" s="0" t="s">
        <v>79</v>
      </c>
      <c r="G40" s="0" t="n">
        <v>24</v>
      </c>
      <c r="H40" s="0" t="n">
        <v>38.74</v>
      </c>
      <c r="I40" s="0" t="s">
        <v>66</v>
      </c>
      <c r="J40" s="0" t="s">
        <v>127</v>
      </c>
      <c r="K40" s="0" t="s">
        <v>34</v>
      </c>
    </row>
    <row r="41" customFormat="false" ht="15" hidden="false" customHeight="false" outlineLevel="0" collapsed="false">
      <c r="A41" s="5" t="s">
        <v>128</v>
      </c>
    </row>
    <row r="42" customFormat="false" ht="15" hidden="false" customHeight="false" outlineLevel="0" collapsed="false">
      <c r="A42" s="0" t="s">
        <v>129</v>
      </c>
      <c r="B42" s="0" t="s">
        <v>130</v>
      </c>
      <c r="C42" s="0" t="n">
        <v>10.027</v>
      </c>
      <c r="D42" s="0" t="n">
        <v>12.9213</v>
      </c>
      <c r="E42" s="0" t="n">
        <v>1</v>
      </c>
      <c r="F42" s="0" t="s">
        <v>31</v>
      </c>
      <c r="G42" s="0" t="n">
        <v>16</v>
      </c>
      <c r="H42" s="0" t="n">
        <v>129.56</v>
      </c>
      <c r="I42" s="0" t="s">
        <v>131</v>
      </c>
      <c r="J42" s="0" t="s">
        <v>132</v>
      </c>
      <c r="K42" s="0" t="s">
        <v>34</v>
      </c>
    </row>
    <row r="43" customFormat="false" ht="15" hidden="false" customHeight="false" outlineLevel="0" collapsed="false">
      <c r="A43" s="0" t="s">
        <v>133</v>
      </c>
      <c r="B43" s="0" t="s">
        <v>134</v>
      </c>
      <c r="C43" s="0" t="n">
        <v>10.027</v>
      </c>
      <c r="D43" s="0" t="n">
        <v>12.8916</v>
      </c>
      <c r="E43" s="0" t="n">
        <v>1</v>
      </c>
      <c r="F43" s="0" t="s">
        <v>31</v>
      </c>
      <c r="G43" s="0" t="n">
        <v>16</v>
      </c>
      <c r="H43" s="0" t="n">
        <v>129.27</v>
      </c>
      <c r="I43" s="0" t="s">
        <v>135</v>
      </c>
      <c r="J43" s="0" t="s">
        <v>132</v>
      </c>
      <c r="K43" s="0" t="s">
        <v>34</v>
      </c>
    </row>
    <row r="44" customFormat="false" ht="15" hidden="false" customHeight="false" outlineLevel="0" collapsed="false">
      <c r="A44" s="0" t="s">
        <v>136</v>
      </c>
      <c r="B44" s="0" t="s">
        <v>137</v>
      </c>
      <c r="C44" s="0" t="n">
        <v>10</v>
      </c>
      <c r="D44" s="0" t="n">
        <v>15.375</v>
      </c>
      <c r="E44" s="0" t="n">
        <v>1</v>
      </c>
      <c r="F44" s="0" t="s">
        <v>31</v>
      </c>
      <c r="G44" s="0" t="n">
        <v>16</v>
      </c>
      <c r="H44" s="0" t="n">
        <v>153.75</v>
      </c>
      <c r="I44" s="0" t="s">
        <v>138</v>
      </c>
      <c r="J44" s="0" t="s">
        <v>132</v>
      </c>
      <c r="K44" s="0" t="s">
        <v>44</v>
      </c>
    </row>
    <row r="45" customFormat="false" ht="15" hidden="false" customHeight="false" outlineLevel="0" collapsed="false">
      <c r="A45" s="0" t="s">
        <v>139</v>
      </c>
      <c r="B45" s="0" t="s">
        <v>140</v>
      </c>
      <c r="C45" s="0" t="n">
        <v>9.082</v>
      </c>
      <c r="D45" s="0" t="n">
        <v>14.362</v>
      </c>
      <c r="E45" s="0" t="n">
        <v>0</v>
      </c>
      <c r="F45" s="0" t="s">
        <v>79</v>
      </c>
      <c r="G45" s="0" t="n">
        <v>16</v>
      </c>
      <c r="H45" s="0" t="n">
        <v>0</v>
      </c>
      <c r="I45" s="0" t="s">
        <v>141</v>
      </c>
      <c r="J45" s="0" t="s">
        <v>142</v>
      </c>
      <c r="K45" s="0" t="s">
        <v>34</v>
      </c>
    </row>
    <row r="46" customFormat="false" ht="15" hidden="false" customHeight="false" outlineLevel="0" collapsed="false">
      <c r="A46" s="0" t="s">
        <v>143</v>
      </c>
      <c r="B46" s="0" t="s">
        <v>144</v>
      </c>
      <c r="C46" s="0" t="n">
        <v>9.029</v>
      </c>
      <c r="D46" s="0" t="n">
        <v>14.362</v>
      </c>
      <c r="E46" s="0" t="n">
        <v>0</v>
      </c>
      <c r="F46" s="0" t="s">
        <v>79</v>
      </c>
      <c r="G46" s="0" t="n">
        <v>16</v>
      </c>
      <c r="H46" s="0" t="n">
        <v>0</v>
      </c>
      <c r="I46" s="0" t="s">
        <v>145</v>
      </c>
      <c r="J46" s="0" t="s">
        <v>146</v>
      </c>
      <c r="K46" s="0" t="s">
        <v>34</v>
      </c>
    </row>
    <row r="47" customFormat="false" ht="15" hidden="false" customHeight="false" outlineLevel="0" collapsed="false">
      <c r="A47" s="0" t="s">
        <v>147</v>
      </c>
      <c r="B47" s="0" t="s">
        <v>148</v>
      </c>
      <c r="C47" s="0" t="n">
        <v>4</v>
      </c>
      <c r="D47" s="0" t="n">
        <v>15.375</v>
      </c>
      <c r="E47" s="0" t="n">
        <v>1</v>
      </c>
      <c r="F47" s="0" t="s">
        <v>31</v>
      </c>
      <c r="G47" s="0" t="n">
        <v>16</v>
      </c>
      <c r="H47" s="0" t="n">
        <v>48</v>
      </c>
      <c r="I47" s="0" t="s">
        <v>149</v>
      </c>
      <c r="J47" s="0" t="s">
        <v>150</v>
      </c>
      <c r="K47" s="0" t="s">
        <v>34</v>
      </c>
    </row>
    <row r="48" customFormat="false" ht="15" hidden="false" customHeight="false" outlineLevel="0" collapsed="false">
      <c r="A48" s="0" t="s">
        <v>151</v>
      </c>
      <c r="B48" s="0" t="s">
        <v>152</v>
      </c>
      <c r="C48" s="0" t="n">
        <v>4</v>
      </c>
      <c r="D48" s="0" t="n">
        <v>15.375</v>
      </c>
      <c r="E48" s="0" t="n">
        <v>1</v>
      </c>
      <c r="F48" s="0" t="s">
        <v>31</v>
      </c>
      <c r="G48" s="0" t="n">
        <v>16</v>
      </c>
      <c r="H48" s="0" t="n">
        <v>48</v>
      </c>
      <c r="I48" s="0" t="s">
        <v>149</v>
      </c>
      <c r="J48" s="0" t="s">
        <v>150</v>
      </c>
      <c r="K48" s="0" t="s">
        <v>34</v>
      </c>
    </row>
    <row r="49" customFormat="false" ht="15" hidden="false" customHeight="false" outlineLevel="0" collapsed="false">
      <c r="A49" s="0" t="s">
        <v>153</v>
      </c>
      <c r="B49" s="0" t="s">
        <v>154</v>
      </c>
      <c r="C49" s="0" t="n">
        <v>2.627</v>
      </c>
      <c r="D49" s="0" t="n">
        <v>12.9208</v>
      </c>
      <c r="E49" s="0" t="n">
        <v>1</v>
      </c>
      <c r="F49" s="0" t="s">
        <v>31</v>
      </c>
      <c r="G49" s="0" t="n">
        <v>16</v>
      </c>
      <c r="H49" s="0" t="n">
        <v>33.94</v>
      </c>
      <c r="I49" s="0" t="s">
        <v>155</v>
      </c>
      <c r="J49" s="0" t="s">
        <v>132</v>
      </c>
      <c r="K49" s="0" t="s">
        <v>34</v>
      </c>
    </row>
    <row r="50" customFormat="false" ht="15" hidden="false" customHeight="false" outlineLevel="0" collapsed="false">
      <c r="A50" s="5" t="s">
        <v>156</v>
      </c>
    </row>
    <row r="51" customFormat="false" ht="15" hidden="false" customHeight="false" outlineLevel="0" collapsed="false">
      <c r="A51" s="0" t="s">
        <v>157</v>
      </c>
      <c r="B51" s="0" t="s">
        <v>158</v>
      </c>
      <c r="C51" s="0" t="n">
        <v>4.833</v>
      </c>
      <c r="D51" s="0" t="n">
        <v>10.5</v>
      </c>
      <c r="E51" s="0" t="n">
        <v>0</v>
      </c>
      <c r="F51" s="0" t="s">
        <v>31</v>
      </c>
      <c r="G51" s="0" t="n">
        <v>16</v>
      </c>
      <c r="H51" s="0" t="n">
        <v>0</v>
      </c>
      <c r="I51" s="0" t="s">
        <v>159</v>
      </c>
      <c r="J51" s="0" t="s">
        <v>160</v>
      </c>
      <c r="K51" s="0" t="s">
        <v>34</v>
      </c>
    </row>
    <row r="52" customFormat="false" ht="15" hidden="false" customHeight="false" outlineLevel="0" collapsed="false">
      <c r="A52" s="0" t="s">
        <v>161</v>
      </c>
      <c r="B52" s="0" t="s">
        <v>162</v>
      </c>
      <c r="C52" s="0" t="n">
        <v>4.833</v>
      </c>
      <c r="D52" s="0" t="n">
        <v>10.5</v>
      </c>
      <c r="E52" s="0" t="n">
        <v>0</v>
      </c>
      <c r="F52" s="0" t="s">
        <v>31</v>
      </c>
      <c r="G52" s="0" t="n">
        <v>16</v>
      </c>
      <c r="H52" s="0" t="n">
        <v>0</v>
      </c>
      <c r="I52" s="0" t="s">
        <v>163</v>
      </c>
      <c r="J52" s="0" t="s">
        <v>160</v>
      </c>
      <c r="K52" s="0" t="s">
        <v>34</v>
      </c>
    </row>
    <row r="53" customFormat="false" ht="15" hidden="false" customHeight="false" outlineLevel="0" collapsed="false">
      <c r="A53" s="0" t="s">
        <v>164</v>
      </c>
      <c r="B53" s="0" t="s">
        <v>165</v>
      </c>
      <c r="C53" s="0" t="n">
        <v>4.833</v>
      </c>
      <c r="D53" s="0" t="n">
        <v>10.5</v>
      </c>
      <c r="E53" s="0" t="n">
        <v>0</v>
      </c>
      <c r="F53" s="0" t="s">
        <v>31</v>
      </c>
      <c r="G53" s="0" t="n">
        <v>16</v>
      </c>
      <c r="H53" s="0" t="n">
        <v>0</v>
      </c>
      <c r="I53" s="0" t="s">
        <v>166</v>
      </c>
      <c r="J53" s="0" t="s">
        <v>160</v>
      </c>
      <c r="K53" s="0" t="s">
        <v>34</v>
      </c>
    </row>
    <row r="54" customFormat="false" ht="15" hidden="false" customHeight="false" outlineLevel="0" collapsed="false">
      <c r="A54" s="0" t="s">
        <v>167</v>
      </c>
      <c r="B54" s="0" t="s">
        <v>168</v>
      </c>
      <c r="C54" s="0" t="n">
        <v>4.833</v>
      </c>
      <c r="D54" s="0" t="n">
        <v>10.5</v>
      </c>
      <c r="E54" s="0" t="n">
        <v>0</v>
      </c>
      <c r="F54" s="0" t="s">
        <v>31</v>
      </c>
      <c r="G54" s="0" t="n">
        <v>16</v>
      </c>
      <c r="H54" s="0" t="n">
        <v>0</v>
      </c>
      <c r="I54" s="0" t="s">
        <v>169</v>
      </c>
      <c r="J54" s="0" t="s">
        <v>160</v>
      </c>
      <c r="K54" s="0" t="s">
        <v>34</v>
      </c>
    </row>
    <row r="55" customFormat="false" ht="15" hidden="false" customHeight="false" outlineLevel="0" collapsed="false">
      <c r="A55" s="5" t="s">
        <v>170</v>
      </c>
    </row>
    <row r="56" customFormat="false" ht="15" hidden="false" customHeight="false" outlineLevel="0" collapsed="false">
      <c r="A56" s="0" t="s">
        <v>171</v>
      </c>
      <c r="B56" s="0" t="s">
        <v>172</v>
      </c>
      <c r="C56" s="0" t="n">
        <v>12</v>
      </c>
      <c r="D56" s="0" t="n">
        <v>7.375</v>
      </c>
      <c r="E56" s="0" t="n">
        <v>2</v>
      </c>
      <c r="F56" s="0" t="s">
        <v>31</v>
      </c>
      <c r="G56" s="0" t="n">
        <v>16</v>
      </c>
      <c r="H56" s="0" t="n">
        <v>100.5</v>
      </c>
      <c r="I56" s="0" t="s">
        <v>173</v>
      </c>
      <c r="J56" s="0" t="s">
        <v>174</v>
      </c>
      <c r="K56" s="0" t="s">
        <v>34</v>
      </c>
    </row>
    <row r="57" customFormat="false" ht="15" hidden="false" customHeight="false" outlineLevel="0" collapsed="false">
      <c r="A57" s="5" t="s">
        <v>175</v>
      </c>
    </row>
    <row r="58" customFormat="false" ht="15" hidden="false" customHeight="false" outlineLevel="0" collapsed="false">
      <c r="A58" s="0" t="s">
        <v>176</v>
      </c>
      <c r="B58" s="0" t="s">
        <v>177</v>
      </c>
      <c r="C58" s="0" t="n">
        <v>77.02</v>
      </c>
      <c r="D58" s="0" t="n">
        <v>4.375</v>
      </c>
      <c r="E58" s="0" t="n">
        <v>1</v>
      </c>
      <c r="F58" s="0" t="s">
        <v>31</v>
      </c>
      <c r="G58" s="0" t="n">
        <v>16</v>
      </c>
      <c r="H58" s="0" t="n">
        <v>77.02</v>
      </c>
      <c r="I58" s="0" t="s">
        <v>178</v>
      </c>
      <c r="J58" s="0" t="s">
        <v>179</v>
      </c>
      <c r="K58" s="0" t="s">
        <v>34</v>
      </c>
    </row>
    <row r="59" customFormat="false" ht="15" hidden="false" customHeight="false" outlineLevel="0" collapsed="false">
      <c r="A59" s="5" t="s">
        <v>180</v>
      </c>
    </row>
    <row r="60" customFormat="false" ht="15" hidden="false" customHeight="false" outlineLevel="0" collapsed="false">
      <c r="A60" s="0" t="s">
        <v>181</v>
      </c>
      <c r="B60" s="0" t="s">
        <v>182</v>
      </c>
      <c r="C60" s="0" t="n">
        <v>7.5</v>
      </c>
      <c r="D60" s="0" t="n">
        <v>7.333</v>
      </c>
      <c r="E60" s="0" t="n">
        <v>4</v>
      </c>
      <c r="F60" s="0" t="s">
        <v>183</v>
      </c>
      <c r="G60" s="0" t="n">
        <v>16</v>
      </c>
      <c r="H60" s="0" t="n">
        <v>220</v>
      </c>
      <c r="I60" s="0" t="s">
        <v>184</v>
      </c>
      <c r="J60" s="0" t="s">
        <v>185</v>
      </c>
      <c r="K60" s="0" t="s">
        <v>44</v>
      </c>
    </row>
    <row r="61" customFormat="false" ht="15" hidden="false" customHeight="false" outlineLevel="0" collapsed="false">
      <c r="A61" s="0" t="s">
        <v>186</v>
      </c>
      <c r="B61" s="0" t="s">
        <v>187</v>
      </c>
      <c r="C61" s="0" t="n">
        <v>7.5</v>
      </c>
      <c r="D61" s="0" t="n">
        <v>7.333</v>
      </c>
      <c r="E61" s="0" t="n">
        <v>4</v>
      </c>
      <c r="F61" s="0" t="s">
        <v>183</v>
      </c>
      <c r="G61" s="0" t="n">
        <v>16</v>
      </c>
      <c r="H61" s="0" t="n">
        <v>220</v>
      </c>
      <c r="I61" s="0" t="s">
        <v>184</v>
      </c>
      <c r="J61" s="0" t="s">
        <v>185</v>
      </c>
      <c r="K61" s="0" t="s">
        <v>44</v>
      </c>
    </row>
    <row r="62" customFormat="false" ht="15" hidden="false" customHeight="false" outlineLevel="0" collapsed="false">
      <c r="A62" s="0" t="s">
        <v>188</v>
      </c>
      <c r="B62" s="0" t="s">
        <v>189</v>
      </c>
      <c r="C62" s="0" t="n">
        <v>7.5</v>
      </c>
      <c r="D62" s="0" t="n">
        <v>7.333</v>
      </c>
      <c r="E62" s="0" t="n">
        <v>4</v>
      </c>
      <c r="F62" s="0" t="s">
        <v>183</v>
      </c>
      <c r="G62" s="0" t="n">
        <v>16</v>
      </c>
      <c r="H62" s="0" t="n">
        <v>220</v>
      </c>
      <c r="I62" s="0" t="s">
        <v>184</v>
      </c>
      <c r="J62" s="0" t="s">
        <v>185</v>
      </c>
      <c r="K62" s="0" t="s">
        <v>44</v>
      </c>
    </row>
    <row r="63" customFormat="false" ht="15" hidden="false" customHeight="false" outlineLevel="0" collapsed="false">
      <c r="A63" s="0" t="s">
        <v>190</v>
      </c>
      <c r="B63" s="0" t="s">
        <v>191</v>
      </c>
      <c r="C63" s="0" t="n">
        <v>7.5</v>
      </c>
      <c r="D63" s="0" t="n">
        <v>7.333</v>
      </c>
      <c r="E63" s="0" t="n">
        <v>4</v>
      </c>
      <c r="F63" s="0" t="s">
        <v>183</v>
      </c>
      <c r="G63" s="0" t="n">
        <v>16</v>
      </c>
      <c r="H63" s="0" t="n">
        <v>220</v>
      </c>
      <c r="I63" s="0" t="s">
        <v>184</v>
      </c>
      <c r="J63" s="0" t="s">
        <v>185</v>
      </c>
      <c r="K63" s="0" t="s">
        <v>44</v>
      </c>
    </row>
    <row r="64" customFormat="false" ht="15" hidden="false" customHeight="false" outlineLevel="0" collapsed="false">
      <c r="A64" s="0" t="s">
        <v>192</v>
      </c>
      <c r="B64" s="0" t="s">
        <v>193</v>
      </c>
      <c r="C64" s="0" t="n">
        <v>7.5</v>
      </c>
      <c r="D64" s="0" t="n">
        <v>7.333</v>
      </c>
      <c r="E64" s="0" t="n">
        <v>4</v>
      </c>
      <c r="F64" s="0" t="s">
        <v>183</v>
      </c>
      <c r="G64" s="0" t="n">
        <v>16</v>
      </c>
      <c r="H64" s="0" t="n">
        <v>220</v>
      </c>
      <c r="I64" s="0" t="s">
        <v>184</v>
      </c>
      <c r="J64" s="0" t="s">
        <v>185</v>
      </c>
      <c r="K64" s="0" t="s">
        <v>44</v>
      </c>
    </row>
    <row r="65" customFormat="false" ht="15" hidden="false" customHeight="false" outlineLevel="0" collapsed="false">
      <c r="A65" s="0" t="s">
        <v>194</v>
      </c>
      <c r="B65" s="0" t="s">
        <v>195</v>
      </c>
      <c r="C65" s="0" t="n">
        <v>7.5</v>
      </c>
      <c r="D65" s="0" t="n">
        <v>7.333</v>
      </c>
      <c r="E65" s="0" t="n">
        <v>4</v>
      </c>
      <c r="F65" s="0" t="s">
        <v>183</v>
      </c>
      <c r="G65" s="0" t="n">
        <v>16</v>
      </c>
      <c r="H65" s="0" t="n">
        <v>220</v>
      </c>
      <c r="I65" s="0" t="s">
        <v>184</v>
      </c>
      <c r="J65" s="0" t="s">
        <v>185</v>
      </c>
      <c r="K65" s="0" t="s">
        <v>44</v>
      </c>
    </row>
    <row r="66" customFormat="false" ht="15" hidden="false" customHeight="false" outlineLevel="0" collapsed="false">
      <c r="A66" s="5" t="s">
        <v>196</v>
      </c>
    </row>
    <row r="67" customFormat="false" ht="15" hidden="false" customHeight="false" outlineLevel="0" collapsed="false">
      <c r="A67" s="0" t="s">
        <v>197</v>
      </c>
      <c r="B67" s="0" t="s">
        <v>198</v>
      </c>
      <c r="C67" s="0" t="n">
        <v>51.733</v>
      </c>
      <c r="D67" s="0" t="n">
        <v>11.386</v>
      </c>
      <c r="E67" s="0" t="n">
        <v>1</v>
      </c>
      <c r="F67" s="0" t="s">
        <v>79</v>
      </c>
      <c r="G67" s="0" t="n">
        <v>16</v>
      </c>
      <c r="H67" s="0" t="n">
        <v>621.62</v>
      </c>
      <c r="I67" s="0" t="s">
        <v>199</v>
      </c>
      <c r="J67" s="0" t="s">
        <v>200</v>
      </c>
      <c r="K67" s="0" t="s">
        <v>34</v>
      </c>
    </row>
    <row r="68" customFormat="false" ht="15" hidden="false" customHeight="false" outlineLevel="0" collapsed="false">
      <c r="A68" s="0" t="s">
        <v>201</v>
      </c>
      <c r="B68" s="0" t="s">
        <v>202</v>
      </c>
      <c r="C68" s="0" t="n">
        <v>50.253</v>
      </c>
      <c r="D68" s="0" t="n">
        <v>14.362</v>
      </c>
      <c r="E68" s="0" t="n">
        <v>1</v>
      </c>
      <c r="F68" s="0" t="s">
        <v>79</v>
      </c>
      <c r="G68" s="0" t="n">
        <v>16</v>
      </c>
      <c r="H68" s="0" t="n">
        <v>708.64</v>
      </c>
      <c r="I68" s="0" t="s">
        <v>199</v>
      </c>
      <c r="J68" s="0" t="s">
        <v>200</v>
      </c>
      <c r="K68" s="0" t="s">
        <v>34</v>
      </c>
    </row>
    <row r="69" customFormat="false" ht="15" hidden="false" customHeight="false" outlineLevel="0" collapsed="false">
      <c r="A69" s="0" t="s">
        <v>203</v>
      </c>
      <c r="B69" s="0" t="s">
        <v>204</v>
      </c>
      <c r="C69" s="0" t="n">
        <v>25.08</v>
      </c>
      <c r="D69" s="0" t="n">
        <v>11.647</v>
      </c>
      <c r="E69" s="0" t="n">
        <v>1</v>
      </c>
      <c r="F69" s="0" t="s">
        <v>79</v>
      </c>
      <c r="G69" s="0" t="n">
        <v>16</v>
      </c>
      <c r="H69" s="0" t="n">
        <v>320.82</v>
      </c>
      <c r="I69" s="0" t="s">
        <v>199</v>
      </c>
      <c r="J69" s="0" t="s">
        <v>200</v>
      </c>
      <c r="K69" s="0" t="s">
        <v>34</v>
      </c>
    </row>
    <row r="70" customFormat="false" ht="15" hidden="false" customHeight="false" outlineLevel="0" collapsed="false">
      <c r="A70" s="0" t="s">
        <v>205</v>
      </c>
      <c r="B70" s="0" t="s">
        <v>206</v>
      </c>
      <c r="C70" s="0" t="n">
        <v>25.08</v>
      </c>
      <c r="D70" s="0" t="n">
        <v>11.647</v>
      </c>
      <c r="E70" s="0" t="n">
        <v>1</v>
      </c>
      <c r="F70" s="0" t="s">
        <v>79</v>
      </c>
      <c r="G70" s="0" t="n">
        <v>16</v>
      </c>
      <c r="H70" s="0" t="n">
        <v>320.82</v>
      </c>
      <c r="I70" s="0" t="s">
        <v>199</v>
      </c>
      <c r="J70" s="0" t="s">
        <v>200</v>
      </c>
      <c r="K70" s="0" t="s">
        <v>34</v>
      </c>
    </row>
    <row r="71" customFormat="false" ht="15" hidden="false" customHeight="false" outlineLevel="0" collapsed="false">
      <c r="A71" s="0" t="s">
        <v>207</v>
      </c>
      <c r="B71" s="0" t="s">
        <v>208</v>
      </c>
      <c r="C71" s="0" t="n">
        <v>21.867</v>
      </c>
      <c r="D71" s="0" t="n">
        <v>14.362</v>
      </c>
      <c r="E71" s="0" t="n">
        <v>1</v>
      </c>
      <c r="F71" s="0" t="s">
        <v>79</v>
      </c>
      <c r="G71" s="0" t="n">
        <v>16</v>
      </c>
      <c r="H71" s="0" t="n">
        <v>304.21</v>
      </c>
      <c r="I71" s="0" t="s">
        <v>199</v>
      </c>
      <c r="J71" s="0" t="s">
        <v>200</v>
      </c>
      <c r="K71" s="0" t="s">
        <v>34</v>
      </c>
    </row>
    <row r="72" customFormat="false" ht="15" hidden="false" customHeight="false" outlineLevel="0" collapsed="false">
      <c r="A72" s="0" t="s">
        <v>209</v>
      </c>
      <c r="B72" s="0" t="s">
        <v>210</v>
      </c>
      <c r="C72" s="0" t="n">
        <v>20.907</v>
      </c>
      <c r="D72" s="0" t="n">
        <v>14.362</v>
      </c>
      <c r="E72" s="0" t="n">
        <v>1</v>
      </c>
      <c r="F72" s="0" t="s">
        <v>79</v>
      </c>
      <c r="G72" s="0" t="n">
        <v>16</v>
      </c>
      <c r="H72" s="0" t="n">
        <v>315.78</v>
      </c>
      <c r="I72" s="0" t="s">
        <v>199</v>
      </c>
      <c r="J72" s="0" t="s">
        <v>200</v>
      </c>
      <c r="K72" s="0" t="s">
        <v>34</v>
      </c>
    </row>
    <row r="73" customFormat="false" ht="15" hidden="false" customHeight="false" outlineLevel="0" collapsed="false">
      <c r="A73" s="0" t="s">
        <v>211</v>
      </c>
      <c r="B73" s="0" t="s">
        <v>212</v>
      </c>
      <c r="C73" s="0" t="n">
        <v>12.64</v>
      </c>
      <c r="D73" s="0" t="n">
        <v>14.362</v>
      </c>
      <c r="E73" s="0" t="n">
        <v>1</v>
      </c>
      <c r="F73" s="0" t="s">
        <v>79</v>
      </c>
      <c r="G73" s="0" t="n">
        <v>16</v>
      </c>
      <c r="H73" s="0" t="n">
        <v>194.34</v>
      </c>
      <c r="I73" s="0" t="s">
        <v>199</v>
      </c>
      <c r="J73" s="0" t="s">
        <v>200</v>
      </c>
      <c r="K73" s="0" t="s">
        <v>34</v>
      </c>
    </row>
    <row r="74" customFormat="false" ht="15" hidden="false" customHeight="false" outlineLevel="0" collapsed="false">
      <c r="A74" s="0" t="s">
        <v>213</v>
      </c>
      <c r="B74" s="0" t="s">
        <v>214</v>
      </c>
      <c r="C74" s="0" t="n">
        <v>3.875</v>
      </c>
      <c r="D74" s="0" t="n">
        <v>14.362</v>
      </c>
      <c r="E74" s="0" t="n">
        <v>1</v>
      </c>
      <c r="F74" s="0" t="s">
        <v>79</v>
      </c>
      <c r="G74" s="0" t="n">
        <v>16</v>
      </c>
      <c r="H74" s="0" t="n">
        <v>59.58</v>
      </c>
      <c r="I74" s="0" t="s">
        <v>199</v>
      </c>
      <c r="J74" s="0" t="s">
        <v>200</v>
      </c>
      <c r="K74" s="0" t="s">
        <v>44</v>
      </c>
    </row>
    <row r="75" customFormat="false" ht="15" hidden="false" customHeight="false" outlineLevel="0" collapsed="false">
      <c r="A75" s="5" t="s">
        <v>215</v>
      </c>
    </row>
    <row r="76" customFormat="false" ht="15" hidden="false" customHeight="false" outlineLevel="0" collapsed="false">
      <c r="A76" s="0" t="s">
        <v>216</v>
      </c>
      <c r="B76" s="0" t="s">
        <v>217</v>
      </c>
      <c r="C76" s="0" t="n">
        <v>17.762</v>
      </c>
      <c r="D76" s="0" t="n">
        <v>15.375</v>
      </c>
      <c r="E76" s="0" t="n">
        <v>2</v>
      </c>
      <c r="F76" s="0" t="s">
        <v>31</v>
      </c>
      <c r="G76" s="0" t="n">
        <v>16</v>
      </c>
      <c r="H76" s="0" t="n">
        <v>325.38</v>
      </c>
      <c r="I76" s="0" t="s">
        <v>218</v>
      </c>
      <c r="J76" s="0" t="s">
        <v>219</v>
      </c>
      <c r="K76" s="0" t="s">
        <v>34</v>
      </c>
    </row>
    <row r="77" customFormat="false" ht="15" hidden="false" customHeight="false" outlineLevel="0" collapsed="false">
      <c r="A77" s="5" t="s">
        <v>220</v>
      </c>
    </row>
    <row r="78" customFormat="false" ht="15" hidden="false" customHeight="false" outlineLevel="0" collapsed="false">
      <c r="A78" s="0" t="s">
        <v>221</v>
      </c>
      <c r="B78" s="0" t="s">
        <v>222</v>
      </c>
      <c r="C78" s="0" t="n">
        <v>11.771</v>
      </c>
      <c r="D78" s="0" t="n">
        <v>15.375</v>
      </c>
      <c r="E78" s="0" t="n">
        <v>4</v>
      </c>
      <c r="F78" s="0" t="s">
        <v>183</v>
      </c>
      <c r="G78" s="0" t="n">
        <v>16</v>
      </c>
      <c r="H78" s="0" t="n">
        <v>723.92</v>
      </c>
      <c r="I78" s="0" t="s">
        <v>223</v>
      </c>
      <c r="J78" s="0" t="s">
        <v>224</v>
      </c>
      <c r="K78" s="0" t="s">
        <v>44</v>
      </c>
    </row>
    <row r="79" customFormat="false" ht="15" hidden="false" customHeight="false" outlineLevel="0" collapsed="false">
      <c r="A79" s="0" t="s">
        <v>225</v>
      </c>
      <c r="B79" s="0" t="s">
        <v>226</v>
      </c>
      <c r="C79" s="0" t="n">
        <v>11.771</v>
      </c>
      <c r="D79" s="0" t="n">
        <v>15.375</v>
      </c>
      <c r="E79" s="0" t="n">
        <v>4</v>
      </c>
      <c r="F79" s="0" t="s">
        <v>183</v>
      </c>
      <c r="G79" s="0" t="n">
        <v>16</v>
      </c>
      <c r="H79" s="0" t="n">
        <v>723.92</v>
      </c>
      <c r="I79" s="0" t="s">
        <v>227</v>
      </c>
      <c r="J79" s="0" t="s">
        <v>224</v>
      </c>
      <c r="K79" s="0" t="s">
        <v>44</v>
      </c>
    </row>
    <row r="80" customFormat="false" ht="15" hidden="false" customHeight="false" outlineLevel="0" collapsed="false">
      <c r="A80" s="0" t="s">
        <v>228</v>
      </c>
      <c r="B80" s="0" t="s">
        <v>229</v>
      </c>
      <c r="C80" s="0" t="n">
        <v>11.625</v>
      </c>
      <c r="D80" s="0" t="n">
        <v>15.375</v>
      </c>
      <c r="E80" s="0" t="n">
        <v>4</v>
      </c>
      <c r="F80" s="0" t="s">
        <v>183</v>
      </c>
      <c r="G80" s="0" t="n">
        <v>16</v>
      </c>
      <c r="H80" s="0" t="n">
        <v>714.94</v>
      </c>
      <c r="I80" s="0" t="s">
        <v>230</v>
      </c>
      <c r="J80" s="0" t="s">
        <v>224</v>
      </c>
      <c r="K80" s="0" t="s">
        <v>44</v>
      </c>
    </row>
    <row r="81" customFormat="false" ht="15" hidden="false" customHeight="false" outlineLevel="0" collapsed="false">
      <c r="A81" s="0" t="s">
        <v>231</v>
      </c>
      <c r="B81" s="0" t="s">
        <v>232</v>
      </c>
      <c r="C81" s="0" t="n">
        <v>11.625</v>
      </c>
      <c r="D81" s="0" t="n">
        <v>15.375</v>
      </c>
      <c r="E81" s="0" t="n">
        <v>4</v>
      </c>
      <c r="F81" s="0" t="s">
        <v>183</v>
      </c>
      <c r="G81" s="0" t="n">
        <v>16</v>
      </c>
      <c r="H81" s="0" t="n">
        <v>714.94</v>
      </c>
      <c r="I81" s="0" t="s">
        <v>233</v>
      </c>
      <c r="J81" s="0" t="s">
        <v>224</v>
      </c>
      <c r="K81" s="0" t="s">
        <v>44</v>
      </c>
    </row>
    <row r="82" customFormat="false" ht="15" hidden="false" customHeight="false" outlineLevel="0" collapsed="false">
      <c r="A82" s="0" t="s">
        <v>234</v>
      </c>
      <c r="B82" s="0" t="s">
        <v>235</v>
      </c>
      <c r="C82" s="0" t="n">
        <v>11.625</v>
      </c>
      <c r="D82" s="0" t="n">
        <v>15.375</v>
      </c>
      <c r="E82" s="0" t="n">
        <v>4</v>
      </c>
      <c r="F82" s="0" t="s">
        <v>183</v>
      </c>
      <c r="G82" s="0" t="n">
        <v>16</v>
      </c>
      <c r="H82" s="0" t="n">
        <v>714.94</v>
      </c>
      <c r="I82" s="0" t="s">
        <v>236</v>
      </c>
      <c r="J82" s="0" t="s">
        <v>224</v>
      </c>
      <c r="K82" s="0" t="s">
        <v>44</v>
      </c>
    </row>
    <row r="83" customFormat="false" ht="15" hidden="false" customHeight="false" outlineLevel="0" collapsed="false">
      <c r="A83" s="0" t="s">
        <v>237</v>
      </c>
      <c r="B83" s="0" t="s">
        <v>238</v>
      </c>
      <c r="C83" s="0" t="n">
        <v>10.073</v>
      </c>
      <c r="D83" s="0" t="n">
        <v>15.375</v>
      </c>
      <c r="E83" s="0" t="n">
        <v>4</v>
      </c>
      <c r="F83" s="0" t="s">
        <v>183</v>
      </c>
      <c r="G83" s="0" t="n">
        <v>16</v>
      </c>
      <c r="H83" s="0" t="n">
        <v>619.48</v>
      </c>
      <c r="I83" s="0" t="s">
        <v>239</v>
      </c>
      <c r="J83" s="0" t="s">
        <v>224</v>
      </c>
      <c r="K83" s="0" t="s">
        <v>34</v>
      </c>
    </row>
    <row r="84" customFormat="false" ht="15" hidden="false" customHeight="false" outlineLevel="0" collapsed="false">
      <c r="A84" s="0" t="s">
        <v>240</v>
      </c>
      <c r="B84" s="0" t="s">
        <v>241</v>
      </c>
      <c r="C84" s="0" t="n">
        <v>3.467</v>
      </c>
      <c r="D84" s="0" t="n">
        <v>15.375</v>
      </c>
      <c r="E84" s="0" t="n">
        <v>4</v>
      </c>
      <c r="F84" s="0" t="s">
        <v>183</v>
      </c>
      <c r="G84" s="0" t="n">
        <v>16</v>
      </c>
      <c r="H84" s="0" t="n">
        <v>213.22</v>
      </c>
      <c r="I84" s="0" t="s">
        <v>242</v>
      </c>
      <c r="J84" s="0" t="s">
        <v>224</v>
      </c>
      <c r="K84" s="0" t="s">
        <v>34</v>
      </c>
    </row>
    <row r="85" customFormat="false" ht="15" hidden="false" customHeight="false" outlineLevel="0" collapsed="false">
      <c r="A85" s="0" t="s">
        <v>243</v>
      </c>
      <c r="B85" s="0" t="s">
        <v>244</v>
      </c>
      <c r="C85" s="0" t="n">
        <v>3.253</v>
      </c>
      <c r="D85" s="0" t="n">
        <v>15.375</v>
      </c>
      <c r="E85" s="0" t="n">
        <v>4</v>
      </c>
      <c r="F85" s="0" t="s">
        <v>183</v>
      </c>
      <c r="G85" s="0" t="n">
        <v>16</v>
      </c>
      <c r="H85" s="0" t="n">
        <v>200.06</v>
      </c>
      <c r="I85" s="0" t="s">
        <v>242</v>
      </c>
      <c r="J85" s="0" t="s">
        <v>224</v>
      </c>
      <c r="K85" s="0" t="s">
        <v>34</v>
      </c>
    </row>
    <row r="86" customFormat="false" ht="15" hidden="false" customHeight="false" outlineLevel="0" collapsed="false">
      <c r="A86" s="0" t="s">
        <v>245</v>
      </c>
      <c r="B86" s="0" t="s">
        <v>246</v>
      </c>
      <c r="C86" s="0" t="n">
        <v>3.253</v>
      </c>
      <c r="D86" s="0" t="n">
        <v>15.375</v>
      </c>
      <c r="E86" s="0" t="n">
        <v>4</v>
      </c>
      <c r="F86" s="0" t="s">
        <v>183</v>
      </c>
      <c r="G86" s="0" t="n">
        <v>16</v>
      </c>
      <c r="H86" s="0" t="n">
        <v>200.06</v>
      </c>
      <c r="I86" s="0" t="s">
        <v>242</v>
      </c>
      <c r="J86" s="0" t="s">
        <v>224</v>
      </c>
      <c r="K86" s="0" t="s">
        <v>34</v>
      </c>
    </row>
    <row r="87" customFormat="false" ht="15" hidden="false" customHeight="false" outlineLevel="0" collapsed="false">
      <c r="A87" s="0" t="s">
        <v>247</v>
      </c>
      <c r="B87" s="0" t="s">
        <v>248</v>
      </c>
      <c r="C87" s="0" t="n">
        <v>2.42</v>
      </c>
      <c r="D87" s="0" t="n">
        <v>15.375</v>
      </c>
      <c r="E87" s="0" t="n">
        <v>4</v>
      </c>
      <c r="F87" s="0" t="s">
        <v>183</v>
      </c>
      <c r="G87" s="0" t="n">
        <v>16</v>
      </c>
      <c r="H87" s="0" t="n">
        <v>148.82</v>
      </c>
      <c r="I87" s="0" t="s">
        <v>242</v>
      </c>
      <c r="J87" s="0" t="s">
        <v>224</v>
      </c>
      <c r="K87" s="0" t="s">
        <v>34</v>
      </c>
    </row>
    <row r="88" customFormat="false" ht="15" hidden="false" customHeight="false" outlineLevel="0" collapsed="false">
      <c r="A88" s="0" t="s">
        <v>249</v>
      </c>
      <c r="B88" s="0" t="s">
        <v>250</v>
      </c>
      <c r="C88" s="0" t="n">
        <v>0.973</v>
      </c>
      <c r="D88" s="0" t="n">
        <v>15.375</v>
      </c>
      <c r="E88" s="0" t="n">
        <v>4</v>
      </c>
      <c r="F88" s="0" t="s">
        <v>183</v>
      </c>
      <c r="G88" s="0" t="n">
        <v>16</v>
      </c>
      <c r="H88" s="0" t="n">
        <v>59.84</v>
      </c>
      <c r="I88" s="0" t="s">
        <v>242</v>
      </c>
      <c r="J88" s="0" t="s">
        <v>224</v>
      </c>
      <c r="K88" s="0" t="s">
        <v>34</v>
      </c>
    </row>
    <row r="89" customFormat="false" ht="15" hidden="false" customHeight="false" outlineLevel="0" collapsed="false">
      <c r="A89" s="5" t="s">
        <v>251</v>
      </c>
    </row>
    <row r="90" customFormat="false" ht="15" hidden="false" customHeight="false" outlineLevel="0" collapsed="false">
      <c r="A90" s="0" t="s">
        <v>252</v>
      </c>
      <c r="B90" s="0" t="s">
        <v>253</v>
      </c>
      <c r="C90" s="0" t="n">
        <v>11.771</v>
      </c>
      <c r="D90" s="0" t="n">
        <v>15.375</v>
      </c>
      <c r="E90" s="0" t="n">
        <v>4</v>
      </c>
      <c r="F90" s="0" t="s">
        <v>183</v>
      </c>
      <c r="G90" s="0" t="n">
        <v>16</v>
      </c>
      <c r="H90" s="0" t="n">
        <v>723.92</v>
      </c>
      <c r="I90" s="0" t="s">
        <v>254</v>
      </c>
      <c r="J90" s="0" t="s">
        <v>255</v>
      </c>
      <c r="K90" s="0" t="s">
        <v>44</v>
      </c>
    </row>
    <row r="91" customFormat="false" ht="15" hidden="false" customHeight="false" outlineLevel="0" collapsed="false">
      <c r="A91" s="0" t="s">
        <v>256</v>
      </c>
      <c r="B91" s="0" t="s">
        <v>257</v>
      </c>
      <c r="C91" s="0" t="n">
        <v>3.84</v>
      </c>
      <c r="D91" s="0" t="n">
        <v>15.375</v>
      </c>
      <c r="E91" s="0" t="n">
        <v>4</v>
      </c>
      <c r="F91" s="0" t="s">
        <v>183</v>
      </c>
      <c r="G91" s="0" t="n">
        <v>16</v>
      </c>
      <c r="H91" s="0" t="n">
        <v>236.16</v>
      </c>
      <c r="I91" s="0" t="s">
        <v>258</v>
      </c>
      <c r="J91" s="0" t="s">
        <v>255</v>
      </c>
      <c r="K91" s="0" t="s">
        <v>34</v>
      </c>
    </row>
    <row r="92" customFormat="false" ht="15" hidden="false" customHeight="false" outlineLevel="0" collapsed="false">
      <c r="A92" s="0" t="s">
        <v>259</v>
      </c>
      <c r="B92" s="0" t="s">
        <v>260</v>
      </c>
      <c r="C92" s="0" t="n">
        <v>3.727</v>
      </c>
      <c r="D92" s="0" t="n">
        <v>15.375</v>
      </c>
      <c r="E92" s="0" t="n">
        <v>4</v>
      </c>
      <c r="F92" s="0" t="s">
        <v>183</v>
      </c>
      <c r="G92" s="0" t="n">
        <v>16</v>
      </c>
      <c r="H92" s="0" t="n">
        <v>229.22</v>
      </c>
      <c r="I92" s="0" t="s">
        <v>261</v>
      </c>
      <c r="J92" s="0" t="s">
        <v>255</v>
      </c>
      <c r="K92" s="0" t="s">
        <v>34</v>
      </c>
    </row>
    <row r="93" customFormat="false" ht="15" hidden="false" customHeight="false" outlineLevel="0" collapsed="false">
      <c r="A93" s="5" t="s">
        <v>262</v>
      </c>
    </row>
    <row r="94" customFormat="false" ht="15" hidden="false" customHeight="false" outlineLevel="0" collapsed="false">
      <c r="A94" s="0" t="s">
        <v>263</v>
      </c>
      <c r="B94" s="0" t="s">
        <v>264</v>
      </c>
      <c r="C94" s="0" t="n">
        <v>13.333</v>
      </c>
      <c r="D94" s="0" t="n">
        <v>4.875</v>
      </c>
      <c r="E94" s="0" t="n">
        <v>2</v>
      </c>
      <c r="F94" s="0" t="s">
        <v>265</v>
      </c>
      <c r="G94" s="0" t="n">
        <v>16</v>
      </c>
      <c r="H94" s="0" t="n">
        <v>26.66</v>
      </c>
      <c r="I94" s="0" t="s">
        <v>266</v>
      </c>
      <c r="J94" s="0" t="s">
        <v>267</v>
      </c>
      <c r="K94" s="0" t="s">
        <v>44</v>
      </c>
    </row>
    <row r="95" customFormat="false" ht="15" hidden="false" customHeight="false" outlineLevel="0" collapsed="false">
      <c r="A95" s="5" t="s">
        <v>268</v>
      </c>
    </row>
    <row r="96" customFormat="false" ht="15" hidden="false" customHeight="false" outlineLevel="0" collapsed="false">
      <c r="A96" s="0" t="s">
        <v>269</v>
      </c>
      <c r="B96" s="0" t="s">
        <v>270</v>
      </c>
      <c r="C96" s="0" t="n">
        <v>53.5</v>
      </c>
      <c r="D96" s="0" t="n">
        <v>4.885</v>
      </c>
      <c r="E96" s="0" t="n">
        <v>0</v>
      </c>
      <c r="F96" s="0" t="s">
        <v>271</v>
      </c>
      <c r="G96" s="0" t="n">
        <v>16</v>
      </c>
      <c r="H96" s="0" t="n">
        <v>0</v>
      </c>
      <c r="I96" s="0" t="s">
        <v>272</v>
      </c>
      <c r="J96" s="0" t="s">
        <v>273</v>
      </c>
      <c r="K96" s="0" t="s">
        <v>34</v>
      </c>
    </row>
    <row r="97" customFormat="false" ht="15" hidden="false" customHeight="false" outlineLevel="0" collapsed="false">
      <c r="A97" s="0" t="s">
        <v>274</v>
      </c>
      <c r="B97" s="0" t="s">
        <v>275</v>
      </c>
      <c r="C97" s="0" t="n">
        <v>51.222</v>
      </c>
      <c r="D97" s="0" t="n">
        <v>2.042</v>
      </c>
      <c r="E97" s="0" t="n">
        <v>0</v>
      </c>
      <c r="F97" s="0" t="s">
        <v>271</v>
      </c>
      <c r="G97" s="0" t="n">
        <v>16</v>
      </c>
      <c r="H97" s="0" t="n">
        <v>0</v>
      </c>
      <c r="I97" s="0" t="s">
        <v>276</v>
      </c>
      <c r="J97" s="0" t="s">
        <v>273</v>
      </c>
      <c r="K97" s="0" t="s">
        <v>34</v>
      </c>
    </row>
    <row r="98" customFormat="false" ht="15" hidden="false" customHeight="false" outlineLevel="0" collapsed="false">
      <c r="A98" s="0" t="s">
        <v>277</v>
      </c>
      <c r="B98" s="0" t="s">
        <v>278</v>
      </c>
      <c r="C98" s="0" t="n">
        <v>39.85</v>
      </c>
      <c r="D98" s="0" t="n">
        <v>2.042</v>
      </c>
      <c r="E98" s="0" t="n">
        <v>0</v>
      </c>
      <c r="F98" s="0" t="s">
        <v>271</v>
      </c>
      <c r="G98" s="0" t="n">
        <v>16</v>
      </c>
      <c r="H98" s="0" t="n">
        <v>0</v>
      </c>
      <c r="I98" s="0" t="s">
        <v>279</v>
      </c>
      <c r="J98" s="0" t="s">
        <v>273</v>
      </c>
      <c r="K98" s="0" t="s">
        <v>34</v>
      </c>
    </row>
    <row r="99" customFormat="false" ht="15" hidden="false" customHeight="false" outlineLevel="0" collapsed="false">
      <c r="A99" s="0" t="s">
        <v>280</v>
      </c>
      <c r="B99" s="0" t="s">
        <v>281</v>
      </c>
      <c r="C99" s="0" t="n">
        <v>30.361</v>
      </c>
      <c r="D99" s="0" t="n">
        <v>4.292</v>
      </c>
      <c r="E99" s="0" t="n">
        <v>0</v>
      </c>
      <c r="F99" s="0" t="s">
        <v>271</v>
      </c>
      <c r="G99" s="0" t="n">
        <v>16</v>
      </c>
      <c r="H99" s="0" t="n">
        <v>0</v>
      </c>
      <c r="I99" s="0" t="s">
        <v>282</v>
      </c>
      <c r="J99" s="0" t="s">
        <v>273</v>
      </c>
      <c r="K99" s="0" t="s">
        <v>34</v>
      </c>
    </row>
    <row r="100" customFormat="false" ht="15" hidden="false" customHeight="false" outlineLevel="0" collapsed="false">
      <c r="A100" s="0" t="s">
        <v>283</v>
      </c>
      <c r="B100" s="0" t="s">
        <v>284</v>
      </c>
      <c r="C100" s="0" t="n">
        <v>25.967</v>
      </c>
      <c r="D100" s="0" t="n">
        <v>4.625</v>
      </c>
      <c r="E100" s="0" t="n">
        <v>0</v>
      </c>
      <c r="F100" s="0" t="s">
        <v>271</v>
      </c>
      <c r="G100" s="0" t="n">
        <v>16</v>
      </c>
      <c r="H100" s="0" t="n">
        <v>0</v>
      </c>
      <c r="I100" s="0" t="s">
        <v>285</v>
      </c>
      <c r="J100" s="0" t="s">
        <v>273</v>
      </c>
      <c r="K100" s="0" t="s">
        <v>34</v>
      </c>
    </row>
    <row r="101" customFormat="false" ht="15" hidden="false" customHeight="false" outlineLevel="0" collapsed="false">
      <c r="A101" s="0" t="s">
        <v>286</v>
      </c>
      <c r="B101" s="0" t="s">
        <v>287</v>
      </c>
      <c r="C101" s="0" t="n">
        <v>25.967</v>
      </c>
      <c r="D101" s="0" t="n">
        <v>4.625</v>
      </c>
      <c r="E101" s="0" t="n">
        <v>0</v>
      </c>
      <c r="F101" s="0" t="s">
        <v>271</v>
      </c>
      <c r="G101" s="0" t="n">
        <v>16</v>
      </c>
      <c r="H101" s="0" t="n">
        <v>0</v>
      </c>
      <c r="I101" s="0" t="s">
        <v>288</v>
      </c>
      <c r="J101" s="0" t="s">
        <v>273</v>
      </c>
      <c r="K101" s="0" t="s">
        <v>34</v>
      </c>
    </row>
    <row r="102" customFormat="false" ht="15" hidden="false" customHeight="false" outlineLevel="0" collapsed="false">
      <c r="A102" s="0" t="s">
        <v>289</v>
      </c>
      <c r="B102" s="0" t="s">
        <v>290</v>
      </c>
      <c r="C102" s="0" t="n">
        <v>21.867</v>
      </c>
      <c r="D102" s="0" t="n">
        <v>2.042</v>
      </c>
      <c r="E102" s="0" t="n">
        <v>0</v>
      </c>
      <c r="F102" s="0" t="s">
        <v>271</v>
      </c>
      <c r="G102" s="0" t="n">
        <v>16</v>
      </c>
      <c r="H102" s="0" t="n">
        <v>0</v>
      </c>
      <c r="I102" s="0" t="s">
        <v>291</v>
      </c>
      <c r="J102" s="0" t="s">
        <v>273</v>
      </c>
      <c r="K102" s="0" t="s">
        <v>34</v>
      </c>
    </row>
    <row r="103" customFormat="false" ht="15" hidden="false" customHeight="false" outlineLevel="0" collapsed="false">
      <c r="A103" s="0" t="s">
        <v>292</v>
      </c>
      <c r="B103" s="0" t="s">
        <v>293</v>
      </c>
      <c r="C103" s="0" t="n">
        <v>17.686</v>
      </c>
      <c r="D103" s="0" t="n">
        <v>4.292</v>
      </c>
      <c r="E103" s="0" t="n">
        <v>0</v>
      </c>
      <c r="F103" s="0" t="s">
        <v>271</v>
      </c>
      <c r="G103" s="0" t="n">
        <v>16</v>
      </c>
      <c r="H103" s="0" t="n">
        <v>0</v>
      </c>
      <c r="I103" s="0" t="s">
        <v>294</v>
      </c>
      <c r="J103" s="0" t="s">
        <v>273</v>
      </c>
      <c r="K103" s="0" t="s">
        <v>34</v>
      </c>
    </row>
    <row r="104" customFormat="false" ht="15" hidden="false" customHeight="false" outlineLevel="0" collapsed="false">
      <c r="A104" s="0" t="s">
        <v>295</v>
      </c>
      <c r="B104" s="0" t="s">
        <v>296</v>
      </c>
      <c r="C104" s="0" t="n">
        <v>4.6</v>
      </c>
      <c r="D104" s="0" t="n">
        <v>4.292</v>
      </c>
      <c r="E104" s="0" t="n">
        <v>0</v>
      </c>
      <c r="F104" s="0" t="s">
        <v>271</v>
      </c>
      <c r="G104" s="0" t="n">
        <v>16</v>
      </c>
      <c r="H104" s="0" t="n">
        <v>0</v>
      </c>
      <c r="I104" s="0" t="s">
        <v>297</v>
      </c>
      <c r="J104" s="0" t="s">
        <v>273</v>
      </c>
      <c r="K104" s="0" t="s">
        <v>34</v>
      </c>
    </row>
    <row r="105" customFormat="false" ht="15" hidden="false" customHeight="false" outlineLevel="0" collapsed="false">
      <c r="A105" s="0" t="s">
        <v>298</v>
      </c>
      <c r="B105" s="0" t="s">
        <v>299</v>
      </c>
      <c r="C105" s="0" t="n">
        <v>3.95</v>
      </c>
      <c r="D105" s="0" t="n">
        <v>2.042</v>
      </c>
      <c r="E105" s="0" t="n">
        <v>0</v>
      </c>
      <c r="F105" s="0" t="s">
        <v>271</v>
      </c>
      <c r="G105" s="0" t="n">
        <v>16</v>
      </c>
      <c r="H105" s="0" t="n">
        <v>0</v>
      </c>
      <c r="I105" s="0" t="s">
        <v>300</v>
      </c>
      <c r="J105" s="0" t="s">
        <v>273</v>
      </c>
      <c r="K105" s="0" t="s">
        <v>34</v>
      </c>
    </row>
    <row r="106" customFormat="false" ht="15" hidden="false" customHeight="false" outlineLevel="0" collapsed="false">
      <c r="A106" s="5" t="s">
        <v>301</v>
      </c>
    </row>
    <row r="107" customFormat="false" ht="15" hidden="false" customHeight="false" outlineLevel="0" collapsed="false">
      <c r="A107" s="0" t="s">
        <v>302</v>
      </c>
      <c r="B107" s="0" t="s">
        <v>303</v>
      </c>
      <c r="C107" s="0" t="n">
        <v>51.733</v>
      </c>
      <c r="D107" s="0" t="n">
        <v>2.323</v>
      </c>
      <c r="E107" s="0" t="n">
        <v>0</v>
      </c>
      <c r="F107" s="0" t="s">
        <v>31</v>
      </c>
      <c r="G107" s="0" t="n">
        <v>16</v>
      </c>
      <c r="H107" s="0" t="n">
        <v>0</v>
      </c>
      <c r="I107" s="0" t="s">
        <v>304</v>
      </c>
      <c r="J107" s="0" t="s">
        <v>305</v>
      </c>
      <c r="K107" s="0" t="s">
        <v>34</v>
      </c>
    </row>
    <row r="108" customFormat="false" ht="15" hidden="false" customHeight="false" outlineLevel="0" collapsed="false">
      <c r="A108" s="0" t="s">
        <v>306</v>
      </c>
      <c r="B108" s="0" t="s">
        <v>307</v>
      </c>
      <c r="C108" s="0" t="n">
        <v>51.733</v>
      </c>
      <c r="D108" s="0" t="n">
        <v>2.323</v>
      </c>
      <c r="E108" s="0" t="n">
        <v>1</v>
      </c>
      <c r="F108" s="0" t="s">
        <v>31</v>
      </c>
      <c r="G108" s="0" t="n">
        <v>16</v>
      </c>
      <c r="H108" s="0" t="n">
        <v>120.18</v>
      </c>
      <c r="I108" s="0" t="s">
        <v>308</v>
      </c>
      <c r="J108" s="0" t="s">
        <v>305</v>
      </c>
      <c r="K108" s="0" t="s">
        <v>34</v>
      </c>
    </row>
    <row r="109" customFormat="false" ht="15" hidden="false" customHeight="false" outlineLevel="0" collapsed="false">
      <c r="A109" s="5" t="s">
        <v>309</v>
      </c>
    </row>
    <row r="110" customFormat="false" ht="15" hidden="false" customHeight="false" outlineLevel="0" collapsed="false">
      <c r="A110" s="0" t="s">
        <v>310</v>
      </c>
      <c r="B110" s="0" t="s">
        <v>311</v>
      </c>
      <c r="C110" s="0" t="n">
        <v>26.25</v>
      </c>
      <c r="D110" s="0" t="n">
        <v>4.987</v>
      </c>
      <c r="E110" s="0" t="n">
        <v>1</v>
      </c>
      <c r="F110" s="0" t="s">
        <v>79</v>
      </c>
      <c r="G110" s="0" t="n">
        <v>16</v>
      </c>
      <c r="H110" s="0" t="n">
        <v>180.47</v>
      </c>
      <c r="I110" s="0" t="s">
        <v>312</v>
      </c>
      <c r="J110" s="0" t="s">
        <v>313</v>
      </c>
      <c r="K110" s="0" t="s">
        <v>44</v>
      </c>
    </row>
    <row r="111" customFormat="false" ht="15" hidden="false" customHeight="false" outlineLevel="0" collapsed="false">
      <c r="A111" s="0" t="s">
        <v>314</v>
      </c>
      <c r="B111" s="0" t="s">
        <v>315</v>
      </c>
      <c r="C111" s="0" t="n">
        <v>12.563</v>
      </c>
      <c r="D111" s="0" t="n">
        <v>4.987</v>
      </c>
      <c r="E111" s="0" t="n">
        <v>1</v>
      </c>
      <c r="F111" s="0" t="s">
        <v>79</v>
      </c>
      <c r="G111" s="0" t="n">
        <v>16</v>
      </c>
      <c r="H111" s="0" t="n">
        <v>86.37</v>
      </c>
      <c r="I111" s="0" t="s">
        <v>312</v>
      </c>
      <c r="J111" s="0" t="s">
        <v>313</v>
      </c>
      <c r="K111" s="0" t="s">
        <v>44</v>
      </c>
    </row>
    <row r="112" customFormat="false" ht="15" hidden="false" customHeight="false" outlineLevel="0" collapsed="false">
      <c r="A112" s="0" t="s">
        <v>316</v>
      </c>
      <c r="B112" s="0" t="s">
        <v>317</v>
      </c>
      <c r="C112" s="0" t="n">
        <v>6.5</v>
      </c>
      <c r="D112" s="0" t="n">
        <v>4.987</v>
      </c>
      <c r="E112" s="0" t="n">
        <v>1</v>
      </c>
      <c r="F112" s="0" t="s">
        <v>79</v>
      </c>
      <c r="G112" s="0" t="n">
        <v>16</v>
      </c>
      <c r="H112" s="0" t="n">
        <v>44.69</v>
      </c>
      <c r="I112" s="0" t="s">
        <v>318</v>
      </c>
      <c r="J112" s="0" t="s">
        <v>319</v>
      </c>
      <c r="K112" s="0" t="s">
        <v>44</v>
      </c>
    </row>
    <row r="113" customFormat="false" ht="15" hidden="false" customHeight="false" outlineLevel="0" collapsed="false">
      <c r="A113" s="5" t="s">
        <v>320</v>
      </c>
    </row>
    <row r="114" customFormat="false" ht="15" hidden="false" customHeight="false" outlineLevel="0" collapsed="false">
      <c r="A114" s="0" t="s">
        <v>321</v>
      </c>
      <c r="B114" s="0" t="s">
        <v>322</v>
      </c>
      <c r="C114" s="0" t="n">
        <v>15.64</v>
      </c>
      <c r="D114" s="0" t="n">
        <v>5.375</v>
      </c>
      <c r="E114" s="0" t="n">
        <v>0</v>
      </c>
      <c r="F114" s="0" t="s">
        <v>31</v>
      </c>
      <c r="G114" s="0" t="n">
        <v>16</v>
      </c>
      <c r="H114" s="0" t="n">
        <v>0</v>
      </c>
      <c r="I114" s="0" t="s">
        <v>323</v>
      </c>
      <c r="J114" s="0" t="s">
        <v>324</v>
      </c>
      <c r="K114" s="0" t="s">
        <v>34</v>
      </c>
    </row>
    <row r="115" customFormat="false" ht="15" hidden="false" customHeight="false" outlineLevel="0" collapsed="false">
      <c r="A115" s="0" t="s">
        <v>325</v>
      </c>
      <c r="B115" s="0" t="s">
        <v>326</v>
      </c>
      <c r="C115" s="0" t="n">
        <v>6.42</v>
      </c>
      <c r="D115" s="0" t="n">
        <v>5.375</v>
      </c>
      <c r="E115" s="0" t="n">
        <v>0</v>
      </c>
      <c r="F115" s="0" t="s">
        <v>31</v>
      </c>
      <c r="G115" s="0" t="n">
        <v>16</v>
      </c>
      <c r="H115" s="0" t="n">
        <v>0</v>
      </c>
      <c r="I115" s="0" t="s">
        <v>327</v>
      </c>
      <c r="J115" s="0" t="s">
        <v>328</v>
      </c>
      <c r="K115" s="0" t="s">
        <v>34</v>
      </c>
    </row>
    <row r="116" customFormat="false" ht="15" hidden="false" customHeight="false" outlineLevel="0" collapsed="false">
      <c r="A116" s="6" t="s">
        <v>329</v>
      </c>
      <c r="C116" s="3" t="n">
        <f aca="false">SUM(C5:C115)</f>
        <v>1222.924</v>
      </c>
      <c r="H116" s="3" t="n">
        <f aca="false">SUM(H5:H115)</f>
        <v>16417.12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1"/>
    <col collapsed="false" customWidth="true" hidden="false" outlineLevel="0" max="8" min="8" style="0" width="52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330</v>
      </c>
    </row>
    <row r="2" customFormat="false" ht="15" hidden="false" customHeight="false" outlineLevel="0" collapsed="false">
      <c r="A2" s="0" t="s">
        <v>331</v>
      </c>
    </row>
    <row r="3" customFormat="false" ht="15" hidden="false" customHeight="false" outlineLevel="0" collapsed="false">
      <c r="A3" s="4" t="s">
        <v>332</v>
      </c>
      <c r="B3" s="4" t="s">
        <v>333</v>
      </c>
      <c r="C3" s="4" t="s">
        <v>334</v>
      </c>
      <c r="D3" s="4" t="s">
        <v>335</v>
      </c>
      <c r="E3" s="4" t="s">
        <v>336</v>
      </c>
      <c r="F3" s="4" t="s">
        <v>337</v>
      </c>
      <c r="G3" s="4" t="s">
        <v>338</v>
      </c>
      <c r="H3" s="4" t="s">
        <v>339</v>
      </c>
      <c r="I3" s="4" t="s">
        <v>340</v>
      </c>
    </row>
    <row r="4" customFormat="false" ht="15" hidden="false" customHeight="false" outlineLevel="0" collapsed="false">
      <c r="A4" s="0" t="s">
        <v>341</v>
      </c>
      <c r="B4" s="0" t="s">
        <v>342</v>
      </c>
      <c r="C4" s="0" t="n">
        <v>4496.61</v>
      </c>
      <c r="D4" s="0" t="n">
        <f aca="false">Inputs!$B$4</f>
        <v>0.15</v>
      </c>
      <c r="E4" s="0" t="n">
        <f aca="false">C4*D4</f>
        <v>674.4915</v>
      </c>
      <c r="F4" s="0" t="n">
        <f aca="false">C4+E4</f>
        <v>5171.1015</v>
      </c>
      <c r="G4" s="0" t="s">
        <v>343</v>
      </c>
      <c r="H4" s="0" t="n">
        <f aca="false">ROUNDUP(ROUNDUP(F4/14.7,0)/MAX(1,INT(20/14.7)),0)</f>
        <v>352</v>
      </c>
      <c r="I4" s="0" t="s">
        <v>344</v>
      </c>
    </row>
    <row r="5" customFormat="false" ht="15" hidden="false" customHeight="false" outlineLevel="0" collapsed="false">
      <c r="A5" s="0" t="s">
        <v>345</v>
      </c>
      <c r="B5" s="0" t="s">
        <v>342</v>
      </c>
      <c r="C5" s="0" t="n">
        <v>5857.08</v>
      </c>
      <c r="D5" s="0" t="n">
        <f aca="false">Inputs!$B$4</f>
        <v>0.15</v>
      </c>
      <c r="E5" s="0" t="n">
        <f aca="false">C5*D5</f>
        <v>878.562</v>
      </c>
      <c r="F5" s="0" t="n">
        <f aca="false">C5+E5</f>
        <v>6735.642</v>
      </c>
      <c r="G5" s="0" t="s">
        <v>343</v>
      </c>
      <c r="H5" s="0" t="n">
        <f aca="false">ROUNDUP(ROUNDUP(F5/15.4,0)/MAX(1,INT(20/15.4)),0)</f>
        <v>438</v>
      </c>
      <c r="I5" s="0" t="s">
        <v>346</v>
      </c>
    </row>
    <row r="6" customFormat="false" ht="15" hidden="false" customHeight="false" outlineLevel="0" collapsed="false">
      <c r="A6" s="0" t="s">
        <v>347</v>
      </c>
      <c r="B6" s="0" t="s">
        <v>342</v>
      </c>
      <c r="C6" s="0" t="n">
        <v>4106.1</v>
      </c>
      <c r="D6" s="0" t="n">
        <f aca="false">Inputs!$B$4</f>
        <v>0.15</v>
      </c>
      <c r="E6" s="0" t="n">
        <f aca="false">C6*D6</f>
        <v>615.915</v>
      </c>
      <c r="F6" s="0" t="n">
        <f aca="false">C6+E6</f>
        <v>4722.015</v>
      </c>
      <c r="G6" s="0" t="s">
        <v>343</v>
      </c>
      <c r="H6" s="0" t="n">
        <f aca="false">ROUNDUP(ROUNDUP(F6/15.4,0)/MAX(1,INT(20/15.4)),0)</f>
        <v>307</v>
      </c>
      <c r="I6" s="0" t="s">
        <v>348</v>
      </c>
    </row>
    <row r="7" customFormat="false" ht="15" hidden="false" customHeight="false" outlineLevel="0" collapsed="false">
      <c r="A7" s="0" t="s">
        <v>349</v>
      </c>
      <c r="B7" s="0" t="s">
        <v>342</v>
      </c>
      <c r="C7" s="0" t="n">
        <v>53.62</v>
      </c>
      <c r="D7" s="0" t="n">
        <f aca="false">Inputs!$B$4</f>
        <v>0.15</v>
      </c>
      <c r="E7" s="0" t="n">
        <f aca="false">C7*D7</f>
        <v>8.043</v>
      </c>
      <c r="F7" s="0" t="n">
        <f aca="false">C7+E7</f>
        <v>61.663</v>
      </c>
      <c r="G7" s="0" t="s">
        <v>343</v>
      </c>
      <c r="H7" s="0" t="n">
        <f aca="false">ROUNDUP(ROUNDUP(F7/4.9,0)/MAX(1,INT(20/4.9)),0)</f>
        <v>4</v>
      </c>
      <c r="I7" s="0" t="s">
        <v>350</v>
      </c>
    </row>
    <row r="8" customFormat="false" ht="15" hidden="false" customHeight="false" outlineLevel="0" collapsed="false">
      <c r="A8" s="0" t="s">
        <v>351</v>
      </c>
      <c r="B8" s="0" t="s">
        <v>342</v>
      </c>
      <c r="C8" s="0" t="n">
        <v>983.29</v>
      </c>
      <c r="D8" s="0" t="n">
        <f aca="false">Inputs!$B$4</f>
        <v>0.15</v>
      </c>
      <c r="E8" s="0" t="n">
        <f aca="false">C8*D8</f>
        <v>147.4935</v>
      </c>
      <c r="F8" s="0" t="n">
        <f aca="false">C8+E8</f>
        <v>1130.7835</v>
      </c>
      <c r="G8" s="0" t="s">
        <v>343</v>
      </c>
      <c r="H8" s="0" t="n">
        <f aca="false">ROUNDUP(ROUNDUP(F8/4.9,0)/MAX(1,INT(20/4.9)),0)</f>
        <v>58</v>
      </c>
      <c r="I8" s="0" t="s">
        <v>352</v>
      </c>
    </row>
    <row r="9" customFormat="false" ht="15" hidden="false" customHeight="false" outlineLevel="0" collapsed="false">
      <c r="A9" s="0" t="s">
        <v>353</v>
      </c>
      <c r="B9" s="0" t="s">
        <v>342</v>
      </c>
      <c r="C9" s="0" t="n">
        <v>1296.77</v>
      </c>
      <c r="D9" s="0" t="n">
        <f aca="false">Inputs!$B$4</f>
        <v>0.15</v>
      </c>
      <c r="E9" s="0" t="n">
        <f aca="false">C9*D9</f>
        <v>194.5155</v>
      </c>
      <c r="F9" s="0" t="n">
        <f aca="false">C9+E9</f>
        <v>1491.2855</v>
      </c>
      <c r="G9" s="0" t="s">
        <v>354</v>
      </c>
      <c r="H9" s="0" t="n">
        <f aca="false">ROUNDUP(F9/10,0)</f>
        <v>150</v>
      </c>
      <c r="I9" s="0" t="s">
        <v>355</v>
      </c>
    </row>
    <row r="10" customFormat="false" ht="15" hidden="false" customHeight="false" outlineLevel="0" collapsed="false">
      <c r="A10" s="0" t="s">
        <v>356</v>
      </c>
      <c r="B10" s="0" t="s">
        <v>342</v>
      </c>
      <c r="C10" s="0" t="n">
        <v>1296.77</v>
      </c>
      <c r="D10" s="0" t="n">
        <f aca="false">Inputs!$B$4</f>
        <v>0.15</v>
      </c>
      <c r="E10" s="0" t="n">
        <f aca="false">C10*D10</f>
        <v>194.5155</v>
      </c>
      <c r="F10" s="0" t="n">
        <f aca="false">C10+E10</f>
        <v>1491.2855</v>
      </c>
      <c r="G10" s="0" t="s">
        <v>354</v>
      </c>
      <c r="H10" s="0" t="n">
        <f aca="false">ROUNDUP(F10/10,0)</f>
        <v>150</v>
      </c>
      <c r="I10" s="0" t="s">
        <v>357</v>
      </c>
    </row>
    <row r="11" customFormat="false" ht="15" hidden="false" customHeight="false" outlineLevel="0" collapsed="false">
      <c r="A11" s="0" t="s">
        <v>358</v>
      </c>
      <c r="B11" s="0" t="s">
        <v>342</v>
      </c>
      <c r="C11" s="0" t="n">
        <v>1324.65</v>
      </c>
      <c r="D11" s="0" t="n">
        <f aca="false">Inputs!$B$4</f>
        <v>0.15</v>
      </c>
      <c r="E11" s="0" t="n">
        <f aca="false">C11*D11</f>
        <v>198.6975</v>
      </c>
      <c r="F11" s="0" t="n">
        <f aca="false">C11+E11</f>
        <v>1523.3475</v>
      </c>
      <c r="G11" s="0" t="s">
        <v>354</v>
      </c>
      <c r="H11" s="0" t="n">
        <f aca="false">ROUNDUP(F11/10,0)</f>
        <v>153</v>
      </c>
      <c r="I11" s="0" t="s">
        <v>359</v>
      </c>
    </row>
    <row r="12" customFormat="false" ht="15" hidden="false" customHeight="false" outlineLevel="0" collapsed="false">
      <c r="A12" s="0" t="s">
        <v>360</v>
      </c>
      <c r="B12" s="0" t="s">
        <v>342</v>
      </c>
      <c r="C12" s="0" t="n">
        <v>2489.45</v>
      </c>
      <c r="D12" s="0" t="n">
        <f aca="false">Inputs!$B$4</f>
        <v>0.15</v>
      </c>
      <c r="E12" s="0" t="n">
        <f aca="false">C12*D12</f>
        <v>373.4175</v>
      </c>
      <c r="F12" s="0" t="n">
        <f aca="false">C12+E12</f>
        <v>2862.8675</v>
      </c>
      <c r="G12" s="0" t="s">
        <v>361</v>
      </c>
      <c r="H12" s="0" t="n">
        <f aca="false">ROUNDUP(F12/16,0)</f>
        <v>179</v>
      </c>
      <c r="I12" s="0" t="s">
        <v>362</v>
      </c>
    </row>
    <row r="13" customFormat="false" ht="15" hidden="false" customHeight="false" outlineLevel="0" collapsed="false">
      <c r="A13" s="0" t="s">
        <v>363</v>
      </c>
      <c r="B13" s="0" t="s">
        <v>342</v>
      </c>
      <c r="C13" s="0" t="n">
        <v>227.76</v>
      </c>
      <c r="D13" s="0" t="n">
        <f aca="false">Inputs!$B$4</f>
        <v>0.15</v>
      </c>
      <c r="E13" s="0" t="n">
        <f aca="false">C13*D13</f>
        <v>34.164</v>
      </c>
      <c r="F13" s="0" t="n">
        <f aca="false">C13+E13</f>
        <v>261.924</v>
      </c>
      <c r="G13" s="0" t="s">
        <v>354</v>
      </c>
      <c r="H13" s="0" t="n">
        <f aca="false">ROUNDUP(F13/10,0)</f>
        <v>27</v>
      </c>
      <c r="I13" s="0" t="s">
        <v>364</v>
      </c>
    </row>
    <row r="14" customFormat="false" ht="15" hidden="false" customHeight="false" outlineLevel="0" collapsed="false">
      <c r="A14" s="0" t="s">
        <v>365</v>
      </c>
      <c r="B14" s="0" t="s">
        <v>342</v>
      </c>
      <c r="C14" s="0" t="n">
        <v>518.38</v>
      </c>
      <c r="D14" s="0" t="n">
        <f aca="false">Inputs!$B$4</f>
        <v>0.15</v>
      </c>
      <c r="E14" s="0" t="n">
        <f aca="false">C14*D14</f>
        <v>77.757</v>
      </c>
      <c r="F14" s="0" t="n">
        <f aca="false">C14+E14</f>
        <v>596.137</v>
      </c>
      <c r="G14" s="0" t="s">
        <v>354</v>
      </c>
      <c r="H14" s="0" t="n">
        <f aca="false">ROUNDUP(F14/10,0)</f>
        <v>60</v>
      </c>
      <c r="I14" s="0" t="s">
        <v>366</v>
      </c>
    </row>
    <row r="15" customFormat="false" ht="15" hidden="false" customHeight="false" outlineLevel="0" collapsed="false">
      <c r="A15" s="0" t="s">
        <v>367</v>
      </c>
      <c r="B15" s="0" t="s">
        <v>342</v>
      </c>
      <c r="C15" s="0" t="n">
        <v>119.09</v>
      </c>
      <c r="D15" s="0" t="n">
        <f aca="false">Inputs!$B$4</f>
        <v>0.15</v>
      </c>
      <c r="E15" s="0" t="n">
        <f aca="false">C15*D15</f>
        <v>17.8635</v>
      </c>
      <c r="F15" s="0" t="n">
        <f aca="false">C15+E15</f>
        <v>136.9535</v>
      </c>
      <c r="G15" s="0" t="s">
        <v>354</v>
      </c>
      <c r="H15" s="0" t="n">
        <f aca="false">ROUNDUP(F15/10,0)</f>
        <v>14</v>
      </c>
      <c r="I15" s="0" t="s">
        <v>368</v>
      </c>
    </row>
    <row r="16" customFormat="false" ht="15" hidden="false" customHeight="false" outlineLevel="0" collapsed="false">
      <c r="A16" s="0" t="s">
        <v>369</v>
      </c>
      <c r="B16" s="0" t="s">
        <v>342</v>
      </c>
      <c r="C16" s="0" t="n">
        <v>803.46</v>
      </c>
      <c r="D16" s="0" t="n">
        <f aca="false">Inputs!$B$4</f>
        <v>0.15</v>
      </c>
      <c r="E16" s="0" t="n">
        <f aca="false">C16*D16</f>
        <v>120.519</v>
      </c>
      <c r="F16" s="0" t="n">
        <f aca="false">C16+E16</f>
        <v>923.979</v>
      </c>
      <c r="G16" s="0" t="s">
        <v>370</v>
      </c>
      <c r="H16" s="0" t="n">
        <f aca="false">ROUNDUP(F16/12,0)</f>
        <v>77</v>
      </c>
      <c r="I16" s="0" t="s">
        <v>371</v>
      </c>
    </row>
    <row r="17" customFormat="false" ht="15" hidden="false" customHeight="false" outlineLevel="0" collapsed="false">
      <c r="A17" s="0" t="s">
        <v>372</v>
      </c>
      <c r="B17" s="0" t="s">
        <v>342</v>
      </c>
      <c r="C17" s="0" t="n">
        <v>320.18</v>
      </c>
      <c r="D17" s="0" t="n">
        <f aca="false">Inputs!$B$4</f>
        <v>0.15</v>
      </c>
      <c r="E17" s="0" t="n">
        <f aca="false">C17*D17</f>
        <v>48.027</v>
      </c>
      <c r="F17" s="0" t="n">
        <f aca="false">C17+E17</f>
        <v>368.207</v>
      </c>
      <c r="G17" s="0" t="s">
        <v>361</v>
      </c>
      <c r="H17" s="0" t="n">
        <f aca="false">ROUNDUP(F17/16,0)</f>
        <v>24</v>
      </c>
      <c r="I17" s="0" t="s">
        <v>373</v>
      </c>
    </row>
    <row r="18" customFormat="false" ht="15" hidden="false" customHeight="false" outlineLevel="0" collapsed="false">
      <c r="A18" s="0" t="s">
        <v>374</v>
      </c>
      <c r="B18" s="0" t="s">
        <v>342</v>
      </c>
      <c r="C18" s="0" t="n">
        <v>530.05</v>
      </c>
      <c r="D18" s="0" t="n">
        <f aca="false">Inputs!$B$4</f>
        <v>0.15</v>
      </c>
      <c r="E18" s="0" t="n">
        <f aca="false">C18*D18</f>
        <v>79.5075</v>
      </c>
      <c r="F18" s="0" t="n">
        <f aca="false">C18+E18</f>
        <v>609.5575</v>
      </c>
      <c r="G18" s="0" t="s">
        <v>375</v>
      </c>
      <c r="H18" s="0" t="n">
        <f aca="false">ROUNDUP(F18,0)</f>
        <v>610</v>
      </c>
      <c r="I18" s="0" t="s">
        <v>376</v>
      </c>
    </row>
    <row r="19" customFormat="false" ht="15" hidden="false" customHeight="false" outlineLevel="0" collapsed="false">
      <c r="A19" s="0" t="s">
        <v>377</v>
      </c>
      <c r="B19" s="0" t="s">
        <v>378</v>
      </c>
      <c r="C19" s="0" t="n">
        <v>17145.43</v>
      </c>
      <c r="D19" s="0" t="n">
        <f aca="false">Inputs!$B$5</f>
        <v>0.06</v>
      </c>
      <c r="E19" s="0" t="n">
        <f aca="false">C19*D19</f>
        <v>1028.7258</v>
      </c>
      <c r="F19" s="0" t="n">
        <f aca="false">C19+E19</f>
        <v>18174.1558</v>
      </c>
      <c r="G19" s="0" t="s">
        <v>379</v>
      </c>
      <c r="H19" s="0" t="n">
        <f aca="false">ROUNDUP(F19/48,0)</f>
        <v>379</v>
      </c>
      <c r="I19" s="0" t="s">
        <v>380</v>
      </c>
    </row>
    <row r="20" customFormat="false" ht="15" hidden="false" customHeight="false" outlineLevel="0" collapsed="false">
      <c r="A20" s="0" t="s">
        <v>381</v>
      </c>
      <c r="B20" s="0" t="s">
        <v>378</v>
      </c>
      <c r="C20" s="0" t="n">
        <v>258.83</v>
      </c>
      <c r="D20" s="0" t="n">
        <f aca="false">Inputs!$B$5</f>
        <v>0.06</v>
      </c>
      <c r="E20" s="0" t="n">
        <f aca="false">C20*D20</f>
        <v>15.5298</v>
      </c>
      <c r="F20" s="0" t="n">
        <f aca="false">C20+E20</f>
        <v>274.3598</v>
      </c>
      <c r="G20" s="0" t="s">
        <v>379</v>
      </c>
      <c r="H20" s="0" t="n">
        <f aca="false">ROUNDUP(F20/48,0)</f>
        <v>6</v>
      </c>
      <c r="I20" s="0" t="s">
        <v>382</v>
      </c>
    </row>
    <row r="21" customFormat="false" ht="15" hidden="false" customHeight="false" outlineLevel="0" collapsed="false">
      <c r="A21" s="0" t="s">
        <v>383</v>
      </c>
      <c r="B21" s="0" t="s">
        <v>378</v>
      </c>
      <c r="C21" s="0" t="n">
        <v>78.7</v>
      </c>
      <c r="D21" s="0" t="n">
        <f aca="false">Inputs!$B$5</f>
        <v>0.06</v>
      </c>
      <c r="E21" s="0" t="n">
        <f aca="false">C21*D21</f>
        <v>4.722</v>
      </c>
      <c r="F21" s="0" t="n">
        <f aca="false">C21+E21</f>
        <v>83.422</v>
      </c>
      <c r="G21" s="0" t="s">
        <v>384</v>
      </c>
      <c r="H21" s="0" t="n">
        <f aca="false">ROUNDUP(F21/32,0)</f>
        <v>3</v>
      </c>
      <c r="I21" s="0" t="s">
        <v>385</v>
      </c>
    </row>
    <row r="22" customFormat="false" ht="15" hidden="false" customHeight="false" outlineLevel="0" collapsed="false">
      <c r="A22" s="0" t="s">
        <v>386</v>
      </c>
      <c r="B22" s="0" t="s">
        <v>378</v>
      </c>
      <c r="C22" s="0" t="n">
        <v>59.94</v>
      </c>
      <c r="D22" s="0" t="n">
        <f aca="false">Inputs!$B$5</f>
        <v>0.06</v>
      </c>
      <c r="E22" s="0" t="n">
        <f aca="false">C22*D22</f>
        <v>3.5964</v>
      </c>
      <c r="F22" s="0" t="n">
        <f aca="false">C22+E22</f>
        <v>63.5364</v>
      </c>
      <c r="G22" s="0" t="s">
        <v>384</v>
      </c>
      <c r="H22" s="0" t="n">
        <f aca="false">ROUNDUP(F22/32,0)</f>
        <v>2</v>
      </c>
      <c r="I22" s="0" t="s">
        <v>387</v>
      </c>
    </row>
    <row r="23" customFormat="false" ht="15" hidden="false" customHeight="false" outlineLevel="0" collapsed="false">
      <c r="A23" s="0" t="s">
        <v>388</v>
      </c>
      <c r="B23" s="0" t="s">
        <v>378</v>
      </c>
      <c r="C23" s="0" t="n">
        <v>504.36</v>
      </c>
      <c r="D23" s="0" t="n">
        <f aca="false">Inputs!$B$5</f>
        <v>0.06</v>
      </c>
      <c r="E23" s="0" t="n">
        <f aca="false">C23*D23</f>
        <v>30.2616</v>
      </c>
      <c r="F23" s="0" t="n">
        <f aca="false">C23+E23</f>
        <v>534.6216</v>
      </c>
      <c r="G23" s="0" t="s">
        <v>384</v>
      </c>
      <c r="H23" s="0" t="n">
        <f aca="false">ROUNDUP(F23/32,0)</f>
        <v>17</v>
      </c>
      <c r="I23" s="0" t="s">
        <v>389</v>
      </c>
    </row>
    <row r="24" customFormat="false" ht="15" hidden="false" customHeight="false" outlineLevel="0" collapsed="false">
      <c r="A24" s="0" t="s">
        <v>390</v>
      </c>
      <c r="B24" s="0" t="s">
        <v>378</v>
      </c>
      <c r="C24" s="0" t="n">
        <v>985.93</v>
      </c>
      <c r="D24" s="0" t="n">
        <f aca="false">Inputs!$B$5</f>
        <v>0.06</v>
      </c>
      <c r="E24" s="0" t="n">
        <f aca="false">C24*D24</f>
        <v>59.1558</v>
      </c>
      <c r="F24" s="0" t="n">
        <f aca="false">C24+E24</f>
        <v>1045.0858</v>
      </c>
      <c r="G24" s="0" t="s">
        <v>384</v>
      </c>
      <c r="H24" s="0" t="n">
        <f aca="false">ROUNDUP(F24/32,0)</f>
        <v>33</v>
      </c>
      <c r="I24" s="0" t="s">
        <v>391</v>
      </c>
    </row>
    <row r="25" customFormat="false" ht="15" hidden="false" customHeight="false" outlineLevel="0" collapsed="false">
      <c r="A25" s="0" t="s">
        <v>392</v>
      </c>
      <c r="B25" s="0" t="s">
        <v>378</v>
      </c>
      <c r="C25" s="0" t="n">
        <v>6755.04</v>
      </c>
      <c r="D25" s="0" t="n">
        <f aca="false">Inputs!$B$5</f>
        <v>0.06</v>
      </c>
      <c r="E25" s="0" t="n">
        <f aca="false">C25*D25</f>
        <v>405.3024</v>
      </c>
      <c r="F25" s="0" t="n">
        <f aca="false">C25+E25</f>
        <v>7160.3424</v>
      </c>
      <c r="G25" s="0" t="s">
        <v>384</v>
      </c>
      <c r="H25" s="0" t="n">
        <f aca="false">ROUNDUP(F25/32,0)</f>
        <v>224</v>
      </c>
      <c r="I25" s="0" t="s">
        <v>393</v>
      </c>
    </row>
    <row r="26" customFormat="false" ht="15" hidden="false" customHeight="false" outlineLevel="0" collapsed="false">
      <c r="A26" s="0" t="s">
        <v>394</v>
      </c>
      <c r="B26" s="0" t="s">
        <v>342</v>
      </c>
      <c r="C26" s="0" t="n">
        <v>773.39</v>
      </c>
      <c r="D26" s="0" t="n">
        <f aca="false">Inputs!$B$5</f>
        <v>0.06</v>
      </c>
      <c r="E26" s="0" t="n">
        <f aca="false">C26*D26</f>
        <v>46.4034</v>
      </c>
      <c r="F26" s="0" t="n">
        <f aca="false">C26+E26</f>
        <v>819.7934</v>
      </c>
      <c r="G26" s="0" t="s">
        <v>395</v>
      </c>
      <c r="H26" s="0" t="n">
        <f aca="false">ROUNDUP(F26,0)</f>
        <v>820</v>
      </c>
      <c r="I26" s="0" t="s">
        <v>396</v>
      </c>
    </row>
    <row r="27" customFormat="false" ht="15" hidden="false" customHeight="false" outlineLevel="0" collapsed="false">
      <c r="A27" s="0" t="s">
        <v>397</v>
      </c>
      <c r="B27" s="0" t="s">
        <v>342</v>
      </c>
      <c r="C27" s="0" t="n">
        <v>611.6</v>
      </c>
      <c r="D27" s="0" t="n">
        <f aca="false">Inputs!$B$4</f>
        <v>0.15</v>
      </c>
      <c r="E27" s="0" t="n">
        <f aca="false">C27*D27</f>
        <v>91.74</v>
      </c>
      <c r="F27" s="0" t="n">
        <f aca="false">C27+E27</f>
        <v>703.34</v>
      </c>
      <c r="G27" s="0" t="s">
        <v>354</v>
      </c>
      <c r="H27" s="0" t="n">
        <f aca="false">ROUNDUP(ROUNDUP(F27/3,0)/MAX(1,INT(10/3)),0)</f>
        <v>79</v>
      </c>
      <c r="I27" s="0" t="s">
        <v>398</v>
      </c>
    </row>
    <row r="28" customFormat="false" ht="15" hidden="false" customHeight="false" outlineLevel="0" collapsed="false">
      <c r="A28" s="0" t="s">
        <v>399</v>
      </c>
      <c r="B28" s="0" t="s">
        <v>342</v>
      </c>
      <c r="C28" s="0" t="n">
        <v>839.41</v>
      </c>
      <c r="D28" s="0" t="n">
        <f aca="false">Inputs!$B$4</f>
        <v>0.15</v>
      </c>
      <c r="E28" s="0" t="n">
        <f aca="false">C28*D28</f>
        <v>125.9115</v>
      </c>
      <c r="F28" s="0" t="n">
        <f aca="false">C28+E28</f>
        <v>965.3215</v>
      </c>
      <c r="G28" s="0" t="s">
        <v>354</v>
      </c>
      <c r="H28" s="0" t="n">
        <f aca="false">ROUNDUP(F28/10,0)</f>
        <v>97</v>
      </c>
      <c r="I28" s="0" t="s">
        <v>400</v>
      </c>
    </row>
    <row r="29" customFormat="false" ht="15" hidden="false" customHeight="false" outlineLevel="0" collapsed="false">
      <c r="A29" s="0" t="s">
        <v>401</v>
      </c>
      <c r="B29" s="0" t="s">
        <v>378</v>
      </c>
      <c r="C29" s="0" t="n">
        <v>33.79</v>
      </c>
      <c r="D29" s="0" t="n">
        <f aca="false">Inputs!$B$5</f>
        <v>0.06</v>
      </c>
      <c r="E29" s="0" t="n">
        <f aca="false">C29*D29</f>
        <v>2.0274</v>
      </c>
      <c r="F29" s="0" t="n">
        <f aca="false">C29+E29</f>
        <v>35.8174</v>
      </c>
      <c r="G29" s="0" t="s">
        <v>402</v>
      </c>
      <c r="H29" s="0" t="n">
        <f aca="false">ROUNDUP(F29/15,0)</f>
        <v>3</v>
      </c>
      <c r="I29" s="0" t="s">
        <v>403</v>
      </c>
    </row>
    <row r="30" customFormat="false" ht="15" hidden="false" customHeight="false" outlineLevel="0" collapsed="false">
      <c r="A30" s="0" t="s">
        <v>404</v>
      </c>
      <c r="B30" s="0" t="s">
        <v>342</v>
      </c>
      <c r="C30" s="0" t="n">
        <v>925.2</v>
      </c>
      <c r="D30" s="0" t="n">
        <f aca="false">Inputs!$B$4</f>
        <v>0.15</v>
      </c>
      <c r="E30" s="0" t="n">
        <f aca="false">C30*D30</f>
        <v>138.78</v>
      </c>
      <c r="F30" s="0" t="n">
        <f aca="false">C30+E30</f>
        <v>1063.98</v>
      </c>
      <c r="G30" s="0" t="s">
        <v>354</v>
      </c>
      <c r="H30" s="0" t="n">
        <f aca="false">ROUNDUP(F30/10,0)</f>
        <v>107</v>
      </c>
      <c r="I30" s="0" t="s">
        <v>405</v>
      </c>
    </row>
    <row r="31" customFormat="false" ht="15" hidden="false" customHeight="false" outlineLevel="0" collapsed="false">
      <c r="A31" s="0" t="s">
        <v>406</v>
      </c>
      <c r="B31" s="0" t="s">
        <v>342</v>
      </c>
      <c r="C31" s="0" t="n">
        <v>795.97</v>
      </c>
      <c r="D31" s="0" t="n">
        <f aca="false">Inputs!$B$5</f>
        <v>0.06</v>
      </c>
      <c r="E31" s="0" t="n">
        <f aca="false">C31*D31</f>
        <v>47.7582</v>
      </c>
      <c r="F31" s="0" t="n">
        <f aca="false">C31+E31</f>
        <v>843.7282</v>
      </c>
      <c r="G31" s="0" t="s">
        <v>407</v>
      </c>
      <c r="H31" s="0" t="n">
        <f aca="false">ROUNDUP(F31,0)</f>
        <v>844</v>
      </c>
      <c r="I31" s="0" t="s">
        <v>408</v>
      </c>
    </row>
    <row r="32" customFormat="false" ht="15" hidden="false" customHeight="false" outlineLevel="0" collapsed="false">
      <c r="A32" s="0" t="s">
        <v>409</v>
      </c>
      <c r="B32" s="0" t="s">
        <v>378</v>
      </c>
      <c r="C32" s="0" t="n">
        <v>4775.47</v>
      </c>
      <c r="D32" s="0" t="n">
        <f aca="false">Inputs!$B$5</f>
        <v>0.06</v>
      </c>
      <c r="E32" s="0" t="n">
        <f aca="false">C32*D32</f>
        <v>286.5282</v>
      </c>
      <c r="F32" s="0" t="n">
        <f aca="false">C32+E32</f>
        <v>5061.9982</v>
      </c>
      <c r="G32" s="0" t="s">
        <v>378</v>
      </c>
      <c r="H32" s="0" t="n">
        <f aca="false">ROUNDUP(F32,0)</f>
        <v>5062</v>
      </c>
      <c r="I32" s="0" t="s">
        <v>410</v>
      </c>
    </row>
    <row r="33" customFormat="false" ht="15" hidden="false" customHeight="false" outlineLevel="0" collapsed="false">
      <c r="A33" s="0" t="s">
        <v>411</v>
      </c>
      <c r="B33" s="0" t="s">
        <v>378</v>
      </c>
      <c r="C33" s="0" t="n">
        <v>357.9</v>
      </c>
      <c r="D33" s="0" t="n">
        <f aca="false">Inputs!$B$5</f>
        <v>0.06</v>
      </c>
      <c r="E33" s="0" t="n">
        <f aca="false">C33*D33</f>
        <v>21.474</v>
      </c>
      <c r="F33" s="0" t="n">
        <f aca="false">C33+E33</f>
        <v>379.374</v>
      </c>
      <c r="G33" s="0" t="s">
        <v>384</v>
      </c>
      <c r="H33" s="0" t="n">
        <f aca="false">ROUNDUP(F33/32,0)</f>
        <v>12</v>
      </c>
      <c r="I33" s="0" t="s">
        <v>412</v>
      </c>
    </row>
    <row r="34" customFormat="false" ht="15" hidden="false" customHeight="false" outlineLevel="0" collapsed="false">
      <c r="A34" s="0" t="s">
        <v>413</v>
      </c>
      <c r="B34" s="0" t="s">
        <v>414</v>
      </c>
      <c r="C34" s="0" t="n">
        <v>113</v>
      </c>
      <c r="D34" s="0" t="n">
        <v>0.15</v>
      </c>
      <c r="E34" s="0" t="n">
        <f aca="false">C34*D34</f>
        <v>16.95</v>
      </c>
      <c r="F34" s="0" t="n">
        <f aca="false">C34+E34</f>
        <v>129.95</v>
      </c>
      <c r="G34" s="0" t="s">
        <v>415</v>
      </c>
      <c r="H34" s="0" t="n">
        <f aca="false">ROUNDUP(F34,0)</f>
        <v>130</v>
      </c>
      <c r="I34" s="0" t="s">
        <v>416</v>
      </c>
    </row>
    <row r="35" customFormat="false" ht="15" hidden="false" customHeight="false" outlineLevel="0" collapsed="false">
      <c r="A35" s="0" t="s">
        <v>417</v>
      </c>
      <c r="B35" s="0" t="s">
        <v>415</v>
      </c>
      <c r="C35" s="0" t="n">
        <v>4</v>
      </c>
      <c r="D35" s="0" t="n">
        <v>0</v>
      </c>
      <c r="E35" s="0" t="n">
        <f aca="false">C35*D35</f>
        <v>0</v>
      </c>
      <c r="F35" s="0" t="n">
        <f aca="false">C35+E35</f>
        <v>4</v>
      </c>
      <c r="G35" s="0" t="s">
        <v>415</v>
      </c>
      <c r="H35" s="0" t="n">
        <f aca="false">ROUNDUP(F35,0)</f>
        <v>4</v>
      </c>
      <c r="I35" s="0" t="s">
        <v>418</v>
      </c>
    </row>
    <row r="36" customFormat="false" ht="15" hidden="false" customHeight="false" outlineLevel="0" collapsed="false">
      <c r="A36" s="0" t="s">
        <v>419</v>
      </c>
      <c r="B36" s="0" t="s">
        <v>415</v>
      </c>
      <c r="C36" s="0" t="n">
        <v>6</v>
      </c>
      <c r="D36" s="0" t="n">
        <v>0</v>
      </c>
      <c r="E36" s="0" t="n">
        <f aca="false">C36*D36</f>
        <v>0</v>
      </c>
      <c r="F36" s="0" t="n">
        <f aca="false">C36+E36</f>
        <v>6</v>
      </c>
      <c r="G36" s="0" t="s">
        <v>415</v>
      </c>
      <c r="H36" s="0" t="n">
        <f aca="false">ROUNDUP(F36,0)</f>
        <v>6</v>
      </c>
      <c r="I36" s="0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421</v>
      </c>
      <c r="B1" s="4" t="s">
        <v>422</v>
      </c>
      <c r="C1" s="4" t="s">
        <v>423</v>
      </c>
    </row>
    <row r="2" customFormat="false" ht="15" hidden="false" customHeight="false" outlineLevel="0" collapsed="false">
      <c r="A2" s="0" t="s">
        <v>424</v>
      </c>
      <c r="B2" s="0" t="s">
        <v>425</v>
      </c>
      <c r="C2" s="0" t="s">
        <v>426</v>
      </c>
    </row>
    <row r="3" customFormat="false" ht="15" hidden="false" customHeight="false" outlineLevel="0" collapsed="false">
      <c r="A3" s="0" t="s">
        <v>427</v>
      </c>
      <c r="B3" s="0" t="s">
        <v>428</v>
      </c>
      <c r="C3" s="0" t="s">
        <v>429</v>
      </c>
    </row>
    <row r="4" customFormat="false" ht="15" hidden="false" customHeight="false" outlineLevel="0" collapsed="false">
      <c r="A4" s="0" t="s">
        <v>430</v>
      </c>
      <c r="B4" s="0" t="s">
        <v>431</v>
      </c>
      <c r="C4" s="0" t="s">
        <v>432</v>
      </c>
    </row>
    <row r="5" customFormat="false" ht="15" hidden="false" customHeight="false" outlineLevel="0" collapsed="false">
      <c r="A5" s="0" t="s">
        <v>433</v>
      </c>
      <c r="B5" s="0" t="s">
        <v>434</v>
      </c>
      <c r="C5" s="0" t="s">
        <v>435</v>
      </c>
    </row>
    <row r="6" customFormat="false" ht="15" hidden="false" customHeight="false" outlineLevel="0" collapsed="false">
      <c r="A6" s="0" t="s">
        <v>436</v>
      </c>
      <c r="B6" s="0" t="s">
        <v>437</v>
      </c>
      <c r="C6" s="0" t="s">
        <v>438</v>
      </c>
    </row>
    <row r="7" customFormat="false" ht="15" hidden="false" customHeight="false" outlineLevel="0" collapsed="false">
      <c r="A7" s="0" t="s">
        <v>439</v>
      </c>
      <c r="B7" s="0" t="s">
        <v>440</v>
      </c>
      <c r="C7" s="0" t="s">
        <v>441</v>
      </c>
    </row>
    <row r="8" customFormat="false" ht="15" hidden="false" customHeight="false" outlineLevel="0" collapsed="false">
      <c r="A8" s="0" t="s">
        <v>442</v>
      </c>
      <c r="B8" s="0" t="s">
        <v>443</v>
      </c>
      <c r="C8" s="0" t="s">
        <v>444</v>
      </c>
    </row>
    <row r="9" customFormat="false" ht="15" hidden="false" customHeight="false" outlineLevel="0" collapsed="false">
      <c r="A9" s="0" t="s">
        <v>445</v>
      </c>
      <c r="B9" s="0" t="s">
        <v>446</v>
      </c>
      <c r="C9" s="0" t="s">
        <v>447</v>
      </c>
    </row>
    <row r="10" customFormat="false" ht="15" hidden="false" customHeight="false" outlineLevel="0" collapsed="false">
      <c r="A10" s="0" t="s">
        <v>448</v>
      </c>
      <c r="B10" s="0" t="s">
        <v>449</v>
      </c>
      <c r="C10" s="0" t="s">
        <v>450</v>
      </c>
    </row>
    <row r="11" customFormat="false" ht="15" hidden="false" customHeight="false" outlineLevel="0" collapsed="false">
      <c r="A11" s="0" t="s">
        <v>451</v>
      </c>
      <c r="B11" s="0" t="s">
        <v>452</v>
      </c>
      <c r="C11" s="0" t="s">
        <v>453</v>
      </c>
    </row>
    <row r="12" customFormat="false" ht="15" hidden="false" customHeight="false" outlineLevel="0" collapsed="false">
      <c r="A12" s="0" t="s">
        <v>454</v>
      </c>
      <c r="B12" s="0" t="s">
        <v>455</v>
      </c>
      <c r="C12" s="0" t="s">
        <v>456</v>
      </c>
    </row>
    <row r="13" customFormat="false" ht="15" hidden="false" customHeight="false" outlineLevel="0" collapsed="false">
      <c r="A13" s="0" t="s">
        <v>457</v>
      </c>
      <c r="B13" s="0" t="s">
        <v>458</v>
      </c>
      <c r="C13" s="0" t="s">
        <v>459</v>
      </c>
    </row>
    <row r="14" customFormat="false" ht="15" hidden="false" customHeight="false" outlineLevel="0" collapsed="false">
      <c r="A14" s="0" t="s">
        <v>460</v>
      </c>
      <c r="B14" s="0" t="s">
        <v>461</v>
      </c>
      <c r="C14" s="0" t="s">
        <v>462</v>
      </c>
    </row>
    <row r="15" customFormat="false" ht="15" hidden="false" customHeight="false" outlineLevel="0" collapsed="false">
      <c r="A15" s="0" t="s">
        <v>463</v>
      </c>
      <c r="B15" s="0" t="s">
        <v>464</v>
      </c>
      <c r="C15" s="0" t="s">
        <v>465</v>
      </c>
    </row>
    <row r="16" customFormat="false" ht="15" hidden="false" customHeight="false" outlineLevel="0" collapsed="false">
      <c r="A16" s="0" t="s">
        <v>466</v>
      </c>
      <c r="B16" s="0" t="s">
        <v>467</v>
      </c>
      <c r="C16" s="0" t="s">
        <v>468</v>
      </c>
    </row>
    <row r="17" customFormat="false" ht="15" hidden="false" customHeight="false" outlineLevel="0" collapsed="false">
      <c r="A17" s="0" t="s">
        <v>469</v>
      </c>
      <c r="B17" s="0" t="s">
        <v>470</v>
      </c>
      <c r="C17" s="0" t="s">
        <v>471</v>
      </c>
    </row>
    <row r="18" customFormat="false" ht="15" hidden="false" customHeight="false" outlineLevel="0" collapsed="false">
      <c r="A18" s="0" t="s">
        <v>472</v>
      </c>
      <c r="B18" s="0" t="s">
        <v>473</v>
      </c>
      <c r="C18" s="0" t="s">
        <v>474</v>
      </c>
    </row>
    <row r="19" customFormat="false" ht="15" hidden="false" customHeight="false" outlineLevel="0" collapsed="false">
      <c r="A19" s="0" t="s">
        <v>475</v>
      </c>
      <c r="B19" s="0" t="s">
        <v>476</v>
      </c>
      <c r="C19" s="0" t="s">
        <v>477</v>
      </c>
    </row>
    <row r="20" customFormat="false" ht="15" hidden="false" customHeight="false" outlineLevel="0" collapsed="false">
      <c r="A20" s="0" t="s">
        <v>478</v>
      </c>
      <c r="B20" s="0" t="s">
        <v>479</v>
      </c>
      <c r="C20" s="0" t="s">
        <v>480</v>
      </c>
    </row>
    <row r="21" customFormat="false" ht="15" hidden="false" customHeight="false" outlineLevel="0" collapsed="false">
      <c r="A21" s="0" t="s">
        <v>481</v>
      </c>
      <c r="B21" s="0" t="s">
        <v>482</v>
      </c>
      <c r="C21" s="0" t="s">
        <v>483</v>
      </c>
    </row>
    <row r="22" customFormat="false" ht="15" hidden="false" customHeight="false" outlineLevel="0" collapsed="false">
      <c r="A22" s="0" t="s">
        <v>484</v>
      </c>
      <c r="B22" s="0" t="s">
        <v>485</v>
      </c>
      <c r="C22" s="0" t="s">
        <v>486</v>
      </c>
    </row>
    <row r="23" customFormat="false" ht="15" hidden="false" customHeight="false" outlineLevel="0" collapsed="false">
      <c r="A23" s="0" t="s">
        <v>487</v>
      </c>
      <c r="B23" s="0" t="s">
        <v>488</v>
      </c>
      <c r="C23" s="0" t="s">
        <v>489</v>
      </c>
    </row>
    <row r="24" customFormat="false" ht="15" hidden="false" customHeight="false" outlineLevel="0" collapsed="false">
      <c r="A24" s="0" t="s">
        <v>490</v>
      </c>
      <c r="B24" s="0" t="s">
        <v>491</v>
      </c>
      <c r="C24" s="0" t="s">
        <v>492</v>
      </c>
    </row>
    <row r="25" customFormat="false" ht="15" hidden="false" customHeight="false" outlineLevel="0" collapsed="false">
      <c r="A25" s="0" t="s">
        <v>493</v>
      </c>
      <c r="B25" s="0" t="s">
        <v>494</v>
      </c>
      <c r="C25" s="0" t="s">
        <v>495</v>
      </c>
    </row>
    <row r="26" customFormat="false" ht="15" hidden="false" customHeight="false" outlineLevel="0" collapsed="false">
      <c r="A26" s="0" t="s">
        <v>496</v>
      </c>
      <c r="B26" s="0" t="s">
        <v>497</v>
      </c>
      <c r="C26" s="0" t="s">
        <v>498</v>
      </c>
    </row>
    <row r="27" customFormat="false" ht="15" hidden="false" customHeight="false" outlineLevel="0" collapsed="false">
      <c r="A27" s="0" t="s">
        <v>499</v>
      </c>
      <c r="B27" s="0" t="s">
        <v>500</v>
      </c>
      <c r="C27" s="0" t="s">
        <v>501</v>
      </c>
    </row>
    <row r="28" customFormat="false" ht="15" hidden="false" customHeight="false" outlineLevel="0" collapsed="false">
      <c r="A28" s="0" t="s">
        <v>502</v>
      </c>
      <c r="B28" s="0" t="s">
        <v>503</v>
      </c>
      <c r="C28" s="0" t="s">
        <v>504</v>
      </c>
    </row>
    <row r="29" customFormat="false" ht="15" hidden="false" customHeight="false" outlineLevel="0" collapsed="false">
      <c r="A29" s="0" t="s">
        <v>505</v>
      </c>
      <c r="B29" s="0" t="s">
        <v>506</v>
      </c>
      <c r="C29" s="0" t="s">
        <v>507</v>
      </c>
    </row>
    <row r="30" customFormat="false" ht="15" hidden="false" customHeight="false" outlineLevel="0" collapsed="false">
      <c r="A30" s="0" t="s">
        <v>508</v>
      </c>
      <c r="B30" s="0" t="s">
        <v>509</v>
      </c>
      <c r="C30" s="0" t="s">
        <v>510</v>
      </c>
    </row>
    <row r="31" customFormat="false" ht="15" hidden="false" customHeight="false" outlineLevel="0" collapsed="false">
      <c r="A31" s="0" t="s">
        <v>511</v>
      </c>
      <c r="B31" s="0" t="s">
        <v>512</v>
      </c>
      <c r="C31" s="0" t="s">
        <v>513</v>
      </c>
    </row>
    <row r="32" customFormat="false" ht="15" hidden="false" customHeight="false" outlineLevel="0" collapsed="false">
      <c r="A32" s="0" t="s">
        <v>514</v>
      </c>
      <c r="B32" s="0" t="s">
        <v>515</v>
      </c>
      <c r="C32" s="0" t="s">
        <v>516</v>
      </c>
    </row>
    <row r="33" customFormat="false" ht="15" hidden="false" customHeight="false" outlineLevel="0" collapsed="false">
      <c r="A33" s="0" t="s">
        <v>517</v>
      </c>
      <c r="B33" s="0" t="s">
        <v>518</v>
      </c>
      <c r="C33" s="0" t="s">
        <v>519</v>
      </c>
    </row>
    <row r="34" customFormat="false" ht="15" hidden="false" customHeight="false" outlineLevel="0" collapsed="false">
      <c r="A34" s="0" t="s">
        <v>520</v>
      </c>
      <c r="B34" s="0" t="s">
        <v>521</v>
      </c>
      <c r="C34" s="0" t="s">
        <v>522</v>
      </c>
    </row>
    <row r="35" customFormat="false" ht="15" hidden="false" customHeight="false" outlineLevel="0" collapsed="false">
      <c r="A35" s="0" t="s">
        <v>523</v>
      </c>
      <c r="B35" s="0" t="s">
        <v>524</v>
      </c>
      <c r="C35" s="0" t="s">
        <v>525</v>
      </c>
    </row>
    <row r="36" customFormat="false" ht="15" hidden="false" customHeight="false" outlineLevel="0" collapsed="false">
      <c r="A36" s="0" t="s">
        <v>526</v>
      </c>
      <c r="B36" s="0" t="s">
        <v>527</v>
      </c>
      <c r="C36" s="0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0" t="s">
        <v>529</v>
      </c>
      <c r="B1" s="0" t="s">
        <v>530</v>
      </c>
      <c r="C1" s="0" t="s">
        <v>531</v>
      </c>
      <c r="D1" s="0" t="s">
        <v>532</v>
      </c>
    </row>
    <row r="2" customFormat="false" ht="15" hidden="false" customHeight="false" outlineLevel="0" collapsed="false">
      <c r="A2" s="0" t="n">
        <v>1</v>
      </c>
      <c r="B2" s="0" t="s">
        <v>533</v>
      </c>
      <c r="C2" s="0" t="s">
        <v>534</v>
      </c>
      <c r="D2" s="0" t="s">
        <v>535</v>
      </c>
    </row>
    <row r="3" customFormat="false" ht="15" hidden="false" customHeight="false" outlineLevel="0" collapsed="false">
      <c r="A3" s="0" t="n">
        <v>3</v>
      </c>
      <c r="B3" s="0" t="s">
        <v>536</v>
      </c>
      <c r="C3" s="0" t="s">
        <v>537</v>
      </c>
      <c r="D3" s="0" t="s">
        <v>538</v>
      </c>
    </row>
    <row r="4" customFormat="false" ht="15" hidden="false" customHeight="false" outlineLevel="0" collapsed="false">
      <c r="A4" s="0" t="n">
        <v>4</v>
      </c>
      <c r="B4" s="0" t="s">
        <v>539</v>
      </c>
      <c r="C4" s="0" t="s">
        <v>540</v>
      </c>
      <c r="D4" s="0" t="s">
        <v>541</v>
      </c>
    </row>
    <row r="5" customFormat="false" ht="15" hidden="false" customHeight="false" outlineLevel="0" collapsed="false">
      <c r="A5" s="0" t="n">
        <v>5</v>
      </c>
      <c r="B5" s="0" t="s">
        <v>542</v>
      </c>
      <c r="C5" s="0" t="s">
        <v>543</v>
      </c>
      <c r="D5" s="0" t="s">
        <v>544</v>
      </c>
    </row>
    <row r="6" customFormat="false" ht="15" hidden="false" customHeight="false" outlineLevel="0" collapsed="false">
      <c r="A6" s="0" t="n">
        <v>6</v>
      </c>
      <c r="B6" s="0" t="s">
        <v>545</v>
      </c>
      <c r="C6" s="0" t="s">
        <v>546</v>
      </c>
      <c r="D6" s="0" t="s">
        <v>547</v>
      </c>
    </row>
    <row r="7" customFormat="false" ht="15" hidden="false" customHeight="false" outlineLevel="0" collapsed="false">
      <c r="A7" s="0" t="n">
        <v>7</v>
      </c>
      <c r="B7" s="0" t="s">
        <v>548</v>
      </c>
      <c r="C7" s="0" t="s">
        <v>549</v>
      </c>
      <c r="D7" s="0" t="s">
        <v>550</v>
      </c>
    </row>
    <row r="8" customFormat="false" ht="15" hidden="false" customHeight="false" outlineLevel="0" collapsed="false">
      <c r="A8" s="0" t="n">
        <v>8</v>
      </c>
      <c r="B8" s="0" t="s">
        <v>551</v>
      </c>
      <c r="C8" s="0" t="s">
        <v>552</v>
      </c>
      <c r="D8" s="0" t="s">
        <v>544</v>
      </c>
    </row>
    <row r="9" customFormat="false" ht="15" hidden="false" customHeight="false" outlineLevel="0" collapsed="false">
      <c r="A9" s="0" t="n">
        <v>9</v>
      </c>
      <c r="B9" s="0" t="s">
        <v>553</v>
      </c>
      <c r="C9" s="0" t="s">
        <v>554</v>
      </c>
      <c r="D9" s="0" t="s">
        <v>555</v>
      </c>
    </row>
    <row r="10" customFormat="false" ht="15" hidden="false" customHeight="false" outlineLevel="0" collapsed="false">
      <c r="A10" s="0" t="n">
        <v>10</v>
      </c>
      <c r="B10" s="0" t="s">
        <v>556</v>
      </c>
      <c r="C10" s="0" t="s">
        <v>543</v>
      </c>
      <c r="D10" s="0" t="s">
        <v>557</v>
      </c>
    </row>
    <row r="11" customFormat="false" ht="15" hidden="false" customHeight="false" outlineLevel="0" collapsed="false">
      <c r="A11" s="0" t="n">
        <v>11</v>
      </c>
      <c r="B11" s="0" t="s">
        <v>558</v>
      </c>
      <c r="C11" s="0" t="s">
        <v>559</v>
      </c>
      <c r="D11" s="0" t="s">
        <v>560</v>
      </c>
    </row>
    <row r="12" customFormat="false" ht="15" hidden="false" customHeight="false" outlineLevel="0" collapsed="false">
      <c r="A12" s="0" t="n">
        <v>12</v>
      </c>
      <c r="B12" s="0" t="s">
        <v>561</v>
      </c>
      <c r="C12" s="0" t="s">
        <v>562</v>
      </c>
      <c r="D12" s="0" t="s">
        <v>563</v>
      </c>
    </row>
    <row r="13" customFormat="false" ht="15" hidden="false" customHeight="false" outlineLevel="0" collapsed="false">
      <c r="A13" s="0" t="n">
        <v>13</v>
      </c>
      <c r="B13" s="0" t="s">
        <v>564</v>
      </c>
      <c r="C13" s="0" t="s">
        <v>565</v>
      </c>
      <c r="D13" s="0" t="s">
        <v>566</v>
      </c>
    </row>
    <row r="14" customFormat="false" ht="15" hidden="false" customHeight="false" outlineLevel="0" collapsed="false">
      <c r="A14" s="0" t="n">
        <v>14</v>
      </c>
      <c r="B14" s="0" t="s">
        <v>567</v>
      </c>
      <c r="C14" s="0" t="s">
        <v>568</v>
      </c>
      <c r="D14" s="0" t="s">
        <v>560</v>
      </c>
    </row>
    <row r="15" customFormat="false" ht="15" hidden="false" customHeight="false" outlineLevel="0" collapsed="false">
      <c r="A15" s="0" t="n">
        <v>15</v>
      </c>
      <c r="B15" s="0" t="s">
        <v>569</v>
      </c>
      <c r="C15" s="0" t="s">
        <v>570</v>
      </c>
      <c r="D15" s="0" t="s">
        <v>560</v>
      </c>
    </row>
    <row r="16" customFormat="false" ht="15" hidden="false" customHeight="false" outlineLevel="0" collapsed="false">
      <c r="A16" s="0" t="n">
        <v>16</v>
      </c>
      <c r="B16" s="0" t="s">
        <v>571</v>
      </c>
      <c r="C16" s="0" t="s">
        <v>572</v>
      </c>
      <c r="D16" s="0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573</v>
      </c>
      <c r="B1" s="0" t="s">
        <v>574</v>
      </c>
      <c r="C1" s="0" t="s">
        <v>575</v>
      </c>
      <c r="D1" s="0" t="s">
        <v>576</v>
      </c>
    </row>
    <row r="2" customFormat="false" ht="15" hidden="false" customHeight="false" outlineLevel="0" collapsed="false">
      <c r="A2" s="0" t="s">
        <v>577</v>
      </c>
      <c r="B2" s="0" t="s">
        <v>578</v>
      </c>
      <c r="C2" s="0" t="s">
        <v>579</v>
      </c>
      <c r="D2" s="0" t="s">
        <v>580</v>
      </c>
    </row>
    <row r="3" customFormat="false" ht="15" hidden="false" customHeight="false" outlineLevel="0" collapsed="false">
      <c r="A3" s="0" t="s">
        <v>581</v>
      </c>
      <c r="B3" s="0" t="s">
        <v>582</v>
      </c>
      <c r="C3" s="0" t="s">
        <v>579</v>
      </c>
      <c r="D3" s="0" t="s">
        <v>583</v>
      </c>
    </row>
    <row r="4" customFormat="false" ht="15" hidden="false" customHeight="false" outlineLevel="0" collapsed="false">
      <c r="A4" s="0" t="s">
        <v>584</v>
      </c>
      <c r="B4" s="0" t="s">
        <v>585</v>
      </c>
      <c r="C4" s="0" t="s">
        <v>579</v>
      </c>
      <c r="D4" s="0" t="s">
        <v>586</v>
      </c>
    </row>
    <row r="5" customFormat="false" ht="15" hidden="false" customHeight="false" outlineLevel="0" collapsed="false">
      <c r="A5" s="0" t="s">
        <v>587</v>
      </c>
      <c r="B5" s="0" t="s">
        <v>588</v>
      </c>
      <c r="C5" s="0" t="s">
        <v>579</v>
      </c>
      <c r="D5" s="0" t="s">
        <v>589</v>
      </c>
    </row>
    <row r="6" customFormat="false" ht="15" hidden="false" customHeight="false" outlineLevel="0" collapsed="false">
      <c r="A6" s="0" t="s">
        <v>590</v>
      </c>
      <c r="B6" s="0" t="s">
        <v>591</v>
      </c>
      <c r="C6" s="0" t="s">
        <v>579</v>
      </c>
      <c r="D6" s="0" t="s">
        <v>592</v>
      </c>
    </row>
    <row r="7" customFormat="false" ht="15" hidden="false" customHeight="false" outlineLevel="0" collapsed="false">
      <c r="A7" s="0" t="s">
        <v>593</v>
      </c>
      <c r="B7" s="0" t="s">
        <v>594</v>
      </c>
      <c r="C7" s="0" t="s">
        <v>579</v>
      </c>
      <c r="D7" s="0" t="s">
        <v>595</v>
      </c>
    </row>
    <row r="8" customFormat="false" ht="15" hidden="false" customHeight="false" outlineLevel="0" collapsed="false">
      <c r="A8" s="0" t="s">
        <v>596</v>
      </c>
      <c r="B8" s="0" t="s">
        <v>597</v>
      </c>
      <c r="C8" s="0" t="s">
        <v>579</v>
      </c>
      <c r="D8" s="0" t="s">
        <v>598</v>
      </c>
    </row>
    <row r="9" customFormat="false" ht="15" hidden="false" customHeight="false" outlineLevel="0" collapsed="false">
      <c r="A9" s="0" t="s">
        <v>599</v>
      </c>
      <c r="B9" s="0" t="s">
        <v>600</v>
      </c>
      <c r="C9" s="0" t="s">
        <v>579</v>
      </c>
      <c r="D9" s="0" t="s">
        <v>601</v>
      </c>
    </row>
    <row r="10" customFormat="false" ht="15" hidden="false" customHeight="false" outlineLevel="0" collapsed="false">
      <c r="A10" s="0" t="s">
        <v>602</v>
      </c>
      <c r="B10" s="0" t="s">
        <v>603</v>
      </c>
      <c r="C10" s="0" t="s">
        <v>579</v>
      </c>
      <c r="D10" s="0" t="s">
        <v>604</v>
      </c>
    </row>
    <row r="11" customFormat="false" ht="15" hidden="false" customHeight="false" outlineLevel="0" collapsed="false">
      <c r="A11" s="0" t="s">
        <v>605</v>
      </c>
      <c r="B11" s="0" t="s">
        <v>606</v>
      </c>
      <c r="C11" s="0" t="s">
        <v>579</v>
      </c>
      <c r="D11" s="0" t="s">
        <v>607</v>
      </c>
    </row>
    <row r="12" customFormat="false" ht="15" hidden="false" customHeight="false" outlineLevel="0" collapsed="false">
      <c r="A12" s="0" t="s">
        <v>608</v>
      </c>
      <c r="B12" s="0" t="s">
        <v>609</v>
      </c>
      <c r="C12" s="0" t="s">
        <v>579</v>
      </c>
      <c r="D12" s="0" t="s">
        <v>610</v>
      </c>
    </row>
    <row r="13" customFormat="false" ht="15" hidden="false" customHeight="false" outlineLevel="0" collapsed="false">
      <c r="A13" s="0" t="s">
        <v>611</v>
      </c>
      <c r="B13" s="0" t="s">
        <v>612</v>
      </c>
      <c r="C13" s="0" t="s">
        <v>579</v>
      </c>
      <c r="D13" s="0" t="s">
        <v>613</v>
      </c>
    </row>
    <row r="14" customFormat="false" ht="15" hidden="false" customHeight="false" outlineLevel="0" collapsed="false">
      <c r="A14" s="0" t="s">
        <v>614</v>
      </c>
      <c r="B14" s="0" t="s">
        <v>615</v>
      </c>
      <c r="C14" s="0" t="s">
        <v>579</v>
      </c>
      <c r="D14" s="0" t="s">
        <v>616</v>
      </c>
    </row>
    <row r="15" customFormat="false" ht="15" hidden="false" customHeight="false" outlineLevel="0" collapsed="false">
      <c r="A15" s="0" t="s">
        <v>617</v>
      </c>
      <c r="B15" s="0" t="s">
        <v>618</v>
      </c>
      <c r="C15" s="0" t="s">
        <v>579</v>
      </c>
      <c r="D15" s="0" t="s">
        <v>619</v>
      </c>
    </row>
    <row r="16" customFormat="false" ht="15" hidden="false" customHeight="false" outlineLevel="0" collapsed="false">
      <c r="A16" s="0" t="s">
        <v>620</v>
      </c>
      <c r="B16" s="0" t="s">
        <v>621</v>
      </c>
      <c r="C16" s="0" t="s">
        <v>579</v>
      </c>
      <c r="D16" s="0" t="s">
        <v>622</v>
      </c>
    </row>
    <row r="17" customFormat="false" ht="15" hidden="false" customHeight="false" outlineLevel="0" collapsed="false">
      <c r="A17" s="0" t="s">
        <v>623</v>
      </c>
      <c r="B17" s="0" t="s">
        <v>624</v>
      </c>
      <c r="C17" s="0" t="s">
        <v>579</v>
      </c>
      <c r="D17" s="0" t="s">
        <v>625</v>
      </c>
    </row>
    <row r="18" customFormat="false" ht="15" hidden="false" customHeight="false" outlineLevel="0" collapsed="false">
      <c r="A18" s="0" t="s">
        <v>626</v>
      </c>
      <c r="B18" s="0" t="s">
        <v>627</v>
      </c>
      <c r="C18" s="0" t="s">
        <v>579</v>
      </c>
      <c r="D18" s="0" t="s">
        <v>628</v>
      </c>
    </row>
    <row r="19" customFormat="false" ht="15" hidden="false" customHeight="false" outlineLevel="0" collapsed="false">
      <c r="A19" s="0" t="s">
        <v>629</v>
      </c>
      <c r="B19" s="0" t="s">
        <v>630</v>
      </c>
      <c r="C19" s="0" t="s">
        <v>579</v>
      </c>
      <c r="D19" s="0" t="s">
        <v>631</v>
      </c>
    </row>
    <row r="20" customFormat="false" ht="15" hidden="false" customHeight="false" outlineLevel="0" collapsed="false">
      <c r="A20" s="0" t="s">
        <v>632</v>
      </c>
      <c r="B20" s="0" t="s">
        <v>633</v>
      </c>
      <c r="C20" s="0" t="s">
        <v>579</v>
      </c>
      <c r="D20" s="0" t="s">
        <v>634</v>
      </c>
    </row>
    <row r="21" customFormat="false" ht="15" hidden="false" customHeight="false" outlineLevel="0" collapsed="false">
      <c r="A21" s="0" t="s">
        <v>635</v>
      </c>
      <c r="B21" s="0" t="s">
        <v>636</v>
      </c>
      <c r="C21" s="0" t="s">
        <v>579</v>
      </c>
      <c r="D21" s="0" t="s">
        <v>637</v>
      </c>
    </row>
    <row r="22" customFormat="false" ht="15" hidden="false" customHeight="false" outlineLevel="0" collapsed="false">
      <c r="A22" s="0" t="s">
        <v>638</v>
      </c>
      <c r="B22" s="0" t="s">
        <v>639</v>
      </c>
      <c r="C22" s="0" t="s">
        <v>640</v>
      </c>
      <c r="D22" s="0" t="s">
        <v>641</v>
      </c>
    </row>
    <row r="23" customFormat="false" ht="15" hidden="false" customHeight="false" outlineLevel="0" collapsed="false">
      <c r="A23" s="0" t="s">
        <v>642</v>
      </c>
      <c r="B23" s="0" t="s">
        <v>643</v>
      </c>
      <c r="C23" s="0" t="s">
        <v>640</v>
      </c>
      <c r="D23" s="0" t="s">
        <v>644</v>
      </c>
    </row>
    <row r="24" customFormat="false" ht="15" hidden="false" customHeight="false" outlineLevel="0" collapsed="false">
      <c r="A24" s="0" t="s">
        <v>645</v>
      </c>
      <c r="B24" s="0" t="s">
        <v>646</v>
      </c>
      <c r="C24" s="0" t="s">
        <v>579</v>
      </c>
      <c r="D24" s="0" t="s">
        <v>647</v>
      </c>
    </row>
    <row r="25" customFormat="false" ht="15" hidden="false" customHeight="false" outlineLevel="0" collapsed="false">
      <c r="A25" s="0" t="s">
        <v>648</v>
      </c>
      <c r="B25" s="0" t="s">
        <v>649</v>
      </c>
      <c r="C25" s="0" t="s">
        <v>421</v>
      </c>
      <c r="D25" s="0" t="s">
        <v>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2026-10-17T01:02:31Z</dcterms:created>
  <dc:creator>openpyxl</dc:creator>
  <dc:description/>
  <dc:language>en-US</dc:language>
  <cp:lastModifiedBy/>
  <dcterms:modified xsi:type="dcterms:W3CDTF">2026-10-17T01:02:31Z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