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<sst xmlns="http://schemas.openxmlformats.org/spreadsheetml/2006/main" count="884" uniqueCount="550">
  <si>
    <t xml:space="preserve">Bank of America - Broomfield, CO   |   METAL FRAMING &amp; DRYWALL TAKEOFF</t>
  </si>
  <si>
    <t xml:space="preserve">Bid set: boa.pdf (Drive 11IXNHfdM94K8kwL1RHo8clIoTQbezVBp)   ·   2026-10-19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</si>
  <si>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</si>
  <si>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</si>
  <si>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</si>
  <si>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</si>
  <si>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</si>
  <si>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</si>
  <si>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</si>
  <si>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</si>
  <si>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</si>
  <si>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</si>
  <si>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</si>
  <si>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</si>
  <si>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</si>
  <si>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</si>
  <si>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</si>
  <si>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</si>
  <si>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</si>
  <si>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</si>
  <si>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</si>
  <si>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</si>
  <si>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</si>
  <si>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</si>
  <si>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</si>
  <si>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</si>
  <si>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</si>
  <si>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</si>
  <si>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</si>
  <si>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</si>
  <si>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</si>
  <si>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</si>
  <si>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</si>
  <si>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</si>
  <si>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</si>
  <si>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</si>
  <si>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</si>
  <si>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</si>
  <si>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</si>
  <si>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</si>
  <si>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</si>
  <si>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</si>
  <si>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</si>
  <si>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</si>
  <si>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</si>
  <si>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</si>
  <si>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</si>
  <si>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</si>
  <si>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</si>
  <si>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</si>
  <si>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</si>
  <si>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</si>
  <si>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</si>
  <si>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</si>
  <si>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</si>
  <si>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</si>
  <si>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</si>
  <si>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</si>
  <si>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</si>
  <si>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</si>
  <si>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B</t>
  </si>
  <si>
    <t xml:space="preserve">B  #B-01  -  113 MEN'S RESTROOM / 112 JANITOR / 117 STORAGE</t>
  </si>
  <si>
    <t xml:space="preserve">B-01</t>
  </si>
  <si>
    <t xml:space="preserve">3-5/8"</t>
  </si>
  <si>
    <t xml:space="preserve">113 MEN'S RESTROOM / 112 JANITOR / 117 STORAGE</t>
  </si>
  <si>
    <t xml:space="preserve">1/A12.01</t>
  </si>
  <si>
    <t xml:space="preserve">[DERIVED]</t>
  </si>
  <si>
    <t xml:space="preserve">B  #B-02  -  112 JANITOR (MW06A alcove) / 117 STORAGE (MW05)</t>
  </si>
  <si>
    <t xml:space="preserve">B-02</t>
  </si>
  <si>
    <t xml:space="preserve">112 JANITOR (MW06A alcove) / 117 STORAGE (MW05)</t>
  </si>
  <si>
    <t xml:space="preserve">B  #B-03  -  112 JANITOR / 117 STORAGE / 115 WELLNESS</t>
  </si>
  <si>
    <t xml:space="preserve">B-03</t>
  </si>
  <si>
    <t xml:space="preserve">112 JANITOR / 117 STORAGE / 115 WELLNESS</t>
  </si>
  <si>
    <t xml:space="preserve">B  #B-04a+B-04b  -  120 ELECTRICAL / 118 BREAK ROOM / corridor + 120 ELECTRICAL / 121 NER / 118 BREAK ROOM</t>
  </si>
  <si>
    <t xml:space="preserve">B-04a+B-04b</t>
  </si>
  <si>
    <t xml:space="preserve">120 ELECTRICAL / 118 BREAK ROOM / corridor + 120 ELECTRICAL / 121 NER / 118 BREAK ROOM</t>
  </si>
  <si>
    <t xml:space="preserve">B  #B-05  -  120 ELECTRICAL / 121 NER</t>
  </si>
  <si>
    <t xml:space="preserve">B-05</t>
  </si>
  <si>
    <t xml:space="preserve">120 ELECTRICAL / 121 NER</t>
  </si>
  <si>
    <t xml:space="preserve">[CONFIRMED]</t>
  </si>
  <si>
    <t xml:space="preserve">TYPE B2</t>
  </si>
  <si>
    <t xml:space="preserve">B2  #B2-a  -  114 WOMEN'S RESTROOM / 111 CORRIDOR</t>
  </si>
  <si>
    <t xml:space="preserve">B2-a</t>
  </si>
  <si>
    <t xml:space="preserve">6"</t>
  </si>
  <si>
    <t xml:space="preserve">114 WOMEN'S RESTROOM / 111 CORRIDOR</t>
  </si>
  <si>
    <t xml:space="preserve">B2  #B2-b  -  113 MEN'S RESTROOM / 117 STORAGE / 115 WELLNESS / 111 CORRIDOR</t>
  </si>
  <si>
    <t xml:space="preserve">B2-b</t>
  </si>
  <si>
    <t xml:space="preserve">113 MEN'S RESTROOM / 117 STORAGE / 115 WELLNESS / 111 CORRIDOR</t>
  </si>
  <si>
    <t xml:space="preserve">B2  #B2-c  -  102 ATM ROOM / 103 CENTRAL ZONE</t>
  </si>
  <si>
    <t xml:space="preserve">B2-c</t>
  </si>
  <si>
    <t xml:space="preserve">102 ATM ROOM / 103 CENTRAL ZONE</t>
  </si>
  <si>
    <t xml:space="preserve">B2  #B2-d  -  118 BREAK ROOM / 119 WORK ROOM</t>
  </si>
  <si>
    <t xml:space="preserve">B2-d</t>
  </si>
  <si>
    <t xml:space="preserve">118 BREAK ROOM / 119 WORK ROOM</t>
  </si>
  <si>
    <t xml:space="preserve">TYPE B2K</t>
  </si>
  <si>
    <t xml:space="preserve">B2K  #B2K-01  -  103 CENTRAL ZONE (customer) / 116 CASH WINDOW (teller)</t>
  </si>
  <si>
    <t xml:space="preserve">B2K-01</t>
  </si>
  <si>
    <t xml:space="preserve">103 CENTRAL ZONE (customer) / 116 CASH WINDOW (teller)</t>
  </si>
  <si>
    <t xml:space="preserve">4/A12.01</t>
  </si>
  <si>
    <t xml:space="preserve">TYPE A1K</t>
  </si>
  <si>
    <t xml:space="preserve">A1K  #A1K-N  -  N face (cavity against G of office 108) / 116 CASH WINDOW (teller)</t>
  </si>
  <si>
    <t xml:space="preserve">A1K-N</t>
  </si>
  <si>
    <t xml:space="preserve">N face (cavity against G of office 108) / 116 CASH WINDOW (teller)</t>
  </si>
  <si>
    <t xml:space="preserve">A1K  #A1K-S1+A1K-S2  -  S face (against Future FCAM wall) / 116 CASH WINDOW (teller) + 103 CENTRAL ZONE (customer) / FUTURE FCAM</t>
  </si>
  <si>
    <t xml:space="preserve">A1K-S1+A1K-S2</t>
  </si>
  <si>
    <t xml:space="preserve">S face (against Future FCAM wall) / 116 CASH WINDOW (teller) + 103 CENTRAL ZONE (customer) / FUTURE FCAM</t>
  </si>
  <si>
    <t xml:space="preserve">TYPE A5</t>
  </si>
  <si>
    <t xml:space="preserve">A5  #A5-W1+A5-W2  -  103 CENTRAL ZONE / 122 CALLING CUBES + 111 CORRIDOR / 103 / 122 CALLING CUBES</t>
  </si>
  <si>
    <t xml:space="preserve">A5-W1+A5-W2</t>
  </si>
  <si>
    <t xml:space="preserve">103 CENTRAL ZONE / 122 CALLING CUBES + 111 CORRIDOR / 103 / 122 CALLING CUBES</t>
  </si>
  <si>
    <t xml:space="preserve">3/A12.01</t>
  </si>
  <si>
    <t xml:space="preserve">A5  #A5-E1+A5-E2  -  122 CALLING CUBES / 103 CENTRAL ZONE (CSR row)</t>
  </si>
  <si>
    <t xml:space="preserve">A5-E1+A5-E2</t>
  </si>
  <si>
    <t xml:space="preserve">122 CALLING CUBES / 103 CENTRAL ZONE (CSR row)</t>
  </si>
  <si>
    <t xml:space="preserve">A5  #A5-F  -  118 BREAK ROOM / 103 / FUTURE FCAM / 116</t>
  </si>
  <si>
    <t xml:space="preserve">A5-F</t>
  </si>
  <si>
    <t xml:space="preserve">118 BREAK ROOM / 103 / FUTURE FCAM / 116</t>
  </si>
  <si>
    <t xml:space="preserve">TYPE A1</t>
  </si>
  <si>
    <t xml:space="preserve">A1  #A1-122N  -  104 WAITING / 122 CALLING CUBES</t>
  </si>
  <si>
    <t xml:space="preserve">A1-122N</t>
  </si>
  <si>
    <t xml:space="preserve">104 WAITING / 122 CALLING CUBES</t>
  </si>
  <si>
    <t xml:space="preserve">A1  #A1-MW01E+A1-MW01S  -  MW01 printer closet (103) / 122 CALLING CUBES</t>
  </si>
  <si>
    <t xml:space="preserve">A1-MW01E+A1-MW01S</t>
  </si>
  <si>
    <t xml:space="preserve">MW01 printer closet (103) / 122 CALLING CUBES</t>
  </si>
  <si>
    <t xml:space="preserve">A1  #A1-122S+A1-CORE+A1-k+A1-l  -  122 CALLING CUBES / 118 BREAK ROOM (MW21) + 111 CORRIDOR / 118 BREAK / 120 ELECTRICAL / 121 NER + 118 BREAK ROOM / 103 CENTRAL ZONE (CSR row) + 103 CENTRAL ZONE (CSR row) / 118 BREAK ROOM</t>
  </si>
  <si>
    <t xml:space="preserve">A1-122S+A1-CORE+A1-k+A1-l</t>
  </si>
  <si>
    <t xml:space="preserve">122 CALLING CUBES / 118 BREAK ROOM (MW21) + 111 CORRIDOR / 118 BREAK / 120 ELECTRICAL / 121 NER + 118 BREAK ROOM / 103 CENTRAL ZONE (CSR row) + 103 CENTRAL ZONE (CSR row) / 118 BREAK ROOM</t>
  </si>
  <si>
    <t xml:space="preserve">A1  #A1-STUB  -  103 CENTRAL ZONE / 111 CORRIDOR</t>
  </si>
  <si>
    <t xml:space="preserve">A1-STUB</t>
  </si>
  <si>
    <t xml:space="preserve">103 CENTRAL ZONE / 111 CORRIDOR</t>
  </si>
  <si>
    <t xml:space="preserve">A1  #A1-WRN  -  116 CASH WINDOW / 119 WORK ROOM</t>
  </si>
  <si>
    <t xml:space="preserve">A1-WRN</t>
  </si>
  <si>
    <t xml:space="preserve">116 CASH WINDOW / 119 WORK ROOM</t>
  </si>
  <si>
    <t xml:space="preserve">A1  #A1-ALCN+A1-ALCB+A1-ALCS  -  114/113 RESTROOMS / chase / 111 CORRIDOR (drinking fountain alcove)</t>
  </si>
  <si>
    <t xml:space="preserve">A1-ALCN+A1-ALCB+A1-ALCS</t>
  </si>
  <si>
    <t xml:space="preserve">114/113 RESTROOMS / chase / 111 CORRIDOR (drinking fountain alcove)</t>
  </si>
  <si>
    <t xml:space="preserve">TYPE G</t>
  </si>
  <si>
    <t xml:space="preserve">G  #G-ATMS  -  102 ATM ROOM / 109 OFFICE 5</t>
  </si>
  <si>
    <t xml:space="preserve">G-ATMS</t>
  </si>
  <si>
    <t xml:space="preserve">1-5/8"</t>
  </si>
  <si>
    <t xml:space="preserve">102 ATM ROOM / 109 OFFICE 5</t>
  </si>
  <si>
    <t xml:space="preserve">5/A12.01</t>
  </si>
  <si>
    <t xml:space="preserve">G  #G-109S  -  109 OFFICE 5 / 110 OFFICE 6</t>
  </si>
  <si>
    <t xml:space="preserve">G-109S</t>
  </si>
  <si>
    <t xml:space="preserve">109 OFFICE 5 / 110 OFFICE 6</t>
  </si>
  <si>
    <t xml:space="preserve">G  #G-114N  -  110 OFFICE 6 / 114 WOMEN'S RESTROOM</t>
  </si>
  <si>
    <t xml:space="preserve">G-114N</t>
  </si>
  <si>
    <t xml:space="preserve">110 OFFICE 6 / 114 WOMEN'S RESTROOM</t>
  </si>
  <si>
    <t xml:space="preserve">G  #G-ED2+G-ES3  -  106 OFFICE 2 / 107 OFFICE 3 + 103 CENTRAL ZONE / OFFICES 105-108</t>
  </si>
  <si>
    <t xml:space="preserve">G-ED2+G-ES3</t>
  </si>
  <si>
    <t xml:space="preserve">106 OFFICE 2 / 107 OFFICE 3 + 103 CENTRAL ZONE / OFFICES 105-108</t>
  </si>
  <si>
    <t xml:space="preserve">G  #G-ED3+G-ES4  -  107 OFFICE 3 / 108 OFFICE 4 + 103 CENTRAL ZONE / OFFICES 105-108</t>
  </si>
  <si>
    <t xml:space="preserve">G-ED3+G-ES4</t>
  </si>
  <si>
    <t xml:space="preserve">107 OFFICE 3 / 108 OFFICE 4 + 103 CENTRAL ZONE / OFFICES 105-108</t>
  </si>
  <si>
    <t xml:space="preserve">G  #G-ED4  -  108 OFFICE 4 / 116 CASH WINDOW (A1K-N cavity)</t>
  </si>
  <si>
    <t xml:space="preserve">G-ED4</t>
  </si>
  <si>
    <t xml:space="preserve">108 OFFICE 4 / 116 CASH WINDOW (A1K-N cavity)</t>
  </si>
  <si>
    <t xml:space="preserve">G  #G-ES1  -  103 CENTRAL ZONE / OFFICES 105-108</t>
  </si>
  <si>
    <t xml:space="preserve">G-ES1</t>
  </si>
  <si>
    <t xml:space="preserve">103 CENTRAL ZONE / OFFICES 105-108</t>
  </si>
  <si>
    <t xml:space="preserve">G  #G-ES2  -  103 CENTRAL ZONE / OFFICES 105-108</t>
  </si>
  <si>
    <t xml:space="preserve">G-ES2</t>
  </si>
  <si>
    <t xml:space="preserve">TYPE G1</t>
  </si>
  <si>
    <t xml:space="preserve">G1  #G1-WS1  -  103 CENTRAL ZONE / 109 OFFICE 5</t>
  </si>
  <si>
    <t xml:space="preserve">G1-WS1</t>
  </si>
  <si>
    <t xml:space="preserve">103 CENTRAL ZONE / 109 OFFICE 5</t>
  </si>
  <si>
    <t xml:space="preserve">G1  #G1-WS2  -  103 CENTRAL ZONE / 109 / 110 OFFICES</t>
  </si>
  <si>
    <t xml:space="preserve">G1-WS2</t>
  </si>
  <si>
    <t xml:space="preserve">103 CENTRAL ZONE / 109 / 110 OFFICES</t>
  </si>
  <si>
    <t xml:space="preserve">G1  #G1-WS3  -  103 CENTRAL ZONE / 111 / 110 OFFICE 6</t>
  </si>
  <si>
    <t xml:space="preserve">G1-WS3</t>
  </si>
  <si>
    <t xml:space="preserve">103 CENTRAL ZONE / 111 / 110 OFFICE 6</t>
  </si>
  <si>
    <t xml:space="preserve">G1  #G1-ED1  -  105 OFFICE 1 / 106 OFFICE 2</t>
  </si>
  <si>
    <t xml:space="preserve">G1-ED1</t>
  </si>
  <si>
    <t xml:space="preserve">105 OFFICE 1 / 106 OFFICE 2</t>
  </si>
  <si>
    <t xml:space="preserve">TYPE BULKHEAD-G</t>
  </si>
  <si>
    <t xml:space="preserve">BULKHEAD-G  #BH-E1+BH-E2+BH-E3+BH-E4  -  103 CENTRAL ZONE / OFFICE</t>
  </si>
  <si>
    <t xml:space="preserve">BH-E1+BH-E2+BH-E3+BH-E4</t>
  </si>
  <si>
    <t xml:space="preserve">103 CENTRAL ZONE / OFFICE</t>
  </si>
  <si>
    <t xml:space="preserve">9/A12.01</t>
  </si>
  <si>
    <t xml:space="preserve">BULKHEAD-G  #BH-W1+BH-W2  -  103 CENTRAL ZONE / OFFICE</t>
  </si>
  <si>
    <t xml:space="preserve">BH-W1+BH-W2</t>
  </si>
  <si>
    <t xml:space="preserve">TYPE F</t>
  </si>
  <si>
    <t xml:space="preserve">F  #F-01  -  101 24 HR VESTIBULE (ATM lobby) / 102 ATM ROOM</t>
  </si>
  <si>
    <t xml:space="preserve">F-01</t>
  </si>
  <si>
    <t xml:space="preserve">101 24 HR VESTIBULE (ATM lobby) / 102 ATM ROOM</t>
  </si>
  <si>
    <t xml:space="preserve">12/A12.01</t>
  </si>
  <si>
    <t xml:space="preserve">TYPE C1</t>
  </si>
  <si>
    <t xml:space="preserve">C1  #C1-CHN  -  114 WOMEN'S RESTROOM</t>
  </si>
  <si>
    <t xml:space="preserve">C1-CHN</t>
  </si>
  <si>
    <t xml:space="preserve">114 WOMEN'S RESTROOM</t>
  </si>
  <si>
    <t xml:space="preserve">6/A12.01</t>
  </si>
  <si>
    <t xml:space="preserve">C1  #C1-CHS  -  113 MEN'S RESTROOM</t>
  </si>
  <si>
    <t xml:space="preserve">C1-CHS</t>
  </si>
  <si>
    <t xml:space="preserve">113 MEN'S RESTROOM</t>
  </si>
  <si>
    <t xml:space="preserve">C1  #C1-MEDIA+C1-MEDW+C1-MEDE  -  103 CENTRAL ZONE (media wall) + 103 return W + 103 return E</t>
  </si>
  <si>
    <t xml:space="preserve">C1-MEDIA+C1-MEDW+C1-MEDE</t>
  </si>
  <si>
    <t xml:space="preserve">103 CENTRAL ZONE (media wall) + 103 return W + 103 return E</t>
  </si>
  <si>
    <t xml:space="preserve">C1  #C1-CW  -  FUTURE FCAM</t>
  </si>
  <si>
    <t xml:space="preserve">C1-CW</t>
  </si>
  <si>
    <t xml:space="preserve">FUTURE FCAM</t>
  </si>
  <si>
    <t xml:space="preserve">C1  #C1-COL1  -  100 VESTIBULE (interior)</t>
  </si>
  <si>
    <t xml:space="preserve">C1-COL1</t>
  </si>
  <si>
    <t xml:space="preserve">100 VESTIBULE (interior)</t>
  </si>
  <si>
    <t xml:space="preserve">1/A09.25</t>
  </si>
  <si>
    <t xml:space="preserve">C1  #C1-COL2  -  100 VESTIBULE (interior)</t>
  </si>
  <si>
    <t xml:space="preserve">C1-COL2</t>
  </si>
  <si>
    <t xml:space="preserve">2/A09.25</t>
  </si>
  <si>
    <t xml:space="preserve">C1  #C1-COL3  -  interior</t>
  </si>
  <si>
    <t xml:space="preserve">C1-COL3</t>
  </si>
  <si>
    <t xml:space="preserve">interior</t>
  </si>
  <si>
    <t xml:space="preserve">C1  #C1-COL4  -  interior</t>
  </si>
  <si>
    <t xml:space="preserve">C1-COL4</t>
  </si>
  <si>
    <t xml:space="preserve">TYPE EXT-6CFMF</t>
  </si>
  <si>
    <t xml:space="preserve">EXT-6CFMF  #EXT-N1  -  OFFICE 105 (interior face)</t>
  </si>
  <si>
    <t xml:space="preserve">EXT-N1</t>
  </si>
  <si>
    <t xml:space="preserve">OFFICE 105 (interior face)</t>
  </si>
  <si>
    <t xml:space="preserve">C/A09.21</t>
  </si>
  <si>
    <t xml:space="preserve">EXT-6CFMF  #EXT-E1+EXT-E2  -  OFFICES 105-108 / 116 / 119 (interior face)</t>
  </si>
  <si>
    <t xml:space="preserve">EXT-E1+EXT-E2</t>
  </si>
  <si>
    <t xml:space="preserve">OFFICES 105-108 / 116 / 119 (interior face)</t>
  </si>
  <si>
    <t xml:space="preserve">EXT-6CFMF  #EXT-S  -  121 / 115 / 118 / 119 (interior face)</t>
  </si>
  <si>
    <t xml:space="preserve">EXT-S</t>
  </si>
  <si>
    <t xml:space="preserve">121 / 115 / 118 / 119 (interior face)</t>
  </si>
  <si>
    <t xml:space="preserve">EXT-6CFMF  #EXT-WS1+EXT-WS2  -  102 / 101 / 109 / 110 / restrooms / 112 / 115 (interior face)</t>
  </si>
  <si>
    <t xml:space="preserve">EXT-WS1+EXT-WS2</t>
  </si>
  <si>
    <t xml:space="preserve">102 / 101 / 109 / 110 / restrooms / 112 / 115 (interior face)</t>
  </si>
  <si>
    <t xml:space="preserve">EXT-6CFMF  #EXT-WJ  -  102 / 101 / 109 / 110 / restrooms / 112 / 115 (interior face)</t>
  </si>
  <si>
    <t xml:space="preserve">EXT-WJ</t>
  </si>
  <si>
    <t xml:space="preserve">EXT-6CFMF  #EXT-WN  -  102 / 101 / 109 / 110 / restrooms / 112 / 115 (interior face)</t>
  </si>
  <si>
    <t xml:space="preserve">EXT-WN</t>
  </si>
  <si>
    <t xml:space="preserve">TYPE EXT-PARAPET</t>
  </si>
  <si>
    <t xml:space="preserve">EXT-PARAPET  #PAR-N1+PAR-N2  -  PAR-N1 + PAR-N2</t>
  </si>
  <si>
    <t xml:space="preserve">PAR-N1+PAR-N2</t>
  </si>
  <si>
    <t xml:space="preserve">6" parapet</t>
  </si>
  <si>
    <t xml:space="preserve">PAR-N1 + PAR-N2</t>
  </si>
  <si>
    <t xml:space="preserve">11/S5.10</t>
  </si>
  <si>
    <t xml:space="preserve">EXT-PARAPET  #PAR-E1+PAR-E2  -  PAR-E1 + PAR-E2</t>
  </si>
  <si>
    <t xml:space="preserve">PAR-E1+PAR-E2</t>
  </si>
  <si>
    <t xml:space="preserve">PAR-E1 + PAR-E2</t>
  </si>
  <si>
    <t xml:space="preserve">EXT-PARAPET  #PAR-S  -  PAR-S</t>
  </si>
  <si>
    <t xml:space="preserve">PAR-S</t>
  </si>
  <si>
    <t xml:space="preserve">EXT-PARAPET  #PAR-WS1+PAR-WS2  -  PAR-WS1 + PAR-WS2</t>
  </si>
  <si>
    <t xml:space="preserve">PAR-WS1+PAR-WS2</t>
  </si>
  <si>
    <t xml:space="preserve">PAR-WS1 + PAR-WS2</t>
  </si>
  <si>
    <t xml:space="preserve">EXT-PARAPET  #PAR-WN  -  PAR-WN</t>
  </si>
  <si>
    <t xml:space="preserve">PAR-WN</t>
  </si>
  <si>
    <t xml:space="preserve">EXT-PARAPET  #PAR-D1+PAR-D2  -  PAR-D1 + PAR-D2</t>
  </si>
  <si>
    <t xml:space="preserve">PAR-D1+PAR-D2</t>
  </si>
  <si>
    <t xml:space="preserve">PAR-D1 + PAR-D2</t>
  </si>
  <si>
    <t xml:space="preserve">EXT-PARAPET  #PAR-T4  -  PAR-T4</t>
  </si>
  <si>
    <t xml:space="preserve">PAR-T4</t>
  </si>
  <si>
    <t xml:space="preserve">TYPE CANOPY-COL</t>
  </si>
  <si>
    <t xml:space="preserve">CANOPY-COL  #CANOPY-COL1  -  CANOPY-COL1</t>
  </si>
  <si>
    <t xml:space="preserve">CANOPY-COL1</t>
  </si>
  <si>
    <t xml:space="preserve">5/A09.25</t>
  </si>
  <si>
    <t xml:space="preserve">CANOPY-COL  #CANOPY-COL2  -  CANOPY-COL2</t>
  </si>
  <si>
    <t xml:space="preserve">CANOPY-COL2</t>
  </si>
  <si>
    <t xml:space="preserve">CANOPY-COL  #CANOPY-COL3  -  CANOPY-COL3</t>
  </si>
  <si>
    <t xml:space="preserve">CANOPY-COL3</t>
  </si>
  <si>
    <t xml:space="preserve">CANOPY-COL  #CANOPY-COL4  -  CANOPY-COL4</t>
  </si>
  <si>
    <t xml:space="preserve">CANOPY-COL4</t>
  </si>
  <si>
    <t xml:space="preserve">TOTAL - PARTITIONS</t>
  </si>
  <si>
    <t xml:space="preserve">TYPE OTHER FRAMING (NOT A PARTITION)</t>
  </si>
  <si>
    <t xml:space="preserve">storefront_cripples  #SFC-N1  -  100 VESTIBULE (interior face)</t>
  </si>
  <si>
    <t xml:space="preserve">SFC-N1</t>
  </si>
  <si>
    <t xml:space="preserve">100 VESTIBULE (interior face)</t>
  </si>
  <si>
    <t xml:space="preserve">storefront_cripples  #SFC-N2  -  103 CENTRAL ZONE (interior face)</t>
  </si>
  <si>
    <t xml:space="preserve">SFC-N2</t>
  </si>
  <si>
    <t xml:space="preserve">103 CENTRAL ZONE (interior face)</t>
  </si>
  <si>
    <t xml:space="preserve">storefront_cripples  #SFC-W1  -  101 24 HR VESTIBULE (interior face)</t>
  </si>
  <si>
    <t xml:space="preserve">SFC-W1</t>
  </si>
  <si>
    <t xml:space="preserve">101 24 HR VESTIBULE (interior face)</t>
  </si>
  <si>
    <t xml:space="preserve">vestibule_head  #VH-S  -  VH-S</t>
  </si>
  <si>
    <t xml:space="preserve">VH-S</t>
  </si>
  <si>
    <t xml:space="preserve">4/A12.10</t>
  </si>
  <si>
    <t xml:space="preserve">vestibule_head  #VH-E  -  VH-E</t>
  </si>
  <si>
    <t xml:space="preserve">VH-E</t>
  </si>
  <si>
    <t xml:space="preserve">grille_head  #GH-01  -  103 CENTRAL ZONE / 101 24 HR VESTIBULE</t>
  </si>
  <si>
    <t xml:space="preserve">GH-01</t>
  </si>
  <si>
    <t xml:space="preserve">2-1/2"</t>
  </si>
  <si>
    <t xml:space="preserve">103 CENTRAL ZONE / 101 24 HR VESTIBULE</t>
  </si>
  <si>
    <t xml:space="preserve">4/A08.21</t>
  </si>
  <si>
    <t xml:space="preserve">ceiling_transition  #TR-104  -  104 WAITING (transition face)</t>
  </si>
  <si>
    <t xml:space="preserve">TR-104</t>
  </si>
  <si>
    <t xml:space="preserve">104 WAITING (transition face)</t>
  </si>
  <si>
    <t xml:space="preserve">7/A09.33</t>
  </si>
  <si>
    <t xml:space="preserve">soffit_side  #CSR-WN  -  116 CSR (ACT side)</t>
  </si>
  <si>
    <t xml:space="preserve">CSR-WN</t>
  </si>
  <si>
    <t xml:space="preserve">116 CSR (ACT side)</t>
  </si>
  <si>
    <t xml:space="preserve">10/A09.33</t>
  </si>
  <si>
    <t xml:space="preserve">soffit_side  #CSR-WS  -  116 CSR (ACT side)</t>
  </si>
  <si>
    <t xml:space="preserve">CSR-WS</t>
  </si>
  <si>
    <t xml:space="preserve">soffit_side  #CSR-EN  -  116 CSR (ACT side)</t>
  </si>
  <si>
    <t xml:space="preserve">CSR-EN</t>
  </si>
  <si>
    <t xml:space="preserve">soffit_side  #CSR-ES  -  116 CSR (ACT side)</t>
  </si>
  <si>
    <t xml:space="preserve">CSR-ES</t>
  </si>
  <si>
    <t xml:space="preserve">roof_step  #RS-1  -  RS-1</t>
  </si>
  <si>
    <t xml:space="preserve">RS-1</t>
  </si>
  <si>
    <t xml:space="preserve">4/A02.02</t>
  </si>
  <si>
    <t xml:space="preserve">roof_step  #RS-2  -  above ACT 9'-0" (grid B)</t>
  </si>
  <si>
    <t xml:space="preserve">RS-2</t>
  </si>
  <si>
    <t xml:space="preserve">above ACT 9'-0" (grid B)</t>
  </si>
  <si>
    <t xml:space="preserve">roof_step  #RS-3  -  above ACT 9'-0" (grid B)</t>
  </si>
  <si>
    <t xml:space="preserve">RS-3</t>
  </si>
  <si>
    <t xml:space="preserve">fascia_box  #FAS-N  -  FAS-N</t>
  </si>
  <si>
    <t xml:space="preserve">FAS-N</t>
  </si>
  <si>
    <t xml:space="preserve">3-5/8" canopy</t>
  </si>
  <si>
    <t xml:space="preserve">7/A09.26</t>
  </si>
  <si>
    <t xml:space="preserve">fascia_box  #FAS-E  -  FAS-E</t>
  </si>
  <si>
    <t xml:space="preserve">FAS-E</t>
  </si>
  <si>
    <t xml:space="preserve">fascia_box  #FAS-E-RET  -  FAS-E-RET</t>
  </si>
  <si>
    <t xml:space="preserve">FAS-E-RET</t>
  </si>
  <si>
    <t xml:space="preserve">fascia_box  #FAS-W  -  FAS-W</t>
  </si>
  <si>
    <t xml:space="preserve">FAS-W</t>
  </si>
  <si>
    <t xml:space="preserve">fascia_box  #FAS-W-RET  -  FAS-W-RET</t>
  </si>
  <si>
    <t xml:space="preserve">FAS-W-RET</t>
  </si>
  <si>
    <t xml:space="preserve">fascia_box  #FAS-S  -  FAS-S</t>
  </si>
  <si>
    <t xml:space="preserve">FAS-S</t>
  </si>
  <si>
    <t xml:space="preserve">fascia_box  #FAS-S-RET  -  FAS-S-RET</t>
  </si>
  <si>
    <t xml:space="preserve">FAS-S-RET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</si>
  <si>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</si>
  <si>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</si>
  <si>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</si>
  <si>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</si>
  <si>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</si>
  <si>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</si>
  <si>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</si>
  <si>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</si>
  <si>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</si>
  <si>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</si>
  <si>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</si>
  <si>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</si>
  <si>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parapet stud 600S162-54 @ 16" O.C. (bays between HSS posts, 11/S5.10)</t>
  </si>
  <si>
    <t xml:space="preserve">LF</t>
  </si>
  <si>
    <t xml:space="preserve">stick 20 ft</t>
  </si>
  <si>
    <t xml:space="preserve">familias_out.json '6" parapet stud' (canon.py)</t>
  </si>
  <si>
    <t xml:space="preserve">6" metal stud 600S137-33 / 14 ga (exterior, B2, A5, B2K)</t>
  </si>
  <si>
    <t xml:space="preserve">familias_out.json '6" stud (all gauges)' (canon.py)</t>
  </si>
  <si>
    <t xml:space="preserve">3-5/8" metal stud 362S125 all gauges (A1, B, C1, F, heads, joists, kickers)</t>
  </si>
  <si>
    <t xml:space="preserve">familias_out.json '3-5/8" stud (all gauges)' (canon.py)</t>
  </si>
  <si>
    <t xml:space="preserve">1-5/8" metal stud 162S125 (G / G1 double row, 10/A12.01)</t>
  </si>
  <si>
    <t xml:space="preserve">familias_out.json '1-5/8" stud' (canon.py)</t>
  </si>
  <si>
    <t xml:space="preserve">Bottom track (all sizes)</t>
  </si>
  <si>
    <t xml:space="preserve">run 10 ft</t>
  </si>
  <si>
    <t xml:space="preserve">familias_out.json 'bottom track (all)' (canon.py)</t>
  </si>
  <si>
    <t xml:space="preserve">Top / deflection slip track (all sizes)</t>
  </si>
  <si>
    <t xml:space="preserve">familias_out.json 'top / deflection track (all)' (canon.py)</t>
  </si>
  <si>
    <t xml:space="preserve">Ceiling / soffit / fascia / canopy track</t>
  </si>
  <si>
    <t xml:space="preserve">familias_out.json 'ceiling / soffit track' (canon.py)</t>
  </si>
  <si>
    <t xml:space="preserve">Purlin - top track to deck parallel to the flute (10/A09.33)</t>
  </si>
  <si>
    <t xml:space="preserve">familias_out.json 'purlin (track to deck)' (canon.py)</t>
  </si>
  <si>
    <t xml:space="preserve">Header / box beam, (R.O. + 1'-4") x pieces (S5.20 header schedule, box = 4 pieces)</t>
  </si>
  <si>
    <t xml:space="preserve">familias_out.json 'header / box beam' (canon.py)</t>
  </si>
  <si>
    <t xml:space="preserve">Sill track, double at R.O. &gt; 4'-0" (2/S5.20)</t>
  </si>
  <si>
    <t xml:space="preserve">familias_out.json 'sill track' (canon.py)</t>
  </si>
  <si>
    <t xml:space="preserve">Bracing - 1-1/2" C.R. channel @ 48" O.C. (F/1/S5.20)</t>
  </si>
  <si>
    <t xml:space="preserve">C.R. channel 16 ft</t>
  </si>
  <si>
    <t xml:space="preserve">familias_out.json 'bracing C.R. channel' (canon.py)</t>
  </si>
  <si>
    <t xml:space="preserve">Furring channel 7/8" @ 16" O.C. (GB ceilings)</t>
  </si>
  <si>
    <t xml:space="preserve">hat channel 12 ft</t>
  </si>
  <si>
    <t xml:space="preserve">familias_out.json 'furring channel' (canon.py)</t>
  </si>
  <si>
    <t xml:space="preserve">Carrying channel 1-1/2" @ 48" O.C.</t>
  </si>
  <si>
    <t xml:space="preserve">familias_out.json 'carrying channel' (canon.py)</t>
  </si>
  <si>
    <t xml:space="preserve">Hanger wire 12 ga (LF = hangers x drop per room)</t>
  </si>
  <si>
    <t xml:space="preserve">familias_out.json 'hanger wire' (canon.py)</t>
  </si>
  <si>
    <t xml:space="preserve">5/8" gypsum board, moisture resistant (behind toilet and lavatory, A08.01 F)</t>
  </si>
  <si>
    <t xml:space="preserve">SF</t>
  </si>
  <si>
    <t xml:space="preserve">4x12 ft sheet</t>
  </si>
  <si>
    <t xml:space="preserve">familias_out.json '5/8" gyp MOISTURE RESISTANT' (canon.py)</t>
  </si>
  <si>
    <t xml:space="preserve">5/8" exterior gypsum sheathing, parapet roof side (4/A09.26)</t>
  </si>
  <si>
    <t xml:space="preserve">4x8 ft sheet</t>
  </si>
  <si>
    <t xml:space="preserve">familias_out.json '5/8" EXTERIOR gyp sheathing' (canon.py)</t>
  </si>
  <si>
    <t xml:space="preserve">5/8" glass mat sheathing (T/BASE strip and canopy band, 5/, 7/A09.26)</t>
  </si>
  <si>
    <t xml:space="preserve">familias_out.json '5/8" glass mat sheathing' (canon.py)</t>
  </si>
  <si>
    <t xml:space="preserve">3/8" gypsum board (ballistic assembly, 4/A12.01)</t>
  </si>
  <si>
    <t xml:space="preserve">familias_out.json '3/8" gyp board' (canon.py)</t>
  </si>
  <si>
    <t xml:space="preserve">Ballistic panel UL 752 level 3 (4/A12.01)</t>
  </si>
  <si>
    <t xml:space="preserve">familias_out.json 'ballistic panel' (canon.py)</t>
  </si>
  <si>
    <t xml:space="preserve">5/8" gypsum board, regular (walls + ceilings)</t>
  </si>
  <si>
    <t xml:space="preserve">familias_out.json '5/8" gyp board regular (walls + ceilings)' (canon.py)</t>
  </si>
  <si>
    <t xml:space="preserve">Cement board at tile cove base (A08.01)</t>
  </si>
  <si>
    <t xml:space="preserve">3x5 ft sheet</t>
  </si>
  <si>
    <t xml:space="preserve">familias_out.json 'cement board' (canon.py)</t>
  </si>
  <si>
    <t xml:space="preserve">FRP panel (A08.01 5'-0" to top; mop sink)</t>
  </si>
  <si>
    <t xml:space="preserve">familias_out.json 'FRP' (canon.py)</t>
  </si>
  <si>
    <t xml:space="preserve">Metal trim - corner bead, casing bead, shadow molding</t>
  </si>
  <si>
    <t xml:space="preserve">trim stick 10 ft</t>
  </si>
  <si>
    <t xml:space="preserve">familias_out.json 'metal trim (corner bead, casing, shadow molding)' (canon.py)</t>
  </si>
  <si>
    <t xml:space="preserve">Acoustical sealant</t>
  </si>
  <si>
    <t xml:space="preserve">tube (25 LF per tube)</t>
  </si>
  <si>
    <t xml:space="preserve">familias_out.json 'acoustical sealant' (canon.py)</t>
  </si>
  <si>
    <t xml:space="preserve">Metal stud blocking 362CR22 / stud blocking (4/S5.20, accessories)</t>
  </si>
  <si>
    <t xml:space="preserve">familias_out.json 'metal stud blocking (362CR / STUD BLOCKING)' (canon.py)</t>
  </si>
  <si>
    <t xml:space="preserve">FRT wood blocking (millwork, toilet accessories, grille jambs, parapet)</t>
  </si>
  <si>
    <t xml:space="preserve">familias_out.json 'FRT blocking' (canon.py)</t>
  </si>
  <si>
    <t xml:space="preserve">Framed openings MEP - track around light fixtures and slot diffusers in gypsum board</t>
  </si>
  <si>
    <t xml:space="preserve">framed_openings_out.json 'framed openings MEP' (framed_openings.py)</t>
  </si>
  <si>
    <t xml:space="preserve">5/8" exterior grade FRT plywood (canopy soffits, fascia, column wraps)</t>
  </si>
  <si>
    <t xml:space="preserve">4x12 ft sheet (Inputs)</t>
  </si>
  <si>
    <t xml:space="preserve">familias_out.json FRT plywood by material; canon rows</t>
  </si>
  <si>
    <t xml:space="preserve">5/8" FRT plywood bonded to 2-1/2" polyiso (exterior sheathing / nailbase)</t>
  </si>
  <si>
    <t xml:space="preserve">3/4" FRT plywood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</si>
  <si>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</si>
  <si>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</si>
  <si>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</si>
  <si>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</si>
  <si>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</si>
  <si>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</si>
  <si>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</si>
  <si>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</si>
  <si>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</si>
  <si>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 registered: line pair at 21.0 pt = 14" duct crosses the wall band (mep_cruce.json); 6/S5.20; M01.01 registered: line pair at 15.0 pt = 10" duct crosses the wall band (mep_cruce.json); 6/S5.20; M01.01 registered: line pair at</t>
  </si>
  <si>
    <t xml:space="preserve">Extra framing - sistered stud and furring at the ATM recess</t>
  </si>
  <si>
    <t xml:space="preserve">accesorios.py [CRITERION]: 6/A08.11 2 1/2" METAL STUD SISTERED TO 6" METAL STUD</t>
  </si>
  <si>
    <t xml:space="preserve">2-1/2" CFMF @ 16" O.C. at coiling grille head (4/A08.21)</t>
  </si>
  <si>
    <t xml:space="preserve">accesorios.py [DERIVED]: 4/A08.21 2 x 6" CFMF BOX BEAM HEADER + 2 1/2" CFMF @ 16" O.C. + 5/8" GYP. BD.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</si>
  <si>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</si>
  <si>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</si>
  <si>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</si>
  <si>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[CRITERION]: A08.01 5'-0" TO TOP OF FRP; Estimator criterion (4 inside corners per rectangular room); A05.01 FRP FROM FLOOR TO 4'-0" AFF, WIDTH OF MOP SINK AT BOTH SIDES (mop sink 24" RFI-MS)</t>
  </si>
  <si>
    <t xml:space="preserve">Power-driven fasteners and duct sleeves</t>
  </si>
  <si>
    <t xml:space="preserve">accesorios.py [DERIVED]: Parapet infill: PAFs SPACED AT 12" O.C. MAX to the steel beam; E-plan keynote 5 PROVIDE (2) 4" SLEEVES THROUGH WALL ABOVE CEILING (NER 121); RFI-SLV wall; M01.01 registered: line pair at 12.0 pt = 8" duct crosses the wall band (mep_cruce.js</t>
  </si>
  <si>
    <t xml:space="preserve">Access panel</t>
  </si>
  <si>
    <t xml:space="preserve">accesorios.py [CONFIRMED]: A04.01 keynote 4</t>
  </si>
  <si>
    <t xml:space="preserve">Drywall screws 1-1/4" bugle head</t>
  </si>
  <si>
    <t xml:space="preserve">accesorios.py [DERIVED]: Inputs!B20 (Drywall screws per SF of board = 1.2) x 17601.4 SF of board</t>
  </si>
  <si>
    <t xml:space="preserve">Framing screws, pan head self-drilling</t>
  </si>
  <si>
    <t xml:space="preserve">accesorios.py [DERIVED]: Inputs!B21 (Framing screws per stud piece = 4) x 1748 stud pieces</t>
  </si>
  <si>
    <t xml:space="preserve">Power-driven fasteners, slab pins for the bottom track</t>
  </si>
  <si>
    <t xml:space="preserve">accesorios.py [DERIVED]: 530.28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</si>
  <si>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</si>
  <si>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214.09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</si>
  <si>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</si>
  <si>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</si>
  <si>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</si>
  <si>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17601.4 SF of board</t>
  </si>
  <si>
    <t xml:space="preserve">Joint tape, paper</t>
  </si>
  <si>
    <t xml:space="preserve">accesorios.py [DERIVED]: Inputs!B24 (Joint tape (LF per SF) = 0.37) x 17601.4 SF of board</t>
  </si>
  <si>
    <t xml:space="preserve">Level 5 finish</t>
  </si>
  <si>
    <t xml:space="preserve">accesorios.py [DERIVED]: A05.01 WC-22 on the media wall (C1-MEDIA 10'-0") x ACT 11'-6" [DERIVED]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</si>
  <si>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</si>
  <si>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</si>
  <si>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</si>
  <si>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</si>
  <si>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</si>
  <si>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88.79 lf</t>
  </si>
  <si>
    <t xml:space="preserve">RFI-ACC-extra-framing-atm</t>
  </si>
  <si>
    <t xml:space="preserve">extra framing ATM: ATM-DU: ATM recess not fully dimensioned (width CONFIRMED, sistered height CONFIRMED, furring rows CRITERION)</t>
  </si>
  <si>
    <t xml:space="preserve">4.79 lf</t>
  </si>
  <si>
    <t xml:space="preserve">RFI-ACC-gypsum-board-jamb-return</t>
  </si>
  <si>
    <t xml:space="preserve">gypsum board jamb return: jamb return width not dimensioned</t>
  </si>
  <si>
    <t xml:space="preserve">-21.6 sf</t>
  </si>
  <si>
    <t xml:space="preserve">RFI-ACC-slab-pins</t>
  </si>
  <si>
    <t xml:space="preserve">slab pins: pin spacing: 12" (interior anchorage) vs 16" (fastener schedule) vs 24" (type K box)</t>
  </si>
  <si>
    <t xml:space="preserve">16in: -132.57 pcs; 24in: -265.14 pcs</t>
  </si>
  <si>
    <t xml:space="preserve">RFI-C1</t>
  </si>
  <si>
    <t xml:space="preserve">Type C1 (6/A12.01) has no height: carried to deck (B.O.D.).</t>
  </si>
  <si>
    <t xml:space="preserve">C1 to ceiling + 6" instead: approx -35% of C1 stud and board</t>
  </si>
  <si>
    <t xml:space="preserve">RFI-B2K</t>
  </si>
  <si>
    <t xml:space="preserve">Tag B2K (PC0011) is not in the partition schedule; carried as A5 + ballistic (4/A12.01).</t>
  </si>
  <si>
    <t xml:space="preserve">+/- 2.2 LF of 6" 14 ga wall</t>
  </si>
  <si>
    <t xml:space="preserve">RFI-ELEV</t>
  </si>
  <si>
    <t xml:space="preserve">A09.01 titled SOUTH shows the true north facade and A09.02 NORTH the true south (S2.20 footprint mirrored N-S).</t>
  </si>
  <si>
    <t xml:space="preserve">no quantity change; orientation used = plan A02.01</t>
  </si>
  <si>
    <t xml:space="preserve">RFI-WIN-W</t>
  </si>
  <si>
    <t xml:space="preserve">West GL-2 windows (offices 109/110) not dimensioned: carried 8'-0" x 2'-0" as the east ones.</t>
  </si>
  <si>
    <t xml:space="preserve">header/sill +/- 2.67 LF per window per foot of width</t>
  </si>
  <si>
    <t xml:space="preserve">RFI-OFB</t>
  </si>
  <si>
    <t xml:space="preserve">Office front CONT. BOX BEAM run length not dimensioned; measured on A02.01 vector (42.393 + 21.561 ft).</t>
  </si>
  <si>
    <t xml:space="preserve">+/- 4 pieces x 1 ft per foot of run</t>
  </si>
  <si>
    <t xml:space="preserve">RFI-SUSP</t>
  </si>
  <si>
    <t xml:space="preserve">Suspended GB ceiling furring / carrying / hanger spacing not printed; carried 16"/48"/48" (ASTM C754).</t>
  </si>
  <si>
    <t xml:space="preserve">furring 24" O.C.: -33% furring channel</t>
  </si>
  <si>
    <t xml:space="preserve">RFI-CJ</t>
  </si>
  <si>
    <t xml:space="preserve">Canopy soffit joist direction and span (west drive-thru canopy 17-21 ft) not shown; joists carried perpendicular to the wall @ 16".</t>
  </si>
  <si>
    <t xml:space="preserve">joists parallel to the wall: count changes by run/span ratio</t>
  </si>
  <si>
    <t xml:space="preserve">RFI-RS</t>
  </si>
  <si>
    <t xml:space="preserve">Roof step 4/A02.02 upper row height not dimensioned: 2.823 ft derived (B.O.D. hi - B.O.D. lo + 6").</t>
  </si>
  <si>
    <t xml:space="preserve">+/- 51.7 LF of 6" stud per foot of height</t>
  </si>
  <si>
    <t xml:space="preserve">RFI-VH</t>
  </si>
  <si>
    <t xml:space="preserve">Vestibule head stud size not given in 4-7/A12.10; carried 3-5/8".</t>
  </si>
  <si>
    <t xml:space="preserve">6" instead: move 22 LF from 3-5/8" to 6"</t>
  </si>
  <si>
    <t xml:space="preserve">RFI-DB</t>
  </si>
  <si>
    <t xml:space="preserve">A5-W2 crosses grid B by 0.45 ft; one height (high end, under W14X22) for the full run.</t>
  </si>
  <si>
    <t xml:space="preserve">split: -0.4 LF of 6" stud</t>
  </si>
  <si>
    <t xml:space="preserve">RFI-BEAM-A</t>
  </si>
  <si>
    <t xml:space="preserve">Grid A: W18X35 (west 2/3) and W14X22 (east): one depth per line carried (W18X35).</t>
  </si>
  <si>
    <t xml:space="preserve">east third under W14X22: studs +0.333 ft each</t>
  </si>
  <si>
    <t xml:space="preserve">RFI-PIER</t>
  </si>
  <si>
    <t xml:space="preserve">Storefront piers tagged C1 on A02.01 but detailed by 1/ and 2/A09.25 (3-5/8" + 6" CFMF); the detail governs.</t>
  </si>
  <si>
    <t xml:space="preserve">as C1 column wrap: different stud count</t>
  </si>
  <si>
    <t xml:space="preserve">RFI-TA</t>
  </si>
  <si>
    <t xml:space="preserve">Toilet accessory blocking lengths not dimensioned: 12.33 LF per restroom derived from standard accessories.</t>
  </si>
  <si>
    <t xml:space="preserve">+/- 4 LF FRT blocking</t>
  </si>
  <si>
    <t xml:space="preserve">RFI-ATM</t>
  </si>
  <si>
    <t xml:space="preserve">Furring rows in the drive-up ATM recess (6/A08.11) not dimensioned: 2 rows carried.</t>
  </si>
  <si>
    <t xml:space="preserve">+/- 2.2 LF</t>
  </si>
  <si>
    <t xml:space="preserve">RFI-L5</t>
  </si>
  <si>
    <t xml:space="preserve">WC-20 (Level 5) is in the A05.01 legend but not placed on the finish plan.</t>
  </si>
  <si>
    <t xml:space="preserve">if placed: + wall SF of that wall</t>
  </si>
  <si>
    <t xml:space="preserve">RFI-MS</t>
  </si>
  <si>
    <t xml:space="preserve">Mop sink width not given for the FRP at both sides; 24" carried.</t>
  </si>
  <si>
    <t xml:space="preserve">+/- 8 SF FRP per 6"</t>
  </si>
  <si>
    <t xml:space="preserve">RFI-SLV</t>
  </si>
  <si>
    <t xml:space="preserve">Two 4" tele/data sleeves (E-plan keynote 5): wall not identified; carried on B-05 (NER 121).</t>
  </si>
  <si>
    <t xml:space="preserve">no quantity change</t>
  </si>
  <si>
    <t xml:space="preserve">RFI-FO-CANOPY</t>
  </si>
  <si>
    <t xml:space="preserve">Recessed linear fixtures UU1-UU6 in the canopy soffits (5/A09.33 coordinate with cutsheet) not carried as framed openings.</t>
  </si>
  <si>
    <t xml:space="preserve">+694.7 LF framed openings (2 x (L + 2.5") x qty)</t>
  </si>
  <si>
    <t xml:space="preserve">RFI-LOCKERS</t>
  </si>
  <si>
    <t xml:space="preserve">Break room lockers (Hollman FLC1, key note 5) blocking: locker run length not dimensioned; not carried.</t>
  </si>
  <si>
    <t xml:space="preserve">+ locker run length in LF of metal blocking</t>
  </si>
  <si>
    <t xml:space="preserve">RFI-KN6</t>
  </si>
  <si>
    <t xml:space="preserve">KN6 plywood backboard: walls taken from A11.03 elevations 1-4 at 8'-0"; NER partial wall carried full width.</t>
  </si>
  <si>
    <t xml:space="preserve">+/- 30 SF FRT plywood</t>
  </si>
  <si>
    <t xml:space="preserve">RFI-SD</t>
  </si>
  <si>
    <t xml:space="preserve">Linear slot diffusers 100/101 south row ~2'-9" measured on M01.01 (no schedule length).</t>
  </si>
  <si>
    <t xml:space="preserve">+/- 6 LF framed openings</t>
  </si>
  <si>
    <t xml:space="preserve">#</t>
  </si>
  <si>
    <t xml:space="preserve">Item</t>
  </si>
  <si>
    <t xml:space="preserve">Sheet + detail</t>
  </si>
  <si>
    <t xml:space="preserve">Image</t>
  </si>
  <si>
    <t xml:space="preserve">C1-COL1 / C1-COL2 modeled as storefront piers (1/, 2/A09.25) instead of C1 column wraps.</t>
  </si>
  <si>
    <t xml:space="preserve">img/A0925_1b.png</t>
  </si>
  <si>
    <t xml:space="preserve">Exterior walls stop under the perimeter beam (E26) - check the depth carried on grid A (W18X35).</t>
  </si>
  <si>
    <t xml:space="preserve">10/S5.10</t>
  </si>
  <si>
    <t xml:space="preserve">img/vigas/S220_gridA.png</t>
  </si>
  <si>
    <t xml:space="preserve">Parapet heights: T/STUD LP 17'-5" / HP 19'-8" minus B.O.D.; sloped zone averaged.</t>
  </si>
  <si>
    <t xml:space="preserve">img/S510_11.png</t>
  </si>
  <si>
    <t xml:space="preserve">Canopy soffit areas and joist direction (west drive-thru canopy).</t>
  </si>
  <si>
    <t xml:space="preserve">img/rcp_all.png</t>
  </si>
  <si>
    <t xml:space="preserve">Grille head stud length 0.948 ft (2 ft chain - 2 boxes - board).</t>
  </si>
  <si>
    <t xml:space="preserve">img/A0821_4.png</t>
  </si>
  <si>
    <t xml:space="preserve">Vestibule heads 15'-7 3/4" and 6'-5" with box headers as needed.</t>
  </si>
  <si>
    <t xml:space="preserve">6/A12.10</t>
  </si>
  <si>
    <t xml:space="preserve">img/A1210_45.png</t>
  </si>
  <si>
    <t xml:space="preserve">Millwork blocking rows per cabinet (2 rows on tall / shelving units).</t>
  </si>
  <si>
    <t xml:space="preserve">6/A12.03</t>
  </si>
  <si>
    <t xml:space="preserve">img/A1203_all.png</t>
  </si>
  <si>
    <t xml:space="preserve">KN6 plywood backboard walls in Electrical 120 / NER 121.</t>
  </si>
  <si>
    <t xml:space="preserve">4/A11.03</t>
  </si>
  <si>
    <t xml:space="preserve">img/A1103_all.png</t>
  </si>
  <si>
    <t xml:space="preserve">Scope ID</t>
  </si>
  <si>
    <t xml:space="preserve">Scope</t>
  </si>
  <si>
    <t xml:space="preserve">Note (quantity, NOT APPLICABLE + sheet, or RFI)</t>
  </si>
  <si>
    <t xml:space="preserve">ALC-X1</t>
  </si>
  <si>
    <t xml:space="preserve">batt insulation</t>
  </si>
  <si>
    <t xml:space="preserve">NOT APPLICABLE</t>
  </si>
  <si>
    <t xml:space="preserve">EXCLUDED (estimator criterion: no insulation)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</si>
</sst>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7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11.733</v>
      </c>
      <c r="D6" s="0" t="n">
        <v>12.749</v>
      </c>
      <c r="E6" s="0" t="n">
        <v>2</v>
      </c>
      <c r="F6" s="0" t="s">
        <v>63</v>
      </c>
      <c r="G6" s="0" t="n">
        <v>16</v>
      </c>
      <c r="H6" s="0" t="n">
        <v>251.38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3.5</v>
      </c>
      <c r="D7" s="0" t="n">
        <v>12.741</v>
      </c>
      <c r="E7" s="0" t="n">
        <v>2</v>
      </c>
      <c r="F7" s="0" t="s">
        <v>63</v>
      </c>
      <c r="G7" s="0" t="n">
        <v>16</v>
      </c>
      <c r="H7" s="0" t="n">
        <v>89.18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11.733</v>
      </c>
      <c r="D8" s="0" t="n">
        <v>12.669</v>
      </c>
      <c r="E8" s="0" t="n">
        <v>2</v>
      </c>
      <c r="F8" s="0" t="s">
        <v>63</v>
      </c>
      <c r="G8" s="0" t="n">
        <v>16</v>
      </c>
      <c r="H8" s="0" t="n">
        <v>297.3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23.728</v>
      </c>
      <c r="D9" s="0" t="n">
        <v>12.824</v>
      </c>
      <c r="E9" s="0" t="n">
        <v>2</v>
      </c>
      <c r="F9" s="0" t="s">
        <v>63</v>
      </c>
      <c r="G9" s="0" t="n">
        <v>16</v>
      </c>
      <c r="H9" s="0" t="n">
        <v>513.02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9.583</v>
      </c>
      <c r="D10" s="0" t="n">
        <v>12.7</v>
      </c>
      <c r="E10" s="0" t="n">
        <v>2</v>
      </c>
      <c r="F10" s="0" t="s">
        <v>63</v>
      </c>
      <c r="G10" s="0" t="n">
        <v>16</v>
      </c>
      <c r="H10" s="0" t="n">
        <v>243.4</v>
      </c>
      <c r="I10" s="0" t="s">
        <v>78</v>
      </c>
      <c r="J10" s="0" t="s">
        <v>65</v>
      </c>
      <c r="K10" s="0" t="s">
        <v>79</v>
      </c>
    </row>
    <row r="11" customFormat="false" ht="15" hidden="false" customHeight="false" outlineLevel="0" collapsed="false">
      <c r="A11" s="5" t="s">
        <v>80</v>
      </c>
    </row>
    <row r="12" customFormat="false" ht="15" hidden="false" customHeight="false" outlineLevel="0" collapsed="false">
      <c r="A12" s="0" t="s">
        <v>81</v>
      </c>
      <c r="B12" s="0" t="s">
        <v>82</v>
      </c>
      <c r="C12" s="0" t="n">
        <v>5.1</v>
      </c>
      <c r="D12" s="0" t="n">
        <v>13.052</v>
      </c>
      <c r="E12" s="0" t="n">
        <v>2</v>
      </c>
      <c r="F12" s="0" t="s">
        <v>83</v>
      </c>
      <c r="G12" s="0" t="n">
        <v>16</v>
      </c>
      <c r="H12" s="0" t="n">
        <v>85.36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15.786</v>
      </c>
      <c r="D13" s="0" t="n">
        <v>12.863</v>
      </c>
      <c r="E13" s="0" t="n">
        <v>2</v>
      </c>
      <c r="F13" s="0" t="s">
        <v>83</v>
      </c>
      <c r="G13" s="0" t="n">
        <v>16</v>
      </c>
      <c r="H13" s="0" t="n">
        <v>262.8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n">
        <v>5.667</v>
      </c>
      <c r="D14" s="0" t="n">
        <v>15.375</v>
      </c>
      <c r="E14" s="0" t="n">
        <v>2</v>
      </c>
      <c r="F14" s="0" t="s">
        <v>83</v>
      </c>
      <c r="G14" s="0" t="n">
        <v>16</v>
      </c>
      <c r="H14" s="0" t="n">
        <v>111.66</v>
      </c>
      <c r="I14" s="0" t="s">
        <v>90</v>
      </c>
      <c r="J14" s="0" t="s">
        <v>65</v>
      </c>
      <c r="K14" s="0" t="s">
        <v>79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n">
        <v>11.74</v>
      </c>
      <c r="D15" s="0" t="n">
        <v>11.637</v>
      </c>
      <c r="E15" s="0" t="n">
        <v>2</v>
      </c>
      <c r="F15" s="0" t="s">
        <v>83</v>
      </c>
      <c r="G15" s="0" t="n">
        <v>16</v>
      </c>
      <c r="H15" s="0" t="n">
        <v>273.24</v>
      </c>
      <c r="I15" s="0" t="s">
        <v>93</v>
      </c>
      <c r="J15" s="0" t="s">
        <v>65</v>
      </c>
      <c r="K15" s="0" t="s">
        <v>66</v>
      </c>
    </row>
    <row r="16" customFormat="false" ht="15" hidden="false" customHeight="false" outlineLevel="0" collapsed="false">
      <c r="A16" s="5" t="s">
        <v>94</v>
      </c>
    </row>
    <row r="17" customFormat="false" ht="15" hidden="false" customHeight="false" outlineLevel="0" collapsed="false">
      <c r="A17" s="0" t="s">
        <v>95</v>
      </c>
      <c r="B17" s="0" t="s">
        <v>96</v>
      </c>
      <c r="C17" s="0" t="n">
        <v>2.207</v>
      </c>
      <c r="D17" s="0" t="n">
        <v>15.375</v>
      </c>
      <c r="E17" s="0" t="n">
        <v>2</v>
      </c>
      <c r="F17" s="0" t="s">
        <v>83</v>
      </c>
      <c r="G17" s="0" t="n">
        <v>24</v>
      </c>
      <c r="H17" s="0" t="n">
        <v>67.86</v>
      </c>
      <c r="I17" s="0" t="s">
        <v>97</v>
      </c>
      <c r="J17" s="0" t="s">
        <v>98</v>
      </c>
      <c r="K17" s="0" t="s">
        <v>66</v>
      </c>
    </row>
    <row r="18" customFormat="false" ht="15" hidden="false" customHeight="false" outlineLevel="0" collapsed="false">
      <c r="A18" s="5" t="s">
        <v>99</v>
      </c>
    </row>
    <row r="19" customFormat="false" ht="15" hidden="false" customHeight="false" outlineLevel="0" collapsed="false">
      <c r="A19" s="0" t="s">
        <v>100</v>
      </c>
      <c r="B19" s="0" t="s">
        <v>101</v>
      </c>
      <c r="C19" s="0" t="n">
        <v>3.417</v>
      </c>
      <c r="D19" s="0" t="n">
        <v>15.375</v>
      </c>
      <c r="E19" s="0" t="n">
        <v>2</v>
      </c>
      <c r="F19" s="0" t="s">
        <v>63</v>
      </c>
      <c r="G19" s="0" t="n">
        <v>24</v>
      </c>
      <c r="H19" s="0" t="n">
        <v>105.08</v>
      </c>
      <c r="I19" s="0" t="s">
        <v>102</v>
      </c>
      <c r="J19" s="0" t="s">
        <v>98</v>
      </c>
      <c r="K19" s="0" t="s">
        <v>79</v>
      </c>
    </row>
    <row r="20" customFormat="false" ht="15" hidden="false" customHeight="false" outlineLevel="0" collapsed="false">
      <c r="A20" s="0" t="s">
        <v>103</v>
      </c>
      <c r="B20" s="0" t="s">
        <v>104</v>
      </c>
      <c r="C20" s="0" t="n">
        <v>5.657</v>
      </c>
      <c r="D20" s="0" t="n">
        <v>12.932</v>
      </c>
      <c r="E20" s="0" t="n">
        <v>2</v>
      </c>
      <c r="F20" s="0" t="s">
        <v>63</v>
      </c>
      <c r="G20" s="0" t="n">
        <v>24</v>
      </c>
      <c r="H20" s="0" t="n">
        <v>146.32</v>
      </c>
      <c r="I20" s="0" t="s">
        <v>105</v>
      </c>
      <c r="J20" s="0" t="s">
        <v>98</v>
      </c>
      <c r="K20" s="0" t="s">
        <v>66</v>
      </c>
    </row>
    <row r="21" customFormat="false" ht="15" hidden="false" customHeight="false" outlineLevel="0" collapsed="false">
      <c r="A21" s="5" t="s">
        <v>106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n">
        <v>15.873</v>
      </c>
      <c r="D22" s="0" t="n">
        <v>15.024</v>
      </c>
      <c r="E22" s="0" t="n">
        <v>2</v>
      </c>
      <c r="F22" s="0" t="s">
        <v>83</v>
      </c>
      <c r="G22" s="0" t="n">
        <v>16</v>
      </c>
      <c r="H22" s="0" t="n">
        <v>270.94</v>
      </c>
      <c r="I22" s="0" t="s">
        <v>109</v>
      </c>
      <c r="J22" s="0" t="s">
        <v>110</v>
      </c>
      <c r="K22" s="0" t="s">
        <v>66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n">
        <v>19.405</v>
      </c>
      <c r="D23" s="0" t="n">
        <v>13.697</v>
      </c>
      <c r="E23" s="0" t="n">
        <v>2</v>
      </c>
      <c r="F23" s="0" t="s">
        <v>83</v>
      </c>
      <c r="G23" s="0" t="n">
        <v>16</v>
      </c>
      <c r="H23" s="0" t="n">
        <v>358.99</v>
      </c>
      <c r="I23" s="0" t="s">
        <v>113</v>
      </c>
      <c r="J23" s="0" t="s">
        <v>110</v>
      </c>
      <c r="K23" s="0" t="s">
        <v>66</v>
      </c>
    </row>
    <row r="24" customFormat="false" ht="15" hidden="false" customHeight="false" outlineLevel="0" collapsed="false">
      <c r="A24" s="0" t="s">
        <v>114</v>
      </c>
      <c r="B24" s="0" t="s">
        <v>115</v>
      </c>
      <c r="C24" s="0" t="n">
        <v>6.613</v>
      </c>
      <c r="D24" s="0" t="n">
        <v>11.774</v>
      </c>
      <c r="E24" s="0" t="n">
        <v>2</v>
      </c>
      <c r="F24" s="0" t="s">
        <v>83</v>
      </c>
      <c r="G24" s="0" t="n">
        <v>16</v>
      </c>
      <c r="H24" s="0" t="n">
        <v>74.56</v>
      </c>
      <c r="I24" s="0" t="s">
        <v>116</v>
      </c>
      <c r="J24" s="0" t="s">
        <v>110</v>
      </c>
      <c r="K24" s="0" t="s">
        <v>66</v>
      </c>
    </row>
    <row r="25" customFormat="false" ht="15" hidden="false" customHeight="false" outlineLevel="0" collapsed="false">
      <c r="A25" s="5" t="s">
        <v>117</v>
      </c>
    </row>
    <row r="26" customFormat="false" ht="15" hidden="false" customHeight="false" outlineLevel="0" collapsed="false">
      <c r="A26" s="0" t="s">
        <v>118</v>
      </c>
      <c r="B26" s="0" t="s">
        <v>119</v>
      </c>
      <c r="C26" s="0" t="n">
        <v>17.02</v>
      </c>
      <c r="D26" s="0" t="n">
        <v>15.375</v>
      </c>
      <c r="E26" s="0" t="n">
        <v>2</v>
      </c>
      <c r="F26" s="0" t="s">
        <v>63</v>
      </c>
      <c r="G26" s="0" t="n">
        <v>16</v>
      </c>
      <c r="H26" s="0" t="n">
        <v>348.91</v>
      </c>
      <c r="I26" s="0" t="s">
        <v>120</v>
      </c>
      <c r="J26" s="0" t="s">
        <v>110</v>
      </c>
      <c r="K26" s="0" t="s">
        <v>66</v>
      </c>
    </row>
    <row r="27" customFormat="false" ht="15" hidden="false" customHeight="false" outlineLevel="0" collapsed="false">
      <c r="A27" s="0" t="s">
        <v>121</v>
      </c>
      <c r="B27" s="0" t="s">
        <v>122</v>
      </c>
      <c r="C27" s="0" t="n">
        <v>6.157</v>
      </c>
      <c r="D27" s="0" t="n">
        <v>15.375</v>
      </c>
      <c r="E27" s="0" t="n">
        <v>2</v>
      </c>
      <c r="F27" s="0" t="s">
        <v>63</v>
      </c>
      <c r="G27" s="0" t="n">
        <v>16</v>
      </c>
      <c r="H27" s="0" t="n">
        <v>129.31</v>
      </c>
      <c r="I27" s="0" t="s">
        <v>123</v>
      </c>
      <c r="J27" s="0" t="s">
        <v>110</v>
      </c>
      <c r="K27" s="0" t="s">
        <v>66</v>
      </c>
    </row>
    <row r="28" customFormat="false" ht="15" hidden="false" customHeight="false" outlineLevel="0" collapsed="false">
      <c r="A28" s="0" t="s">
        <v>124</v>
      </c>
      <c r="B28" s="0" t="s">
        <v>125</v>
      </c>
      <c r="C28" s="0" t="n">
        <v>42.529</v>
      </c>
      <c r="D28" s="0" t="n">
        <v>12.351</v>
      </c>
      <c r="E28" s="0" t="n">
        <v>2</v>
      </c>
      <c r="F28" s="0" t="s">
        <v>63</v>
      </c>
      <c r="G28" s="0" t="n">
        <v>16</v>
      </c>
      <c r="H28" s="0" t="n">
        <v>724.54</v>
      </c>
      <c r="I28" s="0" t="s">
        <v>126</v>
      </c>
      <c r="J28" s="0" t="s">
        <v>110</v>
      </c>
      <c r="K28" s="0" t="s">
        <v>66</v>
      </c>
    </row>
    <row r="29" customFormat="false" ht="15" hidden="false" customHeight="false" outlineLevel="0" collapsed="false">
      <c r="A29" s="0" t="s">
        <v>127</v>
      </c>
      <c r="B29" s="0" t="s">
        <v>128</v>
      </c>
      <c r="C29" s="0" t="n">
        <v>5.001</v>
      </c>
      <c r="D29" s="0" t="n">
        <v>15.375</v>
      </c>
      <c r="E29" s="0" t="n">
        <v>2</v>
      </c>
      <c r="F29" s="0" t="s">
        <v>63</v>
      </c>
      <c r="G29" s="0" t="n">
        <v>16</v>
      </c>
      <c r="H29" s="0" t="n">
        <v>50.58</v>
      </c>
      <c r="I29" s="0" t="s">
        <v>129</v>
      </c>
      <c r="J29" s="0" t="s">
        <v>110</v>
      </c>
      <c r="K29" s="0" t="s">
        <v>66</v>
      </c>
    </row>
    <row r="30" customFormat="false" ht="15" hidden="false" customHeight="false" outlineLevel="0" collapsed="false">
      <c r="A30" s="0" t="s">
        <v>130</v>
      </c>
      <c r="B30" s="0" t="s">
        <v>131</v>
      </c>
      <c r="C30" s="0" t="n">
        <v>11.667</v>
      </c>
      <c r="D30" s="0" t="n">
        <v>12.773</v>
      </c>
      <c r="E30" s="0" t="n">
        <v>2</v>
      </c>
      <c r="F30" s="0" t="s">
        <v>63</v>
      </c>
      <c r="G30" s="0" t="n">
        <v>16</v>
      </c>
      <c r="H30" s="0" t="n">
        <v>168.06</v>
      </c>
      <c r="I30" s="0" t="s">
        <v>132</v>
      </c>
      <c r="J30" s="0" t="s">
        <v>110</v>
      </c>
      <c r="K30" s="0" t="s">
        <v>79</v>
      </c>
    </row>
    <row r="31" customFormat="false" ht="15" hidden="false" customHeight="false" outlineLevel="0" collapsed="false">
      <c r="A31" s="0" t="s">
        <v>133</v>
      </c>
      <c r="B31" s="0" t="s">
        <v>134</v>
      </c>
      <c r="C31" s="0" t="n">
        <v>7.591</v>
      </c>
      <c r="D31" s="0" t="n">
        <v>12.19</v>
      </c>
      <c r="E31" s="0" t="n">
        <v>2</v>
      </c>
      <c r="F31" s="0" t="s">
        <v>63</v>
      </c>
      <c r="G31" s="0" t="n">
        <v>16</v>
      </c>
      <c r="H31" s="0" t="n">
        <v>136.64</v>
      </c>
      <c r="I31" s="0" t="s">
        <v>135</v>
      </c>
      <c r="J31" s="0" t="s">
        <v>110</v>
      </c>
      <c r="K31" s="0" t="s">
        <v>66</v>
      </c>
    </row>
    <row r="32" customFormat="false" ht="15" hidden="false" customHeight="false" outlineLevel="0" collapsed="false">
      <c r="A32" s="5" t="s">
        <v>136</v>
      </c>
    </row>
    <row r="33" customFormat="false" ht="15" hidden="false" customHeight="false" outlineLevel="0" collapsed="false">
      <c r="A33" s="0" t="s">
        <v>137</v>
      </c>
      <c r="B33" s="0" t="s">
        <v>138</v>
      </c>
      <c r="C33" s="0" t="n">
        <v>12.333</v>
      </c>
      <c r="D33" s="0" t="n">
        <v>15.375</v>
      </c>
      <c r="E33" s="0" t="n">
        <v>4</v>
      </c>
      <c r="F33" s="0" t="s">
        <v>139</v>
      </c>
      <c r="G33" s="0" t="n">
        <v>16</v>
      </c>
      <c r="H33" s="0" t="n">
        <v>758.48</v>
      </c>
      <c r="I33" s="0" t="s">
        <v>140</v>
      </c>
      <c r="J33" s="0" t="s">
        <v>141</v>
      </c>
      <c r="K33" s="0" t="s">
        <v>66</v>
      </c>
    </row>
    <row r="34" customFormat="false" ht="15" hidden="false" customHeight="false" outlineLevel="0" collapsed="false">
      <c r="A34" s="0" t="s">
        <v>142</v>
      </c>
      <c r="B34" s="0" t="s">
        <v>143</v>
      </c>
      <c r="C34" s="0" t="n">
        <v>11.629</v>
      </c>
      <c r="D34" s="0" t="n">
        <v>15.375</v>
      </c>
      <c r="E34" s="0" t="n">
        <v>4</v>
      </c>
      <c r="F34" s="0" t="s">
        <v>139</v>
      </c>
      <c r="G34" s="0" t="n">
        <v>16</v>
      </c>
      <c r="H34" s="0" t="n">
        <v>715.18</v>
      </c>
      <c r="I34" s="0" t="s">
        <v>144</v>
      </c>
      <c r="J34" s="0" t="s">
        <v>141</v>
      </c>
      <c r="K34" s="0" t="s">
        <v>66</v>
      </c>
    </row>
    <row r="35" customFormat="false" ht="15" hidden="false" customHeight="false" outlineLevel="0" collapsed="false">
      <c r="A35" s="0" t="s">
        <v>145</v>
      </c>
      <c r="B35" s="0" t="s">
        <v>146</v>
      </c>
      <c r="C35" s="0" t="n">
        <v>11.627</v>
      </c>
      <c r="D35" s="0" t="n">
        <v>15.375</v>
      </c>
      <c r="E35" s="0" t="n">
        <v>4</v>
      </c>
      <c r="F35" s="0" t="s">
        <v>139</v>
      </c>
      <c r="G35" s="0" t="n">
        <v>16</v>
      </c>
      <c r="H35" s="0" t="n">
        <v>715.06</v>
      </c>
      <c r="I35" s="0" t="s">
        <v>147</v>
      </c>
      <c r="J35" s="0" t="s">
        <v>141</v>
      </c>
      <c r="K35" s="0" t="s">
        <v>66</v>
      </c>
    </row>
    <row r="36" customFormat="false" ht="15" hidden="false" customHeight="false" outlineLevel="0" collapsed="false">
      <c r="A36" s="0" t="s">
        <v>148</v>
      </c>
      <c r="B36" s="0" t="s">
        <v>149</v>
      </c>
      <c r="C36" s="0" t="n">
        <v>15.02</v>
      </c>
      <c r="D36" s="0" t="n">
        <v>15.126</v>
      </c>
      <c r="E36" s="0" t="n">
        <v>4</v>
      </c>
      <c r="F36" s="0" t="s">
        <v>139</v>
      </c>
      <c r="G36" s="0" t="n">
        <v>16</v>
      </c>
      <c r="H36" s="0" t="n">
        <v>908.78</v>
      </c>
      <c r="I36" s="0" t="s">
        <v>150</v>
      </c>
      <c r="J36" s="0" t="s">
        <v>141</v>
      </c>
      <c r="K36" s="0" t="s">
        <v>66</v>
      </c>
    </row>
    <row r="37" customFormat="false" ht="15" hidden="false" customHeight="false" outlineLevel="0" collapsed="false">
      <c r="A37" s="0" t="s">
        <v>151</v>
      </c>
      <c r="B37" s="0" t="s">
        <v>152</v>
      </c>
      <c r="C37" s="0" t="n">
        <v>15.02</v>
      </c>
      <c r="D37" s="0" t="n">
        <v>15.126</v>
      </c>
      <c r="E37" s="0" t="n">
        <v>4</v>
      </c>
      <c r="F37" s="0" t="s">
        <v>139</v>
      </c>
      <c r="G37" s="0" t="n">
        <v>16</v>
      </c>
      <c r="H37" s="0" t="n">
        <v>908.78</v>
      </c>
      <c r="I37" s="0" t="s">
        <v>153</v>
      </c>
      <c r="J37" s="0" t="s">
        <v>141</v>
      </c>
      <c r="K37" s="0" t="s">
        <v>66</v>
      </c>
    </row>
    <row r="38" customFormat="false" ht="15" hidden="false" customHeight="false" outlineLevel="0" collapsed="false">
      <c r="A38" s="0" t="s">
        <v>154</v>
      </c>
      <c r="B38" s="0" t="s">
        <v>155</v>
      </c>
      <c r="C38" s="0" t="n">
        <v>10.073</v>
      </c>
      <c r="D38" s="0" t="n">
        <v>15.375</v>
      </c>
      <c r="E38" s="0" t="n">
        <v>4</v>
      </c>
      <c r="F38" s="0" t="s">
        <v>139</v>
      </c>
      <c r="G38" s="0" t="n">
        <v>16</v>
      </c>
      <c r="H38" s="0" t="n">
        <v>619.48</v>
      </c>
      <c r="I38" s="0" t="s">
        <v>156</v>
      </c>
      <c r="J38" s="0" t="s">
        <v>141</v>
      </c>
      <c r="K38" s="0" t="s">
        <v>66</v>
      </c>
    </row>
    <row r="39" customFormat="false" ht="15" hidden="false" customHeight="false" outlineLevel="0" collapsed="false">
      <c r="A39" s="0" t="s">
        <v>157</v>
      </c>
      <c r="B39" s="0" t="s">
        <v>158</v>
      </c>
      <c r="C39" s="0" t="n">
        <v>2.42</v>
      </c>
      <c r="D39" s="0" t="n">
        <v>14.383</v>
      </c>
      <c r="E39" s="0" t="n">
        <v>4</v>
      </c>
      <c r="F39" s="0" t="s">
        <v>139</v>
      </c>
      <c r="G39" s="0" t="n">
        <v>16</v>
      </c>
      <c r="H39" s="0" t="n">
        <v>139.22</v>
      </c>
      <c r="I39" s="0" t="s">
        <v>159</v>
      </c>
      <c r="J39" s="0" t="s">
        <v>141</v>
      </c>
      <c r="K39" s="0" t="s">
        <v>66</v>
      </c>
    </row>
    <row r="40" customFormat="false" ht="15" hidden="false" customHeight="false" outlineLevel="0" collapsed="false">
      <c r="A40" s="0" t="s">
        <v>160</v>
      </c>
      <c r="B40" s="0" t="s">
        <v>161</v>
      </c>
      <c r="C40" s="0" t="n">
        <v>3.467</v>
      </c>
      <c r="D40" s="0" t="n">
        <v>14.383</v>
      </c>
      <c r="E40" s="0" t="n">
        <v>4</v>
      </c>
      <c r="F40" s="0" t="s">
        <v>139</v>
      </c>
      <c r="G40" s="0" t="n">
        <v>16</v>
      </c>
      <c r="H40" s="0" t="n">
        <v>199.46</v>
      </c>
      <c r="I40" s="0" t="s">
        <v>159</v>
      </c>
      <c r="J40" s="0" t="s">
        <v>141</v>
      </c>
      <c r="K40" s="0" t="s">
        <v>66</v>
      </c>
    </row>
    <row r="41" customFormat="false" ht="15" hidden="false" customHeight="false" outlineLevel="0" collapsed="false">
      <c r="A41" s="5" t="s">
        <v>162</v>
      </c>
    </row>
    <row r="42" customFormat="false" ht="15" hidden="false" customHeight="false" outlineLevel="0" collapsed="false">
      <c r="A42" s="0" t="s">
        <v>163</v>
      </c>
      <c r="B42" s="0" t="s">
        <v>164</v>
      </c>
      <c r="C42" s="0" t="n">
        <v>0.333</v>
      </c>
      <c r="D42" s="0" t="n">
        <v>15.375</v>
      </c>
      <c r="E42" s="0" t="n">
        <v>4</v>
      </c>
      <c r="F42" s="0" t="s">
        <v>139</v>
      </c>
      <c r="G42" s="0" t="n">
        <v>16</v>
      </c>
      <c r="H42" s="0" t="n">
        <v>20.48</v>
      </c>
      <c r="I42" s="0" t="s">
        <v>165</v>
      </c>
      <c r="J42" s="0" t="s">
        <v>141</v>
      </c>
      <c r="K42" s="0" t="s">
        <v>66</v>
      </c>
    </row>
    <row r="43" customFormat="false" ht="15" hidden="false" customHeight="false" outlineLevel="0" collapsed="false">
      <c r="A43" s="0" t="s">
        <v>166</v>
      </c>
      <c r="B43" s="0" t="s">
        <v>167</v>
      </c>
      <c r="C43" s="0" t="n">
        <v>3.507</v>
      </c>
      <c r="D43" s="0" t="n">
        <v>15.375</v>
      </c>
      <c r="E43" s="0" t="n">
        <v>4</v>
      </c>
      <c r="F43" s="0" t="s">
        <v>139</v>
      </c>
      <c r="G43" s="0" t="n">
        <v>16</v>
      </c>
      <c r="H43" s="0" t="n">
        <v>215.68</v>
      </c>
      <c r="I43" s="0" t="s">
        <v>168</v>
      </c>
      <c r="J43" s="0" t="s">
        <v>141</v>
      </c>
      <c r="K43" s="0" t="s">
        <v>66</v>
      </c>
    </row>
    <row r="44" customFormat="false" ht="15" hidden="false" customHeight="false" outlineLevel="0" collapsed="false">
      <c r="A44" s="0" t="s">
        <v>169</v>
      </c>
      <c r="B44" s="0" t="s">
        <v>170</v>
      </c>
      <c r="C44" s="0" t="n">
        <v>3.56</v>
      </c>
      <c r="D44" s="0" t="n">
        <v>15.375</v>
      </c>
      <c r="E44" s="0" t="n">
        <v>4</v>
      </c>
      <c r="F44" s="0" t="s">
        <v>139</v>
      </c>
      <c r="G44" s="0" t="n">
        <v>16</v>
      </c>
      <c r="H44" s="0" t="n">
        <v>218.94</v>
      </c>
      <c r="I44" s="0" t="s">
        <v>171</v>
      </c>
      <c r="J44" s="0" t="s">
        <v>141</v>
      </c>
      <c r="K44" s="0" t="s">
        <v>66</v>
      </c>
    </row>
    <row r="45" customFormat="false" ht="15" hidden="false" customHeight="false" outlineLevel="0" collapsed="false">
      <c r="A45" s="0" t="s">
        <v>172</v>
      </c>
      <c r="B45" s="0" t="s">
        <v>173</v>
      </c>
      <c r="C45" s="0" t="n">
        <v>11.767</v>
      </c>
      <c r="D45" s="0" t="n">
        <v>15.375</v>
      </c>
      <c r="E45" s="0" t="n">
        <v>4</v>
      </c>
      <c r="F45" s="0" t="s">
        <v>139</v>
      </c>
      <c r="G45" s="0" t="n">
        <v>16</v>
      </c>
      <c r="H45" s="0" t="n">
        <v>723.68</v>
      </c>
      <c r="I45" s="0" t="s">
        <v>174</v>
      </c>
      <c r="J45" s="0" t="s">
        <v>141</v>
      </c>
      <c r="K45" s="0" t="s">
        <v>66</v>
      </c>
    </row>
    <row r="46" customFormat="false" ht="15" hidden="false" customHeight="false" outlineLevel="0" collapsed="false">
      <c r="A46" s="5" t="s">
        <v>175</v>
      </c>
    </row>
    <row r="47" customFormat="false" ht="15" hidden="false" customHeight="false" outlineLevel="0" collapsed="false">
      <c r="A47" s="0" t="s">
        <v>176</v>
      </c>
      <c r="B47" s="0" t="s">
        <v>177</v>
      </c>
      <c r="C47" s="0" t="n">
        <v>30</v>
      </c>
      <c r="D47" s="0" t="n">
        <v>6.262</v>
      </c>
      <c r="E47" s="0" t="n">
        <v>4</v>
      </c>
      <c r="F47" s="0" t="s">
        <v>139</v>
      </c>
      <c r="G47" s="0" t="n">
        <v>16</v>
      </c>
      <c r="H47" s="0" t="n">
        <v>751.48</v>
      </c>
      <c r="I47" s="0" t="s">
        <v>178</v>
      </c>
      <c r="J47" s="0" t="s">
        <v>179</v>
      </c>
      <c r="K47" s="0" t="s">
        <v>66</v>
      </c>
    </row>
    <row r="48" customFormat="false" ht="15" hidden="false" customHeight="false" outlineLevel="0" collapsed="false">
      <c r="A48" s="0" t="s">
        <v>180</v>
      </c>
      <c r="B48" s="0" t="s">
        <v>181</v>
      </c>
      <c r="C48" s="0" t="n">
        <v>15</v>
      </c>
      <c r="D48" s="0" t="n">
        <v>7.333</v>
      </c>
      <c r="E48" s="0" t="n">
        <v>4</v>
      </c>
      <c r="F48" s="0" t="s">
        <v>139</v>
      </c>
      <c r="G48" s="0" t="n">
        <v>16</v>
      </c>
      <c r="H48" s="0" t="n">
        <v>440</v>
      </c>
      <c r="I48" s="0" t="s">
        <v>178</v>
      </c>
      <c r="J48" s="0" t="s">
        <v>179</v>
      </c>
      <c r="K48" s="0" t="s">
        <v>66</v>
      </c>
    </row>
    <row r="49" customFormat="false" ht="15" hidden="false" customHeight="false" outlineLevel="0" collapsed="false">
      <c r="A49" s="5" t="s">
        <v>182</v>
      </c>
    </row>
    <row r="50" customFormat="false" ht="15" hidden="false" customHeight="false" outlineLevel="0" collapsed="false">
      <c r="A50" s="0" t="s">
        <v>183</v>
      </c>
      <c r="B50" s="0" t="s">
        <v>184</v>
      </c>
      <c r="C50" s="0" t="n">
        <v>16.917</v>
      </c>
      <c r="D50" s="0" t="n">
        <v>15.375</v>
      </c>
      <c r="E50" s="0" t="n">
        <v>2</v>
      </c>
      <c r="F50" s="0" t="s">
        <v>63</v>
      </c>
      <c r="G50" s="0" t="n">
        <v>16</v>
      </c>
      <c r="H50" s="0" t="n">
        <v>309.32</v>
      </c>
      <c r="I50" s="0" t="s">
        <v>185</v>
      </c>
      <c r="J50" s="0" t="s">
        <v>186</v>
      </c>
      <c r="K50" s="0" t="s">
        <v>66</v>
      </c>
    </row>
    <row r="51" customFormat="false" ht="15" hidden="false" customHeight="false" outlineLevel="0" collapsed="false">
      <c r="A51" s="5" t="s">
        <v>187</v>
      </c>
    </row>
    <row r="52" customFormat="false" ht="15" hidden="false" customHeight="false" outlineLevel="0" collapsed="false">
      <c r="A52" s="0" t="s">
        <v>188</v>
      </c>
      <c r="B52" s="0" t="s">
        <v>189</v>
      </c>
      <c r="C52" s="0" t="n">
        <v>10.027</v>
      </c>
      <c r="D52" s="0" t="n">
        <v>12.925</v>
      </c>
      <c r="E52" s="0" t="n">
        <v>1</v>
      </c>
      <c r="F52" s="0" t="s">
        <v>63</v>
      </c>
      <c r="G52" s="0" t="n">
        <v>16</v>
      </c>
      <c r="H52" s="0" t="n">
        <v>129.6</v>
      </c>
      <c r="I52" s="0" t="s">
        <v>190</v>
      </c>
      <c r="J52" s="0" t="s">
        <v>191</v>
      </c>
      <c r="K52" s="0" t="s">
        <v>66</v>
      </c>
    </row>
    <row r="53" customFormat="false" ht="15" hidden="false" customHeight="false" outlineLevel="0" collapsed="false">
      <c r="A53" s="0" t="s">
        <v>192</v>
      </c>
      <c r="B53" s="0" t="s">
        <v>193</v>
      </c>
      <c r="C53" s="0" t="n">
        <v>10.027</v>
      </c>
      <c r="D53" s="0" t="n">
        <v>12.894</v>
      </c>
      <c r="E53" s="0" t="n">
        <v>1</v>
      </c>
      <c r="F53" s="0" t="s">
        <v>63</v>
      </c>
      <c r="G53" s="0" t="n">
        <v>16</v>
      </c>
      <c r="H53" s="0" t="n">
        <v>129.29</v>
      </c>
      <c r="I53" s="0" t="s">
        <v>194</v>
      </c>
      <c r="J53" s="0" t="s">
        <v>191</v>
      </c>
      <c r="K53" s="0" t="s">
        <v>66</v>
      </c>
    </row>
    <row r="54" customFormat="false" ht="15" hidden="false" customHeight="false" outlineLevel="0" collapsed="false">
      <c r="A54" s="0" t="s">
        <v>195</v>
      </c>
      <c r="B54" s="0" t="s">
        <v>196</v>
      </c>
      <c r="C54" s="0" t="n">
        <v>11.334</v>
      </c>
      <c r="D54" s="0" t="n">
        <v>15.375</v>
      </c>
      <c r="E54" s="0" t="n">
        <v>1</v>
      </c>
      <c r="F54" s="0" t="s">
        <v>63</v>
      </c>
      <c r="G54" s="0" t="n">
        <v>16</v>
      </c>
      <c r="H54" s="0" t="n">
        <v>174.27</v>
      </c>
      <c r="I54" s="0" t="s">
        <v>197</v>
      </c>
      <c r="J54" s="0" t="s">
        <v>191</v>
      </c>
      <c r="K54" s="0" t="s">
        <v>66</v>
      </c>
    </row>
    <row r="55" customFormat="false" ht="15" hidden="false" customHeight="false" outlineLevel="0" collapsed="false">
      <c r="A55" s="0" t="s">
        <v>198</v>
      </c>
      <c r="B55" s="0" t="s">
        <v>199</v>
      </c>
      <c r="C55" s="0" t="n">
        <v>2.98</v>
      </c>
      <c r="D55" s="0" t="n">
        <v>12.923</v>
      </c>
      <c r="E55" s="0" t="n">
        <v>1</v>
      </c>
      <c r="F55" s="0" t="s">
        <v>63</v>
      </c>
      <c r="G55" s="0" t="n">
        <v>16</v>
      </c>
      <c r="H55" s="0" t="n">
        <v>38.51</v>
      </c>
      <c r="I55" s="0" t="s">
        <v>200</v>
      </c>
      <c r="J55" s="0" t="s">
        <v>191</v>
      </c>
      <c r="K55" s="0" t="s">
        <v>66</v>
      </c>
    </row>
    <row r="56" customFormat="false" ht="15" hidden="false" customHeight="false" outlineLevel="0" collapsed="false">
      <c r="A56" s="0" t="s">
        <v>201</v>
      </c>
      <c r="B56" s="0" t="s">
        <v>202</v>
      </c>
      <c r="C56" s="0" t="n">
        <v>3.53</v>
      </c>
      <c r="D56" s="0" t="n">
        <v>15.375</v>
      </c>
      <c r="E56" s="0" t="n">
        <v>1</v>
      </c>
      <c r="F56" s="0" t="s">
        <v>63</v>
      </c>
      <c r="G56" s="0" t="n">
        <v>16</v>
      </c>
      <c r="H56" s="0" t="n">
        <v>54.27</v>
      </c>
      <c r="I56" s="0" t="s">
        <v>203</v>
      </c>
      <c r="J56" s="0" t="s">
        <v>204</v>
      </c>
      <c r="K56" s="0" t="s">
        <v>66</v>
      </c>
    </row>
    <row r="57" customFormat="false" ht="15" hidden="false" customHeight="false" outlineLevel="0" collapsed="false">
      <c r="A57" s="0" t="s">
        <v>205</v>
      </c>
      <c r="B57" s="0" t="s">
        <v>206</v>
      </c>
      <c r="C57" s="0" t="n">
        <v>3.577</v>
      </c>
      <c r="D57" s="0" t="n">
        <v>15.375</v>
      </c>
      <c r="E57" s="0" t="n">
        <v>1</v>
      </c>
      <c r="F57" s="0" t="s">
        <v>63</v>
      </c>
      <c r="G57" s="0" t="n">
        <v>16</v>
      </c>
      <c r="H57" s="0" t="n">
        <v>55</v>
      </c>
      <c r="I57" s="0" t="s">
        <v>203</v>
      </c>
      <c r="J57" s="0" t="s">
        <v>207</v>
      </c>
      <c r="K57" s="0" t="s">
        <v>66</v>
      </c>
    </row>
    <row r="58" customFormat="false" ht="15" hidden="false" customHeight="false" outlineLevel="0" collapsed="false">
      <c r="A58" s="0" t="s">
        <v>208</v>
      </c>
      <c r="B58" s="0" t="s">
        <v>209</v>
      </c>
      <c r="C58" s="0" t="n">
        <v>4</v>
      </c>
      <c r="D58" s="0" t="n">
        <v>15.375</v>
      </c>
      <c r="E58" s="0" t="n">
        <v>1</v>
      </c>
      <c r="F58" s="0" t="s">
        <v>63</v>
      </c>
      <c r="G58" s="0" t="n">
        <v>16</v>
      </c>
      <c r="H58" s="0" t="n">
        <v>61.5</v>
      </c>
      <c r="I58" s="0" t="s">
        <v>210</v>
      </c>
      <c r="J58" s="0" t="s">
        <v>191</v>
      </c>
      <c r="K58" s="0" t="s">
        <v>66</v>
      </c>
    </row>
    <row r="59" customFormat="false" ht="15" hidden="false" customHeight="false" outlineLevel="0" collapsed="false">
      <c r="A59" s="0" t="s">
        <v>211</v>
      </c>
      <c r="B59" s="0" t="s">
        <v>212</v>
      </c>
      <c r="C59" s="0" t="n">
        <v>2</v>
      </c>
      <c r="D59" s="0" t="n">
        <v>15.375</v>
      </c>
      <c r="E59" s="0" t="n">
        <v>1</v>
      </c>
      <c r="F59" s="0" t="s">
        <v>63</v>
      </c>
      <c r="G59" s="0" t="n">
        <v>16</v>
      </c>
      <c r="H59" s="0" t="n">
        <v>30.75</v>
      </c>
      <c r="I59" s="0" t="s">
        <v>210</v>
      </c>
      <c r="J59" s="0" t="s">
        <v>191</v>
      </c>
      <c r="K59" s="0" t="s">
        <v>66</v>
      </c>
    </row>
    <row r="60" customFormat="false" ht="15" hidden="false" customHeight="false" outlineLevel="0" collapsed="false">
      <c r="A60" s="5" t="s">
        <v>213</v>
      </c>
    </row>
    <row r="61" customFormat="false" ht="15" hidden="false" customHeight="false" outlineLevel="0" collapsed="false">
      <c r="A61" s="0" t="s">
        <v>214</v>
      </c>
      <c r="B61" s="0" t="s">
        <v>215</v>
      </c>
      <c r="C61" s="0" t="n">
        <v>13.186</v>
      </c>
      <c r="D61" s="0" t="n">
        <v>14.358</v>
      </c>
      <c r="E61" s="0" t="n">
        <v>1</v>
      </c>
      <c r="F61" s="0" t="s">
        <v>83</v>
      </c>
      <c r="G61" s="0" t="n">
        <v>16</v>
      </c>
      <c r="H61" s="0" t="n">
        <v>189.32</v>
      </c>
      <c r="I61" s="0" t="s">
        <v>216</v>
      </c>
      <c r="J61" s="0" t="s">
        <v>217</v>
      </c>
      <c r="K61" s="0" t="s">
        <v>66</v>
      </c>
    </row>
    <row r="62" customFormat="false" ht="15" hidden="false" customHeight="false" outlineLevel="0" collapsed="false">
      <c r="A62" s="0" t="s">
        <v>218</v>
      </c>
      <c r="B62" s="0" t="s">
        <v>219</v>
      </c>
      <c r="C62" s="0" t="n">
        <v>75.334</v>
      </c>
      <c r="D62" s="0" t="n">
        <v>13.547</v>
      </c>
      <c r="E62" s="0" t="n">
        <v>1</v>
      </c>
      <c r="F62" s="0" t="s">
        <v>83</v>
      </c>
      <c r="G62" s="0" t="n">
        <v>16</v>
      </c>
      <c r="H62" s="0" t="n">
        <v>956.58</v>
      </c>
      <c r="I62" s="0" t="s">
        <v>220</v>
      </c>
      <c r="J62" s="0" t="s">
        <v>217</v>
      </c>
      <c r="K62" s="0" t="s">
        <v>66</v>
      </c>
    </row>
    <row r="63" customFormat="false" ht="15" hidden="false" customHeight="false" outlineLevel="0" collapsed="false">
      <c r="A63" s="0" t="s">
        <v>221</v>
      </c>
      <c r="B63" s="0" t="s">
        <v>222</v>
      </c>
      <c r="C63" s="0" t="n">
        <v>52.833</v>
      </c>
      <c r="D63" s="0" t="n">
        <v>11.056</v>
      </c>
      <c r="E63" s="0" t="n">
        <v>1</v>
      </c>
      <c r="F63" s="0" t="s">
        <v>83</v>
      </c>
      <c r="G63" s="0" t="n">
        <v>16</v>
      </c>
      <c r="H63" s="0" t="n">
        <v>556.9</v>
      </c>
      <c r="I63" s="0" t="s">
        <v>223</v>
      </c>
      <c r="J63" s="0" t="s">
        <v>217</v>
      </c>
      <c r="K63" s="0" t="s">
        <v>66</v>
      </c>
    </row>
    <row r="64" customFormat="false" ht="15" hidden="false" customHeight="false" outlineLevel="0" collapsed="false">
      <c r="A64" s="0" t="s">
        <v>224</v>
      </c>
      <c r="B64" s="0" t="s">
        <v>225</v>
      </c>
      <c r="C64" s="0" t="n">
        <v>47.874</v>
      </c>
      <c r="D64" s="0" t="n">
        <v>12.943</v>
      </c>
      <c r="E64" s="0" t="n">
        <v>1</v>
      </c>
      <c r="F64" s="0" t="s">
        <v>83</v>
      </c>
      <c r="G64" s="0" t="n">
        <v>16</v>
      </c>
      <c r="H64" s="0" t="n">
        <v>587.63</v>
      </c>
      <c r="I64" s="0" t="s">
        <v>226</v>
      </c>
      <c r="J64" s="0" t="s">
        <v>217</v>
      </c>
      <c r="K64" s="0" t="s">
        <v>66</v>
      </c>
    </row>
    <row r="65" customFormat="false" ht="15" hidden="false" customHeight="false" outlineLevel="0" collapsed="false">
      <c r="A65" s="0" t="s">
        <v>227</v>
      </c>
      <c r="B65" s="0" t="s">
        <v>228</v>
      </c>
      <c r="C65" s="0" t="n">
        <v>3.902</v>
      </c>
      <c r="D65" s="0" t="n">
        <v>14.358</v>
      </c>
      <c r="E65" s="0" t="n">
        <v>1</v>
      </c>
      <c r="F65" s="0" t="s">
        <v>83</v>
      </c>
      <c r="G65" s="0" t="n">
        <v>16</v>
      </c>
      <c r="H65" s="0" t="n">
        <v>56.02</v>
      </c>
      <c r="I65" s="0" t="s">
        <v>226</v>
      </c>
      <c r="J65" s="0" t="s">
        <v>217</v>
      </c>
      <c r="K65" s="0" t="s">
        <v>66</v>
      </c>
    </row>
    <row r="66" customFormat="false" ht="15" hidden="false" customHeight="false" outlineLevel="0" collapsed="false">
      <c r="A66" s="0" t="s">
        <v>229</v>
      </c>
      <c r="B66" s="0" t="s">
        <v>230</v>
      </c>
      <c r="C66" s="0" t="n">
        <v>20.96</v>
      </c>
      <c r="D66" s="0" t="n">
        <v>14.067</v>
      </c>
      <c r="E66" s="0" t="n">
        <v>1</v>
      </c>
      <c r="F66" s="0" t="s">
        <v>83</v>
      </c>
      <c r="G66" s="0" t="n">
        <v>16</v>
      </c>
      <c r="H66" s="0" t="n">
        <v>289.16</v>
      </c>
      <c r="I66" s="0" t="s">
        <v>226</v>
      </c>
      <c r="J66" s="0" t="s">
        <v>217</v>
      </c>
      <c r="K66" s="0" t="s">
        <v>66</v>
      </c>
    </row>
    <row r="67" customFormat="false" ht="15" hidden="false" customHeight="false" outlineLevel="0" collapsed="false">
      <c r="A67" s="5" t="s">
        <v>231</v>
      </c>
    </row>
    <row r="68" customFormat="false" ht="15" hidden="false" customHeight="false" outlineLevel="0" collapsed="false">
      <c r="A68" s="0" t="s">
        <v>232</v>
      </c>
      <c r="B68" s="0" t="s">
        <v>233</v>
      </c>
      <c r="C68" s="0" t="n">
        <v>56.187</v>
      </c>
      <c r="D68" s="0" t="n">
        <v>2.695</v>
      </c>
      <c r="E68" s="0" t="n">
        <v>0</v>
      </c>
      <c r="F68" s="0" t="s">
        <v>234</v>
      </c>
      <c r="G68" s="0" t="n">
        <v>16</v>
      </c>
      <c r="H68" s="0" t="n">
        <v>0</v>
      </c>
      <c r="I68" s="0" t="s">
        <v>235</v>
      </c>
      <c r="J68" s="0" t="s">
        <v>236</v>
      </c>
      <c r="K68" s="0" t="s">
        <v>66</v>
      </c>
    </row>
    <row r="69" customFormat="false" ht="15" hidden="false" customHeight="false" outlineLevel="0" collapsed="false">
      <c r="A69" s="0" t="s">
        <v>237</v>
      </c>
      <c r="B69" s="0" t="s">
        <v>238</v>
      </c>
      <c r="C69" s="0" t="n">
        <v>75.887</v>
      </c>
      <c r="D69" s="0" t="n">
        <v>2.901</v>
      </c>
      <c r="E69" s="0" t="n">
        <v>0</v>
      </c>
      <c r="F69" s="0" t="s">
        <v>234</v>
      </c>
      <c r="G69" s="0" t="n">
        <v>16</v>
      </c>
      <c r="H69" s="0" t="n">
        <v>0</v>
      </c>
      <c r="I69" s="0" t="s">
        <v>239</v>
      </c>
      <c r="J69" s="0" t="s">
        <v>236</v>
      </c>
      <c r="K69" s="0" t="s">
        <v>66</v>
      </c>
    </row>
    <row r="70" customFormat="false" ht="15" hidden="false" customHeight="false" outlineLevel="0" collapsed="false">
      <c r="A70" s="0" t="s">
        <v>240</v>
      </c>
      <c r="B70" s="0" t="s">
        <v>241</v>
      </c>
      <c r="C70" s="0" t="n">
        <v>52.283</v>
      </c>
      <c r="D70" s="0" t="n">
        <v>4.886</v>
      </c>
      <c r="E70" s="0" t="n">
        <v>0</v>
      </c>
      <c r="F70" s="0" t="s">
        <v>234</v>
      </c>
      <c r="G70" s="0" t="n">
        <v>16</v>
      </c>
      <c r="H70" s="0" t="n">
        <v>0</v>
      </c>
      <c r="I70" s="0" t="s">
        <v>241</v>
      </c>
      <c r="J70" s="0" t="s">
        <v>236</v>
      </c>
      <c r="K70" s="0" t="s">
        <v>66</v>
      </c>
    </row>
    <row r="71" customFormat="false" ht="15" hidden="false" customHeight="false" outlineLevel="0" collapsed="false">
      <c r="A71" s="0" t="s">
        <v>242</v>
      </c>
      <c r="B71" s="0" t="s">
        <v>243</v>
      </c>
      <c r="C71" s="0" t="n">
        <v>47.873</v>
      </c>
      <c r="D71" s="0" t="n">
        <v>3.403</v>
      </c>
      <c r="E71" s="0" t="n">
        <v>0</v>
      </c>
      <c r="F71" s="0" t="s">
        <v>234</v>
      </c>
      <c r="G71" s="0" t="n">
        <v>16</v>
      </c>
      <c r="H71" s="0" t="n">
        <v>0</v>
      </c>
      <c r="I71" s="0" t="s">
        <v>244</v>
      </c>
      <c r="J71" s="0" t="s">
        <v>236</v>
      </c>
      <c r="K71" s="0" t="s">
        <v>66</v>
      </c>
    </row>
    <row r="72" customFormat="false" ht="15" hidden="false" customHeight="false" outlineLevel="0" collapsed="false">
      <c r="A72" s="0" t="s">
        <v>245</v>
      </c>
      <c r="B72" s="0" t="s">
        <v>246</v>
      </c>
      <c r="C72" s="0" t="n">
        <v>28.013</v>
      </c>
      <c r="D72" s="0" t="n">
        <v>4.292</v>
      </c>
      <c r="E72" s="0" t="n">
        <v>0</v>
      </c>
      <c r="F72" s="0" t="s">
        <v>234</v>
      </c>
      <c r="G72" s="0" t="n">
        <v>16</v>
      </c>
      <c r="H72" s="0" t="n">
        <v>0</v>
      </c>
      <c r="I72" s="0" t="s">
        <v>246</v>
      </c>
      <c r="J72" s="0" t="s">
        <v>236</v>
      </c>
      <c r="K72" s="0" t="s">
        <v>66</v>
      </c>
    </row>
    <row r="73" customFormat="false" ht="15" hidden="false" customHeight="false" outlineLevel="0" collapsed="false">
      <c r="A73" s="0" t="s">
        <v>247</v>
      </c>
      <c r="B73" s="0" t="s">
        <v>248</v>
      </c>
      <c r="C73" s="0" t="n">
        <v>16.298</v>
      </c>
      <c r="D73" s="0" t="n">
        <v>4.292</v>
      </c>
      <c r="E73" s="0" t="n">
        <v>0</v>
      </c>
      <c r="F73" s="0" t="s">
        <v>234</v>
      </c>
      <c r="G73" s="0" t="n">
        <v>16</v>
      </c>
      <c r="H73" s="0" t="n">
        <v>0</v>
      </c>
      <c r="I73" s="0" t="s">
        <v>249</v>
      </c>
      <c r="J73" s="0" t="s">
        <v>236</v>
      </c>
      <c r="K73" s="0" t="s">
        <v>66</v>
      </c>
    </row>
    <row r="74" customFormat="false" ht="15" hidden="false" customHeight="false" outlineLevel="0" collapsed="false">
      <c r="A74" s="0" t="s">
        <v>250</v>
      </c>
      <c r="B74" s="0" t="s">
        <v>251</v>
      </c>
      <c r="C74" s="0" t="n">
        <v>28.013</v>
      </c>
      <c r="D74" s="0" t="n">
        <v>4.292</v>
      </c>
      <c r="E74" s="0" t="n">
        <v>0</v>
      </c>
      <c r="F74" s="0" t="s">
        <v>234</v>
      </c>
      <c r="G74" s="0" t="n">
        <v>16</v>
      </c>
      <c r="H74" s="0" t="n">
        <v>0</v>
      </c>
      <c r="I74" s="0" t="s">
        <v>251</v>
      </c>
      <c r="J74" s="0" t="s">
        <v>236</v>
      </c>
      <c r="K74" s="0" t="s">
        <v>66</v>
      </c>
    </row>
    <row r="75" customFormat="false" ht="15" hidden="false" customHeight="false" outlineLevel="0" collapsed="false">
      <c r="A75" s="5" t="s">
        <v>252</v>
      </c>
    </row>
    <row r="76" customFormat="false" ht="15" hidden="false" customHeight="false" outlineLevel="0" collapsed="false">
      <c r="A76" s="0" t="s">
        <v>253</v>
      </c>
      <c r="B76" s="0" t="s">
        <v>254</v>
      </c>
      <c r="C76" s="0" t="n">
        <v>5.667</v>
      </c>
      <c r="D76" s="0" t="n">
        <v>10.5</v>
      </c>
      <c r="E76" s="0" t="n">
        <v>0</v>
      </c>
      <c r="F76" s="0" t="s">
        <v>63</v>
      </c>
      <c r="G76" s="0" t="n">
        <v>16</v>
      </c>
      <c r="H76" s="0" t="n">
        <v>0</v>
      </c>
      <c r="I76" s="0" t="s">
        <v>254</v>
      </c>
      <c r="J76" s="0" t="s">
        <v>255</v>
      </c>
      <c r="K76" s="0" t="s">
        <v>66</v>
      </c>
    </row>
    <row r="77" customFormat="false" ht="15" hidden="false" customHeight="false" outlineLevel="0" collapsed="false">
      <c r="A77" s="0" t="s">
        <v>256</v>
      </c>
      <c r="B77" s="0" t="s">
        <v>257</v>
      </c>
      <c r="C77" s="0" t="n">
        <v>5.667</v>
      </c>
      <c r="D77" s="0" t="n">
        <v>10.5</v>
      </c>
      <c r="E77" s="0" t="n">
        <v>0</v>
      </c>
      <c r="F77" s="0" t="s">
        <v>63</v>
      </c>
      <c r="G77" s="0" t="n">
        <v>16</v>
      </c>
      <c r="H77" s="0" t="n">
        <v>0</v>
      </c>
      <c r="I77" s="0" t="s">
        <v>257</v>
      </c>
      <c r="J77" s="0" t="s">
        <v>255</v>
      </c>
      <c r="K77" s="0" t="s">
        <v>66</v>
      </c>
    </row>
    <row r="78" customFormat="false" ht="15" hidden="false" customHeight="false" outlineLevel="0" collapsed="false">
      <c r="A78" s="0" t="s">
        <v>258</v>
      </c>
      <c r="B78" s="0" t="s">
        <v>259</v>
      </c>
      <c r="C78" s="0" t="n">
        <v>5.667</v>
      </c>
      <c r="D78" s="0" t="n">
        <v>10.5</v>
      </c>
      <c r="E78" s="0" t="n">
        <v>0</v>
      </c>
      <c r="F78" s="0" t="s">
        <v>63</v>
      </c>
      <c r="G78" s="0" t="n">
        <v>16</v>
      </c>
      <c r="H78" s="0" t="n">
        <v>0</v>
      </c>
      <c r="I78" s="0" t="s">
        <v>259</v>
      </c>
      <c r="J78" s="0" t="s">
        <v>255</v>
      </c>
      <c r="K78" s="0" t="s">
        <v>66</v>
      </c>
    </row>
    <row r="79" customFormat="false" ht="15" hidden="false" customHeight="false" outlineLevel="0" collapsed="false">
      <c r="A79" s="0" t="s">
        <v>260</v>
      </c>
      <c r="B79" s="0" t="s">
        <v>261</v>
      </c>
      <c r="C79" s="0" t="n">
        <v>5.667</v>
      </c>
      <c r="D79" s="0" t="n">
        <v>10.5</v>
      </c>
      <c r="E79" s="0" t="n">
        <v>0</v>
      </c>
      <c r="F79" s="0" t="s">
        <v>63</v>
      </c>
      <c r="G79" s="0" t="n">
        <v>16</v>
      </c>
      <c r="H79" s="0" t="n">
        <v>0</v>
      </c>
      <c r="I79" s="0" t="s">
        <v>261</v>
      </c>
      <c r="J79" s="0" t="s">
        <v>255</v>
      </c>
      <c r="K79" s="0" t="s">
        <v>66</v>
      </c>
    </row>
    <row r="80" customFormat="false" ht="15" hidden="false" customHeight="false" outlineLevel="0" collapsed="false">
      <c r="B80" s="6" t="s">
        <v>262</v>
      </c>
      <c r="C80" s="4" t="n">
        <f aca="false">SUM(C5:C79)</f>
        <v>993.166</v>
      </c>
      <c r="H80" s="4" t="n">
        <f aca="false">SUM(H5:H79)</f>
        <v>15661.95</v>
      </c>
    </row>
    <row r="82" customFormat="false" ht="15" hidden="false" customHeight="false" outlineLevel="0" collapsed="false">
      <c r="A82" s="5" t="s">
        <v>263</v>
      </c>
    </row>
    <row r="83" customFormat="false" ht="15" hidden="false" customHeight="false" outlineLevel="0" collapsed="false">
      <c r="A83" s="0" t="s">
        <v>264</v>
      </c>
      <c r="B83" s="0" t="s">
        <v>265</v>
      </c>
      <c r="C83" s="0" t="n">
        <v>12.561</v>
      </c>
      <c r="D83" s="0" t="n">
        <v>6</v>
      </c>
      <c r="E83" s="0" t="n">
        <v>1</v>
      </c>
      <c r="F83" s="0" t="s">
        <v>83</v>
      </c>
      <c r="G83" s="0" t="n">
        <v>16</v>
      </c>
      <c r="H83" s="0" t="n">
        <v>75.37</v>
      </c>
      <c r="I83" s="0" t="s">
        <v>266</v>
      </c>
      <c r="J83" s="0" t="s">
        <v>217</v>
      </c>
      <c r="K83" s="0" t="s">
        <v>66</v>
      </c>
    </row>
    <row r="84" customFormat="false" ht="15" hidden="false" customHeight="false" outlineLevel="0" collapsed="false">
      <c r="A84" s="0" t="s">
        <v>267</v>
      </c>
      <c r="B84" s="0" t="s">
        <v>268</v>
      </c>
      <c r="C84" s="0" t="n">
        <v>26.248</v>
      </c>
      <c r="D84" s="0" t="n">
        <v>4.692</v>
      </c>
      <c r="E84" s="0" t="n">
        <v>1</v>
      </c>
      <c r="F84" s="0" t="s">
        <v>83</v>
      </c>
      <c r="G84" s="0" t="n">
        <v>16</v>
      </c>
      <c r="H84" s="0" t="n">
        <v>123.16</v>
      </c>
      <c r="I84" s="0" t="s">
        <v>269</v>
      </c>
      <c r="J84" s="0" t="s">
        <v>217</v>
      </c>
      <c r="K84" s="0" t="s">
        <v>66</v>
      </c>
    </row>
    <row r="85" customFormat="false" ht="15" hidden="false" customHeight="false" outlineLevel="0" collapsed="false">
      <c r="A85" s="0" t="s">
        <v>270</v>
      </c>
      <c r="B85" s="0" t="s">
        <v>271</v>
      </c>
      <c r="C85" s="0" t="n">
        <v>6.5</v>
      </c>
      <c r="D85" s="0" t="n">
        <v>4.692</v>
      </c>
      <c r="E85" s="0" t="n">
        <v>1</v>
      </c>
      <c r="F85" s="0" t="s">
        <v>83</v>
      </c>
      <c r="G85" s="0" t="n">
        <v>16</v>
      </c>
      <c r="H85" s="0" t="n">
        <v>30.5</v>
      </c>
      <c r="I85" s="0" t="s">
        <v>272</v>
      </c>
      <c r="J85" s="0" t="s">
        <v>217</v>
      </c>
      <c r="K85" s="0" t="s">
        <v>66</v>
      </c>
    </row>
    <row r="86" customFormat="false" ht="15" hidden="false" customHeight="false" outlineLevel="0" collapsed="false">
      <c r="A86" s="0" t="s">
        <v>273</v>
      </c>
      <c r="B86" s="0" t="s">
        <v>274</v>
      </c>
      <c r="C86" s="0" t="n">
        <v>15.646</v>
      </c>
      <c r="D86" s="0" t="n">
        <v>5.375</v>
      </c>
      <c r="E86" s="0" t="n">
        <v>0</v>
      </c>
      <c r="F86" s="0" t="s">
        <v>63</v>
      </c>
      <c r="G86" s="0" t="n">
        <v>16</v>
      </c>
      <c r="H86" s="0" t="n">
        <v>0</v>
      </c>
      <c r="I86" s="0" t="s">
        <v>274</v>
      </c>
      <c r="J86" s="0" t="s">
        <v>275</v>
      </c>
      <c r="K86" s="0" t="s">
        <v>79</v>
      </c>
    </row>
    <row r="87" customFormat="false" ht="15" hidden="false" customHeight="false" outlineLevel="0" collapsed="false">
      <c r="A87" s="0" t="s">
        <v>276</v>
      </c>
      <c r="B87" s="0" t="s">
        <v>277</v>
      </c>
      <c r="C87" s="0" t="n">
        <v>6.417</v>
      </c>
      <c r="D87" s="0" t="n">
        <v>4.383</v>
      </c>
      <c r="E87" s="0" t="n">
        <v>0</v>
      </c>
      <c r="F87" s="0" t="s">
        <v>63</v>
      </c>
      <c r="G87" s="0" t="n">
        <v>16</v>
      </c>
      <c r="H87" s="0" t="n">
        <v>0</v>
      </c>
      <c r="I87" s="0" t="s">
        <v>277</v>
      </c>
      <c r="J87" s="0" t="s">
        <v>275</v>
      </c>
      <c r="K87" s="0" t="s">
        <v>79</v>
      </c>
    </row>
    <row r="88" customFormat="false" ht="15" hidden="false" customHeight="false" outlineLevel="0" collapsed="false">
      <c r="A88" s="0" t="s">
        <v>278</v>
      </c>
      <c r="B88" s="0" t="s">
        <v>279</v>
      </c>
      <c r="C88" s="0" t="n">
        <v>13.333</v>
      </c>
      <c r="D88" s="0" t="n">
        <v>2</v>
      </c>
      <c r="E88" s="0" t="n">
        <v>2</v>
      </c>
      <c r="F88" s="0" t="s">
        <v>280</v>
      </c>
      <c r="G88" s="0" t="n">
        <v>16</v>
      </c>
      <c r="H88" s="0" t="n">
        <v>53.34</v>
      </c>
      <c r="I88" s="0" t="s">
        <v>281</v>
      </c>
      <c r="J88" s="0" t="s">
        <v>282</v>
      </c>
      <c r="K88" s="0" t="s">
        <v>79</v>
      </c>
    </row>
    <row r="89" customFormat="false" ht="15" hidden="false" customHeight="false" outlineLevel="0" collapsed="false">
      <c r="A89" s="0" t="s">
        <v>283</v>
      </c>
      <c r="B89" s="0" t="s">
        <v>284</v>
      </c>
      <c r="C89" s="0" t="n">
        <v>77.027</v>
      </c>
      <c r="D89" s="0" t="n">
        <v>4.375</v>
      </c>
      <c r="E89" s="0" t="n">
        <v>1</v>
      </c>
      <c r="F89" s="0" t="s">
        <v>63</v>
      </c>
      <c r="G89" s="0" t="n">
        <v>16</v>
      </c>
      <c r="H89" s="0" t="n">
        <v>38.51</v>
      </c>
      <c r="I89" s="0" t="s">
        <v>285</v>
      </c>
      <c r="J89" s="0" t="s">
        <v>286</v>
      </c>
      <c r="K89" s="0" t="s">
        <v>66</v>
      </c>
    </row>
    <row r="90" customFormat="false" ht="15" hidden="false" customHeight="false" outlineLevel="0" collapsed="false">
      <c r="A90" s="0" t="s">
        <v>287</v>
      </c>
      <c r="B90" s="0" t="s">
        <v>288</v>
      </c>
      <c r="C90" s="0" t="n">
        <v>6.44</v>
      </c>
      <c r="D90" s="0" t="n">
        <v>7.375</v>
      </c>
      <c r="E90" s="0" t="n">
        <v>1</v>
      </c>
      <c r="F90" s="0" t="s">
        <v>63</v>
      </c>
      <c r="G90" s="0" t="n">
        <v>16</v>
      </c>
      <c r="H90" s="0" t="n">
        <v>6.44</v>
      </c>
      <c r="I90" s="0" t="s">
        <v>289</v>
      </c>
      <c r="J90" s="0" t="s">
        <v>290</v>
      </c>
      <c r="K90" s="0" t="s">
        <v>66</v>
      </c>
    </row>
    <row r="91" customFormat="false" ht="15" hidden="false" customHeight="false" outlineLevel="0" collapsed="false">
      <c r="A91" s="0" t="s">
        <v>291</v>
      </c>
      <c r="B91" s="0" t="s">
        <v>292</v>
      </c>
      <c r="C91" s="0" t="n">
        <v>5.573</v>
      </c>
      <c r="D91" s="0" t="n">
        <v>5.052</v>
      </c>
      <c r="E91" s="0" t="n">
        <v>1</v>
      </c>
      <c r="F91" s="0" t="s">
        <v>63</v>
      </c>
      <c r="G91" s="0" t="n">
        <v>16</v>
      </c>
      <c r="H91" s="0" t="n">
        <v>5.57</v>
      </c>
      <c r="I91" s="0" t="s">
        <v>289</v>
      </c>
      <c r="J91" s="0" t="s">
        <v>290</v>
      </c>
      <c r="K91" s="0" t="s">
        <v>66</v>
      </c>
    </row>
    <row r="92" customFormat="false" ht="15" hidden="false" customHeight="false" outlineLevel="0" collapsed="false">
      <c r="A92" s="0" t="s">
        <v>293</v>
      </c>
      <c r="B92" s="0" t="s">
        <v>294</v>
      </c>
      <c r="C92" s="0" t="n">
        <v>6.44</v>
      </c>
      <c r="D92" s="0" t="n">
        <v>7.375</v>
      </c>
      <c r="E92" s="0" t="n">
        <v>1</v>
      </c>
      <c r="F92" s="0" t="s">
        <v>63</v>
      </c>
      <c r="G92" s="0" t="n">
        <v>16</v>
      </c>
      <c r="H92" s="0" t="n">
        <v>6.44</v>
      </c>
      <c r="I92" s="0" t="s">
        <v>289</v>
      </c>
      <c r="J92" s="0" t="s">
        <v>290</v>
      </c>
      <c r="K92" s="0" t="s">
        <v>66</v>
      </c>
    </row>
    <row r="93" customFormat="false" ht="15" hidden="false" customHeight="false" outlineLevel="0" collapsed="false">
      <c r="A93" s="0" t="s">
        <v>295</v>
      </c>
      <c r="B93" s="0" t="s">
        <v>296</v>
      </c>
      <c r="C93" s="0" t="n">
        <v>5.573</v>
      </c>
      <c r="D93" s="0" t="n">
        <v>5.052</v>
      </c>
      <c r="E93" s="0" t="n">
        <v>1</v>
      </c>
      <c r="F93" s="0" t="s">
        <v>63</v>
      </c>
      <c r="G93" s="0" t="n">
        <v>16</v>
      </c>
      <c r="H93" s="0" t="n">
        <v>5.57</v>
      </c>
      <c r="I93" s="0" t="s">
        <v>289</v>
      </c>
      <c r="J93" s="0" t="s">
        <v>290</v>
      </c>
      <c r="K93" s="0" t="s">
        <v>66</v>
      </c>
    </row>
    <row r="94" customFormat="false" ht="15" hidden="false" customHeight="false" outlineLevel="0" collapsed="false">
      <c r="A94" s="0" t="s">
        <v>297</v>
      </c>
      <c r="B94" s="0" t="s">
        <v>298</v>
      </c>
      <c r="C94" s="0" t="n">
        <v>51.733</v>
      </c>
      <c r="D94" s="0" t="n">
        <v>2.823</v>
      </c>
      <c r="E94" s="0" t="n">
        <v>0</v>
      </c>
      <c r="F94" s="0" t="s">
        <v>63</v>
      </c>
      <c r="G94" s="0" t="n">
        <v>16</v>
      </c>
      <c r="H94" s="0" t="n">
        <v>0</v>
      </c>
      <c r="I94" s="0" t="s">
        <v>298</v>
      </c>
      <c r="J94" s="0" t="s">
        <v>299</v>
      </c>
      <c r="K94" s="0" t="s">
        <v>66</v>
      </c>
    </row>
    <row r="95" customFormat="false" ht="15" hidden="false" customHeight="false" outlineLevel="0" collapsed="false">
      <c r="A95" s="0" t="s">
        <v>300</v>
      </c>
      <c r="B95" s="0" t="s">
        <v>301</v>
      </c>
      <c r="C95" s="0" t="n">
        <v>51.733</v>
      </c>
      <c r="D95" s="0" t="n">
        <v>6.375</v>
      </c>
      <c r="E95" s="0" t="n">
        <v>1</v>
      </c>
      <c r="F95" s="0" t="s">
        <v>63</v>
      </c>
      <c r="G95" s="0" t="n">
        <v>16</v>
      </c>
      <c r="H95" s="0" t="n">
        <v>329.8</v>
      </c>
      <c r="I95" s="0" t="s">
        <v>302</v>
      </c>
      <c r="J95" s="0" t="s">
        <v>299</v>
      </c>
      <c r="K95" s="0" t="s">
        <v>66</v>
      </c>
    </row>
    <row r="96" customFormat="false" ht="15" hidden="false" customHeight="false" outlineLevel="0" collapsed="false">
      <c r="A96" s="0" t="s">
        <v>303</v>
      </c>
      <c r="B96" s="0" t="s">
        <v>304</v>
      </c>
      <c r="C96" s="0" t="n">
        <v>51.733</v>
      </c>
      <c r="D96" s="0" t="n">
        <v>4.052</v>
      </c>
      <c r="E96" s="0" t="n">
        <v>1</v>
      </c>
      <c r="F96" s="0" t="s">
        <v>63</v>
      </c>
      <c r="G96" s="0" t="n">
        <v>16</v>
      </c>
      <c r="H96" s="0" t="n">
        <v>209.62</v>
      </c>
      <c r="I96" s="0" t="s">
        <v>302</v>
      </c>
      <c r="J96" s="0" t="s">
        <v>299</v>
      </c>
      <c r="K96" s="0" t="s">
        <v>66</v>
      </c>
    </row>
    <row r="97" customFormat="false" ht="15" hidden="false" customHeight="false" outlineLevel="0" collapsed="false">
      <c r="A97" s="0" t="s">
        <v>305</v>
      </c>
      <c r="B97" s="0" t="s">
        <v>306</v>
      </c>
      <c r="C97" s="0" t="n">
        <v>78.16</v>
      </c>
      <c r="D97" s="0" t="n">
        <v>1.979</v>
      </c>
      <c r="E97" s="0" t="n">
        <v>0</v>
      </c>
      <c r="F97" s="0" t="s">
        <v>307</v>
      </c>
      <c r="G97" s="0" t="n">
        <v>16</v>
      </c>
      <c r="H97" s="0" t="n">
        <v>0</v>
      </c>
      <c r="I97" s="0" t="s">
        <v>306</v>
      </c>
      <c r="J97" s="0" t="s">
        <v>308</v>
      </c>
      <c r="K97" s="0" t="s">
        <v>66</v>
      </c>
    </row>
    <row r="98" customFormat="false" ht="15" hidden="false" customHeight="false" outlineLevel="0" collapsed="false">
      <c r="A98" s="0" t="s">
        <v>309</v>
      </c>
      <c r="B98" s="0" t="s">
        <v>310</v>
      </c>
      <c r="C98" s="0" t="n">
        <v>52.08</v>
      </c>
      <c r="D98" s="0" t="n">
        <v>1.979</v>
      </c>
      <c r="E98" s="0" t="n">
        <v>0</v>
      </c>
      <c r="F98" s="0" t="s">
        <v>307</v>
      </c>
      <c r="G98" s="0" t="n">
        <v>16</v>
      </c>
      <c r="H98" s="0" t="n">
        <v>0</v>
      </c>
      <c r="I98" s="0" t="s">
        <v>310</v>
      </c>
      <c r="J98" s="0" t="s">
        <v>308</v>
      </c>
      <c r="K98" s="0" t="s">
        <v>66</v>
      </c>
    </row>
    <row r="99" customFormat="false" ht="15" hidden="false" customHeight="false" outlineLevel="0" collapsed="false">
      <c r="A99" s="0" t="s">
        <v>311</v>
      </c>
      <c r="B99" s="0" t="s">
        <v>312</v>
      </c>
      <c r="C99" s="0" t="n">
        <v>2.993</v>
      </c>
      <c r="D99" s="0" t="n">
        <v>1.979</v>
      </c>
      <c r="E99" s="0" t="n">
        <v>0</v>
      </c>
      <c r="F99" s="0" t="s">
        <v>307</v>
      </c>
      <c r="G99" s="0" t="n">
        <v>16</v>
      </c>
      <c r="H99" s="0" t="n">
        <v>0</v>
      </c>
      <c r="I99" s="0" t="s">
        <v>312</v>
      </c>
      <c r="J99" s="0" t="s">
        <v>308</v>
      </c>
      <c r="K99" s="0" t="s">
        <v>66</v>
      </c>
    </row>
    <row r="100" customFormat="false" ht="15" hidden="false" customHeight="false" outlineLevel="0" collapsed="false">
      <c r="A100" s="0" t="s">
        <v>313</v>
      </c>
      <c r="B100" s="0" t="s">
        <v>314</v>
      </c>
      <c r="C100" s="0" t="n">
        <v>56.02</v>
      </c>
      <c r="D100" s="0" t="n">
        <v>1.979</v>
      </c>
      <c r="E100" s="0" t="n">
        <v>0</v>
      </c>
      <c r="F100" s="0" t="s">
        <v>307</v>
      </c>
      <c r="G100" s="0" t="n">
        <v>16</v>
      </c>
      <c r="H100" s="0" t="n">
        <v>0</v>
      </c>
      <c r="I100" s="0" t="s">
        <v>314</v>
      </c>
      <c r="J100" s="0" t="s">
        <v>308</v>
      </c>
      <c r="K100" s="0" t="s">
        <v>66</v>
      </c>
    </row>
    <row r="101" customFormat="false" ht="15" hidden="false" customHeight="false" outlineLevel="0" collapsed="false">
      <c r="A101" s="0" t="s">
        <v>315</v>
      </c>
      <c r="B101" s="0" t="s">
        <v>316</v>
      </c>
      <c r="C101" s="0" t="n">
        <v>21.5</v>
      </c>
      <c r="D101" s="0" t="n">
        <v>1.979</v>
      </c>
      <c r="E101" s="0" t="n">
        <v>0</v>
      </c>
      <c r="F101" s="0" t="s">
        <v>307</v>
      </c>
      <c r="G101" s="0" t="n">
        <v>16</v>
      </c>
      <c r="H101" s="0" t="n">
        <v>0</v>
      </c>
      <c r="I101" s="0" t="s">
        <v>316</v>
      </c>
      <c r="J101" s="0" t="s">
        <v>308</v>
      </c>
      <c r="K101" s="0" t="s">
        <v>66</v>
      </c>
    </row>
    <row r="102" customFormat="false" ht="15" hidden="false" customHeight="false" outlineLevel="0" collapsed="false">
      <c r="A102" s="0" t="s">
        <v>317</v>
      </c>
      <c r="B102" s="0" t="s">
        <v>318</v>
      </c>
      <c r="C102" s="0" t="n">
        <v>23</v>
      </c>
      <c r="D102" s="0" t="n">
        <v>1.979</v>
      </c>
      <c r="E102" s="0" t="n">
        <v>0</v>
      </c>
      <c r="F102" s="0" t="s">
        <v>307</v>
      </c>
      <c r="G102" s="0" t="n">
        <v>16</v>
      </c>
      <c r="H102" s="0" t="n">
        <v>0</v>
      </c>
      <c r="I102" s="0" t="s">
        <v>318</v>
      </c>
      <c r="J102" s="0" t="s">
        <v>308</v>
      </c>
      <c r="K102" s="0" t="s">
        <v>66</v>
      </c>
    </row>
    <row r="103" customFormat="false" ht="15" hidden="false" customHeight="false" outlineLevel="0" collapsed="false">
      <c r="A103" s="0" t="s">
        <v>319</v>
      </c>
      <c r="B103" s="0" t="s">
        <v>320</v>
      </c>
      <c r="C103" s="0" t="n">
        <v>6.174</v>
      </c>
      <c r="D103" s="0" t="n">
        <v>1.979</v>
      </c>
      <c r="E103" s="0" t="n">
        <v>0</v>
      </c>
      <c r="F103" s="0" t="s">
        <v>307</v>
      </c>
      <c r="G103" s="0" t="n">
        <v>16</v>
      </c>
      <c r="H103" s="0" t="n">
        <v>0</v>
      </c>
      <c r="I103" s="0" t="s">
        <v>320</v>
      </c>
      <c r="J103" s="0" t="s">
        <v>308</v>
      </c>
      <c r="K103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321</v>
      </c>
    </row>
    <row r="2" customFormat="false" ht="15" hidden="false" customHeight="false" outlineLevel="0" collapsed="false">
      <c r="A2" s="0" t="s">
        <v>322</v>
      </c>
    </row>
    <row r="3" customFormat="false" ht="15" hidden="false" customHeight="false" outlineLevel="0" collapsed="false">
      <c r="A3" s="2" t="s">
        <v>323</v>
      </c>
      <c r="B3" s="2" t="s">
        <v>324</v>
      </c>
      <c r="C3" s="2" t="s">
        <v>325</v>
      </c>
      <c r="D3" s="2" t="s">
        <v>326</v>
      </c>
      <c r="E3" s="2" t="s">
        <v>327</v>
      </c>
      <c r="F3" s="2" t="s">
        <v>328</v>
      </c>
      <c r="G3" s="2" t="s">
        <v>329</v>
      </c>
      <c r="H3" s="2" t="s">
        <v>330</v>
      </c>
      <c r="I3" s="2" t="s">
        <v>331</v>
      </c>
      <c r="J3" s="2" t="s">
        <v>332</v>
      </c>
    </row>
    <row r="4" customFormat="false" ht="15" hidden="false" customHeight="false" outlineLevel="0" collapsed="false">
      <c r="A4" s="0" t="s">
        <v>333</v>
      </c>
      <c r="B4" s="0" t="s">
        <v>334</v>
      </c>
      <c r="C4" s="0" t="n">
        <v>1176.01</v>
      </c>
      <c r="D4" s="0" t="n">
        <f aca="false">Inputs!$B$5</f>
        <v>0.15</v>
      </c>
      <c r="E4" s="0" t="n">
        <f aca="false">C4*D4</f>
        <v>176.4015</v>
      </c>
      <c r="F4" s="0" t="n">
        <f aca="false">C4+E4</f>
        <v>1352.4115</v>
      </c>
      <c r="G4" s="0" t="s">
        <v>335</v>
      </c>
      <c r="H4" s="0" t="n">
        <f aca="false">ROUNDUP(F4/Inputs!$B$10,0)</f>
        <v>68</v>
      </c>
      <c r="I4" s="0" t="s">
        <v>336</v>
      </c>
    </row>
    <row r="5" customFormat="false" ht="15" hidden="false" customHeight="false" outlineLevel="0" collapsed="false">
      <c r="A5" s="0" t="s">
        <v>337</v>
      </c>
      <c r="B5" s="0" t="s">
        <v>334</v>
      </c>
      <c r="C5" s="0" t="n">
        <v>4342.96</v>
      </c>
      <c r="D5" s="0" t="n">
        <f aca="false">Inputs!$B$5</f>
        <v>0.15</v>
      </c>
      <c r="E5" s="0" t="n">
        <f aca="false">C5*D5</f>
        <v>651.444</v>
      </c>
      <c r="F5" s="0" t="n">
        <f aca="false">C5+E5</f>
        <v>4994.404</v>
      </c>
      <c r="G5" s="0" t="s">
        <v>335</v>
      </c>
      <c r="H5" s="0" t="n">
        <f aca="false">ROUNDUP(F5/Inputs!$B$10,0)</f>
        <v>250</v>
      </c>
      <c r="I5" s="0" t="s">
        <v>338</v>
      </c>
    </row>
    <row r="6" customFormat="false" ht="15" hidden="false" customHeight="false" outlineLevel="0" collapsed="false">
      <c r="A6" s="0" t="s">
        <v>339</v>
      </c>
      <c r="B6" s="0" t="s">
        <v>334</v>
      </c>
      <c r="C6" s="0" t="n">
        <v>6754.23</v>
      </c>
      <c r="D6" s="0" t="n">
        <f aca="false">Inputs!$B$5</f>
        <v>0.15</v>
      </c>
      <c r="E6" s="0" t="n">
        <f aca="false">C6*D6</f>
        <v>1013.1345</v>
      </c>
      <c r="F6" s="0" t="n">
        <f aca="false">C6+E6</f>
        <v>7767.3645</v>
      </c>
      <c r="G6" s="0" t="s">
        <v>335</v>
      </c>
      <c r="H6" s="0" t="n">
        <f aca="false">ROUNDUP(F6/Inputs!$B$10,0)</f>
        <v>389</v>
      </c>
      <c r="I6" s="0" t="s">
        <v>340</v>
      </c>
    </row>
    <row r="7" customFormat="false" ht="15" hidden="false" customHeight="false" outlineLevel="0" collapsed="false">
      <c r="A7" s="0" t="s">
        <v>341</v>
      </c>
      <c r="B7" s="0" t="s">
        <v>334</v>
      </c>
      <c r="C7" s="0" t="n">
        <v>3688.95</v>
      </c>
      <c r="D7" s="0" t="n">
        <f aca="false">Inputs!$B$5</f>
        <v>0.15</v>
      </c>
      <c r="E7" s="0" t="n">
        <f aca="false">C7*D7</f>
        <v>553.3425</v>
      </c>
      <c r="F7" s="0" t="n">
        <f aca="false">C7+E7</f>
        <v>4242.2925</v>
      </c>
      <c r="G7" s="0" t="s">
        <v>335</v>
      </c>
      <c r="H7" s="0" t="n">
        <f aca="false">ROUNDUP(F7/Inputs!$B$10,0)</f>
        <v>213</v>
      </c>
      <c r="I7" s="0" t="s">
        <v>342</v>
      </c>
    </row>
    <row r="8" customFormat="false" ht="15" hidden="false" customHeight="false" outlineLevel="0" collapsed="false">
      <c r="A8" s="0" t="s">
        <v>343</v>
      </c>
      <c r="B8" s="0" t="s">
        <v>334</v>
      </c>
      <c r="C8" s="0" t="n">
        <v>1374.83</v>
      </c>
      <c r="D8" s="0" t="n">
        <f aca="false">Inputs!$B$5</f>
        <v>0.15</v>
      </c>
      <c r="E8" s="0" t="n">
        <f aca="false">C8*D8</f>
        <v>206.2245</v>
      </c>
      <c r="F8" s="0" t="n">
        <f aca="false">C8+E8</f>
        <v>1581.0545</v>
      </c>
      <c r="G8" s="0" t="s">
        <v>344</v>
      </c>
      <c r="H8" s="0" t="n">
        <f aca="false">ROUNDUP(F8/Inputs!$B$11,0)</f>
        <v>159</v>
      </c>
      <c r="I8" s="0" t="s">
        <v>345</v>
      </c>
    </row>
    <row r="9" customFormat="false" ht="15" hidden="false" customHeight="false" outlineLevel="0" collapsed="false">
      <c r="A9" s="0" t="s">
        <v>346</v>
      </c>
      <c r="B9" s="0" t="s">
        <v>334</v>
      </c>
      <c r="C9" s="0" t="n">
        <v>1374.83</v>
      </c>
      <c r="D9" s="0" t="n">
        <f aca="false">Inputs!$B$5</f>
        <v>0.15</v>
      </c>
      <c r="E9" s="0" t="n">
        <f aca="false">C9*D9</f>
        <v>206.2245</v>
      </c>
      <c r="F9" s="0" t="n">
        <f aca="false">C9+E9</f>
        <v>1581.0545</v>
      </c>
      <c r="G9" s="0" t="s">
        <v>344</v>
      </c>
      <c r="H9" s="0" t="n">
        <f aca="false">ROUNDUP(F9/Inputs!$B$11,0)</f>
        <v>159</v>
      </c>
      <c r="I9" s="0" t="s">
        <v>347</v>
      </c>
    </row>
    <row r="10" customFormat="false" ht="15" hidden="false" customHeight="false" outlineLevel="0" collapsed="false">
      <c r="A10" s="0" t="s">
        <v>348</v>
      </c>
      <c r="B10" s="0" t="s">
        <v>334</v>
      </c>
      <c r="C10" s="0" t="n">
        <v>1333.96</v>
      </c>
      <c r="D10" s="0" t="n">
        <f aca="false">Inputs!$B$5</f>
        <v>0.15</v>
      </c>
      <c r="E10" s="0" t="n">
        <f aca="false">C10*D10</f>
        <v>200.094</v>
      </c>
      <c r="F10" s="0" t="n">
        <f aca="false">C10+E10</f>
        <v>1534.054</v>
      </c>
      <c r="G10" s="0" t="s">
        <v>344</v>
      </c>
      <c r="H10" s="0" t="n">
        <f aca="false">ROUNDUP(F10/Inputs!$B$11,0)</f>
        <v>154</v>
      </c>
      <c r="I10" s="0" t="s">
        <v>349</v>
      </c>
    </row>
    <row r="11" customFormat="false" ht="15" hidden="false" customHeight="false" outlineLevel="0" collapsed="false">
      <c r="A11" s="0" t="s">
        <v>350</v>
      </c>
      <c r="B11" s="0" t="s">
        <v>334</v>
      </c>
      <c r="C11" s="0" t="n">
        <v>273.6</v>
      </c>
      <c r="D11" s="0" t="n">
        <f aca="false">Inputs!$B$5</f>
        <v>0.15</v>
      </c>
      <c r="E11" s="0" t="n">
        <f aca="false">C11*D11</f>
        <v>41.04</v>
      </c>
      <c r="F11" s="0" t="n">
        <f aca="false">C11+E11</f>
        <v>314.64</v>
      </c>
      <c r="G11" s="0" t="s">
        <v>344</v>
      </c>
      <c r="H11" s="0" t="n">
        <f aca="false">ROUNDUP(F11/Inputs!$B$11,0)</f>
        <v>32</v>
      </c>
      <c r="I11" s="0" t="s">
        <v>351</v>
      </c>
    </row>
    <row r="12" customFormat="false" ht="15" hidden="false" customHeight="false" outlineLevel="0" collapsed="false">
      <c r="A12" s="0" t="s">
        <v>352</v>
      </c>
      <c r="B12" s="0" t="s">
        <v>334</v>
      </c>
      <c r="C12" s="0" t="n">
        <v>763.77</v>
      </c>
      <c r="D12" s="0" t="n">
        <f aca="false">Inputs!$B$5</f>
        <v>0.15</v>
      </c>
      <c r="E12" s="0" t="n">
        <f aca="false">C12*D12</f>
        <v>114.5655</v>
      </c>
      <c r="F12" s="0" t="n">
        <f aca="false">C12+E12</f>
        <v>878.3355</v>
      </c>
      <c r="G12" s="0" t="s">
        <v>335</v>
      </c>
      <c r="H12" s="0" t="n">
        <f aca="false">ROUNDUP(F12/Inputs!$B$10,0)</f>
        <v>44</v>
      </c>
      <c r="I12" s="0" t="s">
        <v>353</v>
      </c>
    </row>
    <row r="13" customFormat="false" ht="15" hidden="false" customHeight="false" outlineLevel="0" collapsed="false">
      <c r="A13" s="0" t="s">
        <v>354</v>
      </c>
      <c r="B13" s="0" t="s">
        <v>334</v>
      </c>
      <c r="C13" s="0" t="n">
        <v>119.09</v>
      </c>
      <c r="D13" s="0" t="n">
        <f aca="false">Inputs!$B$5</f>
        <v>0.15</v>
      </c>
      <c r="E13" s="0" t="n">
        <f aca="false">C13*D13</f>
        <v>17.8635</v>
      </c>
      <c r="F13" s="0" t="n">
        <f aca="false">C13+E13</f>
        <v>136.9535</v>
      </c>
      <c r="G13" s="0" t="s">
        <v>344</v>
      </c>
      <c r="H13" s="0" t="n">
        <f aca="false">ROUNDUP(F13/Inputs!$B$11,0)</f>
        <v>14</v>
      </c>
      <c r="I13" s="0" t="s">
        <v>355</v>
      </c>
    </row>
    <row r="14" customFormat="false" ht="15" hidden="false" customHeight="false" outlineLevel="0" collapsed="false">
      <c r="A14" s="0" t="s">
        <v>356</v>
      </c>
      <c r="B14" s="0" t="s">
        <v>334</v>
      </c>
      <c r="C14" s="0" t="n">
        <v>2610.52</v>
      </c>
      <c r="D14" s="0" t="n">
        <f aca="false">Inputs!$B$5</f>
        <v>0.15</v>
      </c>
      <c r="E14" s="0" t="n">
        <f aca="false">C14*D14</f>
        <v>391.578</v>
      </c>
      <c r="F14" s="0" t="n">
        <f aca="false">C14+E14</f>
        <v>3002.098</v>
      </c>
      <c r="G14" s="0" t="s">
        <v>357</v>
      </c>
      <c r="H14" s="0" t="n">
        <f aca="false">ROUNDUP(F14/Inputs!$B$16,0)</f>
        <v>188</v>
      </c>
      <c r="I14" s="0" t="s">
        <v>358</v>
      </c>
    </row>
    <row r="15" customFormat="false" ht="15" hidden="false" customHeight="false" outlineLevel="0" collapsed="false">
      <c r="A15" s="0" t="s">
        <v>359</v>
      </c>
      <c r="B15" s="0" t="s">
        <v>334</v>
      </c>
      <c r="C15" s="0" t="n">
        <v>774</v>
      </c>
      <c r="D15" s="0" t="n">
        <f aca="false">Inputs!$B$5</f>
        <v>0.15</v>
      </c>
      <c r="E15" s="0" t="n">
        <f aca="false">C15*D15</f>
        <v>116.1</v>
      </c>
      <c r="F15" s="0" t="n">
        <f aca="false">C15+E15</f>
        <v>890.1</v>
      </c>
      <c r="G15" s="0" t="s">
        <v>360</v>
      </c>
      <c r="H15" s="0" t="n">
        <f aca="false">ROUNDUP(F15/Inputs!$B$17,0)</f>
        <v>75</v>
      </c>
      <c r="I15" s="0" t="s">
        <v>361</v>
      </c>
    </row>
    <row r="16" customFormat="false" ht="15" hidden="false" customHeight="false" outlineLevel="0" collapsed="false">
      <c r="A16" s="0" t="s">
        <v>362</v>
      </c>
      <c r="B16" s="0" t="s">
        <v>334</v>
      </c>
      <c r="C16" s="0" t="n">
        <v>361.08</v>
      </c>
      <c r="D16" s="0" t="n">
        <f aca="false">Inputs!$B$5</f>
        <v>0.15</v>
      </c>
      <c r="E16" s="0" t="n">
        <f aca="false">C16*D16</f>
        <v>54.162</v>
      </c>
      <c r="F16" s="0" t="n">
        <f aca="false">C16+E16</f>
        <v>415.242</v>
      </c>
      <c r="G16" s="0" t="s">
        <v>357</v>
      </c>
      <c r="H16" s="0" t="n">
        <f aca="false">ROUNDUP(F16/Inputs!$B$16,0)</f>
        <v>26</v>
      </c>
      <c r="I16" s="0" t="s">
        <v>363</v>
      </c>
    </row>
    <row r="17" customFormat="false" ht="15" hidden="false" customHeight="false" outlineLevel="0" collapsed="false">
      <c r="A17" s="0" t="s">
        <v>364</v>
      </c>
      <c r="B17" s="0" t="s">
        <v>334</v>
      </c>
      <c r="C17" s="0" t="n">
        <v>530.02</v>
      </c>
      <c r="D17" s="0" t="n">
        <f aca="false">Inputs!$B$5</f>
        <v>0.15</v>
      </c>
      <c r="E17" s="0" t="n">
        <f aca="false">C17*D17</f>
        <v>79.503</v>
      </c>
      <c r="F17" s="0" t="n">
        <f aca="false">C17+E17</f>
        <v>609.523</v>
      </c>
      <c r="G17" s="0" t="s">
        <v>33</v>
      </c>
      <c r="H17" s="0" t="n">
        <f aca="false">ROUNDUP(F17,0)</f>
        <v>610</v>
      </c>
      <c r="I17" s="0" t="s">
        <v>365</v>
      </c>
    </row>
    <row r="18" customFormat="false" ht="15" hidden="false" customHeight="false" outlineLevel="0" collapsed="false">
      <c r="A18" s="0" t="s">
        <v>366</v>
      </c>
      <c r="B18" s="0" t="s">
        <v>367</v>
      </c>
      <c r="C18" s="0" t="n">
        <v>258.89</v>
      </c>
      <c r="D18" s="0" t="n">
        <f aca="false">Inputs!$B$6</f>
        <v>0.06</v>
      </c>
      <c r="E18" s="0" t="n">
        <f aca="false">C18*D18</f>
        <v>15.5334</v>
      </c>
      <c r="F18" s="0" t="n">
        <f aca="false">C18+E18</f>
        <v>274.4234</v>
      </c>
      <c r="G18" s="0" t="s">
        <v>368</v>
      </c>
      <c r="H18" s="0" t="n">
        <f aca="false">ROUNDUP(F18/Inputs!$B$9,0)</f>
        <v>6</v>
      </c>
      <c r="I18" s="0" t="s">
        <v>369</v>
      </c>
    </row>
    <row r="19" customFormat="false" ht="15" hidden="false" customHeight="false" outlineLevel="0" collapsed="false">
      <c r="A19" s="0" t="s">
        <v>370</v>
      </c>
      <c r="B19" s="0" t="s">
        <v>367</v>
      </c>
      <c r="C19" s="0" t="n">
        <v>1100.35</v>
      </c>
      <c r="D19" s="0" t="n">
        <f aca="false">Inputs!$B$6</f>
        <v>0.06</v>
      </c>
      <c r="E19" s="0" t="n">
        <f aca="false">C19*D19</f>
        <v>66.021</v>
      </c>
      <c r="F19" s="0" t="n">
        <f aca="false">C19+E19</f>
        <v>1166.371</v>
      </c>
      <c r="G19" s="0" t="s">
        <v>371</v>
      </c>
      <c r="H19" s="0" t="n">
        <f aca="false">ROUNDUP(F19/32,0)</f>
        <v>37</v>
      </c>
      <c r="I19" s="0" t="s">
        <v>372</v>
      </c>
    </row>
    <row r="20" customFormat="false" ht="15" hidden="false" customHeight="false" outlineLevel="0" collapsed="false">
      <c r="A20" s="0" t="s">
        <v>373</v>
      </c>
      <c r="B20" s="0" t="s">
        <v>367</v>
      </c>
      <c r="C20" s="0" t="n">
        <v>475.43</v>
      </c>
      <c r="D20" s="0" t="n">
        <f aca="false">Inputs!$B$6</f>
        <v>0.06</v>
      </c>
      <c r="E20" s="0" t="n">
        <f aca="false">C20*D20</f>
        <v>28.5258</v>
      </c>
      <c r="F20" s="0" t="n">
        <f aca="false">C20+E20</f>
        <v>503.9558</v>
      </c>
      <c r="G20" s="0" t="s">
        <v>371</v>
      </c>
      <c r="H20" s="0" t="n">
        <f aca="false">ROUNDUP(F20/32,0)</f>
        <v>16</v>
      </c>
      <c r="I20" s="0" t="s">
        <v>374</v>
      </c>
    </row>
    <row r="21" customFormat="false" ht="15" hidden="false" customHeight="false" outlineLevel="0" collapsed="false">
      <c r="A21" s="0" t="s">
        <v>375</v>
      </c>
      <c r="B21" s="0" t="s">
        <v>367</v>
      </c>
      <c r="C21" s="0" t="n">
        <v>69.38</v>
      </c>
      <c r="D21" s="0" t="n">
        <f aca="false">Inputs!$B$6</f>
        <v>0.06</v>
      </c>
      <c r="E21" s="0" t="n">
        <f aca="false">C21*D21</f>
        <v>4.1628</v>
      </c>
      <c r="F21" s="0" t="n">
        <f aca="false">C21+E21</f>
        <v>73.5428</v>
      </c>
      <c r="G21" s="0" t="s">
        <v>371</v>
      </c>
      <c r="H21" s="0" t="n">
        <f aca="false">ROUNDUP(F21/32,0)</f>
        <v>3</v>
      </c>
      <c r="I21" s="0" t="s">
        <v>376</v>
      </c>
    </row>
    <row r="22" customFormat="false" ht="15" hidden="false" customHeight="false" outlineLevel="0" collapsed="false">
      <c r="A22" s="0" t="s">
        <v>377</v>
      </c>
      <c r="B22" s="0" t="s">
        <v>367</v>
      </c>
      <c r="C22" s="0" t="n">
        <v>90.25</v>
      </c>
      <c r="D22" s="0" t="n">
        <f aca="false">Inputs!$B$6</f>
        <v>0.06</v>
      </c>
      <c r="E22" s="0" t="n">
        <f aca="false">C22*D22</f>
        <v>5.415</v>
      </c>
      <c r="F22" s="0" t="n">
        <f aca="false">C22+E22</f>
        <v>95.665</v>
      </c>
      <c r="G22" s="0" t="s">
        <v>371</v>
      </c>
      <c r="H22" s="0" t="n">
        <f aca="false">ROUNDUP(F22/32,0)</f>
        <v>3</v>
      </c>
      <c r="I22" s="0" t="s">
        <v>378</v>
      </c>
    </row>
    <row r="23" customFormat="false" ht="15" hidden="false" customHeight="false" outlineLevel="0" collapsed="false">
      <c r="A23" s="0" t="s">
        <v>379</v>
      </c>
      <c r="B23" s="0" t="s">
        <v>367</v>
      </c>
      <c r="C23" s="0" t="n">
        <v>17273.11</v>
      </c>
      <c r="D23" s="0" t="n">
        <f aca="false">Inputs!$B$6</f>
        <v>0.06</v>
      </c>
      <c r="E23" s="0" t="n">
        <f aca="false">C23*D23</f>
        <v>1036.3866</v>
      </c>
      <c r="F23" s="0" t="n">
        <f aca="false">C23+E23</f>
        <v>18309.4966</v>
      </c>
      <c r="G23" s="0" t="s">
        <v>368</v>
      </c>
      <c r="H23" s="0" t="n">
        <f aca="false">ROUNDUP(F23/Inputs!$B$9,0)</f>
        <v>382</v>
      </c>
      <c r="I23" s="0" t="s">
        <v>380</v>
      </c>
    </row>
    <row r="24" customFormat="false" ht="15" hidden="false" customHeight="false" outlineLevel="0" collapsed="false">
      <c r="A24" s="0" t="s">
        <v>381</v>
      </c>
      <c r="B24" s="0" t="s">
        <v>367</v>
      </c>
      <c r="C24" s="0" t="n">
        <v>33.31</v>
      </c>
      <c r="D24" s="0" t="n">
        <f aca="false">Inputs!$B$6</f>
        <v>0.06</v>
      </c>
      <c r="E24" s="0" t="n">
        <f aca="false">C24*D24</f>
        <v>1.9986</v>
      </c>
      <c r="F24" s="0" t="n">
        <f aca="false">C24+E24</f>
        <v>35.3086</v>
      </c>
      <c r="G24" s="0" t="s">
        <v>382</v>
      </c>
      <c r="H24" s="0" t="n">
        <f aca="false">ROUNDUP(F24/15,0)</f>
        <v>3</v>
      </c>
      <c r="I24" s="0" t="s">
        <v>383</v>
      </c>
    </row>
    <row r="25" customFormat="false" ht="15" hidden="false" customHeight="false" outlineLevel="0" collapsed="false">
      <c r="A25" s="0" t="s">
        <v>384</v>
      </c>
      <c r="B25" s="0" t="s">
        <v>367</v>
      </c>
      <c r="C25" s="0" t="n">
        <v>349.11</v>
      </c>
      <c r="D25" s="0" t="n">
        <f aca="false">Inputs!$B$6</f>
        <v>0.06</v>
      </c>
      <c r="E25" s="0" t="n">
        <f aca="false">C25*D25</f>
        <v>20.9466</v>
      </c>
      <c r="F25" s="0" t="n">
        <f aca="false">C25+E25</f>
        <v>370.0566</v>
      </c>
      <c r="G25" s="0" t="s">
        <v>371</v>
      </c>
      <c r="H25" s="0" t="n">
        <f aca="false">ROUNDUP(F25/32,0)</f>
        <v>12</v>
      </c>
      <c r="I25" s="0" t="s">
        <v>385</v>
      </c>
    </row>
    <row r="26" customFormat="false" ht="15" hidden="false" customHeight="false" outlineLevel="0" collapsed="false">
      <c r="A26" s="0" t="s">
        <v>386</v>
      </c>
      <c r="B26" s="0" t="s">
        <v>334</v>
      </c>
      <c r="C26" s="0" t="n">
        <v>540.61</v>
      </c>
      <c r="D26" s="0" t="n">
        <f aca="false">Inputs!$B$5</f>
        <v>0.15</v>
      </c>
      <c r="E26" s="0" t="n">
        <f aca="false">C26*D26</f>
        <v>81.0915</v>
      </c>
      <c r="F26" s="0" t="n">
        <f aca="false">C26+E26</f>
        <v>621.7015</v>
      </c>
      <c r="G26" s="0" t="s">
        <v>387</v>
      </c>
      <c r="H26" s="0" t="n">
        <f aca="false">ROUNDUP(F26/Inputs!$B$18,0)</f>
        <v>63</v>
      </c>
      <c r="I26" s="0" t="s">
        <v>388</v>
      </c>
    </row>
    <row r="27" customFormat="false" ht="15" hidden="false" customHeight="false" outlineLevel="0" collapsed="false">
      <c r="A27" s="0" t="s">
        <v>389</v>
      </c>
      <c r="B27" s="0" t="s">
        <v>334</v>
      </c>
      <c r="C27" s="0" t="n">
        <v>810.31</v>
      </c>
      <c r="D27" s="0" t="n">
        <f aca="false">Inputs!$B$6</f>
        <v>0.06</v>
      </c>
      <c r="E27" s="0" t="n">
        <f aca="false">C27*D27</f>
        <v>48.6186</v>
      </c>
      <c r="F27" s="0" t="n">
        <f aca="false">C27+E27</f>
        <v>858.9286</v>
      </c>
      <c r="G27" s="0" t="s">
        <v>390</v>
      </c>
      <c r="H27" s="0" t="n">
        <f aca="false">ROUNDUP(F27/Inputs!$B$15,0)</f>
        <v>35</v>
      </c>
      <c r="I27" s="0" t="s">
        <v>391</v>
      </c>
    </row>
    <row r="28" customFormat="false" ht="15" hidden="false" customHeight="false" outlineLevel="0" collapsed="false">
      <c r="A28" s="0" t="s">
        <v>392</v>
      </c>
      <c r="B28" s="0" t="s">
        <v>334</v>
      </c>
      <c r="C28" s="0" t="n">
        <v>501.13</v>
      </c>
      <c r="D28" s="0" t="n">
        <f aca="false">Inputs!$B$5</f>
        <v>0.15</v>
      </c>
      <c r="E28" s="0" t="n">
        <f aca="false">C28*D28</f>
        <v>75.1695</v>
      </c>
      <c r="F28" s="0" t="n">
        <f aca="false">C28+E28</f>
        <v>576.2995</v>
      </c>
      <c r="G28" s="0" t="s">
        <v>335</v>
      </c>
      <c r="H28" s="0" t="n">
        <f aca="false">ROUNDUP(F28/Inputs!$B$10,0)</f>
        <v>29</v>
      </c>
      <c r="I28" s="0" t="s">
        <v>393</v>
      </c>
    </row>
    <row r="29" customFormat="false" ht="15" hidden="false" customHeight="false" outlineLevel="0" collapsed="false">
      <c r="A29" s="0" t="s">
        <v>394</v>
      </c>
      <c r="B29" s="0" t="s">
        <v>334</v>
      </c>
      <c r="C29" s="0" t="n">
        <v>534.68</v>
      </c>
      <c r="D29" s="0" t="n">
        <f aca="false">Inputs!$B$6</f>
        <v>0.06</v>
      </c>
      <c r="E29" s="0" t="n">
        <f aca="false">C29*D29</f>
        <v>32.0808</v>
      </c>
      <c r="F29" s="0" t="n">
        <f aca="false">C29+E29</f>
        <v>566.7608</v>
      </c>
      <c r="H29" s="0" t="n">
        <f aca="false">ROUNDUP(F29,0)</f>
        <v>567</v>
      </c>
      <c r="I29" s="0" t="s">
        <v>395</v>
      </c>
    </row>
    <row r="30" customFormat="false" ht="15" hidden="false" customHeight="false" outlineLevel="0" collapsed="false">
      <c r="A30" s="0" t="s">
        <v>396</v>
      </c>
      <c r="B30" s="0" t="s">
        <v>334</v>
      </c>
      <c r="C30" s="0" t="n">
        <v>202.83</v>
      </c>
      <c r="D30" s="0" t="n">
        <f aca="false">Inputs!$B$5</f>
        <v>0.15</v>
      </c>
      <c r="E30" s="0" t="n">
        <f aca="false">C30*D30</f>
        <v>30.4245</v>
      </c>
      <c r="F30" s="0" t="n">
        <f aca="false">C30+E30</f>
        <v>233.2545</v>
      </c>
      <c r="G30" s="0" t="s">
        <v>335</v>
      </c>
      <c r="H30" s="0" t="n">
        <f aca="false">ROUNDUP(F30/Inputs!$B$10,0)</f>
        <v>12</v>
      </c>
      <c r="I30" s="0" t="s">
        <v>397</v>
      </c>
    </row>
    <row r="31" customFormat="false" ht="15" hidden="false" customHeight="false" outlineLevel="0" collapsed="false">
      <c r="A31" s="0" t="s">
        <v>398</v>
      </c>
      <c r="B31" s="0" t="s">
        <v>367</v>
      </c>
      <c r="C31" s="0" t="n">
        <v>2166.19</v>
      </c>
      <c r="D31" s="0" t="n">
        <f aca="false">Inputs!$B$6</f>
        <v>0.06</v>
      </c>
      <c r="E31" s="0" t="n">
        <f aca="false">C31*D31</f>
        <v>129.9714</v>
      </c>
      <c r="F31" s="0" t="n">
        <f aca="false">C31+E31</f>
        <v>2296.1614</v>
      </c>
      <c r="G31" s="0" t="s">
        <v>399</v>
      </c>
      <c r="H31" s="0" t="n">
        <f aca="false">ROUNDUP(F31/Inputs!$B$9,0)</f>
        <v>48</v>
      </c>
      <c r="I31" s="0" t="s">
        <v>400</v>
      </c>
    </row>
    <row r="32" customFormat="false" ht="15" hidden="false" customHeight="false" outlineLevel="0" collapsed="false">
      <c r="A32" s="0" t="s">
        <v>401</v>
      </c>
      <c r="B32" s="0" t="s">
        <v>367</v>
      </c>
      <c r="C32" s="0" t="n">
        <v>3956.95</v>
      </c>
      <c r="D32" s="0" t="n">
        <f aca="false">Inputs!$B$6</f>
        <v>0.06</v>
      </c>
      <c r="E32" s="0" t="n">
        <f aca="false">C32*D32</f>
        <v>237.417</v>
      </c>
      <c r="F32" s="0" t="n">
        <f aca="false">C32+E32</f>
        <v>4194.367</v>
      </c>
      <c r="G32" s="0" t="s">
        <v>399</v>
      </c>
      <c r="H32" s="0" t="n">
        <f aca="false">ROUNDUP(F32/Inputs!$B$9,0)</f>
        <v>88</v>
      </c>
      <c r="I32" s="0" t="s">
        <v>400</v>
      </c>
    </row>
    <row r="33" customFormat="false" ht="15" hidden="false" customHeight="false" outlineLevel="0" collapsed="false">
      <c r="A33" s="0" t="s">
        <v>402</v>
      </c>
      <c r="B33" s="0" t="s">
        <v>367</v>
      </c>
      <c r="C33" s="0" t="n">
        <v>637.35</v>
      </c>
      <c r="D33" s="0" t="n">
        <f aca="false">Inputs!$B$6</f>
        <v>0.06</v>
      </c>
      <c r="E33" s="0" t="n">
        <f aca="false">C33*D33</f>
        <v>38.241</v>
      </c>
      <c r="F33" s="0" t="n">
        <f aca="false">C33+E33</f>
        <v>675.591</v>
      </c>
      <c r="G33" s="0" t="s">
        <v>399</v>
      </c>
      <c r="H33" s="0" t="n">
        <f aca="false">ROUNDUP(F33/Inputs!$B$9,0)</f>
        <v>15</v>
      </c>
      <c r="I33" s="0" t="s">
        <v>400</v>
      </c>
    </row>
    <row r="34" customFormat="false" ht="15" hidden="false" customHeight="false" outlineLevel="0" collapsed="false">
      <c r="A34" s="0" t="s">
        <v>403</v>
      </c>
      <c r="B34" s="0" t="s">
        <v>334</v>
      </c>
      <c r="C34" s="0" t="n">
        <v>220.81</v>
      </c>
      <c r="D34" s="0" t="n">
        <f aca="false">Inputs!$B$6</f>
        <v>0.06</v>
      </c>
      <c r="E34" s="0" t="n">
        <f aca="false">C34*D34</f>
        <v>13.2486</v>
      </c>
      <c r="F34" s="0" t="n">
        <f aca="false">C34+E34</f>
        <v>234.0586</v>
      </c>
      <c r="G34" s="0" t="s">
        <v>390</v>
      </c>
      <c r="H34" s="0" t="n">
        <f aca="false">ROUNDUP(F34/Inputs!$B$15,0)</f>
        <v>10</v>
      </c>
      <c r="I34" s="0" t="s">
        <v>404</v>
      </c>
    </row>
    <row r="35" customFormat="false" ht="15" hidden="false" customHeight="false" outlineLevel="0" collapsed="false">
      <c r="A35" s="0" t="s">
        <v>405</v>
      </c>
      <c r="B35" s="0" t="s">
        <v>406</v>
      </c>
      <c r="C35" s="0" t="n">
        <v>113</v>
      </c>
      <c r="D35" s="0" t="n">
        <v>0</v>
      </c>
      <c r="E35" s="0" t="n">
        <f aca="false">C35*D35</f>
        <v>0</v>
      </c>
      <c r="F35" s="0" t="n">
        <f aca="false">C35+E35</f>
        <v>113</v>
      </c>
      <c r="H35" s="0" t="n">
        <f aca="false">ROUNDUP(F35,0)</f>
        <v>113</v>
      </c>
      <c r="I35" s="0" t="s">
        <v>407</v>
      </c>
    </row>
    <row r="36" customFormat="false" ht="15" hidden="false" customHeight="false" outlineLevel="0" collapsed="false">
      <c r="A36" s="0" t="s">
        <v>408</v>
      </c>
      <c r="B36" s="0" t="s">
        <v>334</v>
      </c>
      <c r="C36" s="0" t="n">
        <v>56</v>
      </c>
      <c r="D36" s="0" t="n">
        <f aca="false">Inputs!$B$5</f>
        <v>0.15</v>
      </c>
      <c r="E36" s="0" t="n">
        <f aca="false">C36*D36</f>
        <v>8.4</v>
      </c>
      <c r="F36" s="0" t="n">
        <f aca="false">C36+E36</f>
        <v>64.4</v>
      </c>
      <c r="G36" s="0" t="s">
        <v>344</v>
      </c>
      <c r="H36" s="0" t="n">
        <f aca="false">ROUNDUP(F36/Inputs!$B$11,0)</f>
        <v>7</v>
      </c>
      <c r="I36" s="0" t="s">
        <v>409</v>
      </c>
    </row>
    <row r="37" customFormat="false" ht="15" hidden="false" customHeight="false" outlineLevel="0" collapsed="false">
      <c r="A37" s="0" t="s">
        <v>410</v>
      </c>
      <c r="B37" s="0" t="s">
        <v>406</v>
      </c>
      <c r="C37" s="0" t="n">
        <v>34</v>
      </c>
      <c r="D37" s="0" t="n">
        <v>0</v>
      </c>
      <c r="E37" s="0" t="n">
        <f aca="false">C37*D37</f>
        <v>0</v>
      </c>
      <c r="F37" s="0" t="n">
        <f aca="false">C37+E37</f>
        <v>34</v>
      </c>
      <c r="G37" s="0" t="s">
        <v>411</v>
      </c>
      <c r="H37" s="0" t="n">
        <f aca="false">ROUNDUP(F37,0)</f>
        <v>34</v>
      </c>
      <c r="I37" s="0" t="s">
        <v>412</v>
      </c>
    </row>
    <row r="38" customFormat="false" ht="15" hidden="false" customHeight="false" outlineLevel="0" collapsed="false">
      <c r="A38" s="0" t="s">
        <v>413</v>
      </c>
      <c r="B38" s="0" t="s">
        <v>334</v>
      </c>
      <c r="C38" s="0" t="n">
        <v>12.18</v>
      </c>
      <c r="D38" s="0" t="n">
        <f aca="false">Inputs!$B$5</f>
        <v>0.15</v>
      </c>
      <c r="E38" s="0" t="n">
        <f aca="false">C38*D38</f>
        <v>1.827</v>
      </c>
      <c r="F38" s="0" t="n">
        <f aca="false">C38+E38</f>
        <v>14.007</v>
      </c>
      <c r="G38" s="0" t="s">
        <v>335</v>
      </c>
      <c r="H38" s="0" t="n">
        <f aca="false">ROUNDUP(F38/Inputs!$B$10,0)</f>
        <v>1</v>
      </c>
      <c r="I38" s="0" t="s">
        <v>414</v>
      </c>
    </row>
    <row r="39" customFormat="false" ht="15" hidden="false" customHeight="false" outlineLevel="0" collapsed="false">
      <c r="A39" s="0" t="s">
        <v>415</v>
      </c>
      <c r="B39" s="0" t="s">
        <v>334</v>
      </c>
      <c r="C39" s="0" t="n">
        <v>10.43</v>
      </c>
      <c r="D39" s="0" t="n">
        <f aca="false">Inputs!$B$5</f>
        <v>0.15</v>
      </c>
      <c r="E39" s="0" t="n">
        <f aca="false">C39*D39</f>
        <v>1.5645</v>
      </c>
      <c r="F39" s="0" t="n">
        <f aca="false">C39+E39</f>
        <v>11.9945</v>
      </c>
      <c r="G39" s="0" t="s">
        <v>335</v>
      </c>
      <c r="H39" s="0" t="n">
        <f aca="false">ROUNDUP(F39/Inputs!$B$10,0)</f>
        <v>1</v>
      </c>
      <c r="I39" s="0" t="s">
        <v>416</v>
      </c>
    </row>
    <row r="40" customFormat="false" ht="15" hidden="false" customHeight="false" outlineLevel="0" collapsed="false">
      <c r="A40" s="0" t="s">
        <v>417</v>
      </c>
      <c r="B40" s="0" t="s">
        <v>367</v>
      </c>
      <c r="C40" s="0" t="n">
        <v>36</v>
      </c>
      <c r="D40" s="0" t="n">
        <f aca="false">Inputs!$B$6</f>
        <v>0.06</v>
      </c>
      <c r="E40" s="0" t="n">
        <f aca="false">C40*D40</f>
        <v>2.16</v>
      </c>
      <c r="F40" s="0" t="n">
        <f aca="false">C40+E40</f>
        <v>38.16</v>
      </c>
      <c r="G40" s="0" t="s">
        <v>399</v>
      </c>
      <c r="H40" s="0" t="n">
        <f aca="false">ROUNDUP(F40/Inputs!$B$9,0)</f>
        <v>1</v>
      </c>
      <c r="I40" s="0" t="s">
        <v>418</v>
      </c>
    </row>
    <row r="41" customFormat="false" ht="15" hidden="false" customHeight="false" outlineLevel="0" collapsed="false">
      <c r="A41" s="0" t="s">
        <v>419</v>
      </c>
      <c r="B41" s="0" t="s">
        <v>334</v>
      </c>
      <c r="C41" s="0" t="n">
        <v>209.24</v>
      </c>
      <c r="D41" s="0" t="n">
        <f aca="false">Inputs!$B$6</f>
        <v>0.06</v>
      </c>
      <c r="E41" s="0" t="n">
        <f aca="false">C41*D41</f>
        <v>12.5544</v>
      </c>
      <c r="F41" s="0" t="n">
        <f aca="false">C41+E41</f>
        <v>221.7944</v>
      </c>
      <c r="G41" s="0" t="s">
        <v>387</v>
      </c>
      <c r="H41" s="0" t="n">
        <f aca="false">ROUNDUP(F41/Inputs!$B$18,0)</f>
        <v>23</v>
      </c>
      <c r="I41" s="0" t="s">
        <v>420</v>
      </c>
    </row>
    <row r="42" customFormat="false" ht="15" hidden="false" customHeight="false" outlineLevel="0" collapsed="false">
      <c r="A42" s="0" t="s">
        <v>421</v>
      </c>
      <c r="B42" s="0" t="s">
        <v>406</v>
      </c>
      <c r="C42" s="0" t="n">
        <v>339</v>
      </c>
      <c r="D42" s="0" t="n">
        <v>0</v>
      </c>
      <c r="E42" s="0" t="n">
        <f aca="false">C42*D42</f>
        <v>0</v>
      </c>
      <c r="F42" s="0" t="n">
        <f aca="false">C42+E42</f>
        <v>339</v>
      </c>
      <c r="G42" s="0" t="s">
        <v>411</v>
      </c>
      <c r="H42" s="0" t="n">
        <f aca="false">ROUNDUP(F42,0)</f>
        <v>339</v>
      </c>
      <c r="I42" s="0" t="s">
        <v>422</v>
      </c>
    </row>
    <row r="43" customFormat="false" ht="15" hidden="false" customHeight="false" outlineLevel="0" collapsed="false">
      <c r="A43" s="0" t="s">
        <v>423</v>
      </c>
      <c r="B43" s="0" t="s">
        <v>406</v>
      </c>
      <c r="C43" s="0" t="n">
        <v>1</v>
      </c>
      <c r="D43" s="0" t="n">
        <v>0</v>
      </c>
      <c r="E43" s="0" t="n">
        <f aca="false">C43*D43</f>
        <v>0</v>
      </c>
      <c r="F43" s="0" t="n">
        <f aca="false">C43+E43</f>
        <v>1</v>
      </c>
      <c r="G43" s="0" t="s">
        <v>411</v>
      </c>
      <c r="H43" s="0" t="n">
        <f aca="false">ROUNDUP(F43,0)</f>
        <v>1</v>
      </c>
      <c r="I43" s="0" t="s">
        <v>424</v>
      </c>
    </row>
    <row r="44" customFormat="false" ht="15" hidden="false" customHeight="false" outlineLevel="0" collapsed="false">
      <c r="A44" s="0" t="s">
        <v>425</v>
      </c>
      <c r="B44" s="0" t="s">
        <v>406</v>
      </c>
      <c r="C44" s="0" t="n">
        <v>21121.66</v>
      </c>
      <c r="D44" s="0" t="n">
        <v>0</v>
      </c>
      <c r="E44" s="0" t="n">
        <f aca="false">C44*D44</f>
        <v>0</v>
      </c>
      <c r="F44" s="0" t="n">
        <f aca="false">C44+E44</f>
        <v>21121.66</v>
      </c>
      <c r="G44" s="0" t="s">
        <v>411</v>
      </c>
      <c r="H44" s="0" t="n">
        <f aca="false">ROUNDUP(F44,0)</f>
        <v>21122</v>
      </c>
      <c r="I44" s="0" t="s">
        <v>426</v>
      </c>
      <c r="J44" s="0" t="n">
        <f aca="false">Inputs!$B$20*17601.4</f>
        <v>21121.68</v>
      </c>
    </row>
    <row r="45" customFormat="false" ht="15" hidden="false" customHeight="false" outlineLevel="0" collapsed="false">
      <c r="A45" s="0" t="s">
        <v>427</v>
      </c>
      <c r="B45" s="0" t="s">
        <v>406</v>
      </c>
      <c r="C45" s="0" t="n">
        <v>6992</v>
      </c>
      <c r="D45" s="0" t="n">
        <v>0</v>
      </c>
      <c r="E45" s="0" t="n">
        <f aca="false">C45*D45</f>
        <v>0</v>
      </c>
      <c r="F45" s="0" t="n">
        <f aca="false">C45+E45</f>
        <v>6992</v>
      </c>
      <c r="G45" s="0" t="s">
        <v>411</v>
      </c>
      <c r="H45" s="0" t="n">
        <f aca="false">ROUNDUP(F45,0)</f>
        <v>6992</v>
      </c>
      <c r="I45" s="0" t="s">
        <v>428</v>
      </c>
      <c r="J45" s="0" t="n">
        <f aca="false">Inputs!$B$21*1748</f>
        <v>6992</v>
      </c>
    </row>
    <row r="46" customFormat="false" ht="15" hidden="false" customHeight="false" outlineLevel="0" collapsed="false">
      <c r="A46" s="0" t="s">
        <v>429</v>
      </c>
      <c r="B46" s="0" t="s">
        <v>406</v>
      </c>
      <c r="C46" s="0" t="n">
        <v>530.28</v>
      </c>
      <c r="D46" s="0" t="n">
        <v>0</v>
      </c>
      <c r="E46" s="0" t="n">
        <f aca="false">C46*D46</f>
        <v>0</v>
      </c>
      <c r="F46" s="0" t="n">
        <f aca="false">C46+E46</f>
        <v>530.28</v>
      </c>
      <c r="G46" s="0" t="s">
        <v>411</v>
      </c>
      <c r="H46" s="0" t="n">
        <f aca="false">ROUNDUP(F46,0)</f>
        <v>531</v>
      </c>
      <c r="I46" s="0" t="s">
        <v>430</v>
      </c>
      <c r="J46" s="0" t="n">
        <f aca="false">530.28/Inputs!$B$22</f>
        <v>530.28</v>
      </c>
    </row>
    <row r="47" customFormat="false" ht="15" hidden="false" customHeight="false" outlineLevel="0" collapsed="false">
      <c r="A47" s="0" t="s">
        <v>431</v>
      </c>
      <c r="B47" s="0" t="s">
        <v>406</v>
      </c>
      <c r="C47" s="0" t="n">
        <v>321.13</v>
      </c>
      <c r="D47" s="0" t="n">
        <v>0</v>
      </c>
      <c r="E47" s="0" t="n">
        <f aca="false">C47*D47</f>
        <v>0</v>
      </c>
      <c r="F47" s="0" t="n">
        <f aca="false">C47+E47</f>
        <v>321.13</v>
      </c>
      <c r="G47" s="0" t="s">
        <v>411</v>
      </c>
      <c r="H47" s="0" t="n">
        <f aca="false">ROUNDUP(F47,0)</f>
        <v>322</v>
      </c>
      <c r="I47" s="0" t="s">
        <v>432</v>
      </c>
      <c r="J47" s="0" t="n">
        <f aca="false">214.09/Inputs!$B$25</f>
        <v>321.118944052797</v>
      </c>
    </row>
    <row r="48" customFormat="false" ht="15" hidden="false" customHeight="false" outlineLevel="0" collapsed="false">
      <c r="A48" s="0" t="s">
        <v>433</v>
      </c>
      <c r="B48" s="0" t="s">
        <v>434</v>
      </c>
      <c r="C48" s="0" t="n">
        <v>1267.3</v>
      </c>
      <c r="D48" s="0" t="n">
        <v>0</v>
      </c>
      <c r="E48" s="0" t="n">
        <f aca="false">C48*D48</f>
        <v>0</v>
      </c>
      <c r="F48" s="0" t="n">
        <f aca="false">C48+E48</f>
        <v>1267.3</v>
      </c>
      <c r="G48" s="0" t="s">
        <v>435</v>
      </c>
      <c r="H48" s="0" t="n">
        <f aca="false">ROUNDUP(F48,0)</f>
        <v>1268</v>
      </c>
      <c r="I48" s="0" t="s">
        <v>436</v>
      </c>
      <c r="J48" s="0" t="n">
        <f aca="false">Inputs!$B$23*17601.4</f>
        <v>1267.3008</v>
      </c>
    </row>
    <row r="49" customFormat="false" ht="15" hidden="false" customHeight="false" outlineLevel="0" collapsed="false">
      <c r="A49" s="0" t="s">
        <v>437</v>
      </c>
      <c r="B49" s="0" t="s">
        <v>334</v>
      </c>
      <c r="C49" s="0" t="n">
        <v>6512.51</v>
      </c>
      <c r="D49" s="0" t="n">
        <v>0</v>
      </c>
      <c r="E49" s="0" t="n">
        <f aca="false">C49*D49</f>
        <v>0</v>
      </c>
      <c r="F49" s="0" t="n">
        <f aca="false">C49+E49</f>
        <v>6512.51</v>
      </c>
      <c r="G49" s="0" t="s">
        <v>334</v>
      </c>
      <c r="H49" s="0" t="n">
        <f aca="false">ROUNDUP(F49,0)</f>
        <v>6513</v>
      </c>
      <c r="I49" s="0" t="s">
        <v>438</v>
      </c>
      <c r="J49" s="0" t="n">
        <f aca="false">Inputs!$B$24*17601.4</f>
        <v>6512.518</v>
      </c>
    </row>
    <row r="50" customFormat="false" ht="15" hidden="false" customHeight="false" outlineLevel="0" collapsed="false">
      <c r="A50" s="0" t="s">
        <v>439</v>
      </c>
      <c r="B50" s="0" t="s">
        <v>367</v>
      </c>
      <c r="C50" s="0" t="n">
        <v>115</v>
      </c>
      <c r="D50" s="0" t="n">
        <f aca="false">Inputs!$B$6</f>
        <v>0.06</v>
      </c>
      <c r="E50" s="0" t="n">
        <f aca="false">C50*D50</f>
        <v>6.9</v>
      </c>
      <c r="F50" s="0" t="n">
        <f aca="false">C50+E50</f>
        <v>121.9</v>
      </c>
      <c r="G50" s="0" t="s">
        <v>367</v>
      </c>
      <c r="H50" s="0" t="n">
        <f aca="false">ROUNDUP(F50,0)</f>
        <v>122</v>
      </c>
      <c r="I50" s="0" t="s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441</v>
      </c>
      <c r="B1" s="2" t="s">
        <v>442</v>
      </c>
      <c r="C1" s="2" t="s">
        <v>443</v>
      </c>
    </row>
    <row r="2" customFormat="false" ht="15" hidden="false" customHeight="false" outlineLevel="0" collapsed="false">
      <c r="A2" s="0" t="s">
        <v>444</v>
      </c>
      <c r="B2" s="0" t="s">
        <v>445</v>
      </c>
      <c r="C2" s="0" t="s">
        <v>446</v>
      </c>
    </row>
    <row r="3" customFormat="false" ht="15" hidden="false" customHeight="false" outlineLevel="0" collapsed="false">
      <c r="A3" s="0" t="s">
        <v>447</v>
      </c>
      <c r="B3" s="0" t="s">
        <v>448</v>
      </c>
      <c r="C3" s="0" t="s">
        <v>449</v>
      </c>
    </row>
    <row r="4" customFormat="false" ht="15" hidden="false" customHeight="false" outlineLevel="0" collapsed="false">
      <c r="A4" s="0" t="s">
        <v>450</v>
      </c>
      <c r="B4" s="0" t="s">
        <v>451</v>
      </c>
      <c r="C4" s="0" t="s">
        <v>452</v>
      </c>
    </row>
    <row r="5" customFormat="false" ht="15" hidden="false" customHeight="false" outlineLevel="0" collapsed="false">
      <c r="A5" s="0" t="s">
        <v>453</v>
      </c>
      <c r="B5" s="0" t="s">
        <v>454</v>
      </c>
      <c r="C5" s="0" t="s">
        <v>455</v>
      </c>
    </row>
    <row r="6" customFormat="false" ht="15" hidden="false" customHeight="false" outlineLevel="0" collapsed="false">
      <c r="A6" s="0" t="s">
        <v>456</v>
      </c>
      <c r="B6" s="0" t="s">
        <v>457</v>
      </c>
      <c r="C6" s="0" t="s">
        <v>458</v>
      </c>
    </row>
    <row r="7" customFormat="false" ht="15" hidden="false" customHeight="false" outlineLevel="0" collapsed="false">
      <c r="A7" s="0" t="s">
        <v>459</v>
      </c>
      <c r="B7" s="0" t="s">
        <v>460</v>
      </c>
      <c r="C7" s="0" t="s">
        <v>461</v>
      </c>
    </row>
    <row r="8" customFormat="false" ht="15" hidden="false" customHeight="false" outlineLevel="0" collapsed="false">
      <c r="A8" s="0" t="s">
        <v>462</v>
      </c>
      <c r="B8" s="0" t="s">
        <v>463</v>
      </c>
      <c r="C8" s="0" t="s">
        <v>464</v>
      </c>
    </row>
    <row r="9" customFormat="false" ht="15" hidden="false" customHeight="false" outlineLevel="0" collapsed="false">
      <c r="A9" s="0" t="s">
        <v>465</v>
      </c>
      <c r="B9" s="0" t="s">
        <v>466</v>
      </c>
      <c r="C9" s="0" t="s">
        <v>467</v>
      </c>
    </row>
    <row r="10" customFormat="false" ht="15" hidden="false" customHeight="false" outlineLevel="0" collapsed="false">
      <c r="A10" s="0" t="s">
        <v>468</v>
      </c>
      <c r="B10" s="0" t="s">
        <v>469</v>
      </c>
      <c r="C10" s="0" t="s">
        <v>470</v>
      </c>
    </row>
    <row r="11" customFormat="false" ht="15" hidden="false" customHeight="false" outlineLevel="0" collapsed="false">
      <c r="A11" s="0" t="s">
        <v>471</v>
      </c>
      <c r="B11" s="0" t="s">
        <v>472</v>
      </c>
      <c r="C11" s="0" t="s">
        <v>473</v>
      </c>
    </row>
    <row r="12" customFormat="false" ht="15" hidden="false" customHeight="false" outlineLevel="0" collapsed="false">
      <c r="A12" s="0" t="s">
        <v>474</v>
      </c>
      <c r="B12" s="0" t="s">
        <v>475</v>
      </c>
      <c r="C12" s="0" t="s">
        <v>476</v>
      </c>
    </row>
    <row r="13" customFormat="false" ht="15" hidden="false" customHeight="false" outlineLevel="0" collapsed="false">
      <c r="A13" s="0" t="s">
        <v>477</v>
      </c>
      <c r="B13" s="0" t="s">
        <v>478</v>
      </c>
      <c r="C13" s="0" t="s">
        <v>479</v>
      </c>
    </row>
    <row r="14" customFormat="false" ht="15" hidden="false" customHeight="false" outlineLevel="0" collapsed="false">
      <c r="A14" s="0" t="s">
        <v>480</v>
      </c>
      <c r="B14" s="0" t="s">
        <v>481</v>
      </c>
      <c r="C14" s="0" t="s">
        <v>482</v>
      </c>
    </row>
    <row r="15" customFormat="false" ht="15" hidden="false" customHeight="false" outlineLevel="0" collapsed="false">
      <c r="A15" s="0" t="s">
        <v>483</v>
      </c>
      <c r="B15" s="0" t="s">
        <v>484</v>
      </c>
      <c r="C15" s="0" t="s">
        <v>485</v>
      </c>
    </row>
    <row r="16" customFormat="false" ht="15" hidden="false" customHeight="false" outlineLevel="0" collapsed="false">
      <c r="A16" s="0" t="s">
        <v>486</v>
      </c>
      <c r="B16" s="0" t="s">
        <v>487</v>
      </c>
      <c r="C16" s="0" t="s">
        <v>488</v>
      </c>
    </row>
    <row r="17" customFormat="false" ht="15" hidden="false" customHeight="false" outlineLevel="0" collapsed="false">
      <c r="A17" s="0" t="s">
        <v>489</v>
      </c>
      <c r="B17" s="0" t="s">
        <v>490</v>
      </c>
      <c r="C17" s="0" t="s">
        <v>491</v>
      </c>
    </row>
    <row r="18" customFormat="false" ht="15" hidden="false" customHeight="false" outlineLevel="0" collapsed="false">
      <c r="A18" s="0" t="s">
        <v>492</v>
      </c>
      <c r="B18" s="0" t="s">
        <v>493</v>
      </c>
      <c r="C18" s="0" t="s">
        <v>494</v>
      </c>
    </row>
    <row r="19" customFormat="false" ht="15" hidden="false" customHeight="false" outlineLevel="0" collapsed="false">
      <c r="A19" s="0" t="s">
        <v>495</v>
      </c>
      <c r="B19" s="0" t="s">
        <v>496</v>
      </c>
      <c r="C19" s="0" t="s">
        <v>497</v>
      </c>
    </row>
    <row r="20" customFormat="false" ht="15" hidden="false" customHeight="false" outlineLevel="0" collapsed="false">
      <c r="A20" s="0" t="s">
        <v>498</v>
      </c>
      <c r="B20" s="0" t="s">
        <v>499</v>
      </c>
      <c r="C20" s="0" t="s">
        <v>500</v>
      </c>
    </row>
    <row r="21" customFormat="false" ht="15" hidden="false" customHeight="false" outlineLevel="0" collapsed="false">
      <c r="A21" s="0" t="s">
        <v>501</v>
      </c>
      <c r="B21" s="0" t="s">
        <v>502</v>
      </c>
      <c r="C21" s="0" t="s">
        <v>503</v>
      </c>
    </row>
    <row r="22" customFormat="false" ht="15" hidden="false" customHeight="false" outlineLevel="0" collapsed="false">
      <c r="A22" s="0" t="s">
        <v>504</v>
      </c>
      <c r="B22" s="0" t="s">
        <v>505</v>
      </c>
      <c r="C22" s="0" t="s">
        <v>506</v>
      </c>
    </row>
    <row r="23" customFormat="false" ht="15" hidden="false" customHeight="false" outlineLevel="0" collapsed="false">
      <c r="A23" s="0" t="s">
        <v>507</v>
      </c>
      <c r="B23" s="0" t="s">
        <v>508</v>
      </c>
      <c r="C23" s="0" t="s">
        <v>509</v>
      </c>
    </row>
    <row r="24" customFormat="false" ht="15" hidden="false" customHeight="false" outlineLevel="0" collapsed="false">
      <c r="A24" s="0" t="s">
        <v>510</v>
      </c>
      <c r="B24" s="0" t="s">
        <v>511</v>
      </c>
      <c r="C24" s="0" t="s">
        <v>512</v>
      </c>
    </row>
    <row r="25" customFormat="false" ht="15" hidden="false" customHeight="false" outlineLevel="0" collapsed="false">
      <c r="A25" s="0" t="s">
        <v>513</v>
      </c>
      <c r="B25" s="0" t="s">
        <v>514</v>
      </c>
      <c r="C25" s="0" t="s">
        <v>515</v>
      </c>
    </row>
    <row r="26" customFormat="false" ht="15" hidden="false" customHeight="false" outlineLevel="0" collapsed="false">
      <c r="A26" s="0" t="s">
        <v>516</v>
      </c>
      <c r="B26" s="0" t="s">
        <v>517</v>
      </c>
      <c r="C26" s="0" t="s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0" t="s">
        <v>519</v>
      </c>
      <c r="B1" s="0" t="s">
        <v>520</v>
      </c>
      <c r="C1" s="0" t="s">
        <v>521</v>
      </c>
      <c r="D1" s="0" t="s">
        <v>522</v>
      </c>
    </row>
    <row r="2" customFormat="false" ht="15" hidden="false" customHeight="false" outlineLevel="0" collapsed="false">
      <c r="A2" s="0" t="n">
        <v>1</v>
      </c>
      <c r="B2" s="0" t="s">
        <v>523</v>
      </c>
      <c r="C2" s="0" t="s">
        <v>204</v>
      </c>
      <c r="D2" s="0" t="s">
        <v>524</v>
      </c>
    </row>
    <row r="3" customFormat="false" ht="15" hidden="false" customHeight="false" outlineLevel="0" collapsed="false">
      <c r="A3" s="0" t="n">
        <v>2</v>
      </c>
      <c r="B3" s="0" t="s">
        <v>525</v>
      </c>
      <c r="C3" s="0" t="s">
        <v>526</v>
      </c>
      <c r="D3" s="0" t="s">
        <v>527</v>
      </c>
    </row>
    <row r="4" customFormat="false" ht="15" hidden="false" customHeight="false" outlineLevel="0" collapsed="false">
      <c r="A4" s="0" t="n">
        <v>3</v>
      </c>
      <c r="B4" s="0" t="s">
        <v>528</v>
      </c>
      <c r="C4" s="0" t="s">
        <v>236</v>
      </c>
      <c r="D4" s="0" t="s">
        <v>529</v>
      </c>
    </row>
    <row r="5" customFormat="false" ht="15" hidden="false" customHeight="false" outlineLevel="0" collapsed="false">
      <c r="A5" s="0" t="n">
        <v>4</v>
      </c>
      <c r="B5" s="0" t="s">
        <v>530</v>
      </c>
      <c r="C5" s="0" t="s">
        <v>308</v>
      </c>
      <c r="D5" s="0" t="s">
        <v>531</v>
      </c>
    </row>
    <row r="6" customFormat="false" ht="15" hidden="false" customHeight="false" outlineLevel="0" collapsed="false">
      <c r="A6" s="0" t="n">
        <v>5</v>
      </c>
      <c r="B6" s="0" t="s">
        <v>532</v>
      </c>
      <c r="C6" s="0" t="s">
        <v>282</v>
      </c>
      <c r="D6" s="0" t="s">
        <v>533</v>
      </c>
    </row>
    <row r="7" customFormat="false" ht="15" hidden="false" customHeight="false" outlineLevel="0" collapsed="false">
      <c r="A7" s="0" t="n">
        <v>6</v>
      </c>
      <c r="B7" s="0" t="s">
        <v>534</v>
      </c>
      <c r="C7" s="0" t="s">
        <v>535</v>
      </c>
      <c r="D7" s="0" t="s">
        <v>536</v>
      </c>
    </row>
    <row r="8" customFormat="false" ht="15" hidden="false" customHeight="false" outlineLevel="0" collapsed="false">
      <c r="A8" s="0" t="n">
        <v>7</v>
      </c>
      <c r="B8" s="0" t="s">
        <v>537</v>
      </c>
      <c r="C8" s="0" t="s">
        <v>538</v>
      </c>
      <c r="D8" s="0" t="s">
        <v>539</v>
      </c>
    </row>
    <row r="9" customFormat="false" ht="15" hidden="false" customHeight="false" outlineLevel="0" collapsed="false">
      <c r="A9" s="0" t="n">
        <v>8</v>
      </c>
      <c r="B9" s="0" t="s">
        <v>540</v>
      </c>
      <c r="C9" s="0" t="s">
        <v>541</v>
      </c>
      <c r="D9" s="0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49"/>
  </cols>
  <sheetData>
    <row r="1" customFormat="false" ht="15" hidden="false" customHeight="false" outlineLevel="0" collapsed="false">
      <c r="A1" s="0" t="s">
        <v>543</v>
      </c>
      <c r="B1" s="0" t="s">
        <v>544</v>
      </c>
      <c r="C1" s="0" t="s">
        <v>59</v>
      </c>
      <c r="D1" s="0" t="s">
        <v>545</v>
      </c>
    </row>
    <row r="2" customFormat="false" ht="15" hidden="false" customHeight="false" outlineLevel="0" collapsed="false">
      <c r="A2" s="0" t="s">
        <v>546</v>
      </c>
      <c r="B2" s="0" t="s">
        <v>547</v>
      </c>
      <c r="C2" s="0" t="s">
        <v>548</v>
      </c>
      <c r="D2" s="0" t="s">
        <v>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2026-10-19T06:20:56Z</dcterms:created>
  <dc:creator>openpyxl</dc:creator>
  <dc:description/>
  <dc:language>en-US</dc:language>
  <cp:lastModifiedBy/>
  <dcterms:modified xsi:type="dcterms:W3CDTF">2026-10-19T06:20:56Z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