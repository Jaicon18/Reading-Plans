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<sst xmlns="http://schemas.openxmlformats.org/spreadsheetml/2006/main" count="1090" uniqueCount="650">
  <si>
    <t xml:space="preserve">Bank of America - Broomfield, CO (CO1-111)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</si>
  <si>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</si>
  <si>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</si>
  <si>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</si>
  <si>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</si>
  <si>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</si>
  <si>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</si>
  <si>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</si>
  <si>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</si>
  <si>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</si>
  <si>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</si>
  <si>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</si>
  <si>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</si>
  <si>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</si>
  <si>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</si>
  <si>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</si>
  <si>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</si>
  <si>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</si>
  <si>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</si>
  <si>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</si>
  <si>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</si>
  <si>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</si>
  <si>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</si>
  <si>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</si>
  <si>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</si>
  <si>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</si>
  <si>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</si>
  <si>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</si>
  <si>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G1</t>
  </si>
  <si>
    <t xml:space="preserve">G1  #G1-01  -  105 / 106</t>
  </si>
  <si>
    <t xml:space="preserve">G1-01</t>
  </si>
  <si>
    <t xml:space="preserve">1-5/8"</t>
  </si>
  <si>
    <t xml:space="preserve">105 / 106</t>
  </si>
  <si>
    <t xml:space="preserve">5/A12.01</t>
  </si>
  <si>
    <t xml:space="preserve">[CONFIRMADO]</t>
  </si>
  <si>
    <t xml:space="preserve">G1  #G1-SW1  -  109 / 111</t>
  </si>
  <si>
    <t xml:space="preserve">G1-SW1</t>
  </si>
  <si>
    <t xml:space="preserve">109 / 111</t>
  </si>
  <si>
    <t xml:space="preserve">[DERIVADO]</t>
  </si>
  <si>
    <t xml:space="preserve">G1  #G1-SW2  -  110 / 111</t>
  </si>
  <si>
    <t xml:space="preserve">G1-SW2</t>
  </si>
  <si>
    <t xml:space="preserve">110 / 111</t>
  </si>
  <si>
    <t xml:space="preserve">TYPE G</t>
  </si>
  <si>
    <t xml:space="preserve">G  #G-02  -  106 / 107</t>
  </si>
  <si>
    <t xml:space="preserve">G-02</t>
  </si>
  <si>
    <t xml:space="preserve">106 / 107</t>
  </si>
  <si>
    <t xml:space="preserve">G  #G-03  -  107 / 108</t>
  </si>
  <si>
    <t xml:space="preserve">G-03</t>
  </si>
  <si>
    <t xml:space="preserve">107 / 108</t>
  </si>
  <si>
    <t xml:space="preserve">G  #G-04  -  108 / 116</t>
  </si>
  <si>
    <t xml:space="preserve">G-04</t>
  </si>
  <si>
    <t xml:space="preserve">108 / 116</t>
  </si>
  <si>
    <t xml:space="preserve">G  #G-S0  -  103 / 105</t>
  </si>
  <si>
    <t xml:space="preserve">G-S0</t>
  </si>
  <si>
    <t xml:space="preserve">103 / 105</t>
  </si>
  <si>
    <t xml:space="preserve">G  #G-S1  -  103 / 106</t>
  </si>
  <si>
    <t xml:space="preserve">G-S1</t>
  </si>
  <si>
    <t xml:space="preserve">103 / 106</t>
  </si>
  <si>
    <t xml:space="preserve">G  #G-S2  -  103 / 107</t>
  </si>
  <si>
    <t xml:space="preserve">G-S2</t>
  </si>
  <si>
    <t xml:space="preserve">103 / 107</t>
  </si>
  <si>
    <t xml:space="preserve">G  #G-S3  -  103 / 108</t>
  </si>
  <si>
    <t xml:space="preserve">G-S3</t>
  </si>
  <si>
    <t xml:space="preserve">103 / 108</t>
  </si>
  <si>
    <t xml:space="preserve">G  #G-110  -  110 / 114</t>
  </si>
  <si>
    <t xml:space="preserve">G-110</t>
  </si>
  <si>
    <t xml:space="preserve">110 / 114</t>
  </si>
  <si>
    <t xml:space="preserve">G  #G-ATM  -  102 / 109</t>
  </si>
  <si>
    <t xml:space="preserve">G-ATM</t>
  </si>
  <si>
    <t xml:space="preserve">102 / 109</t>
  </si>
  <si>
    <t xml:space="preserve">G  #G-109  -  109 / 110</t>
  </si>
  <si>
    <t xml:space="preserve">G-109</t>
  </si>
  <si>
    <t xml:space="preserve">109 / 110</t>
  </si>
  <si>
    <t xml:space="preserve">TYPE B2K</t>
  </si>
  <si>
    <t xml:space="preserve">B2K  #B2K-01  -  108 / 103</t>
  </si>
  <si>
    <t xml:space="preserve">B2K-01</t>
  </si>
  <si>
    <t xml:space="preserve">6"</t>
  </si>
  <si>
    <t xml:space="preserve">108 / 103</t>
  </si>
  <si>
    <t xml:space="preserve">4/A12.01</t>
  </si>
  <si>
    <t xml:space="preserve">TYPE A1K</t>
  </si>
  <si>
    <t xml:space="preserve">A1K  #A1K-T  -  116 / 116 teller</t>
  </si>
  <si>
    <t xml:space="preserve">A1K-T</t>
  </si>
  <si>
    <t xml:space="preserve">3-5/8"</t>
  </si>
  <si>
    <t xml:space="preserve">116 / 116 teller</t>
  </si>
  <si>
    <t xml:space="preserve">A1K  #A1K-B  -  116 / FCAM</t>
  </si>
  <si>
    <t xml:space="preserve">A1K-B</t>
  </si>
  <si>
    <t xml:space="preserve">116 / FCAM</t>
  </si>
  <si>
    <t xml:space="preserve">A1K  #A1K-BW  -  103 / 118</t>
  </si>
  <si>
    <t xml:space="preserve">A1K-BW</t>
  </si>
  <si>
    <t xml:space="preserve">103 / 118</t>
  </si>
  <si>
    <t xml:space="preserve">TYPE C1</t>
  </si>
  <si>
    <t xml:space="preserve">C1  #C1-FCAM  -  FCAM</t>
  </si>
  <si>
    <t xml:space="preserve">C1-FCAM</t>
  </si>
  <si>
    <t xml:space="preserve">FCAM</t>
  </si>
  <si>
    <t xml:space="preserve">6/A12.01</t>
  </si>
  <si>
    <t xml:space="preserve">C1  #C1-MON  -  104</t>
  </si>
  <si>
    <t xml:space="preserve">C1-MON</t>
  </si>
  <si>
    <t xml:space="preserve">104</t>
  </si>
  <si>
    <t xml:space="preserve">C1  #CH-01  -  114 / 113 (incl. jog C1-MON-R1 0.313 LF) (incl. jog C1-MON-R2 0.313 LF)</t>
  </si>
  <si>
    <t xml:space="preserve">CH-01</t>
  </si>
  <si>
    <t xml:space="preserve">114 / 113 (incl. jog C1-MON-R1 0.313 LF) (incl. jog C1-MON-R2 0.313 LF)</t>
  </si>
  <si>
    <t xml:space="preserve">C1  #PIER-1  -  100 / EXTERIOR</t>
  </si>
  <si>
    <t xml:space="preserve">PIER-1</t>
  </si>
  <si>
    <t xml:space="preserve">100 / EXTERIOR</t>
  </si>
  <si>
    <t xml:space="preserve">C1  #PIER-2  -  100 / EXTERIOR</t>
  </si>
  <si>
    <t xml:space="preserve">PIER-2</t>
  </si>
  <si>
    <t xml:space="preserve">C1  #CW-G1  -  101 / 103 / GRILLE GUIDE</t>
  </si>
  <si>
    <t xml:space="preserve">CW-G1</t>
  </si>
  <si>
    <t xml:space="preserve">101 / 103 / GRILLE GUIDE</t>
  </si>
  <si>
    <t xml:space="preserve">C1  #CW-G2  -  101 / 103 / GRILLE GUIDE</t>
  </si>
  <si>
    <t xml:space="preserve">CW-G2</t>
  </si>
  <si>
    <t xml:space="preserve">TYPE A1</t>
  </si>
  <si>
    <t xml:space="preserve">A1  #A1-WR  -  116 / 119</t>
  </si>
  <si>
    <t xml:space="preserve">A1-WR</t>
  </si>
  <si>
    <t xml:space="preserve">116 / 119</t>
  </si>
  <si>
    <t xml:space="preserve">3/A12.01</t>
  </si>
  <si>
    <t xml:space="preserve">A1  #A1-118N  -  116 / 118</t>
  </si>
  <si>
    <t xml:space="preserve">A1-118N</t>
  </si>
  <si>
    <t xml:space="preserve">116 / 118</t>
  </si>
  <si>
    <t xml:space="preserve">A1  #A1-118NW  -  118 / 116</t>
  </si>
  <si>
    <t xml:space="preserve">A1-118NW</t>
  </si>
  <si>
    <t xml:space="preserve">118 / 116</t>
  </si>
  <si>
    <t xml:space="preserve">A1  #A1-122N  -  104 / NICHE / 122</t>
  </si>
  <si>
    <t xml:space="preserve">A1-122N</t>
  </si>
  <si>
    <t xml:space="preserve">104 / NICHE / 122</t>
  </si>
  <si>
    <t xml:space="preserve">A1  #A1-NE  -  NICHE / 122</t>
  </si>
  <si>
    <t xml:space="preserve">A1-NE</t>
  </si>
  <si>
    <t xml:space="preserve">NICHE / 122</t>
  </si>
  <si>
    <t xml:space="preserve">A1  #A1-NS  -  NICHE / 122</t>
  </si>
  <si>
    <t xml:space="preserve">A1-NS</t>
  </si>
  <si>
    <t xml:space="preserve">A1  #A1-122S  -  122 / 118</t>
  </si>
  <si>
    <t xml:space="preserve">A1-122S</t>
  </si>
  <si>
    <t xml:space="preserve">122 / 118</t>
  </si>
  <si>
    <t xml:space="preserve">A1  #A1-ELW  -  111 / 118 / 120</t>
  </si>
  <si>
    <t xml:space="preserve">A1-ELW</t>
  </si>
  <si>
    <t xml:space="preserve">111 / 118 / 120</t>
  </si>
  <si>
    <t xml:space="preserve">A1  #A1-111  -  103 / 111</t>
  </si>
  <si>
    <t xml:space="preserve">A1-111</t>
  </si>
  <si>
    <t xml:space="preserve">103 / 111</t>
  </si>
  <si>
    <t xml:space="preserve">A1  #A1-ALN  -  114 / 111</t>
  </si>
  <si>
    <t xml:space="preserve">A1-ALN</t>
  </si>
  <si>
    <t xml:space="preserve">114 / 111</t>
  </si>
  <si>
    <t xml:space="preserve">A1  #A1-ALS  -  111 / 113</t>
  </si>
  <si>
    <t xml:space="preserve">A1-ALS</t>
  </si>
  <si>
    <t xml:space="preserve">111 / 113</t>
  </si>
  <si>
    <t xml:space="preserve">A1  #A1-ALB  -  114 / CHASE / 113 / 111</t>
  </si>
  <si>
    <t xml:space="preserve">A1-ALB</t>
  </si>
  <si>
    <t xml:space="preserve">114 / CHASE / 113 / 111</t>
  </si>
  <si>
    <t xml:space="preserve">TYPE A5</t>
  </si>
  <si>
    <t xml:space="preserve">A5  #A5-118  -  118 / 116</t>
  </si>
  <si>
    <t xml:space="preserve">A5-118</t>
  </si>
  <si>
    <t xml:space="preserve">A5  #A5-122W  -  103 / 111 / 122</t>
  </si>
  <si>
    <t xml:space="preserve">A5-122W</t>
  </si>
  <si>
    <t xml:space="preserve">103 / 111 / 122</t>
  </si>
  <si>
    <t xml:space="preserve">A5  #A5-122E  -  122 / 103 / 116</t>
  </si>
  <si>
    <t xml:space="preserve">A5-122E</t>
  </si>
  <si>
    <t xml:space="preserve">122 / 103 / 116</t>
  </si>
  <si>
    <t xml:space="preserve">TYPE B2</t>
  </si>
  <si>
    <t xml:space="preserve">B2  #B2-WR  -  118 / 119</t>
  </si>
  <si>
    <t xml:space="preserve">B2-WR</t>
  </si>
  <si>
    <t xml:space="preserve">118 / 119</t>
  </si>
  <si>
    <t xml:space="preserve">1/A12.01</t>
  </si>
  <si>
    <t xml:space="preserve">B2  #B2-CA  -  114 / 111</t>
  </si>
  <si>
    <t xml:space="preserve">B2-CA</t>
  </si>
  <si>
    <t xml:space="preserve">B2  #B2-CB  -  113 / 111</t>
  </si>
  <si>
    <t xml:space="preserve">B2-CB</t>
  </si>
  <si>
    <t xml:space="preserve">113 / 111</t>
  </si>
  <si>
    <t xml:space="preserve">B2  #B2-102  -  102 / 103</t>
  </si>
  <si>
    <t xml:space="preserve">B2-102</t>
  </si>
  <si>
    <t xml:space="preserve">102 / 103</t>
  </si>
  <si>
    <t xml:space="preserve">TYPE B</t>
  </si>
  <si>
    <t xml:space="preserve">B  #B-ELN  -  118 / 120</t>
  </si>
  <si>
    <t xml:space="preserve">B-ELN</t>
  </si>
  <si>
    <t xml:space="preserve">118 / 120</t>
  </si>
  <si>
    <t xml:space="preserve">B  #B-ELS  -  120 / 121</t>
  </si>
  <si>
    <t xml:space="preserve">B-ELS</t>
  </si>
  <si>
    <t xml:space="preserve">120 / 121</t>
  </si>
  <si>
    <t xml:space="preserve">B  #B-ELE  -  120 / 118</t>
  </si>
  <si>
    <t xml:space="preserve">B-ELE</t>
  </si>
  <si>
    <t xml:space="preserve">120 / 118</t>
  </si>
  <si>
    <t xml:space="preserve">B  #B-MS  -  113 / 112</t>
  </si>
  <si>
    <t xml:space="preserve">B-MS</t>
  </si>
  <si>
    <t xml:space="preserve">113 / 112</t>
  </si>
  <si>
    <t xml:space="preserve">B  #B-JE  -  112 / 117</t>
  </si>
  <si>
    <t xml:space="preserve">B-JE</t>
  </si>
  <si>
    <t xml:space="preserve">112 / 117</t>
  </si>
  <si>
    <t xml:space="preserve">B  #B-JS  -  112 / 115</t>
  </si>
  <si>
    <t xml:space="preserve">B-JS</t>
  </si>
  <si>
    <t xml:space="preserve">112 / 115</t>
  </si>
  <si>
    <t xml:space="preserve">TYPE F</t>
  </si>
  <si>
    <t xml:space="preserve">F  #F-01  -  101 / 102</t>
  </si>
  <si>
    <t xml:space="preserve">F-01</t>
  </si>
  <si>
    <t xml:space="preserve">101 / 102</t>
  </si>
  <si>
    <t xml:space="preserve">12/A12.01</t>
  </si>
  <si>
    <t xml:space="preserve">TYPE BULKHEAD-G</t>
  </si>
  <si>
    <t xml:space="preserve">BULKHEAD-G  #BH-E0+BH-E1+BH-E2+BH-E3  -  103 / 105 + 103 / 106 + 103 / 107 + 103 / 108</t>
  </si>
  <si>
    <t xml:space="preserve">BH-E0+BH-E1+BH-E2+BH-E3</t>
  </si>
  <si>
    <t xml:space="preserve">103 / 105 + 103 / 106 + 103 / 107 + 103 / 108</t>
  </si>
  <si>
    <t xml:space="preserve">9/A12.01</t>
  </si>
  <si>
    <t xml:space="preserve">TYPE BULKHEAD-G1</t>
  </si>
  <si>
    <t xml:space="preserve">BULKHEAD-G1  #BH-W0+BH-W1  -  111 / 109 + 111 / 110</t>
  </si>
  <si>
    <t xml:space="preserve">BH-W0+BH-W1</t>
  </si>
  <si>
    <t xml:space="preserve">111 / 109 + 111 / 110</t>
  </si>
  <si>
    <t xml:space="preserve">TYPE EXT-6CFMF</t>
  </si>
  <si>
    <t xml:space="preserve">EXT-6CFMF  #EXT-W2  -  int 101/102</t>
  </si>
  <si>
    <t xml:space="preserve">EXT-W2</t>
  </si>
  <si>
    <t xml:space="preserve">int 101/102</t>
  </si>
  <si>
    <t xml:space="preserve">C/A09.21</t>
  </si>
  <si>
    <t xml:space="preserve">EXT-6CFMF  #EXT-D  -  int 102</t>
  </si>
  <si>
    <t xml:space="preserve">EXT-D</t>
  </si>
  <si>
    <t xml:space="preserve">int 102</t>
  </si>
  <si>
    <t xml:space="preserve">EXT-6CFMF  #EXT-W3H+EXT-W3L  -  int 109/110/114 + int 114/113/112/115</t>
  </si>
  <si>
    <t xml:space="preserve">EXT-W3H+EXT-W3L</t>
  </si>
  <si>
    <t xml:space="preserve">int 109/110/114 + int 114/113/112/115</t>
  </si>
  <si>
    <t xml:space="preserve">EXT-6CFMF  #EXT-S1+EXT-S2  -  int 115/111/121/118 + int 119</t>
  </si>
  <si>
    <t xml:space="preserve">EXT-S1+EXT-S2</t>
  </si>
  <si>
    <t xml:space="preserve">int 115/111/121/118 + int 119</t>
  </si>
  <si>
    <t xml:space="preserve">EXT-6CFMF  #EXT-E-H+EXT-E-L  -  int 105/106/107/108/116 + int 116/119</t>
  </si>
  <si>
    <t xml:space="preserve">EXT-E-H+EXT-E-L</t>
  </si>
  <si>
    <t xml:space="preserve">int 105/106/107/108/116 + int 116/119</t>
  </si>
  <si>
    <t xml:space="preserve">EXT-6CFMF  #EXT-NE  -  int 105</t>
  </si>
  <si>
    <t xml:space="preserve">EXT-NE</t>
  </si>
  <si>
    <t xml:space="preserve">int 105</t>
  </si>
  <si>
    <t xml:space="preserve">TYPE CANOPY-COL</t>
  </si>
  <si>
    <t xml:space="preserve">CANOPY-COL  #CW-C1  -  CW-C1</t>
  </si>
  <si>
    <t xml:space="preserve">CW-C1</t>
  </si>
  <si>
    <t xml:space="preserve">5/A09.25 CANOPY COLUMN; A02.01 grid 1</t>
  </si>
  <si>
    <t xml:space="preserve">CANOPY-COL  #CW-C2  -  CW-C2</t>
  </si>
  <si>
    <t xml:space="preserve">CW-C2</t>
  </si>
  <si>
    <t xml:space="preserve">CANOPY-COL  #CW-C3  -  CW-C3</t>
  </si>
  <si>
    <t xml:space="preserve">CW-C3</t>
  </si>
  <si>
    <t xml:space="preserve">CANOPY-COL  #CW-C4  -  CW-C4</t>
  </si>
  <si>
    <t xml:space="preserve">CW-C4</t>
  </si>
  <si>
    <t xml:space="preserve">TYPE EXT-PARAPET</t>
  </si>
  <si>
    <t xml:space="preserve">EXT-PARAPET  #PAR-G  -  PAR-G</t>
  </si>
  <si>
    <t xml:space="preserve">PAR-G</t>
  </si>
  <si>
    <t xml:space="preserve">6" parapet</t>
  </si>
  <si>
    <t xml:space="preserve">11/S5.10; 6/S5.10; 4/A09.26</t>
  </si>
  <si>
    <t xml:space="preserve">EXT-PARAPET  #PAR-2  -  PAR-2</t>
  </si>
  <si>
    <t xml:space="preserve">PAR-2</t>
  </si>
  <si>
    <t xml:space="preserve">EXT-PARAPET  #PAR-4  -  PAR-4</t>
  </si>
  <si>
    <t xml:space="preserve">PAR-4</t>
  </si>
  <si>
    <t xml:space="preserve">EXT-PARAPET  #PAR-D  -  PAR-D</t>
  </si>
  <si>
    <t xml:space="preserve">PAR-D</t>
  </si>
  <si>
    <t xml:space="preserve">EXT-PARAPET  #PAR-3H+PAR-3L  -  PAR-3H + PAR-3L</t>
  </si>
  <si>
    <t xml:space="preserve">PAR-3H+PAR-3L</t>
  </si>
  <si>
    <t xml:space="preserve">PAR-3H + PAR-3L</t>
  </si>
  <si>
    <t xml:space="preserve">EXT-PARAPET  #PAR-A  -  PAR-A</t>
  </si>
  <si>
    <t xml:space="preserve">PAR-A</t>
  </si>
  <si>
    <t xml:space="preserve">EXT-PARAPET  #PAR-8H+PAR-8L  -  PAR-8H + PAR-8L</t>
  </si>
  <si>
    <t xml:space="preserve">PAR-8H+PAR-8L</t>
  </si>
  <si>
    <t xml:space="preserve">PAR-8H + PAR-8L</t>
  </si>
  <si>
    <t xml:space="preserve">EXT-PARAPET  #PAR-F  -  PAR-F</t>
  </si>
  <si>
    <t xml:space="preserve">PAR-F</t>
  </si>
  <si>
    <t xml:space="preserve">TOTAL - PARTITIONS</t>
  </si>
  <si>
    <t xml:space="preserve">TYPE OTHER FRAMING (NOT A PARTITION)</t>
  </si>
  <si>
    <t xml:space="preserve">vestibule_head  #VH-1  -  100 / 101 / 100-SOFFIT</t>
  </si>
  <si>
    <t xml:space="preserve">VH-1</t>
  </si>
  <si>
    <t xml:space="preserve">100 / 101 / 100-SOFFIT</t>
  </si>
  <si>
    <t xml:space="preserve">4/A12.10</t>
  </si>
  <si>
    <t xml:space="preserve">vestibule_head  #VH-2  -  100 / 103 / 100-SOFFIT</t>
  </si>
  <si>
    <t xml:space="preserve">VH-2</t>
  </si>
  <si>
    <t xml:space="preserve">100 / 103 / 100-SOFFIT</t>
  </si>
  <si>
    <t xml:space="preserve">grille_head  #GH-1  -  101 / 103 / 101-SOFFIT</t>
  </si>
  <si>
    <t xml:space="preserve">GH-1</t>
  </si>
  <si>
    <t xml:space="preserve">2-1/2"</t>
  </si>
  <si>
    <t xml:space="preserve">101 / 103 / 101-SOFFIT</t>
  </si>
  <si>
    <t xml:space="preserve">4/A08.21</t>
  </si>
  <si>
    <t xml:space="preserve">storefront_cripples  #SC-N  -  103</t>
  </si>
  <si>
    <t xml:space="preserve">SC-N</t>
  </si>
  <si>
    <t xml:space="preserve">103</t>
  </si>
  <si>
    <t xml:space="preserve">storefront_cripples  #SC-T  -  100</t>
  </si>
  <si>
    <t xml:space="preserve">SC-T</t>
  </si>
  <si>
    <t xml:space="preserve">100</t>
  </si>
  <si>
    <t xml:space="preserve">storefront_cripples  #SC-WV  -  100</t>
  </si>
  <si>
    <t xml:space="preserve">SC-WV</t>
  </si>
  <si>
    <t xml:space="preserve">roof_step  #RS-1  -  RS-1</t>
  </si>
  <si>
    <t xml:space="preserve">RS-1</t>
  </si>
  <si>
    <t xml:space="preserve">4/A02.02</t>
  </si>
  <si>
    <t xml:space="preserve">roof_step  #RS-2  -  RS low</t>
  </si>
  <si>
    <t xml:space="preserve">RS-2</t>
  </si>
  <si>
    <t xml:space="preserve">RS low</t>
  </si>
  <si>
    <t xml:space="preserve">roof_step  #RS-3  -  RS high</t>
  </si>
  <si>
    <t xml:space="preserve">RS-3</t>
  </si>
  <si>
    <t xml:space="preserve">RS high</t>
  </si>
  <si>
    <t xml:space="preserve">fascia_box  #FB-W  -  FB-W</t>
  </si>
  <si>
    <t xml:space="preserve">FB-W</t>
  </si>
  <si>
    <t xml:space="preserve">3-5/8" canopy</t>
  </si>
  <si>
    <t xml:space="preserve">7/A09.26; 15/A09.27; 16/A09.27; A04.01 canopy fascia</t>
  </si>
  <si>
    <t xml:space="preserve">fascia_box  #FB-N  -  FB-N</t>
  </si>
  <si>
    <t xml:space="preserve">FB-N</t>
  </si>
  <si>
    <t xml:space="preserve">fascia_box  #FB-E  -  FB-E</t>
  </si>
  <si>
    <t xml:space="preserve">FB-E</t>
  </si>
  <si>
    <t xml:space="preserve">fascia_box  #FB-S  -  FB-S</t>
  </si>
  <si>
    <t xml:space="preserve">FB-S</t>
  </si>
  <si>
    <t xml:space="preserve">soffit_side  #CSR-S1  -  116 CSR</t>
  </si>
  <si>
    <t xml:space="preserve">CSR-S1</t>
  </si>
  <si>
    <t xml:space="preserve">116 CSR</t>
  </si>
  <si>
    <t xml:space="preserve">9/A12.08</t>
  </si>
  <si>
    <t xml:space="preserve">soffit_side  #CSR-S2  -  116 CSR</t>
  </si>
  <si>
    <t xml:space="preserve">CSR-S2</t>
  </si>
  <si>
    <t xml:space="preserve">ceiling_transition  #TR-104  -  104</t>
  </si>
  <si>
    <t xml:space="preserve">TR-104</t>
  </si>
  <si>
    <t xml:space="preserve">7/A09.33</t>
  </si>
  <si>
    <t xml:space="preserve">ceiling_bulkhead  #CB-111  -  103</t>
  </si>
  <si>
    <t xml:space="preserve">CB-111</t>
  </si>
  <si>
    <t xml:space="preserve">8/A09.33</t>
  </si>
  <si>
    <t xml:space="preserve">ceiling_bulkhead  #CB-116W  -  103</t>
  </si>
  <si>
    <t xml:space="preserve">CB-116W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</si>
  <si>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</si>
  <si>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</si>
  <si>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</si>
  <si>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</si>
  <si>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</si>
  <si>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</si>
  <si>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</si>
  <si>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</si>
  <si>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</si>
  <si>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</si>
  <si>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</si>
  <si>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600S137-33 / 600S162-54 (exterior + A5/B2/B2K)</t>
  </si>
  <si>
    <t xml:space="preserve">LF</t>
  </si>
  <si>
    <t xml:space="preserve">stick 20 ft</t>
  </si>
  <si>
    <t xml:space="preserve">familias_out.json '6" stud (todos los gauges)'; 7/S5.20; S1.11 n.5 (gauge per RFI-03); 3/A12.01; C/A09.21</t>
  </si>
  <si>
    <t xml:space="preserve">3-5/8" metal stud 362S137-33 (A1/B/C1/F/A1K 14 ga + soffits + canopy)</t>
  </si>
  <si>
    <t xml:space="preserve">familias_out.json '3-5/8" stud (todos los gauges)'; 7/S5.20; 3/A12.01; 4/A12.01 14 GA @ 24"; 7/A09.26</t>
  </si>
  <si>
    <t xml:space="preserve">1-5/8" metal stud double row (G / G1 / office bulkheads)</t>
  </si>
  <si>
    <t xml:space="preserve">familias_out.json '1-5/8" stud'; 5/A12.01; 9/A12.01</t>
  </si>
  <si>
    <t xml:space="preserve">6" parapet stud 600S162-54 @ 16" (infill)</t>
  </si>
  <si>
    <t xml:space="preserve">stick 10 ft</t>
  </si>
  <si>
    <t xml:space="preserve">familias_out.json '6" parapet stud'; 11/S5.10; 6/S5.10</t>
  </si>
  <si>
    <t xml:space="preserve">Bottom track (all sizes, 600T125-33 / 362T125-33 / 162T)</t>
  </si>
  <si>
    <t xml:space="preserve">piece 10 ft</t>
  </si>
  <si>
    <t xml:space="preserve">familias_out.json 'bottom track (todos)'; 7/S5.20</t>
  </si>
  <si>
    <t xml:space="preserve">Top / deflection slip track (600T200-97 ext.; continuous slip track int.)</t>
  </si>
  <si>
    <t xml:space="preserve">familias_out.json 'top / deflection track (todos)'; 7/S5.20; 3/A12.01; 10/S5.10</t>
  </si>
  <si>
    <t xml:space="preserve">Ceiling / soffit / canopy track 362T125-33</t>
  </si>
  <si>
    <t xml:space="preserve">familias_out.json 'track de ceilings / soffits'; 7/A09.26; 9/A12.08; 7/A09.33</t>
  </si>
  <si>
    <t xml:space="preserve">Bracing 1-1/2" C.R. channel @ 48" O.C.</t>
  </si>
  <si>
    <t xml:space="preserve">piece 16 ft</t>
  </si>
  <si>
    <t xml:space="preserve">familias_out.json 'bracing C.R. channel'; F/1/S5.20</t>
  </si>
  <si>
    <t xml:space="preserve">Purlin 1x1x1 16 ga across min. (2) flutes</t>
  </si>
  <si>
    <t xml:space="preserve">familias_out.json 'purlin (track to deck)'; 10/A09.33</t>
  </si>
  <si>
    <t xml:space="preserve">Header / box beam (track, 2-362CSJ20, box beams by pieces)</t>
  </si>
  <si>
    <t xml:space="preserve">familias_out.json 'header / box beam'; 7/S5.20; 11/A09.27; 9/A12.01; 4/A08.21</t>
  </si>
  <si>
    <t xml:space="preserve">Sill track (double &gt; 4'-0")</t>
  </si>
  <si>
    <t xml:space="preserve">familias_out.json 'sill track'; 2/S5.20</t>
  </si>
  <si>
    <t xml:space="preserve">Furring channel 7/8" @ 16" O.C. (GWB ceilings)</t>
  </si>
  <si>
    <t xml:space="preserve">piece 12 ft</t>
  </si>
  <si>
    <t xml:space="preserve">familias_out.json 'furring channel'; A04.01; ASTM C754 (RFI-01)</t>
  </si>
  <si>
    <t xml:space="preserve">Carrying channel 1-1/2" @ 48" O.C.</t>
  </si>
  <si>
    <t xml:space="preserve">familias_out.json 'carrying channel'; A04.01 (RFI-01)</t>
  </si>
  <si>
    <t xml:space="preserve">Hanger wire 12 ga (LF derived = PCS x height)</t>
  </si>
  <si>
    <t xml:space="preserve">roll</t>
  </si>
  <si>
    <t xml:space="preserve">familias_out.json 'hanger wire'; 3/A09.33; 100 15 pcs x 5.375; 101 20 pcs x 5.375; 104 54 pcs x 4.375; 113 12 pcs x 4.389; 114 12 pcs x 4.552</t>
  </si>
  <si>
    <t xml:space="preserve">Hanger wire 12 ga pieces (one per hanger, height per room)</t>
  </si>
  <si>
    <t xml:space="preserve">PCS</t>
  </si>
  <si>
    <t xml:space="preserve">each</t>
  </si>
  <si>
    <t xml:space="preserve">hanger_pcs.total_pcs (canon.py); 3/A09.33</t>
  </si>
  <si>
    <t xml:space="preserve">5/8" gypsum board regular (walls + ceilings)</t>
  </si>
  <si>
    <t xml:space="preserve">SF</t>
  </si>
  <si>
    <t xml:space="preserve">4x12 sheet</t>
  </si>
  <si>
    <t xml:space="preserve">familias_out.json '5/8" gyp board regular (walls + ceilings)'; board_caras.py; A04.01</t>
  </si>
  <si>
    <t xml:space="preserve">5/8" gypsum board moisture resistant (chase faces, toilet / lavatory)</t>
  </si>
  <si>
    <t xml:space="preserve">familias_out.json '5/8" gyp MOISTURE RESISTANT'; F/A08.01</t>
  </si>
  <si>
    <t xml:space="preserve">3/8" UL752 Level-2 fiberglass ballistic panel (to 8'-0")</t>
  </si>
  <si>
    <t xml:space="preserve">4x8 sheet</t>
  </si>
  <si>
    <t xml:space="preserve">familias_out.json 'ballistic panel'; 4/A12.01</t>
  </si>
  <si>
    <t xml:space="preserve">3/8" gypsum board (8'-0" to deck over ballistic)</t>
  </si>
  <si>
    <t xml:space="preserve">familias_out.json '3/8" gyp board'; 4/A12.01</t>
  </si>
  <si>
    <t xml:space="preserve">5/8" glass mat sheathing (base T/SLAB-T/BASE + band behind canopy)</t>
  </si>
  <si>
    <t xml:space="preserve">familias_out.json '5/8" glass mat sheathing'; 5/A09.26; 9/A09.27; 3/A09.26; 7/A09.26</t>
  </si>
  <si>
    <t xml:space="preserve">5/8" exterior gypsum sheathing (parapet roof side)</t>
  </si>
  <si>
    <t xml:space="preserve">familias_out.json '5/8" EXTERIOR gyp sheathing'; 4/A09.26</t>
  </si>
  <si>
    <t xml:space="preserve">5/8" FRT plywood (nailbase on polyiso, canopy soffit/fascia, F wall, backboards, jamb strips)</t>
  </si>
  <si>
    <t xml:space="preserve">familias_out.json 'FRT plywood (SF)'; C/A09.21; 7/A09.26; 12/A12.01; A11.03</t>
  </si>
  <si>
    <t xml:space="preserve">FRT blocking (parapet 2 plies, toilet accessories, office jambs, millwork, grille)</t>
  </si>
  <si>
    <t xml:space="preserve">piece 8 ft</t>
  </si>
  <si>
    <t xml:space="preserve">familias_out.json 'FRT blocking'; 4/A09.26; E/A08.01; 10/A12.01; A12.03 note D</t>
  </si>
  <si>
    <t xml:space="preserve">Metal stud blocking 362CR22 (edge of gypboard + wall stops)</t>
  </si>
  <si>
    <t xml:space="preserve">familias_out.json 'metal stud blocking (362CR / STUD BLOCKING)'; 4/S5.20; A00.30 note D</t>
  </si>
  <si>
    <t xml:space="preserve">Metal trim - corner bead, casing bead, shadow molding, L bead</t>
  </si>
  <si>
    <t xml:space="preserve">familias_out.json 'metal trim (corner bead, casing, shadow molding)'; 8/A12.01; 9/A12.01; 10/A12.01; 7/A09.33; 9/A12.08</t>
  </si>
  <si>
    <t xml:space="preserve">Cementitious backer board under tile cove base</t>
  </si>
  <si>
    <t xml:space="preserve">3x5 sheet</t>
  </si>
  <si>
    <t xml:space="preserve">familias_out.json 'cement board'; A08.01 CT-12C (58.7)</t>
  </si>
  <si>
    <t xml:space="preserve">FRP panel WC-3 (restrooms) + mop sink</t>
  </si>
  <si>
    <t xml:space="preserve">familias_out.json 'FRP'; A/A08.01; A05.01 key note 6</t>
  </si>
  <si>
    <t xml:space="preserve">Acoustical sealant (per partition detail + bulkheads) and sealant at base exterior</t>
  </si>
  <si>
    <t xml:space="preserve">tube 10.1 oz (~ 30 LF)</t>
  </si>
  <si>
    <t xml:space="preserve">familias_out.json 'acoustical sealant'; 1/A12.01; 3/A12.01; 4/A12.01; 5/A12.01; 5/A09.26</t>
  </si>
  <si>
    <t xml:space="preserve">Framed openings MEP / light fixtures / slot diffusers / access panel in GWB ceilings</t>
  </si>
  <si>
    <t xml:space="preserve">framed_openings_out.json 'framed openings MEP'; 6/A09.33; 5/A09.33; E00.01; M00.03</t>
  </si>
  <si>
    <t xml:space="preserve">Additional head track at openings over 4'-0" wide</t>
  </si>
  <si>
    <t xml:space="preserve">run 10 ft</t>
  </si>
  <si>
    <t xml:space="preserve">accesorios.py [CRITERIO]: HEAD TRACK @ NON LOAD BRG: ADD FULL LENGTH ADDL HEAD TRACK @ OPNG &gt; 4'-0"; decisión usuario #1: R.O. + 1'-4" (8" de bearing cada lado)</t>
  </si>
  <si>
    <t xml:space="preserve">Stud reinforcement at MEP penetrations</t>
  </si>
  <si>
    <t xml:space="preserve">accesorios.py [CRITERIO]: 6/S5.20; M01.01; 6/S5.20; M01.01 R-2 14x14 + FD; 6/S5.20; M01.01 S-2 + FD; 6/S5.20; M01.01 R-1A 8"; 6/S5.20; M01.01 S-2 6x6 35 CFM; 6/S5.20; P01.01 4" ST 90 GPM; 6/S5.20; P01.01 ST/OD TIGHT TO STRUCTURE; 6/S5.20; P01.01 chase (pipes dentro </t>
  </si>
  <si>
    <t xml:space="preserve">Extra framing - sistered stud and furring at the ATM recess</t>
  </si>
  <si>
    <t xml:space="preserve">accesorios.py [DERIVADO]: 6/A08.11 '2 1/2" METAL STUD SISTERED TO 6" METAL STUD' (furring = sustrato del fiber cement, 60.4)</t>
  </si>
  <si>
    <t xml:space="preserve">2-1/2" CFMF @ 16" O.C. at coiling grille head (4/A08.21)</t>
  </si>
  <si>
    <t xml:space="preserve">accesorios.py [DERIVADO]: 4/A08.21 6" + 1'-6" (bulkhead 2'-0"), (2) 6" CFMF BOX BEAM HEADER</t>
  </si>
  <si>
    <t xml:space="preserve">Gypsum board jamb return at openings</t>
  </si>
  <si>
    <t xml:space="preserve">4x12 ft sheet</t>
  </si>
  <si>
    <t xml:space="preserve">accesorios.py [CRITERIO]: criterio estimador (ref v4: ancho del return = profundidad del stud 6", no acotado; RFI con delta a 0.20 ft)</t>
  </si>
  <si>
    <t xml:space="preserve">PVC trim - edge trim molding and inside corner molding at the FRP</t>
  </si>
  <si>
    <t xml:space="preserve">trim stick 10 ft</t>
  </si>
  <si>
    <t xml:space="preserve">accesorios.py [DERIVADO]: A/A08.01 '5'-0" TO TOP OF FRP' sobre cove base 6" (53.9.1); A04.01 polígono 113 (muesca NE); A/A08.01 '5'-0" TO TOP OF FRP' sobre cove base 6" (53.9.1); A04.01 polígono 114 (muesca SE); A05.01 key note 6 'FRP FROM FLOOR TO 4'-0" AFF, WIDTH </t>
  </si>
  <si>
    <t xml:space="preserve">Power-driven fasteners and duct sleeves</t>
  </si>
  <si>
    <t xml:space="preserve">accesorios.py [DERIVADO]: parapet infill: PAFs SPACED AT 12" O.C. MAX al steel beam; M01.01; M01.01 R-2 14x14 + FD; M01.01 S-2 + FD</t>
  </si>
  <si>
    <t xml:space="preserve">Access panel 2'x2'</t>
  </si>
  <si>
    <t xml:space="preserve">accesorios.py [CONFIRMADO]: A04.01 key note 4</t>
  </si>
  <si>
    <t xml:space="preserve">Drywall screws 1-1/4" bugle head</t>
  </si>
  <si>
    <t xml:space="preserve">accesorios.py [DERIVADO]: criterio estimador (Inputs B20: GA-216 field 12" O.C., perimeter 8" O.C.)</t>
  </si>
  <si>
    <t xml:space="preserve">Framing screws, pan head self-drilling</t>
  </si>
  <si>
    <t xml:space="preserve">accesorios.py [DERIVADO]: criterio estimador (Inputs B21: 2 por conexión stud-track en cada extremo)</t>
  </si>
  <si>
    <t xml:space="preserve">Power-driven fasteners, slab pins for the bottom track</t>
  </si>
  <si>
    <t xml:space="preserve">accesorios.py [DERIVADO]: criterio estimador (Handoff - Approved: el más cerrado de los tres del set, SILL TRACK ANCHORAGE interior @ 12" O.C.)</t>
  </si>
  <si>
    <t xml:space="preserve">Expansion anchors Hilti 1/4" Kwik Bolt II, exterior bottom track @ 8" O.C.</t>
  </si>
  <si>
    <t xml:space="preserve">accesorios.py [DERIVADO]: SILL TRACK ANCHORAGE exterior walls @ 8" O.C. (schedule de studs)</t>
  </si>
  <si>
    <t xml:space="preserve">Joint compound, all purpose</t>
  </si>
  <si>
    <t xml:space="preserve">LB</t>
  </si>
  <si>
    <t xml:space="preserve">lb</t>
  </si>
  <si>
    <t xml:space="preserve">accesorios.py [DERIVADO]: criterio estimador (Inputs B23: 72 lb / 1,000 SF level 4)</t>
  </si>
  <si>
    <t xml:space="preserve">Joint tape, paper</t>
  </si>
  <si>
    <t xml:space="preserve">accesorios.py [DERIVADO]: criterio estimador (Inputs B24: 370 LF / 1,000 SF)</t>
  </si>
  <si>
    <t xml:space="preserve">Level 5 finish</t>
  </si>
  <si>
    <t xml:space="preserve">accesorios.py [DERIVADO]: A05.01 WC-18 muro sur de cada office; A00.40 LEVEL 5; A05.01 key note 10 WC-22 LEVEL 5; A00.40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</si>
  <si>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</si>
  <si>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</si>
  <si>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</si>
  <si>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</si>
  <si>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GWB ceiling suspension (rooms 100, 101, 104, 113, 114) not specified on A04.01 or A09.33. Priced per ASTM C754: 7/8" furring channel @ 16", 1-1/2" carrying channel @ 48", 12 ga hanger wire @ 48".</t>
  </si>
  <si>
    <t xml:space="preserve">furring @ 24": approx. -270 LF; carrying @ 36": approx. +80 LF</t>
  </si>
  <si>
    <t xml:space="preserve">RFI-02</t>
  </si>
  <si>
    <t xml:space="preserve">5/A12.01 PARTITION G does not note the top of gypsum board. Priced to deck (more material); 8/A12.01 and 9/A12.01 do carry it to deck.</t>
  </si>
  <si>
    <t xml:space="preserve">to ceiling + 6" both faces: approx. -3,050 SF 5/8" (G/G1, 2 layers x 2 faces)</t>
  </si>
  <si>
    <t xml:space="preserve">RFI-03</t>
  </si>
  <si>
    <t xml:space="preserve">Exterior stud: S1.11 note 5 600S162-54 @ 12" within 6 ft of building corners / @ 16" vs 7/S5.20 600S137-33 @ 16". Corner zones @ 12" included (more material); gauge to be confirmed.</t>
  </si>
  <si>
    <t xml:space="preserve">no 12" zones: approx. -110 LF 6" stud; 54 mil vs 33 mil changes price</t>
  </si>
  <si>
    <t xml:space="preserve">RFI-04</t>
  </si>
  <si>
    <t xml:space="preserve">Perimeter beam depth d not printed (AISC nominal W12x19 12.2", W14x22 13.7", W18x35 17.7"). Exterior stud height = B.O.D. - d (10/S5.10). Same criterion for interior walls under N-S beams (E26) whose profile is not legible per line on S2.20.</t>
  </si>
  <si>
    <t xml:space="preserve">studs to B.O.D. without d: approx. +290 LF 6" and +110 LF interior</t>
  </si>
  <si>
    <t xml:space="preserve">RFI-05</t>
  </si>
  <si>
    <t xml:space="preserve">Bottom track anchorage: 7/S5.20 (Hilti KB @ 8" ext., DNI @ 12" int.) vs 3/S5.20 (PAF @ 16"). Tighter spacing priced.</t>
  </si>
  <si>
    <t xml:space="preserve">see slab pins family (delta @ 16" / @ 24")</t>
  </si>
  <si>
    <t xml:space="preserve">RFI-06</t>
  </si>
  <si>
    <t xml:space="preserve">Deflection: S1.11 clips for 1" vs 6/S5.10 and 10/S5.10 deflection track +/- 1/2".</t>
  </si>
  <si>
    <t xml:space="preserve">600T200-97 top track kept; clip/track to be confirmed</t>
  </si>
  <si>
    <t xml:space="preserve">RFI-07</t>
  </si>
  <si>
    <t xml:space="preserve">S2.20 canopy 'B.O.D. EL. 111'-9"' (read as 11'-9"); no effect on interior quantities.</t>
  </si>
  <si>
    <t xml:space="preserve">0</t>
  </si>
  <si>
    <t xml:space="preserve">RFI-08</t>
  </si>
  <si>
    <t xml:space="preserve">A05.01 key note 9 calls WC-20 LEVEL 5 on the diagonal wall of 24 HR Vestibule 101, but WC-20 does not exist on A00.40. Not included.</t>
  </si>
  <si>
    <t xml:space="preserve">+ approx. 163 SF Level 5 finish (F wall 16.92 x 9.63)</t>
  </si>
  <si>
    <t xml:space="preserve">RFI-09</t>
  </si>
  <si>
    <t xml:space="preserve">ATM drive-up R.O.: plan 2/A08.11 2'-2 1/2" vs elevation 5/A08.11 2'-2 1/8". 2'-2 1/8" used.</t>
  </si>
  <si>
    <t xml:space="preserve">+0.03 ft header/sill</t>
  </si>
  <si>
    <t xml:space="preserve">RFI-10</t>
  </si>
  <si>
    <t xml:space="preserve">R-11C / R-11CE: description 12' vs catalog 20'-0" (E00.01). 12' (as drawn) used.</t>
  </si>
  <si>
    <t xml:space="preserve">+64 LF framed openings</t>
  </si>
  <si>
    <t xml:space="preserve">RFI-11</t>
  </si>
  <si>
    <t xml:space="preserve">GYPSUM BOARD JAMB RETURN width not dimensioned (2/A09.26, 11/A09.27). 0.5 ft used.</t>
  </si>
  <si>
    <t xml:space="preserve">at 0.20 ft: -55 LF x 0.3 ft</t>
  </si>
  <si>
    <t xml:space="preserve">RFI-12</t>
  </si>
  <si>
    <t xml:space="preserve">Office front CONT. BOX BEAM (8/A12.01, 9/A12.01): size and run length not dimensioned; run measured per front (E 42.73 ft, W 22.40 ft) x 4 pieces.</t>
  </si>
  <si>
    <t xml:space="preserve">per opening (6 x 7.5 ft): approx. -80 LF</t>
  </si>
  <si>
    <t xml:space="preserve">RFI-13</t>
  </si>
  <si>
    <t xml:space="preserve">Vestibule heads 4/A12.10 to 7/A12.10 'METAL STUD FRAMING &amp; BOX HEADER AS NEEDED': size not printed; 4-piece box headers carried over VH-1 and VH-2.</t>
  </si>
  <si>
    <t xml:space="preserve">no box header: approx. -100 LF header</t>
  </si>
  <si>
    <t xml:space="preserve">RFI-14</t>
  </si>
  <si>
    <t xml:space="preserve">TA-13 (hand dryer recess kit) and TA-14 (recessed waste) in the chase: size not printed; not framed.</t>
  </si>
  <si>
    <t xml:space="preserve">if &gt; 14 3/8": + 4 openings x (header + sill) = approx. +27 LF</t>
  </si>
  <si>
    <t xml:space="preserve">RFI-15</t>
  </si>
  <si>
    <t xml:space="preserve">Tower high parapet back faces (key note 7, protection board) not dimensioned in plan; extra sheathing/infill not quantified.</t>
  </si>
  <si>
    <t xml:space="preserve">approx. +2 x 16 LF high parapet</t>
  </si>
  <si>
    <t xml:space="preserve">RFI-16</t>
  </si>
  <si>
    <t xml:space="preserve">Cladding substrate (7/8" hat channel @ 16" for EPS-5, lath for PT-3/PT-4 stucco, ATM fiber cement furring) EXCLUDED.</t>
  </si>
  <si>
    <t xml:space="preserve">+1,413 LF hat channel; +1,538 SF lath</t>
  </si>
  <si>
    <t xml:space="preserve">RFI-17</t>
  </si>
  <si>
    <t xml:space="preserve">Short A1K ballistic walls at teller line: customer face assumed toward the 116 strip / central zone; confirm panel side.</t>
  </si>
  <si>
    <t xml:space="preserve">0 (same area)</t>
  </si>
  <si>
    <t xml:space="preserve">RFI-18</t>
  </si>
  <si>
    <t xml:space="preserve">Millwork blocking: note D A12.03-A12.06 FRTW vs A12.04 'PRESSURE TREATED'; no size printed. 72 LF FRT carried [DERIVADO by tag].</t>
  </si>
  <si>
    <t xml:space="preserve">+/- 30 LF</t>
  </si>
  <si>
    <t xml:space="preserve">RFI-19</t>
  </si>
  <si>
    <t xml:space="preserve">Mop sink FRP (A05.01 key note 6): mop sink width not printed; 2'-0" per side used.</t>
  </si>
  <si>
    <t xml:space="preserve">28": +2.7 SF</t>
  </si>
  <si>
    <t xml:space="preserve">RFI-20</t>
  </si>
  <si>
    <t xml:space="preserve">Restrooms: M01.01 linear slots (75/60 CFM) vs RCP two 2'x2' symbols. 2' slots carried.</t>
  </si>
  <si>
    <t xml:space="preserve">2'x2': approx. +16 LF framed openings</t>
  </si>
  <si>
    <t xml:space="preserve">RFI-21</t>
  </si>
  <si>
    <t xml:space="preserve">Canopy soffit: joist direction and spacing not drawn (4/A09.33, 5/A09.33 note 3 5/8" CFMF @ 16"); carried perpendicular to wall.</t>
  </si>
  <si>
    <t xml:space="preserve">parallel joists: +/- 10%</t>
  </si>
  <si>
    <t xml:space="preserve">RFI-22</t>
  </si>
  <si>
    <t xml:space="preserve">Roof step 4/A02.02: T/STEEL hidden in render; heights of the 3 runs derived from S2.20 (15'-4 1/2" / 13'-0 5/8") and W14 depth.</t>
  </si>
  <si>
    <t xml:space="preserve">+/- 0.5 ft per run</t>
  </si>
  <si>
    <t xml:space="preserve">RFI-23</t>
  </si>
  <si>
    <t xml:space="preserve">Gypsum board control joints: not shown in the set (only stucco CJ). EXCLUDED; per ASTM C840 / GA-216 to be confirmed.</t>
  </si>
  <si>
    <t xml:space="preserve">if required: alternate per LF</t>
  </si>
  <si>
    <t xml:space="preserve">RFI-24</t>
  </si>
  <si>
    <t xml:space="preserve">Interior walls under N-S beams (E26): stopped under the beam with nominal d; if the beam is not over the wall, raise to B.O.D. Includes G-S2 (same beam line as G-S3, back-check H-5).</t>
  </si>
  <si>
    <t xml:space="preserve">approx. +110 LF stud</t>
  </si>
  <si>
    <t xml:space="preserve">RFI-25</t>
  </si>
  <si>
    <t xml:space="preserve">S1.10 note 7 / S1.11 note 4: COLD FORMED STEEL FRAMING is DELEGATED DESIGN / DEFERRED SUBMITTAL with drawings sealed by a Colorado engineer. Engineering EXCLUDED from material; cost to be confirmed.</t>
  </si>
  <si>
    <t xml:space="preserve">engineering allowance (no material)</t>
  </si>
  <si>
    <t xml:space="preserve">RFI-26</t>
  </si>
  <si>
    <t xml:space="preserve">FEC-1 RECESSED (A00.40) in A1 wall 3 5/8": size 'REFER TO SPECIFICATIONS' not printed; depth may not fit. Not framed.</t>
  </si>
  <si>
    <t xml:space="preserve">+ header + sill approx. 2 x 3.33 LF</t>
  </si>
  <si>
    <t xml:space="preserve">RFI-27</t>
  </si>
  <si>
    <t xml:space="preserve">FRT plywood row (canon family 'FRT plywood (SF)') combines 5/8" FRT nailbase + 2 1/2" polyiso (C/A09.21), 5/8" FRT (canopy, fascia, column wraps) and 3/4" FRT (F wall, backboards, jambs). Split for purchasing and confirm who installs the nailbase.</t>
  </si>
  <si>
    <t xml:space="preserve">no SF change; price change</t>
  </si>
  <si>
    <t xml:space="preserve">RFI-28</t>
  </si>
  <si>
    <t xml:space="preserve">9/A12.01 office bulkheads BH-E0..3 / BH-W0..1: soffit bottom (1 layer 5/8" x 7 1/2") NOT carried (canon.py requires the detail's 2 layers on every face). Soffit bottoms at 4/A12.10 (VH) and 4/A08.21 (GH-1) are carried.</t>
  </si>
  <si>
    <t xml:space="preserve">+28.1 SF 5/8" (45 LF x 0.625 ft)</t>
  </si>
  <si>
    <t xml:space="preserve">RFI-29</t>
  </si>
  <si>
    <t xml:space="preserve">Untagged piers G1-SW2 (3.35 ft, SW of 110) and G-S0 (2.42 ft, NW of 105) carried as G1 / G by drawn thickness; A02.01 note A says untagged = A1.</t>
  </si>
  <si>
    <t xml:space="preserve">as A1: approx. -231 SF board; -268 LF 1-5/8" stud, +105 LF 3-5/8" stud</t>
  </si>
  <si>
    <t xml:space="preserve">RFI-30</t>
  </si>
  <si>
    <t xml:space="preserve">C1 board height (CH-01 restroom chase MR, C1-MON TV recess, C1-FCAM): 6/A12.01 does not note the top; carried to deck.</t>
  </si>
  <si>
    <t xml:space="preserve">to ceiling + 6": -78.6 SF 5/8" MR; -41.2 SF 5/8" regular</t>
  </si>
  <si>
    <t xml:space="preserve">RFI-31</t>
  </si>
  <si>
    <t xml:space="preserve">B2K tag is used on A02.01 but has no row in the A12.01 partition schedule; carried as 6" @ 24" with ballistic panel (like A1K).</t>
  </si>
  <si>
    <t xml:space="preserve">as B2 @ 16": minor (1.77 LF)</t>
  </si>
  <si>
    <t xml:space="preserve">RFI-32</t>
  </si>
  <si>
    <t xml:space="preserve">S2.20 '@ LOW ROOF' at W16x31 (grid E) with no B.O.D. of its own; roof step taken at grid B (W14x22 HI/LOW).</t>
  </si>
  <si>
    <t xml:space="preserve">if step is at grid E: E-B band drops approx. 2.3 ft (hundreds of SF)</t>
  </si>
  <si>
    <t xml:space="preserve">RFI-33</t>
  </si>
  <si>
    <t xml:space="preserve">Gypsum board: door/window openings are NOT deducted from board SF (estimator convention, offsets waste).</t>
  </si>
  <si>
    <t xml:space="preserve">if deducted: approx. -816 SF (15 doors + windows)</t>
  </si>
  <si>
    <t xml:space="preserve">RFI-34</t>
  </si>
  <si>
    <t xml:space="preserve">Exterior 6" CFMF stops under the perimeter beam (C/A09.21, 10/S5.10) and parapet studs start at deck; if CFMF bypasses the beam continuously, confirm on S5.10 / S5.20.</t>
  </si>
  <si>
    <t xml:space="preserve">continuous: approx. +200 LF 6" stud</t>
  </si>
  <si>
    <t xml:space="preserve">RFI-ACC1</t>
  </si>
  <si>
    <t xml:space="preserve">additional head track: aberturas con box propio (openings_extra) &gt; 4'-0": ¿llevan también el head track adicional de 2/S5.20?</t>
  </si>
  <si>
    <t xml:space="preserve">107.19 lf</t>
  </si>
  <si>
    <t xml:space="preserve">RFI-ACC2</t>
  </si>
  <si>
    <t xml:space="preserve">gypsum board jamb return: ancho del jamb return no acotado</t>
  </si>
  <si>
    <t xml:space="preserve">-54.7 sf</t>
  </si>
  <si>
    <t xml:space="preserve">RFI-ACC3</t>
  </si>
  <si>
    <t xml:space="preserve">slab pins: spacing del pin: 12" (anchorage interior) vs 16" (fastener schedule) vs 24" (caja del tipo K)</t>
  </si>
  <si>
    <t xml:space="preserve">{'delta_16in': -120.22, 'delta_24in': -240.44} pcs</t>
  </si>
  <si>
    <t xml:space="preserve">#</t>
  </si>
  <si>
    <t xml:space="preserve">Punto</t>
  </si>
  <si>
    <t xml:space="preserve">Hoja + detalle</t>
  </si>
  <si>
    <t xml:space="preserve">Imagen</t>
  </si>
  <si>
    <t xml:space="preserve">RFI-01: GWB ceiling suspension (rooms 100, 101, 104, 113, 114) not specified on A04.01 or A09.33. Priced per ASTM C754: 7/8" furring channel @ 16", 1-1/2" carrying channel @ 48", 12 ga hanger wire @ 48". Delta: furring @ 24": approx. -270 LF; carrying @ 36": approx. +80 LF</t>
  </si>
  <si>
    <t xml:space="preserve">A02.01</t>
  </si>
  <si>
    <t xml:space="preserve">Planos marcados/A0201_*.jpg</t>
  </si>
  <si>
    <t xml:space="preserve">RFI-02: 5/A12.01 PARTITION G does not note the top of gypsum board. Priced to deck (more material); 8/A12.01 and 9/A12.01 do carry it to deck. Delta: to ceiling + 6" both faces: approx. -3,050 SF 5/8" (G/G1, 2 layers x 2 faces)</t>
  </si>
  <si>
    <t xml:space="preserve">RFI-03: Exterior stud: S1.11 note 5 600S162-54 @ 12" within 6 ft of building corners / @ 16" vs 7/S5.20 600S137-33 @ 16". Corner zones @ 12" included (more material); gauge to be confirmed. Delta: no 12" zones: approx. -110 LF 6" stud; 54 mil vs 33 mil changes price</t>
  </si>
  <si>
    <t xml:space="preserve">RFI-04: Perimeter beam depth d not printed (AISC nominal W12x19 12.2", W14x22 13.7", W18x35 17.7"). Exterior stud height = B.O.D. - d (10/S5.10). Same criterion for interior walls under N-S beams (E26) whose profile is not legible per line on S2.20. Delta: studs to B.O.D. without d: approx. +290 LF 6" and +110 LF interior</t>
  </si>
  <si>
    <t xml:space="preserve">RFI-05: Bottom track anchorage: 7/S5.20 (Hilti KB @ 8" ext., DNI @ 12" int.) vs 3/S5.20 (PAF @ 16"). Tighter spacing priced. Delta: see slab pins family (delta @ 16" / @ 24")</t>
  </si>
  <si>
    <t xml:space="preserve">RFI-06: Deflection: S1.11 clips for 1" vs 6/S5.10 and 10/S5.10 deflection track +/- 1/2". Delta: 600T200-97 top track kept; clip/track to be confirmed</t>
  </si>
  <si>
    <t xml:space="preserve">RFI-07: S2.20 canopy 'B.O.D. EL. 111'-9"' (read as 11'-9"); no effect on interior quantities. Delta: 0</t>
  </si>
  <si>
    <t xml:space="preserve">RFI-08: A05.01 key note 9 calls WC-20 LEVEL 5 on the diagonal wall of 24 HR Vestibule 101, but WC-20 does not exist on A00.40. Not included. Delta: + approx. 163 SF Level 5 finish (F wall 16.92 x 9.63)</t>
  </si>
  <si>
    <t xml:space="preserve">RFI-09: ATM drive-up R.O.: plan 2/A08.11 2'-2 1/2" vs elevation 5/A08.11 2'-2 1/8". 2'-2 1/8" used. Delta: +0.03 ft header/sill</t>
  </si>
  <si>
    <t xml:space="preserve">RFI-10: R-11C / R-11CE: description 12' vs catalog 20'-0" (E00.01). 12' (as drawn) used. Delta: +64 LF framed openings</t>
  </si>
  <si>
    <t xml:space="preserve">RFI-11: GYPSUM BOARD JAMB RETURN width not dimensioned (2/A09.26, 11/A09.27). 0.5 ft used. Delta: at 0.20 ft: -55 LF x 0.3 ft</t>
  </si>
  <si>
    <t xml:space="preserve">RFI-12: Office front CONT. BOX BEAM (8/A12.01, 9/A12.01): size and run length not dimensioned; run measured per front (E 42.73 ft, W 22.40 ft) x 4 pieces. Delta: per opening (6 x 7.5 ft): approx. -80 LF</t>
  </si>
  <si>
    <t xml:space="preserve">RFI-13: Vestibule heads 4/A12.10 to 7/A12.10 'METAL STUD FRAMING &amp; BOX HEADER AS NEEDED': size not printed; 4-piece box headers carried over VH-1 and VH-2. Delta: no box header: approx. -100 LF header</t>
  </si>
  <si>
    <t xml:space="preserve">RFI-14: TA-13 (hand dryer recess kit) and TA-14 (recessed waste) in the chase: size not printed; not framed. Delta: if &gt; 14 3/8": + 4 openings x (header + sill) = approx. +27 LF</t>
  </si>
  <si>
    <t xml:space="preserve">RFI-15: Tower high parapet back faces (key note 7, protection board) not dimensioned in plan; extra sheathing/infill not quantified. Delta: approx. +2 x 16 LF high parapet</t>
  </si>
  <si>
    <t xml:space="preserve">RFI-16: Cladding substrate (7/8" hat channel @ 16" for EPS-5, lath for PT-3/PT-4 stucco, ATM fiber cement furring) EXCLUDED. Delta: +1,413 LF hat channel; +1,538 SF lath</t>
  </si>
  <si>
    <t xml:space="preserve">RFI-17: Short A1K ballistic walls at teller line: customer face assumed toward the 116 strip / central zone; confirm panel side. Delta: 0 (same area)</t>
  </si>
  <si>
    <t xml:space="preserve">RFI-18: Millwork blocking: note D A12.03-A12.06 FRTW vs A12.04 'PRESSURE TREATED'; no size printed. 72 LF FRT carried [DERIVADO by tag]. Delta: +/- 30 LF</t>
  </si>
  <si>
    <t xml:space="preserve">RFI-19: Mop sink FRP (A05.01 key note 6): mop sink width not printed; 2'-0" per side used. Delta: 28": +2.7 SF</t>
  </si>
  <si>
    <t xml:space="preserve">RFI-20: Restrooms: M01.01 linear slots (75/60 CFM) vs RCP two 2'x2' symbols. 2' slots carried. Delta: 2'x2': approx. +16 LF framed openings</t>
  </si>
  <si>
    <t xml:space="preserve">RFI-21: Canopy soffit: joist direction and spacing not drawn (4/A09.33, 5/A09.33 note 3 5/8" CFMF @ 16"); carried perpendicular to wall. Delta: parallel joists: +/- 10%</t>
  </si>
  <si>
    <t xml:space="preserve">RFI-22: Roof step 4/A02.02: T/STEEL hidden in render; heights of the 3 runs derived from S2.20 (15'-4 1/2" / 13'-0 5/8") and W14 depth. Delta: +/- 0.5 ft per run</t>
  </si>
  <si>
    <t xml:space="preserve">RFI-23: Gypsum board control joints: not shown in the set (only stucco CJ). EXCLUDED; per ASTM C840 / GA-216 to be confirmed. Delta: if required: alternate per LF</t>
  </si>
  <si>
    <t xml:space="preserve">RFI-24: Interior walls under N-S beams (E26): stopped under the beam with nominal d; if the beam is not over the wall, raise to B.O.D. Includes G-S2 (same beam line as G-S3, back-check H-5). Delta: approx. +110 LF stud</t>
  </si>
  <si>
    <t xml:space="preserve">RFI-25: S1.10 note 7 / S1.11 note 4: COLD FORMED STEEL FRAMING is DELEGATED DESIGN / DEFERRED SUBMITTAL with drawings sealed by a Colorado engineer. Engineering EXCLUDED from material; cost to be confirmed. Delta: engineering allowance (no material)</t>
  </si>
  <si>
    <t xml:space="preserve">RFI-26: FEC-1 RECESSED (A00.40) in A1 wall 3 5/8": size 'REFER TO SPECIFICATIONS' not printed; depth may not fit. Not framed. Delta: + header + sill approx. 2 x 3.33 LF</t>
  </si>
  <si>
    <t xml:space="preserve">RFI-27: FRT plywood row (canon family 'FRT plywood (SF)') combines 5/8" FRT nailbase + 2 1/2" polyiso (C/A09.21), 5/8" FRT (canopy, fascia, column wraps) and 3/4" FRT (F wall, backboards, jambs). Split for purchasing and confirm who installs the nailbase. Delta: no SF change; price change</t>
  </si>
  <si>
    <t xml:space="preserve">RFI-28: 9/A12.01 office bulkheads BH-E0..3 / BH-W0..1: soffit bottom (1 layer 5/8" x 7 1/2") NOT carried (canon.py requires the detail's 2 layers on every face). Soffit bottoms at 4/A12.10 (VH) and 4/A08.21 (GH-1) are carried. Delta: +28.1 SF 5/8" (45 LF x 0.625 ft)</t>
  </si>
  <si>
    <t xml:space="preserve">RFI-29: Untagged piers G1-SW2 (3.35 ft, SW of 110) and G-S0 (2.42 ft, NW of 105) carried as G1 / G by drawn thickness; A02.01 note A says untagged = A1. Delta: as A1: approx. -231 SF board; -268 LF 1-5/8" stud, +105 LF 3-5/8" stud</t>
  </si>
  <si>
    <t xml:space="preserve">RFI-30: C1 board height (CH-01 restroom chase MR, C1-MON TV recess, C1-FCAM): 6/A12.01 does not note the top; carried to deck. Delta: to ceiling + 6": -78.6 SF 5/8" MR; -41.2 SF 5/8" regular</t>
  </si>
  <si>
    <t xml:space="preserve">RFI-31: B2K tag is used on A02.01 but has no row in the A12.01 partition schedule; carried as 6" @ 24" with ballistic panel (like A1K). Delta: as B2 @ 16": minor (1.77 LF)</t>
  </si>
  <si>
    <t xml:space="preserve">RFI-32: S2.20 '@ LOW ROOF' at W16x31 (grid E) with no B.O.D. of its own; roof step taken at grid B (W14x22 HI/LOW). Delta: if step is at grid E: E-B band drops approx. 2.3 ft (hundreds of SF)</t>
  </si>
  <si>
    <t xml:space="preserve">RFI-33: Gypsum board: door/window openings are NOT deducted from board SF (estimator convention, offsets waste). Delta: if deducted: approx. -816 SF (15 doors + windows)</t>
  </si>
  <si>
    <t xml:space="preserve">RFI-34: Exterior 6" CFMF stops under the perimeter beam (C/A09.21, 10/S5.10) and parapet studs start at deck; if CFMF bypasses the beam continuously, confirm on S5.10 / S5.20. Delta: continuous: approx. +200 LF 6" stud</t>
  </si>
  <si>
    <t xml:space="preserve">Tag sweep (unattended run): A1 10, A1K 3, A5 4, B 7, B2 6, B2K 1, C1 8, F 1, G 9, G1 2 on A02.01; untagged walls classified by drawn thickness: 2 office front stubs (G-S0 G, G1-SW2 G1, see RFI-29) and 3 alcove walls (A1). Confirm the list against the marked plans per type.</t>
  </si>
  <si>
    <t xml:space="preserve">Planos marcados/A0201_&lt;TYPE&gt;.jpg</t>
  </si>
  <si>
    <t xml:space="preserve">Item register was created after an exploratory canon.py run (56.1 requires it before the first model number); the Excel was built after the register.</t>
  </si>
  <si>
    <t xml:space="preserve">-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</si>
  <si>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</si>
  <si>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</si>
  <si>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</si>
  <si>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</si>
  <si>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</si>
  <si>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 (studs + tracks)</t>
  </si>
  <si>
    <t xml:space="preserve">CUANTIFICADO</t>
  </si>
  <si>
    <t xml:space="preserve">QUANTIFIED: Excel Material Summary 6"/3-5/8"/1-5/8" stud; A02.01; 3/A12.01</t>
  </si>
  <si>
    <t xml:space="preserve">ALC-02</t>
  </si>
  <si>
    <t xml:space="preserve">Exterior wall framing (CFMF)</t>
  </si>
  <si>
    <t xml:space="preserve">QUANTIFIED: Excel Material Summary scope family; familias_out.json</t>
  </si>
  <si>
    <t xml:space="preserve">ALC-03</t>
  </si>
  <si>
    <t xml:space="preserve">Parapet framing</t>
  </si>
  <si>
    <t xml:space="preserve">ALC-04</t>
  </si>
  <si>
    <t xml:space="preserve">Top / deflection and bottom track</t>
  </si>
  <si>
    <t xml:space="preserve">ALC-05</t>
  </si>
  <si>
    <t xml:space="preserve">Headers, sills and jambs at openings</t>
  </si>
  <si>
    <t xml:space="preserve">ALC-06</t>
  </si>
  <si>
    <t xml:space="preserve">Bracing / bridging</t>
  </si>
  <si>
    <t xml:space="preserve">ALC-07</t>
  </si>
  <si>
    <t xml:space="preserve">Gypsum board on walls (layers per type)</t>
  </si>
  <si>
    <t xml:space="preserve">ALC-08</t>
  </si>
  <si>
    <t xml:space="preserve">Moisture / abuse / special board at wet zones</t>
  </si>
  <si>
    <t xml:space="preserve">ALC-09</t>
  </si>
  <si>
    <t xml:space="preserve">Exterior gypsum / glass mat sheathing</t>
  </si>
  <si>
    <t xml:space="preserve">ALC-10</t>
  </si>
  <si>
    <t xml:space="preserve">FRT plywood sheathing / substrate</t>
  </si>
  <si>
    <t xml:space="preserve">ALC-11</t>
  </si>
  <si>
    <t xml:space="preserve">Gypsum board ceilings</t>
  </si>
  <si>
    <t xml:space="preserve">ALC-12</t>
  </si>
  <si>
    <t xml:space="preserve">Ceiling suspension (furring / carrying channel / hanger wire / ceiling track)</t>
  </si>
  <si>
    <t xml:space="preserve">QUANTIFIED: Excel furring channel + carrying channel + hanger wire + ceiling track; A04.01</t>
  </si>
  <si>
    <t xml:space="preserve">ALC-13</t>
  </si>
  <si>
    <t xml:space="preserve">Soffits and bulkheads (framing + board)</t>
  </si>
  <si>
    <t xml:space="preserve">ALC-14</t>
  </si>
  <si>
    <t xml:space="preserve">Canopy / marquee framing and sheathing</t>
  </si>
  <si>
    <t xml:space="preserve">QUANTIFIED: Excel canopy joists / fascia / FRT plywood; 7/A09.26</t>
  </si>
  <si>
    <t xml:space="preserve">ALC-15</t>
  </si>
  <si>
    <t xml:space="preserve">Column furring / wraps</t>
  </si>
  <si>
    <t xml:space="preserve">QUANTIFIED: Excel column wraps 5/A09.25 (3-5/8" studs + FRT plywood)</t>
  </si>
  <si>
    <t xml:space="preserve">ALC-16</t>
  </si>
  <si>
    <t xml:space="preserve">Blocking (FRT wood / metal) for millwork and accessories</t>
  </si>
  <si>
    <t xml:space="preserve">ALC-17</t>
  </si>
  <si>
    <t xml:space="preserve">Framed openings (MEP, access panels, diffusers)</t>
  </si>
  <si>
    <t xml:space="preserve">ALC-18</t>
  </si>
  <si>
    <t xml:space="preserve">Trim: corner bead, casing bead, control joints, reveals</t>
  </si>
  <si>
    <t xml:space="preserve">ALC-19</t>
  </si>
  <si>
    <t xml:space="preserve">Acoustical sealant / sound attenuation</t>
  </si>
  <si>
    <t xml:space="preserve">ALC-20</t>
  </si>
  <si>
    <t xml:space="preserve">FRP / cement board / tile backer</t>
  </si>
  <si>
    <t xml:space="preserve">ALC-21</t>
  </si>
  <si>
    <t xml:space="preserve">Shaft walls / area separation walls</t>
  </si>
  <si>
    <t xml:space="preserve">NO APLICA</t>
  </si>
  <si>
    <t xml:space="preserve">NOT APPLICABLE: A02.01 has no shaft walls or area separation walls; the scan did not find the term in the set</t>
  </si>
  <si>
    <t xml:space="preserve">ALC-22</t>
  </si>
  <si>
    <t xml:space="preserve">Rated assemblies (UL designs) and their board type</t>
  </si>
  <si>
    <t xml:space="preserve">NOT APPLICABLE: A12.01 all partition types FIRE RATING '--' / U.L. '--'; A02.01 key note 6 and E02.02 key note 29 are FIRE-RATED plywood backboards (quantified as FRT plywood); A05.01 NER fire rated stamp on plywood; M00.01 / M00.03 / E00.01 generic penetration notes; E04.02 '2 HOUR FIRE RATED' is a generic electrical detail (no rated walls on A02.01)</t>
  </si>
  <si>
    <t xml:space="preserve">ALC-23</t>
  </si>
  <si>
    <t xml:space="preserve">Special panels (ballistic, lead-lined, abuse)</t>
  </si>
  <si>
    <t xml:space="preserve">ALC-24</t>
  </si>
  <si>
    <t xml:space="preserve">Finish level (Level 4 / Level 5)</t>
  </si>
  <si>
    <t xml:space="preserve">ALC-X25</t>
  </si>
  <si>
    <t xml:space="preserve">batt insulation</t>
  </si>
  <si>
    <t xml:space="preserve">EXCLUDED (criterio del estimador: no insulation)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</si>
</sst>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54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11.771</v>
      </c>
      <c r="D6" s="0" t="n">
        <v>15.375</v>
      </c>
      <c r="E6" s="0" t="n">
        <v>4</v>
      </c>
      <c r="F6" s="0" t="s">
        <v>31</v>
      </c>
      <c r="G6" s="0" t="n">
        <v>16</v>
      </c>
      <c r="H6" s="0" t="n">
        <v>723.92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3.84</v>
      </c>
      <c r="D7" s="0" t="n">
        <v>15.375</v>
      </c>
      <c r="E7" s="0" t="n">
        <v>4</v>
      </c>
      <c r="F7" s="0" t="s">
        <v>31</v>
      </c>
      <c r="G7" s="0" t="n">
        <v>16</v>
      </c>
      <c r="H7" s="0" t="n">
        <v>236.16</v>
      </c>
      <c r="I7" s="0" t="s">
        <v>37</v>
      </c>
      <c r="J7" s="0" t="s">
        <v>33</v>
      </c>
      <c r="K7" s="0" t="s">
        <v>38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3.347</v>
      </c>
      <c r="D8" s="0" t="n">
        <v>15.375</v>
      </c>
      <c r="E8" s="0" t="n">
        <v>4</v>
      </c>
      <c r="F8" s="0" t="s">
        <v>31</v>
      </c>
      <c r="G8" s="0" t="n">
        <v>16</v>
      </c>
      <c r="H8" s="0" t="n">
        <v>205.84</v>
      </c>
      <c r="I8" s="0" t="s">
        <v>41</v>
      </c>
      <c r="J8" s="0" t="s">
        <v>33</v>
      </c>
      <c r="K8" s="0" t="s">
        <v>38</v>
      </c>
    </row>
    <row r="9" customFormat="false" ht="15" hidden="false" customHeight="false" outlineLevel="0" collapsed="false">
      <c r="A9" s="5" t="s">
        <v>42</v>
      </c>
    </row>
    <row r="10" customFormat="false" ht="15" hidden="false" customHeight="false" outlineLevel="0" collapsed="false">
      <c r="A10" s="0" t="s">
        <v>43</v>
      </c>
      <c r="B10" s="0" t="s">
        <v>44</v>
      </c>
      <c r="C10" s="0" t="n">
        <v>11.767</v>
      </c>
      <c r="D10" s="0" t="n">
        <v>15.375</v>
      </c>
      <c r="E10" s="0" t="n">
        <v>4</v>
      </c>
      <c r="F10" s="0" t="s">
        <v>31</v>
      </c>
      <c r="G10" s="0" t="n">
        <v>16</v>
      </c>
      <c r="H10" s="0" t="n">
        <v>723.68</v>
      </c>
      <c r="I10" s="0" t="s">
        <v>45</v>
      </c>
      <c r="J10" s="0" t="s">
        <v>33</v>
      </c>
      <c r="K10" s="0" t="s">
        <v>38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n">
        <v>11.767</v>
      </c>
      <c r="D11" s="0" t="n">
        <v>15.375</v>
      </c>
      <c r="E11" s="0" t="n">
        <v>4</v>
      </c>
      <c r="F11" s="0" t="s">
        <v>31</v>
      </c>
      <c r="G11" s="0" t="n">
        <v>16</v>
      </c>
      <c r="H11" s="0" t="n">
        <v>723.68</v>
      </c>
      <c r="I11" s="0" t="s">
        <v>48</v>
      </c>
      <c r="J11" s="0" t="s">
        <v>33</v>
      </c>
      <c r="K11" s="0" t="s">
        <v>38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n">
        <v>10.507</v>
      </c>
      <c r="D12" s="0" t="n">
        <v>15.375</v>
      </c>
      <c r="E12" s="0" t="n">
        <v>4</v>
      </c>
      <c r="F12" s="0" t="s">
        <v>31</v>
      </c>
      <c r="G12" s="0" t="n">
        <v>16</v>
      </c>
      <c r="H12" s="0" t="n">
        <v>646.18</v>
      </c>
      <c r="I12" s="0" t="s">
        <v>51</v>
      </c>
      <c r="J12" s="0" t="s">
        <v>33</v>
      </c>
      <c r="K12" s="0" t="s">
        <v>38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n">
        <v>2.42</v>
      </c>
      <c r="D13" s="0" t="n">
        <v>14.358</v>
      </c>
      <c r="E13" s="0" t="n">
        <v>4</v>
      </c>
      <c r="F13" s="0" t="s">
        <v>31</v>
      </c>
      <c r="G13" s="0" t="n">
        <v>16</v>
      </c>
      <c r="H13" s="0" t="n">
        <v>138.98</v>
      </c>
      <c r="I13" s="0" t="s">
        <v>54</v>
      </c>
      <c r="J13" s="0" t="s">
        <v>33</v>
      </c>
      <c r="K13" s="0" t="s">
        <v>38</v>
      </c>
    </row>
    <row r="14" customFormat="false" ht="15" hidden="false" customHeight="false" outlineLevel="0" collapsed="false">
      <c r="A14" s="0" t="s">
        <v>55</v>
      </c>
      <c r="B14" s="0" t="s">
        <v>56</v>
      </c>
      <c r="C14" s="0" t="n">
        <v>3.467</v>
      </c>
      <c r="D14" s="0" t="n">
        <v>14.358</v>
      </c>
      <c r="E14" s="0" t="n">
        <v>4</v>
      </c>
      <c r="F14" s="0" t="s">
        <v>31</v>
      </c>
      <c r="G14" s="0" t="n">
        <v>16</v>
      </c>
      <c r="H14" s="0" t="n">
        <v>199.12</v>
      </c>
      <c r="I14" s="0" t="s">
        <v>57</v>
      </c>
      <c r="J14" s="0" t="s">
        <v>33</v>
      </c>
      <c r="K14" s="0" t="s">
        <v>38</v>
      </c>
    </row>
    <row r="15" customFormat="false" ht="15" hidden="false" customHeight="false" outlineLevel="0" collapsed="false">
      <c r="A15" s="0" t="s">
        <v>58</v>
      </c>
      <c r="B15" s="0" t="s">
        <v>59</v>
      </c>
      <c r="C15" s="0" t="n">
        <v>3.253</v>
      </c>
      <c r="D15" s="0" t="n">
        <v>14.225</v>
      </c>
      <c r="E15" s="0" t="n">
        <v>4</v>
      </c>
      <c r="F15" s="0" t="s">
        <v>31</v>
      </c>
      <c r="G15" s="0" t="n">
        <v>16</v>
      </c>
      <c r="H15" s="0" t="n">
        <v>185.1</v>
      </c>
      <c r="I15" s="0" t="s">
        <v>60</v>
      </c>
      <c r="J15" s="0" t="s">
        <v>33</v>
      </c>
      <c r="K15" s="0" t="s">
        <v>38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n">
        <v>3.253</v>
      </c>
      <c r="D16" s="0" t="n">
        <v>14.225</v>
      </c>
      <c r="E16" s="0" t="n">
        <v>4</v>
      </c>
      <c r="F16" s="0" t="s">
        <v>31</v>
      </c>
      <c r="G16" s="0" t="n">
        <v>16</v>
      </c>
      <c r="H16" s="0" t="n">
        <v>185.1</v>
      </c>
      <c r="I16" s="0" t="s">
        <v>63</v>
      </c>
      <c r="J16" s="0" t="s">
        <v>33</v>
      </c>
      <c r="K16" s="0" t="s">
        <v>38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11.625</v>
      </c>
      <c r="D17" s="0" t="n">
        <v>15.375</v>
      </c>
      <c r="E17" s="0" t="n">
        <v>4</v>
      </c>
      <c r="F17" s="0" t="s">
        <v>31</v>
      </c>
      <c r="G17" s="0" t="n">
        <v>16</v>
      </c>
      <c r="H17" s="0" t="n">
        <v>714.94</v>
      </c>
      <c r="I17" s="0" t="s">
        <v>66</v>
      </c>
      <c r="J17" s="0" t="s">
        <v>33</v>
      </c>
      <c r="K17" s="0" t="s">
        <v>34</v>
      </c>
    </row>
    <row r="18" customFormat="false" ht="15" hidden="false" customHeight="false" outlineLevel="0" collapsed="false">
      <c r="A18" s="0" t="s">
        <v>67</v>
      </c>
      <c r="B18" s="0" t="s">
        <v>68</v>
      </c>
      <c r="C18" s="0" t="n">
        <v>12.333</v>
      </c>
      <c r="D18" s="0" t="n">
        <v>15.375</v>
      </c>
      <c r="E18" s="0" t="n">
        <v>4</v>
      </c>
      <c r="F18" s="0" t="s">
        <v>31</v>
      </c>
      <c r="G18" s="0" t="n">
        <v>16</v>
      </c>
      <c r="H18" s="0" t="n">
        <v>758.48</v>
      </c>
      <c r="I18" s="0" t="s">
        <v>69</v>
      </c>
      <c r="J18" s="0" t="s">
        <v>33</v>
      </c>
      <c r="K18" s="0" t="s">
        <v>38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n">
        <v>11.625</v>
      </c>
      <c r="D19" s="0" t="n">
        <v>15.375</v>
      </c>
      <c r="E19" s="0" t="n">
        <v>4</v>
      </c>
      <c r="F19" s="0" t="s">
        <v>31</v>
      </c>
      <c r="G19" s="0" t="n">
        <v>16</v>
      </c>
      <c r="H19" s="0" t="n">
        <v>714.94</v>
      </c>
      <c r="I19" s="0" t="s">
        <v>72</v>
      </c>
      <c r="J19" s="0" t="s">
        <v>33</v>
      </c>
      <c r="K19" s="0" t="s">
        <v>34</v>
      </c>
    </row>
    <row r="20" customFormat="false" ht="15" hidden="false" customHeight="false" outlineLevel="0" collapsed="false">
      <c r="A20" s="5" t="s">
        <v>73</v>
      </c>
    </row>
    <row r="21" customFormat="false" ht="15" hidden="false" customHeight="false" outlineLevel="0" collapsed="false">
      <c r="A21" s="0" t="s">
        <v>74</v>
      </c>
      <c r="B21" s="0" t="s">
        <v>75</v>
      </c>
      <c r="C21" s="0" t="n">
        <v>1.773</v>
      </c>
      <c r="D21" s="0" t="n">
        <v>15.375</v>
      </c>
      <c r="E21" s="0" t="n">
        <v>2</v>
      </c>
      <c r="F21" s="0" t="s">
        <v>76</v>
      </c>
      <c r="G21" s="0" t="n">
        <v>24</v>
      </c>
      <c r="H21" s="0" t="n">
        <v>54.52</v>
      </c>
      <c r="I21" s="0" t="s">
        <v>77</v>
      </c>
      <c r="J21" s="0" t="s">
        <v>78</v>
      </c>
      <c r="K21" s="0" t="s">
        <v>38</v>
      </c>
    </row>
    <row r="22" customFormat="false" ht="15" hidden="false" customHeight="false" outlineLevel="0" collapsed="false">
      <c r="A22" s="5" t="s">
        <v>79</v>
      </c>
    </row>
    <row r="23" customFormat="false" ht="15" hidden="false" customHeight="false" outlineLevel="0" collapsed="false">
      <c r="A23" s="0" t="s">
        <v>80</v>
      </c>
      <c r="B23" s="0" t="s">
        <v>81</v>
      </c>
      <c r="C23" s="0" t="n">
        <v>3.417</v>
      </c>
      <c r="D23" s="0" t="n">
        <v>15.375</v>
      </c>
      <c r="E23" s="0" t="n">
        <v>2</v>
      </c>
      <c r="F23" s="0" t="s">
        <v>82</v>
      </c>
      <c r="G23" s="0" t="n">
        <v>24</v>
      </c>
      <c r="H23" s="0" t="n">
        <v>105.08</v>
      </c>
      <c r="I23" s="0" t="s">
        <v>83</v>
      </c>
      <c r="J23" s="0" t="s">
        <v>78</v>
      </c>
      <c r="K23" s="0" t="s">
        <v>34</v>
      </c>
    </row>
    <row r="24" customFormat="false" ht="15" hidden="false" customHeight="false" outlineLevel="0" collapsed="false">
      <c r="A24" s="0" t="s">
        <v>84</v>
      </c>
      <c r="B24" s="0" t="s">
        <v>85</v>
      </c>
      <c r="C24" s="0" t="n">
        <v>3.417</v>
      </c>
      <c r="D24" s="0" t="n">
        <v>12.939</v>
      </c>
      <c r="E24" s="0" t="n">
        <v>2</v>
      </c>
      <c r="F24" s="0" t="s">
        <v>82</v>
      </c>
      <c r="G24" s="0" t="n">
        <v>24</v>
      </c>
      <c r="H24" s="0" t="n">
        <v>88.42</v>
      </c>
      <c r="I24" s="0" t="s">
        <v>86</v>
      </c>
      <c r="J24" s="0" t="s">
        <v>78</v>
      </c>
      <c r="K24" s="0" t="s">
        <v>34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1.16</v>
      </c>
      <c r="D25" s="0" t="n">
        <v>12.927</v>
      </c>
      <c r="E25" s="0" t="n">
        <v>2</v>
      </c>
      <c r="F25" s="0" t="s">
        <v>82</v>
      </c>
      <c r="G25" s="0" t="n">
        <v>24</v>
      </c>
      <c r="H25" s="0" t="n">
        <v>30</v>
      </c>
      <c r="I25" s="0" t="s">
        <v>89</v>
      </c>
      <c r="J25" s="0" t="s">
        <v>78</v>
      </c>
      <c r="K25" s="0" t="s">
        <v>38</v>
      </c>
    </row>
    <row r="26" customFormat="false" ht="15" hidden="false" customHeight="false" outlineLevel="0" collapsed="false">
      <c r="A26" s="5" t="s">
        <v>90</v>
      </c>
    </row>
    <row r="27" customFormat="false" ht="15" hidden="false" customHeight="false" outlineLevel="0" collapsed="false">
      <c r="A27" s="0" t="s">
        <v>91</v>
      </c>
      <c r="B27" s="0" t="s">
        <v>92</v>
      </c>
      <c r="C27" s="0" t="n">
        <v>2.627</v>
      </c>
      <c r="D27" s="0" t="n">
        <v>12.925</v>
      </c>
      <c r="E27" s="0" t="n">
        <v>1</v>
      </c>
      <c r="F27" s="0" t="s">
        <v>82</v>
      </c>
      <c r="G27" s="0" t="n">
        <v>16</v>
      </c>
      <c r="H27" s="0" t="n">
        <v>33.95</v>
      </c>
      <c r="I27" s="0" t="s">
        <v>93</v>
      </c>
      <c r="J27" s="0" t="s">
        <v>94</v>
      </c>
      <c r="K27" s="0" t="s">
        <v>38</v>
      </c>
    </row>
    <row r="28" customFormat="false" ht="15" hidden="false" customHeight="false" outlineLevel="0" collapsed="false">
      <c r="A28" s="0" t="s">
        <v>95</v>
      </c>
      <c r="B28" s="0" t="s">
        <v>96</v>
      </c>
      <c r="C28" s="0" t="n">
        <v>10</v>
      </c>
      <c r="D28" s="0" t="n">
        <v>15.375</v>
      </c>
      <c r="E28" s="0" t="n">
        <v>1</v>
      </c>
      <c r="F28" s="0" t="s">
        <v>82</v>
      </c>
      <c r="G28" s="0" t="n">
        <v>16</v>
      </c>
      <c r="H28" s="0" t="n">
        <v>153.75</v>
      </c>
      <c r="I28" s="0" t="s">
        <v>97</v>
      </c>
      <c r="J28" s="0" t="s">
        <v>94</v>
      </c>
      <c r="K28" s="0" t="s">
        <v>34</v>
      </c>
    </row>
    <row r="29" customFormat="false" ht="15" hidden="false" customHeight="false" outlineLevel="0" collapsed="false">
      <c r="A29" s="0" t="s">
        <v>98</v>
      </c>
      <c r="B29" s="0" t="s">
        <v>99</v>
      </c>
      <c r="C29" s="0" t="n">
        <v>10.027</v>
      </c>
      <c r="D29" s="0" t="n">
        <v>12.918</v>
      </c>
      <c r="E29" s="0" t="n">
        <v>2</v>
      </c>
      <c r="F29" s="0" t="s">
        <v>82</v>
      </c>
      <c r="G29" s="0" t="n">
        <v>16</v>
      </c>
      <c r="H29" s="0" t="n">
        <v>259.06</v>
      </c>
      <c r="I29" s="0" t="s">
        <v>100</v>
      </c>
      <c r="J29" s="0" t="s">
        <v>94</v>
      </c>
      <c r="K29" s="0" t="s">
        <v>38</v>
      </c>
    </row>
    <row r="30" customFormat="false" ht="15" hidden="false" customHeight="false" outlineLevel="0" collapsed="false">
      <c r="A30" s="0" t="s">
        <v>101</v>
      </c>
      <c r="B30" s="0" t="s">
        <v>102</v>
      </c>
      <c r="C30" s="0" t="n">
        <v>9.026</v>
      </c>
      <c r="D30" s="0" t="n">
        <v>14.358</v>
      </c>
      <c r="E30" s="0" t="n">
        <v>2</v>
      </c>
      <c r="F30" s="0" t="s">
        <v>76</v>
      </c>
      <c r="G30" s="0" t="n">
        <v>16</v>
      </c>
      <c r="H30" s="0" t="n">
        <v>47.39</v>
      </c>
      <c r="I30" s="0" t="s">
        <v>103</v>
      </c>
      <c r="J30" s="0" t="s">
        <v>94</v>
      </c>
      <c r="K30" s="0" t="s">
        <v>38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0" t="n">
        <v>9.08</v>
      </c>
      <c r="D31" s="0" t="n">
        <v>14.358</v>
      </c>
      <c r="E31" s="0" t="n">
        <v>2</v>
      </c>
      <c r="F31" s="0" t="s">
        <v>76</v>
      </c>
      <c r="G31" s="0" t="n">
        <v>16</v>
      </c>
      <c r="H31" s="0" t="n">
        <v>47.67</v>
      </c>
      <c r="I31" s="0" t="s">
        <v>103</v>
      </c>
      <c r="J31" s="0" t="s">
        <v>94</v>
      </c>
      <c r="K31" s="0" t="s">
        <v>38</v>
      </c>
    </row>
    <row r="32" customFormat="false" ht="15" hidden="false" customHeight="false" outlineLevel="0" collapsed="false">
      <c r="A32" s="0" t="s">
        <v>106</v>
      </c>
      <c r="B32" s="0" t="s">
        <v>107</v>
      </c>
      <c r="C32" s="0" t="n">
        <v>4</v>
      </c>
      <c r="D32" s="0" t="n">
        <v>15.375</v>
      </c>
      <c r="E32" s="0" t="n">
        <v>3</v>
      </c>
      <c r="F32" s="0" t="s">
        <v>82</v>
      </c>
      <c r="G32" s="0" t="n">
        <v>16</v>
      </c>
      <c r="H32" s="0" t="n">
        <v>34.5</v>
      </c>
      <c r="I32" s="0" t="s">
        <v>108</v>
      </c>
      <c r="J32" s="0" t="s">
        <v>94</v>
      </c>
      <c r="K32" s="0" t="s">
        <v>38</v>
      </c>
    </row>
    <row r="33" customFormat="false" ht="15" hidden="false" customHeight="false" outlineLevel="0" collapsed="false">
      <c r="A33" s="0" t="s">
        <v>109</v>
      </c>
      <c r="B33" s="0" t="s">
        <v>110</v>
      </c>
      <c r="C33" s="0" t="n">
        <v>4</v>
      </c>
      <c r="D33" s="0" t="n">
        <v>15.375</v>
      </c>
      <c r="E33" s="0" t="n">
        <v>3</v>
      </c>
      <c r="F33" s="0" t="s">
        <v>82</v>
      </c>
      <c r="G33" s="0" t="n">
        <v>16</v>
      </c>
      <c r="H33" s="0" t="n">
        <v>34.5</v>
      </c>
      <c r="I33" s="0" t="s">
        <v>108</v>
      </c>
      <c r="J33" s="0" t="s">
        <v>94</v>
      </c>
      <c r="K33" s="0" t="s">
        <v>38</v>
      </c>
    </row>
    <row r="34" customFormat="false" ht="15" hidden="false" customHeight="false" outlineLevel="0" collapsed="false">
      <c r="A34" s="5" t="s">
        <v>111</v>
      </c>
    </row>
    <row r="35" customFormat="false" ht="15" hidden="false" customHeight="false" outlineLevel="0" collapsed="false">
      <c r="A35" s="0" t="s">
        <v>112</v>
      </c>
      <c r="B35" s="0" t="s">
        <v>113</v>
      </c>
      <c r="C35" s="0" t="n">
        <v>11.667</v>
      </c>
      <c r="D35" s="0" t="n">
        <v>12.775</v>
      </c>
      <c r="E35" s="0" t="n">
        <v>2</v>
      </c>
      <c r="F35" s="0" t="s">
        <v>82</v>
      </c>
      <c r="G35" s="0" t="n">
        <v>16</v>
      </c>
      <c r="H35" s="0" t="n">
        <v>215.84</v>
      </c>
      <c r="I35" s="0" t="s">
        <v>114</v>
      </c>
      <c r="J35" s="0" t="s">
        <v>115</v>
      </c>
      <c r="K35" s="0" t="s">
        <v>34</v>
      </c>
    </row>
    <row r="36" customFormat="false" ht="15" hidden="false" customHeight="false" outlineLevel="0" collapsed="false">
      <c r="A36" s="0" t="s">
        <v>116</v>
      </c>
      <c r="B36" s="0" t="s">
        <v>117</v>
      </c>
      <c r="C36" s="0" t="n">
        <v>1.3</v>
      </c>
      <c r="D36" s="0" t="n">
        <v>12.927</v>
      </c>
      <c r="E36" s="0" t="n">
        <v>2</v>
      </c>
      <c r="F36" s="0" t="s">
        <v>82</v>
      </c>
      <c r="G36" s="0" t="n">
        <v>16</v>
      </c>
      <c r="H36" s="0" t="n">
        <v>24.05</v>
      </c>
      <c r="I36" s="0" t="s">
        <v>118</v>
      </c>
      <c r="J36" s="0" t="s">
        <v>115</v>
      </c>
      <c r="K36" s="0" t="s">
        <v>38</v>
      </c>
    </row>
    <row r="37" customFormat="false" ht="15" hidden="false" customHeight="false" outlineLevel="0" collapsed="false">
      <c r="A37" s="0" t="s">
        <v>119</v>
      </c>
      <c r="B37" s="0" t="s">
        <v>120</v>
      </c>
      <c r="C37" s="0" t="n">
        <v>1.733</v>
      </c>
      <c r="D37" s="0" t="n">
        <v>11.821</v>
      </c>
      <c r="E37" s="0" t="n">
        <v>2</v>
      </c>
      <c r="F37" s="0" t="s">
        <v>82</v>
      </c>
      <c r="G37" s="0" t="n">
        <v>16</v>
      </c>
      <c r="H37" s="0" t="n">
        <v>32.06</v>
      </c>
      <c r="I37" s="0" t="s">
        <v>121</v>
      </c>
      <c r="J37" s="0" t="s">
        <v>115</v>
      </c>
      <c r="K37" s="0" t="s">
        <v>38</v>
      </c>
    </row>
    <row r="38" customFormat="false" ht="15" hidden="false" customHeight="false" outlineLevel="0" collapsed="false">
      <c r="A38" s="0" t="s">
        <v>122</v>
      </c>
      <c r="B38" s="0" t="s">
        <v>123</v>
      </c>
      <c r="C38" s="0" t="n">
        <v>17.02</v>
      </c>
      <c r="D38" s="0" t="n">
        <v>15.375</v>
      </c>
      <c r="E38" s="0" t="n">
        <v>3</v>
      </c>
      <c r="F38" s="0" t="s">
        <v>82</v>
      </c>
      <c r="G38" s="0" t="n">
        <v>16</v>
      </c>
      <c r="H38" s="0" t="n">
        <v>368.24</v>
      </c>
      <c r="I38" s="0" t="s">
        <v>124</v>
      </c>
      <c r="J38" s="0" t="s">
        <v>115</v>
      </c>
      <c r="K38" s="0" t="s">
        <v>38</v>
      </c>
    </row>
    <row r="39" customFormat="false" ht="15" hidden="false" customHeight="false" outlineLevel="0" collapsed="false">
      <c r="A39" s="0" t="s">
        <v>125</v>
      </c>
      <c r="B39" s="0" t="s">
        <v>126</v>
      </c>
      <c r="C39" s="0" t="n">
        <v>3.127</v>
      </c>
      <c r="D39" s="0" t="n">
        <v>15.375</v>
      </c>
      <c r="E39" s="0" t="n">
        <v>2</v>
      </c>
      <c r="F39" s="0" t="s">
        <v>82</v>
      </c>
      <c r="G39" s="0" t="n">
        <v>16</v>
      </c>
      <c r="H39" s="0" t="n">
        <v>76.22</v>
      </c>
      <c r="I39" s="0" t="s">
        <v>127</v>
      </c>
      <c r="J39" s="0" t="s">
        <v>115</v>
      </c>
      <c r="K39" s="0" t="s">
        <v>38</v>
      </c>
    </row>
    <row r="40" customFormat="false" ht="15" hidden="false" customHeight="false" outlineLevel="0" collapsed="false">
      <c r="A40" s="0" t="s">
        <v>128</v>
      </c>
      <c r="B40" s="0" t="s">
        <v>129</v>
      </c>
      <c r="C40" s="0" t="n">
        <v>3.033</v>
      </c>
      <c r="D40" s="0" t="n">
        <v>15.375</v>
      </c>
      <c r="E40" s="0" t="n">
        <v>2</v>
      </c>
      <c r="F40" s="0" t="s">
        <v>82</v>
      </c>
      <c r="G40" s="0" t="n">
        <v>16</v>
      </c>
      <c r="H40" s="0" t="n">
        <v>73.93</v>
      </c>
      <c r="I40" s="0" t="s">
        <v>127</v>
      </c>
      <c r="J40" s="0" t="s">
        <v>115</v>
      </c>
      <c r="K40" s="0" t="s">
        <v>38</v>
      </c>
    </row>
    <row r="41" customFormat="false" ht="15" hidden="false" customHeight="false" outlineLevel="0" collapsed="false">
      <c r="A41" s="0" t="s">
        <v>130</v>
      </c>
      <c r="B41" s="0" t="s">
        <v>131</v>
      </c>
      <c r="C41" s="0" t="n">
        <v>15.813</v>
      </c>
      <c r="D41" s="0" t="n">
        <v>12.971</v>
      </c>
      <c r="E41" s="0" t="n">
        <v>2</v>
      </c>
      <c r="F41" s="0" t="s">
        <v>82</v>
      </c>
      <c r="G41" s="0" t="n">
        <v>16</v>
      </c>
      <c r="H41" s="0" t="n">
        <v>284.64</v>
      </c>
      <c r="I41" s="0" t="s">
        <v>132</v>
      </c>
      <c r="J41" s="0" t="s">
        <v>115</v>
      </c>
      <c r="K41" s="0" t="s">
        <v>34</v>
      </c>
    </row>
    <row r="42" customFormat="false" ht="15" hidden="false" customHeight="false" outlineLevel="0" collapsed="false">
      <c r="A42" s="0" t="s">
        <v>133</v>
      </c>
      <c r="B42" s="0" t="s">
        <v>134</v>
      </c>
      <c r="C42" s="0" t="n">
        <v>17.06</v>
      </c>
      <c r="D42" s="0" t="n">
        <v>11.749</v>
      </c>
      <c r="E42" s="0" t="n">
        <v>3</v>
      </c>
      <c r="F42" s="0" t="s">
        <v>82</v>
      </c>
      <c r="G42" s="0" t="n">
        <v>16</v>
      </c>
      <c r="H42" s="0" t="n">
        <v>345.97</v>
      </c>
      <c r="I42" s="0" t="s">
        <v>135</v>
      </c>
      <c r="J42" s="0" t="s">
        <v>115</v>
      </c>
      <c r="K42" s="0" t="s">
        <v>38</v>
      </c>
    </row>
    <row r="43" customFormat="false" ht="15" hidden="false" customHeight="false" outlineLevel="0" collapsed="false">
      <c r="A43" s="0" t="s">
        <v>136</v>
      </c>
      <c r="B43" s="0" t="s">
        <v>137</v>
      </c>
      <c r="C43" s="0" t="n">
        <v>1.473</v>
      </c>
      <c r="D43" s="0" t="n">
        <v>15.375</v>
      </c>
      <c r="E43" s="0" t="n">
        <v>2</v>
      </c>
      <c r="F43" s="0" t="s">
        <v>82</v>
      </c>
      <c r="G43" s="0" t="n">
        <v>16</v>
      </c>
      <c r="H43" s="0" t="n">
        <v>30.94</v>
      </c>
      <c r="I43" s="0" t="s">
        <v>138</v>
      </c>
      <c r="J43" s="0" t="s">
        <v>115</v>
      </c>
      <c r="K43" s="0" t="s">
        <v>38</v>
      </c>
    </row>
    <row r="44" customFormat="false" ht="15" hidden="false" customHeight="false" outlineLevel="0" collapsed="false">
      <c r="A44" s="0" t="s">
        <v>139</v>
      </c>
      <c r="B44" s="0" t="s">
        <v>140</v>
      </c>
      <c r="C44" s="0" t="n">
        <v>1.707</v>
      </c>
      <c r="D44" s="0" t="n">
        <v>12.957</v>
      </c>
      <c r="E44" s="0" t="n">
        <v>2</v>
      </c>
      <c r="F44" s="0" t="s">
        <v>82</v>
      </c>
      <c r="G44" s="0" t="n">
        <v>16</v>
      </c>
      <c r="H44" s="0" t="n">
        <v>30.72</v>
      </c>
      <c r="I44" s="0" t="s">
        <v>141</v>
      </c>
      <c r="J44" s="0" t="s">
        <v>115</v>
      </c>
      <c r="K44" s="0" t="s">
        <v>38</v>
      </c>
    </row>
    <row r="45" customFormat="false" ht="15" hidden="false" customHeight="false" outlineLevel="0" collapsed="false">
      <c r="A45" s="0" t="s">
        <v>142</v>
      </c>
      <c r="B45" s="0" t="s">
        <v>143</v>
      </c>
      <c r="C45" s="0" t="n">
        <v>1.707</v>
      </c>
      <c r="D45" s="0" t="n">
        <v>12.865</v>
      </c>
      <c r="E45" s="0" t="n">
        <v>2</v>
      </c>
      <c r="F45" s="0" t="s">
        <v>82</v>
      </c>
      <c r="G45" s="0" t="n">
        <v>16</v>
      </c>
      <c r="H45" s="0" t="n">
        <v>30.72</v>
      </c>
      <c r="I45" s="0" t="s">
        <v>144</v>
      </c>
      <c r="J45" s="0" t="s">
        <v>115</v>
      </c>
      <c r="K45" s="0" t="s">
        <v>38</v>
      </c>
    </row>
    <row r="46" customFormat="false" ht="15" hidden="false" customHeight="false" outlineLevel="0" collapsed="false">
      <c r="A46" s="0" t="s">
        <v>145</v>
      </c>
      <c r="B46" s="0" t="s">
        <v>146</v>
      </c>
      <c r="C46" s="0" t="n">
        <v>4.073</v>
      </c>
      <c r="D46" s="0" t="n">
        <v>11.807</v>
      </c>
      <c r="E46" s="0" t="n">
        <v>4</v>
      </c>
      <c r="F46" s="0" t="s">
        <v>82</v>
      </c>
      <c r="G46" s="0" t="n">
        <v>16</v>
      </c>
      <c r="H46" s="0" t="n">
        <v>76.35</v>
      </c>
      <c r="I46" s="0" t="s">
        <v>147</v>
      </c>
      <c r="J46" s="0" t="s">
        <v>115</v>
      </c>
      <c r="K46" s="0" t="s">
        <v>38</v>
      </c>
    </row>
    <row r="47" customFormat="false" ht="15" hidden="false" customHeight="false" outlineLevel="0" collapsed="false">
      <c r="A47" s="5" t="s">
        <v>148</v>
      </c>
    </row>
    <row r="48" customFormat="false" ht="15" hidden="false" customHeight="false" outlineLevel="0" collapsed="false">
      <c r="A48" s="0" t="s">
        <v>149</v>
      </c>
      <c r="B48" s="0" t="s">
        <v>150</v>
      </c>
      <c r="C48" s="0" t="n">
        <v>3.713</v>
      </c>
      <c r="D48" s="0" t="n">
        <v>11.785</v>
      </c>
      <c r="E48" s="0" t="n">
        <v>2</v>
      </c>
      <c r="F48" s="0" t="s">
        <v>76</v>
      </c>
      <c r="G48" s="0" t="n">
        <v>16</v>
      </c>
      <c r="H48" s="0" t="n">
        <v>68.69</v>
      </c>
      <c r="I48" s="0" t="s">
        <v>121</v>
      </c>
      <c r="J48" s="0" t="s">
        <v>115</v>
      </c>
      <c r="K48" s="0" t="s">
        <v>38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0" t="n">
        <v>15.467</v>
      </c>
      <c r="D49" s="0" t="n">
        <v>15.375</v>
      </c>
      <c r="E49" s="0" t="n">
        <v>3</v>
      </c>
      <c r="F49" s="0" t="s">
        <v>76</v>
      </c>
      <c r="G49" s="0" t="n">
        <v>16</v>
      </c>
      <c r="H49" s="0" t="n">
        <v>310.18</v>
      </c>
      <c r="I49" s="0" t="s">
        <v>153</v>
      </c>
      <c r="J49" s="0" t="s">
        <v>115</v>
      </c>
      <c r="K49" s="0" t="s">
        <v>38</v>
      </c>
    </row>
    <row r="50" customFormat="false" ht="15" hidden="false" customHeight="false" outlineLevel="0" collapsed="false">
      <c r="A50" s="0" t="s">
        <v>154</v>
      </c>
      <c r="B50" s="0" t="s">
        <v>155</v>
      </c>
      <c r="C50" s="0" t="n">
        <v>19</v>
      </c>
      <c r="D50" s="0" t="n">
        <v>14.225</v>
      </c>
      <c r="E50" s="0" t="n">
        <v>3</v>
      </c>
      <c r="F50" s="0" t="s">
        <v>76</v>
      </c>
      <c r="G50" s="0" t="n">
        <v>16</v>
      </c>
      <c r="H50" s="0" t="n">
        <v>371.4</v>
      </c>
      <c r="I50" s="0" t="s">
        <v>156</v>
      </c>
      <c r="J50" s="0" t="s">
        <v>115</v>
      </c>
      <c r="K50" s="0" t="s">
        <v>34</v>
      </c>
    </row>
    <row r="51" customFormat="false" ht="15" hidden="false" customHeight="false" outlineLevel="0" collapsed="false">
      <c r="A51" s="5" t="s">
        <v>157</v>
      </c>
    </row>
    <row r="52" customFormat="false" ht="15" hidden="false" customHeight="false" outlineLevel="0" collapsed="false">
      <c r="A52" s="0" t="s">
        <v>158</v>
      </c>
      <c r="B52" s="0" t="s">
        <v>159</v>
      </c>
      <c r="C52" s="0" t="n">
        <v>11.74</v>
      </c>
      <c r="D52" s="0" t="n">
        <v>11.639</v>
      </c>
      <c r="E52" s="0" t="n">
        <v>2</v>
      </c>
      <c r="F52" s="0" t="s">
        <v>76</v>
      </c>
      <c r="G52" s="0" t="n">
        <v>16</v>
      </c>
      <c r="H52" s="0" t="n">
        <v>273.28</v>
      </c>
      <c r="I52" s="0" t="s">
        <v>160</v>
      </c>
      <c r="J52" s="0" t="s">
        <v>161</v>
      </c>
      <c r="K52" s="0" t="s">
        <v>38</v>
      </c>
    </row>
    <row r="53" customFormat="false" ht="15" hidden="false" customHeight="false" outlineLevel="0" collapsed="false">
      <c r="A53" s="0" t="s">
        <v>162</v>
      </c>
      <c r="B53" s="0" t="s">
        <v>163</v>
      </c>
      <c r="C53" s="0" t="n">
        <v>5.533</v>
      </c>
      <c r="D53" s="0" t="n">
        <v>13.052</v>
      </c>
      <c r="E53" s="0" t="n">
        <v>2</v>
      </c>
      <c r="F53" s="0" t="s">
        <v>76</v>
      </c>
      <c r="G53" s="0" t="n">
        <v>16</v>
      </c>
      <c r="H53" s="0" t="n">
        <v>144.44</v>
      </c>
      <c r="I53" s="0" t="s">
        <v>141</v>
      </c>
      <c r="J53" s="0" t="s">
        <v>161</v>
      </c>
      <c r="K53" s="0" t="s">
        <v>38</v>
      </c>
    </row>
    <row r="54" customFormat="false" ht="15" hidden="false" customHeight="false" outlineLevel="0" collapsed="false">
      <c r="A54" s="0" t="s">
        <v>164</v>
      </c>
      <c r="B54" s="0" t="s">
        <v>165</v>
      </c>
      <c r="C54" s="0" t="n">
        <v>15.787</v>
      </c>
      <c r="D54" s="0" t="n">
        <v>12.865</v>
      </c>
      <c r="E54" s="0" t="n">
        <v>2</v>
      </c>
      <c r="F54" s="0" t="s">
        <v>76</v>
      </c>
      <c r="G54" s="0" t="n">
        <v>16</v>
      </c>
      <c r="H54" s="0" t="n">
        <v>406.2</v>
      </c>
      <c r="I54" s="0" t="s">
        <v>166</v>
      </c>
      <c r="J54" s="0" t="s">
        <v>161</v>
      </c>
      <c r="K54" s="0" t="s">
        <v>38</v>
      </c>
    </row>
    <row r="55" customFormat="false" ht="15" hidden="false" customHeight="false" outlineLevel="0" collapsed="false">
      <c r="A55" s="0" t="s">
        <v>167</v>
      </c>
      <c r="B55" s="0" t="s">
        <v>168</v>
      </c>
      <c r="C55" s="0" t="n">
        <v>1.653</v>
      </c>
      <c r="D55" s="0" t="n">
        <v>15.375</v>
      </c>
      <c r="E55" s="0" t="n">
        <v>2</v>
      </c>
      <c r="F55" s="0" t="s">
        <v>76</v>
      </c>
      <c r="G55" s="0" t="n">
        <v>16</v>
      </c>
      <c r="H55" s="0" t="n">
        <v>50.82</v>
      </c>
      <c r="I55" s="0" t="s">
        <v>169</v>
      </c>
      <c r="J55" s="0" t="s">
        <v>161</v>
      </c>
      <c r="K55" s="0" t="s">
        <v>38</v>
      </c>
    </row>
    <row r="56" customFormat="false" ht="15" hidden="false" customHeight="false" outlineLevel="0" collapsed="false">
      <c r="A56" s="5" t="s">
        <v>170</v>
      </c>
    </row>
    <row r="57" customFormat="false" ht="15" hidden="false" customHeight="false" outlineLevel="0" collapsed="false">
      <c r="A57" s="0" t="s">
        <v>171</v>
      </c>
      <c r="B57" s="0" t="s">
        <v>172</v>
      </c>
      <c r="C57" s="0" t="n">
        <v>9.58</v>
      </c>
      <c r="D57" s="0" t="n">
        <v>12.831</v>
      </c>
      <c r="E57" s="0" t="n">
        <v>2</v>
      </c>
      <c r="F57" s="0" t="s">
        <v>82</v>
      </c>
      <c r="G57" s="0" t="n">
        <v>16</v>
      </c>
      <c r="H57" s="0" t="n">
        <v>245.84</v>
      </c>
      <c r="I57" s="0" t="s">
        <v>173</v>
      </c>
      <c r="J57" s="0" t="s">
        <v>161</v>
      </c>
      <c r="K57" s="0" t="s">
        <v>38</v>
      </c>
    </row>
    <row r="58" customFormat="false" ht="15" hidden="false" customHeight="false" outlineLevel="0" collapsed="false">
      <c r="A58" s="0" t="s">
        <v>174</v>
      </c>
      <c r="B58" s="0" t="s">
        <v>175</v>
      </c>
      <c r="C58" s="0" t="n">
        <v>9.583</v>
      </c>
      <c r="D58" s="0" t="n">
        <v>12.702</v>
      </c>
      <c r="E58" s="0" t="n">
        <v>2</v>
      </c>
      <c r="F58" s="0" t="s">
        <v>82</v>
      </c>
      <c r="G58" s="0" t="n">
        <v>16</v>
      </c>
      <c r="H58" s="0" t="n">
        <v>243.44</v>
      </c>
      <c r="I58" s="0" t="s">
        <v>176</v>
      </c>
      <c r="J58" s="0" t="s">
        <v>161</v>
      </c>
      <c r="K58" s="0" t="s">
        <v>34</v>
      </c>
    </row>
    <row r="59" customFormat="false" ht="15" hidden="false" customHeight="false" outlineLevel="0" collapsed="false">
      <c r="A59" s="0" t="s">
        <v>177</v>
      </c>
      <c r="B59" s="0" t="s">
        <v>178</v>
      </c>
      <c r="C59" s="0" t="n">
        <v>14.147</v>
      </c>
      <c r="D59" s="0" t="n">
        <v>12.831</v>
      </c>
      <c r="E59" s="0" t="n">
        <v>2</v>
      </c>
      <c r="F59" s="0" t="s">
        <v>82</v>
      </c>
      <c r="G59" s="0" t="n">
        <v>16</v>
      </c>
      <c r="H59" s="0" t="n">
        <v>363.04</v>
      </c>
      <c r="I59" s="0" t="s">
        <v>179</v>
      </c>
      <c r="J59" s="0" t="s">
        <v>161</v>
      </c>
      <c r="K59" s="0" t="s">
        <v>38</v>
      </c>
    </row>
    <row r="60" customFormat="false" ht="15" hidden="false" customHeight="false" outlineLevel="0" collapsed="false">
      <c r="A60" s="0" t="s">
        <v>180</v>
      </c>
      <c r="B60" s="0" t="s">
        <v>181</v>
      </c>
      <c r="C60" s="0" t="n">
        <v>11.733</v>
      </c>
      <c r="D60" s="0" t="n">
        <v>12.751</v>
      </c>
      <c r="E60" s="0" t="n">
        <v>2</v>
      </c>
      <c r="F60" s="0" t="s">
        <v>82</v>
      </c>
      <c r="G60" s="0" t="n">
        <v>16</v>
      </c>
      <c r="H60" s="0" t="n">
        <v>299.22</v>
      </c>
      <c r="I60" s="0" t="s">
        <v>182</v>
      </c>
      <c r="J60" s="0" t="s">
        <v>161</v>
      </c>
      <c r="K60" s="0" t="s">
        <v>38</v>
      </c>
    </row>
    <row r="61" customFormat="false" ht="15" hidden="false" customHeight="false" outlineLevel="0" collapsed="false">
      <c r="A61" s="0" t="s">
        <v>183</v>
      </c>
      <c r="B61" s="0" t="s">
        <v>184</v>
      </c>
      <c r="C61" s="0" t="n">
        <v>3.5</v>
      </c>
      <c r="D61" s="0" t="n">
        <v>12.743</v>
      </c>
      <c r="E61" s="0" t="n">
        <v>2</v>
      </c>
      <c r="F61" s="0" t="s">
        <v>82</v>
      </c>
      <c r="G61" s="0" t="n">
        <v>16</v>
      </c>
      <c r="H61" s="0" t="n">
        <v>89.2</v>
      </c>
      <c r="I61" s="0" t="s">
        <v>185</v>
      </c>
      <c r="J61" s="0" t="s">
        <v>161</v>
      </c>
      <c r="K61" s="0" t="s">
        <v>34</v>
      </c>
    </row>
    <row r="62" customFormat="false" ht="15" hidden="false" customHeight="false" outlineLevel="0" collapsed="false">
      <c r="A62" s="0" t="s">
        <v>186</v>
      </c>
      <c r="B62" s="0" t="s">
        <v>187</v>
      </c>
      <c r="C62" s="0" t="n">
        <v>11.733</v>
      </c>
      <c r="D62" s="0" t="n">
        <v>12.67</v>
      </c>
      <c r="E62" s="0" t="n">
        <v>2</v>
      </c>
      <c r="F62" s="0" t="s">
        <v>82</v>
      </c>
      <c r="G62" s="0" t="n">
        <v>16</v>
      </c>
      <c r="H62" s="0" t="n">
        <v>297.32</v>
      </c>
      <c r="I62" s="0" t="s">
        <v>188</v>
      </c>
      <c r="J62" s="0" t="s">
        <v>161</v>
      </c>
      <c r="K62" s="0" t="s">
        <v>38</v>
      </c>
    </row>
    <row r="63" customFormat="false" ht="15" hidden="false" customHeight="false" outlineLevel="0" collapsed="false">
      <c r="A63" s="5" t="s">
        <v>189</v>
      </c>
    </row>
    <row r="64" customFormat="false" ht="15" hidden="false" customHeight="false" outlineLevel="0" collapsed="false">
      <c r="A64" s="0" t="s">
        <v>190</v>
      </c>
      <c r="B64" s="0" t="s">
        <v>191</v>
      </c>
      <c r="C64" s="0" t="n">
        <v>16.916</v>
      </c>
      <c r="D64" s="0" t="n">
        <v>15.375</v>
      </c>
      <c r="E64" s="0" t="n">
        <v>2</v>
      </c>
      <c r="F64" s="0" t="s">
        <v>82</v>
      </c>
      <c r="G64" s="0" t="n">
        <v>16</v>
      </c>
      <c r="H64" s="0" t="n">
        <v>321.4</v>
      </c>
      <c r="I64" s="0" t="s">
        <v>192</v>
      </c>
      <c r="J64" s="0" t="s">
        <v>193</v>
      </c>
      <c r="K64" s="0" t="s">
        <v>38</v>
      </c>
    </row>
    <row r="65" customFormat="false" ht="15" hidden="false" customHeight="false" outlineLevel="0" collapsed="false">
      <c r="A65" s="5" t="s">
        <v>194</v>
      </c>
    </row>
    <row r="66" customFormat="false" ht="15" hidden="false" customHeight="false" outlineLevel="0" collapsed="false">
      <c r="A66" s="0" t="s">
        <v>195</v>
      </c>
      <c r="B66" s="0" t="s">
        <v>196</v>
      </c>
      <c r="C66" s="0" t="n">
        <v>30</v>
      </c>
      <c r="D66" s="0" t="n">
        <v>6.25</v>
      </c>
      <c r="E66" s="0" t="n">
        <v>4</v>
      </c>
      <c r="F66" s="0" t="s">
        <v>31</v>
      </c>
      <c r="G66" s="0" t="n">
        <v>16</v>
      </c>
      <c r="H66" s="0" t="n">
        <v>749.96</v>
      </c>
      <c r="I66" s="0" t="s">
        <v>197</v>
      </c>
      <c r="J66" s="0" t="s">
        <v>198</v>
      </c>
      <c r="K66" s="0" t="s">
        <v>34</v>
      </c>
    </row>
    <row r="67" customFormat="false" ht="15" hidden="false" customHeight="false" outlineLevel="0" collapsed="false">
      <c r="A67" s="5" t="s">
        <v>199</v>
      </c>
    </row>
    <row r="68" customFormat="false" ht="15" hidden="false" customHeight="false" outlineLevel="0" collapsed="false">
      <c r="A68" s="0" t="s">
        <v>200</v>
      </c>
      <c r="B68" s="0" t="s">
        <v>201</v>
      </c>
      <c r="C68" s="0" t="n">
        <v>15</v>
      </c>
      <c r="D68" s="0" t="n">
        <v>7.333</v>
      </c>
      <c r="E68" s="0" t="n">
        <v>4</v>
      </c>
      <c r="F68" s="0" t="s">
        <v>31</v>
      </c>
      <c r="G68" s="0" t="n">
        <v>16</v>
      </c>
      <c r="H68" s="0" t="n">
        <v>440</v>
      </c>
      <c r="I68" s="0" t="s">
        <v>202</v>
      </c>
      <c r="J68" s="0" t="s">
        <v>198</v>
      </c>
      <c r="K68" s="0" t="s">
        <v>34</v>
      </c>
    </row>
    <row r="69" customFormat="false" ht="15" hidden="false" customHeight="false" outlineLevel="0" collapsed="false">
      <c r="A69" s="5" t="s">
        <v>203</v>
      </c>
    </row>
    <row r="70" customFormat="false" ht="15" hidden="false" customHeight="false" outlineLevel="0" collapsed="false">
      <c r="A70" s="0" t="s">
        <v>204</v>
      </c>
      <c r="B70" s="0" t="s">
        <v>205</v>
      </c>
      <c r="C70" s="0" t="n">
        <v>21.46</v>
      </c>
      <c r="D70" s="0" t="n">
        <v>14.358</v>
      </c>
      <c r="E70" s="0" t="n">
        <v>1</v>
      </c>
      <c r="F70" s="0" t="s">
        <v>76</v>
      </c>
      <c r="G70" s="0" t="n">
        <v>16</v>
      </c>
      <c r="H70" s="0" t="n">
        <v>329.95</v>
      </c>
      <c r="I70" s="0" t="s">
        <v>206</v>
      </c>
      <c r="J70" s="0" t="s">
        <v>207</v>
      </c>
      <c r="K70" s="0" t="s">
        <v>38</v>
      </c>
    </row>
    <row r="71" customFormat="false" ht="15" hidden="false" customHeight="false" outlineLevel="0" collapsed="false">
      <c r="A71" s="0" t="s">
        <v>208</v>
      </c>
      <c r="B71" s="0" t="s">
        <v>209</v>
      </c>
      <c r="C71" s="0" t="n">
        <v>3.353</v>
      </c>
      <c r="D71" s="0" t="n">
        <v>14.358</v>
      </c>
      <c r="E71" s="0" t="n">
        <v>1</v>
      </c>
      <c r="F71" s="0" t="s">
        <v>76</v>
      </c>
      <c r="G71" s="0" t="n">
        <v>16</v>
      </c>
      <c r="H71" s="0" t="n">
        <v>51.55</v>
      </c>
      <c r="I71" s="0" t="s">
        <v>210</v>
      </c>
      <c r="J71" s="0" t="s">
        <v>207</v>
      </c>
      <c r="K71" s="0" t="s">
        <v>38</v>
      </c>
    </row>
    <row r="72" customFormat="false" ht="15" hidden="false" customHeight="false" outlineLevel="0" collapsed="false">
      <c r="A72" s="0" t="s">
        <v>211</v>
      </c>
      <c r="B72" s="0" t="s">
        <v>212</v>
      </c>
      <c r="C72" s="0" t="n">
        <v>46.946</v>
      </c>
      <c r="D72" s="0" t="n">
        <v>13.062</v>
      </c>
      <c r="E72" s="0" t="n">
        <v>1</v>
      </c>
      <c r="F72" s="0" t="s">
        <v>76</v>
      </c>
      <c r="G72" s="0" t="n">
        <v>16</v>
      </c>
      <c r="H72" s="0" t="n">
        <v>664.07</v>
      </c>
      <c r="I72" s="0" t="s">
        <v>213</v>
      </c>
      <c r="J72" s="0" t="s">
        <v>207</v>
      </c>
      <c r="K72" s="0" t="s">
        <v>38</v>
      </c>
    </row>
    <row r="73" customFormat="false" ht="15" hidden="false" customHeight="false" outlineLevel="0" collapsed="false">
      <c r="A73" s="0" t="s">
        <v>214</v>
      </c>
      <c r="B73" s="0" t="s">
        <v>215</v>
      </c>
      <c r="C73" s="0" t="n">
        <v>51.733</v>
      </c>
      <c r="D73" s="0" t="n">
        <v>11.133</v>
      </c>
      <c r="E73" s="0" t="n">
        <v>1</v>
      </c>
      <c r="F73" s="0" t="s">
        <v>76</v>
      </c>
      <c r="G73" s="0" t="n">
        <v>16</v>
      </c>
      <c r="H73" s="0" t="n">
        <v>648.26</v>
      </c>
      <c r="I73" s="0" t="s">
        <v>216</v>
      </c>
      <c r="J73" s="0" t="s">
        <v>207</v>
      </c>
      <c r="K73" s="0" t="s">
        <v>38</v>
      </c>
    </row>
    <row r="74" customFormat="false" ht="15" hidden="false" customHeight="false" outlineLevel="0" collapsed="false">
      <c r="A74" s="0" t="s">
        <v>217</v>
      </c>
      <c r="B74" s="0" t="s">
        <v>218</v>
      </c>
      <c r="C74" s="0" t="n">
        <v>75.333</v>
      </c>
      <c r="D74" s="0" t="n">
        <v>13.55</v>
      </c>
      <c r="E74" s="0" t="n">
        <v>1</v>
      </c>
      <c r="F74" s="0" t="s">
        <v>76</v>
      </c>
      <c r="G74" s="0" t="n">
        <v>16</v>
      </c>
      <c r="H74" s="0" t="n">
        <v>1100.52</v>
      </c>
      <c r="I74" s="0" t="s">
        <v>219</v>
      </c>
      <c r="J74" s="0" t="s">
        <v>207</v>
      </c>
      <c r="K74" s="0" t="s">
        <v>38</v>
      </c>
    </row>
    <row r="75" customFormat="false" ht="15" hidden="false" customHeight="false" outlineLevel="0" collapsed="false">
      <c r="A75" s="0" t="s">
        <v>220</v>
      </c>
      <c r="B75" s="0" t="s">
        <v>221</v>
      </c>
      <c r="C75" s="0" t="n">
        <v>12.64</v>
      </c>
      <c r="D75" s="0" t="n">
        <v>14.358</v>
      </c>
      <c r="E75" s="0" t="n">
        <v>1</v>
      </c>
      <c r="F75" s="0" t="s">
        <v>76</v>
      </c>
      <c r="G75" s="0" t="n">
        <v>16</v>
      </c>
      <c r="H75" s="0" t="n">
        <v>194.34</v>
      </c>
      <c r="I75" s="0" t="s">
        <v>222</v>
      </c>
      <c r="J75" s="0" t="s">
        <v>207</v>
      </c>
      <c r="K75" s="0" t="s">
        <v>38</v>
      </c>
    </row>
    <row r="76" customFormat="false" ht="15" hidden="false" customHeight="false" outlineLevel="0" collapsed="false">
      <c r="A76" s="5" t="s">
        <v>223</v>
      </c>
    </row>
    <row r="77" customFormat="false" ht="15" hidden="false" customHeight="false" outlineLevel="0" collapsed="false">
      <c r="A77" s="0" t="s">
        <v>224</v>
      </c>
      <c r="B77" s="0" t="s">
        <v>225</v>
      </c>
      <c r="C77" s="0" t="n">
        <v>5.667</v>
      </c>
      <c r="D77" s="0" t="n">
        <v>10.604</v>
      </c>
      <c r="E77" s="0" t="n">
        <v>0</v>
      </c>
      <c r="F77" s="0" t="s">
        <v>82</v>
      </c>
      <c r="G77" s="0" t="n">
        <v>16</v>
      </c>
      <c r="H77" s="0" t="n">
        <v>0</v>
      </c>
      <c r="I77" s="0" t="s">
        <v>225</v>
      </c>
      <c r="J77" s="0" t="s">
        <v>226</v>
      </c>
      <c r="K77" s="0" t="s">
        <v>38</v>
      </c>
    </row>
    <row r="78" customFormat="false" ht="15" hidden="false" customHeight="false" outlineLevel="0" collapsed="false">
      <c r="A78" s="0" t="s">
        <v>227</v>
      </c>
      <c r="B78" s="0" t="s">
        <v>228</v>
      </c>
      <c r="C78" s="0" t="n">
        <v>5.667</v>
      </c>
      <c r="D78" s="0" t="n">
        <v>10.604</v>
      </c>
      <c r="E78" s="0" t="n">
        <v>0</v>
      </c>
      <c r="F78" s="0" t="s">
        <v>82</v>
      </c>
      <c r="G78" s="0" t="n">
        <v>16</v>
      </c>
      <c r="H78" s="0" t="n">
        <v>0</v>
      </c>
      <c r="I78" s="0" t="s">
        <v>228</v>
      </c>
      <c r="J78" s="0" t="s">
        <v>226</v>
      </c>
      <c r="K78" s="0" t="s">
        <v>38</v>
      </c>
    </row>
    <row r="79" customFormat="false" ht="15" hidden="false" customHeight="false" outlineLevel="0" collapsed="false">
      <c r="A79" s="0" t="s">
        <v>229</v>
      </c>
      <c r="B79" s="0" t="s">
        <v>230</v>
      </c>
      <c r="C79" s="0" t="n">
        <v>5.667</v>
      </c>
      <c r="D79" s="0" t="n">
        <v>10.604</v>
      </c>
      <c r="E79" s="0" t="n">
        <v>0</v>
      </c>
      <c r="F79" s="0" t="s">
        <v>82</v>
      </c>
      <c r="G79" s="0" t="n">
        <v>16</v>
      </c>
      <c r="H79" s="0" t="n">
        <v>0</v>
      </c>
      <c r="I79" s="0" t="s">
        <v>230</v>
      </c>
      <c r="J79" s="0" t="s">
        <v>226</v>
      </c>
      <c r="K79" s="0" t="s">
        <v>38</v>
      </c>
    </row>
    <row r="80" customFormat="false" ht="15" hidden="false" customHeight="false" outlineLevel="0" collapsed="false">
      <c r="A80" s="0" t="s">
        <v>231</v>
      </c>
      <c r="B80" s="0" t="s">
        <v>232</v>
      </c>
      <c r="C80" s="0" t="n">
        <v>5.667</v>
      </c>
      <c r="D80" s="0" t="n">
        <v>10.604</v>
      </c>
      <c r="E80" s="0" t="n">
        <v>0</v>
      </c>
      <c r="F80" s="0" t="s">
        <v>82</v>
      </c>
      <c r="G80" s="0" t="n">
        <v>16</v>
      </c>
      <c r="H80" s="0" t="n">
        <v>0</v>
      </c>
      <c r="I80" s="0" t="s">
        <v>232</v>
      </c>
      <c r="J80" s="0" t="s">
        <v>226</v>
      </c>
      <c r="K80" s="0" t="s">
        <v>38</v>
      </c>
    </row>
    <row r="81" customFormat="false" ht="15" hidden="false" customHeight="false" outlineLevel="0" collapsed="false">
      <c r="A81" s="5" t="s">
        <v>233</v>
      </c>
    </row>
    <row r="82" customFormat="false" ht="15" hidden="false" customHeight="false" outlineLevel="0" collapsed="false">
      <c r="A82" s="0" t="s">
        <v>234</v>
      </c>
      <c r="B82" s="0" t="s">
        <v>235</v>
      </c>
      <c r="C82" s="0" t="n">
        <v>16.2</v>
      </c>
      <c r="D82" s="0" t="n">
        <v>4.292</v>
      </c>
      <c r="E82" s="0" t="n">
        <v>0</v>
      </c>
      <c r="F82" s="0" t="s">
        <v>236</v>
      </c>
      <c r="G82" s="0" t="n">
        <v>16</v>
      </c>
      <c r="H82" s="0" t="n">
        <v>0</v>
      </c>
      <c r="I82" s="0" t="s">
        <v>235</v>
      </c>
      <c r="J82" s="0" t="s">
        <v>237</v>
      </c>
      <c r="K82" s="0" t="s">
        <v>38</v>
      </c>
    </row>
    <row r="83" customFormat="false" ht="15" hidden="false" customHeight="false" outlineLevel="0" collapsed="false">
      <c r="A83" s="0" t="s">
        <v>238</v>
      </c>
      <c r="B83" s="0" t="s">
        <v>239</v>
      </c>
      <c r="C83" s="0" t="n">
        <v>30</v>
      </c>
      <c r="D83" s="0" t="n">
        <v>4.292</v>
      </c>
      <c r="E83" s="0" t="n">
        <v>0</v>
      </c>
      <c r="F83" s="0" t="s">
        <v>236</v>
      </c>
      <c r="G83" s="0" t="n">
        <v>16</v>
      </c>
      <c r="H83" s="0" t="n">
        <v>0</v>
      </c>
      <c r="I83" s="0" t="s">
        <v>239</v>
      </c>
      <c r="J83" s="0" t="s">
        <v>237</v>
      </c>
      <c r="K83" s="0" t="s">
        <v>38</v>
      </c>
    </row>
    <row r="84" customFormat="false" ht="15" hidden="false" customHeight="false" outlineLevel="0" collapsed="false">
      <c r="A84" s="0" t="s">
        <v>240</v>
      </c>
      <c r="B84" s="0" t="s">
        <v>241</v>
      </c>
      <c r="C84" s="0" t="n">
        <v>3.57</v>
      </c>
      <c r="D84" s="0" t="n">
        <v>4.292</v>
      </c>
      <c r="E84" s="0" t="n">
        <v>0</v>
      </c>
      <c r="F84" s="0" t="s">
        <v>236</v>
      </c>
      <c r="G84" s="0" t="n">
        <v>16</v>
      </c>
      <c r="H84" s="0" t="n">
        <v>0</v>
      </c>
      <c r="I84" s="0" t="s">
        <v>241</v>
      </c>
      <c r="J84" s="0" t="s">
        <v>237</v>
      </c>
      <c r="K84" s="0" t="s">
        <v>38</v>
      </c>
    </row>
    <row r="85" customFormat="false" ht="15" hidden="false" customHeight="false" outlineLevel="0" collapsed="false">
      <c r="A85" s="0" t="s">
        <v>242</v>
      </c>
      <c r="B85" s="0" t="s">
        <v>243</v>
      </c>
      <c r="C85" s="0" t="n">
        <v>3.867</v>
      </c>
      <c r="D85" s="0" t="n">
        <v>2.042</v>
      </c>
      <c r="E85" s="0" t="n">
        <v>0</v>
      </c>
      <c r="F85" s="0" t="s">
        <v>236</v>
      </c>
      <c r="G85" s="0" t="n">
        <v>16</v>
      </c>
      <c r="H85" s="0" t="n">
        <v>0</v>
      </c>
      <c r="I85" s="0" t="s">
        <v>243</v>
      </c>
      <c r="J85" s="0" t="s">
        <v>237</v>
      </c>
      <c r="K85" s="0" t="s">
        <v>38</v>
      </c>
    </row>
    <row r="86" customFormat="false" ht="15" hidden="false" customHeight="false" outlineLevel="0" collapsed="false">
      <c r="A86" s="0" t="s">
        <v>244</v>
      </c>
      <c r="B86" s="0" t="s">
        <v>245</v>
      </c>
      <c r="C86" s="0" t="n">
        <v>47.922</v>
      </c>
      <c r="D86" s="0" t="n">
        <v>3.403</v>
      </c>
      <c r="E86" s="0" t="n">
        <v>0</v>
      </c>
      <c r="F86" s="0" t="s">
        <v>236</v>
      </c>
      <c r="G86" s="0" t="n">
        <v>16</v>
      </c>
      <c r="H86" s="0" t="n">
        <v>0</v>
      </c>
      <c r="I86" s="0" t="s">
        <v>246</v>
      </c>
      <c r="J86" s="0" t="s">
        <v>237</v>
      </c>
      <c r="K86" s="0" t="s">
        <v>38</v>
      </c>
    </row>
    <row r="87" customFormat="false" ht="15" hidden="false" customHeight="false" outlineLevel="0" collapsed="false">
      <c r="A87" s="0" t="s">
        <v>247</v>
      </c>
      <c r="B87" s="0" t="s">
        <v>248</v>
      </c>
      <c r="C87" s="0" t="n">
        <v>52.333</v>
      </c>
      <c r="D87" s="0" t="n">
        <v>4.886</v>
      </c>
      <c r="E87" s="0" t="n">
        <v>0</v>
      </c>
      <c r="F87" s="0" t="s">
        <v>236</v>
      </c>
      <c r="G87" s="0" t="n">
        <v>16</v>
      </c>
      <c r="H87" s="0" t="n">
        <v>0</v>
      </c>
      <c r="I87" s="0" t="s">
        <v>248</v>
      </c>
      <c r="J87" s="0" t="s">
        <v>237</v>
      </c>
      <c r="K87" s="0" t="s">
        <v>38</v>
      </c>
    </row>
    <row r="88" customFormat="false" ht="15" hidden="false" customHeight="false" outlineLevel="0" collapsed="false">
      <c r="A88" s="0" t="s">
        <v>249</v>
      </c>
      <c r="B88" s="0" t="s">
        <v>250</v>
      </c>
      <c r="C88" s="0" t="n">
        <v>75.933</v>
      </c>
      <c r="D88" s="0" t="n">
        <v>2.901</v>
      </c>
      <c r="E88" s="0" t="n">
        <v>0</v>
      </c>
      <c r="F88" s="0" t="s">
        <v>236</v>
      </c>
      <c r="G88" s="0" t="n">
        <v>16</v>
      </c>
      <c r="H88" s="0" t="n">
        <v>0</v>
      </c>
      <c r="I88" s="0" t="s">
        <v>251</v>
      </c>
      <c r="J88" s="0" t="s">
        <v>237</v>
      </c>
      <c r="K88" s="0" t="s">
        <v>38</v>
      </c>
    </row>
    <row r="89" customFormat="false" ht="15" hidden="false" customHeight="false" outlineLevel="0" collapsed="false">
      <c r="A89" s="0" t="s">
        <v>252</v>
      </c>
      <c r="B89" s="0" t="s">
        <v>253</v>
      </c>
      <c r="C89" s="0" t="n">
        <v>40</v>
      </c>
      <c r="D89" s="0" t="n">
        <v>2.042</v>
      </c>
      <c r="E89" s="0" t="n">
        <v>0</v>
      </c>
      <c r="F89" s="0" t="s">
        <v>236</v>
      </c>
      <c r="G89" s="0" t="n">
        <v>16</v>
      </c>
      <c r="H89" s="0" t="n">
        <v>0</v>
      </c>
      <c r="I89" s="0" t="s">
        <v>253</v>
      </c>
      <c r="J89" s="0" t="s">
        <v>237</v>
      </c>
      <c r="K89" s="0" t="s">
        <v>38</v>
      </c>
    </row>
    <row r="90" customFormat="false" ht="15" hidden="false" customHeight="false" outlineLevel="0" collapsed="false">
      <c r="B90" s="6" t="s">
        <v>254</v>
      </c>
      <c r="C90" s="3" t="n">
        <f aca="false">SUM(C5:C89)</f>
        <v>938.258</v>
      </c>
      <c r="H90" s="3" t="n">
        <f aca="false">SUM(H5:H89)</f>
        <v>16297.76</v>
      </c>
    </row>
    <row r="92" customFormat="false" ht="15" hidden="false" customHeight="false" outlineLevel="0" collapsed="false">
      <c r="A92" s="5" t="s">
        <v>255</v>
      </c>
    </row>
    <row r="93" customFormat="false" ht="15" hidden="false" customHeight="false" outlineLevel="0" collapsed="false">
      <c r="A93" s="0" t="s">
        <v>256</v>
      </c>
      <c r="B93" s="0" t="s">
        <v>257</v>
      </c>
      <c r="C93" s="0" t="n">
        <v>15.646</v>
      </c>
      <c r="D93" s="0" t="n">
        <v>5.375</v>
      </c>
      <c r="E93" s="0" t="n">
        <v>3</v>
      </c>
      <c r="F93" s="0" t="s">
        <v>82</v>
      </c>
      <c r="G93" s="0" t="n">
        <v>16</v>
      </c>
      <c r="H93" s="0" t="n">
        <v>21.99</v>
      </c>
      <c r="I93" s="0" t="s">
        <v>258</v>
      </c>
      <c r="J93" s="0" t="s">
        <v>259</v>
      </c>
      <c r="K93" s="0" t="s">
        <v>34</v>
      </c>
    </row>
    <row r="94" customFormat="false" ht="15" hidden="false" customHeight="false" outlineLevel="0" collapsed="false">
      <c r="A94" s="0" t="s">
        <v>260</v>
      </c>
      <c r="B94" s="0" t="s">
        <v>261</v>
      </c>
      <c r="C94" s="0" t="n">
        <v>6.417</v>
      </c>
      <c r="D94" s="0" t="n">
        <v>4.358</v>
      </c>
      <c r="E94" s="0" t="n">
        <v>3</v>
      </c>
      <c r="F94" s="0" t="s">
        <v>82</v>
      </c>
      <c r="G94" s="0" t="n">
        <v>16</v>
      </c>
      <c r="H94" s="0" t="n">
        <v>18.65</v>
      </c>
      <c r="I94" s="0" t="s">
        <v>262</v>
      </c>
      <c r="J94" s="0" t="s">
        <v>259</v>
      </c>
      <c r="K94" s="0" t="s">
        <v>34</v>
      </c>
    </row>
    <row r="95" customFormat="false" ht="15" hidden="false" customHeight="false" outlineLevel="0" collapsed="false">
      <c r="A95" s="0" t="s">
        <v>263</v>
      </c>
      <c r="B95" s="0" t="s">
        <v>264</v>
      </c>
      <c r="C95" s="0" t="n">
        <v>13.333</v>
      </c>
      <c r="D95" s="0" t="n">
        <v>2</v>
      </c>
      <c r="E95" s="0" t="n">
        <v>3</v>
      </c>
      <c r="F95" s="0" t="s">
        <v>265</v>
      </c>
      <c r="G95" s="0" t="n">
        <v>16</v>
      </c>
      <c r="H95" s="0" t="n">
        <v>57.78</v>
      </c>
      <c r="I95" s="0" t="s">
        <v>266</v>
      </c>
      <c r="J95" s="0" t="s">
        <v>267</v>
      </c>
      <c r="K95" s="0" t="s">
        <v>34</v>
      </c>
    </row>
    <row r="96" customFormat="false" ht="15" hidden="false" customHeight="false" outlineLevel="0" collapsed="false">
      <c r="A96" s="0" t="s">
        <v>268</v>
      </c>
      <c r="B96" s="0" t="s">
        <v>269</v>
      </c>
      <c r="C96" s="0" t="n">
        <v>26.247</v>
      </c>
      <c r="D96" s="0" t="n">
        <v>5.4</v>
      </c>
      <c r="E96" s="0" t="n">
        <v>1</v>
      </c>
      <c r="F96" s="0" t="s">
        <v>76</v>
      </c>
      <c r="G96" s="0" t="n">
        <v>16</v>
      </c>
      <c r="H96" s="0" t="n">
        <v>180.45</v>
      </c>
      <c r="I96" s="0" t="s">
        <v>270</v>
      </c>
      <c r="J96" s="0" t="s">
        <v>207</v>
      </c>
      <c r="K96" s="0" t="s">
        <v>38</v>
      </c>
    </row>
    <row r="97" customFormat="false" ht="15" hidden="false" customHeight="false" outlineLevel="0" collapsed="false">
      <c r="A97" s="0" t="s">
        <v>271</v>
      </c>
      <c r="B97" s="0" t="s">
        <v>272</v>
      </c>
      <c r="C97" s="0" t="n">
        <v>12.58</v>
      </c>
      <c r="D97" s="0" t="n">
        <v>5.858</v>
      </c>
      <c r="E97" s="0" t="n">
        <v>1</v>
      </c>
      <c r="F97" s="0" t="s">
        <v>76</v>
      </c>
      <c r="G97" s="0" t="n">
        <v>16</v>
      </c>
      <c r="H97" s="0" t="n">
        <v>86.49</v>
      </c>
      <c r="I97" s="0" t="s">
        <v>273</v>
      </c>
      <c r="J97" s="0" t="s">
        <v>207</v>
      </c>
      <c r="K97" s="0" t="s">
        <v>38</v>
      </c>
    </row>
    <row r="98" customFormat="false" ht="15" hidden="false" customHeight="false" outlineLevel="0" collapsed="false">
      <c r="A98" s="0" t="s">
        <v>274</v>
      </c>
      <c r="B98" s="0" t="s">
        <v>275</v>
      </c>
      <c r="C98" s="0" t="n">
        <v>6.5</v>
      </c>
      <c r="D98" s="0" t="n">
        <v>5.858</v>
      </c>
      <c r="E98" s="0" t="n">
        <v>1</v>
      </c>
      <c r="F98" s="0" t="s">
        <v>76</v>
      </c>
      <c r="G98" s="0" t="n">
        <v>16</v>
      </c>
      <c r="H98" s="0" t="n">
        <v>44.69</v>
      </c>
      <c r="I98" s="0" t="s">
        <v>273</v>
      </c>
      <c r="J98" s="0" t="s">
        <v>207</v>
      </c>
      <c r="K98" s="0" t="s">
        <v>38</v>
      </c>
    </row>
    <row r="99" customFormat="false" ht="15" hidden="false" customHeight="false" outlineLevel="0" collapsed="false">
      <c r="A99" s="0" t="s">
        <v>276</v>
      </c>
      <c r="B99" s="0" t="s">
        <v>277</v>
      </c>
      <c r="C99" s="0" t="n">
        <v>51.733</v>
      </c>
      <c r="D99" s="0" t="n">
        <v>2.323</v>
      </c>
      <c r="E99" s="0" t="n">
        <v>0</v>
      </c>
      <c r="F99" s="0" t="s">
        <v>82</v>
      </c>
      <c r="G99" s="0" t="n">
        <v>16</v>
      </c>
      <c r="H99" s="0" t="n">
        <v>0</v>
      </c>
      <c r="I99" s="0" t="s">
        <v>277</v>
      </c>
      <c r="J99" s="0" t="s">
        <v>278</v>
      </c>
      <c r="K99" s="0" t="s">
        <v>38</v>
      </c>
    </row>
    <row r="100" customFormat="false" ht="15" hidden="false" customHeight="false" outlineLevel="0" collapsed="false">
      <c r="A100" s="0" t="s">
        <v>279</v>
      </c>
      <c r="B100" s="0" t="s">
        <v>280</v>
      </c>
      <c r="C100" s="0" t="n">
        <v>51.733</v>
      </c>
      <c r="D100" s="0" t="n">
        <v>1.142</v>
      </c>
      <c r="E100" s="0" t="n">
        <v>1</v>
      </c>
      <c r="F100" s="0" t="s">
        <v>82</v>
      </c>
      <c r="G100" s="0" t="n">
        <v>16</v>
      </c>
      <c r="H100" s="0" t="n">
        <v>59.08</v>
      </c>
      <c r="I100" s="0" t="s">
        <v>281</v>
      </c>
      <c r="J100" s="0" t="s">
        <v>278</v>
      </c>
      <c r="K100" s="0" t="s">
        <v>38</v>
      </c>
    </row>
    <row r="101" customFormat="false" ht="15" hidden="false" customHeight="false" outlineLevel="0" collapsed="false">
      <c r="A101" s="0" t="s">
        <v>282</v>
      </c>
      <c r="B101" s="0" t="s">
        <v>283</v>
      </c>
      <c r="C101" s="0" t="n">
        <v>51.733</v>
      </c>
      <c r="D101" s="0" t="n">
        <v>3.465</v>
      </c>
      <c r="E101" s="0" t="n">
        <v>1</v>
      </c>
      <c r="F101" s="0" t="s">
        <v>82</v>
      </c>
      <c r="G101" s="0" t="n">
        <v>16</v>
      </c>
      <c r="H101" s="0" t="n">
        <v>179.25</v>
      </c>
      <c r="I101" s="0" t="s">
        <v>284</v>
      </c>
      <c r="J101" s="0" t="s">
        <v>278</v>
      </c>
      <c r="K101" s="0" t="s">
        <v>38</v>
      </c>
    </row>
    <row r="102" customFormat="false" ht="15" hidden="false" customHeight="false" outlineLevel="0" collapsed="false">
      <c r="A102" s="0" t="s">
        <v>285</v>
      </c>
      <c r="B102" s="0" t="s">
        <v>286</v>
      </c>
      <c r="C102" s="0" t="n">
        <v>95.65</v>
      </c>
      <c r="D102" s="0" t="n">
        <v>1.864</v>
      </c>
      <c r="E102" s="0" t="n">
        <v>0</v>
      </c>
      <c r="F102" s="0" t="s">
        <v>287</v>
      </c>
      <c r="G102" s="0" t="n">
        <v>16</v>
      </c>
      <c r="H102" s="0" t="n">
        <v>0</v>
      </c>
      <c r="I102" s="0" t="s">
        <v>286</v>
      </c>
      <c r="J102" s="0" t="s">
        <v>288</v>
      </c>
      <c r="K102" s="0" t="s">
        <v>38</v>
      </c>
    </row>
    <row r="103" customFormat="false" ht="15" hidden="false" customHeight="false" outlineLevel="0" collapsed="false">
      <c r="A103" s="0" t="s">
        <v>289</v>
      </c>
      <c r="B103" s="0" t="s">
        <v>290</v>
      </c>
      <c r="C103" s="0" t="n">
        <v>60.533</v>
      </c>
      <c r="D103" s="0" t="n">
        <v>1.864</v>
      </c>
      <c r="E103" s="0" t="n">
        <v>0</v>
      </c>
      <c r="F103" s="0" t="s">
        <v>287</v>
      </c>
      <c r="G103" s="0" t="n">
        <v>16</v>
      </c>
      <c r="H103" s="0" t="n">
        <v>0</v>
      </c>
      <c r="I103" s="0" t="s">
        <v>290</v>
      </c>
      <c r="J103" s="0" t="s">
        <v>288</v>
      </c>
      <c r="K103" s="0" t="s">
        <v>38</v>
      </c>
    </row>
    <row r="104" customFormat="false" ht="15" hidden="false" customHeight="false" outlineLevel="0" collapsed="false">
      <c r="A104" s="0" t="s">
        <v>291</v>
      </c>
      <c r="B104" s="0" t="s">
        <v>292</v>
      </c>
      <c r="C104" s="0" t="n">
        <v>55.577</v>
      </c>
      <c r="D104" s="0" t="n">
        <v>1.864</v>
      </c>
      <c r="E104" s="0" t="n">
        <v>0</v>
      </c>
      <c r="F104" s="0" t="s">
        <v>287</v>
      </c>
      <c r="G104" s="0" t="n">
        <v>16</v>
      </c>
      <c r="H104" s="0" t="n">
        <v>0</v>
      </c>
      <c r="I104" s="0" t="s">
        <v>292</v>
      </c>
      <c r="J104" s="0" t="s">
        <v>288</v>
      </c>
      <c r="K104" s="0" t="s">
        <v>38</v>
      </c>
    </row>
    <row r="105" customFormat="false" ht="15" hidden="false" customHeight="false" outlineLevel="0" collapsed="false">
      <c r="A105" s="0" t="s">
        <v>293</v>
      </c>
      <c r="B105" s="0" t="s">
        <v>294</v>
      </c>
      <c r="C105" s="0" t="n">
        <v>29.89</v>
      </c>
      <c r="D105" s="0" t="n">
        <v>1.864</v>
      </c>
      <c r="E105" s="0" t="n">
        <v>0</v>
      </c>
      <c r="F105" s="0" t="s">
        <v>287</v>
      </c>
      <c r="G105" s="0" t="n">
        <v>16</v>
      </c>
      <c r="H105" s="0" t="n">
        <v>0</v>
      </c>
      <c r="I105" s="0" t="s">
        <v>294</v>
      </c>
      <c r="J105" s="0" t="s">
        <v>288</v>
      </c>
      <c r="K105" s="0" t="s">
        <v>38</v>
      </c>
    </row>
    <row r="106" customFormat="false" ht="15" hidden="false" customHeight="false" outlineLevel="0" collapsed="false">
      <c r="A106" s="0" t="s">
        <v>295</v>
      </c>
      <c r="B106" s="0" t="s">
        <v>296</v>
      </c>
      <c r="C106" s="0" t="n">
        <v>12.01</v>
      </c>
      <c r="D106" s="0" t="n">
        <v>7.375</v>
      </c>
      <c r="E106" s="0" t="n">
        <v>1</v>
      </c>
      <c r="F106" s="0" t="s">
        <v>82</v>
      </c>
      <c r="G106" s="0" t="n">
        <v>16</v>
      </c>
      <c r="H106" s="0" t="n">
        <v>18.02</v>
      </c>
      <c r="I106" s="0" t="s">
        <v>297</v>
      </c>
      <c r="J106" s="0" t="s">
        <v>298</v>
      </c>
      <c r="K106" s="0" t="s">
        <v>38</v>
      </c>
    </row>
    <row r="107" customFormat="false" ht="15" hidden="false" customHeight="false" outlineLevel="0" collapsed="false">
      <c r="A107" s="0" t="s">
        <v>299</v>
      </c>
      <c r="B107" s="0" t="s">
        <v>300</v>
      </c>
      <c r="C107" s="0" t="n">
        <v>12.01</v>
      </c>
      <c r="D107" s="0" t="n">
        <v>7.375</v>
      </c>
      <c r="E107" s="0" t="n">
        <v>1</v>
      </c>
      <c r="F107" s="0" t="s">
        <v>82</v>
      </c>
      <c r="G107" s="0" t="n">
        <v>16</v>
      </c>
      <c r="H107" s="0" t="n">
        <v>18.02</v>
      </c>
      <c r="I107" s="0" t="s">
        <v>297</v>
      </c>
      <c r="J107" s="0" t="s">
        <v>298</v>
      </c>
      <c r="K107" s="0" t="s">
        <v>38</v>
      </c>
    </row>
    <row r="108" customFormat="false" ht="15" hidden="false" customHeight="false" outlineLevel="0" collapsed="false">
      <c r="A108" s="0" t="s">
        <v>301</v>
      </c>
      <c r="B108" s="0" t="s">
        <v>302</v>
      </c>
      <c r="C108" s="0" t="n">
        <v>77.03</v>
      </c>
      <c r="D108" s="0" t="n">
        <v>4.375</v>
      </c>
      <c r="E108" s="0" t="n">
        <v>1</v>
      </c>
      <c r="F108" s="0" t="s">
        <v>82</v>
      </c>
      <c r="G108" s="0" t="n">
        <v>16</v>
      </c>
      <c r="H108" s="0" t="n">
        <v>77.03</v>
      </c>
      <c r="I108" s="0" t="s">
        <v>97</v>
      </c>
      <c r="J108" s="0" t="s">
        <v>303</v>
      </c>
      <c r="K108" s="0" t="s">
        <v>38</v>
      </c>
    </row>
    <row r="109" customFormat="false" ht="15" hidden="false" customHeight="false" outlineLevel="0" collapsed="false">
      <c r="A109" s="0" t="s">
        <v>304</v>
      </c>
      <c r="B109" s="0" t="s">
        <v>305</v>
      </c>
      <c r="C109" s="0" t="n">
        <v>5.64</v>
      </c>
      <c r="D109" s="0" t="n">
        <v>6.875</v>
      </c>
      <c r="E109" s="0" t="n">
        <v>1</v>
      </c>
      <c r="F109" s="0" t="s">
        <v>82</v>
      </c>
      <c r="G109" s="0" t="n">
        <v>16</v>
      </c>
      <c r="H109" s="0" t="n">
        <v>16.92</v>
      </c>
      <c r="I109" s="0" t="s">
        <v>270</v>
      </c>
      <c r="J109" s="0" t="s">
        <v>306</v>
      </c>
      <c r="K109" s="0" t="s">
        <v>38</v>
      </c>
    </row>
    <row r="110" customFormat="false" ht="15" hidden="false" customHeight="false" outlineLevel="0" collapsed="false">
      <c r="A110" s="0" t="s">
        <v>307</v>
      </c>
      <c r="B110" s="0" t="s">
        <v>308</v>
      </c>
      <c r="C110" s="0" t="n">
        <v>5.09</v>
      </c>
      <c r="D110" s="0" t="n">
        <v>6.375</v>
      </c>
      <c r="E110" s="0" t="n">
        <v>1</v>
      </c>
      <c r="F110" s="0" t="s">
        <v>82</v>
      </c>
      <c r="G110" s="0" t="n">
        <v>16</v>
      </c>
      <c r="H110" s="0" t="n">
        <v>12.72</v>
      </c>
      <c r="I110" s="0" t="s">
        <v>270</v>
      </c>
      <c r="J110" s="0" t="s">
        <v>306</v>
      </c>
      <c r="K110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54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309</v>
      </c>
    </row>
    <row r="2" customFormat="false" ht="15" hidden="false" customHeight="false" outlineLevel="0" collapsed="false">
      <c r="A2" s="0" t="s">
        <v>310</v>
      </c>
    </row>
    <row r="3" customFormat="false" ht="15" hidden="false" customHeight="false" outlineLevel="0" collapsed="false">
      <c r="A3" s="4" t="s">
        <v>311</v>
      </c>
      <c r="B3" s="4" t="s">
        <v>312</v>
      </c>
      <c r="C3" s="4" t="s">
        <v>313</v>
      </c>
      <c r="D3" s="4" t="s">
        <v>314</v>
      </c>
      <c r="E3" s="4" t="s">
        <v>315</v>
      </c>
      <c r="F3" s="4" t="s">
        <v>316</v>
      </c>
      <c r="G3" s="4" t="s">
        <v>317</v>
      </c>
      <c r="H3" s="4" t="s">
        <v>318</v>
      </c>
      <c r="I3" s="4" t="s">
        <v>319</v>
      </c>
    </row>
    <row r="4" customFormat="false" ht="15" hidden="false" customHeight="false" outlineLevel="0" collapsed="false">
      <c r="A4" s="0" t="s">
        <v>320</v>
      </c>
      <c r="B4" s="0" t="s">
        <v>321</v>
      </c>
      <c r="C4" s="0" t="n">
        <v>4397.64</v>
      </c>
      <c r="D4" s="0" t="n">
        <f aca="false">Inputs!$B$4</f>
        <v>0.15</v>
      </c>
      <c r="E4" s="0" t="n">
        <f aca="false">C4*D4</f>
        <v>659.646</v>
      </c>
      <c r="F4" s="0" t="n">
        <f aca="false">C4+E4</f>
        <v>5057.286</v>
      </c>
      <c r="G4" s="0" t="s">
        <v>322</v>
      </c>
      <c r="H4" s="0" t="n">
        <f aca="false">ROUNDUP(ROUNDUP(F4/14.36,0)/MAX(1,INT(20/14.36)),0)</f>
        <v>353</v>
      </c>
      <c r="I4" s="0" t="s">
        <v>323</v>
      </c>
    </row>
    <row r="5" customFormat="false" ht="15" hidden="false" customHeight="false" outlineLevel="0" collapsed="false">
      <c r="A5" s="0" t="s">
        <v>324</v>
      </c>
      <c r="B5" s="0" t="s">
        <v>321</v>
      </c>
      <c r="C5" s="0" t="n">
        <v>6663.03</v>
      </c>
      <c r="D5" s="0" t="n">
        <f aca="false">Inputs!$B$4</f>
        <v>0.15</v>
      </c>
      <c r="E5" s="0" t="n">
        <f aca="false">C5*D5</f>
        <v>999.4545</v>
      </c>
      <c r="F5" s="0" t="n">
        <f aca="false">C5+E5</f>
        <v>7662.4845</v>
      </c>
      <c r="G5" s="0" t="s">
        <v>322</v>
      </c>
      <c r="H5" s="0" t="n">
        <f aca="false">ROUNDUP(ROUNDUP(F5/15.38,0)/MAX(1,INT(20/15.38)),0)</f>
        <v>499</v>
      </c>
      <c r="I5" s="0" t="s">
        <v>325</v>
      </c>
    </row>
    <row r="6" customFormat="false" ht="15" hidden="false" customHeight="false" outlineLevel="0" collapsed="false">
      <c r="A6" s="0" t="s">
        <v>326</v>
      </c>
      <c r="B6" s="0" t="s">
        <v>321</v>
      </c>
      <c r="C6" s="0" t="n">
        <v>3772.46</v>
      </c>
      <c r="D6" s="0" t="n">
        <f aca="false">Inputs!$B$4</f>
        <v>0.15</v>
      </c>
      <c r="E6" s="0" t="n">
        <f aca="false">C6*D6</f>
        <v>565.869</v>
      </c>
      <c r="F6" s="0" t="n">
        <f aca="false">C6+E6</f>
        <v>4338.329</v>
      </c>
      <c r="G6" s="0" t="s">
        <v>322</v>
      </c>
      <c r="H6" s="0" t="n">
        <f aca="false">ROUNDUP(ROUNDUP(F6/15.38,0)/MAX(1,INT(20/15.38)),0)</f>
        <v>283</v>
      </c>
      <c r="I6" s="0" t="s">
        <v>327</v>
      </c>
    </row>
    <row r="7" customFormat="false" ht="15" hidden="false" customHeight="false" outlineLevel="0" collapsed="false">
      <c r="A7" s="0" t="s">
        <v>328</v>
      </c>
      <c r="B7" s="0" t="s">
        <v>321</v>
      </c>
      <c r="C7" s="0" t="n">
        <v>998.92</v>
      </c>
      <c r="D7" s="0" t="n">
        <f aca="false">Inputs!$B$4</f>
        <v>0.15</v>
      </c>
      <c r="E7" s="0" t="n">
        <f aca="false">C7*D7</f>
        <v>149.838</v>
      </c>
      <c r="F7" s="0" t="n">
        <f aca="false">C7+E7</f>
        <v>1148.758</v>
      </c>
      <c r="G7" s="0" t="s">
        <v>329</v>
      </c>
      <c r="H7" s="0" t="n">
        <f aca="false">ROUNDUP(ROUNDUP(F7/4.29,0)/MAX(1,INT(10/4.29)),0)</f>
        <v>134</v>
      </c>
      <c r="I7" s="0" t="s">
        <v>330</v>
      </c>
    </row>
    <row r="8" customFormat="false" ht="15" hidden="false" customHeight="false" outlineLevel="0" collapsed="false">
      <c r="A8" s="0" t="s">
        <v>331</v>
      </c>
      <c r="B8" s="0" t="s">
        <v>321</v>
      </c>
      <c r="C8" s="0" t="n">
        <v>1347.98</v>
      </c>
      <c r="D8" s="0" t="n">
        <f aca="false">Inputs!$B$4</f>
        <v>0.15</v>
      </c>
      <c r="E8" s="0" t="n">
        <f aca="false">C8*D8</f>
        <v>202.197</v>
      </c>
      <c r="F8" s="0" t="n">
        <f aca="false">C8+E8</f>
        <v>1550.177</v>
      </c>
      <c r="G8" s="0" t="s">
        <v>332</v>
      </c>
      <c r="H8" s="0" t="n">
        <f aca="false">ROUNDUP(F8/10,0)</f>
        <v>156</v>
      </c>
      <c r="I8" s="0" t="s">
        <v>333</v>
      </c>
    </row>
    <row r="9" customFormat="false" ht="15" hidden="false" customHeight="false" outlineLevel="0" collapsed="false">
      <c r="A9" s="0" t="s">
        <v>334</v>
      </c>
      <c r="B9" s="0" t="s">
        <v>321</v>
      </c>
      <c r="C9" s="0" t="n">
        <v>1347.98</v>
      </c>
      <c r="D9" s="0" t="n">
        <f aca="false">Inputs!$B$4</f>
        <v>0.15</v>
      </c>
      <c r="E9" s="0" t="n">
        <f aca="false">C9*D9</f>
        <v>202.197</v>
      </c>
      <c r="F9" s="0" t="n">
        <f aca="false">C9+E9</f>
        <v>1550.177</v>
      </c>
      <c r="G9" s="0" t="s">
        <v>332</v>
      </c>
      <c r="H9" s="0" t="n">
        <f aca="false">ROUNDUP(F9/10,0)</f>
        <v>156</v>
      </c>
      <c r="I9" s="0" t="s">
        <v>335</v>
      </c>
    </row>
    <row r="10" customFormat="false" ht="15" hidden="false" customHeight="false" outlineLevel="0" collapsed="false">
      <c r="A10" s="0" t="s">
        <v>336</v>
      </c>
      <c r="B10" s="0" t="s">
        <v>321</v>
      </c>
      <c r="C10" s="0" t="n">
        <v>1399.78</v>
      </c>
      <c r="D10" s="0" t="n">
        <f aca="false">Inputs!$B$4</f>
        <v>0.15</v>
      </c>
      <c r="E10" s="0" t="n">
        <f aca="false">C10*D10</f>
        <v>209.967</v>
      </c>
      <c r="F10" s="0" t="n">
        <f aca="false">C10+E10</f>
        <v>1609.747</v>
      </c>
      <c r="G10" s="0" t="s">
        <v>332</v>
      </c>
      <c r="H10" s="0" t="n">
        <f aca="false">ROUNDUP(F10/10,0)</f>
        <v>161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321</v>
      </c>
      <c r="C11" s="0" t="n">
        <v>2464.52</v>
      </c>
      <c r="D11" s="0" t="n">
        <f aca="false">Inputs!$B$4</f>
        <v>0.15</v>
      </c>
      <c r="E11" s="0" t="n">
        <f aca="false">C11*D11</f>
        <v>369.678</v>
      </c>
      <c r="F11" s="0" t="n">
        <f aca="false">C11+E11</f>
        <v>2834.198</v>
      </c>
      <c r="G11" s="0" t="s">
        <v>339</v>
      </c>
      <c r="H11" s="0" t="n">
        <f aca="false">ROUNDUP(F11/16,0)</f>
        <v>178</v>
      </c>
      <c r="I11" s="0" t="s">
        <v>340</v>
      </c>
    </row>
    <row r="12" customFormat="false" ht="15" hidden="false" customHeight="false" outlineLevel="0" collapsed="false">
      <c r="A12" s="0" t="s">
        <v>341</v>
      </c>
      <c r="B12" s="0" t="s">
        <v>321</v>
      </c>
      <c r="C12" s="0" t="n">
        <v>216.21</v>
      </c>
      <c r="D12" s="0" t="n">
        <f aca="false">Inputs!$B$4</f>
        <v>0.15</v>
      </c>
      <c r="E12" s="0" t="n">
        <f aca="false">C12*D12</f>
        <v>32.4315</v>
      </c>
      <c r="F12" s="0" t="n">
        <f aca="false">C12+E12</f>
        <v>248.6415</v>
      </c>
      <c r="G12" s="0" t="s">
        <v>332</v>
      </c>
      <c r="H12" s="0" t="n">
        <f aca="false">ROUNDUP(F12/10,0)</f>
        <v>25</v>
      </c>
      <c r="I12" s="0" t="s">
        <v>342</v>
      </c>
    </row>
    <row r="13" customFormat="false" ht="15" hidden="false" customHeight="false" outlineLevel="0" collapsed="false">
      <c r="A13" s="0" t="s">
        <v>343</v>
      </c>
      <c r="B13" s="0" t="s">
        <v>321</v>
      </c>
      <c r="C13" s="0" t="n">
        <v>818.71</v>
      </c>
      <c r="D13" s="0" t="n">
        <f aca="false">Inputs!$B$4</f>
        <v>0.15</v>
      </c>
      <c r="E13" s="0" t="n">
        <f aca="false">C13*D13</f>
        <v>122.8065</v>
      </c>
      <c r="F13" s="0" t="n">
        <f aca="false">C13+E13</f>
        <v>941.5165</v>
      </c>
      <c r="G13" s="0" t="s">
        <v>332</v>
      </c>
      <c r="H13" s="0" t="n">
        <f aca="false">ROUNDUP(F13/10,0)</f>
        <v>95</v>
      </c>
      <c r="I13" s="0" t="s">
        <v>344</v>
      </c>
    </row>
    <row r="14" customFormat="false" ht="15" hidden="false" customHeight="false" outlineLevel="0" collapsed="false">
      <c r="A14" s="0" t="s">
        <v>345</v>
      </c>
      <c r="B14" s="0" t="s">
        <v>321</v>
      </c>
      <c r="C14" s="0" t="n">
        <v>119.09</v>
      </c>
      <c r="D14" s="0" t="n">
        <f aca="false">Inputs!$B$4</f>
        <v>0.15</v>
      </c>
      <c r="E14" s="0" t="n">
        <f aca="false">C14*D14</f>
        <v>17.8635</v>
      </c>
      <c r="F14" s="0" t="n">
        <f aca="false">C14+E14</f>
        <v>136.9535</v>
      </c>
      <c r="G14" s="0" t="s">
        <v>332</v>
      </c>
      <c r="H14" s="0" t="n">
        <f aca="false">ROUNDUP(F14/10,0)</f>
        <v>14</v>
      </c>
      <c r="I14" s="0" t="s">
        <v>346</v>
      </c>
    </row>
    <row r="15" customFormat="false" ht="15" hidden="false" customHeight="false" outlineLevel="0" collapsed="false">
      <c r="A15" s="0" t="s">
        <v>347</v>
      </c>
      <c r="B15" s="0" t="s">
        <v>321</v>
      </c>
      <c r="C15" s="0" t="n">
        <v>820.29</v>
      </c>
      <c r="D15" s="0" t="n">
        <f aca="false">Inputs!$B$4</f>
        <v>0.15</v>
      </c>
      <c r="E15" s="0" t="n">
        <f aca="false">C15*D15</f>
        <v>123.0435</v>
      </c>
      <c r="F15" s="0" t="n">
        <f aca="false">C15+E15</f>
        <v>943.3335</v>
      </c>
      <c r="G15" s="0" t="s">
        <v>348</v>
      </c>
      <c r="H15" s="0" t="n">
        <f aca="false">ROUNDUP(F15/12,0)</f>
        <v>79</v>
      </c>
      <c r="I15" s="0" t="s">
        <v>349</v>
      </c>
    </row>
    <row r="16" customFormat="false" ht="15" hidden="false" customHeight="false" outlineLevel="0" collapsed="false">
      <c r="A16" s="0" t="s">
        <v>350</v>
      </c>
      <c r="B16" s="0" t="s">
        <v>321</v>
      </c>
      <c r="C16" s="0" t="n">
        <v>290.12</v>
      </c>
      <c r="D16" s="0" t="n">
        <f aca="false">Inputs!$B$4</f>
        <v>0.15</v>
      </c>
      <c r="E16" s="0" t="n">
        <f aca="false">C16*D16</f>
        <v>43.518</v>
      </c>
      <c r="F16" s="0" t="n">
        <f aca="false">C16+E16</f>
        <v>333.638</v>
      </c>
      <c r="G16" s="0" t="s">
        <v>339</v>
      </c>
      <c r="H16" s="0" t="n">
        <f aca="false">ROUNDUP(F16/16,0)</f>
        <v>21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321</v>
      </c>
      <c r="C17" s="0" t="n">
        <v>531.67</v>
      </c>
      <c r="D17" s="0" t="n">
        <f aca="false">Inputs!$B$4</f>
        <v>0.15</v>
      </c>
      <c r="E17" s="0" t="n">
        <f aca="false">C17*D17</f>
        <v>79.7505</v>
      </c>
      <c r="F17" s="0" t="n">
        <f aca="false">C17+E17</f>
        <v>611.4205</v>
      </c>
      <c r="G17" s="0" t="s">
        <v>353</v>
      </c>
      <c r="H17" s="0" t="n">
        <f aca="false">ROUNDUP(F17,0)</f>
        <v>612</v>
      </c>
      <c r="I17" s="0" t="s">
        <v>354</v>
      </c>
    </row>
    <row r="18" customFormat="false" ht="15" hidden="false" customHeight="false" outlineLevel="0" collapsed="false">
      <c r="A18" s="0" t="s">
        <v>355</v>
      </c>
      <c r="B18" s="0" t="s">
        <v>356</v>
      </c>
      <c r="C18" s="0" t="n">
        <v>113</v>
      </c>
      <c r="D18" s="0" t="n">
        <v>0</v>
      </c>
      <c r="E18" s="0" t="n">
        <f aca="false">C18*D18</f>
        <v>0</v>
      </c>
      <c r="F18" s="0" t="n">
        <f aca="false">C18+E18</f>
        <v>113</v>
      </c>
      <c r="G18" s="0" t="s">
        <v>357</v>
      </c>
      <c r="H18" s="0" t="n">
        <f aca="false">ROUNDUP(F18,0)</f>
        <v>113</v>
      </c>
      <c r="I18" s="0" t="s">
        <v>358</v>
      </c>
    </row>
    <row r="19" customFormat="false" ht="15" hidden="false" customHeight="false" outlineLevel="0" collapsed="false">
      <c r="A19" s="0" t="s">
        <v>359</v>
      </c>
      <c r="B19" s="0" t="s">
        <v>360</v>
      </c>
      <c r="C19" s="0" t="n">
        <v>17811.52</v>
      </c>
      <c r="D19" s="0" t="n">
        <f aca="false">Inputs!$B$5</f>
        <v>0.06</v>
      </c>
      <c r="E19" s="0" t="n">
        <f aca="false">C19*D19</f>
        <v>1068.6912</v>
      </c>
      <c r="F19" s="0" t="n">
        <f aca="false">C19+E19</f>
        <v>18880.2112</v>
      </c>
      <c r="G19" s="0" t="s">
        <v>361</v>
      </c>
      <c r="H19" s="0" t="n">
        <f aca="false">ROUNDUP(F19/48,0)</f>
        <v>394</v>
      </c>
      <c r="I19" s="0" t="s">
        <v>362</v>
      </c>
    </row>
    <row r="20" customFormat="false" ht="15" hidden="false" customHeight="false" outlineLevel="0" collapsed="false">
      <c r="A20" s="0" t="s">
        <v>363</v>
      </c>
      <c r="B20" s="0" t="s">
        <v>360</v>
      </c>
      <c r="C20" s="0" t="n">
        <v>259.06</v>
      </c>
      <c r="D20" s="0" t="n">
        <f aca="false">Inputs!$B$5</f>
        <v>0.06</v>
      </c>
      <c r="E20" s="0" t="n">
        <f aca="false">C20*D20</f>
        <v>15.5436</v>
      </c>
      <c r="F20" s="0" t="n">
        <f aca="false">C20+E20</f>
        <v>274.6036</v>
      </c>
      <c r="G20" s="0" t="s">
        <v>361</v>
      </c>
      <c r="H20" s="0" t="n">
        <f aca="false">ROUNDUP(F20/48,0)</f>
        <v>6</v>
      </c>
      <c r="I20" s="0" t="s">
        <v>364</v>
      </c>
    </row>
    <row r="21" customFormat="false" ht="15" hidden="false" customHeight="false" outlineLevel="0" collapsed="false">
      <c r="A21" s="0" t="s">
        <v>365</v>
      </c>
      <c r="B21" s="0" t="s">
        <v>360</v>
      </c>
      <c r="C21" s="0" t="n">
        <v>78.14</v>
      </c>
      <c r="D21" s="0" t="n">
        <f aca="false">Inputs!$B$5</f>
        <v>0.06</v>
      </c>
      <c r="E21" s="0" t="n">
        <f aca="false">C21*D21</f>
        <v>4.6884</v>
      </c>
      <c r="F21" s="0" t="n">
        <f aca="false">C21+E21</f>
        <v>82.8284</v>
      </c>
      <c r="G21" s="0" t="s">
        <v>366</v>
      </c>
      <c r="H21" s="0" t="n">
        <f aca="false">ROUNDUP(F21/32,0)</f>
        <v>3</v>
      </c>
      <c r="I21" s="0" t="s">
        <v>367</v>
      </c>
    </row>
    <row r="22" customFormat="false" ht="15" hidden="false" customHeight="false" outlineLevel="0" collapsed="false">
      <c r="A22" s="0" t="s">
        <v>368</v>
      </c>
      <c r="B22" s="0" t="s">
        <v>360</v>
      </c>
      <c r="C22" s="0" t="n">
        <v>60.87</v>
      </c>
      <c r="D22" s="0" t="n">
        <f aca="false">Inputs!$B$5</f>
        <v>0.06</v>
      </c>
      <c r="E22" s="0" t="n">
        <f aca="false">C22*D22</f>
        <v>3.6522</v>
      </c>
      <c r="F22" s="0" t="n">
        <f aca="false">C22+E22</f>
        <v>64.5222</v>
      </c>
      <c r="G22" s="0" t="s">
        <v>366</v>
      </c>
      <c r="H22" s="0" t="n">
        <f aca="false">ROUNDUP(F22/32,0)</f>
        <v>3</v>
      </c>
      <c r="I22" s="0" t="s">
        <v>369</v>
      </c>
    </row>
    <row r="23" customFormat="false" ht="15" hidden="false" customHeight="false" outlineLevel="0" collapsed="false">
      <c r="A23" s="0" t="s">
        <v>370</v>
      </c>
      <c r="B23" s="0" t="s">
        <v>360</v>
      </c>
      <c r="C23" s="0" t="n">
        <v>446.99</v>
      </c>
      <c r="D23" s="0" t="n">
        <f aca="false">Inputs!$B$5</f>
        <v>0.06</v>
      </c>
      <c r="E23" s="0" t="n">
        <f aca="false">C23*D23</f>
        <v>26.8194</v>
      </c>
      <c r="F23" s="0" t="n">
        <f aca="false">C23+E23</f>
        <v>473.8094</v>
      </c>
      <c r="G23" s="0" t="s">
        <v>366</v>
      </c>
      <c r="H23" s="0" t="n">
        <f aca="false">ROUNDUP(F23/32,0)</f>
        <v>15</v>
      </c>
      <c r="I23" s="0" t="s">
        <v>371</v>
      </c>
    </row>
    <row r="24" customFormat="false" ht="15" hidden="false" customHeight="false" outlineLevel="0" collapsed="false">
      <c r="A24" s="0" t="s">
        <v>372</v>
      </c>
      <c r="B24" s="0" t="s">
        <v>360</v>
      </c>
      <c r="C24" s="0" t="n">
        <v>942.26</v>
      </c>
      <c r="D24" s="0" t="n">
        <f aca="false">Inputs!$B$5</f>
        <v>0.06</v>
      </c>
      <c r="E24" s="0" t="n">
        <f aca="false">C24*D24</f>
        <v>56.5356</v>
      </c>
      <c r="F24" s="0" t="n">
        <f aca="false">C24+E24</f>
        <v>998.7956</v>
      </c>
      <c r="G24" s="0" t="s">
        <v>366</v>
      </c>
      <c r="H24" s="0" t="n">
        <f aca="false">ROUNDUP(F24/32,0)</f>
        <v>32</v>
      </c>
      <c r="I24" s="0" t="s">
        <v>373</v>
      </c>
    </row>
    <row r="25" customFormat="false" ht="15" hidden="false" customHeight="false" outlineLevel="0" collapsed="false">
      <c r="A25" s="0" t="s">
        <v>374</v>
      </c>
      <c r="B25" s="0" t="s">
        <v>360</v>
      </c>
      <c r="C25" s="0" t="n">
        <v>7028.37</v>
      </c>
      <c r="D25" s="0" t="n">
        <f aca="false">Inputs!$B$5</f>
        <v>0.06</v>
      </c>
      <c r="E25" s="0" t="n">
        <f aca="false">C25*D25</f>
        <v>421.7022</v>
      </c>
      <c r="F25" s="0" t="n">
        <f aca="false">C25+E25</f>
        <v>7450.0722</v>
      </c>
      <c r="G25" s="0" t="s">
        <v>366</v>
      </c>
      <c r="H25" s="0" t="n">
        <f aca="false">ROUNDUP(F25/32,0)</f>
        <v>233</v>
      </c>
      <c r="I25" s="0" t="s">
        <v>375</v>
      </c>
    </row>
    <row r="26" customFormat="false" ht="15" hidden="false" customHeight="false" outlineLevel="0" collapsed="false">
      <c r="A26" s="0" t="s">
        <v>376</v>
      </c>
      <c r="B26" s="0" t="s">
        <v>321</v>
      </c>
      <c r="C26" s="0" t="n">
        <v>971.63</v>
      </c>
      <c r="D26" s="0" t="n">
        <f aca="false">Inputs!$B$5</f>
        <v>0.06</v>
      </c>
      <c r="E26" s="0" t="n">
        <f aca="false">C26*D26</f>
        <v>58.2978</v>
      </c>
      <c r="F26" s="0" t="n">
        <f aca="false">C26+E26</f>
        <v>1029.9278</v>
      </c>
      <c r="G26" s="0" t="s">
        <v>377</v>
      </c>
      <c r="H26" s="0" t="n">
        <f aca="false">ROUNDUP(F26/8,0)</f>
        <v>129</v>
      </c>
      <c r="I26" s="0" t="s">
        <v>378</v>
      </c>
    </row>
    <row r="27" customFormat="false" ht="15" hidden="false" customHeight="false" outlineLevel="0" collapsed="false">
      <c r="A27" s="0" t="s">
        <v>379</v>
      </c>
      <c r="B27" s="0" t="s">
        <v>321</v>
      </c>
      <c r="C27" s="0" t="n">
        <v>626.92</v>
      </c>
      <c r="D27" s="0" t="n">
        <f aca="false">Inputs!$B$4</f>
        <v>0.15</v>
      </c>
      <c r="E27" s="0" t="n">
        <f aca="false">C27*D27</f>
        <v>94.038</v>
      </c>
      <c r="F27" s="0" t="n">
        <f aca="false">C27+E27</f>
        <v>720.958</v>
      </c>
      <c r="G27" s="0" t="s">
        <v>332</v>
      </c>
      <c r="H27" s="0" t="n">
        <f aca="false">ROUNDUP(ROUNDUP(F27/2,0)/MAX(1,INT(10/2)),0)</f>
        <v>73</v>
      </c>
      <c r="I27" s="0" t="s">
        <v>380</v>
      </c>
    </row>
    <row r="28" customFormat="false" ht="15" hidden="false" customHeight="false" outlineLevel="0" collapsed="false">
      <c r="A28" s="0" t="s">
        <v>381</v>
      </c>
      <c r="B28" s="0" t="s">
        <v>321</v>
      </c>
      <c r="C28" s="0" t="n">
        <v>1180.36</v>
      </c>
      <c r="D28" s="0" t="n">
        <f aca="false">Inputs!$B$4</f>
        <v>0.15</v>
      </c>
      <c r="E28" s="0" t="n">
        <f aca="false">C28*D28</f>
        <v>177.054</v>
      </c>
      <c r="F28" s="0" t="n">
        <f aca="false">C28+E28</f>
        <v>1357.414</v>
      </c>
      <c r="G28" s="0" t="s">
        <v>332</v>
      </c>
      <c r="H28" s="0" t="n">
        <f aca="false">ROUNDUP(F28/10,0)</f>
        <v>136</v>
      </c>
      <c r="I28" s="0" t="s">
        <v>382</v>
      </c>
    </row>
    <row r="29" customFormat="false" ht="15" hidden="false" customHeight="false" outlineLevel="0" collapsed="false">
      <c r="A29" s="0" t="s">
        <v>383</v>
      </c>
      <c r="B29" s="0" t="s">
        <v>360</v>
      </c>
      <c r="C29" s="0" t="n">
        <v>33.47</v>
      </c>
      <c r="D29" s="0" t="n">
        <f aca="false">Inputs!$B$5</f>
        <v>0.06</v>
      </c>
      <c r="E29" s="0" t="n">
        <f aca="false">C29*D29</f>
        <v>2.0082</v>
      </c>
      <c r="F29" s="0" t="n">
        <f aca="false">C29+E29</f>
        <v>35.4782</v>
      </c>
      <c r="G29" s="0" t="s">
        <v>384</v>
      </c>
      <c r="H29" s="0" t="n">
        <f aca="false">ROUNDUP(F29/15,0)</f>
        <v>3</v>
      </c>
      <c r="I29" s="0" t="s">
        <v>385</v>
      </c>
    </row>
    <row r="30" customFormat="false" ht="15" hidden="false" customHeight="false" outlineLevel="0" collapsed="false">
      <c r="A30" s="0" t="s">
        <v>386</v>
      </c>
      <c r="B30" s="0" t="s">
        <v>360</v>
      </c>
      <c r="C30" s="0" t="n">
        <v>350.67</v>
      </c>
      <c r="D30" s="0" t="n">
        <f aca="false">Inputs!$B$5</f>
        <v>0.06</v>
      </c>
      <c r="E30" s="0" t="n">
        <f aca="false">C30*D30</f>
        <v>21.0402</v>
      </c>
      <c r="F30" s="0" t="n">
        <f aca="false">C30+E30</f>
        <v>371.7102</v>
      </c>
      <c r="G30" s="0" t="s">
        <v>366</v>
      </c>
      <c r="H30" s="0" t="n">
        <f aca="false">ROUNDUP(F30/32,0)</f>
        <v>12</v>
      </c>
      <c r="I30" s="0" t="s">
        <v>387</v>
      </c>
    </row>
    <row r="31" customFormat="false" ht="15" hidden="false" customHeight="false" outlineLevel="0" collapsed="false">
      <c r="A31" s="0" t="s">
        <v>388</v>
      </c>
      <c r="B31" s="0" t="s">
        <v>321</v>
      </c>
      <c r="C31" s="0" t="n">
        <v>1294.38</v>
      </c>
      <c r="D31" s="0" t="n">
        <f aca="false">Inputs!$B$5</f>
        <v>0.06</v>
      </c>
      <c r="E31" s="0" t="n">
        <f aca="false">C31*D31</f>
        <v>77.6628</v>
      </c>
      <c r="F31" s="0" t="n">
        <f aca="false">C31+E31</f>
        <v>1372.0428</v>
      </c>
      <c r="G31" s="0" t="s">
        <v>389</v>
      </c>
      <c r="H31" s="0" t="n">
        <f aca="false">ROUNDUP(F31,0)</f>
        <v>1373</v>
      </c>
      <c r="I31" s="0" t="s">
        <v>390</v>
      </c>
    </row>
    <row r="32" customFormat="false" ht="15" hidden="false" customHeight="false" outlineLevel="0" collapsed="false">
      <c r="A32" s="0" t="s">
        <v>391</v>
      </c>
      <c r="B32" s="0" t="s">
        <v>321</v>
      </c>
      <c r="C32" s="0" t="n">
        <v>941.33</v>
      </c>
      <c r="D32" s="0" t="n">
        <f aca="false">Inputs!$B$4</f>
        <v>0.15</v>
      </c>
      <c r="E32" s="0" t="n">
        <f aca="false">C32*D32</f>
        <v>141.1995</v>
      </c>
      <c r="F32" s="0" t="n">
        <f aca="false">C32+E32</f>
        <v>1082.5295</v>
      </c>
      <c r="G32" s="0" t="s">
        <v>332</v>
      </c>
      <c r="H32" s="0" t="n">
        <f aca="false">ROUNDUP(F32/10,0)</f>
        <v>109</v>
      </c>
      <c r="I32" s="0" t="s">
        <v>392</v>
      </c>
    </row>
    <row r="33" customFormat="false" ht="15" hidden="false" customHeight="false" outlineLevel="0" collapsed="false">
      <c r="A33" s="0" t="s">
        <v>393</v>
      </c>
      <c r="B33" s="0" t="s">
        <v>321</v>
      </c>
      <c r="C33" s="0" t="n">
        <v>56</v>
      </c>
      <c r="D33" s="0" t="n">
        <f aca="false">Inputs!$B$4</f>
        <v>0.15</v>
      </c>
      <c r="E33" s="0" t="n">
        <f aca="false">C33*D33</f>
        <v>8.4</v>
      </c>
      <c r="F33" s="0" t="n">
        <f aca="false">C33+E33</f>
        <v>64.4</v>
      </c>
      <c r="G33" s="0" t="s">
        <v>394</v>
      </c>
      <c r="H33" s="0" t="n">
        <f aca="false">ROUNDUP(F33/10,0)</f>
        <v>7</v>
      </c>
      <c r="I33" s="0" t="s">
        <v>395</v>
      </c>
    </row>
    <row r="34" customFormat="false" ht="15" hidden="false" customHeight="false" outlineLevel="0" collapsed="false">
      <c r="A34" s="0" t="s">
        <v>396</v>
      </c>
      <c r="B34" s="0" t="s">
        <v>356</v>
      </c>
      <c r="C34" s="0" t="n">
        <v>35</v>
      </c>
      <c r="D34" s="0" t="n">
        <v>0</v>
      </c>
      <c r="E34" s="0" t="n">
        <f aca="false">C34*D34</f>
        <v>0</v>
      </c>
      <c r="F34" s="0" t="n">
        <f aca="false">C34+E34</f>
        <v>35</v>
      </c>
      <c r="G34" s="0" t="s">
        <v>357</v>
      </c>
      <c r="H34" s="0" t="n">
        <f aca="false">ROUNDUP(F34,0)</f>
        <v>35</v>
      </c>
      <c r="I34" s="0" t="s">
        <v>397</v>
      </c>
    </row>
    <row r="35" customFormat="false" ht="15" hidden="false" customHeight="false" outlineLevel="0" collapsed="false">
      <c r="A35" s="0" t="s">
        <v>398</v>
      </c>
      <c r="B35" s="0" t="s">
        <v>321</v>
      </c>
      <c r="C35" s="0" t="n">
        <v>18</v>
      </c>
      <c r="D35" s="0" t="n">
        <f aca="false">Inputs!$B$4</f>
        <v>0.15</v>
      </c>
      <c r="E35" s="0" t="n">
        <f aca="false">C35*D35</f>
        <v>2.7</v>
      </c>
      <c r="F35" s="0" t="n">
        <f aca="false">C35+E35</f>
        <v>20.7</v>
      </c>
      <c r="G35" s="0" t="s">
        <v>322</v>
      </c>
      <c r="H35" s="0" t="n">
        <f aca="false">ROUNDUP(ROUNDUP(F35/20,0)/MAX(1,INT(20/20)),0)</f>
        <v>2</v>
      </c>
      <c r="I35" s="0" t="s">
        <v>399</v>
      </c>
    </row>
    <row r="36" customFormat="false" ht="15" hidden="false" customHeight="false" outlineLevel="0" collapsed="false">
      <c r="A36" s="0" t="s">
        <v>400</v>
      </c>
      <c r="B36" s="0" t="s">
        <v>321</v>
      </c>
      <c r="C36" s="0" t="n">
        <v>10.43</v>
      </c>
      <c r="D36" s="0" t="n">
        <f aca="false">Inputs!$B$4</f>
        <v>0.15</v>
      </c>
      <c r="E36" s="0" t="n">
        <f aca="false">C36*D36</f>
        <v>1.5645</v>
      </c>
      <c r="F36" s="0" t="n">
        <f aca="false">C36+E36</f>
        <v>11.9945</v>
      </c>
      <c r="G36" s="0" t="s">
        <v>322</v>
      </c>
      <c r="H36" s="0" t="n">
        <f aca="false">ROUNDUP(F36/20,0)</f>
        <v>1</v>
      </c>
      <c r="I36" s="0" t="s">
        <v>401</v>
      </c>
    </row>
    <row r="37" customFormat="false" ht="15" hidden="false" customHeight="false" outlineLevel="0" collapsed="false">
      <c r="A37" s="0" t="s">
        <v>402</v>
      </c>
      <c r="B37" s="0" t="s">
        <v>360</v>
      </c>
      <c r="C37" s="0" t="n">
        <v>91.17</v>
      </c>
      <c r="D37" s="0" t="n">
        <f aca="false">Inputs!$B$5</f>
        <v>0.06</v>
      </c>
      <c r="E37" s="0" t="n">
        <f aca="false">C37*D37</f>
        <v>5.4702</v>
      </c>
      <c r="F37" s="0" t="n">
        <f aca="false">C37+E37</f>
        <v>96.6402</v>
      </c>
      <c r="G37" s="0" t="s">
        <v>403</v>
      </c>
      <c r="H37" s="0" t="n">
        <f aca="false">ROUNDUP(F37/48,0)</f>
        <v>3</v>
      </c>
      <c r="I37" s="0" t="s">
        <v>404</v>
      </c>
    </row>
    <row r="38" customFormat="false" ht="15" hidden="false" customHeight="false" outlineLevel="0" collapsed="false">
      <c r="A38" s="0" t="s">
        <v>405</v>
      </c>
      <c r="B38" s="0" t="s">
        <v>321</v>
      </c>
      <c r="C38" s="0" t="n">
        <v>229.87</v>
      </c>
      <c r="D38" s="0" t="n">
        <f aca="false">Inputs!$B$5</f>
        <v>0.06</v>
      </c>
      <c r="E38" s="0" t="n">
        <f aca="false">C38*D38</f>
        <v>13.7922</v>
      </c>
      <c r="F38" s="0" t="n">
        <f aca="false">C38+E38</f>
        <v>243.6622</v>
      </c>
      <c r="G38" s="0" t="s">
        <v>406</v>
      </c>
      <c r="H38" s="0" t="n">
        <f aca="false">ROUNDUP(F38/10,0)</f>
        <v>25</v>
      </c>
      <c r="I38" s="0" t="s">
        <v>407</v>
      </c>
    </row>
    <row r="39" customFormat="false" ht="15" hidden="false" customHeight="false" outlineLevel="0" collapsed="false">
      <c r="A39" s="0" t="s">
        <v>408</v>
      </c>
      <c r="B39" s="0" t="s">
        <v>356</v>
      </c>
      <c r="C39" s="0" t="n">
        <v>296</v>
      </c>
      <c r="D39" s="0" t="n">
        <v>0</v>
      </c>
      <c r="E39" s="0" t="n">
        <f aca="false">C39*D39</f>
        <v>0</v>
      </c>
      <c r="F39" s="0" t="n">
        <f aca="false">C39+E39</f>
        <v>296</v>
      </c>
      <c r="G39" s="0" t="s">
        <v>357</v>
      </c>
      <c r="H39" s="0" t="n">
        <f aca="false">ROUNDUP(F39,0)</f>
        <v>296</v>
      </c>
      <c r="I39" s="0" t="s">
        <v>409</v>
      </c>
    </row>
    <row r="40" customFormat="false" ht="15" hidden="false" customHeight="false" outlineLevel="0" collapsed="false">
      <c r="A40" s="0" t="s">
        <v>410</v>
      </c>
      <c r="B40" s="0" t="s">
        <v>356</v>
      </c>
      <c r="C40" s="0" t="n">
        <v>1</v>
      </c>
      <c r="D40" s="0" t="n">
        <v>0</v>
      </c>
      <c r="E40" s="0" t="n">
        <f aca="false">C40*D40</f>
        <v>0</v>
      </c>
      <c r="F40" s="0" t="n">
        <f aca="false">C40+E40</f>
        <v>1</v>
      </c>
      <c r="G40" s="0" t="s">
        <v>357</v>
      </c>
      <c r="H40" s="0" t="n">
        <f aca="false">ROUNDUP(F40,0)</f>
        <v>1</v>
      </c>
      <c r="I40" s="0" t="s">
        <v>411</v>
      </c>
    </row>
    <row r="41" customFormat="false" ht="15" hidden="false" customHeight="false" outlineLevel="0" collapsed="false">
      <c r="A41" s="0" t="s">
        <v>412</v>
      </c>
      <c r="B41" s="0" t="s">
        <v>356</v>
      </c>
      <c r="C41" s="0" t="n">
        <v>21757.74</v>
      </c>
      <c r="D41" s="0" t="n">
        <v>0</v>
      </c>
      <c r="E41" s="0" t="n">
        <f aca="false">C41*D41</f>
        <v>0</v>
      </c>
      <c r="F41" s="0" t="n">
        <f aca="false">C41+E41</f>
        <v>21757.74</v>
      </c>
      <c r="G41" s="0" t="s">
        <v>357</v>
      </c>
      <c r="H41" s="0" t="n">
        <f aca="false">ROUNDUP(F41,0)</f>
        <v>21758</v>
      </c>
      <c r="I41" s="0" t="s">
        <v>413</v>
      </c>
    </row>
    <row r="42" customFormat="false" ht="15" hidden="false" customHeight="false" outlineLevel="0" collapsed="false">
      <c r="A42" s="0" t="s">
        <v>414</v>
      </c>
      <c r="B42" s="0" t="s">
        <v>356</v>
      </c>
      <c r="C42" s="0" t="n">
        <v>6892</v>
      </c>
      <c r="D42" s="0" t="n">
        <v>0</v>
      </c>
      <c r="E42" s="0" t="n">
        <f aca="false">C42*D42</f>
        <v>0</v>
      </c>
      <c r="F42" s="0" t="n">
        <f aca="false">C42+E42</f>
        <v>6892</v>
      </c>
      <c r="G42" s="0" t="s">
        <v>357</v>
      </c>
      <c r="H42" s="0" t="n">
        <f aca="false">ROUNDUP(F42,0)</f>
        <v>6892</v>
      </c>
      <c r="I42" s="0" t="s">
        <v>415</v>
      </c>
    </row>
    <row r="43" customFormat="false" ht="15" hidden="false" customHeight="false" outlineLevel="0" collapsed="false">
      <c r="A43" s="0" t="s">
        <v>416</v>
      </c>
      <c r="B43" s="0" t="s">
        <v>356</v>
      </c>
      <c r="C43" s="0" t="n">
        <v>480.87</v>
      </c>
      <c r="D43" s="0" t="n">
        <v>0</v>
      </c>
      <c r="E43" s="0" t="n">
        <f aca="false">C43*D43</f>
        <v>0</v>
      </c>
      <c r="F43" s="0" t="n">
        <f aca="false">C43+E43</f>
        <v>480.87</v>
      </c>
      <c r="G43" s="0" t="s">
        <v>357</v>
      </c>
      <c r="H43" s="0" t="n">
        <f aca="false">ROUNDUP(F43,0)</f>
        <v>481</v>
      </c>
      <c r="I43" s="0" t="s">
        <v>417</v>
      </c>
    </row>
    <row r="44" customFormat="false" ht="15" hidden="false" customHeight="false" outlineLevel="0" collapsed="false">
      <c r="A44" s="0" t="s">
        <v>418</v>
      </c>
      <c r="B44" s="0" t="s">
        <v>356</v>
      </c>
      <c r="C44" s="0" t="n">
        <v>351.2</v>
      </c>
      <c r="D44" s="0" t="n">
        <v>0</v>
      </c>
      <c r="E44" s="0" t="n">
        <f aca="false">C44*D44</f>
        <v>0</v>
      </c>
      <c r="F44" s="0" t="n">
        <f aca="false">C44+E44</f>
        <v>351.2</v>
      </c>
      <c r="G44" s="0" t="s">
        <v>357</v>
      </c>
      <c r="H44" s="0" t="n">
        <f aca="false">ROUNDUP(F44,0)</f>
        <v>352</v>
      </c>
      <c r="I44" s="0" t="s">
        <v>419</v>
      </c>
    </row>
    <row r="45" customFormat="false" ht="15" hidden="false" customHeight="false" outlineLevel="0" collapsed="false">
      <c r="A45" s="0" t="s">
        <v>420</v>
      </c>
      <c r="B45" s="0" t="s">
        <v>421</v>
      </c>
      <c r="C45" s="0" t="n">
        <v>1305.46</v>
      </c>
      <c r="D45" s="0" t="n">
        <v>0</v>
      </c>
      <c r="E45" s="0" t="n">
        <f aca="false">C45*D45</f>
        <v>0</v>
      </c>
      <c r="F45" s="0" t="n">
        <f aca="false">C45+E45</f>
        <v>1305.46</v>
      </c>
      <c r="G45" s="0" t="s">
        <v>422</v>
      </c>
      <c r="H45" s="0" t="n">
        <f aca="false">ROUNDUP(F45,0)</f>
        <v>1306</v>
      </c>
      <c r="I45" s="0" t="s">
        <v>423</v>
      </c>
    </row>
    <row r="46" customFormat="false" ht="15" hidden="false" customHeight="false" outlineLevel="0" collapsed="false">
      <c r="A46" s="0" t="s">
        <v>424</v>
      </c>
      <c r="B46" s="0" t="s">
        <v>321</v>
      </c>
      <c r="C46" s="0" t="n">
        <v>6708.64</v>
      </c>
      <c r="D46" s="0" t="n">
        <v>0</v>
      </c>
      <c r="E46" s="0" t="n">
        <f aca="false">C46*D46</f>
        <v>0</v>
      </c>
      <c r="F46" s="0" t="n">
        <f aca="false">C46+E46</f>
        <v>6708.64</v>
      </c>
      <c r="G46" s="0" t="s">
        <v>321</v>
      </c>
      <c r="H46" s="0" t="n">
        <f aca="false">ROUNDUP(F46,0)</f>
        <v>6709</v>
      </c>
      <c r="I46" s="0" t="s">
        <v>425</v>
      </c>
    </row>
    <row r="47" customFormat="false" ht="15" hidden="false" customHeight="false" outlineLevel="0" collapsed="false">
      <c r="A47" s="0" t="s">
        <v>426</v>
      </c>
      <c r="B47" s="0" t="s">
        <v>360</v>
      </c>
      <c r="C47" s="0" t="n">
        <v>803.98</v>
      </c>
      <c r="D47" s="0" t="n">
        <f aca="false">Inputs!$B$5</f>
        <v>0.06</v>
      </c>
      <c r="E47" s="0" t="n">
        <f aca="false">C47*D47</f>
        <v>48.2388</v>
      </c>
      <c r="F47" s="0" t="n">
        <f aca="false">C47+E47</f>
        <v>852.2188</v>
      </c>
      <c r="G47" s="0" t="s">
        <v>360</v>
      </c>
      <c r="H47" s="0" t="n">
        <f aca="false">ROUNDUP(F47,0)</f>
        <v>853</v>
      </c>
      <c r="I47" s="0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428</v>
      </c>
      <c r="B1" s="4" t="s">
        <v>429</v>
      </c>
      <c r="C1" s="4" t="s">
        <v>430</v>
      </c>
    </row>
    <row r="2" customFormat="false" ht="15" hidden="false" customHeight="false" outlineLevel="0" collapsed="false">
      <c r="A2" s="0" t="s">
        <v>431</v>
      </c>
      <c r="B2" s="0" t="s">
        <v>432</v>
      </c>
      <c r="C2" s="0" t="s">
        <v>433</v>
      </c>
    </row>
    <row r="3" customFormat="false" ht="15" hidden="false" customHeight="false" outlineLevel="0" collapsed="false">
      <c r="A3" s="0" t="s">
        <v>434</v>
      </c>
      <c r="B3" s="0" t="s">
        <v>435</v>
      </c>
      <c r="C3" s="0" t="s">
        <v>436</v>
      </c>
    </row>
    <row r="4" customFormat="false" ht="15" hidden="false" customHeight="false" outlineLevel="0" collapsed="false">
      <c r="A4" s="0" t="s">
        <v>437</v>
      </c>
      <c r="B4" s="0" t="s">
        <v>438</v>
      </c>
      <c r="C4" s="0" t="s">
        <v>439</v>
      </c>
    </row>
    <row r="5" customFormat="false" ht="15" hidden="false" customHeight="false" outlineLevel="0" collapsed="false">
      <c r="A5" s="0" t="s">
        <v>440</v>
      </c>
      <c r="B5" s="0" t="s">
        <v>441</v>
      </c>
      <c r="C5" s="0" t="s">
        <v>442</v>
      </c>
    </row>
    <row r="6" customFormat="false" ht="15" hidden="false" customHeight="false" outlineLevel="0" collapsed="false">
      <c r="A6" s="0" t="s">
        <v>443</v>
      </c>
      <c r="B6" s="0" t="s">
        <v>444</v>
      </c>
      <c r="C6" s="0" t="s">
        <v>445</v>
      </c>
    </row>
    <row r="7" customFormat="false" ht="15" hidden="false" customHeight="false" outlineLevel="0" collapsed="false">
      <c r="A7" s="0" t="s">
        <v>446</v>
      </c>
      <c r="B7" s="0" t="s">
        <v>447</v>
      </c>
      <c r="C7" s="0" t="s">
        <v>448</v>
      </c>
    </row>
    <row r="8" customFormat="false" ht="15" hidden="false" customHeight="false" outlineLevel="0" collapsed="false">
      <c r="A8" s="0" t="s">
        <v>449</v>
      </c>
      <c r="B8" s="0" t="s">
        <v>450</v>
      </c>
      <c r="C8" s="0" t="s">
        <v>451</v>
      </c>
    </row>
    <row r="9" customFormat="false" ht="15" hidden="false" customHeight="false" outlineLevel="0" collapsed="false">
      <c r="A9" s="0" t="s">
        <v>452</v>
      </c>
      <c r="B9" s="0" t="s">
        <v>453</v>
      </c>
      <c r="C9" s="0" t="s">
        <v>454</v>
      </c>
    </row>
    <row r="10" customFormat="false" ht="15" hidden="false" customHeight="false" outlineLevel="0" collapsed="false">
      <c r="A10" s="0" t="s">
        <v>455</v>
      </c>
      <c r="B10" s="0" t="s">
        <v>456</v>
      </c>
      <c r="C10" s="0" t="s">
        <v>457</v>
      </c>
    </row>
    <row r="11" customFormat="false" ht="15" hidden="false" customHeight="false" outlineLevel="0" collapsed="false">
      <c r="A11" s="0" t="s">
        <v>458</v>
      </c>
      <c r="B11" s="0" t="s">
        <v>459</v>
      </c>
      <c r="C11" s="0" t="s">
        <v>460</v>
      </c>
    </row>
    <row r="12" customFormat="false" ht="15" hidden="false" customHeight="false" outlineLevel="0" collapsed="false">
      <c r="A12" s="0" t="s">
        <v>461</v>
      </c>
      <c r="B12" s="0" t="s">
        <v>462</v>
      </c>
      <c r="C12" s="0" t="s">
        <v>463</v>
      </c>
    </row>
    <row r="13" customFormat="false" ht="15" hidden="false" customHeight="false" outlineLevel="0" collapsed="false">
      <c r="A13" s="0" t="s">
        <v>464</v>
      </c>
      <c r="B13" s="0" t="s">
        <v>465</v>
      </c>
      <c r="C13" s="0" t="s">
        <v>466</v>
      </c>
    </row>
    <row r="14" customFormat="false" ht="15" hidden="false" customHeight="false" outlineLevel="0" collapsed="false">
      <c r="A14" s="0" t="s">
        <v>467</v>
      </c>
      <c r="B14" s="0" t="s">
        <v>468</v>
      </c>
      <c r="C14" s="0" t="s">
        <v>469</v>
      </c>
    </row>
    <row r="15" customFormat="false" ht="15" hidden="false" customHeight="false" outlineLevel="0" collapsed="false">
      <c r="A15" s="0" t="s">
        <v>470</v>
      </c>
      <c r="B15" s="0" t="s">
        <v>471</v>
      </c>
      <c r="C15" s="0" t="s">
        <v>472</v>
      </c>
    </row>
    <row r="16" customFormat="false" ht="15" hidden="false" customHeight="false" outlineLevel="0" collapsed="false">
      <c r="A16" s="0" t="s">
        <v>473</v>
      </c>
      <c r="B16" s="0" t="s">
        <v>474</v>
      </c>
      <c r="C16" s="0" t="s">
        <v>475</v>
      </c>
    </row>
    <row r="17" customFormat="false" ht="15" hidden="false" customHeight="false" outlineLevel="0" collapsed="false">
      <c r="A17" s="0" t="s">
        <v>476</v>
      </c>
      <c r="B17" s="0" t="s">
        <v>477</v>
      </c>
      <c r="C17" s="0" t="s">
        <v>478</v>
      </c>
    </row>
    <row r="18" customFormat="false" ht="15" hidden="false" customHeight="false" outlineLevel="0" collapsed="false">
      <c r="A18" s="0" t="s">
        <v>479</v>
      </c>
      <c r="B18" s="0" t="s">
        <v>480</v>
      </c>
      <c r="C18" s="0" t="s">
        <v>481</v>
      </c>
    </row>
    <row r="19" customFormat="false" ht="15" hidden="false" customHeight="false" outlineLevel="0" collapsed="false">
      <c r="A19" s="0" t="s">
        <v>482</v>
      </c>
      <c r="B19" s="0" t="s">
        <v>483</v>
      </c>
      <c r="C19" s="0" t="s">
        <v>484</v>
      </c>
    </row>
    <row r="20" customFormat="false" ht="15" hidden="false" customHeight="false" outlineLevel="0" collapsed="false">
      <c r="A20" s="0" t="s">
        <v>485</v>
      </c>
      <c r="B20" s="0" t="s">
        <v>486</v>
      </c>
      <c r="C20" s="0" t="s">
        <v>487</v>
      </c>
    </row>
    <row r="21" customFormat="false" ht="15" hidden="false" customHeight="false" outlineLevel="0" collapsed="false">
      <c r="A21" s="0" t="s">
        <v>488</v>
      </c>
      <c r="B21" s="0" t="s">
        <v>489</v>
      </c>
      <c r="C21" s="0" t="s">
        <v>490</v>
      </c>
    </row>
    <row r="22" customFormat="false" ht="15" hidden="false" customHeight="false" outlineLevel="0" collapsed="false">
      <c r="A22" s="0" t="s">
        <v>491</v>
      </c>
      <c r="B22" s="0" t="s">
        <v>492</v>
      </c>
      <c r="C22" s="0" t="s">
        <v>493</v>
      </c>
    </row>
    <row r="23" customFormat="false" ht="15" hidden="false" customHeight="false" outlineLevel="0" collapsed="false">
      <c r="A23" s="0" t="s">
        <v>494</v>
      </c>
      <c r="B23" s="0" t="s">
        <v>495</v>
      </c>
      <c r="C23" s="0" t="s">
        <v>496</v>
      </c>
    </row>
    <row r="24" customFormat="false" ht="15" hidden="false" customHeight="false" outlineLevel="0" collapsed="false">
      <c r="A24" s="0" t="s">
        <v>497</v>
      </c>
      <c r="B24" s="0" t="s">
        <v>498</v>
      </c>
      <c r="C24" s="0" t="s">
        <v>499</v>
      </c>
    </row>
    <row r="25" customFormat="false" ht="15" hidden="false" customHeight="false" outlineLevel="0" collapsed="false">
      <c r="A25" s="0" t="s">
        <v>500</v>
      </c>
      <c r="B25" s="0" t="s">
        <v>501</v>
      </c>
      <c r="C25" s="0" t="s">
        <v>502</v>
      </c>
    </row>
    <row r="26" customFormat="false" ht="15" hidden="false" customHeight="false" outlineLevel="0" collapsed="false">
      <c r="A26" s="0" t="s">
        <v>503</v>
      </c>
      <c r="B26" s="0" t="s">
        <v>504</v>
      </c>
      <c r="C26" s="0" t="s">
        <v>505</v>
      </c>
    </row>
    <row r="27" customFormat="false" ht="15" hidden="false" customHeight="false" outlineLevel="0" collapsed="false">
      <c r="A27" s="0" t="s">
        <v>506</v>
      </c>
      <c r="B27" s="0" t="s">
        <v>507</v>
      </c>
      <c r="C27" s="0" t="s">
        <v>508</v>
      </c>
    </row>
    <row r="28" customFormat="false" ht="15" hidden="false" customHeight="false" outlineLevel="0" collapsed="false">
      <c r="A28" s="0" t="s">
        <v>509</v>
      </c>
      <c r="B28" s="0" t="s">
        <v>510</v>
      </c>
      <c r="C28" s="0" t="s">
        <v>511</v>
      </c>
    </row>
    <row r="29" customFormat="false" ht="15" hidden="false" customHeight="false" outlineLevel="0" collapsed="false">
      <c r="A29" s="0" t="s">
        <v>512</v>
      </c>
      <c r="B29" s="0" t="s">
        <v>513</v>
      </c>
      <c r="C29" s="0" t="s">
        <v>514</v>
      </c>
    </row>
    <row r="30" customFormat="false" ht="15" hidden="false" customHeight="false" outlineLevel="0" collapsed="false">
      <c r="A30" s="0" t="s">
        <v>515</v>
      </c>
      <c r="B30" s="0" t="s">
        <v>516</v>
      </c>
      <c r="C30" s="0" t="s">
        <v>517</v>
      </c>
    </row>
    <row r="31" customFormat="false" ht="15" hidden="false" customHeight="false" outlineLevel="0" collapsed="false">
      <c r="A31" s="0" t="s">
        <v>518</v>
      </c>
      <c r="B31" s="0" t="s">
        <v>519</v>
      </c>
      <c r="C31" s="0" t="s">
        <v>520</v>
      </c>
    </row>
    <row r="32" customFormat="false" ht="15" hidden="false" customHeight="false" outlineLevel="0" collapsed="false">
      <c r="A32" s="0" t="s">
        <v>521</v>
      </c>
      <c r="B32" s="0" t="s">
        <v>522</v>
      </c>
      <c r="C32" s="0" t="s">
        <v>523</v>
      </c>
    </row>
    <row r="33" customFormat="false" ht="15" hidden="false" customHeight="false" outlineLevel="0" collapsed="false">
      <c r="A33" s="0" t="s">
        <v>524</v>
      </c>
      <c r="B33" s="0" t="s">
        <v>525</v>
      </c>
      <c r="C33" s="0" t="s">
        <v>526</v>
      </c>
    </row>
    <row r="34" customFormat="false" ht="15" hidden="false" customHeight="false" outlineLevel="0" collapsed="false">
      <c r="A34" s="0" t="s">
        <v>527</v>
      </c>
      <c r="B34" s="0" t="s">
        <v>528</v>
      </c>
      <c r="C34" s="0" t="s">
        <v>529</v>
      </c>
    </row>
    <row r="35" customFormat="false" ht="15" hidden="false" customHeight="false" outlineLevel="0" collapsed="false">
      <c r="A35" s="0" t="s">
        <v>530</v>
      </c>
      <c r="B35" s="0" t="s">
        <v>531</v>
      </c>
      <c r="C35" s="0" t="s">
        <v>532</v>
      </c>
    </row>
    <row r="36" customFormat="false" ht="15" hidden="false" customHeight="false" outlineLevel="0" collapsed="false">
      <c r="A36" s="0" t="s">
        <v>533</v>
      </c>
      <c r="B36" s="0" t="s">
        <v>534</v>
      </c>
      <c r="C36" s="0" t="s">
        <v>535</v>
      </c>
    </row>
    <row r="37" customFormat="false" ht="15" hidden="false" customHeight="false" outlineLevel="0" collapsed="false">
      <c r="A37" s="0" t="s">
        <v>536</v>
      </c>
      <c r="B37" s="0" t="s">
        <v>537</v>
      </c>
      <c r="C37" s="0" t="s">
        <v>538</v>
      </c>
    </row>
    <row r="38" customFormat="false" ht="15" hidden="false" customHeight="false" outlineLevel="0" collapsed="false">
      <c r="A38" s="0" t="s">
        <v>539</v>
      </c>
      <c r="B38" s="0" t="s">
        <v>540</v>
      </c>
      <c r="C38" s="0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4"/>
  </cols>
  <sheetData>
    <row r="1" customFormat="false" ht="15" hidden="false" customHeight="false" outlineLevel="0" collapsed="false">
      <c r="A1" s="0" t="s">
        <v>542</v>
      </c>
      <c r="B1" s="0" t="s">
        <v>543</v>
      </c>
      <c r="C1" s="0" t="s">
        <v>544</v>
      </c>
      <c r="D1" s="0" t="s">
        <v>545</v>
      </c>
    </row>
    <row r="2" customFormat="false" ht="15" hidden="false" customHeight="false" outlineLevel="0" collapsed="false">
      <c r="A2" s="0" t="n">
        <v>1</v>
      </c>
      <c r="B2" s="0" t="s">
        <v>546</v>
      </c>
      <c r="C2" s="0" t="s">
        <v>547</v>
      </c>
      <c r="D2" s="0" t="s">
        <v>548</v>
      </c>
    </row>
    <row r="3" customFormat="false" ht="15" hidden="false" customHeight="false" outlineLevel="0" collapsed="false">
      <c r="A3" s="0" t="n">
        <v>2</v>
      </c>
      <c r="B3" s="0" t="s">
        <v>549</v>
      </c>
      <c r="C3" s="0" t="s">
        <v>33</v>
      </c>
      <c r="D3" s="0" t="s">
        <v>548</v>
      </c>
    </row>
    <row r="4" customFormat="false" ht="15" hidden="false" customHeight="false" outlineLevel="0" collapsed="false">
      <c r="A4" s="0" t="n">
        <v>3</v>
      </c>
      <c r="B4" s="0" t="s">
        <v>550</v>
      </c>
      <c r="C4" s="0" t="s">
        <v>547</v>
      </c>
      <c r="D4" s="0" t="s">
        <v>548</v>
      </c>
    </row>
    <row r="5" customFormat="false" ht="15" hidden="false" customHeight="false" outlineLevel="0" collapsed="false">
      <c r="A5" s="0" t="n">
        <v>4</v>
      </c>
      <c r="B5" s="0" t="s">
        <v>551</v>
      </c>
      <c r="C5" s="0" t="s">
        <v>547</v>
      </c>
      <c r="D5" s="0" t="s">
        <v>548</v>
      </c>
    </row>
    <row r="6" customFormat="false" ht="15" hidden="false" customHeight="false" outlineLevel="0" collapsed="false">
      <c r="A6" s="0" t="n">
        <v>5</v>
      </c>
      <c r="B6" s="0" t="s">
        <v>552</v>
      </c>
      <c r="C6" s="0" t="s">
        <v>547</v>
      </c>
      <c r="D6" s="0" t="s">
        <v>548</v>
      </c>
    </row>
    <row r="7" customFormat="false" ht="15" hidden="false" customHeight="false" outlineLevel="0" collapsed="false">
      <c r="A7" s="0" t="n">
        <v>6</v>
      </c>
      <c r="B7" s="0" t="s">
        <v>553</v>
      </c>
      <c r="C7" s="0" t="s">
        <v>547</v>
      </c>
      <c r="D7" s="0" t="s">
        <v>548</v>
      </c>
    </row>
    <row r="8" customFormat="false" ht="15" hidden="false" customHeight="false" outlineLevel="0" collapsed="false">
      <c r="A8" s="0" t="n">
        <v>7</v>
      </c>
      <c r="B8" s="0" t="s">
        <v>554</v>
      </c>
      <c r="C8" s="0" t="s">
        <v>547</v>
      </c>
      <c r="D8" s="0" t="s">
        <v>548</v>
      </c>
    </row>
    <row r="9" customFormat="false" ht="15" hidden="false" customHeight="false" outlineLevel="0" collapsed="false">
      <c r="A9" s="0" t="n">
        <v>8</v>
      </c>
      <c r="B9" s="0" t="s">
        <v>555</v>
      </c>
      <c r="C9" s="0" t="s">
        <v>547</v>
      </c>
      <c r="D9" s="0" t="s">
        <v>548</v>
      </c>
    </row>
    <row r="10" customFormat="false" ht="15" hidden="false" customHeight="false" outlineLevel="0" collapsed="false">
      <c r="A10" s="0" t="n">
        <v>9</v>
      </c>
      <c r="B10" s="0" t="s">
        <v>556</v>
      </c>
      <c r="C10" s="0" t="s">
        <v>547</v>
      </c>
      <c r="D10" s="0" t="s">
        <v>548</v>
      </c>
    </row>
    <row r="11" customFormat="false" ht="15" hidden="false" customHeight="false" outlineLevel="0" collapsed="false">
      <c r="A11" s="0" t="n">
        <v>10</v>
      </c>
      <c r="B11" s="0" t="s">
        <v>557</v>
      </c>
      <c r="C11" s="0" t="s">
        <v>547</v>
      </c>
      <c r="D11" s="0" t="s">
        <v>548</v>
      </c>
    </row>
    <row r="12" customFormat="false" ht="15" hidden="false" customHeight="false" outlineLevel="0" collapsed="false">
      <c r="A12" s="0" t="n">
        <v>11</v>
      </c>
      <c r="B12" s="0" t="s">
        <v>558</v>
      </c>
      <c r="C12" s="0" t="s">
        <v>547</v>
      </c>
      <c r="D12" s="0" t="s">
        <v>548</v>
      </c>
    </row>
    <row r="13" customFormat="false" ht="15" hidden="false" customHeight="false" outlineLevel="0" collapsed="false">
      <c r="A13" s="0" t="n">
        <v>12</v>
      </c>
      <c r="B13" s="0" t="s">
        <v>559</v>
      </c>
      <c r="C13" s="0" t="s">
        <v>547</v>
      </c>
      <c r="D13" s="0" t="s">
        <v>548</v>
      </c>
    </row>
    <row r="14" customFormat="false" ht="15" hidden="false" customHeight="false" outlineLevel="0" collapsed="false">
      <c r="A14" s="0" t="n">
        <v>13</v>
      </c>
      <c r="B14" s="0" t="s">
        <v>560</v>
      </c>
      <c r="C14" s="0" t="s">
        <v>547</v>
      </c>
      <c r="D14" s="0" t="s">
        <v>548</v>
      </c>
    </row>
    <row r="15" customFormat="false" ht="15" hidden="false" customHeight="false" outlineLevel="0" collapsed="false">
      <c r="A15" s="0" t="n">
        <v>14</v>
      </c>
      <c r="B15" s="0" t="s">
        <v>561</v>
      </c>
      <c r="C15" s="0" t="s">
        <v>547</v>
      </c>
      <c r="D15" s="0" t="s">
        <v>548</v>
      </c>
    </row>
    <row r="16" customFormat="false" ht="15" hidden="false" customHeight="false" outlineLevel="0" collapsed="false">
      <c r="A16" s="0" t="n">
        <v>15</v>
      </c>
      <c r="B16" s="0" t="s">
        <v>562</v>
      </c>
      <c r="C16" s="0" t="s">
        <v>547</v>
      </c>
      <c r="D16" s="0" t="s">
        <v>548</v>
      </c>
    </row>
    <row r="17" customFormat="false" ht="15" hidden="false" customHeight="false" outlineLevel="0" collapsed="false">
      <c r="A17" s="0" t="n">
        <v>16</v>
      </c>
      <c r="B17" s="0" t="s">
        <v>563</v>
      </c>
      <c r="C17" s="0" t="s">
        <v>547</v>
      </c>
      <c r="D17" s="0" t="s">
        <v>548</v>
      </c>
    </row>
    <row r="18" customFormat="false" ht="15" hidden="false" customHeight="false" outlineLevel="0" collapsed="false">
      <c r="A18" s="0" t="n">
        <v>17</v>
      </c>
      <c r="B18" s="0" t="s">
        <v>564</v>
      </c>
      <c r="C18" s="0" t="s">
        <v>547</v>
      </c>
      <c r="D18" s="0" t="s">
        <v>548</v>
      </c>
    </row>
    <row r="19" customFormat="false" ht="15" hidden="false" customHeight="false" outlineLevel="0" collapsed="false">
      <c r="A19" s="0" t="n">
        <v>18</v>
      </c>
      <c r="B19" s="0" t="s">
        <v>565</v>
      </c>
      <c r="C19" s="0" t="s">
        <v>547</v>
      </c>
      <c r="D19" s="0" t="s">
        <v>548</v>
      </c>
    </row>
    <row r="20" customFormat="false" ht="15" hidden="false" customHeight="false" outlineLevel="0" collapsed="false">
      <c r="A20" s="0" t="n">
        <v>19</v>
      </c>
      <c r="B20" s="0" t="s">
        <v>566</v>
      </c>
      <c r="C20" s="0" t="s">
        <v>547</v>
      </c>
      <c r="D20" s="0" t="s">
        <v>548</v>
      </c>
    </row>
    <row r="21" customFormat="false" ht="15" hidden="false" customHeight="false" outlineLevel="0" collapsed="false">
      <c r="A21" s="0" t="n">
        <v>20</v>
      </c>
      <c r="B21" s="0" t="s">
        <v>567</v>
      </c>
      <c r="C21" s="0" t="s">
        <v>547</v>
      </c>
      <c r="D21" s="0" t="s">
        <v>548</v>
      </c>
    </row>
    <row r="22" customFormat="false" ht="15" hidden="false" customHeight="false" outlineLevel="0" collapsed="false">
      <c r="A22" s="0" t="n">
        <v>21</v>
      </c>
      <c r="B22" s="0" t="s">
        <v>568</v>
      </c>
      <c r="C22" s="0" t="s">
        <v>547</v>
      </c>
      <c r="D22" s="0" t="s">
        <v>548</v>
      </c>
    </row>
    <row r="23" customFormat="false" ht="15" hidden="false" customHeight="false" outlineLevel="0" collapsed="false">
      <c r="A23" s="0" t="n">
        <v>22</v>
      </c>
      <c r="B23" s="0" t="s">
        <v>569</v>
      </c>
      <c r="C23" s="0" t="s">
        <v>547</v>
      </c>
      <c r="D23" s="0" t="s">
        <v>548</v>
      </c>
    </row>
    <row r="24" customFormat="false" ht="15" hidden="false" customHeight="false" outlineLevel="0" collapsed="false">
      <c r="A24" s="0" t="n">
        <v>23</v>
      </c>
      <c r="B24" s="0" t="s">
        <v>570</v>
      </c>
      <c r="C24" s="0" t="s">
        <v>547</v>
      </c>
      <c r="D24" s="0" t="s">
        <v>548</v>
      </c>
    </row>
    <row r="25" customFormat="false" ht="15" hidden="false" customHeight="false" outlineLevel="0" collapsed="false">
      <c r="A25" s="0" t="n">
        <v>24</v>
      </c>
      <c r="B25" s="0" t="s">
        <v>571</v>
      </c>
      <c r="C25" s="0" t="s">
        <v>547</v>
      </c>
      <c r="D25" s="0" t="s">
        <v>548</v>
      </c>
    </row>
    <row r="26" customFormat="false" ht="15" hidden="false" customHeight="false" outlineLevel="0" collapsed="false">
      <c r="A26" s="0" t="n">
        <v>25</v>
      </c>
      <c r="B26" s="0" t="s">
        <v>572</v>
      </c>
      <c r="C26" s="0" t="s">
        <v>547</v>
      </c>
      <c r="D26" s="0" t="s">
        <v>548</v>
      </c>
    </row>
    <row r="27" customFormat="false" ht="15" hidden="false" customHeight="false" outlineLevel="0" collapsed="false">
      <c r="A27" s="0" t="n">
        <v>26</v>
      </c>
      <c r="B27" s="0" t="s">
        <v>573</v>
      </c>
      <c r="C27" s="0" t="s">
        <v>547</v>
      </c>
      <c r="D27" s="0" t="s">
        <v>548</v>
      </c>
    </row>
    <row r="28" customFormat="false" ht="15" hidden="false" customHeight="false" outlineLevel="0" collapsed="false">
      <c r="A28" s="0" t="n">
        <v>27</v>
      </c>
      <c r="B28" s="0" t="s">
        <v>574</v>
      </c>
      <c r="C28" s="0" t="s">
        <v>547</v>
      </c>
      <c r="D28" s="0" t="s">
        <v>548</v>
      </c>
    </row>
    <row r="29" customFormat="false" ht="15" hidden="false" customHeight="false" outlineLevel="0" collapsed="false">
      <c r="A29" s="0" t="n">
        <v>28</v>
      </c>
      <c r="B29" s="0" t="s">
        <v>575</v>
      </c>
      <c r="C29" s="0" t="s">
        <v>198</v>
      </c>
      <c r="D29" s="0" t="s">
        <v>548</v>
      </c>
    </row>
    <row r="30" customFormat="false" ht="15" hidden="false" customHeight="false" outlineLevel="0" collapsed="false">
      <c r="A30" s="0" t="n">
        <v>29</v>
      </c>
      <c r="B30" s="0" t="s">
        <v>576</v>
      </c>
      <c r="C30" s="0" t="s">
        <v>547</v>
      </c>
      <c r="D30" s="0" t="s">
        <v>548</v>
      </c>
    </row>
    <row r="31" customFormat="false" ht="15" hidden="false" customHeight="false" outlineLevel="0" collapsed="false">
      <c r="A31" s="0" t="n">
        <v>30</v>
      </c>
      <c r="B31" s="0" t="s">
        <v>577</v>
      </c>
      <c r="C31" s="0" t="s">
        <v>547</v>
      </c>
      <c r="D31" s="0" t="s">
        <v>548</v>
      </c>
    </row>
    <row r="32" customFormat="false" ht="15" hidden="false" customHeight="false" outlineLevel="0" collapsed="false">
      <c r="A32" s="0" t="n">
        <v>31</v>
      </c>
      <c r="B32" s="0" t="s">
        <v>578</v>
      </c>
      <c r="C32" s="0" t="s">
        <v>547</v>
      </c>
      <c r="D32" s="0" t="s">
        <v>548</v>
      </c>
    </row>
    <row r="33" customFormat="false" ht="15" hidden="false" customHeight="false" outlineLevel="0" collapsed="false">
      <c r="A33" s="0" t="n">
        <v>32</v>
      </c>
      <c r="B33" s="0" t="s">
        <v>579</v>
      </c>
      <c r="C33" s="0" t="s">
        <v>547</v>
      </c>
      <c r="D33" s="0" t="s">
        <v>548</v>
      </c>
    </row>
    <row r="34" customFormat="false" ht="15" hidden="false" customHeight="false" outlineLevel="0" collapsed="false">
      <c r="A34" s="0" t="n">
        <v>33</v>
      </c>
      <c r="B34" s="0" t="s">
        <v>580</v>
      </c>
      <c r="C34" s="0" t="s">
        <v>547</v>
      </c>
      <c r="D34" s="0" t="s">
        <v>548</v>
      </c>
    </row>
    <row r="35" customFormat="false" ht="15" hidden="false" customHeight="false" outlineLevel="0" collapsed="false">
      <c r="A35" s="0" t="n">
        <v>34</v>
      </c>
      <c r="B35" s="0" t="s">
        <v>581</v>
      </c>
      <c r="C35" s="0" t="s">
        <v>547</v>
      </c>
      <c r="D35" s="0" t="s">
        <v>548</v>
      </c>
    </row>
    <row r="36" customFormat="false" ht="15" hidden="false" customHeight="false" outlineLevel="0" collapsed="false">
      <c r="A36" s="0" t="n">
        <v>35</v>
      </c>
      <c r="B36" s="0" t="s">
        <v>582</v>
      </c>
      <c r="C36" s="0" t="s">
        <v>547</v>
      </c>
      <c r="D36" s="0" t="s">
        <v>583</v>
      </c>
    </row>
    <row r="37" customFormat="false" ht="15" hidden="false" customHeight="false" outlineLevel="0" collapsed="false">
      <c r="A37" s="0" t="n">
        <v>36</v>
      </c>
      <c r="B37" s="0" t="s">
        <v>584</v>
      </c>
      <c r="C37" s="0" t="s">
        <v>547</v>
      </c>
      <c r="D37" s="0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586</v>
      </c>
      <c r="B1" s="0" t="s">
        <v>587</v>
      </c>
      <c r="C1" s="0" t="s">
        <v>588</v>
      </c>
      <c r="D1" s="0" t="s">
        <v>589</v>
      </c>
    </row>
    <row r="2" customFormat="false" ht="15" hidden="false" customHeight="false" outlineLevel="0" collapsed="false">
      <c r="A2" s="0" t="s">
        <v>590</v>
      </c>
      <c r="B2" s="0" t="s">
        <v>591</v>
      </c>
      <c r="C2" s="0" t="s">
        <v>592</v>
      </c>
      <c r="D2" s="0" t="s">
        <v>593</v>
      </c>
    </row>
    <row r="3" customFormat="false" ht="15" hidden="false" customHeight="false" outlineLevel="0" collapsed="false">
      <c r="A3" s="0" t="s">
        <v>594</v>
      </c>
      <c r="B3" s="0" t="s">
        <v>595</v>
      </c>
      <c r="C3" s="0" t="s">
        <v>592</v>
      </c>
      <c r="D3" s="0" t="s">
        <v>596</v>
      </c>
    </row>
    <row r="4" customFormat="false" ht="15" hidden="false" customHeight="false" outlineLevel="0" collapsed="false">
      <c r="A4" s="0" t="s">
        <v>597</v>
      </c>
      <c r="B4" s="0" t="s">
        <v>598</v>
      </c>
      <c r="C4" s="0" t="s">
        <v>592</v>
      </c>
      <c r="D4" s="0" t="s">
        <v>596</v>
      </c>
    </row>
    <row r="5" customFormat="false" ht="15" hidden="false" customHeight="false" outlineLevel="0" collapsed="false">
      <c r="A5" s="0" t="s">
        <v>599</v>
      </c>
      <c r="B5" s="0" t="s">
        <v>600</v>
      </c>
      <c r="C5" s="0" t="s">
        <v>592</v>
      </c>
      <c r="D5" s="0" t="s">
        <v>596</v>
      </c>
    </row>
    <row r="6" customFormat="false" ht="15" hidden="false" customHeight="false" outlineLevel="0" collapsed="false">
      <c r="A6" s="0" t="s">
        <v>601</v>
      </c>
      <c r="B6" s="0" t="s">
        <v>602</v>
      </c>
      <c r="C6" s="0" t="s">
        <v>592</v>
      </c>
      <c r="D6" s="0" t="s">
        <v>596</v>
      </c>
    </row>
    <row r="7" customFormat="false" ht="15" hidden="false" customHeight="false" outlineLevel="0" collapsed="false">
      <c r="A7" s="0" t="s">
        <v>603</v>
      </c>
      <c r="B7" s="0" t="s">
        <v>604</v>
      </c>
      <c r="C7" s="0" t="s">
        <v>592</v>
      </c>
      <c r="D7" s="0" t="s">
        <v>596</v>
      </c>
    </row>
    <row r="8" customFormat="false" ht="15" hidden="false" customHeight="false" outlineLevel="0" collapsed="false">
      <c r="A8" s="0" t="s">
        <v>605</v>
      </c>
      <c r="B8" s="0" t="s">
        <v>606</v>
      </c>
      <c r="C8" s="0" t="s">
        <v>592</v>
      </c>
      <c r="D8" s="0" t="s">
        <v>596</v>
      </c>
    </row>
    <row r="9" customFormat="false" ht="15" hidden="false" customHeight="false" outlineLevel="0" collapsed="false">
      <c r="A9" s="0" t="s">
        <v>607</v>
      </c>
      <c r="B9" s="0" t="s">
        <v>608</v>
      </c>
      <c r="C9" s="0" t="s">
        <v>592</v>
      </c>
      <c r="D9" s="0" t="s">
        <v>596</v>
      </c>
    </row>
    <row r="10" customFormat="false" ht="15" hidden="false" customHeight="false" outlineLevel="0" collapsed="false">
      <c r="A10" s="0" t="s">
        <v>609</v>
      </c>
      <c r="B10" s="0" t="s">
        <v>610</v>
      </c>
      <c r="C10" s="0" t="s">
        <v>592</v>
      </c>
      <c r="D10" s="0" t="s">
        <v>596</v>
      </c>
    </row>
    <row r="11" customFormat="false" ht="15" hidden="false" customHeight="false" outlineLevel="0" collapsed="false">
      <c r="A11" s="0" t="s">
        <v>611</v>
      </c>
      <c r="B11" s="0" t="s">
        <v>612</v>
      </c>
      <c r="C11" s="0" t="s">
        <v>592</v>
      </c>
      <c r="D11" s="0" t="s">
        <v>596</v>
      </c>
    </row>
    <row r="12" customFormat="false" ht="15" hidden="false" customHeight="false" outlineLevel="0" collapsed="false">
      <c r="A12" s="0" t="s">
        <v>613</v>
      </c>
      <c r="B12" s="0" t="s">
        <v>614</v>
      </c>
      <c r="C12" s="0" t="s">
        <v>592</v>
      </c>
      <c r="D12" s="0" t="s">
        <v>596</v>
      </c>
    </row>
    <row r="13" customFormat="false" ht="15" hidden="false" customHeight="false" outlineLevel="0" collapsed="false">
      <c r="A13" s="0" t="s">
        <v>615</v>
      </c>
      <c r="B13" s="0" t="s">
        <v>616</v>
      </c>
      <c r="C13" s="0" t="s">
        <v>592</v>
      </c>
      <c r="D13" s="0" t="s">
        <v>617</v>
      </c>
    </row>
    <row r="14" customFormat="false" ht="15" hidden="false" customHeight="false" outlineLevel="0" collapsed="false">
      <c r="A14" s="0" t="s">
        <v>618</v>
      </c>
      <c r="B14" s="0" t="s">
        <v>619</v>
      </c>
      <c r="C14" s="0" t="s">
        <v>592</v>
      </c>
      <c r="D14" s="0" t="s">
        <v>596</v>
      </c>
    </row>
    <row r="15" customFormat="false" ht="15" hidden="false" customHeight="false" outlineLevel="0" collapsed="false">
      <c r="A15" s="0" t="s">
        <v>620</v>
      </c>
      <c r="B15" s="0" t="s">
        <v>621</v>
      </c>
      <c r="C15" s="0" t="s">
        <v>592</v>
      </c>
      <c r="D15" s="0" t="s">
        <v>622</v>
      </c>
    </row>
    <row r="16" customFormat="false" ht="15" hidden="false" customHeight="false" outlineLevel="0" collapsed="false">
      <c r="A16" s="0" t="s">
        <v>623</v>
      </c>
      <c r="B16" s="0" t="s">
        <v>624</v>
      </c>
      <c r="C16" s="0" t="s">
        <v>592</v>
      </c>
      <c r="D16" s="0" t="s">
        <v>625</v>
      </c>
    </row>
    <row r="17" customFormat="false" ht="15" hidden="false" customHeight="false" outlineLevel="0" collapsed="false">
      <c r="A17" s="0" t="s">
        <v>626</v>
      </c>
      <c r="B17" s="0" t="s">
        <v>627</v>
      </c>
      <c r="C17" s="0" t="s">
        <v>592</v>
      </c>
      <c r="D17" s="0" t="s">
        <v>596</v>
      </c>
    </row>
    <row r="18" customFormat="false" ht="15" hidden="false" customHeight="false" outlineLevel="0" collapsed="false">
      <c r="A18" s="0" t="s">
        <v>628</v>
      </c>
      <c r="B18" s="0" t="s">
        <v>629</v>
      </c>
      <c r="C18" s="0" t="s">
        <v>592</v>
      </c>
      <c r="D18" s="0" t="s">
        <v>596</v>
      </c>
    </row>
    <row r="19" customFormat="false" ht="15" hidden="false" customHeight="false" outlineLevel="0" collapsed="false">
      <c r="A19" s="0" t="s">
        <v>630</v>
      </c>
      <c r="B19" s="0" t="s">
        <v>631</v>
      </c>
      <c r="C19" s="0" t="s">
        <v>592</v>
      </c>
      <c r="D19" s="0" t="s">
        <v>596</v>
      </c>
    </row>
    <row r="20" customFormat="false" ht="15" hidden="false" customHeight="false" outlineLevel="0" collapsed="false">
      <c r="A20" s="0" t="s">
        <v>632</v>
      </c>
      <c r="B20" s="0" t="s">
        <v>633</v>
      </c>
      <c r="C20" s="0" t="s">
        <v>592</v>
      </c>
      <c r="D20" s="0" t="s">
        <v>596</v>
      </c>
    </row>
    <row r="21" customFormat="false" ht="15" hidden="false" customHeight="false" outlineLevel="0" collapsed="false">
      <c r="A21" s="0" t="s">
        <v>634</v>
      </c>
      <c r="B21" s="0" t="s">
        <v>635</v>
      </c>
      <c r="C21" s="0" t="s">
        <v>592</v>
      </c>
      <c r="D21" s="0" t="s">
        <v>596</v>
      </c>
    </row>
    <row r="22" customFormat="false" ht="15" hidden="false" customHeight="false" outlineLevel="0" collapsed="false">
      <c r="A22" s="0" t="s">
        <v>636</v>
      </c>
      <c r="B22" s="0" t="s">
        <v>637</v>
      </c>
      <c r="C22" s="0" t="s">
        <v>638</v>
      </c>
      <c r="D22" s="0" t="s">
        <v>639</v>
      </c>
    </row>
    <row r="23" customFormat="false" ht="15" hidden="false" customHeight="false" outlineLevel="0" collapsed="false">
      <c r="A23" s="0" t="s">
        <v>640</v>
      </c>
      <c r="B23" s="0" t="s">
        <v>641</v>
      </c>
      <c r="C23" s="0" t="s">
        <v>638</v>
      </c>
      <c r="D23" s="0" t="s">
        <v>642</v>
      </c>
    </row>
    <row r="24" customFormat="false" ht="15" hidden="false" customHeight="false" outlineLevel="0" collapsed="false">
      <c r="A24" s="0" t="s">
        <v>643</v>
      </c>
      <c r="B24" s="0" t="s">
        <v>644</v>
      </c>
      <c r="C24" s="0" t="s">
        <v>592</v>
      </c>
      <c r="D24" s="0" t="s">
        <v>596</v>
      </c>
    </row>
    <row r="25" customFormat="false" ht="15" hidden="false" customHeight="false" outlineLevel="0" collapsed="false">
      <c r="A25" s="0" t="s">
        <v>645</v>
      </c>
      <c r="B25" s="0" t="s">
        <v>646</v>
      </c>
      <c r="C25" s="0" t="s">
        <v>592</v>
      </c>
      <c r="D25" s="0" t="s">
        <v>596</v>
      </c>
    </row>
    <row r="26" customFormat="false" ht="15" hidden="false" customHeight="false" outlineLevel="0" collapsed="false">
      <c r="A26" s="0" t="s">
        <v>647</v>
      </c>
      <c r="B26" s="0" t="s">
        <v>648</v>
      </c>
      <c r="C26" s="0" t="s">
        <v>638</v>
      </c>
      <c r="D26" s="0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2026-10-17T11:21:18Z</dcterms:created>
  <dc:creator>openpyxl</dc:creator>
  <dc:description/>
  <dc:language>en-US</dc:language>
  <cp:lastModifiedBy/>
  <dcterms:modified xsi:type="dcterms:W3CDTF">2026-10-17T11:21:18Z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