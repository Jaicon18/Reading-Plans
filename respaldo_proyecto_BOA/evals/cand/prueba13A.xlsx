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<sst xmlns="http://schemas.openxmlformats.org/spreadsheetml/2006/main" count="1020" uniqueCount="689">
  <si>
    <t xml:space="preserve">Bank of America - Broomfield, CO (CO1-111)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</si>
  <si>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</si>
  <si>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</si>
  <si>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</si>
  <si>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</si>
  <si>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</si>
  <si>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</si>
  <si>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</si>
  <si>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</si>
  <si>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</si>
  <si>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</si>
  <si>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</si>
  <si>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</si>
  <si>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</si>
  <si>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</si>
  <si>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</si>
  <si>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</si>
  <si>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</si>
  <si>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</si>
  <si>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</si>
  <si>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</si>
  <si>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</si>
  <si>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</si>
  <si>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</si>
  <si>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</si>
  <si>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</si>
  <si>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</si>
  <si>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</si>
  <si>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F</t>
  </si>
  <si>
    <t xml:space="preserve">F  #1  -  F-1 (wall) 101: 1 x 5/8 regular to 10.0 ft | 102: 1 x 5/8 regular to 9.0 ft</t>
  </si>
  <si>
    <t xml:space="preserve">1</t>
  </si>
  <si>
    <t xml:space="preserve">3-5/8"</t>
  </si>
  <si>
    <t xml:space="preserve">F-1 (wall) 101: 1 x 5/8 regular to 10.0 ft | 102: 1 x 5/8 regular to 9.0 ft</t>
  </si>
  <si>
    <t xml:space="preserve">12/A12.01; A02.01 (60 deg  15'-7 3/4")</t>
  </si>
  <si>
    <t xml:space="preserve">[DERIVADO]</t>
  </si>
  <si>
    <t xml:space="preserve">TYPE G</t>
  </si>
  <si>
    <t xml:space="preserve">G  #2  -  G-102-109 (wall) 102: 2 x 5/8 regular to 15.375 ft | 109: 2 x 5/8 regular to 15.375 ft</t>
  </si>
  <si>
    <t xml:space="preserve">2</t>
  </si>
  <si>
    <t xml:space="preserve">1-5/8"</t>
  </si>
  <si>
    <t xml:space="preserve">G-102-109 (wall) 102: 2 x 5/8 regular to 15.375 ft | 109: 2 x 5/8 regular to 15.375 ft</t>
  </si>
  <si>
    <t xml:space="preserve">5/A12.01; A02.01 vector (agents/intw) - 11'-7 1/2" printed</t>
  </si>
  <si>
    <t xml:space="preserve">G  #3  -  G-109-110 (wall) 109: 2 x 5/8 regular to 15.375 ft | 110: 2 x 5/8 regular to 15.375 ft</t>
  </si>
  <si>
    <t xml:space="preserve">3</t>
  </si>
  <si>
    <t xml:space="preserve">G-109-110 (wall) 109: 2 x 5/8 regular to 15.375 ft | 110: 2 x 5/8 regular to 15.375 ft</t>
  </si>
  <si>
    <t xml:space="preserve">G  #4  -  G-110-114 (wall) 110: 2 x 5/8 regular to 15.375 ft | 114: 2 x 5/8 regular to 15.375 ft</t>
  </si>
  <si>
    <t xml:space="preserve">4</t>
  </si>
  <si>
    <t xml:space="preserve">G-110-114 (wall) 110: 2 x 5/8 regular to 15.375 ft | 114: 2 x 5/8 regular to 15.375 ft</t>
  </si>
  <si>
    <t xml:space="preserve">G  #44  -  G-108-116 (wall) 108: 2 x 5/8 regular to 15.375 ft | 116: 2 x 5/8 regular to 15.375 ft</t>
  </si>
  <si>
    <t xml:space="preserve">44</t>
  </si>
  <si>
    <t xml:space="preserve">G-108-116 (wall) 108: 2 x 5/8 regular to 15.375 ft | 116: 2 x 5/8 regular to 15.375 ft</t>
  </si>
  <si>
    <t xml:space="preserve">5/A12.01; A02.01 vector (agents/inte)</t>
  </si>
  <si>
    <t xml:space="preserve">G  #46  -  G-106-107 (wall) 106: 2 x 5/8 regular to 15.375 ft | 107: 2 x 5/8 regular to 15.375 ft</t>
  </si>
  <si>
    <t xml:space="preserve">46</t>
  </si>
  <si>
    <t xml:space="preserve">G-106-107 (wall) 106: 2 x 5/8 regular to 15.375 ft | 107: 2 x 5/8 regular to 15.375 ft</t>
  </si>
  <si>
    <t xml:space="preserve">5/A12.01; A02.01 vector (agents/inte) - 11'-9 1/4" printed</t>
  </si>
  <si>
    <t xml:space="preserve">G  #47  -  G-107-108 (wall) 107: 2 x 5/8 regular to 15.375 ft | 108: 2 x 5/8 regular to 15.375 ft</t>
  </si>
  <si>
    <t xml:space="preserve">47</t>
  </si>
  <si>
    <t xml:space="preserve">G-107-108 (wall) 107: 2 x 5/8 regular to 15.375 ft | 108: 2 x 5/8 regular to 15.375 ft</t>
  </si>
  <si>
    <t xml:space="preserve">G  #48  -  G-OF105N (wall) 103: 2 x 5/8 regular to 15.375 ft | 105: 2 x 5/8 regular to 15.375 ft</t>
  </si>
  <si>
    <t xml:space="preserve">48</t>
  </si>
  <si>
    <t xml:space="preserve">G-OF105N (wall) 103: 2 x 5/8 regular to 15.375 ft | 105: 2 x 5/8 regular to 15.375 ft</t>
  </si>
  <si>
    <t xml:space="preserve">G  #49  -  G-OF105-106 (wall) 103: 2 x 5/8 regular to 15.375 ft | 105: 2 x 5/8 regular to 15.375 ft</t>
  </si>
  <si>
    <t xml:space="preserve">49</t>
  </si>
  <si>
    <t xml:space="preserve">G-OF105-106 (wall) 103: 2 x 5/8 regular to 15.375 ft | 105: 2 x 5/8 regular to 15.375 ft</t>
  </si>
  <si>
    <t xml:space="preserve">5/A12.01; A02.01 vector (agents/inte) - 4" printed</t>
  </si>
  <si>
    <t xml:space="preserve">G  #50  -  G-OF106-107 (wall) 103: 2 x 5/8 regular to 15.375 ft | 106: 2 x 5/8 regular to 15.375 ft</t>
  </si>
  <si>
    <t xml:space="preserve">50</t>
  </si>
  <si>
    <t xml:space="preserve">G-OF106-107 (wall) 103: 2 x 5/8 regular to 15.375 ft | 106: 2 x 5/8 regular to 15.375 ft</t>
  </si>
  <si>
    <t xml:space="preserve">G  #51  -  G-OF107-108 (wall) 103: 2 x 5/8 regular to 15.375 ft | 107: 2 x 5/8 regular to 15.375 ft</t>
  </si>
  <si>
    <t xml:space="preserve">51</t>
  </si>
  <si>
    <t xml:space="preserve">G-OF107-108 (wall) 103: 2 x 5/8 regular to 15.375 ft | 107: 2 x 5/8 regular to 15.375 ft</t>
  </si>
  <si>
    <t xml:space="preserve">G  #52  -  G-OF108S (wall) 103: 2 x 5/8 regular to 15.375 ft | 108: 2 x 5/8 regular to 15.375 ft</t>
  </si>
  <si>
    <t xml:space="preserve">52</t>
  </si>
  <si>
    <t xml:space="preserve">G-OF108S (wall) 103: 2 x 5/8 regular to 15.375 ft | 108: 2 x 5/8 regular to 15.375 ft</t>
  </si>
  <si>
    <t xml:space="preserve">G  #53  -  BH-105 (door_bulkhead) 105: 2 x 5/8 regular to 7.333 ft | 103/111: 2 x 5/8 regular to 7.333 ft</t>
  </si>
  <si>
    <t xml:space="preserve">53</t>
  </si>
  <si>
    <t xml:space="preserve">BH-105 (door_bulkhead) 105: 2 x 5/8 regular to 7.333 ft | 103/111: 2 x 5/8 regular to 7.333 ft</t>
  </si>
  <si>
    <t xml:space="preserve">8/A12.01; 9/A12.01; A02.01 7'-6" HOLD CLEAR FINISHED OPENING; 2/A11.01 8'-0 1/2" HOLD</t>
  </si>
  <si>
    <t xml:space="preserve">G  #54  -  BH-106 (door_bulkhead) 106: 2 x 5/8 regular to 7.333 ft | 103/111: 2 x 5/8 regular to 7.333 ft</t>
  </si>
  <si>
    <t xml:space="preserve">54</t>
  </si>
  <si>
    <t xml:space="preserve">BH-106 (door_bulkhead) 106: 2 x 5/8 regular to 7.333 ft | 103/111: 2 x 5/8 regular to 7.333 ft</t>
  </si>
  <si>
    <t xml:space="preserve">G  #55  -  BH-107 (door_bulkhead) 107: 2 x 5/8 regular to 7.333 ft | 103/111: 2 x 5/8 regular to 7.333 ft</t>
  </si>
  <si>
    <t xml:space="preserve">55</t>
  </si>
  <si>
    <t xml:space="preserve">BH-107 (door_bulkhead) 107: 2 x 5/8 regular to 7.333 ft | 103/111: 2 x 5/8 regular to 7.333 ft</t>
  </si>
  <si>
    <t xml:space="preserve">G  #56  -  BH-108 (door_bulkhead) 108: 2 x 5/8 regular to 7.333 ft | 103/111: 2 x 5/8 regular to 7.333 ft</t>
  </si>
  <si>
    <t xml:space="preserve">56</t>
  </si>
  <si>
    <t xml:space="preserve">BH-108 (door_bulkhead) 108: 2 x 5/8 regular to 7.333 ft | 103/111: 2 x 5/8 regular to 7.333 ft</t>
  </si>
  <si>
    <t xml:space="preserve">G  #57  -  BH-109 (door_bulkhead) 109: 2 x 5/8 regular to 7.333 ft | 103/111: 2 x 5/8 regular to 7.333 ft</t>
  </si>
  <si>
    <t xml:space="preserve">57</t>
  </si>
  <si>
    <t xml:space="preserve">BH-109 (door_bulkhead) 109: 2 x 5/8 regular to 7.333 ft | 103/111: 2 x 5/8 regular to 7.333 ft</t>
  </si>
  <si>
    <t xml:space="preserve">G  #58  -  BH-110 (door_bulkhead) 110: 2 x 5/8 regular to 7.333 ft | 103/111: 2 x 5/8 regular to 7.333 ft</t>
  </si>
  <si>
    <t xml:space="preserve">58</t>
  </si>
  <si>
    <t xml:space="preserve">BH-110 (door_bulkhead) 110: 2 x 5/8 regular to 7.333 ft | 103/111: 2 x 5/8 regular to 7.333 ft</t>
  </si>
  <si>
    <t xml:space="preserve">TYPE G1</t>
  </si>
  <si>
    <t xml:space="preserve">G1  #5  -  G1-OF109N (wall) 109: 2 x 5/8 regular to 15.375 ft | 111: 2 x 5/8 regular to 15.375 ft</t>
  </si>
  <si>
    <t xml:space="preserve">5</t>
  </si>
  <si>
    <t xml:space="preserve">G1-OF109N (wall) 109: 2 x 5/8 regular to 15.375 ft | 111: 2 x 5/8 regular to 15.375 ft</t>
  </si>
  <si>
    <t xml:space="preserve">5/A12.01; A02.01 vector (agents/intw)</t>
  </si>
  <si>
    <t xml:space="preserve">G1  #6  -  G1-OF109-110 (wall) 109: 2 x 5/8 regular to 15.375 ft | 111: 2 x 5/8 regular to 15.375 ft</t>
  </si>
  <si>
    <t xml:space="preserve">6</t>
  </si>
  <si>
    <t xml:space="preserve">G1-OF109-110 (wall) 109: 2 x 5/8 regular to 15.375 ft | 111: 2 x 5/8 regular to 15.375 ft</t>
  </si>
  <si>
    <t xml:space="preserve">G1  #7  -  G1-OF110S (wall) 110: 2 x 5/8 regular to 15.375 ft | 111: 2 x 5/8 regular to 15.375 ft</t>
  </si>
  <si>
    <t xml:space="preserve">7</t>
  </si>
  <si>
    <t xml:space="preserve">G1-OF110S (wall) 110: 2 x 5/8 regular to 15.375 ft | 111: 2 x 5/8 regular to 15.375 ft</t>
  </si>
  <si>
    <t xml:space="preserve">G1  #45  -  G1-105-106 (wall) 105: 2 x 5/8 regular to 15.375 ft | 106: 2 x 5/8 regular to 15.375 ft</t>
  </si>
  <si>
    <t xml:space="preserve">45</t>
  </si>
  <si>
    <t xml:space="preserve">G1-105-106 (wall) 105: 2 x 5/8 regular to 15.375 ft | 106: 2 x 5/8 regular to 15.375 ft</t>
  </si>
  <si>
    <t xml:space="preserve">TYPE B2</t>
  </si>
  <si>
    <t xml:space="preserve">B2  #8  -  B2-ATM (wall) 102: 1 x 5/8 regular to 15.375 ft | 103: 1 x 5/8 regular to 15.375 ft</t>
  </si>
  <si>
    <t xml:space="preserve">8</t>
  </si>
  <si>
    <t xml:space="preserve">6"</t>
  </si>
  <si>
    <t xml:space="preserve">B2-ATM (wall) 102: 1 x 5/8 regular to 15.375 ft | 103: 1 x 5/8 regular to 15.375 ft</t>
  </si>
  <si>
    <t xml:space="preserve">1/A12.01; A02.01 vector (agents/intw) - 5'-8" printed</t>
  </si>
  <si>
    <t xml:space="preserve">B2  #10  -  B2-RN (wall) 114: 1 x 5/8 regular to 13.238 ft | 111: 1 x 5/8 regular to 13.238 ft</t>
  </si>
  <si>
    <t xml:space="preserve">10</t>
  </si>
  <si>
    <t xml:space="preserve">B2-RN (wall) 114: 1 x 5/8 regular to 13.238 ft | 111: 1 x 5/8 regular to 13.238 ft</t>
  </si>
  <si>
    <t xml:space="preserve">1/A12.01; A02.01 vector (agents/intw) - 5'-6 1/2" printed</t>
  </si>
  <si>
    <t xml:space="preserve">B2  #16  -  B2-RS (wall) 113: 1 x 5/8 regular to 12.702 ft | 111: 1 x 5/8 regular to 12.702 ft</t>
  </si>
  <si>
    <t xml:space="preserve">16</t>
  </si>
  <si>
    <t xml:space="preserve">B2-RS (wall) 113: 1 x 5/8 regular to 12.702 ft | 111: 1 x 5/8 regular to 12.702 ft</t>
  </si>
  <si>
    <t xml:space="preserve">1/A12.01; A02.01 vector (agents/intw)</t>
  </si>
  <si>
    <t xml:space="preserve">B2  #36  -  B2-W116 (wall) 118: 1 x 5/8 regular to 12.695 ft | 116: 1 x 5/8 regular to 12.695 ft</t>
  </si>
  <si>
    <t xml:space="preserve">36</t>
  </si>
  <si>
    <t xml:space="preserve">B2-W116 (wall) 118: 1 x 5/8 regular to 12.695 ft | 116: 1 x 5/8 regular to 12.695 ft</t>
  </si>
  <si>
    <t xml:space="preserve">1/A12.01; A02.01 vector (agents/inte)</t>
  </si>
  <si>
    <t xml:space="preserve">TYPE A1</t>
  </si>
  <si>
    <t xml:space="preserve">A1  #9  -  A1-STUB111 (wall) 103: 1 x 5/8 regular to 12.0 ft | 111: 1 x 5/8 regular to 9.0 ft</t>
  </si>
  <si>
    <t xml:space="preserve">9</t>
  </si>
  <si>
    <t xml:space="preserve">A1-STUB111 (wall) 103: 1 x 5/8 regular to 12.0 ft | 111: 1 x 5/8 regular to 9.0 ft</t>
  </si>
  <si>
    <t xml:space="preserve">3/A12.01; A02.01 vector (agents/intw); ADV1-03 1133.88-&gt;1223.88 with door 111</t>
  </si>
  <si>
    <t xml:space="preserve">A1  #11  -  A1-ALCN (wall) 114: 1 x 5/8 regular to 9.0 ft | 111: 1 x 5/8 regular to 9.0 ft</t>
  </si>
  <si>
    <t xml:space="preserve">11</t>
  </si>
  <si>
    <t xml:space="preserve">A1-ALCN (wall) 114: 1 x 5/8 regular to 9.0 ft | 111: 1 x 5/8 regular to 9.0 ft</t>
  </si>
  <si>
    <t xml:space="preserve">3/A12.01; A02.01 vector (agents/intw) - 1'-10 3/4" alcove printed</t>
  </si>
  <si>
    <t xml:space="preserve">A1  #12  -  A1-ALCB (wall) 114: 1 x 5/8 regular to 9.0 ft | 111: 1 x 5/8 regular to 9.0 ft</t>
  </si>
  <si>
    <t xml:space="preserve">12</t>
  </si>
  <si>
    <t xml:space="preserve">A1-ALCB (wall) 114: 1 x 5/8 regular to 9.0 ft | 111: 1 x 5/8 regular to 9.0 ft</t>
  </si>
  <si>
    <t xml:space="preserve">3/A12.01; A02.01 vector (agents/intw) - 4'-1" printed</t>
  </si>
  <si>
    <t xml:space="preserve">A1  #13  -  A1-ALCS (wall) 113: 1 x 5/8 regular to 9.0 ft | 111: 1 x 5/8 regular to 9.0 ft</t>
  </si>
  <si>
    <t xml:space="preserve">13</t>
  </si>
  <si>
    <t xml:space="preserve">A1-ALCS (wall) 113: 1 x 5/8 regular to 9.0 ft | 111: 1 x 5/8 regular to 9.0 ft</t>
  </si>
  <si>
    <t xml:space="preserve">3/A12.01; A02.01 vector (agents/intw)</t>
  </si>
  <si>
    <t xml:space="preserve">A1  #24  -  A1-122N (wall) 104: 1 x 5/8 regular to 11.5 ft | 122: 1 x 5/8 regular to 9.832 ft</t>
  </si>
  <si>
    <t xml:space="preserve">24</t>
  </si>
  <si>
    <t xml:space="preserve">A1-122N (wall) 104: 1 x 5/8 regular to 11.5 ft | 122: 1 x 5/8 regular to 9.832 ft</t>
  </si>
  <si>
    <t xml:space="preserve">3/A12.01; A02.01 vector (agents/inte)</t>
  </si>
  <si>
    <t xml:space="preserve">A1  #25  -  A1-MW01E (wall) MW01 niche: 1 x 5/8 regular to 15.375 ft | 122: 1 x 5/8 regular to 9.0 ft</t>
  </si>
  <si>
    <t xml:space="preserve">25</t>
  </si>
  <si>
    <t xml:space="preserve">A1-MW01E (wall) MW01 niche: 1 x 5/8 regular to 15.375 ft | 122: 1 x 5/8 regular to 9.0 ft</t>
  </si>
  <si>
    <t xml:space="preserve">A1  #26  -  A1-MW01S (wall) MW01 niche: 1 x 5/8 regular to 15.375 ft | 122: 1 x 5/8 regular to 9.0 ft</t>
  </si>
  <si>
    <t xml:space="preserve">26</t>
  </si>
  <si>
    <t xml:space="preserve">A1-MW01S (wall) MW01 niche: 1 x 5/8 regular to 15.375 ft | 122: 1 x 5/8 regular to 9.0 ft</t>
  </si>
  <si>
    <t xml:space="preserve">3/A12.01; A02.01 vector (agents/inte) - 2'-7 1/2" printed</t>
  </si>
  <si>
    <t xml:space="preserve">A1  #28  -  A1-122S (wall) 122: 1 x 5/8 regular to 9.0 ft | 118: 1 x 5/8 regular to 9.0 ft</t>
  </si>
  <si>
    <t xml:space="preserve">28</t>
  </si>
  <si>
    <t xml:space="preserve">A1-122S (wall) 122: 1 x 5/8 regular to 9.0 ft | 118: 1 x 5/8 regular to 9.0 ft</t>
  </si>
  <si>
    <t xml:space="preserve">3/A12.01; A02.01 vector (agents/inte) - 15'-9 3/4" printed</t>
  </si>
  <si>
    <t xml:space="preserve">A1  #29  -  A1-111E (wall) 111: 1 x 5/8 regular to 9.0 ft | 118 / 120 / 121: 1 x 5/8 regular to 11.08 ft</t>
  </si>
  <si>
    <t xml:space="preserve">29</t>
  </si>
  <si>
    <t xml:space="preserve">A1-111E (wall) 111: 1 x 5/8 regular to 9.0 ft | 118 / 120 / 121: 1 x 5/8 regular to 11.08 ft</t>
  </si>
  <si>
    <t xml:space="preserve">3/A12.01; A02.01 vector (agents/inte) - 6'-4 1/2"  5'-10"  7'-6" printed</t>
  </si>
  <si>
    <t xml:space="preserve">A1  #33  -  A1-P1 (wall) 118: 1 x 5/8 regular to 9.0 ft | teller queue: 1 x 5/8 regular to 9.5 ft</t>
  </si>
  <si>
    <t xml:space="preserve">33</t>
  </si>
  <si>
    <t xml:space="preserve">A1-P1 (wall) 118: 1 x 5/8 regular to 9.0 ft | teller queue: 1 x 5/8 regular to 9.5 ft</t>
  </si>
  <si>
    <t xml:space="preserve">A1  #34  -  A1-P2 (wall) teller queue: 1 x 5/8 regular to 9.5 ft | 118: 1 x 5/8 regular to 9.0 ft</t>
  </si>
  <si>
    <t xml:space="preserve">34</t>
  </si>
  <si>
    <t xml:space="preserve">A1-P2 (wall) teller queue: 1 x 5/8 regular to 9.5 ft | 118: 1 x 5/8 regular to 9.0 ft</t>
  </si>
  <si>
    <t xml:space="preserve">3/A12.01; A02.01 vector (agents/inte) - 5'-6" printed</t>
  </si>
  <si>
    <t xml:space="preserve">A1  #37  -  A1-116-119 (wall) 116: 1 x 5/8 regular to 9.5 ft | 119: 1 x 5/8 regular to 9.0 ft</t>
  </si>
  <si>
    <t xml:space="preserve">37</t>
  </si>
  <si>
    <t xml:space="preserve">A1-116-119 (wall) 116: 1 x 5/8 regular to 9.5 ft | 119: 1 x 5/8 regular to 9.0 ft</t>
  </si>
  <si>
    <t xml:space="preserve">3/A12.01; A02.01 vector (agents/inte) - 11'-8" printed</t>
  </si>
  <si>
    <t xml:space="preserve">TYPE C1</t>
  </si>
  <si>
    <t xml:space="preserve">C1  #14  -  C1-CHN (wall) 114: 1 x 5/8 MR to 12.923 ft</t>
  </si>
  <si>
    <t xml:space="preserve">14</t>
  </si>
  <si>
    <t xml:space="preserve">C1-CHN (wall) 114: 1 x 5/8 MR to 12.923 ft</t>
  </si>
  <si>
    <t xml:space="preserve">6/A12.01; A02.01 1'-1" chase; A08.01</t>
  </si>
  <si>
    <t xml:space="preserve">C1  #15  -  C1-CHS (wall) 113: 1 x 5/8 MR to 12.893 ft</t>
  </si>
  <si>
    <t xml:space="preserve">15</t>
  </si>
  <si>
    <t xml:space="preserve">C1-CHS (wall) 113: 1 x 5/8 MR to 12.893 ft</t>
  </si>
  <si>
    <t xml:space="preserve">C1  #20  -  BOX-103N (column_wrap) 100: 1 x 5/8 regular to 15.375 ft</t>
  </si>
  <si>
    <t xml:space="preserve">20</t>
  </si>
  <si>
    <t xml:space="preserve">BOX-103N (column_wrap) 100: 1 x 5/8 regular to 15.375 ft</t>
  </si>
  <si>
    <t xml:space="preserve">6/A12.01; 3/A08.21; A02.01 (exposed perimeter)</t>
  </si>
  <si>
    <t xml:space="preserve">C1  #21  -  BOX-103S (column_wrap) 101: 1 x 5/8 regular to 15.375 ft</t>
  </si>
  <si>
    <t xml:space="preserve">21</t>
  </si>
  <si>
    <t xml:space="preserve">BOX-103S (column_wrap) 101: 1 x 5/8 regular to 15.375 ft</t>
  </si>
  <si>
    <t xml:space="preserve">C1  #42  -  C1-FCAM (wall) 116: 1 x 5/8 regular to 12.921 ft</t>
  </si>
  <si>
    <t xml:space="preserve">42</t>
  </si>
  <si>
    <t xml:space="preserve">C1-FCAM (wall) 116: 1 x 5/8 regular to 12.921 ft</t>
  </si>
  <si>
    <t xml:space="preserve">6/A12.01; A02.01 vector (agents/inte)</t>
  </si>
  <si>
    <t xml:space="preserve">C1  #43  -  C1-MEDIA (wall) 104: 1 x 5/8 regular to 15.375 ft</t>
  </si>
  <si>
    <t xml:space="preserve">43</t>
  </si>
  <si>
    <t xml:space="preserve">C1-MEDIA (wall) 104: 1 x 5/8 regular to 15.375 ft</t>
  </si>
  <si>
    <t xml:space="preserve">6/A12.01; A02.01 10'-0" x 8" printed (keynote 7); 9/A12.02</t>
  </si>
  <si>
    <t xml:space="preserve">C1  #71  -  PIER-NW (pier) 100: 1 x 5/8 regular to 8.5 ft</t>
  </si>
  <si>
    <t xml:space="preserve">71</t>
  </si>
  <si>
    <t xml:space="preserve">PIER-NW (pier) 100: 1 x 5/8 regular to 8.5 ft</t>
  </si>
  <si>
    <t xml:space="preserve">1/A09.25; A02.01 C1 tag</t>
  </si>
  <si>
    <t xml:space="preserve">C1  #72  -  PIER-NE (pier) 100: 1 x 5/8 regular to 8.5 ft</t>
  </si>
  <si>
    <t xml:space="preserve">72</t>
  </si>
  <si>
    <t xml:space="preserve">PIER-NE (pier) 100: 1 x 5/8 regular to 8.5 ft</t>
  </si>
  <si>
    <t xml:space="preserve">1/A09.25; 2/A09.25; A02.01 C1 tag</t>
  </si>
  <si>
    <t xml:space="preserve">TYPE B</t>
  </si>
  <si>
    <t xml:space="preserve">B  #17  -  B-113-112 (wall) 113: 1 x 5/8 regular to 12.747 ft | 112: 1 x 5/8 regular to 12.747 ft</t>
  </si>
  <si>
    <t xml:space="preserve">17</t>
  </si>
  <si>
    <t xml:space="preserve">B-113-112 (wall) 113: 1 x 5/8 regular to 12.747 ft | 112: 1 x 5/8 regular to 12.747 ft</t>
  </si>
  <si>
    <t xml:space="preserve">B  #18  -  B-112-117 (wall) 112: 1 x 5/8 regular to 12.707 ft | 117: 1 x 5/8 regular to 12.707 ft</t>
  </si>
  <si>
    <t xml:space="preserve">18</t>
  </si>
  <si>
    <t xml:space="preserve">B-112-117 (wall) 112: 1 x 5/8 regular to 12.707 ft | 117: 1 x 5/8 regular to 12.707 ft</t>
  </si>
  <si>
    <t xml:space="preserve">1/A12.01; A02.01 vector (agents/intw) - 2'-9 3/4" printed</t>
  </si>
  <si>
    <t xml:space="preserve">B  #19  -  B-112-115 (wall) 112: 1 x 5/8 regular to 12.667 ft | 115: 1 x 5/8 regular to 12.667 ft</t>
  </si>
  <si>
    <t xml:space="preserve">19</t>
  </si>
  <si>
    <t xml:space="preserve">B-112-115 (wall) 112: 1 x 5/8 regular to 12.667 ft | 115: 1 x 5/8 regular to 12.667 ft</t>
  </si>
  <si>
    <t xml:space="preserve">B  #30  -  B-118-120 (wall) 118: 1 x 5/8 regular to 12.827 ft | 120: 1 x 5/8 regular to 12.827 ft</t>
  </si>
  <si>
    <t xml:space="preserve">30</t>
  </si>
  <si>
    <t xml:space="preserve">B-118-120 (wall) 118: 1 x 5/8 regular to 12.827 ft | 120: 1 x 5/8 regular to 12.827 ft</t>
  </si>
  <si>
    <t xml:space="preserve">1/A12.01; A02.01 vector (agents/inte) - 9'-7" printed</t>
  </si>
  <si>
    <t xml:space="preserve">B  #31  -  B-120-121 (wall) 120: 1 x 5/8 regular to 12.698 ft | 121: 1 x 5/8 regular to 12.698 ft</t>
  </si>
  <si>
    <t xml:space="preserve">31</t>
  </si>
  <si>
    <t xml:space="preserve">B-120-121 (wall) 120: 1 x 5/8 regular to 12.698 ft | 121: 1 x 5/8 regular to 12.698 ft</t>
  </si>
  <si>
    <t xml:space="preserve">B  #32  -  B-120E (wall) 120: 1 x 5/8 regular to 12.685 ft | 118: 1 x 5/8 regular to 12.685 ft</t>
  </si>
  <si>
    <t xml:space="preserve">32</t>
  </si>
  <si>
    <t xml:space="preserve">B-120E (wall) 120: 1 x 5/8 regular to 12.685 ft | 118: 1 x 5/8 regular to 12.685 ft</t>
  </si>
  <si>
    <t xml:space="preserve">TYPE A5</t>
  </si>
  <si>
    <t xml:space="preserve">A5  #22  -  A5-111N (wall) 103 strip: 1 x 5/8 regular to 12.0 ft | 122: 1 x 5/8 regular to 9.0 ft</t>
  </si>
  <si>
    <t xml:space="preserve">22</t>
  </si>
  <si>
    <t xml:space="preserve">A5-111N (wall) 103 strip: 1 x 5/8 regular to 12.0 ft | 122: 1 x 5/8 regular to 9.0 ft</t>
  </si>
  <si>
    <t xml:space="preserve">3/A12.01; A02.01 vector (agents/intw W-A5-W - inte E1)</t>
  </si>
  <si>
    <t xml:space="preserve">A5  #23  -  A5-111S (wall) 111: 1 x 5/8 regular to 9.0 ft | 122: 1 x 5/8 regular to 9.0 ft</t>
  </si>
  <si>
    <t xml:space="preserve">23</t>
  </si>
  <si>
    <t xml:space="preserve">A5-111S (wall) 111: 1 x 5/8 regular to 9.0 ft | 122: 1 x 5/8 regular to 9.0 ft</t>
  </si>
  <si>
    <t xml:space="preserve">A5  #27  -  A5-122E (wall) 122: 1 x 5/8 regular to 9.0 ft | 103 / teller queue: 1 x 5/8 regular to 10.525 ft</t>
  </si>
  <si>
    <t xml:space="preserve">27</t>
  </si>
  <si>
    <t xml:space="preserve">A5-122E (wall) 122: 1 x 5/8 regular to 9.0 ft | 103 / teller queue: 1 x 5/8 regular to 10.525 ft</t>
  </si>
  <si>
    <t xml:space="preserve">3/A12.01; A02.01 vector (agents/inte) - 19'-0" printed</t>
  </si>
  <si>
    <t xml:space="preserve">A5  #35  -  A5-S116 (wall) 118: 1 x 5/8 regular to 9.0 ft | 116: 1 x 5/8 regular to 9.5 ft</t>
  </si>
  <si>
    <t xml:space="preserve">35</t>
  </si>
  <si>
    <t xml:space="preserve">A5-S116 (wall) 118: 1 x 5/8 regular to 9.0 ft | 116: 1 x 5/8 regular to 9.5 ft</t>
  </si>
  <si>
    <t xml:space="preserve">TYPE B2K</t>
  </si>
  <si>
    <t xml:space="preserve">B2K  #38  -  B2K-108 (wall) 108: 1 x 5/8 regular to 15.375 ft | 103: 1 x 5/8 regular to 15.375 ft</t>
  </si>
  <si>
    <t xml:space="preserve">38</t>
  </si>
  <si>
    <t xml:space="preserve">B2K-108 (wall) 108: 1 x 5/8 regular to 15.375 ft | 103: 1 x 5/8 regular to 15.375 ft</t>
  </si>
  <si>
    <t xml:space="preserve">4/A12.01; A02.01 vector (agents/inte); B2K derived: B2 7 1/4" + 3/8" = 7 5/8" (meas 7.68")</t>
  </si>
  <si>
    <t xml:space="preserve">TYPE A1K</t>
  </si>
  <si>
    <t xml:space="preserve">A1K  #39  -  A1K-N (wall) 116: 1 x 5/8 regular to 15.375 ft</t>
  </si>
  <si>
    <t xml:space="preserve">39</t>
  </si>
  <si>
    <t xml:space="preserve">A1K-N (wall) 116: 1 x 5/8 regular to 15.375 ft</t>
  </si>
  <si>
    <t xml:space="preserve">4/A12.01; A02.01 vector (agents/inte) - 3'-5" printed</t>
  </si>
  <si>
    <t xml:space="preserve">A1K  #40  -  A1K-S1 (wall) 116: 1 x 5/8 regular to 12.934 ft</t>
  </si>
  <si>
    <t xml:space="preserve">40</t>
  </si>
  <si>
    <t xml:space="preserve">A1K-S1 (wall) 116: 1 x 5/8 regular to 12.934 ft</t>
  </si>
  <si>
    <t xml:space="preserve">4/A12.01; A02.01 vector (agents/inte)</t>
  </si>
  <si>
    <t xml:space="preserve">A1K  #41  -  A1K-S2 (wall) 103: 1 x 5/8 regular to 12.923 ft | 116: 1 x 5/8 regular to 12.923 ft</t>
  </si>
  <si>
    <t xml:space="preserve">41</t>
  </si>
  <si>
    <t xml:space="preserve">A1K-S2 (wall) 103: 1 x 5/8 regular to 12.923 ft | 116: 1 x 5/8 regular to 12.923 ft</t>
  </si>
  <si>
    <t xml:space="preserve">TYPE EXT</t>
  </si>
  <si>
    <t xml:space="preserve">EXT  #59  -  EXT-W2 (wall) 101/102: 1 x 5/8 regular to 15.375 ft</t>
  </si>
  <si>
    <t xml:space="preserve">59</t>
  </si>
  <si>
    <t xml:space="preserve">EXT-W2 (wall) 101/102: 1 x 5/8 regular to 15.375 ft</t>
  </si>
  <si>
    <t xml:space="preserve">EXT/A09.21; A02.01 interior face vector (agents/ext); A09.21-23 sections; 10/S5.10; S1.11 n.5; J/A09.23</t>
  </si>
  <si>
    <t xml:space="preserve">EXT  #60  -  EXT-DJOG (wall) 102: 1 x 5/8 regular to 15.375 ft</t>
  </si>
  <si>
    <t xml:space="preserve">60</t>
  </si>
  <si>
    <t xml:space="preserve">EXT-DJOG (wall) 102: 1 x 5/8 regular to 15.375 ft</t>
  </si>
  <si>
    <t xml:space="preserve">EXT/A09.21; A02.01 interior face vector (agents/ext); A09.21-23 sections; 10/S5.10; S1.11 n.5 - 3'-10 1/2" printed</t>
  </si>
  <si>
    <t xml:space="preserve">EXT  #61  -  EXT-W3N (wall) 109/110/114: 1 x 5/8 regular to 15.375 ft</t>
  </si>
  <si>
    <t xml:space="preserve">61</t>
  </si>
  <si>
    <t xml:space="preserve">EXT-W3N (wall) 109/110/114: 1 x 5/8 regular to 15.375 ft</t>
  </si>
  <si>
    <t xml:space="preserve">EXT/A09.21; A02.01 interior face vector (agents/ext); A09.21-23 sections; 10/S5.10; S1.11 n.5; H/A09.23</t>
  </si>
  <si>
    <t xml:space="preserve">EXT  #62  -  EXT-W3S (wall) 113/112/115: 1 x 5/8 regular to 12.796 ft</t>
  </si>
  <si>
    <t xml:space="preserve">62</t>
  </si>
  <si>
    <t xml:space="preserve">EXT-W3S (wall) 113/112/115: 1 x 5/8 regular to 12.796 ft</t>
  </si>
  <si>
    <t xml:space="preserve">EXT/A09.21; A02.01 interior face vector (agents/ext); A09.21-23 sections; 10/S5.10; S1.11 n.5; F/A09.22</t>
  </si>
  <si>
    <t xml:space="preserve">EXT  #63  -  EXT-S1 (wall) 115/111/121: 1 x 5/8 regular to 12.539 ft</t>
  </si>
  <si>
    <t xml:space="preserve">63</t>
  </si>
  <si>
    <t xml:space="preserve">EXT-S1 (wall) 115/111/121: 1 x 5/8 regular to 12.539 ft</t>
  </si>
  <si>
    <t xml:space="preserve">EXT/A09.21; A02.01 interior face vector (agents/ext); A09.21-23 sections; 10/S5.10; S1.11 n.5; F/A09.22 - grid 3-&gt;6</t>
  </si>
  <si>
    <t xml:space="preserve">EXT  #64  -  EXT-S2 (wall) 116/119: 1 x 5/8 regular to 12.539 ft</t>
  </si>
  <si>
    <t xml:space="preserve">64</t>
  </si>
  <si>
    <t xml:space="preserve">EXT-S2 (wall) 116/119: 1 x 5/8 regular to 12.539 ft</t>
  </si>
  <si>
    <t xml:space="preserve">EXT/A09.21; A02.01 interior face vector (agents/ext); A09.21-23 sections; 10/S5.10; S1.11 n.5 - grid 6-&gt;8</t>
  </si>
  <si>
    <t xml:space="preserve">EXT  #65  -  EXT-E8S (wall) 116/119: 1 x 5/8 regular to 12.796 ft</t>
  </si>
  <si>
    <t xml:space="preserve">65</t>
  </si>
  <si>
    <t xml:space="preserve">EXT-E8S (wall) 116/119: 1 x 5/8 regular to 12.796 ft</t>
  </si>
  <si>
    <t xml:space="preserve">EXT/A09.21; A02.01 interior face vector (agents/ext); A09.21-23 sections; 10/S5.10; S1.11 n.5; E/A09.22</t>
  </si>
  <si>
    <t xml:space="preserve">EXT  #66  -  EXT-E8N (wall) 105-108/116: 1 x 5/8 regular to 15.375 ft</t>
  </si>
  <si>
    <t xml:space="preserve">66</t>
  </si>
  <si>
    <t xml:space="preserve">EXT-E8N (wall) 105-108/116: 1 x 5/8 regular to 15.375 ft</t>
  </si>
  <si>
    <t xml:space="preserve">EXT/A09.21; A02.01 interior face vector (agents/ext); A09.21-23 sections; 10/S5.10; S1.11 n.5; D/A09.22</t>
  </si>
  <si>
    <t xml:space="preserve">EXT  #67  -  EXT-F78 (wall) 105: 1 x 5/8 regular to 15.375 ft</t>
  </si>
  <si>
    <t xml:space="preserve">67</t>
  </si>
  <si>
    <t xml:space="preserve">EXT-F78 (wall) 105: 1 x 5/8 regular to 15.375 ft</t>
  </si>
  <si>
    <t xml:space="preserve">EXT/A09.21; A02.01 interior face vector (agents/ext); A09.21-23 sections; 10/S5.10; S1.11 n.5; C/A09.21</t>
  </si>
  <si>
    <t xml:space="preserve">EXT  #68  -  SFC-NVEST (storefront_cripples) 100: 1 x 5/8 regular to 6.875 ft</t>
  </si>
  <si>
    <t xml:space="preserve">68</t>
  </si>
  <si>
    <t xml:space="preserve">SFC-NVEST (storefront_cripples) 100: 1 x 5/8 regular to 6.875 ft</t>
  </si>
  <si>
    <t xml:space="preserve">2/A09.26; A/A09.21; S2.20 F 2-&gt;4 HSS9x5x5/8</t>
  </si>
  <si>
    <t xml:space="preserve">EXT  #69  -  SFC-F (storefront_cripples) 103/104: 1 x 5/8 regular to 6.875 ft</t>
  </si>
  <si>
    <t xml:space="preserve">69</t>
  </si>
  <si>
    <t xml:space="preserve">SFC-F (storefront_cripples) 103/104: 1 x 5/8 regular to 6.875 ft</t>
  </si>
  <si>
    <t xml:space="preserve">2/A09.26 SIM; 1/A09.01; S2.20 F 4-&gt;7 HSS9x5x5/8</t>
  </si>
  <si>
    <t xml:space="preserve">EXT  #70  -  SFC-W2 (storefront_cripples) 100: 1 x 5/8 regular to 6.875 ft</t>
  </si>
  <si>
    <t xml:space="preserve">70</t>
  </si>
  <si>
    <t xml:space="preserve">SFC-W2 (storefront_cripples) 100: 1 x 5/8 regular to 6.875 ft</t>
  </si>
  <si>
    <t xml:space="preserve">2/A09.26; S2.20 grid 2 HSS9x5x5/8 B.O.S. 8'-7 1/2"</t>
  </si>
  <si>
    <t xml:space="preserve">EXT  #103  -  PIER6-NW (pier) </t>
  </si>
  <si>
    <t xml:space="preserve">103</t>
  </si>
  <si>
    <t xml:space="preserve">PIER6-NW (pier) </t>
  </si>
  <si>
    <t xml:space="preserve">1/A09.25; 2/A09.25 6" CFMF; S2.20 W12x19</t>
  </si>
  <si>
    <t xml:space="preserve">EXT  #104  -  PIER6-NE (pier) </t>
  </si>
  <si>
    <t xml:space="preserve">104</t>
  </si>
  <si>
    <t xml:space="preserve">PIER6-NE (pier) </t>
  </si>
  <si>
    <t xml:space="preserve">TYPE WRAP</t>
  </si>
  <si>
    <t xml:space="preserve">WRAP  #73  -  COL-1 (column_wrap) </t>
  </si>
  <si>
    <t xml:space="preserve">73</t>
  </si>
  <si>
    <t xml:space="preserve">COL-1 (column_wrap) </t>
  </si>
  <si>
    <t xml:space="preserve">5/A09.25 1'-2 1/2" + 2 1/2" FOS; A09.01 B/CANOPY 10'-6"</t>
  </si>
  <si>
    <t xml:space="preserve">WRAP  #74  -  COL-2 (column_wrap) </t>
  </si>
  <si>
    <t xml:space="preserve">74</t>
  </si>
  <si>
    <t xml:space="preserve">COL-2 (column_wrap) </t>
  </si>
  <si>
    <t xml:space="preserve">WRAP  #75  -  COL-3 (column_wrap) </t>
  </si>
  <si>
    <t xml:space="preserve">75</t>
  </si>
  <si>
    <t xml:space="preserve">COL-3 (column_wrap) </t>
  </si>
  <si>
    <t xml:space="preserve">WRAP  #76  -  COL-4 (column_wrap) </t>
  </si>
  <si>
    <t xml:space="preserve">76</t>
  </si>
  <si>
    <t xml:space="preserve">COL-4 (column_wrap) </t>
  </si>
  <si>
    <t xml:space="preserve">TYPE GRILLE</t>
  </si>
  <si>
    <t xml:space="preserve">GRILLE  #77  -  GH-103 (grille_head) 101: 1 x 5/8 regular to 2.0 ft | 103: 1 x 5/8 regular to 2.0 ft</t>
  </si>
  <si>
    <t xml:space="preserve">77</t>
  </si>
  <si>
    <t xml:space="preserve">2-1/2"</t>
  </si>
  <si>
    <t xml:space="preserve">GH-103 (grille_head) 101: 1 x 5/8 regular to 2.0 ft | 103: 1 x 5/8 regular to 2.0 ft</t>
  </si>
  <si>
    <t xml:space="preserve">4/A08.21; 1/A08.21 13'-4" R.O. + jamb boxes (agents/intw RFI-05 14'-3" carried)</t>
  </si>
  <si>
    <t xml:space="preserve">TYPE RS</t>
  </si>
  <si>
    <t xml:space="preserve">RS  #78  -  RS-1 (roof_step) </t>
  </si>
  <si>
    <t xml:space="preserve">78</t>
  </si>
  <si>
    <t xml:space="preserve">RS-1 (roof_step) </t>
  </si>
  <si>
    <t xml:space="preserve">4/A02.02</t>
  </si>
  <si>
    <t xml:space="preserve">RS  #79  -  RS-2 (roof_step) roof step: 1 x 5/8 regular to 3.458 ft</t>
  </si>
  <si>
    <t xml:space="preserve">79</t>
  </si>
  <si>
    <t xml:space="preserve">RS-2 (roof_step) roof step: 1 x 5/8 regular to 3.458 ft</t>
  </si>
  <si>
    <t xml:space="preserve">RS  #80  -  RS-3 (roof_step) roof step: 1 x 5/8 regular to 1.13 ft</t>
  </si>
  <si>
    <t xml:space="preserve">80</t>
  </si>
  <si>
    <t xml:space="preserve">RS-3 (roof_step) roof step: 1 x 5/8 regular to 1.13 ft</t>
  </si>
  <si>
    <t xml:space="preserve">TYPE PARAPET</t>
  </si>
  <si>
    <t xml:space="preserve">PARAPET  #81  -  PAR-N-TOWER (parapet) </t>
  </si>
  <si>
    <t xml:space="preserve">81</t>
  </si>
  <si>
    <t xml:space="preserve">6" parapet</t>
  </si>
  <si>
    <t xml:space="preserve">PAR-N-TOWER (parapet) </t>
  </si>
  <si>
    <t xml:space="preserve">11/S5.10; 6/S5.10; A02.02 contour; C/A09.21 T/STUD</t>
  </si>
  <si>
    <t xml:space="preserve">PARAPET  #82  -  PAR-TOWER-RET (parapet) </t>
  </si>
  <si>
    <t xml:space="preserve">82</t>
  </si>
  <si>
    <t xml:space="preserve">PAR-TOWER-RET (parapet) </t>
  </si>
  <si>
    <t xml:space="preserve">PARAPET  #83  -  PAR-W2-TOWER (parapet) </t>
  </si>
  <si>
    <t xml:space="preserve">83</t>
  </si>
  <si>
    <t xml:space="preserve">PAR-W2-TOWER (parapet) </t>
  </si>
  <si>
    <t xml:space="preserve">PARAPET  #84  -  PAR-DJOG (parapet) </t>
  </si>
  <si>
    <t xml:space="preserve">84</t>
  </si>
  <si>
    <t xml:space="preserve">PAR-DJOG (parapet) </t>
  </si>
  <si>
    <t xml:space="preserve">PARAPET  #85  -  PAR-N-MAIN (parapet) </t>
  </si>
  <si>
    <t xml:space="preserve">85</t>
  </si>
  <si>
    <t xml:space="preserve">PAR-N-MAIN (parapet) </t>
  </si>
  <si>
    <t xml:space="preserve">PARAPET  #86  -  PAR-E-HI (parapet) </t>
  </si>
  <si>
    <t xml:space="preserve">86</t>
  </si>
  <si>
    <t xml:space="preserve">PAR-E-HI (parapet) </t>
  </si>
  <si>
    <t xml:space="preserve">PARAPET  #87  -  PAR-E-LOW (parapet) </t>
  </si>
  <si>
    <t xml:space="preserve">87</t>
  </si>
  <si>
    <t xml:space="preserve">PAR-E-LOW (parapet) </t>
  </si>
  <si>
    <t xml:space="preserve">PARAPET  #88  -  PAR-S (parapet) </t>
  </si>
  <si>
    <t xml:space="preserve">88</t>
  </si>
  <si>
    <t xml:space="preserve">PAR-S (parapet) </t>
  </si>
  <si>
    <t xml:space="preserve">PARAPET  #89  -  PAR-W3-HI (parapet) </t>
  </si>
  <si>
    <t xml:space="preserve">89</t>
  </si>
  <si>
    <t xml:space="preserve">PAR-W3-HI (parapet) </t>
  </si>
  <si>
    <t xml:space="preserve">PARAPET  #90  -  PAR-W3-LOW (parapet) </t>
  </si>
  <si>
    <t xml:space="preserve">90</t>
  </si>
  <si>
    <t xml:space="preserve">PAR-W3-LOW (parapet) </t>
  </si>
  <si>
    <t xml:space="preserve">TYPE FASCIA</t>
  </si>
  <si>
    <t xml:space="preserve">FASCIA  #91  -  FAS-N (fascia_box) </t>
  </si>
  <si>
    <t xml:space="preserve">91</t>
  </si>
  <si>
    <t xml:space="preserve">FAS-N (fascia_box) </t>
  </si>
  <si>
    <t xml:space="preserve">3/A09.26; A02.02 74'-6" + 3'-8"</t>
  </si>
  <si>
    <t xml:space="preserve">FASCIA  #92  -  FAS-E (fascia_box) </t>
  </si>
  <si>
    <t xml:space="preserve">92</t>
  </si>
  <si>
    <t xml:space="preserve">FAS-E (fascia_box) </t>
  </si>
  <si>
    <t xml:space="preserve">7/A09.26; A02.02</t>
  </si>
  <si>
    <t xml:space="preserve">FASCIA  #93  -  FAS-S (fascia_box) </t>
  </si>
  <si>
    <t xml:space="preserve">93</t>
  </si>
  <si>
    <t xml:space="preserve">FAS-S (fascia_box) </t>
  </si>
  <si>
    <t xml:space="preserve">7/A09.26 SIM; A02.02 16'-2" + 6'-10"</t>
  </si>
  <si>
    <t xml:space="preserve">FASCIA  #94  -  FAS-W (fascia_box) </t>
  </si>
  <si>
    <t xml:space="preserve">94</t>
  </si>
  <si>
    <t xml:space="preserve">FAS-W (fascia_box) </t>
  </si>
  <si>
    <t xml:space="preserve">16/A09.27; A02.02 56'-6 1/4" + 21'-6"</t>
  </si>
  <si>
    <t xml:space="preserve">TYPE SOFFIT</t>
  </si>
  <si>
    <t xml:space="preserve">SOFFIT  #95  -  CSR-WN (soffit_side) 116: 1 x 5/8 regular to 1.5 ft</t>
  </si>
  <si>
    <t xml:space="preserve">95</t>
  </si>
  <si>
    <t xml:space="preserve">CSR-WN (soffit_side) 116: 1 x 5/8 regular to 1.5 ft</t>
  </si>
  <si>
    <t xml:space="preserve">10/A09.33; A04.01 GB 8'-0"; A02.01 12'-0 1/4" HOLD</t>
  </si>
  <si>
    <t xml:space="preserve">SOFFIT  #96  -  CSR-WS (soffit_side) 116: 1 x 5/8 regular to 1.5 ft</t>
  </si>
  <si>
    <t xml:space="preserve">96</t>
  </si>
  <si>
    <t xml:space="preserve">CSR-WS (soffit_side) 116: 1 x 5/8 regular to 1.5 ft</t>
  </si>
  <si>
    <t xml:space="preserve">SOFFIT  #97  -  CSR-EN (soffit_side) 116: 1 x 5/8 regular to 7.375 ft</t>
  </si>
  <si>
    <t xml:space="preserve">97</t>
  </si>
  <si>
    <t xml:space="preserve">CSR-EN (soffit_side) 116: 1 x 5/8 regular to 7.375 ft</t>
  </si>
  <si>
    <t xml:space="preserve">SOFFIT  #98  -  CSR-ES (soffit_side) 116: 1 x 5/8 regular to 4.991 ft</t>
  </si>
  <si>
    <t xml:space="preserve">98</t>
  </si>
  <si>
    <t xml:space="preserve">CSR-ES (soffit_side) 116: 1 x 5/8 regular to 4.991 ft</t>
  </si>
  <si>
    <t xml:space="preserve">TYPE TRANS</t>
  </si>
  <si>
    <t xml:space="preserve">TRANS  #99  -  TR-104 (ceiling_transition) 103: 1 x 5/8 regular to 1.0 ft</t>
  </si>
  <si>
    <t xml:space="preserve">99</t>
  </si>
  <si>
    <t xml:space="preserve">TR-104 (ceiling_transition) 103: 1 x 5/8 regular to 1.0 ft</t>
  </si>
  <si>
    <t xml:space="preserve">8/A09.33; A04.01 GB 11'-0" vs ACT-4 11'-6" - 30'-0" printed</t>
  </si>
  <si>
    <t xml:space="preserve">TRANS  #100  -  TR-TELLER (ceiling_transition) 103: 1 x 5/8 regular to 3.0 ft | TELLER: 1 x 5/8 regular to 0.5 ft</t>
  </si>
  <si>
    <t xml:space="preserve">100</t>
  </si>
  <si>
    <t xml:space="preserve">TR-TELLER (ceiling_transition) 103: 1 x 5/8 regular to 3.0 ft | TELLER: 1 x 5/8 regular to 0.5 ft</t>
  </si>
  <si>
    <t xml:space="preserve">7/A09.33; A04.01 ACT-4 11'-6" vs 9'-0"</t>
  </si>
  <si>
    <t xml:space="preserve">TYPE VEST</t>
  </si>
  <si>
    <t xml:space="preserve">VEST  #101  -  VH-101 (vestibule_head) </t>
  </si>
  <si>
    <t xml:space="preserve">101</t>
  </si>
  <si>
    <t xml:space="preserve">VH-101 (vestibule_head) </t>
  </si>
  <si>
    <t xml:space="preserve">4/A12.10; 5/A12.10; 6/A12.10; 7/A12.10; A02.01 15'-7 3/4" / 6'-5"</t>
  </si>
  <si>
    <t xml:space="preserve">VEST  #102  -  VH-100A (vestibule_head) 103: 1 x 5/8 regular to 2.0 ft</t>
  </si>
  <si>
    <t xml:space="preserve">102</t>
  </si>
  <si>
    <t xml:space="preserve">VH-100A (vestibule_head) 103: 1 x 5/8 regular to 2.0 ft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</si>
  <si>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</si>
  <si>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</si>
  <si>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</si>
  <si>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</si>
  <si>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</si>
  <si>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</si>
  <si>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</si>
  <si>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</si>
  <si>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</si>
  <si>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</si>
  <si>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</si>
  <si>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</si>
  <si>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/ 600S137-33 (exterior CFMF, A5/B2/B2K partitions, storefront cripples) @16" O.C., @12" within 6 ft of building corners (S1.11 n.5)</t>
  </si>
  <si>
    <t xml:space="preserve">LF</t>
  </si>
  <si>
    <t xml:space="preserve">out/familias_out.json (canon.py v62); 7/S5.20; S1.11</t>
  </si>
  <si>
    <t xml:space="preserve">6" parapet stud 600S162-54 infill per bay (11/S5.10)</t>
  </si>
  <si>
    <t xml:space="preserve">out/familias_out.json (canon.py v62); 11/S5.10</t>
  </si>
  <si>
    <t xml:space="preserve">3-5/8" metal stud 362S137-33 / 14 GA (A1, B, C1, F, A1K partitions, soffit + canopy joists, kickers, roof step, column wraps)</t>
  </si>
  <si>
    <t xml:space="preserve">out/familias_out.json (canon.py v62); 3/A12.01; 7/S5.20</t>
  </si>
  <si>
    <t xml:space="preserve">1-5/8" metal stud double row G/G1 + office bulkheads (5/A12.01, 8/A12.01)</t>
  </si>
  <si>
    <t xml:space="preserve">out/familias_out.json (canon.py v62); 5/A12.01</t>
  </si>
  <si>
    <t xml:space="preserve">2-1/2" metal stud CFMF grille head (4/A08.21)</t>
  </si>
  <si>
    <t xml:space="preserve">out/familias_out.json (canon.py v62); 4/A08.21</t>
  </si>
  <si>
    <t xml:space="preserve">Bottom track (all sizes, L x rows)</t>
  </si>
  <si>
    <t xml:space="preserve">out/familias_out.json (canon.py v62); 3/A12.01</t>
  </si>
  <si>
    <t xml:space="preserve">Top / deflection slip track (all sizes, L x rows)</t>
  </si>
  <si>
    <t xml:space="preserve">out/familias_out.json (canon.py v62); 3/A12.01; 10/S5.10</t>
  </si>
  <si>
    <t xml:space="preserve">Track - ceilings / soffits / canopy fascia / transitions</t>
  </si>
  <si>
    <t xml:space="preserve">out/familias_out.json (canon.py v62); 8/A09.33; 7/A09.26</t>
  </si>
  <si>
    <t xml:space="preserve">Bracing 1-1/2" C.R. channel @ 48" O.C. (F/1/S5.20)</t>
  </si>
  <si>
    <t xml:space="preserve">out/familias_out.json (canon.py v62); F/1/S5.20</t>
  </si>
  <si>
    <t xml:space="preserve">Purlin 1x1x1 16 GA across min. (2) flutes (track to deck)</t>
  </si>
  <si>
    <t xml:space="preserve">out/familias_out.json (canon.py v62); 10/A09.33</t>
  </si>
  <si>
    <t xml:space="preserve">Header / box beam (metal framing), (R.O. + 1'-4") per opening</t>
  </si>
  <si>
    <t xml:space="preserve">out/familias_out.json (canon.py v62); S5.20; 4/A08.21</t>
  </si>
  <si>
    <t xml:space="preserve">Sill track (R.O. + 1'-4")</t>
  </si>
  <si>
    <t xml:space="preserve">out/familias_out.json (canon.py v62); 10/A09.27</t>
  </si>
  <si>
    <t xml:space="preserve">Framed openings MEP (recessed fixtures UU/R-11, slot diffusers, access panel) 3-5/8" track</t>
  </si>
  <si>
    <t xml:space="preserve">out/framed_openings_out.json (framed_openings.py v62); E00.01; E02.01; M01.01</t>
  </si>
  <si>
    <t xml:space="preserve">Furring channel 7/8" @ 16" O.C. (GB ceilings)</t>
  </si>
  <si>
    <t xml:space="preserve">out/familias_out.json (canon.py v62); A04.01</t>
  </si>
  <si>
    <t xml:space="preserve">Carrying channel 1-1/2" C.R. @ 48" O.C.</t>
  </si>
  <si>
    <t xml:space="preserve">Hanger wire 12 GA (hangers x drop)</t>
  </si>
  <si>
    <t xml:space="preserve">out/familias_out.json (canon.py v62); A04.01; S2.20</t>
  </si>
  <si>
    <t xml:space="preserve">5/8" gyp board regular (walls + ceilings + soffits; A12.01 fire rating --)</t>
  </si>
  <si>
    <t xml:space="preserve">SF</t>
  </si>
  <si>
    <t xml:space="preserve">4x12 sheet</t>
  </si>
  <si>
    <t xml:space="preserve">out/familias_out.json (canon.py v62); 3/A12.01; A04.01</t>
  </si>
  <si>
    <t xml:space="preserve">5/8" gyp board MOISTURE RESISTANT (restroom chase faces, A08.01 note F)</t>
  </si>
  <si>
    <t xml:space="preserve">out/familias_out.json (canon.py v62); A08.01</t>
  </si>
  <si>
    <t xml:space="preserve">Ballistic panel 3/8" UL752 Level 2 fiberglass (customer side to 8'-0")</t>
  </si>
  <si>
    <t xml:space="preserve">4x8 sheet</t>
  </si>
  <si>
    <t xml:space="preserve">out/familias_out.json (canon.py v62); 4/A12.01</t>
  </si>
  <si>
    <t xml:space="preserve">3/8" gyp board (ballistic walls 8'-0" to structure)</t>
  </si>
  <si>
    <t xml:space="preserve">5/8" glass mat sheathing (base strip + canopy band)</t>
  </si>
  <si>
    <t xml:space="preserve">out/familias_out.json (canon.py v62); 5/A09.26; 7/A09.26</t>
  </si>
  <si>
    <t xml:space="preserve">5/8" EXTERIOR gyp sheathing (parapet roof side)</t>
  </si>
  <si>
    <t xml:space="preserve">out/familias_out.json (canon.py v62); C/A09.21</t>
  </si>
  <si>
    <t xml:space="preserve">FRT plywood (nailbase bonded polyiso, canopy soffits, F wall, backboards, opening strips, column wraps)</t>
  </si>
  <si>
    <t xml:space="preserve">out/familias_out.json (canon.py v62); A09.21; 7/A09.26; 12/A12.01</t>
  </si>
  <si>
    <t xml:space="preserve">FRT blocking (FRTW millwork / toilet accessories / 3/4" FRT plywood at office fronts / parapet 2 plies)</t>
  </si>
  <si>
    <t xml:space="preserve">out/familias_out.json (canon.py v62); 4/A09.26; A08.01; 10/A12.01</t>
  </si>
  <si>
    <t xml:space="preserve">Metal stud blocking 362CR22 (STUD BLOCKING at edge of gypboard + unlabeled devices)</t>
  </si>
  <si>
    <t xml:space="preserve">out/familias_out.json (canon.py v62); 4/S5.20</t>
  </si>
  <si>
    <t xml:space="preserve">Metal trim - corner bead, casing bead, shadow molding, gypsum edge trim</t>
  </si>
  <si>
    <t xml:space="preserve">out/familias_out.json (canon.py v62); 8/A12.01; 10/A12.01; 8/A09.33</t>
  </si>
  <si>
    <t xml:space="preserve">Acoustical sealant (beads drawn per partition detail: A1/A5 2 bottom; B/B2/K 2 top + 2 bottom; G 2 bottom; office bulkhead 4)</t>
  </si>
  <si>
    <t xml:space="preserve">3/A12.01; 1/A12.01; 4/A12.01; 5/A12.01; 8/A12.01 (DERIVADO: sum L x beads, doors deducted at bottom 55.5)</t>
  </si>
  <si>
    <t xml:space="preserve">FRP WC-3 panel 5'-0" over 6" cove base (restrooms 113/114) + WC-2 mop sink 4'-0" x 2'-0" both sides</t>
  </si>
  <si>
    <t xml:space="preserve">A-D/A08.01; 6/A12.04 (DERIVADO: (36.8 perim - 3.0 door) x 5.0 x 2 rooms + 2 x 4 x 2)</t>
  </si>
  <si>
    <t xml:space="preserve">Joint treatment finish Level 4 (taping) - gypsum surfaces, assumed (A00.40; no level printed except A05.01 KN 9/10 Level 5)</t>
  </si>
  <si>
    <t xml:space="preserve">A00.40; A05.01 (DERIVADO: regular + MR + 3/8 board SF from familias_out.json)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</si>
  <si>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</si>
  <si>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</si>
  <si>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</si>
  <si>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</si>
  <si>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 titles A09.01 'SOUTH' / A09.02 'NORTH' are transposed vs A02.01 north arrow (S2.20 'BUILDING FOOTPRINT MIRRORED NORTH-SOUTH'). Take-off assigns facades by grid line.</t>
  </si>
  <si>
    <t xml:space="preserve">0 (assignment by grid line)</t>
  </si>
  <si>
    <t xml:space="preserve">RFI-02</t>
  </si>
  <si>
    <t xml:space="preserve">S2.20 prints canopy B.O.D. '111'-9"' (read 11'-9" per J/H A09.23 T/STEEL). Confirm.</t>
  </si>
  <si>
    <t xml:space="preserve">0</t>
  </si>
  <si>
    <t xml:space="preserve">RFI-03</t>
  </si>
  <si>
    <t xml:space="preserve">Exterior stud: 7/S5.20 600S137-33 @16" vs S1.11 note 5 600S162-54 @16" and @12" within 6 ft of building corners. Carried S1.11 (more material, 56.2).</t>
  </si>
  <si>
    <t xml:space="preserve">6" stud approx -60 LF and lighter gauge if 7/S5.20 governs</t>
  </si>
  <si>
    <t xml:space="preserve">RFI-04</t>
  </si>
  <si>
    <t xml:space="preserve">Exterior studs stop in deflection track under the perimeter beam (10/S5.10) while A09.21-23 draw studs continuous to T/STUD. Carried stop under beam (60.3).</t>
  </si>
  <si>
    <t xml:space="preserve">+1.0 to +1.5 ft per exterior stud if continuous (approx +250 LF 6" stud)</t>
  </si>
  <si>
    <t xml:space="preserve">RFI-05</t>
  </si>
  <si>
    <t xml:space="preserve">GB ceiling suspension not printed (A04.01 'SUSPENDED GWB'): carried furring 7/8" @16", carrying 1-1/2" @48" N-S, hangers @48". Alternate 6/A09.33 3-5/8" stud joists @16".</t>
  </si>
  <si>
    <t xml:space="preserve">alt: -807.64 LF furring, -317.42 carrying, -530.13 LF hanger wire, +approx 700 LF 3-5/8" stud</t>
  </si>
  <si>
    <t xml:space="preserve">RFI-06</t>
  </si>
  <si>
    <t xml:space="preserve">Ceiling details 7, 8, 10/A09.33 are not keyed on A04.01; assigned by geometry (8 at Waiting 104 edges, 7 at teller bulkhead, 10 at CSR soffit). Kicker length not printed: carried 45 deg to deck.</t>
  </si>
  <si>
    <t xml:space="preserve">kickers approx -40 LF if 1'-6" kickers</t>
  </si>
  <si>
    <t xml:space="preserve">RFI-07</t>
  </si>
  <si>
    <t xml:space="preserve">Window heads 11/A09.27 'METAL STUD BOX BEAM OR STEEL FRAMING AS REQUIRED' and door 123 14/A09.27: no lintel on S2.20 -&gt; carried metal box beam. Header schedule S5.20 covers spans to 8'-0" only.</t>
  </si>
  <si>
    <t xml:space="preserve">0 LF if steel by others: -58.0 LF header</t>
  </si>
  <si>
    <t xml:space="preserve">RFI-08</t>
  </si>
  <si>
    <t xml:space="preserve">Interior vestibule storefronts 101 (15'-7 3/4") and 100A (6'-5") 'BOX HEADER AS NEEDED' (4-7/A12.10): carried metal box header + stud framing above to deck.</t>
  </si>
  <si>
    <t xml:space="preserve">-24.73 LF header if not needed</t>
  </si>
  <si>
    <t xml:space="preserve">RFI-09</t>
  </si>
  <si>
    <t xml:space="preserve">3/4" FRT plywood strip width at window/storefront/door heads, sills, jambs not printed (scaled ~9 1/8"). Carried 9 1/8".</t>
  </si>
  <si>
    <t xml:space="preserve">+/- 0.08 ft x 456 LF = +/-36 SF</t>
  </si>
  <si>
    <t xml:space="preserve">RFI-10</t>
  </si>
  <si>
    <t xml:space="preserve">Canopy soffit joist spacing and direction not printed (3/A09.26, 7/A09.26, 15/A09.27). Carried 3-5/8" @16" spanning wall to fascia.</t>
  </si>
  <si>
    <t xml:space="preserve">N/S canopies -111 LF if joists run the long way</t>
  </si>
  <si>
    <t xml:space="preserve">RFI-11</t>
  </si>
  <si>
    <t xml:space="preserve">Canopy band height: T/STUD 12'-7" - B/STUD 10'-7 1/4" = 1'-11 3/4" (7/A09.26 printed) carried; glass mat zone drawn ~1'-3 13/16".</t>
  </si>
  <si>
    <t xml:space="preserve">glass mat -84 SF / nailbase +84 SF</t>
  </si>
  <si>
    <t xml:space="preserve">RFI-12</t>
  </si>
  <si>
    <t xml:space="preserve">Tower parapet T/STUD 19'-8" (A/A09.21) vs T.O. PARAPET 2 20'-0": carried 19'-8".</t>
  </si>
  <si>
    <t xml:space="preserve">+0.333 ft x tower parapet studs (approx +25 LF) and +19 SF ext gyp</t>
  </si>
  <si>
    <t xml:space="preserve">RFI-13</t>
  </si>
  <si>
    <t xml:space="preserve">Blocking without material label (artwork x6, combo board, cork boards, coat bars, lockers): carried metal stud blocking 362CR22 (4/S5.20).</t>
  </si>
  <si>
    <t xml:space="preserve">FRT alternate: same LF to FRT blocking</t>
  </si>
  <si>
    <t xml:space="preserve">RFI-14</t>
  </si>
  <si>
    <t xml:space="preserve">Wall stop blocking length not located: 2'-0" per stop x 9 stops (hardware groups A00.30).</t>
  </si>
  <si>
    <t xml:space="preserve">+/- 9 LF</t>
  </si>
  <si>
    <t xml:space="preserve">RFI-15</t>
  </si>
  <si>
    <t xml:space="preserve">Office bulkhead shadow molding labeled on lobby side only (9/A12.01): carried 45 LF.</t>
  </si>
  <si>
    <t xml:space="preserve">+45 LF if both sides</t>
  </si>
  <si>
    <t xml:space="preserve">RFI-16</t>
  </si>
  <si>
    <t xml:space="preserve">MR board height behind toilet/lavatory (A08.01 note F) not given: carried full height on chase faces. Adversarial review reads the WC on the exterior west wall (elev D) - confirm which face.</t>
  </si>
  <si>
    <t xml:space="preserve">approx -150 SF if to ceiling only; +approx 85 SF MR on exterior wall if WC is there</t>
  </si>
  <si>
    <t xml:space="preserve">RFI-17</t>
  </si>
  <si>
    <t xml:space="preserve">Partition C1 (6/A12.01) shows no top: carried studs and board to deck (53.3) at chase, FCAM, media wall, grille jambs, piers.</t>
  </si>
  <si>
    <t xml:space="preserve">media wall -41.2 SF board if to ceiling + 6"</t>
  </si>
  <si>
    <t xml:space="preserve">RFI-18</t>
  </si>
  <si>
    <t xml:space="preserve">G1 measures 8.48" on plan vs 8" schedule; B2K has no schedule row (derived B2 + 3/8" ballistic, measured 7.68").</t>
  </si>
  <si>
    <t xml:space="preserve">0 (layers unchanged)</t>
  </si>
  <si>
    <t xml:space="preserve">RFI-19</t>
  </si>
  <si>
    <t xml:space="preserve">A1K ballistic customer face orientation at A1K-N / A1K-S1 (teller counter ends) not unambiguous; carried on the exposed face.</t>
  </si>
  <si>
    <t xml:space="preserve">0 SF (orientation)</t>
  </si>
  <si>
    <t xml:space="preserve">RFI-20</t>
  </si>
  <si>
    <t xml:space="preserve">R-11C / R-11CE length: description 12' vs catalog 20'-0" (E00.01); carried 12' (= drawn).</t>
  </si>
  <si>
    <t xml:space="preserve">+64 LF framed openings</t>
  </si>
  <si>
    <t xml:space="preserve">RFI-21</t>
  </si>
  <si>
    <t xml:space="preserve">Slot diffuser TBDI-10 size 'SEE DRAWING' not printed: carried 4" wide x 4'-0" segments (12).</t>
  </si>
  <si>
    <t xml:space="preserve">+/- 4 LF</t>
  </si>
  <si>
    <t xml:space="preserve">RFI-22</t>
  </si>
  <si>
    <t xml:space="preserve">Fire dampers R-2 14x14 fit the 14 3/8" stud bay (60.10) -&gt; 0; FD sleeves/angles may need framed openings.</t>
  </si>
  <si>
    <t xml:space="preserve">+approx 20 LF header + 20 LF sill track</t>
  </si>
  <si>
    <t xml:space="preserve">RFI-23</t>
  </si>
  <si>
    <t xml:space="preserve">Bracing C.R. channel crossing openings (53.4 literal) carried.</t>
  </si>
  <si>
    <t xml:space="preserve">-100 LF bracing if it does not cross openings</t>
  </si>
  <si>
    <t xml:space="preserve">RFI-24</t>
  </si>
  <si>
    <t xml:space="preserve">Bottom track: door R.O.s not deducted (corridas v62).</t>
  </si>
  <si>
    <t xml:space="preserve">-47.16 LF bottom track</t>
  </si>
  <si>
    <t xml:space="preserve">RFI-25</t>
  </si>
  <si>
    <t xml:space="preserve">Sloped low roof (B-&gt;A): stud height = AVERAGE B.O.D. along each wall (v62 P4) vs high side (53.2).</t>
  </si>
  <si>
    <t xml:space="preserve">+approx 0.26 ft per stud in N-S low-roof walls</t>
  </si>
  <si>
    <t xml:space="preserve">RFI-26</t>
  </si>
  <si>
    <t xml:space="preserve">Purlin 10/A09.33: flute direction 'VIF'; carried flutes E-W (joists N-S on S2.20) -&gt; E-W top tracks get purlin.</t>
  </si>
  <si>
    <t xml:space="preserve">N-S walls instead: approx +100 LF purlin</t>
  </si>
  <si>
    <t xml:space="preserve">RFI-27</t>
  </si>
  <si>
    <t xml:space="preserve">Edge-of-gypboard blocking 4/S5.20 has no location: one row per stud row where a face exceeds a 12 ft sheet.</t>
  </si>
  <si>
    <t xml:space="preserve">-638 LF if not required</t>
  </si>
  <si>
    <t xml:space="preserve">RFI-28</t>
  </si>
  <si>
    <t xml:space="preserve">Drive-up ATM R.O. 2'-2 1/2" (7/A08.11) vs 2'-2 1/8" (5/A08.11); 2 1/2" studs sistered to 6" (5/A08.11) width not printed.</t>
  </si>
  <si>
    <t xml:space="preserve">+approx 50 LF 2-1/2" stud</t>
  </si>
  <si>
    <t xml:space="preserve">RFI-29</t>
  </si>
  <si>
    <t xml:space="preserve">Coiling grille 103 schedule height 13'-6 1/2" vs 1'-6" bulkhead under ACT; jamb FRT blocking carried 6 pieces x 13'-6 1/2".</t>
  </si>
  <si>
    <t xml:space="preserve">-21 LF FRT blocking if jambs stop at ceiling</t>
  </si>
  <si>
    <t xml:space="preserve">RFI-30</t>
  </si>
  <si>
    <t xml:space="preserve">West drive-up canopy 15/A09.27 labels no glass mat band and stops the FRT nailbase at the canopy zone: nailbase deducted 1'-11 3/4" x 56.43 LF, nothing added.</t>
  </si>
  <si>
    <t xml:space="preserve">+111.7 SF glass mat if required</t>
  </si>
  <si>
    <t xml:space="preserve">RFI-31</t>
  </si>
  <si>
    <t xml:space="preserve">Parapet roof-side board 4/A09.26 '5/8" DENS DECK OR EQUAL' under membrane may be roofer scope; carried as 5/8" exterior gyp sheathing.</t>
  </si>
  <si>
    <t xml:space="preserve">-995.63 SF if by roofer</t>
  </si>
  <si>
    <t xml:space="preserve">RFI-32</t>
  </si>
  <si>
    <t xml:space="preserve">Canopy beam in the stud cavity (3, 7/A09.26; 15/A09.27): storefront cripples carried full from HSS to roof beam.</t>
  </si>
  <si>
    <t xml:space="preserve">SFC -38.5 LF 6" stud, +77 LF track if split</t>
  </si>
  <si>
    <t xml:space="preserve">RFI-33</t>
  </si>
  <si>
    <t xml:space="preserve">Studs of interior walls located directly under S2.20 beams (grids 5, 6, 7, D, restrooms) carried to B.O.D.</t>
  </si>
  <si>
    <t xml:space="preserve">-approx 35 LF 3-5/8", -27 LF 6", -61 LF 1-5/8", -121 SF board</t>
  </si>
  <si>
    <t xml:space="preserve">RFI-34</t>
  </si>
  <si>
    <t xml:space="preserve">Soundguard isolator (5, 8, 9/A12.01) between G stud rows: spacing not printed; not a v62 family, not carried.</t>
  </si>
  <si>
    <t xml:space="preserve">+min 145 LF</t>
  </si>
  <si>
    <t xml:space="preserve">RFI-35</t>
  </si>
  <si>
    <t xml:space="preserve">Ducts larger than stud bay (16x16, 18x18, 21x17 on M01.01) - wall crossings not confirmed.</t>
  </si>
  <si>
    <t xml:space="preserve">0 to +22 LF header/sill</t>
  </si>
  <si>
    <t xml:space="preserve">RFI-36</t>
  </si>
  <si>
    <t xml:space="preserve">Control joints: none labeled for gypsum board in the set (only stucco CJ). Excluded.</t>
  </si>
  <si>
    <t xml:space="preserve">#</t>
  </si>
  <si>
    <t xml:space="preserve">Punto</t>
  </si>
  <si>
    <t xml:space="preserve">Hoja + detalle</t>
  </si>
  <si>
    <t xml:space="preserve">Imagen</t>
  </si>
  <si>
    <t xml:space="preserve">Fachadas asignadas por eje: A09.01/A09.02 tienen los títulos N/S invertidos (RFI-01).</t>
  </si>
  <si>
    <t xml:space="preserve">A09.01</t>
  </si>
  <si>
    <t xml:space="preserve">out/planos/10_PLANO_EXTERIORES.png</t>
  </si>
  <si>
    <t xml:space="preserve">Suspensión de GB ceilings no impresa: furring 16"/carrying 48" N-S/hangers 48" (RFI-05). Confirmar contra 6/A09.33 stud joists.</t>
  </si>
  <si>
    <t xml:space="preserve">A04.01</t>
  </si>
  <si>
    <t xml:space="preserve">out/planos/11_PLANO_CEILINGS_GWB_SOFFITS.png</t>
  </si>
  <si>
    <t xml:space="preserve">Stud exterior S1.11 n.5 (600S162-54, @12" a 6 ft de esquinas) contra 7/S5.20: se cargó lo de más material (RFI-03).</t>
  </si>
  <si>
    <t xml:space="preserve">S1.11</t>
  </si>
  <si>
    <t xml:space="preserve">Studs exteriores paran bajo la viga (10/S5.10) contra secciones A09.21-23 continuas (RFI-04).</t>
  </si>
  <si>
    <t xml:space="preserve">10/S5.10</t>
  </si>
  <si>
    <t xml:space="preserve">Deck en pendiente: altura promedio por muro (v62 P4) en vez del lado alto (53.2). Delta en RFI-25.</t>
  </si>
  <si>
    <t xml:space="preserve">S2.20</t>
  </si>
  <si>
    <t xml:space="preserve">Door 111: estaba como abertura entre muros (sin jambs); el revisor ADV1 mostró que el muro A1 corre 5'-0" con la door. Corregido; canon.py ganó 'jamb_wall' con test para el caso general.</t>
  </si>
  <si>
    <t xml:space="preserve">A02.01</t>
  </si>
  <si>
    <t xml:space="preserve">out/planos/01_PLANO_A1.png</t>
  </si>
  <si>
    <t xml:space="preserve">Caras de muros reasignadas por el revisor ADV1 (103 strip ACT 11'-6", niche MW01 open, 120/121 open, teller queue 9'-0"). Alturas equivalentes por tramo; revisar.</t>
  </si>
  <si>
    <t xml:space="preserve">Canopy soffits: áreas netas sin la caja de fascia de 6"; joists 3-5/8" @16" no impresos (RFI-10).</t>
  </si>
  <si>
    <t xml:space="preserve">A02.02</t>
  </si>
  <si>
    <t xml:space="preserve">Sealant acústico calculado por cuentas de bead por detalle (no es familia v62).</t>
  </si>
  <si>
    <t xml:space="preserve">3/A12.01</t>
  </si>
  <si>
    <t xml:space="preserve">Propuestas del revisor que NO se aplicaron (van aquí): studs bajo vigas (ADV1-07, RFI-33), cripples partidos por la viga del canopy (PR-01, RFI-32), corner bead vertical en cajas del grille (ADV3-06, +69 LF), plinths FRT de ATMs (ADV3-13), blocking 2x de WH-1 (ADV3-10, +4 LF), framing interior de piers a 10'-0" (ADV2-07, +52.7 LF).</t>
  </si>
  <si>
    <t xml:space="preserve">MR: el revisor ADV1 lee el WC sobre el muro exterior oeste (elev D) y no sobre el chase. Se dejó MR en el chase (lavatory) según opn/intw; confirmar (RFI-16).</t>
  </si>
  <si>
    <t xml:space="preserve">A08.01</t>
  </si>
  <si>
    <t xml:space="preserve">Nivel de acabado: Level 4 asumido; A05.01 keynotes 9/10 piden Level 5 en muros con WC-20/WC-22 (no cuantificado aparte).</t>
  </si>
  <si>
    <t xml:space="preserve">A05.01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</si>
  <si>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</si>
  <si>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</si>
  <si>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</si>
  <si>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</si>
  <si>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</si>
  <si>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CUANTIFICADO</t>
  </si>
  <si>
    <t xml:space="preserve">6", 3-5/8", 1-5/8", 2-1/2" stud rows M01-M05</t>
  </si>
  <si>
    <t xml:space="preserve">ALC-02</t>
  </si>
  <si>
    <t xml:space="preserve">6" stud M01 exterior CFMF</t>
  </si>
  <si>
    <t xml:space="preserve">ALC-03</t>
  </si>
  <si>
    <t xml:space="preserve">M02 parapet stud 11/S5.10</t>
  </si>
  <si>
    <t xml:space="preserve">ALC-04</t>
  </si>
  <si>
    <t xml:space="preserve">M06/M07</t>
  </si>
  <si>
    <t xml:space="preserve">ALC-05</t>
  </si>
  <si>
    <t xml:space="preserve">M11/M12</t>
  </si>
  <si>
    <t xml:space="preserve">ALC-06</t>
  </si>
  <si>
    <t xml:space="preserve">M09</t>
  </si>
  <si>
    <t xml:space="preserve">ALC-07</t>
  </si>
  <si>
    <t xml:space="preserve">M17</t>
  </si>
  <si>
    <t xml:space="preserve">ALC-08</t>
  </si>
  <si>
    <t xml:space="preserve">M18 A08.01 note F</t>
  </si>
  <si>
    <t xml:space="preserve">ALC-09</t>
  </si>
  <si>
    <t xml:space="preserve">M21/M22</t>
  </si>
  <si>
    <t xml:space="preserve">ALC-10</t>
  </si>
  <si>
    <t xml:space="preserve">M23</t>
  </si>
  <si>
    <t xml:space="preserve">ALC-11</t>
  </si>
  <si>
    <t xml:space="preserve">M17 incl. GB ceilings A04.01</t>
  </si>
  <si>
    <t xml:space="preserve">ALC-12</t>
  </si>
  <si>
    <t xml:space="preserve">M14/M15/M16/M08</t>
  </si>
  <si>
    <t xml:space="preserve">ALC-13</t>
  </si>
  <si>
    <t xml:space="preserve">M08 soffits/bulkheads 8,10/A09.33</t>
  </si>
  <si>
    <t xml:space="preserve">ALC-14</t>
  </si>
  <si>
    <t xml:space="preserve">M08 canopy fascia track, M03 canopy joists, M23</t>
  </si>
  <si>
    <t xml:space="preserve">ALC-15</t>
  </si>
  <si>
    <t xml:space="preserve">M03 column wraps 5/A09.25</t>
  </si>
  <si>
    <t xml:space="preserve">ALC-16</t>
  </si>
  <si>
    <t xml:space="preserve">M24/M25</t>
  </si>
  <si>
    <t xml:space="preserve">ALC-17</t>
  </si>
  <si>
    <t xml:space="preserve">M13 framed_openings.py</t>
  </si>
  <si>
    <t xml:space="preserve">ALC-18</t>
  </si>
  <si>
    <t xml:space="preserve">M26</t>
  </si>
  <si>
    <t xml:space="preserve">ALC-19</t>
  </si>
  <si>
    <t xml:space="preserve">M27</t>
  </si>
  <si>
    <t xml:space="preserve">ALC-20</t>
  </si>
  <si>
    <t xml:space="preserve">M28 FRP A08.01</t>
  </si>
  <si>
    <t xml:space="preserve">ALC-21</t>
  </si>
  <si>
    <t xml:space="preserve">NO APLICA</t>
  </si>
  <si>
    <t xml:space="preserve">NO APLICA: A12.01 no shaft wall types; no shaft walls in A02.01</t>
  </si>
  <si>
    <t xml:space="preserve">ALC-22</t>
  </si>
  <si>
    <t xml:space="preserve">NO APLICA: A02.01 no rated partitions (FIRE RATED only for plywood backboards keynote 6 and M00.01 dampers)</t>
  </si>
  <si>
    <t xml:space="preserve">ALC-23</t>
  </si>
  <si>
    <t xml:space="preserve">M19/M20 4/A12.01</t>
  </si>
  <si>
    <t xml:space="preserve">ALC-24</t>
  </si>
  <si>
    <t xml:space="preserve">M29 finish Level 4 (A00.40)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</si>
</sst>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17.762</v>
      </c>
      <c r="D6" s="0" t="n">
        <v>15.375</v>
      </c>
      <c r="E6" s="0" t="n">
        <v>1</v>
      </c>
      <c r="F6" s="0" t="s">
        <v>31</v>
      </c>
      <c r="G6" s="0" t="n">
        <v>16</v>
      </c>
      <c r="H6" s="0" t="n">
        <v>325.38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5" t="s">
        <v>35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n">
        <v>11.627</v>
      </c>
      <c r="D8" s="0" t="n">
        <v>15.375</v>
      </c>
      <c r="E8" s="0" t="n">
        <v>2</v>
      </c>
      <c r="F8" s="0" t="s">
        <v>38</v>
      </c>
      <c r="G8" s="0" t="n">
        <v>16</v>
      </c>
      <c r="H8" s="0" t="n">
        <v>715.06</v>
      </c>
      <c r="I8" s="0" t="s">
        <v>39</v>
      </c>
      <c r="J8" s="0" t="s">
        <v>40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11.627</v>
      </c>
      <c r="D9" s="0" t="n">
        <v>15.375</v>
      </c>
      <c r="E9" s="0" t="n">
        <v>2</v>
      </c>
      <c r="F9" s="0" t="s">
        <v>38</v>
      </c>
      <c r="G9" s="0" t="n">
        <v>16</v>
      </c>
      <c r="H9" s="0" t="n">
        <v>715.06</v>
      </c>
      <c r="I9" s="0" t="s">
        <v>43</v>
      </c>
      <c r="J9" s="0" t="s">
        <v>40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11.627</v>
      </c>
      <c r="D10" s="0" t="n">
        <v>15.375</v>
      </c>
      <c r="E10" s="0" t="n">
        <v>2</v>
      </c>
      <c r="F10" s="0" t="s">
        <v>38</v>
      </c>
      <c r="G10" s="0" t="n">
        <v>16</v>
      </c>
      <c r="H10" s="0" t="n">
        <v>715.06</v>
      </c>
      <c r="I10" s="0" t="s">
        <v>46</v>
      </c>
      <c r="J10" s="0" t="s">
        <v>40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10.073</v>
      </c>
      <c r="D11" s="0" t="n">
        <v>15.375</v>
      </c>
      <c r="E11" s="0" t="n">
        <v>2</v>
      </c>
      <c r="F11" s="0" t="s">
        <v>38</v>
      </c>
      <c r="G11" s="0" t="n">
        <v>16</v>
      </c>
      <c r="H11" s="0" t="n">
        <v>619.48</v>
      </c>
      <c r="I11" s="0" t="s">
        <v>49</v>
      </c>
      <c r="J11" s="0" t="s">
        <v>50</v>
      </c>
      <c r="K11" s="0" t="s">
        <v>34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n">
        <v>11.767</v>
      </c>
      <c r="D12" s="0" t="n">
        <v>15.375</v>
      </c>
      <c r="E12" s="0" t="n">
        <v>2</v>
      </c>
      <c r="F12" s="0" t="s">
        <v>38</v>
      </c>
      <c r="G12" s="0" t="n">
        <v>16</v>
      </c>
      <c r="H12" s="0" t="n">
        <v>723.68</v>
      </c>
      <c r="I12" s="0" t="s">
        <v>53</v>
      </c>
      <c r="J12" s="0" t="s">
        <v>54</v>
      </c>
      <c r="K12" s="0" t="s">
        <v>34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n">
        <v>11.767</v>
      </c>
      <c r="D13" s="0" t="n">
        <v>15.375</v>
      </c>
      <c r="E13" s="0" t="n">
        <v>2</v>
      </c>
      <c r="F13" s="0" t="s">
        <v>38</v>
      </c>
      <c r="G13" s="0" t="n">
        <v>16</v>
      </c>
      <c r="H13" s="0" t="n">
        <v>723.68</v>
      </c>
      <c r="I13" s="0" t="s">
        <v>57</v>
      </c>
      <c r="J13" s="0" t="s">
        <v>54</v>
      </c>
      <c r="K13" s="0" t="s">
        <v>34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n">
        <v>2.42</v>
      </c>
      <c r="D14" s="0" t="n">
        <v>15.375</v>
      </c>
      <c r="E14" s="0" t="n">
        <v>2</v>
      </c>
      <c r="F14" s="0" t="s">
        <v>38</v>
      </c>
      <c r="G14" s="0" t="n">
        <v>16</v>
      </c>
      <c r="H14" s="0" t="n">
        <v>148.82</v>
      </c>
      <c r="I14" s="0" t="s">
        <v>60</v>
      </c>
      <c r="J14" s="0" t="s">
        <v>50</v>
      </c>
      <c r="K14" s="0" t="s">
        <v>34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n">
        <v>3.467</v>
      </c>
      <c r="D15" s="0" t="n">
        <v>15.375</v>
      </c>
      <c r="E15" s="0" t="n">
        <v>2</v>
      </c>
      <c r="F15" s="0" t="s">
        <v>38</v>
      </c>
      <c r="G15" s="0" t="n">
        <v>16</v>
      </c>
      <c r="H15" s="0" t="n">
        <v>213.22</v>
      </c>
      <c r="I15" s="0" t="s">
        <v>63</v>
      </c>
      <c r="J15" s="0" t="s">
        <v>64</v>
      </c>
      <c r="K15" s="0" t="s">
        <v>34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n">
        <v>3.253</v>
      </c>
      <c r="D16" s="0" t="n">
        <v>15.375</v>
      </c>
      <c r="E16" s="0" t="n">
        <v>2</v>
      </c>
      <c r="F16" s="0" t="s">
        <v>38</v>
      </c>
      <c r="G16" s="0" t="n">
        <v>16</v>
      </c>
      <c r="H16" s="0" t="n">
        <v>200.06</v>
      </c>
      <c r="I16" s="0" t="s">
        <v>67</v>
      </c>
      <c r="J16" s="0" t="s">
        <v>64</v>
      </c>
      <c r="K16" s="0" t="s">
        <v>34</v>
      </c>
    </row>
    <row r="17" customFormat="false" ht="15" hidden="false" customHeight="false" outlineLevel="0" collapsed="false">
      <c r="A17" s="0" t="s">
        <v>68</v>
      </c>
      <c r="B17" s="0" t="s">
        <v>69</v>
      </c>
      <c r="C17" s="0" t="n">
        <v>3.253</v>
      </c>
      <c r="D17" s="0" t="n">
        <v>15.375</v>
      </c>
      <c r="E17" s="0" t="n">
        <v>2</v>
      </c>
      <c r="F17" s="0" t="s">
        <v>38</v>
      </c>
      <c r="G17" s="0" t="n">
        <v>16</v>
      </c>
      <c r="H17" s="0" t="n">
        <v>200.06</v>
      </c>
      <c r="I17" s="0" t="s">
        <v>70</v>
      </c>
      <c r="J17" s="0" t="s">
        <v>64</v>
      </c>
      <c r="K17" s="0" t="s">
        <v>34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n">
        <v>0.333</v>
      </c>
      <c r="D18" s="0" t="n">
        <v>15.375</v>
      </c>
      <c r="E18" s="0" t="n">
        <v>2</v>
      </c>
      <c r="F18" s="0" t="s">
        <v>38</v>
      </c>
      <c r="G18" s="0" t="n">
        <v>16</v>
      </c>
      <c r="H18" s="0" t="n">
        <v>20.48</v>
      </c>
      <c r="I18" s="0" t="s">
        <v>73</v>
      </c>
      <c r="J18" s="0" t="s">
        <v>64</v>
      </c>
      <c r="K18" s="0" t="s">
        <v>34</v>
      </c>
    </row>
    <row r="19" customFormat="false" ht="15" hidden="false" customHeight="false" outlineLevel="0" collapsed="false">
      <c r="A19" s="0" t="s">
        <v>74</v>
      </c>
      <c r="B19" s="0" t="s">
        <v>75</v>
      </c>
      <c r="C19" s="0" t="n">
        <v>7.5</v>
      </c>
      <c r="D19" s="0" t="n">
        <v>7.333</v>
      </c>
      <c r="E19" s="0" t="n">
        <v>2</v>
      </c>
      <c r="F19" s="0" t="s">
        <v>38</v>
      </c>
      <c r="G19" s="0" t="n">
        <v>16</v>
      </c>
      <c r="H19" s="0" t="n">
        <v>220</v>
      </c>
      <c r="I19" s="0" t="s">
        <v>76</v>
      </c>
      <c r="J19" s="0" t="s">
        <v>77</v>
      </c>
      <c r="K19" s="0" t="s">
        <v>34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n">
        <v>7.5</v>
      </c>
      <c r="D20" s="0" t="n">
        <v>7.333</v>
      </c>
      <c r="E20" s="0" t="n">
        <v>2</v>
      </c>
      <c r="F20" s="0" t="s">
        <v>38</v>
      </c>
      <c r="G20" s="0" t="n">
        <v>16</v>
      </c>
      <c r="H20" s="0" t="n">
        <v>220</v>
      </c>
      <c r="I20" s="0" t="s">
        <v>80</v>
      </c>
      <c r="J20" s="0" t="s">
        <v>77</v>
      </c>
      <c r="K20" s="0" t="s">
        <v>34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0" t="n">
        <v>7.5</v>
      </c>
      <c r="D21" s="0" t="n">
        <v>7.333</v>
      </c>
      <c r="E21" s="0" t="n">
        <v>2</v>
      </c>
      <c r="F21" s="0" t="s">
        <v>38</v>
      </c>
      <c r="G21" s="0" t="n">
        <v>16</v>
      </c>
      <c r="H21" s="0" t="n">
        <v>220</v>
      </c>
      <c r="I21" s="0" t="s">
        <v>83</v>
      </c>
      <c r="J21" s="0" t="s">
        <v>77</v>
      </c>
      <c r="K21" s="0" t="s">
        <v>34</v>
      </c>
    </row>
    <row r="22" customFormat="false" ht="15" hidden="false" customHeight="false" outlineLevel="0" collapsed="false">
      <c r="A22" s="0" t="s">
        <v>84</v>
      </c>
      <c r="B22" s="0" t="s">
        <v>85</v>
      </c>
      <c r="C22" s="0" t="n">
        <v>7.5</v>
      </c>
      <c r="D22" s="0" t="n">
        <v>7.333</v>
      </c>
      <c r="E22" s="0" t="n">
        <v>2</v>
      </c>
      <c r="F22" s="0" t="s">
        <v>38</v>
      </c>
      <c r="G22" s="0" t="n">
        <v>16</v>
      </c>
      <c r="H22" s="0" t="n">
        <v>220</v>
      </c>
      <c r="I22" s="0" t="s">
        <v>86</v>
      </c>
      <c r="J22" s="0" t="s">
        <v>77</v>
      </c>
      <c r="K22" s="0" t="s">
        <v>34</v>
      </c>
    </row>
    <row r="23" customFormat="false" ht="15" hidden="false" customHeight="false" outlineLevel="0" collapsed="false">
      <c r="A23" s="0" t="s">
        <v>87</v>
      </c>
      <c r="B23" s="0" t="s">
        <v>88</v>
      </c>
      <c r="C23" s="0" t="n">
        <v>7.5</v>
      </c>
      <c r="D23" s="0" t="n">
        <v>7.333</v>
      </c>
      <c r="E23" s="0" t="n">
        <v>2</v>
      </c>
      <c r="F23" s="0" t="s">
        <v>38</v>
      </c>
      <c r="G23" s="0" t="n">
        <v>16</v>
      </c>
      <c r="H23" s="0" t="n">
        <v>220</v>
      </c>
      <c r="I23" s="0" t="s">
        <v>89</v>
      </c>
      <c r="J23" s="0" t="s">
        <v>77</v>
      </c>
      <c r="K23" s="0" t="s">
        <v>34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0" t="n">
        <v>7.5</v>
      </c>
      <c r="D24" s="0" t="n">
        <v>7.333</v>
      </c>
      <c r="E24" s="0" t="n">
        <v>2</v>
      </c>
      <c r="F24" s="0" t="s">
        <v>38</v>
      </c>
      <c r="G24" s="0" t="n">
        <v>16</v>
      </c>
      <c r="H24" s="0" t="n">
        <v>220</v>
      </c>
      <c r="I24" s="0" t="s">
        <v>92</v>
      </c>
      <c r="J24" s="0" t="s">
        <v>77</v>
      </c>
      <c r="K24" s="0" t="s">
        <v>34</v>
      </c>
    </row>
    <row r="25" customFormat="false" ht="15" hidden="false" customHeight="false" outlineLevel="0" collapsed="false">
      <c r="A25" s="5" t="s">
        <v>93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0" t="n">
        <v>0.847</v>
      </c>
      <c r="D26" s="0" t="n">
        <v>15.375</v>
      </c>
      <c r="E26" s="0" t="n">
        <v>2</v>
      </c>
      <c r="F26" s="0" t="s">
        <v>38</v>
      </c>
      <c r="G26" s="0" t="n">
        <v>16</v>
      </c>
      <c r="H26" s="0" t="n">
        <v>52.1</v>
      </c>
      <c r="I26" s="0" t="s">
        <v>96</v>
      </c>
      <c r="J26" s="0" t="s">
        <v>97</v>
      </c>
      <c r="K26" s="0" t="s">
        <v>34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0" t="n">
        <v>3.507</v>
      </c>
      <c r="D27" s="0" t="n">
        <v>15.375</v>
      </c>
      <c r="E27" s="0" t="n">
        <v>2</v>
      </c>
      <c r="F27" s="0" t="s">
        <v>38</v>
      </c>
      <c r="G27" s="0" t="n">
        <v>16</v>
      </c>
      <c r="H27" s="0" t="n">
        <v>215.68</v>
      </c>
      <c r="I27" s="0" t="s">
        <v>100</v>
      </c>
      <c r="J27" s="0" t="s">
        <v>97</v>
      </c>
      <c r="K27" s="0" t="s">
        <v>34</v>
      </c>
    </row>
    <row r="28" customFormat="false" ht="15" hidden="false" customHeight="false" outlineLevel="0" collapsed="false">
      <c r="A28" s="0" t="s">
        <v>101</v>
      </c>
      <c r="B28" s="0" t="s">
        <v>102</v>
      </c>
      <c r="C28" s="0" t="n">
        <v>2.667</v>
      </c>
      <c r="D28" s="0" t="n">
        <v>15.375</v>
      </c>
      <c r="E28" s="0" t="n">
        <v>2</v>
      </c>
      <c r="F28" s="0" t="s">
        <v>38</v>
      </c>
      <c r="G28" s="0" t="n">
        <v>16</v>
      </c>
      <c r="H28" s="0" t="n">
        <v>164.02</v>
      </c>
      <c r="I28" s="0" t="s">
        <v>103</v>
      </c>
      <c r="J28" s="0" t="s">
        <v>97</v>
      </c>
      <c r="K28" s="0" t="s">
        <v>34</v>
      </c>
    </row>
    <row r="29" customFormat="false" ht="15" hidden="false" customHeight="false" outlineLevel="0" collapsed="false">
      <c r="A29" s="0" t="s">
        <v>104</v>
      </c>
      <c r="B29" s="0" t="s">
        <v>105</v>
      </c>
      <c r="C29" s="0" t="n">
        <v>11.767</v>
      </c>
      <c r="D29" s="0" t="n">
        <v>15.375</v>
      </c>
      <c r="E29" s="0" t="n">
        <v>2</v>
      </c>
      <c r="F29" s="0" t="s">
        <v>38</v>
      </c>
      <c r="G29" s="0" t="n">
        <v>16</v>
      </c>
      <c r="H29" s="0" t="n">
        <v>723.68</v>
      </c>
      <c r="I29" s="0" t="s">
        <v>106</v>
      </c>
      <c r="J29" s="0" t="s">
        <v>54</v>
      </c>
      <c r="K29" s="0" t="s">
        <v>34</v>
      </c>
    </row>
    <row r="30" customFormat="false" ht="15" hidden="false" customHeight="false" outlineLevel="0" collapsed="false">
      <c r="A30" s="5" t="s">
        <v>107</v>
      </c>
    </row>
    <row r="31" customFormat="false" ht="15" hidden="false" customHeight="false" outlineLevel="0" collapsed="false">
      <c r="A31" s="0" t="s">
        <v>108</v>
      </c>
      <c r="B31" s="0" t="s">
        <v>109</v>
      </c>
      <c r="C31" s="0" t="n">
        <v>5.66</v>
      </c>
      <c r="D31" s="0" t="n">
        <v>15.375</v>
      </c>
      <c r="E31" s="0" t="n">
        <v>1</v>
      </c>
      <c r="F31" s="0" t="s">
        <v>110</v>
      </c>
      <c r="G31" s="0" t="n">
        <v>16</v>
      </c>
      <c r="H31" s="0" t="n">
        <v>112.72</v>
      </c>
      <c r="I31" s="0" t="s">
        <v>111</v>
      </c>
      <c r="J31" s="0" t="s">
        <v>112</v>
      </c>
      <c r="K31" s="0" t="s">
        <v>34</v>
      </c>
    </row>
    <row r="32" customFormat="false" ht="15" hidden="false" customHeight="false" outlineLevel="0" collapsed="false">
      <c r="A32" s="0" t="s">
        <v>113</v>
      </c>
      <c r="B32" s="0" t="s">
        <v>114</v>
      </c>
      <c r="C32" s="0" t="n">
        <v>5.533</v>
      </c>
      <c r="D32" s="0" t="n">
        <v>13.238</v>
      </c>
      <c r="E32" s="0" t="n">
        <v>1</v>
      </c>
      <c r="F32" s="0" t="s">
        <v>110</v>
      </c>
      <c r="G32" s="0" t="n">
        <v>16</v>
      </c>
      <c r="H32" s="0" t="n">
        <v>99.84</v>
      </c>
      <c r="I32" s="0" t="s">
        <v>115</v>
      </c>
      <c r="J32" s="0" t="s">
        <v>116</v>
      </c>
      <c r="K32" s="0" t="s">
        <v>34</v>
      </c>
    </row>
    <row r="33" customFormat="false" ht="15" hidden="false" customHeight="false" outlineLevel="0" collapsed="false">
      <c r="A33" s="0" t="s">
        <v>117</v>
      </c>
      <c r="B33" s="0" t="s">
        <v>118</v>
      </c>
      <c r="C33" s="0" t="n">
        <v>15.787</v>
      </c>
      <c r="D33" s="0" t="n">
        <v>12.702</v>
      </c>
      <c r="E33" s="0" t="n">
        <v>1</v>
      </c>
      <c r="F33" s="0" t="s">
        <v>110</v>
      </c>
      <c r="G33" s="0" t="n">
        <v>16</v>
      </c>
      <c r="H33" s="0" t="n">
        <v>261.08</v>
      </c>
      <c r="I33" s="0" t="s">
        <v>119</v>
      </c>
      <c r="J33" s="0" t="s">
        <v>120</v>
      </c>
      <c r="K33" s="0" t="s">
        <v>34</v>
      </c>
    </row>
    <row r="34" customFormat="false" ht="15" hidden="false" customHeight="false" outlineLevel="0" collapsed="false">
      <c r="A34" s="0" t="s">
        <v>121</v>
      </c>
      <c r="B34" s="0" t="s">
        <v>122</v>
      </c>
      <c r="C34" s="0" t="n">
        <v>15.073</v>
      </c>
      <c r="D34" s="0" t="n">
        <v>12.695</v>
      </c>
      <c r="E34" s="0" t="n">
        <v>1</v>
      </c>
      <c r="F34" s="0" t="s">
        <v>110</v>
      </c>
      <c r="G34" s="0" t="n">
        <v>16</v>
      </c>
      <c r="H34" s="0" t="n">
        <v>336.04</v>
      </c>
      <c r="I34" s="0" t="s">
        <v>123</v>
      </c>
      <c r="J34" s="0" t="s">
        <v>124</v>
      </c>
      <c r="K34" s="0" t="s">
        <v>34</v>
      </c>
    </row>
    <row r="35" customFormat="false" ht="15" hidden="false" customHeight="false" outlineLevel="0" collapsed="false">
      <c r="A35" s="5" t="s">
        <v>125</v>
      </c>
    </row>
    <row r="36" customFormat="false" ht="15" hidden="false" customHeight="false" outlineLevel="0" collapsed="false">
      <c r="A36" s="0" t="s">
        <v>126</v>
      </c>
      <c r="B36" s="0" t="s">
        <v>127</v>
      </c>
      <c r="C36" s="0" t="n">
        <v>5</v>
      </c>
      <c r="D36" s="0" t="n">
        <v>15.375</v>
      </c>
      <c r="E36" s="0" t="n">
        <v>1</v>
      </c>
      <c r="F36" s="0" t="s">
        <v>31</v>
      </c>
      <c r="G36" s="0" t="n">
        <v>16</v>
      </c>
      <c r="H36" s="0" t="n">
        <v>51.68</v>
      </c>
      <c r="I36" s="0" t="s">
        <v>128</v>
      </c>
      <c r="J36" s="0" t="s">
        <v>129</v>
      </c>
      <c r="K36" s="0" t="s">
        <v>34</v>
      </c>
    </row>
    <row r="37" customFormat="false" ht="15" hidden="false" customHeight="false" outlineLevel="0" collapsed="false">
      <c r="A37" s="0" t="s">
        <v>130</v>
      </c>
      <c r="B37" s="0" t="s">
        <v>131</v>
      </c>
      <c r="C37" s="0" t="n">
        <v>1.3</v>
      </c>
      <c r="D37" s="0" t="n">
        <v>12.954</v>
      </c>
      <c r="E37" s="0" t="n">
        <v>1</v>
      </c>
      <c r="F37" s="0" t="s">
        <v>31</v>
      </c>
      <c r="G37" s="0" t="n">
        <v>16</v>
      </c>
      <c r="H37" s="0" t="n">
        <v>23.4</v>
      </c>
      <c r="I37" s="0" t="s">
        <v>132</v>
      </c>
      <c r="J37" s="0" t="s">
        <v>133</v>
      </c>
      <c r="K37" s="0" t="s">
        <v>34</v>
      </c>
    </row>
    <row r="38" customFormat="false" ht="15" hidden="false" customHeight="false" outlineLevel="0" collapsed="false">
      <c r="A38" s="0" t="s">
        <v>134</v>
      </c>
      <c r="B38" s="0" t="s">
        <v>135</v>
      </c>
      <c r="C38" s="0" t="n">
        <v>4.887</v>
      </c>
      <c r="D38" s="0" t="n">
        <v>12.907</v>
      </c>
      <c r="E38" s="0" t="n">
        <v>1</v>
      </c>
      <c r="F38" s="0" t="s">
        <v>31</v>
      </c>
      <c r="G38" s="0" t="n">
        <v>16</v>
      </c>
      <c r="H38" s="0" t="n">
        <v>87.96</v>
      </c>
      <c r="I38" s="0" t="s">
        <v>136</v>
      </c>
      <c r="J38" s="0" t="s">
        <v>137</v>
      </c>
      <c r="K38" s="0" t="s">
        <v>34</v>
      </c>
    </row>
    <row r="39" customFormat="false" ht="15" hidden="false" customHeight="false" outlineLevel="0" collapsed="false">
      <c r="A39" s="0" t="s">
        <v>138</v>
      </c>
      <c r="B39" s="0" t="s">
        <v>139</v>
      </c>
      <c r="C39" s="0" t="n">
        <v>1.3</v>
      </c>
      <c r="D39" s="0" t="n">
        <v>12.861</v>
      </c>
      <c r="E39" s="0" t="n">
        <v>1</v>
      </c>
      <c r="F39" s="0" t="s">
        <v>31</v>
      </c>
      <c r="G39" s="0" t="n">
        <v>16</v>
      </c>
      <c r="H39" s="0" t="n">
        <v>23.4</v>
      </c>
      <c r="I39" s="0" t="s">
        <v>140</v>
      </c>
      <c r="J39" s="0" t="s">
        <v>141</v>
      </c>
      <c r="K39" s="0" t="s">
        <v>34</v>
      </c>
    </row>
    <row r="40" customFormat="false" ht="15" hidden="false" customHeight="false" outlineLevel="0" collapsed="false">
      <c r="A40" s="0" t="s">
        <v>142</v>
      </c>
      <c r="B40" s="0" t="s">
        <v>143</v>
      </c>
      <c r="C40" s="0" t="n">
        <v>17.02</v>
      </c>
      <c r="D40" s="0" t="n">
        <v>15.375</v>
      </c>
      <c r="E40" s="0" t="n">
        <v>1</v>
      </c>
      <c r="F40" s="0" t="s">
        <v>31</v>
      </c>
      <c r="G40" s="0" t="n">
        <v>16</v>
      </c>
      <c r="H40" s="0" t="n">
        <v>363.07</v>
      </c>
      <c r="I40" s="0" t="s">
        <v>144</v>
      </c>
      <c r="J40" s="0" t="s">
        <v>145</v>
      </c>
      <c r="K40" s="0" t="s">
        <v>34</v>
      </c>
    </row>
    <row r="41" customFormat="false" ht="15" hidden="false" customHeight="false" outlineLevel="0" collapsed="false">
      <c r="A41" s="0" t="s">
        <v>146</v>
      </c>
      <c r="B41" s="0" t="s">
        <v>147</v>
      </c>
      <c r="C41" s="0" t="n">
        <v>3.127</v>
      </c>
      <c r="D41" s="0" t="n">
        <v>15.375</v>
      </c>
      <c r="E41" s="0" t="n">
        <v>1</v>
      </c>
      <c r="F41" s="0" t="s">
        <v>31</v>
      </c>
      <c r="G41" s="0" t="n">
        <v>16</v>
      </c>
      <c r="H41" s="0" t="n">
        <v>76.22</v>
      </c>
      <c r="I41" s="0" t="s">
        <v>148</v>
      </c>
      <c r="J41" s="0" t="s">
        <v>145</v>
      </c>
      <c r="K41" s="0" t="s">
        <v>34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0" t="n">
        <v>2.427</v>
      </c>
      <c r="D42" s="0" t="n">
        <v>15.375</v>
      </c>
      <c r="E42" s="0" t="n">
        <v>1</v>
      </c>
      <c r="F42" s="0" t="s">
        <v>31</v>
      </c>
      <c r="G42" s="0" t="n">
        <v>16</v>
      </c>
      <c r="H42" s="0" t="n">
        <v>59.16</v>
      </c>
      <c r="I42" s="0" t="s">
        <v>151</v>
      </c>
      <c r="J42" s="0" t="s">
        <v>152</v>
      </c>
      <c r="K42" s="0" t="s">
        <v>34</v>
      </c>
    </row>
    <row r="43" customFormat="false" ht="15" hidden="false" customHeight="false" outlineLevel="0" collapsed="false">
      <c r="A43" s="0" t="s">
        <v>153</v>
      </c>
      <c r="B43" s="0" t="s">
        <v>154</v>
      </c>
      <c r="C43" s="0" t="n">
        <v>15.233</v>
      </c>
      <c r="D43" s="0" t="n">
        <v>12.967</v>
      </c>
      <c r="E43" s="0" t="n">
        <v>1</v>
      </c>
      <c r="F43" s="0" t="s">
        <v>31</v>
      </c>
      <c r="G43" s="0" t="n">
        <v>16</v>
      </c>
      <c r="H43" s="0" t="n">
        <v>274.2</v>
      </c>
      <c r="I43" s="0" t="s">
        <v>155</v>
      </c>
      <c r="J43" s="0" t="s">
        <v>156</v>
      </c>
      <c r="K43" s="0" t="s">
        <v>34</v>
      </c>
    </row>
    <row r="44" customFormat="false" ht="15" hidden="false" customHeight="false" outlineLevel="0" collapsed="false">
      <c r="A44" s="0" t="s">
        <v>157</v>
      </c>
      <c r="B44" s="0" t="s">
        <v>158</v>
      </c>
      <c r="C44" s="0" t="n">
        <v>20.52</v>
      </c>
      <c r="D44" s="0" t="n">
        <v>12.751</v>
      </c>
      <c r="E44" s="0" t="n">
        <v>1</v>
      </c>
      <c r="F44" s="0" t="s">
        <v>31</v>
      </c>
      <c r="G44" s="0" t="n">
        <v>16</v>
      </c>
      <c r="H44" s="0" t="n">
        <v>365.38</v>
      </c>
      <c r="I44" s="0" t="s">
        <v>159</v>
      </c>
      <c r="J44" s="0" t="s">
        <v>160</v>
      </c>
      <c r="K44" s="0" t="s">
        <v>34</v>
      </c>
    </row>
    <row r="45" customFormat="false" ht="15" hidden="false" customHeight="false" outlineLevel="0" collapsed="false">
      <c r="A45" s="0" t="s">
        <v>161</v>
      </c>
      <c r="B45" s="0" t="s">
        <v>162</v>
      </c>
      <c r="C45" s="0" t="n">
        <v>2.14</v>
      </c>
      <c r="D45" s="0" t="n">
        <v>12.941</v>
      </c>
      <c r="E45" s="0" t="n">
        <v>1</v>
      </c>
      <c r="F45" s="0" t="s">
        <v>31</v>
      </c>
      <c r="G45" s="0" t="n">
        <v>16</v>
      </c>
      <c r="H45" s="0" t="n">
        <v>39.59</v>
      </c>
      <c r="I45" s="0" t="s">
        <v>163</v>
      </c>
      <c r="J45" s="0" t="s">
        <v>145</v>
      </c>
      <c r="K45" s="0" t="s">
        <v>34</v>
      </c>
    </row>
    <row r="46" customFormat="false" ht="15" hidden="false" customHeight="false" outlineLevel="0" collapsed="false">
      <c r="A46" s="0" t="s">
        <v>164</v>
      </c>
      <c r="B46" s="0" t="s">
        <v>165</v>
      </c>
      <c r="C46" s="0" t="n">
        <v>5.107</v>
      </c>
      <c r="D46" s="0" t="n">
        <v>12.923</v>
      </c>
      <c r="E46" s="0" t="n">
        <v>1</v>
      </c>
      <c r="F46" s="0" t="s">
        <v>31</v>
      </c>
      <c r="G46" s="0" t="n">
        <v>16</v>
      </c>
      <c r="H46" s="0" t="n">
        <v>41.16</v>
      </c>
      <c r="I46" s="0" t="s">
        <v>166</v>
      </c>
      <c r="J46" s="0" t="s">
        <v>167</v>
      </c>
      <c r="K46" s="0" t="s">
        <v>34</v>
      </c>
    </row>
    <row r="47" customFormat="false" ht="15" hidden="false" customHeight="false" outlineLevel="0" collapsed="false">
      <c r="A47" s="0" t="s">
        <v>168</v>
      </c>
      <c r="B47" s="0" t="s">
        <v>169</v>
      </c>
      <c r="C47" s="0" t="n">
        <v>11.667</v>
      </c>
      <c r="D47" s="0" t="n">
        <v>12.77</v>
      </c>
      <c r="E47" s="0" t="n">
        <v>1</v>
      </c>
      <c r="F47" s="0" t="s">
        <v>31</v>
      </c>
      <c r="G47" s="0" t="n">
        <v>16</v>
      </c>
      <c r="H47" s="0" t="n">
        <v>169.18</v>
      </c>
      <c r="I47" s="0" t="s">
        <v>170</v>
      </c>
      <c r="J47" s="0" t="s">
        <v>171</v>
      </c>
      <c r="K47" s="0" t="s">
        <v>34</v>
      </c>
    </row>
    <row r="48" customFormat="false" ht="15" hidden="false" customHeight="false" outlineLevel="0" collapsed="false">
      <c r="A48" s="5" t="s">
        <v>172</v>
      </c>
    </row>
    <row r="49" customFormat="false" ht="15" hidden="false" customHeight="false" outlineLevel="0" collapsed="false">
      <c r="A49" s="0" t="s">
        <v>173</v>
      </c>
      <c r="B49" s="0" t="s">
        <v>174</v>
      </c>
      <c r="C49" s="0" t="n">
        <v>10.027</v>
      </c>
      <c r="D49" s="0" t="n">
        <v>12.923</v>
      </c>
      <c r="E49" s="0" t="n">
        <v>1</v>
      </c>
      <c r="F49" s="0" t="s">
        <v>31</v>
      </c>
      <c r="G49" s="0" t="n">
        <v>16</v>
      </c>
      <c r="H49" s="0" t="n">
        <v>129.58</v>
      </c>
      <c r="I49" s="0" t="s">
        <v>175</v>
      </c>
      <c r="J49" s="0" t="s">
        <v>176</v>
      </c>
      <c r="K49" s="0" t="s">
        <v>34</v>
      </c>
    </row>
    <row r="50" customFormat="false" ht="15" hidden="false" customHeight="false" outlineLevel="0" collapsed="false">
      <c r="A50" s="0" t="s">
        <v>177</v>
      </c>
      <c r="B50" s="0" t="s">
        <v>178</v>
      </c>
      <c r="C50" s="0" t="n">
        <v>10.027</v>
      </c>
      <c r="D50" s="0" t="n">
        <v>12.893</v>
      </c>
      <c r="E50" s="0" t="n">
        <v>1</v>
      </c>
      <c r="F50" s="0" t="s">
        <v>31</v>
      </c>
      <c r="G50" s="0" t="n">
        <v>16</v>
      </c>
      <c r="H50" s="0" t="n">
        <v>129.28</v>
      </c>
      <c r="I50" s="0" t="s">
        <v>179</v>
      </c>
      <c r="J50" s="0" t="s">
        <v>176</v>
      </c>
      <c r="K50" s="0" t="s">
        <v>34</v>
      </c>
    </row>
    <row r="51" customFormat="false" ht="15" hidden="false" customHeight="false" outlineLevel="0" collapsed="false">
      <c r="A51" s="0" t="s">
        <v>180</v>
      </c>
      <c r="B51" s="0" t="s">
        <v>181</v>
      </c>
      <c r="C51" s="0" t="n">
        <v>4</v>
      </c>
      <c r="D51" s="0" t="n">
        <v>15.375</v>
      </c>
      <c r="E51" s="0" t="n">
        <v>1</v>
      </c>
      <c r="F51" s="0" t="s">
        <v>31</v>
      </c>
      <c r="G51" s="0" t="n">
        <v>16</v>
      </c>
      <c r="H51" s="0" t="n">
        <v>61.5</v>
      </c>
      <c r="I51" s="0" t="s">
        <v>182</v>
      </c>
      <c r="J51" s="0" t="s">
        <v>183</v>
      </c>
      <c r="K51" s="0" t="s">
        <v>34</v>
      </c>
    </row>
    <row r="52" customFormat="false" ht="15" hidden="false" customHeight="false" outlineLevel="0" collapsed="false">
      <c r="A52" s="0" t="s">
        <v>184</v>
      </c>
      <c r="B52" s="0" t="s">
        <v>185</v>
      </c>
      <c r="C52" s="0" t="n">
        <v>2.94</v>
      </c>
      <c r="D52" s="0" t="n">
        <v>15.375</v>
      </c>
      <c r="E52" s="0" t="n">
        <v>1</v>
      </c>
      <c r="F52" s="0" t="s">
        <v>31</v>
      </c>
      <c r="G52" s="0" t="n">
        <v>16</v>
      </c>
      <c r="H52" s="0" t="n">
        <v>45.2</v>
      </c>
      <c r="I52" s="0" t="s">
        <v>186</v>
      </c>
      <c r="J52" s="0" t="s">
        <v>183</v>
      </c>
      <c r="K52" s="0" t="s">
        <v>34</v>
      </c>
    </row>
    <row r="53" customFormat="false" ht="15" hidden="false" customHeight="false" outlineLevel="0" collapsed="false">
      <c r="A53" s="0" t="s">
        <v>187</v>
      </c>
      <c r="B53" s="0" t="s">
        <v>188</v>
      </c>
      <c r="C53" s="0" t="n">
        <v>2.98</v>
      </c>
      <c r="D53" s="0" t="n">
        <v>12.921</v>
      </c>
      <c r="E53" s="0" t="n">
        <v>1</v>
      </c>
      <c r="F53" s="0" t="s">
        <v>31</v>
      </c>
      <c r="G53" s="0" t="n">
        <v>16</v>
      </c>
      <c r="H53" s="0" t="n">
        <v>38.5</v>
      </c>
      <c r="I53" s="0" t="s">
        <v>189</v>
      </c>
      <c r="J53" s="0" t="s">
        <v>190</v>
      </c>
      <c r="K53" s="0" t="s">
        <v>34</v>
      </c>
    </row>
    <row r="54" customFormat="false" ht="15" hidden="false" customHeight="false" outlineLevel="0" collapsed="false">
      <c r="A54" s="0" t="s">
        <v>191</v>
      </c>
      <c r="B54" s="0" t="s">
        <v>192</v>
      </c>
      <c r="C54" s="0" t="n">
        <v>10.626</v>
      </c>
      <c r="D54" s="0" t="n">
        <v>15.375</v>
      </c>
      <c r="E54" s="0" t="n">
        <v>1</v>
      </c>
      <c r="F54" s="0" t="s">
        <v>31</v>
      </c>
      <c r="G54" s="0" t="n">
        <v>16</v>
      </c>
      <c r="H54" s="0" t="n">
        <v>163.37</v>
      </c>
      <c r="I54" s="0" t="s">
        <v>193</v>
      </c>
      <c r="J54" s="0" t="s">
        <v>194</v>
      </c>
      <c r="K54" s="0" t="s">
        <v>34</v>
      </c>
    </row>
    <row r="55" customFormat="false" ht="15" hidden="false" customHeight="false" outlineLevel="0" collapsed="false">
      <c r="A55" s="0" t="s">
        <v>195</v>
      </c>
      <c r="B55" s="0" t="s">
        <v>196</v>
      </c>
      <c r="C55" s="0" t="n">
        <v>3.006</v>
      </c>
      <c r="D55" s="0" t="n">
        <v>8.5</v>
      </c>
      <c r="E55" s="0" t="n">
        <v>1</v>
      </c>
      <c r="F55" s="0" t="s">
        <v>31</v>
      </c>
      <c r="G55" s="0" t="n">
        <v>16</v>
      </c>
      <c r="H55" s="0" t="n">
        <v>25.55</v>
      </c>
      <c r="I55" s="0" t="s">
        <v>197</v>
      </c>
      <c r="J55" s="0" t="s">
        <v>198</v>
      </c>
      <c r="K55" s="0" t="s">
        <v>34</v>
      </c>
    </row>
    <row r="56" customFormat="false" ht="15" hidden="false" customHeight="false" outlineLevel="0" collapsed="false">
      <c r="A56" s="0" t="s">
        <v>199</v>
      </c>
      <c r="B56" s="0" t="s">
        <v>200</v>
      </c>
      <c r="C56" s="0" t="n">
        <v>4.041</v>
      </c>
      <c r="D56" s="0" t="n">
        <v>8.5</v>
      </c>
      <c r="E56" s="0" t="n">
        <v>1</v>
      </c>
      <c r="F56" s="0" t="s">
        <v>31</v>
      </c>
      <c r="G56" s="0" t="n">
        <v>16</v>
      </c>
      <c r="H56" s="0" t="n">
        <v>34.35</v>
      </c>
      <c r="I56" s="0" t="s">
        <v>201</v>
      </c>
      <c r="J56" s="0" t="s">
        <v>202</v>
      </c>
      <c r="K56" s="0" t="s">
        <v>34</v>
      </c>
    </row>
    <row r="57" customFormat="false" ht="15" hidden="false" customHeight="false" outlineLevel="0" collapsed="false">
      <c r="A57" s="5" t="s">
        <v>203</v>
      </c>
    </row>
    <row r="58" customFormat="false" ht="15" hidden="false" customHeight="false" outlineLevel="0" collapsed="false">
      <c r="A58" s="0" t="s">
        <v>204</v>
      </c>
      <c r="B58" s="0" t="s">
        <v>205</v>
      </c>
      <c r="C58" s="0" t="n">
        <v>11.733</v>
      </c>
      <c r="D58" s="0" t="n">
        <v>12.747</v>
      </c>
      <c r="E58" s="0" t="n">
        <v>1</v>
      </c>
      <c r="F58" s="0" t="s">
        <v>31</v>
      </c>
      <c r="G58" s="0" t="n">
        <v>16</v>
      </c>
      <c r="H58" s="0" t="n">
        <v>252.46</v>
      </c>
      <c r="I58" s="0" t="s">
        <v>206</v>
      </c>
      <c r="J58" s="0" t="s">
        <v>120</v>
      </c>
      <c r="K58" s="0" t="s">
        <v>34</v>
      </c>
    </row>
    <row r="59" customFormat="false" ht="15" hidden="false" customHeight="false" outlineLevel="0" collapsed="false">
      <c r="A59" s="0" t="s">
        <v>207</v>
      </c>
      <c r="B59" s="0" t="s">
        <v>208</v>
      </c>
      <c r="C59" s="0" t="n">
        <v>3.5</v>
      </c>
      <c r="D59" s="0" t="n">
        <v>12.707</v>
      </c>
      <c r="E59" s="0" t="n">
        <v>1</v>
      </c>
      <c r="F59" s="0" t="s">
        <v>31</v>
      </c>
      <c r="G59" s="0" t="n">
        <v>16</v>
      </c>
      <c r="H59" s="0" t="n">
        <v>88.94</v>
      </c>
      <c r="I59" s="0" t="s">
        <v>209</v>
      </c>
      <c r="J59" s="0" t="s">
        <v>210</v>
      </c>
      <c r="K59" s="0" t="s">
        <v>34</v>
      </c>
    </row>
    <row r="60" customFormat="false" ht="15" hidden="false" customHeight="false" outlineLevel="0" collapsed="false">
      <c r="A60" s="0" t="s">
        <v>211</v>
      </c>
      <c r="B60" s="0" t="s">
        <v>212</v>
      </c>
      <c r="C60" s="0" t="n">
        <v>11.733</v>
      </c>
      <c r="D60" s="0" t="n">
        <v>12.667</v>
      </c>
      <c r="E60" s="0" t="n">
        <v>1</v>
      </c>
      <c r="F60" s="0" t="s">
        <v>31</v>
      </c>
      <c r="G60" s="0" t="n">
        <v>16</v>
      </c>
      <c r="H60" s="0" t="n">
        <v>297.24</v>
      </c>
      <c r="I60" s="0" t="s">
        <v>213</v>
      </c>
      <c r="J60" s="0" t="s">
        <v>120</v>
      </c>
      <c r="K60" s="0" t="s">
        <v>34</v>
      </c>
    </row>
    <row r="61" customFormat="false" ht="15" hidden="false" customHeight="false" outlineLevel="0" collapsed="false">
      <c r="A61" s="0" t="s">
        <v>214</v>
      </c>
      <c r="B61" s="0" t="s">
        <v>215</v>
      </c>
      <c r="C61" s="0" t="n">
        <v>9.58</v>
      </c>
      <c r="D61" s="0" t="n">
        <v>12.827</v>
      </c>
      <c r="E61" s="0" t="n">
        <v>1</v>
      </c>
      <c r="F61" s="0" t="s">
        <v>31</v>
      </c>
      <c r="G61" s="0" t="n">
        <v>16</v>
      </c>
      <c r="H61" s="0" t="n">
        <v>245.76</v>
      </c>
      <c r="I61" s="0" t="s">
        <v>216</v>
      </c>
      <c r="J61" s="0" t="s">
        <v>217</v>
      </c>
      <c r="K61" s="0" t="s">
        <v>34</v>
      </c>
    </row>
    <row r="62" customFormat="false" ht="15" hidden="false" customHeight="false" outlineLevel="0" collapsed="false">
      <c r="A62" s="0" t="s">
        <v>218</v>
      </c>
      <c r="B62" s="0" t="s">
        <v>219</v>
      </c>
      <c r="C62" s="0" t="n">
        <v>9.58</v>
      </c>
      <c r="D62" s="0" t="n">
        <v>12.698</v>
      </c>
      <c r="E62" s="0" t="n">
        <v>1</v>
      </c>
      <c r="F62" s="0" t="s">
        <v>31</v>
      </c>
      <c r="G62" s="0" t="n">
        <v>16</v>
      </c>
      <c r="H62" s="0" t="n">
        <v>243.3</v>
      </c>
      <c r="I62" s="0" t="s">
        <v>220</v>
      </c>
      <c r="J62" s="0" t="s">
        <v>124</v>
      </c>
      <c r="K62" s="0" t="s">
        <v>34</v>
      </c>
    </row>
    <row r="63" customFormat="false" ht="15" hidden="false" customHeight="false" outlineLevel="0" collapsed="false">
      <c r="A63" s="0" t="s">
        <v>221</v>
      </c>
      <c r="B63" s="0" t="s">
        <v>222</v>
      </c>
      <c r="C63" s="0" t="n">
        <v>14.147</v>
      </c>
      <c r="D63" s="0" t="n">
        <v>12.685</v>
      </c>
      <c r="E63" s="0" t="n">
        <v>1</v>
      </c>
      <c r="F63" s="0" t="s">
        <v>31</v>
      </c>
      <c r="G63" s="0" t="n">
        <v>16</v>
      </c>
      <c r="H63" s="0" t="n">
        <v>265.58</v>
      </c>
      <c r="I63" s="0" t="s">
        <v>223</v>
      </c>
      <c r="J63" s="0" t="s">
        <v>124</v>
      </c>
      <c r="K63" s="0" t="s">
        <v>34</v>
      </c>
    </row>
    <row r="64" customFormat="false" ht="15" hidden="false" customHeight="false" outlineLevel="0" collapsed="false">
      <c r="A64" s="5" t="s">
        <v>224</v>
      </c>
    </row>
    <row r="65" customFormat="false" ht="15" hidden="false" customHeight="false" outlineLevel="0" collapsed="false">
      <c r="A65" s="0" t="s">
        <v>225</v>
      </c>
      <c r="B65" s="0" t="s">
        <v>226</v>
      </c>
      <c r="C65" s="0" t="n">
        <v>10.593</v>
      </c>
      <c r="D65" s="0" t="n">
        <v>15.375</v>
      </c>
      <c r="E65" s="0" t="n">
        <v>1</v>
      </c>
      <c r="F65" s="0" t="s">
        <v>110</v>
      </c>
      <c r="G65" s="0" t="n">
        <v>16</v>
      </c>
      <c r="H65" s="0" t="n">
        <v>222.46</v>
      </c>
      <c r="I65" s="0" t="s">
        <v>227</v>
      </c>
      <c r="J65" s="0" t="s">
        <v>228</v>
      </c>
      <c r="K65" s="0" t="s">
        <v>34</v>
      </c>
    </row>
    <row r="66" customFormat="false" ht="15" hidden="false" customHeight="false" outlineLevel="0" collapsed="false">
      <c r="A66" s="0" t="s">
        <v>229</v>
      </c>
      <c r="B66" s="0" t="s">
        <v>230</v>
      </c>
      <c r="C66" s="0" t="n">
        <v>5.28</v>
      </c>
      <c r="D66" s="0" t="n">
        <v>13.422</v>
      </c>
      <c r="E66" s="0" t="n">
        <v>1</v>
      </c>
      <c r="F66" s="0" t="s">
        <v>110</v>
      </c>
      <c r="G66" s="0" t="n">
        <v>16</v>
      </c>
      <c r="H66" s="0" t="n">
        <v>48.38</v>
      </c>
      <c r="I66" s="0" t="s">
        <v>231</v>
      </c>
      <c r="J66" s="0" t="s">
        <v>145</v>
      </c>
      <c r="K66" s="0" t="s">
        <v>34</v>
      </c>
    </row>
    <row r="67" customFormat="false" ht="15" hidden="false" customHeight="false" outlineLevel="0" collapsed="false">
      <c r="A67" s="0" t="s">
        <v>232</v>
      </c>
      <c r="B67" s="0" t="s">
        <v>233</v>
      </c>
      <c r="C67" s="0" t="n">
        <v>19.407</v>
      </c>
      <c r="D67" s="0" t="n">
        <v>14.842</v>
      </c>
      <c r="E67" s="0" t="n">
        <v>1</v>
      </c>
      <c r="F67" s="0" t="s">
        <v>110</v>
      </c>
      <c r="G67" s="0" t="n">
        <v>16</v>
      </c>
      <c r="H67" s="0" t="n">
        <v>378.92</v>
      </c>
      <c r="I67" s="0" t="s">
        <v>234</v>
      </c>
      <c r="J67" s="0" t="s">
        <v>235</v>
      </c>
      <c r="K67" s="0" t="s">
        <v>34</v>
      </c>
    </row>
    <row r="68" customFormat="false" ht="15" hidden="false" customHeight="false" outlineLevel="0" collapsed="false">
      <c r="A68" s="0" t="s">
        <v>236</v>
      </c>
      <c r="B68" s="0" t="s">
        <v>237</v>
      </c>
      <c r="C68" s="0" t="n">
        <v>3.28</v>
      </c>
      <c r="D68" s="0" t="n">
        <v>12.884</v>
      </c>
      <c r="E68" s="0" t="n">
        <v>1</v>
      </c>
      <c r="F68" s="0" t="s">
        <v>110</v>
      </c>
      <c r="G68" s="0" t="n">
        <v>16</v>
      </c>
      <c r="H68" s="0" t="n">
        <v>60.68</v>
      </c>
      <c r="I68" s="0" t="s">
        <v>238</v>
      </c>
      <c r="J68" s="0" t="s">
        <v>145</v>
      </c>
      <c r="K68" s="0" t="s">
        <v>34</v>
      </c>
    </row>
    <row r="69" customFormat="false" ht="15" hidden="false" customHeight="false" outlineLevel="0" collapsed="false">
      <c r="A69" s="5" t="s">
        <v>239</v>
      </c>
    </row>
    <row r="70" customFormat="false" ht="15" hidden="false" customHeight="false" outlineLevel="0" collapsed="false">
      <c r="A70" s="0" t="s">
        <v>240</v>
      </c>
      <c r="B70" s="0" t="s">
        <v>241</v>
      </c>
      <c r="C70" s="0" t="n">
        <v>2.207</v>
      </c>
      <c r="D70" s="0" t="n">
        <v>15.375</v>
      </c>
      <c r="E70" s="0" t="n">
        <v>1</v>
      </c>
      <c r="F70" s="0" t="s">
        <v>110</v>
      </c>
      <c r="G70" s="0" t="n">
        <v>24</v>
      </c>
      <c r="H70" s="0" t="n">
        <v>67.86</v>
      </c>
      <c r="I70" s="0" t="s">
        <v>242</v>
      </c>
      <c r="J70" s="0" t="s">
        <v>243</v>
      </c>
      <c r="K70" s="0" t="s">
        <v>34</v>
      </c>
    </row>
    <row r="71" customFormat="false" ht="15" hidden="false" customHeight="false" outlineLevel="0" collapsed="false">
      <c r="A71" s="5" t="s">
        <v>244</v>
      </c>
    </row>
    <row r="72" customFormat="false" ht="15" hidden="false" customHeight="false" outlineLevel="0" collapsed="false">
      <c r="A72" s="0" t="s">
        <v>245</v>
      </c>
      <c r="B72" s="0" t="s">
        <v>246</v>
      </c>
      <c r="C72" s="0" t="n">
        <v>3.413</v>
      </c>
      <c r="D72" s="0" t="n">
        <v>15.375</v>
      </c>
      <c r="E72" s="0" t="n">
        <v>1</v>
      </c>
      <c r="F72" s="0" t="s">
        <v>31</v>
      </c>
      <c r="G72" s="0" t="n">
        <v>24</v>
      </c>
      <c r="H72" s="0" t="n">
        <v>52.47</v>
      </c>
      <c r="I72" s="0" t="s">
        <v>247</v>
      </c>
      <c r="J72" s="0" t="s">
        <v>248</v>
      </c>
      <c r="K72" s="0" t="s">
        <v>34</v>
      </c>
    </row>
    <row r="73" customFormat="false" ht="15" hidden="false" customHeight="false" outlineLevel="0" collapsed="false">
      <c r="A73" s="0" t="s">
        <v>249</v>
      </c>
      <c r="B73" s="0" t="s">
        <v>250</v>
      </c>
      <c r="C73" s="0" t="n">
        <v>3.413</v>
      </c>
      <c r="D73" s="0" t="n">
        <v>12.934</v>
      </c>
      <c r="E73" s="0" t="n">
        <v>1</v>
      </c>
      <c r="F73" s="0" t="s">
        <v>31</v>
      </c>
      <c r="G73" s="0" t="n">
        <v>24</v>
      </c>
      <c r="H73" s="0" t="n">
        <v>44.14</v>
      </c>
      <c r="I73" s="0" t="s">
        <v>251</v>
      </c>
      <c r="J73" s="0" t="s">
        <v>252</v>
      </c>
      <c r="K73" s="0" t="s">
        <v>34</v>
      </c>
    </row>
    <row r="74" customFormat="false" ht="15" hidden="false" customHeight="false" outlineLevel="0" collapsed="false">
      <c r="A74" s="0" t="s">
        <v>253</v>
      </c>
      <c r="B74" s="0" t="s">
        <v>254</v>
      </c>
      <c r="C74" s="0" t="n">
        <v>2.2</v>
      </c>
      <c r="D74" s="0" t="n">
        <v>12.923</v>
      </c>
      <c r="E74" s="0" t="n">
        <v>1</v>
      </c>
      <c r="F74" s="0" t="s">
        <v>31</v>
      </c>
      <c r="G74" s="0" t="n">
        <v>24</v>
      </c>
      <c r="H74" s="0" t="n">
        <v>56.86</v>
      </c>
      <c r="I74" s="0" t="s">
        <v>255</v>
      </c>
      <c r="J74" s="0" t="s">
        <v>252</v>
      </c>
      <c r="K74" s="0" t="s">
        <v>34</v>
      </c>
    </row>
    <row r="75" customFormat="false" ht="15" hidden="false" customHeight="false" outlineLevel="0" collapsed="false">
      <c r="A75" s="5" t="s">
        <v>256</v>
      </c>
    </row>
    <row r="76" customFormat="false" ht="15" hidden="false" customHeight="false" outlineLevel="0" collapsed="false">
      <c r="A76" s="0" t="s">
        <v>257</v>
      </c>
      <c r="B76" s="0" t="s">
        <v>258</v>
      </c>
      <c r="C76" s="0" t="n">
        <v>20.91</v>
      </c>
      <c r="D76" s="0" t="n">
        <v>14.362</v>
      </c>
      <c r="E76" s="0" t="n">
        <v>1</v>
      </c>
      <c r="F76" s="0" t="s">
        <v>110</v>
      </c>
      <c r="G76" s="0" t="n">
        <v>16</v>
      </c>
      <c r="H76" s="0" t="n">
        <v>315.74</v>
      </c>
      <c r="I76" s="0" t="s">
        <v>259</v>
      </c>
      <c r="J76" s="0" t="s">
        <v>260</v>
      </c>
      <c r="K76" s="0" t="s">
        <v>34</v>
      </c>
    </row>
    <row r="77" customFormat="false" ht="15" hidden="false" customHeight="false" outlineLevel="0" collapsed="false">
      <c r="A77" s="0" t="s">
        <v>261</v>
      </c>
      <c r="B77" s="0" t="s">
        <v>262</v>
      </c>
      <c r="C77" s="0" t="n">
        <v>3.85</v>
      </c>
      <c r="D77" s="0" t="n">
        <v>14.362</v>
      </c>
      <c r="E77" s="0" t="n">
        <v>1</v>
      </c>
      <c r="F77" s="0" t="s">
        <v>110</v>
      </c>
      <c r="G77" s="0" t="n">
        <v>16</v>
      </c>
      <c r="H77" s="0" t="n">
        <v>59.19</v>
      </c>
      <c r="I77" s="0" t="s">
        <v>263</v>
      </c>
      <c r="J77" s="0" t="s">
        <v>264</v>
      </c>
      <c r="K77" s="0" t="s">
        <v>34</v>
      </c>
    </row>
    <row r="78" customFormat="false" ht="15" hidden="false" customHeight="false" outlineLevel="0" collapsed="false">
      <c r="A78" s="0" t="s">
        <v>265</v>
      </c>
      <c r="B78" s="0" t="s">
        <v>266</v>
      </c>
      <c r="C78" s="0" t="n">
        <v>22.56</v>
      </c>
      <c r="D78" s="0" t="n">
        <v>14.362</v>
      </c>
      <c r="E78" s="0" t="n">
        <v>1</v>
      </c>
      <c r="F78" s="0" t="s">
        <v>110</v>
      </c>
      <c r="G78" s="0" t="n">
        <v>16</v>
      </c>
      <c r="H78" s="0" t="n">
        <v>314.86</v>
      </c>
      <c r="I78" s="0" t="s">
        <v>267</v>
      </c>
      <c r="J78" s="0" t="s">
        <v>268</v>
      </c>
      <c r="K78" s="0" t="s">
        <v>34</v>
      </c>
    </row>
    <row r="79" customFormat="false" ht="15" hidden="false" customHeight="false" outlineLevel="0" collapsed="false">
      <c r="A79" s="0" t="s">
        <v>269</v>
      </c>
      <c r="B79" s="0" t="s">
        <v>270</v>
      </c>
      <c r="C79" s="0" t="n">
        <v>24.85</v>
      </c>
      <c r="D79" s="0" t="n">
        <v>11.651</v>
      </c>
      <c r="E79" s="0" t="n">
        <v>1</v>
      </c>
      <c r="F79" s="0" t="s">
        <v>110</v>
      </c>
      <c r="G79" s="0" t="n">
        <v>16</v>
      </c>
      <c r="H79" s="0" t="n">
        <v>317.98</v>
      </c>
      <c r="I79" s="0" t="s">
        <v>271</v>
      </c>
      <c r="J79" s="0" t="s">
        <v>272</v>
      </c>
      <c r="K79" s="0" t="s">
        <v>34</v>
      </c>
    </row>
    <row r="80" customFormat="false" ht="15" hidden="false" customHeight="false" outlineLevel="0" collapsed="false">
      <c r="A80" s="0" t="s">
        <v>273</v>
      </c>
      <c r="B80" s="0" t="s">
        <v>274</v>
      </c>
      <c r="C80" s="0" t="n">
        <v>34.06</v>
      </c>
      <c r="D80" s="0" t="n">
        <v>11.064</v>
      </c>
      <c r="E80" s="0" t="n">
        <v>1</v>
      </c>
      <c r="F80" s="0" t="s">
        <v>110</v>
      </c>
      <c r="G80" s="0" t="n">
        <v>16</v>
      </c>
      <c r="H80" s="0" t="n">
        <v>399.86</v>
      </c>
      <c r="I80" s="0" t="s">
        <v>275</v>
      </c>
      <c r="J80" s="0" t="s">
        <v>276</v>
      </c>
      <c r="K80" s="0" t="s">
        <v>34</v>
      </c>
    </row>
    <row r="81" customFormat="false" ht="15" hidden="false" customHeight="false" outlineLevel="0" collapsed="false">
      <c r="A81" s="0" t="s">
        <v>277</v>
      </c>
      <c r="B81" s="0" t="s">
        <v>278</v>
      </c>
      <c r="C81" s="0" t="n">
        <v>17.67</v>
      </c>
      <c r="D81" s="0" t="n">
        <v>11.394</v>
      </c>
      <c r="E81" s="0" t="n">
        <v>1</v>
      </c>
      <c r="F81" s="0" t="s">
        <v>110</v>
      </c>
      <c r="G81" s="0" t="n">
        <v>16</v>
      </c>
      <c r="H81" s="0" t="n">
        <v>221.56</v>
      </c>
      <c r="I81" s="0" t="s">
        <v>279</v>
      </c>
      <c r="J81" s="0" t="s">
        <v>280</v>
      </c>
      <c r="K81" s="0" t="s">
        <v>34</v>
      </c>
    </row>
    <row r="82" customFormat="false" ht="15" hidden="false" customHeight="false" outlineLevel="0" collapsed="false">
      <c r="A82" s="0" t="s">
        <v>281</v>
      </c>
      <c r="B82" s="0" t="s">
        <v>282</v>
      </c>
      <c r="C82" s="0" t="n">
        <v>24.85</v>
      </c>
      <c r="D82" s="0" t="n">
        <v>11.651</v>
      </c>
      <c r="E82" s="0" t="n">
        <v>1</v>
      </c>
      <c r="F82" s="0" t="s">
        <v>110</v>
      </c>
      <c r="G82" s="0" t="n">
        <v>16</v>
      </c>
      <c r="H82" s="0" t="n">
        <v>317.98</v>
      </c>
      <c r="I82" s="0" t="s">
        <v>283</v>
      </c>
      <c r="J82" s="0" t="s">
        <v>284</v>
      </c>
      <c r="K82" s="0" t="s">
        <v>34</v>
      </c>
    </row>
    <row r="83" customFormat="false" ht="15" hidden="false" customHeight="false" outlineLevel="0" collapsed="false">
      <c r="A83" s="0" t="s">
        <v>285</v>
      </c>
      <c r="B83" s="0" t="s">
        <v>286</v>
      </c>
      <c r="C83" s="0" t="n">
        <v>50.48</v>
      </c>
      <c r="D83" s="0" t="n">
        <v>14.362</v>
      </c>
      <c r="E83" s="0" t="n">
        <v>1</v>
      </c>
      <c r="F83" s="0" t="s">
        <v>110</v>
      </c>
      <c r="G83" s="0" t="n">
        <v>16</v>
      </c>
      <c r="H83" s="0" t="n">
        <v>712.13</v>
      </c>
      <c r="I83" s="0" t="s">
        <v>287</v>
      </c>
      <c r="J83" s="0" t="s">
        <v>288</v>
      </c>
      <c r="K83" s="0" t="s">
        <v>34</v>
      </c>
    </row>
    <row r="84" customFormat="false" ht="15" hidden="false" customHeight="false" outlineLevel="0" collapsed="false">
      <c r="A84" s="0" t="s">
        <v>289</v>
      </c>
      <c r="B84" s="0" t="s">
        <v>290</v>
      </c>
      <c r="C84" s="0" t="n">
        <v>12.64</v>
      </c>
      <c r="D84" s="0" t="n">
        <v>14.362</v>
      </c>
      <c r="E84" s="0" t="n">
        <v>1</v>
      </c>
      <c r="F84" s="0" t="s">
        <v>110</v>
      </c>
      <c r="G84" s="0" t="n">
        <v>16</v>
      </c>
      <c r="H84" s="0" t="n">
        <v>194.34</v>
      </c>
      <c r="I84" s="0" t="s">
        <v>291</v>
      </c>
      <c r="J84" s="0" t="s">
        <v>292</v>
      </c>
      <c r="K84" s="0" t="s">
        <v>34</v>
      </c>
    </row>
    <row r="85" customFormat="false" ht="15" hidden="false" customHeight="false" outlineLevel="0" collapsed="false">
      <c r="A85" s="0" t="s">
        <v>293</v>
      </c>
      <c r="B85" s="0" t="s">
        <v>294</v>
      </c>
      <c r="C85" s="0" t="n">
        <v>12.56</v>
      </c>
      <c r="D85" s="0" t="n">
        <v>4.987</v>
      </c>
      <c r="E85" s="0" t="n">
        <v>1</v>
      </c>
      <c r="F85" s="0" t="s">
        <v>110</v>
      </c>
      <c r="G85" s="0" t="n">
        <v>16</v>
      </c>
      <c r="H85" s="0" t="n">
        <v>86.35</v>
      </c>
      <c r="I85" s="0" t="s">
        <v>295</v>
      </c>
      <c r="J85" s="0" t="s">
        <v>296</v>
      </c>
      <c r="K85" s="0" t="s">
        <v>34</v>
      </c>
    </row>
    <row r="86" customFormat="false" ht="15" hidden="false" customHeight="false" outlineLevel="0" collapsed="false">
      <c r="A86" s="0" t="s">
        <v>297</v>
      </c>
      <c r="B86" s="0" t="s">
        <v>298</v>
      </c>
      <c r="C86" s="0" t="n">
        <v>26.25</v>
      </c>
      <c r="D86" s="0" t="n">
        <v>4.525</v>
      </c>
      <c r="E86" s="0" t="n">
        <v>1</v>
      </c>
      <c r="F86" s="0" t="s">
        <v>110</v>
      </c>
      <c r="G86" s="0" t="n">
        <v>16</v>
      </c>
      <c r="H86" s="0" t="n">
        <v>180.47</v>
      </c>
      <c r="I86" s="0" t="s">
        <v>299</v>
      </c>
      <c r="J86" s="0" t="s">
        <v>300</v>
      </c>
      <c r="K86" s="0" t="s">
        <v>34</v>
      </c>
    </row>
    <row r="87" customFormat="false" ht="15" hidden="false" customHeight="false" outlineLevel="0" collapsed="false">
      <c r="A87" s="0" t="s">
        <v>301</v>
      </c>
      <c r="B87" s="0" t="s">
        <v>302</v>
      </c>
      <c r="C87" s="0" t="n">
        <v>6.5</v>
      </c>
      <c r="D87" s="0" t="n">
        <v>4.987</v>
      </c>
      <c r="E87" s="0" t="n">
        <v>1</v>
      </c>
      <c r="F87" s="0" t="s">
        <v>110</v>
      </c>
      <c r="G87" s="0" t="n">
        <v>16</v>
      </c>
      <c r="H87" s="0" t="n">
        <v>44.69</v>
      </c>
      <c r="I87" s="0" t="s">
        <v>303</v>
      </c>
      <c r="J87" s="0" t="s">
        <v>304</v>
      </c>
      <c r="K87" s="0" t="s">
        <v>34</v>
      </c>
    </row>
    <row r="88" customFormat="false" ht="15" hidden="false" customHeight="false" outlineLevel="0" collapsed="false">
      <c r="A88" s="0" t="s">
        <v>305</v>
      </c>
      <c r="B88" s="0" t="s">
        <v>306</v>
      </c>
      <c r="C88" s="0" t="n">
        <v>3.006</v>
      </c>
      <c r="D88" s="0" t="n">
        <v>14.362</v>
      </c>
      <c r="E88" s="0" t="n">
        <v>0</v>
      </c>
      <c r="F88" s="0" t="s">
        <v>110</v>
      </c>
      <c r="G88" s="0" t="n">
        <v>16</v>
      </c>
      <c r="H88" s="0" t="n">
        <v>0</v>
      </c>
      <c r="I88" s="0" t="s">
        <v>307</v>
      </c>
      <c r="J88" s="0" t="s">
        <v>308</v>
      </c>
      <c r="K88" s="0" t="s">
        <v>34</v>
      </c>
    </row>
    <row r="89" customFormat="false" ht="15" hidden="false" customHeight="false" outlineLevel="0" collapsed="false">
      <c r="A89" s="0" t="s">
        <v>309</v>
      </c>
      <c r="B89" s="0" t="s">
        <v>310</v>
      </c>
      <c r="C89" s="0" t="n">
        <v>4.041</v>
      </c>
      <c r="D89" s="0" t="n">
        <v>14.362</v>
      </c>
      <c r="E89" s="0" t="n">
        <v>0</v>
      </c>
      <c r="F89" s="0" t="s">
        <v>110</v>
      </c>
      <c r="G89" s="0" t="n">
        <v>16</v>
      </c>
      <c r="H89" s="0" t="n">
        <v>0</v>
      </c>
      <c r="I89" s="0" t="s">
        <v>311</v>
      </c>
      <c r="J89" s="0" t="s">
        <v>308</v>
      </c>
      <c r="K89" s="0" t="s">
        <v>34</v>
      </c>
    </row>
    <row r="90" customFormat="false" ht="15" hidden="false" customHeight="false" outlineLevel="0" collapsed="false">
      <c r="A90" s="5" t="s">
        <v>312</v>
      </c>
    </row>
    <row r="91" customFormat="false" ht="15" hidden="false" customHeight="false" outlineLevel="0" collapsed="false">
      <c r="A91" s="0" t="s">
        <v>313</v>
      </c>
      <c r="B91" s="0" t="s">
        <v>314</v>
      </c>
      <c r="C91" s="0" t="n">
        <v>5.667</v>
      </c>
      <c r="D91" s="0" t="n">
        <v>10.5</v>
      </c>
      <c r="E91" s="0" t="n">
        <v>0</v>
      </c>
      <c r="F91" s="0" t="s">
        <v>31</v>
      </c>
      <c r="G91" s="0" t="n">
        <v>16</v>
      </c>
      <c r="H91" s="0" t="n">
        <v>0</v>
      </c>
      <c r="I91" s="0" t="s">
        <v>315</v>
      </c>
      <c r="J91" s="0" t="s">
        <v>316</v>
      </c>
      <c r="K91" s="0" t="s">
        <v>34</v>
      </c>
    </row>
    <row r="92" customFormat="false" ht="15" hidden="false" customHeight="false" outlineLevel="0" collapsed="false">
      <c r="A92" s="0" t="s">
        <v>317</v>
      </c>
      <c r="B92" s="0" t="s">
        <v>318</v>
      </c>
      <c r="C92" s="0" t="n">
        <v>5.667</v>
      </c>
      <c r="D92" s="0" t="n">
        <v>10.5</v>
      </c>
      <c r="E92" s="0" t="n">
        <v>0</v>
      </c>
      <c r="F92" s="0" t="s">
        <v>31</v>
      </c>
      <c r="G92" s="0" t="n">
        <v>16</v>
      </c>
      <c r="H92" s="0" t="n">
        <v>0</v>
      </c>
      <c r="I92" s="0" t="s">
        <v>319</v>
      </c>
      <c r="J92" s="0" t="s">
        <v>316</v>
      </c>
      <c r="K92" s="0" t="s">
        <v>34</v>
      </c>
    </row>
    <row r="93" customFormat="false" ht="15" hidden="false" customHeight="false" outlineLevel="0" collapsed="false">
      <c r="A93" s="0" t="s">
        <v>320</v>
      </c>
      <c r="B93" s="0" t="s">
        <v>321</v>
      </c>
      <c r="C93" s="0" t="n">
        <v>5.667</v>
      </c>
      <c r="D93" s="0" t="n">
        <v>10.5</v>
      </c>
      <c r="E93" s="0" t="n">
        <v>0</v>
      </c>
      <c r="F93" s="0" t="s">
        <v>31</v>
      </c>
      <c r="G93" s="0" t="n">
        <v>16</v>
      </c>
      <c r="H93" s="0" t="n">
        <v>0</v>
      </c>
      <c r="I93" s="0" t="s">
        <v>322</v>
      </c>
      <c r="J93" s="0" t="s">
        <v>316</v>
      </c>
      <c r="K93" s="0" t="s">
        <v>34</v>
      </c>
    </row>
    <row r="94" customFormat="false" ht="15" hidden="false" customHeight="false" outlineLevel="0" collapsed="false">
      <c r="A94" s="0" t="s">
        <v>323</v>
      </c>
      <c r="B94" s="0" t="s">
        <v>324</v>
      </c>
      <c r="C94" s="0" t="n">
        <v>5.667</v>
      </c>
      <c r="D94" s="0" t="n">
        <v>10.5</v>
      </c>
      <c r="E94" s="0" t="n">
        <v>0</v>
      </c>
      <c r="F94" s="0" t="s">
        <v>31</v>
      </c>
      <c r="G94" s="0" t="n">
        <v>16</v>
      </c>
      <c r="H94" s="0" t="n">
        <v>0</v>
      </c>
      <c r="I94" s="0" t="s">
        <v>325</v>
      </c>
      <c r="J94" s="0" t="s">
        <v>316</v>
      </c>
      <c r="K94" s="0" t="s">
        <v>34</v>
      </c>
    </row>
    <row r="95" customFormat="false" ht="15" hidden="false" customHeight="false" outlineLevel="0" collapsed="false">
      <c r="A95" s="5" t="s">
        <v>326</v>
      </c>
    </row>
    <row r="96" customFormat="false" ht="15" hidden="false" customHeight="false" outlineLevel="0" collapsed="false">
      <c r="A96" s="0" t="s">
        <v>327</v>
      </c>
      <c r="B96" s="0" t="s">
        <v>328</v>
      </c>
      <c r="C96" s="0" t="n">
        <v>14.25</v>
      </c>
      <c r="D96" s="0" t="n">
        <v>2</v>
      </c>
      <c r="E96" s="0" t="n">
        <v>1</v>
      </c>
      <c r="F96" s="0" t="s">
        <v>329</v>
      </c>
      <c r="G96" s="0" t="n">
        <v>16</v>
      </c>
      <c r="H96" s="0" t="n">
        <v>57</v>
      </c>
      <c r="I96" s="0" t="s">
        <v>330</v>
      </c>
      <c r="J96" s="0" t="s">
        <v>331</v>
      </c>
      <c r="K96" s="0" t="s">
        <v>34</v>
      </c>
    </row>
    <row r="97" customFormat="false" ht="15" hidden="false" customHeight="false" outlineLevel="0" collapsed="false">
      <c r="A97" s="5" t="s">
        <v>332</v>
      </c>
    </row>
    <row r="98" customFormat="false" ht="15" hidden="false" customHeight="false" outlineLevel="0" collapsed="false">
      <c r="A98" s="0" t="s">
        <v>333</v>
      </c>
      <c r="B98" s="0" t="s">
        <v>334</v>
      </c>
      <c r="C98" s="0" t="n">
        <v>51.59</v>
      </c>
      <c r="D98" s="0" t="n">
        <v>3.115</v>
      </c>
      <c r="E98" s="0" t="n">
        <v>0</v>
      </c>
      <c r="F98" s="0" t="s">
        <v>31</v>
      </c>
      <c r="G98" s="0" t="n">
        <v>16</v>
      </c>
      <c r="H98" s="0" t="n">
        <v>0</v>
      </c>
      <c r="I98" s="0" t="s">
        <v>335</v>
      </c>
      <c r="J98" s="0" t="s">
        <v>336</v>
      </c>
      <c r="K98" s="0" t="s">
        <v>34</v>
      </c>
    </row>
    <row r="99" customFormat="false" ht="15" hidden="false" customHeight="false" outlineLevel="0" collapsed="false">
      <c r="A99" s="0" t="s">
        <v>337</v>
      </c>
      <c r="B99" s="0" t="s">
        <v>338</v>
      </c>
      <c r="C99" s="0" t="n">
        <v>51.59</v>
      </c>
      <c r="D99" s="0" t="n">
        <v>3.458</v>
      </c>
      <c r="E99" s="0" t="n">
        <v>1</v>
      </c>
      <c r="F99" s="0" t="s">
        <v>31</v>
      </c>
      <c r="G99" s="0" t="n">
        <v>16</v>
      </c>
      <c r="H99" s="0" t="n">
        <v>178.4</v>
      </c>
      <c r="I99" s="0" t="s">
        <v>339</v>
      </c>
      <c r="J99" s="0" t="s">
        <v>336</v>
      </c>
      <c r="K99" s="0" t="s">
        <v>34</v>
      </c>
    </row>
    <row r="100" customFormat="false" ht="15" hidden="false" customHeight="false" outlineLevel="0" collapsed="false">
      <c r="A100" s="0" t="s">
        <v>340</v>
      </c>
      <c r="B100" s="0" t="s">
        <v>341</v>
      </c>
      <c r="C100" s="0" t="n">
        <v>51.59</v>
      </c>
      <c r="D100" s="0" t="n">
        <v>1.13</v>
      </c>
      <c r="E100" s="0" t="n">
        <v>1</v>
      </c>
      <c r="F100" s="0" t="s">
        <v>31</v>
      </c>
      <c r="G100" s="0" t="n">
        <v>16</v>
      </c>
      <c r="H100" s="0" t="n">
        <v>58.3</v>
      </c>
      <c r="I100" s="0" t="s">
        <v>342</v>
      </c>
      <c r="J100" s="0" t="s">
        <v>336</v>
      </c>
      <c r="K100" s="0" t="s">
        <v>34</v>
      </c>
    </row>
    <row r="101" customFormat="false" ht="15" hidden="false" customHeight="false" outlineLevel="0" collapsed="false">
      <c r="A101" s="5" t="s">
        <v>343</v>
      </c>
    </row>
    <row r="102" customFormat="false" ht="15" hidden="false" customHeight="false" outlineLevel="0" collapsed="false">
      <c r="A102" s="0" t="s">
        <v>344</v>
      </c>
      <c r="B102" s="0" t="s">
        <v>345</v>
      </c>
      <c r="C102" s="0" t="n">
        <v>17.73</v>
      </c>
      <c r="D102" s="0" t="n">
        <v>4.292</v>
      </c>
      <c r="E102" s="0" t="n">
        <v>0</v>
      </c>
      <c r="F102" s="0" t="s">
        <v>346</v>
      </c>
      <c r="G102" s="0" t="n">
        <v>16</v>
      </c>
      <c r="H102" s="0" t="n">
        <v>0</v>
      </c>
      <c r="I102" s="0" t="s">
        <v>347</v>
      </c>
      <c r="J102" s="0" t="s">
        <v>348</v>
      </c>
      <c r="K102" s="0" t="s">
        <v>34</v>
      </c>
    </row>
    <row r="103" customFormat="false" ht="15" hidden="false" customHeight="false" outlineLevel="0" collapsed="false">
      <c r="A103" s="0" t="s">
        <v>349</v>
      </c>
      <c r="B103" s="0" t="s">
        <v>350</v>
      </c>
      <c r="C103" s="0" t="n">
        <v>4.61</v>
      </c>
      <c r="D103" s="0" t="n">
        <v>4.292</v>
      </c>
      <c r="E103" s="0" t="n">
        <v>0</v>
      </c>
      <c r="F103" s="0" t="s">
        <v>346</v>
      </c>
      <c r="G103" s="0" t="n">
        <v>16</v>
      </c>
      <c r="H103" s="0" t="n">
        <v>0</v>
      </c>
      <c r="I103" s="0" t="s">
        <v>351</v>
      </c>
      <c r="J103" s="0" t="s">
        <v>348</v>
      </c>
      <c r="K103" s="0" t="s">
        <v>34</v>
      </c>
    </row>
    <row r="104" customFormat="false" ht="15" hidden="false" customHeight="false" outlineLevel="0" collapsed="false">
      <c r="A104" s="0" t="s">
        <v>352</v>
      </c>
      <c r="B104" s="0" t="s">
        <v>353</v>
      </c>
      <c r="C104" s="0" t="n">
        <v>30.37</v>
      </c>
      <c r="D104" s="0" t="n">
        <v>4.292</v>
      </c>
      <c r="E104" s="0" t="n">
        <v>0</v>
      </c>
      <c r="F104" s="0" t="s">
        <v>346</v>
      </c>
      <c r="G104" s="0" t="n">
        <v>16</v>
      </c>
      <c r="H104" s="0" t="n">
        <v>0</v>
      </c>
      <c r="I104" s="0" t="s">
        <v>354</v>
      </c>
      <c r="J104" s="0" t="s">
        <v>348</v>
      </c>
      <c r="K104" s="0" t="s">
        <v>34</v>
      </c>
    </row>
    <row r="105" customFormat="false" ht="15" hidden="false" customHeight="false" outlineLevel="0" collapsed="false">
      <c r="A105" s="0" t="s">
        <v>355</v>
      </c>
      <c r="B105" s="0" t="s">
        <v>356</v>
      </c>
      <c r="C105" s="0" t="n">
        <v>3.91</v>
      </c>
      <c r="D105" s="0" t="n">
        <v>4.292</v>
      </c>
      <c r="E105" s="0" t="n">
        <v>0</v>
      </c>
      <c r="F105" s="0" t="s">
        <v>346</v>
      </c>
      <c r="G105" s="0" t="n">
        <v>16</v>
      </c>
      <c r="H105" s="0" t="n">
        <v>0</v>
      </c>
      <c r="I105" s="0" t="s">
        <v>357</v>
      </c>
      <c r="J105" s="0" t="s">
        <v>348</v>
      </c>
      <c r="K105" s="0" t="s">
        <v>34</v>
      </c>
    </row>
    <row r="106" customFormat="false" ht="15" hidden="false" customHeight="false" outlineLevel="0" collapsed="false">
      <c r="A106" s="0" t="s">
        <v>358</v>
      </c>
      <c r="B106" s="0" t="s">
        <v>359</v>
      </c>
      <c r="C106" s="0" t="n">
        <v>39.86</v>
      </c>
      <c r="D106" s="0" t="n">
        <v>2.042</v>
      </c>
      <c r="E106" s="0" t="n">
        <v>0</v>
      </c>
      <c r="F106" s="0" t="s">
        <v>346</v>
      </c>
      <c r="G106" s="0" t="n">
        <v>16</v>
      </c>
      <c r="H106" s="0" t="n">
        <v>0</v>
      </c>
      <c r="I106" s="0" t="s">
        <v>360</v>
      </c>
      <c r="J106" s="0" t="s">
        <v>348</v>
      </c>
      <c r="K106" s="0" t="s">
        <v>34</v>
      </c>
    </row>
    <row r="107" customFormat="false" ht="15" hidden="false" customHeight="false" outlineLevel="0" collapsed="false">
      <c r="A107" s="0" t="s">
        <v>361</v>
      </c>
      <c r="B107" s="0" t="s">
        <v>362</v>
      </c>
      <c r="C107" s="0" t="n">
        <v>51.46</v>
      </c>
      <c r="D107" s="0" t="n">
        <v>2.042</v>
      </c>
      <c r="E107" s="0" t="n">
        <v>0</v>
      </c>
      <c r="F107" s="0" t="s">
        <v>346</v>
      </c>
      <c r="G107" s="0" t="n">
        <v>16</v>
      </c>
      <c r="H107" s="0" t="n">
        <v>0</v>
      </c>
      <c r="I107" s="0" t="s">
        <v>363</v>
      </c>
      <c r="J107" s="0" t="s">
        <v>348</v>
      </c>
      <c r="K107" s="0" t="s">
        <v>34</v>
      </c>
    </row>
    <row r="108" customFormat="false" ht="15" hidden="false" customHeight="false" outlineLevel="0" collapsed="false">
      <c r="A108" s="0" t="s">
        <v>364</v>
      </c>
      <c r="B108" s="0" t="s">
        <v>365</v>
      </c>
      <c r="C108" s="0" t="n">
        <v>25.84</v>
      </c>
      <c r="D108" s="0" t="n">
        <v>4.625</v>
      </c>
      <c r="E108" s="0" t="n">
        <v>0</v>
      </c>
      <c r="F108" s="0" t="s">
        <v>346</v>
      </c>
      <c r="G108" s="0" t="n">
        <v>16</v>
      </c>
      <c r="H108" s="0" t="n">
        <v>0</v>
      </c>
      <c r="I108" s="0" t="s">
        <v>366</v>
      </c>
      <c r="J108" s="0" t="s">
        <v>348</v>
      </c>
      <c r="K108" s="0" t="s">
        <v>34</v>
      </c>
    </row>
    <row r="109" customFormat="false" ht="15" hidden="false" customHeight="false" outlineLevel="0" collapsed="false">
      <c r="A109" s="0" t="s">
        <v>367</v>
      </c>
      <c r="B109" s="0" t="s">
        <v>368</v>
      </c>
      <c r="C109" s="0" t="n">
        <v>53.68</v>
      </c>
      <c r="D109" s="0" t="n">
        <v>4.885</v>
      </c>
      <c r="E109" s="0" t="n">
        <v>0</v>
      </c>
      <c r="F109" s="0" t="s">
        <v>346</v>
      </c>
      <c r="G109" s="0" t="n">
        <v>16</v>
      </c>
      <c r="H109" s="0" t="n">
        <v>0</v>
      </c>
      <c r="I109" s="0" t="s">
        <v>369</v>
      </c>
      <c r="J109" s="0" t="s">
        <v>348</v>
      </c>
      <c r="K109" s="0" t="s">
        <v>34</v>
      </c>
    </row>
    <row r="110" customFormat="false" ht="15" hidden="false" customHeight="false" outlineLevel="0" collapsed="false">
      <c r="A110" s="0" t="s">
        <v>370</v>
      </c>
      <c r="B110" s="0" t="s">
        <v>371</v>
      </c>
      <c r="C110" s="0" t="n">
        <v>22.09</v>
      </c>
      <c r="D110" s="0" t="n">
        <v>2.042</v>
      </c>
      <c r="E110" s="0" t="n">
        <v>0</v>
      </c>
      <c r="F110" s="0" t="s">
        <v>346</v>
      </c>
      <c r="G110" s="0" t="n">
        <v>16</v>
      </c>
      <c r="H110" s="0" t="n">
        <v>0</v>
      </c>
      <c r="I110" s="0" t="s">
        <v>372</v>
      </c>
      <c r="J110" s="0" t="s">
        <v>348</v>
      </c>
      <c r="K110" s="0" t="s">
        <v>34</v>
      </c>
    </row>
    <row r="111" customFormat="false" ht="15" hidden="false" customHeight="false" outlineLevel="0" collapsed="false">
      <c r="A111" s="0" t="s">
        <v>373</v>
      </c>
      <c r="B111" s="0" t="s">
        <v>374</v>
      </c>
      <c r="C111" s="0" t="n">
        <v>25.84</v>
      </c>
      <c r="D111" s="0" t="n">
        <v>4.625</v>
      </c>
      <c r="E111" s="0" t="n">
        <v>0</v>
      </c>
      <c r="F111" s="0" t="s">
        <v>346</v>
      </c>
      <c r="G111" s="0" t="n">
        <v>16</v>
      </c>
      <c r="H111" s="0" t="n">
        <v>0</v>
      </c>
      <c r="I111" s="0" t="s">
        <v>375</v>
      </c>
      <c r="J111" s="0" t="s">
        <v>348</v>
      </c>
      <c r="K111" s="0" t="s">
        <v>34</v>
      </c>
    </row>
    <row r="112" customFormat="false" ht="15" hidden="false" customHeight="false" outlineLevel="0" collapsed="false">
      <c r="A112" s="5" t="s">
        <v>376</v>
      </c>
    </row>
    <row r="113" customFormat="false" ht="15" hidden="false" customHeight="false" outlineLevel="0" collapsed="false">
      <c r="A113" s="0" t="s">
        <v>377</v>
      </c>
      <c r="B113" s="0" t="s">
        <v>378</v>
      </c>
      <c r="C113" s="0" t="n">
        <v>78.17</v>
      </c>
      <c r="D113" s="0" t="n">
        <v>1.979</v>
      </c>
      <c r="E113" s="0" t="n">
        <v>0</v>
      </c>
      <c r="F113" s="0" t="s">
        <v>31</v>
      </c>
      <c r="G113" s="0" t="n">
        <v>16</v>
      </c>
      <c r="H113" s="0" t="n">
        <v>0</v>
      </c>
      <c r="I113" s="0" t="s">
        <v>379</v>
      </c>
      <c r="J113" s="0" t="s">
        <v>380</v>
      </c>
      <c r="K113" s="0" t="s">
        <v>34</v>
      </c>
    </row>
    <row r="114" customFormat="false" ht="15" hidden="false" customHeight="false" outlineLevel="0" collapsed="false">
      <c r="A114" s="0" t="s">
        <v>381</v>
      </c>
      <c r="B114" s="0" t="s">
        <v>382</v>
      </c>
      <c r="C114" s="0" t="n">
        <v>55.57</v>
      </c>
      <c r="D114" s="0" t="n">
        <v>1.979</v>
      </c>
      <c r="E114" s="0" t="n">
        <v>0</v>
      </c>
      <c r="F114" s="0" t="s">
        <v>31</v>
      </c>
      <c r="G114" s="0" t="n">
        <v>16</v>
      </c>
      <c r="H114" s="0" t="n">
        <v>0</v>
      </c>
      <c r="I114" s="0" t="s">
        <v>383</v>
      </c>
      <c r="J114" s="0" t="s">
        <v>384</v>
      </c>
      <c r="K114" s="0" t="s">
        <v>34</v>
      </c>
    </row>
    <row r="115" customFormat="false" ht="15" hidden="false" customHeight="false" outlineLevel="0" collapsed="false">
      <c r="A115" s="0" t="s">
        <v>385</v>
      </c>
      <c r="B115" s="0" t="s">
        <v>386</v>
      </c>
      <c r="C115" s="0" t="n">
        <v>28.98</v>
      </c>
      <c r="D115" s="0" t="n">
        <v>1.979</v>
      </c>
      <c r="E115" s="0" t="n">
        <v>0</v>
      </c>
      <c r="F115" s="0" t="s">
        <v>31</v>
      </c>
      <c r="G115" s="0" t="n">
        <v>16</v>
      </c>
      <c r="H115" s="0" t="n">
        <v>0</v>
      </c>
      <c r="I115" s="0" t="s">
        <v>387</v>
      </c>
      <c r="J115" s="0" t="s">
        <v>388</v>
      </c>
      <c r="K115" s="0" t="s">
        <v>34</v>
      </c>
    </row>
    <row r="116" customFormat="false" ht="15" hidden="false" customHeight="false" outlineLevel="0" collapsed="false">
      <c r="A116" s="0" t="s">
        <v>389</v>
      </c>
      <c r="B116" s="0" t="s">
        <v>390</v>
      </c>
      <c r="C116" s="0" t="n">
        <v>78.02</v>
      </c>
      <c r="D116" s="0" t="n">
        <v>1.979</v>
      </c>
      <c r="E116" s="0" t="n">
        <v>0</v>
      </c>
      <c r="F116" s="0" t="s">
        <v>31</v>
      </c>
      <c r="G116" s="0" t="n">
        <v>16</v>
      </c>
      <c r="H116" s="0" t="n">
        <v>0</v>
      </c>
      <c r="I116" s="0" t="s">
        <v>391</v>
      </c>
      <c r="J116" s="0" t="s">
        <v>392</v>
      </c>
      <c r="K116" s="0" t="s">
        <v>34</v>
      </c>
    </row>
    <row r="117" customFormat="false" ht="15" hidden="false" customHeight="false" outlineLevel="0" collapsed="false">
      <c r="A117" s="5" t="s">
        <v>393</v>
      </c>
    </row>
    <row r="118" customFormat="false" ht="15" hidden="false" customHeight="false" outlineLevel="0" collapsed="false">
      <c r="A118" s="0" t="s">
        <v>394</v>
      </c>
      <c r="B118" s="0" t="s">
        <v>395</v>
      </c>
      <c r="C118" s="0" t="n">
        <v>6.53</v>
      </c>
      <c r="D118" s="0" t="n">
        <v>7.375</v>
      </c>
      <c r="E118" s="0" t="n">
        <v>1</v>
      </c>
      <c r="F118" s="0" t="s">
        <v>31</v>
      </c>
      <c r="G118" s="0" t="n">
        <v>16</v>
      </c>
      <c r="H118" s="0" t="n">
        <v>9.79</v>
      </c>
      <c r="I118" s="0" t="s">
        <v>396</v>
      </c>
      <c r="J118" s="0" t="s">
        <v>397</v>
      </c>
      <c r="K118" s="0" t="s">
        <v>34</v>
      </c>
    </row>
    <row r="119" customFormat="false" ht="15" hidden="false" customHeight="false" outlineLevel="0" collapsed="false">
      <c r="A119" s="0" t="s">
        <v>398</v>
      </c>
      <c r="B119" s="0" t="s">
        <v>399</v>
      </c>
      <c r="C119" s="0" t="n">
        <v>5.48</v>
      </c>
      <c r="D119" s="0" t="n">
        <v>4.991</v>
      </c>
      <c r="E119" s="0" t="n">
        <v>1</v>
      </c>
      <c r="F119" s="0" t="s">
        <v>31</v>
      </c>
      <c r="G119" s="0" t="n">
        <v>16</v>
      </c>
      <c r="H119" s="0" t="n">
        <v>8.22</v>
      </c>
      <c r="I119" s="0" t="s">
        <v>400</v>
      </c>
      <c r="J119" s="0" t="s">
        <v>397</v>
      </c>
      <c r="K119" s="0" t="s">
        <v>34</v>
      </c>
    </row>
    <row r="120" customFormat="false" ht="15" hidden="false" customHeight="false" outlineLevel="0" collapsed="false">
      <c r="A120" s="0" t="s">
        <v>401</v>
      </c>
      <c r="B120" s="0" t="s">
        <v>402</v>
      </c>
      <c r="C120" s="0" t="n">
        <v>6.53</v>
      </c>
      <c r="D120" s="0" t="n">
        <v>7.375</v>
      </c>
      <c r="E120" s="0" t="n">
        <v>1</v>
      </c>
      <c r="F120" s="0" t="s">
        <v>31</v>
      </c>
      <c r="G120" s="0" t="n">
        <v>16</v>
      </c>
      <c r="H120" s="0" t="n">
        <v>48.16</v>
      </c>
      <c r="I120" s="0" t="s">
        <v>403</v>
      </c>
      <c r="J120" s="0" t="s">
        <v>397</v>
      </c>
      <c r="K120" s="0" t="s">
        <v>34</v>
      </c>
    </row>
    <row r="121" customFormat="false" ht="15" hidden="false" customHeight="false" outlineLevel="0" collapsed="false">
      <c r="A121" s="0" t="s">
        <v>404</v>
      </c>
      <c r="B121" s="0" t="s">
        <v>405</v>
      </c>
      <c r="C121" s="0" t="n">
        <v>5.48</v>
      </c>
      <c r="D121" s="0" t="n">
        <v>4.991</v>
      </c>
      <c r="E121" s="0" t="n">
        <v>1</v>
      </c>
      <c r="F121" s="0" t="s">
        <v>31</v>
      </c>
      <c r="G121" s="0" t="n">
        <v>16</v>
      </c>
      <c r="H121" s="0" t="n">
        <v>27.35</v>
      </c>
      <c r="I121" s="0" t="s">
        <v>406</v>
      </c>
      <c r="J121" s="0" t="s">
        <v>397</v>
      </c>
      <c r="K121" s="0" t="s">
        <v>34</v>
      </c>
    </row>
    <row r="122" customFormat="false" ht="15" hidden="false" customHeight="false" outlineLevel="0" collapsed="false">
      <c r="A122" s="5" t="s">
        <v>407</v>
      </c>
    </row>
    <row r="123" customFormat="false" ht="15" hidden="false" customHeight="false" outlineLevel="0" collapsed="false">
      <c r="A123" s="0" t="s">
        <v>408</v>
      </c>
      <c r="B123" s="0" t="s">
        <v>409</v>
      </c>
      <c r="C123" s="0" t="n">
        <v>77.05</v>
      </c>
      <c r="D123" s="0" t="n">
        <v>4.375</v>
      </c>
      <c r="E123" s="0" t="n">
        <v>1</v>
      </c>
      <c r="F123" s="0" t="s">
        <v>31</v>
      </c>
      <c r="G123" s="0" t="n">
        <v>16</v>
      </c>
      <c r="H123" s="0" t="n">
        <v>77.05</v>
      </c>
      <c r="I123" s="0" t="s">
        <v>410</v>
      </c>
      <c r="J123" s="0" t="s">
        <v>411</v>
      </c>
      <c r="K123" s="0" t="s">
        <v>34</v>
      </c>
    </row>
    <row r="124" customFormat="false" ht="15" hidden="false" customHeight="false" outlineLevel="0" collapsed="false">
      <c r="A124" s="0" t="s">
        <v>412</v>
      </c>
      <c r="B124" s="0" t="s">
        <v>413</v>
      </c>
      <c r="C124" s="0" t="n">
        <v>5.093</v>
      </c>
      <c r="D124" s="0" t="n">
        <v>6.375</v>
      </c>
      <c r="E124" s="0" t="n">
        <v>1</v>
      </c>
      <c r="F124" s="0" t="s">
        <v>31</v>
      </c>
      <c r="G124" s="0" t="n">
        <v>16</v>
      </c>
      <c r="H124" s="0" t="n">
        <v>17.83</v>
      </c>
      <c r="I124" s="0" t="s">
        <v>414</v>
      </c>
      <c r="J124" s="0" t="s">
        <v>415</v>
      </c>
      <c r="K124" s="0" t="s">
        <v>34</v>
      </c>
    </row>
    <row r="125" customFormat="false" ht="15" hidden="false" customHeight="false" outlineLevel="0" collapsed="false">
      <c r="A125" s="5" t="s">
        <v>416</v>
      </c>
    </row>
    <row r="126" customFormat="false" ht="15" hidden="false" customHeight="false" outlineLevel="0" collapsed="false">
      <c r="A126" s="0" t="s">
        <v>417</v>
      </c>
      <c r="B126" s="0" t="s">
        <v>418</v>
      </c>
      <c r="C126" s="0" t="n">
        <v>15.646</v>
      </c>
      <c r="D126" s="0" t="n">
        <v>5.375</v>
      </c>
      <c r="E126" s="0" t="n">
        <v>0</v>
      </c>
      <c r="F126" s="0" t="s">
        <v>31</v>
      </c>
      <c r="G126" s="0" t="n">
        <v>16</v>
      </c>
      <c r="H126" s="0" t="n">
        <v>0</v>
      </c>
      <c r="I126" s="0" t="s">
        <v>419</v>
      </c>
      <c r="J126" s="0" t="s">
        <v>420</v>
      </c>
      <c r="K126" s="0" t="s">
        <v>34</v>
      </c>
    </row>
    <row r="127" customFormat="false" ht="15" hidden="false" customHeight="false" outlineLevel="0" collapsed="false">
      <c r="A127" s="0" t="s">
        <v>421</v>
      </c>
      <c r="B127" s="0" t="s">
        <v>422</v>
      </c>
      <c r="C127" s="0" t="n">
        <v>6.417</v>
      </c>
      <c r="D127" s="0" t="n">
        <v>5.375</v>
      </c>
      <c r="E127" s="0" t="n">
        <v>1</v>
      </c>
      <c r="F127" s="0" t="s">
        <v>31</v>
      </c>
      <c r="G127" s="0" t="n">
        <v>16</v>
      </c>
      <c r="H127" s="0" t="n">
        <v>12.83</v>
      </c>
      <c r="I127" s="0" t="s">
        <v>423</v>
      </c>
      <c r="J127" s="0" t="s">
        <v>420</v>
      </c>
      <c r="K127" s="0" t="s">
        <v>34</v>
      </c>
    </row>
    <row r="128" customFormat="false" ht="15" hidden="false" customHeight="false" outlineLevel="0" collapsed="false">
      <c r="A128" s="6" t="s">
        <v>424</v>
      </c>
      <c r="C128" s="3" t="n">
        <f aca="false">SUM(C5:C127)</f>
        <v>1552.529</v>
      </c>
      <c r="H128" s="3" t="n">
        <f aca="false">SUM(H5:H127)</f>
        <v>16792.06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5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425</v>
      </c>
    </row>
    <row r="2" customFormat="false" ht="15" hidden="false" customHeight="false" outlineLevel="0" collapsed="false">
      <c r="A2" s="0" t="s">
        <v>426</v>
      </c>
    </row>
    <row r="3" customFormat="false" ht="15" hidden="false" customHeight="false" outlineLevel="0" collapsed="false">
      <c r="A3" s="4" t="s">
        <v>427</v>
      </c>
      <c r="B3" s="4" t="s">
        <v>428</v>
      </c>
      <c r="C3" s="4" t="s">
        <v>429</v>
      </c>
      <c r="D3" s="4" t="s">
        <v>430</v>
      </c>
      <c r="E3" s="4" t="s">
        <v>431</v>
      </c>
      <c r="F3" s="4" t="s">
        <v>432</v>
      </c>
      <c r="G3" s="4" t="s">
        <v>433</v>
      </c>
      <c r="H3" s="4" t="s">
        <v>434</v>
      </c>
      <c r="I3" s="4" t="s">
        <v>435</v>
      </c>
    </row>
    <row r="4" customFormat="false" ht="15" hidden="false" customHeight="false" outlineLevel="0" collapsed="false">
      <c r="A4" s="0" t="s">
        <v>436</v>
      </c>
      <c r="B4" s="0" t="s">
        <v>437</v>
      </c>
      <c r="C4" s="0" t="n">
        <v>4529.54</v>
      </c>
      <c r="D4" s="0" t="n">
        <f aca="false">Inputs!$B$4</f>
        <v>0.15</v>
      </c>
      <c r="E4" s="0" t="n">
        <f aca="false">C4*D4</f>
        <v>679.431</v>
      </c>
      <c r="F4" s="0" t="n">
        <f aca="false">C4+E4</f>
        <v>5208.971</v>
      </c>
      <c r="H4" s="0" t="n">
        <f aca="false">ROUNDUP(ROUNDUP(F4/14.36,0)/MAX(1,INT(20/14.36)),0)</f>
        <v>363</v>
      </c>
      <c r="I4" s="0" t="s">
        <v>438</v>
      </c>
    </row>
    <row r="5" customFormat="false" ht="15" hidden="false" customHeight="false" outlineLevel="0" collapsed="false">
      <c r="A5" s="0" t="s">
        <v>439</v>
      </c>
      <c r="B5" s="0" t="s">
        <v>437</v>
      </c>
      <c r="C5" s="0" t="n">
        <v>981.99</v>
      </c>
      <c r="D5" s="0" t="n">
        <f aca="false">Inputs!$B$4</f>
        <v>0.15</v>
      </c>
      <c r="E5" s="0" t="n">
        <f aca="false">C5*D5</f>
        <v>147.2985</v>
      </c>
      <c r="F5" s="0" t="n">
        <f aca="false">C5+E5</f>
        <v>1129.2885</v>
      </c>
      <c r="H5" s="0" t="n">
        <f aca="false">ROUNDUP(ROUNDUP(F5/4.89,0)/MAX(1,INT(20/4.89)),0)</f>
        <v>58</v>
      </c>
      <c r="I5" s="0" t="s">
        <v>440</v>
      </c>
    </row>
    <row r="6" customFormat="false" ht="15" hidden="false" customHeight="false" outlineLevel="0" collapsed="false">
      <c r="A6" s="0" t="s">
        <v>441</v>
      </c>
      <c r="B6" s="0" t="s">
        <v>437</v>
      </c>
      <c r="C6" s="0" t="n">
        <v>6511.46</v>
      </c>
      <c r="D6" s="0" t="n">
        <f aca="false">Inputs!$B$4</f>
        <v>0.15</v>
      </c>
      <c r="E6" s="0" t="n">
        <f aca="false">C6*D6</f>
        <v>976.719</v>
      </c>
      <c r="F6" s="0" t="n">
        <f aca="false">C6+E6</f>
        <v>7488.179</v>
      </c>
      <c r="H6" s="0" t="n">
        <f aca="false">ROUNDUP(ROUNDUP(F6/15.38,0)/MAX(1,INT(20/15.38)),0)</f>
        <v>487</v>
      </c>
      <c r="I6" s="0" t="s">
        <v>442</v>
      </c>
    </row>
    <row r="7" customFormat="false" ht="15" hidden="false" customHeight="false" outlineLevel="0" collapsed="false">
      <c r="A7" s="0" t="s">
        <v>443</v>
      </c>
      <c r="B7" s="0" t="s">
        <v>437</v>
      </c>
      <c r="C7" s="0" t="n">
        <v>4182.97</v>
      </c>
      <c r="D7" s="0" t="n">
        <f aca="false">Inputs!$B$4</f>
        <v>0.15</v>
      </c>
      <c r="E7" s="0" t="n">
        <f aca="false">C7*D7</f>
        <v>627.4455</v>
      </c>
      <c r="F7" s="0" t="n">
        <f aca="false">C7+E7</f>
        <v>4810.4155</v>
      </c>
      <c r="H7" s="0" t="n">
        <f aca="false">ROUNDUP(ROUNDUP(F7/15.38,0)/MAX(1,INT(20/15.38)),0)</f>
        <v>313</v>
      </c>
      <c r="I7" s="0" t="s">
        <v>444</v>
      </c>
    </row>
    <row r="8" customFormat="false" ht="15" hidden="false" customHeight="false" outlineLevel="0" collapsed="false">
      <c r="A8" s="0" t="s">
        <v>445</v>
      </c>
      <c r="B8" s="0" t="s">
        <v>437</v>
      </c>
      <c r="C8" s="0" t="n">
        <v>24</v>
      </c>
      <c r="D8" s="0" t="n">
        <f aca="false">Inputs!$B$4</f>
        <v>0.15</v>
      </c>
      <c r="E8" s="0" t="n">
        <f aca="false">C8*D8</f>
        <v>3.6</v>
      </c>
      <c r="F8" s="0" t="n">
        <f aca="false">C8+E8</f>
        <v>27.6</v>
      </c>
      <c r="H8" s="0" t="n">
        <f aca="false">ROUNDUP(ROUNDUP(F8/2,0)/MAX(1,INT(10/2)),0)</f>
        <v>3</v>
      </c>
      <c r="I8" s="0" t="s">
        <v>446</v>
      </c>
    </row>
    <row r="9" customFormat="false" ht="15" hidden="false" customHeight="false" outlineLevel="0" collapsed="false">
      <c r="A9" s="0" t="s">
        <v>447</v>
      </c>
      <c r="B9" s="0" t="s">
        <v>437</v>
      </c>
      <c r="C9" s="0" t="n">
        <v>1350.63</v>
      </c>
      <c r="D9" s="0" t="n">
        <f aca="false">Inputs!$B$4</f>
        <v>0.15</v>
      </c>
      <c r="E9" s="0" t="n">
        <f aca="false">C9*D9</f>
        <v>202.5945</v>
      </c>
      <c r="F9" s="0" t="n">
        <f aca="false">C9+E9</f>
        <v>1553.2245</v>
      </c>
      <c r="H9" s="0" t="n">
        <f aca="false">ROUNDUP(F9/10,0)</f>
        <v>156</v>
      </c>
      <c r="I9" s="0" t="s">
        <v>448</v>
      </c>
    </row>
    <row r="10" customFormat="false" ht="15" hidden="false" customHeight="false" outlineLevel="0" collapsed="false">
      <c r="A10" s="0" t="s">
        <v>449</v>
      </c>
      <c r="B10" s="0" t="s">
        <v>437</v>
      </c>
      <c r="C10" s="0" t="n">
        <v>1350.63</v>
      </c>
      <c r="D10" s="0" t="n">
        <f aca="false">Inputs!$B$4</f>
        <v>0.15</v>
      </c>
      <c r="E10" s="0" t="n">
        <f aca="false">C10*D10</f>
        <v>202.5945</v>
      </c>
      <c r="F10" s="0" t="n">
        <f aca="false">C10+E10</f>
        <v>1553.2245</v>
      </c>
      <c r="H10" s="0" t="n">
        <f aca="false">ROUNDUP(F10/10,0)</f>
        <v>156</v>
      </c>
      <c r="I10" s="0" t="s">
        <v>450</v>
      </c>
    </row>
    <row r="11" customFormat="false" ht="15" hidden="false" customHeight="false" outlineLevel="0" collapsed="false">
      <c r="A11" s="0" t="s">
        <v>451</v>
      </c>
      <c r="B11" s="0" t="s">
        <v>437</v>
      </c>
      <c r="C11" s="0" t="n">
        <v>1151.39</v>
      </c>
      <c r="D11" s="0" t="n">
        <f aca="false">Inputs!$B$4</f>
        <v>0.15</v>
      </c>
      <c r="E11" s="0" t="n">
        <f aca="false">C11*D11</f>
        <v>172.7085</v>
      </c>
      <c r="F11" s="0" t="n">
        <f aca="false">C11+E11</f>
        <v>1324.0985</v>
      </c>
      <c r="H11" s="0" t="n">
        <f aca="false">ROUNDUP(F11/10,0)</f>
        <v>133</v>
      </c>
      <c r="I11" s="0" t="s">
        <v>452</v>
      </c>
    </row>
    <row r="12" customFormat="false" ht="15" hidden="false" customHeight="false" outlineLevel="0" collapsed="false">
      <c r="A12" s="0" t="s">
        <v>453</v>
      </c>
      <c r="B12" s="0" t="s">
        <v>437</v>
      </c>
      <c r="C12" s="0" t="n">
        <v>2540.91</v>
      </c>
      <c r="D12" s="0" t="n">
        <f aca="false">Inputs!$B$4</f>
        <v>0.15</v>
      </c>
      <c r="E12" s="0" t="n">
        <f aca="false">C12*D12</f>
        <v>381.1365</v>
      </c>
      <c r="F12" s="0" t="n">
        <f aca="false">C12+E12</f>
        <v>2922.0465</v>
      </c>
      <c r="H12" s="0" t="n">
        <f aca="false">ROUNDUP(F12/16,0)</f>
        <v>183</v>
      </c>
      <c r="I12" s="0" t="s">
        <v>454</v>
      </c>
    </row>
    <row r="13" customFormat="false" ht="15" hidden="false" customHeight="false" outlineLevel="0" collapsed="false">
      <c r="A13" s="0" t="s">
        <v>455</v>
      </c>
      <c r="B13" s="0" t="s">
        <v>437</v>
      </c>
      <c r="C13" s="0" t="n">
        <v>220.55</v>
      </c>
      <c r="D13" s="0" t="n">
        <f aca="false">Inputs!$B$4</f>
        <v>0.15</v>
      </c>
      <c r="E13" s="0" t="n">
        <f aca="false">C13*D13</f>
        <v>33.0825</v>
      </c>
      <c r="F13" s="0" t="n">
        <f aca="false">C13+E13</f>
        <v>253.6325</v>
      </c>
      <c r="H13" s="0" t="n">
        <f aca="false">ROUNDUP(F13/10,0)</f>
        <v>26</v>
      </c>
      <c r="I13" s="0" t="s">
        <v>456</v>
      </c>
    </row>
    <row r="14" customFormat="false" ht="15" hidden="false" customHeight="false" outlineLevel="0" collapsed="false">
      <c r="A14" s="0" t="s">
        <v>457</v>
      </c>
      <c r="B14" s="0" t="s">
        <v>437</v>
      </c>
      <c r="C14" s="0" t="n">
        <v>242.06</v>
      </c>
      <c r="D14" s="0" t="n">
        <f aca="false">Inputs!$B$4</f>
        <v>0.15</v>
      </c>
      <c r="E14" s="0" t="n">
        <f aca="false">C14*D14</f>
        <v>36.309</v>
      </c>
      <c r="F14" s="0" t="n">
        <f aca="false">C14+E14</f>
        <v>278.369</v>
      </c>
      <c r="H14" s="0" t="n">
        <f aca="false">ROUNDUP(F14/10,0)</f>
        <v>28</v>
      </c>
      <c r="I14" s="0" t="s">
        <v>458</v>
      </c>
    </row>
    <row r="15" customFormat="false" ht="15" hidden="false" customHeight="false" outlineLevel="0" collapsed="false">
      <c r="A15" s="0" t="s">
        <v>459</v>
      </c>
      <c r="B15" s="0" t="s">
        <v>437</v>
      </c>
      <c r="C15" s="0" t="n">
        <v>63.12</v>
      </c>
      <c r="D15" s="0" t="n">
        <f aca="false">Inputs!$B$4</f>
        <v>0.15</v>
      </c>
      <c r="E15" s="0" t="n">
        <f aca="false">C15*D15</f>
        <v>9.468</v>
      </c>
      <c r="F15" s="0" t="n">
        <f aca="false">C15+E15</f>
        <v>72.588</v>
      </c>
      <c r="H15" s="0" t="n">
        <f aca="false">ROUNDUP(F15/10,0)</f>
        <v>8</v>
      </c>
      <c r="I15" s="0" t="s">
        <v>460</v>
      </c>
    </row>
    <row r="16" customFormat="false" ht="15" hidden="false" customHeight="false" outlineLevel="0" collapsed="false">
      <c r="A16" s="0" t="s">
        <v>461</v>
      </c>
      <c r="B16" s="0" t="s">
        <v>437</v>
      </c>
      <c r="C16" s="0" t="n">
        <v>921.38</v>
      </c>
      <c r="D16" s="0" t="n">
        <f aca="false">Inputs!$B$4</f>
        <v>0.15</v>
      </c>
      <c r="E16" s="0" t="n">
        <f aca="false">C16*D16</f>
        <v>138.207</v>
      </c>
      <c r="F16" s="0" t="n">
        <f aca="false">C16+E16</f>
        <v>1059.587</v>
      </c>
      <c r="H16" s="0" t="n">
        <f aca="false">ROUNDUP(F16/10,0)</f>
        <v>106</v>
      </c>
      <c r="I16" s="0" t="s">
        <v>462</v>
      </c>
    </row>
    <row r="17" customFormat="false" ht="15" hidden="false" customHeight="false" outlineLevel="0" collapsed="false">
      <c r="A17" s="0" t="s">
        <v>463</v>
      </c>
      <c r="B17" s="0" t="s">
        <v>437</v>
      </c>
      <c r="C17" s="0" t="n">
        <v>807.64</v>
      </c>
      <c r="D17" s="0" t="n">
        <f aca="false">Inputs!$B$4</f>
        <v>0.15</v>
      </c>
      <c r="E17" s="0" t="n">
        <f aca="false">C17*D17</f>
        <v>121.146</v>
      </c>
      <c r="F17" s="0" t="n">
        <f aca="false">C17+E17</f>
        <v>928.786</v>
      </c>
      <c r="H17" s="0" t="n">
        <f aca="false">ROUNDUP(F17/12,0)</f>
        <v>78</v>
      </c>
      <c r="I17" s="0" t="s">
        <v>464</v>
      </c>
    </row>
    <row r="18" customFormat="false" ht="15" hidden="false" customHeight="false" outlineLevel="0" collapsed="false">
      <c r="A18" s="0" t="s">
        <v>465</v>
      </c>
      <c r="B18" s="0" t="s">
        <v>437</v>
      </c>
      <c r="C18" s="0" t="n">
        <v>317.42</v>
      </c>
      <c r="D18" s="0" t="n">
        <f aca="false">Inputs!$B$4</f>
        <v>0.15</v>
      </c>
      <c r="E18" s="0" t="n">
        <f aca="false">C18*D18</f>
        <v>47.613</v>
      </c>
      <c r="F18" s="0" t="n">
        <f aca="false">C18+E18</f>
        <v>365.033</v>
      </c>
      <c r="H18" s="0" t="n">
        <f aca="false">ROUNDUP(F18/16,0)</f>
        <v>23</v>
      </c>
      <c r="I18" s="0" t="s">
        <v>464</v>
      </c>
    </row>
    <row r="19" customFormat="false" ht="15" hidden="false" customHeight="false" outlineLevel="0" collapsed="false">
      <c r="A19" s="0" t="s">
        <v>466</v>
      </c>
      <c r="B19" s="0" t="s">
        <v>437</v>
      </c>
      <c r="C19" s="0" t="n">
        <v>530.13</v>
      </c>
      <c r="D19" s="0" t="n">
        <f aca="false">Inputs!$B$4</f>
        <v>0.15</v>
      </c>
      <c r="E19" s="0" t="n">
        <f aca="false">C19*D19</f>
        <v>79.5195</v>
      </c>
      <c r="F19" s="0" t="n">
        <f aca="false">C19+E19</f>
        <v>609.6495</v>
      </c>
      <c r="H19" s="0" t="n">
        <f aca="false">ROUNDUP(F19/10,0)</f>
        <v>61</v>
      </c>
      <c r="I19" s="0" t="s">
        <v>467</v>
      </c>
    </row>
    <row r="20" customFormat="false" ht="15" hidden="false" customHeight="false" outlineLevel="0" collapsed="false">
      <c r="A20" s="0" t="s">
        <v>468</v>
      </c>
      <c r="B20" s="0" t="s">
        <v>469</v>
      </c>
      <c r="C20" s="0" t="n">
        <v>17575.13</v>
      </c>
      <c r="D20" s="0" t="n">
        <f aca="false">Inputs!$B$5</f>
        <v>0.06</v>
      </c>
      <c r="E20" s="0" t="n">
        <f aca="false">C20*D20</f>
        <v>1054.5078</v>
      </c>
      <c r="F20" s="0" t="n">
        <f aca="false">C20+E20</f>
        <v>18629.6378</v>
      </c>
      <c r="G20" s="0" t="s">
        <v>470</v>
      </c>
      <c r="H20" s="0" t="n">
        <f aca="false">ROUNDUP(F20/48,0)</f>
        <v>389</v>
      </c>
      <c r="I20" s="0" t="s">
        <v>471</v>
      </c>
    </row>
    <row r="21" customFormat="false" ht="15" hidden="false" customHeight="false" outlineLevel="0" collapsed="false">
      <c r="A21" s="0" t="s">
        <v>472</v>
      </c>
      <c r="B21" s="0" t="s">
        <v>469</v>
      </c>
      <c r="C21" s="0" t="n">
        <v>258.86</v>
      </c>
      <c r="D21" s="0" t="n">
        <f aca="false">Inputs!$B$5</f>
        <v>0.06</v>
      </c>
      <c r="E21" s="0" t="n">
        <f aca="false">C21*D21</f>
        <v>15.5316</v>
      </c>
      <c r="F21" s="0" t="n">
        <f aca="false">C21+E21</f>
        <v>274.3916</v>
      </c>
      <c r="G21" s="0" t="s">
        <v>470</v>
      </c>
      <c r="H21" s="0" t="n">
        <f aca="false">ROUNDUP(F21/48,0)</f>
        <v>6</v>
      </c>
      <c r="I21" s="0" t="s">
        <v>473</v>
      </c>
    </row>
    <row r="22" customFormat="false" ht="15" hidden="false" customHeight="false" outlineLevel="0" collapsed="false">
      <c r="A22" s="0" t="s">
        <v>474</v>
      </c>
      <c r="B22" s="0" t="s">
        <v>469</v>
      </c>
      <c r="C22" s="0" t="n">
        <v>89.86</v>
      </c>
      <c r="D22" s="0" t="n">
        <f aca="false">Inputs!$B$5</f>
        <v>0.06</v>
      </c>
      <c r="E22" s="0" t="n">
        <f aca="false">C22*D22</f>
        <v>5.3916</v>
      </c>
      <c r="F22" s="0" t="n">
        <f aca="false">C22+E22</f>
        <v>95.2516</v>
      </c>
      <c r="G22" s="0" t="s">
        <v>475</v>
      </c>
      <c r="H22" s="0" t="n">
        <f aca="false">ROUNDUP(F22/32,0)</f>
        <v>3</v>
      </c>
      <c r="I22" s="0" t="s">
        <v>476</v>
      </c>
    </row>
    <row r="23" customFormat="false" ht="15" hidden="false" customHeight="false" outlineLevel="0" collapsed="false">
      <c r="A23" s="0" t="s">
        <v>477</v>
      </c>
      <c r="B23" s="0" t="s">
        <v>469</v>
      </c>
      <c r="C23" s="0" t="n">
        <v>69.12</v>
      </c>
      <c r="D23" s="0" t="n">
        <f aca="false">Inputs!$B$5</f>
        <v>0.06</v>
      </c>
      <c r="E23" s="0" t="n">
        <f aca="false">C23*D23</f>
        <v>4.1472</v>
      </c>
      <c r="F23" s="0" t="n">
        <f aca="false">C23+E23</f>
        <v>73.2672</v>
      </c>
      <c r="G23" s="0" t="s">
        <v>475</v>
      </c>
      <c r="H23" s="0" t="n">
        <f aca="false">ROUNDUP(F23/32,0)</f>
        <v>3</v>
      </c>
      <c r="I23" s="0" t="s">
        <v>476</v>
      </c>
    </row>
    <row r="24" customFormat="false" ht="15" hidden="false" customHeight="false" outlineLevel="0" collapsed="false">
      <c r="A24" s="0" t="s">
        <v>478</v>
      </c>
      <c r="B24" s="0" t="s">
        <v>469</v>
      </c>
      <c r="C24" s="0" t="n">
        <v>364.88</v>
      </c>
      <c r="D24" s="0" t="n">
        <f aca="false">Inputs!$B$5</f>
        <v>0.06</v>
      </c>
      <c r="E24" s="0" t="n">
        <f aca="false">C24*D24</f>
        <v>21.8928</v>
      </c>
      <c r="F24" s="0" t="n">
        <f aca="false">C24+E24</f>
        <v>386.7728</v>
      </c>
      <c r="G24" s="0" t="s">
        <v>475</v>
      </c>
      <c r="H24" s="0" t="n">
        <f aca="false">ROUNDUP(F24/32,0)</f>
        <v>13</v>
      </c>
      <c r="I24" s="0" t="s">
        <v>479</v>
      </c>
    </row>
    <row r="25" customFormat="false" ht="15" hidden="false" customHeight="false" outlineLevel="0" collapsed="false">
      <c r="A25" s="0" t="s">
        <v>480</v>
      </c>
      <c r="B25" s="0" t="s">
        <v>469</v>
      </c>
      <c r="C25" s="0" t="n">
        <v>995.63</v>
      </c>
      <c r="D25" s="0" t="n">
        <f aca="false">Inputs!$B$5</f>
        <v>0.06</v>
      </c>
      <c r="E25" s="0" t="n">
        <f aca="false">C25*D25</f>
        <v>59.7378</v>
      </c>
      <c r="F25" s="0" t="n">
        <f aca="false">C25+E25</f>
        <v>1055.3678</v>
      </c>
      <c r="G25" s="0" t="s">
        <v>475</v>
      </c>
      <c r="H25" s="0" t="n">
        <f aca="false">ROUNDUP(F25/32,0)</f>
        <v>33</v>
      </c>
      <c r="I25" s="0" t="s">
        <v>481</v>
      </c>
    </row>
    <row r="26" customFormat="false" ht="15" hidden="false" customHeight="false" outlineLevel="0" collapsed="false">
      <c r="A26" s="0" t="s">
        <v>482</v>
      </c>
      <c r="B26" s="0" t="s">
        <v>469</v>
      </c>
      <c r="C26" s="0" t="n">
        <v>6895.79</v>
      </c>
      <c r="D26" s="0" t="n">
        <f aca="false">Inputs!$B$5</f>
        <v>0.06</v>
      </c>
      <c r="E26" s="0" t="n">
        <f aca="false">C26*D26</f>
        <v>413.7474</v>
      </c>
      <c r="F26" s="0" t="n">
        <f aca="false">C26+E26</f>
        <v>7309.5374</v>
      </c>
      <c r="G26" s="0" t="s">
        <v>475</v>
      </c>
      <c r="H26" s="0" t="n">
        <f aca="false">ROUNDUP(F26/32,0)</f>
        <v>229</v>
      </c>
      <c r="I26" s="0" t="s">
        <v>483</v>
      </c>
    </row>
    <row r="27" customFormat="false" ht="15" hidden="false" customHeight="false" outlineLevel="0" collapsed="false">
      <c r="A27" s="0" t="s">
        <v>484</v>
      </c>
      <c r="B27" s="0" t="s">
        <v>437</v>
      </c>
      <c r="C27" s="0" t="n">
        <v>1066.47</v>
      </c>
      <c r="D27" s="0" t="n">
        <f aca="false">Inputs!$B$5</f>
        <v>0.06</v>
      </c>
      <c r="E27" s="0" t="n">
        <f aca="false">C27*D27</f>
        <v>63.9882</v>
      </c>
      <c r="F27" s="0" t="n">
        <f aca="false">C27+E27</f>
        <v>1130.4582</v>
      </c>
      <c r="H27" s="0" t="n">
        <f aca="false">ROUNDUP(F27,0)</f>
        <v>1131</v>
      </c>
      <c r="I27" s="0" t="s">
        <v>485</v>
      </c>
    </row>
    <row r="28" customFormat="false" ht="15" hidden="false" customHeight="false" outlineLevel="0" collapsed="false">
      <c r="A28" s="0" t="s">
        <v>486</v>
      </c>
      <c r="B28" s="0" t="s">
        <v>437</v>
      </c>
      <c r="C28" s="0" t="n">
        <v>638.25</v>
      </c>
      <c r="D28" s="0" t="n">
        <f aca="false">Inputs!$B$4</f>
        <v>0.15</v>
      </c>
      <c r="E28" s="0" t="n">
        <f aca="false">C28*D28</f>
        <v>95.7375</v>
      </c>
      <c r="F28" s="0" t="n">
        <f aca="false">C28+E28</f>
        <v>733.9875</v>
      </c>
      <c r="H28" s="0" t="n">
        <f aca="false">ROUNDUP(ROUNDUP(F28/1.333,0)/MAX(1,INT(10/1.333)),0)</f>
        <v>79</v>
      </c>
      <c r="I28" s="0" t="s">
        <v>487</v>
      </c>
    </row>
    <row r="29" customFormat="false" ht="15" hidden="false" customHeight="false" outlineLevel="0" collapsed="false">
      <c r="A29" s="0" t="s">
        <v>488</v>
      </c>
      <c r="B29" s="0" t="s">
        <v>437</v>
      </c>
      <c r="C29" s="0" t="n">
        <v>1090.31</v>
      </c>
      <c r="D29" s="0" t="n">
        <f aca="false">Inputs!$B$4</f>
        <v>0.15</v>
      </c>
      <c r="E29" s="0" t="n">
        <f aca="false">C29*D29</f>
        <v>163.5465</v>
      </c>
      <c r="F29" s="0" t="n">
        <f aca="false">C29+E29</f>
        <v>1253.8565</v>
      </c>
      <c r="H29" s="0" t="n">
        <f aca="false">ROUNDUP(F29/10,0)</f>
        <v>126</v>
      </c>
      <c r="I29" s="0" t="s">
        <v>489</v>
      </c>
    </row>
    <row r="30" customFormat="false" ht="15" hidden="false" customHeight="false" outlineLevel="0" collapsed="false">
      <c r="A30" s="0" t="s">
        <v>490</v>
      </c>
      <c r="B30" s="0" t="s">
        <v>437</v>
      </c>
      <c r="C30" s="0" t="n">
        <v>996.49</v>
      </c>
      <c r="D30" s="0" t="n">
        <f aca="false">Inputs!$B$5</f>
        <v>0.06</v>
      </c>
      <c r="E30" s="0" t="n">
        <f aca="false">C30*D30</f>
        <v>59.7894</v>
      </c>
      <c r="F30" s="0" t="n">
        <f aca="false">C30+E30</f>
        <v>1056.2794</v>
      </c>
      <c r="H30" s="0" t="n">
        <f aca="false">ROUNDUP(F30,0)</f>
        <v>1057</v>
      </c>
      <c r="I30" s="0" t="s">
        <v>491</v>
      </c>
    </row>
    <row r="31" customFormat="false" ht="15" hidden="false" customHeight="false" outlineLevel="0" collapsed="false">
      <c r="A31" s="0" t="s">
        <v>492</v>
      </c>
      <c r="B31" s="0" t="s">
        <v>469</v>
      </c>
      <c r="C31" s="0" t="n">
        <v>354</v>
      </c>
      <c r="D31" s="0" t="n">
        <f aca="false">Inputs!$B$5</f>
        <v>0.06</v>
      </c>
      <c r="E31" s="0" t="n">
        <f aca="false">C31*D31</f>
        <v>21.24</v>
      </c>
      <c r="F31" s="0" t="n">
        <f aca="false">C31+E31</f>
        <v>375.24</v>
      </c>
      <c r="G31" s="0" t="s">
        <v>475</v>
      </c>
      <c r="H31" s="0" t="n">
        <f aca="false">ROUNDUP(F31/32,0)</f>
        <v>12</v>
      </c>
      <c r="I31" s="0" t="s">
        <v>493</v>
      </c>
    </row>
    <row r="32" customFormat="false" ht="15" hidden="false" customHeight="false" outlineLevel="0" collapsed="false">
      <c r="A32" s="0" t="s">
        <v>494</v>
      </c>
      <c r="B32" s="0" t="s">
        <v>469</v>
      </c>
      <c r="C32" s="0" t="n">
        <v>17903.11</v>
      </c>
      <c r="D32" s="0" t="n">
        <f aca="false">Inputs!$B$5</f>
        <v>0.06</v>
      </c>
      <c r="E32" s="0" t="n">
        <f aca="false">C32*D32</f>
        <v>1074.1866</v>
      </c>
      <c r="F32" s="0" t="n">
        <f aca="false">C32+E32</f>
        <v>18977.2966</v>
      </c>
      <c r="H32" s="0" t="n">
        <f aca="false">ROUNDUP(F32,0)</f>
        <v>18978</v>
      </c>
      <c r="I32" s="0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496</v>
      </c>
      <c r="B1" s="4" t="s">
        <v>497</v>
      </c>
      <c r="C1" s="4" t="s">
        <v>498</v>
      </c>
    </row>
    <row r="2" customFormat="false" ht="15" hidden="false" customHeight="false" outlineLevel="0" collapsed="false">
      <c r="A2" s="0" t="s">
        <v>499</v>
      </c>
      <c r="B2" s="0" t="s">
        <v>500</v>
      </c>
      <c r="C2" s="0" t="s">
        <v>501</v>
      </c>
    </row>
    <row r="3" customFormat="false" ht="15" hidden="false" customHeight="false" outlineLevel="0" collapsed="false">
      <c r="A3" s="0" t="s">
        <v>502</v>
      </c>
      <c r="B3" s="0" t="s">
        <v>503</v>
      </c>
      <c r="C3" s="0" t="s">
        <v>504</v>
      </c>
    </row>
    <row r="4" customFormat="false" ht="15" hidden="false" customHeight="false" outlineLevel="0" collapsed="false">
      <c r="A4" s="0" t="s">
        <v>505</v>
      </c>
      <c r="B4" s="0" t="s">
        <v>506</v>
      </c>
      <c r="C4" s="0" t="s">
        <v>507</v>
      </c>
    </row>
    <row r="5" customFormat="false" ht="15" hidden="false" customHeight="false" outlineLevel="0" collapsed="false">
      <c r="A5" s="0" t="s">
        <v>508</v>
      </c>
      <c r="B5" s="0" t="s">
        <v>509</v>
      </c>
      <c r="C5" s="0" t="s">
        <v>510</v>
      </c>
    </row>
    <row r="6" customFormat="false" ht="15" hidden="false" customHeight="false" outlineLevel="0" collapsed="false">
      <c r="A6" s="0" t="s">
        <v>511</v>
      </c>
      <c r="B6" s="0" t="s">
        <v>512</v>
      </c>
      <c r="C6" s="0" t="s">
        <v>513</v>
      </c>
    </row>
    <row r="7" customFormat="false" ht="15" hidden="false" customHeight="false" outlineLevel="0" collapsed="false">
      <c r="A7" s="0" t="s">
        <v>514</v>
      </c>
      <c r="B7" s="0" t="s">
        <v>515</v>
      </c>
      <c r="C7" s="0" t="s">
        <v>516</v>
      </c>
    </row>
    <row r="8" customFormat="false" ht="15" hidden="false" customHeight="false" outlineLevel="0" collapsed="false">
      <c r="A8" s="0" t="s">
        <v>517</v>
      </c>
      <c r="B8" s="0" t="s">
        <v>518</v>
      </c>
      <c r="C8" s="0" t="s">
        <v>519</v>
      </c>
    </row>
    <row r="9" customFormat="false" ht="15" hidden="false" customHeight="false" outlineLevel="0" collapsed="false">
      <c r="A9" s="0" t="s">
        <v>520</v>
      </c>
      <c r="B9" s="0" t="s">
        <v>521</v>
      </c>
      <c r="C9" s="0" t="s">
        <v>522</v>
      </c>
    </row>
    <row r="10" customFormat="false" ht="15" hidden="false" customHeight="false" outlineLevel="0" collapsed="false">
      <c r="A10" s="0" t="s">
        <v>523</v>
      </c>
      <c r="B10" s="0" t="s">
        <v>524</v>
      </c>
      <c r="C10" s="0" t="s">
        <v>525</v>
      </c>
    </row>
    <row r="11" customFormat="false" ht="15" hidden="false" customHeight="false" outlineLevel="0" collapsed="false">
      <c r="A11" s="0" t="s">
        <v>526</v>
      </c>
      <c r="B11" s="0" t="s">
        <v>527</v>
      </c>
      <c r="C11" s="0" t="s">
        <v>528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531</v>
      </c>
    </row>
    <row r="13" customFormat="false" ht="15" hidden="false" customHeight="false" outlineLevel="0" collapsed="false">
      <c r="A13" s="0" t="s">
        <v>532</v>
      </c>
      <c r="B13" s="0" t="s">
        <v>533</v>
      </c>
      <c r="C13" s="0" t="s">
        <v>534</v>
      </c>
    </row>
    <row r="14" customFormat="false" ht="15" hidden="false" customHeight="false" outlineLevel="0" collapsed="false">
      <c r="A14" s="0" t="s">
        <v>535</v>
      </c>
      <c r="B14" s="0" t="s">
        <v>536</v>
      </c>
      <c r="C14" s="0" t="s">
        <v>537</v>
      </c>
    </row>
    <row r="15" customFormat="false" ht="15" hidden="false" customHeight="false" outlineLevel="0" collapsed="false">
      <c r="A15" s="0" t="s">
        <v>538</v>
      </c>
      <c r="B15" s="0" t="s">
        <v>539</v>
      </c>
      <c r="C15" s="0" t="s">
        <v>540</v>
      </c>
    </row>
    <row r="16" customFormat="false" ht="15" hidden="false" customHeight="false" outlineLevel="0" collapsed="false">
      <c r="A16" s="0" t="s">
        <v>541</v>
      </c>
      <c r="B16" s="0" t="s">
        <v>542</v>
      </c>
      <c r="C16" s="0" t="s">
        <v>543</v>
      </c>
    </row>
    <row r="17" customFormat="false" ht="15" hidden="false" customHeight="false" outlineLevel="0" collapsed="false">
      <c r="A17" s="0" t="s">
        <v>544</v>
      </c>
      <c r="B17" s="0" t="s">
        <v>545</v>
      </c>
      <c r="C17" s="0" t="s">
        <v>546</v>
      </c>
    </row>
    <row r="18" customFormat="false" ht="15" hidden="false" customHeight="false" outlineLevel="0" collapsed="false">
      <c r="A18" s="0" t="s">
        <v>547</v>
      </c>
      <c r="B18" s="0" t="s">
        <v>548</v>
      </c>
      <c r="C18" s="0" t="s">
        <v>549</v>
      </c>
    </row>
    <row r="19" customFormat="false" ht="15" hidden="false" customHeight="false" outlineLevel="0" collapsed="false">
      <c r="A19" s="0" t="s">
        <v>550</v>
      </c>
      <c r="B19" s="0" t="s">
        <v>551</v>
      </c>
      <c r="C19" s="0" t="s">
        <v>552</v>
      </c>
    </row>
    <row r="20" customFormat="false" ht="15" hidden="false" customHeight="false" outlineLevel="0" collapsed="false">
      <c r="A20" s="0" t="s">
        <v>553</v>
      </c>
      <c r="B20" s="0" t="s">
        <v>554</v>
      </c>
      <c r="C20" s="0" t="s">
        <v>555</v>
      </c>
    </row>
    <row r="21" customFormat="false" ht="15" hidden="false" customHeight="false" outlineLevel="0" collapsed="false">
      <c r="A21" s="0" t="s">
        <v>556</v>
      </c>
      <c r="B21" s="0" t="s">
        <v>557</v>
      </c>
      <c r="C21" s="0" t="s">
        <v>558</v>
      </c>
    </row>
    <row r="22" customFormat="false" ht="15" hidden="false" customHeight="false" outlineLevel="0" collapsed="false">
      <c r="A22" s="0" t="s">
        <v>559</v>
      </c>
      <c r="B22" s="0" t="s">
        <v>560</v>
      </c>
      <c r="C22" s="0" t="s">
        <v>561</v>
      </c>
    </row>
    <row r="23" customFormat="false" ht="15" hidden="false" customHeight="false" outlineLevel="0" collapsed="false">
      <c r="A23" s="0" t="s">
        <v>562</v>
      </c>
      <c r="B23" s="0" t="s">
        <v>563</v>
      </c>
      <c r="C23" s="0" t="s">
        <v>564</v>
      </c>
    </row>
    <row r="24" customFormat="false" ht="15" hidden="false" customHeight="false" outlineLevel="0" collapsed="false">
      <c r="A24" s="0" t="s">
        <v>565</v>
      </c>
      <c r="B24" s="0" t="s">
        <v>566</v>
      </c>
      <c r="C24" s="0" t="s">
        <v>567</v>
      </c>
    </row>
    <row r="25" customFormat="false" ht="15" hidden="false" customHeight="false" outlineLevel="0" collapsed="false">
      <c r="A25" s="0" t="s">
        <v>568</v>
      </c>
      <c r="B25" s="0" t="s">
        <v>569</v>
      </c>
      <c r="C25" s="0" t="s">
        <v>570</v>
      </c>
    </row>
    <row r="26" customFormat="false" ht="15" hidden="false" customHeight="false" outlineLevel="0" collapsed="false">
      <c r="A26" s="0" t="s">
        <v>571</v>
      </c>
      <c r="B26" s="0" t="s">
        <v>572</v>
      </c>
      <c r="C26" s="0" t="s">
        <v>573</v>
      </c>
    </row>
    <row r="27" customFormat="false" ht="15" hidden="false" customHeight="false" outlineLevel="0" collapsed="false">
      <c r="A27" s="0" t="s">
        <v>574</v>
      </c>
      <c r="B27" s="0" t="s">
        <v>575</v>
      </c>
      <c r="C27" s="0" t="s">
        <v>576</v>
      </c>
    </row>
    <row r="28" customFormat="false" ht="15" hidden="false" customHeight="false" outlineLevel="0" collapsed="false">
      <c r="A28" s="0" t="s">
        <v>577</v>
      </c>
      <c r="B28" s="0" t="s">
        <v>578</v>
      </c>
      <c r="C28" s="0" t="s">
        <v>579</v>
      </c>
    </row>
    <row r="29" customFormat="false" ht="15" hidden="false" customHeight="false" outlineLevel="0" collapsed="false">
      <c r="A29" s="0" t="s">
        <v>580</v>
      </c>
      <c r="B29" s="0" t="s">
        <v>581</v>
      </c>
      <c r="C29" s="0" t="s">
        <v>582</v>
      </c>
    </row>
    <row r="30" customFormat="false" ht="15" hidden="false" customHeight="false" outlineLevel="0" collapsed="false">
      <c r="A30" s="0" t="s">
        <v>583</v>
      </c>
      <c r="B30" s="0" t="s">
        <v>584</v>
      </c>
      <c r="C30" s="0" t="s">
        <v>585</v>
      </c>
    </row>
    <row r="31" customFormat="false" ht="15" hidden="false" customHeight="false" outlineLevel="0" collapsed="false">
      <c r="A31" s="0" t="s">
        <v>586</v>
      </c>
      <c r="B31" s="0" t="s">
        <v>587</v>
      </c>
      <c r="C31" s="0" t="s">
        <v>588</v>
      </c>
    </row>
    <row r="32" customFormat="false" ht="15" hidden="false" customHeight="false" outlineLevel="0" collapsed="false">
      <c r="A32" s="0" t="s">
        <v>589</v>
      </c>
      <c r="B32" s="0" t="s">
        <v>590</v>
      </c>
      <c r="C32" s="0" t="s">
        <v>591</v>
      </c>
    </row>
    <row r="33" customFormat="false" ht="15" hidden="false" customHeight="false" outlineLevel="0" collapsed="false">
      <c r="A33" s="0" t="s">
        <v>592</v>
      </c>
      <c r="B33" s="0" t="s">
        <v>593</v>
      </c>
      <c r="C33" s="0" t="s">
        <v>594</v>
      </c>
    </row>
    <row r="34" customFormat="false" ht="15" hidden="false" customHeight="false" outlineLevel="0" collapsed="false">
      <c r="A34" s="0" t="s">
        <v>595</v>
      </c>
      <c r="B34" s="0" t="s">
        <v>596</v>
      </c>
      <c r="C34" s="0" t="s">
        <v>597</v>
      </c>
    </row>
    <row r="35" customFormat="false" ht="15" hidden="false" customHeight="false" outlineLevel="0" collapsed="false">
      <c r="A35" s="0" t="s">
        <v>598</v>
      </c>
      <c r="B35" s="0" t="s">
        <v>599</v>
      </c>
      <c r="C35" s="0" t="s">
        <v>600</v>
      </c>
    </row>
    <row r="36" customFormat="false" ht="15" hidden="false" customHeight="false" outlineLevel="0" collapsed="false">
      <c r="A36" s="0" t="s">
        <v>601</v>
      </c>
      <c r="B36" s="0" t="s">
        <v>602</v>
      </c>
      <c r="C36" s="0" t="s">
        <v>603</v>
      </c>
    </row>
    <row r="37" customFormat="false" ht="15" hidden="false" customHeight="false" outlineLevel="0" collapsed="false">
      <c r="A37" s="0" t="s">
        <v>604</v>
      </c>
      <c r="B37" s="0" t="s">
        <v>605</v>
      </c>
      <c r="C37" s="0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0" t="s">
        <v>606</v>
      </c>
      <c r="B1" s="0" t="s">
        <v>607</v>
      </c>
      <c r="C1" s="0" t="s">
        <v>608</v>
      </c>
      <c r="D1" s="0" t="s">
        <v>609</v>
      </c>
    </row>
    <row r="2" customFormat="false" ht="15" hidden="false" customHeight="false" outlineLevel="0" collapsed="false">
      <c r="A2" s="0" t="n">
        <v>1</v>
      </c>
      <c r="B2" s="0" t="s">
        <v>610</v>
      </c>
      <c r="C2" s="0" t="s">
        <v>611</v>
      </c>
      <c r="D2" s="0" t="s">
        <v>612</v>
      </c>
    </row>
    <row r="3" customFormat="false" ht="15" hidden="false" customHeight="false" outlineLevel="0" collapsed="false">
      <c r="A3" s="0" t="n">
        <v>2</v>
      </c>
      <c r="B3" s="0" t="s">
        <v>613</v>
      </c>
      <c r="C3" s="0" t="s">
        <v>614</v>
      </c>
      <c r="D3" s="0" t="s">
        <v>615</v>
      </c>
    </row>
    <row r="4" customFormat="false" ht="15" hidden="false" customHeight="false" outlineLevel="0" collapsed="false">
      <c r="A4" s="0" t="n">
        <v>3</v>
      </c>
      <c r="B4" s="0" t="s">
        <v>616</v>
      </c>
      <c r="C4" s="0" t="s">
        <v>617</v>
      </c>
    </row>
    <row r="5" customFormat="false" ht="15" hidden="false" customHeight="false" outlineLevel="0" collapsed="false">
      <c r="A5" s="0" t="n">
        <v>4</v>
      </c>
      <c r="B5" s="0" t="s">
        <v>618</v>
      </c>
      <c r="C5" s="0" t="s">
        <v>619</v>
      </c>
    </row>
    <row r="6" customFormat="false" ht="15" hidden="false" customHeight="false" outlineLevel="0" collapsed="false">
      <c r="A6" s="0" t="n">
        <v>5</v>
      </c>
      <c r="B6" s="0" t="s">
        <v>620</v>
      </c>
      <c r="C6" s="0" t="s">
        <v>621</v>
      </c>
    </row>
    <row r="7" customFormat="false" ht="15" hidden="false" customHeight="false" outlineLevel="0" collapsed="false">
      <c r="A7" s="0" t="n">
        <v>6</v>
      </c>
      <c r="B7" s="0" t="s">
        <v>622</v>
      </c>
      <c r="C7" s="0" t="s">
        <v>623</v>
      </c>
      <c r="D7" s="0" t="s">
        <v>624</v>
      </c>
    </row>
    <row r="8" customFormat="false" ht="15" hidden="false" customHeight="false" outlineLevel="0" collapsed="false">
      <c r="A8" s="0" t="n">
        <v>7</v>
      </c>
      <c r="B8" s="0" t="s">
        <v>625</v>
      </c>
      <c r="C8" s="0" t="s">
        <v>614</v>
      </c>
    </row>
    <row r="9" customFormat="false" ht="15" hidden="false" customHeight="false" outlineLevel="0" collapsed="false">
      <c r="A9" s="0" t="n">
        <v>8</v>
      </c>
      <c r="B9" s="0" t="s">
        <v>626</v>
      </c>
      <c r="C9" s="0" t="s">
        <v>627</v>
      </c>
    </row>
    <row r="10" customFormat="false" ht="15" hidden="false" customHeight="false" outlineLevel="0" collapsed="false">
      <c r="A10" s="0" t="n">
        <v>9</v>
      </c>
      <c r="B10" s="0" t="s">
        <v>628</v>
      </c>
      <c r="C10" s="0" t="s">
        <v>629</v>
      </c>
    </row>
    <row r="11" customFormat="false" ht="15" hidden="false" customHeight="false" outlineLevel="0" collapsed="false">
      <c r="A11" s="0" t="n">
        <v>10</v>
      </c>
      <c r="B11" s="0" t="s">
        <v>630</v>
      </c>
      <c r="C11" s="0" t="s">
        <v>623</v>
      </c>
    </row>
    <row r="12" customFormat="false" ht="15" hidden="false" customHeight="false" outlineLevel="0" collapsed="false">
      <c r="A12" s="0" t="n">
        <v>11</v>
      </c>
      <c r="B12" s="0" t="s">
        <v>631</v>
      </c>
      <c r="C12" s="0" t="s">
        <v>632</v>
      </c>
    </row>
    <row r="13" customFormat="false" ht="15" hidden="false" customHeight="false" outlineLevel="0" collapsed="false">
      <c r="A13" s="0" t="n">
        <v>12</v>
      </c>
      <c r="B13" s="0" t="s">
        <v>633</v>
      </c>
      <c r="C13" s="0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635</v>
      </c>
      <c r="B1" s="0" t="s">
        <v>636</v>
      </c>
      <c r="C1" s="0" t="s">
        <v>637</v>
      </c>
      <c r="D1" s="0" t="s">
        <v>638</v>
      </c>
    </row>
    <row r="2" customFormat="false" ht="15" hidden="false" customHeight="false" outlineLevel="0" collapsed="false">
      <c r="A2" s="0" t="s">
        <v>639</v>
      </c>
      <c r="B2" s="0" t="s">
        <v>639</v>
      </c>
      <c r="C2" s="0" t="s">
        <v>640</v>
      </c>
      <c r="D2" s="0" t="s">
        <v>641</v>
      </c>
    </row>
    <row r="3" customFormat="false" ht="15" hidden="false" customHeight="false" outlineLevel="0" collapsed="false">
      <c r="A3" s="0" t="s">
        <v>642</v>
      </c>
      <c r="B3" s="0" t="s">
        <v>642</v>
      </c>
      <c r="C3" s="0" t="s">
        <v>640</v>
      </c>
      <c r="D3" s="0" t="s">
        <v>643</v>
      </c>
    </row>
    <row r="4" customFormat="false" ht="15" hidden="false" customHeight="false" outlineLevel="0" collapsed="false">
      <c r="A4" s="0" t="s">
        <v>644</v>
      </c>
      <c r="B4" s="0" t="s">
        <v>644</v>
      </c>
      <c r="C4" s="0" t="s">
        <v>640</v>
      </c>
      <c r="D4" s="0" t="s">
        <v>645</v>
      </c>
    </row>
    <row r="5" customFormat="false" ht="15" hidden="false" customHeight="false" outlineLevel="0" collapsed="false">
      <c r="A5" s="0" t="s">
        <v>646</v>
      </c>
      <c r="B5" s="0" t="s">
        <v>646</v>
      </c>
      <c r="C5" s="0" t="s">
        <v>640</v>
      </c>
      <c r="D5" s="0" t="s">
        <v>647</v>
      </c>
    </row>
    <row r="6" customFormat="false" ht="15" hidden="false" customHeight="false" outlineLevel="0" collapsed="false">
      <c r="A6" s="0" t="s">
        <v>648</v>
      </c>
      <c r="B6" s="0" t="s">
        <v>648</v>
      </c>
      <c r="C6" s="0" t="s">
        <v>640</v>
      </c>
      <c r="D6" s="0" t="s">
        <v>649</v>
      </c>
    </row>
    <row r="7" customFormat="false" ht="15" hidden="false" customHeight="false" outlineLevel="0" collapsed="false">
      <c r="A7" s="0" t="s">
        <v>650</v>
      </c>
      <c r="B7" s="0" t="s">
        <v>650</v>
      </c>
      <c r="C7" s="0" t="s">
        <v>640</v>
      </c>
      <c r="D7" s="0" t="s">
        <v>651</v>
      </c>
    </row>
    <row r="8" customFormat="false" ht="15" hidden="false" customHeight="false" outlineLevel="0" collapsed="false">
      <c r="A8" s="0" t="s">
        <v>652</v>
      </c>
      <c r="B8" s="0" t="s">
        <v>652</v>
      </c>
      <c r="C8" s="0" t="s">
        <v>640</v>
      </c>
      <c r="D8" s="0" t="s">
        <v>653</v>
      </c>
    </row>
    <row r="9" customFormat="false" ht="15" hidden="false" customHeight="false" outlineLevel="0" collapsed="false">
      <c r="A9" s="0" t="s">
        <v>654</v>
      </c>
      <c r="B9" s="0" t="s">
        <v>654</v>
      </c>
      <c r="C9" s="0" t="s">
        <v>640</v>
      </c>
      <c r="D9" s="0" t="s">
        <v>655</v>
      </c>
    </row>
    <row r="10" customFormat="false" ht="15" hidden="false" customHeight="false" outlineLevel="0" collapsed="false">
      <c r="A10" s="0" t="s">
        <v>656</v>
      </c>
      <c r="B10" s="0" t="s">
        <v>656</v>
      </c>
      <c r="C10" s="0" t="s">
        <v>640</v>
      </c>
      <c r="D10" s="0" t="s">
        <v>657</v>
      </c>
    </row>
    <row r="11" customFormat="false" ht="15" hidden="false" customHeight="false" outlineLevel="0" collapsed="false">
      <c r="A11" s="0" t="s">
        <v>658</v>
      </c>
      <c r="B11" s="0" t="s">
        <v>658</v>
      </c>
      <c r="C11" s="0" t="s">
        <v>640</v>
      </c>
      <c r="D11" s="0" t="s">
        <v>659</v>
      </c>
    </row>
    <row r="12" customFormat="false" ht="15" hidden="false" customHeight="false" outlineLevel="0" collapsed="false">
      <c r="A12" s="0" t="s">
        <v>660</v>
      </c>
      <c r="B12" s="0" t="s">
        <v>660</v>
      </c>
      <c r="C12" s="0" t="s">
        <v>640</v>
      </c>
      <c r="D12" s="0" t="s">
        <v>661</v>
      </c>
    </row>
    <row r="13" customFormat="false" ht="15" hidden="false" customHeight="false" outlineLevel="0" collapsed="false">
      <c r="A13" s="0" t="s">
        <v>662</v>
      </c>
      <c r="B13" s="0" t="s">
        <v>662</v>
      </c>
      <c r="C13" s="0" t="s">
        <v>640</v>
      </c>
      <c r="D13" s="0" t="s">
        <v>663</v>
      </c>
    </row>
    <row r="14" customFormat="false" ht="15" hidden="false" customHeight="false" outlineLevel="0" collapsed="false">
      <c r="A14" s="0" t="s">
        <v>664</v>
      </c>
      <c r="B14" s="0" t="s">
        <v>664</v>
      </c>
      <c r="C14" s="0" t="s">
        <v>640</v>
      </c>
      <c r="D14" s="0" t="s">
        <v>665</v>
      </c>
    </row>
    <row r="15" customFormat="false" ht="15" hidden="false" customHeight="false" outlineLevel="0" collapsed="false">
      <c r="A15" s="0" t="s">
        <v>666</v>
      </c>
      <c r="B15" s="0" t="s">
        <v>666</v>
      </c>
      <c r="C15" s="0" t="s">
        <v>640</v>
      </c>
      <c r="D15" s="0" t="s">
        <v>667</v>
      </c>
    </row>
    <row r="16" customFormat="false" ht="15" hidden="false" customHeight="false" outlineLevel="0" collapsed="false">
      <c r="A16" s="0" t="s">
        <v>668</v>
      </c>
      <c r="B16" s="0" t="s">
        <v>668</v>
      </c>
      <c r="C16" s="0" t="s">
        <v>640</v>
      </c>
      <c r="D16" s="0" t="s">
        <v>669</v>
      </c>
    </row>
    <row r="17" customFormat="false" ht="15" hidden="false" customHeight="false" outlineLevel="0" collapsed="false">
      <c r="A17" s="0" t="s">
        <v>670</v>
      </c>
      <c r="B17" s="0" t="s">
        <v>670</v>
      </c>
      <c r="C17" s="0" t="s">
        <v>640</v>
      </c>
      <c r="D17" s="0" t="s">
        <v>671</v>
      </c>
    </row>
    <row r="18" customFormat="false" ht="15" hidden="false" customHeight="false" outlineLevel="0" collapsed="false">
      <c r="A18" s="0" t="s">
        <v>672</v>
      </c>
      <c r="B18" s="0" t="s">
        <v>672</v>
      </c>
      <c r="C18" s="0" t="s">
        <v>640</v>
      </c>
      <c r="D18" s="0" t="s">
        <v>673</v>
      </c>
    </row>
    <row r="19" customFormat="false" ht="15" hidden="false" customHeight="false" outlineLevel="0" collapsed="false">
      <c r="A19" s="0" t="s">
        <v>674</v>
      </c>
      <c r="B19" s="0" t="s">
        <v>674</v>
      </c>
      <c r="C19" s="0" t="s">
        <v>640</v>
      </c>
      <c r="D19" s="0" t="s">
        <v>675</v>
      </c>
    </row>
    <row r="20" customFormat="false" ht="15" hidden="false" customHeight="false" outlineLevel="0" collapsed="false">
      <c r="A20" s="0" t="s">
        <v>676</v>
      </c>
      <c r="B20" s="0" t="s">
        <v>676</v>
      </c>
      <c r="C20" s="0" t="s">
        <v>640</v>
      </c>
      <c r="D20" s="0" t="s">
        <v>677</v>
      </c>
    </row>
    <row r="21" customFormat="false" ht="15" hidden="false" customHeight="false" outlineLevel="0" collapsed="false">
      <c r="A21" s="0" t="s">
        <v>678</v>
      </c>
      <c r="B21" s="0" t="s">
        <v>678</v>
      </c>
      <c r="C21" s="0" t="s">
        <v>640</v>
      </c>
      <c r="D21" s="0" t="s">
        <v>679</v>
      </c>
    </row>
    <row r="22" customFormat="false" ht="15" hidden="false" customHeight="false" outlineLevel="0" collapsed="false">
      <c r="A22" s="0" t="s">
        <v>680</v>
      </c>
      <c r="B22" s="0" t="s">
        <v>680</v>
      </c>
      <c r="C22" s="0" t="s">
        <v>681</v>
      </c>
      <c r="D22" s="0" t="s">
        <v>682</v>
      </c>
    </row>
    <row r="23" customFormat="false" ht="15" hidden="false" customHeight="false" outlineLevel="0" collapsed="false">
      <c r="A23" s="0" t="s">
        <v>683</v>
      </c>
      <c r="B23" s="0" t="s">
        <v>683</v>
      </c>
      <c r="C23" s="0" t="s">
        <v>681</v>
      </c>
      <c r="D23" s="0" t="s">
        <v>684</v>
      </c>
    </row>
    <row r="24" customFormat="false" ht="15" hidden="false" customHeight="false" outlineLevel="0" collapsed="false">
      <c r="A24" s="0" t="s">
        <v>685</v>
      </c>
      <c r="B24" s="0" t="s">
        <v>685</v>
      </c>
      <c r="C24" s="0" t="s">
        <v>640</v>
      </c>
      <c r="D24" s="0" t="s">
        <v>686</v>
      </c>
    </row>
    <row r="25" customFormat="false" ht="15" hidden="false" customHeight="false" outlineLevel="0" collapsed="false">
      <c r="A25" s="0" t="s">
        <v>687</v>
      </c>
      <c r="B25" s="0" t="s">
        <v>687</v>
      </c>
      <c r="C25" s="0" t="s">
        <v>640</v>
      </c>
      <c r="D25" s="0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2026-10-16T21:54:13Z</dcterms:created>
  <dc:creator>openpyxl</dc:creator>
  <dc:description/>
  <dc:language>en-US</dc:language>
  <cp:lastModifiedBy/>
  <dcterms:modified xsi:type="dcterms:W3CDTF">2026-10-16T21:54:13Z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