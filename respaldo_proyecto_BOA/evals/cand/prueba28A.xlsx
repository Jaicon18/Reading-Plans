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<sst xmlns="http://schemas.openxmlformats.org/spreadsheetml/2006/main" count="1242" uniqueCount="817">
  <si>
    <t xml:space="preserve">Bank of America CO1-111 Broomfield, CO   |   METAL FRAMING &amp; DRYWALL TAKEOFF</t>
  </si>
  <si>
    <t xml:space="preserve">Bid set: 2025.08.26_CO1-111_Broomfield_PERMIT SET_BID SET.pdf   ·   2026-10-21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</si>
  <si>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</si>
  <si>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</si>
  <si>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</si>
  <si>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</si>
  <si>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</si>
  <si>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</si>
  <si>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</si>
  <si>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</si>
  <si>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</si>
  <si>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</si>
  <si>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</si>
  <si>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</si>
  <si>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</si>
  <si>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</si>
  <si>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</si>
  <si>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</si>
  <si>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</si>
  <si>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</si>
  <si>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</si>
  <si>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</si>
  <si>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</si>
  <si>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</si>
  <si>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</si>
  <si>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</si>
  <si>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</si>
  <si>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</si>
  <si>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</si>
  <si>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</si>
  <si>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</si>
  <si>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</si>
  <si>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</si>
  <si>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</si>
  <si>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</si>
  <si>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</si>
  <si>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</si>
  <si>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</si>
  <si>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</si>
  <si>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</si>
  <si>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</si>
  <si>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</si>
  <si>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</si>
  <si>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</si>
  <si>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</si>
  <si>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</si>
  <si>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</si>
  <si>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CO1-111 Broomfield, CO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</si>
  <si>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</si>
  <si>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</si>
  <si>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</si>
  <si>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</si>
  <si>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</si>
  <si>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</si>
  <si>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</si>
  <si>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</si>
  <si>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</si>
  <si>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</si>
  <si>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</si>
  <si>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</si>
  <si>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EXT-6CFMF</t>
  </si>
  <si>
    <t xml:space="preserve">EXT-6CFMF  #A-EXT-UP-N-F47+A-EXT-N-F+A-EXT-UP-N-F78  -  North facade grid F from pier G/4 to the NE corner (over storefront SF-F-4/8 and Office 105 wall A-EXT-N-F): infill row above the canopy beam up to the roof beam + North exterior wall, grid F between 7 and 8 (Office 105), from storefront SF-F-4/8 east jamb to the NE corner</t>
  </si>
  <si>
    <t xml:space="preserve">A-EXT-UP-N-F47+A-EXT-N-F+A-EXT-UP-N-F78</t>
  </si>
  <si>
    <t xml:space="preserve">6"</t>
  </si>
  <si>
    <t xml:space="preserve">North facade grid F from pier G/4 to the NE corner (over storefront SF-F-4/8 and Office 105 wall A-EXT-N-F): infill row above the canopy beam up to the roof beam + North exterior wall, grid F between 7 and 8 (Office 105), from storefront SF-F-4/8 east jamb to the NE corner</t>
  </si>
  <si>
    <t xml:space="preserve">C/A09.21</t>
  </si>
  <si>
    <t xml:space="preserve">[DERIVED]</t>
  </si>
  <si>
    <t xml:space="preserve">EXT-6CFMF  #A-EXT-E-8+A-EXT-UP-E-8  -  East exterior wall, grid 8 from the NE corner (inside face of A-EXT-N-F) to the SE corner (inside face of A-EXT-S-A); Offices 105-108, Cash Window 116, Future FCAM, Work Room 119 + East facade grid 8 from the NE corner (inside face of A-EXT-UP-N-F) to grid B.2 (end of the canopy): infill row above the canopy beam up to the W12x19 (HI) roof beam; Offices 105-108, Cash Window 116</t>
  </si>
  <si>
    <t xml:space="preserve">A-EXT-E-8+A-EXT-UP-E-8</t>
  </si>
  <si>
    <t xml:space="preserve">East exterior wall, grid 8 from the NE corner (inside face of A-EXT-N-F) to the SE corner (inside face of A-EXT-S-A); Offices 105-108, Cash Window 116, Future FCAM, Work Room 119 + East facade grid 8 from the NE corner (inside face of A-EXT-UP-N-F) to grid B.2 (end of the canopy): infill row above the canopy beam up to the W12x19 (HI) roof beam; Offices 105-108, Cash Window 116</t>
  </si>
  <si>
    <t xml:space="preserve">D/A09.22</t>
  </si>
  <si>
    <t xml:space="preserve">EXT-6CFMF  #A-EXT-S-A  -  South exterior wall, grid A from the SW corner (exterior face of A-EXT-W-3) to the SE corner (exterior face of A-EXT-E-8); Wellness 115, Corridor 111 (door 123), NER 121, Break Room 118, Work Room 119</t>
  </si>
  <si>
    <t xml:space="preserve">A-EXT-S-A</t>
  </si>
  <si>
    <t xml:space="preserve">South exterior wall, grid A from the SW corner (exterior face of A-EXT-W-3) to the SE corner (exterior face of A-EXT-E-8); Wellness 115, Corridor 111 (door 123), NER 121, Break Room 118, Work Room 119</t>
  </si>
  <si>
    <t xml:space="preserve">F/A09.22</t>
  </si>
  <si>
    <t xml:space="preserve">EXT-6CFMF  #A-EXT-UP-W-3+A-EXT-W-3  -  West facade grid 3 from the D-line return to grid B (Offices 109-110, Restroom 114 north part): infill row above the W16x26 (CANOPY) up to the W12x19 (HI) + West exterior wall (lower), grid 3 from the D-line return (exterior face of A-EXT-S-D23) to the SW corner (inside face of A-EXT-S-A); Offices 109-110, Restrooms 114 / 113, Janitor 112, Wellness 115</t>
  </si>
  <si>
    <t xml:space="preserve">A-EXT-UP-W-3+A-EXT-W-3</t>
  </si>
  <si>
    <t xml:space="preserve">West facade grid 3 from the D-line return to grid B (Offices 109-110, Restroom 114 north part): infill row above the W16x26 (CANOPY) up to the W12x19 (HI) + West exterior wall (lower), grid 3 from the D-line return (exterior face of A-EXT-S-D23) to the SW corner (inside face of A-EXT-S-A); Offices 109-110, Restrooms 114 / 113, Janitor 112, Wellness 115</t>
  </si>
  <si>
    <t xml:space="preserve">H/A09.23</t>
  </si>
  <si>
    <t xml:space="preserve">EXT-6CFMF  #A-EXT-S-D23+A-EXT-UP-S-D23  -  Exterior return wall facing south under the drive-up canopy, grid D between 2 and 3 (ATM Room 102 behind) + Return wall facing south on grid D between 2 and 3 (ATM Room 102 behind): infill row above the W12x19 (CANOPY) up to the W12x19 (HI)</t>
  </si>
  <si>
    <t xml:space="preserve">A-EXT-S-D23+A-EXT-UP-S-D23</t>
  </si>
  <si>
    <t xml:space="preserve">Exterior return wall facing south under the drive-up canopy, grid D between 2 and 3 (ATM Room 102 behind) + Return wall facing south on grid D between 2 and 3 (ATM Room 102 behind): infill row above the W12x19 (CANOPY) up to the W12x19 (HI)</t>
  </si>
  <si>
    <t xml:space="preserve">J/A09.23</t>
  </si>
  <si>
    <t xml:space="preserve">EXT-6CFMF  #A-EXT-UP-W-2SF+A-EXT-UP-W-2S+A-EXT-W-2+A-EXT-W-2M  -  West facade grid 2 from the NW corner (inside face of A-EXT-UP-N-G) to the D-line return: infill row above the canopy beams (W16x26 G-E, W12x19 E-D) up to the W12x19 (HI); Vestibule 100, 24 HR Vestibule 101, ATM Room 102 + West exterior wall (upper), grid 2 from the vestibule storefront SF-2-F/E.4 south jamb to the D-line return; 24 HR Vestibule 101 and ATM Room 102 (drive-up ATM)</t>
  </si>
  <si>
    <t xml:space="preserve">A-EXT-UP-W-2SF+A-EXT-UP-W-2S+A-EXT-W-2+A-EXT-W-2M</t>
  </si>
  <si>
    <t xml:space="preserve">West facade grid 2 from the NW corner (inside face of A-EXT-UP-N-G) to the D-line return: infill row above the canopy beams (W16x26 G-E, W12x19 E-D) up to the W12x19 (HI); Vestibule 100, 24 HR Vestibule 101, ATM Room 102 + West exterior wall (upper), grid 2 from the vestibule storefront SF-2-F/E.4 south jamb to the D-line return; 24 HR Vestibule 101 and ATM Room 102 (drive-up ATM)</t>
  </si>
  <si>
    <t xml:space="preserve">EXT-6CFMF  #A-EXT-UP-N-G  -  North facade grid G between piers G/2 and G/4 (Vestibule 100 entrance): infill row above the W12x19 (CANOPY) up to the W12x19 (HI) roof beam, over the entrance storefront SF-F-2/4 and both piers</t>
  </si>
  <si>
    <t xml:space="preserve">A-EXT-UP-N-G</t>
  </si>
  <si>
    <t xml:space="preserve">North facade grid G between piers G/2 and G/4 (Vestibule 100 entrance): infill row above the W12x19 (CANOPY) up to the W12x19 (HI) roof beam, over the entrance storefront SF-F-2/4 and both piers</t>
  </si>
  <si>
    <t xml:space="preserve">A/A09.21</t>
  </si>
  <si>
    <t xml:space="preserve">TYPE CANOPY-COL</t>
  </si>
  <si>
    <t xml:space="preserve">CANOPY-COL  #A-EXT-CCOL-1  -  Drive-up canopy column 1 of 4 on grid 1 (from north), A02.01 bubble 5/A09.25</t>
  </si>
  <si>
    <t xml:space="preserve">A-EXT-CCOL-1</t>
  </si>
  <si>
    <t xml:space="preserve">3-5/8"</t>
  </si>
  <si>
    <t xml:space="preserve">Drive-up canopy column 1 of 4 on grid 1 (from north), A02.01 bubble 5/A09.25</t>
  </si>
  <si>
    <t xml:space="preserve">5/A09.25</t>
  </si>
  <si>
    <t xml:space="preserve">CANOPY-COL  #A-EXT-CCOL-2  -  Drive-up canopy column 2 of 4 on grid 1 (from north), A02.01 bubble 5/A09.25</t>
  </si>
  <si>
    <t xml:space="preserve">A-EXT-CCOL-2</t>
  </si>
  <si>
    <t xml:space="preserve">Drive-up canopy column 2 of 4 on grid 1 (from north), A02.01 bubble 5/A09.25</t>
  </si>
  <si>
    <t xml:space="preserve">CANOPY-COL  #A-EXT-CCOL-3  -  Drive-up canopy column 3 of 4 on grid 1 (from north), A02.01 bubble 5/A09.25</t>
  </si>
  <si>
    <t xml:space="preserve">A-EXT-CCOL-3</t>
  </si>
  <si>
    <t xml:space="preserve">Drive-up canopy column 3 of 4 on grid 1 (from north), A02.01 bubble 5/A09.25</t>
  </si>
  <si>
    <t xml:space="preserve">CANOPY-COL  #A-EXT-CCOL-4  -  Drive-up canopy column 4 of 4 on grid 1 (from north), A02.01 bubble 5/A09.25</t>
  </si>
  <si>
    <t xml:space="preserve">A-EXT-CCOL-4</t>
  </si>
  <si>
    <t xml:space="preserve">Drive-up canopy column 4 of 4 on grid 1 (from north), A02.01 bubble 5/A09.25</t>
  </si>
  <si>
    <t xml:space="preserve">TYPE G</t>
  </si>
  <si>
    <t xml:space="preserve">G  #A-N-G-01  -  Office 105 front, north stub (office front line at grid 7, east side of Central Zone 103)</t>
  </si>
  <si>
    <t xml:space="preserve">A-N-G-01</t>
  </si>
  <si>
    <t xml:space="preserve">1-5/8"</t>
  </si>
  <si>
    <t xml:space="preserve">Office 105 front, north stub (office front line at grid 7, east side of Central Zone 103)</t>
  </si>
  <si>
    <t xml:space="preserve">5/A12.01</t>
  </si>
  <si>
    <t xml:space="preserve">G  #A-N-G-02  -  Office front stub between Office 105 and Office 106</t>
  </si>
  <si>
    <t xml:space="preserve">A-N-G-02</t>
  </si>
  <si>
    <t xml:space="preserve">Office front stub between Office 105 and Office 106</t>
  </si>
  <si>
    <t xml:space="preserve">G  #A-N-G-03  -  Office front stub between Office 106 and Office 107</t>
  </si>
  <si>
    <t xml:space="preserve">A-N-G-03</t>
  </si>
  <si>
    <t xml:space="preserve">Office front stub between Office 106 and Office 107</t>
  </si>
  <si>
    <t xml:space="preserve">G  #A-N-G-05  -  Office front stub between Office 107 and Office 108</t>
  </si>
  <si>
    <t xml:space="preserve">A-N-G-05</t>
  </si>
  <si>
    <t xml:space="preserve">Office front stub between Office 107 and Office 108</t>
  </si>
  <si>
    <t xml:space="preserve">G  #A-N-G-04  -  Demising wall Office 106 / Office 107</t>
  </si>
  <si>
    <t xml:space="preserve">A-N-G-04</t>
  </si>
  <si>
    <t xml:space="preserve">Demising wall Office 106 / Office 107</t>
  </si>
  <si>
    <t xml:space="preserve">[CONFIRMED]</t>
  </si>
  <si>
    <t xml:space="preserve">G  #A-N-G-06  -  Demising wall Office 107 / Office 108</t>
  </si>
  <si>
    <t xml:space="preserve">A-N-G-06</t>
  </si>
  <si>
    <t xml:space="preserve">Demising wall Office 107 / Office 108</t>
  </si>
  <si>
    <t xml:space="preserve">G  #A-N-G-08  -  Demising wall Office 109 / Office 110</t>
  </si>
  <si>
    <t xml:space="preserve">A-N-G-08</t>
  </si>
  <si>
    <t xml:space="preserve">Demising wall Office 109 / Office 110</t>
  </si>
  <si>
    <t xml:space="preserve">G  #A-N-G-07  -  South wall of Office 108 (Office 108 / Cash Window 116 teller area)</t>
  </si>
  <si>
    <t xml:space="preserve">A-N-G-07</t>
  </si>
  <si>
    <t xml:space="preserve">South wall of Office 108 (Office 108 / Cash Window 116 teller area)</t>
  </si>
  <si>
    <t xml:space="preserve">G  #A-N-G-09  -  ATM Room 102 / Office 109 (south wall of ATM Room)</t>
  </si>
  <si>
    <t xml:space="preserve">A-N-G-09</t>
  </si>
  <si>
    <t xml:space="preserve">ATM Room 102 / Office 109 (south wall of ATM Room)</t>
  </si>
  <si>
    <t xml:space="preserve">G  #A-S-G-01  -  Women's Restroom 114 north wall / Office 6 CB 110, grid B</t>
  </si>
  <si>
    <t xml:space="preserve">A-S-G-01</t>
  </si>
  <si>
    <t xml:space="preserve">Women's Restroom 114 north wall / Office 6 CB 110, grid B</t>
  </si>
  <si>
    <t xml:space="preserve">TYPE G1</t>
  </si>
  <si>
    <t xml:space="preserve">G1  #A-N-G1-01  -  Demising wall Office 105 / Office 106</t>
  </si>
  <si>
    <t xml:space="preserve">A-N-G1-01</t>
  </si>
  <si>
    <t xml:space="preserve">Demising wall Office 105 / Office 106</t>
  </si>
  <si>
    <t xml:space="preserve">G1  #A-N-G1-02  -  Office front stub between Office 109 and Office 110</t>
  </si>
  <si>
    <t xml:space="preserve">A-N-G1-02</t>
  </si>
  <si>
    <t xml:space="preserve">Office front stub between Office 109 and Office 110</t>
  </si>
  <si>
    <t xml:space="preserve">G1  #A-S-G1-01  -  Office 6 east office-front end stub south of DFC-1A (vendor glass), north of door 111</t>
  </si>
  <si>
    <t xml:space="preserve">A-S-G1-01</t>
  </si>
  <si>
    <t xml:space="preserve">Office 6 east office-front end stub south of DFC-1A (vendor glass), north of door 111</t>
  </si>
  <si>
    <t xml:space="preserve">TYPE B2K</t>
  </si>
  <si>
    <t xml:space="preserve">B2K  #A-N-B2K-01  -  Kevlar wall at SW corner of Office 108, west end of teller line (hatched)</t>
  </si>
  <si>
    <t xml:space="preserve">A-N-B2K-01</t>
  </si>
  <si>
    <t xml:space="preserve">Kevlar wall at SW corner of Office 108, west end of teller line (hatched)</t>
  </si>
  <si>
    <t xml:space="preserve">4/A12.01</t>
  </si>
  <si>
    <t xml:space="preserve">TYPE A1K</t>
  </si>
  <si>
    <t xml:space="preserve">A1K  #A-N-A1K-01  -  Kevlar wall north side of teller station (Cash Window 116), below Office 108 south wall (hatched)</t>
  </si>
  <si>
    <t xml:space="preserve">A-N-A1K-01</t>
  </si>
  <si>
    <t xml:space="preserve">Kevlar wall north side of teller station (Cash Window 116), below Office 108 south wall (hatched)</t>
  </si>
  <si>
    <t xml:space="preserve">A1K  #A-S-A1K-01  -  Cash Window 116 teller pod - lower ballistic run (customer queue / Break Room 118), west of teller counter</t>
  </si>
  <si>
    <t xml:space="preserve">A-S-A1K-01</t>
  </si>
  <si>
    <t xml:space="preserve">Cash Window 116 teller pod - lower ballistic run (customer queue / Break Room 118), west of teller counter</t>
  </si>
  <si>
    <t xml:space="preserve">A1K  #A-S-A1K-02  -  Cash Window 116 teller pod - south ballistic run behind teller workstations (C1 FCAM furring on south face)</t>
  </si>
  <si>
    <t xml:space="preserve">A-S-A1K-02</t>
  </si>
  <si>
    <t xml:space="preserve">Cash Window 116 teller pod - south ballistic run behind teller workstations (C1 FCAM furring on south face)</t>
  </si>
  <si>
    <t xml:space="preserve">TYPE B2</t>
  </si>
  <si>
    <t xml:space="preserve">B2  #A-N-B2-01  -  East wall of ATM Room 102 at grid 4 / E (HSS column wrap + door 102)</t>
  </si>
  <si>
    <t xml:space="preserve">A-N-B2-01</t>
  </si>
  <si>
    <t xml:space="preserve">East wall of ATM Room 102 at grid 4 / E (HSS column wrap + door 102)</t>
  </si>
  <si>
    <t xml:space="preserve">1/A12.01</t>
  </si>
  <si>
    <t xml:space="preserve">B2  #A-S-B2-01a+A-S-B2-01b  -  Women's Restroom 114 east wall, north piece (deck break at grid B, split of A-S-B2-01b) + Women's Restroom 114 east wall at Corridor 111, door 114</t>
  </si>
  <si>
    <t xml:space="preserve">A-S-B2-01a+A-S-B2-01b</t>
  </si>
  <si>
    <t xml:space="preserve">Women's Restroom 114 east wall, north piece (deck break at grid B, split of A-S-B2-01b) + Women's Restroom 114 east wall at Corridor 111, door 114</t>
  </si>
  <si>
    <t xml:space="preserve">B2  #A-S-B2-02  -  Corridor 111 west wall: Men's 113 / Storage 117 / Wellness 115 east walls, doors 113, 117, 115</t>
  </si>
  <si>
    <t xml:space="preserve">A-S-B2-02</t>
  </si>
  <si>
    <t xml:space="preserve">Corridor 111 west wall: Men's 113 / Storage 117 / Wellness 115 east walls, doors 113, 117, 115</t>
  </si>
  <si>
    <t xml:space="preserve">B2  #A-S-B2-03  -  Break Room 118 east wall (MW08) / Work Room 119 west wall (grid 7)</t>
  </si>
  <si>
    <t xml:space="preserve">A-S-B2-03</t>
  </si>
  <si>
    <t xml:space="preserve">Break Room 118 east wall (MW08) / Work Room 119 west wall (grid 7)</t>
  </si>
  <si>
    <t xml:space="preserve">TYPE F</t>
  </si>
  <si>
    <t xml:space="preserve">F  #A-N-F-01  -  Diagonal wall 24 HR Vestibule 101 (ATM lobby) / ATM Room 102, with walk-up ATM</t>
  </si>
  <si>
    <t xml:space="preserve">A-N-F-01</t>
  </si>
  <si>
    <t xml:space="preserve">Diagonal wall 24 HR Vestibule 101 (ATM lobby) / ATM Room 102, with walk-up ATM</t>
  </si>
  <si>
    <t xml:space="preserve">12/A12.01</t>
  </si>
  <si>
    <t xml:space="preserve">TYPE A1</t>
  </si>
  <si>
    <t xml:space="preserve">A1  #A-N-A1-01  -  North wall of Calling Cubes 122 (Waiting 104 / Calling Cubes 122)</t>
  </si>
  <si>
    <t xml:space="preserve">A-N-A1-01</t>
  </si>
  <si>
    <t xml:space="preserve">North wall of Calling Cubes 122 (Waiting 104 / Calling Cubes 122)</t>
  </si>
  <si>
    <t xml:space="preserve">3/A12.01</t>
  </si>
  <si>
    <t xml:space="preserve">A1  #A-N-A1-02  -  East side of MW01 millwork niche (niche / Calling Cubes 122)</t>
  </si>
  <si>
    <t xml:space="preserve">A-N-A1-02</t>
  </si>
  <si>
    <t xml:space="preserve">East side of MW01 millwork niche (niche / Calling Cubes 122)</t>
  </si>
  <si>
    <t xml:space="preserve">A1  #A-N-A1-03  -  South side of MW01 millwork niche (niche / Calling Cubes 122)</t>
  </si>
  <si>
    <t xml:space="preserve">A-N-A1-03</t>
  </si>
  <si>
    <t xml:space="preserve">South side of MW01 millwork niche (niche / Calling Cubes 122)</t>
  </si>
  <si>
    <t xml:space="preserve">A1  #A-S-A1-01  -  Corridor 111 north wall with door 111 (between restroom B2 corner and calling cubes A5)</t>
  </si>
  <si>
    <t xml:space="preserve">A-S-A1-01</t>
  </si>
  <si>
    <t xml:space="preserve">Corridor 111 north wall with door 111 (between restroom B2 corner and calling cubes A5)</t>
  </si>
  <si>
    <t xml:space="preserve">A1  #A-S-A1-03  -  Calling Cubes 122 south wall / Break Room 118 north (MW21)</t>
  </si>
  <si>
    <t xml:space="preserve">A-S-A1-03</t>
  </si>
  <si>
    <t xml:space="preserve">Calling Cubes 122 south wall / Break Room 118 north (MW21)</t>
  </si>
  <si>
    <t xml:space="preserve">A1  #A-S-A1-04  -  Break Room 118 east end of MW21 / customer queue, below Calling Cubes east A5</t>
  </si>
  <si>
    <t xml:space="preserve">A-S-A1-04</t>
  </si>
  <si>
    <t xml:space="preserve">Break Room 118 east end of MW21 / customer queue, below Calling Cubes east A5</t>
  </si>
  <si>
    <t xml:space="preserve">A1  #A-S-A1-05  -  Break Room 118 north wall at customer queue, door 118A</t>
  </si>
  <si>
    <t xml:space="preserve">A-S-A1-05</t>
  </si>
  <si>
    <t xml:space="preserve">Break Room 118 north wall at customer queue, door 118A</t>
  </si>
  <si>
    <t xml:space="preserve">A1  #A-S-A1-06  -  Work Room 119 north wall / Cash Window 116, door 119</t>
  </si>
  <si>
    <t xml:space="preserve">A-S-A1-06</t>
  </si>
  <si>
    <t xml:space="preserve">Work Room 119 north wall / Cash Window 116, door 119</t>
  </si>
  <si>
    <t xml:space="preserve">A1  #A-S-A1-07  -  Corridor 111 east wall: Break Room 118 / Electrical 120 / NER 121 (grid 5), door 118B</t>
  </si>
  <si>
    <t xml:space="preserve">A-S-A1-07</t>
  </si>
  <si>
    <t xml:space="preserve">Corridor 111 east wall: Break Room 118 / Electrical 120 / NER 121 (grid 5), door 118B</t>
  </si>
  <si>
    <t xml:space="preserve">TYPE A5</t>
  </si>
  <si>
    <t xml:space="preserve">A5  #A-N-A5-01  -  West wall of Calling Cubes 122 (Central Zone 103 / Calling Cubes 122)</t>
  </si>
  <si>
    <t xml:space="preserve">A-N-A5-01</t>
  </si>
  <si>
    <t xml:space="preserve">West wall of Calling Cubes 122 (Central Zone 103 / Calling Cubes 122)</t>
  </si>
  <si>
    <t xml:space="preserve">A5  #A-N-A5-02+A-N-A5-02b  -  East wall of Calling Cubes 122 (Calling Cubes 122 / Central Zone 103)</t>
  </si>
  <si>
    <t xml:space="preserve">A-N-A5-02+A-N-A5-02b</t>
  </si>
  <si>
    <t xml:space="preserve">East wall of Calling Cubes 122 (Calling Cubes 122 / Central Zone 103)</t>
  </si>
  <si>
    <t xml:space="preserve">A5  #A-S-A5-01a+A-S-A5-01b  -  Calling Cubes 122 west wall, north piece (grid B deck break, split of A-S-A5-01b) + Calling Cubes 122 west wall at Corridor 111, door 122</t>
  </si>
  <si>
    <t xml:space="preserve">A-S-A5-01a+A-S-A5-01b</t>
  </si>
  <si>
    <t xml:space="preserve">Calling Cubes 122 west wall, north piece (grid B deck break, split of A-S-A5-01b) + Calling Cubes 122 west wall at Corridor 111, door 122</t>
  </si>
  <si>
    <t xml:space="preserve">A5  #A-S-A5-02  -  Break Room 118 east wall / Cash Window 116, door 116 (grid 7)</t>
  </si>
  <si>
    <t xml:space="preserve">A-S-A5-02</t>
  </si>
  <si>
    <t xml:space="preserve">Break Room 118 east wall / Cash Window 116, door 116 (grid 7)</t>
  </si>
  <si>
    <t xml:space="preserve">TYPE C1</t>
  </si>
  <si>
    <t xml:space="preserve">C1  #A-N-C1-05  -  Furring box at 85 in. display monitor, north face of Calling Cubes north wall (Waiting 104), keynote 7</t>
  </si>
  <si>
    <t xml:space="preserve">A-N-C1-05</t>
  </si>
  <si>
    <t xml:space="preserve">Furring box at 85 in. display monitor, north face of Calling Cubes north wall (Waiting 104), keynote 7</t>
  </si>
  <si>
    <t xml:space="preserve">6/A12.01</t>
  </si>
  <si>
    <t xml:space="preserve">C1  #A-N-C1-01  -  Storefront pier at NW corner of Vestibule 100 (grid 2 / G), interior part</t>
  </si>
  <si>
    <t xml:space="preserve">A-N-C1-01</t>
  </si>
  <si>
    <t xml:space="preserve">Storefront pier at NW corner of Vestibule 100 (grid 2 / G), interior part</t>
  </si>
  <si>
    <t xml:space="preserve">1/A09.25</t>
  </si>
  <si>
    <t xml:space="preserve">C1  #A-N-C1-02  -  Storefront pier at NE corner of Vestibule 100 (grid 4 / G), interior part</t>
  </si>
  <si>
    <t xml:space="preserve">A-N-C1-02</t>
  </si>
  <si>
    <t xml:space="preserve">Storefront pier at NE corner of Vestibule 100 (grid 4 / G), interior part</t>
  </si>
  <si>
    <t xml:space="preserve">C1  #A-N-C1-03  -  Coiling grille 103 north jamb box at grid 4 (Vestibule 100 / 24 HR Vestibule 101 / Central Zone 103)</t>
  </si>
  <si>
    <t xml:space="preserve">A-N-C1-03</t>
  </si>
  <si>
    <t xml:space="preserve">Coiling grille 103 north jamb box at grid 4 (Vestibule 100 / 24 HR Vestibule 101 / Central Zone 103)</t>
  </si>
  <si>
    <t xml:space="preserve">3/A08.21</t>
  </si>
  <si>
    <t xml:space="preserve">C1  #A-N-C1-04  -  Coiling grille 103 south jamb box at grid 4 / E (24 HR Vestibule 101 / Central Zone 103)</t>
  </si>
  <si>
    <t xml:space="preserve">A-N-C1-04</t>
  </si>
  <si>
    <t xml:space="preserve">Coiling grille 103 south jamb box at grid 4 / E (24 HR Vestibule 101 / Central Zone 103)</t>
  </si>
  <si>
    <t xml:space="preserve">C1  #A-S-C1-01  -  Restroom plumbing chase between Women's 114 and Men's 113 - WOMEN'S RESTROOM 114 face</t>
  </si>
  <si>
    <t xml:space="preserve">A-S-C1-01</t>
  </si>
  <si>
    <t xml:space="preserve">Restroom plumbing chase between Women's 114 and Men's 113 - WOMEN'S RESTROOM 114 face</t>
  </si>
  <si>
    <t xml:space="preserve">C1  #A-S-C1-02  -  Restroom plumbing chase between Women's 114 and Men's 113 - MEN'S RESTROOM 113 face</t>
  </si>
  <si>
    <t xml:space="preserve">A-S-C1-02</t>
  </si>
  <si>
    <t xml:space="preserve">Restroom plumbing chase between Women's 114 and Men's 113 - MEN'S RESTROOM 113 face</t>
  </si>
  <si>
    <t xml:space="preserve">C1  #A-S-C1-03+A-S-C1-03r  -  FUTURE FCAM furring on Break Room side of teller pod A1K + FUTURE FCAM furring east return (R75.7, from the outside face)</t>
  </si>
  <si>
    <t xml:space="preserve">A-S-C1-03+A-S-C1-03r</t>
  </si>
  <si>
    <t xml:space="preserve">FUTURE FCAM furring on Break Room side of teller pod A1K + FUTURE FCAM furring east return (R75.7, from the outside face)</t>
  </si>
  <si>
    <t xml:space="preserve">TYPE BULKHEAD-G</t>
  </si>
  <si>
    <t xml:space="preserve">BULKHEAD-G  #A-N-OB-01a+A-N-OB-01b+A-N-OB-01c+A-N-OB-01d  -  Office bulkhead over Allsteel DFC-1A office front at Office 105 (east front; collinear bulkheads of one front = one wall, R74.4 / PT4) + Office bulkhead over Allsteel DFC-1A office front at Office 106 (east front; collinear bulkheads of one front = one wall, R74.4 / PT4) + Office bulkhead over Allsteel DFC-1A office front at Office 107 (east front; collinear bulkheads of one front = one wall, R74.4 / PT4) + Office bulkhead over Allsteel DFC-1A office front at Office 108 (east front; collinear bulkheads of one front = one wall, R74.4 / PT4)</t>
  </si>
  <si>
    <t xml:space="preserve">A-N-OB-01a+A-N-OB-01b+A-N-OB-01c+A-N-OB-01d</t>
  </si>
  <si>
    <t xml:space="preserve">Office bulkhead over Allsteel DFC-1A office front at Office 105 (east front; collinear bulkheads of one front = one wall, R74.4 / PT4) + Office bulkhead over Allsteel DFC-1A office front at Office 106 (east front; collinear bulkheads of one front = one wall, R74.4 / PT4) + Office bulkhead over Allsteel DFC-1A office front at Office 107 (east front; collinear bulkheads of one front = one wall, R74.4 / PT4) + Office bulkhead over Allsteel DFC-1A office front at Office 108 (east front; collinear bulkheads of one front = one wall, R74.4 / PT4)</t>
  </si>
  <si>
    <t xml:space="preserve">9/A12.01</t>
  </si>
  <si>
    <t xml:space="preserve">BULKHEAD-G  #A-N-OB-02a+A-N-OB-02b  -  Office bulkhead over Allsteel DFC-1A office front at Office 109 (west front; collinear bulkheads of one front = one wall, R74.4 / PT4) + Office bulkhead over Allsteel DFC-1A office front at Office 110 (west front; collinear bulkheads of one front = one wall, R74.4 / PT4)</t>
  </si>
  <si>
    <t xml:space="preserve">A-N-OB-02a+A-N-OB-02b</t>
  </si>
  <si>
    <t xml:space="preserve">Office bulkhead over Allsteel DFC-1A office front at Office 109 (west front; collinear bulkheads of one front = one wall, R74.4 / PT4) + Office bulkhead over Allsteel DFC-1A office front at Office 110 (west front; collinear bulkheads of one front = one wall, R74.4 / PT4)</t>
  </si>
  <si>
    <t xml:space="preserve">TYPE B</t>
  </si>
  <si>
    <t xml:space="preserve">B  #A-S-B-01  -  Men's Restroom 113 south wall / Janitor 112 + Storage 117 north, door 112</t>
  </si>
  <si>
    <t xml:space="preserve">A-S-B-01</t>
  </si>
  <si>
    <t xml:space="preserve">Men's Restroom 113 south wall / Janitor 112 + Storage 117 north, door 112</t>
  </si>
  <si>
    <t xml:space="preserve">B  #A-S-B-02  -  Janitor 112 / Storage 117 partition</t>
  </si>
  <si>
    <t xml:space="preserve">A-S-B-02</t>
  </si>
  <si>
    <t xml:space="preserve">Janitor 112 / Storage 117 partition</t>
  </si>
  <si>
    <t xml:space="preserve">B  #A-S-B-03  -  Wellness 115 north wall / Janitor 112 + Storage 117 south</t>
  </si>
  <si>
    <t xml:space="preserve">A-S-B-03</t>
  </si>
  <si>
    <t xml:space="preserve">Wellness 115 north wall / Janitor 112 + Storage 117 south</t>
  </si>
  <si>
    <t xml:space="preserve">B  #A-S-B-04  -  Electrical 120 north wall / Break Room 118 (FEC-2 side)</t>
  </si>
  <si>
    <t xml:space="preserve">A-S-B-04</t>
  </si>
  <si>
    <t xml:space="preserve">Electrical 120 north wall / Break Room 118 (FEC-2 side)</t>
  </si>
  <si>
    <t xml:space="preserve">B  #A-S-B-05  -  Electrical 120 / NER 121 east wall at Break Room 118, doors 120 and 121</t>
  </si>
  <si>
    <t xml:space="preserve">A-S-B-05</t>
  </si>
  <si>
    <t xml:space="preserve">Electrical 120 / NER 121 east wall at Break Room 118, doors 120 and 121</t>
  </si>
  <si>
    <t xml:space="preserve">B  #A-S-B-06  -  Electrical 120 / NER 121 partition</t>
  </si>
  <si>
    <t xml:space="preserve">A-S-B-06</t>
  </si>
  <si>
    <t xml:space="preserve">Electrical 120 / NER 121 partition</t>
  </si>
  <si>
    <t xml:space="preserve">TYPE EXT-PARAPET</t>
  </si>
  <si>
    <t xml:space="preserve">EXT-PARAPET  #A-PAR-01  -  Tower (vestibule) north parapet, grids 2 to 4</t>
  </si>
  <si>
    <t xml:space="preserve">A-PAR-01</t>
  </si>
  <si>
    <t xml:space="preserve">Tower (vestibule) north parapet, grids 2 to 4</t>
  </si>
  <si>
    <t xml:space="preserve">4/A09.26</t>
  </si>
  <si>
    <t xml:space="preserve">EXT-PARAPET  #A-PAR-02  -  Tower east return of parapet 2 at grid 4, stepping down to parapet 1</t>
  </si>
  <si>
    <t xml:space="preserve">A-PAR-02</t>
  </si>
  <si>
    <t xml:space="preserve">Tower east return of parapet 2 at grid 4, stepping down to parapet 1</t>
  </si>
  <si>
    <t xml:space="preserve">EXT-PARAPET  #A-PAR-03  -  North parapet on grid F, grid 4 to grid 8</t>
  </si>
  <si>
    <t xml:space="preserve">A-PAR-03</t>
  </si>
  <si>
    <t xml:space="preserve">North parapet on grid F, grid 4 to grid 8</t>
  </si>
  <si>
    <t xml:space="preserve">EXT-PARAPET  #A-PAR-04+A-PAR-05  -  East parapet on grid 8, F to B (main roof) + East parapet on grid 8, B to A (low roof, deck break at B)</t>
  </si>
  <si>
    <t xml:space="preserve">A-PAR-04+A-PAR-05</t>
  </si>
  <si>
    <t xml:space="preserve">East parapet on grid 8, F to B (main roof) + East parapet on grid 8, B to A (low roof, deck break at B)</t>
  </si>
  <si>
    <t xml:space="preserve">EXT-PARAPET  #A-PAR-06  -  South parapet on grid A, grid 3 to grid 8</t>
  </si>
  <si>
    <t xml:space="preserve">A-PAR-06</t>
  </si>
  <si>
    <t xml:space="preserve">South parapet on grid A, grid 3 to grid 8</t>
  </si>
  <si>
    <t xml:space="preserve">EXT-PARAPET  #A-PAR-07  -  Jog on grid D between grids 2 and 3 (south-facing, under the drive-up canopy)</t>
  </si>
  <si>
    <t xml:space="preserve">A-PAR-07</t>
  </si>
  <si>
    <t xml:space="preserve">Jog on grid D between grids 2 and 3 (south-facing, under the drive-up canopy)</t>
  </si>
  <si>
    <t xml:space="preserve">EXT-PARAPET  #A-PAR-08  -  West parapet (tower) on grid 2, tower north to D</t>
  </si>
  <si>
    <t xml:space="preserve">A-PAR-08</t>
  </si>
  <si>
    <t xml:space="preserve">West parapet (tower) on grid 2, tower north to D</t>
  </si>
  <si>
    <t xml:space="preserve">EXT-PARAPET  #A-PAR-09+A-PAR-10  -  West parapet on grid 3, D to B (main roof) + West parapet on grid 3, B to A (low roof, deck break at B)</t>
  </si>
  <si>
    <t xml:space="preserve">A-PAR-09+A-PAR-10</t>
  </si>
  <si>
    <t xml:space="preserve">West parapet on grid 3, D to B (main roof) + West parapet on grid 3, B to A (low roof, deck break at B)</t>
  </si>
  <si>
    <t xml:space="preserve">TOTAL - PARTITIONS</t>
  </si>
  <si>
    <t xml:space="preserve">TYPE OTHER FRAMING (NOT A PARTITION)</t>
  </si>
  <si>
    <t xml:space="preserve">pier_part  #A-EXT-PIER-G2  -  Vestibule entrance pier at grid G / grid 2 (NW building corner, west of door 100)</t>
  </si>
  <si>
    <t xml:space="preserve">A-EXT-PIER-G2</t>
  </si>
  <si>
    <t xml:space="preserve">Vestibule entrance pier at grid G / grid 2 (NW building corner, west of door 100)</t>
  </si>
  <si>
    <t xml:space="preserve">pier_part  #A-EXT-PIER-G4  -  Vestibule entrance pier at grid G / grid 4 (east of door 100, NE corner of the vestibule)</t>
  </si>
  <si>
    <t xml:space="preserve">A-EXT-PIER-G4</t>
  </si>
  <si>
    <t xml:space="preserve">Vestibule entrance pier at grid G / grid 4 (east of door 100, NE corner of the vestibule)</t>
  </si>
  <si>
    <t xml:space="preserve">2/A09.25</t>
  </si>
  <si>
    <t xml:space="preserve">roof_step  #A-RS-01  -  Roof step at grid B, grids 3 to 8 - upper exterior row (above low roof deck, faces low roof)</t>
  </si>
  <si>
    <t xml:space="preserve">A-RS-01</t>
  </si>
  <si>
    <t xml:space="preserve">Roof step at grid B, grids 3 to 8 - upper exterior row (above low roof deck, faces low roof)</t>
  </si>
  <si>
    <t xml:space="preserve">4/A02.02</t>
  </si>
  <si>
    <t xml:space="preserve">roof_step  #A-RS-02  -  Roof step at grid B, grids 3 to 8 - lower row below low roof deck (ceiling space south of grid B)</t>
  </si>
  <si>
    <t xml:space="preserve">A-RS-02</t>
  </si>
  <si>
    <t xml:space="preserve">Roof step at grid B, grids 3 to 8 - lower row below low roof deck (ceiling space south of grid B)</t>
  </si>
  <si>
    <t xml:space="preserve">roof_step  #A-RS-03  -  Roof step at grid B, grids 3 to 8 - row on high side (ceiling space north of grid B), up to upper deck</t>
  </si>
  <si>
    <t xml:space="preserve">A-RS-03</t>
  </si>
  <si>
    <t xml:space="preserve">Roof step at grid B, grids 3 to 8 - row on high side (ceiling space north of grid B), up to upper deck</t>
  </si>
  <si>
    <t xml:space="preserve">fascia_box  #A-FAS-N  -  North canopy fascia (G side), full length</t>
  </si>
  <si>
    <t xml:space="preserve">A-FAS-N</t>
  </si>
  <si>
    <t xml:space="preserve">North canopy fascia (G side), full length</t>
  </si>
  <si>
    <t xml:space="preserve">3/A09.26</t>
  </si>
  <si>
    <t xml:space="preserve">fascia_box  #A-FAS-W  -  Drive-up canopy west fascia (west of grid 1)</t>
  </si>
  <si>
    <t xml:space="preserve">A-FAS-W</t>
  </si>
  <si>
    <t xml:space="preserve">Drive-up canopy west fascia (west of grid 1)</t>
  </si>
  <si>
    <t xml:space="preserve">16/A09.27</t>
  </si>
  <si>
    <t xml:space="preserve">fascia_box  #A-FAS-W2  -  Drive-up canopy south fascia (B + 7 1/2"), to grid 3 wall</t>
  </si>
  <si>
    <t xml:space="preserve">A-FAS-W2</t>
  </si>
  <si>
    <t xml:space="preserve">Drive-up canopy south fascia (B + 7 1/2"), to grid 3 wall</t>
  </si>
  <si>
    <t xml:space="preserve">fascia_box  #A-FAS-E  -  East canopy fascia (3'-8" E of grid 8)</t>
  </si>
  <si>
    <t xml:space="preserve">A-FAS-E</t>
  </si>
  <si>
    <t xml:space="preserve">East canopy fascia (3'-8" E of grid 8)</t>
  </si>
  <si>
    <t xml:space="preserve">7/A09.26</t>
  </si>
  <si>
    <t xml:space="preserve">fascia_box  #A-FAS-E2  -  East canopy south end return to grid 8 wall</t>
  </si>
  <si>
    <t xml:space="preserve">A-FAS-E2</t>
  </si>
  <si>
    <t xml:space="preserve">East canopy south end return to grid 8 wall</t>
  </si>
  <si>
    <t xml:space="preserve">fascia_box  #A-FAS-S  -  South canopy (over door 123) fascia, 3'-0" S of A</t>
  </si>
  <si>
    <t xml:space="preserve">A-FAS-S</t>
  </si>
  <si>
    <t xml:space="preserve">South canopy (over door 123) fascia, 3'-0" S of A</t>
  </si>
  <si>
    <t xml:space="preserve">fascia_box  #A-FAS-S2  -  South canopy west return</t>
  </si>
  <si>
    <t xml:space="preserve">A-FAS-S2</t>
  </si>
  <si>
    <t xml:space="preserve">South canopy west return</t>
  </si>
  <si>
    <t xml:space="preserve">fascia_box  #A-FAS-S3  -  South canopy east return</t>
  </si>
  <si>
    <t xml:space="preserve">A-FAS-S3</t>
  </si>
  <si>
    <t xml:space="preserve">South canopy east return</t>
  </si>
  <si>
    <t xml:space="preserve">soffit_side  #A-SS-116W-N  -  CSR soffit west drop line, north of grid B</t>
  </si>
  <si>
    <t xml:space="preserve">A-SS-116W-N</t>
  </si>
  <si>
    <t xml:space="preserve">CSR soffit west drop line, north of grid B</t>
  </si>
  <si>
    <t xml:space="preserve">10/A09.33</t>
  </si>
  <si>
    <t xml:space="preserve">soffit_side  #A-SS-116W-S  -  CSR soffit west drop line, south of grid B</t>
  </si>
  <si>
    <t xml:space="preserve">A-SS-116W-S</t>
  </si>
  <si>
    <t xml:space="preserve">CSR soffit west drop line, south of grid B</t>
  </si>
  <si>
    <t xml:space="preserve">soffit_side  #A-SS-116E-N  -  CSR soffit east drop line, north of grid B</t>
  </si>
  <si>
    <t xml:space="preserve">A-SS-116E-N</t>
  </si>
  <si>
    <t xml:space="preserve">CSR soffit east drop line, north of grid B</t>
  </si>
  <si>
    <t xml:space="preserve">soffit_side  #A-SS-116E-S  -  CSR soffit east drop line, south of grid B</t>
  </si>
  <si>
    <t xml:space="preserve">A-SS-116E-S</t>
  </si>
  <si>
    <t xml:space="preserve">CSR soffit east drop line, south of grid B</t>
  </si>
  <si>
    <t xml:space="preserve">ceiling_transition  #A-CT-104  -  Waiting 104 GB island edges against Central Zone ACT-4 11'-6" (N, W, E)</t>
  </si>
  <si>
    <t xml:space="preserve">A-CT-104</t>
  </si>
  <si>
    <t xml:space="preserve">Waiting 104 GB island edges against Central Zone ACT-4 11'-6" (N, W, E)</t>
  </si>
  <si>
    <t xml:space="preserve">8/A09.33</t>
  </si>
  <si>
    <t xml:space="preserve">vestibule_head  #A-VH-S  -  Vestibule 100 / 24 HR Vestibule 101 all-glass line (door 101 pair), grids 2-4, from the grid 2 exterior wall to the 1'-0" post (C1) at grid 4</t>
  </si>
  <si>
    <t xml:space="preserve">A-VH-S</t>
  </si>
  <si>
    <t xml:space="preserve">Vestibule 100 / 24 HR Vestibule 101 all-glass line (door 101 pair), grids 2-4, from the grid 2 exterior wall to the 1'-0" post (C1) at grid 4</t>
  </si>
  <si>
    <t xml:space="preserve">5/A12.10</t>
  </si>
  <si>
    <t xml:space="preserve">vestibule_head  #A-VH-E  -  Vestibule 100 / Central Zone 103 all-glass line on grid 4 (door 100A + sidelite), from pier C1 at G/4 to the 1'-0" post (C1)</t>
  </si>
  <si>
    <t xml:space="preserve">A-VH-E</t>
  </si>
  <si>
    <t xml:space="preserve">Vestibule 100 / Central Zone 103 all-glass line on grid 4 (door 100A + sidelite), from pier C1 at G/4 to the 1'-0" post (C1)</t>
  </si>
  <si>
    <t xml:space="preserve">6/A12.10</t>
  </si>
  <si>
    <t xml:space="preserve">grille_head  #A-GH-01  -  Coiling grille 103 head, grid 4 between E and F (24 HR Vestibule 101 west / Central Zone 103 east), between C1 jamb boxes</t>
  </si>
  <si>
    <t xml:space="preserve">A-GH-01</t>
  </si>
  <si>
    <t xml:space="preserve">2-1/2"</t>
  </si>
  <si>
    <t xml:space="preserve">Coiling grille 103 head, grid 4 between E and F (24 HR Vestibule 101 west / Central Zone 103 east), between C1 jamb boxes</t>
  </si>
  <si>
    <t xml:space="preserve">4/A08.21</t>
  </si>
  <si>
    <t xml:space="preserve">storefront_cripples  #A-SC-F24  -  Above entry storefront SF-F-2/4 (door 100 pair), Vestibule 100 north facade, between piers G/2 and G/4</t>
  </si>
  <si>
    <t xml:space="preserve">A-SC-F24</t>
  </si>
  <si>
    <t xml:space="preserve">Above entry storefront SF-F-2/4 (door 100 pair), Vestibule 100 north facade, between piers G/2 and G/4</t>
  </si>
  <si>
    <t xml:space="preserve">storefront_cripples  #A-SC-F48  -  Above storefront SF-F-4/8, north facade grid F (Central Zone 103 / Waiting 104), from pier G/4 to the Office 105 corner</t>
  </si>
  <si>
    <t xml:space="preserve">A-SC-F48</t>
  </si>
  <si>
    <t xml:space="preserve">Above storefront SF-F-4/8, north facade grid F (Central Zone 103 / Waiting 104), from pier G/4 to the Office 105 corner</t>
  </si>
  <si>
    <t xml:space="preserve">2/A09.26</t>
  </si>
  <si>
    <t xml:space="preserve">storefront_cripples  #A-SC-2FE4  -  Above storefront SF-2-F/E.4, Vestibule 100 west facade grid 2, from pier G/2 to the start of A-EXT-W-2</t>
  </si>
  <si>
    <t xml:space="preserve">A-SC-2FE4</t>
  </si>
  <si>
    <t xml:space="preserve">Above storefront SF-2-F/E.4, Vestibule 100 west facade grid 2, from pier G/2 to the start of A-EXT-W-2</t>
  </si>
  <si>
    <t xml:space="preserve">alcove  #A-S-A1-02+A-S-A1-02t+A-S-A1-02b  -  Drinking-fountain alcove off Corridor 111 between restrooms - west wall (niche of B2 line, R74.3) + Drinking-fountain alcove top return (Women's 114 side) (niche of B2 line, R74.3) + Drinking-fountain alcove bottom return (Men's 113 side) (niche of B2 line, R74.3)</t>
  </si>
  <si>
    <t xml:space="preserve">A-S-A1-02+A-S-A1-02t+A-S-A1-02b</t>
  </si>
  <si>
    <t xml:space="preserve">Drinking-fountain alcove off Corridor 111 between restrooms - west wall (niche of B2 line, R74.3) + Drinking-fountain alcove top return (Women's 114 side) (niche of B2 line, R74.3) + Drinking-fountain alcove bottom return (Men's 113 side) (niche of B2 line, R74.3)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</si>
  <si>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</si>
  <si>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</si>
  <si>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</si>
  <si>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</si>
  <si>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</si>
  <si>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</si>
  <si>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</si>
  <si>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</si>
  <si>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</si>
  <si>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</si>
  <si>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</si>
  <si>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</si>
  <si>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</si>
  <si>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</si>
  <si>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</si>
  <si>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'6" stud (all gauges)'</t>
  </si>
  <si>
    <t xml:space="preserve">3-5/8" metal stud (LF of material)</t>
  </si>
  <si>
    <t xml:space="preserve">familias_out.json '3-5/8" stud (all gauges)'</t>
  </si>
  <si>
    <t xml:space="preserve">1-5/8" metal stud (LF of material)</t>
  </si>
  <si>
    <t xml:space="preserve">familias_out.json '1-5/8" stud'</t>
  </si>
  <si>
    <t xml:space="preserve">6" parapet infill stud (LF of material)</t>
  </si>
  <si>
    <t xml:space="preserve">familias_out.json '6" parapet stud'</t>
  </si>
  <si>
    <t xml:space="preserve">Track, ceilings / soffits / canopy</t>
  </si>
  <si>
    <t xml:space="preserve">run 10 ft</t>
  </si>
  <si>
    <t xml:space="preserve">familias_out.json 'ceiling / soffit track'</t>
  </si>
  <si>
    <t xml:space="preserve">Bracing 1-1/2" C.R. channel</t>
  </si>
  <si>
    <t xml:space="preserve">C.R. channel 16 ft</t>
  </si>
  <si>
    <t xml:space="preserve">familias_out.json 'bracing C.R. channel'</t>
  </si>
  <si>
    <t xml:space="preserve">Purlin, top track to deck</t>
  </si>
  <si>
    <t xml:space="preserve">familias_out.json 'purlin (track to deck)'</t>
  </si>
  <si>
    <t xml:space="preserve">Header / metal stud box beam</t>
  </si>
  <si>
    <t xml:space="preserve">familias_out.json 'header / box beam'</t>
  </si>
  <si>
    <t xml:space="preserve">Sill track</t>
  </si>
  <si>
    <t xml:space="preserve">familias_out.json 'sill track'</t>
  </si>
  <si>
    <t xml:space="preserve">Furring channel (ceilings)</t>
  </si>
  <si>
    <t xml:space="preserve">hat channel 12 ft</t>
  </si>
  <si>
    <t xml:space="preserve">familias_out.json 'furring channel'</t>
  </si>
  <si>
    <t xml:space="preserve">Carrying channel (ceilings)</t>
  </si>
  <si>
    <t xml:space="preserve">familias_out.json 'carrying channel'</t>
  </si>
  <si>
    <t xml:space="preserve">Hanger wire</t>
  </si>
  <si>
    <t xml:space="preserve">familias_out.json 'hanger wire'</t>
  </si>
  <si>
    <t xml:space="preserve">5/8" gypsum board, regular</t>
  </si>
  <si>
    <t xml:space="preserve">SF</t>
  </si>
  <si>
    <t xml:space="preserve">4x12 sheet</t>
  </si>
  <si>
    <t xml:space="preserve">familias_out.json '5/8" gyp board regular (walls + ceilings)'</t>
  </si>
  <si>
    <t xml:space="preserve">5/8" gypsum board, MOISTURE RESISTANT</t>
  </si>
  <si>
    <t xml:space="preserve">familias_out.json '5/8" gyp MOISTURE RESISTANT'</t>
  </si>
  <si>
    <t xml:space="preserve">Ballistic panel UL752</t>
  </si>
  <si>
    <t xml:space="preserve">4x8 sheet</t>
  </si>
  <si>
    <t xml:space="preserve">familias_out.json 'ballistic panel'</t>
  </si>
  <si>
    <t xml:space="preserve">3/8" gypsum board</t>
  </si>
  <si>
    <t xml:space="preserve">familias_out.json '3/8" gyp board'</t>
  </si>
  <si>
    <t xml:space="preserve">5/8" glass mat sheathing (exterior face of the stud)</t>
  </si>
  <si>
    <t xml:space="preserve">familias_out.json '5/8" glass mat sheathing'</t>
  </si>
  <si>
    <t xml:space="preserve">5/8" EXTERIOR gypsum sheathing</t>
  </si>
  <si>
    <t xml:space="preserve">familias_out.json '5/8" EXTERIOR gyp sheathing'</t>
  </si>
  <si>
    <t xml:space="preserve">Blocking FRT / 2X FRT wood</t>
  </si>
  <si>
    <t xml:space="preserve">piece 16 ft</t>
  </si>
  <si>
    <t xml:space="preserve">familias_out.json 'FRT blocking'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</si>
  <si>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</si>
  <si>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</si>
  <si>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</t>
  </si>
  <si>
    <t xml:space="preserve">Cement board (substrate under the FRP cove base band)</t>
  </si>
  <si>
    <t xml:space="preserve">3x5 sheet</t>
  </si>
  <si>
    <t xml:space="preserve">familias_out.json 'cement board'</t>
  </si>
  <si>
    <t xml:space="preserve">FRP panels</t>
  </si>
  <si>
    <t xml:space="preserve">familias_out.json 'FRP'</t>
  </si>
  <si>
    <t xml:space="preserve">Framed openings - MEP, light slots and diffusers</t>
  </si>
  <si>
    <t xml:space="preserve">framed_openings_out.json 'framed openings MEP'</t>
  </si>
  <si>
    <t xml:space="preserve">Bottom track 6"</t>
  </si>
  <si>
    <t xml:space="preserve">familias_out.json track_by_element 'bottom track (all)' (R73.3)</t>
  </si>
  <si>
    <t xml:space="preserve">Bottom track - other framing (not a partition type, see source)</t>
  </si>
  <si>
    <t xml:space="preserve">Bottom track 3-5/8"</t>
  </si>
  <si>
    <t xml:space="preserve">Bottom track 1-5/8"</t>
  </si>
  <si>
    <t xml:space="preserve">Parapet bottom track</t>
  </si>
  <si>
    <t xml:space="preserve">Bottom track - roof step and heads (vestibule / bulkhead)</t>
  </si>
  <si>
    <t xml:space="preserve">Top / deflection track 6"</t>
  </si>
  <si>
    <t xml:space="preserve">familias_out.json track_by_element 'top / deflection track (all)' (R73.3)</t>
  </si>
  <si>
    <t xml:space="preserve">Top / deflection track - other framing (not a partition type, see source)</t>
  </si>
  <si>
    <t xml:space="preserve">Top / deflection track 3-5/8"</t>
  </si>
  <si>
    <t xml:space="preserve">Top / deflection track 1-5/8"</t>
  </si>
  <si>
    <t xml:space="preserve">Parapet top track</t>
  </si>
  <si>
    <t xml:space="preserve">Top track - roof step and heads (vestibule / bulkhead)</t>
  </si>
  <si>
    <t xml:space="preserve">3-5/8" stud, framed soffit 9/A12.08 (LF)</t>
  </si>
  <si>
    <t xml:space="preserve">familias_out.json stud_by_element '3-5/8" stud (all gauges)' (v76)</t>
  </si>
  <si>
    <t xml:space="preserve">5/8" FRT plywood sheathing (canopy and soffits)</t>
  </si>
  <si>
    <t xml:space="preserve">4x12 ft sheet (Inputs)</t>
  </si>
  <si>
    <t xml:space="preserve">familias_out.json FRT plywood by material; canon rows</t>
  </si>
  <si>
    <t xml:space="preserve">Exterior sheathing 5/8" FRT plywood bonded to 2-1/2" polyiso</t>
  </si>
  <si>
    <t xml:space="preserve">FRT plywood substrate (3/4 in.)</t>
  </si>
  <si>
    <t xml:space="preserve">5/8" FRT plywood at canopy column wraps</t>
  </si>
  <si>
    <t xml:space="preserve">FRT plywood substrate (5/8 in.)</t>
  </si>
  <si>
    <t xml:space="preserve">Sealant at base of gypsum (exterior, not acoustical)</t>
  </si>
  <si>
    <t xml:space="preserve">tube (25 LF per tube)</t>
  </si>
  <si>
    <t xml:space="preserve">familias_out.json sealant_exterior_lf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</si>
  <si>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</si>
  <si>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</si>
  <si>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</si>
  <si>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</si>
  <si>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</si>
  <si>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</si>
  <si>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</si>
  <si>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 TYPICAL PENETRATION THRU STUDS (S5.20 p69); M01.01 (p76) duct crossing found by mep.cruces (offset dx -571.92, dy 21.84) on the A02.01 band; size read on M01.01: lines 1530.36/1542.36 = 12 pt = 8 in.; label 8"x8" (EF-2); 6/S5.20 TYP</t>
  </si>
  <si>
    <t xml:space="preserve">Extra framing - ATM recess (only what a detail prints at the recess; the wall stays in its type)</t>
  </si>
  <si>
    <t xml:space="preserve">accesorios.py [DERIVED]: 6/A08.11; A02.01, J/A09.23; 6/A08.11: "2 1/2" METAL STUD SISTERED TO 6" METAL STUD W/ MINERAL WOOL INSULATION"; 6/A08.11: "FIBER CEMENT PANEL ON FURRING ON 5/8" FRT PLYWOOD"; 4/A08.11; A02.01; 12/A12.01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</si>
  <si>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</si>
  <si>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</si>
  <si>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</si>
  <si>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</si>
  <si>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</si>
  <si>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A08.01 elevations '5'-0" TO TOP OF FRP' (dimension from top of the 6" CT-12C base; FRP WC-3 panel height 5'-0", top at 5'-6" AFF); A08.01 enlarged plan 1/A08.01 (vector polygon of the room, 6 vertices: 5 inside + 1 outside); A05.01 key note</t>
  </si>
  <si>
    <t xml:space="preserve">Power-driven fasteners and duct sleeves</t>
  </si>
  <si>
    <t xml:space="preserve">accesorios.py [DERIVED]: Parapet infill: PAFs SPACED AT 12" O.C. MAX to the steel beam; M01.01 (p76) duct crossing found by mep.cruces (offset dx -571.92, dy 21.84) on the A02.01 band; size read on M01.01: lines 1013.88/1025.88 = 12 pt = 8 in.; label 8"o; M01.01 (p</t>
  </si>
  <si>
    <t xml:space="preserve">Access panel</t>
  </si>
  <si>
    <t xml:space="preserve">accesorios.py [CONFIRMED]: A04.01 key note 4 (one circle, p29)</t>
  </si>
  <si>
    <t xml:space="preserve">Drywall screws 1-1/4" bugle head</t>
  </si>
  <si>
    <t xml:space="preserve">accesorios.py [DERIVED]: Inputs!B20 (Drywall screws per SF of board = 1.2) x 17730.8 SF of board</t>
  </si>
  <si>
    <t xml:space="preserve">Framing screws, pan head self-drilling</t>
  </si>
  <si>
    <t xml:space="preserve">accesorios.py [DERIVED]: Inputs!B21 (Framing screws per stud piece = 4) x 1923 stud pieces</t>
  </si>
  <si>
    <t xml:space="preserve">Power-driven fasteners, slab pins for the bottom track</t>
  </si>
  <si>
    <t xml:space="preserve">accesorios.py [DERIVED]: 534.52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</si>
  <si>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</si>
  <si>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390.67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</si>
  <si>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</si>
  <si>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</si>
  <si>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</si>
  <si>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17730.8 SF of board</t>
  </si>
  <si>
    <t xml:space="preserve">Joint tape, paper</t>
  </si>
  <si>
    <t xml:space="preserve">accesorios.py [DERIVED]: Inputs!B24 (Joint tape (LF per SF) = 0.37) x 17730.8 SF of board</t>
  </si>
  <si>
    <t xml:space="preserve">Level 5 finish</t>
  </si>
  <si>
    <t xml:space="preserve">accesorios.py [CRITERION]: A00.40 WC-18 'WALL SURFACE TO BE LEVEL 5'; A05.01 WC-18 tag at [1729, 363] (A05.01 pt); A00.40 WC-18 'WALL SURFACE TO BE LEVEL 5'; A05.01 WC-18 tag at [1729, 560] (A05.01 pt); A00.40 WC-18 'WALL SURFACE TO BE LEVEL 5'; A05.01 WC-18 tag at [</t>
  </si>
  <si>
    <t xml:space="preserve">Deflection clips at non-load-bearing walls to structure</t>
  </si>
  <si>
    <t xml:space="preserve">accesorios.py [CRITERION]: S1.11 LIGHT GAUGE STEEL FRAMING note 2 'PROVIDE MANUFACTURER'S STANDARD VERTICAL DEFLECTION CLIPS AT NON-LOAD-BEARING WALLS, CAPABLE OF ISOLATING THE WALL FRAMING FROM A MAX. 1 INCH VERTICAL UPWARD OR DOWNWARD MOVEMENT OF THE PRIMARY STRUCT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</si>
  <si>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</si>
  <si>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</si>
  <si>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</si>
  <si>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</si>
  <si>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HEAD TRACK @ NON LOAD BRG: ADD FULL LENGTH ADDL HEAD TRACK @ OPNG &gt; 4'-0"?</t>
  </si>
  <si>
    <t xml:space="preserve">100.54 lf</t>
  </si>
  <si>
    <t xml:space="preserve">RFI-ACC-stud-reinforcement-mep</t>
  </si>
  <si>
    <t xml:space="preserve">stud reinforcement MEP: plates at double-row stud walls: one per cut row (R72.9) vs one per crossing</t>
  </si>
  <si>
    <t xml:space="preserve">-8 pcs</t>
  </si>
  <si>
    <t xml:space="preserve">RFI-ACC-stud-reinforcement-mep-2</t>
  </si>
  <si>
    <t xml:space="preserve">stud reinforcement MEP: crossings read by hand (not found by mep.cruces): confirm each one on the M / P sheets (R73.5)</t>
  </si>
  <si>
    <t xml:space="preserve">12 pcs</t>
  </si>
  <si>
    <t xml:space="preserve">RFI-ACC-gypsum-board-jamb-return</t>
  </si>
  <si>
    <t xml:space="preserve">gypsum board jamb return: jamb return width not dimensioned</t>
  </si>
  <si>
    <t xml:space="preserve">-40.29 sf</t>
  </si>
  <si>
    <t xml:space="preserve">RFI-ACC-expansion-anchors</t>
  </si>
  <si>
    <t xml:space="preserve">expansion anchors: untagged parts of piers / boxes (A-EXT-PIER-G2, A-EXT-PIER-G4) without anchorage in the schedule (R72.8)</t>
  </si>
  <si>
    <t xml:space="preserve">9.41 pcs</t>
  </si>
  <si>
    <t xml:space="preserve">RFI-ACC-slab-pins</t>
  </si>
  <si>
    <t xml:space="preserve">slab pins: pin spacing: 12" (interior anchorage) vs 16" (fastener schedule) vs 24" (type K box)</t>
  </si>
  <si>
    <t xml:space="preserve">16in: -133.63 pcs; 24in: -267.26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</si>
  <si>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</si>
  <si>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</si>
  <si>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773 pcs</t>
  </si>
  <si>
    <t xml:space="preserve">RFI-ACC-stud-reinforcement-mep-3</t>
  </si>
  <si>
    <t xml:space="preserve">stud reinforcement MEP: 4 fire dampers (Electrical 120 / NER 121) sit at the wall line and are not found by mep.cruces; listed manual</t>
  </si>
  <si>
    <t xml:space="preserve">+4 pcs (14", 14", 12", 12" at 16" O.C. = 1 stud each)</t>
  </si>
  <si>
    <t xml:space="preserve">RFI-ACC-stud-reinforcement-mep-4</t>
  </si>
  <si>
    <t xml:space="preserve">stud reinforcement MEP: pipes &gt; 1 in. through stud walls read on P01.01 (registro 14 &lt; 25 votes): 2" ST x3, 4" OD x1, 3" ST x1</t>
  </si>
  <si>
    <t xml:space="preserve">+6 pcs</t>
  </si>
  <si>
    <t xml:space="preserve">RFI-ACC-stud-reinforcement-mep-5</t>
  </si>
  <si>
    <t xml:space="preserve">stud reinforcement MEP: crossing at A5 wall of Calling Cubes 122 shows two parallel branches (12" and 10") not labeled at the crossing; confirm sizes</t>
  </si>
  <si>
    <t xml:space="preserve">0 / -1 pcs if a single duct</t>
  </si>
  <si>
    <t xml:space="preserve">RFI-ACC-access-panel</t>
  </si>
  <si>
    <t xml:space="preserve">access panel: M01.01 general note 2 and M00.03 note 16 require access panels for equipment / dampers above ceilings; only one panel drawn (RCP key note 4). Fire dampers at Electrical 120 / NER 121 are above ACT (no panel); GB ceilings (Vestibules 100/101, Waiting 104, Cash Window 116, Restrooms 113/114) may need more</t>
  </si>
  <si>
    <t xml:space="preserve">+n pcs per equipment found above GB ceilings</t>
  </si>
  <si>
    <t xml:space="preserve">RFI-ACC-extra-framing-atm</t>
  </si>
  <si>
    <t xml:space="preserve">extra framing ATM: 6/A08.11: count and top extent of the 2 1/2" sistered studs and orientation/spacing of the furring not dimensioned (criterion 3 lines @ 16" O.C.); furring may belong to the fiber cement cladding installer</t>
  </si>
  <si>
    <t xml:space="preserve">furring -12.423 LF if by cladding installer; studs +/- 5.276 LF per line</t>
  </si>
  <si>
    <t xml:space="preserve">RFI-ACC-extra-framing-atm-2</t>
  </si>
  <si>
    <t xml:space="preserve">extra framing ATM: GC-built ATM plinths ((2) layers 3/4" FRT plywood 6/A08.11; 2X4/4X4 FRT framing + FRT plywood 3/A08.11) are rough carpentry, not counted</t>
  </si>
  <si>
    <t xml:space="preserve">not quantified</t>
  </si>
  <si>
    <t xml:space="preserve">RFI-ACC-level-5-finish</t>
  </si>
  <si>
    <t xml:space="preserve">Level 5 finish: WC-20 (A05.01 key note 9) is not in the A00.40 legend and has no tag/extent; taken as the full vestibule face of the diagonal ATM wall to the 10'-0" ceiling</t>
  </si>
  <si>
    <t xml:space="preserve">-146.377 SF if WC-20 covers less</t>
  </si>
  <si>
    <t xml:space="preserve">RFI-ACC-pvc-trim-at-frp</t>
  </si>
  <si>
    <t xml:space="preserve">PVC trim at FRP: mop sink width taken 24 in. from model TSH-24-TF2 (not dimensioned on A05.01)</t>
  </si>
  <si>
    <t xml:space="preserve">per inch of width: 2 x 1/12 x ... (small)</t>
  </si>
  <si>
    <t xml:space="preserve">RFI-01</t>
  </si>
  <si>
    <t xml:space="preserve">Exterior 6" CFMF studs: S1.11 note 5 requires 600S162-54 @ 16" O.C. (12" O.C. within 6 ft of building corners) while 7/S5.20 lists 600S137-33 for exterior walls. S1.11 (heavier) carried. Confirm.</t>
  </si>
  <si>
    <t xml:space="preserve">gauge only: 54 mil vs 33 mil on all 6" exterior stud LF (no LF change)</t>
  </si>
  <si>
    <t xml:space="preserve">RFI-02</t>
  </si>
  <si>
    <t xml:space="preserve">Elevation titles vs north arrow: A09.01 'SOUTH ELEVATION' draws the plan north facade and A09.02 'NORTH ELEVATION' the plan south facade (S2.20 'BUILDING FOOTPRINT MIRRORED'). Facades named by the A02.01 north arrow. Confirm for all trades.</t>
  </si>
  <si>
    <t xml:space="preserve">n/a: naming only, no quantity change</t>
  </si>
  <si>
    <t xml:space="preserve">RFI-03</t>
  </si>
  <si>
    <t xml:space="preserve">Plan bubbles cite A9.02 / A9.21-A9.23 while the sheets are numbered A09.xx; finish schedule 'A00.31' referenced on A05.01 / A03.01 is not in the set.</t>
  </si>
  <si>
    <t xml:space="preserve">n/a: document coordination</t>
  </si>
  <si>
    <t xml:space="preserve">RFI-04</t>
  </si>
  <si>
    <t xml:space="preserve">Canopy beam T.O.S. on grid F 7-8 not printed on S2.20; 11'-11 3/8" (grids 8 / G) carried. C/A09.21 vector gives 11'-9".</t>
  </si>
  <si>
    <t xml:space="preserve">A-EXT-N-F studs -0.198 ft each / upper row +0.198 ft each (net 0 LF)</t>
  </si>
  <si>
    <t xml:space="preserve">RFI-05</t>
  </si>
  <si>
    <t xml:space="preserve">Grid 2 HSS9x5x5/8 (LLV, B.O.S. 8'-7 1/2") taken as spanning G-E; studs below it stop at 8'-7 1/2" and a 6" row (A-EXT-W-2M) runs from the HSS top 9'-4 1/2" to the W16x26 canopy beam. Confirm the HSS extent.</t>
  </si>
  <si>
    <t xml:space="preserve">if the HSS spans only SF-2-F/E.4: +1.8 ft x studs of 15.54 LF (approx +25 LF 6" stud) and -13.9 LF / -31.1 LF track of A-EXT-W-2M</t>
  </si>
  <si>
    <t xml:space="preserve">RFI-06</t>
  </si>
  <si>
    <t xml:space="preserve">Drive-up ATM 6/A08.11: 2 1/2" sistered studs and the furring of the fiber cement surround are printed but count / spacing / extent not dimensioned; carried 3 lines of each in the section (28.25 LF). Furring may belong to the cladding installer.</t>
  </si>
  <si>
    <t xml:space="preserve">full-height sistered reading 53.67 LF (+25.42 LF); furring by cladding -12.42 LF</t>
  </si>
  <si>
    <t xml:space="preserve">RFI-07</t>
  </si>
  <si>
    <t xml:space="preserve">B2K tag on A02.01 is not in the A12.01 partition schedule; carried as A5K build-up (6" 14 ga @ 24" + ballistic panel + 3/8" gyp, 4/A12.01), 7.68" measured.</t>
  </si>
  <si>
    <t xml:space="preserve">n/a: type definition; ballistic panel and 3/8" board of 1.77 LF depend on it</t>
  </si>
  <si>
    <t xml:space="preserve">RFI-08</t>
  </si>
  <si>
    <t xml:space="preserve">Gauge of 1-5/8" studs (G / G1 double row) and 6" interior studs (A5 / B2) not printed (7/S5.20 lists only 362S137-33 interior). Carried 20 ga.</t>
  </si>
  <si>
    <t xml:space="preserve">gauge only (no LF change)</t>
  </si>
  <si>
    <t xml:space="preserve">RFI-09</t>
  </si>
  <si>
    <t xml:space="preserve">Carrying channel direction, furring / carrying / hanger spacing of the suspended GWB ceilings are not printed (A04.01 legend only). Carried carrying N-S, furring 16", carrying 48", hangers 48".</t>
  </si>
  <si>
    <t xml:space="preserve">carrying E-W: +7.12 LF carrying, -17.69 LF furring</t>
  </si>
  <si>
    <t xml:space="preserve">RFI-10</t>
  </si>
  <si>
    <t xml:space="preserve">Vestibule box headers 'METAL STUD FRAMING &amp; BOX HEADER AS NEEDED' (4-7/A12.10): box size not printed; depth 6 1/8" taken from the 5/A12.10 vector.</t>
  </si>
  <si>
    <t xml:space="preserve">box size changes header pieces only (4 pieces x (R.O. + 1'-4") already carried)</t>
  </si>
  <si>
    <t xml:space="preserve">RFI-11</t>
  </si>
  <si>
    <t xml:space="preserve">Coiling grille 103 height: A00.30 prints 13'-6 1/2" while 2/A08.21 measures a 10'-0" head (24 HR vestibule ceiling); head 10'-0" carried.</t>
  </si>
  <si>
    <t xml:space="preserve">n/a: header LF unchanged (R.O. 13'-4"); grille head framing height depends on it</t>
  </si>
  <si>
    <t xml:space="preserve">RFI-12</t>
  </si>
  <si>
    <t xml:space="preserve">Parapet infill 11/S5.10 @ 16" O.C. vs S1.11 note 5 @ 12" within 6 ft of building corners: 11/S5.10 carried.</t>
  </si>
  <si>
    <t xml:space="preserve">approx +26 pcs / +78 LF 6" parapet stud at the corners</t>
  </si>
  <si>
    <t xml:space="preserve">RFI-13</t>
  </si>
  <si>
    <t xml:space="preserve">Drive-up canopy band 15/A09.27 does not label glass mat sheathing (3/A09.26 and 7/A09.26 do); west band carried without glass mat.</t>
  </si>
  <si>
    <t xml:space="preserve">+109.9 SF glass mat if required</t>
  </si>
  <si>
    <t xml:space="preserve">RFI-14</t>
  </si>
  <si>
    <t xml:space="preserve">Stud blocking at the edge of gypboard (4/S5.20 'PROVIDE BLOCKING AT THE EDGE OF GYPBOARD', NTS, no location): carried on every face whose board piece is taller than a 12 ft sheet, per stud row (R78.33).</t>
  </si>
  <si>
    <t xml:space="preserve">(a) exterior + double-layer walls only: see Pending Items; 10 ft sheets add approx +50 LF</t>
  </si>
  <si>
    <t xml:space="preserve">RFI-15</t>
  </si>
  <si>
    <t xml:space="preserve">Storefront pier jamb strips (3/4" FRT plywood at the 4 jambs of piers G/2 and G/4, 1/A09.25, 2/A09.25): width not measured with a validated scale; not carried.</t>
  </si>
  <si>
    <t xml:space="preserve">approx +24 SF 3/4" FRT plywood</t>
  </si>
  <si>
    <t xml:space="preserve">RFI-16</t>
  </si>
  <si>
    <t xml:space="preserve">HM door rough openings: carried door + 2 x 2" frame face (11/A12.02); a vector reading of 11/A12.02 gives door + 2.13". Header rows unchanged.</t>
  </si>
  <si>
    <t xml:space="preserve">-2.34 LF header if door + 2.13"</t>
  </si>
  <si>
    <t xml:space="preserve">RFI-17</t>
  </si>
  <si>
    <t xml:space="preserve">Walls partly under beams: A-N-G-09 (W12X19 / W8X10) kept to deck; G1-01, G-08, B-01, B-03 weighted under the printed beams (E26).</t>
  </si>
  <si>
    <t xml:space="preserve">G-09 weighted: approx -0.3 ft average height (approx -8 LF 1-5/8" stud, -20 SF board)</t>
  </si>
  <si>
    <t xml:space="preserve">RFI-18</t>
  </si>
  <si>
    <t xml:space="preserve">Waiting 104 ceiling transition (8/A09.33): its north edge runs parallel to the deck flutes; purlin (8/A09.33 view) not carried on the transition.</t>
  </si>
  <si>
    <t xml:space="preserve">+12.77 LF purlin</t>
  </si>
  <si>
    <t xml:space="preserve">RFI-19</t>
  </si>
  <si>
    <t xml:space="preserve">Office front jambs 10/A12.01: FRT plywood blocking counted at 10 jamb ends and corner bead at 11 (R73.15 same interface).</t>
  </si>
  <si>
    <t xml:space="preserve">+8 LF FRT blocking or -16 LF corner bead</t>
  </si>
  <si>
    <t xml:space="preserve">RFI-20</t>
  </si>
  <si>
    <t xml:space="preserve">Ballistic contour B2K: kevlar hatch may run to x 1661.76 (2.207 LF) instead of the 1.773 LF carried (hatch extent read by reading A).</t>
  </si>
  <si>
    <t xml:space="preserve">+0.434 LF ballistic panel / 3/8" board / framing</t>
  </si>
  <si>
    <t xml:space="preserve">RFI-21</t>
  </si>
  <si>
    <t xml:space="preserve">S1.10 note 7: COLD FORMED STEEL FRAMING and METAL CANOPIES are delegated design / deferred submittals. Engineering and sealed shop drawings excluded unless required.</t>
  </si>
  <si>
    <t xml:space="preserve">n/a: engineering cost by others</t>
  </si>
  <si>
    <t xml:space="preserve">RFI-22</t>
  </si>
  <si>
    <t xml:space="preserve">Control joints: no gypsum board control joint is labeled in the set (all CJ are stucco / concrete / civil). Excluded; confirm per ASTM C840 / GA-216.</t>
  </si>
  <si>
    <t xml:space="preserve">n/a: none carried</t>
  </si>
  <si>
    <t xml:space="preserve">RFI-23</t>
  </si>
  <si>
    <t xml:space="preserve">C1 'BLOCK PARTITION' (6/A12.01) has no schedule row: carried 3-5/8" studs + 5/8" gyp one face to deck (break line, R60.11); the block itself is by others.</t>
  </si>
  <si>
    <t xml:space="preserve">n/a: C1 framing carried as drawn</t>
  </si>
  <si>
    <t xml:space="preserve">RFI-24</t>
  </si>
  <si>
    <t xml:space="preserve">Canopy column wrap top (5/A09.25) not dimensioned: B/CANOPY 10'-6" carried (16/A09.27 soffit B/STUD 10'-7 1/4").</t>
  </si>
  <si>
    <t xml:space="preserve">+0.10 ft x 4 wraps (approx +2 LF 3-5/8" stud, +2 SF FRT plywood)</t>
  </si>
  <si>
    <t xml:space="preserve">RFI-25</t>
  </si>
  <si>
    <t xml:space="preserve">Upper 6" CFMF infill row between the canopy beam and the roof beam (A09.21-A09.23 sections): bottom track on the canopy beam top flange not detailed.</t>
  </si>
  <si>
    <t xml:space="preserve">n/a: track already carried on the infill rows</t>
  </si>
  <si>
    <t xml:space="preserve">RFI-26</t>
  </si>
  <si>
    <t xml:space="preserve">Roof step 4/A02.02: two stacked rows bear on two decks (low and upper); purlin carried on both rows' top tracks.</t>
  </si>
  <si>
    <t xml:space="preserve">-38.9 LF purlin if only one row (59.1)</t>
  </si>
  <si>
    <t xml:space="preserve">19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</si>
  <si>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</si>
  <si>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</si>
  <si>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</si>
  <si>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</si>
  <si>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</si>
  <si>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</si>
  <si>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1/19</t>
  </si>
  <si>
    <t xml:space="preserve">Floor plan</t>
  </si>
  <si>
    <t xml:space="preserve">A1</t>
  </si>
  <si>
    <t xml:space="preserve">A-N-A5-01 / MW01 printer alcove: the partition above the cabinet is carried inside the A5 west wall of Calling Cubes (R77.9), wall extended 3.11 ft over the alcove opening (header single track 4.46 LF).</t>
  </si>
  <si>
    <t xml:space="preserve">6/A12.03</t>
  </si>
  <si>
    <t xml:space="preserve">/home/user/boa28a/work/etapas/3_revision/res_img/item10_A5_N-A5-01_south.png</t>
  </si>
  <si>
    <t xml:space="preserve">2/19</t>
  </si>
  <si>
    <t xml:space="preserve">A1K</t>
  </si>
  <si>
    <t xml:space="preserve">A1K south run A-S-A1K-01: hatch extent 1.767 LF carried (R72.1); node-to-node reading 2.20 LF (delta +0.433 LF ballistic + framing).</t>
  </si>
  <si>
    <t xml:space="preserve">/home/user/boa28a/work/etapas/3_revision/res_img/item06_A1K.png</t>
  </si>
  <si>
    <t xml:space="preserve">3/19</t>
  </si>
  <si>
    <t xml:space="preserve">B</t>
  </si>
  <si>
    <t xml:space="preserve">A-S-B-03 Wellness north wall: stops under the printed W14x22 over 5.29 ft (weighted height 12.149 ft, E26); B-01 / G-08 / G1-01 same criterion.</t>
  </si>
  <si>
    <t xml:space="preserve">/home/user/boa28a/work/etapas/adversarial/img_V2/V2_H1_S2.20_B03_beam.png</t>
  </si>
  <si>
    <t xml:space="preserve">4/19</t>
  </si>
  <si>
    <t xml:space="preserve">B2</t>
  </si>
  <si>
    <t xml:space="preserve">Drinking-fountain alcove between the restroom B2 runs: untagged A1 walls carried as a niche of the B2 line (R74.3), 7.49 LF in OTHER FRAMING 'alcove'. PT0025 run: A02.01 prints 5'-6 1/2" and A08.01 5'-5 3/4" (3/4" difference).</t>
  </si>
  <si>
    <t xml:space="preserve">/home/user/boa28a/work/etapas/3_revision/res_img/item08-09_A1_corner.png</t>
  </si>
  <si>
    <t xml:space="preserve">5/19</t>
  </si>
  <si>
    <t xml:space="preserve">B2K</t>
  </si>
  <si>
    <t xml:space="preserve">B2K is not in the A12.01 schedule (RFI-07); hatch 1.773 LF carried vs 2.207 LF if the kevlar hatch runs to the G-07 start (RFI-20, +0.434 LF).</t>
  </si>
  <si>
    <t xml:space="preserve">/home/user/boa28a/work/etapas/3_revision/res_img/item05_B2K.png</t>
  </si>
  <si>
    <t xml:space="preserve">6/19</t>
  </si>
  <si>
    <t xml:space="preserve">C1</t>
  </si>
  <si>
    <t xml:space="preserve">FCAM furring C1: 2.98 LF + east return 0.58 LF measured from the outside face (R75.7) = 3.56 LF (A 2.98 / B 3.21). Storefront piers C1: interior faces only (R76.5).</t>
  </si>
  <si>
    <t xml:space="preserve">/home/user/boa28a/work/etapas/3_revision/res_img/item13_C1_S-C1-03.png</t>
  </si>
  <si>
    <t xml:space="preserve">7/19</t>
  </si>
  <si>
    <t xml:space="preserve">EXT-6CFMF</t>
  </si>
  <si>
    <t xml:space="preserve">Second 6" CFMF row between the canopy beam and the roof beam on grids G, F, 8, 2, D, 3 (A09.21-A09.23 sections) + row over the grid 2 HSS: carried as stacked walls (split_of). The Partition Takeoff sheet adds their LF to EXT-6CFMF (tool gap P02, about -159.8 LF in that sheet only).</t>
  </si>
  <si>
    <t xml:space="preserve">/home/user/boa28a/work/etapas/adversarial/img_V1/H1_A02.01_W-2_solid_454-734.png</t>
  </si>
  <si>
    <t xml:space="preserve">8/19</t>
  </si>
  <si>
    <t xml:space="preserve">Exterior LF excludes the storefront spans (R70.7) and runs node to node through the corners (resolution items 1-3, 28): N-F 13.60, W-2 21.89, S-A 53.67 LF.</t>
  </si>
  <si>
    <t xml:space="preserve">/home/user/boa28a/work/etapas/3_revision/res_img/item03_EXT_N-F.png</t>
  </si>
  <si>
    <t xml:space="preserve">9/19</t>
  </si>
  <si>
    <t xml:space="preserve">EXT-PARAPET</t>
  </si>
  <si>
    <t xml:space="preserve">Parapet LF measured on the stud CL along each grid run (4/A09.26) with lf_override instead of W2's exterior-wall length, because the exterior LF excludes the storefront spans; corners @16" (RFI-12).</t>
  </si>
  <si>
    <t xml:space="preserve">/home/user/boa28a/work/etapas/3_revision/res_img/item22_EXT-PARAPET_A-PAR-03.png</t>
  </si>
  <si>
    <t xml:space="preserve">10/19</t>
  </si>
  <si>
    <t xml:space="preserve">G</t>
  </si>
  <si>
    <t xml:space="preserve">A-N-G-09 kept to deck although partly under W12X19 / W8X10 (RFI-17); office jamb blocking 10 ends vs corner bead 11 (RFI-19).</t>
  </si>
  <si>
    <t xml:space="preserve">/home/user/boa28a/work/etapas/2_lectura/A/img_T2A/A-N-G-09.png</t>
  </si>
  <si>
    <t xml:space="preserve">11/19</t>
  </si>
  <si>
    <t xml:space="preserve">G1</t>
  </si>
  <si>
    <t xml:space="preserve">A-S-G1-01 untagged office-front end stub typed G1 by thickness 8.47" (R74.1); alternative A1 by note A.</t>
  </si>
  <si>
    <t xml:space="preserve">/home/user/boa28a/work/etapas/3_revision/res_img/item04_G1_S-G1-01.png</t>
  </si>
  <si>
    <t xml:space="preserve">12/19</t>
  </si>
  <si>
    <t xml:space="preserve">Detail</t>
  </si>
  <si>
    <t xml:space="preserve">Drive-up ATM recess: 2 1/2" sistered + furring printed, 3 lines each carried (28.25 LF, R79.2); full-height reading 53.67 LF (RFI-06).</t>
  </si>
  <si>
    <t xml:space="preserve">6/A08.11</t>
  </si>
  <si>
    <t xml:space="preserve">/home/user/boa28a/work/etapas/2_lectura/A/img_T7A/A0811_det6_DU_ATM_section.png</t>
  </si>
  <si>
    <t xml:space="preserve">13/19</t>
  </si>
  <si>
    <t xml:space="preserve">Storefront pier jamb strips 3/4" FRT plywood not measured (RFI-15, approx +24 SF).</t>
  </si>
  <si>
    <t xml:space="preserve">/home/user/boa28a/work/etapas/adversarial/img_V1/H4_A09.25_det2_pier_jamb_FRT.png</t>
  </si>
  <si>
    <t xml:space="preserve">14/19</t>
  </si>
  <si>
    <t xml:space="preserve">Coiling grille 103 head: head 10'-0" (2/A08.21 vector) vs 13'-6 1/2" on A00.30 (RFI-11); 2-1/2" head studs from the R79.1 chain.</t>
  </si>
  <si>
    <t xml:space="preserve">/home/user/boa28a/work/etapas/2_lectura/A/img_T8A/A08.21_4_grille_head.png</t>
  </si>
  <si>
    <t xml:space="preserve">15/19</t>
  </si>
  <si>
    <t xml:space="preserve">HM door R.O. convention door + 4" vs door + 2.13" measured (RFI-16, -2.34 LF header).</t>
  </si>
  <si>
    <t xml:space="preserve">11/A12.02</t>
  </si>
  <si>
    <t xml:space="preserve">/home/user/boa28a/work/etapas/adversarial/img_V3/A12.02_11_jamb_HM.png</t>
  </si>
  <si>
    <t xml:space="preserve">16/19</t>
  </si>
  <si>
    <t xml:space="preserve">Stud blocking at edge of gypboard: carried on faces taller than a 12 ft sheet per stud row (R78.33); two figures in RFI-14.</t>
  </si>
  <si>
    <t xml:space="preserve">4/S5.20</t>
  </si>
  <si>
    <t xml:space="preserve">/home/user/boa28a/work/etapas/adversarial/img_V4/S520_edge_gypboard.png</t>
  </si>
  <si>
    <t xml:space="preserve">17/19</t>
  </si>
  <si>
    <t xml:space="preserve">Drive-up canopy band does not label glass mat (RFI-13, +109.9 SF).</t>
  </si>
  <si>
    <t xml:space="preserve">15/A09.27</t>
  </si>
  <si>
    <t xml:space="preserve">/home/user/boa28a/work/etapas/2_lectura/A/img_T5A/DET_15_A09.27_drive_up_canopy_band.png</t>
  </si>
  <si>
    <t xml:space="preserve">18/19</t>
  </si>
  <si>
    <t xml:space="preserve">Roof step: purlin on both rows bearing on two decks (RFI-26).</t>
  </si>
  <si>
    <t xml:space="preserve">/home/user/boa28a/work/etapas/2_lectura/A/img_T5A/DET_4_A02.02_roof_step.png</t>
  </si>
  <si>
    <t xml:space="preserve">19/19</t>
  </si>
  <si>
    <t xml:space="preserve">CSR soffit framed (9/A12.08 + 10/A09.33): corner bead and FRTW blocking at both drop edges added after the adversarial check (24.04 LF each).</t>
  </si>
  <si>
    <t xml:space="preserve">/home/user/boa28a/work/etapas/adversarial/img_V4/A0933_det10_CSR_cornerbead_FRTW.png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</si>
  <si>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</si>
  <si>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</si>
  <si>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</si>
  <si>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</si>
  <si>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</si>
  <si>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</si>
  <si>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Material Summary: 3-5/8", 6", 1-5/8" metal stud + bottom / top track by size (familias_out.json); A12.01, 7/S5.20</t>
  </si>
  <si>
    <t xml:space="preserve">ALC-02</t>
  </si>
  <si>
    <t xml:space="preserve">Exterior wall framing (CFMF)</t>
  </si>
  <si>
    <t xml:space="preserve">EXT-6CFMF walls + upper infill rows + storefront cripples (6" metal stud family); A09.21-A09.23, S1.11, S2.20</t>
  </si>
  <si>
    <t xml:space="preserve">ALC-03</t>
  </si>
  <si>
    <t xml:space="preserve">Parapet framing</t>
  </si>
  <si>
    <t xml:space="preserve">6" parapet infill stud, bay by bay (E3); 4/A09.26, 11/S5.10</t>
  </si>
  <si>
    <t xml:space="preserve">ALC-04</t>
  </si>
  <si>
    <t xml:space="preserve">Top / deflection and bottom track</t>
  </si>
  <si>
    <t xml:space="preserve">Bottom track / Top deflection track rows by stud size and element (R71.8, R73.3); A12.01, S5.10</t>
  </si>
  <si>
    <t xml:space="preserve">ALC-05</t>
  </si>
  <si>
    <t xml:space="preserve">Headers, sills and jambs at openings</t>
  </si>
  <si>
    <t xml:space="preserve">Header / box beam by pieces (E1/E2) + sill track (E18); 7/S5.20, 2/S5.20, A00.30</t>
  </si>
  <si>
    <t xml:space="preserve">ALC-06</t>
  </si>
  <si>
    <t xml:space="preserve">Bracing / bridging</t>
  </si>
  <si>
    <t xml:space="preserve">Bracing C.R. channel rows = ROUNDUP(H x 12 / 48) - 1 (53.4); S1.11, S5.20</t>
  </si>
  <si>
    <t xml:space="preserve">ALC-07</t>
  </si>
  <si>
    <t xml:space="preserve">Gypsum board on walls (layers per type)</t>
  </si>
  <si>
    <t xml:space="preserve">5/8" gypsum board regular, face by face (board_caras); A12.01</t>
  </si>
  <si>
    <t xml:space="preserve">ALC-08</t>
  </si>
  <si>
    <t xml:space="preserve">Moisture / abuse / special board at wet zones</t>
  </si>
  <si>
    <t xml:space="preserve">5/8" MOISTURE RESISTANT behind toilet and lavatory only (A08.01 note F)</t>
  </si>
  <si>
    <t xml:space="preserve">ALC-09</t>
  </si>
  <si>
    <t xml:space="preserve">Exterior gypsum / glass mat sheathing</t>
  </si>
  <si>
    <t xml:space="preserve">5/8" glass mat sheathing (base strip + canopy band) and 5/8" EXTERIOR gypsum sheathing (parapet roof side); A09.26, A09.27</t>
  </si>
  <si>
    <t xml:space="preserve">ALC-10</t>
  </si>
  <si>
    <t xml:space="preserve">FRT plywood sheathing / substrate</t>
  </si>
  <si>
    <t xml:space="preserve">FRT plywood by material and use (nailbase, substrate, column wrap, opening substrate, backboards); A09.21, A11.03, A12.01</t>
  </si>
  <si>
    <t xml:space="preserve">ALC-11</t>
  </si>
  <si>
    <t xml:space="preserve">Gypsum board ceilings</t>
  </si>
  <si>
    <t xml:space="preserve">Suspended GWB ceilings in 5 rooms + CSR framed soffit (A04.01, A9.22 bubbles / A09.33)</t>
  </si>
  <si>
    <t xml:space="preserve">ALC-12</t>
  </si>
  <si>
    <t xml:space="preserve">Ceiling suspension (furring / carrying channel / hanger wire / ceiling track)</t>
  </si>
  <si>
    <t xml:space="preserve">Furring channel, carrying channel, hanger wire (PCS + LF) and ceiling perimeter track; A04.01 legend, A9.22</t>
  </si>
  <si>
    <t xml:space="preserve">ALC-13</t>
  </si>
  <si>
    <t xml:space="preserve">Soffits and bulkheads (framing + board)</t>
  </si>
  <si>
    <t xml:space="preserve">CSR soffit 10/A09.33 + office bulkheads 8,9/A12.01 + Waiting transition 8/A09.33 + vestibule heads A12.10</t>
  </si>
  <si>
    <t xml:space="preserve">ALC-14</t>
  </si>
  <si>
    <t xml:space="preserve">Canopy / marquee framing and sheathing</t>
  </si>
  <si>
    <t xml:space="preserve">Canopy joists, fascia, canopy soffit track, glass mat band, FRT plywood; 3/A09.26, 7/A09.26, 16/A09.27</t>
  </si>
  <si>
    <t xml:space="preserve">ALC-15</t>
  </si>
  <si>
    <t xml:space="preserve">Column furring / wraps</t>
  </si>
  <si>
    <t xml:space="preserve">CANOPY-COL wraps 5/A09.25 (FOS chain), storefront piers 1,2/A09.25, C1 boxes at grille 3/A08.21</t>
  </si>
  <si>
    <t xml:space="preserve">ALC-16</t>
  </si>
  <si>
    <t xml:space="preserve">Blocking (FRT wood / metal) for millwork and accessories</t>
  </si>
  <si>
    <t xml:space="preserve">Blocking FRT / 2X FRT wood + metal stud blocking at wall-mounted items; A02.01 notes C, kn 5/6/7, A08.01 note E, A12.01, A00.50</t>
  </si>
  <si>
    <t xml:space="preserve">ALC-17</t>
  </si>
  <si>
    <t xml:space="preserve">Framed openings (MEP, access panels, diffusers)</t>
  </si>
  <si>
    <t xml:space="preserve">Framed openings - MEP, light slots and diffusers (framed_openings_out.json); E00.01, E02.01, M01.01, A04.01</t>
  </si>
  <si>
    <t xml:space="preserve">ALC-18</t>
  </si>
  <si>
    <t xml:space="preserve">Trim: corner bead, casing bead, control joints, reveals</t>
  </si>
  <si>
    <t xml:space="preserve">METAL trim row (corner bead, casing, shadow molding); control joints EXCLUDED with RFI (no gypsum CJ labeled: PROJECT_DATA.md section 7)</t>
  </si>
  <si>
    <t xml:space="preserve">ALC-19</t>
  </si>
  <si>
    <t xml:space="preserve">Acoustical sealant / sound attenuation (EXCLUDED: estimator standing order, all projects)</t>
  </si>
  <si>
    <t xml:space="preserve">NOT APPLICABLE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</si>
  <si>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</si>
  <si>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</si>
  <si>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</si>
  <si>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FRP panels + cement board under the tile cove base band (A08.01, A05.01)</t>
  </si>
  <si>
    <t xml:space="preserve">ALC-21</t>
  </si>
  <si>
    <t xml:space="preserve">Shaft walls / area separation walls</t>
  </si>
  <si>
    <t xml:space="preserve">NOT APPLICABLE: A02.01 and A12.01 show no shaft or area separation wall (one-story Type II-B, A00.00 code analysis)</t>
  </si>
  <si>
    <t xml:space="preserve">ALC-22</t>
  </si>
  <si>
    <t xml:space="preserve">Rated assemblies (UL designs) and their board type</t>
  </si>
  <si>
    <t xml:space="preserve">NOT APPLICABLE: A12.02 / A11.03 / M00.01 mention fire-rated plywood and dampers only; no UL partition design in A12.01 (non-rated, A00.00 Type II-B unsprinklered B occupancy)</t>
  </si>
  <si>
    <t xml:space="preserve">ALC-23</t>
  </si>
  <si>
    <t xml:space="preserve">Special panels (ballistic, lead-lined, abuse)</t>
  </si>
  <si>
    <t xml:space="preserve">Ballistic panel UL752 + 3/8" gypsum board at A1K / B2K (4/A12.01, A02.01 legend KEVLAR)</t>
  </si>
  <si>
    <t xml:space="preserve">ALC-24</t>
  </si>
  <si>
    <t xml:space="preserve">Finish level (Level 4 / Level 5)</t>
  </si>
  <si>
    <t xml:space="preserve">Level 5 finish SF at WC-18 / WC-22 / WC-20 (A00.40, A05.01 kn 9/10, A11.04); Level 4 elsewhere (assumed, Clarifications)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</si>
  <si>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</si>
  <si>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</si>
  <si>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</si>
  <si>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</si>
  <si>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"f9cf4c3d0c7b720e4e4390a17becad4c10cbb7055a1180cb1a5d17e427f01b2c", "evidencias": "b24aea026497f3d78ef21f1d3a6f59511673c702f7e178a4feb3055ff17d5c0b", "familias_out": "c00653f3bf0ad35ca7cd6f58a769f31de349e5c69a13419c7d86cf7ece8f1d61", "reglas": "765fa0be283da1e3f849c9ab1f1f94e210282701890f84fb96862890f4435793",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</si>
</sst>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5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53.458</v>
      </c>
      <c r="D6" s="0" t="n">
        <v>4.216</v>
      </c>
      <c r="E6" s="0" t="n">
        <v>0.25</v>
      </c>
      <c r="F6" s="0" t="s">
        <v>63</v>
      </c>
      <c r="G6" s="0" t="n">
        <v>16</v>
      </c>
      <c r="H6" s="0" t="n">
        <v>209.2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122.17</v>
      </c>
      <c r="D7" s="0" t="n">
        <v>7.987</v>
      </c>
      <c r="E7" s="0" t="n">
        <v>0.62</v>
      </c>
      <c r="F7" s="0" t="s">
        <v>63</v>
      </c>
      <c r="G7" s="0" t="n">
        <v>16</v>
      </c>
      <c r="H7" s="0" t="n">
        <v>1030.2</v>
      </c>
      <c r="I7" s="0" t="s">
        <v>69</v>
      </c>
      <c r="J7" s="0" t="s">
        <v>70</v>
      </c>
      <c r="K7" s="0" t="s">
        <v>66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n">
        <v>53.667</v>
      </c>
      <c r="D8" s="0" t="n">
        <v>11.172</v>
      </c>
      <c r="E8" s="0" t="n">
        <v>1</v>
      </c>
      <c r="F8" s="0" t="s">
        <v>63</v>
      </c>
      <c r="G8" s="0" t="n">
        <v>16</v>
      </c>
      <c r="H8" s="0" t="n">
        <v>645.3</v>
      </c>
      <c r="I8" s="0" t="s">
        <v>73</v>
      </c>
      <c r="J8" s="0" t="s">
        <v>74</v>
      </c>
      <c r="K8" s="0" t="s">
        <v>66</v>
      </c>
    </row>
    <row r="9" customFormat="false" ht="15" hidden="false" customHeight="false" outlineLevel="0" collapsed="false">
      <c r="A9" s="0" t="s">
        <v>75</v>
      </c>
      <c r="B9" s="0" t="s">
        <v>76</v>
      </c>
      <c r="C9" s="0" t="n">
        <v>69.058</v>
      </c>
      <c r="D9" s="0" t="n">
        <v>8.462</v>
      </c>
      <c r="E9" s="0" t="n">
        <v>0.68</v>
      </c>
      <c r="F9" s="0" t="s">
        <v>63</v>
      </c>
      <c r="G9" s="0" t="n">
        <v>16</v>
      </c>
      <c r="H9" s="0" t="n">
        <v>625.76</v>
      </c>
      <c r="I9" s="0" t="s">
        <v>77</v>
      </c>
      <c r="J9" s="0" t="s">
        <v>78</v>
      </c>
      <c r="K9" s="0" t="s">
        <v>66</v>
      </c>
    </row>
    <row r="10" customFormat="false" ht="15" hidden="false" customHeight="false" outlineLevel="0" collapsed="false">
      <c r="A10" s="0" t="s">
        <v>79</v>
      </c>
      <c r="B10" s="0" t="s">
        <v>80</v>
      </c>
      <c r="C10" s="0" t="n">
        <v>7.813</v>
      </c>
      <c r="D10" s="0" t="n">
        <v>6.671</v>
      </c>
      <c r="E10" s="0" t="n">
        <v>0.5</v>
      </c>
      <c r="F10" s="0" t="s">
        <v>63</v>
      </c>
      <c r="G10" s="0" t="n">
        <v>16</v>
      </c>
      <c r="H10" s="0" t="n">
        <v>60.07</v>
      </c>
      <c r="I10" s="0" t="s">
        <v>81</v>
      </c>
      <c r="J10" s="0" t="s">
        <v>82</v>
      </c>
      <c r="K10" s="0" t="s">
        <v>66</v>
      </c>
    </row>
    <row r="11" customFormat="false" ht="15" hidden="false" customHeight="false" outlineLevel="0" collapsed="false">
      <c r="A11" s="0" t="s">
        <v>83</v>
      </c>
      <c r="B11" s="0" t="s">
        <v>84</v>
      </c>
      <c r="C11" s="0" t="n">
        <v>66.817</v>
      </c>
      <c r="D11" s="0" t="n">
        <v>4.421</v>
      </c>
      <c r="E11" s="0" t="n">
        <v>0.33</v>
      </c>
      <c r="F11" s="0" t="s">
        <v>63</v>
      </c>
      <c r="G11" s="0" t="n">
        <v>16</v>
      </c>
      <c r="H11" s="0" t="n">
        <v>330.84</v>
      </c>
      <c r="I11" s="0" t="s">
        <v>85</v>
      </c>
      <c r="J11" s="0" t="s">
        <v>82</v>
      </c>
      <c r="K11" s="0" t="s">
        <v>66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n">
        <v>17.688</v>
      </c>
      <c r="D12" s="0" t="n">
        <v>2.41</v>
      </c>
      <c r="E12" s="0" t="n">
        <v>0</v>
      </c>
      <c r="F12" s="0" t="s">
        <v>63</v>
      </c>
      <c r="G12" s="0" t="n">
        <v>16</v>
      </c>
      <c r="H12" s="0" t="n">
        <v>0</v>
      </c>
      <c r="I12" s="0" t="s">
        <v>88</v>
      </c>
      <c r="J12" s="0" t="s">
        <v>89</v>
      </c>
      <c r="K12" s="0" t="s">
        <v>66</v>
      </c>
    </row>
    <row r="13" customFormat="false" ht="15" hidden="false" customHeight="false" outlineLevel="0" collapsed="false">
      <c r="A13" s="5" t="s">
        <v>90</v>
      </c>
    </row>
    <row r="14" customFormat="false" ht="15" hidden="false" customHeight="false" outlineLevel="0" collapsed="false">
      <c r="A14" s="0" t="s">
        <v>91</v>
      </c>
      <c r="B14" s="0" t="s">
        <v>92</v>
      </c>
      <c r="C14" s="0" t="n">
        <v>5.667</v>
      </c>
      <c r="D14" s="0" t="n">
        <v>10.5</v>
      </c>
      <c r="E14" s="0" t="n">
        <v>0</v>
      </c>
      <c r="F14" s="0" t="s">
        <v>93</v>
      </c>
      <c r="G14" s="0" t="n">
        <v>16</v>
      </c>
      <c r="H14" s="0" t="n">
        <v>0</v>
      </c>
      <c r="I14" s="0" t="s">
        <v>94</v>
      </c>
      <c r="J14" s="0" t="s">
        <v>95</v>
      </c>
      <c r="K14" s="0" t="s">
        <v>66</v>
      </c>
    </row>
    <row r="15" customFormat="false" ht="15" hidden="false" customHeight="false" outlineLevel="0" collapsed="false">
      <c r="A15" s="0" t="s">
        <v>96</v>
      </c>
      <c r="B15" s="0" t="s">
        <v>97</v>
      </c>
      <c r="C15" s="0" t="n">
        <v>5.667</v>
      </c>
      <c r="D15" s="0" t="n">
        <v>10.5</v>
      </c>
      <c r="E15" s="0" t="n">
        <v>0</v>
      </c>
      <c r="F15" s="0" t="s">
        <v>93</v>
      </c>
      <c r="G15" s="0" t="n">
        <v>16</v>
      </c>
      <c r="H15" s="0" t="n">
        <v>0</v>
      </c>
      <c r="I15" s="0" t="s">
        <v>98</v>
      </c>
      <c r="J15" s="0" t="s">
        <v>95</v>
      </c>
      <c r="K15" s="0" t="s">
        <v>66</v>
      </c>
    </row>
    <row r="16" customFormat="false" ht="15" hidden="false" customHeight="false" outlineLevel="0" collapsed="false">
      <c r="A16" s="0" t="s">
        <v>99</v>
      </c>
      <c r="B16" s="0" t="s">
        <v>100</v>
      </c>
      <c r="C16" s="0" t="n">
        <v>5.667</v>
      </c>
      <c r="D16" s="0" t="n">
        <v>10.5</v>
      </c>
      <c r="E16" s="0" t="n">
        <v>0</v>
      </c>
      <c r="F16" s="0" t="s">
        <v>93</v>
      </c>
      <c r="G16" s="0" t="n">
        <v>16</v>
      </c>
      <c r="H16" s="0" t="n">
        <v>0</v>
      </c>
      <c r="I16" s="0" t="s">
        <v>101</v>
      </c>
      <c r="J16" s="0" t="s">
        <v>95</v>
      </c>
      <c r="K16" s="0" t="s">
        <v>66</v>
      </c>
    </row>
    <row r="17" customFormat="false" ht="15" hidden="false" customHeight="false" outlineLevel="0" collapsed="false">
      <c r="A17" s="0" t="s">
        <v>102</v>
      </c>
      <c r="B17" s="0" t="s">
        <v>103</v>
      </c>
      <c r="C17" s="0" t="n">
        <v>5.667</v>
      </c>
      <c r="D17" s="0" t="n">
        <v>10.5</v>
      </c>
      <c r="E17" s="0" t="n">
        <v>0</v>
      </c>
      <c r="F17" s="0" t="s">
        <v>93</v>
      </c>
      <c r="G17" s="0" t="n">
        <v>16</v>
      </c>
      <c r="H17" s="0" t="n">
        <v>0</v>
      </c>
      <c r="I17" s="0" t="s">
        <v>104</v>
      </c>
      <c r="J17" s="0" t="s">
        <v>95</v>
      </c>
      <c r="K17" s="0" t="s">
        <v>66</v>
      </c>
    </row>
    <row r="18" customFormat="false" ht="15" hidden="false" customHeight="false" outlineLevel="0" collapsed="false">
      <c r="A18" s="5" t="s">
        <v>105</v>
      </c>
    </row>
    <row r="19" customFormat="false" ht="15" hidden="false" customHeight="false" outlineLevel="0" collapsed="false">
      <c r="A19" s="0" t="s">
        <v>106</v>
      </c>
      <c r="B19" s="0" t="s">
        <v>107</v>
      </c>
      <c r="C19" s="0" t="n">
        <v>2.42</v>
      </c>
      <c r="D19" s="0" t="n">
        <v>14.383</v>
      </c>
      <c r="E19" s="0" t="n">
        <v>4.42</v>
      </c>
      <c r="F19" s="0" t="s">
        <v>108</v>
      </c>
      <c r="G19" s="0" t="n">
        <v>16</v>
      </c>
      <c r="H19" s="0" t="n">
        <v>147.43</v>
      </c>
      <c r="I19" s="0" t="s">
        <v>109</v>
      </c>
      <c r="J19" s="0" t="s">
        <v>110</v>
      </c>
      <c r="K19" s="0" t="s">
        <v>66</v>
      </c>
    </row>
    <row r="20" customFormat="false" ht="15" hidden="false" customHeight="false" outlineLevel="0" collapsed="false">
      <c r="A20" s="0" t="s">
        <v>111</v>
      </c>
      <c r="B20" s="0" t="s">
        <v>112</v>
      </c>
      <c r="C20" s="0" t="n">
        <v>3.467</v>
      </c>
      <c r="D20" s="0" t="n">
        <v>14.383</v>
      </c>
      <c r="E20" s="0" t="n">
        <v>4.59</v>
      </c>
      <c r="F20" s="0" t="s">
        <v>108</v>
      </c>
      <c r="G20" s="0" t="n">
        <v>16</v>
      </c>
      <c r="H20" s="0" t="n">
        <v>215.88</v>
      </c>
      <c r="I20" s="0" t="s">
        <v>113</v>
      </c>
      <c r="J20" s="0" t="s">
        <v>110</v>
      </c>
      <c r="K20" s="0" t="s">
        <v>66</v>
      </c>
    </row>
    <row r="21" customFormat="false" ht="15" hidden="false" customHeight="false" outlineLevel="0" collapsed="false">
      <c r="A21" s="0" t="s">
        <v>114</v>
      </c>
      <c r="B21" s="0" t="s">
        <v>115</v>
      </c>
      <c r="C21" s="0" t="n">
        <v>3.253</v>
      </c>
      <c r="D21" s="0" t="n">
        <v>14.225</v>
      </c>
      <c r="E21" s="0" t="n">
        <v>4.63</v>
      </c>
      <c r="F21" s="0" t="s">
        <v>108</v>
      </c>
      <c r="G21" s="0" t="n">
        <v>16</v>
      </c>
      <c r="H21" s="0" t="n">
        <v>201.52</v>
      </c>
      <c r="I21" s="0" t="s">
        <v>116</v>
      </c>
      <c r="J21" s="0" t="s">
        <v>110</v>
      </c>
      <c r="K21" s="0" t="s">
        <v>66</v>
      </c>
    </row>
    <row r="22" customFormat="false" ht="15" hidden="false" customHeight="false" outlineLevel="0" collapsed="false">
      <c r="A22" s="0" t="s">
        <v>117</v>
      </c>
      <c r="B22" s="0" t="s">
        <v>118</v>
      </c>
      <c r="C22" s="0" t="n">
        <v>3.253</v>
      </c>
      <c r="D22" s="0" t="n">
        <v>14.225</v>
      </c>
      <c r="E22" s="0" t="n">
        <v>4.63</v>
      </c>
      <c r="F22" s="0" t="s">
        <v>108</v>
      </c>
      <c r="G22" s="0" t="n">
        <v>16</v>
      </c>
      <c r="H22" s="0" t="n">
        <v>201.52</v>
      </c>
      <c r="I22" s="0" t="s">
        <v>119</v>
      </c>
      <c r="J22" s="0" t="s">
        <v>110</v>
      </c>
      <c r="K22" s="0" t="s">
        <v>66</v>
      </c>
    </row>
    <row r="23" customFormat="false" ht="15" hidden="false" customHeight="false" outlineLevel="0" collapsed="false">
      <c r="A23" s="0" t="s">
        <v>120</v>
      </c>
      <c r="B23" s="0" t="s">
        <v>121</v>
      </c>
      <c r="C23" s="0" t="n">
        <v>11.771</v>
      </c>
      <c r="D23" s="0" t="n">
        <v>15.375</v>
      </c>
      <c r="E23" s="0" t="n">
        <v>4</v>
      </c>
      <c r="F23" s="0" t="s">
        <v>108</v>
      </c>
      <c r="G23" s="0" t="n">
        <v>16</v>
      </c>
      <c r="H23" s="0" t="n">
        <v>723.9</v>
      </c>
      <c r="I23" s="0" t="s">
        <v>122</v>
      </c>
      <c r="J23" s="0" t="s">
        <v>110</v>
      </c>
      <c r="K23" s="0" t="s">
        <v>123</v>
      </c>
    </row>
    <row r="24" customFormat="false" ht="15" hidden="false" customHeight="false" outlineLevel="0" collapsed="false">
      <c r="A24" s="0" t="s">
        <v>124</v>
      </c>
      <c r="B24" s="0" t="s">
        <v>125</v>
      </c>
      <c r="C24" s="0" t="n">
        <v>11.771</v>
      </c>
      <c r="D24" s="0" t="n">
        <v>15.375</v>
      </c>
      <c r="E24" s="0" t="n">
        <v>4</v>
      </c>
      <c r="F24" s="0" t="s">
        <v>108</v>
      </c>
      <c r="G24" s="0" t="n">
        <v>16</v>
      </c>
      <c r="H24" s="0" t="n">
        <v>723.9</v>
      </c>
      <c r="I24" s="0" t="s">
        <v>126</v>
      </c>
      <c r="J24" s="0" t="s">
        <v>110</v>
      </c>
      <c r="K24" s="0" t="s">
        <v>123</v>
      </c>
    </row>
    <row r="25" customFormat="false" ht="15" hidden="false" customHeight="false" outlineLevel="0" collapsed="false">
      <c r="A25" s="0" t="s">
        <v>127</v>
      </c>
      <c r="B25" s="0" t="s">
        <v>128</v>
      </c>
      <c r="C25" s="0" t="n">
        <v>11.625</v>
      </c>
      <c r="D25" s="0" t="n">
        <v>15.185</v>
      </c>
      <c r="E25" s="0" t="n">
        <v>4</v>
      </c>
      <c r="F25" s="0" t="s">
        <v>108</v>
      </c>
      <c r="G25" s="0" t="n">
        <v>16</v>
      </c>
      <c r="H25" s="0" t="n">
        <v>706.1</v>
      </c>
      <c r="I25" s="0" t="s">
        <v>129</v>
      </c>
      <c r="J25" s="0" t="s">
        <v>110</v>
      </c>
      <c r="K25" s="0" t="s">
        <v>123</v>
      </c>
    </row>
    <row r="26" customFormat="false" ht="15" hidden="false" customHeight="false" outlineLevel="0" collapsed="false">
      <c r="A26" s="0" t="s">
        <v>130</v>
      </c>
      <c r="B26" s="0" t="s">
        <v>131</v>
      </c>
      <c r="C26" s="0" t="n">
        <v>10.073</v>
      </c>
      <c r="D26" s="0" t="n">
        <v>15.375</v>
      </c>
      <c r="E26" s="0" t="n">
        <v>4</v>
      </c>
      <c r="F26" s="0" t="s">
        <v>108</v>
      </c>
      <c r="G26" s="0" t="n">
        <v>16</v>
      </c>
      <c r="H26" s="0" t="n">
        <v>619.49</v>
      </c>
      <c r="I26" s="0" t="s">
        <v>132</v>
      </c>
      <c r="J26" s="0" t="s">
        <v>110</v>
      </c>
      <c r="K26" s="0" t="s">
        <v>66</v>
      </c>
    </row>
    <row r="27" customFormat="false" ht="15" hidden="false" customHeight="false" outlineLevel="0" collapsed="false">
      <c r="A27" s="0" t="s">
        <v>133</v>
      </c>
      <c r="B27" s="0" t="s">
        <v>134</v>
      </c>
      <c r="C27" s="0" t="n">
        <v>12.333</v>
      </c>
      <c r="D27" s="0" t="n">
        <v>15.375</v>
      </c>
      <c r="E27" s="0" t="n">
        <v>4</v>
      </c>
      <c r="F27" s="0" t="s">
        <v>108</v>
      </c>
      <c r="G27" s="0" t="n">
        <v>16</v>
      </c>
      <c r="H27" s="0" t="n">
        <v>758.48</v>
      </c>
      <c r="I27" s="0" t="s">
        <v>135</v>
      </c>
      <c r="J27" s="0" t="s">
        <v>110</v>
      </c>
      <c r="K27" s="0" t="s">
        <v>66</v>
      </c>
    </row>
    <row r="28" customFormat="false" ht="15" hidden="false" customHeight="false" outlineLevel="0" collapsed="false">
      <c r="A28" s="0" t="s">
        <v>136</v>
      </c>
      <c r="B28" s="0" t="s">
        <v>137</v>
      </c>
      <c r="C28" s="0" t="n">
        <v>11.625</v>
      </c>
      <c r="D28" s="0" t="n">
        <v>15.375</v>
      </c>
      <c r="E28" s="0" t="n">
        <v>4</v>
      </c>
      <c r="F28" s="0" t="s">
        <v>108</v>
      </c>
      <c r="G28" s="0" t="n">
        <v>16</v>
      </c>
      <c r="H28" s="0" t="n">
        <v>714.94</v>
      </c>
      <c r="I28" s="0" t="s">
        <v>138</v>
      </c>
      <c r="J28" s="0" t="s">
        <v>110</v>
      </c>
      <c r="K28" s="0" t="s">
        <v>66</v>
      </c>
    </row>
    <row r="29" customFormat="false" ht="15" hidden="false" customHeight="false" outlineLevel="0" collapsed="false">
      <c r="A29" s="5" t="s">
        <v>139</v>
      </c>
    </row>
    <row r="30" customFormat="false" ht="15" hidden="false" customHeight="false" outlineLevel="0" collapsed="false">
      <c r="A30" s="0" t="s">
        <v>140</v>
      </c>
      <c r="B30" s="0" t="s">
        <v>141</v>
      </c>
      <c r="C30" s="0" t="n">
        <v>11.771</v>
      </c>
      <c r="D30" s="0" t="n">
        <v>15.188</v>
      </c>
      <c r="E30" s="0" t="n">
        <v>4</v>
      </c>
      <c r="F30" s="0" t="s">
        <v>108</v>
      </c>
      <c r="G30" s="0" t="n">
        <v>16</v>
      </c>
      <c r="H30" s="0" t="n">
        <v>715.08</v>
      </c>
      <c r="I30" s="0" t="s">
        <v>142</v>
      </c>
      <c r="J30" s="0" t="s">
        <v>110</v>
      </c>
      <c r="K30" s="0" t="s">
        <v>123</v>
      </c>
    </row>
    <row r="31" customFormat="false" ht="15" hidden="false" customHeight="false" outlineLevel="0" collapsed="false">
      <c r="A31" s="0" t="s">
        <v>143</v>
      </c>
      <c r="B31" s="0" t="s">
        <v>144</v>
      </c>
      <c r="C31" s="0" t="n">
        <v>3.507</v>
      </c>
      <c r="D31" s="0" t="n">
        <v>15.375</v>
      </c>
      <c r="E31" s="0" t="n">
        <v>4.81</v>
      </c>
      <c r="F31" s="0" t="s">
        <v>108</v>
      </c>
      <c r="G31" s="0" t="n">
        <v>16</v>
      </c>
      <c r="H31" s="0" t="n">
        <v>238.3</v>
      </c>
      <c r="I31" s="0" t="s">
        <v>145</v>
      </c>
      <c r="J31" s="0" t="s">
        <v>110</v>
      </c>
      <c r="K31" s="0" t="s">
        <v>66</v>
      </c>
    </row>
    <row r="32" customFormat="false" ht="15" hidden="false" customHeight="false" outlineLevel="0" collapsed="false">
      <c r="A32" s="0" t="s">
        <v>146</v>
      </c>
      <c r="B32" s="0" t="s">
        <v>147</v>
      </c>
      <c r="C32" s="0" t="n">
        <v>3.18</v>
      </c>
      <c r="D32" s="0" t="n">
        <v>15.375</v>
      </c>
      <c r="E32" s="0" t="n">
        <v>4</v>
      </c>
      <c r="F32" s="0" t="s">
        <v>108</v>
      </c>
      <c r="G32" s="0" t="n">
        <v>16</v>
      </c>
      <c r="H32" s="0" t="n">
        <v>195.58</v>
      </c>
      <c r="I32" s="0" t="s">
        <v>148</v>
      </c>
      <c r="J32" s="0" t="s">
        <v>110</v>
      </c>
      <c r="K32" s="0" t="s">
        <v>66</v>
      </c>
    </row>
    <row r="33" customFormat="false" ht="15" hidden="false" customHeight="false" outlineLevel="0" collapsed="false">
      <c r="A33" s="5" t="s">
        <v>149</v>
      </c>
    </row>
    <row r="34" customFormat="false" ht="15" hidden="false" customHeight="false" outlineLevel="0" collapsed="false">
      <c r="A34" s="0" t="s">
        <v>150</v>
      </c>
      <c r="B34" s="0" t="s">
        <v>151</v>
      </c>
      <c r="C34" s="0" t="n">
        <v>1.773</v>
      </c>
      <c r="D34" s="0" t="n">
        <v>15.375</v>
      </c>
      <c r="E34" s="0" t="n">
        <v>2.36</v>
      </c>
      <c r="F34" s="0" t="s">
        <v>63</v>
      </c>
      <c r="G34" s="0" t="n">
        <v>24</v>
      </c>
      <c r="H34" s="0" t="n">
        <v>64.36</v>
      </c>
      <c r="I34" s="0" t="s">
        <v>152</v>
      </c>
      <c r="J34" s="0" t="s">
        <v>153</v>
      </c>
      <c r="K34" s="0" t="s">
        <v>66</v>
      </c>
    </row>
    <row r="35" customFormat="false" ht="15" hidden="false" customHeight="false" outlineLevel="0" collapsed="false">
      <c r="A35" s="5" t="s">
        <v>154</v>
      </c>
    </row>
    <row r="36" customFormat="false" ht="15" hidden="false" customHeight="false" outlineLevel="0" collapsed="false">
      <c r="A36" s="0" t="s">
        <v>155</v>
      </c>
      <c r="B36" s="0" t="s">
        <v>156</v>
      </c>
      <c r="C36" s="0" t="n">
        <v>3.417</v>
      </c>
      <c r="D36" s="0" t="n">
        <v>15.375</v>
      </c>
      <c r="E36" s="0" t="n">
        <v>2</v>
      </c>
      <c r="F36" s="0" t="s">
        <v>93</v>
      </c>
      <c r="G36" s="0" t="n">
        <v>24</v>
      </c>
      <c r="H36" s="0" t="n">
        <v>105.06</v>
      </c>
      <c r="I36" s="0" t="s">
        <v>157</v>
      </c>
      <c r="J36" s="0" t="s">
        <v>153</v>
      </c>
      <c r="K36" s="0" t="s">
        <v>123</v>
      </c>
    </row>
    <row r="37" customFormat="false" ht="15" hidden="false" customHeight="false" outlineLevel="0" collapsed="false">
      <c r="A37" s="0" t="s">
        <v>158</v>
      </c>
      <c r="B37" s="0" t="s">
        <v>159</v>
      </c>
      <c r="C37" s="0" t="n">
        <v>1.767</v>
      </c>
      <c r="D37" s="0" t="n">
        <v>12.922</v>
      </c>
      <c r="E37" s="0" t="n">
        <v>2</v>
      </c>
      <c r="F37" s="0" t="s">
        <v>93</v>
      </c>
      <c r="G37" s="0" t="n">
        <v>24</v>
      </c>
      <c r="H37" s="0" t="n">
        <v>45.66</v>
      </c>
      <c r="I37" s="0" t="s">
        <v>160</v>
      </c>
      <c r="J37" s="0" t="s">
        <v>153</v>
      </c>
      <c r="K37" s="0" t="s">
        <v>66</v>
      </c>
    </row>
    <row r="38" customFormat="false" ht="15" hidden="false" customHeight="false" outlineLevel="0" collapsed="false">
      <c r="A38" s="0" t="s">
        <v>161</v>
      </c>
      <c r="B38" s="0" t="s">
        <v>162</v>
      </c>
      <c r="C38" s="0" t="n">
        <v>3.413</v>
      </c>
      <c r="D38" s="0" t="n">
        <v>12.935</v>
      </c>
      <c r="E38" s="0" t="n">
        <v>2</v>
      </c>
      <c r="F38" s="0" t="s">
        <v>93</v>
      </c>
      <c r="G38" s="0" t="n">
        <v>24</v>
      </c>
      <c r="H38" s="0" t="n">
        <v>88.3</v>
      </c>
      <c r="I38" s="0" t="s">
        <v>163</v>
      </c>
      <c r="J38" s="0" t="s">
        <v>153</v>
      </c>
      <c r="K38" s="0" t="s">
        <v>66</v>
      </c>
    </row>
    <row r="39" customFormat="false" ht="15" hidden="false" customHeight="false" outlineLevel="0" collapsed="false">
      <c r="A39" s="5" t="s">
        <v>164</v>
      </c>
    </row>
    <row r="40" customFormat="false" ht="15" hidden="false" customHeight="false" outlineLevel="0" collapsed="false">
      <c r="A40" s="0" t="s">
        <v>165</v>
      </c>
      <c r="B40" s="0" t="s">
        <v>166</v>
      </c>
      <c r="C40" s="0" t="n">
        <v>5.66</v>
      </c>
      <c r="D40" s="0" t="n">
        <v>15.375</v>
      </c>
      <c r="E40" s="0" t="n">
        <v>2</v>
      </c>
      <c r="F40" s="0" t="s">
        <v>63</v>
      </c>
      <c r="G40" s="0" t="n">
        <v>16</v>
      </c>
      <c r="H40" s="0" t="n">
        <v>111.44</v>
      </c>
      <c r="I40" s="0" t="s">
        <v>167</v>
      </c>
      <c r="J40" s="0" t="s">
        <v>168</v>
      </c>
      <c r="K40" s="0" t="s">
        <v>66</v>
      </c>
    </row>
    <row r="41" customFormat="false" ht="15" hidden="false" customHeight="false" outlineLevel="0" collapsed="false">
      <c r="A41" s="0" t="s">
        <v>169</v>
      </c>
      <c r="B41" s="0" t="s">
        <v>170</v>
      </c>
      <c r="C41" s="0" t="n">
        <v>5.542</v>
      </c>
      <c r="D41" s="0" t="n">
        <v>13.286</v>
      </c>
      <c r="E41" s="0" t="n">
        <v>2</v>
      </c>
      <c r="F41" s="0" t="s">
        <v>63</v>
      </c>
      <c r="G41" s="0" t="n">
        <v>16</v>
      </c>
      <c r="H41" s="0" t="n">
        <v>100.6</v>
      </c>
      <c r="I41" s="0" t="s">
        <v>171</v>
      </c>
      <c r="J41" s="0" t="s">
        <v>168</v>
      </c>
      <c r="K41" s="0" t="s">
        <v>66</v>
      </c>
    </row>
    <row r="42" customFormat="false" ht="15" hidden="false" customHeight="false" outlineLevel="0" collapsed="false">
      <c r="A42" s="0" t="s">
        <v>172</v>
      </c>
      <c r="B42" s="0" t="s">
        <v>173</v>
      </c>
      <c r="C42" s="0" t="n">
        <v>15.787</v>
      </c>
      <c r="D42" s="0" t="n">
        <v>12.865</v>
      </c>
      <c r="E42" s="0" t="n">
        <v>2</v>
      </c>
      <c r="F42" s="0" t="s">
        <v>63</v>
      </c>
      <c r="G42" s="0" t="n">
        <v>16</v>
      </c>
      <c r="H42" s="0" t="n">
        <v>266.2</v>
      </c>
      <c r="I42" s="0" t="s">
        <v>174</v>
      </c>
      <c r="J42" s="0" t="s">
        <v>168</v>
      </c>
      <c r="K42" s="0" t="s">
        <v>66</v>
      </c>
    </row>
    <row r="43" customFormat="false" ht="15" hidden="false" customHeight="false" outlineLevel="0" collapsed="false">
      <c r="A43" s="0" t="s">
        <v>175</v>
      </c>
      <c r="B43" s="0" t="s">
        <v>176</v>
      </c>
      <c r="C43" s="0" t="n">
        <v>11.407</v>
      </c>
      <c r="D43" s="0" t="n">
        <v>11.633</v>
      </c>
      <c r="E43" s="0" t="n">
        <v>2</v>
      </c>
      <c r="F43" s="0" t="s">
        <v>63</v>
      </c>
      <c r="G43" s="0" t="n">
        <v>16</v>
      </c>
      <c r="H43" s="0" t="n">
        <v>265.38</v>
      </c>
      <c r="I43" s="0" t="s">
        <v>177</v>
      </c>
      <c r="J43" s="0" t="s">
        <v>168</v>
      </c>
      <c r="K43" s="0" t="s">
        <v>66</v>
      </c>
    </row>
    <row r="44" customFormat="false" ht="15" hidden="false" customHeight="false" outlineLevel="0" collapsed="false">
      <c r="A44" s="5" t="s">
        <v>178</v>
      </c>
    </row>
    <row r="45" customFormat="false" ht="15" hidden="false" customHeight="false" outlineLevel="0" collapsed="false">
      <c r="A45" s="0" t="s">
        <v>179</v>
      </c>
      <c r="B45" s="0" t="s">
        <v>180</v>
      </c>
      <c r="C45" s="0" t="n">
        <v>17.762</v>
      </c>
      <c r="D45" s="0" t="n">
        <v>15.375</v>
      </c>
      <c r="E45" s="0" t="n">
        <v>2</v>
      </c>
      <c r="F45" s="0" t="s">
        <v>93</v>
      </c>
      <c r="G45" s="0" t="n">
        <v>16</v>
      </c>
      <c r="H45" s="0" t="n">
        <v>325.38</v>
      </c>
      <c r="I45" s="0" t="s">
        <v>181</v>
      </c>
      <c r="J45" s="0" t="s">
        <v>182</v>
      </c>
      <c r="K45" s="0" t="s">
        <v>66</v>
      </c>
    </row>
    <row r="46" customFormat="false" ht="15" hidden="false" customHeight="false" outlineLevel="0" collapsed="false">
      <c r="A46" s="5" t="s">
        <v>183</v>
      </c>
    </row>
    <row r="47" customFormat="false" ht="15" hidden="false" customHeight="false" outlineLevel="0" collapsed="false">
      <c r="A47" s="0" t="s">
        <v>184</v>
      </c>
      <c r="B47" s="0" t="s">
        <v>185</v>
      </c>
      <c r="C47" s="0" t="n">
        <v>17.021</v>
      </c>
      <c r="D47" s="0" t="n">
        <v>15.375</v>
      </c>
      <c r="E47" s="0" t="n">
        <v>1.41</v>
      </c>
      <c r="F47" s="0" t="s">
        <v>93</v>
      </c>
      <c r="G47" s="0" t="n">
        <v>16</v>
      </c>
      <c r="H47" s="0" t="n">
        <v>243.02</v>
      </c>
      <c r="I47" s="0" t="s">
        <v>186</v>
      </c>
      <c r="J47" s="0" t="s">
        <v>187</v>
      </c>
      <c r="K47" s="0" t="s">
        <v>123</v>
      </c>
    </row>
    <row r="48" customFormat="false" ht="15" hidden="false" customHeight="false" outlineLevel="0" collapsed="false">
      <c r="A48" s="0" t="s">
        <v>188</v>
      </c>
      <c r="B48" s="0" t="s">
        <v>189</v>
      </c>
      <c r="C48" s="0" t="n">
        <v>3.533</v>
      </c>
      <c r="D48" s="0" t="n">
        <v>15.375</v>
      </c>
      <c r="E48" s="0" t="n">
        <v>2</v>
      </c>
      <c r="F48" s="0" t="s">
        <v>93</v>
      </c>
      <c r="G48" s="0" t="n">
        <v>16</v>
      </c>
      <c r="H48" s="0" t="n">
        <v>74.2</v>
      </c>
      <c r="I48" s="0" t="s">
        <v>190</v>
      </c>
      <c r="J48" s="0" t="s">
        <v>187</v>
      </c>
      <c r="K48" s="0" t="s">
        <v>66</v>
      </c>
    </row>
    <row r="49" customFormat="false" ht="15" hidden="false" customHeight="false" outlineLevel="0" collapsed="false">
      <c r="A49" s="0" t="s">
        <v>191</v>
      </c>
      <c r="B49" s="0" t="s">
        <v>192</v>
      </c>
      <c r="C49" s="0" t="n">
        <v>2.021</v>
      </c>
      <c r="D49" s="0" t="n">
        <v>15.375</v>
      </c>
      <c r="E49" s="0" t="n">
        <v>2</v>
      </c>
      <c r="F49" s="0" t="s">
        <v>93</v>
      </c>
      <c r="G49" s="0" t="n">
        <v>16</v>
      </c>
      <c r="H49" s="0" t="n">
        <v>42.44</v>
      </c>
      <c r="I49" s="0" t="s">
        <v>193</v>
      </c>
      <c r="J49" s="0" t="s">
        <v>187</v>
      </c>
      <c r="K49" s="0" t="s">
        <v>66</v>
      </c>
    </row>
    <row r="50" customFormat="false" ht="15" hidden="false" customHeight="false" outlineLevel="0" collapsed="false">
      <c r="A50" s="0" t="s">
        <v>194</v>
      </c>
      <c r="B50" s="0" t="s">
        <v>195</v>
      </c>
      <c r="C50" s="0" t="n">
        <v>5.587</v>
      </c>
      <c r="D50" s="0" t="n">
        <v>15.375</v>
      </c>
      <c r="E50" s="0" t="n">
        <v>2</v>
      </c>
      <c r="F50" s="0" t="s">
        <v>93</v>
      </c>
      <c r="G50" s="0" t="n">
        <v>16</v>
      </c>
      <c r="H50" s="0" t="n">
        <v>47.22</v>
      </c>
      <c r="I50" s="0" t="s">
        <v>196</v>
      </c>
      <c r="J50" s="0" t="s">
        <v>187</v>
      </c>
      <c r="K50" s="0" t="s">
        <v>66</v>
      </c>
    </row>
    <row r="51" customFormat="false" ht="15" hidden="false" customHeight="false" outlineLevel="0" collapsed="false">
      <c r="A51" s="0" t="s">
        <v>197</v>
      </c>
      <c r="B51" s="0" t="s">
        <v>198</v>
      </c>
      <c r="C51" s="0" t="n">
        <v>15.232</v>
      </c>
      <c r="D51" s="0" t="n">
        <v>12.967</v>
      </c>
      <c r="E51" s="0" t="n">
        <v>2</v>
      </c>
      <c r="F51" s="0" t="s">
        <v>93</v>
      </c>
      <c r="G51" s="0" t="n">
        <v>16</v>
      </c>
      <c r="H51" s="0" t="n">
        <v>274.18</v>
      </c>
      <c r="I51" s="0" t="s">
        <v>199</v>
      </c>
      <c r="J51" s="0" t="s">
        <v>187</v>
      </c>
      <c r="K51" s="0" t="s">
        <v>66</v>
      </c>
    </row>
    <row r="52" customFormat="false" ht="15" hidden="false" customHeight="false" outlineLevel="0" collapsed="false">
      <c r="A52" s="0" t="s">
        <v>200</v>
      </c>
      <c r="B52" s="0" t="s">
        <v>201</v>
      </c>
      <c r="C52" s="0" t="n">
        <v>2.14</v>
      </c>
      <c r="D52" s="0" t="n">
        <v>11.821</v>
      </c>
      <c r="E52" s="0" t="n">
        <v>2</v>
      </c>
      <c r="F52" s="0" t="s">
        <v>93</v>
      </c>
      <c r="G52" s="0" t="n">
        <v>16</v>
      </c>
      <c r="H52" s="0" t="n">
        <v>39.59</v>
      </c>
      <c r="I52" s="0" t="s">
        <v>202</v>
      </c>
      <c r="J52" s="0" t="s">
        <v>187</v>
      </c>
      <c r="K52" s="0" t="s">
        <v>66</v>
      </c>
    </row>
    <row r="53" customFormat="false" ht="15" hidden="false" customHeight="false" outlineLevel="0" collapsed="false">
      <c r="A53" s="0" t="s">
        <v>203</v>
      </c>
      <c r="B53" s="0" t="s">
        <v>204</v>
      </c>
      <c r="C53" s="0" t="n">
        <v>5.094</v>
      </c>
      <c r="D53" s="0" t="n">
        <v>12.923</v>
      </c>
      <c r="E53" s="0" t="n">
        <v>2</v>
      </c>
      <c r="F53" s="0" t="s">
        <v>93</v>
      </c>
      <c r="G53" s="0" t="n">
        <v>16</v>
      </c>
      <c r="H53" s="0" t="n">
        <v>40.91</v>
      </c>
      <c r="I53" s="0" t="s">
        <v>205</v>
      </c>
      <c r="J53" s="0" t="s">
        <v>187</v>
      </c>
      <c r="K53" s="0" t="s">
        <v>66</v>
      </c>
    </row>
    <row r="54" customFormat="false" ht="15" hidden="false" customHeight="false" outlineLevel="0" collapsed="false">
      <c r="A54" s="0" t="s">
        <v>206</v>
      </c>
      <c r="B54" s="0" t="s">
        <v>207</v>
      </c>
      <c r="C54" s="0" t="n">
        <v>11.667</v>
      </c>
      <c r="D54" s="0" t="n">
        <v>12.771</v>
      </c>
      <c r="E54" s="0" t="n">
        <v>2</v>
      </c>
      <c r="F54" s="0" t="s">
        <v>93</v>
      </c>
      <c r="G54" s="0" t="n">
        <v>16</v>
      </c>
      <c r="H54" s="0" t="n">
        <v>169.17</v>
      </c>
      <c r="I54" s="0" t="s">
        <v>208</v>
      </c>
      <c r="J54" s="0" t="s">
        <v>187</v>
      </c>
      <c r="K54" s="0" t="s">
        <v>66</v>
      </c>
    </row>
    <row r="55" customFormat="false" ht="15" hidden="false" customHeight="false" outlineLevel="0" collapsed="false">
      <c r="A55" s="0" t="s">
        <v>209</v>
      </c>
      <c r="B55" s="0" t="s">
        <v>210</v>
      </c>
      <c r="C55" s="0" t="n">
        <v>20.521</v>
      </c>
      <c r="D55" s="0" t="n">
        <v>11.821</v>
      </c>
      <c r="E55" s="0" t="n">
        <v>2</v>
      </c>
      <c r="F55" s="0" t="s">
        <v>93</v>
      </c>
      <c r="G55" s="0" t="n">
        <v>16</v>
      </c>
      <c r="H55" s="0" t="n">
        <v>361.47</v>
      </c>
      <c r="I55" s="0" t="s">
        <v>211</v>
      </c>
      <c r="J55" s="0" t="s">
        <v>187</v>
      </c>
      <c r="K55" s="0" t="s">
        <v>66</v>
      </c>
    </row>
    <row r="56" customFormat="false" ht="15" hidden="false" customHeight="false" outlineLevel="0" collapsed="false">
      <c r="A56" s="5" t="s">
        <v>212</v>
      </c>
    </row>
    <row r="57" customFormat="false" ht="15" hidden="false" customHeight="false" outlineLevel="0" collapsed="false">
      <c r="A57" s="0" t="s">
        <v>213</v>
      </c>
      <c r="B57" s="0" t="s">
        <v>214</v>
      </c>
      <c r="C57" s="0" t="n">
        <v>14.113</v>
      </c>
      <c r="D57" s="0" t="n">
        <v>15.375</v>
      </c>
      <c r="E57" s="0" t="n">
        <v>2</v>
      </c>
      <c r="F57" s="0" t="s">
        <v>63</v>
      </c>
      <c r="G57" s="0" t="n">
        <v>16</v>
      </c>
      <c r="H57" s="0" t="n">
        <v>244.3</v>
      </c>
      <c r="I57" s="0" t="s">
        <v>215</v>
      </c>
      <c r="J57" s="0" t="s">
        <v>187</v>
      </c>
      <c r="K57" s="0" t="s">
        <v>66</v>
      </c>
    </row>
    <row r="58" customFormat="false" ht="15" hidden="false" customHeight="false" outlineLevel="0" collapsed="false">
      <c r="A58" s="0" t="s">
        <v>216</v>
      </c>
      <c r="B58" s="0" t="s">
        <v>217</v>
      </c>
      <c r="C58" s="0" t="n">
        <v>19.406</v>
      </c>
      <c r="D58" s="0" t="n">
        <v>13.71</v>
      </c>
      <c r="E58" s="0" t="n">
        <v>2</v>
      </c>
      <c r="F58" s="0" t="s">
        <v>63</v>
      </c>
      <c r="G58" s="0" t="n">
        <v>16</v>
      </c>
      <c r="H58" s="0" t="n">
        <v>379.92</v>
      </c>
      <c r="I58" s="0" t="s">
        <v>218</v>
      </c>
      <c r="J58" s="0" t="s">
        <v>187</v>
      </c>
      <c r="K58" s="0" t="s">
        <v>66</v>
      </c>
    </row>
    <row r="59" customFormat="false" ht="15" hidden="false" customHeight="false" outlineLevel="0" collapsed="false">
      <c r="A59" s="0" t="s">
        <v>219</v>
      </c>
      <c r="B59" s="0" t="s">
        <v>220</v>
      </c>
      <c r="C59" s="0" t="n">
        <v>5.28</v>
      </c>
      <c r="D59" s="0" t="n">
        <v>12.543</v>
      </c>
      <c r="E59" s="0" t="n">
        <v>2</v>
      </c>
      <c r="F59" s="0" t="s">
        <v>63</v>
      </c>
      <c r="G59" s="0" t="n">
        <v>16</v>
      </c>
      <c r="H59" s="0" t="n">
        <v>48.38</v>
      </c>
      <c r="I59" s="0" t="s">
        <v>221</v>
      </c>
      <c r="J59" s="0" t="s">
        <v>187</v>
      </c>
      <c r="K59" s="0" t="s">
        <v>66</v>
      </c>
    </row>
    <row r="60" customFormat="false" ht="15" hidden="false" customHeight="false" outlineLevel="0" collapsed="false">
      <c r="A60" s="0" t="s">
        <v>222</v>
      </c>
      <c r="B60" s="0" t="s">
        <v>223</v>
      </c>
      <c r="C60" s="0" t="n">
        <v>6.947</v>
      </c>
      <c r="D60" s="0" t="n">
        <v>11.776</v>
      </c>
      <c r="E60" s="0" t="n">
        <v>2</v>
      </c>
      <c r="F60" s="0" t="s">
        <v>63</v>
      </c>
      <c r="G60" s="0" t="n">
        <v>16</v>
      </c>
      <c r="H60" s="0" t="n">
        <v>81.85</v>
      </c>
      <c r="I60" s="0" t="s">
        <v>224</v>
      </c>
      <c r="J60" s="0" t="s">
        <v>187</v>
      </c>
      <c r="K60" s="0" t="s">
        <v>66</v>
      </c>
    </row>
    <row r="61" customFormat="false" ht="15" hidden="false" customHeight="false" outlineLevel="0" collapsed="false">
      <c r="A61" s="5" t="s">
        <v>225</v>
      </c>
    </row>
    <row r="62" customFormat="false" ht="15" hidden="false" customHeight="false" outlineLevel="0" collapsed="false">
      <c r="A62" s="0" t="s">
        <v>226</v>
      </c>
      <c r="B62" s="0" t="s">
        <v>227</v>
      </c>
      <c r="C62" s="0" t="n">
        <v>11.333</v>
      </c>
      <c r="D62" s="0" t="n">
        <v>15.375</v>
      </c>
      <c r="E62" s="0" t="n">
        <v>1.12</v>
      </c>
      <c r="F62" s="0" t="s">
        <v>93</v>
      </c>
      <c r="G62" s="0" t="n">
        <v>16</v>
      </c>
      <c r="H62" s="0" t="n">
        <v>194.76</v>
      </c>
      <c r="I62" s="0" t="s">
        <v>228</v>
      </c>
      <c r="J62" s="0" t="s">
        <v>229</v>
      </c>
      <c r="K62" s="0" t="s">
        <v>123</v>
      </c>
    </row>
    <row r="63" customFormat="false" ht="15" hidden="false" customHeight="false" outlineLevel="0" collapsed="false">
      <c r="A63" s="0" t="s">
        <v>230</v>
      </c>
      <c r="B63" s="0" t="s">
        <v>231</v>
      </c>
      <c r="C63" s="0" t="n">
        <v>3.267</v>
      </c>
      <c r="D63" s="0" t="n">
        <v>15.375</v>
      </c>
      <c r="E63" s="0" t="n">
        <v>1</v>
      </c>
      <c r="F63" s="0" t="s">
        <v>93</v>
      </c>
      <c r="G63" s="0" t="n">
        <v>16</v>
      </c>
      <c r="H63" s="0" t="n">
        <v>50.23</v>
      </c>
      <c r="I63" s="0" t="s">
        <v>232</v>
      </c>
      <c r="J63" s="0" t="s">
        <v>233</v>
      </c>
      <c r="K63" s="0" t="s">
        <v>66</v>
      </c>
    </row>
    <row r="64" customFormat="false" ht="15" hidden="false" customHeight="false" outlineLevel="0" collapsed="false">
      <c r="A64" s="0" t="s">
        <v>234</v>
      </c>
      <c r="B64" s="0" t="s">
        <v>235</v>
      </c>
      <c r="C64" s="0" t="n">
        <v>3.82</v>
      </c>
      <c r="D64" s="0" t="n">
        <v>15.375</v>
      </c>
      <c r="E64" s="0" t="n">
        <v>1</v>
      </c>
      <c r="F64" s="0" t="s">
        <v>93</v>
      </c>
      <c r="G64" s="0" t="n">
        <v>16</v>
      </c>
      <c r="H64" s="0" t="n">
        <v>58.73</v>
      </c>
      <c r="I64" s="0" t="s">
        <v>236</v>
      </c>
      <c r="J64" s="0" t="s">
        <v>233</v>
      </c>
      <c r="K64" s="0" t="s">
        <v>66</v>
      </c>
    </row>
    <row r="65" customFormat="false" ht="15" hidden="false" customHeight="false" outlineLevel="0" collapsed="false">
      <c r="A65" s="0" t="s">
        <v>237</v>
      </c>
      <c r="B65" s="0" t="s">
        <v>238</v>
      </c>
      <c r="C65" s="0" t="n">
        <v>4</v>
      </c>
      <c r="D65" s="0" t="n">
        <v>14.383</v>
      </c>
      <c r="E65" s="0" t="n">
        <v>1</v>
      </c>
      <c r="F65" s="0" t="s">
        <v>93</v>
      </c>
      <c r="G65" s="0" t="n">
        <v>16</v>
      </c>
      <c r="H65" s="0" t="n">
        <v>57.52</v>
      </c>
      <c r="I65" s="0" t="s">
        <v>239</v>
      </c>
      <c r="J65" s="0" t="s">
        <v>240</v>
      </c>
      <c r="K65" s="0" t="s">
        <v>66</v>
      </c>
    </row>
    <row r="66" customFormat="false" ht="15" hidden="false" customHeight="false" outlineLevel="0" collapsed="false">
      <c r="A66" s="0" t="s">
        <v>241</v>
      </c>
      <c r="B66" s="0" t="s">
        <v>242</v>
      </c>
      <c r="C66" s="0" t="n">
        <v>2.893</v>
      </c>
      <c r="D66" s="0" t="n">
        <v>14.383</v>
      </c>
      <c r="E66" s="0" t="n">
        <v>1</v>
      </c>
      <c r="F66" s="0" t="s">
        <v>93</v>
      </c>
      <c r="G66" s="0" t="n">
        <v>16</v>
      </c>
      <c r="H66" s="0" t="n">
        <v>41.61</v>
      </c>
      <c r="I66" s="0" t="s">
        <v>243</v>
      </c>
      <c r="J66" s="0" t="s">
        <v>240</v>
      </c>
      <c r="K66" s="0" t="s">
        <v>66</v>
      </c>
    </row>
    <row r="67" customFormat="false" ht="15" hidden="false" customHeight="false" outlineLevel="0" collapsed="false">
      <c r="A67" s="0" t="s">
        <v>244</v>
      </c>
      <c r="B67" s="0" t="s">
        <v>245</v>
      </c>
      <c r="C67" s="0" t="n">
        <v>10.027</v>
      </c>
      <c r="D67" s="0" t="n">
        <v>12.922</v>
      </c>
      <c r="E67" s="0" t="n">
        <v>1</v>
      </c>
      <c r="F67" s="0" t="s">
        <v>93</v>
      </c>
      <c r="G67" s="0" t="n">
        <v>16</v>
      </c>
      <c r="H67" s="0" t="n">
        <v>129.57</v>
      </c>
      <c r="I67" s="0" t="s">
        <v>246</v>
      </c>
      <c r="J67" s="0" t="s">
        <v>229</v>
      </c>
      <c r="K67" s="0" t="s">
        <v>66</v>
      </c>
    </row>
    <row r="68" customFormat="false" ht="15" hidden="false" customHeight="false" outlineLevel="0" collapsed="false">
      <c r="A68" s="0" t="s">
        <v>247</v>
      </c>
      <c r="B68" s="0" t="s">
        <v>248</v>
      </c>
      <c r="C68" s="0" t="n">
        <v>10.027</v>
      </c>
      <c r="D68" s="0" t="n">
        <v>12.893</v>
      </c>
      <c r="E68" s="0" t="n">
        <v>1</v>
      </c>
      <c r="F68" s="0" t="s">
        <v>93</v>
      </c>
      <c r="G68" s="0" t="n">
        <v>16</v>
      </c>
      <c r="H68" s="0" t="n">
        <v>129.27</v>
      </c>
      <c r="I68" s="0" t="s">
        <v>249</v>
      </c>
      <c r="J68" s="0" t="s">
        <v>229</v>
      </c>
      <c r="K68" s="0" t="s">
        <v>66</v>
      </c>
    </row>
    <row r="69" customFormat="false" ht="15" hidden="false" customHeight="false" outlineLevel="0" collapsed="false">
      <c r="A69" s="0" t="s">
        <v>250</v>
      </c>
      <c r="B69" s="0" t="s">
        <v>251</v>
      </c>
      <c r="C69" s="0" t="n">
        <v>3.56</v>
      </c>
      <c r="D69" s="0" t="n">
        <v>12.922</v>
      </c>
      <c r="E69" s="0" t="n">
        <v>1</v>
      </c>
      <c r="F69" s="0" t="s">
        <v>93</v>
      </c>
      <c r="G69" s="0" t="n">
        <v>16</v>
      </c>
      <c r="H69" s="0" t="n">
        <v>46</v>
      </c>
      <c r="I69" s="0" t="s">
        <v>252</v>
      </c>
      <c r="J69" s="0" t="s">
        <v>229</v>
      </c>
      <c r="K69" s="0" t="s">
        <v>66</v>
      </c>
    </row>
    <row r="70" customFormat="false" ht="15" hidden="false" customHeight="false" outlineLevel="0" collapsed="false">
      <c r="A70" s="5" t="s">
        <v>253</v>
      </c>
    </row>
    <row r="71" customFormat="false" ht="15" hidden="false" customHeight="false" outlineLevel="0" collapsed="false">
      <c r="A71" s="0" t="s">
        <v>254</v>
      </c>
      <c r="B71" s="0" t="s">
        <v>255</v>
      </c>
      <c r="C71" s="0" t="n">
        <v>30</v>
      </c>
      <c r="D71" s="0" t="n">
        <v>5.773</v>
      </c>
      <c r="E71" s="0" t="n">
        <v>5</v>
      </c>
      <c r="F71" s="0" t="s">
        <v>108</v>
      </c>
      <c r="G71" s="0" t="n">
        <v>16</v>
      </c>
      <c r="H71" s="0" t="n">
        <v>769</v>
      </c>
      <c r="I71" s="0" t="s">
        <v>256</v>
      </c>
      <c r="J71" s="0" t="s">
        <v>257</v>
      </c>
      <c r="K71" s="0" t="s">
        <v>123</v>
      </c>
    </row>
    <row r="72" customFormat="false" ht="15" hidden="false" customHeight="false" outlineLevel="0" collapsed="false">
      <c r="A72" s="0" t="s">
        <v>258</v>
      </c>
      <c r="B72" s="0" t="s">
        <v>259</v>
      </c>
      <c r="C72" s="0" t="n">
        <v>15</v>
      </c>
      <c r="D72" s="0" t="n">
        <v>6.844</v>
      </c>
      <c r="E72" s="0" t="n">
        <v>5</v>
      </c>
      <c r="F72" s="0" t="s">
        <v>108</v>
      </c>
      <c r="G72" s="0" t="n">
        <v>16</v>
      </c>
      <c r="H72" s="0" t="n">
        <v>448.74</v>
      </c>
      <c r="I72" s="0" t="s">
        <v>260</v>
      </c>
      <c r="J72" s="0" t="s">
        <v>257</v>
      </c>
      <c r="K72" s="0" t="s">
        <v>123</v>
      </c>
    </row>
    <row r="73" customFormat="false" ht="15" hidden="false" customHeight="false" outlineLevel="0" collapsed="false">
      <c r="A73" s="5" t="s">
        <v>261</v>
      </c>
    </row>
    <row r="74" customFormat="false" ht="15" hidden="false" customHeight="false" outlineLevel="0" collapsed="false">
      <c r="A74" s="0" t="s">
        <v>262</v>
      </c>
      <c r="B74" s="0" t="s">
        <v>263</v>
      </c>
      <c r="C74" s="0" t="n">
        <v>11.719</v>
      </c>
      <c r="D74" s="0" t="n">
        <v>12.452</v>
      </c>
      <c r="E74" s="0" t="n">
        <v>2</v>
      </c>
      <c r="F74" s="0" t="s">
        <v>93</v>
      </c>
      <c r="G74" s="0" t="n">
        <v>16</v>
      </c>
      <c r="H74" s="0" t="n">
        <v>245.18</v>
      </c>
      <c r="I74" s="0" t="s">
        <v>264</v>
      </c>
      <c r="J74" s="0" t="s">
        <v>168</v>
      </c>
      <c r="K74" s="0" t="s">
        <v>66</v>
      </c>
    </row>
    <row r="75" customFormat="false" ht="15" hidden="false" customHeight="false" outlineLevel="0" collapsed="false">
      <c r="A75" s="0" t="s">
        <v>265</v>
      </c>
      <c r="B75" s="0" t="s">
        <v>266</v>
      </c>
      <c r="C75" s="0" t="n">
        <v>3.5</v>
      </c>
      <c r="D75" s="0" t="n">
        <v>12.743</v>
      </c>
      <c r="E75" s="0" t="n">
        <v>2</v>
      </c>
      <c r="F75" s="0" t="s">
        <v>93</v>
      </c>
      <c r="G75" s="0" t="n">
        <v>16</v>
      </c>
      <c r="H75" s="0" t="n">
        <v>89.2</v>
      </c>
      <c r="I75" s="0" t="s">
        <v>267</v>
      </c>
      <c r="J75" s="0" t="s">
        <v>168</v>
      </c>
      <c r="K75" s="0" t="s">
        <v>66</v>
      </c>
    </row>
    <row r="76" customFormat="false" ht="15" hidden="false" customHeight="false" outlineLevel="0" collapsed="false">
      <c r="A76" s="0" t="s">
        <v>268</v>
      </c>
      <c r="B76" s="0" t="s">
        <v>269</v>
      </c>
      <c r="C76" s="0" t="n">
        <v>11.719</v>
      </c>
      <c r="D76" s="0" t="n">
        <v>12.149</v>
      </c>
      <c r="E76" s="0" t="n">
        <v>2</v>
      </c>
      <c r="F76" s="0" t="s">
        <v>93</v>
      </c>
      <c r="G76" s="0" t="n">
        <v>16</v>
      </c>
      <c r="H76" s="0" t="n">
        <v>284.74</v>
      </c>
      <c r="I76" s="0" t="s">
        <v>270</v>
      </c>
      <c r="J76" s="0" t="s">
        <v>168</v>
      </c>
      <c r="K76" s="0" t="s">
        <v>66</v>
      </c>
    </row>
    <row r="77" customFormat="false" ht="15" hidden="false" customHeight="false" outlineLevel="0" collapsed="false">
      <c r="A77" s="0" t="s">
        <v>271</v>
      </c>
      <c r="B77" s="0" t="s">
        <v>272</v>
      </c>
      <c r="C77" s="0" t="n">
        <v>9.99</v>
      </c>
      <c r="D77" s="0" t="n">
        <v>12.827</v>
      </c>
      <c r="E77" s="0" t="n">
        <v>2</v>
      </c>
      <c r="F77" s="0" t="s">
        <v>93</v>
      </c>
      <c r="G77" s="0" t="n">
        <v>16</v>
      </c>
      <c r="H77" s="0" t="n">
        <v>256.28</v>
      </c>
      <c r="I77" s="0" t="s">
        <v>273</v>
      </c>
      <c r="J77" s="0" t="s">
        <v>168</v>
      </c>
      <c r="K77" s="0" t="s">
        <v>66</v>
      </c>
    </row>
    <row r="78" customFormat="false" ht="15" hidden="false" customHeight="false" outlineLevel="0" collapsed="false">
      <c r="A78" s="0" t="s">
        <v>274</v>
      </c>
      <c r="B78" s="0" t="s">
        <v>275</v>
      </c>
      <c r="C78" s="0" t="n">
        <v>13.74</v>
      </c>
      <c r="D78" s="0" t="n">
        <v>12.823</v>
      </c>
      <c r="E78" s="0" t="n">
        <v>2</v>
      </c>
      <c r="F78" s="0" t="s">
        <v>93</v>
      </c>
      <c r="G78" s="0" t="n">
        <v>16</v>
      </c>
      <c r="H78" s="0" t="n">
        <v>259.04</v>
      </c>
      <c r="I78" s="0" t="s">
        <v>276</v>
      </c>
      <c r="J78" s="0" t="s">
        <v>168</v>
      </c>
      <c r="K78" s="0" t="s">
        <v>66</v>
      </c>
    </row>
    <row r="79" customFormat="false" ht="15" hidden="false" customHeight="false" outlineLevel="0" collapsed="false">
      <c r="A79" s="0" t="s">
        <v>277</v>
      </c>
      <c r="B79" s="0" t="s">
        <v>278</v>
      </c>
      <c r="C79" s="0" t="n">
        <v>9.583</v>
      </c>
      <c r="D79" s="0" t="n">
        <v>12.699</v>
      </c>
      <c r="E79" s="0" t="n">
        <v>2</v>
      </c>
      <c r="F79" s="0" t="s">
        <v>93</v>
      </c>
      <c r="G79" s="0" t="n">
        <v>16</v>
      </c>
      <c r="H79" s="0" t="n">
        <v>243.38</v>
      </c>
      <c r="I79" s="0" t="s">
        <v>279</v>
      </c>
      <c r="J79" s="0" t="s">
        <v>168</v>
      </c>
      <c r="K79" s="0" t="s">
        <v>66</v>
      </c>
    </row>
    <row r="80" customFormat="false" ht="15" hidden="false" customHeight="false" outlineLevel="0" collapsed="false">
      <c r="A80" s="5" t="s">
        <v>280</v>
      </c>
    </row>
    <row r="81" customFormat="false" ht="15" hidden="false" customHeight="false" outlineLevel="0" collapsed="false">
      <c r="A81" s="0" t="s">
        <v>281</v>
      </c>
      <c r="B81" s="0" t="s">
        <v>282</v>
      </c>
      <c r="C81" s="0" t="n">
        <v>16.342</v>
      </c>
      <c r="D81" s="0" t="n">
        <v>4.292</v>
      </c>
      <c r="E81" s="0" t="n">
        <v>0</v>
      </c>
      <c r="F81" s="0" t="s">
        <v>63</v>
      </c>
      <c r="G81" s="0" t="n">
        <v>16</v>
      </c>
      <c r="H81" s="0" t="n">
        <v>0</v>
      </c>
      <c r="I81" s="0" t="s">
        <v>283</v>
      </c>
      <c r="J81" s="0" t="s">
        <v>284</v>
      </c>
      <c r="K81" s="0" t="s">
        <v>66</v>
      </c>
    </row>
    <row r="82" customFormat="false" ht="15" hidden="false" customHeight="false" outlineLevel="0" collapsed="false">
      <c r="A82" s="0" t="s">
        <v>285</v>
      </c>
      <c r="B82" s="0" t="s">
        <v>286</v>
      </c>
      <c r="C82" s="0" t="n">
        <v>3.923</v>
      </c>
      <c r="D82" s="0" t="n">
        <v>4.292</v>
      </c>
      <c r="E82" s="0" t="n">
        <v>0</v>
      </c>
      <c r="F82" s="0" t="s">
        <v>63</v>
      </c>
      <c r="G82" s="0" t="n">
        <v>16</v>
      </c>
      <c r="H82" s="0" t="n">
        <v>0</v>
      </c>
      <c r="I82" s="0" t="s">
        <v>287</v>
      </c>
      <c r="J82" s="0" t="s">
        <v>284</v>
      </c>
      <c r="K82" s="0" t="s">
        <v>66</v>
      </c>
    </row>
    <row r="83" customFormat="false" ht="15" hidden="false" customHeight="false" outlineLevel="0" collapsed="false">
      <c r="A83" s="0" t="s">
        <v>288</v>
      </c>
      <c r="B83" s="0" t="s">
        <v>289</v>
      </c>
      <c r="C83" s="0" t="n">
        <v>39.856</v>
      </c>
      <c r="D83" s="0" t="n">
        <v>2.042</v>
      </c>
      <c r="E83" s="0" t="n">
        <v>0</v>
      </c>
      <c r="F83" s="0" t="s">
        <v>63</v>
      </c>
      <c r="G83" s="0" t="n">
        <v>16</v>
      </c>
      <c r="H83" s="0" t="n">
        <v>0</v>
      </c>
      <c r="I83" s="0" t="s">
        <v>290</v>
      </c>
      <c r="J83" s="0" t="s">
        <v>284</v>
      </c>
      <c r="K83" s="0" t="s">
        <v>66</v>
      </c>
    </row>
    <row r="84" customFormat="false" ht="15" hidden="false" customHeight="false" outlineLevel="0" collapsed="false">
      <c r="A84" s="0" t="s">
        <v>291</v>
      </c>
      <c r="B84" s="0" t="s">
        <v>292</v>
      </c>
      <c r="C84" s="0" t="n">
        <v>75.938</v>
      </c>
      <c r="D84" s="0" t="n">
        <v>2.901</v>
      </c>
      <c r="E84" s="0" t="n">
        <v>0</v>
      </c>
      <c r="F84" s="0" t="s">
        <v>63</v>
      </c>
      <c r="G84" s="0" t="n">
        <v>16</v>
      </c>
      <c r="H84" s="0" t="n">
        <v>0</v>
      </c>
      <c r="I84" s="0" t="s">
        <v>293</v>
      </c>
      <c r="J84" s="0" t="s">
        <v>284</v>
      </c>
      <c r="K84" s="0" t="s">
        <v>66</v>
      </c>
    </row>
    <row r="85" customFormat="false" ht="15" hidden="false" customHeight="false" outlineLevel="0" collapsed="false">
      <c r="A85" s="0" t="s">
        <v>294</v>
      </c>
      <c r="B85" s="0" t="s">
        <v>295</v>
      </c>
      <c r="C85" s="0" t="n">
        <v>52.333</v>
      </c>
      <c r="D85" s="0" t="n">
        <v>4.885</v>
      </c>
      <c r="E85" s="0" t="n">
        <v>0</v>
      </c>
      <c r="F85" s="0" t="s">
        <v>63</v>
      </c>
      <c r="G85" s="0" t="n">
        <v>16</v>
      </c>
      <c r="H85" s="0" t="n">
        <v>0</v>
      </c>
      <c r="I85" s="0" t="s">
        <v>296</v>
      </c>
      <c r="J85" s="0" t="s">
        <v>284</v>
      </c>
      <c r="K85" s="0" t="s">
        <v>66</v>
      </c>
    </row>
    <row r="86" customFormat="false" ht="15" hidden="false" customHeight="false" outlineLevel="0" collapsed="false">
      <c r="A86" s="0" t="s">
        <v>297</v>
      </c>
      <c r="B86" s="0" t="s">
        <v>298</v>
      </c>
      <c r="C86" s="0" t="n">
        <v>3.865</v>
      </c>
      <c r="D86" s="0" t="n">
        <v>4.292</v>
      </c>
      <c r="E86" s="0" t="n">
        <v>0</v>
      </c>
      <c r="F86" s="0" t="s">
        <v>63</v>
      </c>
      <c r="G86" s="0" t="n">
        <v>16</v>
      </c>
      <c r="H86" s="0" t="n">
        <v>0</v>
      </c>
      <c r="I86" s="0" t="s">
        <v>299</v>
      </c>
      <c r="J86" s="0" t="s">
        <v>284</v>
      </c>
      <c r="K86" s="0" t="s">
        <v>66</v>
      </c>
    </row>
    <row r="87" customFormat="false" ht="15" hidden="false" customHeight="false" outlineLevel="0" collapsed="false">
      <c r="A87" s="0" t="s">
        <v>300</v>
      </c>
      <c r="B87" s="0" t="s">
        <v>301</v>
      </c>
      <c r="C87" s="0" t="n">
        <v>29</v>
      </c>
      <c r="D87" s="0" t="n">
        <v>4.292</v>
      </c>
      <c r="E87" s="0" t="n">
        <v>0</v>
      </c>
      <c r="F87" s="0" t="s">
        <v>63</v>
      </c>
      <c r="G87" s="0" t="n">
        <v>16</v>
      </c>
      <c r="H87" s="0" t="n">
        <v>0</v>
      </c>
      <c r="I87" s="0" t="s">
        <v>302</v>
      </c>
      <c r="J87" s="0" t="s">
        <v>284</v>
      </c>
      <c r="K87" s="0" t="s">
        <v>66</v>
      </c>
    </row>
    <row r="88" customFormat="false" ht="15" hidden="false" customHeight="false" outlineLevel="0" collapsed="false">
      <c r="A88" s="0" t="s">
        <v>303</v>
      </c>
      <c r="B88" s="0" t="s">
        <v>304</v>
      </c>
      <c r="C88" s="0" t="n">
        <v>47.927</v>
      </c>
      <c r="D88" s="0" t="n">
        <v>3.403</v>
      </c>
      <c r="E88" s="0" t="n">
        <v>0</v>
      </c>
      <c r="F88" s="0" t="s">
        <v>63</v>
      </c>
      <c r="G88" s="0" t="n">
        <v>16</v>
      </c>
      <c r="H88" s="0" t="n">
        <v>0</v>
      </c>
      <c r="I88" s="0" t="s">
        <v>305</v>
      </c>
      <c r="J88" s="0" t="s">
        <v>284</v>
      </c>
      <c r="K88" s="0" t="s">
        <v>66</v>
      </c>
    </row>
    <row r="89" customFormat="false" ht="15" hidden="false" customHeight="false" outlineLevel="0" collapsed="false">
      <c r="B89" s="6" t="s">
        <v>306</v>
      </c>
      <c r="C89" s="4" t="n">
        <f aca="false">SUM(C5:C88)</f>
        <v>1131.84</v>
      </c>
      <c r="H89" s="4" t="n">
        <f aca="false">SUM(H5:H88)</f>
        <v>15785.77</v>
      </c>
    </row>
    <row r="91" customFormat="false" ht="15" hidden="false" customHeight="false" outlineLevel="0" collapsed="false">
      <c r="A91" s="5" t="s">
        <v>307</v>
      </c>
    </row>
    <row r="92" customFormat="false" ht="15" hidden="false" customHeight="false" outlineLevel="0" collapsed="false">
      <c r="A92" s="0" t="s">
        <v>308</v>
      </c>
      <c r="B92" s="0" t="s">
        <v>309</v>
      </c>
      <c r="C92" s="0" t="n">
        <v>3.375</v>
      </c>
      <c r="D92" s="0" t="n">
        <v>10.931</v>
      </c>
      <c r="E92" s="0" t="n">
        <v>0</v>
      </c>
      <c r="F92" s="0" t="s">
        <v>63</v>
      </c>
      <c r="G92" s="0" t="n">
        <v>12</v>
      </c>
      <c r="H92" s="0" t="n">
        <v>0</v>
      </c>
      <c r="I92" s="0" t="s">
        <v>310</v>
      </c>
      <c r="J92" s="0" t="s">
        <v>233</v>
      </c>
      <c r="K92" s="0" t="s">
        <v>66</v>
      </c>
    </row>
    <row r="93" customFormat="false" ht="15" hidden="false" customHeight="false" outlineLevel="0" collapsed="false">
      <c r="A93" s="0" t="s">
        <v>311</v>
      </c>
      <c r="B93" s="0" t="s">
        <v>312</v>
      </c>
      <c r="C93" s="0" t="n">
        <v>2.896</v>
      </c>
      <c r="D93" s="0" t="n">
        <v>10.931</v>
      </c>
      <c r="E93" s="0" t="n">
        <v>0</v>
      </c>
      <c r="F93" s="0" t="s">
        <v>63</v>
      </c>
      <c r="G93" s="0" t="n">
        <v>12</v>
      </c>
      <c r="H93" s="0" t="n">
        <v>0</v>
      </c>
      <c r="I93" s="0" t="s">
        <v>313</v>
      </c>
      <c r="J93" s="0" t="s">
        <v>314</v>
      </c>
      <c r="K93" s="0" t="s">
        <v>66</v>
      </c>
    </row>
    <row r="94" customFormat="false" ht="15" hidden="false" customHeight="false" outlineLevel="0" collapsed="false">
      <c r="A94" s="0" t="s">
        <v>315</v>
      </c>
      <c r="B94" s="0" t="s">
        <v>316</v>
      </c>
      <c r="C94" s="0" t="n">
        <v>51.833</v>
      </c>
      <c r="D94" s="0" t="n">
        <v>3.114</v>
      </c>
      <c r="E94" s="0" t="n">
        <v>0</v>
      </c>
      <c r="F94" s="0" t="s">
        <v>93</v>
      </c>
      <c r="G94" s="0" t="n">
        <v>16</v>
      </c>
      <c r="H94" s="0" t="n">
        <v>0</v>
      </c>
      <c r="I94" s="0" t="s">
        <v>317</v>
      </c>
      <c r="J94" s="0" t="s">
        <v>318</v>
      </c>
      <c r="K94" s="0" t="s">
        <v>66</v>
      </c>
    </row>
    <row r="95" customFormat="false" ht="15" hidden="false" customHeight="false" outlineLevel="0" collapsed="false">
      <c r="A95" s="0" t="s">
        <v>319</v>
      </c>
      <c r="B95" s="0" t="s">
        <v>320</v>
      </c>
      <c r="C95" s="0" t="n">
        <v>51.833</v>
      </c>
      <c r="D95" s="0" t="n">
        <v>1.131</v>
      </c>
      <c r="E95" s="0" t="n">
        <v>1</v>
      </c>
      <c r="F95" s="0" t="s">
        <v>93</v>
      </c>
      <c r="G95" s="0" t="n">
        <v>16</v>
      </c>
      <c r="H95" s="0" t="n">
        <v>58.6</v>
      </c>
      <c r="I95" s="0" t="s">
        <v>321</v>
      </c>
      <c r="J95" s="0" t="s">
        <v>318</v>
      </c>
      <c r="K95" s="0" t="s">
        <v>66</v>
      </c>
    </row>
    <row r="96" customFormat="false" ht="15" hidden="false" customHeight="false" outlineLevel="0" collapsed="false">
      <c r="A96" s="0" t="s">
        <v>322</v>
      </c>
      <c r="B96" s="0" t="s">
        <v>323</v>
      </c>
      <c r="C96" s="0" t="n">
        <v>51.833</v>
      </c>
      <c r="D96" s="0" t="n">
        <v>3.46</v>
      </c>
      <c r="E96" s="0" t="n">
        <v>2</v>
      </c>
      <c r="F96" s="0" t="s">
        <v>93</v>
      </c>
      <c r="G96" s="0" t="n">
        <v>16</v>
      </c>
      <c r="H96" s="0" t="n">
        <v>246.3</v>
      </c>
      <c r="I96" s="0" t="s">
        <v>324</v>
      </c>
      <c r="J96" s="0" t="s">
        <v>318</v>
      </c>
      <c r="K96" s="0" t="s">
        <v>66</v>
      </c>
    </row>
    <row r="97" customFormat="false" ht="15" hidden="false" customHeight="false" outlineLevel="0" collapsed="false">
      <c r="A97" s="0" t="s">
        <v>325</v>
      </c>
      <c r="B97" s="0" t="s">
        <v>326</v>
      </c>
      <c r="C97" s="0" t="n">
        <v>77.572</v>
      </c>
      <c r="D97" s="0" t="n">
        <v>1.865</v>
      </c>
      <c r="E97" s="0" t="n">
        <v>0</v>
      </c>
      <c r="F97" s="0" t="s">
        <v>93</v>
      </c>
      <c r="G97" s="0" t="n">
        <v>16</v>
      </c>
      <c r="H97" s="0" t="n">
        <v>0</v>
      </c>
      <c r="I97" s="0" t="s">
        <v>327</v>
      </c>
      <c r="J97" s="0" t="s">
        <v>328</v>
      </c>
      <c r="K97" s="0" t="s">
        <v>66</v>
      </c>
    </row>
    <row r="98" customFormat="false" ht="15" hidden="false" customHeight="false" outlineLevel="0" collapsed="false">
      <c r="A98" s="0" t="s">
        <v>329</v>
      </c>
      <c r="B98" s="0" t="s">
        <v>330</v>
      </c>
      <c r="C98" s="0" t="n">
        <v>55.933</v>
      </c>
      <c r="D98" s="0" t="n">
        <v>1.865</v>
      </c>
      <c r="E98" s="0" t="n">
        <v>0</v>
      </c>
      <c r="F98" s="0" t="s">
        <v>93</v>
      </c>
      <c r="G98" s="0" t="n">
        <v>16</v>
      </c>
      <c r="H98" s="0" t="n">
        <v>0</v>
      </c>
      <c r="I98" s="0" t="s">
        <v>331</v>
      </c>
      <c r="J98" s="0" t="s">
        <v>332</v>
      </c>
      <c r="K98" s="0" t="s">
        <v>66</v>
      </c>
    </row>
    <row r="99" customFormat="false" ht="15" hidden="false" customHeight="false" outlineLevel="0" collapsed="false">
      <c r="A99" s="0" t="s">
        <v>333</v>
      </c>
      <c r="B99" s="0" t="s">
        <v>334</v>
      </c>
      <c r="C99" s="0" t="n">
        <v>21.2</v>
      </c>
      <c r="D99" s="0" t="n">
        <v>1.865</v>
      </c>
      <c r="E99" s="0" t="n">
        <v>0</v>
      </c>
      <c r="F99" s="0" t="s">
        <v>93</v>
      </c>
      <c r="G99" s="0" t="n">
        <v>16</v>
      </c>
      <c r="H99" s="0" t="n">
        <v>0</v>
      </c>
      <c r="I99" s="0" t="s">
        <v>335</v>
      </c>
      <c r="J99" s="0" t="s">
        <v>332</v>
      </c>
      <c r="K99" s="0" t="s">
        <v>66</v>
      </c>
    </row>
    <row r="100" customFormat="false" ht="15" hidden="false" customHeight="false" outlineLevel="0" collapsed="false">
      <c r="A100" s="0" t="s">
        <v>336</v>
      </c>
      <c r="B100" s="0" t="s">
        <v>337</v>
      </c>
      <c r="C100" s="0" t="n">
        <v>51.994</v>
      </c>
      <c r="D100" s="0" t="n">
        <v>1.865</v>
      </c>
      <c r="E100" s="0" t="n">
        <v>0</v>
      </c>
      <c r="F100" s="0" t="s">
        <v>93</v>
      </c>
      <c r="G100" s="0" t="n">
        <v>16</v>
      </c>
      <c r="H100" s="0" t="n">
        <v>0</v>
      </c>
      <c r="I100" s="0" t="s">
        <v>338</v>
      </c>
      <c r="J100" s="0" t="s">
        <v>339</v>
      </c>
      <c r="K100" s="0" t="s">
        <v>66</v>
      </c>
    </row>
    <row r="101" customFormat="false" ht="15" hidden="false" customHeight="false" outlineLevel="0" collapsed="false">
      <c r="A101" s="0" t="s">
        <v>340</v>
      </c>
      <c r="B101" s="0" t="s">
        <v>341</v>
      </c>
      <c r="C101" s="0" t="n">
        <v>2.694</v>
      </c>
      <c r="D101" s="0" t="n">
        <v>1.865</v>
      </c>
      <c r="E101" s="0" t="n">
        <v>0</v>
      </c>
      <c r="F101" s="0" t="s">
        <v>93</v>
      </c>
      <c r="G101" s="0" t="n">
        <v>16</v>
      </c>
      <c r="H101" s="0" t="n">
        <v>0</v>
      </c>
      <c r="I101" s="0" t="s">
        <v>342</v>
      </c>
      <c r="J101" s="0" t="s">
        <v>339</v>
      </c>
      <c r="K101" s="0" t="s">
        <v>66</v>
      </c>
    </row>
    <row r="102" customFormat="false" ht="15" hidden="false" customHeight="false" outlineLevel="0" collapsed="false">
      <c r="A102" s="0" t="s">
        <v>343</v>
      </c>
      <c r="B102" s="0" t="s">
        <v>344</v>
      </c>
      <c r="C102" s="0" t="n">
        <v>22.417</v>
      </c>
      <c r="D102" s="0" t="n">
        <v>1.865</v>
      </c>
      <c r="E102" s="0" t="n">
        <v>0</v>
      </c>
      <c r="F102" s="0" t="s">
        <v>93</v>
      </c>
      <c r="G102" s="0" t="n">
        <v>16</v>
      </c>
      <c r="H102" s="0" t="n">
        <v>0</v>
      </c>
      <c r="I102" s="0" t="s">
        <v>345</v>
      </c>
      <c r="J102" s="0" t="s">
        <v>339</v>
      </c>
      <c r="K102" s="0" t="s">
        <v>66</v>
      </c>
    </row>
    <row r="103" customFormat="false" ht="15" hidden="false" customHeight="false" outlineLevel="0" collapsed="false">
      <c r="A103" s="0" t="s">
        <v>346</v>
      </c>
      <c r="B103" s="0" t="s">
        <v>347</v>
      </c>
      <c r="C103" s="0" t="n">
        <v>2.7</v>
      </c>
      <c r="D103" s="0" t="n">
        <v>1.865</v>
      </c>
      <c r="E103" s="0" t="n">
        <v>0</v>
      </c>
      <c r="F103" s="0" t="s">
        <v>93</v>
      </c>
      <c r="G103" s="0" t="n">
        <v>16</v>
      </c>
      <c r="H103" s="0" t="n">
        <v>0</v>
      </c>
      <c r="I103" s="0" t="s">
        <v>348</v>
      </c>
      <c r="J103" s="0" t="s">
        <v>339</v>
      </c>
      <c r="K103" s="0" t="s">
        <v>66</v>
      </c>
    </row>
    <row r="104" customFormat="false" ht="15" hidden="false" customHeight="false" outlineLevel="0" collapsed="false">
      <c r="A104" s="0" t="s">
        <v>349</v>
      </c>
      <c r="B104" s="0" t="s">
        <v>350</v>
      </c>
      <c r="C104" s="0" t="n">
        <v>2.7</v>
      </c>
      <c r="D104" s="0" t="n">
        <v>1.865</v>
      </c>
      <c r="E104" s="0" t="n">
        <v>0</v>
      </c>
      <c r="F104" s="0" t="s">
        <v>93</v>
      </c>
      <c r="G104" s="0" t="n">
        <v>16</v>
      </c>
      <c r="H104" s="0" t="n">
        <v>0</v>
      </c>
      <c r="I104" s="0" t="s">
        <v>351</v>
      </c>
      <c r="J104" s="0" t="s">
        <v>339</v>
      </c>
      <c r="K104" s="0" t="s">
        <v>66</v>
      </c>
    </row>
    <row r="105" customFormat="false" ht="15" hidden="false" customHeight="false" outlineLevel="0" collapsed="false">
      <c r="A105" s="0" t="s">
        <v>352</v>
      </c>
      <c r="B105" s="0" t="s">
        <v>353</v>
      </c>
      <c r="C105" s="0" t="n">
        <v>6.583</v>
      </c>
      <c r="D105" s="0" t="n">
        <v>7.375</v>
      </c>
      <c r="E105" s="0" t="n">
        <v>1</v>
      </c>
      <c r="F105" s="0" t="s">
        <v>93</v>
      </c>
      <c r="G105" s="0" t="n">
        <v>16</v>
      </c>
      <c r="H105" s="0" t="n">
        <v>9.87</v>
      </c>
      <c r="I105" s="0" t="s">
        <v>354</v>
      </c>
      <c r="J105" s="0" t="s">
        <v>355</v>
      </c>
      <c r="K105" s="0" t="s">
        <v>66</v>
      </c>
    </row>
    <row r="106" customFormat="false" ht="15" hidden="false" customHeight="false" outlineLevel="0" collapsed="false">
      <c r="A106" s="0" t="s">
        <v>356</v>
      </c>
      <c r="B106" s="0" t="s">
        <v>357</v>
      </c>
      <c r="C106" s="0" t="n">
        <v>5.438</v>
      </c>
      <c r="D106" s="0" t="n">
        <v>5.052</v>
      </c>
      <c r="E106" s="0" t="n">
        <v>1</v>
      </c>
      <c r="F106" s="0" t="s">
        <v>93</v>
      </c>
      <c r="G106" s="0" t="n">
        <v>16</v>
      </c>
      <c r="H106" s="0" t="n">
        <v>8.16</v>
      </c>
      <c r="I106" s="0" t="s">
        <v>358</v>
      </c>
      <c r="J106" s="0" t="s">
        <v>355</v>
      </c>
      <c r="K106" s="0" t="s">
        <v>66</v>
      </c>
    </row>
    <row r="107" customFormat="false" ht="15" hidden="false" customHeight="false" outlineLevel="0" collapsed="false">
      <c r="A107" s="0" t="s">
        <v>359</v>
      </c>
      <c r="B107" s="0" t="s">
        <v>360</v>
      </c>
      <c r="C107" s="0" t="n">
        <v>6.583</v>
      </c>
      <c r="D107" s="0" t="n">
        <v>7.375</v>
      </c>
      <c r="E107" s="0" t="n">
        <v>1</v>
      </c>
      <c r="F107" s="0" t="s">
        <v>93</v>
      </c>
      <c r="G107" s="0" t="n">
        <v>16</v>
      </c>
      <c r="H107" s="0" t="n">
        <v>9.87</v>
      </c>
      <c r="I107" s="0" t="s">
        <v>361</v>
      </c>
      <c r="J107" s="0" t="s">
        <v>355</v>
      </c>
      <c r="K107" s="0" t="s">
        <v>66</v>
      </c>
    </row>
    <row r="108" customFormat="false" ht="15" hidden="false" customHeight="false" outlineLevel="0" collapsed="false">
      <c r="A108" s="0" t="s">
        <v>362</v>
      </c>
      <c r="B108" s="0" t="s">
        <v>363</v>
      </c>
      <c r="C108" s="0" t="n">
        <v>5.438</v>
      </c>
      <c r="D108" s="0" t="n">
        <v>5.052</v>
      </c>
      <c r="E108" s="0" t="n">
        <v>1</v>
      </c>
      <c r="F108" s="0" t="s">
        <v>93</v>
      </c>
      <c r="G108" s="0" t="n">
        <v>16</v>
      </c>
      <c r="H108" s="0" t="n">
        <v>8.16</v>
      </c>
      <c r="I108" s="0" t="s">
        <v>364</v>
      </c>
      <c r="J108" s="0" t="s">
        <v>355</v>
      </c>
      <c r="K108" s="0" t="s">
        <v>66</v>
      </c>
    </row>
    <row r="109" customFormat="false" ht="15" hidden="false" customHeight="false" outlineLevel="0" collapsed="false">
      <c r="A109" s="0" t="s">
        <v>365</v>
      </c>
      <c r="B109" s="0" t="s">
        <v>366</v>
      </c>
      <c r="C109" s="0" t="n">
        <v>77.028</v>
      </c>
      <c r="D109" s="0" t="n">
        <v>4.375</v>
      </c>
      <c r="E109" s="0" t="n">
        <v>1</v>
      </c>
      <c r="F109" s="0" t="s">
        <v>93</v>
      </c>
      <c r="G109" s="0" t="n">
        <v>16</v>
      </c>
      <c r="H109" s="0" t="n">
        <v>77.03</v>
      </c>
      <c r="I109" s="0" t="s">
        <v>367</v>
      </c>
      <c r="J109" s="0" t="s">
        <v>368</v>
      </c>
      <c r="K109" s="0" t="s">
        <v>66</v>
      </c>
    </row>
    <row r="110" customFormat="false" ht="15" hidden="false" customHeight="false" outlineLevel="0" collapsed="false">
      <c r="A110" s="0" t="s">
        <v>369</v>
      </c>
      <c r="B110" s="0" t="s">
        <v>370</v>
      </c>
      <c r="C110" s="0" t="n">
        <v>15.646</v>
      </c>
      <c r="D110" s="0" t="n">
        <v>4.812</v>
      </c>
      <c r="E110" s="0" t="n">
        <v>0</v>
      </c>
      <c r="F110" s="0" t="s">
        <v>93</v>
      </c>
      <c r="G110" s="0" t="n">
        <v>16</v>
      </c>
      <c r="H110" s="0" t="n">
        <v>0</v>
      </c>
      <c r="I110" s="0" t="s">
        <v>371</v>
      </c>
      <c r="J110" s="0" t="s">
        <v>372</v>
      </c>
      <c r="K110" s="0" t="s">
        <v>66</v>
      </c>
    </row>
    <row r="111" customFormat="false" ht="15" hidden="false" customHeight="false" outlineLevel="0" collapsed="false">
      <c r="A111" s="0" t="s">
        <v>373</v>
      </c>
      <c r="B111" s="0" t="s">
        <v>374</v>
      </c>
      <c r="C111" s="0" t="n">
        <v>6.417</v>
      </c>
      <c r="D111" s="0" t="n">
        <v>3.821</v>
      </c>
      <c r="E111" s="0" t="n">
        <v>1</v>
      </c>
      <c r="F111" s="0" t="s">
        <v>93</v>
      </c>
      <c r="G111" s="0" t="n">
        <v>16</v>
      </c>
      <c r="H111" s="0" t="n">
        <v>12.83</v>
      </c>
      <c r="I111" s="0" t="s">
        <v>375</v>
      </c>
      <c r="J111" s="0" t="s">
        <v>376</v>
      </c>
      <c r="K111" s="0" t="s">
        <v>66</v>
      </c>
    </row>
    <row r="112" customFormat="false" ht="15" hidden="false" customHeight="false" outlineLevel="0" collapsed="false">
      <c r="A112" s="0" t="s">
        <v>377</v>
      </c>
      <c r="B112" s="0" t="s">
        <v>378</v>
      </c>
      <c r="C112" s="0" t="n">
        <v>13.333</v>
      </c>
      <c r="D112" s="0" t="n">
        <v>2</v>
      </c>
      <c r="E112" s="0" t="n">
        <v>3</v>
      </c>
      <c r="F112" s="0" t="s">
        <v>379</v>
      </c>
      <c r="G112" s="0" t="n">
        <v>16</v>
      </c>
      <c r="H112" s="0" t="n">
        <v>37.21</v>
      </c>
      <c r="I112" s="0" t="s">
        <v>380</v>
      </c>
      <c r="J112" s="0" t="s">
        <v>381</v>
      </c>
      <c r="K112" s="0" t="s">
        <v>123</v>
      </c>
    </row>
    <row r="113" customFormat="false" ht="15" hidden="false" customHeight="false" outlineLevel="0" collapsed="false">
      <c r="A113" s="0" t="s">
        <v>382</v>
      </c>
      <c r="B113" s="0" t="s">
        <v>383</v>
      </c>
      <c r="C113" s="0" t="n">
        <v>12.562</v>
      </c>
      <c r="D113" s="0" t="n">
        <v>1.556</v>
      </c>
      <c r="E113" s="0" t="n">
        <v>1</v>
      </c>
      <c r="F113" s="0" t="s">
        <v>63</v>
      </c>
      <c r="G113" s="0" t="n">
        <v>16</v>
      </c>
      <c r="H113" s="0" t="n">
        <v>86.37</v>
      </c>
      <c r="I113" s="0" t="s">
        <v>384</v>
      </c>
      <c r="J113" s="0" t="s">
        <v>89</v>
      </c>
      <c r="K113" s="0" t="s">
        <v>123</v>
      </c>
    </row>
    <row r="114" customFormat="false" ht="15" hidden="false" customHeight="false" outlineLevel="0" collapsed="false">
      <c r="A114" s="0" t="s">
        <v>385</v>
      </c>
      <c r="B114" s="0" t="s">
        <v>386</v>
      </c>
      <c r="C114" s="0" t="n">
        <v>26.25</v>
      </c>
      <c r="D114" s="0" t="n">
        <v>1.546</v>
      </c>
      <c r="E114" s="0" t="n">
        <v>1</v>
      </c>
      <c r="F114" s="0" t="s">
        <v>63</v>
      </c>
      <c r="G114" s="0" t="n">
        <v>16</v>
      </c>
      <c r="H114" s="0" t="n">
        <v>180.47</v>
      </c>
      <c r="I114" s="0" t="s">
        <v>387</v>
      </c>
      <c r="J114" s="0" t="s">
        <v>388</v>
      </c>
      <c r="K114" s="0" t="s">
        <v>123</v>
      </c>
    </row>
    <row r="115" customFormat="false" ht="15" hidden="false" customHeight="false" outlineLevel="0" collapsed="false">
      <c r="A115" s="0" t="s">
        <v>389</v>
      </c>
      <c r="B115" s="0" t="s">
        <v>390</v>
      </c>
      <c r="C115" s="0" t="n">
        <v>6.5</v>
      </c>
      <c r="D115" s="0" t="n">
        <v>1.067</v>
      </c>
      <c r="E115" s="0" t="n">
        <v>1</v>
      </c>
      <c r="F115" s="0" t="s">
        <v>63</v>
      </c>
      <c r="G115" s="0" t="n">
        <v>16</v>
      </c>
      <c r="H115" s="0" t="n">
        <v>44.69</v>
      </c>
      <c r="I115" s="0" t="s">
        <v>391</v>
      </c>
      <c r="J115" s="0" t="s">
        <v>82</v>
      </c>
      <c r="K115" s="0" t="s">
        <v>123</v>
      </c>
    </row>
    <row r="116" customFormat="false" ht="15" hidden="false" customHeight="false" outlineLevel="0" collapsed="false">
      <c r="A116" s="0" t="s">
        <v>392</v>
      </c>
      <c r="B116" s="0" t="s">
        <v>393</v>
      </c>
      <c r="C116" s="0" t="n">
        <v>7.487</v>
      </c>
      <c r="D116" s="0" t="n">
        <v>12.195</v>
      </c>
      <c r="E116" s="0" t="n">
        <v>1.86</v>
      </c>
      <c r="F116" s="0" t="s">
        <v>93</v>
      </c>
      <c r="G116" s="0" t="n">
        <v>16</v>
      </c>
      <c r="H116" s="0" t="n">
        <v>125.04</v>
      </c>
      <c r="I116" s="0" t="s">
        <v>394</v>
      </c>
      <c r="J116" s="0" t="s">
        <v>187</v>
      </c>
      <c r="K11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395</v>
      </c>
    </row>
    <row r="2" customFormat="false" ht="15" hidden="false" customHeight="false" outlineLevel="0" collapsed="false">
      <c r="A2" s="0" t="s">
        <v>396</v>
      </c>
    </row>
    <row r="3" customFormat="false" ht="15" hidden="false" customHeight="false" outlineLevel="0" collapsed="false">
      <c r="A3" s="2" t="s">
        <v>397</v>
      </c>
      <c r="B3" s="2" t="s">
        <v>398</v>
      </c>
      <c r="C3" s="2" t="s">
        <v>399</v>
      </c>
      <c r="D3" s="2" t="s">
        <v>400</v>
      </c>
      <c r="E3" s="2" t="s">
        <v>401</v>
      </c>
      <c r="F3" s="2" t="s">
        <v>402</v>
      </c>
      <c r="G3" s="2" t="s">
        <v>403</v>
      </c>
      <c r="H3" s="2" t="s">
        <v>404</v>
      </c>
      <c r="I3" s="2" t="s">
        <v>405</v>
      </c>
      <c r="J3" s="2" t="s">
        <v>406</v>
      </c>
    </row>
    <row r="4" customFormat="false" ht="15" hidden="false" customHeight="false" outlineLevel="0" collapsed="false">
      <c r="A4" s="0" t="s">
        <v>407</v>
      </c>
      <c r="B4" s="0" t="s">
        <v>408</v>
      </c>
      <c r="C4" s="0" t="n">
        <v>4363.89</v>
      </c>
      <c r="D4" s="0" t="n">
        <f aca="false">Inputs!$B$5</f>
        <v>0.15</v>
      </c>
      <c r="E4" s="0" t="n">
        <f aca="false">C4*D4</f>
        <v>654.5835</v>
      </c>
      <c r="F4" s="0" t="n">
        <f aca="false">C4+E4</f>
        <v>5018.4735</v>
      </c>
      <c r="G4" s="0" t="s">
        <v>409</v>
      </c>
      <c r="H4" s="0" t="n">
        <f aca="false">ROUNDUP(F4/Inputs!$B$10,0)</f>
        <v>251</v>
      </c>
      <c r="I4" s="0" t="s">
        <v>410</v>
      </c>
    </row>
    <row r="5" customFormat="false" ht="15" hidden="false" customHeight="false" outlineLevel="0" collapsed="false">
      <c r="A5" s="0" t="s">
        <v>411</v>
      </c>
      <c r="B5" s="0" t="s">
        <v>408</v>
      </c>
      <c r="C5" s="0" t="n">
        <v>6625.02</v>
      </c>
      <c r="D5" s="0" t="n">
        <f aca="false">Inputs!$B$5</f>
        <v>0.15</v>
      </c>
      <c r="E5" s="0" t="n">
        <f aca="false">C5*D5</f>
        <v>993.753</v>
      </c>
      <c r="F5" s="0" t="n">
        <f aca="false">C5+E5</f>
        <v>7618.773</v>
      </c>
      <c r="G5" s="0" t="s">
        <v>409</v>
      </c>
      <c r="H5" s="0" t="n">
        <f aca="false">ROUNDUP(F5/Inputs!$B$10,0)</f>
        <v>381</v>
      </c>
      <c r="I5" s="0" t="s">
        <v>412</v>
      </c>
    </row>
    <row r="6" customFormat="false" ht="15" hidden="false" customHeight="false" outlineLevel="0" collapsed="false">
      <c r="A6" s="0" t="s">
        <v>413</v>
      </c>
      <c r="B6" s="0" t="s">
        <v>408</v>
      </c>
      <c r="C6" s="0" t="n">
        <v>3785.8</v>
      </c>
      <c r="D6" s="0" t="n">
        <f aca="false">Inputs!$B$5</f>
        <v>0.15</v>
      </c>
      <c r="E6" s="0" t="n">
        <f aca="false">C6*D6</f>
        <v>567.87</v>
      </c>
      <c r="F6" s="0" t="n">
        <f aca="false">C6+E6</f>
        <v>4353.67</v>
      </c>
      <c r="G6" s="0" t="s">
        <v>409</v>
      </c>
      <c r="H6" s="0" t="n">
        <f aca="false">ROUNDUP(F6/Inputs!$B$10,0)</f>
        <v>218</v>
      </c>
      <c r="I6" s="0" t="s">
        <v>414</v>
      </c>
    </row>
    <row r="7" customFormat="false" ht="15" hidden="false" customHeight="false" outlineLevel="0" collapsed="false">
      <c r="A7" s="0" t="s">
        <v>415</v>
      </c>
      <c r="B7" s="0" t="s">
        <v>408</v>
      </c>
      <c r="C7" s="0" t="n">
        <v>1001.47</v>
      </c>
      <c r="D7" s="0" t="n">
        <f aca="false">Inputs!$B$5</f>
        <v>0.15</v>
      </c>
      <c r="E7" s="0" t="n">
        <f aca="false">C7*D7</f>
        <v>150.2205</v>
      </c>
      <c r="F7" s="0" t="n">
        <f aca="false">C7+E7</f>
        <v>1151.6905</v>
      </c>
      <c r="G7" s="0" t="s">
        <v>409</v>
      </c>
      <c r="H7" s="0" t="n">
        <f aca="false">ROUNDUP(F7/Inputs!$B$10,0)</f>
        <v>58</v>
      </c>
      <c r="I7" s="0" t="s">
        <v>416</v>
      </c>
    </row>
    <row r="8" customFormat="false" ht="15" hidden="false" customHeight="false" outlineLevel="0" collapsed="false">
      <c r="A8" s="0" t="s">
        <v>417</v>
      </c>
      <c r="B8" s="0" t="s">
        <v>408</v>
      </c>
      <c r="C8" s="0" t="n">
        <v>1231.38</v>
      </c>
      <c r="D8" s="0" t="n">
        <f aca="false">Inputs!$B$5</f>
        <v>0.15</v>
      </c>
      <c r="E8" s="0" t="n">
        <f aca="false">C8*D8</f>
        <v>184.707</v>
      </c>
      <c r="F8" s="0" t="n">
        <f aca="false">C8+E8</f>
        <v>1416.087</v>
      </c>
      <c r="G8" s="0" t="s">
        <v>418</v>
      </c>
      <c r="H8" s="0" t="n">
        <f aca="false">ROUNDUP(F8/Inputs!$B$11,0)</f>
        <v>142</v>
      </c>
      <c r="I8" s="0" t="s">
        <v>419</v>
      </c>
    </row>
    <row r="9" customFormat="false" ht="15" hidden="false" customHeight="false" outlineLevel="0" collapsed="false">
      <c r="A9" s="0" t="s">
        <v>420</v>
      </c>
      <c r="B9" s="0" t="s">
        <v>408</v>
      </c>
      <c r="C9" s="0" t="n">
        <v>2332.26</v>
      </c>
      <c r="D9" s="0" t="n">
        <f aca="false">Inputs!$B$5</f>
        <v>0.15</v>
      </c>
      <c r="E9" s="0" t="n">
        <f aca="false">C9*D9</f>
        <v>349.839</v>
      </c>
      <c r="F9" s="0" t="n">
        <f aca="false">C9+E9</f>
        <v>2682.099</v>
      </c>
      <c r="G9" s="0" t="s">
        <v>421</v>
      </c>
      <c r="H9" s="0" t="n">
        <f aca="false">ROUNDUP(F9/Inputs!$B$16,0)</f>
        <v>168</v>
      </c>
      <c r="I9" s="0" t="s">
        <v>422</v>
      </c>
    </row>
    <row r="10" customFormat="false" ht="15" hidden="false" customHeight="false" outlineLevel="0" collapsed="false">
      <c r="A10" s="0" t="s">
        <v>423</v>
      </c>
      <c r="B10" s="0" t="s">
        <v>408</v>
      </c>
      <c r="C10" s="0" t="n">
        <v>260.44</v>
      </c>
      <c r="D10" s="0" t="n">
        <f aca="false">Inputs!$B$5</f>
        <v>0.15</v>
      </c>
      <c r="E10" s="0" t="n">
        <f aca="false">C10*D10</f>
        <v>39.066</v>
      </c>
      <c r="F10" s="0" t="n">
        <f aca="false">C10+E10</f>
        <v>299.506</v>
      </c>
      <c r="G10" s="0" t="s">
        <v>418</v>
      </c>
      <c r="H10" s="0" t="n">
        <f aca="false">ROUNDUP(F10/Inputs!$B$11,0)</f>
        <v>30</v>
      </c>
      <c r="I10" s="0" t="s">
        <v>424</v>
      </c>
    </row>
    <row r="11" customFormat="false" ht="15" hidden="false" customHeight="false" outlineLevel="0" collapsed="false">
      <c r="A11" s="0" t="s">
        <v>425</v>
      </c>
      <c r="B11" s="0" t="s">
        <v>408</v>
      </c>
      <c r="C11" s="0" t="n">
        <v>796.59</v>
      </c>
      <c r="D11" s="0" t="n">
        <f aca="false">Inputs!$B$5</f>
        <v>0.15</v>
      </c>
      <c r="E11" s="0" t="n">
        <f aca="false">C11*D11</f>
        <v>119.4885</v>
      </c>
      <c r="F11" s="0" t="n">
        <f aca="false">C11+E11</f>
        <v>916.0785</v>
      </c>
      <c r="G11" s="0" t="s">
        <v>409</v>
      </c>
      <c r="H11" s="0" t="n">
        <f aca="false">ROUNDUP(F11/Inputs!$B$10,0)</f>
        <v>46</v>
      </c>
      <c r="I11" s="0" t="s">
        <v>426</v>
      </c>
    </row>
    <row r="12" customFormat="false" ht="15" hidden="false" customHeight="false" outlineLevel="0" collapsed="false">
      <c r="A12" s="0" t="s">
        <v>427</v>
      </c>
      <c r="B12" s="0" t="s">
        <v>408</v>
      </c>
      <c r="C12" s="0" t="n">
        <v>119.09</v>
      </c>
      <c r="D12" s="0" t="n">
        <f aca="false">Inputs!$B$5</f>
        <v>0.15</v>
      </c>
      <c r="E12" s="0" t="n">
        <f aca="false">C12*D12</f>
        <v>17.8635</v>
      </c>
      <c r="F12" s="0" t="n">
        <f aca="false">C12+E12</f>
        <v>136.9535</v>
      </c>
      <c r="G12" s="0" t="s">
        <v>418</v>
      </c>
      <c r="H12" s="0" t="n">
        <f aca="false">ROUNDUP(F12/Inputs!$B$11,0)</f>
        <v>14</v>
      </c>
      <c r="I12" s="0" t="s">
        <v>428</v>
      </c>
    </row>
    <row r="13" customFormat="false" ht="15" hidden="false" customHeight="false" outlineLevel="0" collapsed="false">
      <c r="A13" s="0" t="s">
        <v>429</v>
      </c>
      <c r="B13" s="0" t="s">
        <v>408</v>
      </c>
      <c r="C13" s="0" t="n">
        <v>786.08</v>
      </c>
      <c r="D13" s="0" t="n">
        <f aca="false">Inputs!$B$5</f>
        <v>0.15</v>
      </c>
      <c r="E13" s="0" t="n">
        <f aca="false">C13*D13</f>
        <v>117.912</v>
      </c>
      <c r="F13" s="0" t="n">
        <f aca="false">C13+E13</f>
        <v>903.992</v>
      </c>
      <c r="G13" s="0" t="s">
        <v>430</v>
      </c>
      <c r="H13" s="0" t="n">
        <f aca="false">ROUNDUP(F13/Inputs!$B$17,0)</f>
        <v>76</v>
      </c>
      <c r="I13" s="0" t="s">
        <v>431</v>
      </c>
    </row>
    <row r="14" customFormat="false" ht="15" hidden="false" customHeight="false" outlineLevel="0" collapsed="false">
      <c r="A14" s="0" t="s">
        <v>432</v>
      </c>
      <c r="B14" s="0" t="s">
        <v>408</v>
      </c>
      <c r="C14" s="0" t="n">
        <v>315.94</v>
      </c>
      <c r="D14" s="0" t="n">
        <f aca="false">Inputs!$B$5</f>
        <v>0.15</v>
      </c>
      <c r="E14" s="0" t="n">
        <f aca="false">C14*D14</f>
        <v>47.391</v>
      </c>
      <c r="F14" s="0" t="n">
        <f aca="false">C14+E14</f>
        <v>363.331</v>
      </c>
      <c r="G14" s="0" t="s">
        <v>421</v>
      </c>
      <c r="H14" s="0" t="n">
        <f aca="false">ROUNDUP(F14/Inputs!$B$16,0)</f>
        <v>23</v>
      </c>
      <c r="I14" s="0" t="s">
        <v>433</v>
      </c>
    </row>
    <row r="15" customFormat="false" ht="15" hidden="false" customHeight="false" outlineLevel="0" collapsed="false">
      <c r="A15" s="0" t="s">
        <v>434</v>
      </c>
      <c r="B15" s="0" t="s">
        <v>408</v>
      </c>
      <c r="C15" s="0" t="n">
        <v>533.63</v>
      </c>
      <c r="D15" s="0" t="n">
        <f aca="false">Inputs!$B$5</f>
        <v>0.15</v>
      </c>
      <c r="E15" s="0" t="n">
        <f aca="false">C15*D15</f>
        <v>80.0445</v>
      </c>
      <c r="F15" s="0" t="n">
        <f aca="false">C15+E15</f>
        <v>613.6745</v>
      </c>
      <c r="G15" s="0" t="s">
        <v>33</v>
      </c>
      <c r="H15" s="0" t="n">
        <f aca="false">ROUNDUP(F15,0)</f>
        <v>614</v>
      </c>
      <c r="I15" s="0" t="s">
        <v>435</v>
      </c>
    </row>
    <row r="16" customFormat="false" ht="15" hidden="false" customHeight="false" outlineLevel="0" collapsed="false">
      <c r="A16" s="0" t="s">
        <v>436</v>
      </c>
      <c r="B16" s="0" t="s">
        <v>437</v>
      </c>
      <c r="C16" s="0" t="n">
        <v>17406.06</v>
      </c>
      <c r="D16" s="0" t="n">
        <f aca="false">Inputs!$B$6</f>
        <v>0.06</v>
      </c>
      <c r="E16" s="0" t="n">
        <f aca="false">C16*D16</f>
        <v>1044.3636</v>
      </c>
      <c r="F16" s="0" t="n">
        <f aca="false">C16+E16</f>
        <v>18450.4236</v>
      </c>
      <c r="G16" s="0" t="s">
        <v>438</v>
      </c>
      <c r="H16" s="0" t="n">
        <f aca="false">ROUNDUP(F16/Inputs!$B$9,0)</f>
        <v>385</v>
      </c>
      <c r="I16" s="0" t="s">
        <v>439</v>
      </c>
    </row>
    <row r="17" customFormat="false" ht="15" hidden="false" customHeight="false" outlineLevel="0" collapsed="false">
      <c r="A17" s="0" t="s">
        <v>440</v>
      </c>
      <c r="B17" s="0" t="s">
        <v>437</v>
      </c>
      <c r="C17" s="0" t="n">
        <v>258.84</v>
      </c>
      <c r="D17" s="0" t="n">
        <f aca="false">Inputs!$B$6</f>
        <v>0.06</v>
      </c>
      <c r="E17" s="0" t="n">
        <f aca="false">C17*D17</f>
        <v>15.5304</v>
      </c>
      <c r="F17" s="0" t="n">
        <f aca="false">C17+E17</f>
        <v>274.3704</v>
      </c>
      <c r="G17" s="0" t="s">
        <v>438</v>
      </c>
      <c r="H17" s="0" t="n">
        <f aca="false">ROUNDUP(F17/Inputs!$B$9,0)</f>
        <v>6</v>
      </c>
      <c r="I17" s="0" t="s">
        <v>441</v>
      </c>
    </row>
    <row r="18" customFormat="false" ht="15" hidden="false" customHeight="false" outlineLevel="0" collapsed="false">
      <c r="A18" s="0" t="s">
        <v>442</v>
      </c>
      <c r="B18" s="0" t="s">
        <v>437</v>
      </c>
      <c r="C18" s="0" t="n">
        <v>85.74</v>
      </c>
      <c r="D18" s="0" t="n">
        <f aca="false">Inputs!$B$6</f>
        <v>0.06</v>
      </c>
      <c r="E18" s="0" t="n">
        <f aca="false">C18*D18</f>
        <v>5.1444</v>
      </c>
      <c r="F18" s="0" t="n">
        <f aca="false">C18+E18</f>
        <v>90.8844</v>
      </c>
      <c r="G18" s="0" t="s">
        <v>443</v>
      </c>
      <c r="H18" s="0" t="n">
        <f aca="false">ROUNDUP(F18/32,0)</f>
        <v>3</v>
      </c>
      <c r="I18" s="0" t="s">
        <v>444</v>
      </c>
    </row>
    <row r="19" customFormat="false" ht="15" hidden="false" customHeight="false" outlineLevel="0" collapsed="false">
      <c r="A19" s="0" t="s">
        <v>445</v>
      </c>
      <c r="B19" s="0" t="s">
        <v>437</v>
      </c>
      <c r="C19" s="0" t="n">
        <v>65.88</v>
      </c>
      <c r="D19" s="0" t="n">
        <f aca="false">Inputs!$B$6</f>
        <v>0.06</v>
      </c>
      <c r="E19" s="0" t="n">
        <f aca="false">C19*D19</f>
        <v>3.9528</v>
      </c>
      <c r="F19" s="0" t="n">
        <f aca="false">C19+E19</f>
        <v>69.8328</v>
      </c>
      <c r="G19" s="0" t="s">
        <v>443</v>
      </c>
      <c r="H19" s="0" t="n">
        <f aca="false">ROUNDUP(F19/32,0)</f>
        <v>3</v>
      </c>
      <c r="I19" s="0" t="s">
        <v>446</v>
      </c>
    </row>
    <row r="20" customFormat="false" ht="15" hidden="false" customHeight="false" outlineLevel="0" collapsed="false">
      <c r="A20" s="0" t="s">
        <v>447</v>
      </c>
      <c r="B20" s="0" t="s">
        <v>437</v>
      </c>
      <c r="C20" s="0" t="n">
        <v>358.87</v>
      </c>
      <c r="D20" s="0" t="n">
        <f aca="false">Inputs!$B$6</f>
        <v>0.06</v>
      </c>
      <c r="E20" s="0" t="n">
        <f aca="false">C20*D20</f>
        <v>21.5322</v>
      </c>
      <c r="F20" s="0" t="n">
        <f aca="false">C20+E20</f>
        <v>380.4022</v>
      </c>
      <c r="G20" s="0" t="s">
        <v>443</v>
      </c>
      <c r="H20" s="0" t="n">
        <f aca="false">ROUNDUP(F20/32,0)</f>
        <v>12</v>
      </c>
      <c r="I20" s="0" t="s">
        <v>448</v>
      </c>
    </row>
    <row r="21" customFormat="false" ht="15" hidden="false" customHeight="false" outlineLevel="0" collapsed="false">
      <c r="A21" s="0" t="s">
        <v>449</v>
      </c>
      <c r="B21" s="0" t="s">
        <v>437</v>
      </c>
      <c r="C21" s="0" t="n">
        <v>948.41</v>
      </c>
      <c r="D21" s="0" t="n">
        <f aca="false">Inputs!$B$6</f>
        <v>0.06</v>
      </c>
      <c r="E21" s="0" t="n">
        <f aca="false">C21*D21</f>
        <v>56.9046</v>
      </c>
      <c r="F21" s="0" t="n">
        <f aca="false">C21+E21</f>
        <v>1005.3146</v>
      </c>
      <c r="G21" s="0" t="s">
        <v>443</v>
      </c>
      <c r="H21" s="0" t="n">
        <f aca="false">ROUNDUP(F21/32,0)</f>
        <v>32</v>
      </c>
      <c r="I21" s="0" t="s">
        <v>450</v>
      </c>
    </row>
    <row r="22" customFormat="false" ht="15" hidden="false" customHeight="false" outlineLevel="0" collapsed="false">
      <c r="A22" s="0" t="s">
        <v>451</v>
      </c>
      <c r="B22" s="0" t="s">
        <v>408</v>
      </c>
      <c r="C22" s="0" t="n">
        <v>857.71</v>
      </c>
      <c r="D22" s="0" t="n">
        <f aca="false">Inputs!$B$6</f>
        <v>0.06</v>
      </c>
      <c r="E22" s="0" t="n">
        <f aca="false">C22*D22</f>
        <v>51.4626</v>
      </c>
      <c r="F22" s="0" t="n">
        <f aca="false">C22+E22</f>
        <v>909.1726</v>
      </c>
      <c r="G22" s="0" t="s">
        <v>452</v>
      </c>
      <c r="H22" s="0" t="n">
        <f aca="false">ROUNDUP(F22/16,0)</f>
        <v>57</v>
      </c>
      <c r="I22" s="0" t="s">
        <v>453</v>
      </c>
    </row>
    <row r="23" customFormat="false" ht="15" hidden="false" customHeight="false" outlineLevel="0" collapsed="false">
      <c r="A23" s="0" t="s">
        <v>454</v>
      </c>
      <c r="B23" s="0" t="s">
        <v>408</v>
      </c>
      <c r="C23" s="0" t="n">
        <v>1030.72</v>
      </c>
      <c r="D23" s="0" t="n">
        <f aca="false">Inputs!$B$5</f>
        <v>0.15</v>
      </c>
      <c r="E23" s="0" t="n">
        <f aca="false">C23*D23</f>
        <v>154.608</v>
      </c>
      <c r="F23" s="0" t="n">
        <f aca="false">C23+E23</f>
        <v>1185.328</v>
      </c>
      <c r="G23" s="0" t="s">
        <v>455</v>
      </c>
      <c r="H23" s="0" t="n">
        <f aca="false">ROUNDUP(F23/Inputs!$B$18,0)</f>
        <v>119</v>
      </c>
      <c r="I23" s="0" t="s">
        <v>456</v>
      </c>
    </row>
    <row r="24" customFormat="false" ht="15" hidden="false" customHeight="false" outlineLevel="0" collapsed="false">
      <c r="A24" s="0" t="s">
        <v>457</v>
      </c>
      <c r="B24" s="0" t="s">
        <v>437</v>
      </c>
      <c r="C24" s="0" t="n">
        <v>33.38</v>
      </c>
      <c r="D24" s="0" t="n">
        <f aca="false">Inputs!$B$6</f>
        <v>0.06</v>
      </c>
      <c r="E24" s="0" t="n">
        <f aca="false">C24*D24</f>
        <v>2.0028</v>
      </c>
      <c r="F24" s="0" t="n">
        <f aca="false">C24+E24</f>
        <v>35.3828</v>
      </c>
      <c r="G24" s="0" t="s">
        <v>458</v>
      </c>
      <c r="H24" s="0" t="n">
        <f aca="false">ROUNDUP(F24/15,0)</f>
        <v>3</v>
      </c>
      <c r="I24" s="0" t="s">
        <v>459</v>
      </c>
    </row>
    <row r="25" customFormat="false" ht="15" hidden="false" customHeight="false" outlineLevel="0" collapsed="false">
      <c r="A25" s="0" t="s">
        <v>460</v>
      </c>
      <c r="B25" s="0" t="s">
        <v>437</v>
      </c>
      <c r="C25" s="0" t="n">
        <v>349.75</v>
      </c>
      <c r="D25" s="0" t="n">
        <f aca="false">Inputs!$B$6</f>
        <v>0.06</v>
      </c>
      <c r="E25" s="0" t="n">
        <f aca="false">C25*D25</f>
        <v>20.985</v>
      </c>
      <c r="F25" s="0" t="n">
        <f aca="false">C25+E25</f>
        <v>370.735</v>
      </c>
      <c r="G25" s="0" t="s">
        <v>443</v>
      </c>
      <c r="H25" s="0" t="n">
        <f aca="false">ROUNDUP(F25/32,0)</f>
        <v>12</v>
      </c>
      <c r="I25" s="0" t="s">
        <v>461</v>
      </c>
    </row>
    <row r="26" customFormat="false" ht="15" hidden="false" customHeight="false" outlineLevel="0" collapsed="false">
      <c r="A26" s="0" t="s">
        <v>462</v>
      </c>
      <c r="B26" s="0" t="s">
        <v>408</v>
      </c>
      <c r="C26" s="0" t="n">
        <v>241.38</v>
      </c>
      <c r="D26" s="0" t="n">
        <f aca="false">Inputs!$B$5</f>
        <v>0.15</v>
      </c>
      <c r="E26" s="0" t="n">
        <f aca="false">C26*D26</f>
        <v>36.207</v>
      </c>
      <c r="F26" s="0" t="n">
        <f aca="false">C26+E26</f>
        <v>277.587</v>
      </c>
      <c r="G26" s="0" t="s">
        <v>409</v>
      </c>
      <c r="H26" s="0" t="n">
        <f aca="false">ROUNDUP(F26/Inputs!$B$10,0)</f>
        <v>14</v>
      </c>
      <c r="I26" s="0" t="s">
        <v>463</v>
      </c>
    </row>
    <row r="27" customFormat="false" ht="15" hidden="false" customHeight="false" outlineLevel="0" collapsed="false">
      <c r="A27" s="0" t="s">
        <v>464</v>
      </c>
      <c r="B27" s="0" t="s">
        <v>408</v>
      </c>
      <c r="C27" s="0" t="n">
        <v>476.62</v>
      </c>
      <c r="D27" s="0" t="n">
        <f aca="false">Inputs!$B$5</f>
        <v>0.15</v>
      </c>
      <c r="E27" s="0" t="n">
        <f aca="false">C27*D27</f>
        <v>71.493</v>
      </c>
      <c r="F27" s="0" t="n">
        <f aca="false">C27+E27</f>
        <v>548.113</v>
      </c>
      <c r="G27" s="0" t="s">
        <v>418</v>
      </c>
      <c r="H27" s="0" t="n">
        <f aca="false">ROUNDUP(F27/Inputs!$B$11,0)</f>
        <v>55</v>
      </c>
      <c r="I27" s="0" t="s">
        <v>465</v>
      </c>
    </row>
    <row r="28" customFormat="false" ht="15" hidden="false" customHeight="false" outlineLevel="0" collapsed="false">
      <c r="A28" s="0" t="s">
        <v>466</v>
      </c>
      <c r="B28" s="0" t="s">
        <v>408</v>
      </c>
      <c r="C28" s="0" t="n">
        <v>64.92</v>
      </c>
      <c r="D28" s="0" t="n">
        <f aca="false">Inputs!$B$5</f>
        <v>0.15</v>
      </c>
      <c r="E28" s="0" t="n">
        <f aca="false">C28*D28</f>
        <v>9.738</v>
      </c>
      <c r="F28" s="0" t="n">
        <f aca="false">C28+E28</f>
        <v>74.658</v>
      </c>
      <c r="G28" s="0" t="s">
        <v>418</v>
      </c>
      <c r="H28" s="0" t="n">
        <f aca="false">ROUNDUP(F28/Inputs!$B$11,0)</f>
        <v>8</v>
      </c>
      <c r="I28" s="0" t="s">
        <v>465</v>
      </c>
    </row>
    <row r="29" customFormat="false" ht="15" hidden="false" customHeight="false" outlineLevel="0" collapsed="false">
      <c r="A29" s="0" t="s">
        <v>467</v>
      </c>
      <c r="B29" s="0" t="s">
        <v>408</v>
      </c>
      <c r="C29" s="0" t="n">
        <v>248.52</v>
      </c>
      <c r="D29" s="0" t="n">
        <f aca="false">Inputs!$B$5</f>
        <v>0.15</v>
      </c>
      <c r="E29" s="0" t="n">
        <f aca="false">C29*D29</f>
        <v>37.278</v>
      </c>
      <c r="F29" s="0" t="n">
        <f aca="false">C29+E29</f>
        <v>285.798</v>
      </c>
      <c r="G29" s="0" t="s">
        <v>418</v>
      </c>
      <c r="H29" s="0" t="n">
        <f aca="false">ROUNDUP(F29/Inputs!$B$11,0)</f>
        <v>29</v>
      </c>
      <c r="I29" s="0" t="s">
        <v>465</v>
      </c>
    </row>
    <row r="30" customFormat="false" ht="15" hidden="false" customHeight="false" outlineLevel="0" collapsed="false">
      <c r="A30" s="0" t="s">
        <v>468</v>
      </c>
      <c r="B30" s="0" t="s">
        <v>408</v>
      </c>
      <c r="C30" s="0" t="n">
        <v>290.1</v>
      </c>
      <c r="D30" s="0" t="n">
        <f aca="false">Inputs!$B$5</f>
        <v>0.15</v>
      </c>
      <c r="E30" s="0" t="n">
        <f aca="false">C30*D30</f>
        <v>43.515</v>
      </c>
      <c r="F30" s="0" t="n">
        <f aca="false">C30+E30</f>
        <v>333.615</v>
      </c>
      <c r="G30" s="0" t="s">
        <v>418</v>
      </c>
      <c r="H30" s="0" t="n">
        <f aca="false">ROUNDUP(F30/Inputs!$B$11,0)</f>
        <v>34</v>
      </c>
      <c r="I30" s="0" t="s">
        <v>465</v>
      </c>
    </row>
    <row r="31" customFormat="false" ht="15" hidden="false" customHeight="false" outlineLevel="0" collapsed="false">
      <c r="A31" s="0" t="s">
        <v>469</v>
      </c>
      <c r="B31" s="0" t="s">
        <v>408</v>
      </c>
      <c r="C31" s="0" t="n">
        <v>269.18</v>
      </c>
      <c r="D31" s="0" t="n">
        <f aca="false">Inputs!$B$5</f>
        <v>0.15</v>
      </c>
      <c r="E31" s="0" t="n">
        <f aca="false">C31*D31</f>
        <v>40.377</v>
      </c>
      <c r="F31" s="0" t="n">
        <f aca="false">C31+E31</f>
        <v>309.557</v>
      </c>
      <c r="G31" s="0" t="s">
        <v>418</v>
      </c>
      <c r="H31" s="0" t="n">
        <f aca="false">ROUNDUP(F31/Inputs!$B$11,0)</f>
        <v>31</v>
      </c>
      <c r="I31" s="0" t="s">
        <v>465</v>
      </c>
    </row>
    <row r="32" customFormat="false" ht="15" hidden="false" customHeight="false" outlineLevel="0" collapsed="false">
      <c r="A32" s="0" t="s">
        <v>470</v>
      </c>
      <c r="B32" s="0" t="s">
        <v>408</v>
      </c>
      <c r="C32" s="0" t="n">
        <v>177.56</v>
      </c>
      <c r="D32" s="0" t="n">
        <f aca="false">Inputs!$B$5</f>
        <v>0.15</v>
      </c>
      <c r="E32" s="0" t="n">
        <f aca="false">C32*D32</f>
        <v>26.634</v>
      </c>
      <c r="F32" s="0" t="n">
        <f aca="false">C32+E32</f>
        <v>204.194</v>
      </c>
      <c r="G32" s="0" t="s">
        <v>418</v>
      </c>
      <c r="H32" s="0" t="n">
        <f aca="false">ROUNDUP(F32/Inputs!$B$11,0)</f>
        <v>21</v>
      </c>
      <c r="I32" s="0" t="s">
        <v>465</v>
      </c>
    </row>
    <row r="33" customFormat="false" ht="15" hidden="false" customHeight="false" outlineLevel="0" collapsed="false">
      <c r="A33" s="0" t="s">
        <v>471</v>
      </c>
      <c r="B33" s="0" t="s">
        <v>408</v>
      </c>
      <c r="C33" s="0" t="n">
        <v>476.62</v>
      </c>
      <c r="D33" s="0" t="n">
        <f aca="false">Inputs!$B$5</f>
        <v>0.15</v>
      </c>
      <c r="E33" s="0" t="n">
        <f aca="false">C33*D33</f>
        <v>71.493</v>
      </c>
      <c r="F33" s="0" t="n">
        <f aca="false">C33+E33</f>
        <v>548.113</v>
      </c>
      <c r="G33" s="0" t="s">
        <v>418</v>
      </c>
      <c r="H33" s="0" t="n">
        <f aca="false">ROUNDUP(F33/Inputs!$B$11,0)</f>
        <v>55</v>
      </c>
      <c r="I33" s="0" t="s">
        <v>472</v>
      </c>
    </row>
    <row r="34" customFormat="false" ht="15" hidden="false" customHeight="false" outlineLevel="0" collapsed="false">
      <c r="A34" s="0" t="s">
        <v>473</v>
      </c>
      <c r="B34" s="0" t="s">
        <v>408</v>
      </c>
      <c r="C34" s="0" t="n">
        <v>64.92</v>
      </c>
      <c r="D34" s="0" t="n">
        <f aca="false">Inputs!$B$5</f>
        <v>0.15</v>
      </c>
      <c r="E34" s="0" t="n">
        <f aca="false">C34*D34</f>
        <v>9.738</v>
      </c>
      <c r="F34" s="0" t="n">
        <f aca="false">C34+E34</f>
        <v>74.658</v>
      </c>
      <c r="G34" s="0" t="s">
        <v>418</v>
      </c>
      <c r="H34" s="0" t="n">
        <f aca="false">ROUNDUP(F34/Inputs!$B$11,0)</f>
        <v>8</v>
      </c>
      <c r="I34" s="0" t="s">
        <v>472</v>
      </c>
    </row>
    <row r="35" customFormat="false" ht="15" hidden="false" customHeight="false" outlineLevel="0" collapsed="false">
      <c r="A35" s="0" t="s">
        <v>474</v>
      </c>
      <c r="B35" s="0" t="s">
        <v>408</v>
      </c>
      <c r="C35" s="0" t="n">
        <v>248.52</v>
      </c>
      <c r="D35" s="0" t="n">
        <f aca="false">Inputs!$B$5</f>
        <v>0.15</v>
      </c>
      <c r="E35" s="0" t="n">
        <f aca="false">C35*D35</f>
        <v>37.278</v>
      </c>
      <c r="F35" s="0" t="n">
        <f aca="false">C35+E35</f>
        <v>285.798</v>
      </c>
      <c r="G35" s="0" t="s">
        <v>418</v>
      </c>
      <c r="H35" s="0" t="n">
        <f aca="false">ROUNDUP(F35/Inputs!$B$11,0)</f>
        <v>29</v>
      </c>
      <c r="I35" s="0" t="s">
        <v>472</v>
      </c>
    </row>
    <row r="36" customFormat="false" ht="15" hidden="false" customHeight="false" outlineLevel="0" collapsed="false">
      <c r="A36" s="0" t="s">
        <v>475</v>
      </c>
      <c r="B36" s="0" t="s">
        <v>408</v>
      </c>
      <c r="C36" s="0" t="n">
        <v>290.1</v>
      </c>
      <c r="D36" s="0" t="n">
        <f aca="false">Inputs!$B$5</f>
        <v>0.15</v>
      </c>
      <c r="E36" s="0" t="n">
        <f aca="false">C36*D36</f>
        <v>43.515</v>
      </c>
      <c r="F36" s="0" t="n">
        <f aca="false">C36+E36</f>
        <v>333.615</v>
      </c>
      <c r="G36" s="0" t="s">
        <v>418</v>
      </c>
      <c r="H36" s="0" t="n">
        <f aca="false">ROUNDUP(F36/Inputs!$B$11,0)</f>
        <v>34</v>
      </c>
      <c r="I36" s="0" t="s">
        <v>472</v>
      </c>
    </row>
    <row r="37" customFormat="false" ht="15" hidden="false" customHeight="false" outlineLevel="0" collapsed="false">
      <c r="A37" s="0" t="s">
        <v>476</v>
      </c>
      <c r="B37" s="0" t="s">
        <v>408</v>
      </c>
      <c r="C37" s="0" t="n">
        <v>269.18</v>
      </c>
      <c r="D37" s="0" t="n">
        <f aca="false">Inputs!$B$5</f>
        <v>0.15</v>
      </c>
      <c r="E37" s="0" t="n">
        <f aca="false">C37*D37</f>
        <v>40.377</v>
      </c>
      <c r="F37" s="0" t="n">
        <f aca="false">C37+E37</f>
        <v>309.557</v>
      </c>
      <c r="G37" s="0" t="s">
        <v>418</v>
      </c>
      <c r="H37" s="0" t="n">
        <f aca="false">ROUNDUP(F37/Inputs!$B$11,0)</f>
        <v>31</v>
      </c>
      <c r="I37" s="0" t="s">
        <v>472</v>
      </c>
    </row>
    <row r="38" customFormat="false" ht="15" hidden="false" customHeight="false" outlineLevel="0" collapsed="false">
      <c r="A38" s="0" t="s">
        <v>477</v>
      </c>
      <c r="B38" s="0" t="s">
        <v>408</v>
      </c>
      <c r="C38" s="0" t="n">
        <v>177.56</v>
      </c>
      <c r="D38" s="0" t="n">
        <f aca="false">Inputs!$B$5</f>
        <v>0.15</v>
      </c>
      <c r="E38" s="0" t="n">
        <f aca="false">C38*D38</f>
        <v>26.634</v>
      </c>
      <c r="F38" s="0" t="n">
        <f aca="false">C38+E38</f>
        <v>204.194</v>
      </c>
      <c r="G38" s="0" t="s">
        <v>418</v>
      </c>
      <c r="H38" s="0" t="n">
        <f aca="false">ROUNDUP(F38/Inputs!$B$11,0)</f>
        <v>21</v>
      </c>
      <c r="I38" s="0" t="s">
        <v>472</v>
      </c>
    </row>
    <row r="39" customFormat="false" ht="15" hidden="false" customHeight="false" outlineLevel="0" collapsed="false">
      <c r="A39" s="0" t="s">
        <v>478</v>
      </c>
      <c r="B39" s="0" t="s">
        <v>408</v>
      </c>
      <c r="C39" s="0" t="n">
        <v>37.58</v>
      </c>
      <c r="D39" s="0" t="n">
        <f aca="false">Inputs!$B$5</f>
        <v>0.15</v>
      </c>
      <c r="E39" s="0" t="n">
        <f aca="false">C39*D39</f>
        <v>5.637</v>
      </c>
      <c r="F39" s="0" t="n">
        <f aca="false">C39+E39</f>
        <v>43.217</v>
      </c>
      <c r="G39" s="0" t="s">
        <v>409</v>
      </c>
      <c r="H39" s="0" t="n">
        <f aca="false">ROUNDUP(F39/Inputs!$B$10,0)</f>
        <v>3</v>
      </c>
      <c r="I39" s="0" t="s">
        <v>479</v>
      </c>
    </row>
    <row r="40" customFormat="false" ht="15" hidden="false" customHeight="false" outlineLevel="0" collapsed="false">
      <c r="A40" s="0" t="s">
        <v>480</v>
      </c>
      <c r="B40" s="0" t="s">
        <v>437</v>
      </c>
      <c r="C40" s="0" t="n">
        <v>1941.04</v>
      </c>
      <c r="D40" s="0" t="n">
        <f aca="false">Inputs!$B$6</f>
        <v>0.06</v>
      </c>
      <c r="E40" s="0" t="n">
        <f aca="false">C40*D40</f>
        <v>116.4624</v>
      </c>
      <c r="F40" s="0" t="n">
        <f aca="false">C40+E40</f>
        <v>2057.5024</v>
      </c>
      <c r="G40" s="0" t="s">
        <v>481</v>
      </c>
      <c r="H40" s="0" t="n">
        <f aca="false">ROUNDUP(F40/Inputs!$B$9,0)</f>
        <v>43</v>
      </c>
      <c r="I40" s="0" t="s">
        <v>482</v>
      </c>
    </row>
    <row r="41" customFormat="false" ht="15" hidden="false" customHeight="false" outlineLevel="0" collapsed="false">
      <c r="A41" s="0" t="s">
        <v>483</v>
      </c>
      <c r="B41" s="0" t="s">
        <v>437</v>
      </c>
      <c r="C41" s="0" t="n">
        <v>3909.2</v>
      </c>
      <c r="D41" s="0" t="n">
        <f aca="false">Inputs!$B$6</f>
        <v>0.06</v>
      </c>
      <c r="E41" s="0" t="n">
        <f aca="false">C41*D41</f>
        <v>234.552</v>
      </c>
      <c r="F41" s="0" t="n">
        <f aca="false">C41+E41</f>
        <v>4143.752</v>
      </c>
      <c r="G41" s="0" t="s">
        <v>481</v>
      </c>
      <c r="H41" s="0" t="n">
        <f aca="false">ROUNDUP(F41/Inputs!$B$9,0)</f>
        <v>87</v>
      </c>
      <c r="I41" s="0" t="s">
        <v>482</v>
      </c>
    </row>
    <row r="42" customFormat="false" ht="15" hidden="false" customHeight="false" outlineLevel="0" collapsed="false">
      <c r="A42" s="0" t="s">
        <v>484</v>
      </c>
      <c r="B42" s="0" t="s">
        <v>437</v>
      </c>
      <c r="C42" s="0" t="n">
        <v>665.23</v>
      </c>
      <c r="D42" s="0" t="n">
        <f aca="false">Inputs!$B$6</f>
        <v>0.06</v>
      </c>
      <c r="E42" s="0" t="n">
        <f aca="false">C42*D42</f>
        <v>39.9138</v>
      </c>
      <c r="F42" s="0" t="n">
        <f aca="false">C42+E42</f>
        <v>705.1438</v>
      </c>
      <c r="G42" s="0" t="s">
        <v>481</v>
      </c>
      <c r="H42" s="0" t="n">
        <f aca="false">ROUNDUP(F42/Inputs!$B$9,0)</f>
        <v>15</v>
      </c>
      <c r="I42" s="0" t="s">
        <v>482</v>
      </c>
    </row>
    <row r="43" customFormat="false" ht="15" hidden="false" customHeight="false" outlineLevel="0" collapsed="false">
      <c r="A43" s="0" t="s">
        <v>485</v>
      </c>
      <c r="B43" s="0" t="s">
        <v>437</v>
      </c>
      <c r="C43" s="0" t="n">
        <v>238.01</v>
      </c>
      <c r="D43" s="0" t="n">
        <f aca="false">Inputs!$B$6</f>
        <v>0.06</v>
      </c>
      <c r="E43" s="0" t="n">
        <f aca="false">C43*D43</f>
        <v>14.2806</v>
      </c>
      <c r="F43" s="0" t="n">
        <f aca="false">C43+E43</f>
        <v>252.2906</v>
      </c>
      <c r="G43" s="0" t="s">
        <v>481</v>
      </c>
      <c r="H43" s="0" t="n">
        <f aca="false">ROUNDUP(F43/Inputs!$B$9,0)</f>
        <v>6</v>
      </c>
      <c r="I43" s="0" t="s">
        <v>482</v>
      </c>
    </row>
    <row r="44" customFormat="false" ht="15" hidden="false" customHeight="false" outlineLevel="0" collapsed="false">
      <c r="A44" s="0" t="s">
        <v>486</v>
      </c>
      <c r="B44" s="0" t="s">
        <v>437</v>
      </c>
      <c r="C44" s="0" t="n">
        <v>7.25</v>
      </c>
      <c r="D44" s="0" t="n">
        <f aca="false">Inputs!$B$6</f>
        <v>0.06</v>
      </c>
      <c r="E44" s="0" t="n">
        <f aca="false">C44*D44</f>
        <v>0.435</v>
      </c>
      <c r="F44" s="0" t="n">
        <f aca="false">C44+E44</f>
        <v>7.685</v>
      </c>
      <c r="G44" s="0" t="s">
        <v>481</v>
      </c>
      <c r="H44" s="0" t="n">
        <f aca="false">ROUNDUP(F44/Inputs!$B$9,0)</f>
        <v>1</v>
      </c>
      <c r="I44" s="0" t="s">
        <v>482</v>
      </c>
    </row>
    <row r="45" customFormat="false" ht="15" hidden="false" customHeight="false" outlineLevel="0" collapsed="false">
      <c r="A45" s="0" t="s">
        <v>487</v>
      </c>
      <c r="B45" s="0" t="s">
        <v>408</v>
      </c>
      <c r="C45" s="0" t="n">
        <v>216.74</v>
      </c>
      <c r="D45" s="0" t="n">
        <f aca="false">Inputs!$B$6</f>
        <v>0.06</v>
      </c>
      <c r="E45" s="0" t="n">
        <f aca="false">C45*D45</f>
        <v>13.0044</v>
      </c>
      <c r="F45" s="0" t="n">
        <f aca="false">C45+E45</f>
        <v>229.7444</v>
      </c>
      <c r="G45" s="0" t="s">
        <v>488</v>
      </c>
      <c r="H45" s="0" t="n">
        <f aca="false">ROUNDUP(F45/Inputs!$B$15,0)</f>
        <v>10</v>
      </c>
      <c r="I45" s="0" t="s">
        <v>489</v>
      </c>
    </row>
    <row r="46" customFormat="false" ht="15" hidden="false" customHeight="false" outlineLevel="0" collapsed="false">
      <c r="A46" s="0" t="s">
        <v>490</v>
      </c>
      <c r="B46" s="0" t="s">
        <v>491</v>
      </c>
      <c r="C46" s="0" t="n">
        <v>113</v>
      </c>
      <c r="D46" s="0" t="n">
        <v>0</v>
      </c>
      <c r="E46" s="0" t="n">
        <f aca="false">C46*D46</f>
        <v>0</v>
      </c>
      <c r="F46" s="0" t="n">
        <f aca="false">C46+E46</f>
        <v>113</v>
      </c>
      <c r="H46" s="0" t="n">
        <f aca="false">ROUNDUP(F46,0)</f>
        <v>113</v>
      </c>
      <c r="I46" s="0" t="s">
        <v>492</v>
      </c>
    </row>
    <row r="47" customFormat="false" ht="15" hidden="false" customHeight="false" outlineLevel="0" collapsed="false">
      <c r="A47" s="0" t="s">
        <v>493</v>
      </c>
      <c r="B47" s="0" t="s">
        <v>408</v>
      </c>
      <c r="C47" s="0" t="n">
        <v>56</v>
      </c>
      <c r="D47" s="0" t="n">
        <f aca="false">Inputs!$B$5</f>
        <v>0.15</v>
      </c>
      <c r="E47" s="0" t="n">
        <f aca="false">C47*D47</f>
        <v>8.4</v>
      </c>
      <c r="F47" s="0" t="n">
        <f aca="false">C47+E47</f>
        <v>64.4</v>
      </c>
      <c r="G47" s="0" t="s">
        <v>418</v>
      </c>
      <c r="H47" s="0" t="n">
        <f aca="false">ROUNDUP(F47/Inputs!$B$11,0)</f>
        <v>7</v>
      </c>
      <c r="I47" s="0" t="s">
        <v>494</v>
      </c>
    </row>
    <row r="48" customFormat="false" ht="15" hidden="false" customHeight="false" outlineLevel="0" collapsed="false">
      <c r="A48" s="0" t="s">
        <v>495</v>
      </c>
      <c r="B48" s="0" t="s">
        <v>491</v>
      </c>
      <c r="C48" s="0" t="n">
        <v>24</v>
      </c>
      <c r="D48" s="0" t="n">
        <v>0</v>
      </c>
      <c r="E48" s="0" t="n">
        <f aca="false">C48*D48</f>
        <v>0</v>
      </c>
      <c r="F48" s="0" t="n">
        <f aca="false">C48+E48</f>
        <v>24</v>
      </c>
      <c r="G48" s="0" t="s">
        <v>496</v>
      </c>
      <c r="H48" s="0" t="n">
        <f aca="false">ROUNDUP(F48,0)</f>
        <v>24</v>
      </c>
      <c r="I48" s="0" t="s">
        <v>497</v>
      </c>
    </row>
    <row r="49" customFormat="false" ht="15" hidden="false" customHeight="false" outlineLevel="0" collapsed="false">
      <c r="A49" s="0" t="s">
        <v>498</v>
      </c>
      <c r="B49" s="0" t="s">
        <v>408</v>
      </c>
      <c r="C49" s="0" t="n">
        <v>28.25</v>
      </c>
      <c r="D49" s="0" t="n">
        <f aca="false">Inputs!$B$5</f>
        <v>0.15</v>
      </c>
      <c r="E49" s="0" t="n">
        <f aca="false">C49*D49</f>
        <v>4.2375</v>
      </c>
      <c r="F49" s="0" t="n">
        <f aca="false">C49+E49</f>
        <v>32.4875</v>
      </c>
      <c r="G49" s="0" t="s">
        <v>409</v>
      </c>
      <c r="H49" s="0" t="n">
        <f aca="false">ROUNDUP(F49/Inputs!$B$10,0)</f>
        <v>2</v>
      </c>
      <c r="I49" s="0" t="s">
        <v>499</v>
      </c>
    </row>
    <row r="50" customFormat="false" ht="15" hidden="false" customHeight="false" outlineLevel="0" collapsed="false">
      <c r="A50" s="0" t="s">
        <v>500</v>
      </c>
      <c r="B50" s="0" t="s">
        <v>408</v>
      </c>
      <c r="C50" s="0" t="n">
        <v>10.43</v>
      </c>
      <c r="D50" s="0" t="n">
        <f aca="false">Inputs!$B$5</f>
        <v>0.15</v>
      </c>
      <c r="E50" s="0" t="n">
        <f aca="false">C50*D50</f>
        <v>1.5645</v>
      </c>
      <c r="F50" s="0" t="n">
        <f aca="false">C50+E50</f>
        <v>11.9945</v>
      </c>
      <c r="G50" s="0" t="s">
        <v>409</v>
      </c>
      <c r="H50" s="0" t="n">
        <f aca="false">ROUNDUP(F50/Inputs!$B$10,0)</f>
        <v>1</v>
      </c>
      <c r="I50" s="0" t="s">
        <v>501</v>
      </c>
    </row>
    <row r="51" customFormat="false" ht="15" hidden="false" customHeight="false" outlineLevel="0" collapsed="false">
      <c r="A51" s="0" t="s">
        <v>502</v>
      </c>
      <c r="B51" s="0" t="s">
        <v>437</v>
      </c>
      <c r="C51" s="0" t="n">
        <v>67.16</v>
      </c>
      <c r="D51" s="0" t="n">
        <f aca="false">Inputs!$B$6</f>
        <v>0.06</v>
      </c>
      <c r="E51" s="0" t="n">
        <f aca="false">C51*D51</f>
        <v>4.0296</v>
      </c>
      <c r="F51" s="0" t="n">
        <f aca="false">C51+E51</f>
        <v>71.1896</v>
      </c>
      <c r="G51" s="0" t="s">
        <v>481</v>
      </c>
      <c r="H51" s="0" t="n">
        <f aca="false">ROUNDUP(F51/Inputs!$B$9,0)</f>
        <v>2</v>
      </c>
      <c r="I51" s="0" t="s">
        <v>503</v>
      </c>
    </row>
    <row r="52" customFormat="false" ht="15" hidden="false" customHeight="false" outlineLevel="0" collapsed="false">
      <c r="A52" s="0" t="s">
        <v>504</v>
      </c>
      <c r="B52" s="0" t="s">
        <v>408</v>
      </c>
      <c r="C52" s="0" t="n">
        <v>219.5</v>
      </c>
      <c r="D52" s="0" t="n">
        <f aca="false">Inputs!$B$6</f>
        <v>0.06</v>
      </c>
      <c r="E52" s="0" t="n">
        <f aca="false">C52*D52</f>
        <v>13.17</v>
      </c>
      <c r="F52" s="0" t="n">
        <f aca="false">C52+E52</f>
        <v>232.67</v>
      </c>
      <c r="G52" s="0" t="s">
        <v>455</v>
      </c>
      <c r="H52" s="0" t="n">
        <f aca="false">ROUNDUP(F52/Inputs!$B$18,0)</f>
        <v>24</v>
      </c>
      <c r="I52" s="0" t="s">
        <v>505</v>
      </c>
    </row>
    <row r="53" customFormat="false" ht="15" hidden="false" customHeight="false" outlineLevel="0" collapsed="false">
      <c r="A53" s="0" t="s">
        <v>506</v>
      </c>
      <c r="B53" s="0" t="s">
        <v>491</v>
      </c>
      <c r="C53" s="0" t="n">
        <v>291</v>
      </c>
      <c r="D53" s="0" t="n">
        <v>0</v>
      </c>
      <c r="E53" s="0" t="n">
        <f aca="false">C53*D53</f>
        <v>0</v>
      </c>
      <c r="F53" s="0" t="n">
        <f aca="false">C53+E53</f>
        <v>291</v>
      </c>
      <c r="G53" s="0" t="s">
        <v>496</v>
      </c>
      <c r="H53" s="0" t="n">
        <f aca="false">ROUNDUP(F53,0)</f>
        <v>291</v>
      </c>
      <c r="I53" s="0" t="s">
        <v>507</v>
      </c>
    </row>
    <row r="54" customFormat="false" ht="15" hidden="false" customHeight="false" outlineLevel="0" collapsed="false">
      <c r="A54" s="0" t="s">
        <v>508</v>
      </c>
      <c r="B54" s="0" t="s">
        <v>491</v>
      </c>
      <c r="C54" s="0" t="n">
        <v>1</v>
      </c>
      <c r="D54" s="0" t="n">
        <v>0</v>
      </c>
      <c r="E54" s="0" t="n">
        <f aca="false">C54*D54</f>
        <v>0</v>
      </c>
      <c r="F54" s="0" t="n">
        <f aca="false">C54+E54</f>
        <v>1</v>
      </c>
      <c r="G54" s="0" t="s">
        <v>496</v>
      </c>
      <c r="H54" s="0" t="n">
        <f aca="false">ROUNDUP(F54,0)</f>
        <v>1</v>
      </c>
      <c r="I54" s="0" t="s">
        <v>509</v>
      </c>
    </row>
    <row r="55" customFormat="false" ht="15" hidden="false" customHeight="false" outlineLevel="0" collapsed="false">
      <c r="A55" s="0" t="s">
        <v>510</v>
      </c>
      <c r="B55" s="0" t="s">
        <v>491</v>
      </c>
      <c r="C55" s="0" t="n">
        <v>21276.94</v>
      </c>
      <c r="D55" s="0" t="n">
        <v>0</v>
      </c>
      <c r="E55" s="0" t="n">
        <f aca="false">C55*D55</f>
        <v>0</v>
      </c>
      <c r="F55" s="0" t="n">
        <f aca="false">C55+E55</f>
        <v>21276.94</v>
      </c>
      <c r="G55" s="0" t="s">
        <v>496</v>
      </c>
      <c r="H55" s="0" t="n">
        <f aca="false">ROUNDUP(F55,0)</f>
        <v>21277</v>
      </c>
      <c r="I55" s="0" t="s">
        <v>511</v>
      </c>
      <c r="J55" s="0" t="n">
        <f aca="false">Inputs!$B$20*17730.8</f>
        <v>21276.96</v>
      </c>
    </row>
    <row r="56" customFormat="false" ht="15" hidden="false" customHeight="false" outlineLevel="0" collapsed="false">
      <c r="A56" s="0" t="s">
        <v>512</v>
      </c>
      <c r="B56" s="0" t="s">
        <v>491</v>
      </c>
      <c r="C56" s="0" t="n">
        <v>7692</v>
      </c>
      <c r="D56" s="0" t="n">
        <v>0</v>
      </c>
      <c r="E56" s="0" t="n">
        <f aca="false">C56*D56</f>
        <v>0</v>
      </c>
      <c r="F56" s="0" t="n">
        <f aca="false">C56+E56</f>
        <v>7692</v>
      </c>
      <c r="G56" s="0" t="s">
        <v>496</v>
      </c>
      <c r="H56" s="0" t="n">
        <f aca="false">ROUNDUP(F56,0)</f>
        <v>7692</v>
      </c>
      <c r="I56" s="0" t="s">
        <v>513</v>
      </c>
      <c r="J56" s="0" t="n">
        <f aca="false">Inputs!$B$21*1923</f>
        <v>7692</v>
      </c>
    </row>
    <row r="57" customFormat="false" ht="15" hidden="false" customHeight="false" outlineLevel="0" collapsed="false">
      <c r="A57" s="0" t="s">
        <v>514</v>
      </c>
      <c r="B57" s="0" t="s">
        <v>491</v>
      </c>
      <c r="C57" s="0" t="n">
        <v>534.52</v>
      </c>
      <c r="D57" s="0" t="n">
        <v>0</v>
      </c>
      <c r="E57" s="0" t="n">
        <f aca="false">C57*D57</f>
        <v>0</v>
      </c>
      <c r="F57" s="0" t="n">
        <f aca="false">C57+E57</f>
        <v>534.52</v>
      </c>
      <c r="G57" s="0" t="s">
        <v>496</v>
      </c>
      <c r="H57" s="0" t="n">
        <f aca="false">ROUNDUP(F57,0)</f>
        <v>535</v>
      </c>
      <c r="I57" s="0" t="s">
        <v>515</v>
      </c>
      <c r="J57" s="0" t="n">
        <f aca="false">534.52/Inputs!$B$22</f>
        <v>534.52</v>
      </c>
    </row>
    <row r="58" customFormat="false" ht="15" hidden="false" customHeight="false" outlineLevel="0" collapsed="false">
      <c r="A58" s="0" t="s">
        <v>516</v>
      </c>
      <c r="B58" s="0" t="s">
        <v>491</v>
      </c>
      <c r="C58" s="0" t="n">
        <v>586</v>
      </c>
      <c r="D58" s="0" t="n">
        <v>0</v>
      </c>
      <c r="E58" s="0" t="n">
        <f aca="false">C58*D58</f>
        <v>0</v>
      </c>
      <c r="F58" s="0" t="n">
        <f aca="false">C58+E58</f>
        <v>586</v>
      </c>
      <c r="G58" s="0" t="s">
        <v>496</v>
      </c>
      <c r="H58" s="0" t="n">
        <f aca="false">ROUNDUP(F58,0)</f>
        <v>586</v>
      </c>
      <c r="I58" s="0" t="s">
        <v>517</v>
      </c>
      <c r="J58" s="0" t="n">
        <f aca="false">390.67/Inputs!$B$25</f>
        <v>585.975701214939</v>
      </c>
    </row>
    <row r="59" customFormat="false" ht="15" hidden="false" customHeight="false" outlineLevel="0" collapsed="false">
      <c r="A59" s="0" t="s">
        <v>518</v>
      </c>
      <c r="B59" s="0" t="s">
        <v>519</v>
      </c>
      <c r="C59" s="0" t="n">
        <v>1276.62</v>
      </c>
      <c r="D59" s="0" t="n">
        <v>0</v>
      </c>
      <c r="E59" s="0" t="n">
        <f aca="false">C59*D59</f>
        <v>0</v>
      </c>
      <c r="F59" s="0" t="n">
        <f aca="false">C59+E59</f>
        <v>1276.62</v>
      </c>
      <c r="G59" s="0" t="s">
        <v>520</v>
      </c>
      <c r="H59" s="0" t="n">
        <f aca="false">ROUNDUP(F59,0)</f>
        <v>1277</v>
      </c>
      <c r="I59" s="0" t="s">
        <v>521</v>
      </c>
      <c r="J59" s="0" t="n">
        <f aca="false">Inputs!$B$23*17730.8</f>
        <v>1276.6176</v>
      </c>
    </row>
    <row r="60" customFormat="false" ht="15" hidden="false" customHeight="false" outlineLevel="0" collapsed="false">
      <c r="A60" s="0" t="s">
        <v>522</v>
      </c>
      <c r="B60" s="0" t="s">
        <v>408</v>
      </c>
      <c r="C60" s="0" t="n">
        <v>6560.39</v>
      </c>
      <c r="D60" s="0" t="n">
        <v>0</v>
      </c>
      <c r="E60" s="0" t="n">
        <f aca="false">C60*D60</f>
        <v>0</v>
      </c>
      <c r="F60" s="0" t="n">
        <f aca="false">C60+E60</f>
        <v>6560.39</v>
      </c>
      <c r="G60" s="0" t="s">
        <v>408</v>
      </c>
      <c r="H60" s="0" t="n">
        <f aca="false">ROUNDUP(F60,0)</f>
        <v>6561</v>
      </c>
      <c r="I60" s="0" t="s">
        <v>523</v>
      </c>
      <c r="J60" s="0" t="n">
        <f aca="false">Inputs!$B$24*17730.8</f>
        <v>6560.396</v>
      </c>
    </row>
    <row r="61" customFormat="false" ht="15" hidden="false" customHeight="false" outlineLevel="0" collapsed="false">
      <c r="A61" s="0" t="s">
        <v>524</v>
      </c>
      <c r="B61" s="0" t="s">
        <v>437</v>
      </c>
      <c r="C61" s="0" t="n">
        <v>859.26</v>
      </c>
      <c r="D61" s="0" t="n">
        <f aca="false">Inputs!$B$6</f>
        <v>0.06</v>
      </c>
      <c r="E61" s="0" t="n">
        <f aca="false">C61*D61</f>
        <v>51.5556</v>
      </c>
      <c r="F61" s="0" t="n">
        <f aca="false">C61+E61</f>
        <v>910.8156</v>
      </c>
      <c r="G61" s="0" t="s">
        <v>437</v>
      </c>
      <c r="H61" s="0" t="n">
        <f aca="false">ROUNDUP(F61,0)</f>
        <v>911</v>
      </c>
      <c r="I61" s="0" t="s">
        <v>525</v>
      </c>
    </row>
    <row r="62" customFormat="false" ht="15" hidden="false" customHeight="false" outlineLevel="0" collapsed="false">
      <c r="A62" s="0" t="s">
        <v>526</v>
      </c>
      <c r="B62" s="0" t="s">
        <v>491</v>
      </c>
      <c r="C62" s="0" t="n">
        <v>0</v>
      </c>
      <c r="D62" s="0" t="n">
        <v>0</v>
      </c>
      <c r="E62" s="0" t="n">
        <f aca="false">C62*D62</f>
        <v>0</v>
      </c>
      <c r="F62" s="0" t="n">
        <f aca="false">C62+E62</f>
        <v>0</v>
      </c>
      <c r="G62" s="0" t="s">
        <v>496</v>
      </c>
      <c r="H62" s="0" t="n">
        <f aca="false">ROUNDUP(F62,0)</f>
        <v>0</v>
      </c>
      <c r="I62" s="0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528</v>
      </c>
      <c r="B1" s="2" t="s">
        <v>529</v>
      </c>
      <c r="C1" s="2" t="s">
        <v>530</v>
      </c>
    </row>
    <row r="2" customFormat="false" ht="15" hidden="false" customHeight="false" outlineLevel="0" collapsed="false">
      <c r="A2" s="0" t="s">
        <v>531</v>
      </c>
      <c r="B2" s="0" t="s">
        <v>532</v>
      </c>
      <c r="C2" s="0" t="s">
        <v>533</v>
      </c>
    </row>
    <row r="3" customFormat="false" ht="15" hidden="false" customHeight="false" outlineLevel="0" collapsed="false">
      <c r="A3" s="0" t="s">
        <v>534</v>
      </c>
      <c r="B3" s="0" t="s">
        <v>535</v>
      </c>
      <c r="C3" s="0" t="s">
        <v>536</v>
      </c>
    </row>
    <row r="4" customFormat="false" ht="15" hidden="false" customHeight="false" outlineLevel="0" collapsed="false">
      <c r="A4" s="0" t="s">
        <v>537</v>
      </c>
      <c r="B4" s="0" t="s">
        <v>538</v>
      </c>
      <c r="C4" s="0" t="s">
        <v>539</v>
      </c>
    </row>
    <row r="5" customFormat="false" ht="15" hidden="false" customHeight="false" outlineLevel="0" collapsed="false">
      <c r="A5" s="0" t="s">
        <v>540</v>
      </c>
      <c r="B5" s="0" t="s">
        <v>541</v>
      </c>
      <c r="C5" s="0" t="s">
        <v>542</v>
      </c>
    </row>
    <row r="6" customFormat="false" ht="15" hidden="false" customHeight="false" outlineLevel="0" collapsed="false">
      <c r="A6" s="0" t="s">
        <v>543</v>
      </c>
      <c r="B6" s="0" t="s">
        <v>544</v>
      </c>
      <c r="C6" s="0" t="s">
        <v>545</v>
      </c>
    </row>
    <row r="7" customFormat="false" ht="15" hidden="false" customHeight="false" outlineLevel="0" collapsed="false">
      <c r="A7" s="0" t="s">
        <v>546</v>
      </c>
      <c r="B7" s="0" t="s">
        <v>547</v>
      </c>
      <c r="C7" s="0" t="s">
        <v>548</v>
      </c>
    </row>
    <row r="8" customFormat="false" ht="15" hidden="false" customHeight="false" outlineLevel="0" collapsed="false">
      <c r="A8" s="0" t="s">
        <v>549</v>
      </c>
      <c r="B8" s="0" t="s">
        <v>550</v>
      </c>
      <c r="C8" s="0" t="s">
        <v>551</v>
      </c>
    </row>
    <row r="9" customFormat="false" ht="15" hidden="false" customHeight="false" outlineLevel="0" collapsed="false">
      <c r="A9" s="0" t="s">
        <v>552</v>
      </c>
      <c r="B9" s="0" t="s">
        <v>553</v>
      </c>
      <c r="C9" s="0" t="s">
        <v>554</v>
      </c>
    </row>
    <row r="10" customFormat="false" ht="15" hidden="false" customHeight="false" outlineLevel="0" collapsed="false">
      <c r="A10" s="0" t="s">
        <v>555</v>
      </c>
      <c r="B10" s="0" t="s">
        <v>556</v>
      </c>
      <c r="C10" s="0" t="s">
        <v>557</v>
      </c>
    </row>
    <row r="11" customFormat="false" ht="15" hidden="false" customHeight="false" outlineLevel="0" collapsed="false">
      <c r="A11" s="0" t="s">
        <v>558</v>
      </c>
      <c r="B11" s="0" t="s">
        <v>559</v>
      </c>
      <c r="C11" s="0" t="s">
        <v>560</v>
      </c>
    </row>
    <row r="12" customFormat="false" ht="15" hidden="false" customHeight="false" outlineLevel="0" collapsed="false">
      <c r="A12" s="0" t="s">
        <v>561</v>
      </c>
      <c r="B12" s="0" t="s">
        <v>562</v>
      </c>
      <c r="C12" s="0" t="s">
        <v>563</v>
      </c>
    </row>
    <row r="13" customFormat="false" ht="15" hidden="false" customHeight="false" outlineLevel="0" collapsed="false">
      <c r="A13" s="0" t="s">
        <v>564</v>
      </c>
      <c r="B13" s="0" t="s">
        <v>565</v>
      </c>
      <c r="C13" s="0" t="s">
        <v>566</v>
      </c>
    </row>
    <row r="14" customFormat="false" ht="15" hidden="false" customHeight="false" outlineLevel="0" collapsed="false">
      <c r="A14" s="0" t="s">
        <v>567</v>
      </c>
      <c r="B14" s="0" t="s">
        <v>568</v>
      </c>
      <c r="C14" s="0" t="s">
        <v>569</v>
      </c>
    </row>
    <row r="15" customFormat="false" ht="15" hidden="false" customHeight="false" outlineLevel="0" collapsed="false">
      <c r="A15" s="0" t="s">
        <v>570</v>
      </c>
      <c r="B15" s="0" t="s">
        <v>571</v>
      </c>
      <c r="C15" s="0" t="s">
        <v>572</v>
      </c>
    </row>
    <row r="16" customFormat="false" ht="15" hidden="false" customHeight="false" outlineLevel="0" collapsed="false">
      <c r="A16" s="0" t="s">
        <v>573</v>
      </c>
      <c r="B16" s="0" t="s">
        <v>574</v>
      </c>
      <c r="C16" s="0" t="s">
        <v>575</v>
      </c>
    </row>
    <row r="17" customFormat="false" ht="15" hidden="false" customHeight="false" outlineLevel="0" collapsed="false">
      <c r="A17" s="0" t="s">
        <v>576</v>
      </c>
      <c r="B17" s="0" t="s">
        <v>577</v>
      </c>
      <c r="C17" s="0" t="s">
        <v>578</v>
      </c>
    </row>
    <row r="18" customFormat="false" ht="15" hidden="false" customHeight="false" outlineLevel="0" collapsed="false">
      <c r="A18" s="0" t="s">
        <v>579</v>
      </c>
      <c r="B18" s="0" t="s">
        <v>580</v>
      </c>
      <c r="C18" s="0" t="s">
        <v>581</v>
      </c>
    </row>
    <row r="19" customFormat="false" ht="15" hidden="false" customHeight="false" outlineLevel="0" collapsed="false">
      <c r="A19" s="0" t="s">
        <v>582</v>
      </c>
      <c r="B19" s="0" t="s">
        <v>583</v>
      </c>
      <c r="C19" s="0" t="s">
        <v>584</v>
      </c>
    </row>
    <row r="20" customFormat="false" ht="15" hidden="false" customHeight="false" outlineLevel="0" collapsed="false">
      <c r="A20" s="0" t="s">
        <v>585</v>
      </c>
      <c r="B20" s="0" t="s">
        <v>586</v>
      </c>
      <c r="C20" s="0" t="s">
        <v>587</v>
      </c>
    </row>
    <row r="21" customFormat="false" ht="15" hidden="false" customHeight="false" outlineLevel="0" collapsed="false">
      <c r="A21" s="0" t="s">
        <v>588</v>
      </c>
      <c r="B21" s="0" t="s">
        <v>589</v>
      </c>
      <c r="C21" s="0" t="s">
        <v>590</v>
      </c>
    </row>
    <row r="22" customFormat="false" ht="15" hidden="false" customHeight="false" outlineLevel="0" collapsed="false">
      <c r="A22" s="0" t="s">
        <v>591</v>
      </c>
      <c r="B22" s="0" t="s">
        <v>592</v>
      </c>
      <c r="C22" s="0" t="s">
        <v>593</v>
      </c>
    </row>
    <row r="23" customFormat="false" ht="15" hidden="false" customHeight="false" outlineLevel="0" collapsed="false">
      <c r="A23" s="0" t="s">
        <v>594</v>
      </c>
      <c r="B23" s="0" t="s">
        <v>595</v>
      </c>
      <c r="C23" s="0" t="s">
        <v>596</v>
      </c>
    </row>
    <row r="24" customFormat="false" ht="15" hidden="false" customHeight="false" outlineLevel="0" collapsed="false">
      <c r="A24" s="0" t="s">
        <v>597</v>
      </c>
      <c r="B24" s="0" t="s">
        <v>598</v>
      </c>
      <c r="C24" s="0" t="s">
        <v>599</v>
      </c>
    </row>
    <row r="25" customFormat="false" ht="15" hidden="false" customHeight="false" outlineLevel="0" collapsed="false">
      <c r="A25" s="0" t="s">
        <v>600</v>
      </c>
      <c r="B25" s="0" t="s">
        <v>601</v>
      </c>
      <c r="C25" s="0" t="s">
        <v>602</v>
      </c>
    </row>
    <row r="26" customFormat="false" ht="15" hidden="false" customHeight="false" outlineLevel="0" collapsed="false">
      <c r="A26" s="0" t="s">
        <v>603</v>
      </c>
      <c r="B26" s="0" t="s">
        <v>604</v>
      </c>
      <c r="C26" s="0" t="s">
        <v>605</v>
      </c>
    </row>
    <row r="27" customFormat="false" ht="15" hidden="false" customHeight="false" outlineLevel="0" collapsed="false">
      <c r="A27" s="0" t="s">
        <v>606</v>
      </c>
      <c r="B27" s="0" t="s">
        <v>607</v>
      </c>
      <c r="C27" s="0" t="s">
        <v>608</v>
      </c>
    </row>
    <row r="28" customFormat="false" ht="15" hidden="false" customHeight="false" outlineLevel="0" collapsed="false">
      <c r="A28" s="0" t="s">
        <v>609</v>
      </c>
      <c r="B28" s="0" t="s">
        <v>610</v>
      </c>
      <c r="C28" s="0" t="s">
        <v>611</v>
      </c>
    </row>
    <row r="29" customFormat="false" ht="15" hidden="false" customHeight="false" outlineLevel="0" collapsed="false">
      <c r="A29" s="0" t="s">
        <v>612</v>
      </c>
      <c r="B29" s="0" t="s">
        <v>613</v>
      </c>
      <c r="C29" s="0" t="s">
        <v>614</v>
      </c>
    </row>
    <row r="30" customFormat="false" ht="15" hidden="false" customHeight="false" outlineLevel="0" collapsed="false">
      <c r="A30" s="0" t="s">
        <v>615</v>
      </c>
      <c r="B30" s="0" t="s">
        <v>616</v>
      </c>
      <c r="C30" s="0" t="s">
        <v>617</v>
      </c>
    </row>
    <row r="31" customFormat="false" ht="15" hidden="false" customHeight="false" outlineLevel="0" collapsed="false">
      <c r="A31" s="0" t="s">
        <v>618</v>
      </c>
      <c r="B31" s="0" t="s">
        <v>619</v>
      </c>
      <c r="C31" s="0" t="s">
        <v>620</v>
      </c>
    </row>
    <row r="32" customFormat="false" ht="15" hidden="false" customHeight="false" outlineLevel="0" collapsed="false">
      <c r="A32" s="0" t="s">
        <v>621</v>
      </c>
      <c r="B32" s="0" t="s">
        <v>622</v>
      </c>
      <c r="C32" s="0" t="s">
        <v>623</v>
      </c>
    </row>
    <row r="33" customFormat="false" ht="15" hidden="false" customHeight="false" outlineLevel="0" collapsed="false">
      <c r="A33" s="0" t="s">
        <v>624</v>
      </c>
      <c r="B33" s="0" t="s">
        <v>625</v>
      </c>
      <c r="C33" s="0" t="s">
        <v>626</v>
      </c>
    </row>
    <row r="34" customFormat="false" ht="15" hidden="false" customHeight="false" outlineLevel="0" collapsed="false">
      <c r="A34" s="0" t="s">
        <v>627</v>
      </c>
      <c r="B34" s="0" t="s">
        <v>628</v>
      </c>
      <c r="C34" s="0" t="s">
        <v>629</v>
      </c>
    </row>
    <row r="35" customFormat="false" ht="15" hidden="false" customHeight="false" outlineLevel="0" collapsed="false">
      <c r="A35" s="0" t="s">
        <v>630</v>
      </c>
      <c r="B35" s="0" t="s">
        <v>631</v>
      </c>
      <c r="C35" s="0" t="s">
        <v>632</v>
      </c>
    </row>
    <row r="36" customFormat="false" ht="15" hidden="false" customHeight="false" outlineLevel="0" collapsed="false">
      <c r="A36" s="0" t="s">
        <v>633</v>
      </c>
      <c r="B36" s="0" t="s">
        <v>634</v>
      </c>
      <c r="C36" s="0" t="s">
        <v>635</v>
      </c>
    </row>
    <row r="37" customFormat="false" ht="15" hidden="false" customHeight="false" outlineLevel="0" collapsed="false">
      <c r="A37" s="0" t="s">
        <v>636</v>
      </c>
      <c r="B37" s="0" t="s">
        <v>637</v>
      </c>
      <c r="C37" s="0" t="s">
        <v>638</v>
      </c>
    </row>
    <row r="38" customFormat="false" ht="15" hidden="false" customHeight="false" outlineLevel="0" collapsed="false">
      <c r="A38" s="0" t="s">
        <v>639</v>
      </c>
      <c r="B38" s="0" t="s">
        <v>640</v>
      </c>
      <c r="C38" s="0" t="s">
        <v>641</v>
      </c>
    </row>
    <row r="39" customFormat="false" ht="15" hidden="false" customHeight="false" outlineLevel="0" collapsed="false">
      <c r="A39" s="0" t="s">
        <v>642</v>
      </c>
      <c r="B39" s="0" t="s">
        <v>643</v>
      </c>
      <c r="C39" s="0" t="s">
        <v>644</v>
      </c>
    </row>
    <row r="40" customFormat="false" ht="15" hidden="false" customHeight="false" outlineLevel="0" collapsed="false">
      <c r="A40" s="0" t="s">
        <v>645</v>
      </c>
      <c r="B40" s="0" t="s">
        <v>646</v>
      </c>
      <c r="C40" s="0" t="s">
        <v>647</v>
      </c>
    </row>
    <row r="41" customFormat="false" ht="15" hidden="false" customHeight="false" outlineLevel="0" collapsed="false">
      <c r="A41" s="0" t="s">
        <v>648</v>
      </c>
      <c r="B41" s="0" t="s">
        <v>649</v>
      </c>
      <c r="C41" s="0" t="s">
        <v>650</v>
      </c>
    </row>
    <row r="42" customFormat="false" ht="15" hidden="false" customHeight="false" outlineLevel="0" collapsed="false">
      <c r="A42" s="0" t="s">
        <v>651</v>
      </c>
      <c r="B42" s="0" t="s">
        <v>652</v>
      </c>
      <c r="C42" s="0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0" t="s">
        <v>654</v>
      </c>
    </row>
    <row r="2" customFormat="false" ht="15" hidden="false" customHeight="false" outlineLevel="0" collapsed="false">
      <c r="A2" s="0" t="s">
        <v>655</v>
      </c>
      <c r="B2" s="0" t="s">
        <v>656</v>
      </c>
      <c r="C2" s="0" t="s">
        <v>657</v>
      </c>
      <c r="D2" s="0" t="s">
        <v>658</v>
      </c>
      <c r="E2" s="0" t="s">
        <v>659</v>
      </c>
      <c r="F2" s="0" t="s">
        <v>660</v>
      </c>
    </row>
    <row r="3" customFormat="false" ht="15" hidden="false" customHeight="false" outlineLevel="0" collapsed="false">
      <c r="A3" s="0" t="s">
        <v>661</v>
      </c>
      <c r="B3" s="0" t="s">
        <v>662</v>
      </c>
      <c r="C3" s="0" t="s">
        <v>663</v>
      </c>
      <c r="D3" s="0" t="s">
        <v>664</v>
      </c>
      <c r="E3" s="0" t="s">
        <v>665</v>
      </c>
      <c r="F3" s="0" t="s">
        <v>666</v>
      </c>
    </row>
    <row r="4" customFormat="false" ht="15" hidden="false" customHeight="false" outlineLevel="0" collapsed="false">
      <c r="A4" s="0" t="s">
        <v>667</v>
      </c>
      <c r="B4" s="0" t="s">
        <v>662</v>
      </c>
      <c r="C4" s="0" t="s">
        <v>668</v>
      </c>
      <c r="D4" s="0" t="s">
        <v>669</v>
      </c>
      <c r="E4" s="0" t="s">
        <v>153</v>
      </c>
      <c r="F4" s="0" t="s">
        <v>670</v>
      </c>
    </row>
    <row r="5" customFormat="false" ht="15" hidden="false" customHeight="false" outlineLevel="0" collapsed="false">
      <c r="A5" s="0" t="s">
        <v>671</v>
      </c>
      <c r="B5" s="0" t="s">
        <v>662</v>
      </c>
      <c r="C5" s="0" t="s">
        <v>672</v>
      </c>
      <c r="D5" s="0" t="s">
        <v>673</v>
      </c>
      <c r="E5" s="0" t="s">
        <v>168</v>
      </c>
      <c r="F5" s="0" t="s">
        <v>674</v>
      </c>
    </row>
    <row r="6" customFormat="false" ht="15" hidden="false" customHeight="false" outlineLevel="0" collapsed="false">
      <c r="A6" s="0" t="s">
        <v>675</v>
      </c>
      <c r="B6" s="0" t="s">
        <v>662</v>
      </c>
      <c r="C6" s="0" t="s">
        <v>676</v>
      </c>
      <c r="D6" s="0" t="s">
        <v>677</v>
      </c>
      <c r="E6" s="0" t="s">
        <v>168</v>
      </c>
      <c r="F6" s="0" t="s">
        <v>678</v>
      </c>
    </row>
    <row r="7" customFormat="false" ht="15" hidden="false" customHeight="false" outlineLevel="0" collapsed="false">
      <c r="A7" s="0" t="s">
        <v>679</v>
      </c>
      <c r="B7" s="0" t="s">
        <v>662</v>
      </c>
      <c r="C7" s="0" t="s">
        <v>680</v>
      </c>
      <c r="D7" s="0" t="s">
        <v>681</v>
      </c>
      <c r="E7" s="0" t="s">
        <v>153</v>
      </c>
      <c r="F7" s="0" t="s">
        <v>682</v>
      </c>
    </row>
    <row r="8" customFormat="false" ht="15" hidden="false" customHeight="false" outlineLevel="0" collapsed="false">
      <c r="A8" s="0" t="s">
        <v>683</v>
      </c>
      <c r="B8" s="0" t="s">
        <v>662</v>
      </c>
      <c r="C8" s="0" t="s">
        <v>684</v>
      </c>
      <c r="D8" s="0" t="s">
        <v>685</v>
      </c>
      <c r="E8" s="0" t="s">
        <v>229</v>
      </c>
      <c r="F8" s="0" t="s">
        <v>686</v>
      </c>
    </row>
    <row r="9" customFormat="false" ht="15" hidden="false" customHeight="false" outlineLevel="0" collapsed="false">
      <c r="A9" s="0" t="s">
        <v>687</v>
      </c>
      <c r="B9" s="0" t="s">
        <v>662</v>
      </c>
      <c r="C9" s="0" t="s">
        <v>688</v>
      </c>
      <c r="D9" s="0" t="s">
        <v>689</v>
      </c>
      <c r="E9" s="0" t="s">
        <v>82</v>
      </c>
      <c r="F9" s="0" t="s">
        <v>690</v>
      </c>
    </row>
    <row r="10" customFormat="false" ht="15" hidden="false" customHeight="false" outlineLevel="0" collapsed="false">
      <c r="A10" s="0" t="s">
        <v>691</v>
      </c>
      <c r="B10" s="0" t="s">
        <v>662</v>
      </c>
      <c r="C10" s="0" t="s">
        <v>688</v>
      </c>
      <c r="D10" s="0" t="s">
        <v>692</v>
      </c>
      <c r="E10" s="0" t="s">
        <v>65</v>
      </c>
      <c r="F10" s="0" t="s">
        <v>693</v>
      </c>
    </row>
    <row r="11" customFormat="false" ht="15" hidden="false" customHeight="false" outlineLevel="0" collapsed="false">
      <c r="A11" s="0" t="s">
        <v>694</v>
      </c>
      <c r="B11" s="0" t="s">
        <v>662</v>
      </c>
      <c r="C11" s="0" t="s">
        <v>695</v>
      </c>
      <c r="D11" s="0" t="s">
        <v>696</v>
      </c>
      <c r="E11" s="0" t="s">
        <v>284</v>
      </c>
      <c r="F11" s="0" t="s">
        <v>697</v>
      </c>
    </row>
    <row r="12" customFormat="false" ht="15" hidden="false" customHeight="false" outlineLevel="0" collapsed="false">
      <c r="A12" s="0" t="s">
        <v>698</v>
      </c>
      <c r="B12" s="0" t="s">
        <v>662</v>
      </c>
      <c r="C12" s="0" t="s">
        <v>699</v>
      </c>
      <c r="D12" s="0" t="s">
        <v>700</v>
      </c>
      <c r="E12" s="0" t="s">
        <v>110</v>
      </c>
      <c r="F12" s="0" t="s">
        <v>701</v>
      </c>
    </row>
    <row r="13" customFormat="false" ht="15" hidden="false" customHeight="false" outlineLevel="0" collapsed="false">
      <c r="A13" s="0" t="s">
        <v>702</v>
      </c>
      <c r="B13" s="0" t="s">
        <v>662</v>
      </c>
      <c r="C13" s="0" t="s">
        <v>703</v>
      </c>
      <c r="D13" s="0" t="s">
        <v>704</v>
      </c>
      <c r="E13" s="0" t="s">
        <v>110</v>
      </c>
      <c r="F13" s="0" t="s">
        <v>705</v>
      </c>
    </row>
    <row r="14" customFormat="false" ht="15" hidden="false" customHeight="false" outlineLevel="0" collapsed="false">
      <c r="A14" s="0" t="s">
        <v>706</v>
      </c>
      <c r="B14" s="0" t="s">
        <v>707</v>
      </c>
      <c r="C14" s="0" t="n">
        <v>1</v>
      </c>
      <c r="D14" s="0" t="s">
        <v>708</v>
      </c>
      <c r="E14" s="0" t="s">
        <v>709</v>
      </c>
      <c r="F14" s="0" t="s">
        <v>710</v>
      </c>
    </row>
    <row r="15" customFormat="false" ht="15" hidden="false" customHeight="false" outlineLevel="0" collapsed="false">
      <c r="A15" s="0" t="s">
        <v>711</v>
      </c>
      <c r="B15" s="0" t="s">
        <v>707</v>
      </c>
      <c r="C15" s="0" t="n">
        <v>2</v>
      </c>
      <c r="D15" s="0" t="s">
        <v>712</v>
      </c>
      <c r="E15" s="0" t="s">
        <v>314</v>
      </c>
      <c r="F15" s="0" t="s">
        <v>713</v>
      </c>
    </row>
    <row r="16" customFormat="false" ht="15" hidden="false" customHeight="false" outlineLevel="0" collapsed="false">
      <c r="A16" s="0" t="s">
        <v>714</v>
      </c>
      <c r="B16" s="0" t="s">
        <v>707</v>
      </c>
      <c r="C16" s="0" t="n">
        <v>3</v>
      </c>
      <c r="D16" s="0" t="s">
        <v>715</v>
      </c>
      <c r="E16" s="0" t="s">
        <v>381</v>
      </c>
      <c r="F16" s="0" t="s">
        <v>716</v>
      </c>
    </row>
    <row r="17" customFormat="false" ht="15" hidden="false" customHeight="false" outlineLevel="0" collapsed="false">
      <c r="A17" s="0" t="s">
        <v>717</v>
      </c>
      <c r="B17" s="0" t="s">
        <v>707</v>
      </c>
      <c r="C17" s="0" t="n">
        <v>4</v>
      </c>
      <c r="D17" s="0" t="s">
        <v>718</v>
      </c>
      <c r="E17" s="0" t="s">
        <v>719</v>
      </c>
      <c r="F17" s="0" t="s">
        <v>720</v>
      </c>
    </row>
    <row r="18" customFormat="false" ht="15" hidden="false" customHeight="false" outlineLevel="0" collapsed="false">
      <c r="A18" s="0" t="s">
        <v>721</v>
      </c>
      <c r="B18" s="0" t="s">
        <v>707</v>
      </c>
      <c r="C18" s="0" t="n">
        <v>5</v>
      </c>
      <c r="D18" s="0" t="s">
        <v>722</v>
      </c>
      <c r="E18" s="0" t="s">
        <v>723</v>
      </c>
      <c r="F18" s="0" t="s">
        <v>724</v>
      </c>
    </row>
    <row r="19" customFormat="false" ht="15" hidden="false" customHeight="false" outlineLevel="0" collapsed="false">
      <c r="A19" s="0" t="s">
        <v>725</v>
      </c>
      <c r="B19" s="0" t="s">
        <v>707</v>
      </c>
      <c r="C19" s="0" t="n">
        <v>6</v>
      </c>
      <c r="D19" s="0" t="s">
        <v>726</v>
      </c>
      <c r="E19" s="0" t="s">
        <v>727</v>
      </c>
      <c r="F19" s="0" t="s">
        <v>728</v>
      </c>
    </row>
    <row r="20" customFormat="false" ht="15" hidden="false" customHeight="false" outlineLevel="0" collapsed="false">
      <c r="A20" s="0" t="s">
        <v>729</v>
      </c>
      <c r="B20" s="0" t="s">
        <v>707</v>
      </c>
      <c r="C20" s="0" t="n">
        <v>7</v>
      </c>
      <c r="D20" s="0" t="s">
        <v>730</v>
      </c>
      <c r="E20" s="0" t="s">
        <v>318</v>
      </c>
      <c r="F20" s="0" t="s">
        <v>731</v>
      </c>
    </row>
    <row r="21" customFormat="false" ht="15" hidden="false" customHeight="false" outlineLevel="0" collapsed="false">
      <c r="A21" s="0" t="s">
        <v>732</v>
      </c>
      <c r="B21" s="0" t="s">
        <v>707</v>
      </c>
      <c r="C21" s="0" t="n">
        <v>8</v>
      </c>
      <c r="D21" s="0" t="s">
        <v>733</v>
      </c>
      <c r="E21" s="0" t="s">
        <v>355</v>
      </c>
      <c r="F21" s="0" t="s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735</v>
      </c>
      <c r="B1" s="0" t="s">
        <v>736</v>
      </c>
      <c r="C1" s="0" t="s">
        <v>59</v>
      </c>
      <c r="D1" s="0" t="s">
        <v>737</v>
      </c>
    </row>
    <row r="2" customFormat="false" ht="15" hidden="false" customHeight="false" outlineLevel="0" collapsed="false">
      <c r="A2" s="0" t="s">
        <v>738</v>
      </c>
      <c r="B2" s="0" t="s">
        <v>739</v>
      </c>
      <c r="C2" s="0" t="s">
        <v>740</v>
      </c>
      <c r="D2" s="0" t="s">
        <v>741</v>
      </c>
    </row>
    <row r="3" customFormat="false" ht="15" hidden="false" customHeight="false" outlineLevel="0" collapsed="false">
      <c r="A3" s="0" t="s">
        <v>742</v>
      </c>
      <c r="B3" s="0" t="s">
        <v>743</v>
      </c>
      <c r="C3" s="0" t="s">
        <v>740</v>
      </c>
      <c r="D3" s="0" t="s">
        <v>744</v>
      </c>
    </row>
    <row r="4" customFormat="false" ht="15" hidden="false" customHeight="false" outlineLevel="0" collapsed="false">
      <c r="A4" s="0" t="s">
        <v>745</v>
      </c>
      <c r="B4" s="0" t="s">
        <v>746</v>
      </c>
      <c r="C4" s="0" t="s">
        <v>740</v>
      </c>
      <c r="D4" s="0" t="s">
        <v>747</v>
      </c>
    </row>
    <row r="5" customFormat="false" ht="15" hidden="false" customHeight="false" outlineLevel="0" collapsed="false">
      <c r="A5" s="0" t="s">
        <v>748</v>
      </c>
      <c r="B5" s="0" t="s">
        <v>749</v>
      </c>
      <c r="C5" s="0" t="s">
        <v>740</v>
      </c>
      <c r="D5" s="0" t="s">
        <v>750</v>
      </c>
    </row>
    <row r="6" customFormat="false" ht="15" hidden="false" customHeight="false" outlineLevel="0" collapsed="false">
      <c r="A6" s="0" t="s">
        <v>751</v>
      </c>
      <c r="B6" s="0" t="s">
        <v>752</v>
      </c>
      <c r="C6" s="0" t="s">
        <v>740</v>
      </c>
      <c r="D6" s="0" t="s">
        <v>753</v>
      </c>
    </row>
    <row r="7" customFormat="false" ht="15" hidden="false" customHeight="false" outlineLevel="0" collapsed="false">
      <c r="A7" s="0" t="s">
        <v>754</v>
      </c>
      <c r="B7" s="0" t="s">
        <v>755</v>
      </c>
      <c r="C7" s="0" t="s">
        <v>740</v>
      </c>
      <c r="D7" s="0" t="s">
        <v>756</v>
      </c>
    </row>
    <row r="8" customFormat="false" ht="15" hidden="false" customHeight="false" outlineLevel="0" collapsed="false">
      <c r="A8" s="0" t="s">
        <v>757</v>
      </c>
      <c r="B8" s="0" t="s">
        <v>758</v>
      </c>
      <c r="C8" s="0" t="s">
        <v>740</v>
      </c>
      <c r="D8" s="0" t="s">
        <v>759</v>
      </c>
    </row>
    <row r="9" customFormat="false" ht="15" hidden="false" customHeight="false" outlineLevel="0" collapsed="false">
      <c r="A9" s="0" t="s">
        <v>760</v>
      </c>
      <c r="B9" s="0" t="s">
        <v>761</v>
      </c>
      <c r="C9" s="0" t="s">
        <v>740</v>
      </c>
      <c r="D9" s="0" t="s">
        <v>762</v>
      </c>
    </row>
    <row r="10" customFormat="false" ht="15" hidden="false" customHeight="false" outlineLevel="0" collapsed="false">
      <c r="A10" s="0" t="s">
        <v>763</v>
      </c>
      <c r="B10" s="0" t="s">
        <v>764</v>
      </c>
      <c r="C10" s="0" t="s">
        <v>740</v>
      </c>
      <c r="D10" s="0" t="s">
        <v>765</v>
      </c>
    </row>
    <row r="11" customFormat="false" ht="15" hidden="false" customHeight="false" outlineLevel="0" collapsed="false">
      <c r="A11" s="0" t="s">
        <v>766</v>
      </c>
      <c r="B11" s="0" t="s">
        <v>767</v>
      </c>
      <c r="C11" s="0" t="s">
        <v>740</v>
      </c>
      <c r="D11" s="0" t="s">
        <v>768</v>
      </c>
    </row>
    <row r="12" customFormat="false" ht="15" hidden="false" customHeight="false" outlineLevel="0" collapsed="false">
      <c r="A12" s="0" t="s">
        <v>769</v>
      </c>
      <c r="B12" s="0" t="s">
        <v>770</v>
      </c>
      <c r="C12" s="0" t="s">
        <v>740</v>
      </c>
      <c r="D12" s="0" t="s">
        <v>771</v>
      </c>
    </row>
    <row r="13" customFormat="false" ht="15" hidden="false" customHeight="false" outlineLevel="0" collapsed="false">
      <c r="A13" s="0" t="s">
        <v>772</v>
      </c>
      <c r="B13" s="0" t="s">
        <v>773</v>
      </c>
      <c r="C13" s="0" t="s">
        <v>740</v>
      </c>
      <c r="D13" s="0" t="s">
        <v>774</v>
      </c>
    </row>
    <row r="14" customFormat="false" ht="15" hidden="false" customHeight="false" outlineLevel="0" collapsed="false">
      <c r="A14" s="0" t="s">
        <v>775</v>
      </c>
      <c r="B14" s="0" t="s">
        <v>776</v>
      </c>
      <c r="C14" s="0" t="s">
        <v>740</v>
      </c>
      <c r="D14" s="0" t="s">
        <v>777</v>
      </c>
    </row>
    <row r="15" customFormat="false" ht="15" hidden="false" customHeight="false" outlineLevel="0" collapsed="false">
      <c r="A15" s="0" t="s">
        <v>778</v>
      </c>
      <c r="B15" s="0" t="s">
        <v>779</v>
      </c>
      <c r="C15" s="0" t="s">
        <v>740</v>
      </c>
      <c r="D15" s="0" t="s">
        <v>780</v>
      </c>
    </row>
    <row r="16" customFormat="false" ht="15" hidden="false" customHeight="false" outlineLevel="0" collapsed="false">
      <c r="A16" s="0" t="s">
        <v>781</v>
      </c>
      <c r="B16" s="0" t="s">
        <v>782</v>
      </c>
      <c r="C16" s="0" t="s">
        <v>740</v>
      </c>
      <c r="D16" s="0" t="s">
        <v>783</v>
      </c>
    </row>
    <row r="17" customFormat="false" ht="15" hidden="false" customHeight="false" outlineLevel="0" collapsed="false">
      <c r="A17" s="0" t="s">
        <v>784</v>
      </c>
      <c r="B17" s="0" t="s">
        <v>785</v>
      </c>
      <c r="C17" s="0" t="s">
        <v>740</v>
      </c>
      <c r="D17" s="0" t="s">
        <v>786</v>
      </c>
    </row>
    <row r="18" customFormat="false" ht="15" hidden="false" customHeight="false" outlineLevel="0" collapsed="false">
      <c r="A18" s="0" t="s">
        <v>787</v>
      </c>
      <c r="B18" s="0" t="s">
        <v>788</v>
      </c>
      <c r="C18" s="0" t="s">
        <v>740</v>
      </c>
      <c r="D18" s="0" t="s">
        <v>789</v>
      </c>
    </row>
    <row r="19" customFormat="false" ht="15" hidden="false" customHeight="false" outlineLevel="0" collapsed="false">
      <c r="A19" s="0" t="s">
        <v>790</v>
      </c>
      <c r="B19" s="0" t="s">
        <v>791</v>
      </c>
      <c r="C19" s="0" t="s">
        <v>740</v>
      </c>
      <c r="D19" s="0" t="s">
        <v>792</v>
      </c>
    </row>
    <row r="20" customFormat="false" ht="15" hidden="false" customHeight="false" outlineLevel="0" collapsed="false">
      <c r="A20" s="0" t="s">
        <v>793</v>
      </c>
      <c r="B20" s="0" t="s">
        <v>794</v>
      </c>
      <c r="C20" s="0" t="s">
        <v>795</v>
      </c>
      <c r="D20" s="0" t="s">
        <v>796</v>
      </c>
    </row>
    <row r="21" customFormat="false" ht="15" hidden="false" customHeight="false" outlineLevel="0" collapsed="false">
      <c r="A21" s="0" t="s">
        <v>797</v>
      </c>
      <c r="B21" s="0" t="s">
        <v>798</v>
      </c>
      <c r="C21" s="0" t="s">
        <v>740</v>
      </c>
      <c r="D21" s="0" t="s">
        <v>799</v>
      </c>
    </row>
    <row r="22" customFormat="false" ht="15" hidden="false" customHeight="false" outlineLevel="0" collapsed="false">
      <c r="A22" s="0" t="s">
        <v>800</v>
      </c>
      <c r="B22" s="0" t="s">
        <v>801</v>
      </c>
      <c r="C22" s="0" t="s">
        <v>795</v>
      </c>
      <c r="D22" s="0" t="s">
        <v>802</v>
      </c>
    </row>
    <row r="23" customFormat="false" ht="15" hidden="false" customHeight="false" outlineLevel="0" collapsed="false">
      <c r="A23" s="0" t="s">
        <v>803</v>
      </c>
      <c r="B23" s="0" t="s">
        <v>804</v>
      </c>
      <c r="C23" s="0" t="s">
        <v>795</v>
      </c>
      <c r="D23" s="0" t="s">
        <v>805</v>
      </c>
    </row>
    <row r="24" customFormat="false" ht="15" hidden="false" customHeight="false" outlineLevel="0" collapsed="false">
      <c r="A24" s="0" t="s">
        <v>806</v>
      </c>
      <c r="B24" s="0" t="s">
        <v>807</v>
      </c>
      <c r="C24" s="0" t="s">
        <v>740</v>
      </c>
      <c r="D24" s="0" t="s">
        <v>808</v>
      </c>
    </row>
    <row r="25" customFormat="false" ht="15" hidden="false" customHeight="false" outlineLevel="0" collapsed="false">
      <c r="A25" s="0" t="s">
        <v>809</v>
      </c>
      <c r="B25" s="0" t="s">
        <v>810</v>
      </c>
      <c r="C25" s="0" t="s">
        <v>740</v>
      </c>
      <c r="D25" s="0" t="s">
        <v>811</v>
      </c>
    </row>
    <row r="26" customFormat="false" ht="15" hidden="false" customHeight="false" outlineLevel="0" collapsed="false">
      <c r="A26" s="0" t="s">
        <v>812</v>
      </c>
      <c r="B26" s="0" t="s">
        <v>813</v>
      </c>
      <c r="C26" s="0" t="s">
        <v>795</v>
      </c>
      <c r="D26" s="0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815</v>
      </c>
    </row>
    <row r="2" customFormat="false" ht="15" hidden="false" customHeight="false" outlineLevel="0" collapsed="false">
      <c r="A2" s="0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2026-10-21T17:52:04Z</dcterms:created>
  <dc:creator>openpyxl</dc:creator>
  <dc:description/>
  <dc:language>en-US</dc:language>
  <cp:lastModifiedBy/>
  <dcterms:modified xsi:type="dcterms:W3CDTF">2026-10-21T17:52:04Z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